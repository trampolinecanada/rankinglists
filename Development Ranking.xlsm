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B6D0F752-D61F-EB48-BC60-48DADA7CAE10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'DMT-M'!$A$1:$MT$10</definedName>
    <definedName name="_xlnm._FilterDatabase" localSheetId="6" hidden="1">'DMT-W'!$A$1:$MT$5</definedName>
    <definedName name="_xlnm._FilterDatabase" localSheetId="1" hidden="1">'TRA-M'!$A$1:$OQ$10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21" i="12" l="1"/>
  <c r="AI21" i="12"/>
  <c r="AJ21" i="12"/>
  <c r="AK21" i="12"/>
  <c r="BD21" i="12"/>
  <c r="BE21" i="12"/>
  <c r="BF21" i="12"/>
  <c r="BG21" i="12"/>
  <c r="BZ21" i="12"/>
  <c r="CA21" i="12"/>
  <c r="CB21" i="12"/>
  <c r="CC21" i="12"/>
  <c r="CW21" i="12"/>
  <c r="CX21" i="12"/>
  <c r="CY21" i="12"/>
  <c r="CZ21" i="12"/>
  <c r="DR21" i="12"/>
  <c r="DS21" i="12"/>
  <c r="DT21" i="12"/>
  <c r="DU21" i="12"/>
  <c r="EM21" i="12"/>
  <c r="EN21" i="12"/>
  <c r="EO21" i="12"/>
  <c r="EP21" i="12"/>
  <c r="FH21" i="12"/>
  <c r="FI21" i="12"/>
  <c r="FJ21" i="12"/>
  <c r="FK21" i="12"/>
  <c r="GC21" i="12"/>
  <c r="GD21" i="12"/>
  <c r="GE21" i="12"/>
  <c r="GF21" i="12"/>
  <c r="GX21" i="12"/>
  <c r="GY21" i="12"/>
  <c r="GZ21" i="12"/>
  <c r="HA21" i="12"/>
  <c r="HS21" i="12"/>
  <c r="HT21" i="12"/>
  <c r="HU21" i="12"/>
  <c r="HV21" i="12"/>
  <c r="IN21" i="12"/>
  <c r="IO21" i="12"/>
  <c r="IP21" i="12"/>
  <c r="IQ21" i="12"/>
  <c r="JI21" i="12"/>
  <c r="JJ21" i="12"/>
  <c r="JK21" i="12"/>
  <c r="JL21" i="12"/>
  <c r="KD21" i="12"/>
  <c r="KE21" i="12"/>
  <c r="KF21" i="12"/>
  <c r="KG21" i="12"/>
  <c r="KY21" i="12"/>
  <c r="KZ21" i="12"/>
  <c r="LA21" i="12"/>
  <c r="LB21" i="12"/>
  <c r="LT21" i="12"/>
  <c r="LU21" i="12"/>
  <c r="LV21" i="12"/>
  <c r="LW21" i="12"/>
  <c r="LY21" i="12"/>
  <c r="LZ21" i="12"/>
  <c r="MA21" i="12"/>
  <c r="MB21" i="12"/>
  <c r="MC21" i="12"/>
  <c r="MD21" i="12"/>
  <c r="ME21" i="12"/>
  <c r="MF21" i="12"/>
  <c r="MG21" i="12"/>
  <c r="MH21" i="12"/>
  <c r="MI21" i="12"/>
  <c r="MJ21" i="12"/>
  <c r="MK21" i="12"/>
  <c r="ML21" i="12"/>
  <c r="MM21" i="12"/>
  <c r="MN21" i="12"/>
  <c r="AH24" i="6"/>
  <c r="AI24" i="6"/>
  <c r="AJ24" i="6"/>
  <c r="AK24" i="6"/>
  <c r="BD24" i="6"/>
  <c r="BE24" i="6"/>
  <c r="BF24" i="6"/>
  <c r="BG24" i="6"/>
  <c r="BZ24" i="6"/>
  <c r="CA24" i="6"/>
  <c r="CB24" i="6"/>
  <c r="CC24" i="6"/>
  <c r="CW24" i="6"/>
  <c r="CX24" i="6"/>
  <c r="CY24" i="6"/>
  <c r="CZ24" i="6"/>
  <c r="DR24" i="6"/>
  <c r="DS24" i="6"/>
  <c r="DT24" i="6"/>
  <c r="DU24" i="6"/>
  <c r="EM24" i="6"/>
  <c r="EN24" i="6"/>
  <c r="EO24" i="6"/>
  <c r="EP24" i="6"/>
  <c r="FH24" i="6"/>
  <c r="FI24" i="6"/>
  <c r="FJ24" i="6"/>
  <c r="FK24" i="6"/>
  <c r="GC24" i="6"/>
  <c r="GD24" i="6"/>
  <c r="GE24" i="6"/>
  <c r="GF24" i="6"/>
  <c r="GX24" i="6"/>
  <c r="GY24" i="6"/>
  <c r="GZ24" i="6"/>
  <c r="HA24" i="6"/>
  <c r="HS24" i="6"/>
  <c r="HT24" i="6"/>
  <c r="HU24" i="6"/>
  <c r="HV24" i="6"/>
  <c r="IN24" i="6"/>
  <c r="IO24" i="6"/>
  <c r="IP24" i="6"/>
  <c r="IQ24" i="6"/>
  <c r="JI24" i="6"/>
  <c r="JJ24" i="6"/>
  <c r="JK24" i="6"/>
  <c r="JL24" i="6"/>
  <c r="KD24" i="6"/>
  <c r="KE24" i="6"/>
  <c r="KF24" i="6"/>
  <c r="KG24" i="6"/>
  <c r="KY24" i="6"/>
  <c r="KZ24" i="6"/>
  <c r="LA24" i="6"/>
  <c r="LB24" i="6"/>
  <c r="LT24" i="6"/>
  <c r="LU24" i="6"/>
  <c r="LV24" i="6"/>
  <c r="LW24" i="6"/>
  <c r="LY24" i="6"/>
  <c r="LZ24" i="6"/>
  <c r="MA24" i="6"/>
  <c r="MB24" i="6"/>
  <c r="MC24" i="6"/>
  <c r="MD24" i="6"/>
  <c r="ME24" i="6"/>
  <c r="MF24" i="6"/>
  <c r="MG24" i="6"/>
  <c r="MH24" i="6"/>
  <c r="MI24" i="6"/>
  <c r="MJ24" i="6"/>
  <c r="MK24" i="6"/>
  <c r="ML24" i="6"/>
  <c r="MM24" i="6"/>
  <c r="MN24" i="6"/>
  <c r="AH22" i="6"/>
  <c r="AI22" i="6"/>
  <c r="AJ22" i="6"/>
  <c r="AK22" i="6"/>
  <c r="BD22" i="6"/>
  <c r="BE22" i="6"/>
  <c r="BF22" i="6"/>
  <c r="BG22" i="6"/>
  <c r="BZ22" i="6"/>
  <c r="CA22" i="6"/>
  <c r="CB22" i="6"/>
  <c r="CC22" i="6"/>
  <c r="CW22" i="6"/>
  <c r="CX22" i="6"/>
  <c r="CY22" i="6"/>
  <c r="CZ22" i="6"/>
  <c r="DR22" i="6"/>
  <c r="DS22" i="6"/>
  <c r="DT22" i="6"/>
  <c r="DU22" i="6"/>
  <c r="EM22" i="6"/>
  <c r="EN22" i="6"/>
  <c r="EO22" i="6"/>
  <c r="EP22" i="6"/>
  <c r="FH22" i="6"/>
  <c r="FI22" i="6"/>
  <c r="FJ22" i="6"/>
  <c r="FK22" i="6"/>
  <c r="GC22" i="6"/>
  <c r="GD22" i="6"/>
  <c r="GE22" i="6"/>
  <c r="GF22" i="6"/>
  <c r="GX22" i="6"/>
  <c r="GY22" i="6"/>
  <c r="GZ22" i="6"/>
  <c r="HA22" i="6"/>
  <c r="HS22" i="6"/>
  <c r="HT22" i="6"/>
  <c r="HU22" i="6"/>
  <c r="HV22" i="6"/>
  <c r="IN22" i="6"/>
  <c r="IO22" i="6"/>
  <c r="IP22" i="6"/>
  <c r="IQ22" i="6"/>
  <c r="JI22" i="6"/>
  <c r="JJ22" i="6"/>
  <c r="JK22" i="6"/>
  <c r="JL22" i="6"/>
  <c r="KD22" i="6"/>
  <c r="KE22" i="6"/>
  <c r="KF22" i="6"/>
  <c r="KG22" i="6"/>
  <c r="KY22" i="6"/>
  <c r="KZ22" i="6"/>
  <c r="LA22" i="6"/>
  <c r="LB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AH13" i="8"/>
  <c r="AI13" i="8"/>
  <c r="AJ13" i="8"/>
  <c r="AK13" i="8"/>
  <c r="BD13" i="8"/>
  <c r="BE13" i="8"/>
  <c r="BF13" i="8"/>
  <c r="BG13" i="8"/>
  <c r="BZ13" i="8"/>
  <c r="CA13" i="8"/>
  <c r="CB13" i="8"/>
  <c r="CC13" i="8"/>
  <c r="CW13" i="8"/>
  <c r="CX13" i="8"/>
  <c r="CY13" i="8"/>
  <c r="CZ13" i="8"/>
  <c r="DR13" i="8"/>
  <c r="DS13" i="8"/>
  <c r="DT13" i="8"/>
  <c r="DU13" i="8"/>
  <c r="EM13" i="8"/>
  <c r="EN13" i="8"/>
  <c r="EO13" i="8"/>
  <c r="EP13" i="8"/>
  <c r="FH13" i="8"/>
  <c r="FI13" i="8"/>
  <c r="FJ13" i="8"/>
  <c r="FK13" i="8"/>
  <c r="GC13" i="8"/>
  <c r="GD13" i="8"/>
  <c r="GE13" i="8"/>
  <c r="GF13" i="8"/>
  <c r="GX13" i="8"/>
  <c r="GY13" i="8"/>
  <c r="GZ13" i="8"/>
  <c r="HA13" i="8"/>
  <c r="HS13" i="8"/>
  <c r="HT13" i="8"/>
  <c r="HU13" i="8"/>
  <c r="HV13" i="8"/>
  <c r="IN13" i="8"/>
  <c r="IO13" i="8"/>
  <c r="IP13" i="8"/>
  <c r="IQ13" i="8"/>
  <c r="JI13" i="8"/>
  <c r="JJ13" i="8"/>
  <c r="JK13" i="8"/>
  <c r="JL13" i="8"/>
  <c r="KD13" i="8"/>
  <c r="KE13" i="8"/>
  <c r="KF13" i="8"/>
  <c r="KG13" i="8"/>
  <c r="KY13" i="8"/>
  <c r="KZ13" i="8"/>
  <c r="LA13" i="8"/>
  <c r="LB13" i="8"/>
  <c r="LT13" i="8"/>
  <c r="LU13" i="8"/>
  <c r="LV13" i="8"/>
  <c r="LW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AH14" i="8"/>
  <c r="AI14" i="8"/>
  <c r="AJ14" i="8"/>
  <c r="AK14" i="8"/>
  <c r="BD14" i="8"/>
  <c r="BE14" i="8"/>
  <c r="BF14" i="8"/>
  <c r="BG14" i="8"/>
  <c r="BZ14" i="8"/>
  <c r="CA14" i="8"/>
  <c r="CB14" i="8"/>
  <c r="CC14" i="8"/>
  <c r="CW14" i="8"/>
  <c r="CX14" i="8"/>
  <c r="CY14" i="8"/>
  <c r="CZ14" i="8"/>
  <c r="DR14" i="8"/>
  <c r="DS14" i="8"/>
  <c r="DT14" i="8"/>
  <c r="DU14" i="8"/>
  <c r="EM14" i="8"/>
  <c r="EN14" i="8"/>
  <c r="EO14" i="8"/>
  <c r="EP14" i="8"/>
  <c r="FH14" i="8"/>
  <c r="FI14" i="8"/>
  <c r="FJ14" i="8"/>
  <c r="FK14" i="8"/>
  <c r="GC14" i="8"/>
  <c r="GD14" i="8"/>
  <c r="GE14" i="8"/>
  <c r="GF14" i="8"/>
  <c r="GX14" i="8"/>
  <c r="GY14" i="8"/>
  <c r="GZ14" i="8"/>
  <c r="HA14" i="8"/>
  <c r="HS14" i="8"/>
  <c r="HT14" i="8"/>
  <c r="HU14" i="8"/>
  <c r="HV14" i="8"/>
  <c r="IN14" i="8"/>
  <c r="IO14" i="8"/>
  <c r="IP14" i="8"/>
  <c r="IQ14" i="8"/>
  <c r="JI14" i="8"/>
  <c r="JJ14" i="8"/>
  <c r="JK14" i="8"/>
  <c r="JL14" i="8"/>
  <c r="KD14" i="8"/>
  <c r="KE14" i="8"/>
  <c r="KF14" i="8"/>
  <c r="KG14" i="8"/>
  <c r="KY14" i="8"/>
  <c r="KZ14" i="8"/>
  <c r="LA14" i="8"/>
  <c r="LB14" i="8"/>
  <c r="LT14" i="8"/>
  <c r="LU14" i="8"/>
  <c r="LV14" i="8"/>
  <c r="LW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AQ27" i="14"/>
  <c r="AR27" i="14"/>
  <c r="AS27" i="14"/>
  <c r="AT27" i="14"/>
  <c r="AU27" i="14"/>
  <c r="AW27" i="14"/>
  <c r="AX27" i="14"/>
  <c r="BU27" i="14"/>
  <c r="BV27" i="14"/>
  <c r="BW27" i="14"/>
  <c r="BX27" i="14"/>
  <c r="BY27" i="14"/>
  <c r="CA27" i="14"/>
  <c r="CB27" i="14"/>
  <c r="CY27" i="14"/>
  <c r="CZ27" i="14"/>
  <c r="DA27" i="14"/>
  <c r="DB27" i="14"/>
  <c r="DC27" i="14"/>
  <c r="DE27" i="14"/>
  <c r="DF27" i="14"/>
  <c r="EA27" i="14"/>
  <c r="EB27" i="14"/>
  <c r="EC27" i="14"/>
  <c r="EE27" i="14"/>
  <c r="EF27" i="14"/>
  <c r="EW27" i="14"/>
  <c r="EX27" i="14"/>
  <c r="EY27" i="14"/>
  <c r="FA27" i="14"/>
  <c r="FB27" i="14"/>
  <c r="FS27" i="14"/>
  <c r="FT27" i="14"/>
  <c r="FU27" i="14"/>
  <c r="FW27" i="14"/>
  <c r="FX27" i="14"/>
  <c r="GO27" i="14"/>
  <c r="GP27" i="14"/>
  <c r="GQ27" i="14"/>
  <c r="GS27" i="14"/>
  <c r="GT27" i="14"/>
  <c r="HK27" i="14"/>
  <c r="HL27" i="14"/>
  <c r="HM27" i="14"/>
  <c r="HO27" i="14"/>
  <c r="HP27" i="14"/>
  <c r="IG27" i="14"/>
  <c r="IH27" i="14"/>
  <c r="II27" i="14"/>
  <c r="IK27" i="14"/>
  <c r="IL27" i="14"/>
  <c r="JC27" i="14"/>
  <c r="JD27" i="14"/>
  <c r="JE27" i="14"/>
  <c r="JG27" i="14"/>
  <c r="JH27" i="14"/>
  <c r="JY27" i="14"/>
  <c r="JZ27" i="14"/>
  <c r="KA27" i="14"/>
  <c r="KC27" i="14"/>
  <c r="KD27" i="14"/>
  <c r="KU27" i="14"/>
  <c r="KV27" i="14"/>
  <c r="KW27" i="14"/>
  <c r="KY27" i="14"/>
  <c r="KZ27" i="14"/>
  <c r="LQ27" i="14"/>
  <c r="LR27" i="14"/>
  <c r="LS27" i="14"/>
  <c r="LU27" i="14"/>
  <c r="LV27" i="14"/>
  <c r="MM27" i="14"/>
  <c r="MN27" i="14"/>
  <c r="MO27" i="14"/>
  <c r="MQ27" i="14"/>
  <c r="MR27" i="14"/>
  <c r="NI27" i="14"/>
  <c r="NJ27" i="14"/>
  <c r="NK27" i="14"/>
  <c r="NM27" i="14"/>
  <c r="NN27" i="14"/>
  <c r="NP27" i="14"/>
  <c r="NQ27" i="14"/>
  <c r="NR27" i="14"/>
  <c r="NS27" i="14"/>
  <c r="NT27" i="14"/>
  <c r="NU27" i="14"/>
  <c r="NV27" i="14"/>
  <c r="NW27" i="14"/>
  <c r="OL27" i="14" s="1"/>
  <c r="NX27" i="14"/>
  <c r="NY27" i="14"/>
  <c r="NZ27" i="14"/>
  <c r="OA27" i="14"/>
  <c r="OB27" i="14"/>
  <c r="OC27" i="14"/>
  <c r="OD27" i="14"/>
  <c r="OE27" i="14"/>
  <c r="OF27" i="14"/>
  <c r="OG27" i="14"/>
  <c r="OQ27" i="14" s="1"/>
  <c r="OH27" i="14"/>
  <c r="OI27" i="14"/>
  <c r="ON27" i="14"/>
  <c r="AH19" i="6"/>
  <c r="AI19" i="6"/>
  <c r="AJ19" i="6"/>
  <c r="AK19" i="6"/>
  <c r="BD19" i="6"/>
  <c r="BE19" i="6"/>
  <c r="BF19" i="6"/>
  <c r="BG19" i="6"/>
  <c r="BZ19" i="6"/>
  <c r="CA19" i="6"/>
  <c r="CB19" i="6"/>
  <c r="CC19" i="6"/>
  <c r="CW19" i="6"/>
  <c r="CX19" i="6"/>
  <c r="CY19" i="6"/>
  <c r="CZ19" i="6"/>
  <c r="DR19" i="6"/>
  <c r="DS19" i="6"/>
  <c r="DT19" i="6"/>
  <c r="DU19" i="6"/>
  <c r="EM19" i="6"/>
  <c r="EN19" i="6"/>
  <c r="EO19" i="6"/>
  <c r="EP19" i="6"/>
  <c r="FH19" i="6"/>
  <c r="FI19" i="6"/>
  <c r="FJ19" i="6"/>
  <c r="FK19" i="6"/>
  <c r="GC19" i="6"/>
  <c r="GD19" i="6"/>
  <c r="GE19" i="6"/>
  <c r="GF19" i="6"/>
  <c r="GX19" i="6"/>
  <c r="GY19" i="6"/>
  <c r="GZ19" i="6"/>
  <c r="HA19" i="6"/>
  <c r="HS19" i="6"/>
  <c r="HT19" i="6"/>
  <c r="HU19" i="6"/>
  <c r="HV19" i="6"/>
  <c r="IN19" i="6"/>
  <c r="IO19" i="6"/>
  <c r="IP19" i="6"/>
  <c r="IQ19" i="6"/>
  <c r="JI19" i="6"/>
  <c r="JJ19" i="6"/>
  <c r="JK19" i="6"/>
  <c r="JL19" i="6"/>
  <c r="KD19" i="6"/>
  <c r="KE19" i="6"/>
  <c r="KF19" i="6"/>
  <c r="KG19" i="6"/>
  <c r="KY19" i="6"/>
  <c r="KZ19" i="6"/>
  <c r="LA19" i="6"/>
  <c r="LB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BG22" i="12"/>
  <c r="BF22" i="12"/>
  <c r="BE22" i="12"/>
  <c r="BD22" i="12"/>
  <c r="BG14" i="12"/>
  <c r="BF14" i="12"/>
  <c r="BE14" i="12"/>
  <c r="BD14" i="12"/>
  <c r="BG13" i="12"/>
  <c r="BF13" i="12"/>
  <c r="BE13" i="12"/>
  <c r="BD13" i="12"/>
  <c r="BG19" i="12"/>
  <c r="BF19" i="12"/>
  <c r="BE19" i="12"/>
  <c r="BD19" i="12"/>
  <c r="BG12" i="12"/>
  <c r="BF12" i="12"/>
  <c r="BE12" i="12"/>
  <c r="BD12" i="12"/>
  <c r="BG10" i="12"/>
  <c r="BF10" i="12"/>
  <c r="BE10" i="12"/>
  <c r="BD10" i="12"/>
  <c r="BG23" i="12"/>
  <c r="BF23" i="12"/>
  <c r="BE23" i="12"/>
  <c r="BD23" i="12"/>
  <c r="BG18" i="12"/>
  <c r="BF18" i="12"/>
  <c r="BE18" i="12"/>
  <c r="BD18" i="12"/>
  <c r="BG17" i="12"/>
  <c r="BF17" i="12"/>
  <c r="BE17" i="12"/>
  <c r="BD17" i="12"/>
  <c r="BG16" i="12"/>
  <c r="BF16" i="12"/>
  <c r="BE16" i="12"/>
  <c r="BD16" i="12"/>
  <c r="BG15" i="12"/>
  <c r="BF15" i="12"/>
  <c r="BE15" i="12"/>
  <c r="BD15" i="12"/>
  <c r="BG11" i="12"/>
  <c r="BF11" i="12"/>
  <c r="BE11" i="12"/>
  <c r="BD11" i="12"/>
  <c r="BG9" i="12"/>
  <c r="BF9" i="12"/>
  <c r="BE9" i="12"/>
  <c r="BD9" i="12"/>
  <c r="BG8" i="12"/>
  <c r="BF8" i="12"/>
  <c r="BE8" i="12"/>
  <c r="BD8" i="12"/>
  <c r="BG6" i="12"/>
  <c r="BF6" i="12"/>
  <c r="BE6" i="12"/>
  <c r="BD6" i="12"/>
  <c r="BG20" i="12"/>
  <c r="BF20" i="12"/>
  <c r="BE20" i="12"/>
  <c r="BD20" i="12"/>
  <c r="BG5" i="12"/>
  <c r="BF5" i="12"/>
  <c r="BE5" i="12"/>
  <c r="BD5" i="12"/>
  <c r="BG7" i="12"/>
  <c r="BF7" i="12"/>
  <c r="BE7" i="12"/>
  <c r="BD7" i="12"/>
  <c r="BG4" i="12"/>
  <c r="BF4" i="12"/>
  <c r="BE4" i="12"/>
  <c r="BD4" i="12"/>
  <c r="AK22" i="12"/>
  <c r="AJ22" i="12"/>
  <c r="AI22" i="12"/>
  <c r="AH22" i="12"/>
  <c r="AK14" i="12"/>
  <c r="AJ14" i="12"/>
  <c r="AI14" i="12"/>
  <c r="AH14" i="12"/>
  <c r="AK13" i="12"/>
  <c r="AJ13" i="12"/>
  <c r="AI13" i="12"/>
  <c r="AH13" i="12"/>
  <c r="AK19" i="12"/>
  <c r="AJ19" i="12"/>
  <c r="AI19" i="12"/>
  <c r="AH19" i="12"/>
  <c r="AK12" i="12"/>
  <c r="AJ12" i="12"/>
  <c r="AI12" i="12"/>
  <c r="AH12" i="12"/>
  <c r="AK10" i="12"/>
  <c r="AJ10" i="12"/>
  <c r="AI10" i="12"/>
  <c r="AH10" i="12"/>
  <c r="AK23" i="12"/>
  <c r="AJ23" i="12"/>
  <c r="AI23" i="12"/>
  <c r="AH23" i="12"/>
  <c r="AK18" i="12"/>
  <c r="AJ18" i="12"/>
  <c r="AI18" i="12"/>
  <c r="AH18" i="12"/>
  <c r="AK17" i="12"/>
  <c r="AJ17" i="12"/>
  <c r="AI17" i="12"/>
  <c r="AH17" i="12"/>
  <c r="AK16" i="12"/>
  <c r="AJ16" i="12"/>
  <c r="AI16" i="12"/>
  <c r="AH16" i="12"/>
  <c r="AK15" i="12"/>
  <c r="AJ15" i="12"/>
  <c r="AI15" i="12"/>
  <c r="AH15" i="12"/>
  <c r="AK11" i="12"/>
  <c r="AJ11" i="12"/>
  <c r="AI11" i="12"/>
  <c r="AH11" i="12"/>
  <c r="AK9" i="12"/>
  <c r="AJ9" i="12"/>
  <c r="AI9" i="12"/>
  <c r="AH9" i="12"/>
  <c r="AK8" i="12"/>
  <c r="AJ8" i="12"/>
  <c r="AI8" i="12"/>
  <c r="AH8" i="12"/>
  <c r="AK6" i="12"/>
  <c r="AJ6" i="12"/>
  <c r="AI6" i="12"/>
  <c r="AH6" i="12"/>
  <c r="AK20" i="12"/>
  <c r="AJ20" i="12"/>
  <c r="AI20" i="12"/>
  <c r="AH20" i="12"/>
  <c r="AK5" i="12"/>
  <c r="AJ5" i="12"/>
  <c r="AI5" i="12"/>
  <c r="AH5" i="12"/>
  <c r="AK7" i="12"/>
  <c r="AJ7" i="12"/>
  <c r="AI7" i="12"/>
  <c r="AH7" i="12"/>
  <c r="AK4" i="12"/>
  <c r="AJ4" i="12"/>
  <c r="AI4" i="12"/>
  <c r="AH4" i="12"/>
  <c r="BG16" i="6"/>
  <c r="BF16" i="6"/>
  <c r="BE16" i="6"/>
  <c r="BD16" i="6"/>
  <c r="BG23" i="6"/>
  <c r="BF23" i="6"/>
  <c r="BE23" i="6"/>
  <c r="BD23" i="6"/>
  <c r="BG17" i="6"/>
  <c r="BF17" i="6"/>
  <c r="BE17" i="6"/>
  <c r="BD17" i="6"/>
  <c r="BG14" i="6"/>
  <c r="BF14" i="6"/>
  <c r="BE14" i="6"/>
  <c r="BD14" i="6"/>
  <c r="BG21" i="6"/>
  <c r="BF21" i="6"/>
  <c r="BE21" i="6"/>
  <c r="BD21" i="6"/>
  <c r="BG20" i="6"/>
  <c r="BF20" i="6"/>
  <c r="BE20" i="6"/>
  <c r="BD20" i="6"/>
  <c r="BG9" i="6"/>
  <c r="BF9" i="6"/>
  <c r="BE9" i="6"/>
  <c r="BD9" i="6"/>
  <c r="BG18" i="6"/>
  <c r="BF18" i="6"/>
  <c r="BE18" i="6"/>
  <c r="BD18" i="6"/>
  <c r="BG15" i="6"/>
  <c r="BF15" i="6"/>
  <c r="BE15" i="6"/>
  <c r="BD15" i="6"/>
  <c r="BG13" i="6"/>
  <c r="BF13" i="6"/>
  <c r="BE13" i="6"/>
  <c r="BD13" i="6"/>
  <c r="BG12" i="6"/>
  <c r="BF12" i="6"/>
  <c r="BE12" i="6"/>
  <c r="BD12" i="6"/>
  <c r="BG11" i="6"/>
  <c r="BF11" i="6"/>
  <c r="BE11" i="6"/>
  <c r="BD11" i="6"/>
  <c r="BG10" i="6"/>
  <c r="BF10" i="6"/>
  <c r="BE10" i="6"/>
  <c r="BD10" i="6"/>
  <c r="BG8" i="6"/>
  <c r="BF8" i="6"/>
  <c r="BE8" i="6"/>
  <c r="BD8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6" i="6"/>
  <c r="AJ16" i="6"/>
  <c r="AI16" i="6"/>
  <c r="AH16" i="6"/>
  <c r="AK23" i="6"/>
  <c r="AJ23" i="6"/>
  <c r="AI23" i="6"/>
  <c r="AH23" i="6"/>
  <c r="AK17" i="6"/>
  <c r="AJ17" i="6"/>
  <c r="AI17" i="6"/>
  <c r="AH17" i="6"/>
  <c r="AK14" i="6"/>
  <c r="AJ14" i="6"/>
  <c r="AI14" i="6"/>
  <c r="AH14" i="6"/>
  <c r="AK21" i="6"/>
  <c r="AJ21" i="6"/>
  <c r="AI21" i="6"/>
  <c r="AH21" i="6"/>
  <c r="AK20" i="6"/>
  <c r="AJ20" i="6"/>
  <c r="AI20" i="6"/>
  <c r="AH20" i="6"/>
  <c r="AK9" i="6"/>
  <c r="AJ9" i="6"/>
  <c r="AI9" i="6"/>
  <c r="AH9" i="6"/>
  <c r="AK18" i="6"/>
  <c r="AJ18" i="6"/>
  <c r="AI18" i="6"/>
  <c r="AH18" i="6"/>
  <c r="AK15" i="6"/>
  <c r="AJ15" i="6"/>
  <c r="AI15" i="6"/>
  <c r="AH15" i="6"/>
  <c r="AK13" i="6"/>
  <c r="AJ13" i="6"/>
  <c r="AI13" i="6"/>
  <c r="AH13" i="6"/>
  <c r="AK12" i="6"/>
  <c r="AJ12" i="6"/>
  <c r="AI12" i="6"/>
  <c r="AH12" i="6"/>
  <c r="AK11" i="6"/>
  <c r="AJ11" i="6"/>
  <c r="AI11" i="6"/>
  <c r="AH11" i="6"/>
  <c r="AK10" i="6"/>
  <c r="AJ10" i="6"/>
  <c r="AI10" i="6"/>
  <c r="AH10" i="6"/>
  <c r="AK8" i="6"/>
  <c r="AJ8" i="6"/>
  <c r="AI8" i="6"/>
  <c r="AH8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12" i="8"/>
  <c r="BF12" i="8"/>
  <c r="BE12" i="8"/>
  <c r="BD12" i="8"/>
  <c r="BG10" i="8"/>
  <c r="BF10" i="8"/>
  <c r="BE10" i="8"/>
  <c r="BD10" i="8"/>
  <c r="BG6" i="8"/>
  <c r="BF6" i="8"/>
  <c r="BE6" i="8"/>
  <c r="BD6" i="8"/>
  <c r="BG11" i="8"/>
  <c r="BF11" i="8"/>
  <c r="BE11" i="8"/>
  <c r="BD11" i="8"/>
  <c r="BG9" i="8"/>
  <c r="BF9" i="8"/>
  <c r="BE9" i="8"/>
  <c r="BD9" i="8"/>
  <c r="BG8" i="8"/>
  <c r="BF8" i="8"/>
  <c r="BE8" i="8"/>
  <c r="BD8" i="8"/>
  <c r="BG7" i="8"/>
  <c r="BF7" i="8"/>
  <c r="BE7" i="8"/>
  <c r="BD7" i="8"/>
  <c r="BG5" i="8"/>
  <c r="BF5" i="8"/>
  <c r="BE5" i="8"/>
  <c r="BD5" i="8"/>
  <c r="BG4" i="8"/>
  <c r="BF4" i="8"/>
  <c r="BE4" i="8"/>
  <c r="BD4" i="8"/>
  <c r="AK12" i="8"/>
  <c r="AJ12" i="8"/>
  <c r="AI12" i="8"/>
  <c r="AH12" i="8"/>
  <c r="AK10" i="8"/>
  <c r="AJ10" i="8"/>
  <c r="AI10" i="8"/>
  <c r="AH10" i="8"/>
  <c r="AK6" i="8"/>
  <c r="AJ6" i="8"/>
  <c r="AI6" i="8"/>
  <c r="AH6" i="8"/>
  <c r="AK11" i="8"/>
  <c r="AJ11" i="8"/>
  <c r="AI11" i="8"/>
  <c r="AH11" i="8"/>
  <c r="AK9" i="8"/>
  <c r="AJ9" i="8"/>
  <c r="AI9" i="8"/>
  <c r="AH9" i="8"/>
  <c r="AK8" i="8"/>
  <c r="AJ8" i="8"/>
  <c r="AI8" i="8"/>
  <c r="AH8" i="8"/>
  <c r="AK7" i="8"/>
  <c r="AJ7" i="8"/>
  <c r="AI7" i="8"/>
  <c r="AH7" i="8"/>
  <c r="AK5" i="8"/>
  <c r="AJ5" i="8"/>
  <c r="AI5" i="8"/>
  <c r="AH5" i="8"/>
  <c r="AK4" i="8"/>
  <c r="AJ4" i="8"/>
  <c r="AI4" i="8"/>
  <c r="AH4" i="8"/>
  <c r="BG10" i="7"/>
  <c r="BF10" i="7"/>
  <c r="BE10" i="7"/>
  <c r="BD10" i="7"/>
  <c r="BG9" i="7"/>
  <c r="BF9" i="7"/>
  <c r="BE9" i="7"/>
  <c r="BD9" i="7"/>
  <c r="BG8" i="7"/>
  <c r="BF8" i="7"/>
  <c r="BE8" i="7"/>
  <c r="BD8" i="7"/>
  <c r="BG6" i="7"/>
  <c r="BF6" i="7"/>
  <c r="BE6" i="7"/>
  <c r="BD6" i="7"/>
  <c r="BG7" i="7"/>
  <c r="BF7" i="7"/>
  <c r="BE7" i="7"/>
  <c r="BD7" i="7"/>
  <c r="BG5" i="7"/>
  <c r="BF5" i="7"/>
  <c r="BE5" i="7"/>
  <c r="BD5" i="7"/>
  <c r="BG4" i="7"/>
  <c r="BF4" i="7"/>
  <c r="BE4" i="7"/>
  <c r="BD4" i="7"/>
  <c r="AK10" i="7"/>
  <c r="AJ10" i="7"/>
  <c r="AI10" i="7"/>
  <c r="AH10" i="7"/>
  <c r="AK9" i="7"/>
  <c r="AJ9" i="7"/>
  <c r="AI9" i="7"/>
  <c r="AH9" i="7"/>
  <c r="AK8" i="7"/>
  <c r="AJ8" i="7"/>
  <c r="AI8" i="7"/>
  <c r="AH8" i="7"/>
  <c r="AK6" i="7"/>
  <c r="AJ6" i="7"/>
  <c r="AI6" i="7"/>
  <c r="AH6" i="7"/>
  <c r="AK7" i="7"/>
  <c r="AJ7" i="7"/>
  <c r="AI7" i="7"/>
  <c r="AH7" i="7"/>
  <c r="AK5" i="7"/>
  <c r="AJ5" i="7"/>
  <c r="AI5" i="7"/>
  <c r="AH5" i="7"/>
  <c r="AK4" i="7"/>
  <c r="AJ4" i="7"/>
  <c r="AI4" i="7"/>
  <c r="AH4" i="7"/>
  <c r="CB8" i="14"/>
  <c r="CA8" i="14"/>
  <c r="BY8" i="14"/>
  <c r="BX8" i="14"/>
  <c r="BW8" i="14"/>
  <c r="BV8" i="14"/>
  <c r="BU8" i="14"/>
  <c r="CB25" i="14"/>
  <c r="CA25" i="14"/>
  <c r="BY25" i="14"/>
  <c r="BX25" i="14"/>
  <c r="BW25" i="14"/>
  <c r="BV25" i="14"/>
  <c r="BU25" i="14"/>
  <c r="CB19" i="14"/>
  <c r="CA19" i="14"/>
  <c r="BY19" i="14"/>
  <c r="BX19" i="14"/>
  <c r="BW19" i="14"/>
  <c r="BV19" i="14"/>
  <c r="BU19" i="14"/>
  <c r="CB23" i="14"/>
  <c r="CA23" i="14"/>
  <c r="BY23" i="14"/>
  <c r="BX23" i="14"/>
  <c r="BW23" i="14"/>
  <c r="BV23" i="14"/>
  <c r="BU23" i="14"/>
  <c r="CB16" i="14"/>
  <c r="CA16" i="14"/>
  <c r="BY16" i="14"/>
  <c r="BX16" i="14"/>
  <c r="BW16" i="14"/>
  <c r="BV16" i="14"/>
  <c r="BU16" i="14"/>
  <c r="CB11" i="14"/>
  <c r="CA11" i="14"/>
  <c r="BY11" i="14"/>
  <c r="BX11" i="14"/>
  <c r="BW11" i="14"/>
  <c r="BV11" i="14"/>
  <c r="BU11" i="14"/>
  <c r="CB17" i="14"/>
  <c r="CA17" i="14"/>
  <c r="BY17" i="14"/>
  <c r="BX17" i="14"/>
  <c r="BW17" i="14"/>
  <c r="BV17" i="14"/>
  <c r="BU17" i="14"/>
  <c r="CB24" i="14"/>
  <c r="CA24" i="14"/>
  <c r="BY24" i="14"/>
  <c r="BX24" i="14"/>
  <c r="BW24" i="14"/>
  <c r="BV24" i="14"/>
  <c r="BU24" i="14"/>
  <c r="CB21" i="14"/>
  <c r="CA21" i="14"/>
  <c r="BY21" i="14"/>
  <c r="BX21" i="14"/>
  <c r="BW21" i="14"/>
  <c r="BV21" i="14"/>
  <c r="BU21" i="14"/>
  <c r="CB18" i="14"/>
  <c r="CA18" i="14"/>
  <c r="BY18" i="14"/>
  <c r="BX18" i="14"/>
  <c r="BW18" i="14"/>
  <c r="BV18" i="14"/>
  <c r="BU18" i="14"/>
  <c r="CB20" i="14"/>
  <c r="CA20" i="14"/>
  <c r="BY20" i="14"/>
  <c r="BX20" i="14"/>
  <c r="BW20" i="14"/>
  <c r="BV20" i="14"/>
  <c r="BU20" i="14"/>
  <c r="CB26" i="14"/>
  <c r="CA26" i="14"/>
  <c r="BY26" i="14"/>
  <c r="BX26" i="14"/>
  <c r="BW26" i="14"/>
  <c r="BV26" i="14"/>
  <c r="BU26" i="14"/>
  <c r="CB13" i="14"/>
  <c r="CA13" i="14"/>
  <c r="BY13" i="14"/>
  <c r="BX13" i="14"/>
  <c r="BW13" i="14"/>
  <c r="BV13" i="14"/>
  <c r="BU13" i="14"/>
  <c r="CB15" i="14"/>
  <c r="CA15" i="14"/>
  <c r="BY15" i="14"/>
  <c r="BX15" i="14"/>
  <c r="BW15" i="14"/>
  <c r="BV15" i="14"/>
  <c r="BU15" i="14"/>
  <c r="CB22" i="14"/>
  <c r="CA22" i="14"/>
  <c r="BY22" i="14"/>
  <c r="BX22" i="14"/>
  <c r="BW22" i="14"/>
  <c r="BV22" i="14"/>
  <c r="BU22" i="14"/>
  <c r="CB12" i="14"/>
  <c r="CA12" i="14"/>
  <c r="BY12" i="14"/>
  <c r="BX12" i="14"/>
  <c r="BW12" i="14"/>
  <c r="BV12" i="14"/>
  <c r="BU12" i="14"/>
  <c r="CB14" i="14"/>
  <c r="CA14" i="14"/>
  <c r="BY14" i="14"/>
  <c r="BX14" i="14"/>
  <c r="BW14" i="14"/>
  <c r="BV14" i="14"/>
  <c r="BU14" i="14"/>
  <c r="CB10" i="14"/>
  <c r="CA10" i="14"/>
  <c r="BY10" i="14"/>
  <c r="BX10" i="14"/>
  <c r="BW10" i="14"/>
  <c r="BV10" i="14"/>
  <c r="BU10" i="14"/>
  <c r="CB9" i="14"/>
  <c r="CA9" i="14"/>
  <c r="BY9" i="14"/>
  <c r="BX9" i="14"/>
  <c r="BW9" i="14"/>
  <c r="BV9" i="14"/>
  <c r="BU9" i="14"/>
  <c r="CB7" i="14"/>
  <c r="CA7" i="14"/>
  <c r="BY7" i="14"/>
  <c r="BX7" i="14"/>
  <c r="BW7" i="14"/>
  <c r="BV7" i="14"/>
  <c r="BU7" i="14"/>
  <c r="CB6" i="14"/>
  <c r="CA6" i="14"/>
  <c r="BY6" i="14"/>
  <c r="BX6" i="14"/>
  <c r="BW6" i="14"/>
  <c r="BV6" i="14"/>
  <c r="BU6" i="14"/>
  <c r="CB5" i="14"/>
  <c r="CA5" i="14"/>
  <c r="BY5" i="14"/>
  <c r="BX5" i="14"/>
  <c r="BW5" i="14"/>
  <c r="BV5" i="14"/>
  <c r="BU5" i="14"/>
  <c r="CB4" i="14"/>
  <c r="CA4" i="14"/>
  <c r="BY4" i="14"/>
  <c r="BX4" i="14"/>
  <c r="BW4" i="14"/>
  <c r="BV4" i="14"/>
  <c r="BU4" i="14"/>
  <c r="AX8" i="14"/>
  <c r="AW8" i="14"/>
  <c r="AU8" i="14"/>
  <c r="AT8" i="14"/>
  <c r="AS8" i="14"/>
  <c r="AR8" i="14"/>
  <c r="AQ8" i="14"/>
  <c r="AX25" i="14"/>
  <c r="AW25" i="14"/>
  <c r="AU25" i="14"/>
  <c r="AT25" i="14"/>
  <c r="AS25" i="14"/>
  <c r="AR25" i="14"/>
  <c r="AQ25" i="14"/>
  <c r="AX19" i="14"/>
  <c r="AW19" i="14"/>
  <c r="AU19" i="14"/>
  <c r="AT19" i="14"/>
  <c r="AS19" i="14"/>
  <c r="AR19" i="14"/>
  <c r="AQ19" i="14"/>
  <c r="AX23" i="14"/>
  <c r="AW23" i="14"/>
  <c r="AU23" i="14"/>
  <c r="AT23" i="14"/>
  <c r="AS23" i="14"/>
  <c r="AR23" i="14"/>
  <c r="AQ23" i="14"/>
  <c r="AX16" i="14"/>
  <c r="AW16" i="14"/>
  <c r="AU16" i="14"/>
  <c r="AT16" i="14"/>
  <c r="AS16" i="14"/>
  <c r="AR16" i="14"/>
  <c r="AQ16" i="14"/>
  <c r="AX11" i="14"/>
  <c r="AW11" i="14"/>
  <c r="AU11" i="14"/>
  <c r="AT11" i="14"/>
  <c r="AS11" i="14"/>
  <c r="AR11" i="14"/>
  <c r="AQ11" i="14"/>
  <c r="AX17" i="14"/>
  <c r="AW17" i="14"/>
  <c r="AU17" i="14"/>
  <c r="AT17" i="14"/>
  <c r="AS17" i="14"/>
  <c r="AR17" i="14"/>
  <c r="AQ17" i="14"/>
  <c r="AX24" i="14"/>
  <c r="AW24" i="14"/>
  <c r="AU24" i="14"/>
  <c r="AT24" i="14"/>
  <c r="AS24" i="14"/>
  <c r="AR24" i="14"/>
  <c r="AQ24" i="14"/>
  <c r="AX21" i="14"/>
  <c r="AW21" i="14"/>
  <c r="AU21" i="14"/>
  <c r="AT21" i="14"/>
  <c r="AS21" i="14"/>
  <c r="AR21" i="14"/>
  <c r="AQ21" i="14"/>
  <c r="AX18" i="14"/>
  <c r="AW18" i="14"/>
  <c r="AU18" i="14"/>
  <c r="AT18" i="14"/>
  <c r="AS18" i="14"/>
  <c r="AR18" i="14"/>
  <c r="AQ18" i="14"/>
  <c r="AX20" i="14"/>
  <c r="AW20" i="14"/>
  <c r="AU20" i="14"/>
  <c r="AT20" i="14"/>
  <c r="AS20" i="14"/>
  <c r="AR20" i="14"/>
  <c r="AQ20" i="14"/>
  <c r="AX26" i="14"/>
  <c r="AW26" i="14"/>
  <c r="AU26" i="14"/>
  <c r="AT26" i="14"/>
  <c r="AS26" i="14"/>
  <c r="AR26" i="14"/>
  <c r="AQ26" i="14"/>
  <c r="AX13" i="14"/>
  <c r="AW13" i="14"/>
  <c r="AU13" i="14"/>
  <c r="AT13" i="14"/>
  <c r="AS13" i="14"/>
  <c r="AR13" i="14"/>
  <c r="AQ13" i="14"/>
  <c r="AX15" i="14"/>
  <c r="AW15" i="14"/>
  <c r="AU15" i="14"/>
  <c r="AT15" i="14"/>
  <c r="AS15" i="14"/>
  <c r="AR15" i="14"/>
  <c r="AQ15" i="14"/>
  <c r="AX22" i="14"/>
  <c r="AW22" i="14"/>
  <c r="AU22" i="14"/>
  <c r="AT22" i="14"/>
  <c r="AS22" i="14"/>
  <c r="AR22" i="14"/>
  <c r="AQ22" i="14"/>
  <c r="AX12" i="14"/>
  <c r="AW12" i="14"/>
  <c r="AU12" i="14"/>
  <c r="AT12" i="14"/>
  <c r="AS12" i="14"/>
  <c r="AR12" i="14"/>
  <c r="AQ12" i="14"/>
  <c r="AX14" i="14"/>
  <c r="AW14" i="14"/>
  <c r="AU14" i="14"/>
  <c r="AT14" i="14"/>
  <c r="AS14" i="14"/>
  <c r="AR14" i="14"/>
  <c r="AQ14" i="14"/>
  <c r="AX10" i="14"/>
  <c r="AW10" i="14"/>
  <c r="AU10" i="14"/>
  <c r="AT10" i="14"/>
  <c r="AS10" i="14"/>
  <c r="AR10" i="14"/>
  <c r="AQ10" i="14"/>
  <c r="AX9" i="14"/>
  <c r="AW9" i="14"/>
  <c r="AU9" i="14"/>
  <c r="AT9" i="14"/>
  <c r="AS9" i="14"/>
  <c r="AR9" i="14"/>
  <c r="AQ9" i="14"/>
  <c r="AX7" i="14"/>
  <c r="AW7" i="14"/>
  <c r="AU7" i="14"/>
  <c r="AT7" i="14"/>
  <c r="AS7" i="14"/>
  <c r="AR7" i="14"/>
  <c r="AQ7" i="14"/>
  <c r="AX6" i="14"/>
  <c r="AW6" i="14"/>
  <c r="AU6" i="14"/>
  <c r="AT6" i="14"/>
  <c r="AS6" i="14"/>
  <c r="AR6" i="14"/>
  <c r="AQ6" i="14"/>
  <c r="AX5" i="14"/>
  <c r="AW5" i="14"/>
  <c r="AU5" i="14"/>
  <c r="AT5" i="14"/>
  <c r="AS5" i="14"/>
  <c r="AR5" i="14"/>
  <c r="AQ5" i="14"/>
  <c r="AX4" i="14"/>
  <c r="AW4" i="14"/>
  <c r="AU4" i="14"/>
  <c r="AT4" i="14"/>
  <c r="AS4" i="14"/>
  <c r="AR4" i="14"/>
  <c r="AQ4" i="14"/>
  <c r="CB19" i="4"/>
  <c r="CA19" i="4"/>
  <c r="BY19" i="4"/>
  <c r="BX19" i="4"/>
  <c r="BW19" i="4"/>
  <c r="BV19" i="4"/>
  <c r="BU19" i="4"/>
  <c r="CB20" i="4"/>
  <c r="CA20" i="4"/>
  <c r="BY20" i="4"/>
  <c r="BX20" i="4"/>
  <c r="BW20" i="4"/>
  <c r="BV20" i="4"/>
  <c r="BU20" i="4"/>
  <c r="CB16" i="4"/>
  <c r="CA16" i="4"/>
  <c r="BY16" i="4"/>
  <c r="BX16" i="4"/>
  <c r="BW16" i="4"/>
  <c r="BV16" i="4"/>
  <c r="BU16" i="4"/>
  <c r="CB21" i="4"/>
  <c r="CA21" i="4"/>
  <c r="BY21" i="4"/>
  <c r="BX21" i="4"/>
  <c r="BW21" i="4"/>
  <c r="BV21" i="4"/>
  <c r="BU21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2" i="4"/>
  <c r="CA12" i="4"/>
  <c r="BY12" i="4"/>
  <c r="BX12" i="4"/>
  <c r="BW12" i="4"/>
  <c r="BV12" i="4"/>
  <c r="BU12" i="4"/>
  <c r="CB11" i="4"/>
  <c r="CA11" i="4"/>
  <c r="BY11" i="4"/>
  <c r="BX11" i="4"/>
  <c r="BW11" i="4"/>
  <c r="BV11" i="4"/>
  <c r="BU11" i="4"/>
  <c r="CB10" i="4"/>
  <c r="CA10" i="4"/>
  <c r="BY10" i="4"/>
  <c r="BX10" i="4"/>
  <c r="BW10" i="4"/>
  <c r="BV10" i="4"/>
  <c r="BU10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19" i="4"/>
  <c r="AW19" i="4"/>
  <c r="AU19" i="4"/>
  <c r="AT19" i="4"/>
  <c r="AS19" i="4"/>
  <c r="AR19" i="4"/>
  <c r="AQ19" i="4"/>
  <c r="AX20" i="4"/>
  <c r="AW20" i="4"/>
  <c r="AU20" i="4"/>
  <c r="AT20" i="4"/>
  <c r="AS20" i="4"/>
  <c r="AR20" i="4"/>
  <c r="AQ20" i="4"/>
  <c r="AX16" i="4"/>
  <c r="AW16" i="4"/>
  <c r="AU16" i="4"/>
  <c r="AT16" i="4"/>
  <c r="AS16" i="4"/>
  <c r="AR16" i="4"/>
  <c r="AQ16" i="4"/>
  <c r="AX21" i="4"/>
  <c r="AW21" i="4"/>
  <c r="AU21" i="4"/>
  <c r="AT21" i="4"/>
  <c r="AS21" i="4"/>
  <c r="AR21" i="4"/>
  <c r="AQ21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8" i="4"/>
  <c r="AW18" i="4"/>
  <c r="AU18" i="4"/>
  <c r="AT18" i="4"/>
  <c r="AS18" i="4"/>
  <c r="AR18" i="4"/>
  <c r="AQ18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2" i="4"/>
  <c r="AW12" i="4"/>
  <c r="AU12" i="4"/>
  <c r="AT12" i="4"/>
  <c r="AS12" i="4"/>
  <c r="AR12" i="4"/>
  <c r="AQ12" i="4"/>
  <c r="AX11" i="4"/>
  <c r="AW11" i="4"/>
  <c r="AU11" i="4"/>
  <c r="AT11" i="4"/>
  <c r="AS11" i="4"/>
  <c r="AR11" i="4"/>
  <c r="AQ11" i="4"/>
  <c r="AX10" i="4"/>
  <c r="AW10" i="4"/>
  <c r="AU10" i="4"/>
  <c r="AT10" i="4"/>
  <c r="AS10" i="4"/>
  <c r="AR10" i="4"/>
  <c r="AQ10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CY8" i="14"/>
  <c r="CZ8" i="14"/>
  <c r="DA8" i="14"/>
  <c r="DB8" i="14"/>
  <c r="DC8" i="14"/>
  <c r="DE8" i="14"/>
  <c r="DF8" i="14"/>
  <c r="EA8" i="14"/>
  <c r="EB8" i="14"/>
  <c r="EC8" i="14"/>
  <c r="EE8" i="14"/>
  <c r="EF8" i="14"/>
  <c r="EW8" i="14"/>
  <c r="EX8" i="14"/>
  <c r="EY8" i="14"/>
  <c r="FA8" i="14"/>
  <c r="FB8" i="14"/>
  <c r="FS8" i="14"/>
  <c r="FT8" i="14"/>
  <c r="FU8" i="14"/>
  <c r="FW8" i="14"/>
  <c r="FX8" i="14"/>
  <c r="GO8" i="14"/>
  <c r="GP8" i="14"/>
  <c r="GQ8" i="14"/>
  <c r="GS8" i="14"/>
  <c r="GT8" i="14"/>
  <c r="HK8" i="14"/>
  <c r="HL8" i="14"/>
  <c r="HM8" i="14"/>
  <c r="HO8" i="14"/>
  <c r="HP8" i="14"/>
  <c r="IG8" i="14"/>
  <c r="IH8" i="14"/>
  <c r="II8" i="14"/>
  <c r="IK8" i="14"/>
  <c r="IL8" i="14"/>
  <c r="JC8" i="14"/>
  <c r="JD8" i="14"/>
  <c r="JE8" i="14"/>
  <c r="JG8" i="14"/>
  <c r="JH8" i="14"/>
  <c r="JY8" i="14"/>
  <c r="JZ8" i="14"/>
  <c r="KA8" i="14"/>
  <c r="KC8" i="14"/>
  <c r="KD8" i="14"/>
  <c r="KU8" i="14"/>
  <c r="KV8" i="14"/>
  <c r="KW8" i="14"/>
  <c r="KY8" i="14"/>
  <c r="KZ8" i="14"/>
  <c r="LQ8" i="14"/>
  <c r="LR8" i="14"/>
  <c r="LS8" i="14"/>
  <c r="LU8" i="14"/>
  <c r="LV8" i="14"/>
  <c r="MM8" i="14"/>
  <c r="MN8" i="14"/>
  <c r="MO8" i="14"/>
  <c r="MQ8" i="14"/>
  <c r="MR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BZ13" i="12"/>
  <c r="CA13" i="12"/>
  <c r="CB13" i="12"/>
  <c r="CC13" i="12"/>
  <c r="CW13" i="12"/>
  <c r="CX13" i="12"/>
  <c r="CY13" i="12"/>
  <c r="CZ13" i="12"/>
  <c r="DR13" i="12"/>
  <c r="DS13" i="12"/>
  <c r="DT13" i="12"/>
  <c r="DU13" i="12"/>
  <c r="EM13" i="12"/>
  <c r="EN13" i="12"/>
  <c r="EO13" i="12"/>
  <c r="EP13" i="12"/>
  <c r="FH13" i="12"/>
  <c r="FI13" i="12"/>
  <c r="FJ13" i="12"/>
  <c r="FK13" i="12"/>
  <c r="GC13" i="12"/>
  <c r="GD13" i="12"/>
  <c r="GE13" i="12"/>
  <c r="GF13" i="12"/>
  <c r="GX13" i="12"/>
  <c r="GY13" i="12"/>
  <c r="GZ13" i="12"/>
  <c r="HA13" i="12"/>
  <c r="HS13" i="12"/>
  <c r="HT13" i="12"/>
  <c r="HU13" i="12"/>
  <c r="HV13" i="12"/>
  <c r="IN13" i="12"/>
  <c r="IO13" i="12"/>
  <c r="IP13" i="12"/>
  <c r="IQ13" i="12"/>
  <c r="JI13" i="12"/>
  <c r="JJ13" i="12"/>
  <c r="JK13" i="12"/>
  <c r="JL13" i="12"/>
  <c r="KD13" i="12"/>
  <c r="KE13" i="12"/>
  <c r="KF13" i="12"/>
  <c r="KG13" i="12"/>
  <c r="KY13" i="12"/>
  <c r="KZ13" i="12"/>
  <c r="LA13" i="12"/>
  <c r="LB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20" i="6"/>
  <c r="CA20" i="6"/>
  <c r="CB20" i="6"/>
  <c r="CC20" i="6"/>
  <c r="CW20" i="6"/>
  <c r="CX20" i="6"/>
  <c r="CY20" i="6"/>
  <c r="CZ20" i="6"/>
  <c r="DR20" i="6"/>
  <c r="DS20" i="6"/>
  <c r="DT20" i="6"/>
  <c r="DU20" i="6"/>
  <c r="EM20" i="6"/>
  <c r="EN20" i="6"/>
  <c r="EO20" i="6"/>
  <c r="EP20" i="6"/>
  <c r="FH20" i="6"/>
  <c r="FI20" i="6"/>
  <c r="FJ20" i="6"/>
  <c r="FK20" i="6"/>
  <c r="GC20" i="6"/>
  <c r="GD20" i="6"/>
  <c r="GE20" i="6"/>
  <c r="GF20" i="6"/>
  <c r="GX20" i="6"/>
  <c r="GY20" i="6"/>
  <c r="GZ20" i="6"/>
  <c r="HA20" i="6"/>
  <c r="HS20" i="6"/>
  <c r="HT20" i="6"/>
  <c r="HU20" i="6"/>
  <c r="HV20" i="6"/>
  <c r="IN20" i="6"/>
  <c r="IO20" i="6"/>
  <c r="IP20" i="6"/>
  <c r="IQ20" i="6"/>
  <c r="JI20" i="6"/>
  <c r="JJ20" i="6"/>
  <c r="JK20" i="6"/>
  <c r="JL20" i="6"/>
  <c r="KD20" i="6"/>
  <c r="KE20" i="6"/>
  <c r="KF20" i="6"/>
  <c r="KG20" i="6"/>
  <c r="KY20" i="6"/>
  <c r="KZ20" i="6"/>
  <c r="LA20" i="6"/>
  <c r="LB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BZ15" i="6"/>
  <c r="CA15" i="6"/>
  <c r="CB15" i="6"/>
  <c r="CC15" i="6"/>
  <c r="CW15" i="6"/>
  <c r="CX15" i="6"/>
  <c r="CY15" i="6"/>
  <c r="CZ15" i="6"/>
  <c r="DR15" i="6"/>
  <c r="DS15" i="6"/>
  <c r="DT15" i="6"/>
  <c r="DU15" i="6"/>
  <c r="EM15" i="6"/>
  <c r="EN15" i="6"/>
  <c r="EO15" i="6"/>
  <c r="EP15" i="6"/>
  <c r="FH15" i="6"/>
  <c r="FI15" i="6"/>
  <c r="FJ15" i="6"/>
  <c r="FK15" i="6"/>
  <c r="GC15" i="6"/>
  <c r="GD15" i="6"/>
  <c r="GE15" i="6"/>
  <c r="GF15" i="6"/>
  <c r="GX15" i="6"/>
  <c r="GY15" i="6"/>
  <c r="GZ15" i="6"/>
  <c r="HA15" i="6"/>
  <c r="HS15" i="6"/>
  <c r="HT15" i="6"/>
  <c r="HU15" i="6"/>
  <c r="HV15" i="6"/>
  <c r="IN15" i="6"/>
  <c r="IO15" i="6"/>
  <c r="IP15" i="6"/>
  <c r="IQ15" i="6"/>
  <c r="JI15" i="6"/>
  <c r="JJ15" i="6"/>
  <c r="JK15" i="6"/>
  <c r="JL15" i="6"/>
  <c r="KD15" i="6"/>
  <c r="KE15" i="6"/>
  <c r="KF15" i="6"/>
  <c r="KG15" i="6"/>
  <c r="KY15" i="6"/>
  <c r="KZ15" i="6"/>
  <c r="LA15" i="6"/>
  <c r="LB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16" i="6"/>
  <c r="CA16" i="6"/>
  <c r="CB16" i="6"/>
  <c r="CC16" i="6"/>
  <c r="CW16" i="6"/>
  <c r="CX16" i="6"/>
  <c r="CY16" i="6"/>
  <c r="CZ16" i="6"/>
  <c r="DR16" i="6"/>
  <c r="DS16" i="6"/>
  <c r="DT16" i="6"/>
  <c r="DU16" i="6"/>
  <c r="EM16" i="6"/>
  <c r="EN16" i="6"/>
  <c r="EO16" i="6"/>
  <c r="EP16" i="6"/>
  <c r="FH16" i="6"/>
  <c r="FI16" i="6"/>
  <c r="FJ16" i="6"/>
  <c r="FK16" i="6"/>
  <c r="GC16" i="6"/>
  <c r="GD16" i="6"/>
  <c r="GE16" i="6"/>
  <c r="GF16" i="6"/>
  <c r="GX16" i="6"/>
  <c r="GY16" i="6"/>
  <c r="GZ16" i="6"/>
  <c r="HA16" i="6"/>
  <c r="HS16" i="6"/>
  <c r="HT16" i="6"/>
  <c r="HU16" i="6"/>
  <c r="HV16" i="6"/>
  <c r="IN16" i="6"/>
  <c r="IO16" i="6"/>
  <c r="IP16" i="6"/>
  <c r="IQ16" i="6"/>
  <c r="JI16" i="6"/>
  <c r="JJ16" i="6"/>
  <c r="JK16" i="6"/>
  <c r="JL16" i="6"/>
  <c r="KD16" i="6"/>
  <c r="KE16" i="6"/>
  <c r="KF16" i="6"/>
  <c r="KG16" i="6"/>
  <c r="KY16" i="6"/>
  <c r="KZ16" i="6"/>
  <c r="LA16" i="6"/>
  <c r="LB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BZ9" i="6"/>
  <c r="CA9" i="6"/>
  <c r="CB9" i="6"/>
  <c r="CC9" i="6"/>
  <c r="CW9" i="6"/>
  <c r="CX9" i="6"/>
  <c r="CY9" i="6"/>
  <c r="CZ9" i="6"/>
  <c r="DR9" i="6"/>
  <c r="DS9" i="6"/>
  <c r="DT9" i="6"/>
  <c r="DU9" i="6"/>
  <c r="EM9" i="6"/>
  <c r="EN9" i="6"/>
  <c r="EO9" i="6"/>
  <c r="EP9" i="6"/>
  <c r="FH9" i="6"/>
  <c r="FI9" i="6"/>
  <c r="FJ9" i="6"/>
  <c r="FK9" i="6"/>
  <c r="GC9" i="6"/>
  <c r="GD9" i="6"/>
  <c r="GE9" i="6"/>
  <c r="GF9" i="6"/>
  <c r="GX9" i="6"/>
  <c r="GY9" i="6"/>
  <c r="GZ9" i="6"/>
  <c r="HA9" i="6"/>
  <c r="HS9" i="6"/>
  <c r="HT9" i="6"/>
  <c r="HU9" i="6"/>
  <c r="HV9" i="6"/>
  <c r="IN9" i="6"/>
  <c r="IO9" i="6"/>
  <c r="IP9" i="6"/>
  <c r="IQ9" i="6"/>
  <c r="JI9" i="6"/>
  <c r="JJ9" i="6"/>
  <c r="JK9" i="6"/>
  <c r="JL9" i="6"/>
  <c r="KD9" i="6"/>
  <c r="KE9" i="6"/>
  <c r="KF9" i="6"/>
  <c r="KG9" i="6"/>
  <c r="KY9" i="6"/>
  <c r="KZ9" i="6"/>
  <c r="LA9" i="6"/>
  <c r="LB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2" i="8"/>
  <c r="CA12" i="8"/>
  <c r="CB12" i="8"/>
  <c r="CC12" i="8"/>
  <c r="CW12" i="8"/>
  <c r="CX12" i="8"/>
  <c r="CY12" i="8"/>
  <c r="CZ12" i="8"/>
  <c r="DR12" i="8"/>
  <c r="DS12" i="8"/>
  <c r="DT12" i="8"/>
  <c r="DU12" i="8"/>
  <c r="EM12" i="8"/>
  <c r="EN12" i="8"/>
  <c r="EO12" i="8"/>
  <c r="EP12" i="8"/>
  <c r="FH12" i="8"/>
  <c r="FI12" i="8"/>
  <c r="FJ12" i="8"/>
  <c r="FK12" i="8"/>
  <c r="GC12" i="8"/>
  <c r="GD12" i="8"/>
  <c r="GE12" i="8"/>
  <c r="GF12" i="8"/>
  <c r="GX12" i="8"/>
  <c r="GY12" i="8"/>
  <c r="GZ12" i="8"/>
  <c r="HA12" i="8"/>
  <c r="HS12" i="8"/>
  <c r="HT12" i="8"/>
  <c r="HU12" i="8"/>
  <c r="HV12" i="8"/>
  <c r="IN12" i="8"/>
  <c r="IO12" i="8"/>
  <c r="IP12" i="8"/>
  <c r="IQ12" i="8"/>
  <c r="JI12" i="8"/>
  <c r="JJ12" i="8"/>
  <c r="JK12" i="8"/>
  <c r="JL12" i="8"/>
  <c r="KD12" i="8"/>
  <c r="KE12" i="8"/>
  <c r="KF12" i="8"/>
  <c r="KG12" i="8"/>
  <c r="KY12" i="8"/>
  <c r="KZ12" i="8"/>
  <c r="LA12" i="8"/>
  <c r="LB12" i="8"/>
  <c r="LT12" i="8"/>
  <c r="LU12" i="8"/>
  <c r="LV12" i="8"/>
  <c r="LW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BZ8" i="7"/>
  <c r="CA8" i="7"/>
  <c r="CB8" i="7"/>
  <c r="CC8" i="7"/>
  <c r="CW8" i="7"/>
  <c r="CX8" i="7"/>
  <c r="CY8" i="7"/>
  <c r="CZ8" i="7"/>
  <c r="DR8" i="7"/>
  <c r="DS8" i="7"/>
  <c r="DT8" i="7"/>
  <c r="DU8" i="7"/>
  <c r="EM8" i="7"/>
  <c r="EN8" i="7"/>
  <c r="EO8" i="7"/>
  <c r="EP8" i="7"/>
  <c r="FH8" i="7"/>
  <c r="FI8" i="7"/>
  <c r="FJ8" i="7"/>
  <c r="FK8" i="7"/>
  <c r="GC8" i="7"/>
  <c r="GD8" i="7"/>
  <c r="GE8" i="7"/>
  <c r="GF8" i="7"/>
  <c r="GX8" i="7"/>
  <c r="GY8" i="7"/>
  <c r="GZ8" i="7"/>
  <c r="HA8" i="7"/>
  <c r="HS8" i="7"/>
  <c r="HT8" i="7"/>
  <c r="HU8" i="7"/>
  <c r="HV8" i="7"/>
  <c r="IN8" i="7"/>
  <c r="IO8" i="7"/>
  <c r="IQ8" i="7"/>
  <c r="JI8" i="7"/>
  <c r="JJ8" i="7"/>
  <c r="JK8" i="7"/>
  <c r="JL8" i="7"/>
  <c r="KD8" i="7"/>
  <c r="KE8" i="7"/>
  <c r="KF8" i="7"/>
  <c r="KG8" i="7"/>
  <c r="KY8" i="7"/>
  <c r="KZ8" i="7"/>
  <c r="LA8" i="7"/>
  <c r="LB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BZ10" i="7"/>
  <c r="CA10" i="7"/>
  <c r="CB10" i="7"/>
  <c r="CC10" i="7"/>
  <c r="CW10" i="7"/>
  <c r="CX10" i="7"/>
  <c r="CY10" i="7"/>
  <c r="CZ10" i="7"/>
  <c r="DR10" i="7"/>
  <c r="DS10" i="7"/>
  <c r="DT10" i="7"/>
  <c r="DU10" i="7"/>
  <c r="EM10" i="7"/>
  <c r="EN10" i="7"/>
  <c r="EO10" i="7"/>
  <c r="EP10" i="7"/>
  <c r="FH10" i="7"/>
  <c r="FI10" i="7"/>
  <c r="FJ10" i="7"/>
  <c r="FK10" i="7"/>
  <c r="GC10" i="7"/>
  <c r="GD10" i="7"/>
  <c r="GE10" i="7"/>
  <c r="GF10" i="7"/>
  <c r="GX10" i="7"/>
  <c r="GY10" i="7"/>
  <c r="GZ10" i="7"/>
  <c r="HA10" i="7"/>
  <c r="HS10" i="7"/>
  <c r="HT10" i="7"/>
  <c r="HU10" i="7"/>
  <c r="HV10" i="7"/>
  <c r="IN10" i="7"/>
  <c r="IO10" i="7"/>
  <c r="IQ10" i="7"/>
  <c r="JI10" i="7"/>
  <c r="JJ10" i="7"/>
  <c r="JK10" i="7"/>
  <c r="JL10" i="7"/>
  <c r="KD10" i="7"/>
  <c r="KE10" i="7"/>
  <c r="KF10" i="7"/>
  <c r="KG10" i="7"/>
  <c r="KY10" i="7"/>
  <c r="KZ10" i="7"/>
  <c r="LA10" i="7"/>
  <c r="LB10" i="7"/>
  <c r="LT10" i="7"/>
  <c r="LU10" i="7"/>
  <c r="LV10" i="7"/>
  <c r="LW10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CY19" i="14"/>
  <c r="CZ19" i="14"/>
  <c r="DA19" i="14"/>
  <c r="DB19" i="14"/>
  <c r="DC19" i="14"/>
  <c r="DE19" i="14"/>
  <c r="DF19" i="14"/>
  <c r="EA19" i="14"/>
  <c r="EB19" i="14"/>
  <c r="EC19" i="14"/>
  <c r="EE19" i="14"/>
  <c r="EF19" i="14"/>
  <c r="EW19" i="14"/>
  <c r="EX19" i="14"/>
  <c r="EY19" i="14"/>
  <c r="FA19" i="14"/>
  <c r="FB19" i="14"/>
  <c r="FS19" i="14"/>
  <c r="FT19" i="14"/>
  <c r="FU19" i="14"/>
  <c r="FW19" i="14"/>
  <c r="FX19" i="14"/>
  <c r="GO19" i="14"/>
  <c r="GP19" i="14"/>
  <c r="GQ19" i="14"/>
  <c r="GS19" i="14"/>
  <c r="GT19" i="14"/>
  <c r="HK19" i="14"/>
  <c r="HL19" i="14"/>
  <c r="HM19" i="14"/>
  <c r="HO19" i="14"/>
  <c r="HP19" i="14"/>
  <c r="IG19" i="14"/>
  <c r="IH19" i="14"/>
  <c r="II19" i="14"/>
  <c r="IK19" i="14"/>
  <c r="IL19" i="14"/>
  <c r="JC19" i="14"/>
  <c r="JD19" i="14"/>
  <c r="JE19" i="14"/>
  <c r="JG19" i="14"/>
  <c r="JH19" i="14"/>
  <c r="JY19" i="14"/>
  <c r="JZ19" i="14"/>
  <c r="KA19" i="14"/>
  <c r="KC19" i="14"/>
  <c r="KD19" i="14"/>
  <c r="KU19" i="14"/>
  <c r="KV19" i="14"/>
  <c r="KW19" i="14"/>
  <c r="KY19" i="14"/>
  <c r="KZ19" i="14"/>
  <c r="LQ19" i="14"/>
  <c r="LR19" i="14"/>
  <c r="LS19" i="14"/>
  <c r="LU19" i="14"/>
  <c r="LV19" i="14"/>
  <c r="MM19" i="14"/>
  <c r="MN19" i="14"/>
  <c r="MO19" i="14"/>
  <c r="MQ19" i="14"/>
  <c r="MR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CY25" i="14"/>
  <c r="CZ25" i="14"/>
  <c r="DA25" i="14"/>
  <c r="DB25" i="14"/>
  <c r="DC25" i="14"/>
  <c r="DE25" i="14"/>
  <c r="DF25" i="14"/>
  <c r="EA25" i="14"/>
  <c r="EB25" i="14"/>
  <c r="EC25" i="14"/>
  <c r="EE25" i="14"/>
  <c r="EF25" i="14"/>
  <c r="EW25" i="14"/>
  <c r="EX25" i="14"/>
  <c r="EY25" i="14"/>
  <c r="FA25" i="14"/>
  <c r="FB25" i="14"/>
  <c r="FS25" i="14"/>
  <c r="FT25" i="14"/>
  <c r="FU25" i="14"/>
  <c r="FW25" i="14"/>
  <c r="FX25" i="14"/>
  <c r="GO25" i="14"/>
  <c r="GP25" i="14"/>
  <c r="GQ25" i="14"/>
  <c r="GS25" i="14"/>
  <c r="GT25" i="14"/>
  <c r="HK25" i="14"/>
  <c r="HL25" i="14"/>
  <c r="HM25" i="14"/>
  <c r="HO25" i="14"/>
  <c r="HP25" i="14"/>
  <c r="IG25" i="14"/>
  <c r="IH25" i="14"/>
  <c r="II25" i="14"/>
  <c r="IK25" i="14"/>
  <c r="IL25" i="14"/>
  <c r="JC25" i="14"/>
  <c r="JD25" i="14"/>
  <c r="JE25" i="14"/>
  <c r="JG25" i="14"/>
  <c r="JH25" i="14"/>
  <c r="JY25" i="14"/>
  <c r="JZ25" i="14"/>
  <c r="KA25" i="14"/>
  <c r="KC25" i="14"/>
  <c r="KD25" i="14"/>
  <c r="KU25" i="14"/>
  <c r="KV25" i="14"/>
  <c r="KW25" i="14"/>
  <c r="KY25" i="14"/>
  <c r="KZ25" i="14"/>
  <c r="LQ25" i="14"/>
  <c r="LR25" i="14"/>
  <c r="LS25" i="14"/>
  <c r="LU25" i="14"/>
  <c r="LV25" i="14"/>
  <c r="MM25" i="14"/>
  <c r="MN25" i="14"/>
  <c r="MO25" i="14"/>
  <c r="MQ25" i="14"/>
  <c r="MR25" i="14"/>
  <c r="NI25" i="14"/>
  <c r="NJ25" i="14"/>
  <c r="NK25" i="14"/>
  <c r="NM25" i="14"/>
  <c r="NN25" i="14"/>
  <c r="NP25" i="14"/>
  <c r="NQ25" i="14"/>
  <c r="NR25" i="14"/>
  <c r="NS25" i="14"/>
  <c r="NT25" i="14"/>
  <c r="NU25" i="14"/>
  <c r="NV25" i="14"/>
  <c r="NW25" i="14"/>
  <c r="OL25" i="14" s="1"/>
  <c r="NX25" i="14"/>
  <c r="NY25" i="14"/>
  <c r="NZ25" i="14"/>
  <c r="OA25" i="14"/>
  <c r="OB25" i="14"/>
  <c r="ON25" i="14" s="1"/>
  <c r="OC25" i="14"/>
  <c r="OD25" i="14"/>
  <c r="OE25" i="14"/>
  <c r="OF25" i="14"/>
  <c r="OG25" i="14"/>
  <c r="OQ25" i="14" s="1"/>
  <c r="OH25" i="14"/>
  <c r="OI25" i="14"/>
  <c r="CY23" i="14"/>
  <c r="CZ23" i="14"/>
  <c r="DA23" i="14"/>
  <c r="DB23" i="14"/>
  <c r="DC23" i="14"/>
  <c r="DE23" i="14"/>
  <c r="DF23" i="14"/>
  <c r="EA23" i="14"/>
  <c r="EB23" i="14"/>
  <c r="EC23" i="14"/>
  <c r="EE23" i="14"/>
  <c r="EF23" i="14"/>
  <c r="EW23" i="14"/>
  <c r="EX23" i="14"/>
  <c r="EY23" i="14"/>
  <c r="FA23" i="14"/>
  <c r="FB23" i="14"/>
  <c r="FS23" i="14"/>
  <c r="FT23" i="14"/>
  <c r="FU23" i="14"/>
  <c r="FW23" i="14"/>
  <c r="FX23" i="14"/>
  <c r="GO23" i="14"/>
  <c r="GP23" i="14"/>
  <c r="GQ23" i="14"/>
  <c r="GS23" i="14"/>
  <c r="GT23" i="14"/>
  <c r="HK23" i="14"/>
  <c r="HL23" i="14"/>
  <c r="HM23" i="14"/>
  <c r="HO23" i="14"/>
  <c r="HP23" i="14"/>
  <c r="IG23" i="14"/>
  <c r="IH23" i="14"/>
  <c r="II23" i="14"/>
  <c r="IK23" i="14"/>
  <c r="IL23" i="14"/>
  <c r="JC23" i="14"/>
  <c r="JD23" i="14"/>
  <c r="JE23" i="14"/>
  <c r="JG23" i="14"/>
  <c r="JH23" i="14"/>
  <c r="JY23" i="14"/>
  <c r="JZ23" i="14"/>
  <c r="KA23" i="14"/>
  <c r="KC23" i="14"/>
  <c r="KD23" i="14"/>
  <c r="KU23" i="14"/>
  <c r="KV23" i="14"/>
  <c r="KW23" i="14"/>
  <c r="KY23" i="14"/>
  <c r="KZ23" i="14"/>
  <c r="LQ23" i="14"/>
  <c r="LR23" i="14"/>
  <c r="LS23" i="14"/>
  <c r="LU23" i="14"/>
  <c r="LV23" i="14"/>
  <c r="MM23" i="14"/>
  <c r="MN23" i="14"/>
  <c r="MO23" i="14"/>
  <c r="MQ23" i="14"/>
  <c r="MR23" i="14"/>
  <c r="NI23" i="14"/>
  <c r="NJ23" i="14"/>
  <c r="NK23" i="14"/>
  <c r="NM23" i="14"/>
  <c r="NN23" i="14"/>
  <c r="NP23" i="14"/>
  <c r="NQ23" i="14"/>
  <c r="NR23" i="14"/>
  <c r="NS23" i="14"/>
  <c r="NT23" i="14"/>
  <c r="NU23" i="14"/>
  <c r="NV23" i="14"/>
  <c r="NW23" i="14"/>
  <c r="OL23" i="14" s="1"/>
  <c r="NX23" i="14"/>
  <c r="NY23" i="14"/>
  <c r="NZ23" i="14"/>
  <c r="OA23" i="14"/>
  <c r="OB23" i="14"/>
  <c r="ON23" i="14" s="1"/>
  <c r="OC23" i="14"/>
  <c r="OD23" i="14"/>
  <c r="OE23" i="14"/>
  <c r="OF23" i="14"/>
  <c r="OG23" i="14"/>
  <c r="OQ23" i="14" s="1"/>
  <c r="OH23" i="14"/>
  <c r="OI23" i="14"/>
  <c r="CY16" i="14"/>
  <c r="CZ16" i="14"/>
  <c r="DA16" i="14"/>
  <c r="DB16" i="14"/>
  <c r="DC16" i="14"/>
  <c r="DE16" i="14"/>
  <c r="DF16" i="14"/>
  <c r="EA16" i="14"/>
  <c r="EB16" i="14"/>
  <c r="EC16" i="14"/>
  <c r="EE16" i="14"/>
  <c r="EF16" i="14"/>
  <c r="EW16" i="14"/>
  <c r="EX16" i="14"/>
  <c r="EY16" i="14"/>
  <c r="FA16" i="14"/>
  <c r="FB16" i="14"/>
  <c r="FS16" i="14"/>
  <c r="FT16" i="14"/>
  <c r="FU16" i="14"/>
  <c r="FW16" i="14"/>
  <c r="FX16" i="14"/>
  <c r="GO16" i="14"/>
  <c r="GP16" i="14"/>
  <c r="GQ16" i="14"/>
  <c r="GS16" i="14"/>
  <c r="GT16" i="14"/>
  <c r="HK16" i="14"/>
  <c r="HL16" i="14"/>
  <c r="HM16" i="14"/>
  <c r="HO16" i="14"/>
  <c r="HP16" i="14"/>
  <c r="IG16" i="14"/>
  <c r="IH16" i="14"/>
  <c r="II16" i="14"/>
  <c r="IK16" i="14"/>
  <c r="IL16" i="14"/>
  <c r="JC16" i="14"/>
  <c r="JD16" i="14"/>
  <c r="JE16" i="14"/>
  <c r="JG16" i="14"/>
  <c r="JH16" i="14"/>
  <c r="JY16" i="14"/>
  <c r="JZ16" i="14"/>
  <c r="KA16" i="14"/>
  <c r="KC16" i="14"/>
  <c r="KD16" i="14"/>
  <c r="KU16" i="14"/>
  <c r="KV16" i="14"/>
  <c r="KW16" i="14"/>
  <c r="KY16" i="14"/>
  <c r="KZ16" i="14"/>
  <c r="LQ16" i="14"/>
  <c r="LR16" i="14"/>
  <c r="LS16" i="14"/>
  <c r="LU16" i="14"/>
  <c r="LV16" i="14"/>
  <c r="MM16" i="14"/>
  <c r="MN16" i="14"/>
  <c r="MO16" i="14"/>
  <c r="MQ16" i="14"/>
  <c r="MR16" i="14"/>
  <c r="NI16" i="14"/>
  <c r="NJ16" i="14"/>
  <c r="NK16" i="14"/>
  <c r="NM16" i="14"/>
  <c r="NN16" i="14"/>
  <c r="NP16" i="14"/>
  <c r="NQ16" i="14"/>
  <c r="NR16" i="14"/>
  <c r="NS16" i="14"/>
  <c r="NT16" i="14"/>
  <c r="NU16" i="14"/>
  <c r="NV16" i="14"/>
  <c r="NW16" i="14"/>
  <c r="OL16" i="14" s="1"/>
  <c r="NX16" i="14"/>
  <c r="NY16" i="14"/>
  <c r="NZ16" i="14"/>
  <c r="OA16" i="14"/>
  <c r="OB16" i="14"/>
  <c r="ON16" i="14" s="1"/>
  <c r="OC16" i="14"/>
  <c r="OD16" i="14"/>
  <c r="OE16" i="14"/>
  <c r="OF16" i="14"/>
  <c r="OG16" i="14"/>
  <c r="OQ16" i="14" s="1"/>
  <c r="OH16" i="14"/>
  <c r="OI16" i="14"/>
  <c r="CY16" i="4"/>
  <c r="CZ16" i="4"/>
  <c r="DA16" i="4"/>
  <c r="DB16" i="4"/>
  <c r="DC16" i="4"/>
  <c r="DE16" i="4"/>
  <c r="DF16" i="4"/>
  <c r="EA16" i="4"/>
  <c r="EB16" i="4"/>
  <c r="EC16" i="4"/>
  <c r="EE16" i="4"/>
  <c r="EF16" i="4"/>
  <c r="EW16" i="4"/>
  <c r="EX16" i="4"/>
  <c r="EY16" i="4"/>
  <c r="FA16" i="4"/>
  <c r="FB16" i="4"/>
  <c r="FS16" i="4"/>
  <c r="FT16" i="4"/>
  <c r="FU16" i="4"/>
  <c r="FW16" i="4"/>
  <c r="FX16" i="4"/>
  <c r="GO16" i="4"/>
  <c r="GP16" i="4"/>
  <c r="GQ16" i="4"/>
  <c r="GS16" i="4"/>
  <c r="GT16" i="4"/>
  <c r="HK16" i="4"/>
  <c r="HL16" i="4"/>
  <c r="HM16" i="4"/>
  <c r="HO16" i="4"/>
  <c r="HP16" i="4"/>
  <c r="IG16" i="4"/>
  <c r="IH16" i="4"/>
  <c r="II16" i="4"/>
  <c r="IK16" i="4"/>
  <c r="IL16" i="4"/>
  <c r="JC16" i="4"/>
  <c r="JD16" i="4"/>
  <c r="JE16" i="4"/>
  <c r="JG16" i="4"/>
  <c r="JH16" i="4"/>
  <c r="JY16" i="4"/>
  <c r="JZ16" i="4"/>
  <c r="KA16" i="4"/>
  <c r="KC16" i="4"/>
  <c r="KD16" i="4"/>
  <c r="KU16" i="4"/>
  <c r="KV16" i="4"/>
  <c r="KW16" i="4"/>
  <c r="KY16" i="4"/>
  <c r="KZ16" i="4"/>
  <c r="LQ16" i="4"/>
  <c r="LR16" i="4"/>
  <c r="LS16" i="4"/>
  <c r="LU16" i="4"/>
  <c r="LV16" i="4"/>
  <c r="MM16" i="4"/>
  <c r="MN16" i="4"/>
  <c r="MO16" i="4"/>
  <c r="MQ16" i="4"/>
  <c r="MR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C16" i="4"/>
  <c r="OD16" i="4"/>
  <c r="OE16" i="4"/>
  <c r="OF16" i="4"/>
  <c r="OG16" i="4"/>
  <c r="OQ16" i="4" s="1"/>
  <c r="OH16" i="4"/>
  <c r="OI16" i="4"/>
  <c r="ON16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CY21" i="4"/>
  <c r="CZ21" i="4"/>
  <c r="DA21" i="4"/>
  <c r="DB21" i="4"/>
  <c r="DC21" i="4"/>
  <c r="DE21" i="4"/>
  <c r="DF21" i="4"/>
  <c r="EA21" i="4"/>
  <c r="EB21" i="4"/>
  <c r="EC21" i="4"/>
  <c r="EE21" i="4"/>
  <c r="EF21" i="4"/>
  <c r="EW21" i="4"/>
  <c r="EX21" i="4"/>
  <c r="EY21" i="4"/>
  <c r="FA21" i="4"/>
  <c r="FB21" i="4"/>
  <c r="FS21" i="4"/>
  <c r="FT21" i="4"/>
  <c r="FU21" i="4"/>
  <c r="FW21" i="4"/>
  <c r="FX21" i="4"/>
  <c r="GO21" i="4"/>
  <c r="GP21" i="4"/>
  <c r="GQ21" i="4"/>
  <c r="GS21" i="4"/>
  <c r="GT21" i="4"/>
  <c r="HK21" i="4"/>
  <c r="HL21" i="4"/>
  <c r="HM21" i="4"/>
  <c r="HO21" i="4"/>
  <c r="HP21" i="4"/>
  <c r="IG21" i="4"/>
  <c r="IH21" i="4"/>
  <c r="II21" i="4"/>
  <c r="IK21" i="4"/>
  <c r="IL21" i="4"/>
  <c r="JC21" i="4"/>
  <c r="JD21" i="4"/>
  <c r="JE21" i="4"/>
  <c r="JG21" i="4"/>
  <c r="JH21" i="4"/>
  <c r="JY21" i="4"/>
  <c r="JZ21" i="4"/>
  <c r="KA21" i="4"/>
  <c r="KC21" i="4"/>
  <c r="KD21" i="4"/>
  <c r="KU21" i="4"/>
  <c r="KV21" i="4"/>
  <c r="KW21" i="4"/>
  <c r="KY21" i="4"/>
  <c r="KZ21" i="4"/>
  <c r="LQ21" i="4"/>
  <c r="LR21" i="4"/>
  <c r="LS21" i="4"/>
  <c r="LU21" i="4"/>
  <c r="LV21" i="4"/>
  <c r="MM21" i="4"/>
  <c r="MN21" i="4"/>
  <c r="MO21" i="4"/>
  <c r="MQ21" i="4"/>
  <c r="MR21" i="4"/>
  <c r="NI21" i="4"/>
  <c r="NJ21" i="4"/>
  <c r="NK21" i="4"/>
  <c r="NL21" i="4" s="1"/>
  <c r="NM21" i="4"/>
  <c r="NN21" i="4"/>
  <c r="NP21" i="4"/>
  <c r="NQ21" i="4"/>
  <c r="NR21" i="4"/>
  <c r="NS21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CY18" i="4"/>
  <c r="CZ18" i="4"/>
  <c r="DA18" i="4"/>
  <c r="DB18" i="4"/>
  <c r="DC18" i="4"/>
  <c r="DE18" i="4"/>
  <c r="DF18" i="4"/>
  <c r="EA18" i="4"/>
  <c r="EB18" i="4"/>
  <c r="EC18" i="4"/>
  <c r="EE18" i="4"/>
  <c r="EF18" i="4"/>
  <c r="EW18" i="4"/>
  <c r="EX18" i="4"/>
  <c r="EY18" i="4"/>
  <c r="FA18" i="4"/>
  <c r="FB18" i="4"/>
  <c r="FS18" i="4"/>
  <c r="FT18" i="4"/>
  <c r="FU18" i="4"/>
  <c r="FW18" i="4"/>
  <c r="FX18" i="4"/>
  <c r="GO18" i="4"/>
  <c r="GP18" i="4"/>
  <c r="GQ18" i="4"/>
  <c r="GS18" i="4"/>
  <c r="GT18" i="4"/>
  <c r="HK18" i="4"/>
  <c r="HL18" i="4"/>
  <c r="HM18" i="4"/>
  <c r="HO18" i="4"/>
  <c r="HP18" i="4"/>
  <c r="IG18" i="4"/>
  <c r="IH18" i="4"/>
  <c r="II18" i="4"/>
  <c r="IK18" i="4"/>
  <c r="IL18" i="4"/>
  <c r="JC18" i="4"/>
  <c r="JD18" i="4"/>
  <c r="JE18" i="4"/>
  <c r="JG18" i="4"/>
  <c r="JH18" i="4"/>
  <c r="JY18" i="4"/>
  <c r="JZ18" i="4"/>
  <c r="KA18" i="4"/>
  <c r="KC18" i="4"/>
  <c r="KD18" i="4"/>
  <c r="KU18" i="4"/>
  <c r="KV18" i="4"/>
  <c r="KW18" i="4"/>
  <c r="KY18" i="4"/>
  <c r="KZ18" i="4"/>
  <c r="LQ18" i="4"/>
  <c r="LR18" i="4"/>
  <c r="LS18" i="4"/>
  <c r="LU18" i="4"/>
  <c r="LV18" i="4"/>
  <c r="MM18" i="4"/>
  <c r="MN18" i="4"/>
  <c r="MO18" i="4"/>
  <c r="MQ18" i="4"/>
  <c r="MR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KH10" i="7" l="1"/>
  <c r="LT19" i="14"/>
  <c r="EZ19" i="14"/>
  <c r="BZ22" i="14"/>
  <c r="BZ17" i="14"/>
  <c r="AL11" i="8"/>
  <c r="AL10" i="8"/>
  <c r="AL7" i="7"/>
  <c r="AL8" i="7"/>
  <c r="AL10" i="7"/>
  <c r="BH5" i="7"/>
  <c r="BH6" i="7"/>
  <c r="LT25" i="14"/>
  <c r="LX21" i="12"/>
  <c r="KH21" i="12"/>
  <c r="IR21" i="12"/>
  <c r="HB21" i="12"/>
  <c r="FL21" i="12"/>
  <c r="MR24" i="6"/>
  <c r="LC22" i="6"/>
  <c r="JM22" i="6"/>
  <c r="HW22" i="6"/>
  <c r="EQ22" i="6"/>
  <c r="LX24" i="6"/>
  <c r="KH24" i="6"/>
  <c r="IR24" i="6"/>
  <c r="FL24" i="6"/>
  <c r="DV24" i="6"/>
  <c r="CD24" i="6"/>
  <c r="AL24" i="6"/>
  <c r="IR13" i="8"/>
  <c r="CD13" i="8"/>
  <c r="IR8" i="7"/>
  <c r="HB8" i="7"/>
  <c r="HW10" i="7"/>
  <c r="GG10" i="7"/>
  <c r="EQ10" i="7"/>
  <c r="IJ27" i="14"/>
  <c r="IM27" i="14" s="1"/>
  <c r="BZ27" i="14"/>
  <c r="CC27" i="14" s="1"/>
  <c r="LT27" i="14"/>
  <c r="LW27" i="14" s="1"/>
  <c r="JF27" i="14"/>
  <c r="LC21" i="12"/>
  <c r="EQ21" i="12"/>
  <c r="CD21" i="12"/>
  <c r="DV21" i="12"/>
  <c r="GG21" i="12"/>
  <c r="AL20" i="12"/>
  <c r="AL8" i="12"/>
  <c r="AL11" i="12"/>
  <c r="AL18" i="12"/>
  <c r="AL10" i="12"/>
  <c r="AL19" i="12"/>
  <c r="BH15" i="12"/>
  <c r="BH17" i="12"/>
  <c r="BH12" i="12"/>
  <c r="BH13" i="12"/>
  <c r="BH22" i="12"/>
  <c r="JM21" i="12"/>
  <c r="HW21" i="12"/>
  <c r="DV19" i="6"/>
  <c r="DV22" i="6"/>
  <c r="BH24" i="6"/>
  <c r="LX22" i="6"/>
  <c r="AL21" i="6"/>
  <c r="AL17" i="6"/>
  <c r="AL16" i="6"/>
  <c r="BH4" i="6"/>
  <c r="BH10" i="6"/>
  <c r="BH12" i="6"/>
  <c r="BH21" i="6"/>
  <c r="BH17" i="6"/>
  <c r="BH16" i="6"/>
  <c r="LC24" i="6"/>
  <c r="GG24" i="6"/>
  <c r="HB24" i="6"/>
  <c r="GG14" i="8"/>
  <c r="EQ14" i="8"/>
  <c r="BH14" i="8"/>
  <c r="KH13" i="8"/>
  <c r="KH14" i="8"/>
  <c r="EQ13" i="8"/>
  <c r="JM13" i="8"/>
  <c r="GG13" i="8"/>
  <c r="HB13" i="8"/>
  <c r="DV13" i="8"/>
  <c r="MS13" i="8"/>
  <c r="BH13" i="8"/>
  <c r="FL8" i="7"/>
  <c r="JI27" i="14"/>
  <c r="EZ27" i="14"/>
  <c r="FC27" i="14" s="1"/>
  <c r="HN27" i="14"/>
  <c r="HQ27" i="14" s="1"/>
  <c r="GR27" i="14"/>
  <c r="GU27" i="14" s="1"/>
  <c r="AV27" i="14"/>
  <c r="OO27" i="14"/>
  <c r="KB27" i="14"/>
  <c r="KE27" i="14" s="1"/>
  <c r="FV27" i="14"/>
  <c r="FY27" i="14" s="1"/>
  <c r="MP27" i="14"/>
  <c r="MS27" i="14" s="1"/>
  <c r="KX27" i="14"/>
  <c r="LA27" i="14" s="1"/>
  <c r="ED27" i="14"/>
  <c r="EG27" i="14" s="1"/>
  <c r="DD27" i="14"/>
  <c r="DG27" i="14" s="1"/>
  <c r="BZ16" i="4"/>
  <c r="CC16" i="4" s="1"/>
  <c r="MQ21" i="12"/>
  <c r="DA21" i="12"/>
  <c r="BH21" i="12"/>
  <c r="MR21" i="12"/>
  <c r="MP21" i="12"/>
  <c r="AL21" i="12"/>
  <c r="F21" i="12"/>
  <c r="J21" i="12"/>
  <c r="MS21" i="12"/>
  <c r="MT21" i="12" s="1"/>
  <c r="G21" i="12"/>
  <c r="GG14" i="12"/>
  <c r="MP24" i="6"/>
  <c r="JM24" i="6"/>
  <c r="HW24" i="6"/>
  <c r="EQ24" i="6"/>
  <c r="DA24" i="6"/>
  <c r="MS24" i="6"/>
  <c r="MQ24" i="6"/>
  <c r="F24" i="6"/>
  <c r="J24" i="6"/>
  <c r="G24" i="6"/>
  <c r="BH22" i="6"/>
  <c r="KH22" i="6"/>
  <c r="IR22" i="6"/>
  <c r="FL22" i="6"/>
  <c r="CD22" i="6"/>
  <c r="GG22" i="6"/>
  <c r="HB22" i="6"/>
  <c r="DA22" i="6"/>
  <c r="MR22" i="6"/>
  <c r="MP22" i="6"/>
  <c r="AL22" i="6"/>
  <c r="F22" i="6"/>
  <c r="J22" i="6"/>
  <c r="MS22" i="6"/>
  <c r="MQ22" i="6"/>
  <c r="G22" i="6"/>
  <c r="EQ9" i="6"/>
  <c r="KH16" i="6"/>
  <c r="LX13" i="8"/>
  <c r="LC13" i="8"/>
  <c r="HW13" i="8"/>
  <c r="FL13" i="8"/>
  <c r="DA13" i="8"/>
  <c r="MQ13" i="8"/>
  <c r="MR13" i="8"/>
  <c r="MP13" i="8"/>
  <c r="L13" i="8"/>
  <c r="CF13" i="8" s="1"/>
  <c r="AL13" i="8"/>
  <c r="F13" i="8"/>
  <c r="J13" i="8"/>
  <c r="G13" i="8"/>
  <c r="LX14" i="8"/>
  <c r="IR14" i="8"/>
  <c r="HB14" i="8"/>
  <c r="DV14" i="8"/>
  <c r="CD14" i="8"/>
  <c r="LC14" i="8"/>
  <c r="JM14" i="8"/>
  <c r="HW14" i="8"/>
  <c r="FL14" i="8"/>
  <c r="DA14" i="8"/>
  <c r="MR14" i="8"/>
  <c r="MQ14" i="8"/>
  <c r="L14" i="8"/>
  <c r="M14" i="8" s="1"/>
  <c r="MP14" i="8"/>
  <c r="AL14" i="8"/>
  <c r="F14" i="8"/>
  <c r="J14" i="8"/>
  <c r="MS14" i="8"/>
  <c r="G14" i="8"/>
  <c r="AL6" i="8"/>
  <c r="AL12" i="8"/>
  <c r="BH5" i="8"/>
  <c r="BH8" i="8"/>
  <c r="BH11" i="8"/>
  <c r="FV16" i="4"/>
  <c r="NL27" i="14"/>
  <c r="NO27" i="14" s="1"/>
  <c r="OK27" i="14"/>
  <c r="OM27" i="14"/>
  <c r="G27" i="14"/>
  <c r="J27" i="14" s="1"/>
  <c r="OR27" i="14"/>
  <c r="O27" i="14"/>
  <c r="P27" i="14" s="1"/>
  <c r="AY27" i="14"/>
  <c r="H27" i="14"/>
  <c r="Q27" i="14"/>
  <c r="MP19" i="14"/>
  <c r="NL8" i="14"/>
  <c r="NO8" i="14" s="1"/>
  <c r="GR8" i="14"/>
  <c r="BZ9" i="14"/>
  <c r="CC9" i="14" s="1"/>
  <c r="CC22" i="14"/>
  <c r="MP8" i="14"/>
  <c r="MS8" i="14" s="1"/>
  <c r="AV19" i="14"/>
  <c r="AY19" i="14" s="1"/>
  <c r="AL23" i="12"/>
  <c r="BH7" i="12"/>
  <c r="BH11" i="12"/>
  <c r="KH19" i="6"/>
  <c r="AL6" i="6"/>
  <c r="AL8" i="6"/>
  <c r="AL11" i="6"/>
  <c r="AL18" i="6"/>
  <c r="AL20" i="6"/>
  <c r="BH11" i="6"/>
  <c r="BH18" i="6"/>
  <c r="BH20" i="6"/>
  <c r="BH14" i="6"/>
  <c r="BH19" i="6"/>
  <c r="BH6" i="8"/>
  <c r="LC8" i="7"/>
  <c r="IR10" i="7"/>
  <c r="LC10" i="7"/>
  <c r="JM10" i="7"/>
  <c r="AL5" i="7"/>
  <c r="AL6" i="7"/>
  <c r="BH7" i="7"/>
  <c r="BH9" i="7"/>
  <c r="BH8" i="7"/>
  <c r="BH10" i="7"/>
  <c r="JF8" i="14"/>
  <c r="JI8" i="14" s="1"/>
  <c r="MS19" i="14"/>
  <c r="BZ26" i="14"/>
  <c r="CC26" i="14" s="1"/>
  <c r="BZ16" i="14"/>
  <c r="CC16" i="14" s="1"/>
  <c r="AV6" i="14"/>
  <c r="AV13" i="14"/>
  <c r="AY13" i="14" s="1"/>
  <c r="BZ11" i="14"/>
  <c r="CC11" i="14" s="1"/>
  <c r="AV16" i="14"/>
  <c r="AY16" i="14" s="1"/>
  <c r="NO21" i="4"/>
  <c r="AV6" i="4"/>
  <c r="AY6" i="4" s="1"/>
  <c r="BZ10" i="4"/>
  <c r="CC10" i="4" s="1"/>
  <c r="BZ17" i="4"/>
  <c r="CC17" i="4" s="1"/>
  <c r="AV11" i="4"/>
  <c r="AY11" i="4" s="1"/>
  <c r="AV16" i="4"/>
  <c r="AY16" i="4" s="1"/>
  <c r="BZ18" i="4"/>
  <c r="CC18" i="4" s="1"/>
  <c r="AL14" i="12"/>
  <c r="BH6" i="12"/>
  <c r="KH14" i="12"/>
  <c r="IR14" i="12"/>
  <c r="DV14" i="12"/>
  <c r="AL4" i="12"/>
  <c r="AL5" i="12"/>
  <c r="AL9" i="12"/>
  <c r="BH18" i="12"/>
  <c r="BH10" i="12"/>
  <c r="BH19" i="12"/>
  <c r="BH16" i="12"/>
  <c r="AL7" i="12"/>
  <c r="BH4" i="12"/>
  <c r="BH5" i="12"/>
  <c r="BH9" i="12"/>
  <c r="BH14" i="12"/>
  <c r="AL16" i="12"/>
  <c r="AL15" i="12"/>
  <c r="AL17" i="12"/>
  <c r="AL12" i="12"/>
  <c r="BH23" i="12"/>
  <c r="AL6" i="12"/>
  <c r="AL13" i="12"/>
  <c r="AL22" i="12"/>
  <c r="BH20" i="12"/>
  <c r="BH8" i="12"/>
  <c r="IR19" i="6"/>
  <c r="AL14" i="6"/>
  <c r="AL23" i="6"/>
  <c r="BH5" i="6"/>
  <c r="HW19" i="6"/>
  <c r="EQ19" i="6"/>
  <c r="BH9" i="6"/>
  <c r="AL19" i="6"/>
  <c r="IR15" i="6"/>
  <c r="AL4" i="6"/>
  <c r="AL10" i="6"/>
  <c r="LC19" i="6"/>
  <c r="JM19" i="6"/>
  <c r="AL12" i="6"/>
  <c r="AL15" i="6"/>
  <c r="AL7" i="8"/>
  <c r="LC5" i="8"/>
  <c r="JM5" i="8"/>
  <c r="KH12" i="8"/>
  <c r="BH10" i="8"/>
  <c r="AL8" i="8"/>
  <c r="BH7" i="8"/>
  <c r="AL5" i="8"/>
  <c r="BH4" i="8"/>
  <c r="IR5" i="8"/>
  <c r="EQ12" i="8"/>
  <c r="BH9" i="8"/>
  <c r="AL4" i="8"/>
  <c r="BH12" i="8"/>
  <c r="HB12" i="8"/>
  <c r="AL9" i="8"/>
  <c r="AL9" i="7"/>
  <c r="BH4" i="7"/>
  <c r="AL4" i="7"/>
  <c r="AV5" i="14"/>
  <c r="AY5" i="14" s="1"/>
  <c r="BZ10" i="14"/>
  <c r="CC10" i="14" s="1"/>
  <c r="BZ18" i="14"/>
  <c r="CC18" i="14" s="1"/>
  <c r="KB8" i="14"/>
  <c r="KE8" i="14" s="1"/>
  <c r="BZ20" i="14"/>
  <c r="CC20" i="14" s="1"/>
  <c r="AV8" i="14"/>
  <c r="AY8" i="14" s="1"/>
  <c r="BZ7" i="14"/>
  <c r="CC7" i="14" s="1"/>
  <c r="AV18" i="14"/>
  <c r="AY18" i="14" s="1"/>
  <c r="AV25" i="14"/>
  <c r="AY25" i="14" s="1"/>
  <c r="IJ19" i="14"/>
  <c r="IM19" i="14" s="1"/>
  <c r="IJ8" i="14"/>
  <c r="IM8" i="14" s="1"/>
  <c r="AV7" i="14"/>
  <c r="AY7" i="14" s="1"/>
  <c r="AV26" i="14"/>
  <c r="AY26" i="14" s="1"/>
  <c r="BZ14" i="14"/>
  <c r="CC14" i="14" s="1"/>
  <c r="GU8" i="14"/>
  <c r="AY6" i="14"/>
  <c r="ED8" i="14"/>
  <c r="EG8" i="14" s="1"/>
  <c r="CC17" i="14"/>
  <c r="BZ19" i="14"/>
  <c r="CC19" i="14" s="1"/>
  <c r="AV4" i="14"/>
  <c r="AY4" i="14" s="1"/>
  <c r="AV10" i="14"/>
  <c r="AY10" i="14" s="1"/>
  <c r="AV15" i="14"/>
  <c r="AY15" i="14" s="1"/>
  <c r="BZ23" i="14"/>
  <c r="CC23" i="14" s="1"/>
  <c r="NL23" i="14"/>
  <c r="NO23" i="14" s="1"/>
  <c r="AV9" i="14"/>
  <c r="AY9" i="14" s="1"/>
  <c r="AV22" i="14"/>
  <c r="AY22" i="14" s="1"/>
  <c r="AV11" i="14"/>
  <c r="AY11" i="14" s="1"/>
  <c r="BZ12" i="14"/>
  <c r="CC12" i="14" s="1"/>
  <c r="AV12" i="14"/>
  <c r="AY12" i="14" s="1"/>
  <c r="AV20" i="14"/>
  <c r="AY20" i="14" s="1"/>
  <c r="BZ24" i="14"/>
  <c r="CC24" i="14" s="1"/>
  <c r="LT23" i="14"/>
  <c r="AV14" i="14"/>
  <c r="AY14" i="14" s="1"/>
  <c r="AV17" i="14"/>
  <c r="AY17" i="14" s="1"/>
  <c r="BZ6" i="14"/>
  <c r="CC6" i="14" s="1"/>
  <c r="BZ21" i="14"/>
  <c r="CC21" i="14" s="1"/>
  <c r="BZ8" i="14"/>
  <c r="CC8" i="14" s="1"/>
  <c r="KX8" i="14"/>
  <c r="LA8" i="14" s="1"/>
  <c r="AV24" i="14"/>
  <c r="AY24" i="14" s="1"/>
  <c r="AV23" i="14"/>
  <c r="AY23" i="14" s="1"/>
  <c r="BZ5" i="14"/>
  <c r="CC5" i="14" s="1"/>
  <c r="BZ13" i="14"/>
  <c r="CC13" i="14" s="1"/>
  <c r="BZ25" i="14"/>
  <c r="CC25" i="14" s="1"/>
  <c r="KX19" i="14"/>
  <c r="LA19" i="14" s="1"/>
  <c r="AV21" i="14"/>
  <c r="AY21" i="14" s="1"/>
  <c r="BZ4" i="14"/>
  <c r="CC4" i="14" s="1"/>
  <c r="BZ15" i="14"/>
  <c r="CC15" i="14" s="1"/>
  <c r="BZ8" i="4"/>
  <c r="CC8" i="4" s="1"/>
  <c r="BZ15" i="4"/>
  <c r="CC15" i="4" s="1"/>
  <c r="AV8" i="4"/>
  <c r="AY8" i="4" s="1"/>
  <c r="AV17" i="4"/>
  <c r="AY17" i="4" s="1"/>
  <c r="BZ7" i="4"/>
  <c r="CC7" i="4" s="1"/>
  <c r="AV10" i="4"/>
  <c r="AY10" i="4" s="1"/>
  <c r="AV15" i="4"/>
  <c r="AY15" i="4" s="1"/>
  <c r="BZ20" i="4"/>
  <c r="CC20" i="4" s="1"/>
  <c r="EZ16" i="4"/>
  <c r="AV4" i="4"/>
  <c r="AY4" i="4" s="1"/>
  <c r="AV18" i="4"/>
  <c r="AY18" i="4" s="1"/>
  <c r="AV12" i="4"/>
  <c r="AY12" i="4" s="1"/>
  <c r="EZ20" i="4"/>
  <c r="FC20" i="4" s="1"/>
  <c r="AV9" i="4"/>
  <c r="AY9" i="4" s="1"/>
  <c r="AV19" i="4"/>
  <c r="AY19" i="4" s="1"/>
  <c r="BZ9" i="4"/>
  <c r="CC9" i="4" s="1"/>
  <c r="BZ11" i="4"/>
  <c r="CC11" i="4" s="1"/>
  <c r="AV20" i="4"/>
  <c r="AY20" i="4" s="1"/>
  <c r="BZ4" i="4"/>
  <c r="CC4" i="4" s="1"/>
  <c r="MP20" i="4"/>
  <c r="MS20" i="4" s="1"/>
  <c r="FV20" i="4"/>
  <c r="FY20" i="4" s="1"/>
  <c r="AV14" i="4"/>
  <c r="AY14" i="4" s="1"/>
  <c r="BZ5" i="4"/>
  <c r="CC5" i="4" s="1"/>
  <c r="BZ14" i="4"/>
  <c r="CC14" i="4" s="1"/>
  <c r="AV7" i="4"/>
  <c r="AY7" i="4" s="1"/>
  <c r="AV21" i="4"/>
  <c r="AY21" i="4" s="1"/>
  <c r="BZ13" i="4"/>
  <c r="CC13" i="4" s="1"/>
  <c r="AV5" i="4"/>
  <c r="AY5" i="4" s="1"/>
  <c r="BZ12" i="4"/>
  <c r="CC12" i="4" s="1"/>
  <c r="BZ21" i="4"/>
  <c r="CC21" i="4" s="1"/>
  <c r="DD16" i="4"/>
  <c r="DG16" i="4" s="1"/>
  <c r="AV13" i="4"/>
  <c r="AY13" i="4" s="1"/>
  <c r="BZ6" i="4"/>
  <c r="CC6" i="4" s="1"/>
  <c r="BZ19" i="4"/>
  <c r="CC19" i="4" s="1"/>
  <c r="CD19" i="6"/>
  <c r="LX19" i="6"/>
  <c r="HB19" i="6"/>
  <c r="GG19" i="6"/>
  <c r="FL19" i="6"/>
  <c r="DA19" i="6"/>
  <c r="F19" i="6"/>
  <c r="MR19" i="6"/>
  <c r="MP19" i="6"/>
  <c r="MQ19" i="6"/>
  <c r="J19" i="6"/>
  <c r="MS19" i="6"/>
  <c r="G19" i="6"/>
  <c r="JM15" i="6"/>
  <c r="KH20" i="6"/>
  <c r="DV20" i="6"/>
  <c r="AL7" i="6"/>
  <c r="BH13" i="6"/>
  <c r="AL9" i="6"/>
  <c r="BH23" i="6"/>
  <c r="HB15" i="6"/>
  <c r="BH15" i="6"/>
  <c r="BH7" i="6"/>
  <c r="AL5" i="6"/>
  <c r="AL13" i="6"/>
  <c r="BH6" i="6"/>
  <c r="BH8" i="6"/>
  <c r="CD20" i="6"/>
  <c r="OK8" i="14"/>
  <c r="LT8" i="14"/>
  <c r="LW8" i="14" s="1"/>
  <c r="HN8" i="14"/>
  <c r="HQ8" i="14" s="1"/>
  <c r="FV8" i="14"/>
  <c r="FY8" i="14" s="1"/>
  <c r="EZ8" i="14"/>
  <c r="FC8" i="14" s="1"/>
  <c r="OO8" i="14"/>
  <c r="DD8" i="14"/>
  <c r="DG8" i="14" s="1"/>
  <c r="OM8" i="14"/>
  <c r="Q8" i="14"/>
  <c r="R8" i="14" s="1"/>
  <c r="O8" i="14"/>
  <c r="P8" i="14" s="1"/>
  <c r="G8" i="14"/>
  <c r="F8" i="14" s="1"/>
  <c r="H8" i="14"/>
  <c r="MP25" i="14"/>
  <c r="MS25" i="14" s="1"/>
  <c r="GR23" i="14"/>
  <c r="KB19" i="14"/>
  <c r="KE19" i="14" s="1"/>
  <c r="FV19" i="14"/>
  <c r="FY19" i="14" s="1"/>
  <c r="DV13" i="12"/>
  <c r="MR14" i="12"/>
  <c r="KH15" i="6"/>
  <c r="MS20" i="6"/>
  <c r="LC20" i="6"/>
  <c r="JM20" i="6"/>
  <c r="HW20" i="6"/>
  <c r="EQ20" i="6"/>
  <c r="IR20" i="6"/>
  <c r="HW15" i="6"/>
  <c r="IR16" i="6"/>
  <c r="MP15" i="6"/>
  <c r="LC15" i="6"/>
  <c r="DA20" i="6"/>
  <c r="GG15" i="6"/>
  <c r="EQ15" i="6"/>
  <c r="DA15" i="6"/>
  <c r="KH9" i="6"/>
  <c r="IR9" i="6"/>
  <c r="HB9" i="6"/>
  <c r="DV9" i="6"/>
  <c r="MR20" i="6"/>
  <c r="HB20" i="6"/>
  <c r="IR12" i="8"/>
  <c r="FL5" i="8"/>
  <c r="KH5" i="8"/>
  <c r="DV12" i="8"/>
  <c r="DV5" i="8"/>
  <c r="LC12" i="8"/>
  <c r="GG12" i="8"/>
  <c r="JM12" i="8"/>
  <c r="GG5" i="8"/>
  <c r="EZ25" i="14"/>
  <c r="FC25" i="14" s="1"/>
  <c r="FV25" i="14"/>
  <c r="KX25" i="14"/>
  <c r="LA25" i="14" s="1"/>
  <c r="KX23" i="14"/>
  <c r="LA23" i="14" s="1"/>
  <c r="LT16" i="14"/>
  <c r="LW16" i="14" s="1"/>
  <c r="MP16" i="14"/>
  <c r="MS16" i="14" s="1"/>
  <c r="IJ23" i="14"/>
  <c r="IM23" i="14" s="1"/>
  <c r="NL25" i="14"/>
  <c r="NO25" i="14" s="1"/>
  <c r="DD19" i="14"/>
  <c r="DG19" i="14" s="1"/>
  <c r="OO25" i="14"/>
  <c r="ED25" i="14"/>
  <c r="EG25" i="14" s="1"/>
  <c r="JF19" i="14"/>
  <c r="JI19" i="14" s="1"/>
  <c r="GR19" i="14"/>
  <c r="GU19" i="14" s="1"/>
  <c r="FC19" i="14"/>
  <c r="JF16" i="14"/>
  <c r="JI16" i="14" s="1"/>
  <c r="NL20" i="4"/>
  <c r="NO20" i="4" s="1"/>
  <c r="GR20" i="4"/>
  <c r="GU20" i="4" s="1"/>
  <c r="JF16" i="4"/>
  <c r="JI16" i="4" s="1"/>
  <c r="HN16" i="4"/>
  <c r="HQ16" i="4" s="1"/>
  <c r="KB16" i="4"/>
  <c r="KE16" i="4" s="1"/>
  <c r="OM16" i="4"/>
  <c r="KX20" i="4"/>
  <c r="LA20" i="4" s="1"/>
  <c r="IJ16" i="4"/>
  <c r="IM16" i="4" s="1"/>
  <c r="DD20" i="4"/>
  <c r="DG20" i="4" s="1"/>
  <c r="OO16" i="4"/>
  <c r="GR16" i="4"/>
  <c r="GU16" i="4" s="1"/>
  <c r="FC16" i="4"/>
  <c r="ED16" i="4"/>
  <c r="EG16" i="4" s="1"/>
  <c r="LC14" i="12"/>
  <c r="JM14" i="12"/>
  <c r="KH13" i="12"/>
  <c r="IR13" i="12"/>
  <c r="HB13" i="12"/>
  <c r="HW14" i="12"/>
  <c r="EQ14" i="12"/>
  <c r="LC13" i="12"/>
  <c r="JM13" i="12"/>
  <c r="HW13" i="12"/>
  <c r="EQ13" i="12"/>
  <c r="CD13" i="12"/>
  <c r="LX14" i="12"/>
  <c r="HB14" i="12"/>
  <c r="FL14" i="12"/>
  <c r="DA14" i="12"/>
  <c r="MS14" i="12"/>
  <c r="CD14" i="12"/>
  <c r="MQ14" i="12"/>
  <c r="MP14" i="12"/>
  <c r="F14" i="12"/>
  <c r="J14" i="12"/>
  <c r="G14" i="12"/>
  <c r="MR13" i="12"/>
  <c r="MP13" i="12"/>
  <c r="LX13" i="12"/>
  <c r="GG13" i="12"/>
  <c r="FL13" i="12"/>
  <c r="DA13" i="12"/>
  <c r="MS13" i="12"/>
  <c r="MQ13" i="12"/>
  <c r="F13" i="12"/>
  <c r="J13" i="12"/>
  <c r="G13" i="12"/>
  <c r="MP20" i="6"/>
  <c r="CD15" i="6"/>
  <c r="DV10" i="7"/>
  <c r="GG8" i="7"/>
  <c r="EQ8" i="7"/>
  <c r="LX20" i="6"/>
  <c r="GG20" i="6"/>
  <c r="FL20" i="6"/>
  <c r="MQ20" i="6"/>
  <c r="F20" i="6"/>
  <c r="J20" i="6"/>
  <c r="G20" i="6"/>
  <c r="JM16" i="6"/>
  <c r="HW16" i="6"/>
  <c r="LX15" i="6"/>
  <c r="DV15" i="6"/>
  <c r="HB16" i="6"/>
  <c r="DV16" i="6"/>
  <c r="FL15" i="6"/>
  <c r="MS15" i="6"/>
  <c r="MR15" i="6"/>
  <c r="MQ15" i="6"/>
  <c r="F15" i="6"/>
  <c r="J15" i="6"/>
  <c r="G15" i="6"/>
  <c r="GG16" i="6"/>
  <c r="EQ16" i="6"/>
  <c r="DA16" i="6"/>
  <c r="JM9" i="6"/>
  <c r="MS16" i="6"/>
  <c r="LX16" i="6"/>
  <c r="LC16" i="6"/>
  <c r="FL16" i="6"/>
  <c r="MQ16" i="6"/>
  <c r="CD16" i="6"/>
  <c r="MR16" i="6"/>
  <c r="MP16" i="6"/>
  <c r="F16" i="6"/>
  <c r="J16" i="6"/>
  <c r="G16" i="6"/>
  <c r="GG9" i="6"/>
  <c r="LX9" i="6"/>
  <c r="CD9" i="6"/>
  <c r="LC9" i="6"/>
  <c r="HW9" i="6"/>
  <c r="FL9" i="6"/>
  <c r="DA9" i="6"/>
  <c r="MP9" i="6"/>
  <c r="MR9" i="6"/>
  <c r="MS9" i="6"/>
  <c r="MQ9" i="6"/>
  <c r="F9" i="6"/>
  <c r="J9" i="6"/>
  <c r="G9" i="6"/>
  <c r="MR12" i="8"/>
  <c r="CD12" i="8"/>
  <c r="MS5" i="8"/>
  <c r="LX12" i="8"/>
  <c r="HW12" i="8"/>
  <c r="FL12" i="8"/>
  <c r="DA12" i="8"/>
  <c r="MS12" i="8"/>
  <c r="MQ12" i="8"/>
  <c r="L12" i="8"/>
  <c r="MP12" i="8"/>
  <c r="F12" i="8"/>
  <c r="J12" i="8"/>
  <c r="G12" i="8"/>
  <c r="EQ5" i="8"/>
  <c r="DA5" i="8"/>
  <c r="LX5" i="8"/>
  <c r="HW5" i="8"/>
  <c r="HB5" i="8"/>
  <c r="MR5" i="8"/>
  <c r="CD5" i="8"/>
  <c r="L5" i="8"/>
  <c r="CF5" i="8" s="1"/>
  <c r="MQ5" i="8"/>
  <c r="MP5" i="8"/>
  <c r="F5" i="8"/>
  <c r="J5" i="8"/>
  <c r="G5" i="8"/>
  <c r="CD8" i="7"/>
  <c r="LX8" i="7"/>
  <c r="KH8" i="7"/>
  <c r="JM8" i="7"/>
  <c r="HW8" i="7"/>
  <c r="DV8" i="7"/>
  <c r="DA8" i="7"/>
  <c r="MS8" i="7"/>
  <c r="L8" i="7"/>
  <c r="CF8" i="7" s="1"/>
  <c r="MR8" i="7"/>
  <c r="MP8" i="7"/>
  <c r="MQ8" i="7"/>
  <c r="F8" i="7"/>
  <c r="J8" i="7"/>
  <c r="G8" i="7"/>
  <c r="LX10" i="7"/>
  <c r="HB10" i="7"/>
  <c r="FL10" i="7"/>
  <c r="DA10" i="7"/>
  <c r="MR10" i="7"/>
  <c r="MP10" i="7"/>
  <c r="CD10" i="7"/>
  <c r="L10" i="7"/>
  <c r="CF10" i="7" s="1"/>
  <c r="MS10" i="7"/>
  <c r="MQ10" i="7"/>
  <c r="F10" i="7"/>
  <c r="J10" i="7"/>
  <c r="G10" i="7"/>
  <c r="OK19" i="14"/>
  <c r="DD25" i="14"/>
  <c r="DG25" i="14" s="1"/>
  <c r="OM25" i="14"/>
  <c r="DD23" i="14"/>
  <c r="DG23" i="14" s="1"/>
  <c r="NL19" i="14"/>
  <c r="NO19" i="14" s="1"/>
  <c r="LW19" i="14"/>
  <c r="HN19" i="14"/>
  <c r="HQ19" i="14" s="1"/>
  <c r="ED19" i="14"/>
  <c r="EG19" i="14" s="1"/>
  <c r="OO19" i="14"/>
  <c r="OM19" i="14"/>
  <c r="Q19" i="14"/>
  <c r="R19" i="14" s="1"/>
  <c r="O19" i="14"/>
  <c r="P19" i="14" s="1"/>
  <c r="G19" i="14"/>
  <c r="F19" i="14" s="1"/>
  <c r="H19" i="14"/>
  <c r="EZ23" i="14"/>
  <c r="FC23" i="14" s="1"/>
  <c r="KB23" i="14"/>
  <c r="KE23" i="14" s="1"/>
  <c r="ED23" i="14"/>
  <c r="EG23" i="14" s="1"/>
  <c r="IJ25" i="14"/>
  <c r="IM25" i="14" s="1"/>
  <c r="LW25" i="14"/>
  <c r="KB25" i="14"/>
  <c r="KE25" i="14" s="1"/>
  <c r="JF25" i="14"/>
  <c r="JI25" i="14" s="1"/>
  <c r="HN25" i="14"/>
  <c r="HQ25" i="14" s="1"/>
  <c r="GR25" i="14"/>
  <c r="GU25" i="14" s="1"/>
  <c r="FY25" i="14"/>
  <c r="OK25" i="14"/>
  <c r="O25" i="14"/>
  <c r="DI25" i="14" s="1"/>
  <c r="G25" i="14"/>
  <c r="F25" i="14" s="1"/>
  <c r="Q25" i="14"/>
  <c r="H25" i="14"/>
  <c r="IJ16" i="14"/>
  <c r="IM16" i="14" s="1"/>
  <c r="DD16" i="14"/>
  <c r="DG16" i="14" s="1"/>
  <c r="JF23" i="14"/>
  <c r="JI23" i="14" s="1"/>
  <c r="KX16" i="14"/>
  <c r="LA16" i="14" s="1"/>
  <c r="OK23" i="14"/>
  <c r="MP23" i="14"/>
  <c r="MS23" i="14" s="1"/>
  <c r="OO23" i="14"/>
  <c r="FV23" i="14"/>
  <c r="FY23" i="14" s="1"/>
  <c r="LW23" i="14"/>
  <c r="HN23" i="14"/>
  <c r="HQ23" i="14" s="1"/>
  <c r="GU23" i="14"/>
  <c r="O23" i="14"/>
  <c r="P23" i="14" s="1"/>
  <c r="G23" i="14"/>
  <c r="OM23" i="14"/>
  <c r="Q23" i="14"/>
  <c r="R23" i="14" s="1"/>
  <c r="H23" i="14"/>
  <c r="OK16" i="14"/>
  <c r="EZ16" i="14"/>
  <c r="FC16" i="14" s="1"/>
  <c r="ED16" i="14"/>
  <c r="EG16" i="14" s="1"/>
  <c r="KB16" i="14"/>
  <c r="KE16" i="14" s="1"/>
  <c r="NL16" i="14"/>
  <c r="NO16" i="14" s="1"/>
  <c r="FV16" i="14"/>
  <c r="FY16" i="14" s="1"/>
  <c r="HN16" i="14"/>
  <c r="HQ16" i="14" s="1"/>
  <c r="GR16" i="14"/>
  <c r="GU16" i="14" s="1"/>
  <c r="OO16" i="14"/>
  <c r="OR23" i="14"/>
  <c r="OM16" i="14"/>
  <c r="O16" i="14"/>
  <c r="P16" i="14" s="1"/>
  <c r="G16" i="14"/>
  <c r="F16" i="14" s="1"/>
  <c r="Q16" i="14"/>
  <c r="H16" i="14"/>
  <c r="FV18" i="4"/>
  <c r="FY18" i="4" s="1"/>
  <c r="JF20" i="4"/>
  <c r="JI20" i="4" s="1"/>
  <c r="LT16" i="4"/>
  <c r="LW16" i="4" s="1"/>
  <c r="KX21" i="4"/>
  <c r="LA21" i="4" s="1"/>
  <c r="LT20" i="4"/>
  <c r="LW20" i="4" s="1"/>
  <c r="JF21" i="4"/>
  <c r="JI21" i="4" s="1"/>
  <c r="OO20" i="4"/>
  <c r="ED18" i="4"/>
  <c r="EG18" i="4" s="1"/>
  <c r="JF18" i="4"/>
  <c r="JI18" i="4" s="1"/>
  <c r="GR21" i="4"/>
  <c r="GU21" i="4" s="1"/>
  <c r="FV21" i="4"/>
  <c r="FY21" i="4" s="1"/>
  <c r="NL16" i="4"/>
  <c r="NO16" i="4" s="1"/>
  <c r="FY16" i="4"/>
  <c r="OM20" i="4"/>
  <c r="OR20" i="4"/>
  <c r="DD18" i="4"/>
  <c r="DG18" i="4" s="1"/>
  <c r="MP16" i="4"/>
  <c r="MS16" i="4" s="1"/>
  <c r="KX16" i="4"/>
  <c r="LA16" i="4" s="1"/>
  <c r="OK16" i="4"/>
  <c r="Q16" i="4"/>
  <c r="DK16" i="4" s="1"/>
  <c r="O16" i="4"/>
  <c r="DI16" i="4" s="1"/>
  <c r="G16" i="4"/>
  <c r="F16" i="4" s="1"/>
  <c r="H16" i="4"/>
  <c r="KB21" i="4"/>
  <c r="KE21" i="4" s="1"/>
  <c r="EZ21" i="4"/>
  <c r="FC21" i="4" s="1"/>
  <c r="ED20" i="4"/>
  <c r="EG20" i="4" s="1"/>
  <c r="KB20" i="4"/>
  <c r="KE20" i="4" s="1"/>
  <c r="HN20" i="4"/>
  <c r="HQ20" i="4" s="1"/>
  <c r="IJ20" i="4"/>
  <c r="IM20" i="4" s="1"/>
  <c r="OK20" i="4"/>
  <c r="H20" i="4"/>
  <c r="G20" i="4"/>
  <c r="Q20" i="4"/>
  <c r="R20" i="4" s="1"/>
  <c r="O20" i="4"/>
  <c r="LT21" i="4"/>
  <c r="LW21" i="4" s="1"/>
  <c r="ED21" i="4"/>
  <c r="EG21" i="4" s="1"/>
  <c r="MP21" i="4"/>
  <c r="MS21" i="4" s="1"/>
  <c r="OO21" i="4"/>
  <c r="IJ21" i="4"/>
  <c r="IM21" i="4" s="1"/>
  <c r="HN21" i="4"/>
  <c r="HQ21" i="4" s="1"/>
  <c r="DD21" i="4"/>
  <c r="DG21" i="4" s="1"/>
  <c r="O21" i="4"/>
  <c r="DI21" i="4" s="1"/>
  <c r="OM21" i="4"/>
  <c r="OK21" i="4"/>
  <c r="G21" i="4"/>
  <c r="F21" i="4" s="1"/>
  <c r="Q21" i="4"/>
  <c r="DK21" i="4" s="1"/>
  <c r="H21" i="4"/>
  <c r="OO18" i="4"/>
  <c r="LT18" i="4"/>
  <c r="LW18" i="4" s="1"/>
  <c r="MP18" i="4"/>
  <c r="MS18" i="4" s="1"/>
  <c r="HN18" i="4"/>
  <c r="HQ18" i="4" s="1"/>
  <c r="KB18" i="4"/>
  <c r="KE18" i="4" s="1"/>
  <c r="KX18" i="4"/>
  <c r="LA18" i="4" s="1"/>
  <c r="NL18" i="4"/>
  <c r="NO18" i="4" s="1"/>
  <c r="IJ18" i="4"/>
  <c r="IM18" i="4" s="1"/>
  <c r="GR18" i="4"/>
  <c r="GU18" i="4" s="1"/>
  <c r="EZ18" i="4"/>
  <c r="FC18" i="4" s="1"/>
  <c r="OK18" i="4"/>
  <c r="OM18" i="4"/>
  <c r="G18" i="4"/>
  <c r="F18" i="4" s="1"/>
  <c r="O18" i="4"/>
  <c r="P18" i="4" s="1"/>
  <c r="Q18" i="4"/>
  <c r="H18" i="4"/>
  <c r="CB9" i="8"/>
  <c r="CB4" i="8"/>
  <c r="CB10" i="8"/>
  <c r="CB11" i="8"/>
  <c r="CB8" i="8"/>
  <c r="CB6" i="8"/>
  <c r="LB12" i="12"/>
  <c r="LA12" i="12"/>
  <c r="KZ12" i="12"/>
  <c r="KY12" i="12"/>
  <c r="LB22" i="12"/>
  <c r="LA22" i="12"/>
  <c r="KZ22" i="12"/>
  <c r="KY22" i="12"/>
  <c r="LB17" i="12"/>
  <c r="LA17" i="12"/>
  <c r="KZ17" i="12"/>
  <c r="KY17" i="12"/>
  <c r="LB16" i="12"/>
  <c r="LA16" i="12"/>
  <c r="KZ16" i="12"/>
  <c r="KY16" i="12"/>
  <c r="LB10" i="12"/>
  <c r="LA10" i="12"/>
  <c r="KZ10" i="12"/>
  <c r="KY10" i="12"/>
  <c r="LB23" i="12"/>
  <c r="LA23" i="12"/>
  <c r="KZ23" i="12"/>
  <c r="KY23" i="12"/>
  <c r="LB15" i="12"/>
  <c r="LA15" i="12"/>
  <c r="KZ15" i="12"/>
  <c r="KY15" i="12"/>
  <c r="LB11" i="12"/>
  <c r="LA11" i="12"/>
  <c r="KZ11" i="12"/>
  <c r="KY11" i="12"/>
  <c r="LB19" i="12"/>
  <c r="LA19" i="12"/>
  <c r="KZ19" i="12"/>
  <c r="KY19" i="12"/>
  <c r="LB18" i="12"/>
  <c r="LA18" i="12"/>
  <c r="KZ18" i="12"/>
  <c r="KY18" i="12"/>
  <c r="LB8" i="12"/>
  <c r="LA8" i="12"/>
  <c r="KZ8" i="12"/>
  <c r="KY8" i="12"/>
  <c r="LB9" i="12"/>
  <c r="LA9" i="12"/>
  <c r="KZ9" i="12"/>
  <c r="KY9" i="12"/>
  <c r="LB20" i="12"/>
  <c r="LA20" i="12"/>
  <c r="KZ20" i="12"/>
  <c r="KY20" i="12"/>
  <c r="LB7" i="12"/>
  <c r="LA7" i="12"/>
  <c r="KZ7" i="12"/>
  <c r="KY7" i="12"/>
  <c r="LB4" i="12"/>
  <c r="LA4" i="12"/>
  <c r="KZ4" i="12"/>
  <c r="KY4" i="12"/>
  <c r="LB5" i="12"/>
  <c r="LA5" i="12"/>
  <c r="KZ5" i="12"/>
  <c r="KY5" i="12"/>
  <c r="LB6" i="12"/>
  <c r="LA6" i="12"/>
  <c r="KZ6" i="12"/>
  <c r="KY6" i="12"/>
  <c r="KG12" i="12"/>
  <c r="KF12" i="12"/>
  <c r="KE12" i="12"/>
  <c r="KD12" i="12"/>
  <c r="KG22" i="12"/>
  <c r="KF22" i="12"/>
  <c r="KE22" i="12"/>
  <c r="KD22" i="12"/>
  <c r="KG17" i="12"/>
  <c r="KF17" i="12"/>
  <c r="KE17" i="12"/>
  <c r="KD17" i="12"/>
  <c r="KG16" i="12"/>
  <c r="KF16" i="12"/>
  <c r="KE16" i="12"/>
  <c r="KD16" i="12"/>
  <c r="KG10" i="12"/>
  <c r="KF10" i="12"/>
  <c r="KE10" i="12"/>
  <c r="KD10" i="12"/>
  <c r="KG23" i="12"/>
  <c r="KF23" i="12"/>
  <c r="KE23" i="12"/>
  <c r="KD23" i="12"/>
  <c r="KG15" i="12"/>
  <c r="KF15" i="12"/>
  <c r="KE15" i="12"/>
  <c r="KD15" i="12"/>
  <c r="KG11" i="12"/>
  <c r="KF11" i="12"/>
  <c r="KE11" i="12"/>
  <c r="KD11" i="12"/>
  <c r="KG19" i="12"/>
  <c r="KF19" i="12"/>
  <c r="KE19" i="12"/>
  <c r="KD19" i="12"/>
  <c r="KG18" i="12"/>
  <c r="KF18" i="12"/>
  <c r="KE18" i="12"/>
  <c r="KD18" i="12"/>
  <c r="KG8" i="12"/>
  <c r="KF8" i="12"/>
  <c r="KE8" i="12"/>
  <c r="KD8" i="12"/>
  <c r="KG9" i="12"/>
  <c r="KF9" i="12"/>
  <c r="KE9" i="12"/>
  <c r="KD9" i="12"/>
  <c r="KG20" i="12"/>
  <c r="KF20" i="12"/>
  <c r="KE20" i="12"/>
  <c r="KD20" i="12"/>
  <c r="KG7" i="12"/>
  <c r="KF7" i="12"/>
  <c r="KE7" i="12"/>
  <c r="KD7" i="12"/>
  <c r="KG4" i="12"/>
  <c r="KF4" i="12"/>
  <c r="KE4" i="12"/>
  <c r="KD4" i="12"/>
  <c r="KG5" i="12"/>
  <c r="KF5" i="12"/>
  <c r="KE5" i="12"/>
  <c r="KD5" i="12"/>
  <c r="KG6" i="12"/>
  <c r="KF6" i="12"/>
  <c r="KE6" i="12"/>
  <c r="KD6" i="12"/>
  <c r="JL12" i="12"/>
  <c r="JK12" i="12"/>
  <c r="JJ12" i="12"/>
  <c r="JI12" i="12"/>
  <c r="JL22" i="12"/>
  <c r="JK22" i="12"/>
  <c r="JJ22" i="12"/>
  <c r="JI22" i="12"/>
  <c r="JL17" i="12"/>
  <c r="JK17" i="12"/>
  <c r="JJ17" i="12"/>
  <c r="JI17" i="12"/>
  <c r="JL16" i="12"/>
  <c r="JK16" i="12"/>
  <c r="JJ16" i="12"/>
  <c r="JI16" i="12"/>
  <c r="JL10" i="12"/>
  <c r="JK10" i="12"/>
  <c r="JJ10" i="12"/>
  <c r="JI10" i="12"/>
  <c r="JL23" i="12"/>
  <c r="JK23" i="12"/>
  <c r="JJ23" i="12"/>
  <c r="JI23" i="12"/>
  <c r="JL15" i="12"/>
  <c r="JK15" i="12"/>
  <c r="JJ15" i="12"/>
  <c r="JI15" i="12"/>
  <c r="JL11" i="12"/>
  <c r="JK11" i="12"/>
  <c r="JJ11" i="12"/>
  <c r="JI11" i="12"/>
  <c r="JL19" i="12"/>
  <c r="JK19" i="12"/>
  <c r="JJ19" i="12"/>
  <c r="JI19" i="12"/>
  <c r="JL18" i="12"/>
  <c r="JK18" i="12"/>
  <c r="JJ18" i="12"/>
  <c r="JI18" i="12"/>
  <c r="JL8" i="12"/>
  <c r="JK8" i="12"/>
  <c r="JJ8" i="12"/>
  <c r="JI8" i="12"/>
  <c r="JL9" i="12"/>
  <c r="JK9" i="12"/>
  <c r="JJ9" i="12"/>
  <c r="JI9" i="12"/>
  <c r="JL20" i="12"/>
  <c r="JK20" i="12"/>
  <c r="JJ20" i="12"/>
  <c r="JI20" i="12"/>
  <c r="JL7" i="12"/>
  <c r="JK7" i="12"/>
  <c r="JJ7" i="12"/>
  <c r="JI7" i="12"/>
  <c r="JL4" i="12"/>
  <c r="JK4" i="12"/>
  <c r="JJ4" i="12"/>
  <c r="JI4" i="12"/>
  <c r="JL5" i="12"/>
  <c r="JK5" i="12"/>
  <c r="JJ5" i="12"/>
  <c r="JI5" i="12"/>
  <c r="JL6" i="12"/>
  <c r="JK6" i="12"/>
  <c r="JJ6" i="12"/>
  <c r="JI6" i="12"/>
  <c r="IQ12" i="12"/>
  <c r="IP12" i="12"/>
  <c r="IO12" i="12"/>
  <c r="IN12" i="12"/>
  <c r="IQ22" i="12"/>
  <c r="IP22" i="12"/>
  <c r="IO22" i="12"/>
  <c r="IN22" i="12"/>
  <c r="IQ17" i="12"/>
  <c r="IP17" i="12"/>
  <c r="IO17" i="12"/>
  <c r="IN17" i="12"/>
  <c r="IQ16" i="12"/>
  <c r="IP16" i="12"/>
  <c r="IO16" i="12"/>
  <c r="IN16" i="12"/>
  <c r="IQ10" i="12"/>
  <c r="IP10" i="12"/>
  <c r="IO10" i="12"/>
  <c r="IN10" i="12"/>
  <c r="IQ23" i="12"/>
  <c r="IP23" i="12"/>
  <c r="IO23" i="12"/>
  <c r="IN23" i="12"/>
  <c r="IQ15" i="12"/>
  <c r="IP15" i="12"/>
  <c r="IO15" i="12"/>
  <c r="IN15" i="12"/>
  <c r="IQ11" i="12"/>
  <c r="IP11" i="12"/>
  <c r="IO11" i="12"/>
  <c r="IN11" i="12"/>
  <c r="IQ19" i="12"/>
  <c r="IP19" i="12"/>
  <c r="IO19" i="12"/>
  <c r="IN19" i="12"/>
  <c r="IQ18" i="12"/>
  <c r="IP18" i="12"/>
  <c r="IO18" i="12"/>
  <c r="IN18" i="12"/>
  <c r="IQ8" i="12"/>
  <c r="IP8" i="12"/>
  <c r="IO8" i="12"/>
  <c r="IN8" i="12"/>
  <c r="IQ9" i="12"/>
  <c r="IP9" i="12"/>
  <c r="IO9" i="12"/>
  <c r="IN9" i="12"/>
  <c r="IQ20" i="12"/>
  <c r="IP20" i="12"/>
  <c r="IO20" i="12"/>
  <c r="IN20" i="12"/>
  <c r="IQ7" i="12"/>
  <c r="IP7" i="12"/>
  <c r="IO7" i="12"/>
  <c r="IN7" i="12"/>
  <c r="IQ4" i="12"/>
  <c r="IP4" i="12"/>
  <c r="IO4" i="12"/>
  <c r="IN4" i="12"/>
  <c r="IQ5" i="12"/>
  <c r="IP5" i="12"/>
  <c r="IO5" i="12"/>
  <c r="IN5" i="12"/>
  <c r="IQ6" i="12"/>
  <c r="IP6" i="12"/>
  <c r="IO6" i="12"/>
  <c r="IN6" i="12"/>
  <c r="HV12" i="12"/>
  <c r="HU12" i="12"/>
  <c r="HT12" i="12"/>
  <c r="HS12" i="12"/>
  <c r="HV22" i="12"/>
  <c r="HU22" i="12"/>
  <c r="HT22" i="12"/>
  <c r="HS22" i="12"/>
  <c r="HV17" i="12"/>
  <c r="HU17" i="12"/>
  <c r="HT17" i="12"/>
  <c r="HS17" i="12"/>
  <c r="HV16" i="12"/>
  <c r="HU16" i="12"/>
  <c r="HT16" i="12"/>
  <c r="HS16" i="12"/>
  <c r="HV10" i="12"/>
  <c r="HU10" i="12"/>
  <c r="HT10" i="12"/>
  <c r="HS10" i="12"/>
  <c r="HV23" i="12"/>
  <c r="HU23" i="12"/>
  <c r="HT23" i="12"/>
  <c r="HS23" i="12"/>
  <c r="HV15" i="12"/>
  <c r="HU15" i="12"/>
  <c r="HT15" i="12"/>
  <c r="HS15" i="12"/>
  <c r="HV11" i="12"/>
  <c r="HU11" i="12"/>
  <c r="HT11" i="12"/>
  <c r="HS11" i="12"/>
  <c r="HV19" i="12"/>
  <c r="HU19" i="12"/>
  <c r="HT19" i="12"/>
  <c r="HS19" i="12"/>
  <c r="HV18" i="12"/>
  <c r="HU18" i="12"/>
  <c r="HT18" i="12"/>
  <c r="HS18" i="12"/>
  <c r="HV8" i="12"/>
  <c r="HU8" i="12"/>
  <c r="HT8" i="12"/>
  <c r="HS8" i="12"/>
  <c r="HV9" i="12"/>
  <c r="HU9" i="12"/>
  <c r="HT9" i="12"/>
  <c r="HS9" i="12"/>
  <c r="HV20" i="12"/>
  <c r="HU20" i="12"/>
  <c r="HT20" i="12"/>
  <c r="HS20" i="12"/>
  <c r="HV7" i="12"/>
  <c r="HU7" i="12"/>
  <c r="HT7" i="12"/>
  <c r="HS7" i="12"/>
  <c r="HV4" i="12"/>
  <c r="HU4" i="12"/>
  <c r="HT4" i="12"/>
  <c r="HS4" i="12"/>
  <c r="HV5" i="12"/>
  <c r="HU5" i="12"/>
  <c r="HT5" i="12"/>
  <c r="HS5" i="12"/>
  <c r="HV6" i="12"/>
  <c r="HU6" i="12"/>
  <c r="HT6" i="12"/>
  <c r="HS6" i="12"/>
  <c r="HA12" i="12"/>
  <c r="GZ12" i="12"/>
  <c r="GY12" i="12"/>
  <c r="GX12" i="12"/>
  <c r="HA22" i="12"/>
  <c r="GZ22" i="12"/>
  <c r="GY22" i="12"/>
  <c r="GX22" i="12"/>
  <c r="HA17" i="12"/>
  <c r="GZ17" i="12"/>
  <c r="GY17" i="12"/>
  <c r="GX17" i="12"/>
  <c r="HA16" i="12"/>
  <c r="GZ16" i="12"/>
  <c r="GY16" i="12"/>
  <c r="GX16" i="12"/>
  <c r="HA10" i="12"/>
  <c r="GZ10" i="12"/>
  <c r="GY10" i="12"/>
  <c r="GX10" i="12"/>
  <c r="HA23" i="12"/>
  <c r="GZ23" i="12"/>
  <c r="GY23" i="12"/>
  <c r="GX23" i="12"/>
  <c r="HA15" i="12"/>
  <c r="GZ15" i="12"/>
  <c r="GY15" i="12"/>
  <c r="GX15" i="12"/>
  <c r="HA11" i="12"/>
  <c r="GZ11" i="12"/>
  <c r="GY11" i="12"/>
  <c r="GX11" i="12"/>
  <c r="HA19" i="12"/>
  <c r="GZ19" i="12"/>
  <c r="GY19" i="12"/>
  <c r="GX19" i="12"/>
  <c r="HA18" i="12"/>
  <c r="GZ18" i="12"/>
  <c r="GY18" i="12"/>
  <c r="GX18" i="12"/>
  <c r="HA8" i="12"/>
  <c r="GZ8" i="12"/>
  <c r="GY8" i="12"/>
  <c r="GX8" i="12"/>
  <c r="HA9" i="12"/>
  <c r="GZ9" i="12"/>
  <c r="GY9" i="12"/>
  <c r="GX9" i="12"/>
  <c r="HA20" i="12"/>
  <c r="GZ20" i="12"/>
  <c r="GY20" i="12"/>
  <c r="GX20" i="12"/>
  <c r="HA7" i="12"/>
  <c r="GZ7" i="12"/>
  <c r="GY7" i="12"/>
  <c r="GX7" i="12"/>
  <c r="HA4" i="12"/>
  <c r="GZ4" i="12"/>
  <c r="GY4" i="12"/>
  <c r="GX4" i="12"/>
  <c r="HA5" i="12"/>
  <c r="GZ5" i="12"/>
  <c r="GY5" i="12"/>
  <c r="GX5" i="12"/>
  <c r="HA6" i="12"/>
  <c r="GZ6" i="12"/>
  <c r="GY6" i="12"/>
  <c r="GX6" i="12"/>
  <c r="GF12" i="12"/>
  <c r="GE12" i="12"/>
  <c r="GD12" i="12"/>
  <c r="GC12" i="12"/>
  <c r="GF22" i="12"/>
  <c r="GE22" i="12"/>
  <c r="GD22" i="12"/>
  <c r="GC22" i="12"/>
  <c r="GF17" i="12"/>
  <c r="GE17" i="12"/>
  <c r="GD17" i="12"/>
  <c r="GC17" i="12"/>
  <c r="GF16" i="12"/>
  <c r="GE16" i="12"/>
  <c r="GD16" i="12"/>
  <c r="GC16" i="12"/>
  <c r="GF10" i="12"/>
  <c r="GE10" i="12"/>
  <c r="GD10" i="12"/>
  <c r="GC10" i="12"/>
  <c r="GF23" i="12"/>
  <c r="GE23" i="12"/>
  <c r="GD23" i="12"/>
  <c r="GC23" i="12"/>
  <c r="GF15" i="12"/>
  <c r="GE15" i="12"/>
  <c r="GD15" i="12"/>
  <c r="GC15" i="12"/>
  <c r="GF11" i="12"/>
  <c r="GE11" i="12"/>
  <c r="GD11" i="12"/>
  <c r="GC11" i="12"/>
  <c r="GF19" i="12"/>
  <c r="GE19" i="12"/>
  <c r="GD19" i="12"/>
  <c r="GC19" i="12"/>
  <c r="GF18" i="12"/>
  <c r="GE18" i="12"/>
  <c r="GD18" i="12"/>
  <c r="GC18" i="12"/>
  <c r="GF8" i="12"/>
  <c r="GE8" i="12"/>
  <c r="GD8" i="12"/>
  <c r="GC8" i="12"/>
  <c r="GF9" i="12"/>
  <c r="GE9" i="12"/>
  <c r="GD9" i="12"/>
  <c r="GC9" i="12"/>
  <c r="GF20" i="12"/>
  <c r="GE20" i="12"/>
  <c r="GD20" i="12"/>
  <c r="GC20" i="12"/>
  <c r="GF7" i="12"/>
  <c r="GE7" i="12"/>
  <c r="GD7" i="12"/>
  <c r="GC7" i="12"/>
  <c r="GF4" i="12"/>
  <c r="GE4" i="12"/>
  <c r="GD4" i="12"/>
  <c r="GC4" i="12"/>
  <c r="GF5" i="12"/>
  <c r="GE5" i="12"/>
  <c r="GD5" i="12"/>
  <c r="GC5" i="12"/>
  <c r="GF6" i="12"/>
  <c r="GE6" i="12"/>
  <c r="GD6" i="12"/>
  <c r="GC6" i="12"/>
  <c r="FK12" i="12"/>
  <c r="FJ12" i="12"/>
  <c r="FI12" i="12"/>
  <c r="FH12" i="12"/>
  <c r="FK22" i="12"/>
  <c r="FJ22" i="12"/>
  <c r="FI22" i="12"/>
  <c r="FH22" i="12"/>
  <c r="FK17" i="12"/>
  <c r="FJ17" i="12"/>
  <c r="FI17" i="12"/>
  <c r="FH17" i="12"/>
  <c r="FK16" i="12"/>
  <c r="FJ16" i="12"/>
  <c r="FI16" i="12"/>
  <c r="FH16" i="12"/>
  <c r="FK10" i="12"/>
  <c r="FJ10" i="12"/>
  <c r="FI10" i="12"/>
  <c r="FH10" i="12"/>
  <c r="FK23" i="12"/>
  <c r="FJ23" i="12"/>
  <c r="FI23" i="12"/>
  <c r="FH23" i="12"/>
  <c r="FK15" i="12"/>
  <c r="FJ15" i="12"/>
  <c r="FI15" i="12"/>
  <c r="FH15" i="12"/>
  <c r="FK11" i="12"/>
  <c r="FJ11" i="12"/>
  <c r="FI11" i="12"/>
  <c r="FH11" i="12"/>
  <c r="FK19" i="12"/>
  <c r="FJ19" i="12"/>
  <c r="FI19" i="12"/>
  <c r="FH19" i="12"/>
  <c r="FK18" i="12"/>
  <c r="FJ18" i="12"/>
  <c r="FI18" i="12"/>
  <c r="FH18" i="12"/>
  <c r="FK8" i="12"/>
  <c r="FJ8" i="12"/>
  <c r="FI8" i="12"/>
  <c r="FH8" i="12"/>
  <c r="FK9" i="12"/>
  <c r="FJ9" i="12"/>
  <c r="FI9" i="12"/>
  <c r="FH9" i="12"/>
  <c r="FK20" i="12"/>
  <c r="FJ20" i="12"/>
  <c r="FI20" i="12"/>
  <c r="FH20" i="12"/>
  <c r="FK7" i="12"/>
  <c r="FJ7" i="12"/>
  <c r="FI7" i="12"/>
  <c r="FH7" i="12"/>
  <c r="FK4" i="12"/>
  <c r="FJ4" i="12"/>
  <c r="FI4" i="12"/>
  <c r="FH4" i="12"/>
  <c r="FK5" i="12"/>
  <c r="FJ5" i="12"/>
  <c r="FI5" i="12"/>
  <c r="FH5" i="12"/>
  <c r="FK6" i="12"/>
  <c r="FJ6" i="12"/>
  <c r="FI6" i="12"/>
  <c r="FH6" i="12"/>
  <c r="EP12" i="12"/>
  <c r="EO12" i="12"/>
  <c r="EN12" i="12"/>
  <c r="EM12" i="12"/>
  <c r="EP22" i="12"/>
  <c r="EO22" i="12"/>
  <c r="EN22" i="12"/>
  <c r="EM22" i="12"/>
  <c r="EP17" i="12"/>
  <c r="EO17" i="12"/>
  <c r="EN17" i="12"/>
  <c r="EM17" i="12"/>
  <c r="EP16" i="12"/>
  <c r="EO16" i="12"/>
  <c r="EN16" i="12"/>
  <c r="EM16" i="12"/>
  <c r="EP10" i="12"/>
  <c r="EO10" i="12"/>
  <c r="EN10" i="12"/>
  <c r="EM10" i="12"/>
  <c r="EP23" i="12"/>
  <c r="EO23" i="12"/>
  <c r="EN23" i="12"/>
  <c r="EM23" i="12"/>
  <c r="EP15" i="12"/>
  <c r="EO15" i="12"/>
  <c r="EN15" i="12"/>
  <c r="EM15" i="12"/>
  <c r="EP11" i="12"/>
  <c r="EO11" i="12"/>
  <c r="EN11" i="12"/>
  <c r="EM11" i="12"/>
  <c r="EP19" i="12"/>
  <c r="EO19" i="12"/>
  <c r="EN19" i="12"/>
  <c r="EM19" i="12"/>
  <c r="EP18" i="12"/>
  <c r="EO18" i="12"/>
  <c r="EN18" i="12"/>
  <c r="EM18" i="12"/>
  <c r="EP8" i="12"/>
  <c r="EO8" i="12"/>
  <c r="EN8" i="12"/>
  <c r="EM8" i="12"/>
  <c r="EP9" i="12"/>
  <c r="EO9" i="12"/>
  <c r="EN9" i="12"/>
  <c r="EM9" i="12"/>
  <c r="EP20" i="12"/>
  <c r="EO20" i="12"/>
  <c r="EN20" i="12"/>
  <c r="EM20" i="12"/>
  <c r="EP7" i="12"/>
  <c r="EO7" i="12"/>
  <c r="EN7" i="12"/>
  <c r="EM7" i="12"/>
  <c r="EP4" i="12"/>
  <c r="EO4" i="12"/>
  <c r="EN4" i="12"/>
  <c r="EM4" i="12"/>
  <c r="EP5" i="12"/>
  <c r="EO5" i="12"/>
  <c r="EN5" i="12"/>
  <c r="EM5" i="12"/>
  <c r="EP6" i="12"/>
  <c r="EO6" i="12"/>
  <c r="EN6" i="12"/>
  <c r="EM6" i="12"/>
  <c r="DU12" i="12"/>
  <c r="DT12" i="12"/>
  <c r="DS12" i="12"/>
  <c r="DR12" i="12"/>
  <c r="DU22" i="12"/>
  <c r="DT22" i="12"/>
  <c r="DS22" i="12"/>
  <c r="DR22" i="12"/>
  <c r="DU17" i="12"/>
  <c r="DT17" i="12"/>
  <c r="DS17" i="12"/>
  <c r="DR17" i="12"/>
  <c r="DU16" i="12"/>
  <c r="DT16" i="12"/>
  <c r="DS16" i="12"/>
  <c r="DR16" i="12"/>
  <c r="DU10" i="12"/>
  <c r="DT10" i="12"/>
  <c r="DS10" i="12"/>
  <c r="DR10" i="12"/>
  <c r="DU23" i="12"/>
  <c r="DT23" i="12"/>
  <c r="DS23" i="12"/>
  <c r="DR23" i="12"/>
  <c r="DU15" i="12"/>
  <c r="DT15" i="12"/>
  <c r="DS15" i="12"/>
  <c r="DR15" i="12"/>
  <c r="DU11" i="12"/>
  <c r="DT11" i="12"/>
  <c r="DS11" i="12"/>
  <c r="DR11" i="12"/>
  <c r="DU19" i="12"/>
  <c r="DT19" i="12"/>
  <c r="DS19" i="12"/>
  <c r="DR19" i="12"/>
  <c r="DU18" i="12"/>
  <c r="DT18" i="12"/>
  <c r="DS18" i="12"/>
  <c r="DR18" i="12"/>
  <c r="DU8" i="12"/>
  <c r="DT8" i="12"/>
  <c r="DS8" i="12"/>
  <c r="DR8" i="12"/>
  <c r="DU9" i="12"/>
  <c r="DT9" i="12"/>
  <c r="DS9" i="12"/>
  <c r="DR9" i="12"/>
  <c r="DU20" i="12"/>
  <c r="DT20" i="12"/>
  <c r="DS20" i="12"/>
  <c r="DR20" i="12"/>
  <c r="DU7" i="12"/>
  <c r="DT7" i="12"/>
  <c r="DS7" i="12"/>
  <c r="DR7" i="12"/>
  <c r="DU4" i="12"/>
  <c r="DT4" i="12"/>
  <c r="DS4" i="12"/>
  <c r="DR4" i="12"/>
  <c r="DU5" i="12"/>
  <c r="DT5" i="12"/>
  <c r="DS5" i="12"/>
  <c r="DR5" i="12"/>
  <c r="DU6" i="12"/>
  <c r="DT6" i="12"/>
  <c r="DS6" i="12"/>
  <c r="DR6" i="12"/>
  <c r="CZ12" i="12"/>
  <c r="CY12" i="12"/>
  <c r="CX12" i="12"/>
  <c r="CW12" i="12"/>
  <c r="CZ22" i="12"/>
  <c r="CY22" i="12"/>
  <c r="CX22" i="12"/>
  <c r="CW22" i="12"/>
  <c r="CZ17" i="12"/>
  <c r="CY17" i="12"/>
  <c r="CX17" i="12"/>
  <c r="CW17" i="12"/>
  <c r="CZ16" i="12"/>
  <c r="CY16" i="12"/>
  <c r="CX16" i="12"/>
  <c r="CW16" i="12"/>
  <c r="CZ10" i="12"/>
  <c r="CY10" i="12"/>
  <c r="CX10" i="12"/>
  <c r="CW10" i="12"/>
  <c r="CZ23" i="12"/>
  <c r="CY23" i="12"/>
  <c r="CX23" i="12"/>
  <c r="CW23" i="12"/>
  <c r="CZ15" i="12"/>
  <c r="CY15" i="12"/>
  <c r="CX15" i="12"/>
  <c r="CW15" i="12"/>
  <c r="CZ11" i="12"/>
  <c r="CY11" i="12"/>
  <c r="CX11" i="12"/>
  <c r="CW11" i="12"/>
  <c r="CZ19" i="12"/>
  <c r="CY19" i="12"/>
  <c r="CX19" i="12"/>
  <c r="CW19" i="12"/>
  <c r="CZ18" i="12"/>
  <c r="CY18" i="12"/>
  <c r="CX18" i="12"/>
  <c r="CW18" i="12"/>
  <c r="CZ8" i="12"/>
  <c r="CY8" i="12"/>
  <c r="CX8" i="12"/>
  <c r="CW8" i="12"/>
  <c r="CZ9" i="12"/>
  <c r="CY9" i="12"/>
  <c r="CX9" i="12"/>
  <c r="CW9" i="12"/>
  <c r="CZ20" i="12"/>
  <c r="CY20" i="12"/>
  <c r="CX20" i="12"/>
  <c r="CW20" i="12"/>
  <c r="CZ7" i="12"/>
  <c r="CY7" i="12"/>
  <c r="CX7" i="12"/>
  <c r="CW7" i="12"/>
  <c r="CZ4" i="12"/>
  <c r="CY4" i="12"/>
  <c r="CX4" i="12"/>
  <c r="CW4" i="12"/>
  <c r="CZ5" i="12"/>
  <c r="CY5" i="12"/>
  <c r="CX5" i="12"/>
  <c r="CW5" i="12"/>
  <c r="CZ6" i="12"/>
  <c r="CY6" i="12"/>
  <c r="CX6" i="12"/>
  <c r="CW6" i="12"/>
  <c r="LB17" i="6"/>
  <c r="LA17" i="6"/>
  <c r="KZ17" i="6"/>
  <c r="KY17" i="6"/>
  <c r="LB23" i="6"/>
  <c r="LA23" i="6"/>
  <c r="KZ23" i="6"/>
  <c r="KY23" i="6"/>
  <c r="LB13" i="6"/>
  <c r="LA13" i="6"/>
  <c r="KZ13" i="6"/>
  <c r="KY13" i="6"/>
  <c r="LB10" i="6"/>
  <c r="LA10" i="6"/>
  <c r="KZ10" i="6"/>
  <c r="KY10" i="6"/>
  <c r="LB8" i="6"/>
  <c r="LA8" i="6"/>
  <c r="KZ8" i="6"/>
  <c r="KY8" i="6"/>
  <c r="LB11" i="6"/>
  <c r="LA11" i="6"/>
  <c r="KZ11" i="6"/>
  <c r="KY11" i="6"/>
  <c r="LB12" i="6"/>
  <c r="LA12" i="6"/>
  <c r="KZ12" i="6"/>
  <c r="KY12" i="6"/>
  <c r="LB18" i="6"/>
  <c r="LA18" i="6"/>
  <c r="KZ18" i="6"/>
  <c r="KY18" i="6"/>
  <c r="LB6" i="6"/>
  <c r="LA6" i="6"/>
  <c r="KZ6" i="6"/>
  <c r="KY6" i="6"/>
  <c r="LB21" i="6"/>
  <c r="LA21" i="6"/>
  <c r="KZ21" i="6"/>
  <c r="KY21" i="6"/>
  <c r="LB7" i="6"/>
  <c r="LA7" i="6"/>
  <c r="KZ7" i="6"/>
  <c r="KY7" i="6"/>
  <c r="LB14" i="6"/>
  <c r="LA14" i="6"/>
  <c r="KZ14" i="6"/>
  <c r="KY14" i="6"/>
  <c r="LB5" i="6"/>
  <c r="LA5" i="6"/>
  <c r="KZ5" i="6"/>
  <c r="KY5" i="6"/>
  <c r="LB4" i="6"/>
  <c r="LA4" i="6"/>
  <c r="KZ4" i="6"/>
  <c r="KY4" i="6"/>
  <c r="KG17" i="6"/>
  <c r="KF17" i="6"/>
  <c r="KE17" i="6"/>
  <c r="KD17" i="6"/>
  <c r="KG23" i="6"/>
  <c r="KF23" i="6"/>
  <c r="KE23" i="6"/>
  <c r="KD23" i="6"/>
  <c r="KG13" i="6"/>
  <c r="KF13" i="6"/>
  <c r="KE13" i="6"/>
  <c r="KD13" i="6"/>
  <c r="KG10" i="6"/>
  <c r="KF10" i="6"/>
  <c r="KE10" i="6"/>
  <c r="KD10" i="6"/>
  <c r="KG8" i="6"/>
  <c r="KF8" i="6"/>
  <c r="KE8" i="6"/>
  <c r="KD8" i="6"/>
  <c r="KG11" i="6"/>
  <c r="KF11" i="6"/>
  <c r="KE11" i="6"/>
  <c r="KD11" i="6"/>
  <c r="KG12" i="6"/>
  <c r="KF12" i="6"/>
  <c r="KE12" i="6"/>
  <c r="KD12" i="6"/>
  <c r="KG18" i="6"/>
  <c r="KF18" i="6"/>
  <c r="KE18" i="6"/>
  <c r="KD18" i="6"/>
  <c r="KG6" i="6"/>
  <c r="KF6" i="6"/>
  <c r="KE6" i="6"/>
  <c r="KD6" i="6"/>
  <c r="KG21" i="6"/>
  <c r="KF21" i="6"/>
  <c r="KE21" i="6"/>
  <c r="KD21" i="6"/>
  <c r="KG7" i="6"/>
  <c r="KF7" i="6"/>
  <c r="KE7" i="6"/>
  <c r="KD7" i="6"/>
  <c r="KG14" i="6"/>
  <c r="KF14" i="6"/>
  <c r="KE14" i="6"/>
  <c r="KD14" i="6"/>
  <c r="KG5" i="6"/>
  <c r="KF5" i="6"/>
  <c r="KE5" i="6"/>
  <c r="KD5" i="6"/>
  <c r="KG4" i="6"/>
  <c r="KF4" i="6"/>
  <c r="KE4" i="6"/>
  <c r="KD4" i="6"/>
  <c r="JL17" i="6"/>
  <c r="JK17" i="6"/>
  <c r="JJ17" i="6"/>
  <c r="JI17" i="6"/>
  <c r="JL23" i="6"/>
  <c r="JK23" i="6"/>
  <c r="JJ23" i="6"/>
  <c r="JI23" i="6"/>
  <c r="JL13" i="6"/>
  <c r="JK13" i="6"/>
  <c r="JJ13" i="6"/>
  <c r="JI13" i="6"/>
  <c r="JL10" i="6"/>
  <c r="JK10" i="6"/>
  <c r="JJ10" i="6"/>
  <c r="JI10" i="6"/>
  <c r="JL8" i="6"/>
  <c r="JK8" i="6"/>
  <c r="JJ8" i="6"/>
  <c r="JI8" i="6"/>
  <c r="JL11" i="6"/>
  <c r="JK11" i="6"/>
  <c r="JJ11" i="6"/>
  <c r="JI11" i="6"/>
  <c r="JL12" i="6"/>
  <c r="JK12" i="6"/>
  <c r="JJ12" i="6"/>
  <c r="JI12" i="6"/>
  <c r="JL18" i="6"/>
  <c r="JK18" i="6"/>
  <c r="JJ18" i="6"/>
  <c r="JI18" i="6"/>
  <c r="JL6" i="6"/>
  <c r="JK6" i="6"/>
  <c r="JJ6" i="6"/>
  <c r="JI6" i="6"/>
  <c r="JL21" i="6"/>
  <c r="JK21" i="6"/>
  <c r="JJ21" i="6"/>
  <c r="JI21" i="6"/>
  <c r="JL7" i="6"/>
  <c r="JK7" i="6"/>
  <c r="JJ7" i="6"/>
  <c r="JI7" i="6"/>
  <c r="JL14" i="6"/>
  <c r="JK14" i="6"/>
  <c r="JJ14" i="6"/>
  <c r="JI14" i="6"/>
  <c r="JL5" i="6"/>
  <c r="JK5" i="6"/>
  <c r="JJ5" i="6"/>
  <c r="JI5" i="6"/>
  <c r="JL4" i="6"/>
  <c r="JK4" i="6"/>
  <c r="JJ4" i="6"/>
  <c r="JI4" i="6"/>
  <c r="IQ17" i="6"/>
  <c r="IP17" i="6"/>
  <c r="IO17" i="6"/>
  <c r="IN17" i="6"/>
  <c r="IQ23" i="6"/>
  <c r="IP23" i="6"/>
  <c r="IO23" i="6"/>
  <c r="IN23" i="6"/>
  <c r="IQ13" i="6"/>
  <c r="IP13" i="6"/>
  <c r="IO13" i="6"/>
  <c r="IN13" i="6"/>
  <c r="IQ10" i="6"/>
  <c r="IP10" i="6"/>
  <c r="IO10" i="6"/>
  <c r="IN10" i="6"/>
  <c r="IQ8" i="6"/>
  <c r="IP8" i="6"/>
  <c r="IO8" i="6"/>
  <c r="IN8" i="6"/>
  <c r="IQ11" i="6"/>
  <c r="IP11" i="6"/>
  <c r="IO11" i="6"/>
  <c r="IN11" i="6"/>
  <c r="IQ12" i="6"/>
  <c r="IP12" i="6"/>
  <c r="IO12" i="6"/>
  <c r="IN12" i="6"/>
  <c r="IQ18" i="6"/>
  <c r="IP18" i="6"/>
  <c r="IO18" i="6"/>
  <c r="IN18" i="6"/>
  <c r="IQ6" i="6"/>
  <c r="IP6" i="6"/>
  <c r="IO6" i="6"/>
  <c r="IN6" i="6"/>
  <c r="IQ21" i="6"/>
  <c r="IP21" i="6"/>
  <c r="IO21" i="6"/>
  <c r="IN21" i="6"/>
  <c r="IQ7" i="6"/>
  <c r="IP7" i="6"/>
  <c r="IO7" i="6"/>
  <c r="IN7" i="6"/>
  <c r="IQ14" i="6"/>
  <c r="IP14" i="6"/>
  <c r="IO14" i="6"/>
  <c r="IN14" i="6"/>
  <c r="IQ5" i="6"/>
  <c r="IP5" i="6"/>
  <c r="IO5" i="6"/>
  <c r="IN5" i="6"/>
  <c r="IQ4" i="6"/>
  <c r="IP4" i="6"/>
  <c r="IO4" i="6"/>
  <c r="IN4" i="6"/>
  <c r="HV17" i="6"/>
  <c r="HU17" i="6"/>
  <c r="HT17" i="6"/>
  <c r="HS17" i="6"/>
  <c r="HV23" i="6"/>
  <c r="HU23" i="6"/>
  <c r="HT23" i="6"/>
  <c r="HS23" i="6"/>
  <c r="HV13" i="6"/>
  <c r="HU13" i="6"/>
  <c r="HT13" i="6"/>
  <c r="HS13" i="6"/>
  <c r="HV10" i="6"/>
  <c r="HU10" i="6"/>
  <c r="HT10" i="6"/>
  <c r="HS10" i="6"/>
  <c r="HV8" i="6"/>
  <c r="HU8" i="6"/>
  <c r="HT8" i="6"/>
  <c r="HS8" i="6"/>
  <c r="HV11" i="6"/>
  <c r="HU11" i="6"/>
  <c r="HT11" i="6"/>
  <c r="HS11" i="6"/>
  <c r="HV12" i="6"/>
  <c r="HU12" i="6"/>
  <c r="HT12" i="6"/>
  <c r="HS12" i="6"/>
  <c r="HV18" i="6"/>
  <c r="HU18" i="6"/>
  <c r="HT18" i="6"/>
  <c r="HS18" i="6"/>
  <c r="HV6" i="6"/>
  <c r="HU6" i="6"/>
  <c r="HT6" i="6"/>
  <c r="HS6" i="6"/>
  <c r="HV21" i="6"/>
  <c r="HU21" i="6"/>
  <c r="HT21" i="6"/>
  <c r="HS21" i="6"/>
  <c r="HV7" i="6"/>
  <c r="HU7" i="6"/>
  <c r="HT7" i="6"/>
  <c r="HS7" i="6"/>
  <c r="HV14" i="6"/>
  <c r="HU14" i="6"/>
  <c r="HT14" i="6"/>
  <c r="HS14" i="6"/>
  <c r="HV5" i="6"/>
  <c r="HU5" i="6"/>
  <c r="HT5" i="6"/>
  <c r="HS5" i="6"/>
  <c r="HV4" i="6"/>
  <c r="HU4" i="6"/>
  <c r="HT4" i="6"/>
  <c r="HS4" i="6"/>
  <c r="HA17" i="6"/>
  <c r="GZ17" i="6"/>
  <c r="GY17" i="6"/>
  <c r="GX17" i="6"/>
  <c r="HA23" i="6"/>
  <c r="GZ23" i="6"/>
  <c r="GY23" i="6"/>
  <c r="GX23" i="6"/>
  <c r="HA13" i="6"/>
  <c r="GZ13" i="6"/>
  <c r="GY13" i="6"/>
  <c r="GX13" i="6"/>
  <c r="HA10" i="6"/>
  <c r="GZ10" i="6"/>
  <c r="GY10" i="6"/>
  <c r="GX10" i="6"/>
  <c r="HA8" i="6"/>
  <c r="GZ8" i="6"/>
  <c r="GY8" i="6"/>
  <c r="GX8" i="6"/>
  <c r="HA11" i="6"/>
  <c r="GZ11" i="6"/>
  <c r="GY11" i="6"/>
  <c r="GX11" i="6"/>
  <c r="HA12" i="6"/>
  <c r="GZ12" i="6"/>
  <c r="GY12" i="6"/>
  <c r="GX12" i="6"/>
  <c r="HA18" i="6"/>
  <c r="GZ18" i="6"/>
  <c r="GY18" i="6"/>
  <c r="GX18" i="6"/>
  <c r="HA6" i="6"/>
  <c r="GZ6" i="6"/>
  <c r="GY6" i="6"/>
  <c r="GX6" i="6"/>
  <c r="HA21" i="6"/>
  <c r="GZ21" i="6"/>
  <c r="GY21" i="6"/>
  <c r="GX21" i="6"/>
  <c r="HA7" i="6"/>
  <c r="GZ7" i="6"/>
  <c r="GY7" i="6"/>
  <c r="GX7" i="6"/>
  <c r="HA14" i="6"/>
  <c r="GZ14" i="6"/>
  <c r="GY14" i="6"/>
  <c r="GX14" i="6"/>
  <c r="HA5" i="6"/>
  <c r="GZ5" i="6"/>
  <c r="GY5" i="6"/>
  <c r="GX5" i="6"/>
  <c r="HA4" i="6"/>
  <c r="GZ4" i="6"/>
  <c r="GY4" i="6"/>
  <c r="GX4" i="6"/>
  <c r="GF17" i="6"/>
  <c r="GE17" i="6"/>
  <c r="GD17" i="6"/>
  <c r="GC17" i="6"/>
  <c r="GF23" i="6"/>
  <c r="GE23" i="6"/>
  <c r="GD23" i="6"/>
  <c r="GC23" i="6"/>
  <c r="GF13" i="6"/>
  <c r="GE13" i="6"/>
  <c r="GD13" i="6"/>
  <c r="GC13" i="6"/>
  <c r="GF10" i="6"/>
  <c r="GE10" i="6"/>
  <c r="GD10" i="6"/>
  <c r="GC10" i="6"/>
  <c r="GF8" i="6"/>
  <c r="GE8" i="6"/>
  <c r="GD8" i="6"/>
  <c r="GC8" i="6"/>
  <c r="GF11" i="6"/>
  <c r="GE11" i="6"/>
  <c r="GD11" i="6"/>
  <c r="GC11" i="6"/>
  <c r="GF12" i="6"/>
  <c r="GE12" i="6"/>
  <c r="GD12" i="6"/>
  <c r="GC12" i="6"/>
  <c r="GF18" i="6"/>
  <c r="GE18" i="6"/>
  <c r="GD18" i="6"/>
  <c r="GC18" i="6"/>
  <c r="GF6" i="6"/>
  <c r="GE6" i="6"/>
  <c r="GD6" i="6"/>
  <c r="GC6" i="6"/>
  <c r="GF21" i="6"/>
  <c r="GE21" i="6"/>
  <c r="GD21" i="6"/>
  <c r="GC21" i="6"/>
  <c r="GF7" i="6"/>
  <c r="GE7" i="6"/>
  <c r="GD7" i="6"/>
  <c r="GC7" i="6"/>
  <c r="GF14" i="6"/>
  <c r="GE14" i="6"/>
  <c r="GD14" i="6"/>
  <c r="GC14" i="6"/>
  <c r="GF5" i="6"/>
  <c r="GE5" i="6"/>
  <c r="GD5" i="6"/>
  <c r="GC5" i="6"/>
  <c r="GF4" i="6"/>
  <c r="GE4" i="6"/>
  <c r="GD4" i="6"/>
  <c r="GC4" i="6"/>
  <c r="FK17" i="6"/>
  <c r="FJ17" i="6"/>
  <c r="FI17" i="6"/>
  <c r="FH17" i="6"/>
  <c r="FK23" i="6"/>
  <c r="FJ23" i="6"/>
  <c r="FI23" i="6"/>
  <c r="FH23" i="6"/>
  <c r="FK13" i="6"/>
  <c r="FJ13" i="6"/>
  <c r="FI13" i="6"/>
  <c r="FH13" i="6"/>
  <c r="FK10" i="6"/>
  <c r="FJ10" i="6"/>
  <c r="FI10" i="6"/>
  <c r="FH10" i="6"/>
  <c r="FK8" i="6"/>
  <c r="FJ8" i="6"/>
  <c r="FI8" i="6"/>
  <c r="FH8" i="6"/>
  <c r="FK11" i="6"/>
  <c r="FJ11" i="6"/>
  <c r="FI11" i="6"/>
  <c r="FH11" i="6"/>
  <c r="FK12" i="6"/>
  <c r="FJ12" i="6"/>
  <c r="FI12" i="6"/>
  <c r="FH12" i="6"/>
  <c r="FK18" i="6"/>
  <c r="FJ18" i="6"/>
  <c r="FI18" i="6"/>
  <c r="FH18" i="6"/>
  <c r="FK6" i="6"/>
  <c r="FJ6" i="6"/>
  <c r="FI6" i="6"/>
  <c r="FH6" i="6"/>
  <c r="FK21" i="6"/>
  <c r="FJ21" i="6"/>
  <c r="FI21" i="6"/>
  <c r="FH21" i="6"/>
  <c r="FK7" i="6"/>
  <c r="FJ7" i="6"/>
  <c r="FI7" i="6"/>
  <c r="FH7" i="6"/>
  <c r="FK14" i="6"/>
  <c r="FJ14" i="6"/>
  <c r="FI14" i="6"/>
  <c r="FH14" i="6"/>
  <c r="FK5" i="6"/>
  <c r="FJ5" i="6"/>
  <c r="FI5" i="6"/>
  <c r="FH5" i="6"/>
  <c r="FK4" i="6"/>
  <c r="FJ4" i="6"/>
  <c r="FI4" i="6"/>
  <c r="FH4" i="6"/>
  <c r="EP17" i="6"/>
  <c r="EO17" i="6"/>
  <c r="EN17" i="6"/>
  <c r="EM17" i="6"/>
  <c r="EP23" i="6"/>
  <c r="EO23" i="6"/>
  <c r="EN23" i="6"/>
  <c r="EM23" i="6"/>
  <c r="EP13" i="6"/>
  <c r="EO13" i="6"/>
  <c r="EN13" i="6"/>
  <c r="EM13" i="6"/>
  <c r="EP10" i="6"/>
  <c r="EO10" i="6"/>
  <c r="EN10" i="6"/>
  <c r="EM10" i="6"/>
  <c r="EP8" i="6"/>
  <c r="EO8" i="6"/>
  <c r="EN8" i="6"/>
  <c r="EM8" i="6"/>
  <c r="EP11" i="6"/>
  <c r="EO11" i="6"/>
  <c r="EN11" i="6"/>
  <c r="EM11" i="6"/>
  <c r="EP12" i="6"/>
  <c r="EO12" i="6"/>
  <c r="EN12" i="6"/>
  <c r="EM12" i="6"/>
  <c r="EP18" i="6"/>
  <c r="EO18" i="6"/>
  <c r="EN18" i="6"/>
  <c r="EM18" i="6"/>
  <c r="EP6" i="6"/>
  <c r="EO6" i="6"/>
  <c r="EN6" i="6"/>
  <c r="EM6" i="6"/>
  <c r="EP21" i="6"/>
  <c r="EO21" i="6"/>
  <c r="EN21" i="6"/>
  <c r="EM21" i="6"/>
  <c r="EP7" i="6"/>
  <c r="EO7" i="6"/>
  <c r="EN7" i="6"/>
  <c r="EM7" i="6"/>
  <c r="EP14" i="6"/>
  <c r="EO14" i="6"/>
  <c r="EN14" i="6"/>
  <c r="EM14" i="6"/>
  <c r="EP5" i="6"/>
  <c r="EO5" i="6"/>
  <c r="EN5" i="6"/>
  <c r="EM5" i="6"/>
  <c r="EP4" i="6"/>
  <c r="EO4" i="6"/>
  <c r="EN4" i="6"/>
  <c r="EM4" i="6"/>
  <c r="DU17" i="6"/>
  <c r="DT17" i="6"/>
  <c r="DS17" i="6"/>
  <c r="DR17" i="6"/>
  <c r="DU23" i="6"/>
  <c r="DT23" i="6"/>
  <c r="DS23" i="6"/>
  <c r="DR23" i="6"/>
  <c r="DU13" i="6"/>
  <c r="DT13" i="6"/>
  <c r="DS13" i="6"/>
  <c r="DR13" i="6"/>
  <c r="DU10" i="6"/>
  <c r="DT10" i="6"/>
  <c r="DS10" i="6"/>
  <c r="DR10" i="6"/>
  <c r="DU8" i="6"/>
  <c r="DT8" i="6"/>
  <c r="DS8" i="6"/>
  <c r="DR8" i="6"/>
  <c r="DU11" i="6"/>
  <c r="DT11" i="6"/>
  <c r="DS11" i="6"/>
  <c r="DR11" i="6"/>
  <c r="DU12" i="6"/>
  <c r="DT12" i="6"/>
  <c r="DS12" i="6"/>
  <c r="DR12" i="6"/>
  <c r="DU18" i="6"/>
  <c r="DT18" i="6"/>
  <c r="DS18" i="6"/>
  <c r="DR18" i="6"/>
  <c r="DU6" i="6"/>
  <c r="DT6" i="6"/>
  <c r="DS6" i="6"/>
  <c r="DR6" i="6"/>
  <c r="DU21" i="6"/>
  <c r="DT21" i="6"/>
  <c r="DS21" i="6"/>
  <c r="DR21" i="6"/>
  <c r="DU7" i="6"/>
  <c r="DT7" i="6"/>
  <c r="DS7" i="6"/>
  <c r="DR7" i="6"/>
  <c r="DU14" i="6"/>
  <c r="DT14" i="6"/>
  <c r="DS14" i="6"/>
  <c r="DR14" i="6"/>
  <c r="DU5" i="6"/>
  <c r="DT5" i="6"/>
  <c r="DS5" i="6"/>
  <c r="DR5" i="6"/>
  <c r="DU4" i="6"/>
  <c r="DT4" i="6"/>
  <c r="DS4" i="6"/>
  <c r="DR4" i="6"/>
  <c r="CZ17" i="6"/>
  <c r="CY17" i="6"/>
  <c r="CX17" i="6"/>
  <c r="CW17" i="6"/>
  <c r="CZ23" i="6"/>
  <c r="CY23" i="6"/>
  <c r="CX23" i="6"/>
  <c r="CW23" i="6"/>
  <c r="CZ13" i="6"/>
  <c r="CY13" i="6"/>
  <c r="CX13" i="6"/>
  <c r="CW13" i="6"/>
  <c r="CZ10" i="6"/>
  <c r="CY10" i="6"/>
  <c r="CX10" i="6"/>
  <c r="CW10" i="6"/>
  <c r="CZ8" i="6"/>
  <c r="CY8" i="6"/>
  <c r="CX8" i="6"/>
  <c r="CW8" i="6"/>
  <c r="CZ11" i="6"/>
  <c r="CY11" i="6"/>
  <c r="CX11" i="6"/>
  <c r="CW11" i="6"/>
  <c r="CZ12" i="6"/>
  <c r="CY12" i="6"/>
  <c r="CX12" i="6"/>
  <c r="CW12" i="6"/>
  <c r="CZ18" i="6"/>
  <c r="CY18" i="6"/>
  <c r="CX18" i="6"/>
  <c r="CW18" i="6"/>
  <c r="CZ6" i="6"/>
  <c r="CY6" i="6"/>
  <c r="CX6" i="6"/>
  <c r="CW6" i="6"/>
  <c r="CZ21" i="6"/>
  <c r="CY21" i="6"/>
  <c r="CX21" i="6"/>
  <c r="CW21" i="6"/>
  <c r="CZ7" i="6"/>
  <c r="CY7" i="6"/>
  <c r="CX7" i="6"/>
  <c r="CW7" i="6"/>
  <c r="CZ14" i="6"/>
  <c r="CY14" i="6"/>
  <c r="CX14" i="6"/>
  <c r="CW14" i="6"/>
  <c r="CZ5" i="6"/>
  <c r="CY5" i="6"/>
  <c r="CX5" i="6"/>
  <c r="CW5" i="6"/>
  <c r="CZ4" i="6"/>
  <c r="CY4" i="6"/>
  <c r="CX4" i="6"/>
  <c r="CW4" i="6"/>
  <c r="LB6" i="8"/>
  <c r="LA6" i="8"/>
  <c r="KZ6" i="8"/>
  <c r="KY6" i="8"/>
  <c r="LB8" i="8"/>
  <c r="LA8" i="8"/>
  <c r="KZ8" i="8"/>
  <c r="KY8" i="8"/>
  <c r="LB11" i="8"/>
  <c r="LA11" i="8"/>
  <c r="KZ11" i="8"/>
  <c r="KY11" i="8"/>
  <c r="LB10" i="8"/>
  <c r="LA10" i="8"/>
  <c r="KZ10" i="8"/>
  <c r="KY10" i="8"/>
  <c r="LB4" i="8"/>
  <c r="LA4" i="8"/>
  <c r="KZ4" i="8"/>
  <c r="KY4" i="8"/>
  <c r="LB9" i="8"/>
  <c r="LA9" i="8"/>
  <c r="KZ9" i="8"/>
  <c r="KY9" i="8"/>
  <c r="LB7" i="8"/>
  <c r="LA7" i="8"/>
  <c r="KZ7" i="8"/>
  <c r="KY7" i="8"/>
  <c r="KG6" i="8"/>
  <c r="KF6" i="8"/>
  <c r="KE6" i="8"/>
  <c r="KD6" i="8"/>
  <c r="KG8" i="8"/>
  <c r="KF8" i="8"/>
  <c r="KE8" i="8"/>
  <c r="KD8" i="8"/>
  <c r="KG11" i="8"/>
  <c r="KF11" i="8"/>
  <c r="KE11" i="8"/>
  <c r="KD11" i="8"/>
  <c r="KG10" i="8"/>
  <c r="KF10" i="8"/>
  <c r="KE10" i="8"/>
  <c r="KD10" i="8"/>
  <c r="KG4" i="8"/>
  <c r="KF4" i="8"/>
  <c r="KE4" i="8"/>
  <c r="KD4" i="8"/>
  <c r="KG9" i="8"/>
  <c r="KF9" i="8"/>
  <c r="KE9" i="8"/>
  <c r="KD9" i="8"/>
  <c r="KG7" i="8"/>
  <c r="KF7" i="8"/>
  <c r="KE7" i="8"/>
  <c r="KD7" i="8"/>
  <c r="JL6" i="8"/>
  <c r="JK6" i="8"/>
  <c r="JJ6" i="8"/>
  <c r="JI6" i="8"/>
  <c r="JL8" i="8"/>
  <c r="JK8" i="8"/>
  <c r="JJ8" i="8"/>
  <c r="JI8" i="8"/>
  <c r="JL11" i="8"/>
  <c r="JK11" i="8"/>
  <c r="JJ11" i="8"/>
  <c r="JI11" i="8"/>
  <c r="JL10" i="8"/>
  <c r="JK10" i="8"/>
  <c r="JJ10" i="8"/>
  <c r="JI10" i="8"/>
  <c r="JL4" i="8"/>
  <c r="JK4" i="8"/>
  <c r="JJ4" i="8"/>
  <c r="JI4" i="8"/>
  <c r="JL9" i="8"/>
  <c r="JK9" i="8"/>
  <c r="JJ9" i="8"/>
  <c r="JI9" i="8"/>
  <c r="JL7" i="8"/>
  <c r="JK7" i="8"/>
  <c r="JJ7" i="8"/>
  <c r="JI7" i="8"/>
  <c r="IQ6" i="8"/>
  <c r="IP6" i="8"/>
  <c r="IO6" i="8"/>
  <c r="IN6" i="8"/>
  <c r="IQ8" i="8"/>
  <c r="IP8" i="8"/>
  <c r="IO8" i="8"/>
  <c r="IN8" i="8"/>
  <c r="IQ11" i="8"/>
  <c r="IP11" i="8"/>
  <c r="IO11" i="8"/>
  <c r="IN11" i="8"/>
  <c r="IQ10" i="8"/>
  <c r="IP10" i="8"/>
  <c r="IO10" i="8"/>
  <c r="IN10" i="8"/>
  <c r="IQ4" i="8"/>
  <c r="IP4" i="8"/>
  <c r="IO4" i="8"/>
  <c r="IN4" i="8"/>
  <c r="IQ9" i="8"/>
  <c r="IP9" i="8"/>
  <c r="IO9" i="8"/>
  <c r="IN9" i="8"/>
  <c r="IQ7" i="8"/>
  <c r="IP7" i="8"/>
  <c r="IO7" i="8"/>
  <c r="IN7" i="8"/>
  <c r="HV6" i="8"/>
  <c r="HU6" i="8"/>
  <c r="HT6" i="8"/>
  <c r="HS6" i="8"/>
  <c r="HV8" i="8"/>
  <c r="HU8" i="8"/>
  <c r="HT8" i="8"/>
  <c r="HS8" i="8"/>
  <c r="HV11" i="8"/>
  <c r="HU11" i="8"/>
  <c r="HT11" i="8"/>
  <c r="HS11" i="8"/>
  <c r="HV10" i="8"/>
  <c r="HU10" i="8"/>
  <c r="HT10" i="8"/>
  <c r="HS10" i="8"/>
  <c r="HV4" i="8"/>
  <c r="HU4" i="8"/>
  <c r="HT4" i="8"/>
  <c r="HS4" i="8"/>
  <c r="HV9" i="8"/>
  <c r="HU9" i="8"/>
  <c r="HT9" i="8"/>
  <c r="HS9" i="8"/>
  <c r="HV7" i="8"/>
  <c r="HU7" i="8"/>
  <c r="HT7" i="8"/>
  <c r="HS7" i="8"/>
  <c r="HA6" i="8"/>
  <c r="GZ6" i="8"/>
  <c r="GY6" i="8"/>
  <c r="GX6" i="8"/>
  <c r="HA8" i="8"/>
  <c r="GZ8" i="8"/>
  <c r="GY8" i="8"/>
  <c r="GX8" i="8"/>
  <c r="HA11" i="8"/>
  <c r="GZ11" i="8"/>
  <c r="GY11" i="8"/>
  <c r="GX11" i="8"/>
  <c r="HA10" i="8"/>
  <c r="GZ10" i="8"/>
  <c r="GY10" i="8"/>
  <c r="GX10" i="8"/>
  <c r="HA4" i="8"/>
  <c r="GZ4" i="8"/>
  <c r="GY4" i="8"/>
  <c r="GX4" i="8"/>
  <c r="HA9" i="8"/>
  <c r="GZ9" i="8"/>
  <c r="GY9" i="8"/>
  <c r="GX9" i="8"/>
  <c r="HA7" i="8"/>
  <c r="GZ7" i="8"/>
  <c r="GY7" i="8"/>
  <c r="GX7" i="8"/>
  <c r="GF6" i="8"/>
  <c r="GE6" i="8"/>
  <c r="GD6" i="8"/>
  <c r="GC6" i="8"/>
  <c r="GF8" i="8"/>
  <c r="GE8" i="8"/>
  <c r="GD8" i="8"/>
  <c r="GC8" i="8"/>
  <c r="GF11" i="8"/>
  <c r="GE11" i="8"/>
  <c r="GD11" i="8"/>
  <c r="GC11" i="8"/>
  <c r="GF10" i="8"/>
  <c r="GE10" i="8"/>
  <c r="GD10" i="8"/>
  <c r="GC10" i="8"/>
  <c r="GF4" i="8"/>
  <c r="GE4" i="8"/>
  <c r="GD4" i="8"/>
  <c r="GC4" i="8"/>
  <c r="GF9" i="8"/>
  <c r="GE9" i="8"/>
  <c r="GD9" i="8"/>
  <c r="GC9" i="8"/>
  <c r="GF7" i="8"/>
  <c r="GE7" i="8"/>
  <c r="GD7" i="8"/>
  <c r="GC7" i="8"/>
  <c r="FK6" i="8"/>
  <c r="FJ6" i="8"/>
  <c r="FI6" i="8"/>
  <c r="FH6" i="8"/>
  <c r="FK8" i="8"/>
  <c r="FJ8" i="8"/>
  <c r="FI8" i="8"/>
  <c r="FH8" i="8"/>
  <c r="FK11" i="8"/>
  <c r="FJ11" i="8"/>
  <c r="FI11" i="8"/>
  <c r="FH11" i="8"/>
  <c r="FK10" i="8"/>
  <c r="FJ10" i="8"/>
  <c r="FI10" i="8"/>
  <c r="FH10" i="8"/>
  <c r="FK4" i="8"/>
  <c r="FJ4" i="8"/>
  <c r="FI4" i="8"/>
  <c r="FH4" i="8"/>
  <c r="FK9" i="8"/>
  <c r="FJ9" i="8"/>
  <c r="FI9" i="8"/>
  <c r="FH9" i="8"/>
  <c r="FK7" i="8"/>
  <c r="FJ7" i="8"/>
  <c r="FI7" i="8"/>
  <c r="FH7" i="8"/>
  <c r="EP6" i="8"/>
  <c r="EO6" i="8"/>
  <c r="EN6" i="8"/>
  <c r="EM6" i="8"/>
  <c r="EP8" i="8"/>
  <c r="EO8" i="8"/>
  <c r="EN8" i="8"/>
  <c r="EM8" i="8"/>
  <c r="EP11" i="8"/>
  <c r="EO11" i="8"/>
  <c r="EN11" i="8"/>
  <c r="EM11" i="8"/>
  <c r="EP10" i="8"/>
  <c r="EO10" i="8"/>
  <c r="EN10" i="8"/>
  <c r="EM10" i="8"/>
  <c r="EP4" i="8"/>
  <c r="EO4" i="8"/>
  <c r="EN4" i="8"/>
  <c r="EM4" i="8"/>
  <c r="EP9" i="8"/>
  <c r="EO9" i="8"/>
  <c r="EN9" i="8"/>
  <c r="EM9" i="8"/>
  <c r="EP7" i="8"/>
  <c r="EO7" i="8"/>
  <c r="EN7" i="8"/>
  <c r="EM7" i="8"/>
  <c r="DU6" i="8"/>
  <c r="DT6" i="8"/>
  <c r="DS6" i="8"/>
  <c r="DR6" i="8"/>
  <c r="DU8" i="8"/>
  <c r="DT8" i="8"/>
  <c r="DS8" i="8"/>
  <c r="DR8" i="8"/>
  <c r="DU11" i="8"/>
  <c r="DT11" i="8"/>
  <c r="DS11" i="8"/>
  <c r="DR11" i="8"/>
  <c r="DU10" i="8"/>
  <c r="DT10" i="8"/>
  <c r="DS10" i="8"/>
  <c r="DR10" i="8"/>
  <c r="DU4" i="8"/>
  <c r="DT4" i="8"/>
  <c r="DS4" i="8"/>
  <c r="DR4" i="8"/>
  <c r="DU9" i="8"/>
  <c r="DT9" i="8"/>
  <c r="DS9" i="8"/>
  <c r="DR9" i="8"/>
  <c r="DU7" i="8"/>
  <c r="DT7" i="8"/>
  <c r="DS7" i="8"/>
  <c r="DR7" i="8"/>
  <c r="CZ6" i="8"/>
  <c r="CY6" i="8"/>
  <c r="CX6" i="8"/>
  <c r="CW6" i="8"/>
  <c r="CZ8" i="8"/>
  <c r="CY8" i="8"/>
  <c r="CX8" i="8"/>
  <c r="CW8" i="8"/>
  <c r="CZ11" i="8"/>
  <c r="CY11" i="8"/>
  <c r="CX11" i="8"/>
  <c r="CW11" i="8"/>
  <c r="CZ10" i="8"/>
  <c r="CY10" i="8"/>
  <c r="CX10" i="8"/>
  <c r="CW10" i="8"/>
  <c r="CZ4" i="8"/>
  <c r="CY4" i="8"/>
  <c r="CX4" i="8"/>
  <c r="CW4" i="8"/>
  <c r="CZ9" i="8"/>
  <c r="CY9" i="8"/>
  <c r="CX9" i="8"/>
  <c r="CW9" i="8"/>
  <c r="CZ7" i="8"/>
  <c r="CY7" i="8"/>
  <c r="CX7" i="8"/>
  <c r="CW7" i="8"/>
  <c r="LB9" i="7"/>
  <c r="LA9" i="7"/>
  <c r="KZ9" i="7"/>
  <c r="KY9" i="7"/>
  <c r="LB6" i="7"/>
  <c r="LA6" i="7"/>
  <c r="KZ6" i="7"/>
  <c r="KY6" i="7"/>
  <c r="LB7" i="7"/>
  <c r="LA7" i="7"/>
  <c r="KZ7" i="7"/>
  <c r="KY7" i="7"/>
  <c r="LB5" i="7"/>
  <c r="LA5" i="7"/>
  <c r="KZ5" i="7"/>
  <c r="KY5" i="7"/>
  <c r="LB4" i="7"/>
  <c r="LA4" i="7"/>
  <c r="KZ4" i="7"/>
  <c r="KY4" i="7"/>
  <c r="KG9" i="7"/>
  <c r="KF9" i="7"/>
  <c r="KE9" i="7"/>
  <c r="KD9" i="7"/>
  <c r="KG6" i="7"/>
  <c r="KF6" i="7"/>
  <c r="KE6" i="7"/>
  <c r="KD6" i="7"/>
  <c r="KG7" i="7"/>
  <c r="KF7" i="7"/>
  <c r="KE7" i="7"/>
  <c r="KD7" i="7"/>
  <c r="KG5" i="7"/>
  <c r="KF5" i="7"/>
  <c r="KE5" i="7"/>
  <c r="KD5" i="7"/>
  <c r="KG4" i="7"/>
  <c r="KF4" i="7"/>
  <c r="KE4" i="7"/>
  <c r="KD4" i="7"/>
  <c r="JL9" i="7"/>
  <c r="JK9" i="7"/>
  <c r="JJ9" i="7"/>
  <c r="JI9" i="7"/>
  <c r="JL6" i="7"/>
  <c r="JK6" i="7"/>
  <c r="JJ6" i="7"/>
  <c r="JI6" i="7"/>
  <c r="JL7" i="7"/>
  <c r="JK7" i="7"/>
  <c r="JJ7" i="7"/>
  <c r="JI7" i="7"/>
  <c r="JL5" i="7"/>
  <c r="JK5" i="7"/>
  <c r="JJ5" i="7"/>
  <c r="JI5" i="7"/>
  <c r="JL4" i="7"/>
  <c r="JK4" i="7"/>
  <c r="JJ4" i="7"/>
  <c r="JI4" i="7"/>
  <c r="IQ9" i="7"/>
  <c r="IO9" i="7"/>
  <c r="IN9" i="7"/>
  <c r="IQ6" i="7"/>
  <c r="IO6" i="7"/>
  <c r="IN6" i="7"/>
  <c r="IQ7" i="7"/>
  <c r="IO7" i="7"/>
  <c r="IN7" i="7"/>
  <c r="IQ5" i="7"/>
  <c r="IP5" i="7"/>
  <c r="IO5" i="7"/>
  <c r="IN5" i="7"/>
  <c r="IQ4" i="7"/>
  <c r="IO4" i="7"/>
  <c r="IN4" i="7"/>
  <c r="HV9" i="7"/>
  <c r="HU9" i="7"/>
  <c r="HT9" i="7"/>
  <c r="HS9" i="7"/>
  <c r="HV6" i="7"/>
  <c r="HU6" i="7"/>
  <c r="HT6" i="7"/>
  <c r="HS6" i="7"/>
  <c r="HV7" i="7"/>
  <c r="HU7" i="7"/>
  <c r="HT7" i="7"/>
  <c r="HS7" i="7"/>
  <c r="HV5" i="7"/>
  <c r="HU5" i="7"/>
  <c r="HT5" i="7"/>
  <c r="HS5" i="7"/>
  <c r="HV4" i="7"/>
  <c r="HU4" i="7"/>
  <c r="HT4" i="7"/>
  <c r="HS4" i="7"/>
  <c r="HA9" i="7"/>
  <c r="GZ9" i="7"/>
  <c r="GY9" i="7"/>
  <c r="GX9" i="7"/>
  <c r="HA6" i="7"/>
  <c r="GZ6" i="7"/>
  <c r="GY6" i="7"/>
  <c r="GX6" i="7"/>
  <c r="HA7" i="7"/>
  <c r="GZ7" i="7"/>
  <c r="GY7" i="7"/>
  <c r="GX7" i="7"/>
  <c r="HA5" i="7"/>
  <c r="GZ5" i="7"/>
  <c r="GY5" i="7"/>
  <c r="GX5" i="7"/>
  <c r="HA4" i="7"/>
  <c r="GZ4" i="7"/>
  <c r="GY4" i="7"/>
  <c r="GX4" i="7"/>
  <c r="GF9" i="7"/>
  <c r="GE9" i="7"/>
  <c r="GD9" i="7"/>
  <c r="GC9" i="7"/>
  <c r="GF6" i="7"/>
  <c r="GE6" i="7"/>
  <c r="GD6" i="7"/>
  <c r="GC6" i="7"/>
  <c r="GF7" i="7"/>
  <c r="GE7" i="7"/>
  <c r="GD7" i="7"/>
  <c r="GC7" i="7"/>
  <c r="GF5" i="7"/>
  <c r="GE5" i="7"/>
  <c r="GD5" i="7"/>
  <c r="GC5" i="7"/>
  <c r="GF4" i="7"/>
  <c r="GE4" i="7"/>
  <c r="GD4" i="7"/>
  <c r="GC4" i="7"/>
  <c r="FK9" i="7"/>
  <c r="FJ9" i="7"/>
  <c r="FI9" i="7"/>
  <c r="FH9" i="7"/>
  <c r="FK6" i="7"/>
  <c r="FJ6" i="7"/>
  <c r="FI6" i="7"/>
  <c r="FH6" i="7"/>
  <c r="FK7" i="7"/>
  <c r="FJ7" i="7"/>
  <c r="FI7" i="7"/>
  <c r="FH7" i="7"/>
  <c r="FK5" i="7"/>
  <c r="FJ5" i="7"/>
  <c r="FI5" i="7"/>
  <c r="FH5" i="7"/>
  <c r="FK4" i="7"/>
  <c r="FJ4" i="7"/>
  <c r="FI4" i="7"/>
  <c r="FH4" i="7"/>
  <c r="EP9" i="7"/>
  <c r="EO9" i="7"/>
  <c r="EN9" i="7"/>
  <c r="EM9" i="7"/>
  <c r="EP6" i="7"/>
  <c r="EO6" i="7"/>
  <c r="EN6" i="7"/>
  <c r="EM6" i="7"/>
  <c r="EP7" i="7"/>
  <c r="EO7" i="7"/>
  <c r="EN7" i="7"/>
  <c r="EM7" i="7"/>
  <c r="EP5" i="7"/>
  <c r="EO5" i="7"/>
  <c r="EN5" i="7"/>
  <c r="EM5" i="7"/>
  <c r="EP4" i="7"/>
  <c r="EO4" i="7"/>
  <c r="EN4" i="7"/>
  <c r="EM4" i="7"/>
  <c r="DU9" i="7"/>
  <c r="DT9" i="7"/>
  <c r="DS9" i="7"/>
  <c r="DR9" i="7"/>
  <c r="DU6" i="7"/>
  <c r="DT6" i="7"/>
  <c r="DS6" i="7"/>
  <c r="DR6" i="7"/>
  <c r="DU7" i="7"/>
  <c r="DT7" i="7"/>
  <c r="DS7" i="7"/>
  <c r="DR7" i="7"/>
  <c r="DU5" i="7"/>
  <c r="DT5" i="7"/>
  <c r="DS5" i="7"/>
  <c r="DR5" i="7"/>
  <c r="DU4" i="7"/>
  <c r="DT4" i="7"/>
  <c r="DS4" i="7"/>
  <c r="DR4" i="7"/>
  <c r="CZ9" i="7"/>
  <c r="CY9" i="7"/>
  <c r="CX9" i="7"/>
  <c r="CW9" i="7"/>
  <c r="CZ6" i="7"/>
  <c r="CY6" i="7"/>
  <c r="CX6" i="7"/>
  <c r="CW6" i="7"/>
  <c r="CZ7" i="7"/>
  <c r="CY7" i="7"/>
  <c r="CX7" i="7"/>
  <c r="CW7" i="7"/>
  <c r="CZ5" i="7"/>
  <c r="CY5" i="7"/>
  <c r="CX5" i="7"/>
  <c r="CW5" i="7"/>
  <c r="CZ4" i="7"/>
  <c r="CY4" i="7"/>
  <c r="CX4" i="7"/>
  <c r="CW4" i="7"/>
  <c r="MR17" i="14"/>
  <c r="MQ17" i="14"/>
  <c r="MO17" i="14"/>
  <c r="MN17" i="14"/>
  <c r="MM17" i="14"/>
  <c r="MR11" i="14"/>
  <c r="MQ11" i="14"/>
  <c r="MO11" i="14"/>
  <c r="MN11" i="14"/>
  <c r="MM11" i="14"/>
  <c r="MR10" i="14"/>
  <c r="MQ10" i="14"/>
  <c r="MO10" i="14"/>
  <c r="MN10" i="14"/>
  <c r="MM10" i="14"/>
  <c r="MR24" i="14"/>
  <c r="MQ24" i="14"/>
  <c r="MO24" i="14"/>
  <c r="MN24" i="14"/>
  <c r="MM24" i="14"/>
  <c r="MR18" i="14"/>
  <c r="MQ18" i="14"/>
  <c r="MO18" i="14"/>
  <c r="MN18" i="14"/>
  <c r="MM18" i="14"/>
  <c r="MR21" i="14"/>
  <c r="MQ21" i="14"/>
  <c r="MO21" i="14"/>
  <c r="MN21" i="14"/>
  <c r="MM21" i="14"/>
  <c r="MR20" i="14"/>
  <c r="MQ20" i="14"/>
  <c r="MO20" i="14"/>
  <c r="MN20" i="14"/>
  <c r="MM20" i="14"/>
  <c r="MR9" i="14"/>
  <c r="MQ9" i="14"/>
  <c r="MO9" i="14"/>
  <c r="MN9" i="14"/>
  <c r="MM9" i="14"/>
  <c r="MR26" i="14"/>
  <c r="MQ26" i="14"/>
  <c r="MO26" i="14"/>
  <c r="MN26" i="14"/>
  <c r="MM26" i="14"/>
  <c r="MR22" i="14"/>
  <c r="MQ22" i="14"/>
  <c r="MO22" i="14"/>
  <c r="MN22" i="14"/>
  <c r="MM22" i="14"/>
  <c r="MR12" i="14"/>
  <c r="MQ12" i="14"/>
  <c r="MO12" i="14"/>
  <c r="MN12" i="14"/>
  <c r="MM12" i="14"/>
  <c r="MR14" i="14"/>
  <c r="MQ14" i="14"/>
  <c r="MO14" i="14"/>
  <c r="MN14" i="14"/>
  <c r="MM14" i="14"/>
  <c r="MR15" i="14"/>
  <c r="MQ15" i="14"/>
  <c r="MO15" i="14"/>
  <c r="MN15" i="14"/>
  <c r="MM15" i="14"/>
  <c r="MR7" i="14"/>
  <c r="MQ7" i="14"/>
  <c r="MO7" i="14"/>
  <c r="MN7" i="14"/>
  <c r="MM7" i="14"/>
  <c r="MR13" i="14"/>
  <c r="MQ13" i="14"/>
  <c r="MO13" i="14"/>
  <c r="MN13" i="14"/>
  <c r="MM13" i="14"/>
  <c r="MR6" i="14"/>
  <c r="MQ6" i="14"/>
  <c r="MO6" i="14"/>
  <c r="MN6" i="14"/>
  <c r="MM6" i="14"/>
  <c r="MR5" i="14"/>
  <c r="MQ5" i="14"/>
  <c r="MO5" i="14"/>
  <c r="MN5" i="14"/>
  <c r="MM5" i="14"/>
  <c r="MR4" i="14"/>
  <c r="MQ4" i="14"/>
  <c r="MO4" i="14"/>
  <c r="MN4" i="14"/>
  <c r="MM4" i="14"/>
  <c r="LV17" i="14"/>
  <c r="LU17" i="14"/>
  <c r="LS17" i="14"/>
  <c r="LR17" i="14"/>
  <c r="LQ17" i="14"/>
  <c r="LV11" i="14"/>
  <c r="LU11" i="14"/>
  <c r="LS11" i="14"/>
  <c r="LR11" i="14"/>
  <c r="LQ11" i="14"/>
  <c r="LV10" i="14"/>
  <c r="LU10" i="14"/>
  <c r="LS10" i="14"/>
  <c r="LR10" i="14"/>
  <c r="LQ10" i="14"/>
  <c r="LV24" i="14"/>
  <c r="LU24" i="14"/>
  <c r="LS24" i="14"/>
  <c r="LR24" i="14"/>
  <c r="LQ24" i="14"/>
  <c r="LV18" i="14"/>
  <c r="LU18" i="14"/>
  <c r="LS18" i="14"/>
  <c r="LR18" i="14"/>
  <c r="LQ18" i="14"/>
  <c r="LV21" i="14"/>
  <c r="LU21" i="14"/>
  <c r="LS21" i="14"/>
  <c r="LR21" i="14"/>
  <c r="LQ21" i="14"/>
  <c r="LV20" i="14"/>
  <c r="LU20" i="14"/>
  <c r="LS20" i="14"/>
  <c r="LR20" i="14"/>
  <c r="LQ20" i="14"/>
  <c r="LV9" i="14"/>
  <c r="LU9" i="14"/>
  <c r="LS9" i="14"/>
  <c r="LR9" i="14"/>
  <c r="LQ9" i="14"/>
  <c r="LV26" i="14"/>
  <c r="LU26" i="14"/>
  <c r="LS26" i="14"/>
  <c r="LR26" i="14"/>
  <c r="LQ26" i="14"/>
  <c r="LV22" i="14"/>
  <c r="LU22" i="14"/>
  <c r="LS22" i="14"/>
  <c r="LR22" i="14"/>
  <c r="LQ22" i="14"/>
  <c r="LV12" i="14"/>
  <c r="LU12" i="14"/>
  <c r="LS12" i="14"/>
  <c r="LR12" i="14"/>
  <c r="LQ12" i="14"/>
  <c r="LV14" i="14"/>
  <c r="LU14" i="14"/>
  <c r="LS14" i="14"/>
  <c r="LR14" i="14"/>
  <c r="LQ14" i="14"/>
  <c r="LV15" i="14"/>
  <c r="LU15" i="14"/>
  <c r="LS15" i="14"/>
  <c r="LR15" i="14"/>
  <c r="LQ15" i="14"/>
  <c r="LV7" i="14"/>
  <c r="LU7" i="14"/>
  <c r="LS7" i="14"/>
  <c r="LR7" i="14"/>
  <c r="LQ7" i="14"/>
  <c r="LV13" i="14"/>
  <c r="LU13" i="14"/>
  <c r="LS13" i="14"/>
  <c r="LR13" i="14"/>
  <c r="LQ13" i="14"/>
  <c r="LV6" i="14"/>
  <c r="LU6" i="14"/>
  <c r="LS6" i="14"/>
  <c r="LR6" i="14"/>
  <c r="LQ6" i="14"/>
  <c r="LV5" i="14"/>
  <c r="LU5" i="14"/>
  <c r="LS5" i="14"/>
  <c r="LR5" i="14"/>
  <c r="LQ5" i="14"/>
  <c r="LV4" i="14"/>
  <c r="LU4" i="14"/>
  <c r="LS4" i="14"/>
  <c r="LR4" i="14"/>
  <c r="LQ4" i="14"/>
  <c r="KZ17" i="14"/>
  <c r="KY17" i="14"/>
  <c r="KW17" i="14"/>
  <c r="KV17" i="14"/>
  <c r="KU17" i="14"/>
  <c r="KZ11" i="14"/>
  <c r="KY11" i="14"/>
  <c r="KW11" i="14"/>
  <c r="KV11" i="14"/>
  <c r="KU11" i="14"/>
  <c r="KZ10" i="14"/>
  <c r="KY10" i="14"/>
  <c r="KW10" i="14"/>
  <c r="KV10" i="14"/>
  <c r="KU10" i="14"/>
  <c r="KZ24" i="14"/>
  <c r="KY24" i="14"/>
  <c r="KW24" i="14"/>
  <c r="KV24" i="14"/>
  <c r="KU24" i="14"/>
  <c r="KZ18" i="14"/>
  <c r="KY18" i="14"/>
  <c r="KW18" i="14"/>
  <c r="KV18" i="14"/>
  <c r="KU18" i="14"/>
  <c r="KZ21" i="14"/>
  <c r="KY21" i="14"/>
  <c r="KW21" i="14"/>
  <c r="KV21" i="14"/>
  <c r="KU21" i="14"/>
  <c r="KZ20" i="14"/>
  <c r="KY20" i="14"/>
  <c r="KW20" i="14"/>
  <c r="KV20" i="14"/>
  <c r="KU20" i="14"/>
  <c r="KZ9" i="14"/>
  <c r="KY9" i="14"/>
  <c r="KW9" i="14"/>
  <c r="KV9" i="14"/>
  <c r="KU9" i="14"/>
  <c r="KZ26" i="14"/>
  <c r="KY26" i="14"/>
  <c r="KW26" i="14"/>
  <c r="KV26" i="14"/>
  <c r="KU26" i="14"/>
  <c r="KZ22" i="14"/>
  <c r="KY22" i="14"/>
  <c r="KW22" i="14"/>
  <c r="KV22" i="14"/>
  <c r="KU22" i="14"/>
  <c r="KZ12" i="14"/>
  <c r="KY12" i="14"/>
  <c r="KW12" i="14"/>
  <c r="KV12" i="14"/>
  <c r="KU12" i="14"/>
  <c r="KZ14" i="14"/>
  <c r="KY14" i="14"/>
  <c r="KW14" i="14"/>
  <c r="KV14" i="14"/>
  <c r="KU14" i="14"/>
  <c r="KZ15" i="14"/>
  <c r="KY15" i="14"/>
  <c r="KW15" i="14"/>
  <c r="KV15" i="14"/>
  <c r="KU15" i="14"/>
  <c r="KZ7" i="14"/>
  <c r="KY7" i="14"/>
  <c r="KW7" i="14"/>
  <c r="KV7" i="14"/>
  <c r="KU7" i="14"/>
  <c r="KZ13" i="14"/>
  <c r="KY13" i="14"/>
  <c r="KW13" i="14"/>
  <c r="KV13" i="14"/>
  <c r="KU13" i="14"/>
  <c r="KZ6" i="14"/>
  <c r="KY6" i="14"/>
  <c r="KW6" i="14"/>
  <c r="KV6" i="14"/>
  <c r="KU6" i="14"/>
  <c r="KZ5" i="14"/>
  <c r="KY5" i="14"/>
  <c r="KW5" i="14"/>
  <c r="KV5" i="14"/>
  <c r="KU5" i="14"/>
  <c r="KZ4" i="14"/>
  <c r="KY4" i="14"/>
  <c r="KW4" i="14"/>
  <c r="KV4" i="14"/>
  <c r="KU4" i="14"/>
  <c r="KD17" i="14"/>
  <c r="KC17" i="14"/>
  <c r="KA17" i="14"/>
  <c r="JZ17" i="14"/>
  <c r="JY17" i="14"/>
  <c r="KD11" i="14"/>
  <c r="KC11" i="14"/>
  <c r="KA11" i="14"/>
  <c r="JZ11" i="14"/>
  <c r="JY11" i="14"/>
  <c r="KD10" i="14"/>
  <c r="KC10" i="14"/>
  <c r="KA10" i="14"/>
  <c r="JZ10" i="14"/>
  <c r="JY10" i="14"/>
  <c r="KD24" i="14"/>
  <c r="KC24" i="14"/>
  <c r="KA24" i="14"/>
  <c r="JZ24" i="14"/>
  <c r="JY24" i="14"/>
  <c r="KD18" i="14"/>
  <c r="KC18" i="14"/>
  <c r="KA18" i="14"/>
  <c r="JZ18" i="14"/>
  <c r="JY18" i="14"/>
  <c r="KD21" i="14"/>
  <c r="KC21" i="14"/>
  <c r="KA21" i="14"/>
  <c r="JZ21" i="14"/>
  <c r="JY21" i="14"/>
  <c r="KD20" i="14"/>
  <c r="KC20" i="14"/>
  <c r="KA20" i="14"/>
  <c r="JZ20" i="14"/>
  <c r="JY20" i="14"/>
  <c r="KD9" i="14"/>
  <c r="KC9" i="14"/>
  <c r="KA9" i="14"/>
  <c r="JZ9" i="14"/>
  <c r="JY9" i="14"/>
  <c r="KD26" i="14"/>
  <c r="KC26" i="14"/>
  <c r="KA26" i="14"/>
  <c r="JZ26" i="14"/>
  <c r="JY26" i="14"/>
  <c r="KD22" i="14"/>
  <c r="KC22" i="14"/>
  <c r="KA22" i="14"/>
  <c r="JZ22" i="14"/>
  <c r="JY22" i="14"/>
  <c r="KD12" i="14"/>
  <c r="KC12" i="14"/>
  <c r="KA12" i="14"/>
  <c r="JZ12" i="14"/>
  <c r="JY12" i="14"/>
  <c r="KD14" i="14"/>
  <c r="KC14" i="14"/>
  <c r="KA14" i="14"/>
  <c r="JZ14" i="14"/>
  <c r="JY14" i="14"/>
  <c r="KD15" i="14"/>
  <c r="KC15" i="14"/>
  <c r="KA15" i="14"/>
  <c r="JZ15" i="14"/>
  <c r="JY15" i="14"/>
  <c r="KD7" i="14"/>
  <c r="KC7" i="14"/>
  <c r="KA7" i="14"/>
  <c r="JZ7" i="14"/>
  <c r="JY7" i="14"/>
  <c r="KD13" i="14"/>
  <c r="KC13" i="14"/>
  <c r="KA13" i="14"/>
  <c r="JZ13" i="14"/>
  <c r="JY13" i="14"/>
  <c r="KD6" i="14"/>
  <c r="KC6" i="14"/>
  <c r="KA6" i="14"/>
  <c r="JZ6" i="14"/>
  <c r="JY6" i="14"/>
  <c r="KD5" i="14"/>
  <c r="KC5" i="14"/>
  <c r="KA5" i="14"/>
  <c r="JZ5" i="14"/>
  <c r="JY5" i="14"/>
  <c r="KD4" i="14"/>
  <c r="KC4" i="14"/>
  <c r="KA4" i="14"/>
  <c r="JZ4" i="14"/>
  <c r="JY4" i="14"/>
  <c r="JH17" i="14"/>
  <c r="JG17" i="14"/>
  <c r="JE17" i="14"/>
  <c r="JD17" i="14"/>
  <c r="JC17" i="14"/>
  <c r="JH11" i="14"/>
  <c r="JG11" i="14"/>
  <c r="JE11" i="14"/>
  <c r="JD11" i="14"/>
  <c r="JC11" i="14"/>
  <c r="JH10" i="14"/>
  <c r="JG10" i="14"/>
  <c r="JE10" i="14"/>
  <c r="JD10" i="14"/>
  <c r="JC10" i="14"/>
  <c r="JH24" i="14"/>
  <c r="JG24" i="14"/>
  <c r="JE24" i="14"/>
  <c r="JD24" i="14"/>
  <c r="JC24" i="14"/>
  <c r="JH18" i="14"/>
  <c r="JG18" i="14"/>
  <c r="JE18" i="14"/>
  <c r="JD18" i="14"/>
  <c r="JC18" i="14"/>
  <c r="JH21" i="14"/>
  <c r="JG21" i="14"/>
  <c r="JE21" i="14"/>
  <c r="JD21" i="14"/>
  <c r="JC21" i="14"/>
  <c r="JH20" i="14"/>
  <c r="JG20" i="14"/>
  <c r="JE20" i="14"/>
  <c r="JD20" i="14"/>
  <c r="JC20" i="14"/>
  <c r="JH9" i="14"/>
  <c r="JG9" i="14"/>
  <c r="JE9" i="14"/>
  <c r="JD9" i="14"/>
  <c r="JC9" i="14"/>
  <c r="JH26" i="14"/>
  <c r="JG26" i="14"/>
  <c r="JE26" i="14"/>
  <c r="JD26" i="14"/>
  <c r="JC26" i="14"/>
  <c r="JH22" i="14"/>
  <c r="JG22" i="14"/>
  <c r="JE22" i="14"/>
  <c r="JD22" i="14"/>
  <c r="JC22" i="14"/>
  <c r="JH12" i="14"/>
  <c r="JG12" i="14"/>
  <c r="JE12" i="14"/>
  <c r="JD12" i="14"/>
  <c r="JC12" i="14"/>
  <c r="JH14" i="14"/>
  <c r="JG14" i="14"/>
  <c r="JE14" i="14"/>
  <c r="JD14" i="14"/>
  <c r="JC14" i="14"/>
  <c r="JH15" i="14"/>
  <c r="JG15" i="14"/>
  <c r="JE15" i="14"/>
  <c r="JD15" i="14"/>
  <c r="JC15" i="14"/>
  <c r="JH7" i="14"/>
  <c r="JG7" i="14"/>
  <c r="JE7" i="14"/>
  <c r="JD7" i="14"/>
  <c r="JC7" i="14"/>
  <c r="JH13" i="14"/>
  <c r="JG13" i="14"/>
  <c r="JE13" i="14"/>
  <c r="JD13" i="14"/>
  <c r="JC13" i="14"/>
  <c r="JH6" i="14"/>
  <c r="JG6" i="14"/>
  <c r="JE6" i="14"/>
  <c r="JD6" i="14"/>
  <c r="JC6" i="14"/>
  <c r="JH5" i="14"/>
  <c r="JG5" i="14"/>
  <c r="JE5" i="14"/>
  <c r="JD5" i="14"/>
  <c r="JC5" i="14"/>
  <c r="JH4" i="14"/>
  <c r="JG4" i="14"/>
  <c r="JE4" i="14"/>
  <c r="JD4" i="14"/>
  <c r="JC4" i="14"/>
  <c r="IL17" i="14"/>
  <c r="IK17" i="14"/>
  <c r="II17" i="14"/>
  <c r="IH17" i="14"/>
  <c r="IG17" i="14"/>
  <c r="IL11" i="14"/>
  <c r="IK11" i="14"/>
  <c r="II11" i="14"/>
  <c r="IH11" i="14"/>
  <c r="IG11" i="14"/>
  <c r="IL10" i="14"/>
  <c r="IK10" i="14"/>
  <c r="II10" i="14"/>
  <c r="IH10" i="14"/>
  <c r="IG10" i="14"/>
  <c r="IL24" i="14"/>
  <c r="IK24" i="14"/>
  <c r="II24" i="14"/>
  <c r="IH24" i="14"/>
  <c r="IG24" i="14"/>
  <c r="IL18" i="14"/>
  <c r="IK18" i="14"/>
  <c r="II18" i="14"/>
  <c r="IH18" i="14"/>
  <c r="IG18" i="14"/>
  <c r="IL21" i="14"/>
  <c r="IK21" i="14"/>
  <c r="II21" i="14"/>
  <c r="IH21" i="14"/>
  <c r="IG21" i="14"/>
  <c r="IL20" i="14"/>
  <c r="IK20" i="14"/>
  <c r="II20" i="14"/>
  <c r="IH20" i="14"/>
  <c r="IG20" i="14"/>
  <c r="IL9" i="14"/>
  <c r="IK9" i="14"/>
  <c r="II9" i="14"/>
  <c r="IH9" i="14"/>
  <c r="IG9" i="14"/>
  <c r="IL26" i="14"/>
  <c r="IK26" i="14"/>
  <c r="II26" i="14"/>
  <c r="IH26" i="14"/>
  <c r="IG26" i="14"/>
  <c r="IL22" i="14"/>
  <c r="IK22" i="14"/>
  <c r="II22" i="14"/>
  <c r="IH22" i="14"/>
  <c r="IG22" i="14"/>
  <c r="IL12" i="14"/>
  <c r="IK12" i="14"/>
  <c r="II12" i="14"/>
  <c r="IH12" i="14"/>
  <c r="IG12" i="14"/>
  <c r="IL14" i="14"/>
  <c r="IK14" i="14"/>
  <c r="II14" i="14"/>
  <c r="IH14" i="14"/>
  <c r="IG14" i="14"/>
  <c r="IL15" i="14"/>
  <c r="IK15" i="14"/>
  <c r="II15" i="14"/>
  <c r="IH15" i="14"/>
  <c r="IG15" i="14"/>
  <c r="IL7" i="14"/>
  <c r="IK7" i="14"/>
  <c r="II7" i="14"/>
  <c r="IH7" i="14"/>
  <c r="IG7" i="14"/>
  <c r="IL13" i="14"/>
  <c r="IK13" i="14"/>
  <c r="II13" i="14"/>
  <c r="IH13" i="14"/>
  <c r="IG13" i="14"/>
  <c r="IL6" i="14"/>
  <c r="IK6" i="14"/>
  <c r="II6" i="14"/>
  <c r="IH6" i="14"/>
  <c r="IG6" i="14"/>
  <c r="IL5" i="14"/>
  <c r="IK5" i="14"/>
  <c r="II5" i="14"/>
  <c r="IH5" i="14"/>
  <c r="IG5" i="14"/>
  <c r="IL4" i="14"/>
  <c r="IK4" i="14"/>
  <c r="II4" i="14"/>
  <c r="IH4" i="14"/>
  <c r="IG4" i="14"/>
  <c r="HP17" i="14"/>
  <c r="HO17" i="14"/>
  <c r="HM17" i="14"/>
  <c r="HL17" i="14"/>
  <c r="HK17" i="14"/>
  <c r="HP11" i="14"/>
  <c r="HO11" i="14"/>
  <c r="HM11" i="14"/>
  <c r="HL11" i="14"/>
  <c r="HK11" i="14"/>
  <c r="HP10" i="14"/>
  <c r="HO10" i="14"/>
  <c r="HM10" i="14"/>
  <c r="HL10" i="14"/>
  <c r="HK10" i="14"/>
  <c r="HP24" i="14"/>
  <c r="HO24" i="14"/>
  <c r="HM24" i="14"/>
  <c r="HL24" i="14"/>
  <c r="HK24" i="14"/>
  <c r="HP18" i="14"/>
  <c r="HO18" i="14"/>
  <c r="HM18" i="14"/>
  <c r="HL18" i="14"/>
  <c r="HK18" i="14"/>
  <c r="HP21" i="14"/>
  <c r="HO21" i="14"/>
  <c r="HM21" i="14"/>
  <c r="HL21" i="14"/>
  <c r="HK21" i="14"/>
  <c r="HP20" i="14"/>
  <c r="HO20" i="14"/>
  <c r="HM20" i="14"/>
  <c r="HL20" i="14"/>
  <c r="HK20" i="14"/>
  <c r="HP9" i="14"/>
  <c r="HO9" i="14"/>
  <c r="HM9" i="14"/>
  <c r="HL9" i="14"/>
  <c r="HK9" i="14"/>
  <c r="HP26" i="14"/>
  <c r="HO26" i="14"/>
  <c r="HM26" i="14"/>
  <c r="HL26" i="14"/>
  <c r="HK26" i="14"/>
  <c r="HP22" i="14"/>
  <c r="HO22" i="14"/>
  <c r="HM22" i="14"/>
  <c r="HL22" i="14"/>
  <c r="HK22" i="14"/>
  <c r="HP12" i="14"/>
  <c r="HO12" i="14"/>
  <c r="HM12" i="14"/>
  <c r="HL12" i="14"/>
  <c r="HK12" i="14"/>
  <c r="HP14" i="14"/>
  <c r="HO14" i="14"/>
  <c r="HM14" i="14"/>
  <c r="HL14" i="14"/>
  <c r="HK14" i="14"/>
  <c r="HP15" i="14"/>
  <c r="HO15" i="14"/>
  <c r="HM15" i="14"/>
  <c r="HL15" i="14"/>
  <c r="HK15" i="14"/>
  <c r="HP7" i="14"/>
  <c r="HO7" i="14"/>
  <c r="HM7" i="14"/>
  <c r="HL7" i="14"/>
  <c r="HK7" i="14"/>
  <c r="HP13" i="14"/>
  <c r="HO13" i="14"/>
  <c r="HM13" i="14"/>
  <c r="HL13" i="14"/>
  <c r="HK13" i="14"/>
  <c r="HP6" i="14"/>
  <c r="HO6" i="14"/>
  <c r="HM6" i="14"/>
  <c r="HL6" i="14"/>
  <c r="HK6" i="14"/>
  <c r="HP5" i="14"/>
  <c r="HO5" i="14"/>
  <c r="HM5" i="14"/>
  <c r="HL5" i="14"/>
  <c r="HK5" i="14"/>
  <c r="HP4" i="14"/>
  <c r="HO4" i="14"/>
  <c r="HM4" i="14"/>
  <c r="HL4" i="14"/>
  <c r="HK4" i="14"/>
  <c r="GT17" i="14"/>
  <c r="GS17" i="14"/>
  <c r="GQ17" i="14"/>
  <c r="GP17" i="14"/>
  <c r="GO17" i="14"/>
  <c r="GT11" i="14"/>
  <c r="GS11" i="14"/>
  <c r="GQ11" i="14"/>
  <c r="GP11" i="14"/>
  <c r="GO11" i="14"/>
  <c r="GT10" i="14"/>
  <c r="GS10" i="14"/>
  <c r="GQ10" i="14"/>
  <c r="GP10" i="14"/>
  <c r="GO10" i="14"/>
  <c r="GT24" i="14"/>
  <c r="GS24" i="14"/>
  <c r="GQ24" i="14"/>
  <c r="GP24" i="14"/>
  <c r="GO24" i="14"/>
  <c r="GT18" i="14"/>
  <c r="GS18" i="14"/>
  <c r="GQ18" i="14"/>
  <c r="GP18" i="14"/>
  <c r="GO18" i="14"/>
  <c r="GT21" i="14"/>
  <c r="GS21" i="14"/>
  <c r="GQ21" i="14"/>
  <c r="GP21" i="14"/>
  <c r="GO21" i="14"/>
  <c r="GT20" i="14"/>
  <c r="GS20" i="14"/>
  <c r="GQ20" i="14"/>
  <c r="GP20" i="14"/>
  <c r="GO20" i="14"/>
  <c r="GT9" i="14"/>
  <c r="GS9" i="14"/>
  <c r="GQ9" i="14"/>
  <c r="GP9" i="14"/>
  <c r="GO9" i="14"/>
  <c r="GT26" i="14"/>
  <c r="GS26" i="14"/>
  <c r="GQ26" i="14"/>
  <c r="GP26" i="14"/>
  <c r="GO26" i="14"/>
  <c r="GT22" i="14"/>
  <c r="GS22" i="14"/>
  <c r="GQ22" i="14"/>
  <c r="GP22" i="14"/>
  <c r="GO22" i="14"/>
  <c r="GT12" i="14"/>
  <c r="GS12" i="14"/>
  <c r="GQ12" i="14"/>
  <c r="GP12" i="14"/>
  <c r="GO12" i="14"/>
  <c r="GT14" i="14"/>
  <c r="GS14" i="14"/>
  <c r="GQ14" i="14"/>
  <c r="GP14" i="14"/>
  <c r="GO14" i="14"/>
  <c r="GT15" i="14"/>
  <c r="GS15" i="14"/>
  <c r="GQ15" i="14"/>
  <c r="GP15" i="14"/>
  <c r="GO15" i="14"/>
  <c r="GT7" i="14"/>
  <c r="GS7" i="14"/>
  <c r="GQ7" i="14"/>
  <c r="GP7" i="14"/>
  <c r="GO7" i="14"/>
  <c r="GT13" i="14"/>
  <c r="GS13" i="14"/>
  <c r="GQ13" i="14"/>
  <c r="GP13" i="14"/>
  <c r="GO13" i="14"/>
  <c r="GT6" i="14"/>
  <c r="GS6" i="14"/>
  <c r="GQ6" i="14"/>
  <c r="GP6" i="14"/>
  <c r="GO6" i="14"/>
  <c r="GT5" i="14"/>
  <c r="GS5" i="14"/>
  <c r="GQ5" i="14"/>
  <c r="GP5" i="14"/>
  <c r="GO5" i="14"/>
  <c r="GT4" i="14"/>
  <c r="GS4" i="14"/>
  <c r="GQ4" i="14"/>
  <c r="GP4" i="14"/>
  <c r="GO4" i="14"/>
  <c r="FX17" i="14"/>
  <c r="FW17" i="14"/>
  <c r="FU17" i="14"/>
  <c r="FT17" i="14"/>
  <c r="FS17" i="14"/>
  <c r="FX11" i="14"/>
  <c r="FW11" i="14"/>
  <c r="FU11" i="14"/>
  <c r="FT11" i="14"/>
  <c r="FS11" i="14"/>
  <c r="FX10" i="14"/>
  <c r="FW10" i="14"/>
  <c r="FU10" i="14"/>
  <c r="FT10" i="14"/>
  <c r="FS10" i="14"/>
  <c r="FX24" i="14"/>
  <c r="FW24" i="14"/>
  <c r="FU24" i="14"/>
  <c r="FT24" i="14"/>
  <c r="FS24" i="14"/>
  <c r="FX18" i="14"/>
  <c r="FW18" i="14"/>
  <c r="FU18" i="14"/>
  <c r="FT18" i="14"/>
  <c r="FS18" i="14"/>
  <c r="FX21" i="14"/>
  <c r="FW21" i="14"/>
  <c r="FU21" i="14"/>
  <c r="FT21" i="14"/>
  <c r="FS21" i="14"/>
  <c r="FX20" i="14"/>
  <c r="FW20" i="14"/>
  <c r="FU20" i="14"/>
  <c r="FT20" i="14"/>
  <c r="FS20" i="14"/>
  <c r="FX9" i="14"/>
  <c r="FW9" i="14"/>
  <c r="FU9" i="14"/>
  <c r="FT9" i="14"/>
  <c r="FS9" i="14"/>
  <c r="FX26" i="14"/>
  <c r="FW26" i="14"/>
  <c r="FU26" i="14"/>
  <c r="FT26" i="14"/>
  <c r="FS26" i="14"/>
  <c r="FX22" i="14"/>
  <c r="FW22" i="14"/>
  <c r="FU22" i="14"/>
  <c r="FT22" i="14"/>
  <c r="FS22" i="14"/>
  <c r="FX12" i="14"/>
  <c r="FW12" i="14"/>
  <c r="FU12" i="14"/>
  <c r="FT12" i="14"/>
  <c r="FS12" i="14"/>
  <c r="FX14" i="14"/>
  <c r="FW14" i="14"/>
  <c r="FU14" i="14"/>
  <c r="FT14" i="14"/>
  <c r="FS14" i="14"/>
  <c r="FX15" i="14"/>
  <c r="FW15" i="14"/>
  <c r="FU15" i="14"/>
  <c r="FT15" i="14"/>
  <c r="FS15" i="14"/>
  <c r="FX7" i="14"/>
  <c r="FW7" i="14"/>
  <c r="FU7" i="14"/>
  <c r="FT7" i="14"/>
  <c r="FS7" i="14"/>
  <c r="FX13" i="14"/>
  <c r="FW13" i="14"/>
  <c r="FU13" i="14"/>
  <c r="FT13" i="14"/>
  <c r="FS13" i="14"/>
  <c r="FX6" i="14"/>
  <c r="FW6" i="14"/>
  <c r="FU6" i="14"/>
  <c r="FT6" i="14"/>
  <c r="FS6" i="14"/>
  <c r="FX5" i="14"/>
  <c r="FW5" i="14"/>
  <c r="FU5" i="14"/>
  <c r="FT5" i="14"/>
  <c r="FS5" i="14"/>
  <c r="FX4" i="14"/>
  <c r="FW4" i="14"/>
  <c r="FU4" i="14"/>
  <c r="FT4" i="14"/>
  <c r="FS4" i="14"/>
  <c r="FB17" i="14"/>
  <c r="FA17" i="14"/>
  <c r="EY17" i="14"/>
  <c r="EX17" i="14"/>
  <c r="EW17" i="14"/>
  <c r="FB11" i="14"/>
  <c r="FA11" i="14"/>
  <c r="EY11" i="14"/>
  <c r="EX11" i="14"/>
  <c r="EW11" i="14"/>
  <c r="FB10" i="14"/>
  <c r="FA10" i="14"/>
  <c r="EY10" i="14"/>
  <c r="EX10" i="14"/>
  <c r="EW10" i="14"/>
  <c r="FB24" i="14"/>
  <c r="FA24" i="14"/>
  <c r="EY24" i="14"/>
  <c r="EX24" i="14"/>
  <c r="EW24" i="14"/>
  <c r="FB18" i="14"/>
  <c r="FA18" i="14"/>
  <c r="EY18" i="14"/>
  <c r="EX18" i="14"/>
  <c r="EW18" i="14"/>
  <c r="FB21" i="14"/>
  <c r="FA21" i="14"/>
  <c r="EY21" i="14"/>
  <c r="EX21" i="14"/>
  <c r="EW21" i="14"/>
  <c r="FB20" i="14"/>
  <c r="FA20" i="14"/>
  <c r="EY20" i="14"/>
  <c r="EX20" i="14"/>
  <c r="EW20" i="14"/>
  <c r="FB9" i="14"/>
  <c r="FA9" i="14"/>
  <c r="EY9" i="14"/>
  <c r="EX9" i="14"/>
  <c r="EW9" i="14"/>
  <c r="FB26" i="14"/>
  <c r="FA26" i="14"/>
  <c r="EY26" i="14"/>
  <c r="EX26" i="14"/>
  <c r="EW26" i="14"/>
  <c r="FB22" i="14"/>
  <c r="FA22" i="14"/>
  <c r="EY22" i="14"/>
  <c r="EX22" i="14"/>
  <c r="EW22" i="14"/>
  <c r="FB12" i="14"/>
  <c r="FA12" i="14"/>
  <c r="EY12" i="14"/>
  <c r="EX12" i="14"/>
  <c r="EW12" i="14"/>
  <c r="FB14" i="14"/>
  <c r="FA14" i="14"/>
  <c r="EY14" i="14"/>
  <c r="EX14" i="14"/>
  <c r="EW14" i="14"/>
  <c r="FB15" i="14"/>
  <c r="FA15" i="14"/>
  <c r="EY15" i="14"/>
  <c r="EX15" i="14"/>
  <c r="EW15" i="14"/>
  <c r="FB7" i="14"/>
  <c r="FA7" i="14"/>
  <c r="EY7" i="14"/>
  <c r="EX7" i="14"/>
  <c r="EW7" i="14"/>
  <c r="FB13" i="14"/>
  <c r="FA13" i="14"/>
  <c r="EY13" i="14"/>
  <c r="EX13" i="14"/>
  <c r="EW13" i="14"/>
  <c r="FB6" i="14"/>
  <c r="FA6" i="14"/>
  <c r="EY6" i="14"/>
  <c r="EX6" i="14"/>
  <c r="EW6" i="14"/>
  <c r="FB5" i="14"/>
  <c r="FA5" i="14"/>
  <c r="EY5" i="14"/>
  <c r="EX5" i="14"/>
  <c r="EW5" i="14"/>
  <c r="FB4" i="14"/>
  <c r="FA4" i="14"/>
  <c r="EY4" i="14"/>
  <c r="EX4" i="14"/>
  <c r="EW4" i="14"/>
  <c r="EF17" i="14"/>
  <c r="EE17" i="14"/>
  <c r="EC17" i="14"/>
  <c r="EB17" i="14"/>
  <c r="EA17" i="14"/>
  <c r="EF11" i="14"/>
  <c r="EE11" i="14"/>
  <c r="EC11" i="14"/>
  <c r="EB11" i="14"/>
  <c r="EA11" i="14"/>
  <c r="EF10" i="14"/>
  <c r="EE10" i="14"/>
  <c r="EC10" i="14"/>
  <c r="EB10" i="14"/>
  <c r="EA10" i="14"/>
  <c r="EF24" i="14"/>
  <c r="EE24" i="14"/>
  <c r="EC24" i="14"/>
  <c r="EB24" i="14"/>
  <c r="EA24" i="14"/>
  <c r="EF18" i="14"/>
  <c r="EE18" i="14"/>
  <c r="EC18" i="14"/>
  <c r="EB18" i="14"/>
  <c r="EA18" i="14"/>
  <c r="EF21" i="14"/>
  <c r="EE21" i="14"/>
  <c r="EC21" i="14"/>
  <c r="EB21" i="14"/>
  <c r="EA21" i="14"/>
  <c r="EF20" i="14"/>
  <c r="EE20" i="14"/>
  <c r="EC20" i="14"/>
  <c r="EB20" i="14"/>
  <c r="EA20" i="14"/>
  <c r="EF9" i="14"/>
  <c r="EE9" i="14"/>
  <c r="EC9" i="14"/>
  <c r="EB9" i="14"/>
  <c r="EA9" i="14"/>
  <c r="EF26" i="14"/>
  <c r="EE26" i="14"/>
  <c r="EC26" i="14"/>
  <c r="EB26" i="14"/>
  <c r="EA26" i="14"/>
  <c r="EF22" i="14"/>
  <c r="EE22" i="14"/>
  <c r="EC22" i="14"/>
  <c r="EB22" i="14"/>
  <c r="EA22" i="14"/>
  <c r="EF12" i="14"/>
  <c r="EE12" i="14"/>
  <c r="EC12" i="14"/>
  <c r="EB12" i="14"/>
  <c r="EA12" i="14"/>
  <c r="EF14" i="14"/>
  <c r="EE14" i="14"/>
  <c r="EC14" i="14"/>
  <c r="EB14" i="14"/>
  <c r="EA14" i="14"/>
  <c r="EF15" i="14"/>
  <c r="EE15" i="14"/>
  <c r="EC15" i="14"/>
  <c r="EB15" i="14"/>
  <c r="EA15" i="14"/>
  <c r="EF7" i="14"/>
  <c r="EE7" i="14"/>
  <c r="EC7" i="14"/>
  <c r="EB7" i="14"/>
  <c r="EA7" i="14"/>
  <c r="EF13" i="14"/>
  <c r="EE13" i="14"/>
  <c r="EC13" i="14"/>
  <c r="EB13" i="14"/>
  <c r="EA13" i="14"/>
  <c r="EF6" i="14"/>
  <c r="EE6" i="14"/>
  <c r="EC6" i="14"/>
  <c r="EB6" i="14"/>
  <c r="EA6" i="14"/>
  <c r="EF5" i="14"/>
  <c r="EE5" i="14"/>
  <c r="EC5" i="14"/>
  <c r="EB5" i="14"/>
  <c r="EA5" i="14"/>
  <c r="EF4" i="14"/>
  <c r="EE4" i="14"/>
  <c r="EC4" i="14"/>
  <c r="EB4" i="14"/>
  <c r="EA4" i="14"/>
  <c r="MR17" i="4"/>
  <c r="MQ17" i="4"/>
  <c r="MO17" i="4"/>
  <c r="MN17" i="4"/>
  <c r="MM17" i="4"/>
  <c r="MR13" i="4"/>
  <c r="MQ13" i="4"/>
  <c r="MO13" i="4"/>
  <c r="MN13" i="4"/>
  <c r="MM13" i="4"/>
  <c r="MR11" i="4"/>
  <c r="MQ11" i="4"/>
  <c r="MO11" i="4"/>
  <c r="MN11" i="4"/>
  <c r="MM11" i="4"/>
  <c r="MR14" i="4"/>
  <c r="MQ14" i="4"/>
  <c r="MO14" i="4"/>
  <c r="MN14" i="4"/>
  <c r="MM14" i="4"/>
  <c r="MR19" i="4"/>
  <c r="MQ19" i="4"/>
  <c r="MO19" i="4"/>
  <c r="MN19" i="4"/>
  <c r="MM19" i="4"/>
  <c r="MR10" i="4"/>
  <c r="MQ10" i="4"/>
  <c r="MO10" i="4"/>
  <c r="MN10" i="4"/>
  <c r="MM10" i="4"/>
  <c r="MR15" i="4"/>
  <c r="MQ15" i="4"/>
  <c r="MO15" i="4"/>
  <c r="MN15" i="4"/>
  <c r="MM15" i="4"/>
  <c r="MR12" i="4"/>
  <c r="MQ12" i="4"/>
  <c r="MO12" i="4"/>
  <c r="MN12" i="4"/>
  <c r="MM12" i="4"/>
  <c r="MR8" i="4"/>
  <c r="MQ8" i="4"/>
  <c r="MO8" i="4"/>
  <c r="MN8" i="4"/>
  <c r="MM8" i="4"/>
  <c r="MR9" i="4"/>
  <c r="MQ9" i="4"/>
  <c r="MO9" i="4"/>
  <c r="MN9" i="4"/>
  <c r="MM9" i="4"/>
  <c r="MR7" i="4"/>
  <c r="MQ7" i="4"/>
  <c r="MO7" i="4"/>
  <c r="MN7" i="4"/>
  <c r="MM7" i="4"/>
  <c r="MR5" i="4"/>
  <c r="MQ5" i="4"/>
  <c r="MO5" i="4"/>
  <c r="MN5" i="4"/>
  <c r="MM5" i="4"/>
  <c r="MR6" i="4"/>
  <c r="MQ6" i="4"/>
  <c r="MO6" i="4"/>
  <c r="MN6" i="4"/>
  <c r="MM6" i="4"/>
  <c r="MR4" i="4"/>
  <c r="MQ4" i="4"/>
  <c r="MO4" i="4"/>
  <c r="MN4" i="4"/>
  <c r="MM4" i="4"/>
  <c r="LV17" i="4"/>
  <c r="LU17" i="4"/>
  <c r="LS17" i="4"/>
  <c r="LR17" i="4"/>
  <c r="LQ17" i="4"/>
  <c r="LV13" i="4"/>
  <c r="LU13" i="4"/>
  <c r="LS13" i="4"/>
  <c r="LR13" i="4"/>
  <c r="LQ13" i="4"/>
  <c r="LV11" i="4"/>
  <c r="LU11" i="4"/>
  <c r="LS11" i="4"/>
  <c r="LR11" i="4"/>
  <c r="LQ11" i="4"/>
  <c r="LV14" i="4"/>
  <c r="LU14" i="4"/>
  <c r="LS14" i="4"/>
  <c r="LR14" i="4"/>
  <c r="LQ14" i="4"/>
  <c r="LV19" i="4"/>
  <c r="LU19" i="4"/>
  <c r="LS19" i="4"/>
  <c r="LR19" i="4"/>
  <c r="LQ19" i="4"/>
  <c r="LV10" i="4"/>
  <c r="LU10" i="4"/>
  <c r="LS10" i="4"/>
  <c r="LR10" i="4"/>
  <c r="LQ10" i="4"/>
  <c r="LV15" i="4"/>
  <c r="LU15" i="4"/>
  <c r="LS15" i="4"/>
  <c r="LR15" i="4"/>
  <c r="LQ15" i="4"/>
  <c r="LV12" i="4"/>
  <c r="LU12" i="4"/>
  <c r="LS12" i="4"/>
  <c r="LR12" i="4"/>
  <c r="LQ12" i="4"/>
  <c r="LV8" i="4"/>
  <c r="LU8" i="4"/>
  <c r="LS8" i="4"/>
  <c r="LR8" i="4"/>
  <c r="LQ8" i="4"/>
  <c r="LV9" i="4"/>
  <c r="LU9" i="4"/>
  <c r="LS9" i="4"/>
  <c r="LR9" i="4"/>
  <c r="LQ9" i="4"/>
  <c r="LV7" i="4"/>
  <c r="LU7" i="4"/>
  <c r="LS7" i="4"/>
  <c r="LR7" i="4"/>
  <c r="LQ7" i="4"/>
  <c r="LV5" i="4"/>
  <c r="LU5" i="4"/>
  <c r="LS5" i="4"/>
  <c r="LR5" i="4"/>
  <c r="LQ5" i="4"/>
  <c r="LV6" i="4"/>
  <c r="LU6" i="4"/>
  <c r="LS6" i="4"/>
  <c r="LR6" i="4"/>
  <c r="LQ6" i="4"/>
  <c r="LV4" i="4"/>
  <c r="LU4" i="4"/>
  <c r="LS4" i="4"/>
  <c r="LR4" i="4"/>
  <c r="LQ4" i="4"/>
  <c r="KZ17" i="4"/>
  <c r="KY17" i="4"/>
  <c r="KW17" i="4"/>
  <c r="KV17" i="4"/>
  <c r="KU17" i="4"/>
  <c r="KZ13" i="4"/>
  <c r="KY13" i="4"/>
  <c r="KW13" i="4"/>
  <c r="KV13" i="4"/>
  <c r="KU13" i="4"/>
  <c r="KZ11" i="4"/>
  <c r="KY11" i="4"/>
  <c r="KW11" i="4"/>
  <c r="KV11" i="4"/>
  <c r="KU11" i="4"/>
  <c r="KZ14" i="4"/>
  <c r="KY14" i="4"/>
  <c r="KW14" i="4"/>
  <c r="KV14" i="4"/>
  <c r="KU14" i="4"/>
  <c r="KZ19" i="4"/>
  <c r="KY19" i="4"/>
  <c r="KW19" i="4"/>
  <c r="KV19" i="4"/>
  <c r="KU19" i="4"/>
  <c r="KZ10" i="4"/>
  <c r="KY10" i="4"/>
  <c r="KW10" i="4"/>
  <c r="KV10" i="4"/>
  <c r="KU10" i="4"/>
  <c r="KZ15" i="4"/>
  <c r="KY15" i="4"/>
  <c r="KW15" i="4"/>
  <c r="KV15" i="4"/>
  <c r="KU15" i="4"/>
  <c r="KZ12" i="4"/>
  <c r="KY12" i="4"/>
  <c r="KW12" i="4"/>
  <c r="KV12" i="4"/>
  <c r="KU12" i="4"/>
  <c r="KZ8" i="4"/>
  <c r="KY8" i="4"/>
  <c r="KW8" i="4"/>
  <c r="KV8" i="4"/>
  <c r="KU8" i="4"/>
  <c r="KZ9" i="4"/>
  <c r="KY9" i="4"/>
  <c r="KW9" i="4"/>
  <c r="KV9" i="4"/>
  <c r="KU9" i="4"/>
  <c r="KZ7" i="4"/>
  <c r="KY7" i="4"/>
  <c r="KW7" i="4"/>
  <c r="KV7" i="4"/>
  <c r="KU7" i="4"/>
  <c r="KZ5" i="4"/>
  <c r="KY5" i="4"/>
  <c r="KW5" i="4"/>
  <c r="KV5" i="4"/>
  <c r="KU5" i="4"/>
  <c r="KZ6" i="4"/>
  <c r="KY6" i="4"/>
  <c r="KW6" i="4"/>
  <c r="KV6" i="4"/>
  <c r="KU6" i="4"/>
  <c r="KZ4" i="4"/>
  <c r="KY4" i="4"/>
  <c r="KW4" i="4"/>
  <c r="KV4" i="4"/>
  <c r="KU4" i="4"/>
  <c r="KD17" i="4"/>
  <c r="KC17" i="4"/>
  <c r="KA17" i="4"/>
  <c r="JZ17" i="4"/>
  <c r="JY17" i="4"/>
  <c r="KD13" i="4"/>
  <c r="KC13" i="4"/>
  <c r="KA13" i="4"/>
  <c r="JZ13" i="4"/>
  <c r="JY13" i="4"/>
  <c r="KD11" i="4"/>
  <c r="KC11" i="4"/>
  <c r="KA11" i="4"/>
  <c r="JZ11" i="4"/>
  <c r="JY11" i="4"/>
  <c r="KD14" i="4"/>
  <c r="KC14" i="4"/>
  <c r="KA14" i="4"/>
  <c r="JZ14" i="4"/>
  <c r="JY14" i="4"/>
  <c r="KD19" i="4"/>
  <c r="KC19" i="4"/>
  <c r="KA19" i="4"/>
  <c r="JZ19" i="4"/>
  <c r="JY19" i="4"/>
  <c r="KD10" i="4"/>
  <c r="KC10" i="4"/>
  <c r="KA10" i="4"/>
  <c r="JZ10" i="4"/>
  <c r="JY10" i="4"/>
  <c r="KD15" i="4"/>
  <c r="KC15" i="4"/>
  <c r="KA15" i="4"/>
  <c r="JZ15" i="4"/>
  <c r="JY15" i="4"/>
  <c r="KD12" i="4"/>
  <c r="KC12" i="4"/>
  <c r="KA12" i="4"/>
  <c r="JZ12" i="4"/>
  <c r="JY12" i="4"/>
  <c r="KD8" i="4"/>
  <c r="KC8" i="4"/>
  <c r="KA8" i="4"/>
  <c r="JZ8" i="4"/>
  <c r="JY8" i="4"/>
  <c r="KD9" i="4"/>
  <c r="KC9" i="4"/>
  <c r="KA9" i="4"/>
  <c r="JZ9" i="4"/>
  <c r="JY9" i="4"/>
  <c r="KD7" i="4"/>
  <c r="KC7" i="4"/>
  <c r="KA7" i="4"/>
  <c r="JZ7" i="4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17" i="4"/>
  <c r="JG17" i="4"/>
  <c r="JE17" i="4"/>
  <c r="JD17" i="4"/>
  <c r="JC17" i="4"/>
  <c r="JH13" i="4"/>
  <c r="JG13" i="4"/>
  <c r="JE13" i="4"/>
  <c r="JD13" i="4"/>
  <c r="JC13" i="4"/>
  <c r="JH11" i="4"/>
  <c r="JG11" i="4"/>
  <c r="JE11" i="4"/>
  <c r="JD11" i="4"/>
  <c r="JC11" i="4"/>
  <c r="JH14" i="4"/>
  <c r="JG14" i="4"/>
  <c r="JE14" i="4"/>
  <c r="JD14" i="4"/>
  <c r="JC14" i="4"/>
  <c r="JH19" i="4"/>
  <c r="JG19" i="4"/>
  <c r="JE19" i="4"/>
  <c r="JD19" i="4"/>
  <c r="JC19" i="4"/>
  <c r="JH10" i="4"/>
  <c r="JG10" i="4"/>
  <c r="JE10" i="4"/>
  <c r="JD10" i="4"/>
  <c r="JC10" i="4"/>
  <c r="JH15" i="4"/>
  <c r="JG15" i="4"/>
  <c r="JE15" i="4"/>
  <c r="JD15" i="4"/>
  <c r="JC15" i="4"/>
  <c r="JH12" i="4"/>
  <c r="JG12" i="4"/>
  <c r="JE12" i="4"/>
  <c r="JD12" i="4"/>
  <c r="JC12" i="4"/>
  <c r="JH8" i="4"/>
  <c r="JG8" i="4"/>
  <c r="JE8" i="4"/>
  <c r="JD8" i="4"/>
  <c r="JC8" i="4"/>
  <c r="JH9" i="4"/>
  <c r="JG9" i="4"/>
  <c r="JE9" i="4"/>
  <c r="JD9" i="4"/>
  <c r="JC9" i="4"/>
  <c r="JH7" i="4"/>
  <c r="JG7" i="4"/>
  <c r="JE7" i="4"/>
  <c r="JD7" i="4"/>
  <c r="JC7" i="4"/>
  <c r="JH5" i="4"/>
  <c r="JG5" i="4"/>
  <c r="JE5" i="4"/>
  <c r="JD5" i="4"/>
  <c r="JC5" i="4"/>
  <c r="JH6" i="4"/>
  <c r="JG6" i="4"/>
  <c r="JE6" i="4"/>
  <c r="JD6" i="4"/>
  <c r="JC6" i="4"/>
  <c r="JH4" i="4"/>
  <c r="JG4" i="4"/>
  <c r="JE4" i="4"/>
  <c r="JD4" i="4"/>
  <c r="JC4" i="4"/>
  <c r="IL17" i="4"/>
  <c r="IK17" i="4"/>
  <c r="II17" i="4"/>
  <c r="IH17" i="4"/>
  <c r="IG17" i="4"/>
  <c r="IL13" i="4"/>
  <c r="IK13" i="4"/>
  <c r="II13" i="4"/>
  <c r="IH13" i="4"/>
  <c r="IG13" i="4"/>
  <c r="IL11" i="4"/>
  <c r="IK11" i="4"/>
  <c r="II11" i="4"/>
  <c r="IH11" i="4"/>
  <c r="IG11" i="4"/>
  <c r="IL14" i="4"/>
  <c r="IK14" i="4"/>
  <c r="II14" i="4"/>
  <c r="IH14" i="4"/>
  <c r="IG14" i="4"/>
  <c r="IL19" i="4"/>
  <c r="IK19" i="4"/>
  <c r="II19" i="4"/>
  <c r="IH19" i="4"/>
  <c r="IG19" i="4"/>
  <c r="IL10" i="4"/>
  <c r="IK10" i="4"/>
  <c r="II10" i="4"/>
  <c r="IH10" i="4"/>
  <c r="IG10" i="4"/>
  <c r="IL15" i="4"/>
  <c r="IK15" i="4"/>
  <c r="II15" i="4"/>
  <c r="IH15" i="4"/>
  <c r="IG15" i="4"/>
  <c r="IL12" i="4"/>
  <c r="IK12" i="4"/>
  <c r="II12" i="4"/>
  <c r="IH12" i="4"/>
  <c r="IG12" i="4"/>
  <c r="IL8" i="4"/>
  <c r="IK8" i="4"/>
  <c r="II8" i="4"/>
  <c r="IH8" i="4"/>
  <c r="IG8" i="4"/>
  <c r="IL9" i="4"/>
  <c r="IK9" i="4"/>
  <c r="II9" i="4"/>
  <c r="IH9" i="4"/>
  <c r="IG9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G4" i="4"/>
  <c r="HP17" i="4"/>
  <c r="HO17" i="4"/>
  <c r="HM17" i="4"/>
  <c r="HL17" i="4"/>
  <c r="HK17" i="4"/>
  <c r="HP13" i="4"/>
  <c r="HO13" i="4"/>
  <c r="HM13" i="4"/>
  <c r="HL13" i="4"/>
  <c r="HK13" i="4"/>
  <c r="HP11" i="4"/>
  <c r="HO11" i="4"/>
  <c r="HM11" i="4"/>
  <c r="HL11" i="4"/>
  <c r="HK11" i="4"/>
  <c r="HP14" i="4"/>
  <c r="HO14" i="4"/>
  <c r="HM14" i="4"/>
  <c r="HL14" i="4"/>
  <c r="HK14" i="4"/>
  <c r="HP19" i="4"/>
  <c r="HO19" i="4"/>
  <c r="HM19" i="4"/>
  <c r="HL19" i="4"/>
  <c r="HK19" i="4"/>
  <c r="HP10" i="4"/>
  <c r="HO10" i="4"/>
  <c r="HM10" i="4"/>
  <c r="HL10" i="4"/>
  <c r="HK10" i="4"/>
  <c r="HP15" i="4"/>
  <c r="HO15" i="4"/>
  <c r="HM15" i="4"/>
  <c r="HL15" i="4"/>
  <c r="HK15" i="4"/>
  <c r="HP12" i="4"/>
  <c r="HO12" i="4"/>
  <c r="HM12" i="4"/>
  <c r="HL12" i="4"/>
  <c r="HK12" i="4"/>
  <c r="HP8" i="4"/>
  <c r="HO8" i="4"/>
  <c r="HM8" i="4"/>
  <c r="HL8" i="4"/>
  <c r="HK8" i="4"/>
  <c r="HP9" i="4"/>
  <c r="HO9" i="4"/>
  <c r="HM9" i="4"/>
  <c r="HL9" i="4"/>
  <c r="HK9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17" i="4"/>
  <c r="GS17" i="4"/>
  <c r="GQ17" i="4"/>
  <c r="GP17" i="4"/>
  <c r="GO17" i="4"/>
  <c r="GT13" i="4"/>
  <c r="GS13" i="4"/>
  <c r="GQ13" i="4"/>
  <c r="GP13" i="4"/>
  <c r="GO13" i="4"/>
  <c r="GT11" i="4"/>
  <c r="GS11" i="4"/>
  <c r="GQ11" i="4"/>
  <c r="GP11" i="4"/>
  <c r="GO11" i="4"/>
  <c r="GT14" i="4"/>
  <c r="GS14" i="4"/>
  <c r="GQ14" i="4"/>
  <c r="GP14" i="4"/>
  <c r="GO14" i="4"/>
  <c r="GT19" i="4"/>
  <c r="GS19" i="4"/>
  <c r="GQ19" i="4"/>
  <c r="GP19" i="4"/>
  <c r="GO19" i="4"/>
  <c r="GT10" i="4"/>
  <c r="GS10" i="4"/>
  <c r="GQ10" i="4"/>
  <c r="GP10" i="4"/>
  <c r="GO10" i="4"/>
  <c r="GT15" i="4"/>
  <c r="GS15" i="4"/>
  <c r="GQ15" i="4"/>
  <c r="GP15" i="4"/>
  <c r="GO15" i="4"/>
  <c r="GT12" i="4"/>
  <c r="GS12" i="4"/>
  <c r="GQ12" i="4"/>
  <c r="GP12" i="4"/>
  <c r="GO12" i="4"/>
  <c r="GT8" i="4"/>
  <c r="GS8" i="4"/>
  <c r="GQ8" i="4"/>
  <c r="GP8" i="4"/>
  <c r="GO8" i="4"/>
  <c r="GT9" i="4"/>
  <c r="GS9" i="4"/>
  <c r="GQ9" i="4"/>
  <c r="GP9" i="4"/>
  <c r="GO9" i="4"/>
  <c r="GT7" i="4"/>
  <c r="GS7" i="4"/>
  <c r="GQ7" i="4"/>
  <c r="GP7" i="4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O4" i="4"/>
  <c r="FX17" i="4"/>
  <c r="FW17" i="4"/>
  <c r="FU17" i="4"/>
  <c r="FT17" i="4"/>
  <c r="FS17" i="4"/>
  <c r="FX13" i="4"/>
  <c r="FW13" i="4"/>
  <c r="FU13" i="4"/>
  <c r="FT13" i="4"/>
  <c r="FS13" i="4"/>
  <c r="FX11" i="4"/>
  <c r="FW11" i="4"/>
  <c r="FU11" i="4"/>
  <c r="FT11" i="4"/>
  <c r="FS11" i="4"/>
  <c r="FX14" i="4"/>
  <c r="FW14" i="4"/>
  <c r="FU14" i="4"/>
  <c r="FT14" i="4"/>
  <c r="FS14" i="4"/>
  <c r="FX19" i="4"/>
  <c r="FW19" i="4"/>
  <c r="FU19" i="4"/>
  <c r="FT19" i="4"/>
  <c r="FS19" i="4"/>
  <c r="FX10" i="4"/>
  <c r="FW10" i="4"/>
  <c r="FU10" i="4"/>
  <c r="FT10" i="4"/>
  <c r="FS10" i="4"/>
  <c r="FX15" i="4"/>
  <c r="FW15" i="4"/>
  <c r="FU15" i="4"/>
  <c r="FT15" i="4"/>
  <c r="FS15" i="4"/>
  <c r="FX12" i="4"/>
  <c r="FW12" i="4"/>
  <c r="FU12" i="4"/>
  <c r="FT12" i="4"/>
  <c r="FS12" i="4"/>
  <c r="FX8" i="4"/>
  <c r="FW8" i="4"/>
  <c r="FU8" i="4"/>
  <c r="FT8" i="4"/>
  <c r="FS8" i="4"/>
  <c r="FX9" i="4"/>
  <c r="FW9" i="4"/>
  <c r="FU9" i="4"/>
  <c r="FT9" i="4"/>
  <c r="FS9" i="4"/>
  <c r="FX7" i="4"/>
  <c r="FW7" i="4"/>
  <c r="FU7" i="4"/>
  <c r="FT7" i="4"/>
  <c r="FS7" i="4"/>
  <c r="FX5" i="4"/>
  <c r="FW5" i="4"/>
  <c r="FU5" i="4"/>
  <c r="FT5" i="4"/>
  <c r="FS5" i="4"/>
  <c r="FX6" i="4"/>
  <c r="FW6" i="4"/>
  <c r="FU6" i="4"/>
  <c r="FT6" i="4"/>
  <c r="FS6" i="4"/>
  <c r="FX4" i="4"/>
  <c r="FW4" i="4"/>
  <c r="FU4" i="4"/>
  <c r="FT4" i="4"/>
  <c r="FS4" i="4"/>
  <c r="FB17" i="4"/>
  <c r="FA17" i="4"/>
  <c r="EY17" i="4"/>
  <c r="EX17" i="4"/>
  <c r="EW17" i="4"/>
  <c r="FB13" i="4"/>
  <c r="FA13" i="4"/>
  <c r="EY13" i="4"/>
  <c r="EX13" i="4"/>
  <c r="EW13" i="4"/>
  <c r="FB11" i="4"/>
  <c r="FA11" i="4"/>
  <c r="EY11" i="4"/>
  <c r="EX11" i="4"/>
  <c r="EW11" i="4"/>
  <c r="FB14" i="4"/>
  <c r="FA14" i="4"/>
  <c r="EY14" i="4"/>
  <c r="EX14" i="4"/>
  <c r="EW14" i="4"/>
  <c r="FB19" i="4"/>
  <c r="FA19" i="4"/>
  <c r="EY19" i="4"/>
  <c r="EX19" i="4"/>
  <c r="EW19" i="4"/>
  <c r="FB10" i="4"/>
  <c r="FA10" i="4"/>
  <c r="EY10" i="4"/>
  <c r="EX10" i="4"/>
  <c r="EW10" i="4"/>
  <c r="FB15" i="4"/>
  <c r="FA15" i="4"/>
  <c r="EY15" i="4"/>
  <c r="EX15" i="4"/>
  <c r="EW15" i="4"/>
  <c r="FB12" i="4"/>
  <c r="FA12" i="4"/>
  <c r="EY12" i="4"/>
  <c r="EX12" i="4"/>
  <c r="EW12" i="4"/>
  <c r="FB8" i="4"/>
  <c r="FA8" i="4"/>
  <c r="EY8" i="4"/>
  <c r="EX8" i="4"/>
  <c r="EW8" i="4"/>
  <c r="FB9" i="4"/>
  <c r="FA9" i="4"/>
  <c r="EY9" i="4"/>
  <c r="EX9" i="4"/>
  <c r="EW9" i="4"/>
  <c r="FB7" i="4"/>
  <c r="FA7" i="4"/>
  <c r="EY7" i="4"/>
  <c r="EX7" i="4"/>
  <c r="EW7" i="4"/>
  <c r="FB5" i="4"/>
  <c r="FA5" i="4"/>
  <c r="EY5" i="4"/>
  <c r="EX5" i="4"/>
  <c r="EW5" i="4"/>
  <c r="FB6" i="4"/>
  <c r="FA6" i="4"/>
  <c r="EY6" i="4"/>
  <c r="EX6" i="4"/>
  <c r="EW6" i="4"/>
  <c r="FB4" i="4"/>
  <c r="FA4" i="4"/>
  <c r="EY4" i="4"/>
  <c r="EX4" i="4"/>
  <c r="EW4" i="4"/>
  <c r="EF17" i="4"/>
  <c r="EE17" i="4"/>
  <c r="EC17" i="4"/>
  <c r="EB17" i="4"/>
  <c r="EA17" i="4"/>
  <c r="EF13" i="4"/>
  <c r="EE13" i="4"/>
  <c r="EC13" i="4"/>
  <c r="EB13" i="4"/>
  <c r="EA13" i="4"/>
  <c r="EF11" i="4"/>
  <c r="EE11" i="4"/>
  <c r="EC11" i="4"/>
  <c r="EB11" i="4"/>
  <c r="EA11" i="4"/>
  <c r="EF14" i="4"/>
  <c r="EE14" i="4"/>
  <c r="EC14" i="4"/>
  <c r="EB14" i="4"/>
  <c r="EA14" i="4"/>
  <c r="EF19" i="4"/>
  <c r="EE19" i="4"/>
  <c r="EC19" i="4"/>
  <c r="EB19" i="4"/>
  <c r="EA19" i="4"/>
  <c r="EF10" i="4"/>
  <c r="EE10" i="4"/>
  <c r="EC10" i="4"/>
  <c r="EB10" i="4"/>
  <c r="EA10" i="4"/>
  <c r="EF15" i="4"/>
  <c r="EE15" i="4"/>
  <c r="EC15" i="4"/>
  <c r="EB15" i="4"/>
  <c r="EA15" i="4"/>
  <c r="EF12" i="4"/>
  <c r="EE12" i="4"/>
  <c r="EC12" i="4"/>
  <c r="EB12" i="4"/>
  <c r="EA12" i="4"/>
  <c r="EF8" i="4"/>
  <c r="EE8" i="4"/>
  <c r="EC8" i="4"/>
  <c r="EB8" i="4"/>
  <c r="EA8" i="4"/>
  <c r="EF9" i="4"/>
  <c r="EE9" i="4"/>
  <c r="EC9" i="4"/>
  <c r="EB9" i="4"/>
  <c r="EA9" i="4"/>
  <c r="EF7" i="4"/>
  <c r="EE7" i="4"/>
  <c r="EC7" i="4"/>
  <c r="EB7" i="4"/>
  <c r="EA7" i="4"/>
  <c r="EF5" i="4"/>
  <c r="EE5" i="4"/>
  <c r="EC5" i="4"/>
  <c r="EB5" i="4"/>
  <c r="EA5" i="4"/>
  <c r="EF6" i="4"/>
  <c r="EE6" i="4"/>
  <c r="EC6" i="4"/>
  <c r="EB6" i="4"/>
  <c r="EA6" i="4"/>
  <c r="EF4" i="4"/>
  <c r="EE4" i="4"/>
  <c r="EC4" i="4"/>
  <c r="EB4" i="4"/>
  <c r="EA4" i="4"/>
  <c r="BZ6" i="8"/>
  <c r="CA6" i="8"/>
  <c r="CC6" i="8"/>
  <c r="LT6" i="8"/>
  <c r="LU6" i="8"/>
  <c r="LV6" i="8"/>
  <c r="LW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BZ11" i="8"/>
  <c r="CA11" i="8"/>
  <c r="CC11" i="8"/>
  <c r="LT11" i="8"/>
  <c r="LU11" i="8"/>
  <c r="LV11" i="8"/>
  <c r="LW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N10" i="14" s="1"/>
  <c r="OC10" i="14"/>
  <c r="OD10" i="14"/>
  <c r="OE10" i="14"/>
  <c r="OF10" i="14"/>
  <c r="OG10" i="14"/>
  <c r="OQ10" i="14" s="1"/>
  <c r="OH10" i="14"/>
  <c r="OI10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BZ22" i="12"/>
  <c r="CA22" i="12"/>
  <c r="CB22" i="12"/>
  <c r="CC22" i="12"/>
  <c r="LT22" i="12"/>
  <c r="LU22" i="12"/>
  <c r="LV22" i="12"/>
  <c r="LW22" i="12"/>
  <c r="LY22" i="12"/>
  <c r="LZ22" i="12"/>
  <c r="MA22" i="12"/>
  <c r="MB22" i="12"/>
  <c r="MC22" i="12"/>
  <c r="MD22" i="12"/>
  <c r="ME22" i="12"/>
  <c r="MF22" i="12"/>
  <c r="MG22" i="12"/>
  <c r="MH22" i="12"/>
  <c r="MI22" i="12"/>
  <c r="MJ22" i="12"/>
  <c r="MK22" i="12"/>
  <c r="ML22" i="12"/>
  <c r="MM22" i="12"/>
  <c r="MN22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K27" i="14" l="1"/>
  <c r="DA23" i="6"/>
  <c r="MT22" i="6"/>
  <c r="M13" i="8"/>
  <c r="MT14" i="8"/>
  <c r="MT13" i="8"/>
  <c r="OP27" i="14"/>
  <c r="OS27" i="14" s="1"/>
  <c r="K16" i="4"/>
  <c r="L16" i="4" s="1"/>
  <c r="H21" i="12"/>
  <c r="I21" i="12" s="1"/>
  <c r="L21" i="12"/>
  <c r="CE21" i="12"/>
  <c r="K21" i="12"/>
  <c r="A21" i="12"/>
  <c r="H24" i="6"/>
  <c r="I24" i="6" s="1"/>
  <c r="MT24" i="6"/>
  <c r="L24" i="6"/>
  <c r="CE24" i="6"/>
  <c r="K24" i="6"/>
  <c r="A24" i="6"/>
  <c r="H22" i="6"/>
  <c r="I22" i="6" s="1"/>
  <c r="L22" i="6"/>
  <c r="CE22" i="6"/>
  <c r="K22" i="6"/>
  <c r="A22" i="6"/>
  <c r="H13" i="8"/>
  <c r="I13" i="8" s="1"/>
  <c r="CE13" i="8"/>
  <c r="N13" i="8" s="1"/>
  <c r="K13" i="8"/>
  <c r="A13" i="8"/>
  <c r="CF14" i="8"/>
  <c r="H14" i="8"/>
  <c r="I14" i="8" s="1"/>
  <c r="CE14" i="8"/>
  <c r="K14" i="8"/>
  <c r="A14" i="8"/>
  <c r="DA9" i="8"/>
  <c r="DA10" i="8"/>
  <c r="DA8" i="8"/>
  <c r="DV11" i="8"/>
  <c r="DV6" i="8"/>
  <c r="EQ9" i="8"/>
  <c r="EQ10" i="8"/>
  <c r="FL7" i="8"/>
  <c r="GG10" i="8"/>
  <c r="HB4" i="8"/>
  <c r="HB11" i="8"/>
  <c r="HB6" i="8"/>
  <c r="HW9" i="8"/>
  <c r="HW10" i="8"/>
  <c r="F27" i="14"/>
  <c r="I27" i="14"/>
  <c r="DI27" i="14"/>
  <c r="DK27" i="14"/>
  <c r="R27" i="14"/>
  <c r="DJ27" i="14"/>
  <c r="L27" i="14"/>
  <c r="M27" i="14"/>
  <c r="DV23" i="6"/>
  <c r="M8" i="7"/>
  <c r="IJ7" i="14"/>
  <c r="IM7" i="14" s="1"/>
  <c r="JM18" i="6"/>
  <c r="LC23" i="6"/>
  <c r="GG6" i="7"/>
  <c r="MT19" i="6"/>
  <c r="H19" i="6"/>
  <c r="I19" i="6" s="1"/>
  <c r="L19" i="6"/>
  <c r="CE19" i="6"/>
  <c r="K19" i="6"/>
  <c r="A19" i="6"/>
  <c r="MT16" i="6"/>
  <c r="MT20" i="6"/>
  <c r="MT5" i="8"/>
  <c r="H20" i="6"/>
  <c r="I20" i="6" s="1"/>
  <c r="K8" i="14"/>
  <c r="DJ8" i="14" s="1"/>
  <c r="K19" i="14"/>
  <c r="DJ19" i="14" s="1"/>
  <c r="DI8" i="14"/>
  <c r="OP8" i="14"/>
  <c r="OP16" i="4"/>
  <c r="DK8" i="14"/>
  <c r="J8" i="14"/>
  <c r="I8" i="14"/>
  <c r="K25" i="14"/>
  <c r="DJ25" i="14" s="1"/>
  <c r="ED13" i="14"/>
  <c r="IR4" i="8"/>
  <c r="IR11" i="8"/>
  <c r="IR6" i="8"/>
  <c r="JM9" i="8"/>
  <c r="JM10" i="8"/>
  <c r="JM8" i="8"/>
  <c r="KH6" i="8"/>
  <c r="MT10" i="7"/>
  <c r="P25" i="14"/>
  <c r="OP25" i="14"/>
  <c r="OP20" i="4"/>
  <c r="MT13" i="12"/>
  <c r="MT14" i="12"/>
  <c r="GG16" i="12"/>
  <c r="IR6" i="12"/>
  <c r="IR20" i="12"/>
  <c r="IR17" i="12"/>
  <c r="IR12" i="12"/>
  <c r="JM5" i="12"/>
  <c r="JM7" i="12"/>
  <c r="JM9" i="12"/>
  <c r="JM16" i="12"/>
  <c r="KH8" i="12"/>
  <c r="KH19" i="12"/>
  <c r="KH17" i="12"/>
  <c r="KH12" i="12"/>
  <c r="LC5" i="12"/>
  <c r="LC7" i="12"/>
  <c r="LC9" i="12"/>
  <c r="LC18" i="12"/>
  <c r="LC11" i="12"/>
  <c r="LC23" i="12"/>
  <c r="LC16" i="12"/>
  <c r="LC22" i="12"/>
  <c r="H14" i="12"/>
  <c r="I14" i="12" s="1"/>
  <c r="A14" i="12"/>
  <c r="L14" i="12"/>
  <c r="CE14" i="12"/>
  <c r="K14" i="12"/>
  <c r="H13" i="12"/>
  <c r="I13" i="12" s="1"/>
  <c r="L13" i="12"/>
  <c r="CE13" i="12"/>
  <c r="K13" i="12"/>
  <c r="A13" i="12"/>
  <c r="DA22" i="12"/>
  <c r="DV4" i="12"/>
  <c r="EQ16" i="12"/>
  <c r="DA19" i="12"/>
  <c r="GG6" i="12"/>
  <c r="GG12" i="12"/>
  <c r="HB5" i="12"/>
  <c r="HB7" i="12"/>
  <c r="HB9" i="12"/>
  <c r="HB11" i="12"/>
  <c r="HB23" i="12"/>
  <c r="HB16" i="12"/>
  <c r="HW6" i="12"/>
  <c r="HW20" i="12"/>
  <c r="HW19" i="12"/>
  <c r="HW10" i="12"/>
  <c r="HW12" i="12"/>
  <c r="IR9" i="12"/>
  <c r="IR11" i="12"/>
  <c r="IR23" i="12"/>
  <c r="IR16" i="12"/>
  <c r="KH16" i="12"/>
  <c r="LC6" i="12"/>
  <c r="LC20" i="12"/>
  <c r="LC12" i="12"/>
  <c r="MT15" i="6"/>
  <c r="IR4" i="7"/>
  <c r="HB4" i="7"/>
  <c r="HW6" i="7"/>
  <c r="L20" i="6"/>
  <c r="CE20" i="6"/>
  <c r="K20" i="6"/>
  <c r="A20" i="6"/>
  <c r="H15" i="6"/>
  <c r="I15" i="6" s="1"/>
  <c r="L15" i="6"/>
  <c r="K15" i="6"/>
  <c r="CE15" i="6"/>
  <c r="A15" i="6"/>
  <c r="H16" i="6"/>
  <c r="I16" i="6" s="1"/>
  <c r="L16" i="6"/>
  <c r="K16" i="6"/>
  <c r="CE16" i="6"/>
  <c r="A16" i="6"/>
  <c r="H9" i="6"/>
  <c r="I9" i="6" s="1"/>
  <c r="MT9" i="6"/>
  <c r="A9" i="6"/>
  <c r="L9" i="6"/>
  <c r="CE9" i="6"/>
  <c r="K9" i="6"/>
  <c r="DA7" i="6"/>
  <c r="DV5" i="6"/>
  <c r="DV8" i="6"/>
  <c r="IR5" i="6"/>
  <c r="HW11" i="6"/>
  <c r="LC4" i="6"/>
  <c r="KH5" i="6"/>
  <c r="KH7" i="6"/>
  <c r="HW17" i="6"/>
  <c r="IR4" i="6"/>
  <c r="M12" i="8"/>
  <c r="MT12" i="8"/>
  <c r="CF12" i="8"/>
  <c r="H12" i="8"/>
  <c r="I12" i="8" s="1"/>
  <c r="CE12" i="8"/>
  <c r="K12" i="8"/>
  <c r="A12" i="8"/>
  <c r="DA4" i="8"/>
  <c r="DA6" i="8"/>
  <c r="DV9" i="8"/>
  <c r="DV10" i="8"/>
  <c r="FL10" i="8"/>
  <c r="GG11" i="8"/>
  <c r="GG6" i="8"/>
  <c r="HB9" i="8"/>
  <c r="HB10" i="8"/>
  <c r="HW4" i="8"/>
  <c r="HW11" i="8"/>
  <c r="IR10" i="8"/>
  <c r="JM4" i="8"/>
  <c r="JM11" i="8"/>
  <c r="JM6" i="8"/>
  <c r="KH10" i="8"/>
  <c r="KH8" i="8"/>
  <c r="LC4" i="8"/>
  <c r="LC11" i="8"/>
  <c r="LC6" i="8"/>
  <c r="H5" i="8"/>
  <c r="I5" i="8" s="1"/>
  <c r="CE5" i="8"/>
  <c r="N5" i="8" s="1"/>
  <c r="K5" i="8"/>
  <c r="M5" i="8"/>
  <c r="MT8" i="7"/>
  <c r="H8" i="7"/>
  <c r="I8" i="7" s="1"/>
  <c r="CE8" i="7"/>
  <c r="N8" i="7" s="1"/>
  <c r="K8" i="7"/>
  <c r="A8" i="7"/>
  <c r="JM9" i="7"/>
  <c r="KH5" i="7"/>
  <c r="KH6" i="7"/>
  <c r="LC9" i="7"/>
  <c r="M10" i="7"/>
  <c r="EQ6" i="7"/>
  <c r="H10" i="7"/>
  <c r="I10" i="7" s="1"/>
  <c r="CE10" i="7"/>
  <c r="N10" i="7" s="1"/>
  <c r="K10" i="7"/>
  <c r="A10" i="7"/>
  <c r="FL5" i="7"/>
  <c r="FL6" i="7"/>
  <c r="J23" i="14"/>
  <c r="K23" i="14"/>
  <c r="L23" i="14" s="1"/>
  <c r="DK19" i="14"/>
  <c r="OP23" i="14"/>
  <c r="A19" i="14" a="1"/>
  <c r="A19" i="14" s="1"/>
  <c r="OP19" i="14"/>
  <c r="DI19" i="14"/>
  <c r="J19" i="14"/>
  <c r="I19" i="14"/>
  <c r="HN20" i="14"/>
  <c r="HQ20" i="14" s="1"/>
  <c r="IJ4" i="14"/>
  <c r="IJ22" i="14"/>
  <c r="IM22" i="14" s="1"/>
  <c r="KB6" i="14"/>
  <c r="KE6" i="14" s="1"/>
  <c r="DI23" i="14"/>
  <c r="J25" i="14"/>
  <c r="A25" i="14" a="1"/>
  <c r="A25" i="14" s="1"/>
  <c r="I25" i="14"/>
  <c r="DK25" i="14"/>
  <c r="S25" i="14" s="1"/>
  <c r="R25" i="14"/>
  <c r="OP16" i="14"/>
  <c r="LT18" i="14"/>
  <c r="LW18" i="14" s="1"/>
  <c r="MP6" i="14"/>
  <c r="MP17" i="14"/>
  <c r="K16" i="14"/>
  <c r="DJ16" i="14" s="1"/>
  <c r="I23" i="14"/>
  <c r="F23" i="14"/>
  <c r="DK23" i="14"/>
  <c r="A23" i="14" a="1"/>
  <c r="A23" i="14" s="1"/>
  <c r="KX18" i="14"/>
  <c r="LA18" i="14" s="1"/>
  <c r="LT6" i="14"/>
  <c r="LW6" i="14" s="1"/>
  <c r="LT9" i="14"/>
  <c r="LW9" i="14" s="1"/>
  <c r="LT20" i="14"/>
  <c r="LW20" i="14" s="1"/>
  <c r="MP4" i="14"/>
  <c r="MS4" i="14" s="1"/>
  <c r="DI16" i="14"/>
  <c r="J16" i="14"/>
  <c r="I16" i="14"/>
  <c r="A16" i="14" a="1"/>
  <c r="A16" i="14" s="1"/>
  <c r="DK16" i="14"/>
  <c r="R16" i="14"/>
  <c r="MP22" i="14"/>
  <c r="MS22" i="14" s="1"/>
  <c r="HN10" i="14"/>
  <c r="HQ10" i="14" s="1"/>
  <c r="IM4" i="14"/>
  <c r="KB12" i="14"/>
  <c r="KE12" i="14" s="1"/>
  <c r="K20" i="4"/>
  <c r="MP11" i="4"/>
  <c r="MS11" i="4" s="1"/>
  <c r="ED11" i="4"/>
  <c r="EG11" i="4" s="1"/>
  <c r="P16" i="4"/>
  <c r="R16" i="4"/>
  <c r="DK20" i="4"/>
  <c r="A20" i="4" a="1"/>
  <c r="A20" i="4" s="1"/>
  <c r="OP21" i="4"/>
  <c r="K21" i="4"/>
  <c r="DJ21" i="4" s="1"/>
  <c r="K18" i="4"/>
  <c r="OP18" i="4"/>
  <c r="I16" i="4"/>
  <c r="J16" i="4"/>
  <c r="S16" i="4"/>
  <c r="A16" i="4" a="1"/>
  <c r="A16" i="4" s="1"/>
  <c r="IJ11" i="4"/>
  <c r="IM11" i="4" s="1"/>
  <c r="JF19" i="4"/>
  <c r="JI19" i="4" s="1"/>
  <c r="KB15" i="4"/>
  <c r="KE15" i="4" s="1"/>
  <c r="P21" i="4"/>
  <c r="MP17" i="4"/>
  <c r="MS17" i="4" s="1"/>
  <c r="J20" i="4"/>
  <c r="F20" i="4"/>
  <c r="I20" i="4"/>
  <c r="P20" i="4"/>
  <c r="DI20" i="4"/>
  <c r="MP13" i="4"/>
  <c r="MS13" i="4" s="1"/>
  <c r="FV6" i="4"/>
  <c r="FY6" i="4" s="1"/>
  <c r="LT10" i="4"/>
  <c r="LW10" i="4" s="1"/>
  <c r="IJ13" i="4"/>
  <c r="IM13" i="4" s="1"/>
  <c r="JF14" i="4"/>
  <c r="JI14" i="4" s="1"/>
  <c r="KX6" i="4"/>
  <c r="LA6" i="4" s="1"/>
  <c r="KX12" i="4"/>
  <c r="LA12" i="4" s="1"/>
  <c r="LT4" i="4"/>
  <c r="LW4" i="4" s="1"/>
  <c r="LT13" i="4"/>
  <c r="LW13" i="4" s="1"/>
  <c r="MP9" i="4"/>
  <c r="MS9" i="4" s="1"/>
  <c r="MP14" i="4"/>
  <c r="MS14" i="4" s="1"/>
  <c r="R21" i="4"/>
  <c r="A21" i="4" a="1"/>
  <c r="A21" i="4" s="1"/>
  <c r="S21" i="4"/>
  <c r="T21" i="4" s="1"/>
  <c r="J21" i="4"/>
  <c r="I21" i="4"/>
  <c r="DI18" i="4"/>
  <c r="A18" i="4" a="1"/>
  <c r="A18" i="4" s="1"/>
  <c r="J18" i="4"/>
  <c r="DK18" i="4"/>
  <c r="R18" i="4"/>
  <c r="I18" i="4"/>
  <c r="EZ19" i="4"/>
  <c r="FC19" i="4" s="1"/>
  <c r="ED19" i="4"/>
  <c r="EG19" i="4" s="1"/>
  <c r="DA6" i="12"/>
  <c r="DA5" i="12"/>
  <c r="DA7" i="12"/>
  <c r="DA9" i="12"/>
  <c r="GG15" i="12"/>
  <c r="DV8" i="12"/>
  <c r="EQ9" i="12"/>
  <c r="EQ22" i="12"/>
  <c r="FL8" i="12"/>
  <c r="FL19" i="12"/>
  <c r="FL10" i="12"/>
  <c r="FL17" i="12"/>
  <c r="KH18" i="12"/>
  <c r="GG9" i="12"/>
  <c r="GG18" i="12"/>
  <c r="GG11" i="12"/>
  <c r="GG23" i="12"/>
  <c r="J11" i="12"/>
  <c r="KH10" i="12"/>
  <c r="DA17" i="12"/>
  <c r="DA12" i="12"/>
  <c r="DV5" i="12"/>
  <c r="DV7" i="12"/>
  <c r="DV9" i="12"/>
  <c r="DV18" i="12"/>
  <c r="DV11" i="12"/>
  <c r="DV23" i="12"/>
  <c r="DV16" i="12"/>
  <c r="DV22" i="12"/>
  <c r="EQ8" i="12"/>
  <c r="FL9" i="12"/>
  <c r="FL11" i="12"/>
  <c r="HB4" i="12"/>
  <c r="EQ13" i="6"/>
  <c r="FL13" i="6"/>
  <c r="GG21" i="6"/>
  <c r="GG13" i="6"/>
  <c r="EQ4" i="6"/>
  <c r="EQ10" i="6"/>
  <c r="EQ17" i="6"/>
  <c r="FL4" i="6"/>
  <c r="FL18" i="6"/>
  <c r="FL10" i="6"/>
  <c r="FL17" i="6"/>
  <c r="GG4" i="6"/>
  <c r="GG14" i="6"/>
  <c r="GG18" i="6"/>
  <c r="GG10" i="6"/>
  <c r="GG17" i="6"/>
  <c r="HB4" i="6"/>
  <c r="HB6" i="6"/>
  <c r="HB18" i="6"/>
  <c r="HB17" i="6"/>
  <c r="HW4" i="6"/>
  <c r="HW18" i="6"/>
  <c r="DV4" i="6"/>
  <c r="HW12" i="6"/>
  <c r="HW8" i="6"/>
  <c r="HW23" i="6"/>
  <c r="DV14" i="6"/>
  <c r="JM21" i="6"/>
  <c r="FL5" i="6"/>
  <c r="FL7" i="6"/>
  <c r="IR18" i="6"/>
  <c r="IR10" i="6"/>
  <c r="IR17" i="6"/>
  <c r="JM4" i="6"/>
  <c r="JM6" i="6"/>
  <c r="LC21" i="6"/>
  <c r="LC13" i="6"/>
  <c r="KH4" i="6"/>
  <c r="KH6" i="6"/>
  <c r="KH18" i="6"/>
  <c r="DA14" i="6"/>
  <c r="HB12" i="6"/>
  <c r="HB8" i="6"/>
  <c r="HB23" i="6"/>
  <c r="HW5" i="6"/>
  <c r="LC6" i="6"/>
  <c r="LC18" i="6"/>
  <c r="LC10" i="6"/>
  <c r="LC8" i="8"/>
  <c r="GG7" i="8"/>
  <c r="EQ7" i="7"/>
  <c r="KH9" i="7"/>
  <c r="LC6" i="7"/>
  <c r="DV6" i="7"/>
  <c r="JM6" i="7"/>
  <c r="HB6" i="7"/>
  <c r="IR9" i="7"/>
  <c r="JM4" i="7"/>
  <c r="EZ4" i="14"/>
  <c r="FC4" i="14" s="1"/>
  <c r="IJ10" i="14"/>
  <c r="IM10" i="14" s="1"/>
  <c r="EZ18" i="14"/>
  <c r="FC18" i="14" s="1"/>
  <c r="FV9" i="14"/>
  <c r="FY9" i="14" s="1"/>
  <c r="GR12" i="14"/>
  <c r="GU12" i="14" s="1"/>
  <c r="HN7" i="14"/>
  <c r="HQ7" i="14" s="1"/>
  <c r="LT15" i="14"/>
  <c r="LW15" i="14" s="1"/>
  <c r="MP9" i="14"/>
  <c r="MS9" i="14" s="1"/>
  <c r="MP10" i="14"/>
  <c r="MS10" i="14" s="1"/>
  <c r="GR4" i="14"/>
  <c r="GU4" i="14" s="1"/>
  <c r="HN18" i="14"/>
  <c r="HQ18" i="14" s="1"/>
  <c r="IJ9" i="14"/>
  <c r="IM9" i="14" s="1"/>
  <c r="IJ17" i="14"/>
  <c r="IM17" i="14" s="1"/>
  <c r="GR6" i="14"/>
  <c r="GU6" i="14" s="1"/>
  <c r="IJ21" i="14"/>
  <c r="IM21" i="14" s="1"/>
  <c r="MS17" i="14"/>
  <c r="ED6" i="14"/>
  <c r="EG6" i="14" s="1"/>
  <c r="EZ10" i="14"/>
  <c r="FC10" i="14" s="1"/>
  <c r="HN5" i="14"/>
  <c r="HQ5" i="14" s="1"/>
  <c r="IJ24" i="14"/>
  <c r="IM24" i="14" s="1"/>
  <c r="JF4" i="14"/>
  <c r="JI4" i="14" s="1"/>
  <c r="JF22" i="14"/>
  <c r="JI22" i="14" s="1"/>
  <c r="LT12" i="14"/>
  <c r="LW12" i="14" s="1"/>
  <c r="LT7" i="14"/>
  <c r="LW7" i="14" s="1"/>
  <c r="LT26" i="14"/>
  <c r="LW26" i="14" s="1"/>
  <c r="FV11" i="4"/>
  <c r="FY11" i="4" s="1"/>
  <c r="HN15" i="4"/>
  <c r="HQ15" i="4" s="1"/>
  <c r="JF11" i="4"/>
  <c r="JI11" i="4" s="1"/>
  <c r="KB19" i="4"/>
  <c r="KE19" i="4" s="1"/>
  <c r="LT17" i="4"/>
  <c r="LW17" i="4" s="1"/>
  <c r="HN13" i="4"/>
  <c r="HQ13" i="4" s="1"/>
  <c r="KX19" i="4"/>
  <c r="LA19" i="4" s="1"/>
  <c r="IJ19" i="4"/>
  <c r="IM19" i="4" s="1"/>
  <c r="FV8" i="4"/>
  <c r="FY8" i="4" s="1"/>
  <c r="FV13" i="4"/>
  <c r="FY13" i="4" s="1"/>
  <c r="GR9" i="4"/>
  <c r="GU9" i="4" s="1"/>
  <c r="GR14" i="4"/>
  <c r="GU14" i="4" s="1"/>
  <c r="MP19" i="4"/>
  <c r="MS19" i="4" s="1"/>
  <c r="ED4" i="4"/>
  <c r="EG4" i="4" s="1"/>
  <c r="ED8" i="4"/>
  <c r="EG8" i="4" s="1"/>
  <c r="ED14" i="4"/>
  <c r="EG14" i="4" s="1"/>
  <c r="EZ10" i="4"/>
  <c r="FC10" i="4" s="1"/>
  <c r="EZ4" i="4"/>
  <c r="FC4" i="4" s="1"/>
  <c r="FV10" i="4"/>
  <c r="FY10" i="4" s="1"/>
  <c r="GR11" i="4"/>
  <c r="GU11" i="4" s="1"/>
  <c r="HN19" i="4"/>
  <c r="HQ19" i="4" s="1"/>
  <c r="EZ6" i="4"/>
  <c r="FC6" i="4" s="1"/>
  <c r="LT19" i="4"/>
  <c r="LW19" i="4" s="1"/>
  <c r="MP15" i="4"/>
  <c r="MS15" i="4" s="1"/>
  <c r="DA15" i="12"/>
  <c r="FL4" i="12"/>
  <c r="IR15" i="12"/>
  <c r="LC15" i="12"/>
  <c r="J16" i="12"/>
  <c r="J17" i="12"/>
  <c r="DA11" i="12"/>
  <c r="DA23" i="12"/>
  <c r="DA16" i="12"/>
  <c r="EQ4" i="12"/>
  <c r="EQ12" i="12"/>
  <c r="FL5" i="12"/>
  <c r="FL7" i="12"/>
  <c r="JM18" i="12"/>
  <c r="EQ15" i="12"/>
  <c r="FL23" i="12"/>
  <c r="FL16" i="12"/>
  <c r="HB8" i="12"/>
  <c r="HB19" i="12"/>
  <c r="HB10" i="12"/>
  <c r="JM6" i="12"/>
  <c r="JM20" i="12"/>
  <c r="JM22" i="12"/>
  <c r="KH4" i="12"/>
  <c r="DV12" i="12"/>
  <c r="EQ5" i="12"/>
  <c r="EQ7" i="12"/>
  <c r="GG20" i="12"/>
  <c r="HW9" i="12"/>
  <c r="JM8" i="12"/>
  <c r="JM19" i="12"/>
  <c r="JM10" i="12"/>
  <c r="DA20" i="12"/>
  <c r="DV15" i="12"/>
  <c r="EQ18" i="12"/>
  <c r="EQ11" i="12"/>
  <c r="EQ23" i="12"/>
  <c r="GG19" i="12"/>
  <c r="HW11" i="12"/>
  <c r="HW23" i="12"/>
  <c r="HW16" i="12"/>
  <c r="JM17" i="12"/>
  <c r="JM12" i="12"/>
  <c r="KH5" i="12"/>
  <c r="KH7" i="12"/>
  <c r="KH9" i="12"/>
  <c r="DA18" i="12"/>
  <c r="DV6" i="12"/>
  <c r="DV20" i="12"/>
  <c r="EQ6" i="12"/>
  <c r="EQ20" i="12"/>
  <c r="FL6" i="12"/>
  <c r="FL20" i="12"/>
  <c r="FL22" i="12"/>
  <c r="GG8" i="12"/>
  <c r="HB6" i="12"/>
  <c r="HB20" i="12"/>
  <c r="HB22" i="12"/>
  <c r="HW8" i="12"/>
  <c r="HW22" i="12"/>
  <c r="IR8" i="12"/>
  <c r="IR19" i="12"/>
  <c r="IR10" i="12"/>
  <c r="JM15" i="12"/>
  <c r="KH11" i="12"/>
  <c r="KH23" i="12"/>
  <c r="GG4" i="12"/>
  <c r="GG22" i="12"/>
  <c r="HW4" i="12"/>
  <c r="IR4" i="12"/>
  <c r="DA8" i="12"/>
  <c r="DV19" i="12"/>
  <c r="DV10" i="12"/>
  <c r="EQ19" i="12"/>
  <c r="EQ10" i="12"/>
  <c r="FL12" i="12"/>
  <c r="GG10" i="12"/>
  <c r="HB17" i="12"/>
  <c r="HB12" i="12"/>
  <c r="HW17" i="12"/>
  <c r="JM11" i="12"/>
  <c r="JM23" i="12"/>
  <c r="LC8" i="12"/>
  <c r="J22" i="12"/>
  <c r="DA4" i="12"/>
  <c r="DA10" i="12"/>
  <c r="DV17" i="12"/>
  <c r="EQ17" i="12"/>
  <c r="FL15" i="12"/>
  <c r="GG5" i="12"/>
  <c r="GG7" i="12"/>
  <c r="GG17" i="12"/>
  <c r="HB15" i="12"/>
  <c r="HW5" i="12"/>
  <c r="HW7" i="12"/>
  <c r="HW15" i="12"/>
  <c r="IR5" i="12"/>
  <c r="IR7" i="12"/>
  <c r="KH6" i="12"/>
  <c r="KH20" i="12"/>
  <c r="KH22" i="12"/>
  <c r="LC4" i="12"/>
  <c r="LC19" i="12"/>
  <c r="LC10" i="12"/>
  <c r="LC17" i="12"/>
  <c r="HW18" i="12"/>
  <c r="IR18" i="12"/>
  <c r="KH15" i="12"/>
  <c r="FL18" i="12"/>
  <c r="HB18" i="12"/>
  <c r="IR22" i="12"/>
  <c r="JM4" i="12"/>
  <c r="DA8" i="6"/>
  <c r="EQ5" i="6"/>
  <c r="EQ7" i="6"/>
  <c r="KH11" i="6"/>
  <c r="LC17" i="6"/>
  <c r="DV21" i="6"/>
  <c r="GG11" i="6"/>
  <c r="DA18" i="6"/>
  <c r="DA17" i="6"/>
  <c r="KH12" i="6"/>
  <c r="KH8" i="6"/>
  <c r="KH23" i="6"/>
  <c r="DA4" i="6"/>
  <c r="DV6" i="6"/>
  <c r="DV18" i="6"/>
  <c r="DV11" i="6"/>
  <c r="DV17" i="6"/>
  <c r="GG12" i="6"/>
  <c r="HB11" i="6"/>
  <c r="HW14" i="6"/>
  <c r="IR14" i="6"/>
  <c r="JM13" i="6"/>
  <c r="EQ14" i="6"/>
  <c r="EQ18" i="6"/>
  <c r="KH17" i="6"/>
  <c r="HB21" i="6"/>
  <c r="HW21" i="6"/>
  <c r="JM11" i="6"/>
  <c r="JM17" i="6"/>
  <c r="DA6" i="6"/>
  <c r="DA13" i="6"/>
  <c r="DV10" i="6"/>
  <c r="EQ12" i="6"/>
  <c r="EQ8" i="6"/>
  <c r="EQ23" i="6"/>
  <c r="FL14" i="6"/>
  <c r="GG8" i="6"/>
  <c r="GG23" i="6"/>
  <c r="HB10" i="6"/>
  <c r="EQ21" i="6"/>
  <c r="FL11" i="6"/>
  <c r="HB14" i="6"/>
  <c r="HW13" i="6"/>
  <c r="IR11" i="6"/>
  <c r="LC14" i="6"/>
  <c r="DA5" i="6"/>
  <c r="DA10" i="6"/>
  <c r="DV7" i="6"/>
  <c r="GG6" i="6"/>
  <c r="HW6" i="6"/>
  <c r="IR7" i="6"/>
  <c r="IR21" i="6"/>
  <c r="JM10" i="6"/>
  <c r="KH21" i="6"/>
  <c r="DA11" i="6"/>
  <c r="DV12" i="6"/>
  <c r="EQ6" i="6"/>
  <c r="FL12" i="6"/>
  <c r="FL8" i="6"/>
  <c r="FL23" i="6"/>
  <c r="HB5" i="6"/>
  <c r="HB7" i="6"/>
  <c r="HW10" i="6"/>
  <c r="IR12" i="6"/>
  <c r="IR8" i="6"/>
  <c r="IR13" i="6"/>
  <c r="IR23" i="6"/>
  <c r="JM14" i="6"/>
  <c r="KH13" i="6"/>
  <c r="LC5" i="6"/>
  <c r="LC7" i="6"/>
  <c r="LC11" i="6"/>
  <c r="FL21" i="6"/>
  <c r="DA12" i="6"/>
  <c r="GG5" i="6"/>
  <c r="JM5" i="6"/>
  <c r="JM7" i="6"/>
  <c r="KH10" i="6"/>
  <c r="LC12" i="6"/>
  <c r="LC8" i="6"/>
  <c r="DA21" i="6"/>
  <c r="DV13" i="6"/>
  <c r="EQ11" i="6"/>
  <c r="FL6" i="6"/>
  <c r="GG7" i="6"/>
  <c r="HB13" i="6"/>
  <c r="HW7" i="6"/>
  <c r="IR6" i="6"/>
  <c r="JM12" i="6"/>
  <c r="JM8" i="6"/>
  <c r="JM23" i="6"/>
  <c r="KH14" i="6"/>
  <c r="LX6" i="8"/>
  <c r="DV7" i="8"/>
  <c r="FL11" i="8"/>
  <c r="FL6" i="8"/>
  <c r="GG9" i="8"/>
  <c r="EQ8" i="8"/>
  <c r="KH4" i="8"/>
  <c r="EQ4" i="8"/>
  <c r="EQ11" i="8"/>
  <c r="EQ6" i="8"/>
  <c r="FL9" i="8"/>
  <c r="GG8" i="8"/>
  <c r="DV8" i="8"/>
  <c r="HW8" i="8"/>
  <c r="LC9" i="8"/>
  <c r="LC10" i="8"/>
  <c r="FL4" i="8"/>
  <c r="IR7" i="8"/>
  <c r="LX10" i="8"/>
  <c r="DV4" i="8"/>
  <c r="EQ7" i="8"/>
  <c r="HB8" i="8"/>
  <c r="HW7" i="8"/>
  <c r="HW6" i="8"/>
  <c r="IR9" i="8"/>
  <c r="KH11" i="8"/>
  <c r="LC7" i="8"/>
  <c r="KH7" i="8"/>
  <c r="DA11" i="8"/>
  <c r="FL8" i="8"/>
  <c r="GG4" i="8"/>
  <c r="HB7" i="8"/>
  <c r="IR8" i="8"/>
  <c r="JM7" i="8"/>
  <c r="KH9" i="8"/>
  <c r="DA7" i="8"/>
  <c r="DA6" i="7"/>
  <c r="DV7" i="7"/>
  <c r="HW7" i="7"/>
  <c r="IR5" i="7"/>
  <c r="GG4" i="7"/>
  <c r="KH4" i="7"/>
  <c r="DA7" i="7"/>
  <c r="FL4" i="7"/>
  <c r="HW5" i="7"/>
  <c r="IR7" i="7"/>
  <c r="HB7" i="7"/>
  <c r="HW4" i="7"/>
  <c r="JM5" i="7"/>
  <c r="DA5" i="7"/>
  <c r="EQ9" i="7"/>
  <c r="HB9" i="7"/>
  <c r="KH7" i="7"/>
  <c r="LC4" i="7"/>
  <c r="EQ4" i="7"/>
  <c r="DV9" i="7"/>
  <c r="GG7" i="7"/>
  <c r="LC5" i="7"/>
  <c r="DV4" i="7"/>
  <c r="EQ5" i="7"/>
  <c r="GG9" i="7"/>
  <c r="HB5" i="7"/>
  <c r="JM7" i="7"/>
  <c r="DA9" i="7"/>
  <c r="DV5" i="7"/>
  <c r="FL7" i="7"/>
  <c r="IR6" i="7"/>
  <c r="DA4" i="7"/>
  <c r="FL9" i="7"/>
  <c r="GG5" i="7"/>
  <c r="HW9" i="7"/>
  <c r="LC7" i="7"/>
  <c r="FV10" i="14"/>
  <c r="FY10" i="14" s="1"/>
  <c r="FV7" i="14"/>
  <c r="FY7" i="14" s="1"/>
  <c r="IJ13" i="14"/>
  <c r="IM13" i="14" s="1"/>
  <c r="GR20" i="14"/>
  <c r="GU20" i="14" s="1"/>
  <c r="GR24" i="14"/>
  <c r="GU24" i="14" s="1"/>
  <c r="HN4" i="14"/>
  <c r="HQ4" i="14" s="1"/>
  <c r="HN22" i="14"/>
  <c r="HQ22" i="14" s="1"/>
  <c r="JF6" i="14"/>
  <c r="JI6" i="14" s="1"/>
  <c r="JF9" i="14"/>
  <c r="JI9" i="14" s="1"/>
  <c r="JF17" i="14"/>
  <c r="JI17" i="14" s="1"/>
  <c r="KB17" i="14"/>
  <c r="KE17" i="14" s="1"/>
  <c r="KX12" i="14"/>
  <c r="LA12" i="14" s="1"/>
  <c r="KX10" i="14"/>
  <c r="LA10" i="14" s="1"/>
  <c r="MP26" i="14"/>
  <c r="MS26" i="14" s="1"/>
  <c r="LT11" i="14"/>
  <c r="LW11" i="14" s="1"/>
  <c r="EZ13" i="14"/>
  <c r="FC13" i="14" s="1"/>
  <c r="EZ14" i="14"/>
  <c r="FC14" i="14" s="1"/>
  <c r="EZ20" i="14"/>
  <c r="FC20" i="14" s="1"/>
  <c r="FV22" i="14"/>
  <c r="FY22" i="14" s="1"/>
  <c r="GR18" i="14"/>
  <c r="GU18" i="14" s="1"/>
  <c r="JF7" i="14"/>
  <c r="JI7" i="14" s="1"/>
  <c r="JF21" i="14"/>
  <c r="JI21" i="14" s="1"/>
  <c r="JF10" i="14"/>
  <c r="JI10" i="14" s="1"/>
  <c r="KB21" i="14"/>
  <c r="KE21" i="14" s="1"/>
  <c r="KX5" i="14"/>
  <c r="LA5" i="14" s="1"/>
  <c r="KX11" i="14"/>
  <c r="LA11" i="14" s="1"/>
  <c r="KX13" i="14"/>
  <c r="LA13" i="14" s="1"/>
  <c r="KX14" i="14"/>
  <c r="LA14" i="14" s="1"/>
  <c r="KX20" i="14"/>
  <c r="LA20" i="14" s="1"/>
  <c r="LT13" i="14"/>
  <c r="LW13" i="14" s="1"/>
  <c r="ED14" i="14"/>
  <c r="EG14" i="14" s="1"/>
  <c r="FV15" i="14"/>
  <c r="FY15" i="14" s="1"/>
  <c r="HN15" i="14"/>
  <c r="HQ15" i="14" s="1"/>
  <c r="IJ18" i="14"/>
  <c r="IM18" i="14" s="1"/>
  <c r="JF15" i="14"/>
  <c r="JI15" i="14" s="1"/>
  <c r="KX6" i="14"/>
  <c r="LA6" i="14" s="1"/>
  <c r="KX9" i="14"/>
  <c r="LA9" i="14" s="1"/>
  <c r="LT10" i="14"/>
  <c r="LW10" i="14" s="1"/>
  <c r="MP7" i="14"/>
  <c r="MS7" i="14" s="1"/>
  <c r="MP12" i="14"/>
  <c r="MS12" i="14" s="1"/>
  <c r="MP21" i="14"/>
  <c r="MS21" i="14" s="1"/>
  <c r="ED22" i="14"/>
  <c r="EG22" i="14" s="1"/>
  <c r="ED18" i="14"/>
  <c r="EG18" i="14" s="1"/>
  <c r="EZ6" i="14"/>
  <c r="FC6" i="14" s="1"/>
  <c r="EZ17" i="14"/>
  <c r="FC17" i="14" s="1"/>
  <c r="FV12" i="14"/>
  <c r="FY12" i="14" s="1"/>
  <c r="FV17" i="14"/>
  <c r="FY17" i="14" s="1"/>
  <c r="GR9" i="14"/>
  <c r="GU9" i="14" s="1"/>
  <c r="HN12" i="14"/>
  <c r="HQ12" i="14" s="1"/>
  <c r="HN9" i="14"/>
  <c r="HQ9" i="14" s="1"/>
  <c r="HN17" i="14"/>
  <c r="HQ17" i="14" s="1"/>
  <c r="IJ12" i="14"/>
  <c r="IM12" i="14" s="1"/>
  <c r="JF12" i="14"/>
  <c r="JI12" i="14" s="1"/>
  <c r="KB10" i="14"/>
  <c r="KE10" i="14" s="1"/>
  <c r="KX21" i="14"/>
  <c r="LA21" i="14" s="1"/>
  <c r="MP11" i="14"/>
  <c r="MS11" i="14" s="1"/>
  <c r="ED12" i="14"/>
  <c r="EG12" i="14" s="1"/>
  <c r="ED10" i="14"/>
  <c r="EG10" i="14" s="1"/>
  <c r="EZ7" i="14"/>
  <c r="FC7" i="14" s="1"/>
  <c r="EZ12" i="14"/>
  <c r="FC12" i="14" s="1"/>
  <c r="EZ21" i="14"/>
  <c r="FC21" i="14" s="1"/>
  <c r="FV26" i="14"/>
  <c r="FY26" i="14" s="1"/>
  <c r="GR5" i="14"/>
  <c r="GU5" i="14" s="1"/>
  <c r="GR21" i="14"/>
  <c r="GU21" i="14" s="1"/>
  <c r="GR10" i="14"/>
  <c r="GU10" i="14" s="1"/>
  <c r="HN21" i="14"/>
  <c r="HQ21" i="14" s="1"/>
  <c r="IJ5" i="14"/>
  <c r="IM5" i="14" s="1"/>
  <c r="IJ26" i="14"/>
  <c r="IM26" i="14" s="1"/>
  <c r="KB5" i="14"/>
  <c r="KE5" i="14" s="1"/>
  <c r="KB26" i="14"/>
  <c r="KE26" i="14" s="1"/>
  <c r="KB11" i="14"/>
  <c r="KE11" i="14" s="1"/>
  <c r="MP13" i="14"/>
  <c r="MS13" i="14" s="1"/>
  <c r="MP14" i="14"/>
  <c r="MS14" i="14" s="1"/>
  <c r="MP20" i="14"/>
  <c r="MS20" i="14" s="1"/>
  <c r="MP24" i="14"/>
  <c r="MS24" i="14" s="1"/>
  <c r="EZ5" i="14"/>
  <c r="FC5" i="14" s="1"/>
  <c r="EZ11" i="14"/>
  <c r="FC11" i="14" s="1"/>
  <c r="FV11" i="14"/>
  <c r="FY11" i="14" s="1"/>
  <c r="GR26" i="14"/>
  <c r="GU26" i="14" s="1"/>
  <c r="ED5" i="14"/>
  <c r="EG5" i="14" s="1"/>
  <c r="ED26" i="14"/>
  <c r="EG26" i="14" s="1"/>
  <c r="FV13" i="14"/>
  <c r="FY13" i="14" s="1"/>
  <c r="IJ20" i="14"/>
  <c r="IM20" i="14" s="1"/>
  <c r="JF13" i="14"/>
  <c r="JI13" i="14" s="1"/>
  <c r="JF20" i="14"/>
  <c r="JI20" i="14" s="1"/>
  <c r="JF24" i="14"/>
  <c r="JI24" i="14" s="1"/>
  <c r="LT22" i="14"/>
  <c r="LW22" i="14" s="1"/>
  <c r="MP18" i="14"/>
  <c r="MS18" i="14" s="1"/>
  <c r="ED7" i="4"/>
  <c r="EG7" i="4" s="1"/>
  <c r="EZ13" i="4"/>
  <c r="FC13" i="4" s="1"/>
  <c r="GR6" i="4"/>
  <c r="GU6" i="4" s="1"/>
  <c r="GR12" i="4"/>
  <c r="GU12" i="4" s="1"/>
  <c r="GR19" i="4"/>
  <c r="GU19" i="4" s="1"/>
  <c r="HN4" i="4"/>
  <c r="HQ4" i="4" s="1"/>
  <c r="HN8" i="4"/>
  <c r="HQ8" i="4" s="1"/>
  <c r="JF6" i="4"/>
  <c r="JI6" i="4" s="1"/>
  <c r="KB4" i="4"/>
  <c r="KE4" i="4" s="1"/>
  <c r="KB8" i="4"/>
  <c r="KE8" i="4" s="1"/>
  <c r="KB13" i="4"/>
  <c r="KE13" i="4" s="1"/>
  <c r="KX9" i="4"/>
  <c r="LA9" i="4" s="1"/>
  <c r="KX14" i="4"/>
  <c r="LA14" i="4" s="1"/>
  <c r="MP6" i="4"/>
  <c r="MS6" i="4" s="1"/>
  <c r="ED9" i="4"/>
  <c r="EG9" i="4" s="1"/>
  <c r="FV4" i="4"/>
  <c r="FY4" i="4" s="1"/>
  <c r="HN6" i="4"/>
  <c r="HQ6" i="4" s="1"/>
  <c r="IJ9" i="4"/>
  <c r="IM9" i="4" s="1"/>
  <c r="IJ14" i="4"/>
  <c r="IM14" i="4" s="1"/>
  <c r="KB6" i="4"/>
  <c r="KE6" i="4" s="1"/>
  <c r="KX4" i="4"/>
  <c r="LA4" i="4" s="1"/>
  <c r="KX8" i="4"/>
  <c r="LA8" i="4" s="1"/>
  <c r="KX13" i="4"/>
  <c r="LA13" i="4" s="1"/>
  <c r="LT9" i="4"/>
  <c r="LW9" i="4" s="1"/>
  <c r="LT14" i="4"/>
  <c r="LW14" i="4" s="1"/>
  <c r="IJ4" i="4"/>
  <c r="IM4" i="4" s="1"/>
  <c r="IJ8" i="4"/>
  <c r="IM8" i="4" s="1"/>
  <c r="LT5" i="4"/>
  <c r="LW5" i="4" s="1"/>
  <c r="LT15" i="4"/>
  <c r="LW15" i="4" s="1"/>
  <c r="DD14" i="4"/>
  <c r="DG14" i="4" s="1"/>
  <c r="ED6" i="4"/>
  <c r="EG6" i="4" s="1"/>
  <c r="EZ9" i="4"/>
  <c r="FC9" i="4" s="1"/>
  <c r="EZ17" i="4"/>
  <c r="FC17" i="4" s="1"/>
  <c r="FV19" i="4"/>
  <c r="FY19" i="4" s="1"/>
  <c r="GR5" i="4"/>
  <c r="GU5" i="4" s="1"/>
  <c r="HN10" i="4"/>
  <c r="HQ10" i="4" s="1"/>
  <c r="IJ12" i="4"/>
  <c r="IM12" i="4" s="1"/>
  <c r="JF15" i="4"/>
  <c r="JI15" i="4" s="1"/>
  <c r="KB10" i="4"/>
  <c r="KE10" i="4" s="1"/>
  <c r="EZ5" i="4"/>
  <c r="FC5" i="4" s="1"/>
  <c r="EZ15" i="4"/>
  <c r="FC15" i="4" s="1"/>
  <c r="EZ14" i="4"/>
  <c r="FC14" i="4" s="1"/>
  <c r="FV12" i="4"/>
  <c r="FY12" i="4" s="1"/>
  <c r="GR4" i="4"/>
  <c r="GU4" i="4" s="1"/>
  <c r="GR8" i="4"/>
  <c r="GU8" i="4" s="1"/>
  <c r="GR13" i="4"/>
  <c r="GU13" i="4" s="1"/>
  <c r="JF4" i="4"/>
  <c r="JI4" i="4" s="1"/>
  <c r="JF13" i="4"/>
  <c r="JI13" i="4" s="1"/>
  <c r="LT6" i="4"/>
  <c r="LW6" i="4" s="1"/>
  <c r="MP4" i="4"/>
  <c r="MS4" i="4" s="1"/>
  <c r="MP8" i="4"/>
  <c r="MS8" i="4" s="1"/>
  <c r="ED15" i="4"/>
  <c r="EG15" i="4" s="1"/>
  <c r="ED17" i="4"/>
  <c r="EG17" i="4" s="1"/>
  <c r="EZ12" i="4"/>
  <c r="FC12" i="4" s="1"/>
  <c r="FV7" i="4"/>
  <c r="FY7" i="4" s="1"/>
  <c r="FV17" i="4"/>
  <c r="FY17" i="4" s="1"/>
  <c r="HN7" i="4"/>
  <c r="HQ7" i="4" s="1"/>
  <c r="HN11" i="4"/>
  <c r="HQ11" i="4" s="1"/>
  <c r="IJ10" i="4"/>
  <c r="IM10" i="4" s="1"/>
  <c r="JF8" i="4"/>
  <c r="JI8" i="4" s="1"/>
  <c r="KB7" i="4"/>
  <c r="KE7" i="4" s="1"/>
  <c r="KB11" i="4"/>
  <c r="KE11" i="4" s="1"/>
  <c r="KX15" i="4"/>
  <c r="LA15" i="4" s="1"/>
  <c r="KX17" i="4"/>
  <c r="LA17" i="4" s="1"/>
  <c r="LT12" i="4"/>
  <c r="LW12" i="4" s="1"/>
  <c r="MP5" i="4"/>
  <c r="MS5" i="4" s="1"/>
  <c r="MP10" i="4"/>
  <c r="MS10" i="4" s="1"/>
  <c r="EZ7" i="4"/>
  <c r="FC7" i="4" s="1"/>
  <c r="EZ11" i="4"/>
  <c r="FC11" i="4" s="1"/>
  <c r="FV5" i="4"/>
  <c r="FY5" i="4" s="1"/>
  <c r="FV9" i="4"/>
  <c r="FY9" i="4" s="1"/>
  <c r="GR7" i="4"/>
  <c r="GU7" i="4" s="1"/>
  <c r="HN5" i="4"/>
  <c r="HQ5" i="4" s="1"/>
  <c r="HN9" i="4"/>
  <c r="HQ9" i="4" s="1"/>
  <c r="HN17" i="4"/>
  <c r="HQ17" i="4" s="1"/>
  <c r="IJ6" i="4"/>
  <c r="IM6" i="4" s="1"/>
  <c r="IJ15" i="4"/>
  <c r="IM15" i="4" s="1"/>
  <c r="IJ17" i="4"/>
  <c r="IM17" i="4" s="1"/>
  <c r="JF12" i="4"/>
  <c r="JI12" i="4" s="1"/>
  <c r="KB5" i="4"/>
  <c r="KE5" i="4" s="1"/>
  <c r="KB9" i="4"/>
  <c r="KE9" i="4" s="1"/>
  <c r="KB17" i="4"/>
  <c r="KE17" i="4" s="1"/>
  <c r="LT7" i="4"/>
  <c r="LW7" i="4" s="1"/>
  <c r="LT11" i="4"/>
  <c r="LW11" i="4" s="1"/>
  <c r="ED12" i="4"/>
  <c r="EG12" i="4" s="1"/>
  <c r="ED13" i="4"/>
  <c r="EG13" i="4" s="1"/>
  <c r="HN14" i="4"/>
  <c r="HQ14" i="4" s="1"/>
  <c r="KB14" i="4"/>
  <c r="KE14" i="4" s="1"/>
  <c r="GR10" i="4"/>
  <c r="GU10" i="4" s="1"/>
  <c r="IJ7" i="4"/>
  <c r="IM7" i="4" s="1"/>
  <c r="JF7" i="4"/>
  <c r="JI7" i="4" s="1"/>
  <c r="KX7" i="4"/>
  <c r="LA7" i="4" s="1"/>
  <c r="JF10" i="4"/>
  <c r="JI10" i="4" s="1"/>
  <c r="OO14" i="4"/>
  <c r="ED5" i="4"/>
  <c r="EG5" i="4" s="1"/>
  <c r="ED10" i="4"/>
  <c r="EG10" i="4" s="1"/>
  <c r="EZ8" i="4"/>
  <c r="FC8" i="4" s="1"/>
  <c r="FV15" i="4"/>
  <c r="FY15" i="4" s="1"/>
  <c r="FV14" i="4"/>
  <c r="FY14" i="4" s="1"/>
  <c r="GR15" i="4"/>
  <c r="GU15" i="4" s="1"/>
  <c r="GR17" i="4"/>
  <c r="GU17" i="4" s="1"/>
  <c r="HN12" i="4"/>
  <c r="HQ12" i="4" s="1"/>
  <c r="IJ5" i="4"/>
  <c r="IM5" i="4" s="1"/>
  <c r="JF5" i="4"/>
  <c r="JI5" i="4" s="1"/>
  <c r="JF9" i="4"/>
  <c r="JI9" i="4" s="1"/>
  <c r="JF17" i="4"/>
  <c r="JI17" i="4" s="1"/>
  <c r="KB12" i="4"/>
  <c r="KE12" i="4" s="1"/>
  <c r="KX5" i="4"/>
  <c r="LA5" i="4" s="1"/>
  <c r="KX10" i="4"/>
  <c r="LA10" i="4" s="1"/>
  <c r="KX11" i="4"/>
  <c r="LA11" i="4" s="1"/>
  <c r="LT8" i="4"/>
  <c r="LW8" i="4" s="1"/>
  <c r="MP7" i="4"/>
  <c r="MS7" i="4" s="1"/>
  <c r="MP12" i="4"/>
  <c r="MS12" i="4" s="1"/>
  <c r="EZ24" i="14"/>
  <c r="FC24" i="14" s="1"/>
  <c r="FV14" i="14"/>
  <c r="FY14" i="14" s="1"/>
  <c r="JF11" i="14"/>
  <c r="JI11" i="14" s="1"/>
  <c r="LT24" i="14"/>
  <c r="LW24" i="14" s="1"/>
  <c r="OO11" i="14"/>
  <c r="ED7" i="14"/>
  <c r="EG7" i="14" s="1"/>
  <c r="ED9" i="14"/>
  <c r="EG9" i="14" s="1"/>
  <c r="EZ15" i="14"/>
  <c r="FC15" i="14" s="1"/>
  <c r="EZ22" i="14"/>
  <c r="FC22" i="14" s="1"/>
  <c r="FV4" i="14"/>
  <c r="FY4" i="14" s="1"/>
  <c r="FV20" i="14"/>
  <c r="FY20" i="14" s="1"/>
  <c r="FV24" i="14"/>
  <c r="FY24" i="14" s="1"/>
  <c r="GR13" i="14"/>
  <c r="GU13" i="14" s="1"/>
  <c r="GR14" i="14"/>
  <c r="GU14" i="14" s="1"/>
  <c r="GR11" i="14"/>
  <c r="GU11" i="14" s="1"/>
  <c r="IJ6" i="14"/>
  <c r="IM6" i="14" s="1"/>
  <c r="IJ14" i="14"/>
  <c r="IM14" i="14" s="1"/>
  <c r="JF18" i="14"/>
  <c r="JI18" i="14" s="1"/>
  <c r="KB4" i="14"/>
  <c r="KE4" i="14" s="1"/>
  <c r="KB13" i="14"/>
  <c r="KE13" i="14" s="1"/>
  <c r="KB14" i="14"/>
  <c r="KE14" i="14" s="1"/>
  <c r="KX7" i="14"/>
  <c r="LA7" i="14" s="1"/>
  <c r="KX17" i="14"/>
  <c r="LA17" i="14" s="1"/>
  <c r="MP5" i="14"/>
  <c r="MS5" i="14" s="1"/>
  <c r="ED21" i="14"/>
  <c r="EG21" i="14" s="1"/>
  <c r="ED17" i="14"/>
  <c r="EG17" i="14" s="1"/>
  <c r="EZ9" i="14"/>
  <c r="FC9" i="14" s="1"/>
  <c r="FV6" i="14"/>
  <c r="FY6" i="14" s="1"/>
  <c r="FV18" i="14"/>
  <c r="FY18" i="14" s="1"/>
  <c r="GR15" i="14"/>
  <c r="GU15" i="14" s="1"/>
  <c r="GR22" i="14"/>
  <c r="GU22" i="14" s="1"/>
  <c r="HN13" i="14"/>
  <c r="HQ13" i="14" s="1"/>
  <c r="HN14" i="14"/>
  <c r="HQ14" i="14" s="1"/>
  <c r="HN26" i="14"/>
  <c r="HQ26" i="14" s="1"/>
  <c r="IJ15" i="14"/>
  <c r="IM15" i="14" s="1"/>
  <c r="IJ11" i="14"/>
  <c r="IM11" i="14" s="1"/>
  <c r="JF5" i="14"/>
  <c r="JI5" i="14" s="1"/>
  <c r="KB15" i="14"/>
  <c r="KE15" i="14" s="1"/>
  <c r="KB22" i="14"/>
  <c r="KE22" i="14" s="1"/>
  <c r="KB20" i="14"/>
  <c r="KE20" i="14" s="1"/>
  <c r="KB24" i="14"/>
  <c r="KE24" i="14" s="1"/>
  <c r="KX26" i="14"/>
  <c r="LA26" i="14" s="1"/>
  <c r="LT5" i="14"/>
  <c r="LW5" i="14" s="1"/>
  <c r="EG13" i="14"/>
  <c r="LT17" i="14"/>
  <c r="LW17" i="14" s="1"/>
  <c r="MP15" i="14"/>
  <c r="MS15" i="14" s="1"/>
  <c r="ED4" i="14"/>
  <c r="EG4" i="14" s="1"/>
  <c r="HN24" i="14"/>
  <c r="HQ24" i="14" s="1"/>
  <c r="JF14" i="14"/>
  <c r="JI14" i="14" s="1"/>
  <c r="JF26" i="14"/>
  <c r="JI26" i="14" s="1"/>
  <c r="KB18" i="14"/>
  <c r="KE18" i="14" s="1"/>
  <c r="KX4" i="14"/>
  <c r="LA4" i="14" s="1"/>
  <c r="KX24" i="14"/>
  <c r="LA24" i="14" s="1"/>
  <c r="MS6" i="14"/>
  <c r="ED15" i="14"/>
  <c r="EG15" i="14" s="1"/>
  <c r="ED20" i="14"/>
  <c r="EG20" i="14" s="1"/>
  <c r="ED24" i="14"/>
  <c r="EG24" i="14" s="1"/>
  <c r="ED11" i="14"/>
  <c r="EG11" i="14" s="1"/>
  <c r="EZ26" i="14"/>
  <c r="FC26" i="14" s="1"/>
  <c r="FV5" i="14"/>
  <c r="FY5" i="14" s="1"/>
  <c r="FV21" i="14"/>
  <c r="FY21" i="14" s="1"/>
  <c r="GR7" i="14"/>
  <c r="GU7" i="14" s="1"/>
  <c r="GR17" i="14"/>
  <c r="GU17" i="14" s="1"/>
  <c r="HN6" i="14"/>
  <c r="HQ6" i="14" s="1"/>
  <c r="HN11" i="14"/>
  <c r="HQ11" i="14" s="1"/>
  <c r="KB7" i="14"/>
  <c r="KE7" i="14" s="1"/>
  <c r="KB9" i="14"/>
  <c r="KE9" i="14" s="1"/>
  <c r="KX15" i="14"/>
  <c r="LA15" i="14" s="1"/>
  <c r="KX22" i="14"/>
  <c r="LA22" i="14" s="1"/>
  <c r="LT4" i="14"/>
  <c r="LW4" i="14" s="1"/>
  <c r="LT14" i="14"/>
  <c r="LW14" i="14" s="1"/>
  <c r="LT21" i="14"/>
  <c r="LW21" i="14" s="1"/>
  <c r="NL11" i="14"/>
  <c r="NO11" i="14" s="1"/>
  <c r="MR6" i="8"/>
  <c r="MP9" i="7"/>
  <c r="DD20" i="14"/>
  <c r="DG20" i="14" s="1"/>
  <c r="NL18" i="14"/>
  <c r="NO18" i="14" s="1"/>
  <c r="DD18" i="14"/>
  <c r="DG18" i="14" s="1"/>
  <c r="DD10" i="14"/>
  <c r="DG10" i="14" s="1"/>
  <c r="DD11" i="14"/>
  <c r="DG11" i="14" s="1"/>
  <c r="OO20" i="14"/>
  <c r="NL14" i="4"/>
  <c r="NO14" i="4" s="1"/>
  <c r="MP6" i="8"/>
  <c r="CD6" i="8"/>
  <c r="MQ6" i="8"/>
  <c r="MS6" i="8"/>
  <c r="L6" i="8"/>
  <c r="CF6" i="8" s="1"/>
  <c r="F6" i="8"/>
  <c r="J6" i="8"/>
  <c r="G6" i="8"/>
  <c r="LX11" i="8"/>
  <c r="CD10" i="8"/>
  <c r="MS10" i="8"/>
  <c r="MQ10" i="8"/>
  <c r="MR10" i="8"/>
  <c r="MP10" i="8"/>
  <c r="L10" i="8"/>
  <c r="CF10" i="8" s="1"/>
  <c r="F10" i="8"/>
  <c r="J10" i="8"/>
  <c r="G10" i="8"/>
  <c r="CD8" i="8"/>
  <c r="MQ11" i="8"/>
  <c r="CD11" i="8"/>
  <c r="MR11" i="8"/>
  <c r="MP11" i="8"/>
  <c r="L11" i="8"/>
  <c r="CF11" i="8" s="1"/>
  <c r="MS11" i="8"/>
  <c r="F11" i="8"/>
  <c r="J11" i="8"/>
  <c r="G11" i="8"/>
  <c r="LX8" i="8"/>
  <c r="MQ8" i="8"/>
  <c r="L8" i="8"/>
  <c r="CF8" i="8" s="1"/>
  <c r="MR8" i="8"/>
  <c r="MP8" i="8"/>
  <c r="MS8" i="8"/>
  <c r="F8" i="8"/>
  <c r="J8" i="8"/>
  <c r="G8" i="8"/>
  <c r="LX9" i="7"/>
  <c r="MQ9" i="7"/>
  <c r="CD9" i="7"/>
  <c r="L9" i="7"/>
  <c r="CF9" i="7" s="1"/>
  <c r="MR9" i="7"/>
  <c r="MS9" i="7"/>
  <c r="F9" i="7"/>
  <c r="J9" i="7"/>
  <c r="G9" i="7"/>
  <c r="LX6" i="7"/>
  <c r="CD6" i="7"/>
  <c r="MP6" i="7"/>
  <c r="L6" i="7"/>
  <c r="CF6" i="7" s="1"/>
  <c r="MR6" i="7"/>
  <c r="MS6" i="7"/>
  <c r="MQ6" i="7"/>
  <c r="F6" i="7"/>
  <c r="J6" i="7"/>
  <c r="G6" i="7"/>
  <c r="LX4" i="7"/>
  <c r="CD4" i="7"/>
  <c r="MR4" i="7"/>
  <c r="MP4" i="7"/>
  <c r="L4" i="7"/>
  <c r="CF4" i="7" s="1"/>
  <c r="MS4" i="7"/>
  <c r="MQ4" i="7"/>
  <c r="F4" i="7"/>
  <c r="J4" i="7"/>
  <c r="G4" i="7"/>
  <c r="OM11" i="14"/>
  <c r="OK11" i="14"/>
  <c r="O11" i="14"/>
  <c r="DI11" i="14" s="1"/>
  <c r="G11" i="14"/>
  <c r="Q11" i="14"/>
  <c r="H11" i="14"/>
  <c r="NL10" i="14"/>
  <c r="NO10" i="14" s="1"/>
  <c r="OO10" i="14"/>
  <c r="OM10" i="14"/>
  <c r="OK10" i="14"/>
  <c r="O10" i="14"/>
  <c r="DI10" i="14" s="1"/>
  <c r="G10" i="14"/>
  <c r="Q10" i="14"/>
  <c r="H10" i="14"/>
  <c r="OO18" i="14"/>
  <c r="OM18" i="14"/>
  <c r="OK18" i="14"/>
  <c r="O18" i="14"/>
  <c r="DI18" i="14" s="1"/>
  <c r="G18" i="14"/>
  <c r="F18" i="14" s="1"/>
  <c r="Q18" i="14"/>
  <c r="H18" i="14"/>
  <c r="NL20" i="14"/>
  <c r="NO20" i="14" s="1"/>
  <c r="OM20" i="14"/>
  <c r="OK20" i="14"/>
  <c r="G20" i="14"/>
  <c r="Q20" i="14"/>
  <c r="H20" i="14"/>
  <c r="O20" i="14"/>
  <c r="OM14" i="4"/>
  <c r="OK14" i="4"/>
  <c r="O14" i="4"/>
  <c r="P14" i="4" s="1"/>
  <c r="G14" i="4"/>
  <c r="Q14" i="4"/>
  <c r="H14" i="4"/>
  <c r="CD22" i="12"/>
  <c r="LX22" i="12"/>
  <c r="MS22" i="12"/>
  <c r="MQ22" i="12"/>
  <c r="MR22" i="12"/>
  <c r="MP22" i="12"/>
  <c r="F22" i="12"/>
  <c r="G22" i="12"/>
  <c r="MR17" i="12"/>
  <c r="MP17" i="12"/>
  <c r="LX17" i="12"/>
  <c r="CD17" i="12"/>
  <c r="MS17" i="12"/>
  <c r="MQ17" i="12"/>
  <c r="F17" i="12"/>
  <c r="G17" i="12"/>
  <c r="CD16" i="12"/>
  <c r="LX16" i="12"/>
  <c r="MS16" i="12"/>
  <c r="MQ16" i="12"/>
  <c r="MP16" i="12"/>
  <c r="MR16" i="12"/>
  <c r="F16" i="12"/>
  <c r="G16" i="12"/>
  <c r="LX11" i="12"/>
  <c r="MP11" i="12"/>
  <c r="MR11" i="12"/>
  <c r="CD11" i="12"/>
  <c r="MQ11" i="12"/>
  <c r="MS11" i="12"/>
  <c r="F11" i="12"/>
  <c r="G11" i="12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DJ16" i="4" l="1"/>
  <c r="M16" i="4"/>
  <c r="M21" i="12"/>
  <c r="CF21" i="12"/>
  <c r="N21" i="12" s="1"/>
  <c r="M24" i="6"/>
  <c r="CF24" i="6"/>
  <c r="N24" i="6" s="1"/>
  <c r="M22" i="6"/>
  <c r="CF22" i="6"/>
  <c r="N22" i="6" s="1"/>
  <c r="E13" i="8"/>
  <c r="O13" i="8"/>
  <c r="P13" i="8"/>
  <c r="N14" i="8"/>
  <c r="E14" i="8" s="1"/>
  <c r="S27" i="14"/>
  <c r="E27" i="14" s="1"/>
  <c r="A27" i="14" s="1" a="1"/>
  <c r="A27" i="14" s="1"/>
  <c r="DH27" i="14"/>
  <c r="N27" i="14"/>
  <c r="OS23" i="14"/>
  <c r="M25" i="14"/>
  <c r="DH25" i="14" s="1"/>
  <c r="M19" i="14"/>
  <c r="S8" i="14"/>
  <c r="E8" i="14" s="1"/>
  <c r="L19" i="14"/>
  <c r="N19" i="14" s="1"/>
  <c r="K17" i="12"/>
  <c r="K16" i="12"/>
  <c r="CE11" i="12"/>
  <c r="L25" i="14"/>
  <c r="E16" i="4"/>
  <c r="OS20" i="4"/>
  <c r="M18" i="4"/>
  <c r="DH18" i="4" s="1"/>
  <c r="M21" i="4"/>
  <c r="E21" i="4"/>
  <c r="DJ20" i="4"/>
  <c r="M19" i="6"/>
  <c r="CF19" i="6"/>
  <c r="N19" i="6" s="1"/>
  <c r="M8" i="14"/>
  <c r="N8" i="14" s="1"/>
  <c r="L8" i="14"/>
  <c r="DJ23" i="14"/>
  <c r="L21" i="4"/>
  <c r="J20" i="14"/>
  <c r="M23" i="14"/>
  <c r="N23" i="14" s="1"/>
  <c r="M20" i="4"/>
  <c r="DH20" i="4" s="1"/>
  <c r="L20" i="4"/>
  <c r="M14" i="12"/>
  <c r="CF14" i="12"/>
  <c r="N14" i="12" s="1"/>
  <c r="K11" i="12"/>
  <c r="M13" i="12"/>
  <c r="CF13" i="12"/>
  <c r="N13" i="12" s="1"/>
  <c r="M20" i="6"/>
  <c r="CF20" i="6"/>
  <c r="N20" i="6" s="1"/>
  <c r="M15" i="6"/>
  <c r="CF15" i="6"/>
  <c r="N15" i="6" s="1"/>
  <c r="M16" i="6"/>
  <c r="CF16" i="6"/>
  <c r="N16" i="6" s="1"/>
  <c r="M9" i="6"/>
  <c r="CF9" i="6"/>
  <c r="N9" i="6" s="1"/>
  <c r="N12" i="8"/>
  <c r="E12" i="8" s="1"/>
  <c r="E5" i="8"/>
  <c r="O5" i="8"/>
  <c r="P5" i="8"/>
  <c r="E8" i="7"/>
  <c r="O8" i="7"/>
  <c r="P8" i="7"/>
  <c r="E10" i="7"/>
  <c r="O10" i="7"/>
  <c r="P10" i="7"/>
  <c r="S19" i="14"/>
  <c r="T19" i="14" s="1"/>
  <c r="M16" i="14"/>
  <c r="J10" i="14"/>
  <c r="DH19" i="14"/>
  <c r="S23" i="14"/>
  <c r="U23" i="14" s="1"/>
  <c r="E25" i="14"/>
  <c r="T25" i="14"/>
  <c r="U25" i="14"/>
  <c r="S16" i="14"/>
  <c r="E16" i="14" s="1"/>
  <c r="L16" i="14"/>
  <c r="J11" i="14"/>
  <c r="L18" i="4"/>
  <c r="DJ18" i="4"/>
  <c r="U16" i="4"/>
  <c r="S20" i="4"/>
  <c r="T20" i="4" s="1"/>
  <c r="J14" i="4"/>
  <c r="T16" i="4"/>
  <c r="N16" i="4"/>
  <c r="DH16" i="4"/>
  <c r="U21" i="4"/>
  <c r="S18" i="4"/>
  <c r="E18" i="4" s="1"/>
  <c r="L16" i="12"/>
  <c r="CF16" i="12" s="1"/>
  <c r="L17" i="12"/>
  <c r="CF17" i="12" s="1"/>
  <c r="CE17" i="12"/>
  <c r="CE16" i="12"/>
  <c r="L11" i="12"/>
  <c r="CF11" i="12" s="1"/>
  <c r="CE22" i="12"/>
  <c r="K22" i="12"/>
  <c r="L22" i="12"/>
  <c r="J18" i="6"/>
  <c r="J10" i="6"/>
  <c r="J13" i="6"/>
  <c r="K20" i="14"/>
  <c r="DJ20" i="14" s="1"/>
  <c r="K14" i="4"/>
  <c r="K10" i="14"/>
  <c r="M10" i="14" s="1"/>
  <c r="MR10" i="6"/>
  <c r="LX13" i="6"/>
  <c r="OP18" i="14"/>
  <c r="K11" i="14"/>
  <c r="DJ11" i="14" s="1"/>
  <c r="K18" i="14"/>
  <c r="DJ18" i="14" s="1"/>
  <c r="MT6" i="8"/>
  <c r="H6" i="8"/>
  <c r="I6" i="8" s="1"/>
  <c r="CE6" i="8"/>
  <c r="N6" i="8" s="1"/>
  <c r="K6" i="8"/>
  <c r="A6" i="8"/>
  <c r="M6" i="8"/>
  <c r="MT10" i="8"/>
  <c r="H10" i="8"/>
  <c r="I10" i="8" s="1"/>
  <c r="CE10" i="8"/>
  <c r="N10" i="8" s="1"/>
  <c r="K10" i="8"/>
  <c r="A10" i="8"/>
  <c r="M10" i="8"/>
  <c r="M11" i="8"/>
  <c r="MT11" i="8"/>
  <c r="H11" i="8"/>
  <c r="I11" i="8" s="1"/>
  <c r="CE11" i="8"/>
  <c r="N11" i="8" s="1"/>
  <c r="K11" i="8"/>
  <c r="A11" i="8"/>
  <c r="M8" i="8"/>
  <c r="H8" i="8"/>
  <c r="I8" i="8" s="1"/>
  <c r="MT8" i="8"/>
  <c r="CE8" i="8"/>
  <c r="N8" i="8" s="1"/>
  <c r="K8" i="8"/>
  <c r="M9" i="7"/>
  <c r="MT9" i="7"/>
  <c r="MT6" i="7"/>
  <c r="MT4" i="7"/>
  <c r="H9" i="7"/>
  <c r="I9" i="7" s="1"/>
  <c r="CE9" i="7"/>
  <c r="N9" i="7" s="1"/>
  <c r="K9" i="7"/>
  <c r="A9" i="7"/>
  <c r="M6" i="7"/>
  <c r="H6" i="7"/>
  <c r="I6" i="7" s="1"/>
  <c r="CE6" i="7"/>
  <c r="N6" i="7" s="1"/>
  <c r="K6" i="7"/>
  <c r="A6" i="7"/>
  <c r="M4" i="7"/>
  <c r="H4" i="7"/>
  <c r="I4" i="7" s="1"/>
  <c r="CE4" i="7"/>
  <c r="N4" i="7" s="1"/>
  <c r="K4" i="7"/>
  <c r="OP11" i="14"/>
  <c r="P11" i="14"/>
  <c r="F11" i="14"/>
  <c r="A11" i="14" a="1"/>
  <c r="A11" i="14" s="1"/>
  <c r="DK11" i="14"/>
  <c r="S11" i="14" s="1"/>
  <c r="R11" i="14"/>
  <c r="I11" i="14"/>
  <c r="P10" i="14"/>
  <c r="OP10" i="14"/>
  <c r="F10" i="14"/>
  <c r="I10" i="14"/>
  <c r="DK10" i="14"/>
  <c r="S10" i="14" s="1"/>
  <c r="R10" i="14"/>
  <c r="P18" i="14"/>
  <c r="A18" i="14" a="1"/>
  <c r="A18" i="14" s="1"/>
  <c r="J18" i="14"/>
  <c r="I18" i="14"/>
  <c r="DK18" i="14"/>
  <c r="S18" i="14" s="1"/>
  <c r="R18" i="14"/>
  <c r="OP20" i="14"/>
  <c r="I20" i="14"/>
  <c r="F20" i="14"/>
  <c r="A20" i="14" a="1"/>
  <c r="A20" i="14" s="1"/>
  <c r="DK20" i="14"/>
  <c r="R20" i="14"/>
  <c r="P20" i="14"/>
  <c r="DI20" i="14"/>
  <c r="OP14" i="4"/>
  <c r="DI14" i="4"/>
  <c r="F14" i="4"/>
  <c r="I14" i="4"/>
  <c r="DK14" i="4"/>
  <c r="R14" i="4"/>
  <c r="MT22" i="12"/>
  <c r="H22" i="12"/>
  <c r="I22" i="12" s="1"/>
  <c r="A22" i="12"/>
  <c r="MT17" i="12"/>
  <c r="H17" i="12"/>
  <c r="I17" i="12" s="1"/>
  <c r="A17" i="12"/>
  <c r="MT16" i="12"/>
  <c r="H16" i="12"/>
  <c r="I16" i="12" s="1"/>
  <c r="A16" i="12"/>
  <c r="MT11" i="12"/>
  <c r="H11" i="12"/>
  <c r="I11" i="12" s="1"/>
  <c r="A11" i="12"/>
  <c r="MR13" i="6"/>
  <c r="CD13" i="6"/>
  <c r="MP13" i="6"/>
  <c r="MS13" i="6"/>
  <c r="MQ13" i="6"/>
  <c r="F13" i="6"/>
  <c r="G13" i="6"/>
  <c r="LX10" i="6"/>
  <c r="MP10" i="6"/>
  <c r="CD10" i="6"/>
  <c r="MS10" i="6"/>
  <c r="MQ10" i="6"/>
  <c r="F10" i="6"/>
  <c r="G10" i="6"/>
  <c r="MR18" i="6"/>
  <c r="CD18" i="6"/>
  <c r="MP18" i="6"/>
  <c r="LX18" i="6"/>
  <c r="MQ18" i="6"/>
  <c r="MS18" i="6"/>
  <c r="F18" i="6"/>
  <c r="G18" i="6"/>
  <c r="CY8" i="4"/>
  <c r="CZ8" i="4"/>
  <c r="DA8" i="4"/>
  <c r="DB8" i="4"/>
  <c r="DC8" i="4"/>
  <c r="DE8" i="4"/>
  <c r="DF8" i="4"/>
  <c r="NI8" i="4"/>
  <c r="NJ8" i="4"/>
  <c r="NK8" i="4"/>
  <c r="NM8" i="4"/>
  <c r="NN8" i="4"/>
  <c r="NP8" i="4"/>
  <c r="NQ8" i="4"/>
  <c r="NR8" i="4"/>
  <c r="NS8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BZ19" i="12"/>
  <c r="CA19" i="12"/>
  <c r="CB19" i="12"/>
  <c r="CC19" i="12"/>
  <c r="LT19" i="12"/>
  <c r="LU19" i="12"/>
  <c r="LV19" i="12"/>
  <c r="LW19" i="12"/>
  <c r="LY19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BZ23" i="6"/>
  <c r="CA23" i="6"/>
  <c r="CB23" i="6"/>
  <c r="CC23" i="6"/>
  <c r="LT23" i="6"/>
  <c r="LU23" i="6"/>
  <c r="LV23" i="6"/>
  <c r="LW23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9" i="12"/>
  <c r="CA9" i="12"/>
  <c r="J9" i="12" s="1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5" i="14"/>
  <c r="CZ5" i="14"/>
  <c r="DA5" i="14"/>
  <c r="DB5" i="14"/>
  <c r="DC5" i="14"/>
  <c r="DE5" i="14"/>
  <c r="DF5" i="14"/>
  <c r="NI5" i="14"/>
  <c r="NJ5" i="14"/>
  <c r="NK5" i="14"/>
  <c r="NM5" i="14"/>
  <c r="NN5" i="14"/>
  <c r="NP5" i="14"/>
  <c r="NQ5" i="14"/>
  <c r="NR5" i="14"/>
  <c r="NS5" i="14"/>
  <c r="NT5" i="14"/>
  <c r="NU5" i="14"/>
  <c r="NV5" i="14"/>
  <c r="NW5" i="14"/>
  <c r="OL5" i="14" s="1"/>
  <c r="NX5" i="14"/>
  <c r="NY5" i="14"/>
  <c r="NZ5" i="14"/>
  <c r="OA5" i="14"/>
  <c r="OB5" i="14"/>
  <c r="ON5" i="14" s="1"/>
  <c r="OC5" i="14"/>
  <c r="OD5" i="14"/>
  <c r="OE5" i="14"/>
  <c r="OF5" i="14"/>
  <c r="OG5" i="14"/>
  <c r="OQ5" i="14" s="1"/>
  <c r="OH5" i="14"/>
  <c r="OI5" i="14"/>
  <c r="P14" i="8" l="1"/>
  <c r="N25" i="14"/>
  <c r="O14" i="8"/>
  <c r="O21" i="12"/>
  <c r="P21" i="12"/>
  <c r="E21" i="12"/>
  <c r="E24" i="6"/>
  <c r="O24" i="6"/>
  <c r="P24" i="6"/>
  <c r="E22" i="6"/>
  <c r="O22" i="6"/>
  <c r="P22" i="6"/>
  <c r="N21" i="4"/>
  <c r="U27" i="14"/>
  <c r="T27" i="14"/>
  <c r="T8" i="14"/>
  <c r="U8" i="14"/>
  <c r="DH21" i="4"/>
  <c r="E14" i="12"/>
  <c r="E13" i="12"/>
  <c r="N11" i="12"/>
  <c r="P11" i="12" s="1"/>
  <c r="DH8" i="14"/>
  <c r="E20" i="4"/>
  <c r="N18" i="4"/>
  <c r="DJ14" i="4"/>
  <c r="O19" i="6"/>
  <c r="P19" i="6"/>
  <c r="E19" i="6"/>
  <c r="E19" i="14"/>
  <c r="U19" i="14"/>
  <c r="N16" i="14"/>
  <c r="DH16" i="14"/>
  <c r="DH23" i="14"/>
  <c r="N20" i="4"/>
  <c r="O14" i="12"/>
  <c r="P14" i="12"/>
  <c r="M16" i="12"/>
  <c r="O13" i="12"/>
  <c r="P13" i="12"/>
  <c r="M17" i="12"/>
  <c r="O20" i="6"/>
  <c r="P20" i="6"/>
  <c r="E20" i="6"/>
  <c r="O15" i="6"/>
  <c r="P15" i="6"/>
  <c r="E15" i="6"/>
  <c r="O16" i="6"/>
  <c r="P16" i="6"/>
  <c r="E16" i="6"/>
  <c r="E9" i="6"/>
  <c r="O9" i="6"/>
  <c r="P9" i="6"/>
  <c r="P12" i="8"/>
  <c r="O12" i="8"/>
  <c r="E23" i="14"/>
  <c r="U16" i="14"/>
  <c r="T16" i="14"/>
  <c r="DJ10" i="14"/>
  <c r="T23" i="14"/>
  <c r="U20" i="4"/>
  <c r="U18" i="4"/>
  <c r="T18" i="4"/>
  <c r="M20" i="14"/>
  <c r="L20" i="14"/>
  <c r="M11" i="12"/>
  <c r="N16" i="12"/>
  <c r="P16" i="12" s="1"/>
  <c r="N17" i="12"/>
  <c r="O17" i="12" s="1"/>
  <c r="M18" i="14"/>
  <c r="DH18" i="14" s="1"/>
  <c r="L10" i="14"/>
  <c r="N10" i="14" s="1"/>
  <c r="L18" i="14"/>
  <c r="K8" i="12"/>
  <c r="CE8" i="12"/>
  <c r="CE6" i="12"/>
  <c r="K6" i="12"/>
  <c r="J10" i="12"/>
  <c r="J19" i="12"/>
  <c r="M22" i="12"/>
  <c r="CF22" i="12"/>
  <c r="N22" i="12" s="1"/>
  <c r="K9" i="12"/>
  <c r="CE9" i="12"/>
  <c r="J14" i="6"/>
  <c r="J21" i="6"/>
  <c r="J23" i="6"/>
  <c r="CE13" i="6"/>
  <c r="L13" i="6"/>
  <c r="K13" i="6"/>
  <c r="K10" i="6"/>
  <c r="L10" i="6"/>
  <c r="CE10" i="6"/>
  <c r="K18" i="6"/>
  <c r="L18" i="6"/>
  <c r="CE18" i="6"/>
  <c r="M11" i="14"/>
  <c r="DH11" i="14" s="1"/>
  <c r="M14" i="4"/>
  <c r="DH14" i="4" s="1"/>
  <c r="L14" i="4"/>
  <c r="L11" i="14"/>
  <c r="S14" i="4"/>
  <c r="T14" i="4" s="1"/>
  <c r="E6" i="8"/>
  <c r="O6" i="8"/>
  <c r="P6" i="8"/>
  <c r="E10" i="8"/>
  <c r="O10" i="8"/>
  <c r="P10" i="8"/>
  <c r="E11" i="8"/>
  <c r="O11" i="8"/>
  <c r="P11" i="8"/>
  <c r="E8" i="8"/>
  <c r="A8" i="8" s="1"/>
  <c r="O8" i="8"/>
  <c r="P8" i="8"/>
  <c r="E9" i="7"/>
  <c r="O9" i="7"/>
  <c r="P9" i="7"/>
  <c r="E6" i="7"/>
  <c r="O6" i="7"/>
  <c r="P6" i="7"/>
  <c r="E4" i="7"/>
  <c r="O4" i="7"/>
  <c r="P4" i="7"/>
  <c r="E11" i="14"/>
  <c r="T11" i="14"/>
  <c r="U11" i="14"/>
  <c r="E10" i="14"/>
  <c r="T10" i="14"/>
  <c r="U10" i="14"/>
  <c r="DH10" i="14"/>
  <c r="S20" i="14"/>
  <c r="E20" i="14" s="1"/>
  <c r="E18" i="14"/>
  <c r="T18" i="14"/>
  <c r="U18" i="14"/>
  <c r="NL8" i="4"/>
  <c r="NO8" i="4" s="1"/>
  <c r="LX19" i="12"/>
  <c r="MT13" i="6"/>
  <c r="H13" i="6"/>
  <c r="I13" i="6" s="1"/>
  <c r="A13" i="6"/>
  <c r="MR23" i="6"/>
  <c r="MP23" i="6"/>
  <c r="MT10" i="6"/>
  <c r="H10" i="6"/>
  <c r="I10" i="6" s="1"/>
  <c r="A10" i="6"/>
  <c r="MT18" i="6"/>
  <c r="H18" i="6"/>
  <c r="I18" i="6" s="1"/>
  <c r="A18" i="6"/>
  <c r="OO8" i="4"/>
  <c r="DD8" i="4"/>
  <c r="DG8" i="4" s="1"/>
  <c r="OM8" i="4"/>
  <c r="OK8" i="4"/>
  <c r="O8" i="4"/>
  <c r="P8" i="4" s="1"/>
  <c r="G8" i="4"/>
  <c r="Q8" i="4"/>
  <c r="H8" i="4"/>
  <c r="MR19" i="12"/>
  <c r="CD19" i="12"/>
  <c r="MP19" i="12"/>
  <c r="F19" i="12"/>
  <c r="MS19" i="12"/>
  <c r="MQ19" i="12"/>
  <c r="G19" i="12"/>
  <c r="LX23" i="6"/>
  <c r="MS23" i="6"/>
  <c r="MQ23" i="6"/>
  <c r="CD23" i="6"/>
  <c r="F23" i="6"/>
  <c r="G23" i="6"/>
  <c r="LX21" i="6"/>
  <c r="CD21" i="6"/>
  <c r="MS21" i="6"/>
  <c r="MQ21" i="6"/>
  <c r="MR21" i="6"/>
  <c r="MP21" i="6"/>
  <c r="F21" i="6"/>
  <c r="G21" i="6"/>
  <c r="NL5" i="4"/>
  <c r="NO5" i="4" s="1"/>
  <c r="DD5" i="14"/>
  <c r="DG5" i="14" s="1"/>
  <c r="DD5" i="4"/>
  <c r="DG5" i="4" s="1"/>
  <c r="MP9" i="12"/>
  <c r="CD8" i="12"/>
  <c r="L8" i="12" s="1"/>
  <c r="CD9" i="12"/>
  <c r="MR8" i="12"/>
  <c r="MQ8" i="12"/>
  <c r="LX8" i="12"/>
  <c r="MS8" i="12"/>
  <c r="MP8" i="12"/>
  <c r="F8" i="12"/>
  <c r="G8" i="12"/>
  <c r="LX9" i="12"/>
  <c r="MQ9" i="12"/>
  <c r="MR9" i="12"/>
  <c r="F9" i="12"/>
  <c r="MS9" i="12"/>
  <c r="G9" i="12"/>
  <c r="LX10" i="12"/>
  <c r="MR10" i="12"/>
  <c r="CD10" i="12"/>
  <c r="MS10" i="12"/>
  <c r="MQ10" i="12"/>
  <c r="MP10" i="12"/>
  <c r="F10" i="12"/>
  <c r="G10" i="12"/>
  <c r="MR6" i="12"/>
  <c r="LX6" i="12"/>
  <c r="CD6" i="12"/>
  <c r="MS6" i="12"/>
  <c r="MQ6" i="12"/>
  <c r="MP6" i="12"/>
  <c r="F6" i="12"/>
  <c r="G6" i="12"/>
  <c r="MS14" i="6"/>
  <c r="MR14" i="6"/>
  <c r="LX14" i="6"/>
  <c r="CD14" i="6"/>
  <c r="MQ14" i="6"/>
  <c r="MP14" i="6"/>
  <c r="F14" i="6"/>
  <c r="G14" i="6"/>
  <c r="OO5" i="4"/>
  <c r="Q5" i="4"/>
  <c r="DK5" i="4" s="1"/>
  <c r="OM5" i="4"/>
  <c r="OK5" i="4"/>
  <c r="G5" i="4"/>
  <c r="H5" i="4"/>
  <c r="O5" i="4"/>
  <c r="DD4" i="4"/>
  <c r="DG4" i="4" s="1"/>
  <c r="NL4" i="4"/>
  <c r="NO4" i="4" s="1"/>
  <c r="DD6" i="4"/>
  <c r="DG6" i="4" s="1"/>
  <c r="OO4" i="4"/>
  <c r="OM4" i="4"/>
  <c r="OK4" i="4"/>
  <c r="G4" i="4"/>
  <c r="J4" i="4" s="1"/>
  <c r="Q4" i="4"/>
  <c r="H4" i="4"/>
  <c r="O4" i="4"/>
  <c r="NL6" i="4"/>
  <c r="NO6" i="4" s="1"/>
  <c r="OO6" i="4"/>
  <c r="OK6" i="4"/>
  <c r="O6" i="4"/>
  <c r="P6" i="4" s="1"/>
  <c r="G6" i="4"/>
  <c r="F6" i="4" s="1"/>
  <c r="Q6" i="4"/>
  <c r="H6" i="4"/>
  <c r="OM6" i="4"/>
  <c r="NL5" i="14"/>
  <c r="NO5" i="14" s="1"/>
  <c r="OO5" i="14"/>
  <c r="OM5" i="14"/>
  <c r="OK5" i="14"/>
  <c r="G5" i="14"/>
  <c r="Q5" i="14"/>
  <c r="H5" i="14"/>
  <c r="O5" i="14"/>
  <c r="E16" i="12" l="1"/>
  <c r="E11" i="12"/>
  <c r="O11" i="12"/>
  <c r="E17" i="12"/>
  <c r="E22" i="12"/>
  <c r="E14" i="4"/>
  <c r="N20" i="14"/>
  <c r="DH20" i="14"/>
  <c r="O16" i="12"/>
  <c r="N11" i="14"/>
  <c r="P17" i="12"/>
  <c r="N18" i="14"/>
  <c r="N14" i="4"/>
  <c r="L9" i="12"/>
  <c r="CF9" i="12" s="1"/>
  <c r="N9" i="12" s="1"/>
  <c r="L6" i="12"/>
  <c r="M6" i="12" s="1"/>
  <c r="CF8" i="12"/>
  <c r="N8" i="12" s="1"/>
  <c r="M8" i="12"/>
  <c r="CE19" i="12"/>
  <c r="K19" i="12"/>
  <c r="L19" i="12"/>
  <c r="P22" i="12"/>
  <c r="O22" i="12"/>
  <c r="CE10" i="12"/>
  <c r="K10" i="12"/>
  <c r="L10" i="12"/>
  <c r="CE21" i="6"/>
  <c r="K21" i="6"/>
  <c r="L21" i="6"/>
  <c r="M13" i="6"/>
  <c r="CF13" i="6"/>
  <c r="N13" i="6" s="1"/>
  <c r="M10" i="6"/>
  <c r="CF10" i="6"/>
  <c r="M18" i="6"/>
  <c r="CF18" i="6"/>
  <c r="CE23" i="6"/>
  <c r="K23" i="6"/>
  <c r="L23" i="6"/>
  <c r="K14" i="6"/>
  <c r="CE14" i="6"/>
  <c r="L14" i="6"/>
  <c r="K8" i="4"/>
  <c r="DI8" i="4"/>
  <c r="A14" i="4" a="1"/>
  <c r="A14" i="4" s="1"/>
  <c r="U14" i="4"/>
  <c r="U20" i="14"/>
  <c r="T20" i="14"/>
  <c r="MT23" i="6"/>
  <c r="J8" i="4"/>
  <c r="OP8" i="4"/>
  <c r="F8" i="4"/>
  <c r="I8" i="4"/>
  <c r="DK8" i="4"/>
  <c r="R8" i="4"/>
  <c r="MT19" i="12"/>
  <c r="A19" i="12"/>
  <c r="H19" i="12"/>
  <c r="I19" i="12" s="1"/>
  <c r="H23" i="6"/>
  <c r="I23" i="6" s="1"/>
  <c r="MT21" i="6"/>
  <c r="H21" i="6"/>
  <c r="I21" i="6" s="1"/>
  <c r="MT6" i="12"/>
  <c r="MT10" i="12"/>
  <c r="K5" i="14"/>
  <c r="L5" i="14" s="1"/>
  <c r="K5" i="4"/>
  <c r="MT8" i="12"/>
  <c r="H8" i="12"/>
  <c r="I8" i="12" s="1"/>
  <c r="MT9" i="12"/>
  <c r="H9" i="12"/>
  <c r="I9" i="12" s="1"/>
  <c r="H10" i="12"/>
  <c r="I10" i="12" s="1"/>
  <c r="H6" i="12"/>
  <c r="I6" i="12" s="1"/>
  <c r="MT14" i="6"/>
  <c r="H14" i="6"/>
  <c r="I14" i="6" s="1"/>
  <c r="OP5" i="4"/>
  <c r="K6" i="4"/>
  <c r="I5" i="4"/>
  <c r="R5" i="4"/>
  <c r="F5" i="4"/>
  <c r="J5" i="4"/>
  <c r="P5" i="4"/>
  <c r="DI5" i="4"/>
  <c r="S5" i="4" s="1"/>
  <c r="K4" i="4"/>
  <c r="M4" i="4" s="1"/>
  <c r="DI6" i="4"/>
  <c r="OP4" i="4"/>
  <c r="F4" i="4"/>
  <c r="DK4" i="4"/>
  <c r="R4" i="4"/>
  <c r="I4" i="4"/>
  <c r="P4" i="4"/>
  <c r="DI4" i="4"/>
  <c r="OP6" i="4"/>
  <c r="J6" i="4"/>
  <c r="I6" i="4"/>
  <c r="DK6" i="4"/>
  <c r="R6" i="4"/>
  <c r="J5" i="14"/>
  <c r="OP5" i="14"/>
  <c r="F5" i="14"/>
  <c r="DK5" i="14"/>
  <c r="R5" i="14"/>
  <c r="I5" i="14"/>
  <c r="P5" i="14"/>
  <c r="DI5" i="14"/>
  <c r="E8" i="12" l="1"/>
  <c r="M8" i="4"/>
  <c r="DH8" i="4" s="1"/>
  <c r="L5" i="4"/>
  <c r="E5" i="4"/>
  <c r="M6" i="4"/>
  <c r="DH6" i="4" s="1"/>
  <c r="M9" i="12"/>
  <c r="E9" i="12" s="1"/>
  <c r="S8" i="4"/>
  <c r="E8" i="4" s="1"/>
  <c r="L8" i="4"/>
  <c r="DJ8" i="4"/>
  <c r="CF19" i="12"/>
  <c r="N19" i="12" s="1"/>
  <c r="M19" i="12"/>
  <c r="M10" i="12"/>
  <c r="CF10" i="12"/>
  <c r="N10" i="12" s="1"/>
  <c r="E10" i="12" s="1"/>
  <c r="O9" i="12"/>
  <c r="P9" i="12"/>
  <c r="O8" i="12"/>
  <c r="P8" i="12"/>
  <c r="M14" i="6"/>
  <c r="CF14" i="6"/>
  <c r="CF21" i="6"/>
  <c r="M21" i="6"/>
  <c r="CF23" i="6"/>
  <c r="N23" i="6" s="1"/>
  <c r="M23" i="6"/>
  <c r="O13" i="6"/>
  <c r="P13" i="6"/>
  <c r="E13" i="6"/>
  <c r="N10" i="6"/>
  <c r="N18" i="6"/>
  <c r="DJ6" i="4"/>
  <c r="M5" i="4"/>
  <c r="DH5" i="4" s="1"/>
  <c r="DJ5" i="4"/>
  <c r="M5" i="14"/>
  <c r="DH5" i="14" s="1"/>
  <c r="DJ5" i="14"/>
  <c r="L6" i="4"/>
  <c r="T5" i="4"/>
  <c r="U5" i="4"/>
  <c r="L4" i="4"/>
  <c r="N4" i="4" s="1"/>
  <c r="DJ4" i="4"/>
  <c r="S6" i="4"/>
  <c r="E6" i="4" s="1"/>
  <c r="S4" i="4"/>
  <c r="E4" i="4" s="1"/>
  <c r="DH4" i="4"/>
  <c r="S5" i="14"/>
  <c r="E5" i="14" s="1"/>
  <c r="N8" i="4" l="1"/>
  <c r="E19" i="12"/>
  <c r="N6" i="4"/>
  <c r="U8" i="4"/>
  <c r="T8" i="4"/>
  <c r="O10" i="12"/>
  <c r="P10" i="12"/>
  <c r="O19" i="12"/>
  <c r="P19" i="12"/>
  <c r="CF6" i="12"/>
  <c r="N6" i="12" s="1"/>
  <c r="E6" i="12" s="1"/>
  <c r="O18" i="6"/>
  <c r="P18" i="6"/>
  <c r="O10" i="6"/>
  <c r="P10" i="6"/>
  <c r="P23" i="6"/>
  <c r="O23" i="6"/>
  <c r="N14" i="6"/>
  <c r="N21" i="6"/>
  <c r="E10" i="6"/>
  <c r="N5" i="4"/>
  <c r="E18" i="6"/>
  <c r="E23" i="6"/>
  <c r="A23" i="6" s="1"/>
  <c r="N5" i="14"/>
  <c r="U6" i="4"/>
  <c r="T6" i="4"/>
  <c r="T4" i="4"/>
  <c r="U4" i="4"/>
  <c r="U5" i="14"/>
  <c r="T5" i="14"/>
  <c r="O6" i="12" l="1"/>
  <c r="P6" i="12"/>
  <c r="O21" i="6"/>
  <c r="P21" i="6"/>
  <c r="O14" i="6"/>
  <c r="P14" i="6"/>
  <c r="E21" i="6"/>
  <c r="A10" i="12"/>
  <c r="E14" i="6"/>
  <c r="BZ15" i="12" l="1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23" i="12"/>
  <c r="CA23" i="12"/>
  <c r="J23" i="12" s="1"/>
  <c r="CB23" i="12"/>
  <c r="CC23" i="12"/>
  <c r="LT23" i="12"/>
  <c r="LU23" i="12"/>
  <c r="LV23" i="12"/>
  <c r="LW23" i="12"/>
  <c r="LY23" i="12"/>
  <c r="LZ23" i="12"/>
  <c r="MA23" i="12"/>
  <c r="MB23" i="12"/>
  <c r="MC23" i="12"/>
  <c r="MD23" i="12"/>
  <c r="ME23" i="12"/>
  <c r="MF23" i="12"/>
  <c r="MG23" i="12"/>
  <c r="MH23" i="12"/>
  <c r="MI23" i="12"/>
  <c r="MJ23" i="12"/>
  <c r="MK23" i="12"/>
  <c r="ML23" i="12"/>
  <c r="MM23" i="12"/>
  <c r="MN23" i="12"/>
  <c r="BZ20" i="12"/>
  <c r="CA20" i="12"/>
  <c r="J20" i="12" s="1"/>
  <c r="CB20" i="12"/>
  <c r="CC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BZ4" i="12"/>
  <c r="CA4" i="12"/>
  <c r="J4" i="12" s="1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5" i="12"/>
  <c r="CA5" i="12"/>
  <c r="J5" i="12" s="1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8" i="12"/>
  <c r="CA18" i="12"/>
  <c r="J18" i="12" s="1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BZ17" i="6"/>
  <c r="CA17" i="6"/>
  <c r="J17" i="6" s="1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12" i="6"/>
  <c r="CA12" i="6"/>
  <c r="J12" i="6" s="1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11" i="6"/>
  <c r="CA11" i="6"/>
  <c r="J11" i="6" s="1"/>
  <c r="CB11" i="6"/>
  <c r="CC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CY22" i="14"/>
  <c r="CZ22" i="14"/>
  <c r="DA22" i="14"/>
  <c r="DB22" i="14"/>
  <c r="DC22" i="14"/>
  <c r="DE22" i="14"/>
  <c r="DF22" i="14"/>
  <c r="NI22" i="14"/>
  <c r="NJ22" i="14"/>
  <c r="NK22" i="14"/>
  <c r="NM22" i="14"/>
  <c r="NN22" i="14"/>
  <c r="NP22" i="14"/>
  <c r="NQ22" i="14"/>
  <c r="NR22" i="14"/>
  <c r="NS22" i="14"/>
  <c r="NT22" i="14"/>
  <c r="NU22" i="14"/>
  <c r="NV22" i="14"/>
  <c r="NW22" i="14"/>
  <c r="OL22" i="14" s="1"/>
  <c r="NX22" i="14"/>
  <c r="NY22" i="14"/>
  <c r="NZ22" i="14"/>
  <c r="OA22" i="14"/>
  <c r="OB22" i="14"/>
  <c r="OC22" i="14"/>
  <c r="OD22" i="14"/>
  <c r="OE22" i="14"/>
  <c r="OF22" i="14"/>
  <c r="OG22" i="14"/>
  <c r="OQ22" i="14" s="1"/>
  <c r="OH22" i="14"/>
  <c r="OI22" i="14"/>
  <c r="ON22" i="14"/>
  <c r="CY26" i="14"/>
  <c r="CZ26" i="14"/>
  <c r="DA26" i="14"/>
  <c r="DB26" i="14"/>
  <c r="DC26" i="14"/>
  <c r="DE26" i="14"/>
  <c r="DF26" i="14"/>
  <c r="NI26" i="14"/>
  <c r="NJ26" i="14"/>
  <c r="NK26" i="14"/>
  <c r="NM26" i="14"/>
  <c r="NN26" i="14"/>
  <c r="NP26" i="14"/>
  <c r="NQ26" i="14"/>
  <c r="NR26" i="14"/>
  <c r="NS26" i="14"/>
  <c r="NT26" i="14"/>
  <c r="NU26" i="14"/>
  <c r="NV26" i="14"/>
  <c r="NW26" i="14"/>
  <c r="OL26" i="14" s="1"/>
  <c r="NX26" i="14"/>
  <c r="NY26" i="14"/>
  <c r="NZ26" i="14"/>
  <c r="OA26" i="14"/>
  <c r="OB26" i="14"/>
  <c r="OC26" i="14"/>
  <c r="OD26" i="14"/>
  <c r="OE26" i="14"/>
  <c r="OF26" i="14"/>
  <c r="OG26" i="14"/>
  <c r="OQ26" i="14" s="1"/>
  <c r="OH26" i="14"/>
  <c r="OI26" i="14"/>
  <c r="ON26" i="14"/>
  <c r="CY7" i="14"/>
  <c r="CZ7" i="14"/>
  <c r="DA7" i="14"/>
  <c r="DB7" i="14"/>
  <c r="DC7" i="14"/>
  <c r="DE7" i="14"/>
  <c r="DF7" i="14"/>
  <c r="NI7" i="14"/>
  <c r="NJ7" i="14"/>
  <c r="NK7" i="14"/>
  <c r="NM7" i="14"/>
  <c r="NN7" i="14"/>
  <c r="NP7" i="14"/>
  <c r="NQ7" i="14"/>
  <c r="NR7" i="14"/>
  <c r="NS7" i="14"/>
  <c r="NT7" i="14"/>
  <c r="NU7" i="14"/>
  <c r="NV7" i="14"/>
  <c r="NW7" i="14"/>
  <c r="OL7" i="14" s="1"/>
  <c r="NX7" i="14"/>
  <c r="NY7" i="14"/>
  <c r="NZ7" i="14"/>
  <c r="OA7" i="14"/>
  <c r="OB7" i="14"/>
  <c r="ON7" i="14" s="1"/>
  <c r="OC7" i="14"/>
  <c r="OD7" i="14"/>
  <c r="OE7" i="14"/>
  <c r="OF7" i="14"/>
  <c r="OG7" i="14"/>
  <c r="OQ7" i="14" s="1"/>
  <c r="OH7" i="14"/>
  <c r="OI7" i="14"/>
  <c r="CY14" i="14"/>
  <c r="CZ14" i="14"/>
  <c r="DA14" i="14"/>
  <c r="DB14" i="14"/>
  <c r="DC14" i="14"/>
  <c r="DE14" i="14"/>
  <c r="DF14" i="14"/>
  <c r="NI14" i="14"/>
  <c r="NJ14" i="14"/>
  <c r="NK14" i="14"/>
  <c r="NM14" i="14"/>
  <c r="NN14" i="14"/>
  <c r="NP14" i="14"/>
  <c r="NQ14" i="14"/>
  <c r="NR14" i="14"/>
  <c r="NS14" i="14"/>
  <c r="NT14" i="14"/>
  <c r="NU14" i="14"/>
  <c r="NV14" i="14"/>
  <c r="NW14" i="14"/>
  <c r="OL14" i="14" s="1"/>
  <c r="NX14" i="14"/>
  <c r="NY14" i="14"/>
  <c r="NZ14" i="14"/>
  <c r="OA14" i="14"/>
  <c r="OB14" i="14"/>
  <c r="ON14" i="14" s="1"/>
  <c r="OC14" i="14"/>
  <c r="OD14" i="14"/>
  <c r="OE14" i="14"/>
  <c r="OF14" i="14"/>
  <c r="OG14" i="14"/>
  <c r="OQ14" i="14" s="1"/>
  <c r="OH14" i="14"/>
  <c r="OI14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N12" i="14" s="1"/>
  <c r="OC12" i="14"/>
  <c r="OD12" i="14"/>
  <c r="OE12" i="14"/>
  <c r="OF12" i="14"/>
  <c r="OG12" i="14"/>
  <c r="OQ12" i="14" s="1"/>
  <c r="OH12" i="14"/>
  <c r="OI12" i="14"/>
  <c r="CY24" i="14"/>
  <c r="CZ24" i="14"/>
  <c r="DA24" i="14"/>
  <c r="DB24" i="14"/>
  <c r="DC24" i="14"/>
  <c r="DE24" i="14"/>
  <c r="DF24" i="14"/>
  <c r="NI24" i="14"/>
  <c r="NJ24" i="14"/>
  <c r="NK24" i="14"/>
  <c r="NM24" i="14"/>
  <c r="NN24" i="14"/>
  <c r="NP24" i="14"/>
  <c r="NQ24" i="14"/>
  <c r="NR24" i="14"/>
  <c r="NS24" i="14"/>
  <c r="NT24" i="14"/>
  <c r="NU24" i="14"/>
  <c r="NV24" i="14"/>
  <c r="NW24" i="14"/>
  <c r="OL24" i="14" s="1"/>
  <c r="NX24" i="14"/>
  <c r="NY24" i="14"/>
  <c r="NZ24" i="14"/>
  <c r="OA24" i="14"/>
  <c r="OB24" i="14"/>
  <c r="ON24" i="14" s="1"/>
  <c r="OC24" i="14"/>
  <c r="OD24" i="14"/>
  <c r="OE24" i="14"/>
  <c r="OF24" i="14"/>
  <c r="OG24" i="14"/>
  <c r="OQ24" i="14" s="1"/>
  <c r="OH24" i="14"/>
  <c r="OI24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N4" i="14" s="1"/>
  <c r="OC4" i="14"/>
  <c r="OD4" i="14"/>
  <c r="OE4" i="14"/>
  <c r="OF4" i="14"/>
  <c r="OG4" i="14"/>
  <c r="OQ4" i="14" s="1"/>
  <c r="OH4" i="14"/>
  <c r="OI4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0" i="4"/>
  <c r="CZ10" i="4"/>
  <c r="DA10" i="4"/>
  <c r="DB10" i="4"/>
  <c r="DC10" i="4"/>
  <c r="DE10" i="4"/>
  <c r="DF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OI9" i="14"/>
  <c r="OH9" i="14"/>
  <c r="OG9" i="14"/>
  <c r="OQ9" i="14" s="1"/>
  <c r="OF9" i="14"/>
  <c r="OE9" i="14"/>
  <c r="OD9" i="14"/>
  <c r="OC9" i="14"/>
  <c r="OB9" i="14"/>
  <c r="ON9" i="14" s="1"/>
  <c r="OA9" i="14"/>
  <c r="NZ9" i="14"/>
  <c r="NY9" i="14"/>
  <c r="NX9" i="14"/>
  <c r="NW9" i="14"/>
  <c r="OL9" i="14" s="1"/>
  <c r="NV9" i="14"/>
  <c r="NU9" i="14"/>
  <c r="NT9" i="14"/>
  <c r="NS9" i="14"/>
  <c r="NR9" i="14"/>
  <c r="NQ9" i="14"/>
  <c r="NP9" i="14"/>
  <c r="NN9" i="14"/>
  <c r="NM9" i="14"/>
  <c r="NK9" i="14"/>
  <c r="NJ9" i="14"/>
  <c r="NI9" i="14"/>
  <c r="DF9" i="14"/>
  <c r="DE9" i="14"/>
  <c r="DC9" i="14"/>
  <c r="DB9" i="14"/>
  <c r="DA9" i="14"/>
  <c r="CZ9" i="14"/>
  <c r="CY9" i="14"/>
  <c r="OI17" i="14"/>
  <c r="OH17" i="14"/>
  <c r="OG17" i="14"/>
  <c r="OQ17" i="14" s="1"/>
  <c r="OF17" i="14"/>
  <c r="OE17" i="14"/>
  <c r="OD17" i="14"/>
  <c r="OC17" i="14"/>
  <c r="OB17" i="14"/>
  <c r="ON17" i="14" s="1"/>
  <c r="OA17" i="14"/>
  <c r="NZ17" i="14"/>
  <c r="NY17" i="14"/>
  <c r="NX17" i="14"/>
  <c r="NW17" i="14"/>
  <c r="OL17" i="14" s="1"/>
  <c r="NV17" i="14"/>
  <c r="NU17" i="14"/>
  <c r="NT17" i="14"/>
  <c r="NS17" i="14"/>
  <c r="NR17" i="14"/>
  <c r="NQ17" i="14"/>
  <c r="NP17" i="14"/>
  <c r="NN17" i="14"/>
  <c r="NM17" i="14"/>
  <c r="NK17" i="14"/>
  <c r="NJ17" i="14"/>
  <c r="NI17" i="14"/>
  <c r="DF17" i="14"/>
  <c r="DE17" i="14"/>
  <c r="DC17" i="14"/>
  <c r="DB17" i="14"/>
  <c r="DA17" i="14"/>
  <c r="CZ17" i="14"/>
  <c r="CY17" i="14"/>
  <c r="OI21" i="14"/>
  <c r="OH21" i="14"/>
  <c r="OG21" i="14"/>
  <c r="OQ21" i="14" s="1"/>
  <c r="OF21" i="14"/>
  <c r="OE21" i="14"/>
  <c r="OD21" i="14"/>
  <c r="OC21" i="14"/>
  <c r="OB21" i="14"/>
  <c r="ON21" i="14" s="1"/>
  <c r="OA21" i="14"/>
  <c r="NZ21" i="14"/>
  <c r="NY21" i="14"/>
  <c r="NX21" i="14"/>
  <c r="NW21" i="14"/>
  <c r="OL21" i="14" s="1"/>
  <c r="NV21" i="14"/>
  <c r="NU21" i="14"/>
  <c r="NT21" i="14"/>
  <c r="NS21" i="14"/>
  <c r="NR21" i="14"/>
  <c r="NQ21" i="14"/>
  <c r="NP21" i="14"/>
  <c r="NN21" i="14"/>
  <c r="NM21" i="14"/>
  <c r="NK21" i="14"/>
  <c r="NJ21" i="14"/>
  <c r="NI21" i="14"/>
  <c r="DF21" i="14"/>
  <c r="DE21" i="14"/>
  <c r="DC21" i="14"/>
  <c r="DB21" i="14"/>
  <c r="DA21" i="14"/>
  <c r="CZ21" i="14"/>
  <c r="CY21" i="14"/>
  <c r="OI6" i="14"/>
  <c r="OH6" i="14"/>
  <c r="OG6" i="14"/>
  <c r="OQ6" i="14" s="1"/>
  <c r="OF6" i="14"/>
  <c r="OE6" i="14"/>
  <c r="OD6" i="14"/>
  <c r="OC6" i="14"/>
  <c r="OB6" i="14"/>
  <c r="ON6" i="14" s="1"/>
  <c r="OA6" i="14"/>
  <c r="NZ6" i="14"/>
  <c r="NY6" i="14"/>
  <c r="NX6" i="14"/>
  <c r="NW6" i="14"/>
  <c r="OL6" i="14" s="1"/>
  <c r="NV6" i="14"/>
  <c r="NU6" i="14"/>
  <c r="NT6" i="14"/>
  <c r="NS6" i="14"/>
  <c r="NR6" i="14"/>
  <c r="NQ6" i="14"/>
  <c r="NP6" i="14"/>
  <c r="NN6" i="14"/>
  <c r="NM6" i="14"/>
  <c r="NK6" i="14"/>
  <c r="NJ6" i="14"/>
  <c r="NI6" i="14"/>
  <c r="DF6" i="14"/>
  <c r="DE6" i="14"/>
  <c r="DC6" i="14"/>
  <c r="DB6" i="14"/>
  <c r="DA6" i="14"/>
  <c r="CZ6" i="14"/>
  <c r="CY6" i="14"/>
  <c r="OI13" i="14"/>
  <c r="OH13" i="14"/>
  <c r="OG13" i="14"/>
  <c r="OQ13" i="14" s="1"/>
  <c r="OF13" i="14"/>
  <c r="OE13" i="14"/>
  <c r="OD13" i="14"/>
  <c r="OC13" i="14"/>
  <c r="OB13" i="14"/>
  <c r="ON13" i="14" s="1"/>
  <c r="OA13" i="14"/>
  <c r="NZ13" i="14"/>
  <c r="NY13" i="14"/>
  <c r="NX13" i="14"/>
  <c r="NW13" i="14"/>
  <c r="OL13" i="14" s="1"/>
  <c r="NV13" i="14"/>
  <c r="NU13" i="14"/>
  <c r="NT13" i="14"/>
  <c r="NS13" i="14"/>
  <c r="NR13" i="14"/>
  <c r="NQ13" i="14"/>
  <c r="NP13" i="14"/>
  <c r="NN13" i="14"/>
  <c r="NM13" i="14"/>
  <c r="NK13" i="14"/>
  <c r="NJ13" i="14"/>
  <c r="NI13" i="14"/>
  <c r="DF13" i="14"/>
  <c r="DE13" i="14"/>
  <c r="DC13" i="14"/>
  <c r="DB13" i="14"/>
  <c r="DA13" i="14"/>
  <c r="CZ13" i="14"/>
  <c r="CY13" i="14"/>
  <c r="NZ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9" i="4"/>
  <c r="NV9" i="4"/>
  <c r="NW9" i="4"/>
  <c r="OL9" i="4" s="1"/>
  <c r="NX9" i="4"/>
  <c r="NY9" i="4"/>
  <c r="OA9" i="4"/>
  <c r="OB9" i="4"/>
  <c r="ON9" i="4" s="1"/>
  <c r="OC9" i="4"/>
  <c r="OD9" i="4"/>
  <c r="OE9" i="4"/>
  <c r="OF9" i="4"/>
  <c r="OG9" i="4"/>
  <c r="OQ9" i="4" s="1"/>
  <c r="OH9" i="4"/>
  <c r="OI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7" i="4"/>
  <c r="CZ17" i="4"/>
  <c r="DA17" i="4"/>
  <c r="DB17" i="4"/>
  <c r="DC17" i="4"/>
  <c r="DE17" i="4"/>
  <c r="DF17" i="4"/>
  <c r="CY19" i="4"/>
  <c r="CZ19" i="4"/>
  <c r="DA19" i="4"/>
  <c r="DB19" i="4"/>
  <c r="DC19" i="4"/>
  <c r="DE19" i="4"/>
  <c r="DF19" i="4"/>
  <c r="CY13" i="4"/>
  <c r="CZ13" i="4"/>
  <c r="DA13" i="4"/>
  <c r="DB13" i="4"/>
  <c r="DC13" i="4"/>
  <c r="DE13" i="4"/>
  <c r="DF13" i="4"/>
  <c r="DC9" i="4"/>
  <c r="DB9" i="4"/>
  <c r="CZ9" i="4"/>
  <c r="DA9" i="4"/>
  <c r="CY9" i="4"/>
  <c r="LT12" i="12"/>
  <c r="LU12" i="12"/>
  <c r="LV12" i="12"/>
  <c r="LW12" i="12"/>
  <c r="LV7" i="12"/>
  <c r="CB12" i="12"/>
  <c r="CB7" i="12"/>
  <c r="LV5" i="6"/>
  <c r="LV7" i="6"/>
  <c r="LV6" i="6"/>
  <c r="LV8" i="6"/>
  <c r="LV4" i="6"/>
  <c r="CB5" i="6"/>
  <c r="CB7" i="6"/>
  <c r="CB6" i="6"/>
  <c r="CB8" i="6"/>
  <c r="CB4" i="6"/>
  <c r="LV9" i="8"/>
  <c r="LV4" i="8"/>
  <c r="LV7" i="8"/>
  <c r="CB7" i="8"/>
  <c r="LV5" i="7"/>
  <c r="CB5" i="7"/>
  <c r="BZ5" i="7"/>
  <c r="OR24" i="14" l="1"/>
  <c r="OR26" i="14"/>
  <c r="OR25" i="14"/>
  <c r="OR21" i="4"/>
  <c r="OR21" i="14"/>
  <c r="OR18" i="4"/>
  <c r="K18" i="12"/>
  <c r="CE18" i="12"/>
  <c r="K5" i="12"/>
  <c r="CE5" i="12"/>
  <c r="K4" i="12"/>
  <c r="CE4" i="12"/>
  <c r="CE20" i="12"/>
  <c r="K20" i="12"/>
  <c r="CE23" i="12"/>
  <c r="K23" i="12"/>
  <c r="K15" i="12"/>
  <c r="CE15" i="12"/>
  <c r="MR17" i="6"/>
  <c r="K11" i="6"/>
  <c r="CE11" i="6"/>
  <c r="K12" i="6"/>
  <c r="CE12" i="6"/>
  <c r="K17" i="6"/>
  <c r="CE17" i="6"/>
  <c r="OR22" i="14"/>
  <c r="OR20" i="14"/>
  <c r="OR19" i="4"/>
  <c r="OR15" i="4"/>
  <c r="OR19" i="14"/>
  <c r="OR16" i="4"/>
  <c r="NL22" i="14"/>
  <c r="NO22" i="14" s="1"/>
  <c r="DD15" i="4"/>
  <c r="DG15" i="4" s="1"/>
  <c r="OR13" i="4"/>
  <c r="OR14" i="4"/>
  <c r="OR17" i="4"/>
  <c r="MR20" i="12"/>
  <c r="MS17" i="6"/>
  <c r="CD17" i="6"/>
  <c r="L17" i="6" s="1"/>
  <c r="NL12" i="4"/>
  <c r="NO12" i="4" s="1"/>
  <c r="NL15" i="4"/>
  <c r="NO15" i="4" s="1"/>
  <c r="DD26" i="14"/>
  <c r="DG26" i="14" s="1"/>
  <c r="DD22" i="14"/>
  <c r="DG22" i="14" s="1"/>
  <c r="DD10" i="4"/>
  <c r="DG10" i="4" s="1"/>
  <c r="NL10" i="4"/>
  <c r="NO10" i="4" s="1"/>
  <c r="OO10" i="4"/>
  <c r="DD12" i="4"/>
  <c r="DG12" i="4" s="1"/>
  <c r="MR15" i="12"/>
  <c r="LX15" i="12"/>
  <c r="CD15" i="12"/>
  <c r="L15" i="12" s="1"/>
  <c r="MS15" i="12"/>
  <c r="MQ15" i="12"/>
  <c r="MP15" i="12"/>
  <c r="F15" i="12"/>
  <c r="G15" i="12"/>
  <c r="MR23" i="12"/>
  <c r="MS20" i="12"/>
  <c r="LX23" i="12"/>
  <c r="CD23" i="12"/>
  <c r="L23" i="12" s="1"/>
  <c r="MS23" i="12"/>
  <c r="MQ23" i="12"/>
  <c r="MP23" i="12"/>
  <c r="F23" i="12"/>
  <c r="G23" i="12"/>
  <c r="LX20" i="12"/>
  <c r="CD20" i="12"/>
  <c r="L20" i="12" s="1"/>
  <c r="MQ20" i="12"/>
  <c r="MP20" i="12"/>
  <c r="F20" i="12"/>
  <c r="G20" i="12"/>
  <c r="MR4" i="12"/>
  <c r="LX4" i="12"/>
  <c r="MS4" i="12"/>
  <c r="CD4" i="12"/>
  <c r="L4" i="12" s="1"/>
  <c r="MQ4" i="12"/>
  <c r="MP4" i="12"/>
  <c r="F4" i="12"/>
  <c r="G4" i="12"/>
  <c r="CD5" i="12"/>
  <c r="L5" i="12" s="1"/>
  <c r="LX5" i="12"/>
  <c r="MR5" i="12"/>
  <c r="MS5" i="12"/>
  <c r="MQ5" i="12"/>
  <c r="MP5" i="12"/>
  <c r="F5" i="12"/>
  <c r="G5" i="12"/>
  <c r="MR18" i="12"/>
  <c r="MQ18" i="12"/>
  <c r="LX18" i="12"/>
  <c r="MS18" i="12"/>
  <c r="CD18" i="12"/>
  <c r="L18" i="12" s="1"/>
  <c r="MP18" i="12"/>
  <c r="F18" i="12"/>
  <c r="G18" i="12"/>
  <c r="LX17" i="6"/>
  <c r="MQ17" i="6"/>
  <c r="MP17" i="6"/>
  <c r="F17" i="6"/>
  <c r="G17" i="6"/>
  <c r="MR12" i="6"/>
  <c r="MP12" i="6"/>
  <c r="LX12" i="6"/>
  <c r="CD12" i="6"/>
  <c r="L12" i="6" s="1"/>
  <c r="MS12" i="6"/>
  <c r="MQ12" i="6"/>
  <c r="F12" i="6"/>
  <c r="G12" i="6"/>
  <c r="MR11" i="6"/>
  <c r="LX11" i="6"/>
  <c r="CD11" i="6"/>
  <c r="L11" i="6" s="1"/>
  <c r="MQ11" i="6"/>
  <c r="MP11" i="6"/>
  <c r="F11" i="6"/>
  <c r="MS11" i="6"/>
  <c r="G11" i="6"/>
  <c r="MR7" i="7"/>
  <c r="MP7" i="7"/>
  <c r="LX7" i="7"/>
  <c r="CD7" i="7"/>
  <c r="MS7" i="7"/>
  <c r="L7" i="7"/>
  <c r="MQ7" i="7"/>
  <c r="F7" i="7"/>
  <c r="J7" i="7"/>
  <c r="G7" i="7"/>
  <c r="OM22" i="14"/>
  <c r="OK22" i="14"/>
  <c r="OR18" i="14"/>
  <c r="OO22" i="14"/>
  <c r="O22" i="14"/>
  <c r="P22" i="14" s="1"/>
  <c r="G22" i="14"/>
  <c r="F22" i="14" s="1"/>
  <c r="Q22" i="14"/>
  <c r="H22" i="14"/>
  <c r="NL26" i="14"/>
  <c r="NO26" i="14" s="1"/>
  <c r="DD7" i="14"/>
  <c r="DG7" i="14" s="1"/>
  <c r="OO26" i="14"/>
  <c r="OM26" i="14"/>
  <c r="OK26" i="14"/>
  <c r="OR17" i="14"/>
  <c r="O26" i="14"/>
  <c r="P26" i="14" s="1"/>
  <c r="Q26" i="14"/>
  <c r="R26" i="14" s="1"/>
  <c r="G26" i="14"/>
  <c r="F26" i="14" s="1"/>
  <c r="H26" i="14"/>
  <c r="DD15" i="14"/>
  <c r="DG15" i="14" s="1"/>
  <c r="DD14" i="14"/>
  <c r="DG14" i="14" s="1"/>
  <c r="OO7" i="14"/>
  <c r="NL7" i="14"/>
  <c r="NO7" i="14" s="1"/>
  <c r="OM7" i="14"/>
  <c r="OK7" i="14"/>
  <c r="OR16" i="14"/>
  <c r="O7" i="14"/>
  <c r="DI7" i="14" s="1"/>
  <c r="G7" i="14"/>
  <c r="F7" i="14" s="1"/>
  <c r="Q7" i="14"/>
  <c r="H7" i="14"/>
  <c r="NL14" i="14"/>
  <c r="NO14" i="14" s="1"/>
  <c r="OM14" i="14"/>
  <c r="OK14" i="14"/>
  <c r="OR15" i="14"/>
  <c r="OO14" i="14"/>
  <c r="O14" i="14"/>
  <c r="DI14" i="14" s="1"/>
  <c r="G14" i="14"/>
  <c r="F14" i="14" s="1"/>
  <c r="Q14" i="14"/>
  <c r="H14" i="14"/>
  <c r="NL24" i="14"/>
  <c r="NO24" i="14" s="1"/>
  <c r="DD12" i="14"/>
  <c r="DG12" i="14" s="1"/>
  <c r="NL4" i="14"/>
  <c r="NO4" i="14" s="1"/>
  <c r="NL15" i="14"/>
  <c r="NO15" i="14" s="1"/>
  <c r="OM15" i="14"/>
  <c r="OK15" i="14"/>
  <c r="OO15" i="14"/>
  <c r="O15" i="14"/>
  <c r="P15" i="14" s="1"/>
  <c r="G15" i="14"/>
  <c r="F15" i="14" s="1"/>
  <c r="Q15" i="14"/>
  <c r="H15" i="14"/>
  <c r="OR14" i="14"/>
  <c r="NL12" i="14"/>
  <c r="NO12" i="14" s="1"/>
  <c r="DD24" i="14"/>
  <c r="DG24" i="14" s="1"/>
  <c r="OM12" i="14"/>
  <c r="G12" i="14"/>
  <c r="F12" i="14" s="1"/>
  <c r="OK12" i="14"/>
  <c r="OR13" i="14"/>
  <c r="OO12" i="14"/>
  <c r="O12" i="14"/>
  <c r="P12" i="14" s="1"/>
  <c r="Q12" i="14"/>
  <c r="H12" i="14"/>
  <c r="DD4" i="14"/>
  <c r="DG4" i="14" s="1"/>
  <c r="OM24" i="14"/>
  <c r="OK24" i="14"/>
  <c r="OR12" i="14"/>
  <c r="OO24" i="14"/>
  <c r="O24" i="14"/>
  <c r="P24" i="14" s="1"/>
  <c r="G24" i="14"/>
  <c r="Q24" i="14"/>
  <c r="H24" i="14"/>
  <c r="OM4" i="14"/>
  <c r="OK4" i="14"/>
  <c r="OR11" i="14"/>
  <c r="OO4" i="14"/>
  <c r="O4" i="14"/>
  <c r="P4" i="14" s="1"/>
  <c r="Q4" i="14"/>
  <c r="DK4" i="14" s="1"/>
  <c r="H4" i="14"/>
  <c r="G4" i="14"/>
  <c r="OR10" i="14"/>
  <c r="Q9" i="14"/>
  <c r="R9" i="14" s="1"/>
  <c r="Q21" i="14"/>
  <c r="OK15" i="4"/>
  <c r="OM15" i="4"/>
  <c r="Q15" i="4"/>
  <c r="R15" i="4" s="1"/>
  <c r="OR12" i="4"/>
  <c r="O15" i="4"/>
  <c r="P15" i="4" s="1"/>
  <c r="G15" i="4"/>
  <c r="OO15" i="4"/>
  <c r="H15" i="4"/>
  <c r="OM10" i="4"/>
  <c r="OK10" i="4"/>
  <c r="Q10" i="4"/>
  <c r="R10" i="4" s="1"/>
  <c r="O10" i="4"/>
  <c r="P10" i="4" s="1"/>
  <c r="G10" i="4"/>
  <c r="H10" i="4"/>
  <c r="OK12" i="4"/>
  <c r="OO12" i="4"/>
  <c r="OR11" i="4"/>
  <c r="OM12" i="4"/>
  <c r="Q12" i="4"/>
  <c r="R12" i="4" s="1"/>
  <c r="O12" i="4"/>
  <c r="P12" i="4" s="1"/>
  <c r="G12" i="4"/>
  <c r="F12" i="4" s="1"/>
  <c r="H12" i="4"/>
  <c r="Q13" i="14"/>
  <c r="DK13" i="14" s="1"/>
  <c r="Q17" i="14"/>
  <c r="R17" i="14" s="1"/>
  <c r="Q6" i="14"/>
  <c r="DK6" i="14" s="1"/>
  <c r="DD6" i="14"/>
  <c r="DG6" i="14" s="1"/>
  <c r="OM13" i="14"/>
  <c r="NL17" i="14"/>
  <c r="NO17" i="14" s="1"/>
  <c r="DD21" i="14"/>
  <c r="DG21" i="14" s="1"/>
  <c r="NL13" i="14"/>
  <c r="NO13" i="14" s="1"/>
  <c r="NL6" i="14"/>
  <c r="NO6" i="14" s="1"/>
  <c r="DD17" i="14"/>
  <c r="DG17" i="14" s="1"/>
  <c r="OR4" i="14"/>
  <c r="OK17" i="14"/>
  <c r="OK6" i="14"/>
  <c r="OM17" i="14"/>
  <c r="OM6" i="14"/>
  <c r="OO6" i="14"/>
  <c r="O9" i="14"/>
  <c r="DI9" i="14" s="1"/>
  <c r="O6" i="14"/>
  <c r="DI6" i="14" s="1"/>
  <c r="OR7" i="14"/>
  <c r="OM9" i="14"/>
  <c r="OO9" i="14"/>
  <c r="G13" i="14"/>
  <c r="OK13" i="14"/>
  <c r="G17" i="14"/>
  <c r="F17" i="14" s="1"/>
  <c r="OR8" i="14"/>
  <c r="O21" i="14"/>
  <c r="DI21" i="14" s="1"/>
  <c r="OM21" i="14"/>
  <c r="OO17" i="14"/>
  <c r="DD9" i="14"/>
  <c r="DG9" i="14" s="1"/>
  <c r="H13" i="14"/>
  <c r="OO13" i="14"/>
  <c r="G21" i="14"/>
  <c r="F21" i="14" s="1"/>
  <c r="OO21" i="14"/>
  <c r="OR6" i="14"/>
  <c r="OR9" i="14"/>
  <c r="DD13" i="14"/>
  <c r="DG13" i="14" s="1"/>
  <c r="G6" i="14"/>
  <c r="OR5" i="14"/>
  <c r="NL21" i="14"/>
  <c r="NO21" i="14" s="1"/>
  <c r="OK21" i="14"/>
  <c r="G9" i="14"/>
  <c r="NL9" i="14"/>
  <c r="NO9" i="14" s="1"/>
  <c r="OK9" i="14"/>
  <c r="O13" i="14"/>
  <c r="H9" i="14"/>
  <c r="O17" i="14"/>
  <c r="H17" i="14"/>
  <c r="H6" i="14"/>
  <c r="H21" i="14"/>
  <c r="OO17" i="4"/>
  <c r="OO11" i="4"/>
  <c r="OO7" i="4"/>
  <c r="OR10" i="4"/>
  <c r="OR9" i="4"/>
  <c r="OR8" i="4"/>
  <c r="OR7" i="4"/>
  <c r="OR6" i="4"/>
  <c r="OR5" i="4"/>
  <c r="OR4" i="4"/>
  <c r="OO13" i="4"/>
  <c r="OM19" i="4"/>
  <c r="OM17" i="4"/>
  <c r="OM11" i="4"/>
  <c r="OM7" i="4"/>
  <c r="OM9" i="4"/>
  <c r="DD9" i="4"/>
  <c r="OO19" i="4"/>
  <c r="OM13" i="4"/>
  <c r="OO9" i="4"/>
  <c r="DD11" i="4"/>
  <c r="DG11" i="4" s="1"/>
  <c r="DD17" i="4"/>
  <c r="DG17" i="4" s="1"/>
  <c r="DD19" i="4"/>
  <c r="DG19" i="4" s="1"/>
  <c r="DD7" i="4"/>
  <c r="DG7" i="4" s="1"/>
  <c r="DD13" i="4"/>
  <c r="DG13" i="4" s="1"/>
  <c r="LX12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LY12" i="12"/>
  <c r="LY7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LY4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Y7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9" i="4"/>
  <c r="CC12" i="12"/>
  <c r="CA12" i="12"/>
  <c r="J12" i="12" s="1"/>
  <c r="BZ12" i="12"/>
  <c r="CC7" i="12"/>
  <c r="CA7" i="12"/>
  <c r="J7" i="12" s="1"/>
  <c r="BZ7" i="12"/>
  <c r="CC8" i="6"/>
  <c r="CA8" i="6"/>
  <c r="J8" i="6" s="1"/>
  <c r="BZ8" i="6"/>
  <c r="CC6" i="6"/>
  <c r="CA6" i="6"/>
  <c r="J6" i="6" s="1"/>
  <c r="BZ6" i="6"/>
  <c r="CC7" i="6"/>
  <c r="CA7" i="6"/>
  <c r="J7" i="6" s="1"/>
  <c r="BZ7" i="6"/>
  <c r="CC5" i="6"/>
  <c r="CA5" i="6"/>
  <c r="J5" i="6" s="1"/>
  <c r="BZ5" i="6"/>
  <c r="CC4" i="6"/>
  <c r="CA4" i="6"/>
  <c r="J4" i="6" s="1"/>
  <c r="BZ4" i="6"/>
  <c r="CC4" i="8"/>
  <c r="CA4" i="8"/>
  <c r="BZ4" i="8"/>
  <c r="CC9" i="8"/>
  <c r="CA9" i="8"/>
  <c r="BZ9" i="8"/>
  <c r="CC7" i="8"/>
  <c r="CA7" i="8"/>
  <c r="BZ7" i="8"/>
  <c r="CC5" i="7"/>
  <c r="CA5" i="7"/>
  <c r="NQ9" i="4"/>
  <c r="NR9" i="4"/>
  <c r="NS9" i="4"/>
  <c r="NT9" i="4"/>
  <c r="NQ7" i="4"/>
  <c r="NR7" i="4"/>
  <c r="NS7" i="4"/>
  <c r="NQ11" i="4"/>
  <c r="NR11" i="4"/>
  <c r="NS11" i="4"/>
  <c r="NQ17" i="4"/>
  <c r="NR17" i="4"/>
  <c r="NS17" i="4"/>
  <c r="NQ19" i="4"/>
  <c r="NR19" i="4"/>
  <c r="NS19" i="4"/>
  <c r="NQ13" i="4"/>
  <c r="NR13" i="4"/>
  <c r="NS13" i="4"/>
  <c r="NP7" i="4"/>
  <c r="NP11" i="4"/>
  <c r="NP17" i="4"/>
  <c r="NP19" i="4"/>
  <c r="NP13" i="4"/>
  <c r="F10" i="4" l="1"/>
  <c r="M23" i="12"/>
  <c r="CF23" i="12"/>
  <c r="N23" i="12" s="1"/>
  <c r="M20" i="12"/>
  <c r="CF20" i="12"/>
  <c r="N20" i="12" s="1"/>
  <c r="M4" i="12"/>
  <c r="CF4" i="12"/>
  <c r="N4" i="12" s="1"/>
  <c r="K12" i="12"/>
  <c r="CE12" i="12"/>
  <c r="M5" i="12"/>
  <c r="CF5" i="12"/>
  <c r="N5" i="12" s="1"/>
  <c r="M15" i="12"/>
  <c r="CF15" i="12"/>
  <c r="N15" i="12" s="1"/>
  <c r="M18" i="12"/>
  <c r="CF18" i="12"/>
  <c r="N18" i="12" s="1"/>
  <c r="K7" i="12"/>
  <c r="M17" i="6"/>
  <c r="CF17" i="6"/>
  <c r="K5" i="6"/>
  <c r="M12" i="6"/>
  <c r="CF12" i="6"/>
  <c r="K7" i="6"/>
  <c r="M11" i="6"/>
  <c r="CF11" i="6"/>
  <c r="K6" i="6"/>
  <c r="K4" i="6"/>
  <c r="K8" i="6"/>
  <c r="K26" i="14"/>
  <c r="L26" i="14" s="1"/>
  <c r="M7" i="7"/>
  <c r="K12" i="4"/>
  <c r="K15" i="4"/>
  <c r="MT7" i="7"/>
  <c r="MT20" i="12"/>
  <c r="MT15" i="12"/>
  <c r="MT23" i="12"/>
  <c r="MT12" i="6"/>
  <c r="MT17" i="6"/>
  <c r="CF7" i="7"/>
  <c r="K10" i="4"/>
  <c r="K22" i="14"/>
  <c r="M22" i="14" s="1"/>
  <c r="K7" i="14"/>
  <c r="L7" i="14" s="1"/>
  <c r="OP15" i="14"/>
  <c r="OP15" i="4"/>
  <c r="OS21" i="4" s="1"/>
  <c r="J15" i="4"/>
  <c r="DK10" i="4"/>
  <c r="DK15" i="4"/>
  <c r="A15" i="12"/>
  <c r="H15" i="12"/>
  <c r="I15" i="12" s="1"/>
  <c r="H23" i="12"/>
  <c r="I23" i="12" s="1"/>
  <c r="A23" i="12"/>
  <c r="MT4" i="12"/>
  <c r="H20" i="12"/>
  <c r="I20" i="12" s="1"/>
  <c r="MT5" i="12"/>
  <c r="H4" i="12"/>
  <c r="I4" i="12" s="1"/>
  <c r="H5" i="12"/>
  <c r="I5" i="12" s="1"/>
  <c r="MT18" i="12"/>
  <c r="H18" i="12"/>
  <c r="I18" i="12" s="1"/>
  <c r="A18" i="12"/>
  <c r="H17" i="6"/>
  <c r="I17" i="6" s="1"/>
  <c r="A17" i="6"/>
  <c r="H12" i="6"/>
  <c r="I12" i="6" s="1"/>
  <c r="A12" i="6"/>
  <c r="MT11" i="6"/>
  <c r="H11" i="6"/>
  <c r="I11" i="6" s="1"/>
  <c r="A11" i="6"/>
  <c r="H7" i="7"/>
  <c r="I7" i="7" s="1"/>
  <c r="A7" i="7"/>
  <c r="CE7" i="7"/>
  <c r="K7" i="7"/>
  <c r="OP22" i="14"/>
  <c r="J22" i="14"/>
  <c r="DI22" i="14"/>
  <c r="A22" i="14" a="1"/>
  <c r="A22" i="14" s="1"/>
  <c r="I22" i="14"/>
  <c r="DK22" i="14"/>
  <c r="R22" i="14"/>
  <c r="OP26" i="14"/>
  <c r="DI26" i="14"/>
  <c r="DK26" i="14"/>
  <c r="I26" i="14"/>
  <c r="J26" i="14"/>
  <c r="A26" i="14" a="1"/>
  <c r="A26" i="14" s="1"/>
  <c r="K14" i="14"/>
  <c r="DJ14" i="14" s="1"/>
  <c r="OP13" i="14"/>
  <c r="P21" i="14"/>
  <c r="OP14" i="14"/>
  <c r="OP7" i="14"/>
  <c r="P7" i="14"/>
  <c r="J7" i="14"/>
  <c r="I7" i="14"/>
  <c r="DK7" i="14"/>
  <c r="S7" i="14" s="1"/>
  <c r="R7" i="14"/>
  <c r="K24" i="14"/>
  <c r="L24" i="14" s="1"/>
  <c r="DI15" i="14"/>
  <c r="P14" i="14"/>
  <c r="A14" i="14" a="1"/>
  <c r="A14" i="14" s="1"/>
  <c r="J14" i="14"/>
  <c r="I14" i="14"/>
  <c r="DK14" i="14"/>
  <c r="S14" i="14" s="1"/>
  <c r="R14" i="14"/>
  <c r="K4" i="14"/>
  <c r="DJ4" i="14" s="1"/>
  <c r="K15" i="14"/>
  <c r="DJ15" i="14" s="1"/>
  <c r="A15" i="14" a="1"/>
  <c r="A15" i="14" s="1"/>
  <c r="J15" i="14"/>
  <c r="I15" i="14"/>
  <c r="DK15" i="14"/>
  <c r="R15" i="14"/>
  <c r="J9" i="14"/>
  <c r="K12" i="14"/>
  <c r="DJ12" i="14" s="1"/>
  <c r="J24" i="14"/>
  <c r="J12" i="14"/>
  <c r="A12" i="14" a="1"/>
  <c r="A12" i="14" s="1"/>
  <c r="DI12" i="14"/>
  <c r="OP12" i="14"/>
  <c r="I12" i="14"/>
  <c r="DK12" i="14"/>
  <c r="R12" i="14"/>
  <c r="OP6" i="14"/>
  <c r="P6" i="14"/>
  <c r="P9" i="14"/>
  <c r="DI24" i="14"/>
  <c r="OP24" i="14"/>
  <c r="OS24" i="14" s="1"/>
  <c r="F24" i="14"/>
  <c r="A24" i="14" a="1"/>
  <c r="A24" i="14" s="1"/>
  <c r="I24" i="14"/>
  <c r="DK24" i="14"/>
  <c r="R24" i="14"/>
  <c r="OP4" i="14"/>
  <c r="R4" i="14"/>
  <c r="DI4" i="14"/>
  <c r="S4" i="14" s="1"/>
  <c r="J4" i="14"/>
  <c r="I4" i="14"/>
  <c r="F4" i="14"/>
  <c r="DK17" i="14"/>
  <c r="OP21" i="14"/>
  <c r="DI15" i="4"/>
  <c r="F15" i="4"/>
  <c r="A15" i="4" a="1"/>
  <c r="A15" i="4" s="1"/>
  <c r="I15" i="4"/>
  <c r="OP12" i="4"/>
  <c r="DI10" i="4"/>
  <c r="OP10" i="4"/>
  <c r="J10" i="4"/>
  <c r="A10" i="4" a="1"/>
  <c r="A10" i="4" s="1"/>
  <c r="I10" i="4"/>
  <c r="DK12" i="4"/>
  <c r="DI12" i="4"/>
  <c r="A12" i="4" a="1"/>
  <c r="A12" i="4" s="1"/>
  <c r="J12" i="4"/>
  <c r="I12" i="4"/>
  <c r="K13" i="14"/>
  <c r="DJ13" i="14" s="1"/>
  <c r="K17" i="14"/>
  <c r="M17" i="14" s="1"/>
  <c r="OP17" i="14"/>
  <c r="OS22" i="14" s="1"/>
  <c r="I6" i="14"/>
  <c r="DK9" i="14"/>
  <c r="S9" i="14" s="1"/>
  <c r="U9" i="14" s="1"/>
  <c r="S6" i="14"/>
  <c r="K9" i="14"/>
  <c r="M9" i="14" s="1"/>
  <c r="F13" i="14"/>
  <c r="F9" i="14"/>
  <c r="I13" i="14"/>
  <c r="J13" i="14"/>
  <c r="OP9" i="14"/>
  <c r="J17" i="14"/>
  <c r="F6" i="14"/>
  <c r="R13" i="14"/>
  <c r="R6" i="14"/>
  <c r="J6" i="14"/>
  <c r="K6" i="14"/>
  <c r="M6" i="14" s="1"/>
  <c r="K21" i="14"/>
  <c r="J21" i="14"/>
  <c r="DK21" i="14"/>
  <c r="S21" i="14" s="1"/>
  <c r="R21" i="14"/>
  <c r="I17" i="14"/>
  <c r="DI13" i="14"/>
  <c r="S13" i="14" s="1"/>
  <c r="P13" i="14"/>
  <c r="DI17" i="14"/>
  <c r="P17" i="14"/>
  <c r="I21" i="14"/>
  <c r="I9" i="14"/>
  <c r="OK13" i="4"/>
  <c r="OP13" i="4" s="1"/>
  <c r="MR7" i="12"/>
  <c r="OK19" i="4"/>
  <c r="OP19" i="4" s="1"/>
  <c r="OK11" i="4"/>
  <c r="OP11" i="4" s="1"/>
  <c r="OK9" i="4"/>
  <c r="OP9" i="4" s="1"/>
  <c r="OK7" i="4"/>
  <c r="OP7" i="4" s="1"/>
  <c r="OK17" i="4"/>
  <c r="OP17" i="4" s="1"/>
  <c r="MR4" i="8"/>
  <c r="MR9" i="8"/>
  <c r="MR7" i="8"/>
  <c r="MR5" i="7"/>
  <c r="MP5" i="7"/>
  <c r="MR8" i="6"/>
  <c r="MR6" i="6"/>
  <c r="MR7" i="6"/>
  <c r="MR5" i="6"/>
  <c r="MR4" i="6"/>
  <c r="MQ12" i="12"/>
  <c r="MR12" i="12"/>
  <c r="MP12" i="12"/>
  <c r="MS12" i="12"/>
  <c r="CD12" i="12"/>
  <c r="L12" i="12" s="1"/>
  <c r="CD5" i="6"/>
  <c r="L5" i="6" s="1"/>
  <c r="CD8" i="6"/>
  <c r="L8" i="6" s="1"/>
  <c r="CD7" i="6"/>
  <c r="L7" i="6" s="1"/>
  <c r="CD4" i="6"/>
  <c r="L4" i="6" s="1"/>
  <c r="M4" i="6" s="1"/>
  <c r="CD4" i="8"/>
  <c r="CD7" i="8"/>
  <c r="CD9" i="8"/>
  <c r="CD7" i="12"/>
  <c r="L7" i="12" s="1"/>
  <c r="CD6" i="6"/>
  <c r="L6" i="6" s="1"/>
  <c r="CD5" i="7"/>
  <c r="DF9" i="4"/>
  <c r="DE9" i="4"/>
  <c r="LT9" i="8"/>
  <c r="LU9" i="8"/>
  <c r="LW9" i="8"/>
  <c r="LT4" i="8"/>
  <c r="LU4" i="8"/>
  <c r="LW4" i="8"/>
  <c r="E15" i="12" l="1"/>
  <c r="OS25" i="14"/>
  <c r="OS26" i="14"/>
  <c r="OS19" i="4"/>
  <c r="E4" i="12"/>
  <c r="E5" i="12"/>
  <c r="E18" i="12"/>
  <c r="E23" i="12"/>
  <c r="E20" i="12"/>
  <c r="M15" i="4"/>
  <c r="DH15" i="4" s="1"/>
  <c r="DJ10" i="4"/>
  <c r="M12" i="4"/>
  <c r="DH12" i="4" s="1"/>
  <c r="OS20" i="14"/>
  <c r="OS21" i="14"/>
  <c r="OS18" i="4"/>
  <c r="DJ12" i="4"/>
  <c r="L12" i="4"/>
  <c r="DJ26" i="14"/>
  <c r="M12" i="12"/>
  <c r="CF12" i="12"/>
  <c r="N12" i="12" s="1"/>
  <c r="O18" i="12"/>
  <c r="P18" i="12"/>
  <c r="O15" i="12"/>
  <c r="P15" i="12"/>
  <c r="O4" i="12"/>
  <c r="P4" i="12"/>
  <c r="O20" i="12"/>
  <c r="P20" i="12"/>
  <c r="P23" i="12"/>
  <c r="O23" i="12"/>
  <c r="O5" i="12"/>
  <c r="P5" i="12"/>
  <c r="M7" i="12"/>
  <c r="M8" i="6"/>
  <c r="M5" i="6"/>
  <c r="M6" i="6"/>
  <c r="M7" i="6"/>
  <c r="OS10" i="14"/>
  <c r="OS14" i="14"/>
  <c r="OS14" i="4"/>
  <c r="OS11" i="14"/>
  <c r="M26" i="14"/>
  <c r="DH26" i="14" s="1"/>
  <c r="OS15" i="14"/>
  <c r="OS4" i="14"/>
  <c r="OS15" i="4"/>
  <c r="OS16" i="4"/>
  <c r="L15" i="4"/>
  <c r="DJ7" i="14"/>
  <c r="DJ15" i="4"/>
  <c r="M10" i="4"/>
  <c r="L10" i="4"/>
  <c r="L22" i="14"/>
  <c r="N22" i="14" s="1"/>
  <c r="OS12" i="14"/>
  <c r="OS13" i="14"/>
  <c r="DJ22" i="14"/>
  <c r="S10" i="4"/>
  <c r="U10" i="4" s="1"/>
  <c r="N7" i="7"/>
  <c r="P7" i="7" s="1"/>
  <c r="S15" i="14"/>
  <c r="T15" i="14" s="1"/>
  <c r="OS7" i="14"/>
  <c r="OS17" i="14"/>
  <c r="OS16" i="14"/>
  <c r="OS18" i="14"/>
  <c r="OS19" i="14"/>
  <c r="M7" i="14"/>
  <c r="N7" i="14" s="1"/>
  <c r="OS9" i="14"/>
  <c r="OS13" i="4"/>
  <c r="OS11" i="4"/>
  <c r="OS17" i="4"/>
  <c r="OS12" i="4"/>
  <c r="N11" i="6"/>
  <c r="M14" i="14"/>
  <c r="L14" i="14"/>
  <c r="M12" i="14"/>
  <c r="L12" i="14"/>
  <c r="S24" i="14"/>
  <c r="E24" i="14" s="1"/>
  <c r="M24" i="14"/>
  <c r="DH24" i="14" s="1"/>
  <c r="DJ24" i="14"/>
  <c r="S15" i="4"/>
  <c r="E15" i="4" s="1"/>
  <c r="S12" i="4"/>
  <c r="E12" i="4" s="1"/>
  <c r="S22" i="14"/>
  <c r="T22" i="14" s="1"/>
  <c r="DH22" i="14"/>
  <c r="S17" i="14"/>
  <c r="T17" i="14" s="1"/>
  <c r="S26" i="14"/>
  <c r="E26" i="14" s="1"/>
  <c r="M4" i="14"/>
  <c r="DH4" i="14" s="1"/>
  <c r="L4" i="14"/>
  <c r="DJ6" i="14"/>
  <c r="T7" i="14"/>
  <c r="U7" i="14"/>
  <c r="E7" i="14"/>
  <c r="M15" i="14"/>
  <c r="L15" i="14"/>
  <c r="E14" i="14"/>
  <c r="T14" i="14"/>
  <c r="U14" i="14"/>
  <c r="S12" i="14"/>
  <c r="T12" i="14" s="1"/>
  <c r="L13" i="14"/>
  <c r="M13" i="14"/>
  <c r="DH13" i="14" s="1"/>
  <c r="OS6" i="14"/>
  <c r="OS8" i="14"/>
  <c r="T4" i="14"/>
  <c r="U4" i="14"/>
  <c r="E4" i="14"/>
  <c r="L17" i="14"/>
  <c r="N17" i="14" s="1"/>
  <c r="L6" i="14"/>
  <c r="N6" i="14" s="1"/>
  <c r="DJ17" i="14"/>
  <c r="E6" i="14"/>
  <c r="OS5" i="14"/>
  <c r="OS5" i="4"/>
  <c r="OS4" i="4"/>
  <c r="E21" i="14"/>
  <c r="E13" i="14"/>
  <c r="L9" i="14"/>
  <c r="N9" i="14" s="1"/>
  <c r="DJ9" i="14"/>
  <c r="E9" i="14"/>
  <c r="T9" i="14"/>
  <c r="A21" i="14" a="1"/>
  <c r="A21" i="14" s="1"/>
  <c r="DH6" i="14"/>
  <c r="U21" i="14"/>
  <c r="T21" i="14"/>
  <c r="M21" i="14"/>
  <c r="L21" i="14"/>
  <c r="DJ21" i="14"/>
  <c r="DH17" i="14"/>
  <c r="U13" i="14"/>
  <c r="T13" i="14"/>
  <c r="DH9" i="14"/>
  <c r="OS6" i="4"/>
  <c r="OS7" i="4"/>
  <c r="OS8" i="4"/>
  <c r="OS9" i="4"/>
  <c r="OS10" i="4"/>
  <c r="DG9" i="4"/>
  <c r="MT12" i="12"/>
  <c r="F9" i="8"/>
  <c r="G4" i="8"/>
  <c r="J4" i="8"/>
  <c r="K4" i="8" s="1"/>
  <c r="L4" i="8"/>
  <c r="F4" i="8"/>
  <c r="L9" i="8"/>
  <c r="G9" i="8"/>
  <c r="J9" i="8"/>
  <c r="K9" i="8" s="1"/>
  <c r="LX4" i="8"/>
  <c r="MP4" i="8"/>
  <c r="MP9" i="8"/>
  <c r="LX9" i="8"/>
  <c r="MQ4" i="8"/>
  <c r="MS4" i="8"/>
  <c r="MQ9" i="8"/>
  <c r="MS9" i="8"/>
  <c r="E12" i="12" l="1"/>
  <c r="N15" i="4"/>
  <c r="N12" i="4"/>
  <c r="E10" i="4"/>
  <c r="N26" i="14"/>
  <c r="O12" i="12"/>
  <c r="P12" i="12"/>
  <c r="O11" i="6"/>
  <c r="P11" i="6"/>
  <c r="N17" i="6"/>
  <c r="N10" i="4"/>
  <c r="DH10" i="4"/>
  <c r="N15" i="14"/>
  <c r="N12" i="14"/>
  <c r="DH12" i="14"/>
  <c r="E15" i="14"/>
  <c r="T10" i="4"/>
  <c r="O7" i="7"/>
  <c r="E7" i="7"/>
  <c r="N14" i="14"/>
  <c r="U15" i="14"/>
  <c r="DH14" i="14"/>
  <c r="E17" i="14"/>
  <c r="U17" i="14"/>
  <c r="U24" i="14"/>
  <c r="DH7" i="14"/>
  <c r="N24" i="14"/>
  <c r="T24" i="14"/>
  <c r="N4" i="14"/>
  <c r="DH15" i="14"/>
  <c r="T15" i="4"/>
  <c r="U15" i="4"/>
  <c r="T12" i="4"/>
  <c r="U12" i="4"/>
  <c r="E22" i="14"/>
  <c r="U22" i="14"/>
  <c r="T26" i="14"/>
  <c r="U26" i="14"/>
  <c r="N13" i="14"/>
  <c r="E12" i="14"/>
  <c r="A8" i="14" s="1" a="1"/>
  <c r="A8" i="14" s="1"/>
  <c r="U12" i="14"/>
  <c r="U6" i="14"/>
  <c r="T6" i="14"/>
  <c r="N21" i="14"/>
  <c r="DH21" i="14"/>
  <c r="H9" i="8"/>
  <c r="I9" i="8" s="1"/>
  <c r="H4" i="8"/>
  <c r="I4" i="8" s="1"/>
  <c r="M9" i="8"/>
  <c r="M4" i="8"/>
  <c r="CF9" i="8"/>
  <c r="MT4" i="8"/>
  <c r="CE9" i="8"/>
  <c r="CF4" i="8"/>
  <c r="MT9" i="8"/>
  <c r="CE4" i="8"/>
  <c r="A10" i="14" l="1" a="1"/>
  <c r="A10" i="14" s="1"/>
  <c r="A9" i="14" a="1"/>
  <c r="A9" i="14" s="1"/>
  <c r="O17" i="6"/>
  <c r="P17" i="6"/>
  <c r="N12" i="6"/>
  <c r="E17" i="6"/>
  <c r="A7" i="14" a="1"/>
  <c r="A7" i="14" s="1"/>
  <c r="A6" i="14" a="1"/>
  <c r="A6" i="14" s="1"/>
  <c r="E11" i="6"/>
  <c r="A5" i="14" a="1"/>
  <c r="A5" i="14" s="1"/>
  <c r="A4" i="14" a="1"/>
  <c r="A4" i="14" s="1"/>
  <c r="A13" i="14" a="1"/>
  <c r="A13" i="14" s="1"/>
  <c r="A17" i="14" a="1"/>
  <c r="A17" i="14" s="1"/>
  <c r="N9" i="8"/>
  <c r="E9" i="8" s="1"/>
  <c r="N4" i="8"/>
  <c r="E4" i="8" s="1"/>
  <c r="O12" i="6" l="1"/>
  <c r="P12" i="6"/>
  <c r="E12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9" i="8"/>
  <c r="O9" i="8"/>
  <c r="O4" i="8"/>
  <c r="P4" i="8"/>
  <c r="LT5" i="6" l="1"/>
  <c r="LU5" i="6"/>
  <c r="CE5" i="6" s="1"/>
  <c r="LW5" i="6"/>
  <c r="G5" i="6" l="1"/>
  <c r="F5" i="6"/>
  <c r="LX5" i="6"/>
  <c r="CF5" i="6" s="1"/>
  <c r="H5" i="6" l="1"/>
  <c r="I5" i="6" s="1"/>
  <c r="N5" i="6" l="1"/>
  <c r="O5" i="6" l="1"/>
  <c r="P5" i="6"/>
  <c r="E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9" i="4" l="1"/>
  <c r="K17" i="4"/>
  <c r="K13" i="4" l="1"/>
  <c r="K11" i="4"/>
  <c r="K7" i="4"/>
  <c r="K19" i="4"/>
  <c r="M9" i="4"/>
  <c r="NM13" i="4" l="1"/>
  <c r="NM19" i="4"/>
  <c r="NM11" i="4"/>
  <c r="NM17" i="4"/>
  <c r="NM7" i="4"/>
  <c r="NM9" i="4"/>
  <c r="MP7" i="6" l="1"/>
  <c r="MP5" i="6"/>
  <c r="MP7" i="8"/>
  <c r="MQ7" i="12"/>
  <c r="MS7" i="12"/>
  <c r="MS7" i="6"/>
  <c r="MS5" i="6"/>
  <c r="MP4" i="6"/>
  <c r="MP8" i="6"/>
  <c r="MP6" i="6"/>
  <c r="MS6" i="6"/>
  <c r="MQ6" i="6"/>
  <c r="MQ7" i="6"/>
  <c r="MQ4" i="6"/>
  <c r="MQ5" i="6"/>
  <c r="MS4" i="6"/>
  <c r="MS8" i="6"/>
  <c r="MQ7" i="8"/>
  <c r="MS7" i="8"/>
  <c r="MQ5" i="7"/>
  <c r="MS5" i="7"/>
  <c r="MP7" i="12"/>
  <c r="MQ8" i="6"/>
  <c r="MT5" i="6" l="1"/>
  <c r="MT7" i="12"/>
  <c r="MT7" i="6"/>
  <c r="MT6" i="6"/>
  <c r="MT5" i="7"/>
  <c r="MT7" i="8"/>
  <c r="MT4" i="6"/>
  <c r="MT8" i="6"/>
  <c r="LT7" i="6"/>
  <c r="LT6" i="6"/>
  <c r="LT4" i="6"/>
  <c r="LT8" i="6"/>
  <c r="LT7" i="12" l="1"/>
  <c r="LU7" i="8" l="1"/>
  <c r="G12" i="12"/>
  <c r="LW7" i="12"/>
  <c r="LU7" i="12"/>
  <c r="CE7" i="12" s="1"/>
  <c r="G7" i="8" l="1"/>
  <c r="G7" i="12"/>
  <c r="F7" i="12"/>
  <c r="F12" i="12"/>
  <c r="J7" i="8"/>
  <c r="K7" i="8" s="1"/>
  <c r="LX7" i="12"/>
  <c r="CF7" i="12" s="1"/>
  <c r="N7" i="12" s="1"/>
  <c r="E7" i="12" s="1"/>
  <c r="O7" i="12" l="1"/>
  <c r="P7" i="12"/>
  <c r="H7" i="12"/>
  <c r="I7" i="12" s="1"/>
  <c r="H12" i="12"/>
  <c r="I12" i="12" s="1"/>
  <c r="A20" i="12" l="1"/>
  <c r="A4" i="12"/>
  <c r="A5" i="12"/>
  <c r="A8" i="12"/>
  <c r="A9" i="12"/>
  <c r="A6" i="12"/>
  <c r="A7" i="12"/>
  <c r="A12" i="12"/>
  <c r="LW6" i="6"/>
  <c r="LU6" i="6"/>
  <c r="CE6" i="6" s="1"/>
  <c r="LW7" i="6"/>
  <c r="LU7" i="6"/>
  <c r="CE7" i="6" s="1"/>
  <c r="LW8" i="6"/>
  <c r="LU8" i="6"/>
  <c r="CE8" i="6" s="1"/>
  <c r="LW4" i="6"/>
  <c r="LU4" i="6"/>
  <c r="CE4" i="6" s="1"/>
  <c r="C42" i="11" l="1"/>
  <c r="C49" i="11"/>
  <c r="C43" i="11"/>
  <c r="C44" i="11"/>
  <c r="C45" i="11"/>
  <c r="C46" i="11"/>
  <c r="C47" i="11"/>
  <c r="C48" i="11"/>
  <c r="G8" i="6"/>
  <c r="F8" i="6"/>
  <c r="G7" i="6"/>
  <c r="F7" i="6"/>
  <c r="G4" i="6"/>
  <c r="F4" i="6"/>
  <c r="G6" i="6"/>
  <c r="F6" i="6"/>
  <c r="D43" i="11"/>
  <c r="D48" i="11"/>
  <c r="D49" i="11"/>
  <c r="D42" i="11"/>
  <c r="D44" i="11"/>
  <c r="D45" i="11"/>
  <c r="D46" i="11"/>
  <c r="D47" i="11"/>
  <c r="LX4" i="6"/>
  <c r="CF4" i="6" s="1"/>
  <c r="LX6" i="6"/>
  <c r="CF6" i="6" s="1"/>
  <c r="LX8" i="6"/>
  <c r="CF8" i="6" s="1"/>
  <c r="LX7" i="6"/>
  <c r="CF7" i="6" s="1"/>
  <c r="H8" i="6" l="1"/>
  <c r="I8" i="6" s="1"/>
  <c r="H7" i="6"/>
  <c r="I7" i="6" s="1"/>
  <c r="H6" i="6"/>
  <c r="I6" i="6" s="1"/>
  <c r="H4" i="6"/>
  <c r="I4" i="6" s="1"/>
  <c r="NI9" i="4"/>
  <c r="G9" i="4" s="1"/>
  <c r="F9" i="4" s="1"/>
  <c r="NI7" i="4"/>
  <c r="G7" i="4" s="1"/>
  <c r="F7" i="4" s="1"/>
  <c r="NI19" i="4"/>
  <c r="G19" i="4" s="1"/>
  <c r="F19" i="4" s="1"/>
  <c r="NI17" i="4"/>
  <c r="G17" i="4" s="1"/>
  <c r="NI13" i="4"/>
  <c r="G13" i="4" s="1"/>
  <c r="F13" i="4" s="1"/>
  <c r="NI11" i="4"/>
  <c r="G11" i="4" s="1"/>
  <c r="F11" i="4" s="1"/>
  <c r="F17" i="4" l="1"/>
  <c r="L7" i="8"/>
  <c r="M7" i="8" s="1"/>
  <c r="Q17" i="4" l="1"/>
  <c r="R17" i="4" s="1"/>
  <c r="O17" i="4"/>
  <c r="O13" i="4"/>
  <c r="Q13" i="4"/>
  <c r="R13" i="4" s="1"/>
  <c r="Q11" i="4"/>
  <c r="R11" i="4" s="1"/>
  <c r="O11" i="4"/>
  <c r="Q9" i="4"/>
  <c r="O9" i="4"/>
  <c r="Q7" i="4"/>
  <c r="R7" i="4" s="1"/>
  <c r="O7" i="4"/>
  <c r="O19" i="4"/>
  <c r="Q19" i="4"/>
  <c r="R19" i="4" s="1"/>
  <c r="R9" i="4" l="1"/>
  <c r="P11" i="4"/>
  <c r="P7" i="4"/>
  <c r="P13" i="4"/>
  <c r="P9" i="4"/>
  <c r="P17" i="4"/>
  <c r="P19" i="4"/>
  <c r="CE7" i="8"/>
  <c r="M11" i="4" l="1"/>
  <c r="L11" i="4"/>
  <c r="L17" i="4"/>
  <c r="M17" i="4"/>
  <c r="M19" i="4"/>
  <c r="L19" i="4"/>
  <c r="L9" i="4"/>
  <c r="M7" i="4"/>
  <c r="L7" i="4"/>
  <c r="M13" i="4"/>
  <c r="L13" i="4"/>
  <c r="N17" i="4" l="1"/>
  <c r="N7" i="4"/>
  <c r="N9" i="4"/>
  <c r="N19" i="4"/>
  <c r="N13" i="4"/>
  <c r="N11" i="4"/>
  <c r="N6" i="6" l="1"/>
  <c r="O6" i="6" l="1"/>
  <c r="P6" i="6"/>
  <c r="E6" i="6"/>
  <c r="NJ9" i="4"/>
  <c r="NK9" i="4"/>
  <c r="NN9" i="4"/>
  <c r="DK9" i="4" s="1"/>
  <c r="H9" i="4" l="1"/>
  <c r="DI9" i="4"/>
  <c r="S9" i="4" s="1"/>
  <c r="E9" i="4" s="1"/>
  <c r="DH9" i="4"/>
  <c r="NL9" i="4"/>
  <c r="J9" i="4" s="1"/>
  <c r="I9" i="4" l="1"/>
  <c r="NO9" i="4"/>
  <c r="DJ9" i="4"/>
  <c r="U9" i="4" l="1"/>
  <c r="T9" i="4"/>
  <c r="LW7" i="8" l="1"/>
  <c r="LT7" i="8"/>
  <c r="F7" i="8" l="1"/>
  <c r="CF7" i="8"/>
  <c r="LX7" i="8"/>
  <c r="NN17" i="4"/>
  <c r="NK17" i="4"/>
  <c r="NJ17" i="4"/>
  <c r="NN13" i="4"/>
  <c r="NK13" i="4"/>
  <c r="NJ13" i="4"/>
  <c r="H7" i="8" l="1"/>
  <c r="I7" i="8" s="1"/>
  <c r="H17" i="4"/>
  <c r="DI17" i="4"/>
  <c r="H13" i="4"/>
  <c r="DI13" i="4"/>
  <c r="DH13" i="4"/>
  <c r="DK13" i="4"/>
  <c r="DH17" i="4"/>
  <c r="DK17" i="4"/>
  <c r="NL17" i="4"/>
  <c r="NL13" i="4"/>
  <c r="J13" i="4" s="1"/>
  <c r="S17" i="4" l="1"/>
  <c r="E17" i="4" s="1"/>
  <c r="S13" i="4"/>
  <c r="E13" i="4" s="1"/>
  <c r="I17" i="4"/>
  <c r="J17" i="4"/>
  <c r="I13" i="4"/>
  <c r="NO17" i="4"/>
  <c r="NO13" i="4"/>
  <c r="A4" i="7"/>
  <c r="DJ17" i="4"/>
  <c r="DJ13" i="4"/>
  <c r="N7" i="8" l="1"/>
  <c r="P7" i="8" s="1"/>
  <c r="NJ19" i="4"/>
  <c r="NK19" i="4"/>
  <c r="NN19" i="4"/>
  <c r="NJ7" i="4"/>
  <c r="NK7" i="4"/>
  <c r="NN7" i="4"/>
  <c r="NJ11" i="4"/>
  <c r="NK11" i="4"/>
  <c r="NN11" i="4"/>
  <c r="H7" i="4" l="1"/>
  <c r="DI7" i="4"/>
  <c r="H19" i="4"/>
  <c r="DI19" i="4"/>
  <c r="H11" i="4"/>
  <c r="DI11" i="4"/>
  <c r="U13" i="4"/>
  <c r="O7" i="8"/>
  <c r="DK7" i="4"/>
  <c r="DH7" i="4"/>
  <c r="DH19" i="4"/>
  <c r="DK11" i="4"/>
  <c r="DH11" i="4"/>
  <c r="DK19" i="4"/>
  <c r="T13" i="4"/>
  <c r="E7" i="8"/>
  <c r="A5" i="8" s="1"/>
  <c r="NL7" i="4"/>
  <c r="NL11" i="4"/>
  <c r="NL19" i="4"/>
  <c r="S7" i="4" l="1"/>
  <c r="E7" i="4" s="1"/>
  <c r="S19" i="4"/>
  <c r="E19" i="4" s="1"/>
  <c r="S11" i="4"/>
  <c r="E11" i="4" s="1"/>
  <c r="U17" i="4"/>
  <c r="I11" i="4"/>
  <c r="J11" i="4"/>
  <c r="I7" i="4"/>
  <c r="J7" i="4"/>
  <c r="I19" i="4"/>
  <c r="J19" i="4"/>
  <c r="NO11" i="4"/>
  <c r="NO19" i="4"/>
  <c r="NO7" i="4"/>
  <c r="N7" i="6"/>
  <c r="N8" i="6"/>
  <c r="DJ7" i="4"/>
  <c r="DJ19" i="4"/>
  <c r="DJ11" i="4"/>
  <c r="T17" i="4"/>
  <c r="O7" i="6" l="1"/>
  <c r="P7" i="6"/>
  <c r="O8" i="6"/>
  <c r="P8" i="6"/>
  <c r="N4" i="6"/>
  <c r="P4" i="6" l="1"/>
  <c r="O4" i="6"/>
  <c r="E4" i="6"/>
  <c r="E8" i="6"/>
  <c r="E7" i="6"/>
  <c r="A21" i="6" l="1"/>
  <c r="U11" i="4"/>
  <c r="U7" i="4"/>
  <c r="T7" i="4"/>
  <c r="T11" i="4"/>
  <c r="A5" i="6"/>
  <c r="A8" i="4" l="1" a="1"/>
  <c r="A8" i="4" s="1"/>
  <c r="A14" i="6"/>
  <c r="U19" i="4"/>
  <c r="A4" i="8"/>
  <c r="A9" i="8"/>
  <c r="A7" i="6"/>
  <c r="A4" i="6"/>
  <c r="A8" i="6"/>
  <c r="A6" i="6"/>
  <c r="A5" i="7"/>
  <c r="T19" i="4"/>
  <c r="A7" i="4" a="1"/>
  <c r="A7" i="4" s="1"/>
  <c r="A4" i="4" l="1" a="1"/>
  <c r="A4" i="4" s="1"/>
  <c r="A5" i="4" a="1"/>
  <c r="A5" i="4" s="1"/>
  <c r="A6" i="4" a="1"/>
  <c r="A6" i="4" s="1"/>
  <c r="A19" i="4" a="1"/>
  <c r="A19" i="4" s="1"/>
  <c r="A9" i="4" a="1"/>
  <c r="A9" i="4" s="1"/>
  <c r="A11" i="4" a="1"/>
  <c r="A11" i="4" s="1"/>
  <c r="C34" i="11"/>
  <c r="C35" i="11"/>
  <c r="C36" i="11"/>
  <c r="C37" i="11"/>
  <c r="C38" i="11"/>
  <c r="C39" i="11"/>
  <c r="C40" i="11"/>
  <c r="C41" i="11"/>
  <c r="A13" i="4" a="1"/>
  <c r="A13" i="4" s="1"/>
  <c r="A17" i="4" a="1"/>
  <c r="A17" i="4" s="1"/>
  <c r="D35" i="11"/>
  <c r="D36" i="11"/>
  <c r="D37" i="11"/>
  <c r="D41" i="11"/>
  <c r="D34" i="11"/>
  <c r="D38" i="11"/>
  <c r="D39" i="11"/>
  <c r="D40" i="11"/>
  <c r="A7" i="8"/>
  <c r="C18" i="1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<sst xmlns="http://schemas.openxmlformats.org/spreadsheetml/2006/main" count="3025" uniqueCount="162">
  <si>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</si>
  <si>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</si>
  <si>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</si>
  <si>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</si>
  <si>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</si>
  <si>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</si>
  <si>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</si>
  <si>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</si>
  <si>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</si>
  <si>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</si>
  <si>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</si>
  <si>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</si>
  <si>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</si>
  <si>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</si>
  <si>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</si>
  <si>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</si>
  <si>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</si>
  <si>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</si>
  <si>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</si>
  <si>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</si>
  <si>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</si>
  <si>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</si>
  <si>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</si>
  <si>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</si>
  <si>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</si>
  <si>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</si>
  <si>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</si>
  <si>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</si>
  <si>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</si>
  <si>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</si>
  <si>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</si>
  <si>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</si>
  <si>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</si>
  <si>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</si>
  <si>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</si>
  <si>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</si>
  <si>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</si>
  <si>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</si>
  <si>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</si>
  <si>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</si>
  <si>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</si>
  <si>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</si>
  <si>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</si>
  <si>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</si>
  <si>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</si>
  <si>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</si>
  <si>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</si>
  <si>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</si>
  <si>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</si>
  <si>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</si>
  <si>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</si>
  <si>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</si>
  <si>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</si>
  <si>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</si>
  <si>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</si>
  <si>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</si>
  <si>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</si>
  <si>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</si>
  <si>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</si>
  <si>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</si>
  <si>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</si>
  <si>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</si>
  <si>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</si>
  <si>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</si>
  <si>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</si>
  <si>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</si>
  <si>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</si>
  <si>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</si>
  <si>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</si>
  <si>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</si>
  <si>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</si>
  <si>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</si>
  <si>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</si>
  <si>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</si>
  <si>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</si>
  <si>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</si>
  <si>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</si>
  <si>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</si>
  <si>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</si>
  <si>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</si>
  <si>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</si>
  <si>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</si>
  <si>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</si>
  <si>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</si>
  <si>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SPENCE, Abby</t>
  </si>
  <si>
    <t>ZUREK, Nolan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</si>
  <si>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</si>
  <si>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</si>
  <si>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</si>
  <si>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</si>
  <si>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</si>
  <si>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</si>
  <si>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</si>
  <si>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</si>
  <si>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</si>
  <si>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</si>
  <si>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</si>
  <si>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</si>
  <si>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</si>
  <si>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</si>
  <si>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</si>
  <si>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</si>
  <si>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</si>
  <si>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</si>
  <si>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</si>
  <si>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</si>
  <si>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</si>
  <si>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</si>
  <si>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</si>
  <si>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</si>
  <si>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</si>
  <si>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</si>
  <si>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AUBIN, Rémi</t>
  </si>
  <si>
    <t>NB</t>
  </si>
  <si>
    <t>RICHARD, Dexter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</si>
  <si>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</si>
  <si>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</si>
  <si>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</si>
  <si>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</si>
  <si>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</si>
  <si>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</si>
  <si>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</si>
  <si>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</si>
  <si>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</si>
  <si>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</si>
  <si>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</si>
  <si>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</si>
  <si>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</si>
  <si>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</si>
  <si>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</si>
  <si>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</si>
  <si>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</si>
  <si>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</si>
  <si>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</si>
  <si>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</si>
  <si>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</si>
  <si>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</si>
  <si>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</si>
  <si>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</si>
  <si>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</si>
  <si>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ANAKA, Ashley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</si>
  <si>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</si>
  <si>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</si>
  <si>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</si>
  <si>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</si>
  <si>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</si>
  <si>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</si>
  <si>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</si>
  <si>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</si>
  <si>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MANCINI, Michael</t>
  </si>
  <si>
    <t>PROULX, Kegan</t>
  </si>
  <si>
    <t>PEPPER, Kate</t>
  </si>
  <si>
    <t>NOGA-BARD, Kasha</t>
  </si>
  <si>
    <t>2021 Canadian Championships</t>
  </si>
  <si>
    <t>DAWSON, David</t>
  </si>
  <si>
    <t>BONNE, Rielle</t>
  </si>
  <si>
    <t>LEBLANC, Cedryk</t>
  </si>
  <si>
    <t>BOWDITCH, Courtney</t>
  </si>
  <si>
    <t>KOCI, Makayla</t>
  </si>
  <si>
    <t>2021 Worlds</t>
  </si>
  <si>
    <t>2021 World Championships (Nov 18)</t>
  </si>
  <si>
    <t>2021 World Championships (Nov 19)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</si>
</sst>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RICHARD, Dexter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DODD, Gavin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MCLEAN, Declan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LOVE, Ethan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EVSTIGNEEV, Gleb</v>
      </c>
      <c r="D8" s="112" t="str">
        <f>IF(B8&gt;MAX('TRA-M'!A:A),"",INDEX('TRA-M'!I:I,MATCH(B8,'TRA-M'!A:A,0)))</f>
        <v>No DD</v>
      </c>
      <c r="G8" s="46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2" t="str">
        <f>IF(B9&gt;MAX('TRA-M'!A:A),"",INDEX('TRA-M'!I:I,MATCH(B9,'TRA-M'!A:A,0)))</f>
        <v/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FLYNN, Gabby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BONHAM, Maja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ANDERSON, Julie</v>
      </c>
      <c r="D13" s="119" t="str">
        <f>IF(B5&gt;MAX('TRA-W'!A:A),"",INDEX('TRA-W'!I:I,MATCH(B5,'TRA-W'!A:A,0)))</f>
        <v>No DD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NOGA-BARD, Kasha</v>
      </c>
      <c r="D14" s="119" t="str">
        <f>IF(B6&gt;MAX('TRA-W'!A:A),"",INDEX('TRA-W'!I:I,MATCH(B6,'TRA-W'!A:A,0)))</f>
        <v>No DD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ANAKA, Ashley</v>
      </c>
      <c r="D15" s="119" t="str">
        <f>IF(B7&gt;MAX('TRA-W'!A:A),"",INDEX('TRA-W'!I:I,MATCH(B7,'TRA-W'!A:A,0)))</f>
        <v>No DD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LEBEL, Meggy</v>
      </c>
      <c r="D16" s="119" t="str">
        <f>IF(B8&gt;MAX('TRA-W'!A:A),"",INDEX('TRA-W'!I:I,MATCH(B8,'TRA-W'!A:A,0)))</f>
        <v>No DD</v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SININIUC, Alexandra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DONG, Helen</v>
      </c>
      <c r="D27" s="113" t="str">
        <f>IF(B3&gt;MAX('TUM-W'!A:A),"",INDEX('TUM-W'!H:H,MATCH(B3,'TUM-W'!A:A,0)))</f>
        <v>National Team</v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3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DODD, Gavin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PEDERSEN, Mitchel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ZUREK, Nolan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DYKMAN, Matthew</v>
      </c>
      <c r="D38" s="112" t="str">
        <f>IF(B6&gt;MAX('DMT-M'!A:A),"",INDEX('DMT-M'!H:H,MATCH(B6,'DMT-M'!A:A,0)))</f>
        <v>National Team</v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2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2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2" t="str">
        <f>IF(B9&gt;MAX('DMT-M'!A:A),"",INDEX('DMT-M'!H:H,MATCH(B9,'DMT-M'!A:A,0)))</f>
        <v/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METHERAL, Hannah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FLYNN, Gabby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PHANEUF, Zoe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KYFIUK, MacKenzie</v>
      </c>
      <c r="D46" s="113" t="str">
        <f>IF(B6&gt;MAX('DMT-W'!A:A),"",INDEX('DMT-W'!H:H,MATCH(B6,'DMT-W'!A:A,0)))</f>
        <v>National Team</v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3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3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66</v>
      </c>
      <c r="D57" s="45"/>
    </row>
    <row r="58" spans="1:5" x14ac:dyDescent="0.2">
      <c r="A58" t="s">
        <v>41</v>
      </c>
      <c r="B58" s="121">
        <v>44523</v>
      </c>
      <c r="C58" s="121"/>
    </row>
    <row r="59" spans="1:5" x14ac:dyDescent="0.2">
      <c r="B59" s="99" t="s">
        <v>159</v>
      </c>
    </row>
    <row r="60" spans="1:5" x14ac:dyDescent="0.2">
      <c r="B60" s="99"/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76</v>
      </c>
      <c r="G1" s="123" t="s">
        <v>74</v>
      </c>
      <c r="H1" s="123" t="s">
        <v>75</v>
      </c>
      <c r="I1" s="123" t="s">
        <v>9</v>
      </c>
      <c r="J1" s="123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133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 t="s">
        <v>160</v>
      </c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70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69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70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68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70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01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70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94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112</v>
      </c>
      <c r="C4" s="7" t="s">
        <v>6</v>
      </c>
      <c r="D4" s="26">
        <v>2001</v>
      </c>
      <c r="E4" s="15">
        <f>SUM(O4:S4)+K4/1000000</f>
        <v>117.48510922500002</v>
      </c>
      <c r="F4" s="3" t="str">
        <f>IF(G4&lt;&gt;"","P","")</f>
        <v>P</v>
      </c>
      <c r="G4" s="115" t="str">
        <f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>IF(MAX(AV4,BZ4,DD4)&gt;0,MAX(AV4,BZ4,DD4),0)</f>
        <v>109.22499999999999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48.36</v>
      </c>
      <c r="N4" s="14" t="str">
        <f>IF(M4=0,"",IF(AND(M4=CY4,$L4&lt;&gt;$CD$1),$CD$1,IF(AND(M4=BU4,$L4&lt;&gt;$AZ$1),$AZ$1,IF(AND(M4=AQ4,$L4&lt;&gt;$V$1),$V$1,""))))</f>
        <v>2021 2nd Virtual Technical Trial</v>
      </c>
      <c r="O4" s="14">
        <f>MAX(AS4,AU4,AX4,BW4,BY4,CB4,DA4,DC4,DF4)</f>
        <v>58.885000000000005</v>
      </c>
      <c r="P4" s="14" t="str">
        <f>IF(O4=0,"",IF(OR(O4=DC4,O4=DA4,O4=DF4),$CD$1,IF(OR(O4=BY4,O4=BW4,O4=CB4),$AZ$1,IF(OR(O4=AU4,O4=AS4,O4=AX4),$V$1,""))))</f>
        <v>2021 Canadian Championships</v>
      </c>
      <c r="Q4" s="14">
        <f>IF(COUNT(AS4,AU4,AX4,BW4,BY4,CB4,DA4,DC4,DF4)&gt;1,LARGE((AS4,AU4,AX4,BW4,BY4,CB4,DA4,DC4,DF4),2),0)</f>
        <v>58.6</v>
      </c>
      <c r="R4" s="14" t="str">
        <f>IF(Q4=0,"",IF(OR(Q4=DC4,Q4=DA4,Q4=DF4),$CD$1,IF(OR(Q4=BY4,Q4=BW4,Q4=CB4),$AZ$1,IF(OR(Q4=AU4,Q4=AS4,Q4=AX4),$V$1,""))))</f>
        <v>2021 Elite Canada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17.7</v>
      </c>
      <c r="W4" s="61">
        <v>8.9</v>
      </c>
      <c r="X4" s="61">
        <v>4.4000000000000004</v>
      </c>
      <c r="Y4" s="61">
        <v>17.36</v>
      </c>
      <c r="Z4" s="61">
        <v>0</v>
      </c>
      <c r="AA4" s="61">
        <v>15.5</v>
      </c>
      <c r="AB4" s="61">
        <v>8.5</v>
      </c>
      <c r="AC4" s="61">
        <v>14.8</v>
      </c>
      <c r="AD4" s="61">
        <v>17.079999999999998</v>
      </c>
      <c r="AE4" s="61">
        <v>0</v>
      </c>
      <c r="AF4" s="61">
        <v>15.7</v>
      </c>
      <c r="AG4" s="61">
        <v>9.4</v>
      </c>
      <c r="AH4" s="61">
        <v>15</v>
      </c>
      <c r="AI4" s="61">
        <v>17.11</v>
      </c>
      <c r="AJ4" s="61">
        <v>0</v>
      </c>
      <c r="AK4" s="61">
        <v>16.2</v>
      </c>
      <c r="AL4" s="61">
        <v>9.4</v>
      </c>
      <c r="AM4" s="61">
        <v>14.6</v>
      </c>
      <c r="AN4" s="61">
        <v>17.38</v>
      </c>
      <c r="AO4" s="61">
        <v>0</v>
      </c>
      <c r="AP4" s="72"/>
      <c r="AQ4" s="11">
        <f>IF(SUM(V4:Y4)-Z4&gt;0,SUM(V4:Y4)-Z4,"")</f>
        <v>48.36</v>
      </c>
      <c r="AR4" s="11">
        <f>IF(AC4&gt;0,AC4,"")</f>
        <v>14.8</v>
      </c>
      <c r="AS4" s="11">
        <f>IF(SUM(AA4:AD4)-AE4&gt;0,SUM(AA4:AD4)-AE4,"")</f>
        <v>55.879999999999995</v>
      </c>
      <c r="AT4" s="11">
        <f>IF(AH4&gt;0,AH4,"")</f>
        <v>15</v>
      </c>
      <c r="AU4" s="11">
        <f>IF(SUM(AF4:AI4)-AJ4&gt;0,SUM(AF4:AI4)-AJ4,"")</f>
        <v>57.21</v>
      </c>
      <c r="AV4" s="11">
        <f>IF(AQ4="",IF(MAX(AS4,AU4)&gt;0,MAX(AS4,AU4),""),MAX(AS4,AU4)+AQ4)</f>
        <v>105.57</v>
      </c>
      <c r="AW4" s="11">
        <f>IF(AM4&gt;0,AM4,"")</f>
        <v>14.6</v>
      </c>
      <c r="AX4" s="11">
        <f>IF(SUM(AK4:AN4)-AO4&gt;0,SUM(AK4:AN4)-AO4,"")</f>
        <v>57.58</v>
      </c>
      <c r="AY4" s="11">
        <f>IF(SUM(AV4,AX4)&gt;0,SUM(AV4,AX4),"")</f>
        <v>163.14999999999998</v>
      </c>
      <c r="AZ4" s="67">
        <v>6</v>
      </c>
      <c r="BA4" s="67">
        <v>2.8</v>
      </c>
      <c r="BB4" s="67">
        <v>0</v>
      </c>
      <c r="BC4" s="67">
        <v>5.83</v>
      </c>
      <c r="BD4" s="67">
        <v>0.2</v>
      </c>
      <c r="BE4" s="67">
        <v>16.2</v>
      </c>
      <c r="BF4" s="67">
        <v>9.1</v>
      </c>
      <c r="BG4" s="67">
        <v>15.6</v>
      </c>
      <c r="BH4" s="67">
        <v>17.25</v>
      </c>
      <c r="BI4" s="67">
        <v>0</v>
      </c>
      <c r="BJ4" s="67">
        <v>16.5</v>
      </c>
      <c r="BK4" s="67">
        <v>9.1</v>
      </c>
      <c r="BL4" s="67">
        <v>15.6</v>
      </c>
      <c r="BM4" s="67">
        <v>17.399999999999999</v>
      </c>
      <c r="BN4" s="67">
        <v>0</v>
      </c>
      <c r="BO4" s="67"/>
      <c r="BP4" s="67"/>
      <c r="BQ4" s="67"/>
      <c r="BR4" s="67"/>
      <c r="BS4" s="67"/>
      <c r="BT4" s="73"/>
      <c r="BU4" s="14">
        <f>IF(SUM(AZ4:BC4)-BD4&gt;0,SUM(AZ4:BC4)-BD4,"")</f>
        <v>14.430000000000001</v>
      </c>
      <c r="BV4" s="14">
        <f>IF(BG4&gt;0,BG4,"")</f>
        <v>15.6</v>
      </c>
      <c r="BW4" s="14">
        <f>IF(SUM(BE4:BH4)-BI4&gt;0,SUM(BE4:BH4)-BI4,"")</f>
        <v>58.15</v>
      </c>
      <c r="BX4" s="14">
        <f>IF(BL4&gt;0,BL4,"")</f>
        <v>15.6</v>
      </c>
      <c r="BY4" s="14">
        <f>IF(SUM(BJ4:BM4)-BN4&gt;0,SUM(BJ4:BM4)-BN4,"")</f>
        <v>58.6</v>
      </c>
      <c r="BZ4" s="14">
        <f>IF(BU4="",IF(MAX(BW4,BY4)&gt;0,MAX(BW4,BY4),""),MAX(BW4,BY4)+BU4)</f>
        <v>73.03</v>
      </c>
      <c r="CA4" s="14" t="str">
        <f>IF(BQ4&gt;0,BQ4,"")</f>
        <v/>
      </c>
      <c r="CB4" s="14" t="str">
        <f>IF(SUM(BO4:BR4)-BS4&gt;0,SUM(BO4:BR4)-BS4,"")</f>
        <v/>
      </c>
      <c r="CC4" s="14">
        <f>IF(SUM(BZ4,CB4)&gt;0,SUM(BZ4,CB4),"")</f>
        <v>73.03</v>
      </c>
      <c r="CD4" s="61">
        <v>18.5</v>
      </c>
      <c r="CE4" s="61">
        <v>9.4</v>
      </c>
      <c r="CF4" s="61">
        <v>5</v>
      </c>
      <c r="CG4" s="61">
        <v>18.405000000000001</v>
      </c>
      <c r="CH4" s="61">
        <v>0</v>
      </c>
      <c r="CI4" s="61">
        <v>15.8</v>
      </c>
      <c r="CJ4" s="61">
        <v>9.1</v>
      </c>
      <c r="CK4" s="61">
        <v>15</v>
      </c>
      <c r="CL4" s="61">
        <v>16.75</v>
      </c>
      <c r="CM4" s="61">
        <v>0</v>
      </c>
      <c r="CN4" s="61">
        <v>16.100000000000001</v>
      </c>
      <c r="CO4" s="61">
        <v>9</v>
      </c>
      <c r="CP4" s="61">
        <v>15.6</v>
      </c>
      <c r="CQ4" s="61">
        <v>17.22</v>
      </c>
      <c r="CR4" s="61">
        <v>0</v>
      </c>
      <c r="CS4" s="61">
        <v>16.7</v>
      </c>
      <c r="CT4" s="61">
        <v>9.4</v>
      </c>
      <c r="CU4" s="61">
        <v>15.6</v>
      </c>
      <c r="CV4" s="61">
        <v>17.184999999999999</v>
      </c>
      <c r="CW4" s="61">
        <v>0</v>
      </c>
      <c r="CX4" s="72"/>
      <c r="CY4" s="11">
        <f>IF(SUM(CD4:CG4)-CH4&gt;0,SUM(CD4:CG4)-CH4,"")</f>
        <v>51.305</v>
      </c>
      <c r="CZ4" s="11">
        <f>IF(CK4&gt;0,CK4,"")</f>
        <v>15</v>
      </c>
      <c r="DA4" s="11">
        <f>IF(SUM(CI4:CL4)-CM4&gt;0,SUM(CI4:CL4)-CM4,"")</f>
        <v>56.65</v>
      </c>
      <c r="DB4" s="11">
        <f>IF(CP4&gt;0,CP4,"")</f>
        <v>15.6</v>
      </c>
      <c r="DC4" s="11">
        <f>IF(SUM(CN4:CQ4)-CR4&gt;0,SUM(CN4:CQ4)-CR4,"")</f>
        <v>57.92</v>
      </c>
      <c r="DD4" s="11">
        <f>IF(CY4="",IF(MAX(DA4,DC4)&gt;0,MAX(DA4,DC4),""),MAX(DA4,DC4)+CY4)</f>
        <v>109.22499999999999</v>
      </c>
      <c r="DE4" s="11">
        <f>IF(CU4&gt;0,CU4,"")</f>
        <v>15.6</v>
      </c>
      <c r="DF4" s="11">
        <f>IF(SUM(CS4:CV4)-CW4&gt;0,SUM(CS4:CV4)-CW4,"")</f>
        <v>58.885000000000005</v>
      </c>
      <c r="DG4" s="11">
        <f>IF(SUM(DD4,DF4)&gt;0,SUM(DD4,DF4),"")</f>
        <v>168.11</v>
      </c>
      <c r="DH4" s="23">
        <f>IF(MAX(EB4,EX4,FT4,GP4,HL4,IH4,JD4,JZ4,KV4,LR4,MN4,NJ4)-IF(M4="",0,M4)&gt;0.001,MAX(EB4,EX4,FT4,GP4,HL4,IH4,JD4,JZ4,KV4,LR4,MN4,NJ4)-IF(M4="",0,M4),"")</f>
        <v>1.5700000000000074</v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>
        <v>17.7</v>
      </c>
      <c r="DM4" s="35">
        <v>9.5</v>
      </c>
      <c r="DN4" s="35">
        <v>5</v>
      </c>
      <c r="DO4" s="35">
        <v>17.73</v>
      </c>
      <c r="DP4" s="35">
        <v>0</v>
      </c>
      <c r="DQ4" s="35">
        <v>14.9</v>
      </c>
      <c r="DR4" s="35">
        <v>9.1999999999999993</v>
      </c>
      <c r="DS4" s="35">
        <v>15.4</v>
      </c>
      <c r="DT4" s="35">
        <v>16.43</v>
      </c>
      <c r="DU4" s="35"/>
      <c r="DV4" s="35"/>
      <c r="DW4" s="35"/>
      <c r="DX4" s="35"/>
      <c r="DY4" s="35"/>
      <c r="DZ4" s="35"/>
      <c r="EA4" s="11">
        <f>IF(DS4&gt;0,DS4,"")</f>
        <v>15.4</v>
      </c>
      <c r="EB4" s="11">
        <f>IF(SUM(DL4:DO4)-DP4&gt;0,SUM(DL4:DO4)-DP4,"")</f>
        <v>49.930000000000007</v>
      </c>
      <c r="EC4" s="11">
        <f>IF(SUM(DQ4:DT4)-DU4&gt;0,SUM(DQ4:DT4)-DU4,"")</f>
        <v>55.93</v>
      </c>
      <c r="ED4" s="11">
        <f>IF(SUM(EB4:EC4)&gt;0,SUM(EB4:EC4),"")</f>
        <v>105.86000000000001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105.86000000000001</v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12.25</v>
      </c>
      <c r="NQ4" s="61">
        <f>IF($CX4="P",CE4,(CE4+BA4)/2)</f>
        <v>6.1</v>
      </c>
      <c r="NR4" s="61">
        <f>IF($CX4="P",CF4,(CF4+BB4)/2)</f>
        <v>2.5</v>
      </c>
      <c r="NS4" s="61">
        <f>IF($CX4="P",CG4,(CG4+BC4)/2)</f>
        <v>12.1175</v>
      </c>
      <c r="NT4" s="61">
        <f>IF($CX4="P",CH4,(CH4+BD4)/2)</f>
        <v>0.1</v>
      </c>
      <c r="NU4" s="61">
        <f>IF($CX4="P",CI4,(CI4+BE4)/2)</f>
        <v>16</v>
      </c>
      <c r="NV4" s="61">
        <f>IF($CX4="P",CJ4,(CJ4+BF4)/2)</f>
        <v>9.1</v>
      </c>
      <c r="NW4" s="61">
        <f>IF($CX4="P",CK4,(CK4+BG4)/2)</f>
        <v>15.3</v>
      </c>
      <c r="NX4" s="61">
        <f>IF($CX4="P",CL4,(CL4+BH4)/2)</f>
        <v>17</v>
      </c>
      <c r="NY4" s="61">
        <f>IF($CX4="P",CM4,(CM4+BI4)/2)</f>
        <v>0</v>
      </c>
      <c r="NZ4" s="61">
        <f>IF($CX4="P",CN4,(CN4+BJ4)/2)</f>
        <v>16.3</v>
      </c>
      <c r="OA4" s="61">
        <f>IF($CX4="P",CO4,(CO4+BK4)/2)</f>
        <v>9.0500000000000007</v>
      </c>
      <c r="OB4" s="61">
        <f>IF($CX4="P",CP4,(CP4+BL4)/2)</f>
        <v>15.6</v>
      </c>
      <c r="OC4" s="61">
        <f>IF($CX4="P",CQ4,(CQ4+BM4)/2)</f>
        <v>17.309999999999999</v>
      </c>
      <c r="OD4" s="61">
        <f>IF($CX4="P",CR4,(CR4+BN4)/2)</f>
        <v>0</v>
      </c>
      <c r="OE4" s="61">
        <f>IF($CX4="P",CS4,(CS4+BO4)/2)</f>
        <v>8.35</v>
      </c>
      <c r="OF4" s="61">
        <f>IF($CX4="P",CT4,(CT4+BP4)/2)</f>
        <v>4.7</v>
      </c>
      <c r="OG4" s="61">
        <f>IF($CX4="P",CU4,(CU4+BQ4)/2)</f>
        <v>7.8</v>
      </c>
      <c r="OH4" s="61">
        <f>IF($CX4="P",CV4,(CV4+BR4)/2)</f>
        <v>8.5924999999999994</v>
      </c>
      <c r="OI4" s="61">
        <f>IF($CX4="P",CW4,(CW4+BS4)/2)</f>
        <v>0</v>
      </c>
      <c r="OJ4" s="72" t="s">
        <v>52</v>
      </c>
      <c r="OK4" s="11">
        <f>IF(SUM(NP4:NS4)-NT4&gt;0,SUM(NP4:NS4)-NT4,"")</f>
        <v>32.8675</v>
      </c>
      <c r="OL4" s="11">
        <f>IF(NW4&gt;0,NW4,"")</f>
        <v>15.3</v>
      </c>
      <c r="OM4" s="11">
        <f>IF(SUM(NU4:NX4)-NY4&gt;0,SUM(NU4:NX4)-NY4,"")</f>
        <v>57.400000000000006</v>
      </c>
      <c r="ON4" s="11">
        <f>IF(OB4&gt;0,OB4,"")</f>
        <v>15.6</v>
      </c>
      <c r="OO4" s="11">
        <f>IF(SUM(NZ4:OC4)-OD4&gt;0,SUM(NZ4:OC4)-OD4,"")</f>
        <v>58.260000000000005</v>
      </c>
      <c r="OP4" s="11">
        <f>IF(OR(OK4&lt;&gt;"",OM4&lt;&gt;"",OO4&lt;&gt;""),OK4+MAX(OM4,OO4),"")</f>
        <v>91.127499999999998</v>
      </c>
      <c r="OQ4" s="11">
        <f>IF(OG4&gt;0,OG4,"")</f>
        <v>7.8</v>
      </c>
      <c r="OR4" s="11">
        <f t="shared" ref="OR4:OR10" si="0">IF(SUM(OE4:OH4)-OI4&gt;0,SUM(OE4:OH4)-OI4,"")</f>
        <v>29.442500000000003</v>
      </c>
      <c r="OS4" s="11">
        <f>IF(SUM(OP4,OR4)&gt;0,SUM(OP4,OR4),"")</f>
        <v>120.57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114</v>
      </c>
      <c r="C5" s="7" t="s">
        <v>113</v>
      </c>
      <c r="D5" s="26">
        <v>2001</v>
      </c>
      <c r="E5" s="15">
        <f>SUM(O5:S5)+K5/1000000</f>
        <v>107.530088495</v>
      </c>
      <c r="F5" s="3" t="str">
        <f>IF(G5&lt;&gt;"","P","")</f>
        <v>P</v>
      </c>
      <c r="G5" s="115" t="str">
        <f>IF(OR(AND(AR5&gt;=AY$27,AR5&lt;&gt;"",AP5=""),AND(AT5&gt;=AY$27,AT5&lt;&gt;"",AP5=""),AND(AW5&gt;=AY$27,AW5&lt;&gt;"",AP5=""),AND(BV5&gt;=CC$27,BV5&lt;&gt;"",BT5=""),AND(BX5&gt;=CC$27,BX5&lt;&gt;"",BT5=""),AND(CA5&gt;=CC$27,CA5&lt;&gt;"",BT5=""),AND(CZ5&gt;=DG$27,CZ5&lt;&gt;"",CX5=""),AND(DB5&gt;=DG$27,DB5&lt;&gt;"",CX5=""),AND(DE5&gt;=DG$27,DE5&lt;&gt;"",CX5=""),AND(EA5&gt;=EG$27,EA5&lt;&gt;""),AND(EE5&gt;=EG$27,EE5&lt;&gt;""),AND(EW5&gt;=FC$27,EW5&lt;&gt;""),AND(FA5&gt;=FC$27,FA5&lt;&gt;""),AND(FS5&gt;=FY$27,FS5&lt;&gt;""),AND(FW5&gt;=FY$27,FW5&lt;&gt;""),AND(GO5&gt;=GU$27,GO5&lt;&gt;""),AND(GS5&gt;=GU$27,GS5&lt;&gt;""),AND(HK5&gt;=HQ$27,HK5&lt;&gt;""),AND(HO5&gt;=HQ$27,HO5&lt;&gt;""),AND(IG5&gt;=IM$27,IG5&lt;&gt;""),AND(IK5&gt;=IM$27,IK5&lt;&gt;""),AND(JC5&gt;=JI$27,JC5&lt;&gt;""),AND(JG5&gt;=JI$27,JG5&lt;&gt;""),AND(JY5&gt;=KE$27,JY5&lt;&gt;""),AND(KC5&gt;=KE$27,KC5&lt;&gt;""),AND(KU5&gt;=LA$27,KU5&lt;&gt;""),AND(KY5&gt;=LA$27,KY5&lt;&gt;""),AND(LQ5&gt;=LW$27,LQ5&lt;&gt;""),AND(LU5&gt;=LW$27,LU5&lt;&gt;""),AND(MM5&gt;=MS$27,MM5&lt;&gt;""),AND(MQ5&gt;=MS$27,MQ5&lt;&gt;""),AND(NI5&gt;=NO$27,NI5&lt;&gt;""),AND(NM5&gt;=NO$27,NM5&lt;&gt;"")),"Merit",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Excellence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Worlds Team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National Team",""))))</f>
        <v>National Team</v>
      </c>
      <c r="H5" s="115" t="str">
        <f>IF(OR(AND(AS5&gt;=AY$28,AS5&lt;&gt;"",AP5=""),AND(AU5&gt;=AY$28,AU5&lt;&gt;"",AP5=""),AND(AX5&gt;=AY$28,AX5&lt;&gt;"",AP5=""),AND(BW5&gt;=CC$28,BW5&lt;&gt;"",BT5=""),AND(BY5&gt;=CC$28,BY5&lt;&gt;"",BT5=""),AND(CB5&gt;=CC$28,CB5&lt;&gt;"",BT5=""),AND(DA5&gt;=DG$28,DA5&lt;&gt;"",CX5=""),AND(DC5&gt;=DG$28,DC5&lt;&gt;"",CX5=""),AND(DF5&gt;=DG$28,DF5&lt;&gt;"",CX5=""),AND(EC5&gt;=EG$28,EC5&lt;&gt;""),AND(EF5&gt;=EG$28,EF5&lt;&gt;""),AND(EY5&gt;=FC$28,EY5&lt;&gt;""),AND(FB5&gt;=FC$28,FB5&lt;&gt;""),AND(FU5&gt;=FY$28,FU5&lt;&gt;""),AND(FX5&gt;=FY$28,FX5&lt;&gt;""),AND(GQ5&gt;=GU$28,GQ5&lt;&gt;""),AND(GT5&gt;=GU$28,GT5&lt;&gt;""),AND(HM5&gt;=HQ$28,HM5&lt;&gt;""),AND(HP5&gt;=HQ$28,HP5&lt;&gt;""),AND(II5&gt;=IM$28,II5&lt;&gt;""),AND(IL5&gt;=IM$28,IL5&lt;&gt;""),AND(JE5&gt;=JI$28,JE5&lt;&gt;""),AND(JH5&gt;=JI$28,JH5&lt;&gt;""),AND(KA5&gt;=KE$28,KA5&lt;&gt;""),AND(KD5&gt;=KE$28,KD5&lt;&gt;""),AND(KW5&gt;=LA$28,KW5&lt;&gt;""),AND(KZ5&gt;=LA$28,KZ5&lt;&gt;""),AND(LS5&gt;=LW$28,LS5&lt;&gt;""),AND(LV5&gt;=LW$28,LV5&lt;&gt;""),AND(MO5&gt;=MS$28,MO5&lt;&gt;""),AND(MR5&gt;=MS$28,MR5&lt;&gt;""),AND(NK5&gt;=NO$28,NK5&lt;&gt;""),AND(NN5&gt;=NO$28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$29,AV5&lt;&gt;"",AP5=""),AND(BZ5&gt;=CC$29,BZ5&lt;&gt;"",BT5=""),AND(DD5&gt;=DG$29,DD5&lt;&gt;"",CX5=""),AND(ED5&gt;=EG$29,ED5&lt;&gt;""),AND(EZ5&gt;=FC$29,EZ5&lt;&gt;""),AND(FV5&gt;=FY$29,FV5&lt;&gt;""),AND(GR5&gt;=GU$29,GR5&lt;&gt;""),AND(HN5&gt;=HQ$29,HN5&lt;&gt;""),AND(IJ5&gt;=IM$29,IJ5&lt;&gt;""),AND(JF5&gt;=JI$29,JF5&lt;&gt;""),AND(KB5&gt;=KE$29,KB5&lt;&gt;""),AND(KX5&gt;=LA$29,KX5&lt;&gt;""),AND(LT5&gt;=LW$29,LT5&lt;&gt;""),AND(MP5&gt;=MS$29,MP5&lt;&gt;""),AND(NL5&gt;=NO$29,NL5&lt;&gt;"")),OR(G5="Worlds Team",G5="Excellence",G5="Merit")),"P","")</f>
        <v/>
      </c>
      <c r="K5" s="14">
        <f>IF(MAX(AV5,BZ5,DD5)&gt;0,MAX(AV5,BZ5,DD5),0)</f>
        <v>88.495000000000005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47.025000000000006</v>
      </c>
      <c r="N5" s="14" t="str">
        <f>IF(M5=0,"",IF(AND(M5=CY5,$L5&lt;&gt;$CD$1),$CD$1,IF(AND(M5=BU5,$L5&lt;&gt;$AZ$1),$AZ$1,IF(AND(M5=AQ5,$L5&lt;&gt;$V$1),$V$1,""))))</f>
        <v>2021 Elite Canada</v>
      </c>
      <c r="O5" s="14">
        <f>MAX(AS5,AU5,AX5,BW5,BY5,CB5,DA5,DC5,DF5)</f>
        <v>54.325000000000003</v>
      </c>
      <c r="P5" s="14" t="str">
        <f>IF(O5=0,"",IF(OR(O5=DC5,O5=DA5,O5=DF5),$CD$1,IF(OR(O5=BY5,O5=BW5,O5=CB5),$AZ$1,IF(OR(O5=AU5,O5=AS5,O5=AX5),$V$1,""))))</f>
        <v>2021 2nd Virtual Technical Trial</v>
      </c>
      <c r="Q5" s="14">
        <f>IF(COUNT(AS5,AU5,AX5,BW5,BY5,CB5,DA5,DC5,DF5)&gt;1,LARGE((AS5,AU5,AX5,BW5,BY5,CB5,DA5,DC5,DF5),2),0)</f>
        <v>53.204999999999998</v>
      </c>
      <c r="R5" s="14" t="str">
        <f>IF(Q5=0,"",IF(OR(Q5=DC5,Q5=DA5,Q5=DF5),$CD$1,IF(OR(Q5=BY5,Q5=BW5,Q5=CB5),$AZ$1,IF(OR(Q5=AU5,Q5=AS5,Q5=AX5),$V$1,""))))</f>
        <v>2021 2nd Virtual Technical Trial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13</v>
      </c>
      <c r="W5" s="61">
        <v>6.8</v>
      </c>
      <c r="X5" s="61">
        <v>2.1</v>
      </c>
      <c r="Y5" s="61">
        <v>13.39</v>
      </c>
      <c r="Z5" s="61">
        <v>0</v>
      </c>
      <c r="AA5" s="61">
        <v>14</v>
      </c>
      <c r="AB5" s="61">
        <v>8.9</v>
      </c>
      <c r="AC5" s="61">
        <v>15</v>
      </c>
      <c r="AD5" s="61">
        <v>15.305</v>
      </c>
      <c r="AE5" s="61">
        <v>0</v>
      </c>
      <c r="AF5" s="61">
        <v>12.2</v>
      </c>
      <c r="AG5" s="61">
        <v>9.1999999999999993</v>
      </c>
      <c r="AH5" s="61">
        <v>15</v>
      </c>
      <c r="AI5" s="61">
        <v>15.455</v>
      </c>
      <c r="AJ5" s="61">
        <v>0</v>
      </c>
      <c r="AK5" s="61">
        <v>15.2</v>
      </c>
      <c r="AL5" s="61">
        <v>9.3000000000000007</v>
      </c>
      <c r="AM5" s="61">
        <v>14.4</v>
      </c>
      <c r="AN5" s="61">
        <v>15.425000000000001</v>
      </c>
      <c r="AO5" s="61">
        <v>0</v>
      </c>
      <c r="AP5" s="72"/>
      <c r="AQ5" s="11">
        <f>IF(SUM(V5:Y5)-Z5&gt;0,SUM(V5:Y5)-Z5,"")</f>
        <v>35.290000000000006</v>
      </c>
      <c r="AR5" s="11">
        <f>IF(AC5&gt;0,AC5,"")</f>
        <v>15</v>
      </c>
      <c r="AS5" s="11">
        <f>IF(SUM(AA5:AD5)-AE5&gt;0,SUM(AA5:AD5)-AE5,"")</f>
        <v>53.204999999999998</v>
      </c>
      <c r="AT5" s="11">
        <f>IF(AH5&gt;0,AH5,"")</f>
        <v>15</v>
      </c>
      <c r="AU5" s="11">
        <f>IF(SUM(AF5:AI5)-AJ5&gt;0,SUM(AF5:AI5)-AJ5,"")</f>
        <v>51.854999999999997</v>
      </c>
      <c r="AV5" s="11">
        <f>IF(AQ5="",IF(MAX(AS5,AU5)&gt;0,MAX(AS5,AU5),""),MAX(AS5,AU5)+AQ5)</f>
        <v>88.495000000000005</v>
      </c>
      <c r="AW5" s="11">
        <f>IF(AM5&gt;0,AM5,"")</f>
        <v>14.4</v>
      </c>
      <c r="AX5" s="11">
        <f>IF(SUM(AK5:AN5)-AO5&gt;0,SUM(AK5:AN5)-AO5,"")</f>
        <v>54.325000000000003</v>
      </c>
      <c r="AY5" s="11">
        <f>IF(SUM(AV5,AX5)&gt;0,SUM(AV5,AX5),"")</f>
        <v>142.82</v>
      </c>
      <c r="AZ5" s="67">
        <v>16.600000000000001</v>
      </c>
      <c r="BA5" s="67">
        <v>9.1999999999999993</v>
      </c>
      <c r="BB5" s="67">
        <v>5</v>
      </c>
      <c r="BC5" s="67">
        <v>16.225000000000001</v>
      </c>
      <c r="BD5" s="67">
        <v>0</v>
      </c>
      <c r="BE5" s="67">
        <v>5.3</v>
      </c>
      <c r="BF5" s="67">
        <v>3.4</v>
      </c>
      <c r="BG5" s="67">
        <v>6.3</v>
      </c>
      <c r="BH5" s="67">
        <v>6.37</v>
      </c>
      <c r="BI5" s="67">
        <v>0</v>
      </c>
      <c r="BJ5" s="67">
        <v>3.9</v>
      </c>
      <c r="BK5" s="67">
        <v>2.6</v>
      </c>
      <c r="BL5" s="67">
        <v>4.9000000000000004</v>
      </c>
      <c r="BM5" s="67">
        <v>4.835</v>
      </c>
      <c r="BN5" s="67">
        <v>0</v>
      </c>
      <c r="BO5" s="67"/>
      <c r="BP5" s="67"/>
      <c r="BQ5" s="67"/>
      <c r="BR5" s="67"/>
      <c r="BS5" s="67"/>
      <c r="BT5" s="73"/>
      <c r="BU5" s="14">
        <f>IF(SUM(AZ5:BC5)-BD5&gt;0,SUM(AZ5:BC5)-BD5,"")</f>
        <v>47.025000000000006</v>
      </c>
      <c r="BV5" s="14">
        <f>IF(BG5&gt;0,BG5,"")</f>
        <v>6.3</v>
      </c>
      <c r="BW5" s="14">
        <f>IF(SUM(BE5:BH5)-BI5&gt;0,SUM(BE5:BH5)-BI5,"")</f>
        <v>21.37</v>
      </c>
      <c r="BX5" s="14">
        <f>IF(BL5&gt;0,BL5,"")</f>
        <v>4.9000000000000004</v>
      </c>
      <c r="BY5" s="14">
        <f>IF(SUM(BJ5:BM5)-BN5&gt;0,SUM(BJ5:BM5)-BN5,"")</f>
        <v>16.234999999999999</v>
      </c>
      <c r="BZ5" s="14">
        <f>IF(BU5="",IF(MAX(BW5,BY5)&gt;0,MAX(BW5,BY5),""),MAX(BW5,BY5)+BU5)</f>
        <v>68.39500000000001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68.39500000000001</v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>IF(SUM(CD5:CG5)-CH5&gt;0,SUM(CD5:CG5)-CH5,"")</f>
        <v/>
      </c>
      <c r="CZ5" s="11" t="str">
        <f>IF(CK5&gt;0,CK5,"")</f>
        <v/>
      </c>
      <c r="DA5" s="11" t="str">
        <f>IF(SUM(CI5:CL5)-CM5&gt;0,SUM(CI5:CL5)-CM5,"")</f>
        <v/>
      </c>
      <c r="DB5" s="11" t="str">
        <f>IF(CP5&gt;0,CP5,"")</f>
        <v/>
      </c>
      <c r="DC5" s="11" t="str">
        <f>IF(SUM(CN5:CQ5)-CR5&gt;0,SUM(CN5:CQ5)-CR5,"")</f>
        <v/>
      </c>
      <c r="DD5" s="11" t="str">
        <f>IF(CY5="",IF(MAX(DA5,DC5)&gt;0,MAX(DA5,DC5),""),MAX(DA5,DC5)+CY5)</f>
        <v/>
      </c>
      <c r="DE5" s="11" t="str">
        <f>IF(CU5&gt;0,CU5,"")</f>
        <v/>
      </c>
      <c r="DF5" s="11" t="str">
        <f>IF(SUM(CS5:CV5)-CW5&gt;0,SUM(CS5:CV5)-CW5,"")</f>
        <v/>
      </c>
      <c r="DG5" s="11" t="str">
        <f>IF(SUM(DD5,DF5)&gt;0,SUM(DD5,DF5),"")</f>
        <v/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8.3000000000000007</v>
      </c>
      <c r="NQ5" s="61">
        <f>IF($CX5="P",CE5,(CE5+BA5)/2)</f>
        <v>4.5999999999999996</v>
      </c>
      <c r="NR5" s="61">
        <f>IF($CX5="P",CF5,(CF5+BB5)/2)</f>
        <v>2.5</v>
      </c>
      <c r="NS5" s="61">
        <f>IF($CX5="P",CG5,(CG5+BC5)/2)</f>
        <v>8.1125000000000007</v>
      </c>
      <c r="NT5" s="61">
        <f>IF($CX5="P",CH5,(CH5+BD5)/2)</f>
        <v>0</v>
      </c>
      <c r="NU5" s="61">
        <f>IF($CX5="P",CI5,(CI5+BE5)/2)</f>
        <v>2.65</v>
      </c>
      <c r="NV5" s="61">
        <f>IF($CX5="P",CJ5,(CJ5+BF5)/2)</f>
        <v>1.7</v>
      </c>
      <c r="NW5" s="61">
        <f>IF($CX5="P",CK5,(CK5+BG5)/2)</f>
        <v>3.15</v>
      </c>
      <c r="NX5" s="61">
        <f>IF($CX5="P",CL5,(CL5+BH5)/2)</f>
        <v>3.1850000000000001</v>
      </c>
      <c r="NY5" s="61">
        <f>IF($CX5="P",CM5,(CM5+BI5)/2)</f>
        <v>0</v>
      </c>
      <c r="NZ5" s="61">
        <f>IF($CX5="P",CN5,(CN5+BJ5)/2)</f>
        <v>1.95</v>
      </c>
      <c r="OA5" s="61">
        <f>IF($CX5="P",CO5,(CO5+BK5)/2)</f>
        <v>1.3</v>
      </c>
      <c r="OB5" s="61">
        <f>IF($CX5="P",CP5,(CP5+BL5)/2)</f>
        <v>2.4500000000000002</v>
      </c>
      <c r="OC5" s="61">
        <f>IF($CX5="P",CQ5,(CQ5+BM5)/2)</f>
        <v>2.4175</v>
      </c>
      <c r="OD5" s="61">
        <f>IF($CX5="P",CR5,(CR5+BN5)/2)</f>
        <v>0</v>
      </c>
      <c r="OE5" s="61">
        <f>IF($CX5="P",CS5,(CS5+BO5)/2)</f>
        <v>0</v>
      </c>
      <c r="OF5" s="61">
        <f>IF($CX5="P",CT5,(CT5+BP5)/2)</f>
        <v>0</v>
      </c>
      <c r="OG5" s="61">
        <f>IF($CX5="P",CU5,(CU5+BQ5)/2)</f>
        <v>0</v>
      </c>
      <c r="OH5" s="61">
        <f>IF($CX5="P",CV5,(CV5+BR5)/2)</f>
        <v>0</v>
      </c>
      <c r="OI5" s="61">
        <f>IF($CX5="P",CW5,(CW5+BS5)/2)</f>
        <v>0</v>
      </c>
      <c r="OJ5" s="72" t="s">
        <v>52</v>
      </c>
      <c r="OK5" s="11">
        <f>IF(SUM(NP5:NS5)-NT5&gt;0,SUM(NP5:NS5)-NT5,"")</f>
        <v>23.512500000000003</v>
      </c>
      <c r="OL5" s="11">
        <f>IF(NW5&gt;0,NW5,"")</f>
        <v>3.15</v>
      </c>
      <c r="OM5" s="11">
        <f>IF(SUM(NU5:NX5)-NY5&gt;0,SUM(NU5:NX5)-NY5,"")</f>
        <v>10.685</v>
      </c>
      <c r="ON5" s="11">
        <f>IF(OB5&gt;0,OB5,"")</f>
        <v>2.4500000000000002</v>
      </c>
      <c r="OO5" s="11">
        <f>IF(SUM(NZ5:OC5)-OD5&gt;0,SUM(NZ5:OC5)-OD5,"")</f>
        <v>8.1174999999999997</v>
      </c>
      <c r="OP5" s="11">
        <f>IF(OR(OK5&lt;&gt;"",OM5&lt;&gt;"",OO5&lt;&gt;""),OK5+MAX(OM5,OO5),"")</f>
        <v>34.197500000000005</v>
      </c>
      <c r="OQ5" s="11" t="str">
        <f>IF(OG5&gt;0,OG5,"")</f>
        <v/>
      </c>
      <c r="OR5" s="11" t="str">
        <f t="shared" si="0"/>
        <v/>
      </c>
      <c r="OS5" s="11">
        <f t="shared" ref="OS5:OS10" si="1">IF(SUM(OP5,OR5)&gt;0,SUM(OP5,OR5),"")</f>
        <v>34.197500000000005</v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111</v>
      </c>
      <c r="C6" s="7" t="s">
        <v>6</v>
      </c>
      <c r="D6" s="26">
        <v>2000</v>
      </c>
      <c r="E6" s="15">
        <f>SUM(O6:S6)+K6/1000000</f>
        <v>107.470100805</v>
      </c>
      <c r="F6" s="3" t="str">
        <f>IF(G6&lt;&gt;"","P","")</f>
        <v>P</v>
      </c>
      <c r="G6" s="115" t="str">
        <f>IF(OR(AND(AR6&gt;=AY$27,AR6&lt;&gt;"",AP6=""),AND(AT6&gt;=AY$27,AT6&lt;&gt;"",AP6=""),AND(AW6&gt;=AY$27,AW6&lt;&gt;"",AP6=""),AND(BV6&gt;=CC$27,BV6&lt;&gt;"",BT6=""),AND(BX6&gt;=CC$27,BX6&lt;&gt;"",BT6=""),AND(CA6&gt;=CC$27,CA6&lt;&gt;"",BT6=""),AND(CZ6&gt;=DG$27,CZ6&lt;&gt;"",CX6=""),AND(DB6&gt;=DG$27,DB6&lt;&gt;"",CX6=""),AND(DE6&gt;=DG$27,DE6&lt;&gt;"",CX6=""),AND(EA6&gt;=EG$27,EA6&lt;&gt;""),AND(EE6&gt;=EG$27,EE6&lt;&gt;""),AND(EW6&gt;=FC$27,EW6&lt;&gt;""),AND(FA6&gt;=FC$27,FA6&lt;&gt;""),AND(FS6&gt;=FY$27,FS6&lt;&gt;""),AND(FW6&gt;=FY$27,FW6&lt;&gt;""),AND(GO6&gt;=GU$27,GO6&lt;&gt;""),AND(GS6&gt;=GU$27,GS6&lt;&gt;""),AND(HK6&gt;=HQ$27,HK6&lt;&gt;""),AND(HO6&gt;=HQ$27,HO6&lt;&gt;""),AND(IG6&gt;=IM$27,IG6&lt;&gt;""),AND(IK6&gt;=IM$27,IK6&lt;&gt;""),AND(JC6&gt;=JI$27,JC6&lt;&gt;""),AND(JG6&gt;=JI$27,JG6&lt;&gt;""),AND(JY6&gt;=KE$27,JY6&lt;&gt;""),AND(KC6&gt;=KE$27,KC6&lt;&gt;""),AND(KU6&gt;=LA$27,KU6&lt;&gt;""),AND(KY6&gt;=LA$27,KY6&lt;&gt;""),AND(LQ6&gt;=LW$27,LQ6&lt;&gt;""),AND(LU6&gt;=LW$27,LU6&lt;&gt;""),AND(MM6&gt;=MS$27,MM6&lt;&gt;""),AND(MQ6&gt;=MS$27,MQ6&lt;&gt;""),AND(NI6&gt;=NO$27,NI6&lt;&gt;""),AND(NM6&gt;=NO$27,NM6&lt;&gt;"")),"Merit",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Excellence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Worlds Team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National Team",""))))</f>
        <v>National Team</v>
      </c>
      <c r="H6" s="115" t="str">
        <f>IF(OR(AND(AS6&gt;=AY$28,AS6&lt;&gt;"",AP6=""),AND(AU6&gt;=AY$28,AU6&lt;&gt;"",AP6=""),AND(AX6&gt;=AY$28,AX6&lt;&gt;"",AP6=""),AND(BW6&gt;=CC$28,BW6&lt;&gt;"",BT6=""),AND(BY6&gt;=CC$28,BY6&lt;&gt;"",BT6=""),AND(CB6&gt;=CC$28,CB6&lt;&gt;"",BT6=""),AND(DA6&gt;=DG$28,DA6&lt;&gt;"",CX6=""),AND(DC6&gt;=DG$28,DC6&lt;&gt;"",CX6=""),AND(DF6&gt;=DG$28,DF6&lt;&gt;"",CX6=""),AND(EC6&gt;=EG$28,EC6&lt;&gt;""),AND(EF6&gt;=EG$28,EF6&lt;&gt;""),AND(EY6&gt;=FC$28,EY6&lt;&gt;""),AND(FB6&gt;=FC$28,FB6&lt;&gt;""),AND(FU6&gt;=FY$28,FU6&lt;&gt;""),AND(FX6&gt;=FY$28,FX6&lt;&gt;""),AND(GQ6&gt;=GU$28,GQ6&lt;&gt;""),AND(GT6&gt;=GU$28,GT6&lt;&gt;""),AND(HM6&gt;=HQ$28,HM6&lt;&gt;""),AND(HP6&gt;=HQ$28,HP6&lt;&gt;""),AND(II6&gt;=IM$28,II6&lt;&gt;""),AND(IL6&gt;=IM$28,IL6&lt;&gt;""),AND(JE6&gt;=JI$28,JE6&lt;&gt;""),AND(JH6&gt;=JI$28,JH6&lt;&gt;""),AND(KA6&gt;=KE$28,KA6&lt;&gt;""),AND(KD6&gt;=KE$28,KD6&lt;&gt;""),AND(KW6&gt;=LA$28,KW6&lt;&gt;""),AND(KZ6&gt;=LA$28,KZ6&lt;&gt;""),AND(LS6&gt;=LW$28,LS6&lt;&gt;""),AND(LV6&gt;=LW$28,LV6&lt;&gt;""),AND(MO6&gt;=MS$28,MO6&lt;&gt;""),AND(MR6&gt;=MS$28,MR6&lt;&gt;""),AND(NK6&gt;=NO$28,NK6&lt;&gt;""),AND(NN6&gt;=NO$28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$29,AV6&lt;&gt;"",AP6=""),AND(BZ6&gt;=CC$29,BZ6&lt;&gt;"",BT6=""),AND(DD6&gt;=DG$29,DD6&lt;&gt;"",CX6=""),AND(ED6&gt;=EG$29,ED6&lt;&gt;""),AND(EZ6&gt;=FC$29,EZ6&lt;&gt;""),AND(FV6&gt;=FY$29,FV6&lt;&gt;""),AND(GR6&gt;=GU$29,GR6&lt;&gt;""),AND(HN6&gt;=HQ$29,HN6&lt;&gt;""),AND(IJ6&gt;=IM$29,IJ6&lt;&gt;""),AND(JF6&gt;=JI$29,JF6&lt;&gt;""),AND(KB6&gt;=KE$29,KB6&lt;&gt;""),AND(KX6&gt;=LA$29,KX6&lt;&gt;""),AND(LT6&gt;=LW$29,LT6&lt;&gt;""),AND(MP6&gt;=MS$29,MP6&lt;&gt;""),AND(NL6&gt;=NO$29,NL6&lt;&gt;"")),OR(G6="Worlds Team",G6="Excellence",G6="Merit")),"P","")</f>
        <v/>
      </c>
      <c r="K6" s="14">
        <f>IF(MAX(AV6,BZ6,DD6)&gt;0,MAX(AV6,BZ6,DD6),0)</f>
        <v>100.80500000000001</v>
      </c>
      <c r="L6" s="14" t="str">
        <f>IF(K6=0,"",IF(K6=DD6,$CD$1,IF(K6=BZ6,$AZ$1,IF(K6=AV6,$V$1,""))))</f>
        <v>2021 2nd Virtual Technical Trial</v>
      </c>
      <c r="M6" s="14">
        <f>IF($K6=$AV6,MAX(BU6,CY6),IF($K6=$BZ6,MAX(AQ6,CY6),IF($K6=$DD6,MAX(AQ6,BU6),MAX(AQ6,BU6,CY6))))</f>
        <v>37.185000000000002</v>
      </c>
      <c r="N6" s="14" t="str">
        <f>IF(M6=0,"",IF(AND(M6=CY6,$L6&lt;&gt;$CD$1),$CD$1,IF(AND(M6=BU6,$L6&lt;&gt;$AZ$1),$AZ$1,IF(AND(M6=AQ6,$L6&lt;&gt;$V$1),$V$1,""))))</f>
        <v>2021 Elite Canada</v>
      </c>
      <c r="O6" s="14">
        <f>MAX(AS6,AU6,AX6,BW6,BY6,CB6,DA6,DC6,DF6)</f>
        <v>55.209999999999994</v>
      </c>
      <c r="P6" s="14" t="str">
        <f>IF(O6=0,"",IF(OR(O6=DC6,O6=DA6,O6=DF6),$CD$1,IF(OR(O6=BY6,O6=BW6,O6=CB6),$AZ$1,IF(OR(O6=AU6,O6=AS6,O6=AX6),$V$1,""))))</f>
        <v>2021 2nd Virtual Technical Trial</v>
      </c>
      <c r="Q6" s="14">
        <f>IF(COUNT(AS6,AU6,AX6,BW6,BY6,CB6,DA6,DC6,DF6)&gt;1,LARGE((AS6,AU6,AX6,BW6,BY6,CB6,DA6,DC6,DF6),2),0)</f>
        <v>52.260000000000005</v>
      </c>
      <c r="R6" s="14" t="str">
        <f>IF(Q6=0,"",IF(OR(Q6=DC6,Q6=DA6,Q6=DF6),$CD$1,IF(OR(Q6=BY6,Q6=BW6,Q6=CB6),$AZ$1,IF(OR(Q6=AU6,Q6=AS6,Q6=AX6),$V$1,""))))</f>
        <v>2021 2nd Virtual Technical Trial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17.7</v>
      </c>
      <c r="W6" s="61">
        <v>9</v>
      </c>
      <c r="X6" s="61">
        <v>4.0999999999999996</v>
      </c>
      <c r="Y6" s="61">
        <v>17.745000000000001</v>
      </c>
      <c r="Z6" s="61">
        <v>0</v>
      </c>
      <c r="AA6" s="61">
        <v>16.2</v>
      </c>
      <c r="AB6" s="61">
        <v>8.6</v>
      </c>
      <c r="AC6" s="61">
        <v>12.2</v>
      </c>
      <c r="AD6" s="61">
        <v>16.559999999999999</v>
      </c>
      <c r="AE6" s="61">
        <v>1.3</v>
      </c>
      <c r="AF6" s="61">
        <v>4.9000000000000004</v>
      </c>
      <c r="AG6" s="61">
        <v>2.2000000000000002</v>
      </c>
      <c r="AH6" s="61">
        <v>3.5</v>
      </c>
      <c r="AI6" s="61">
        <v>5.1950000000000003</v>
      </c>
      <c r="AJ6" s="61">
        <v>0</v>
      </c>
      <c r="AK6" s="61">
        <v>16.2</v>
      </c>
      <c r="AL6" s="61">
        <v>8.6999999999999993</v>
      </c>
      <c r="AM6" s="61">
        <v>13.7</v>
      </c>
      <c r="AN6" s="61">
        <v>16.61</v>
      </c>
      <c r="AO6" s="61">
        <v>0</v>
      </c>
      <c r="AP6" s="72"/>
      <c r="AQ6" s="11">
        <f>IF(SUM(V6:Y6)-Z6&gt;0,SUM(V6:Y6)-Z6,"")</f>
        <v>48.545000000000002</v>
      </c>
      <c r="AR6" s="11">
        <f>IF(AC6&gt;0,AC6,"")</f>
        <v>12.2</v>
      </c>
      <c r="AS6" s="11">
        <f>IF(SUM(AA6:AD6)-AE6&gt;0,SUM(AA6:AD6)-AE6,"")</f>
        <v>52.260000000000005</v>
      </c>
      <c r="AT6" s="11">
        <f>IF(AH6&gt;0,AH6,"")</f>
        <v>3.5</v>
      </c>
      <c r="AU6" s="11">
        <f>IF(SUM(AF6:AI6)-AJ6&gt;0,SUM(AF6:AI6)-AJ6,"")</f>
        <v>15.795000000000002</v>
      </c>
      <c r="AV6" s="11">
        <f>IF(AQ6="",IF(MAX(AS6,AU6)&gt;0,MAX(AS6,AU6),""),MAX(AS6,AU6)+AQ6)</f>
        <v>100.80500000000001</v>
      </c>
      <c r="AW6" s="11">
        <f>IF(AM6&gt;0,AM6,"")</f>
        <v>13.7</v>
      </c>
      <c r="AX6" s="11">
        <f>IF(SUM(AK6:AN6)-AO6&gt;0,SUM(AK6:AN6)-AO6,"")</f>
        <v>55.209999999999994</v>
      </c>
      <c r="AY6" s="11">
        <f>IF(SUM(AV6,AX6)&gt;0,SUM(AV6,AX6),"")</f>
        <v>156.01499999999999</v>
      </c>
      <c r="AZ6" s="67">
        <v>13.5</v>
      </c>
      <c r="BA6" s="67">
        <v>7.3</v>
      </c>
      <c r="BB6" s="67">
        <v>2.2999999999999998</v>
      </c>
      <c r="BC6" s="67">
        <v>14.085000000000001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3.3</v>
      </c>
      <c r="BK6" s="67">
        <v>1.9</v>
      </c>
      <c r="BL6" s="67">
        <v>3.4</v>
      </c>
      <c r="BM6" s="67">
        <v>3.5649999999999999</v>
      </c>
      <c r="BN6" s="67">
        <v>0</v>
      </c>
      <c r="BO6" s="67"/>
      <c r="BP6" s="67"/>
      <c r="BQ6" s="67"/>
      <c r="BR6" s="67"/>
      <c r="BS6" s="67"/>
      <c r="BT6" s="73"/>
      <c r="BU6" s="14">
        <f>IF(SUM(AZ6:BC6)-BD6&gt;0,SUM(AZ6:BC6)-BD6,"")</f>
        <v>37.185000000000002</v>
      </c>
      <c r="BV6" s="14" t="str">
        <f>IF(BG6&gt;0,BG6,"")</f>
        <v/>
      </c>
      <c r="BW6" s="14" t="str">
        <f>IF(SUM(BE6:BH6)-BI6&gt;0,SUM(BE6:BH6)-BI6,"")</f>
        <v/>
      </c>
      <c r="BX6" s="14">
        <f>IF(BL6&gt;0,BL6,"")</f>
        <v>3.4</v>
      </c>
      <c r="BY6" s="14">
        <f>IF(SUM(BJ6:BM6)-BN6&gt;0,SUM(BJ6:BM6)-BN6,"")</f>
        <v>12.164999999999999</v>
      </c>
      <c r="BZ6" s="14">
        <f>IF(BU6="",IF(MAX(BW6,BY6)&gt;0,MAX(BW6,BY6),""),MAX(BW6,BY6)+BU6)</f>
        <v>49.35</v>
      </c>
      <c r="CA6" s="14" t="str">
        <f>IF(BQ6&gt;0,BQ6,"")</f>
        <v/>
      </c>
      <c r="CB6" s="14" t="str">
        <f>IF(SUM(BO6:BR6)-BS6&gt;0,SUM(BO6:BR6)-BS6,"")</f>
        <v/>
      </c>
      <c r="CC6" s="14">
        <f>IF(SUM(BZ6,CB6)&gt;0,SUM(BZ6,CB6),"")</f>
        <v>49.35</v>
      </c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72"/>
      <c r="CY6" s="11" t="str">
        <f>IF(SUM(CD6:CG6)-CH6&gt;0,SUM(CD6:CG6)-CH6,"")</f>
        <v/>
      </c>
      <c r="CZ6" s="11" t="str">
        <f>IF(CK6&gt;0,CK6,"")</f>
        <v/>
      </c>
      <c r="DA6" s="11" t="str">
        <f>IF(SUM(CI6:CL6)-CM6&gt;0,SUM(CI6:CL6)-CM6,"")</f>
        <v/>
      </c>
      <c r="DB6" s="11" t="str">
        <f>IF(CP6&gt;0,CP6,"")</f>
        <v/>
      </c>
      <c r="DC6" s="11" t="str">
        <f>IF(SUM(CN6:CQ6)-CR6&gt;0,SUM(CN6:CQ6)-CR6,"")</f>
        <v/>
      </c>
      <c r="DD6" s="11" t="str">
        <f>IF(CY6="",IF(MAX(DA6,DC6)&gt;0,MAX(DA6,DC6),""),MAX(DA6,DC6)+CY6)</f>
        <v/>
      </c>
      <c r="DE6" s="11" t="str">
        <f>IF(CU6&gt;0,CU6,"")</f>
        <v/>
      </c>
      <c r="DF6" s="11" t="str">
        <f>IF(SUM(CS6:CV6)-CW6&gt;0,SUM(CS6:CV6)-CW6,"")</f>
        <v/>
      </c>
      <c r="DG6" s="11" t="str">
        <f>IF(SUM(DD6,DF6)&gt;0,SUM(DD6,DF6),"")</f>
        <v/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6.75</v>
      </c>
      <c r="NQ6" s="61">
        <f>IF($CX6="P",CE6,(CE6+BA6)/2)</f>
        <v>3.65</v>
      </c>
      <c r="NR6" s="61">
        <f>IF($CX6="P",CF6,(CF6+BB6)/2)</f>
        <v>1.1499999999999999</v>
      </c>
      <c r="NS6" s="61">
        <f>IF($CX6="P",CG6,(CG6+BC6)/2)</f>
        <v>7.0425000000000004</v>
      </c>
      <c r="NT6" s="61">
        <f>IF($CX6="P",CH6,(CH6+BD6)/2)</f>
        <v>0</v>
      </c>
      <c r="NU6" s="61">
        <f>IF($CX6="P",CI6,(CI6+BE6)/2)</f>
        <v>0</v>
      </c>
      <c r="NV6" s="61">
        <f>IF($CX6="P",CJ6,(CJ6+BF6)/2)</f>
        <v>0</v>
      </c>
      <c r="NW6" s="61">
        <f>IF($CX6="P",CK6,(CK6+BG6)/2)</f>
        <v>0</v>
      </c>
      <c r="NX6" s="61">
        <f>IF($CX6="P",CL6,(CL6+BH6)/2)</f>
        <v>0</v>
      </c>
      <c r="NY6" s="61">
        <f>IF($CX6="P",CM6,(CM6+BI6)/2)</f>
        <v>0</v>
      </c>
      <c r="NZ6" s="61">
        <f>IF($CX6="P",CN6,(CN6+BJ6)/2)</f>
        <v>1.65</v>
      </c>
      <c r="OA6" s="61">
        <f>IF($CX6="P",CO6,(CO6+BK6)/2)</f>
        <v>0.95</v>
      </c>
      <c r="OB6" s="61">
        <f>IF($CX6="P",CP6,(CP6+BL6)/2)</f>
        <v>1.7</v>
      </c>
      <c r="OC6" s="61">
        <f>IF($CX6="P",CQ6,(CQ6+BM6)/2)</f>
        <v>1.7825</v>
      </c>
      <c r="OD6" s="61">
        <f>IF($CX6="P",CR6,(CR6+BN6)/2)</f>
        <v>0</v>
      </c>
      <c r="OE6" s="61">
        <f>IF($CX6="P",CS6,(CS6+BO6)/2)</f>
        <v>0</v>
      </c>
      <c r="OF6" s="61">
        <f>IF($CX6="P",CT6,(CT6+BP6)/2)</f>
        <v>0</v>
      </c>
      <c r="OG6" s="61">
        <f>IF($CX6="P",CU6,(CU6+BQ6)/2)</f>
        <v>0</v>
      </c>
      <c r="OH6" s="61">
        <f>IF($CX6="P",CV6,(CV6+BR6)/2)</f>
        <v>0</v>
      </c>
      <c r="OI6" s="61">
        <f>IF($CX6="P",CW6,(CW6+BS6)/2)</f>
        <v>0</v>
      </c>
      <c r="OJ6" s="72" t="s">
        <v>52</v>
      </c>
      <c r="OK6" s="11">
        <f>IF(SUM(NP6:NS6)-NT6&gt;0,SUM(NP6:NS6)-NT6,"")</f>
        <v>18.592500000000001</v>
      </c>
      <c r="OL6" s="11" t="str">
        <f>IF(NW6&gt;0,NW6,"")</f>
        <v/>
      </c>
      <c r="OM6" s="11" t="str">
        <f>IF(SUM(NU6:NX6)-NY6&gt;0,SUM(NU6:NX6)-NY6,"")</f>
        <v/>
      </c>
      <c r="ON6" s="11">
        <f>IF(OB6&gt;0,OB6,"")</f>
        <v>1.7</v>
      </c>
      <c r="OO6" s="11">
        <f>IF(SUM(NZ6:OC6)-OD6&gt;0,SUM(NZ6:OC6)-OD6,"")</f>
        <v>6.0824999999999996</v>
      </c>
      <c r="OP6" s="11">
        <f>IF(OR(OK6&lt;&gt;"",OM6&lt;&gt;"",OO6&lt;&gt;""),OK6+MAX(OM6,OO6),"")</f>
        <v>24.675000000000001</v>
      </c>
      <c r="OQ6" s="11" t="str">
        <f>IF(OG6&gt;0,OG6,"")</f>
        <v/>
      </c>
      <c r="OR6" s="11" t="str">
        <f t="shared" si="0"/>
        <v/>
      </c>
      <c r="OS6" s="11">
        <f t="shared" si="1"/>
        <v>24.675000000000001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78</v>
      </c>
      <c r="C7" s="7" t="s">
        <v>5</v>
      </c>
      <c r="D7" s="5">
        <v>2003</v>
      </c>
      <c r="E7" s="15">
        <f>SUM(O7:S7)+K7/1000000</f>
        <v>106.75009855</v>
      </c>
      <c r="F7" s="3" t="str">
        <f>IF(G7&lt;&gt;"","P","")</f>
        <v>P</v>
      </c>
      <c r="G7" s="115" t="str">
        <f>IF(OR(AND(AR7&gt;=AY$27,AR7&lt;&gt;"",AP7=""),AND(AT7&gt;=AY$27,AT7&lt;&gt;"",AP7=""),AND(AW7&gt;=AY$27,AW7&lt;&gt;"",AP7=""),AND(BV7&gt;=CC$27,BV7&lt;&gt;"",BT7=""),AND(BX7&gt;=CC$27,BX7&lt;&gt;"",BT7=""),AND(CA7&gt;=CC$27,CA7&lt;&gt;"",BT7=""),AND(CZ7&gt;=DG$27,CZ7&lt;&gt;"",CX7=""),AND(DB7&gt;=DG$27,DB7&lt;&gt;"",CX7=""),AND(DE7&gt;=DG$27,DE7&lt;&gt;"",CX7=""),AND(EA7&gt;=EG$27,EA7&lt;&gt;""),AND(EE7&gt;=EG$27,EE7&lt;&gt;""),AND(EW7&gt;=FC$27,EW7&lt;&gt;""),AND(FA7&gt;=FC$27,FA7&lt;&gt;""),AND(FS7&gt;=FY$27,FS7&lt;&gt;""),AND(FW7&gt;=FY$27,FW7&lt;&gt;""),AND(GO7&gt;=GU$27,GO7&lt;&gt;""),AND(GS7&gt;=GU$27,GS7&lt;&gt;""),AND(HK7&gt;=HQ$27,HK7&lt;&gt;""),AND(HO7&gt;=HQ$27,HO7&lt;&gt;""),AND(IG7&gt;=IM$27,IG7&lt;&gt;""),AND(IK7&gt;=IM$27,IK7&lt;&gt;""),AND(JC7&gt;=JI$27,JC7&lt;&gt;""),AND(JG7&gt;=JI$27,JG7&lt;&gt;""),AND(JY7&gt;=KE$27,JY7&lt;&gt;""),AND(KC7&gt;=KE$27,KC7&lt;&gt;""),AND(KU7&gt;=LA$27,KU7&lt;&gt;""),AND(KY7&gt;=LA$27,KY7&lt;&gt;""),AND(LQ7&gt;=LW$27,LQ7&lt;&gt;""),AND(LU7&gt;=LW$27,LU7&lt;&gt;""),AND(MM7&gt;=MS$27,MM7&lt;&gt;""),AND(MQ7&gt;=MS$27,MQ7&lt;&gt;""),AND(NI7&gt;=NO$27,NI7&lt;&gt;""),AND(NM7&gt;=NO$27,NM7&lt;&gt;"")),"Merit",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Excellence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Worlds Team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National Team",""))))</f>
        <v>National Team</v>
      </c>
      <c r="H7" s="115" t="str">
        <f>IF(OR(AND(AS7&gt;=AY$28,AS7&lt;&gt;"",AP7=""),AND(AU7&gt;=AY$28,AU7&lt;&gt;"",AP7=""),AND(AX7&gt;=AY$28,AX7&lt;&gt;"",AP7=""),AND(BW7&gt;=CC$28,BW7&lt;&gt;"",BT7=""),AND(BY7&gt;=CC$28,BY7&lt;&gt;"",BT7=""),AND(CB7&gt;=CC$28,CB7&lt;&gt;"",BT7=""),AND(DA7&gt;=DG$28,DA7&lt;&gt;"",CX7=""),AND(DC7&gt;=DG$28,DC7&lt;&gt;"",CX7=""),AND(DF7&gt;=DG$28,DF7&lt;&gt;"",CX7=""),AND(EC7&gt;=EG$28,EC7&lt;&gt;""),AND(EF7&gt;=EG$28,EF7&lt;&gt;""),AND(EY7&gt;=FC$28,EY7&lt;&gt;""),AND(FB7&gt;=FC$28,FB7&lt;&gt;""),AND(FU7&gt;=FY$28,FU7&lt;&gt;""),AND(FX7&gt;=FY$28,FX7&lt;&gt;""),AND(GQ7&gt;=GU$28,GQ7&lt;&gt;""),AND(GT7&gt;=GU$28,GT7&lt;&gt;""),AND(HM7&gt;=HQ$28,HM7&lt;&gt;""),AND(HP7&gt;=HQ$28,HP7&lt;&gt;""),AND(II7&gt;=IM$28,II7&lt;&gt;""),AND(IL7&gt;=IM$28,IL7&lt;&gt;""),AND(JE7&gt;=JI$28,JE7&lt;&gt;""),AND(JH7&gt;=JI$28,JH7&lt;&gt;""),AND(KA7&gt;=KE$28,KA7&lt;&gt;""),AND(KD7&gt;=KE$28,KD7&lt;&gt;""),AND(KW7&gt;=LA$28,KW7&lt;&gt;""),AND(KZ7&gt;=LA$28,KZ7&lt;&gt;""),AND(LS7&gt;=LW$28,LS7&lt;&gt;""),AND(LV7&gt;=LW$28,LV7&lt;&gt;""),AND(MO7&gt;=MS$28,MO7&lt;&gt;""),AND(MR7&gt;=MS$28,MR7&lt;&gt;""),AND(NK7&gt;=NO$28,NK7&lt;&gt;""),AND(NN7&gt;=NO$28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$29,AV7&lt;&gt;"",AP7=""),AND(BZ7&gt;=CC$29,BZ7&lt;&gt;"",BT7=""),AND(DD7&gt;=DG$29,DD7&lt;&gt;"",CX7=""),AND(ED7&gt;=EG$29,ED7&lt;&gt;""),AND(EZ7&gt;=FC$29,EZ7&lt;&gt;""),AND(FV7&gt;=FY$29,FV7&lt;&gt;""),AND(GR7&gt;=GU$29,GR7&lt;&gt;""),AND(HN7&gt;=HQ$29,HN7&lt;&gt;""),AND(IJ7&gt;=IM$29,IJ7&lt;&gt;""),AND(JF7&gt;=JI$29,JF7&lt;&gt;""),AND(KB7&gt;=KE$29,KB7&lt;&gt;""),AND(KX7&gt;=LA$29,KX7&lt;&gt;""),AND(LT7&gt;=LW$29,LT7&lt;&gt;""),AND(MP7&gt;=MS$29,MP7&lt;&gt;""),AND(NL7&gt;=NO$29,NL7&lt;&gt;"")),OR(G7="Worlds Team",G7="Excellence",G7="Merit")),"P","")</f>
        <v/>
      </c>
      <c r="K7" s="14">
        <f>IF(MAX(AV7,BZ7,DD7)&gt;0,MAX(AV7,BZ7,DD7),0)</f>
        <v>98.55</v>
      </c>
      <c r="L7" s="14" t="str">
        <f>IF(K7=0,"",IF(K7=DD7,$CD$1,IF(K7=BZ7,$AZ$1,IF(K7=AV7,$V$1,""))))</f>
        <v>2021 2nd Virtual Technical Trial</v>
      </c>
      <c r="M7" s="14">
        <f>IF($K7=$AV7,MAX(BU7,CY7),IF($K7=$BZ7,MAX(AQ7,CY7),IF($K7=$DD7,MAX(AQ7,BU7),MAX(AQ7,BU7,CY7))))</f>
        <v>39.15</v>
      </c>
      <c r="N7" s="14" t="str">
        <f>IF(M7=0,"",IF(AND(M7=CY7,$L7&lt;&gt;$CD$1),$CD$1,IF(AND(M7=BU7,$L7&lt;&gt;$AZ$1),$AZ$1,IF(AND(M7=AQ7,$L7&lt;&gt;$V$1),$V$1,""))))</f>
        <v>2021 Canadian Championships</v>
      </c>
      <c r="O7" s="14">
        <f>MAX(AS7,AU7,AX7,BW7,BY7,CB7,DA7,DC7,DF7)</f>
        <v>54.64</v>
      </c>
      <c r="P7" s="14" t="str">
        <f>IF(O7=0,"",IF(OR(O7=DC7,O7=DA7,O7=DF7),$CD$1,IF(OR(O7=BY7,O7=BW7,O7=CB7),$AZ$1,IF(OR(O7=AU7,O7=AS7,O7=AX7),$V$1,""))))</f>
        <v>2021 2nd Virtual Technical Trial</v>
      </c>
      <c r="Q7" s="14">
        <f>IF(COUNT(AS7,AU7,AX7,BW7,BY7,CB7,DA7,DC7,DF7)&gt;1,LARGE((AS7,AU7,AX7,BW7,BY7,CB7,DA7,DC7,DF7),2),0)</f>
        <v>52.11</v>
      </c>
      <c r="R7" s="14" t="str">
        <f>IF(Q7=0,"",IF(OR(Q7=DC7,Q7=DA7,Q7=DF7),$CD$1,IF(OR(Q7=BY7,Q7=BW7,Q7=CB7),$AZ$1,IF(OR(Q7=AU7,Q7=AS7,Q7=AX7),$V$1,""))))</f>
        <v>2021 2nd Virtual Technical Trial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17.5</v>
      </c>
      <c r="W7" s="61">
        <v>9.6</v>
      </c>
      <c r="X7" s="61">
        <v>2.9</v>
      </c>
      <c r="Y7" s="61">
        <v>16.440000000000001</v>
      </c>
      <c r="Z7" s="61">
        <v>0</v>
      </c>
      <c r="AA7" s="61">
        <v>15</v>
      </c>
      <c r="AB7" s="61">
        <v>8.4</v>
      </c>
      <c r="AC7" s="61">
        <v>13</v>
      </c>
      <c r="AD7" s="61">
        <v>15.71</v>
      </c>
      <c r="AE7" s="61">
        <v>0</v>
      </c>
      <c r="AF7" s="61"/>
      <c r="AG7" s="61"/>
      <c r="AH7" s="61"/>
      <c r="AI7" s="61"/>
      <c r="AJ7" s="61"/>
      <c r="AK7" s="61">
        <v>15.8</v>
      </c>
      <c r="AL7" s="61">
        <v>9.5</v>
      </c>
      <c r="AM7" s="61">
        <v>13.5</v>
      </c>
      <c r="AN7" s="61">
        <v>15.84</v>
      </c>
      <c r="AO7" s="61">
        <v>0</v>
      </c>
      <c r="AP7" s="72"/>
      <c r="AQ7" s="11">
        <f>IF(SUM(V7:Y7)-Z7&gt;0,SUM(V7:Y7)-Z7,"")</f>
        <v>46.44</v>
      </c>
      <c r="AR7" s="11">
        <f>IF(AC7&gt;0,AC7,"")</f>
        <v>13</v>
      </c>
      <c r="AS7" s="11">
        <f>IF(SUM(AA7:AD7)-AE7&gt;0,SUM(AA7:AD7)-AE7,"")</f>
        <v>52.11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98.55</v>
      </c>
      <c r="AW7" s="11">
        <f>IF(AM7&gt;0,AM7,"")</f>
        <v>13.5</v>
      </c>
      <c r="AX7" s="11">
        <f>IF(SUM(AK7:AN7)-AO7&gt;0,SUM(AK7:AN7)-AO7,"")</f>
        <v>54.64</v>
      </c>
      <c r="AY7" s="11">
        <f>IF(SUM(AV7,AX7)&gt;0,SUM(AV7,AX7),"")</f>
        <v>153.19</v>
      </c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73"/>
      <c r="BU7" s="14" t="str">
        <f>IF(SUM(AZ7:BC7)-BD7&gt;0,SUM(AZ7:BC7)-BD7,"")</f>
        <v/>
      </c>
      <c r="BV7" s="14" t="str">
        <f>IF(BG7&gt;0,BG7,"")</f>
        <v/>
      </c>
      <c r="BW7" s="14" t="str">
        <f>IF(SUM(BE7:BH7)-BI7&gt;0,SUM(BE7:BH7)-BI7,"")</f>
        <v/>
      </c>
      <c r="BX7" s="14" t="str">
        <f>IF(BL7&gt;0,BL7,"")</f>
        <v/>
      </c>
      <c r="BY7" s="14" t="str">
        <f>IF(SUM(BJ7:BM7)-BN7&gt;0,SUM(BJ7:BM7)-BN7,"")</f>
        <v/>
      </c>
      <c r="BZ7" s="14" t="str">
        <f>IF(BU7="",IF(MAX(BW7,BY7)&gt;0,MAX(BW7,BY7),""),MAX(BW7,BY7)+BU7)</f>
        <v/>
      </c>
      <c r="CA7" s="14" t="str">
        <f>IF(BQ7&gt;0,BQ7,"")</f>
        <v/>
      </c>
      <c r="CB7" s="14" t="str">
        <f>IF(SUM(BO7:BR7)-BS7&gt;0,SUM(BO7:BR7)-BS7,"")</f>
        <v/>
      </c>
      <c r="CC7" s="14" t="str">
        <f>IF(SUM(BZ7,CB7)&gt;0,SUM(BZ7,CB7),"")</f>
        <v/>
      </c>
      <c r="CD7" s="61">
        <v>15</v>
      </c>
      <c r="CE7" s="61">
        <v>8</v>
      </c>
      <c r="CF7" s="61">
        <v>1.3</v>
      </c>
      <c r="CG7" s="61">
        <v>14.85</v>
      </c>
      <c r="CH7" s="61">
        <v>0</v>
      </c>
      <c r="CI7" s="61">
        <v>0</v>
      </c>
      <c r="CJ7" s="61">
        <v>0</v>
      </c>
      <c r="CK7" s="61">
        <v>0</v>
      </c>
      <c r="CL7" s="61">
        <v>0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>IF(SUM(CD7:CG7)-CH7&gt;0,SUM(CD7:CG7)-CH7,"")</f>
        <v>39.15</v>
      </c>
      <c r="CZ7" s="11" t="str">
        <f>IF(CK7&gt;0,CK7,"")</f>
        <v/>
      </c>
      <c r="DA7" s="11" t="str">
        <f>IF(SUM(CI7:CL7)-CM7&gt;0,SUM(CI7:CL7)-CM7,"")</f>
        <v/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39.15</v>
      </c>
      <c r="DE7" s="11" t="str">
        <f>IF(CU7&gt;0,CU7,"")</f>
        <v/>
      </c>
      <c r="DF7" s="11" t="str">
        <f>IF(SUM(CS7:CV7)-CW7&gt;0,SUM(CS7:CV7)-CW7,"")</f>
        <v/>
      </c>
      <c r="DG7" s="11">
        <f>IF(SUM(DD7,DF7)&gt;0,SUM(DD7,DF7),"")</f>
        <v>39.15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7.5</v>
      </c>
      <c r="NQ7" s="61">
        <f>IF($CX7="P",CE7,(CE7+BA7)/2)</f>
        <v>4</v>
      </c>
      <c r="NR7" s="61">
        <f>IF($CX7="P",CF7,(CF7+BB7)/2)</f>
        <v>0.65</v>
      </c>
      <c r="NS7" s="61">
        <f>IF($CX7="P",CG7,(CG7+BC7)/2)</f>
        <v>7.4249999999999998</v>
      </c>
      <c r="NT7" s="61">
        <f>IF($CX7="P",CH7,(CH7+BD7)/2)</f>
        <v>0</v>
      </c>
      <c r="NU7" s="61">
        <f>IF($CX7="P",CI7,(CI7+BE7)/2)</f>
        <v>0</v>
      </c>
      <c r="NV7" s="61">
        <f>IF($CX7="P",CJ7,(CJ7+BF7)/2)</f>
        <v>0</v>
      </c>
      <c r="NW7" s="61">
        <f>IF($CX7="P",CK7,(CK7+BG7)/2)</f>
        <v>0</v>
      </c>
      <c r="NX7" s="61">
        <f>IF($CX7="P",CL7,(CL7+BH7)/2)</f>
        <v>0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0</v>
      </c>
      <c r="OF7" s="61">
        <f>IF($CX7="P",CT7,(CT7+BP7)/2)</f>
        <v>0</v>
      </c>
      <c r="OG7" s="61">
        <f>IF($CX7="P",CU7,(CU7+BQ7)/2)</f>
        <v>0</v>
      </c>
      <c r="OH7" s="61">
        <f>IF($CX7="P",CV7,(CV7+BR7)/2)</f>
        <v>0</v>
      </c>
      <c r="OI7" s="61">
        <f>IF($CX7="P",CW7,(CW7+BS7)/2)</f>
        <v>0</v>
      </c>
      <c r="OJ7" s="72" t="s">
        <v>52</v>
      </c>
      <c r="OK7" s="11">
        <f>IF(SUM(NP7:NS7)-NT7&gt;0,SUM(NP7:NS7)-NT7,"")</f>
        <v>19.574999999999999</v>
      </c>
      <c r="OL7" s="11" t="str">
        <f>IF(NW7&gt;0,NW7,"")</f>
        <v/>
      </c>
      <c r="OM7" s="11" t="str">
        <f>IF(SUM(NU7:NX7)-NY7&gt;0,SUM(NU7:NX7)-NY7,"")</f>
        <v/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19.574999999999999</v>
      </c>
      <c r="OQ7" s="11" t="str">
        <f>IF(OG7&gt;0,OG7,"")</f>
        <v/>
      </c>
      <c r="OR7" s="11" t="str">
        <f t="shared" si="0"/>
        <v/>
      </c>
      <c r="OS7" s="11">
        <f t="shared" si="1"/>
        <v>19.574999999999999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122</v>
      </c>
      <c r="C8" s="7" t="s">
        <v>5</v>
      </c>
      <c r="D8" s="26">
        <v>2001</v>
      </c>
      <c r="E8" s="15">
        <f>SUM(O8:S8)+K8/1000000</f>
        <v>106.67510086999999</v>
      </c>
      <c r="F8" s="3" t="str">
        <f>IF(G8&lt;&gt;"","P","")</f>
        <v>P</v>
      </c>
      <c r="G8" s="115" t="str">
        <f>IF(OR(AND(AR8&gt;=AY$27,AR8&lt;&gt;"",AP8=""),AND(AT8&gt;=AY$27,AT8&lt;&gt;"",AP8=""),AND(AW8&gt;=AY$27,AW8&lt;&gt;"",AP8=""),AND(BV8&gt;=CC$27,BV8&lt;&gt;"",BT8=""),AND(BX8&gt;=CC$27,BX8&lt;&gt;"",BT8=""),AND(CA8&gt;=CC$27,CA8&lt;&gt;"",BT8=""),AND(CZ8&gt;=DG$27,CZ8&lt;&gt;"",CX8=""),AND(DB8&gt;=DG$27,DB8&lt;&gt;"",CX8=""),AND(DE8&gt;=DG$27,DE8&lt;&gt;"",CX8=""),AND(EA8&gt;=EG$27,EA8&lt;&gt;""),AND(EE8&gt;=EG$27,EE8&lt;&gt;""),AND(EW8&gt;=FC$27,EW8&lt;&gt;""),AND(FA8&gt;=FC$27,FA8&lt;&gt;""),AND(FS8&gt;=FY$27,FS8&lt;&gt;""),AND(FW8&gt;=FY$27,FW8&lt;&gt;""),AND(GO8&gt;=GU$27,GO8&lt;&gt;""),AND(GS8&gt;=GU$27,GS8&lt;&gt;""),AND(HK8&gt;=HQ$27,HK8&lt;&gt;""),AND(HO8&gt;=HQ$27,HO8&lt;&gt;""),AND(IG8&gt;=IM$27,IG8&lt;&gt;""),AND(IK8&gt;=IM$27,IK8&lt;&gt;""),AND(JC8&gt;=JI$27,JC8&lt;&gt;""),AND(JG8&gt;=JI$27,JG8&lt;&gt;""),AND(JY8&gt;=KE$27,JY8&lt;&gt;""),AND(KC8&gt;=KE$27,KC8&lt;&gt;""),AND(KU8&gt;=LA$27,KU8&lt;&gt;""),AND(KY8&gt;=LA$27,KY8&lt;&gt;""),AND(LQ8&gt;=LW$27,LQ8&lt;&gt;""),AND(LU8&gt;=LW$27,LU8&lt;&gt;""),AND(MM8&gt;=MS$27,MM8&lt;&gt;""),AND(MQ8&gt;=MS$27,MQ8&lt;&gt;""),AND(NI8&gt;=NO$27,NI8&lt;&gt;""),AND(NM8&gt;=NO$27,NM8&lt;&gt;"")),"Merit",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Excellence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Worlds Team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National Team",""))))</f>
        <v>National Team</v>
      </c>
      <c r="H8" s="115" t="str">
        <f>IF(OR(AND(AS8&gt;=AY$28,AS8&lt;&gt;"",AP8=""),AND(AU8&gt;=AY$28,AU8&lt;&gt;"",AP8=""),AND(AX8&gt;=AY$28,AX8&lt;&gt;"",AP8=""),AND(BW8&gt;=CC$28,BW8&lt;&gt;"",BT8=""),AND(BY8&gt;=CC$28,BY8&lt;&gt;"",BT8=""),AND(CB8&gt;=CC$28,CB8&lt;&gt;"",BT8=""),AND(DA8&gt;=DG$28,DA8&lt;&gt;"",CX8=""),AND(DC8&gt;=DG$28,DC8&lt;&gt;"",CX8=""),AND(DF8&gt;=DG$28,DF8&lt;&gt;"",CX8=""),AND(EC8&gt;=EG$28,EC8&lt;&gt;""),AND(EF8&gt;=EG$28,EF8&lt;&gt;""),AND(EY8&gt;=FC$28,EY8&lt;&gt;""),AND(FB8&gt;=FC$28,FB8&lt;&gt;""),AND(FU8&gt;=FY$28,FU8&lt;&gt;""),AND(FX8&gt;=FY$28,FX8&lt;&gt;""),AND(GQ8&gt;=GU$28,GQ8&lt;&gt;""),AND(GT8&gt;=GU$28,GT8&lt;&gt;""),AND(HM8&gt;=HQ$28,HM8&lt;&gt;""),AND(HP8&gt;=HQ$28,HP8&lt;&gt;""),AND(II8&gt;=IM$28,II8&lt;&gt;""),AND(IL8&gt;=IM$28,IL8&lt;&gt;""),AND(JE8&gt;=JI$28,JE8&lt;&gt;""),AND(JH8&gt;=JI$28,JH8&lt;&gt;""),AND(KA8&gt;=KE$28,KA8&lt;&gt;""),AND(KD8&gt;=KE$28,KD8&lt;&gt;""),AND(KW8&gt;=LA$28,KW8&lt;&gt;""),AND(KZ8&gt;=LA$28,KZ8&lt;&gt;""),AND(LS8&gt;=LW$28,LS8&lt;&gt;""),AND(LV8&gt;=LW$28,LV8&lt;&gt;""),AND(MO8&gt;=MS$28,MO8&lt;&gt;""),AND(MR8&gt;=MS$28,MR8&lt;&gt;""),AND(NK8&gt;=NO$28,NK8&lt;&gt;""),AND(NN8&gt;=NO$28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National Team</v>
      </c>
      <c r="J8" s="3" t="str">
        <f>IF(AND(OR(AND(AV8&gt;=AY$29,AV8&lt;&gt;"",AP8=""),AND(BZ8&gt;=CC$29,BZ8&lt;&gt;"",BT8=""),AND(DD8&gt;=DG$29,DD8&lt;&gt;"",CX8=""),AND(ED8&gt;=EG$29,ED8&lt;&gt;""),AND(EZ8&gt;=FC$29,EZ8&lt;&gt;""),AND(FV8&gt;=FY$29,FV8&lt;&gt;""),AND(GR8&gt;=GU$29,GR8&lt;&gt;""),AND(HN8&gt;=HQ$29,HN8&lt;&gt;""),AND(IJ8&gt;=IM$29,IJ8&lt;&gt;""),AND(JF8&gt;=JI$29,JF8&lt;&gt;""),AND(KB8&gt;=KE$29,KB8&lt;&gt;""),AND(KX8&gt;=LA$29,KX8&lt;&gt;""),AND(LT8&gt;=LW$29,LT8&lt;&gt;""),AND(MP8&gt;=MS$29,MP8&lt;&gt;""),AND(NL8&gt;=NO$29,NL8&lt;&gt;"")),OR(G8="Worlds Team",G8="Excellence",G8="Merit")),"P","")</f>
        <v/>
      </c>
      <c r="K8" s="14">
        <f>IF(MAX(AV8,BZ8,DD8)&gt;0,MAX(AV8,BZ8,DD8),0)</f>
        <v>100.87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44.995000000000005</v>
      </c>
      <c r="N8" s="14" t="str">
        <f>IF(M8=0,"",IF(AND(M8=CY8,$L8&lt;&gt;$CD$1),$CD$1,IF(AND(M8=BU8,$L8&lt;&gt;$AZ$1),$AZ$1,IF(AND(M8=AQ8,$L8&lt;&gt;$V$1),$V$1,""))))</f>
        <v>2021 Elite Canada</v>
      </c>
      <c r="O8" s="14">
        <f>MAX(AS8,AU8,AX8,BW8,BY8,CB8,DA8,DC8,DF8)</f>
        <v>53.894999999999996</v>
      </c>
      <c r="P8" s="14" t="str">
        <f>IF(O8=0,"",IF(OR(O8=DC8,O8=DA8,O8=DF8),$CD$1,IF(OR(O8=BY8,O8=BW8,O8=CB8),$AZ$1,IF(OR(O8=AU8,O8=AS8,O8=AX8),$V$1,""))))</f>
        <v>2021 Elite Canada</v>
      </c>
      <c r="Q8" s="14">
        <f>IF(COUNT(AS8,AU8,AX8,BW8,BY8,CB8,DA8,DC8,DF8)&gt;1,LARGE((AS8,AU8,AX8,BW8,BY8,CB8,DA8,DC8,DF8),2),0)</f>
        <v>52.78</v>
      </c>
      <c r="R8" s="14" t="str">
        <f>IF(Q8=0,"",IF(OR(Q8=DC8,Q8=DA8,Q8=DF8),$CD$1,IF(OR(Q8=BY8,Q8=BW8,Q8=CB8),$AZ$1,IF(OR(Q8=AU8,Q8=AS8,Q8=AX8),$V$1,""))))</f>
        <v>2021 Canadian Championships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>
        <v>14.6</v>
      </c>
      <c r="W8" s="61">
        <v>8.3000000000000007</v>
      </c>
      <c r="X8" s="61">
        <v>1.7</v>
      </c>
      <c r="Y8" s="61">
        <v>15.17</v>
      </c>
      <c r="Z8" s="61">
        <v>2</v>
      </c>
      <c r="AA8" s="61">
        <v>12.9</v>
      </c>
      <c r="AB8" s="61">
        <v>9.4</v>
      </c>
      <c r="AC8" s="61">
        <v>13.8</v>
      </c>
      <c r="AD8" s="61">
        <v>16.07</v>
      </c>
      <c r="AE8" s="61">
        <v>0</v>
      </c>
      <c r="AF8" s="61">
        <v>2.2999999999999998</v>
      </c>
      <c r="AG8" s="61">
        <v>1.6</v>
      </c>
      <c r="AH8" s="61">
        <v>3.2</v>
      </c>
      <c r="AI8" s="61">
        <v>3.5649999999999999</v>
      </c>
      <c r="AJ8" s="61">
        <v>0</v>
      </c>
      <c r="AK8" s="61">
        <v>13.5</v>
      </c>
      <c r="AL8" s="61">
        <v>9.1999999999999993</v>
      </c>
      <c r="AM8" s="61">
        <v>13.8</v>
      </c>
      <c r="AN8" s="61">
        <v>15.79</v>
      </c>
      <c r="AO8" s="61">
        <v>0</v>
      </c>
      <c r="AP8" s="72"/>
      <c r="AQ8" s="11">
        <f>IF(SUM(V8:Y8)-Z8&gt;0,SUM(V8:Y8)-Z8,"")</f>
        <v>37.769999999999996</v>
      </c>
      <c r="AR8" s="11">
        <f>IF(AC8&gt;0,AC8,"")</f>
        <v>13.8</v>
      </c>
      <c r="AS8" s="11">
        <f>IF(SUM(AA8:AD8)-AE8&gt;0,SUM(AA8:AD8)-AE8,"")</f>
        <v>52.17</v>
      </c>
      <c r="AT8" s="11">
        <f>IF(AH8&gt;0,AH8,"")</f>
        <v>3.2</v>
      </c>
      <c r="AU8" s="11">
        <f>IF(SUM(AF8:AI8)-AJ8&gt;0,SUM(AF8:AI8)-AJ8,"")</f>
        <v>10.664999999999999</v>
      </c>
      <c r="AV8" s="11">
        <f>IF(AQ8="",IF(MAX(AS8,AU8)&gt;0,MAX(AS8,AU8),""),MAX(AS8,AU8)+AQ8)</f>
        <v>89.94</v>
      </c>
      <c r="AW8" s="11">
        <f>IF(AM8&gt;0,AM8,"")</f>
        <v>13.8</v>
      </c>
      <c r="AX8" s="11">
        <f>IF(SUM(AK8:AN8)-AO8&gt;0,SUM(AK8:AN8)-AO8,"")</f>
        <v>52.29</v>
      </c>
      <c r="AY8" s="11">
        <f>IF(SUM(AV8,AX8)&gt;0,SUM(AV8,AX8),"")</f>
        <v>142.22999999999999</v>
      </c>
      <c r="AZ8" s="67">
        <v>14.8</v>
      </c>
      <c r="BA8" s="67">
        <v>9</v>
      </c>
      <c r="BB8" s="67">
        <v>4.5</v>
      </c>
      <c r="BC8" s="67">
        <v>16.695</v>
      </c>
      <c r="BD8" s="67">
        <v>0</v>
      </c>
      <c r="BE8" s="67">
        <v>14</v>
      </c>
      <c r="BF8" s="67">
        <v>9.1</v>
      </c>
      <c r="BG8" s="67">
        <v>14.4</v>
      </c>
      <c r="BH8" s="67">
        <v>16.395</v>
      </c>
      <c r="BI8" s="67">
        <v>0</v>
      </c>
      <c r="BJ8" s="67">
        <v>2.8</v>
      </c>
      <c r="BK8" s="67">
        <v>1.7</v>
      </c>
      <c r="BL8" s="67">
        <v>3.2</v>
      </c>
      <c r="BM8" s="67">
        <v>3.4550000000000001</v>
      </c>
      <c r="BN8" s="67">
        <v>0</v>
      </c>
      <c r="BO8" s="67">
        <v>4.3</v>
      </c>
      <c r="BP8" s="67">
        <v>3</v>
      </c>
      <c r="BQ8" s="67">
        <v>3.8</v>
      </c>
      <c r="BR8" s="67">
        <v>4.95</v>
      </c>
      <c r="BS8" s="67">
        <v>0</v>
      </c>
      <c r="BT8" s="73"/>
      <c r="BU8" s="14">
        <f>IF(SUM(AZ8:BC8)-BD8&gt;0,SUM(AZ8:BC8)-BD8,"")</f>
        <v>44.995000000000005</v>
      </c>
      <c r="BV8" s="14">
        <f>IF(BG8&gt;0,BG8,"")</f>
        <v>14.4</v>
      </c>
      <c r="BW8" s="14">
        <f>IF(SUM(BE8:BH8)-BI8&gt;0,SUM(BE8:BH8)-BI8,"")</f>
        <v>53.894999999999996</v>
      </c>
      <c r="BX8" s="14">
        <f>IF(BL8&gt;0,BL8,"")</f>
        <v>3.2</v>
      </c>
      <c r="BY8" s="14">
        <f>IF(SUM(BJ8:BM8)-BN8&gt;0,SUM(BJ8:BM8)-BN8,"")</f>
        <v>11.155000000000001</v>
      </c>
      <c r="BZ8" s="14">
        <f>IF(BU8="",IF(MAX(BW8,BY8)&gt;0,MAX(BW8,BY8),""),MAX(BW8,BY8)+BU8)</f>
        <v>98.89</v>
      </c>
      <c r="CA8" s="14">
        <f>IF(BQ8&gt;0,BQ8,"")</f>
        <v>3.8</v>
      </c>
      <c r="CB8" s="14">
        <f>IF(SUM(BO8:BR8)-BS8&gt;0,SUM(BO8:BR8)-BS8,"")</f>
        <v>16.05</v>
      </c>
      <c r="CC8" s="14">
        <f>IF(SUM(BZ8,CB8)&gt;0,SUM(BZ8,CB8),"")</f>
        <v>114.94</v>
      </c>
      <c r="CD8" s="61">
        <v>17.899999999999999</v>
      </c>
      <c r="CE8" s="61">
        <v>9.6999999999999993</v>
      </c>
      <c r="CF8" s="61">
        <v>3.7</v>
      </c>
      <c r="CG8" s="61">
        <v>16.79</v>
      </c>
      <c r="CH8" s="61">
        <v>0</v>
      </c>
      <c r="CI8" s="61">
        <v>6.6</v>
      </c>
      <c r="CJ8" s="61">
        <v>4.7</v>
      </c>
      <c r="CK8" s="61">
        <v>6.8</v>
      </c>
      <c r="CL8" s="61">
        <v>8.0250000000000004</v>
      </c>
      <c r="CM8" s="61">
        <v>0</v>
      </c>
      <c r="CN8" s="61">
        <v>13.8</v>
      </c>
      <c r="CO8" s="61">
        <v>8.8000000000000007</v>
      </c>
      <c r="CP8" s="61">
        <v>14.2</v>
      </c>
      <c r="CQ8" s="61">
        <v>15.98</v>
      </c>
      <c r="CR8" s="61">
        <v>0</v>
      </c>
      <c r="CS8" s="61">
        <v>12.2</v>
      </c>
      <c r="CT8" s="61">
        <v>7.9</v>
      </c>
      <c r="CU8" s="61">
        <v>11.9</v>
      </c>
      <c r="CV8" s="61">
        <v>14.44</v>
      </c>
      <c r="CW8" s="61">
        <v>0</v>
      </c>
      <c r="CX8" s="72"/>
      <c r="CY8" s="11">
        <f>IF(SUM(CD8:CG8)-CH8&gt;0,SUM(CD8:CG8)-CH8,"")</f>
        <v>48.089999999999996</v>
      </c>
      <c r="CZ8" s="11">
        <f>IF(CK8&gt;0,CK8,"")</f>
        <v>6.8</v>
      </c>
      <c r="DA8" s="11">
        <f>IF(SUM(CI8:CL8)-CM8&gt;0,SUM(CI8:CL8)-CM8,"")</f>
        <v>26.125</v>
      </c>
      <c r="DB8" s="11">
        <f>IF(CP8&gt;0,CP8,"")</f>
        <v>14.2</v>
      </c>
      <c r="DC8" s="11">
        <f>IF(SUM(CN8:CQ8)-CR8&gt;0,SUM(CN8:CQ8)-CR8,"")</f>
        <v>52.78</v>
      </c>
      <c r="DD8" s="11">
        <f>IF(CY8="",IF(MAX(DA8,DC8)&gt;0,MAX(DA8,DC8),""),MAX(DA8,DC8)+CY8)</f>
        <v>100.87</v>
      </c>
      <c r="DE8" s="11">
        <f>IF(CU8&gt;0,CU8,"")</f>
        <v>11.9</v>
      </c>
      <c r="DF8" s="11">
        <f>IF(SUM(CS8:CV8)-CW8&gt;0,SUM(CS8:CV8)-CW8,"")</f>
        <v>46.44</v>
      </c>
      <c r="DG8" s="11">
        <f>IF(SUM(DD8,DF8)&gt;0,SUM(DD8,DF8),"")</f>
        <v>147.31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16.350000000000001</v>
      </c>
      <c r="NQ8" s="61">
        <f>IF($CX8="P",CE8,(CE8+BA8)/2)</f>
        <v>9.35</v>
      </c>
      <c r="NR8" s="61">
        <f>IF($CX8="P",CF8,(CF8+BB8)/2)</f>
        <v>4.0999999999999996</v>
      </c>
      <c r="NS8" s="61">
        <f>IF($CX8="P",CG8,(CG8+BC8)/2)</f>
        <v>16.7425</v>
      </c>
      <c r="NT8" s="61">
        <f>IF($CX8="P",CH8,(CH8+BD8)/2)</f>
        <v>0</v>
      </c>
      <c r="NU8" s="61">
        <f>IF($CX8="P",CI8,(CI8+BE8)/2)</f>
        <v>10.3</v>
      </c>
      <c r="NV8" s="61">
        <f>IF($CX8="P",CJ8,(CJ8+BF8)/2)</f>
        <v>6.9</v>
      </c>
      <c r="NW8" s="61">
        <f>IF($CX8="P",CK8,(CK8+BG8)/2)</f>
        <v>10.6</v>
      </c>
      <c r="NX8" s="61">
        <f>IF($CX8="P",CL8,(CL8+BH8)/2)</f>
        <v>12.21</v>
      </c>
      <c r="NY8" s="61">
        <f>IF($CX8="P",CM8,(CM8+BI8)/2)</f>
        <v>0</v>
      </c>
      <c r="NZ8" s="61">
        <f>IF($CX8="P",CN8,(CN8+BJ8)/2)</f>
        <v>8.3000000000000007</v>
      </c>
      <c r="OA8" s="61">
        <f>IF($CX8="P",CO8,(CO8+BK8)/2)</f>
        <v>5.25</v>
      </c>
      <c r="OB8" s="61">
        <f>IF($CX8="P",CP8,(CP8+BL8)/2)</f>
        <v>8.6999999999999993</v>
      </c>
      <c r="OC8" s="61">
        <f>IF($CX8="P",CQ8,(CQ8+BM8)/2)</f>
        <v>9.7175000000000011</v>
      </c>
      <c r="OD8" s="61">
        <f>IF($CX8="P",CR8,(CR8+BN8)/2)</f>
        <v>0</v>
      </c>
      <c r="OE8" s="61">
        <f>IF($CX8="P",CS8,(CS8+BO8)/2)</f>
        <v>8.25</v>
      </c>
      <c r="OF8" s="61">
        <f>IF($CX8="P",CT8,(CT8+BP8)/2)</f>
        <v>5.45</v>
      </c>
      <c r="OG8" s="61">
        <f>IF($CX8="P",CU8,(CU8+BQ8)/2)</f>
        <v>7.85</v>
      </c>
      <c r="OH8" s="61">
        <f>IF($CX8="P",CV8,(CV8+BR8)/2)</f>
        <v>9.6950000000000003</v>
      </c>
      <c r="OI8" s="61">
        <f>IF($CX8="P",CW8,(CW8+BS8)/2)</f>
        <v>0</v>
      </c>
      <c r="OJ8" s="72" t="s">
        <v>52</v>
      </c>
      <c r="OK8" s="11">
        <f>IF(SUM(NP8:NS8)-NT8&gt;0,SUM(NP8:NS8)-NT8,"")</f>
        <v>46.542500000000004</v>
      </c>
      <c r="OL8" s="11">
        <f>IF(NW8&gt;0,NW8,"")</f>
        <v>10.6</v>
      </c>
      <c r="OM8" s="11">
        <f>IF(SUM(NU8:NX8)-NY8&gt;0,SUM(NU8:NX8)-NY8,"")</f>
        <v>40.010000000000005</v>
      </c>
      <c r="ON8" s="11">
        <f>IF(OB8&gt;0,OB8,"")</f>
        <v>8.6999999999999993</v>
      </c>
      <c r="OO8" s="11">
        <f>IF(SUM(NZ8:OC8)-OD8&gt;0,SUM(NZ8:OC8)-OD8,"")</f>
        <v>31.967500000000001</v>
      </c>
      <c r="OP8" s="11">
        <f>IF(OR(OK8&lt;&gt;"",OM8&lt;&gt;"",OO8&lt;&gt;""),OK8+MAX(OM8,OO8),"")</f>
        <v>86.552500000000009</v>
      </c>
      <c r="OQ8" s="11">
        <f>IF(OG8&gt;0,OG8,"")</f>
        <v>7.85</v>
      </c>
      <c r="OR8" s="11">
        <f t="shared" si="0"/>
        <v>31.244999999999997</v>
      </c>
      <c r="OS8" s="11">
        <f t="shared" si="1"/>
        <v>117.79750000000001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77</v>
      </c>
      <c r="C9" s="7" t="s">
        <v>3</v>
      </c>
      <c r="D9" s="7">
        <v>2003</v>
      </c>
      <c r="E9" s="15">
        <f>SUM(O9:S9)+K9/1000000</f>
        <v>106.67510048500002</v>
      </c>
      <c r="F9" s="3" t="str">
        <f>IF(G9&lt;&gt;"","P","")</f>
        <v>P</v>
      </c>
      <c r="G9" s="115" t="str">
        <f>IF(OR(AND(AR9&gt;=AY$27,AR9&lt;&gt;"",AP9=""),AND(AT9&gt;=AY$27,AT9&lt;&gt;"",AP9=""),AND(AW9&gt;=AY$27,AW9&lt;&gt;"",AP9=""),AND(BV9&gt;=CC$27,BV9&lt;&gt;"",BT9=""),AND(BX9&gt;=CC$27,BX9&lt;&gt;"",BT9=""),AND(CA9&gt;=CC$27,CA9&lt;&gt;"",BT9=""),AND(CZ9&gt;=DG$27,CZ9&lt;&gt;"",CX9=""),AND(DB9&gt;=DG$27,DB9&lt;&gt;"",CX9=""),AND(DE9&gt;=DG$27,DE9&lt;&gt;"",CX9=""),AND(EA9&gt;=EG$27,EA9&lt;&gt;""),AND(EE9&gt;=EG$27,EE9&lt;&gt;""),AND(EW9&gt;=FC$27,EW9&lt;&gt;""),AND(FA9&gt;=FC$27,FA9&lt;&gt;""),AND(FS9&gt;=FY$27,FS9&lt;&gt;""),AND(FW9&gt;=FY$27,FW9&lt;&gt;""),AND(GO9&gt;=GU$27,GO9&lt;&gt;""),AND(GS9&gt;=GU$27,GS9&lt;&gt;""),AND(HK9&gt;=HQ$27,HK9&lt;&gt;""),AND(HO9&gt;=HQ$27,HO9&lt;&gt;""),AND(IG9&gt;=IM$27,IG9&lt;&gt;""),AND(IK9&gt;=IM$27,IK9&lt;&gt;""),AND(JC9&gt;=JI$27,JC9&lt;&gt;""),AND(JG9&gt;=JI$27,JG9&lt;&gt;""),AND(JY9&gt;=KE$27,JY9&lt;&gt;""),AND(KC9&gt;=KE$27,KC9&lt;&gt;""),AND(KU9&gt;=LA$27,KU9&lt;&gt;""),AND(KY9&gt;=LA$27,KY9&lt;&gt;""),AND(LQ9&gt;=LW$27,LQ9&lt;&gt;""),AND(LU9&gt;=LW$27,LU9&lt;&gt;""),AND(MM9&gt;=MS$27,MM9&lt;&gt;""),AND(MQ9&gt;=MS$27,MQ9&lt;&gt;""),AND(NI9&gt;=NO$27,NI9&lt;&gt;""),AND(NM9&gt;=NO$27,NM9&lt;&gt;"")),"Merit",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Excellence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Worlds Team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National Team",""))))</f>
        <v>National Team</v>
      </c>
      <c r="H9" s="115" t="str">
        <f>IF(OR(AND(AS9&gt;=AY$28,AS9&lt;&gt;"",AP9=""),AND(AU9&gt;=AY$28,AU9&lt;&gt;"",AP9=""),AND(AX9&gt;=AY$28,AX9&lt;&gt;"",AP9=""),AND(BW9&gt;=CC$28,BW9&lt;&gt;"",BT9=""),AND(BY9&gt;=CC$28,BY9&lt;&gt;"",BT9=""),AND(CB9&gt;=CC$28,CB9&lt;&gt;"",BT9=""),AND(DA9&gt;=DG$28,DA9&lt;&gt;"",CX9=""),AND(DC9&gt;=DG$28,DC9&lt;&gt;"",CX9=""),AND(DF9&gt;=DG$28,DF9&lt;&gt;"",CX9=""),AND(EC9&gt;=EG$28,EC9&lt;&gt;""),AND(EF9&gt;=EG$28,EF9&lt;&gt;""),AND(EY9&gt;=FC$28,EY9&lt;&gt;""),AND(FB9&gt;=FC$28,FB9&lt;&gt;""),AND(FU9&gt;=FY$28,FU9&lt;&gt;""),AND(FX9&gt;=FY$28,FX9&lt;&gt;""),AND(GQ9&gt;=GU$28,GQ9&lt;&gt;""),AND(GT9&gt;=GU$28,GT9&lt;&gt;""),AND(HM9&gt;=HQ$28,HM9&lt;&gt;""),AND(HP9&gt;=HQ$28,HP9&lt;&gt;""),AND(II9&gt;=IM$28,II9&lt;&gt;""),AND(IL9&gt;=IM$28,IL9&lt;&gt;""),AND(JE9&gt;=JI$28,JE9&lt;&gt;""),AND(JH9&gt;=JI$28,JH9&lt;&gt;""),AND(KA9&gt;=KE$28,KA9&lt;&gt;""),AND(KD9&gt;=KE$28,KD9&lt;&gt;""),AND(KW9&gt;=LA$28,KW9&lt;&gt;""),AND(KZ9&gt;=LA$28,KZ9&lt;&gt;""),AND(LS9&gt;=LW$28,LS9&lt;&gt;""),AND(LV9&gt;=LW$28,LV9&lt;&gt;""),AND(MO9&gt;=MS$28,MO9&lt;&gt;""),AND(MR9&gt;=MS$28,MR9&lt;&gt;""),AND(NK9&gt;=NO$28,NK9&lt;&gt;""),AND(NN9&gt;=NO$28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$29,AV9&lt;&gt;"",AP9=""),AND(BZ9&gt;=CC$29,BZ9&lt;&gt;"",BT9=""),AND(DD9&gt;=DG$29,DD9&lt;&gt;"",CX9=""),AND(ED9&gt;=EG$29,ED9&lt;&gt;""),AND(EZ9&gt;=FC$29,EZ9&lt;&gt;""),AND(FV9&gt;=FY$29,FV9&lt;&gt;""),AND(GR9&gt;=GU$29,GR9&lt;&gt;""),AND(HN9&gt;=HQ$29,HN9&lt;&gt;""),AND(IJ9&gt;=IM$29,IJ9&lt;&gt;""),AND(JF9&gt;=JI$29,JF9&lt;&gt;""),AND(KB9&gt;=KE$29,KB9&lt;&gt;""),AND(KX9&gt;=LA$29,KX9&lt;&gt;""),AND(LT9&gt;=LW$29,LT9&lt;&gt;""),AND(MP9&gt;=MS$29,MP9&lt;&gt;""),AND(NL9&gt;=NO$29,NL9&lt;&gt;"")),OR(G9="Worlds Team",G9="Excellence",G9="Merit")),"P","")</f>
        <v/>
      </c>
      <c r="K9" s="14">
        <f>IF(MAX(AV9,BZ9,DD9)&gt;0,MAX(AV9,BZ9,DD9),0)</f>
        <v>100.485</v>
      </c>
      <c r="L9" s="14" t="str">
        <f>IF(K9=0,"",IF(K9=DD9,$CD$1,IF(K9=BZ9,$AZ$1,IF(K9=AV9,$V$1,""))))</f>
        <v>2021 2nd Virtual Technical Trial</v>
      </c>
      <c r="M9" s="14">
        <f>IF($K9=$AV9,MAX(BU9,CY9),IF($K9=$BZ9,MAX(AQ9,CY9),IF($K9=$DD9,MAX(AQ9,BU9),MAX(AQ9,BU9,CY9))))</f>
        <v>45.96</v>
      </c>
      <c r="N9" s="14" t="str">
        <f>IF(M9=0,"",IF(AND(M9=CY9,$L9&lt;&gt;$CD$1),$CD$1,IF(AND(M9=BU9,$L9&lt;&gt;$AZ$1),$AZ$1,IF(AND(M9=AQ9,$L9&lt;&gt;$V$1),$V$1,""))))</f>
        <v>2021 Elite Canada</v>
      </c>
      <c r="O9" s="14">
        <f>MAX(AS9,AU9,AX9,BW9,BY9,CB9,DA9,DC9,DF9)</f>
        <v>53.53</v>
      </c>
      <c r="P9" s="14" t="str">
        <f>IF(O9=0,"",IF(OR(O9=DC9,O9=DA9,O9=DF9),$CD$1,IF(OR(O9=BY9,O9=BW9,O9=CB9),$AZ$1,IF(OR(O9=AU9,O9=AS9,O9=AX9),$V$1,""))))</f>
        <v>2021 Canadian Championships</v>
      </c>
      <c r="Q9" s="14">
        <f>IF(COUNT(AS9,AU9,AX9,BW9,BY9,CB9,DA9,DC9,DF9)&gt;1,LARGE((AS9,AU9,AX9,BW9,BY9,CB9,DA9,DC9,DF9),2),0)</f>
        <v>53.145000000000003</v>
      </c>
      <c r="R9" s="14" t="str">
        <f>IF(Q9=0,"",IF(OR(Q9=DC9,Q9=DA9,Q9=DF9),$CD$1,IF(OR(Q9=BY9,Q9=BW9,Q9=CB9),$AZ$1,IF(OR(Q9=AU9,Q9=AS9,Q9=AX9),$V$1,""))))</f>
        <v>2021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>
        <v>16.899999999999999</v>
      </c>
      <c r="W9" s="61">
        <v>9.1999999999999993</v>
      </c>
      <c r="X9" s="61">
        <v>5.2</v>
      </c>
      <c r="Y9" s="61">
        <v>16.11</v>
      </c>
      <c r="Z9" s="61">
        <v>0</v>
      </c>
      <c r="AA9" s="61">
        <v>13.8</v>
      </c>
      <c r="AB9" s="61">
        <v>9.1999999999999993</v>
      </c>
      <c r="AC9" s="61">
        <v>14.4</v>
      </c>
      <c r="AD9" s="61">
        <v>15.675000000000001</v>
      </c>
      <c r="AE9" s="61">
        <v>0</v>
      </c>
      <c r="AF9" s="61">
        <v>4</v>
      </c>
      <c r="AG9" s="61">
        <v>2.4</v>
      </c>
      <c r="AH9" s="61">
        <v>5.0999999999999996</v>
      </c>
      <c r="AI9" s="61">
        <v>5</v>
      </c>
      <c r="AJ9" s="61">
        <v>0</v>
      </c>
      <c r="AK9" s="61">
        <v>4</v>
      </c>
      <c r="AL9" s="61">
        <v>2.5</v>
      </c>
      <c r="AM9" s="61">
        <v>5.0999999999999996</v>
      </c>
      <c r="AN9" s="61">
        <v>4.8849999999999998</v>
      </c>
      <c r="AO9" s="61">
        <v>0</v>
      </c>
      <c r="AP9" s="72"/>
      <c r="AQ9" s="11">
        <f>IF(SUM(V9:Y9)-Z9&gt;0,SUM(V9:Y9)-Z9,"")</f>
        <v>47.41</v>
      </c>
      <c r="AR9" s="11">
        <f>IF(AC9&gt;0,AC9,"")</f>
        <v>14.4</v>
      </c>
      <c r="AS9" s="11">
        <f>IF(SUM(AA9:AD9)-AE9&gt;0,SUM(AA9:AD9)-AE9,"")</f>
        <v>53.075000000000003</v>
      </c>
      <c r="AT9" s="11">
        <f>IF(AH9&gt;0,AH9,"")</f>
        <v>5.0999999999999996</v>
      </c>
      <c r="AU9" s="11">
        <f>IF(SUM(AF9:AI9)-AJ9&gt;0,SUM(AF9:AI9)-AJ9,"")</f>
        <v>16.5</v>
      </c>
      <c r="AV9" s="11">
        <f>IF(AQ9="",IF(MAX(AS9,AU9)&gt;0,MAX(AS9,AU9),""),MAX(AS9,AU9)+AQ9)</f>
        <v>100.485</v>
      </c>
      <c r="AW9" s="11">
        <f>IF(AM9&gt;0,AM9,"")</f>
        <v>5.0999999999999996</v>
      </c>
      <c r="AX9" s="11">
        <f>IF(SUM(AK9:AN9)-AO9&gt;0,SUM(AK9:AN9)-AO9,"")</f>
        <v>16.484999999999999</v>
      </c>
      <c r="AY9" s="11">
        <f>IF(SUM(AV9,AX9)&gt;0,SUM(AV9,AX9),"")</f>
        <v>116.97</v>
      </c>
      <c r="AZ9" s="67">
        <v>15.4</v>
      </c>
      <c r="BA9" s="67">
        <v>8.9</v>
      </c>
      <c r="BB9" s="67">
        <v>5.2</v>
      </c>
      <c r="BC9" s="67">
        <v>16.46</v>
      </c>
      <c r="BD9" s="67">
        <v>0</v>
      </c>
      <c r="BE9" s="67">
        <v>14</v>
      </c>
      <c r="BF9" s="67">
        <v>8.8000000000000007</v>
      </c>
      <c r="BG9" s="67">
        <v>14.4</v>
      </c>
      <c r="BH9" s="67">
        <v>15.945</v>
      </c>
      <c r="BI9" s="67">
        <v>0</v>
      </c>
      <c r="BJ9" s="67">
        <v>13.2</v>
      </c>
      <c r="BK9" s="67">
        <v>8.6999999999999993</v>
      </c>
      <c r="BL9" s="67">
        <v>14.4</v>
      </c>
      <c r="BM9" s="67">
        <v>15.88</v>
      </c>
      <c r="BN9" s="67">
        <v>0</v>
      </c>
      <c r="BO9" s="67">
        <v>10.8</v>
      </c>
      <c r="BP9" s="67">
        <v>8.3000000000000007</v>
      </c>
      <c r="BQ9" s="67">
        <v>14.4</v>
      </c>
      <c r="BR9" s="67">
        <v>16.024999999999999</v>
      </c>
      <c r="BS9" s="67">
        <v>0</v>
      </c>
      <c r="BT9" s="73"/>
      <c r="BU9" s="14">
        <f>IF(SUM(AZ9:BC9)-BD9&gt;0,SUM(AZ9:BC9)-BD9,"")</f>
        <v>45.96</v>
      </c>
      <c r="BV9" s="14">
        <f>IF(BG9&gt;0,BG9,"")</f>
        <v>14.4</v>
      </c>
      <c r="BW9" s="14">
        <f>IF(SUM(BE9:BH9)-BI9&gt;0,SUM(BE9:BH9)-BI9,"")</f>
        <v>53.145000000000003</v>
      </c>
      <c r="BX9" s="14">
        <f>IF(BL9&gt;0,BL9,"")</f>
        <v>14.4</v>
      </c>
      <c r="BY9" s="14">
        <f>IF(SUM(BJ9:BM9)-BN9&gt;0,SUM(BJ9:BM9)-BN9,"")</f>
        <v>52.18</v>
      </c>
      <c r="BZ9" s="14">
        <f>IF(BU9="",IF(MAX(BW9,BY9)&gt;0,MAX(BW9,BY9),""),MAX(BW9,BY9)+BU9)</f>
        <v>99.105000000000004</v>
      </c>
      <c r="CA9" s="14">
        <f>IF(BQ9&gt;0,BQ9,"")</f>
        <v>14.4</v>
      </c>
      <c r="CB9" s="14">
        <f>IF(SUM(BO9:BR9)-BS9&gt;0,SUM(BO9:BR9)-BS9,"")</f>
        <v>49.524999999999999</v>
      </c>
      <c r="CC9" s="14">
        <f>IF(SUM(BZ9,CB9)&gt;0,SUM(BZ9,CB9),"")</f>
        <v>148.63</v>
      </c>
      <c r="CD9" s="61">
        <v>15.4</v>
      </c>
      <c r="CE9" s="61">
        <v>8.1999999999999993</v>
      </c>
      <c r="CF9" s="61">
        <v>3.8</v>
      </c>
      <c r="CG9" s="61">
        <v>14.565</v>
      </c>
      <c r="CH9" s="61">
        <v>0</v>
      </c>
      <c r="CI9" s="61">
        <v>14.3</v>
      </c>
      <c r="CJ9" s="61">
        <v>9</v>
      </c>
      <c r="CK9" s="61">
        <v>14.4</v>
      </c>
      <c r="CL9" s="61">
        <v>15.83</v>
      </c>
      <c r="CM9" s="61">
        <v>0</v>
      </c>
      <c r="CN9" s="61">
        <v>2.9</v>
      </c>
      <c r="CO9" s="61">
        <v>1.7</v>
      </c>
      <c r="CP9" s="61">
        <v>3.4</v>
      </c>
      <c r="CQ9" s="61">
        <v>3.4</v>
      </c>
      <c r="CR9" s="61">
        <v>0</v>
      </c>
      <c r="CS9" s="61">
        <v>13.4</v>
      </c>
      <c r="CT9" s="61">
        <v>8.5</v>
      </c>
      <c r="CU9" s="61">
        <v>14.4</v>
      </c>
      <c r="CV9" s="61">
        <v>15.62</v>
      </c>
      <c r="CW9" s="61">
        <v>0</v>
      </c>
      <c r="CX9" s="72"/>
      <c r="CY9" s="11">
        <f>IF(SUM(CD9:CG9)-CH9&gt;0,SUM(CD9:CG9)-CH9,"")</f>
        <v>41.965000000000003</v>
      </c>
      <c r="CZ9" s="11">
        <f>IF(CK9&gt;0,CK9,"")</f>
        <v>14.4</v>
      </c>
      <c r="DA9" s="11">
        <f>IF(SUM(CI9:CL9)-CM9&gt;0,SUM(CI9:CL9)-CM9,"")</f>
        <v>53.53</v>
      </c>
      <c r="DB9" s="11">
        <f>IF(CP9&gt;0,CP9,"")</f>
        <v>3.4</v>
      </c>
      <c r="DC9" s="11">
        <f>IF(SUM(CN9:CQ9)-CR9&gt;0,SUM(CN9:CQ9)-CR9,"")</f>
        <v>11.4</v>
      </c>
      <c r="DD9" s="11">
        <f>IF(CY9="",IF(MAX(DA9,DC9)&gt;0,MAX(DA9,DC9),""),MAX(DA9,DC9)+CY9)</f>
        <v>95.495000000000005</v>
      </c>
      <c r="DE9" s="11">
        <f>IF(CU9&gt;0,CU9,"")</f>
        <v>14.4</v>
      </c>
      <c r="DF9" s="11">
        <f>IF(SUM(CS9:CV9)-CW9&gt;0,SUM(CS9:CV9)-CW9,"")</f>
        <v>51.919999999999995</v>
      </c>
      <c r="DG9" s="11">
        <f>IF(SUM(DD9,DF9)&gt;0,SUM(DD9,DF9),"")</f>
        <v>147.41499999999999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15.4</v>
      </c>
      <c r="NQ9" s="61">
        <f>IF($CX9="P",CE9,(CE9+BA9)/2)</f>
        <v>8.5500000000000007</v>
      </c>
      <c r="NR9" s="61">
        <f>IF($CX9="P",CF9,(CF9+BB9)/2)</f>
        <v>4.5</v>
      </c>
      <c r="NS9" s="61">
        <f>IF($CX9="P",CG9,(CG9+BC9)/2)</f>
        <v>15.512499999999999</v>
      </c>
      <c r="NT9" s="61">
        <f>IF($CX9="P",CH9,(CH9+BD9)/2)</f>
        <v>0</v>
      </c>
      <c r="NU9" s="61">
        <f>IF($CX9="P",CI9,(CI9+BE9)/2)</f>
        <v>14.15</v>
      </c>
      <c r="NV9" s="61">
        <f>IF($CX9="P",CJ9,(CJ9+BF9)/2)</f>
        <v>8.9</v>
      </c>
      <c r="NW9" s="61">
        <f>IF($CX9="P",CK9,(CK9+BG9)/2)</f>
        <v>14.4</v>
      </c>
      <c r="NX9" s="61">
        <f>IF($CX9="P",CL9,(CL9+BH9)/2)</f>
        <v>15.887499999999999</v>
      </c>
      <c r="NY9" s="61">
        <f>IF($CX9="P",CM9,(CM9+BI9)/2)</f>
        <v>0</v>
      </c>
      <c r="NZ9" s="61">
        <f>IF($CX9="P",CN9,(CN9+BJ9)/2)</f>
        <v>8.0499999999999989</v>
      </c>
      <c r="OA9" s="61">
        <f>IF($CX9="P",CO9,(CO9+BK9)/2)</f>
        <v>5.1999999999999993</v>
      </c>
      <c r="OB9" s="61">
        <f>IF($CX9="P",CP9,(CP9+BL9)/2)</f>
        <v>8.9</v>
      </c>
      <c r="OC9" s="61">
        <f>IF($CX9="P",CQ9,(CQ9+BM9)/2)</f>
        <v>9.64</v>
      </c>
      <c r="OD9" s="61">
        <f>IF($CX9="P",CR9,(CR9+BN9)/2)</f>
        <v>0</v>
      </c>
      <c r="OE9" s="61">
        <f>IF($CX9="P",CS9,(CS9+BO9)/2)</f>
        <v>12.100000000000001</v>
      </c>
      <c r="OF9" s="61">
        <f>IF($CX9="P",CT9,(CT9+BP9)/2)</f>
        <v>8.4</v>
      </c>
      <c r="OG9" s="61">
        <f>IF($CX9="P",CU9,(CU9+BQ9)/2)</f>
        <v>14.4</v>
      </c>
      <c r="OH9" s="61">
        <f>IF($CX9="P",CV9,(CV9+BR9)/2)</f>
        <v>15.822499999999998</v>
      </c>
      <c r="OI9" s="61">
        <f>IF($CX9="P",CW9,(CW9+BS9)/2)</f>
        <v>0</v>
      </c>
      <c r="OJ9" s="72" t="s">
        <v>52</v>
      </c>
      <c r="OK9" s="11">
        <f>IF(SUM(NP9:NS9)-NT9&gt;0,SUM(NP9:NS9)-NT9,"")</f>
        <v>43.962500000000006</v>
      </c>
      <c r="OL9" s="11">
        <f>IF(NW9&gt;0,NW9,"")</f>
        <v>14.4</v>
      </c>
      <c r="OM9" s="11">
        <f>IF(SUM(NU9:NX9)-NY9&gt;0,SUM(NU9:NX9)-NY9,"")</f>
        <v>53.337500000000006</v>
      </c>
      <c r="ON9" s="11">
        <f>IF(OB9&gt;0,OB9,"")</f>
        <v>8.9</v>
      </c>
      <c r="OO9" s="11">
        <f>IF(SUM(NZ9:OC9)-OD9&gt;0,SUM(NZ9:OC9)-OD9,"")</f>
        <v>31.79</v>
      </c>
      <c r="OP9" s="11">
        <f>IF(OR(OK9&lt;&gt;"",OM9&lt;&gt;"",OO9&lt;&gt;""),OK9+MAX(OM9,OO9),"")</f>
        <v>97.300000000000011</v>
      </c>
      <c r="OQ9" s="11">
        <f>IF(OG9&gt;0,OG9,"")</f>
        <v>14.4</v>
      </c>
      <c r="OR9" s="11">
        <f t="shared" si="0"/>
        <v>50.722499999999997</v>
      </c>
      <c r="OS9" s="11">
        <f t="shared" si="1"/>
        <v>148.02250000000001</v>
      </c>
    </row>
    <row r="10" spans="1:409" x14ac:dyDescent="0.2">
      <c r="A10" s="5" t="str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/>
      </c>
      <c r="B10" s="6" t="s">
        <v>85</v>
      </c>
      <c r="C10" s="7" t="s">
        <v>4</v>
      </c>
      <c r="D10" s="26">
        <v>2003</v>
      </c>
      <c r="E10" s="15">
        <f>SUM(O10:S10)+K10/1000000</f>
        <v>102.000096715</v>
      </c>
      <c r="F10" s="3" t="str">
        <f>IF(G10&lt;&gt;"","P","")</f>
        <v>P</v>
      </c>
      <c r="G10" s="115" t="str">
        <f>IF(OR(AND(AR10&gt;=AY$27,AR10&lt;&gt;"",AP10=""),AND(AT10&gt;=AY$27,AT10&lt;&gt;"",AP10=""),AND(AW10&gt;=AY$27,AW10&lt;&gt;"",AP10=""),AND(BV10&gt;=CC$27,BV10&lt;&gt;"",BT10=""),AND(BX10&gt;=CC$27,BX10&lt;&gt;"",BT10=""),AND(CA10&gt;=CC$27,CA10&lt;&gt;"",BT10=""),AND(CZ10&gt;=DG$27,CZ10&lt;&gt;"",CX10=""),AND(DB10&gt;=DG$27,DB10&lt;&gt;"",CX10=""),AND(DE10&gt;=DG$27,DE10&lt;&gt;"",CX10=""),AND(EA10&gt;=EG$27,EA10&lt;&gt;""),AND(EE10&gt;=EG$27,EE10&lt;&gt;""),AND(EW10&gt;=FC$27,EW10&lt;&gt;""),AND(FA10&gt;=FC$27,FA10&lt;&gt;""),AND(FS10&gt;=FY$27,FS10&lt;&gt;""),AND(FW10&gt;=FY$27,FW10&lt;&gt;""),AND(GO10&gt;=GU$27,GO10&lt;&gt;""),AND(GS10&gt;=GU$27,GS10&lt;&gt;""),AND(HK10&gt;=HQ$27,HK10&lt;&gt;""),AND(HO10&gt;=HQ$27,HO10&lt;&gt;""),AND(IG10&gt;=IM$27,IG10&lt;&gt;""),AND(IK10&gt;=IM$27,IK10&lt;&gt;""),AND(JC10&gt;=JI$27,JC10&lt;&gt;""),AND(JG10&gt;=JI$27,JG10&lt;&gt;""),AND(JY10&gt;=KE$27,JY10&lt;&gt;""),AND(KC10&gt;=KE$27,KC10&lt;&gt;""),AND(KU10&gt;=LA$27,KU10&lt;&gt;""),AND(KY10&gt;=LA$27,KY10&lt;&gt;""),AND(LQ10&gt;=LW$27,LQ10&lt;&gt;""),AND(LU10&gt;=LW$27,LU10&lt;&gt;""),AND(MM10&gt;=MS$27,MM10&lt;&gt;""),AND(MQ10&gt;=MS$27,MQ10&lt;&gt;""),AND(NI10&gt;=NO$27,NI10&lt;&gt;""),AND(NM10&gt;=NO$27,NM10&lt;&gt;"")),"Merit",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Excellence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Worlds Team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National Team",""))))</f>
        <v>National Team</v>
      </c>
      <c r="H10" s="115" t="str">
        <f>IF(OR(AND(AS10&gt;=AY$28,AS10&lt;&gt;"",AP10=""),AND(AU10&gt;=AY$28,AU10&lt;&gt;"",AP10=""),AND(AX10&gt;=AY$28,AX10&lt;&gt;"",AP10=""),AND(BW10&gt;=CC$28,BW10&lt;&gt;"",BT10=""),AND(BY10&gt;=CC$28,BY10&lt;&gt;"",BT10=""),AND(CB10&gt;=CC$28,CB10&lt;&gt;"",BT10=""),AND(DA10&gt;=DG$28,DA10&lt;&gt;"",CX10=""),AND(DC10&gt;=DG$28,DC10&lt;&gt;"",CX10=""),AND(DF10&gt;=DG$28,DF10&lt;&gt;"",CX10=""),AND(EC10&gt;=EG$28,EC10&lt;&gt;""),AND(EF10&gt;=EG$28,EF10&lt;&gt;""),AND(EY10&gt;=FC$28,EY10&lt;&gt;""),AND(FB10&gt;=FC$28,FB10&lt;&gt;""),AND(FU10&gt;=FY$28,FU10&lt;&gt;""),AND(FX10&gt;=FY$28,FX10&lt;&gt;""),AND(GQ10&gt;=GU$28,GQ10&lt;&gt;""),AND(GT10&gt;=GU$28,GT10&lt;&gt;""),AND(HM10&gt;=HQ$28,HM10&lt;&gt;""),AND(HP10&gt;=HQ$28,HP10&lt;&gt;""),AND(II10&gt;=IM$28,II10&lt;&gt;""),AND(IL10&gt;=IM$28,IL10&lt;&gt;""),AND(JE10&gt;=JI$28,JE10&lt;&gt;""),AND(JH10&gt;=JI$28,JH10&lt;&gt;""),AND(KA10&gt;=KE$28,KA10&lt;&gt;""),AND(KD10&gt;=KE$28,KD10&lt;&gt;""),AND(KW10&gt;=LA$28,KW10&lt;&gt;""),AND(KZ10&gt;=LA$28,KZ10&lt;&gt;""),AND(LS10&gt;=LW$28,LS10&lt;&gt;""),AND(LV10&gt;=LW$28,LV10&lt;&gt;""),AND(MO10&gt;=MS$28,MO10&lt;&gt;""),AND(MR10&gt;=MS$28,MR10&lt;&gt;""),AND(NK10&gt;=NO$28,NK10&lt;&gt;""),AND(NN10&gt;=NO$28,NN10&lt;&gt;"")),"National Team","")</f>
        <v/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/>
      </c>
      <c r="J10" s="3" t="str">
        <f>IF(AND(OR(AND(AV10&gt;=AY$29,AV10&lt;&gt;"",AP10=""),AND(BZ10&gt;=CC$29,BZ10&lt;&gt;"",BT10=""),AND(DD10&gt;=DG$29,DD10&lt;&gt;"",CX10=""),AND(ED10&gt;=EG$29,ED10&lt;&gt;""),AND(EZ10&gt;=FC$29,EZ10&lt;&gt;""),AND(FV10&gt;=FY$29,FV10&lt;&gt;""),AND(GR10&gt;=GU$29,GR10&lt;&gt;""),AND(HN10&gt;=HQ$29,HN10&lt;&gt;""),AND(IJ10&gt;=IM$29,IJ10&lt;&gt;""),AND(JF10&gt;=JI$29,JF10&lt;&gt;""),AND(KB10&gt;=KE$29,KB10&lt;&gt;""),AND(KX10&gt;=LA$29,KX10&lt;&gt;""),AND(LT10&gt;=LW$29,LT10&lt;&gt;""),AND(MP10&gt;=MS$29,MP10&lt;&gt;""),AND(NL10&gt;=NO$29,NL10&lt;&gt;"")),OR(G10="Worlds Team",G10="Excellence",G10="Merit")),"P","")</f>
        <v/>
      </c>
      <c r="K10" s="14">
        <f>IF(MAX(AV10,BZ10,DD10)&gt;0,MAX(AV10,BZ10,DD10),0)</f>
        <v>96.715000000000003</v>
      </c>
      <c r="L10" s="14" t="str">
        <f>IF(K10=0,"",IF(K10=DD10,$CD$1,IF(K10=BZ10,$AZ$1,IF(K10=AV10,$V$1,""))))</f>
        <v>2021 Elite Canada</v>
      </c>
      <c r="M10" s="14">
        <f>IF($K10=$AV10,MAX(BU10,CY10),IF($K10=$BZ10,MAX(AQ10,CY10),IF($K10=$DD10,MAX(AQ10,BU10),MAX(AQ10,BU10,CY10))))</f>
        <v>45.884999999999998</v>
      </c>
      <c r="N10" s="14" t="str">
        <f>IF(M10=0,"",IF(AND(M10=CY10,$L10&lt;&gt;$CD$1),$CD$1,IF(AND(M10=BU10,$L10&lt;&gt;$AZ$1),$AZ$1,IF(AND(M10=AQ10,$L10&lt;&gt;$V$1),$V$1,""))))</f>
        <v>2021 Canadian Championships</v>
      </c>
      <c r="O10" s="14">
        <f>MAX(AS10,AU10,AX10,BW10,BY10,CB10,DA10,DC10,DF10)</f>
        <v>51.35</v>
      </c>
      <c r="P10" s="14" t="str">
        <f>IF(O10=0,"",IF(OR(O10=DC10,O10=DA10,O10=DF10),$CD$1,IF(OR(O10=BY10,O10=BW10,O10=CB10),$AZ$1,IF(OR(O10=AU10,O10=AS10,O10=AX10),$V$1,""))))</f>
        <v>2021 Elite Canada</v>
      </c>
      <c r="Q10" s="14">
        <f>IF(COUNT(AS10,AU10,AX10,BW10,BY10,CB10,DA10,DC10,DF10)&gt;1,LARGE((AS10,AU10,AX10,BW10,BY10,CB10,DA10,DC10,DF10),2),0)</f>
        <v>50.65</v>
      </c>
      <c r="R10" s="14" t="str">
        <f>IF(Q10=0,"",IF(OR(Q10=DC10,Q10=DA10,Q10=DF10),$CD$1,IF(OR(Q10=BY10,Q10=BW10,Q10=CB10),$AZ$1,IF(OR(Q10=AU10,Q10=AS10,Q10=AX10),$V$1,""))))</f>
        <v>2021 Elite Canada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17.3</v>
      </c>
      <c r="W10" s="61">
        <v>9.6999999999999993</v>
      </c>
      <c r="X10" s="61">
        <v>2.9</v>
      </c>
      <c r="Y10" s="61">
        <v>14.96</v>
      </c>
      <c r="Z10" s="61">
        <v>0</v>
      </c>
      <c r="AA10" s="61">
        <v>8.3000000000000007</v>
      </c>
      <c r="AB10" s="61">
        <v>5.5</v>
      </c>
      <c r="AC10" s="61">
        <v>8.3000000000000007</v>
      </c>
      <c r="AD10" s="61">
        <v>8.68</v>
      </c>
      <c r="AE10" s="61">
        <v>0</v>
      </c>
      <c r="AF10" s="61"/>
      <c r="AG10" s="61"/>
      <c r="AH10" s="61"/>
      <c r="AI10" s="61"/>
      <c r="AJ10" s="61"/>
      <c r="AK10" s="61">
        <v>8.6</v>
      </c>
      <c r="AL10" s="61">
        <v>5.7</v>
      </c>
      <c r="AM10" s="61">
        <v>8.3000000000000007</v>
      </c>
      <c r="AN10" s="61">
        <v>8.76</v>
      </c>
      <c r="AO10" s="61">
        <v>0</v>
      </c>
      <c r="AP10" s="72"/>
      <c r="AQ10" s="11">
        <f>IF(SUM(V10:Y10)-Z10&gt;0,SUM(V10:Y10)-Z10,"")</f>
        <v>44.86</v>
      </c>
      <c r="AR10" s="11">
        <f>IF(AC10&gt;0,AC10,"")</f>
        <v>8.3000000000000007</v>
      </c>
      <c r="AS10" s="11">
        <f>IF(SUM(AA10:AD10)-AE10&gt;0,SUM(AA10:AD10)-AE10,"")</f>
        <v>30.78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75.64</v>
      </c>
      <c r="AW10" s="11">
        <f>IF(AM10&gt;0,AM10,"")</f>
        <v>8.3000000000000007</v>
      </c>
      <c r="AX10" s="11">
        <f>IF(SUM(AK10:AN10)-AO10&gt;0,SUM(AK10:AN10)-AO10,"")</f>
        <v>31.36</v>
      </c>
      <c r="AY10" s="11">
        <f>IF(SUM(AV10,AX10)&gt;0,SUM(AV10,AX10),"")</f>
        <v>107</v>
      </c>
      <c r="AZ10" s="67">
        <v>16</v>
      </c>
      <c r="BA10" s="67">
        <v>9.1999999999999993</v>
      </c>
      <c r="BB10" s="67">
        <v>5.2</v>
      </c>
      <c r="BC10" s="67">
        <v>14.965</v>
      </c>
      <c r="BD10" s="67">
        <v>0</v>
      </c>
      <c r="BE10" s="67">
        <v>13.4</v>
      </c>
      <c r="BF10" s="67">
        <v>9</v>
      </c>
      <c r="BG10" s="67">
        <v>13.5</v>
      </c>
      <c r="BH10" s="67">
        <v>14.75</v>
      </c>
      <c r="BI10" s="67">
        <v>0</v>
      </c>
      <c r="BJ10" s="67">
        <v>14.2</v>
      </c>
      <c r="BK10" s="67">
        <v>9</v>
      </c>
      <c r="BL10" s="67">
        <v>13.5</v>
      </c>
      <c r="BM10" s="67">
        <v>14.65</v>
      </c>
      <c r="BN10" s="67">
        <v>0</v>
      </c>
      <c r="BO10" s="67">
        <v>13.7</v>
      </c>
      <c r="BP10" s="67">
        <v>8.9</v>
      </c>
      <c r="BQ10" s="67">
        <v>12.1</v>
      </c>
      <c r="BR10" s="67">
        <v>14.43</v>
      </c>
      <c r="BS10" s="67">
        <v>0</v>
      </c>
      <c r="BT10" s="73"/>
      <c r="BU10" s="14">
        <f>IF(SUM(AZ10:BC10)-BD10&gt;0,SUM(AZ10:BC10)-BD10,"")</f>
        <v>45.364999999999995</v>
      </c>
      <c r="BV10" s="14">
        <f>IF(BG10&gt;0,BG10,"")</f>
        <v>13.5</v>
      </c>
      <c r="BW10" s="14">
        <f>IF(SUM(BE10:BH10)-BI10&gt;0,SUM(BE10:BH10)-BI10,"")</f>
        <v>50.65</v>
      </c>
      <c r="BX10" s="14">
        <f>IF(BL10&gt;0,BL10,"")</f>
        <v>13.5</v>
      </c>
      <c r="BY10" s="14">
        <f>IF(SUM(BJ10:BM10)-BN10&gt;0,SUM(BJ10:BM10)-BN10,"")</f>
        <v>51.35</v>
      </c>
      <c r="BZ10" s="14">
        <f>IF(BU10="",IF(MAX(BW10,BY10)&gt;0,MAX(BW10,BY10),""),MAX(BW10,BY10)+BU10)</f>
        <v>96.715000000000003</v>
      </c>
      <c r="CA10" s="14">
        <f>IF(BQ10&gt;0,BQ10,"")</f>
        <v>12.1</v>
      </c>
      <c r="CB10" s="14">
        <f>IF(SUM(BO10:BR10)-BS10&gt;0,SUM(BO10:BR10)-BS10,"")</f>
        <v>49.13</v>
      </c>
      <c r="CC10" s="14">
        <f>IF(SUM(BZ10,CB10)&gt;0,SUM(BZ10,CB10),"")</f>
        <v>145.845</v>
      </c>
      <c r="CD10" s="61">
        <v>16</v>
      </c>
      <c r="CE10" s="61">
        <v>9.3000000000000007</v>
      </c>
      <c r="CF10" s="61">
        <v>5.2</v>
      </c>
      <c r="CG10" s="61">
        <v>15.385</v>
      </c>
      <c r="CH10" s="61">
        <v>0</v>
      </c>
      <c r="CI10" s="61">
        <v>10.199999999999999</v>
      </c>
      <c r="CJ10" s="61">
        <v>6.6</v>
      </c>
      <c r="CK10" s="61">
        <v>9.6</v>
      </c>
      <c r="CL10" s="61">
        <v>12.215</v>
      </c>
      <c r="CM10" s="61">
        <v>0</v>
      </c>
      <c r="CN10" s="61">
        <v>9.8000000000000007</v>
      </c>
      <c r="CO10" s="61">
        <v>6.6</v>
      </c>
      <c r="CP10" s="61">
        <v>9.6</v>
      </c>
      <c r="CQ10" s="61">
        <v>10.914999999999999</v>
      </c>
      <c r="CR10" s="61">
        <v>0</v>
      </c>
      <c r="CS10" s="61">
        <v>2.8</v>
      </c>
      <c r="CT10" s="61">
        <v>1.8</v>
      </c>
      <c r="CU10" s="61">
        <v>2.7</v>
      </c>
      <c r="CV10" s="61">
        <v>3.15</v>
      </c>
      <c r="CW10" s="61">
        <v>0</v>
      </c>
      <c r="CX10" s="72"/>
      <c r="CY10" s="11">
        <f>IF(SUM(CD10:CG10)-CH10&gt;0,SUM(CD10:CG10)-CH10,"")</f>
        <v>45.884999999999998</v>
      </c>
      <c r="CZ10" s="11">
        <f>IF(CK10&gt;0,CK10,"")</f>
        <v>9.6</v>
      </c>
      <c r="DA10" s="11">
        <f>IF(SUM(CI10:CL10)-CM10&gt;0,SUM(CI10:CL10)-CM10,"")</f>
        <v>38.614999999999995</v>
      </c>
      <c r="DB10" s="11">
        <f>IF(CP10&gt;0,CP10,"")</f>
        <v>9.6</v>
      </c>
      <c r="DC10" s="11">
        <f>IF(SUM(CN10:CQ10)-CR10&gt;0,SUM(CN10:CQ10)-CR10,"")</f>
        <v>36.914999999999999</v>
      </c>
      <c r="DD10" s="11">
        <f>IF(CY10="",IF(MAX(DA10,DC10)&gt;0,MAX(DA10,DC10),""),MAX(DA10,DC10)+CY10)</f>
        <v>84.5</v>
      </c>
      <c r="DE10" s="11">
        <f>IF(CU10&gt;0,CU10,"")</f>
        <v>2.7</v>
      </c>
      <c r="DF10" s="11">
        <f>IF(SUM(CS10:CV10)-CW10&gt;0,SUM(CS10:CV10)-CW10,"")</f>
        <v>10.45</v>
      </c>
      <c r="DG10" s="11">
        <f>IF(SUM(DD10,DF10)&gt;0,SUM(DD10,DF10),"")</f>
        <v>94.95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16</v>
      </c>
      <c r="NQ10" s="61">
        <f>IF($CX10="P",CE10,(CE10+BA10)/2)</f>
        <v>9.25</v>
      </c>
      <c r="NR10" s="61">
        <f>IF($CX10="P",CF10,(CF10+BB10)/2)</f>
        <v>5.2</v>
      </c>
      <c r="NS10" s="61">
        <f>IF($CX10="P",CG10,(CG10+BC10)/2)</f>
        <v>15.175000000000001</v>
      </c>
      <c r="NT10" s="61">
        <f>IF($CX10="P",CH10,(CH10+BD10)/2)</f>
        <v>0</v>
      </c>
      <c r="NU10" s="61">
        <f>IF($CX10="P",CI10,(CI10+BE10)/2)</f>
        <v>11.8</v>
      </c>
      <c r="NV10" s="61">
        <f>IF($CX10="P",CJ10,(CJ10+BF10)/2)</f>
        <v>7.8</v>
      </c>
      <c r="NW10" s="61">
        <f>IF($CX10="P",CK10,(CK10+BG10)/2)</f>
        <v>11.55</v>
      </c>
      <c r="NX10" s="61">
        <f>IF($CX10="P",CL10,(CL10+BH10)/2)</f>
        <v>13.4825</v>
      </c>
      <c r="NY10" s="61">
        <f>IF($CX10="P",CM10,(CM10+BI10)/2)</f>
        <v>0</v>
      </c>
      <c r="NZ10" s="61">
        <f>IF($CX10="P",CN10,(CN10+BJ10)/2)</f>
        <v>12</v>
      </c>
      <c r="OA10" s="61">
        <f>IF($CX10="P",CO10,(CO10+BK10)/2)</f>
        <v>7.8</v>
      </c>
      <c r="OB10" s="61">
        <f>IF($CX10="P",CP10,(CP10+BL10)/2)</f>
        <v>11.55</v>
      </c>
      <c r="OC10" s="61">
        <f>IF($CX10="P",CQ10,(CQ10+BM10)/2)</f>
        <v>12.782499999999999</v>
      </c>
      <c r="OD10" s="61">
        <f>IF($CX10="P",CR10,(CR10+BN10)/2)</f>
        <v>0</v>
      </c>
      <c r="OE10" s="61">
        <f>IF($CX10="P",CS10,(CS10+BO10)/2)</f>
        <v>8.25</v>
      </c>
      <c r="OF10" s="61">
        <f>IF($CX10="P",CT10,(CT10+BP10)/2)</f>
        <v>5.3500000000000005</v>
      </c>
      <c r="OG10" s="61">
        <f>IF($CX10="P",CU10,(CU10+BQ10)/2)</f>
        <v>7.4</v>
      </c>
      <c r="OH10" s="61">
        <f>IF($CX10="P",CV10,(CV10+BR10)/2)</f>
        <v>8.7899999999999991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45.625</v>
      </c>
      <c r="OL10" s="11">
        <f>IF(NW10&gt;0,NW10,"")</f>
        <v>11.55</v>
      </c>
      <c r="OM10" s="11">
        <f>IF(SUM(NU10:NX10)-NY10&gt;0,SUM(NU10:NX10)-NY10,"")</f>
        <v>44.6325</v>
      </c>
      <c r="ON10" s="11">
        <f>IF(OB10&gt;0,OB10,"")</f>
        <v>11.55</v>
      </c>
      <c r="OO10" s="11">
        <f>IF(SUM(NZ10:OC10)-OD10&gt;0,SUM(NZ10:OC10)-OD10,"")</f>
        <v>44.1325</v>
      </c>
      <c r="OP10" s="11">
        <f>IF(OR(OK10&lt;&gt;"",OM10&lt;&gt;"",OO10&lt;&gt;""),OK10+MAX(OM10,OO10),"")</f>
        <v>90.257499999999993</v>
      </c>
      <c r="OQ10" s="11">
        <f>IF(OG10&gt;0,OG10,"")</f>
        <v>7.4</v>
      </c>
      <c r="OR10" s="11">
        <f t="shared" si="0"/>
        <v>29.79</v>
      </c>
      <c r="OS10" s="11">
        <f t="shared" si="1"/>
        <v>120.04749999999999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7</v>
      </c>
      <c r="B11" s="6" t="s">
        <v>134</v>
      </c>
      <c r="C11" s="7" t="s">
        <v>135</v>
      </c>
      <c r="D11" s="26">
        <v>2004</v>
      </c>
      <c r="E11" s="15">
        <f>SUM(O11:S11)+K11/1000000</f>
        <v>104.985095685</v>
      </c>
      <c r="F11" s="3" t="str">
        <f>IF(G11&lt;&gt;"","P","")</f>
        <v/>
      </c>
      <c r="G11" s="115" t="str">
        <f>IF(OR(AND(AR11&gt;=AY$27,AR11&lt;&gt;"",AP11=""),AND(AT11&gt;=AY$27,AT11&lt;&gt;"",AP11=""),AND(AW11&gt;=AY$27,AW11&lt;&gt;"",AP11=""),AND(BV11&gt;=CC$27,BV11&lt;&gt;"",BT11=""),AND(BX11&gt;=CC$27,BX11&lt;&gt;"",BT11=""),AND(CA11&gt;=CC$27,CA11&lt;&gt;"",BT11=""),AND(CZ11&gt;=DG$27,CZ11&lt;&gt;"",CX11=""),AND(DB11&gt;=DG$27,DB11&lt;&gt;"",CX11=""),AND(DE11&gt;=DG$27,DE11&lt;&gt;"",CX11=""),AND(EA11&gt;=EG$27,EA11&lt;&gt;""),AND(EE11&gt;=EG$27,EE11&lt;&gt;""),AND(EW11&gt;=FC$27,EW11&lt;&gt;""),AND(FA11&gt;=FC$27,FA11&lt;&gt;""),AND(FS11&gt;=FY$27,FS11&lt;&gt;""),AND(FW11&gt;=FY$27,FW11&lt;&gt;""),AND(GO11&gt;=GU$27,GO11&lt;&gt;""),AND(GS11&gt;=GU$27,GS11&lt;&gt;""),AND(HK11&gt;=HQ$27,HK11&lt;&gt;""),AND(HO11&gt;=HQ$27,HO11&lt;&gt;""),AND(IG11&gt;=IM$27,IG11&lt;&gt;""),AND(IK11&gt;=IM$27,IK11&lt;&gt;""),AND(JC11&gt;=JI$27,JC11&lt;&gt;""),AND(JG11&gt;=JI$27,JG11&lt;&gt;""),AND(JY11&gt;=KE$27,JY11&lt;&gt;""),AND(KC11&gt;=KE$27,KC11&lt;&gt;""),AND(KU11&gt;=LA$27,KU11&lt;&gt;""),AND(KY11&gt;=LA$27,KY11&lt;&gt;""),AND(LQ11&gt;=LW$27,LQ11&lt;&gt;""),AND(LU11&gt;=LW$27,LU11&lt;&gt;""),AND(MM11&gt;=MS$27,MM11&lt;&gt;""),AND(MQ11&gt;=MS$27,MQ11&lt;&gt;""),AND(NI11&gt;=NO$27,NI11&lt;&gt;""),AND(NM11&gt;=NO$27,NM11&lt;&gt;"")),"Merit",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Excellence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Worlds Team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National Team",""))))</f>
        <v/>
      </c>
      <c r="H11" s="115" t="str">
        <f>IF(OR(AND(AS11&gt;=AY$28,AS11&lt;&gt;"",AP11=""),AND(AU11&gt;=AY$28,AU11&lt;&gt;"",AP11=""),AND(AX11&gt;=AY$28,AX11&lt;&gt;"",AP11=""),AND(BW11&gt;=CC$28,BW11&lt;&gt;"",BT11=""),AND(BY11&gt;=CC$28,BY11&lt;&gt;"",BT11=""),AND(CB11&gt;=CC$28,CB11&lt;&gt;"",BT11=""),AND(DA11&gt;=DG$28,DA11&lt;&gt;"",CX11=""),AND(DC11&gt;=DG$28,DC11&lt;&gt;"",CX11=""),AND(DF11&gt;=DG$28,DF11&lt;&gt;"",CX11=""),AND(EC11&gt;=EG$28,EC11&lt;&gt;""),AND(EF11&gt;=EG$28,EF11&lt;&gt;""),AND(EY11&gt;=FC$28,EY11&lt;&gt;""),AND(FB11&gt;=FC$28,FB11&lt;&gt;""),AND(FU11&gt;=FY$28,FU11&lt;&gt;""),AND(FX11&gt;=FY$28,FX11&lt;&gt;""),AND(GQ11&gt;=GU$28,GQ11&lt;&gt;""),AND(GT11&gt;=GU$28,GT11&lt;&gt;""),AND(HM11&gt;=HQ$28,HM11&lt;&gt;""),AND(HP11&gt;=HQ$28,HP11&lt;&gt;""),AND(II11&gt;=IM$28,II11&lt;&gt;""),AND(IL11&gt;=IM$28,IL11&lt;&gt;""),AND(JE11&gt;=JI$28,JE11&lt;&gt;""),AND(JH11&gt;=JI$28,JH11&lt;&gt;""),AND(KA11&gt;=KE$28,KA11&lt;&gt;""),AND(KD11&gt;=KE$28,KD11&lt;&gt;""),AND(KW11&gt;=LA$28,KW11&lt;&gt;""),AND(KZ11&gt;=LA$28,KZ11&lt;&gt;""),AND(LS11&gt;=LW$28,LS11&lt;&gt;""),AND(LV11&gt;=LW$28,LV11&lt;&gt;""),AND(MO11&gt;=MS$28,MO11&lt;&gt;""),AND(MR11&gt;=MS$28,MR11&lt;&gt;""),AND(NK11&gt;=NO$28,NK11&lt;&gt;""),AND(NN11&gt;=NO$28,NN11&lt;&gt;"")),"National Team","")</f>
        <v>National Team</v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No DD</v>
      </c>
      <c r="J11" s="3" t="str">
        <f>IF(AND(OR(AND(AV11&gt;=AY$29,AV11&lt;&gt;"",AP11=""),AND(BZ11&gt;=CC$29,BZ11&lt;&gt;"",BT11=""),AND(DD11&gt;=DG$29,DD11&lt;&gt;"",CX11=""),AND(ED11&gt;=EG$29,ED11&lt;&gt;""),AND(EZ11&gt;=FC$29,EZ11&lt;&gt;""),AND(FV11&gt;=FY$29,FV11&lt;&gt;""),AND(GR11&gt;=GU$29,GR11&lt;&gt;""),AND(HN11&gt;=HQ$29,HN11&lt;&gt;""),AND(IJ11&gt;=IM$29,IJ11&lt;&gt;""),AND(JF11&gt;=JI$29,JF11&lt;&gt;""),AND(KB11&gt;=KE$29,KB11&lt;&gt;""),AND(KX11&gt;=LA$29,KX11&lt;&gt;""),AND(LT11&gt;=LW$29,LT11&lt;&gt;""),AND(MP11&gt;=MS$29,MP11&lt;&gt;""),AND(NL11&gt;=NO$29,NL11&lt;&gt;"")),OR(G11="Worlds Team",G11="Excellence",G11="Merit")),"P","")</f>
        <v/>
      </c>
      <c r="K11" s="14">
        <f>IF(MAX(AV11,BZ11,DD11)&gt;0,MAX(AV11,BZ11,DD11),0)</f>
        <v>95.685000000000002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46.894999999999996</v>
      </c>
      <c r="N11" s="14" t="str">
        <f>IF(M11=0,"",IF(AND(M11=CY11,$L11&lt;&gt;$CD$1),$CD$1,IF(AND(M11=BU11,$L11&lt;&gt;$AZ$1),$AZ$1,IF(AND(M11=AQ11,$L11&lt;&gt;$V$1),$V$1,""))))</f>
        <v>2021 Canadian Championships</v>
      </c>
      <c r="O11" s="14">
        <f>MAX(AS11,AU11,AX11,BW11,BY11,CB11,DA11,DC11,DF11)</f>
        <v>53.11</v>
      </c>
      <c r="P11" s="14" t="str">
        <f>IF(O11=0,"",IF(OR(O11=DC11,O11=DA11,O11=DF11),$CD$1,IF(OR(O11=BY11,O11=BW11,O11=CB11),$AZ$1,IF(OR(O11=AU11,O11=AS11,O11=AX11),$V$1,""))))</f>
        <v>2021 Elite Canada</v>
      </c>
      <c r="Q11" s="14">
        <f>IF(COUNT(AS11,AU11,AX11,BW11,BY11,CB11,DA11,DC11,DF11)&gt;1,LARGE((AS11,AU11,AX11,BW11,BY11,CB11,DA11,DC11,DF11),2),0)</f>
        <v>51.875</v>
      </c>
      <c r="R11" s="14" t="str">
        <f>IF(Q11=0,"",IF(OR(Q11=DC11,Q11=DA11,Q11=DF11),$CD$1,IF(OR(Q11=BY11,Q11=BW11,Q11=CB11),$AZ$1,IF(OR(Q11=AU11,Q11=AS11,Q11=AX11),$V$1,""))))</f>
        <v>2021 Elite Canada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 t="str">
        <f>IF(SUM(V11:Y11)-Z11&gt;0,SUM(V11:Y11)-Z11,"")</f>
        <v/>
      </c>
      <c r="AR11" s="11" t="str">
        <f>IF(AC11&gt;0,AC11,"")</f>
        <v/>
      </c>
      <c r="AS11" s="11" t="str">
        <f>IF(SUM(AA11:AD11)-AE11&gt;0,SUM(AA11:AD11)-AE11,"")</f>
        <v/>
      </c>
      <c r="AT11" s="11" t="str">
        <f>IF(AH11&gt;0,AH11,"")</f>
        <v/>
      </c>
      <c r="AU11" s="11" t="str">
        <f>IF(SUM(AF11:AI11)-AJ11&gt;0,SUM(AF11:AI11)-AJ11,"")</f>
        <v/>
      </c>
      <c r="AV11" s="11" t="str">
        <f>IF(AQ11="",IF(MAX(AS11,AU11)&gt;0,MAX(AS11,AU11),""),MAX(AS11,AU11)+AQ11)</f>
        <v/>
      </c>
      <c r="AW11" s="11" t="str">
        <f>IF(AM11&gt;0,AM11,"")</f>
        <v/>
      </c>
      <c r="AX11" s="11" t="str">
        <f>IF(SUM(AK11:AN11)-AO11&gt;0,SUM(AK11:AN11)-AO11,"")</f>
        <v/>
      </c>
      <c r="AY11" s="11" t="str">
        <f>IF(SUM(AV11,AX11)&gt;0,SUM(AV11,AX11),"")</f>
        <v/>
      </c>
      <c r="AZ11" s="67">
        <v>14.9</v>
      </c>
      <c r="BA11" s="67">
        <v>8.4</v>
      </c>
      <c r="BB11" s="67">
        <v>3.8</v>
      </c>
      <c r="BC11" s="67">
        <v>16.71</v>
      </c>
      <c r="BD11" s="67">
        <v>0</v>
      </c>
      <c r="BE11" s="67">
        <v>15</v>
      </c>
      <c r="BF11" s="67">
        <v>8.3000000000000007</v>
      </c>
      <c r="BG11" s="67">
        <v>12.5</v>
      </c>
      <c r="BH11" s="67">
        <v>16.074999999999999</v>
      </c>
      <c r="BI11" s="67">
        <v>0</v>
      </c>
      <c r="BJ11" s="67"/>
      <c r="BK11" s="67"/>
      <c r="BL11" s="67"/>
      <c r="BM11" s="67"/>
      <c r="BN11" s="67"/>
      <c r="BO11" s="67">
        <v>15.8</v>
      </c>
      <c r="BP11" s="67">
        <v>8.6</v>
      </c>
      <c r="BQ11" s="67">
        <v>12.5</v>
      </c>
      <c r="BR11" s="67">
        <v>16.21</v>
      </c>
      <c r="BS11" s="67">
        <v>0</v>
      </c>
      <c r="BT11" s="73"/>
      <c r="BU11" s="14">
        <f>IF(SUM(AZ11:BC11)-BD11&gt;0,SUM(AZ11:BC11)-BD11,"")</f>
        <v>43.81</v>
      </c>
      <c r="BV11" s="14">
        <f>IF(BG11&gt;0,BG11,"")</f>
        <v>12.5</v>
      </c>
      <c r="BW11" s="14">
        <f>IF(SUM(BE11:BH11)-BI11&gt;0,SUM(BE11:BH11)-BI11,"")</f>
        <v>51.875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95.685000000000002</v>
      </c>
      <c r="CA11" s="14">
        <f>IF(BQ11&gt;0,BQ11,"")</f>
        <v>12.5</v>
      </c>
      <c r="CB11" s="14">
        <f>IF(SUM(BO11:BR11)-BS11&gt;0,SUM(BO11:BR11)-BS11,"")</f>
        <v>53.11</v>
      </c>
      <c r="CC11" s="14">
        <f>IF(SUM(BZ11,CB11)&gt;0,SUM(BZ11,CB11),"")</f>
        <v>148.79500000000002</v>
      </c>
      <c r="CD11" s="61">
        <v>16.899999999999999</v>
      </c>
      <c r="CE11" s="61">
        <v>9.1</v>
      </c>
      <c r="CF11" s="61">
        <v>3.8</v>
      </c>
      <c r="CG11" s="61">
        <v>17.094999999999999</v>
      </c>
      <c r="CH11" s="61">
        <v>0</v>
      </c>
      <c r="CI11" s="61">
        <v>7.4</v>
      </c>
      <c r="CJ11" s="61">
        <v>4.4000000000000004</v>
      </c>
      <c r="CK11" s="61">
        <v>6.9</v>
      </c>
      <c r="CL11" s="61">
        <v>8.3949999999999996</v>
      </c>
      <c r="CM11" s="61">
        <v>0</v>
      </c>
      <c r="CN11" s="61"/>
      <c r="CO11" s="61"/>
      <c r="CP11" s="61"/>
      <c r="CQ11" s="61"/>
      <c r="CR11" s="61"/>
      <c r="CS11" s="61">
        <v>5.4</v>
      </c>
      <c r="CT11" s="61">
        <v>3.1</v>
      </c>
      <c r="CU11" s="61">
        <v>5.6</v>
      </c>
      <c r="CV11" s="61">
        <v>6.63</v>
      </c>
      <c r="CW11" s="61">
        <v>0</v>
      </c>
      <c r="CX11" s="72"/>
      <c r="CY11" s="11">
        <f>IF(SUM(CD11:CG11)-CH11&gt;0,SUM(CD11:CG11)-CH11,"")</f>
        <v>46.894999999999996</v>
      </c>
      <c r="CZ11" s="11">
        <f>IF(CK11&gt;0,CK11,"")</f>
        <v>6.9</v>
      </c>
      <c r="DA11" s="11">
        <f>IF(SUM(CI11:CL11)-CM11&gt;0,SUM(CI11:CL11)-CM11,"")</f>
        <v>27.095000000000002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73.989999999999995</v>
      </c>
      <c r="DE11" s="11">
        <f>IF(CU11&gt;0,CU11,"")</f>
        <v>5.6</v>
      </c>
      <c r="DF11" s="11">
        <f>IF(SUM(CS11:CV11)-CW11&gt;0,SUM(CS11:CV11)-CW11,"")</f>
        <v>20.73</v>
      </c>
      <c r="DG11" s="11">
        <f>IF(SUM(DD11,DF11)&gt;0,SUM(DD11,DF11),"")</f>
        <v>94.72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15.899999999999999</v>
      </c>
      <c r="NQ11" s="61">
        <f>IF($CX11="P",CE11,(CE11+BA11)/2)</f>
        <v>8.75</v>
      </c>
      <c r="NR11" s="61">
        <f>IF($CX11="P",CF11,(CF11+BB11)/2)</f>
        <v>3.8</v>
      </c>
      <c r="NS11" s="61">
        <f>IF($CX11="P",CG11,(CG11+BC11)/2)</f>
        <v>16.9025</v>
      </c>
      <c r="NT11" s="61">
        <f>IF($CX11="P",CH11,(CH11+BD11)/2)</f>
        <v>0</v>
      </c>
      <c r="NU11" s="61">
        <f>IF($CX11="P",CI11,(CI11+BE11)/2)</f>
        <v>11.2</v>
      </c>
      <c r="NV11" s="61">
        <f>IF($CX11="P",CJ11,(CJ11+BF11)/2)</f>
        <v>6.3500000000000005</v>
      </c>
      <c r="NW11" s="61">
        <f>IF($CX11="P",CK11,(CK11+BG11)/2)</f>
        <v>9.6999999999999993</v>
      </c>
      <c r="NX11" s="61">
        <f>IF($CX11="P",CL11,(CL11+BH11)/2)</f>
        <v>12.234999999999999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10.600000000000001</v>
      </c>
      <c r="OF11" s="61">
        <f>IF($CX11="P",CT11,(CT11+BP11)/2)</f>
        <v>5.85</v>
      </c>
      <c r="OG11" s="61">
        <f>IF($CX11="P",CU11,(CU11+BQ11)/2)</f>
        <v>9.0500000000000007</v>
      </c>
      <c r="OH11" s="61">
        <f>IF($CX11="P",CV11,(CV11+BR11)/2)</f>
        <v>11.42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45.352499999999999</v>
      </c>
      <c r="OL11" s="11">
        <f>IF(NW11&gt;0,NW11,"")</f>
        <v>9.6999999999999993</v>
      </c>
      <c r="OM11" s="11">
        <f>IF(SUM(NU11:NX11)-NY11&gt;0,SUM(NU11:NX11)-NY11,"")</f>
        <v>39.484999999999999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84.837500000000006</v>
      </c>
      <c r="OQ11" s="11">
        <f>IF(OG11&gt;0,OG11,"")</f>
        <v>9.0500000000000007</v>
      </c>
      <c r="OR11" s="11">
        <f t="shared" ref="OR11" si="2">IF(SUM(OE11:OH11)-OI11&gt;0,SUM(OE11:OH11)-OI11,"")</f>
        <v>36.92</v>
      </c>
      <c r="OS11" s="11">
        <f t="shared" ref="OS11" si="3">IF(SUM(OP11,OR11)&gt;0,SUM(OP11,OR11),"")</f>
        <v>121.75750000000001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91</v>
      </c>
      <c r="C12" s="7" t="s">
        <v>4</v>
      </c>
      <c r="D12" s="26">
        <v>2002</v>
      </c>
      <c r="E12" s="15">
        <f>SUM(O12:S12)+K12/1000000</f>
        <v>100.20009349999999</v>
      </c>
      <c r="F12" s="3" t="str">
        <f>IF(G12&lt;&gt;"","P","")</f>
        <v/>
      </c>
      <c r="G12" s="115" t="str">
        <f>IF(OR(AND(AR12&gt;=AY$27,AR12&lt;&gt;"",AP12=""),AND(AT12&gt;=AY$27,AT12&lt;&gt;"",AP12=""),AND(AW12&gt;=AY$27,AW12&lt;&gt;"",AP12=""),AND(BV12&gt;=CC$27,BV12&lt;&gt;"",BT12=""),AND(BX12&gt;=CC$27,BX12&lt;&gt;"",BT12=""),AND(CA12&gt;=CC$27,CA12&lt;&gt;"",BT12=""),AND(CZ12&gt;=DG$27,CZ12&lt;&gt;"",CX12=""),AND(DB12&gt;=DG$27,DB12&lt;&gt;"",CX12=""),AND(DE12&gt;=DG$27,DE12&lt;&gt;"",CX12=""),AND(EA12&gt;=EG$27,EA12&lt;&gt;""),AND(EE12&gt;=EG$27,EE12&lt;&gt;""),AND(EW12&gt;=FC$27,EW12&lt;&gt;""),AND(FA12&gt;=FC$27,FA12&lt;&gt;""),AND(FS12&gt;=FY$27,FS12&lt;&gt;""),AND(FW12&gt;=FY$27,FW12&lt;&gt;""),AND(GO12&gt;=GU$27,GO12&lt;&gt;""),AND(GS12&gt;=GU$27,GS12&lt;&gt;""),AND(HK12&gt;=HQ$27,HK12&lt;&gt;""),AND(HO12&gt;=HQ$27,HO12&lt;&gt;""),AND(IG12&gt;=IM$27,IG12&lt;&gt;""),AND(IK12&gt;=IM$27,IK12&lt;&gt;""),AND(JC12&gt;=JI$27,JC12&lt;&gt;""),AND(JG12&gt;=JI$27,JG12&lt;&gt;""),AND(JY12&gt;=KE$27,JY12&lt;&gt;""),AND(KC12&gt;=KE$27,KC12&lt;&gt;""),AND(KU12&gt;=LA$27,KU12&lt;&gt;""),AND(KY12&gt;=LA$27,KY12&lt;&gt;""),AND(LQ12&gt;=LW$27,LQ12&lt;&gt;""),AND(LU12&gt;=LW$27,LU12&lt;&gt;""),AND(MM12&gt;=MS$27,MM12&lt;&gt;""),AND(MQ12&gt;=MS$27,MQ12&lt;&gt;""),AND(NI12&gt;=NO$27,NI12&lt;&gt;""),AND(NM12&gt;=NO$27,NM12&lt;&gt;"")),"Merit",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Excellence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Worlds Team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National Team",""))))</f>
        <v/>
      </c>
      <c r="H12" s="115" t="str">
        <f>IF(OR(AND(AS12&gt;=AY$28,AS12&lt;&gt;"",AP12=""),AND(AU12&gt;=AY$28,AU12&lt;&gt;"",AP12=""),AND(AX12&gt;=AY$28,AX12&lt;&gt;"",AP12=""),AND(BW12&gt;=CC$28,BW12&lt;&gt;"",BT12=""),AND(BY12&gt;=CC$28,BY12&lt;&gt;"",BT12=""),AND(CB12&gt;=CC$28,CB12&lt;&gt;"",BT12=""),AND(DA12&gt;=DG$28,DA12&lt;&gt;"",CX12=""),AND(DC12&gt;=DG$28,DC12&lt;&gt;"",CX12=""),AND(DF12&gt;=DG$28,DF12&lt;&gt;"",CX12=""),AND(EC12&gt;=EG$28,EC12&lt;&gt;""),AND(EF12&gt;=EG$28,EF12&lt;&gt;""),AND(EY12&gt;=FC$28,EY12&lt;&gt;""),AND(FB12&gt;=FC$28,FB12&lt;&gt;""),AND(FU12&gt;=FY$28,FU12&lt;&gt;""),AND(FX12&gt;=FY$28,FX12&lt;&gt;""),AND(GQ12&gt;=GU$28,GQ12&lt;&gt;""),AND(GT12&gt;=GU$28,GT12&lt;&gt;""),AND(HM12&gt;=HQ$28,HM12&lt;&gt;""),AND(HP12&gt;=HQ$28,HP12&lt;&gt;""),AND(II12&gt;=IM$28,II12&lt;&gt;""),AND(IL12&gt;=IM$28,IL12&lt;&gt;""),AND(JE12&gt;=JI$28,JE12&lt;&gt;""),AND(JH12&gt;=JI$28,JH12&lt;&gt;""),AND(KA12&gt;=KE$28,KA12&lt;&gt;""),AND(KD12&gt;=KE$28,KD12&lt;&gt;""),AND(KW12&gt;=LA$28,KW12&lt;&gt;""),AND(KZ12&gt;=LA$28,KZ12&lt;&gt;""),AND(LS12&gt;=LW$28,LS12&lt;&gt;""),AND(LV12&gt;=LW$28,LV12&lt;&gt;""),AND(MO12&gt;=MS$28,MO12&lt;&gt;""),AND(MR12&gt;=MS$28,MR12&lt;&gt;""),AND(NK12&gt;=NO$28,NK12&lt;&gt;""),AND(NN12&gt;=NO$28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$29,AV12&lt;&gt;"",AP12=""),AND(BZ12&gt;=CC$29,BZ12&lt;&gt;"",BT12=""),AND(DD12&gt;=DG$29,DD12&lt;&gt;"",CX12=""),AND(ED12&gt;=EG$29,ED12&lt;&gt;""),AND(EZ12&gt;=FC$29,EZ12&lt;&gt;""),AND(FV12&gt;=FY$29,FV12&lt;&gt;""),AND(GR12&gt;=GU$29,GR12&lt;&gt;""),AND(HN12&gt;=HQ$29,HN12&lt;&gt;""),AND(IJ12&gt;=IM$29,IJ12&lt;&gt;""),AND(JF12&gt;=JI$29,JF12&lt;&gt;""),AND(KB12&gt;=KE$29,KB12&lt;&gt;""),AND(KX12&gt;=LA$29,KX12&lt;&gt;""),AND(LT12&gt;=LW$29,LT12&lt;&gt;""),AND(MP12&gt;=MS$29,MP12&lt;&gt;""),AND(NL12&gt;=NO$29,NL12&lt;&gt;"")),OR(G12="Worlds Team",G12="Excellence",G12="Merit")),"P","")</f>
        <v/>
      </c>
      <c r="K12" s="14">
        <f>IF(MAX(AV12,BZ12,DD12)&gt;0,MAX(AV12,BZ12,DD12),0)</f>
        <v>93.5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41.86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MAX(AS12,AU12,AX12,BW12,BY12,CB12,DA12,DC12,DF12)</f>
        <v>50.36</v>
      </c>
      <c r="P12" s="14" t="str">
        <f>IF(O12=0,"",IF(OR(O12=DC12,O12=DA12,O12=DF12),$CD$1,IF(OR(O12=BY12,O12=BW12,O12=CB12),$AZ$1,IF(OR(O12=AU12,O12=AS12,O12=AX12),$V$1,""))))</f>
        <v>2021 2nd Virtual Technical Trial</v>
      </c>
      <c r="Q12" s="14">
        <f>IF(COUNT(AS12,AU12,AX12,BW12,BY12,CB12,DA12,DC12,DF12)&gt;1,LARGE((AS12,AU12,AX12,BW12,BY12,CB12,DA12,DC12,DF12),2),0)</f>
        <v>49.839999999999996</v>
      </c>
      <c r="R12" s="14" t="str">
        <f>IF(Q12=0,"",IF(OR(Q12=DC12,Q12=DA12,Q12=DF12),$CD$1,IF(OR(Q12=BY12,Q12=BW12,Q12=CB12),$AZ$1,IF(OR(Q12=AU12,Q12=AS12,Q12=AX12),$V$1,""))))</f>
        <v>2021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15</v>
      </c>
      <c r="W12" s="61">
        <v>8.5</v>
      </c>
      <c r="X12" s="61">
        <v>2.9</v>
      </c>
      <c r="Y12" s="61">
        <v>15.46</v>
      </c>
      <c r="Z12" s="61">
        <v>0</v>
      </c>
      <c r="AA12" s="61">
        <v>15.4</v>
      </c>
      <c r="AB12" s="61">
        <v>9.1</v>
      </c>
      <c r="AC12" s="61">
        <v>10.5</v>
      </c>
      <c r="AD12" s="61">
        <v>15.36</v>
      </c>
      <c r="AE12" s="61">
        <v>0</v>
      </c>
      <c r="AF12" s="61"/>
      <c r="AG12" s="61"/>
      <c r="AH12" s="61"/>
      <c r="AI12" s="61"/>
      <c r="AJ12" s="61"/>
      <c r="AK12" s="61">
        <v>14.5</v>
      </c>
      <c r="AL12" s="61">
        <v>9</v>
      </c>
      <c r="AM12" s="61">
        <v>10.3</v>
      </c>
      <c r="AN12" s="61">
        <v>14.725</v>
      </c>
      <c r="AO12" s="61">
        <v>0</v>
      </c>
      <c r="AP12" s="72"/>
      <c r="AQ12" s="11">
        <f>IF(SUM(V12:Y12)-Z12&gt;0,SUM(V12:Y12)-Z12,"")</f>
        <v>41.86</v>
      </c>
      <c r="AR12" s="11">
        <f>IF(AC12&gt;0,AC12,"")</f>
        <v>10.5</v>
      </c>
      <c r="AS12" s="11">
        <f>IF(SUM(AA12:AD12)-AE12&gt;0,SUM(AA12:AD12)-AE12,"")</f>
        <v>50.36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92.22</v>
      </c>
      <c r="AW12" s="11">
        <f>IF(AM12&gt;0,AM12,"")</f>
        <v>10.3</v>
      </c>
      <c r="AX12" s="11">
        <f>IF(SUM(AK12:AN12)-AO12&gt;0,SUM(AK12:AN12)-AO12,"")</f>
        <v>48.524999999999999</v>
      </c>
      <c r="AY12" s="11">
        <f>IF(SUM(AV12,AX12)&gt;0,SUM(AV12,AX12),"")</f>
        <v>140.745</v>
      </c>
      <c r="AZ12" s="67">
        <v>16.3</v>
      </c>
      <c r="BA12" s="67">
        <v>9.3000000000000007</v>
      </c>
      <c r="BB12" s="67">
        <v>2.7</v>
      </c>
      <c r="BC12" s="67">
        <v>15.36</v>
      </c>
      <c r="BD12" s="67">
        <v>0</v>
      </c>
      <c r="BE12" s="67">
        <v>14.7</v>
      </c>
      <c r="BF12" s="67">
        <v>9.1999999999999993</v>
      </c>
      <c r="BG12" s="67">
        <v>11.2</v>
      </c>
      <c r="BH12" s="67">
        <v>14.74</v>
      </c>
      <c r="BI12" s="67">
        <v>0</v>
      </c>
      <c r="BJ12" s="67"/>
      <c r="BK12" s="67"/>
      <c r="BL12" s="67"/>
      <c r="BM12" s="67"/>
      <c r="BN12" s="67"/>
      <c r="BO12" s="67">
        <v>15.2</v>
      </c>
      <c r="BP12" s="67">
        <v>8.9</v>
      </c>
      <c r="BQ12" s="67">
        <v>10.5</v>
      </c>
      <c r="BR12" s="67">
        <v>15.025</v>
      </c>
      <c r="BS12" s="67">
        <v>0</v>
      </c>
      <c r="BT12" s="73"/>
      <c r="BU12" s="14">
        <f>IF(SUM(AZ12:BC12)-BD12&gt;0,SUM(AZ12:BC12)-BD12,"")</f>
        <v>43.66</v>
      </c>
      <c r="BV12" s="14">
        <f>IF(BG12&gt;0,BG12,"")</f>
        <v>11.2</v>
      </c>
      <c r="BW12" s="14">
        <f>IF(SUM(BE12:BH12)-BI12&gt;0,SUM(BE12:BH12)-BI12,"")</f>
        <v>49.839999999999996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93.5</v>
      </c>
      <c r="CA12" s="14">
        <f>IF(BQ12&gt;0,BQ12,"")</f>
        <v>10.5</v>
      </c>
      <c r="CB12" s="14">
        <f>IF(SUM(BO12:BR12)-BS12&gt;0,SUM(BO12:BR12)-BS12,"")</f>
        <v>49.625</v>
      </c>
      <c r="CC12" s="14">
        <f>IF(SUM(BZ12,CB12)&gt;0,SUM(BZ12,CB12),"")</f>
        <v>143.125</v>
      </c>
      <c r="CD12" s="61">
        <v>1.4</v>
      </c>
      <c r="CE12" s="61">
        <v>1</v>
      </c>
      <c r="CF12" s="61">
        <v>1.5</v>
      </c>
      <c r="CG12" s="61">
        <v>1.63</v>
      </c>
      <c r="CH12" s="61">
        <v>0</v>
      </c>
      <c r="CI12" s="61">
        <v>9</v>
      </c>
      <c r="CJ12" s="61">
        <v>5.0999999999999996</v>
      </c>
      <c r="CK12" s="61">
        <v>6.2</v>
      </c>
      <c r="CL12" s="61">
        <v>9.0850000000000009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>IF(SUM(CD12:CG12)-CH12&gt;0,SUM(CD12:CG12)-CH12,"")</f>
        <v>5.5299999999999994</v>
      </c>
      <c r="CZ12" s="11">
        <f>IF(CK12&gt;0,CK12,"")</f>
        <v>6.2</v>
      </c>
      <c r="DA12" s="11">
        <f>IF(SUM(CI12:CL12)-CM12&gt;0,SUM(CI12:CL12)-CM12,"")</f>
        <v>29.385000000000002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34.914999999999999</v>
      </c>
      <c r="DE12" s="11" t="str">
        <f>IF(CU12&gt;0,CU12,"")</f>
        <v/>
      </c>
      <c r="DF12" s="11" t="str">
        <f>IF(SUM(CS12:CV12)-CW12&gt;0,SUM(CS12:CV12)-CW12,"")</f>
        <v/>
      </c>
      <c r="DG12" s="11">
        <f>IF(SUM(DD12,DF12)&gt;0,SUM(DD12,DF12),"")</f>
        <v>34.914999999999999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8.85</v>
      </c>
      <c r="NQ12" s="61">
        <f>IF($CX12="P",CE12,(CE12+BA12)/2)</f>
        <v>5.15</v>
      </c>
      <c r="NR12" s="61">
        <f>IF($CX12="P",CF12,(CF12+BB12)/2)</f>
        <v>2.1</v>
      </c>
      <c r="NS12" s="61">
        <f>IF($CX12="P",CG12,(CG12+BC12)/2)</f>
        <v>8.4949999999999992</v>
      </c>
      <c r="NT12" s="61">
        <f>IF($CX12="P",CH12,(CH12+BD12)/2)</f>
        <v>0</v>
      </c>
      <c r="NU12" s="61">
        <f>IF($CX12="P",CI12,(CI12+BE12)/2)</f>
        <v>11.85</v>
      </c>
      <c r="NV12" s="61">
        <f>IF($CX12="P",CJ12,(CJ12+BF12)/2)</f>
        <v>7.1499999999999995</v>
      </c>
      <c r="NW12" s="61">
        <f>IF($CX12="P",CK12,(CK12+BG12)/2)</f>
        <v>8.6999999999999993</v>
      </c>
      <c r="NX12" s="61">
        <f>IF($CX12="P",CL12,(CL12+BH12)/2)</f>
        <v>11.912500000000001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7.6</v>
      </c>
      <c r="OF12" s="61">
        <f>IF($CX12="P",CT12,(CT12+BP12)/2)</f>
        <v>4.45</v>
      </c>
      <c r="OG12" s="61">
        <f>IF($CX12="P",CU12,(CU12+BQ12)/2)</f>
        <v>5.25</v>
      </c>
      <c r="OH12" s="61">
        <f>IF($CX12="P",CV12,(CV12+BR12)/2)</f>
        <v>7.5125000000000002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24.594999999999999</v>
      </c>
      <c r="OL12" s="11">
        <f>IF(NW12&gt;0,NW12,"")</f>
        <v>8.6999999999999993</v>
      </c>
      <c r="OM12" s="11">
        <f>IF(SUM(NU12:NX12)-NY12&gt;0,SUM(NU12:NX12)-NY12,"")</f>
        <v>39.612499999999997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64.207499999999996</v>
      </c>
      <c r="OQ12" s="11">
        <f>IF(OG12&gt;0,OG12,"")</f>
        <v>5.25</v>
      </c>
      <c r="OR12" s="11">
        <f t="shared" ref="OR12" si="4">IF(SUM(OE12:OH12)-OI12&gt;0,SUM(OE12:OH12)-OI12,"")</f>
        <v>24.8125</v>
      </c>
      <c r="OS12" s="11">
        <f t="shared" ref="OS12" si="5">IF(SUM(OP12,OR12)&gt;0,SUM(OP12,OR12),"")</f>
        <v>89.02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136</v>
      </c>
      <c r="C13" s="7" t="s">
        <v>3</v>
      </c>
      <c r="D13" s="26">
        <v>2001</v>
      </c>
      <c r="E13" s="15">
        <f>SUM(O13:S13)+K13/1000000</f>
        <v>99.990092875000002</v>
      </c>
      <c r="F13" s="3" t="str">
        <f>IF(G13&lt;&gt;"","P","")</f>
        <v/>
      </c>
      <c r="G13" s="115" t="str">
        <f>IF(OR(AND(AR13&gt;=AY$27,AR13&lt;&gt;"",AP13=""),AND(AT13&gt;=AY$27,AT13&lt;&gt;"",AP13=""),AND(AW13&gt;=AY$27,AW13&lt;&gt;"",AP13=""),AND(BV13&gt;=CC$27,BV13&lt;&gt;"",BT13=""),AND(BX13&gt;=CC$27,BX13&lt;&gt;"",BT13=""),AND(CA13&gt;=CC$27,CA13&lt;&gt;"",BT13=""),AND(CZ13&gt;=DG$27,CZ13&lt;&gt;"",CX13=""),AND(DB13&gt;=DG$27,DB13&lt;&gt;"",CX13=""),AND(DE13&gt;=DG$27,DE13&lt;&gt;"",CX13=""),AND(EA13&gt;=EG$27,EA13&lt;&gt;""),AND(EE13&gt;=EG$27,EE13&lt;&gt;""),AND(EW13&gt;=FC$27,EW13&lt;&gt;""),AND(FA13&gt;=FC$27,FA13&lt;&gt;""),AND(FS13&gt;=FY$27,FS13&lt;&gt;""),AND(FW13&gt;=FY$27,FW13&lt;&gt;""),AND(GO13&gt;=GU$27,GO13&lt;&gt;""),AND(GS13&gt;=GU$27,GS13&lt;&gt;""),AND(HK13&gt;=HQ$27,HK13&lt;&gt;""),AND(HO13&gt;=HQ$27,HO13&lt;&gt;""),AND(IG13&gt;=IM$27,IG13&lt;&gt;""),AND(IK13&gt;=IM$27,IK13&lt;&gt;""),AND(JC13&gt;=JI$27,JC13&lt;&gt;""),AND(JG13&gt;=JI$27,JG13&lt;&gt;""),AND(JY13&gt;=KE$27,JY13&lt;&gt;""),AND(KC13&gt;=KE$27,KC13&lt;&gt;""),AND(KU13&gt;=LA$27,KU13&lt;&gt;""),AND(KY13&gt;=LA$27,KY13&lt;&gt;""),AND(LQ13&gt;=LW$27,LQ13&lt;&gt;""),AND(LU13&gt;=LW$27,LU13&lt;&gt;""),AND(MM13&gt;=MS$27,MM13&lt;&gt;""),AND(MQ13&gt;=MS$27,MQ13&lt;&gt;""),AND(NI13&gt;=NO$27,NI13&lt;&gt;""),AND(NM13&gt;=NO$27,NM13&lt;&gt;"")),"Merit",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Excellence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Worlds Team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National Team",""))))</f>
        <v/>
      </c>
      <c r="H13" s="115" t="str">
        <f>IF(OR(AND(AS13&gt;=AY$28,AS13&lt;&gt;"",AP13=""),AND(AU13&gt;=AY$28,AU13&lt;&gt;"",AP13=""),AND(AX13&gt;=AY$28,AX13&lt;&gt;"",AP13=""),AND(BW13&gt;=CC$28,BW13&lt;&gt;"",BT13=""),AND(BY13&gt;=CC$28,BY13&lt;&gt;"",BT13=""),AND(CB13&gt;=CC$28,CB13&lt;&gt;"",BT13=""),AND(DA13&gt;=DG$28,DA13&lt;&gt;"",CX13=""),AND(DC13&gt;=DG$28,DC13&lt;&gt;"",CX13=""),AND(DF13&gt;=DG$28,DF13&lt;&gt;"",CX13=""),AND(EC13&gt;=EG$28,EC13&lt;&gt;""),AND(EF13&gt;=EG$28,EF13&lt;&gt;""),AND(EY13&gt;=FC$28,EY13&lt;&gt;""),AND(FB13&gt;=FC$28,FB13&lt;&gt;""),AND(FU13&gt;=FY$28,FU13&lt;&gt;""),AND(FX13&gt;=FY$28,FX13&lt;&gt;""),AND(GQ13&gt;=GU$28,GQ13&lt;&gt;""),AND(GT13&gt;=GU$28,GT13&lt;&gt;""),AND(HM13&gt;=HQ$28,HM13&lt;&gt;""),AND(HP13&gt;=HQ$28,HP13&lt;&gt;""),AND(II13&gt;=IM$28,II13&lt;&gt;""),AND(IL13&gt;=IM$28,IL13&lt;&gt;""),AND(JE13&gt;=JI$28,JE13&lt;&gt;""),AND(JH13&gt;=JI$28,JH13&lt;&gt;""),AND(KA13&gt;=KE$28,KA13&lt;&gt;""),AND(KD13&gt;=KE$28,KD13&lt;&gt;""),AND(KW13&gt;=LA$28,KW13&lt;&gt;""),AND(KZ13&gt;=LA$28,KZ13&lt;&gt;""),AND(LS13&gt;=LW$28,LS13&lt;&gt;""),AND(LV13&gt;=LW$28,LV13&lt;&gt;""),AND(MO13&gt;=MS$28,MO13&lt;&gt;""),AND(MR13&gt;=MS$28,MR13&lt;&gt;""),AND(NK13&gt;=NO$28,NK13&lt;&gt;""),AND(NN13&gt;=NO$28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$29,AV13&lt;&gt;"",AP13=""),AND(BZ13&gt;=CC$29,BZ13&lt;&gt;"",BT13=""),AND(DD13&gt;=DG$29,DD13&lt;&gt;"",CX13=""),AND(ED13&gt;=EG$29,ED13&lt;&gt;""),AND(EZ13&gt;=FC$29,EZ13&lt;&gt;""),AND(FV13&gt;=FY$29,FV13&lt;&gt;""),AND(GR13&gt;=GU$29,GR13&lt;&gt;""),AND(HN13&gt;=HQ$29,HN13&lt;&gt;""),AND(IJ13&gt;=IM$29,IJ13&lt;&gt;""),AND(JF13&gt;=JI$29,JF13&lt;&gt;""),AND(KB13&gt;=KE$29,KB13&lt;&gt;""),AND(KX13&gt;=LA$29,KX13&lt;&gt;""),AND(LT13&gt;=LW$29,LT13&lt;&gt;""),AND(MP13&gt;=MS$29,MP13&lt;&gt;""),AND(NL13&gt;=NO$29,NL13&lt;&gt;"")),OR(G13="Worlds Team",G13="Excellence",G13="Merit")),"P","")</f>
        <v/>
      </c>
      <c r="K13" s="14">
        <f>IF(MAX(AV13,BZ13,DD13)&gt;0,MAX(AV13,BZ13,DD13),0)</f>
        <v>92.875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43.195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MAX(AS13,AU13,AX13,BW13,BY13,CB13,DA13,DC13,DF13)</f>
        <v>50.019999999999996</v>
      </c>
      <c r="P13" s="14" t="str">
        <f>IF(O13=0,"",IF(OR(O13=DC13,O13=DA13,O13=DF13),$CD$1,IF(OR(O13=BY13,O13=BW13,O13=CB13),$AZ$1,IF(OR(O13=AU13,O13=AS13,O13=AX13),$V$1,""))))</f>
        <v>2021 Canadian Championships</v>
      </c>
      <c r="Q13" s="14">
        <f>IF(COUNT(AS13,AU13,AX13,BW13,BY13,CB13,DA13,DC13,DF13)&gt;1,LARGE((AS13,AU13,AX13,BW13,BY13,CB13,DA13,DC13,DF13),2),0)</f>
        <v>49.97</v>
      </c>
      <c r="R13" s="14" t="str">
        <f>IF(Q13=0,"",IF(OR(Q13=DC13,Q13=DA13,Q13=DF13),$CD$1,IF(OR(Q13=BY13,Q13=BW13,Q13=CB13),$AZ$1,IF(OR(Q13=AU13,Q13=AS13,Q13=AX13),$V$1,""))))</f>
        <v>2021 Elite Canada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 t="str">
        <f>IF(SUM(V13:Y13)-Z13&gt;0,SUM(V13:Y13)-Z13,"")</f>
        <v/>
      </c>
      <c r="AR13" s="11" t="str">
        <f>IF(AC13&gt;0,AC13,"")</f>
        <v/>
      </c>
      <c r="AS13" s="11" t="str">
        <f>IF(SUM(AA13:AD13)-AE13&gt;0,SUM(AA13:AD13)-AE13,"")</f>
        <v/>
      </c>
      <c r="AT13" s="11" t="str">
        <f>IF(AH13&gt;0,AH13,"")</f>
        <v/>
      </c>
      <c r="AU13" s="11" t="str">
        <f>IF(SUM(AF13:AI13)-AJ13&gt;0,SUM(AF13:AI13)-AJ13,"")</f>
        <v/>
      </c>
      <c r="AV13" s="11" t="str">
        <f>IF(AQ13="",IF(MAX(AS13,AU13)&gt;0,MAX(AS13,AU13),""),MAX(AS13,AU13)+AQ13)</f>
        <v/>
      </c>
      <c r="AW13" s="11" t="str">
        <f>IF(AM13&gt;0,AM13,"")</f>
        <v/>
      </c>
      <c r="AX13" s="11" t="str">
        <f>IF(SUM(AK13:AN13)-AO13&gt;0,SUM(AK13:AN13)-AO13,"")</f>
        <v/>
      </c>
      <c r="AY13" s="11" t="str">
        <f>IF(SUM(AV13,AX13)&gt;0,SUM(AV13,AX13),"")</f>
        <v/>
      </c>
      <c r="AZ13" s="67">
        <v>16.100000000000001</v>
      </c>
      <c r="BA13" s="67">
        <v>10</v>
      </c>
      <c r="BB13" s="67">
        <v>2.2000000000000002</v>
      </c>
      <c r="BC13" s="67">
        <v>14.805</v>
      </c>
      <c r="BD13" s="67">
        <v>0.2</v>
      </c>
      <c r="BE13" s="67">
        <v>14.4</v>
      </c>
      <c r="BF13" s="67">
        <v>9.8000000000000007</v>
      </c>
      <c r="BG13" s="67">
        <v>11.2</v>
      </c>
      <c r="BH13" s="67">
        <v>14.77</v>
      </c>
      <c r="BI13" s="67">
        <v>0.2</v>
      </c>
      <c r="BJ13" s="67"/>
      <c r="BK13" s="67"/>
      <c r="BL13" s="67"/>
      <c r="BM13" s="67"/>
      <c r="BN13" s="67"/>
      <c r="BO13" s="67">
        <v>14.6</v>
      </c>
      <c r="BP13" s="67">
        <v>9.1999999999999993</v>
      </c>
      <c r="BQ13" s="67">
        <v>11.2</v>
      </c>
      <c r="BR13" s="67">
        <v>14.795</v>
      </c>
      <c r="BS13" s="67">
        <v>0.2</v>
      </c>
      <c r="BT13" s="73"/>
      <c r="BU13" s="14">
        <f>IF(SUM(AZ13:BC13)-BD13&gt;0,SUM(AZ13:BC13)-BD13,"")</f>
        <v>42.905000000000001</v>
      </c>
      <c r="BV13" s="14">
        <f>IF(BG13&gt;0,BG13,"")</f>
        <v>11.2</v>
      </c>
      <c r="BW13" s="14">
        <f>IF(SUM(BE13:BH13)-BI13&gt;0,SUM(BE13:BH13)-BI13,"")</f>
        <v>49.97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92.875</v>
      </c>
      <c r="CA13" s="14">
        <f>IF(BQ13&gt;0,BQ13,"")</f>
        <v>11.2</v>
      </c>
      <c r="CB13" s="14">
        <f>IF(SUM(BO13:BR13)-BS13&gt;0,SUM(BO13:BR13)-BS13,"")</f>
        <v>49.594999999999999</v>
      </c>
      <c r="CC13" s="14">
        <f>IF(SUM(BZ13,CB13)&gt;0,SUM(BZ13,CB13),"")</f>
        <v>142.47</v>
      </c>
      <c r="CD13" s="61">
        <v>16.5</v>
      </c>
      <c r="CE13" s="61">
        <v>9.5</v>
      </c>
      <c r="CF13" s="61">
        <v>2.2000000000000002</v>
      </c>
      <c r="CG13" s="61">
        <v>14.994999999999999</v>
      </c>
      <c r="CH13" s="61">
        <v>0</v>
      </c>
      <c r="CI13" s="61">
        <v>12.9</v>
      </c>
      <c r="CJ13" s="61">
        <v>9</v>
      </c>
      <c r="CK13" s="61">
        <v>11.8</v>
      </c>
      <c r="CL13" s="61">
        <v>14.93</v>
      </c>
      <c r="CM13" s="61">
        <v>0</v>
      </c>
      <c r="CN13" s="61"/>
      <c r="CO13" s="61"/>
      <c r="CP13" s="61"/>
      <c r="CQ13" s="61"/>
      <c r="CR13" s="61"/>
      <c r="CS13" s="61">
        <v>13.4</v>
      </c>
      <c r="CT13" s="61">
        <v>9.5</v>
      </c>
      <c r="CU13" s="61">
        <v>12</v>
      </c>
      <c r="CV13" s="61">
        <v>15.12</v>
      </c>
      <c r="CW13" s="61">
        <v>0</v>
      </c>
      <c r="CX13" s="72"/>
      <c r="CY13" s="11">
        <f>IF(SUM(CD13:CG13)-CH13&gt;0,SUM(CD13:CG13)-CH13,"")</f>
        <v>43.195</v>
      </c>
      <c r="CZ13" s="11">
        <f>IF(CK13&gt;0,CK13,"")</f>
        <v>11.8</v>
      </c>
      <c r="DA13" s="11">
        <f>IF(SUM(CI13:CL13)-CM13&gt;0,SUM(CI13:CL13)-CM13,"")</f>
        <v>48.63</v>
      </c>
      <c r="DB13" s="11" t="str">
        <f>IF(CP13&gt;0,CP13,"")</f>
        <v/>
      </c>
      <c r="DC13" s="11" t="str">
        <f>IF(SUM(CN13:CQ13)-CR13&gt;0,SUM(CN13:CQ13)-CR13,"")</f>
        <v/>
      </c>
      <c r="DD13" s="11">
        <f>IF(CY13="",IF(MAX(DA13,DC13)&gt;0,MAX(DA13,DC13),""),MAX(DA13,DC13)+CY13)</f>
        <v>91.825000000000003</v>
      </c>
      <c r="DE13" s="11">
        <f>IF(CU13&gt;0,CU13,"")</f>
        <v>12</v>
      </c>
      <c r="DF13" s="11">
        <f>IF(SUM(CS13:CV13)-CW13&gt;0,SUM(CS13:CV13)-CW13,"")</f>
        <v>50.019999999999996</v>
      </c>
      <c r="DG13" s="11">
        <f>IF(SUM(DD13,DF13)&gt;0,SUM(DD13,DF13),"")</f>
        <v>141.845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16.3</v>
      </c>
      <c r="NQ13" s="61">
        <f>IF($CX13="P",CE13,(CE13+BA13)/2)</f>
        <v>9.75</v>
      </c>
      <c r="NR13" s="61">
        <f>IF($CX13="P",CF13,(CF13+BB13)/2)</f>
        <v>2.2000000000000002</v>
      </c>
      <c r="NS13" s="61">
        <f>IF($CX13="P",CG13,(CG13+BC13)/2)</f>
        <v>14.899999999999999</v>
      </c>
      <c r="NT13" s="61">
        <f>IF($CX13="P",CH13,(CH13+BD13)/2)</f>
        <v>0.1</v>
      </c>
      <c r="NU13" s="61">
        <f>IF($CX13="P",CI13,(CI13+BE13)/2)</f>
        <v>13.65</v>
      </c>
      <c r="NV13" s="61">
        <f>IF($CX13="P",CJ13,(CJ13+BF13)/2)</f>
        <v>9.4</v>
      </c>
      <c r="NW13" s="61">
        <f>IF($CX13="P",CK13,(CK13+BG13)/2)</f>
        <v>11.5</v>
      </c>
      <c r="NX13" s="61">
        <f>IF($CX13="P",CL13,(CL13+BH13)/2)</f>
        <v>14.85</v>
      </c>
      <c r="NY13" s="61">
        <f>IF($CX13="P",CM13,(CM13+BI13)/2)</f>
        <v>0.1</v>
      </c>
      <c r="NZ13" s="61">
        <f>IF($CX13="P",CN13,(CN13+BJ13)/2)</f>
        <v>0</v>
      </c>
      <c r="OA13" s="61">
        <f>IF($CX13="P",CO13,(CO13+BK13)/2)</f>
        <v>0</v>
      </c>
      <c r="OB13" s="61">
        <f>IF($CX13="P",CP13,(CP13+BL13)/2)</f>
        <v>0</v>
      </c>
      <c r="OC13" s="61">
        <f>IF($CX13="P",CQ13,(CQ13+BM13)/2)</f>
        <v>0</v>
      </c>
      <c r="OD13" s="61">
        <f>IF($CX13="P",CR13,(CR13+BN13)/2)</f>
        <v>0</v>
      </c>
      <c r="OE13" s="61">
        <f>IF($CX13="P",CS13,(CS13+BO13)/2)</f>
        <v>14</v>
      </c>
      <c r="OF13" s="61">
        <f>IF($CX13="P",CT13,(CT13+BP13)/2)</f>
        <v>9.35</v>
      </c>
      <c r="OG13" s="61">
        <f>IF($CX13="P",CU13,(CU13+BQ13)/2)</f>
        <v>11.6</v>
      </c>
      <c r="OH13" s="61">
        <f>IF($CX13="P",CV13,(CV13+BR13)/2)</f>
        <v>14.9575</v>
      </c>
      <c r="OI13" s="61">
        <f>IF($CX13="P",CW13,(CW13+BS13)/2)</f>
        <v>0.1</v>
      </c>
      <c r="OJ13" s="72" t="s">
        <v>52</v>
      </c>
      <c r="OK13" s="11">
        <f>IF(SUM(NP13:NS13)-NT13&gt;0,SUM(NP13:NS13)-NT13,"")</f>
        <v>43.05</v>
      </c>
      <c r="OL13" s="11">
        <f>IF(NW13&gt;0,NW13,"")</f>
        <v>11.5</v>
      </c>
      <c r="OM13" s="11">
        <f>IF(SUM(NU13:NX13)-NY13&gt;0,SUM(NU13:NX13)-NY13,"")</f>
        <v>49.3</v>
      </c>
      <c r="ON13" s="11" t="str">
        <f>IF(OB13&gt;0,OB13,"")</f>
        <v/>
      </c>
      <c r="OO13" s="11" t="str">
        <f>IF(SUM(NZ13:OC13)-OD13&gt;0,SUM(NZ13:OC13)-OD13,"")</f>
        <v/>
      </c>
      <c r="OP13" s="11">
        <f>IF(OR(OK13&lt;&gt;"",OM13&lt;&gt;"",OO13&lt;&gt;""),OK13+MAX(OM13,OO13),"")</f>
        <v>92.35</v>
      </c>
      <c r="OQ13" s="11">
        <f>IF(OG13&gt;0,OG13,"")</f>
        <v>11.6</v>
      </c>
      <c r="OR13" s="11">
        <f t="shared" ref="OR13" si="6">IF(SUM(OE13:OH13)-OI13&gt;0,SUM(OE13:OH13)-OI13,"")</f>
        <v>49.807499999999997</v>
      </c>
      <c r="OS13" s="11">
        <f t="shared" ref="OS13" si="7">IF(SUM(OP13,OR13)&gt;0,SUM(OP13,OR13),"")</f>
        <v>142.1575</v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105</v>
      </c>
      <c r="C14" s="7" t="s">
        <v>4</v>
      </c>
      <c r="D14" s="26">
        <v>2004</v>
      </c>
      <c r="E14" s="15">
        <f>SUM(O14:S14)+K14/1000000</f>
        <v>99.030092615000001</v>
      </c>
      <c r="F14" s="3" t="str">
        <f>IF(G14&lt;&gt;"","P","")</f>
        <v/>
      </c>
      <c r="G14" s="115" t="str">
        <f>IF(OR(AND(AR14&gt;=AY$27,AR14&lt;&gt;"",AP14=""),AND(AT14&gt;=AY$27,AT14&lt;&gt;"",AP14=""),AND(AW14&gt;=AY$27,AW14&lt;&gt;"",AP14=""),AND(BV14&gt;=CC$27,BV14&lt;&gt;"",BT14=""),AND(BX14&gt;=CC$27,BX14&lt;&gt;"",BT14=""),AND(CA14&gt;=CC$27,CA14&lt;&gt;"",BT14=""),AND(CZ14&gt;=DG$27,CZ14&lt;&gt;"",CX14=""),AND(DB14&gt;=DG$27,DB14&lt;&gt;"",CX14=""),AND(DE14&gt;=DG$27,DE14&lt;&gt;"",CX14=""),AND(EA14&gt;=EG$27,EA14&lt;&gt;""),AND(EE14&gt;=EG$27,EE14&lt;&gt;""),AND(EW14&gt;=FC$27,EW14&lt;&gt;""),AND(FA14&gt;=FC$27,FA14&lt;&gt;""),AND(FS14&gt;=FY$27,FS14&lt;&gt;""),AND(FW14&gt;=FY$27,FW14&lt;&gt;""),AND(GO14&gt;=GU$27,GO14&lt;&gt;""),AND(GS14&gt;=GU$27,GS14&lt;&gt;""),AND(HK14&gt;=HQ$27,HK14&lt;&gt;""),AND(HO14&gt;=HQ$27,HO14&lt;&gt;""),AND(IG14&gt;=IM$27,IG14&lt;&gt;""),AND(IK14&gt;=IM$27,IK14&lt;&gt;""),AND(JC14&gt;=JI$27,JC14&lt;&gt;""),AND(JG14&gt;=JI$27,JG14&lt;&gt;""),AND(JY14&gt;=KE$27,JY14&lt;&gt;""),AND(KC14&gt;=KE$27,KC14&lt;&gt;""),AND(KU14&gt;=LA$27,KU14&lt;&gt;""),AND(KY14&gt;=LA$27,KY14&lt;&gt;""),AND(LQ14&gt;=LW$27,LQ14&lt;&gt;""),AND(LU14&gt;=LW$27,LU14&lt;&gt;""),AND(MM14&gt;=MS$27,MM14&lt;&gt;""),AND(MQ14&gt;=MS$27,MQ14&lt;&gt;""),AND(NI14&gt;=NO$27,NI14&lt;&gt;""),AND(NM14&gt;=NO$27,NM14&lt;&gt;"")),"Merit",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Excellence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Worlds Team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National Team",""))))</f>
        <v/>
      </c>
      <c r="H14" s="115" t="str">
        <f>IF(OR(AND(AS14&gt;=AY$28,AS14&lt;&gt;"",AP14=""),AND(AU14&gt;=AY$28,AU14&lt;&gt;"",AP14=""),AND(AX14&gt;=AY$28,AX14&lt;&gt;"",AP14=""),AND(BW14&gt;=CC$28,BW14&lt;&gt;"",BT14=""),AND(BY14&gt;=CC$28,BY14&lt;&gt;"",BT14=""),AND(CB14&gt;=CC$28,CB14&lt;&gt;"",BT14=""),AND(DA14&gt;=DG$28,DA14&lt;&gt;"",CX14=""),AND(DC14&gt;=DG$28,DC14&lt;&gt;"",CX14=""),AND(DF14&gt;=DG$28,DF14&lt;&gt;"",CX14=""),AND(EC14&gt;=EG$28,EC14&lt;&gt;""),AND(EF14&gt;=EG$28,EF14&lt;&gt;""),AND(EY14&gt;=FC$28,EY14&lt;&gt;""),AND(FB14&gt;=FC$28,FB14&lt;&gt;""),AND(FU14&gt;=FY$28,FU14&lt;&gt;""),AND(FX14&gt;=FY$28,FX14&lt;&gt;""),AND(GQ14&gt;=GU$28,GQ14&lt;&gt;""),AND(GT14&gt;=GU$28,GT14&lt;&gt;""),AND(HM14&gt;=HQ$28,HM14&lt;&gt;""),AND(HP14&gt;=HQ$28,HP14&lt;&gt;""),AND(II14&gt;=IM$28,II14&lt;&gt;""),AND(IL14&gt;=IM$28,IL14&lt;&gt;""),AND(JE14&gt;=JI$28,JE14&lt;&gt;""),AND(JH14&gt;=JI$28,JH14&lt;&gt;""),AND(KA14&gt;=KE$28,KA14&lt;&gt;""),AND(KD14&gt;=KE$28,KD14&lt;&gt;""),AND(KW14&gt;=LA$28,KW14&lt;&gt;""),AND(KZ14&gt;=LA$28,KZ14&lt;&gt;""),AND(LS14&gt;=LW$28,LS14&lt;&gt;""),AND(LV14&gt;=LW$28,LV14&lt;&gt;""),AND(MO14&gt;=MS$28,MO14&lt;&gt;""),AND(MR14&gt;=MS$28,MR14&lt;&gt;""),AND(NK14&gt;=NO$28,NK14&lt;&gt;""),AND(NN14&gt;=NO$28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$29,AV14&lt;&gt;"",AP14=""),AND(BZ14&gt;=CC$29,BZ14&lt;&gt;"",BT14=""),AND(DD14&gt;=DG$29,DD14&lt;&gt;"",CX14=""),AND(ED14&gt;=EG$29,ED14&lt;&gt;""),AND(EZ14&gt;=FC$29,EZ14&lt;&gt;""),AND(FV14&gt;=FY$29,FV14&lt;&gt;""),AND(GR14&gt;=GU$29,GR14&lt;&gt;""),AND(HN14&gt;=HQ$29,HN14&lt;&gt;""),AND(IJ14&gt;=IM$29,IJ14&lt;&gt;""),AND(JF14&gt;=JI$29,JF14&lt;&gt;""),AND(KB14&gt;=KE$29,KB14&lt;&gt;""),AND(KX14&gt;=LA$29,KX14&lt;&gt;""),AND(LT14&gt;=LW$29,LT14&lt;&gt;""),AND(MP14&gt;=MS$29,MP14&lt;&gt;""),AND(NL14&gt;=NO$29,NL14&lt;&gt;"")),OR(G14="Worlds Team",G14="Excellence",G14="Merit")),"P","")</f>
        <v/>
      </c>
      <c r="K14" s="14">
        <f>IF(MAX(AV14,BZ14,DD14)&gt;0,MAX(AV14,BZ14,DD14),0)</f>
        <v>92.614999999999995</v>
      </c>
      <c r="L14" s="14" t="str">
        <f>IF(K14=0,"",IF(K14=DD14,$CD$1,IF(K14=BZ14,$AZ$1,IF(K14=AV14,$V$1,""))))</f>
        <v>2021 Elite Canada</v>
      </c>
      <c r="M14" s="14">
        <f>IF($K14=$AV14,MAX(BU14,CY14),IF($K14=$BZ14,MAX(AQ14,CY14),IF($K14=$DD14,MAX(AQ14,BU14),MAX(AQ14,BU14,CY14))))</f>
        <v>42.105000000000004</v>
      </c>
      <c r="N14" s="14" t="str">
        <f>IF(M14=0,"",IF(AND(M14=CY14,$L14&lt;&gt;$CD$1),$CD$1,IF(AND(M14=BU14,$L14&lt;&gt;$AZ$1),$AZ$1,IF(AND(M14=AQ14,$L14&lt;&gt;$V$1),$V$1,""))))</f>
        <v>2021 Canadian Championships</v>
      </c>
      <c r="O14" s="14">
        <f>MAX(AS14,AU14,AX14,BW14,BY14,CB14,DA14,DC14,DF14)</f>
        <v>49.54</v>
      </c>
      <c r="P14" s="14" t="str">
        <f>IF(O14=0,"",IF(OR(O14=DC14,O14=DA14,O14=DF14),$CD$1,IF(OR(O14=BY14,O14=BW14,O14=CB14),$AZ$1,IF(OR(O14=AU14,O14=AS14,O14=AX14),$V$1,""))))</f>
        <v>2021 Canadian Championships</v>
      </c>
      <c r="Q14" s="14">
        <f>IF(COUNT(AS14,AU14,AX14,BW14,BY14,CB14,DA14,DC14,DF14)&gt;1,LARGE((AS14,AU14,AX14,BW14,BY14,CB14,DA14,DC14,DF14),2),0)</f>
        <v>49.489999999999995</v>
      </c>
      <c r="R14" s="14" t="str">
        <f>IF(Q14=0,"",IF(OR(Q14=DC14,Q14=DA14,Q14=DF14),$CD$1,IF(OR(Q14=BY14,Q14=BW14,Q14=CB14),$AZ$1,IF(OR(Q14=AU14,Q14=AS14,Q14=AX14),$V$1,""))))</f>
        <v>2021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14</v>
      </c>
      <c r="W14" s="61">
        <v>8.9</v>
      </c>
      <c r="X14" s="61">
        <v>2.5</v>
      </c>
      <c r="Y14" s="61">
        <v>14.805</v>
      </c>
      <c r="Z14" s="61">
        <v>0</v>
      </c>
      <c r="AA14" s="61">
        <v>12.8</v>
      </c>
      <c r="AB14" s="61">
        <v>8.1999999999999993</v>
      </c>
      <c r="AC14" s="61">
        <v>6.5</v>
      </c>
      <c r="AD14" s="61">
        <v>13.654999999999999</v>
      </c>
      <c r="AE14" s="61">
        <v>3.1</v>
      </c>
      <c r="AF14" s="61"/>
      <c r="AG14" s="61"/>
      <c r="AH14" s="61"/>
      <c r="AI14" s="61"/>
      <c r="AJ14" s="61"/>
      <c r="AK14" s="61">
        <v>3.4</v>
      </c>
      <c r="AL14" s="61">
        <v>2.4</v>
      </c>
      <c r="AM14" s="61">
        <v>3.2</v>
      </c>
      <c r="AN14" s="61">
        <v>4.7850000000000001</v>
      </c>
      <c r="AO14" s="61">
        <v>0</v>
      </c>
      <c r="AP14" s="72"/>
      <c r="AQ14" s="11">
        <f>IF(SUM(V14:Y14)-Z14&gt;0,SUM(V14:Y14)-Z14,"")</f>
        <v>40.204999999999998</v>
      </c>
      <c r="AR14" s="11">
        <f>IF(AC14&gt;0,AC14,"")</f>
        <v>6.5</v>
      </c>
      <c r="AS14" s="11">
        <f>IF(SUM(AA14:AD14)-AE14&gt;0,SUM(AA14:AD14)-AE14,"")</f>
        <v>38.055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78.259999999999991</v>
      </c>
      <c r="AW14" s="11">
        <f>IF(AM14&gt;0,AM14,"")</f>
        <v>3.2</v>
      </c>
      <c r="AX14" s="11">
        <f>IF(SUM(AK14:AN14)-AO14&gt;0,SUM(AK14:AN14)-AO14,"")</f>
        <v>13.785</v>
      </c>
      <c r="AY14" s="11">
        <f>IF(SUM(AV14,AX14)&gt;0,SUM(AV14,AX14),"")</f>
        <v>92.044999999999987</v>
      </c>
      <c r="AZ14" s="67">
        <v>15.5</v>
      </c>
      <c r="BA14" s="67">
        <v>9.3000000000000007</v>
      </c>
      <c r="BB14" s="67">
        <v>2.5</v>
      </c>
      <c r="BC14" s="67">
        <v>15.824999999999999</v>
      </c>
      <c r="BD14" s="67">
        <v>0</v>
      </c>
      <c r="BE14" s="67">
        <v>13.2</v>
      </c>
      <c r="BF14" s="67">
        <v>9.6</v>
      </c>
      <c r="BG14" s="67">
        <v>11.3</v>
      </c>
      <c r="BH14" s="67">
        <v>15.39</v>
      </c>
      <c r="BI14" s="67">
        <v>0</v>
      </c>
      <c r="BJ14" s="67"/>
      <c r="BK14" s="67"/>
      <c r="BL14" s="67"/>
      <c r="BM14" s="67"/>
      <c r="BN14" s="67"/>
      <c r="BO14" s="67">
        <v>13.5</v>
      </c>
      <c r="BP14" s="67">
        <v>9.4</v>
      </c>
      <c r="BQ14" s="67">
        <v>10.4</v>
      </c>
      <c r="BR14" s="67">
        <v>15.23</v>
      </c>
      <c r="BS14" s="67">
        <v>0</v>
      </c>
      <c r="BT14" s="73"/>
      <c r="BU14" s="14">
        <f>IF(SUM(AZ14:BC14)-BD14&gt;0,SUM(AZ14:BC14)-BD14,"")</f>
        <v>43.125</v>
      </c>
      <c r="BV14" s="14">
        <f>IF(BG14&gt;0,BG14,"")</f>
        <v>11.3</v>
      </c>
      <c r="BW14" s="14">
        <f>IF(SUM(BE14:BH14)-BI14&gt;0,SUM(BE14:BH14)-BI14,"")</f>
        <v>49.489999999999995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92.614999999999995</v>
      </c>
      <c r="CA14" s="14">
        <f>IF(BQ14&gt;0,BQ14,"")</f>
        <v>10.4</v>
      </c>
      <c r="CB14" s="14">
        <f>IF(SUM(BO14:BR14)-BS14&gt;0,SUM(BO14:BR14)-BS14,"")</f>
        <v>48.53</v>
      </c>
      <c r="CC14" s="14">
        <f>IF(SUM(BZ14,CB14)&gt;0,SUM(BZ14,CB14),"")</f>
        <v>141.14499999999998</v>
      </c>
      <c r="CD14" s="61">
        <v>16</v>
      </c>
      <c r="CE14" s="61">
        <v>8.5</v>
      </c>
      <c r="CF14" s="61">
        <v>2.5</v>
      </c>
      <c r="CG14" s="61">
        <v>15.105</v>
      </c>
      <c r="CH14" s="61">
        <v>0</v>
      </c>
      <c r="CI14" s="61">
        <v>14.6</v>
      </c>
      <c r="CJ14" s="61">
        <v>9.1</v>
      </c>
      <c r="CK14" s="61">
        <v>11.2</v>
      </c>
      <c r="CL14" s="61">
        <v>14.64</v>
      </c>
      <c r="CM14" s="61">
        <v>0</v>
      </c>
      <c r="CN14" s="61"/>
      <c r="CO14" s="61"/>
      <c r="CP14" s="61"/>
      <c r="CQ14" s="61"/>
      <c r="CR14" s="61"/>
      <c r="CS14" s="61">
        <v>13.8</v>
      </c>
      <c r="CT14" s="61">
        <v>8.6</v>
      </c>
      <c r="CU14" s="61">
        <v>11.2</v>
      </c>
      <c r="CV14" s="61">
        <v>14.404999999999999</v>
      </c>
      <c r="CW14" s="61">
        <v>0</v>
      </c>
      <c r="CX14" s="72"/>
      <c r="CY14" s="11">
        <f>IF(SUM(CD14:CG14)-CH14&gt;0,SUM(CD14:CG14)-CH14,"")</f>
        <v>42.105000000000004</v>
      </c>
      <c r="CZ14" s="11">
        <f>IF(CK14&gt;0,CK14,"")</f>
        <v>11.2</v>
      </c>
      <c r="DA14" s="11">
        <f>IF(SUM(CI14:CL14)-CM14&gt;0,SUM(CI14:CL14)-CM14,"")</f>
        <v>49.54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91.64500000000001</v>
      </c>
      <c r="DE14" s="11">
        <f>IF(CU14&gt;0,CU14,"")</f>
        <v>11.2</v>
      </c>
      <c r="DF14" s="11">
        <f>IF(SUM(CS14:CV14)-CW14&gt;0,SUM(CS14:CV14)-CW14,"")</f>
        <v>48.004999999999995</v>
      </c>
      <c r="DG14" s="11">
        <f>IF(SUM(DD14,DF14)&gt;0,SUM(DD14,DF14),"")</f>
        <v>139.65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15.75</v>
      </c>
      <c r="NQ14" s="61">
        <f>IF($CX14="P",CE14,(CE14+BA14)/2)</f>
        <v>8.9</v>
      </c>
      <c r="NR14" s="61">
        <f>IF($CX14="P",CF14,(CF14+BB14)/2)</f>
        <v>2.5</v>
      </c>
      <c r="NS14" s="61">
        <f>IF($CX14="P",CG14,(CG14+BC14)/2)</f>
        <v>15.465</v>
      </c>
      <c r="NT14" s="61">
        <f>IF($CX14="P",CH14,(CH14+BD14)/2)</f>
        <v>0</v>
      </c>
      <c r="NU14" s="61">
        <f>IF($CX14="P",CI14,(CI14+BE14)/2)</f>
        <v>13.899999999999999</v>
      </c>
      <c r="NV14" s="61">
        <f>IF($CX14="P",CJ14,(CJ14+BF14)/2)</f>
        <v>9.35</v>
      </c>
      <c r="NW14" s="61">
        <f>IF($CX14="P",CK14,(CK14+BG14)/2)</f>
        <v>11.25</v>
      </c>
      <c r="NX14" s="61">
        <f>IF($CX14="P",CL14,(CL14+BH14)/2)</f>
        <v>15.015000000000001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13.65</v>
      </c>
      <c r="OF14" s="61">
        <f>IF($CX14="P",CT14,(CT14+BP14)/2)</f>
        <v>9</v>
      </c>
      <c r="OG14" s="61">
        <f>IF($CX14="P",CU14,(CU14+BQ14)/2)</f>
        <v>10.8</v>
      </c>
      <c r="OH14" s="61">
        <f>IF($CX14="P",CV14,(CV14+BR14)/2)</f>
        <v>14.817499999999999</v>
      </c>
      <c r="OI14" s="61">
        <f>IF($CX14="P",CW14,(CW14+BS14)/2)</f>
        <v>0</v>
      </c>
      <c r="OJ14" s="72" t="s">
        <v>52</v>
      </c>
      <c r="OK14" s="11">
        <f>IF(SUM(NP14:NS14)-NT14&gt;0,SUM(NP14:NS14)-NT14,"")</f>
        <v>42.614999999999995</v>
      </c>
      <c r="OL14" s="11">
        <f>IF(NW14&gt;0,NW14,"")</f>
        <v>11.25</v>
      </c>
      <c r="OM14" s="11">
        <f>IF(SUM(NU14:NX14)-NY14&gt;0,SUM(NU14:NX14)-NY14,"")</f>
        <v>49.515000000000001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92.13</v>
      </c>
      <c r="OQ14" s="11">
        <f>IF(OG14&gt;0,OG14,"")</f>
        <v>10.8</v>
      </c>
      <c r="OR14" s="11">
        <f t="shared" ref="OR14" si="8">IF(SUM(OE14:OH14)-OI14&gt;0,SUM(OE14:OH14)-OI14,"")</f>
        <v>48.267499999999998</v>
      </c>
      <c r="OS14" s="11">
        <f t="shared" ref="OS14" si="9">IF(SUM(OP14,OR14)&gt;0,SUM(OP14,OR14),"")</f>
        <v>140.39749999999998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92</v>
      </c>
      <c r="C15" s="7" t="s">
        <v>5</v>
      </c>
      <c r="D15" s="26">
        <v>2002</v>
      </c>
      <c r="E15" s="15">
        <f>SUM(O15:S15)+K15/1000000</f>
        <v>98.335092285000002</v>
      </c>
      <c r="F15" s="3" t="str">
        <f>IF(G15&lt;&gt;"","P","")</f>
        <v/>
      </c>
      <c r="G15" s="115" t="str">
        <f>IF(OR(AND(AR15&gt;=AY$27,AR15&lt;&gt;"",AP15=""),AND(AT15&gt;=AY$27,AT15&lt;&gt;"",AP15=""),AND(AW15&gt;=AY$27,AW15&lt;&gt;"",AP15=""),AND(BV15&gt;=CC$27,BV15&lt;&gt;"",BT15=""),AND(BX15&gt;=CC$27,BX15&lt;&gt;"",BT15=""),AND(CA15&gt;=CC$27,CA15&lt;&gt;"",BT15=""),AND(CZ15&gt;=DG$27,CZ15&lt;&gt;"",CX15=""),AND(DB15&gt;=DG$27,DB15&lt;&gt;"",CX15=""),AND(DE15&gt;=DG$27,DE15&lt;&gt;"",CX15=""),AND(EA15&gt;=EG$27,EA15&lt;&gt;""),AND(EE15&gt;=EG$27,EE15&lt;&gt;""),AND(EW15&gt;=FC$27,EW15&lt;&gt;""),AND(FA15&gt;=FC$27,FA15&lt;&gt;""),AND(FS15&gt;=FY$27,FS15&lt;&gt;""),AND(FW15&gt;=FY$27,FW15&lt;&gt;""),AND(GO15&gt;=GU$27,GO15&lt;&gt;""),AND(GS15&gt;=GU$27,GS15&lt;&gt;""),AND(HK15&gt;=HQ$27,HK15&lt;&gt;""),AND(HO15&gt;=HQ$27,HO15&lt;&gt;""),AND(IG15&gt;=IM$27,IG15&lt;&gt;""),AND(IK15&gt;=IM$27,IK15&lt;&gt;""),AND(JC15&gt;=JI$27,JC15&lt;&gt;""),AND(JG15&gt;=JI$27,JG15&lt;&gt;""),AND(JY15&gt;=KE$27,JY15&lt;&gt;""),AND(KC15&gt;=KE$27,KC15&lt;&gt;""),AND(KU15&gt;=LA$27,KU15&lt;&gt;""),AND(KY15&gt;=LA$27,KY15&lt;&gt;""),AND(LQ15&gt;=LW$27,LQ15&lt;&gt;""),AND(LU15&gt;=LW$27,LU15&lt;&gt;""),AND(MM15&gt;=MS$27,MM15&lt;&gt;""),AND(MQ15&gt;=MS$27,MQ15&lt;&gt;""),AND(NI15&gt;=NO$27,NI15&lt;&gt;""),AND(NM15&gt;=NO$27,NM15&lt;&gt;"")),"Merit",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Excellence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Worlds Team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National Team",""))))</f>
        <v/>
      </c>
      <c r="H15" s="115" t="str">
        <f>IF(OR(AND(AS15&gt;=AY$28,AS15&lt;&gt;"",AP15=""),AND(AU15&gt;=AY$28,AU15&lt;&gt;"",AP15=""),AND(AX15&gt;=AY$28,AX15&lt;&gt;"",AP15=""),AND(BW15&gt;=CC$28,BW15&lt;&gt;"",BT15=""),AND(BY15&gt;=CC$28,BY15&lt;&gt;"",BT15=""),AND(CB15&gt;=CC$28,CB15&lt;&gt;"",BT15=""),AND(DA15&gt;=DG$28,DA15&lt;&gt;"",CX15=""),AND(DC15&gt;=DG$28,DC15&lt;&gt;"",CX15=""),AND(DF15&gt;=DG$28,DF15&lt;&gt;"",CX15=""),AND(EC15&gt;=EG$28,EC15&lt;&gt;""),AND(EF15&gt;=EG$28,EF15&lt;&gt;""),AND(EY15&gt;=FC$28,EY15&lt;&gt;""),AND(FB15&gt;=FC$28,FB15&lt;&gt;""),AND(FU15&gt;=FY$28,FU15&lt;&gt;""),AND(FX15&gt;=FY$28,FX15&lt;&gt;""),AND(GQ15&gt;=GU$28,GQ15&lt;&gt;""),AND(GT15&gt;=GU$28,GT15&lt;&gt;""),AND(HM15&gt;=HQ$28,HM15&lt;&gt;""),AND(HP15&gt;=HQ$28,HP15&lt;&gt;""),AND(II15&gt;=IM$28,II15&lt;&gt;""),AND(IL15&gt;=IM$28,IL15&lt;&gt;""),AND(JE15&gt;=JI$28,JE15&lt;&gt;""),AND(JH15&gt;=JI$28,JH15&lt;&gt;""),AND(KA15&gt;=KE$28,KA15&lt;&gt;""),AND(KD15&gt;=KE$28,KD15&lt;&gt;""),AND(KW15&gt;=LA$28,KW15&lt;&gt;""),AND(KZ15&gt;=LA$28,KZ15&lt;&gt;""),AND(LS15&gt;=LW$28,LS15&lt;&gt;""),AND(LV15&gt;=LW$28,LV15&lt;&gt;""),AND(MO15&gt;=MS$28,MO15&lt;&gt;""),AND(MR15&gt;=MS$28,MR15&lt;&gt;""),AND(NK15&gt;=NO$28,NK15&lt;&gt;""),AND(NN15&gt;=NO$28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$29,AV15&lt;&gt;"",AP15=""),AND(BZ15&gt;=CC$29,BZ15&lt;&gt;"",BT15=""),AND(DD15&gt;=DG$29,DD15&lt;&gt;"",CX15=""),AND(ED15&gt;=EG$29,ED15&lt;&gt;""),AND(EZ15&gt;=FC$29,EZ15&lt;&gt;""),AND(FV15&gt;=FY$29,FV15&lt;&gt;""),AND(GR15&gt;=GU$29,GR15&lt;&gt;""),AND(HN15&gt;=HQ$29,HN15&lt;&gt;""),AND(IJ15&gt;=IM$29,IJ15&lt;&gt;""),AND(JF15&gt;=JI$29,JF15&lt;&gt;""),AND(KB15&gt;=KE$29,KB15&lt;&gt;""),AND(KX15&gt;=LA$29,KX15&lt;&gt;""),AND(LT15&gt;=LW$29,LT15&lt;&gt;""),AND(MP15&gt;=MS$29,MP15&lt;&gt;""),AND(NL15&gt;=NO$29,NL15&lt;&gt;"")),OR(G15="Worlds Team",G15="Excellence",G15="Merit")),"P","")</f>
        <v/>
      </c>
      <c r="K15" s="14">
        <f>IF(MAX(AV15,BZ15,DD15)&gt;0,MAX(AV15,BZ15,DD15),0)</f>
        <v>92.284999999999997</v>
      </c>
      <c r="L15" s="14" t="str">
        <f>IF(K15=0,"",IF(K15=DD15,$CD$1,IF(K15=BZ15,$AZ$1,IF(K15=AV15,$V$1,""))))</f>
        <v>2021 Canadian Championships</v>
      </c>
      <c r="M15" s="14">
        <f>IF($K15=$AV15,MAX(BU15,CY15),IF($K15=$BZ15,MAX(AQ15,CY15),IF($K15=$DD15,MAX(AQ15,BU15),MAX(AQ15,BU15,CY15))))</f>
        <v>42.760000000000005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MAX(AS15,AU15,AX15,BW15,BY15,CB15,DA15,DC15,DF15)</f>
        <v>49.36</v>
      </c>
      <c r="P15" s="14" t="str">
        <f>IF(O15=0,"",IF(OR(O15=DC15,O15=DA15,O15=DF15),$CD$1,IF(OR(O15=BY15,O15=BW15,O15=CB15),$AZ$1,IF(OR(O15=AU15,O15=AS15,O15=AX15),$V$1,""))))</f>
        <v>2021 Canadian Championships</v>
      </c>
      <c r="Q15" s="14">
        <f>IF(COUNT(AS15,AU15,AX15,BW15,BY15,CB15,DA15,DC15,DF15)&gt;1,LARGE((AS15,AU15,AX15,BW15,BY15,CB15,DA15,DC15,DF15),2),0)</f>
        <v>48.975000000000001</v>
      </c>
      <c r="R15" s="14" t="str">
        <f>IF(Q15=0,"",IF(OR(Q15=DC15,Q15=DA15,Q15=DF15),$CD$1,IF(OR(Q15=BY15,Q15=BW15,Q15=CB15),$AZ$1,IF(OR(Q15=AU15,Q15=AS15,Q15=AX15),$V$1,""))))</f>
        <v>2021 Canadian Championships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>IF(SUM(V15:Y15)-Z15&gt;0,SUM(V15:Y15)-Z15,"")</f>
        <v/>
      </c>
      <c r="AR15" s="11" t="str">
        <f>IF(AC15&gt;0,AC15,"")</f>
        <v/>
      </c>
      <c r="AS15" s="11" t="str">
        <f>IF(SUM(AA15:AD15)-AE15&gt;0,SUM(AA15:AD15)-AE15,"")</f>
        <v/>
      </c>
      <c r="AT15" s="11" t="str">
        <f>IF(AH15&gt;0,AH15,"")</f>
        <v/>
      </c>
      <c r="AU15" s="11" t="str">
        <f>IF(SUM(AF15:AI15)-AJ15&gt;0,SUM(AF15:AI15)-AJ15,"")</f>
        <v/>
      </c>
      <c r="AV15" s="11" t="str">
        <f>IF(AQ15="",IF(MAX(AS15,AU15)&gt;0,MAX(AS15,AU15),""),MAX(AS15,AU15)+AQ15)</f>
        <v/>
      </c>
      <c r="AW15" s="11" t="str">
        <f>IF(AM15&gt;0,AM15,"")</f>
        <v/>
      </c>
      <c r="AX15" s="11" t="str">
        <f>IF(SUM(AK15:AN15)-AO15&gt;0,SUM(AK15:AN15)-AO15,"")</f>
        <v/>
      </c>
      <c r="AY15" s="11" t="str">
        <f>IF(SUM(AV15,AX15)&gt;0,SUM(AV15,AX15),"")</f>
        <v/>
      </c>
      <c r="AZ15" s="67">
        <v>16</v>
      </c>
      <c r="BA15" s="67">
        <v>9.1</v>
      </c>
      <c r="BB15" s="67">
        <v>2</v>
      </c>
      <c r="BC15" s="67">
        <v>15.66</v>
      </c>
      <c r="BD15" s="67">
        <v>0</v>
      </c>
      <c r="BE15" s="67">
        <v>11.4</v>
      </c>
      <c r="BF15" s="67">
        <v>6.7</v>
      </c>
      <c r="BG15" s="67">
        <v>8.4</v>
      </c>
      <c r="BH15" s="67">
        <v>13.035</v>
      </c>
      <c r="BI15" s="67">
        <v>0.2</v>
      </c>
      <c r="BJ15" s="67"/>
      <c r="BK15" s="67"/>
      <c r="BL15" s="67"/>
      <c r="BM15" s="67"/>
      <c r="BN15" s="67"/>
      <c r="BO15" s="67">
        <v>3.1</v>
      </c>
      <c r="BP15" s="67">
        <v>1.7</v>
      </c>
      <c r="BQ15" s="67">
        <v>2</v>
      </c>
      <c r="BR15" s="67">
        <v>4.1550000000000002</v>
      </c>
      <c r="BS15" s="67">
        <v>0</v>
      </c>
      <c r="BT15" s="73"/>
      <c r="BU15" s="14">
        <f>IF(SUM(AZ15:BC15)-BD15&gt;0,SUM(AZ15:BC15)-BD15,"")</f>
        <v>42.760000000000005</v>
      </c>
      <c r="BV15" s="14">
        <f>IF(BG15&gt;0,BG15,"")</f>
        <v>8.4</v>
      </c>
      <c r="BW15" s="14">
        <f>IF(SUM(BE15:BH15)-BI15&gt;0,SUM(BE15:BH15)-BI15,"")</f>
        <v>39.334999999999994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82.094999999999999</v>
      </c>
      <c r="CA15" s="14">
        <f>IF(BQ15&gt;0,BQ15,"")</f>
        <v>2</v>
      </c>
      <c r="CB15" s="14">
        <f>IF(SUM(BO15:BR15)-BS15&gt;0,SUM(BO15:BR15)-BS15,"")</f>
        <v>10.955</v>
      </c>
      <c r="CC15" s="14">
        <f>IF(SUM(BZ15,CB15)&gt;0,SUM(BZ15,CB15),"")</f>
        <v>93.05</v>
      </c>
      <c r="CD15" s="61">
        <v>16.399999999999999</v>
      </c>
      <c r="CE15" s="61">
        <v>9.4</v>
      </c>
      <c r="CF15" s="61">
        <v>2</v>
      </c>
      <c r="CG15" s="61">
        <v>15.51</v>
      </c>
      <c r="CH15" s="61">
        <v>0</v>
      </c>
      <c r="CI15" s="61">
        <v>14.3</v>
      </c>
      <c r="CJ15" s="61">
        <v>8.9</v>
      </c>
      <c r="CK15" s="61">
        <v>10.4</v>
      </c>
      <c r="CL15" s="61">
        <v>15.375</v>
      </c>
      <c r="CM15" s="61">
        <v>0</v>
      </c>
      <c r="CN15" s="61"/>
      <c r="CO15" s="61"/>
      <c r="CP15" s="61"/>
      <c r="CQ15" s="61"/>
      <c r="CR15" s="61"/>
      <c r="CS15" s="61">
        <v>15.4</v>
      </c>
      <c r="CT15" s="61">
        <v>8.4</v>
      </c>
      <c r="CU15" s="61">
        <v>9.9</v>
      </c>
      <c r="CV15" s="61">
        <v>15.66</v>
      </c>
      <c r="CW15" s="61">
        <v>0</v>
      </c>
      <c r="CX15" s="72"/>
      <c r="CY15" s="11">
        <f>IF(SUM(CD15:CG15)-CH15&gt;0,SUM(CD15:CG15)-CH15,"")</f>
        <v>43.309999999999995</v>
      </c>
      <c r="CZ15" s="11">
        <f>IF(CK15&gt;0,CK15,"")</f>
        <v>10.4</v>
      </c>
      <c r="DA15" s="11">
        <f>IF(SUM(CI15:CL15)-CM15&gt;0,SUM(CI15:CL15)-CM15,"")</f>
        <v>48.975000000000001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92.284999999999997</v>
      </c>
      <c r="DE15" s="11">
        <f>IF(CU15&gt;0,CU15,"")</f>
        <v>9.9</v>
      </c>
      <c r="DF15" s="11">
        <f>IF(SUM(CS15:CV15)-CW15&gt;0,SUM(CS15:CV15)-CW15,"")</f>
        <v>49.36</v>
      </c>
      <c r="DG15" s="11">
        <f>IF(SUM(DD15,DF15)&gt;0,SUM(DD15,DF15),"")</f>
        <v>141.64499999999998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16.2</v>
      </c>
      <c r="NQ15" s="61">
        <f>IF($CX15="P",CE15,(CE15+BA15)/2)</f>
        <v>9.25</v>
      </c>
      <c r="NR15" s="61">
        <f>IF($CX15="P",CF15,(CF15+BB15)/2)</f>
        <v>2</v>
      </c>
      <c r="NS15" s="61">
        <f>IF($CX15="P",CG15,(CG15+BC15)/2)</f>
        <v>15.585000000000001</v>
      </c>
      <c r="NT15" s="61">
        <f>IF($CX15="P",CH15,(CH15+BD15)/2)</f>
        <v>0</v>
      </c>
      <c r="NU15" s="61">
        <f>IF($CX15="P",CI15,(CI15+BE15)/2)</f>
        <v>12.850000000000001</v>
      </c>
      <c r="NV15" s="61">
        <f>IF($CX15="P",CJ15,(CJ15+BF15)/2)</f>
        <v>7.8000000000000007</v>
      </c>
      <c r="NW15" s="61">
        <f>IF($CX15="P",CK15,(CK15+BG15)/2)</f>
        <v>9.4</v>
      </c>
      <c r="NX15" s="61">
        <f>IF($CX15="P",CL15,(CL15+BH15)/2)</f>
        <v>14.205</v>
      </c>
      <c r="NY15" s="61">
        <f>IF($CX15="P",CM15,(CM15+BI15)/2)</f>
        <v>0.1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9.25</v>
      </c>
      <c r="OF15" s="61">
        <f>IF($CX15="P",CT15,(CT15+BP15)/2)</f>
        <v>5.05</v>
      </c>
      <c r="OG15" s="61">
        <f>IF($CX15="P",CU15,(CU15+BQ15)/2)</f>
        <v>5.95</v>
      </c>
      <c r="OH15" s="61">
        <f>IF($CX15="P",CV15,(CV15+BR15)/2)</f>
        <v>9.9075000000000006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43.034999999999997</v>
      </c>
      <c r="OL15" s="11">
        <f>IF(NW15&gt;0,NW15,"")</f>
        <v>9.4</v>
      </c>
      <c r="OM15" s="11">
        <f>IF(SUM(NU15:NX15)-NY15&gt;0,SUM(NU15:NX15)-NY15,"")</f>
        <v>44.155000000000001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87.19</v>
      </c>
      <c r="OQ15" s="11">
        <f>IF(OG15&gt;0,OG15,"")</f>
        <v>5.95</v>
      </c>
      <c r="OR15" s="11">
        <f t="shared" ref="OR15" si="10">IF(SUM(OE15:OH15)-OI15&gt;0,SUM(OE15:OH15)-OI15,"")</f>
        <v>30.157499999999999</v>
      </c>
      <c r="OS15" s="11">
        <f t="shared" ref="OS15" si="11">IF(SUM(OP15,OR15)&gt;0,SUM(OP15,OR15),"")</f>
        <v>117.3475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156</v>
      </c>
      <c r="C16" s="7" t="s">
        <v>6</v>
      </c>
      <c r="D16" s="26">
        <v>2004</v>
      </c>
      <c r="E16" s="15">
        <f>SUM(O16:S16)+K16/1000000</f>
        <v>98.160091565000002</v>
      </c>
      <c r="F16" s="3" t="str">
        <f>IF(G16&lt;&gt;"","P","")</f>
        <v/>
      </c>
      <c r="G16" s="115" t="str">
        <f>IF(OR(AND(AR16&gt;=AY$27,AR16&lt;&gt;"",AP16=""),AND(AT16&gt;=AY$27,AT16&lt;&gt;"",AP16=""),AND(AW16&gt;=AY$27,AW16&lt;&gt;"",AP16=""),AND(BV16&gt;=CC$27,BV16&lt;&gt;"",BT16=""),AND(BX16&gt;=CC$27,BX16&lt;&gt;"",BT16=""),AND(CA16&gt;=CC$27,CA16&lt;&gt;"",BT16=""),AND(CZ16&gt;=DG$27,CZ16&lt;&gt;"",CX16=""),AND(DB16&gt;=DG$27,DB16&lt;&gt;"",CX16=""),AND(DE16&gt;=DG$27,DE16&lt;&gt;"",CX16=""),AND(EA16&gt;=EG$27,EA16&lt;&gt;""),AND(EE16&gt;=EG$27,EE16&lt;&gt;""),AND(EW16&gt;=FC$27,EW16&lt;&gt;""),AND(FA16&gt;=FC$27,FA16&lt;&gt;""),AND(FS16&gt;=FY$27,FS16&lt;&gt;""),AND(FW16&gt;=FY$27,FW16&lt;&gt;""),AND(GO16&gt;=GU$27,GO16&lt;&gt;""),AND(GS16&gt;=GU$27,GS16&lt;&gt;""),AND(HK16&gt;=HQ$27,HK16&lt;&gt;""),AND(HO16&gt;=HQ$27,HO16&lt;&gt;""),AND(IG16&gt;=IM$27,IG16&lt;&gt;""),AND(IK16&gt;=IM$27,IK16&lt;&gt;""),AND(JC16&gt;=JI$27,JC16&lt;&gt;""),AND(JG16&gt;=JI$27,JG16&lt;&gt;""),AND(JY16&gt;=KE$27,JY16&lt;&gt;""),AND(KC16&gt;=KE$27,KC16&lt;&gt;""),AND(KU16&gt;=LA$27,KU16&lt;&gt;""),AND(KY16&gt;=LA$27,KY16&lt;&gt;""),AND(LQ16&gt;=LW$27,LQ16&lt;&gt;""),AND(LU16&gt;=LW$27,LU16&lt;&gt;""),AND(MM16&gt;=MS$27,MM16&lt;&gt;""),AND(MQ16&gt;=MS$27,MQ16&lt;&gt;""),AND(NI16&gt;=NO$27,NI16&lt;&gt;""),AND(NM16&gt;=NO$27,NM16&lt;&gt;"")),"Merit",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Excellence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Worlds Team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National Team",""))))</f>
        <v/>
      </c>
      <c r="H16" s="115" t="str">
        <f>IF(OR(AND(AS16&gt;=AY$28,AS16&lt;&gt;"",AP16=""),AND(AU16&gt;=AY$28,AU16&lt;&gt;"",AP16=""),AND(AX16&gt;=AY$28,AX16&lt;&gt;"",AP16=""),AND(BW16&gt;=CC$28,BW16&lt;&gt;"",BT16=""),AND(BY16&gt;=CC$28,BY16&lt;&gt;"",BT16=""),AND(CB16&gt;=CC$28,CB16&lt;&gt;"",BT16=""),AND(DA16&gt;=DG$28,DA16&lt;&gt;"",CX16=""),AND(DC16&gt;=DG$28,DC16&lt;&gt;"",CX16=""),AND(DF16&gt;=DG$28,DF16&lt;&gt;"",CX16=""),AND(EC16&gt;=EG$28,EC16&lt;&gt;""),AND(EF16&gt;=EG$28,EF16&lt;&gt;""),AND(EY16&gt;=FC$28,EY16&lt;&gt;""),AND(FB16&gt;=FC$28,FB16&lt;&gt;""),AND(FU16&gt;=FY$28,FU16&lt;&gt;""),AND(FX16&gt;=FY$28,FX16&lt;&gt;""),AND(GQ16&gt;=GU$28,GQ16&lt;&gt;""),AND(GT16&gt;=GU$28,GT16&lt;&gt;""),AND(HM16&gt;=HQ$28,HM16&lt;&gt;""),AND(HP16&gt;=HQ$28,HP16&lt;&gt;""),AND(II16&gt;=IM$28,II16&lt;&gt;""),AND(IL16&gt;=IM$28,IL16&lt;&gt;""),AND(JE16&gt;=JI$28,JE16&lt;&gt;""),AND(JH16&gt;=JI$28,JH16&lt;&gt;""),AND(KA16&gt;=KE$28,KA16&lt;&gt;""),AND(KD16&gt;=KE$28,KD16&lt;&gt;""),AND(KW16&gt;=LA$28,KW16&lt;&gt;""),AND(KZ16&gt;=LA$28,KZ16&lt;&gt;""),AND(LS16&gt;=LW$28,LS16&lt;&gt;""),AND(LV16&gt;=LW$28,LV16&lt;&gt;""),AND(MO16&gt;=MS$28,MO16&lt;&gt;""),AND(MR16&gt;=MS$28,MR16&lt;&gt;""),AND(NK16&gt;=NO$28,NK16&lt;&gt;""),AND(NN16&gt;=NO$28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$29,AV16&lt;&gt;"",AP16=""),AND(BZ16&gt;=CC$29,BZ16&lt;&gt;"",BT16=""),AND(DD16&gt;=DG$29,DD16&lt;&gt;"",CX16=""),AND(ED16&gt;=EG$29,ED16&lt;&gt;""),AND(EZ16&gt;=FC$29,EZ16&lt;&gt;""),AND(FV16&gt;=FY$29,FV16&lt;&gt;""),AND(GR16&gt;=GU$29,GR16&lt;&gt;""),AND(HN16&gt;=HQ$29,HN16&lt;&gt;""),AND(IJ16&gt;=IM$29,IJ16&lt;&gt;""),AND(JF16&gt;=JI$29,JF16&lt;&gt;""),AND(KB16&gt;=KE$29,KB16&lt;&gt;""),AND(KX16&gt;=LA$29,KX16&lt;&gt;""),AND(LT16&gt;=LW$29,LT16&lt;&gt;""),AND(MP16&gt;=MS$29,MP16&lt;&gt;""),AND(NL16&gt;=NO$29,NL16&lt;&gt;"")),OR(G16="Worlds Team",G16="Excellence",G16="Merit")),"P","")</f>
        <v/>
      </c>
      <c r="K16" s="14">
        <f>IF(MAX(AV16,BZ16,DD16)&gt;0,MAX(AV16,BZ16,DD16),0)</f>
        <v>91.564999999999998</v>
      </c>
      <c r="L16" s="14" t="str">
        <f>IF(K16=0,"",IF(K16=DD16,$CD$1,IF(K16=BZ16,$AZ$1,IF(K16=AV16,$V$1,""))))</f>
        <v>2021 Elite Canada</v>
      </c>
      <c r="M16" s="14">
        <f>IF($K16=$AV16,MAX(BU16,CY16),IF($K16=$BZ16,MAX(AQ16,CY16),IF($K16=$DD16,MAX(AQ16,BU16),MAX(AQ16,BU16,CY16))))</f>
        <v>26.12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MAX(AS16,AU16,AX16,BW16,BY16,CB16,DA16,DC16,DF16)</f>
        <v>50.335000000000001</v>
      </c>
      <c r="P16" s="14" t="str">
        <f>IF(O16=0,"",IF(OR(O16=DC16,O16=DA16,O16=DF16),$CD$1,IF(OR(O16=BY16,O16=BW16,O16=CB16),$AZ$1,IF(OR(O16=AU16,O16=AS16,O16=AX16),$V$1,""))))</f>
        <v>2021 Canadian Championships</v>
      </c>
      <c r="Q16" s="14">
        <f>IF(COUNT(AS16,AU16,AX16,BW16,BY16,CB16,DA16,DC16,DF16)&gt;1,LARGE((AS16,AU16,AX16,BW16,BY16,CB16,DA16,DC16,DF16),2),0)</f>
        <v>47.825000000000003</v>
      </c>
      <c r="R16" s="14" t="str">
        <f>IF(Q16=0,"",IF(OR(Q16=DC16,Q16=DA16,Q16=DF16),$CD$1,IF(OR(Q16=BY16,Q16=BW16,Q16=CB16),$AZ$1,IF(OR(Q16=AU16,Q16=AS16,Q16=AX16),$V$1,""))))</f>
        <v>2021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IF(AQ16="",IF(MAX(AS16,AU16)&gt;0,MAX(AS16,AU16),""),MAX(AS16,AU16)+AQ16)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>
        <v>16.399999999999999</v>
      </c>
      <c r="BA16" s="67">
        <v>9.1999999999999993</v>
      </c>
      <c r="BB16" s="67">
        <v>2</v>
      </c>
      <c r="BC16" s="67">
        <v>16.14</v>
      </c>
      <c r="BD16" s="67">
        <v>0</v>
      </c>
      <c r="BE16" s="67">
        <v>14.3</v>
      </c>
      <c r="BF16" s="67">
        <v>8.9</v>
      </c>
      <c r="BG16" s="67">
        <v>9.6</v>
      </c>
      <c r="BH16" s="67">
        <v>15.025</v>
      </c>
      <c r="BI16" s="67">
        <v>0</v>
      </c>
      <c r="BJ16" s="67"/>
      <c r="BK16" s="67"/>
      <c r="BL16" s="67"/>
      <c r="BM16" s="67"/>
      <c r="BN16" s="67"/>
      <c r="BO16" s="67">
        <v>4.4000000000000004</v>
      </c>
      <c r="BP16" s="67">
        <v>2.7</v>
      </c>
      <c r="BQ16" s="67">
        <v>4</v>
      </c>
      <c r="BR16" s="67">
        <v>4.75</v>
      </c>
      <c r="BS16" s="67">
        <v>0</v>
      </c>
      <c r="BT16" s="73"/>
      <c r="BU16" s="14">
        <f>IF(SUM(AZ16:BC16)-BD16&gt;0,SUM(AZ16:BC16)-BD16,"")</f>
        <v>43.739999999999995</v>
      </c>
      <c r="BV16" s="14">
        <f>IF(BG16&gt;0,BG16,"")</f>
        <v>9.6</v>
      </c>
      <c r="BW16" s="14">
        <f>IF(SUM(BE16:BH16)-BI16&gt;0,SUM(BE16:BH16)-BI16,"")</f>
        <v>47.825000000000003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91.564999999999998</v>
      </c>
      <c r="CA16" s="14">
        <f>IF(BQ16&gt;0,BQ16,"")</f>
        <v>4</v>
      </c>
      <c r="CB16" s="14">
        <f>IF(SUM(BO16:BR16)-BS16&gt;0,SUM(BO16:BR16)-BS16,"")</f>
        <v>15.850000000000001</v>
      </c>
      <c r="CC16" s="14">
        <f>IF(SUM(BZ16,CB16)&gt;0,SUM(BZ16,CB16),"")</f>
        <v>107.41499999999999</v>
      </c>
      <c r="CD16" s="61">
        <v>10.4</v>
      </c>
      <c r="CE16" s="61">
        <v>5.3</v>
      </c>
      <c r="CF16" s="61">
        <v>0.6</v>
      </c>
      <c r="CG16" s="61">
        <v>9.82</v>
      </c>
      <c r="CH16" s="61">
        <v>0</v>
      </c>
      <c r="CI16" s="61">
        <v>15</v>
      </c>
      <c r="CJ16" s="61">
        <v>9.1999999999999993</v>
      </c>
      <c r="CK16" s="61">
        <v>8.1999999999999993</v>
      </c>
      <c r="CL16" s="61">
        <v>15.02</v>
      </c>
      <c r="CM16" s="61">
        <v>1.4</v>
      </c>
      <c r="CN16" s="61"/>
      <c r="CO16" s="61"/>
      <c r="CP16" s="61"/>
      <c r="CQ16" s="61"/>
      <c r="CR16" s="61"/>
      <c r="CS16" s="61">
        <v>16.2</v>
      </c>
      <c r="CT16" s="61">
        <v>9.1</v>
      </c>
      <c r="CU16" s="61">
        <v>9.6</v>
      </c>
      <c r="CV16" s="61">
        <v>15.435</v>
      </c>
      <c r="CW16" s="61">
        <v>0</v>
      </c>
      <c r="CX16" s="72"/>
      <c r="CY16" s="11">
        <f>IF(SUM(CD16:CG16)-CH16&gt;0,SUM(CD16:CG16)-CH16,"")</f>
        <v>26.12</v>
      </c>
      <c r="CZ16" s="11">
        <f>IF(CK16&gt;0,CK16,"")</f>
        <v>8.1999999999999993</v>
      </c>
      <c r="DA16" s="11">
        <f>IF(SUM(CI16:CL16)-CM16&gt;0,SUM(CI16:CL16)-CM16,"")</f>
        <v>46.02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72.14</v>
      </c>
      <c r="DE16" s="11">
        <f>IF(CU16&gt;0,CU16,"")</f>
        <v>9.6</v>
      </c>
      <c r="DF16" s="11">
        <f>IF(SUM(CS16:CV16)-CW16&gt;0,SUM(CS16:CV16)-CW16,"")</f>
        <v>50.335000000000001</v>
      </c>
      <c r="DG16" s="11">
        <f>IF(SUM(DD16,DF16)&gt;0,SUM(DD16,DF16),"")</f>
        <v>122.47499999999999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13.399999999999999</v>
      </c>
      <c r="NQ16" s="61">
        <f>IF($CX16="P",CE16,(CE16+BA16)/2)</f>
        <v>7.25</v>
      </c>
      <c r="NR16" s="61">
        <f>IF($CX16="P",CF16,(CF16+BB16)/2)</f>
        <v>1.3</v>
      </c>
      <c r="NS16" s="61">
        <f>IF($CX16="P",CG16,(CG16+BC16)/2)</f>
        <v>12.98</v>
      </c>
      <c r="NT16" s="61">
        <f>IF($CX16="P",CH16,(CH16+BD16)/2)</f>
        <v>0</v>
      </c>
      <c r="NU16" s="61">
        <f>IF($CX16="P",CI16,(CI16+BE16)/2)</f>
        <v>14.65</v>
      </c>
      <c r="NV16" s="61">
        <f>IF($CX16="P",CJ16,(CJ16+BF16)/2)</f>
        <v>9.0500000000000007</v>
      </c>
      <c r="NW16" s="61">
        <f>IF($CX16="P",CK16,(CK16+BG16)/2)</f>
        <v>8.8999999999999986</v>
      </c>
      <c r="NX16" s="61">
        <f>IF($CX16="P",CL16,(CL16+BH16)/2)</f>
        <v>15.022500000000001</v>
      </c>
      <c r="NY16" s="61">
        <f>IF($CX16="P",CM16,(CM16+BI16)/2)</f>
        <v>0.7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10.3</v>
      </c>
      <c r="OF16" s="61">
        <f>IF($CX16="P",CT16,(CT16+BP16)/2)</f>
        <v>5.9</v>
      </c>
      <c r="OG16" s="61">
        <f>IF($CX16="P",CU16,(CU16+BQ16)/2)</f>
        <v>6.8</v>
      </c>
      <c r="OH16" s="61">
        <f>IF($CX16="P",CV16,(CV16+BR16)/2)</f>
        <v>10.092500000000001</v>
      </c>
      <c r="OI16" s="61">
        <f>IF($CX16="P",CW16,(CW16+BS16)/2)</f>
        <v>0</v>
      </c>
      <c r="OJ16" s="72" t="s">
        <v>52</v>
      </c>
      <c r="OK16" s="11">
        <f>IF(SUM(NP16:NS16)-NT16&gt;0,SUM(NP16:NS16)-NT16,"")</f>
        <v>34.93</v>
      </c>
      <c r="OL16" s="11">
        <f>IF(NW16&gt;0,NW16,"")</f>
        <v>8.8999999999999986</v>
      </c>
      <c r="OM16" s="11">
        <f>IF(SUM(NU16:NX16)-NY16&gt;0,SUM(NU16:NX16)-NY16,"")</f>
        <v>46.922499999999999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81.852499999999992</v>
      </c>
      <c r="OQ16" s="11">
        <f>IF(OG16&gt;0,OG16,"")</f>
        <v>6.8</v>
      </c>
      <c r="OR16" s="11">
        <f t="shared" ref="OR16" si="12">IF(SUM(OE16:OH16)-OI16&gt;0,SUM(OE16:OH16)-OI16,"")</f>
        <v>33.092500000000001</v>
      </c>
      <c r="OS16" s="11">
        <f t="shared" ref="OS16" si="13">IF(SUM(OP16,OR16)&gt;0,SUM(OP16,OR16),"")</f>
        <v>114.94499999999999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6" t="s">
        <v>79</v>
      </c>
      <c r="C17" s="7" t="s">
        <v>3</v>
      </c>
      <c r="D17" s="26">
        <v>2002</v>
      </c>
      <c r="E17" s="15">
        <f>SUM(O17:S17)+K17/1000000</f>
        <v>95.250096630000002</v>
      </c>
      <c r="F17" s="3" t="str">
        <f>IF(G17&lt;&gt;"","P","")</f>
        <v/>
      </c>
      <c r="G17" s="115" t="str">
        <f>IF(OR(AND(AR17&gt;=AY$27,AR17&lt;&gt;"",AP17=""),AND(AT17&gt;=AY$27,AT17&lt;&gt;"",AP17=""),AND(AW17&gt;=AY$27,AW17&lt;&gt;"",AP17=""),AND(BV17&gt;=CC$27,BV17&lt;&gt;"",BT17=""),AND(BX17&gt;=CC$27,BX17&lt;&gt;"",BT17=""),AND(CA17&gt;=CC$27,CA17&lt;&gt;"",BT17=""),AND(CZ17&gt;=DG$27,CZ17&lt;&gt;"",CX17=""),AND(DB17&gt;=DG$27,DB17&lt;&gt;"",CX17=""),AND(DE17&gt;=DG$27,DE17&lt;&gt;"",CX17=""),AND(EA17&gt;=EG$27,EA17&lt;&gt;""),AND(EE17&gt;=EG$27,EE17&lt;&gt;""),AND(EW17&gt;=FC$27,EW17&lt;&gt;""),AND(FA17&gt;=FC$27,FA17&lt;&gt;""),AND(FS17&gt;=FY$27,FS17&lt;&gt;""),AND(FW17&gt;=FY$27,FW17&lt;&gt;""),AND(GO17&gt;=GU$27,GO17&lt;&gt;""),AND(GS17&gt;=GU$27,GS17&lt;&gt;""),AND(HK17&gt;=HQ$27,HK17&lt;&gt;""),AND(HO17&gt;=HQ$27,HO17&lt;&gt;""),AND(IG17&gt;=IM$27,IG17&lt;&gt;""),AND(IK17&gt;=IM$27,IK17&lt;&gt;""),AND(JC17&gt;=JI$27,JC17&lt;&gt;""),AND(JG17&gt;=JI$27,JG17&lt;&gt;""),AND(JY17&gt;=KE$27,JY17&lt;&gt;""),AND(KC17&gt;=KE$27,KC17&lt;&gt;""),AND(KU17&gt;=LA$27,KU17&lt;&gt;""),AND(KY17&gt;=LA$27,KY17&lt;&gt;""),AND(LQ17&gt;=LW$27,LQ17&lt;&gt;""),AND(LU17&gt;=LW$27,LU17&lt;&gt;""),AND(MM17&gt;=MS$27,MM17&lt;&gt;""),AND(MQ17&gt;=MS$27,MQ17&lt;&gt;""),AND(NI17&gt;=NO$27,NI17&lt;&gt;""),AND(NM17&gt;=NO$27,NM17&lt;&gt;"")),"Merit",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Excellence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Worlds Team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National Team",""))))</f>
        <v/>
      </c>
      <c r="H17" s="115" t="str">
        <f>IF(OR(AND(AS17&gt;=AY$28,AS17&lt;&gt;"",AP17=""),AND(AU17&gt;=AY$28,AU17&lt;&gt;"",AP17=""),AND(AX17&gt;=AY$28,AX17&lt;&gt;"",AP17=""),AND(BW17&gt;=CC$28,BW17&lt;&gt;"",BT17=""),AND(BY17&gt;=CC$28,BY17&lt;&gt;"",BT17=""),AND(CB17&gt;=CC$28,CB17&lt;&gt;"",BT17=""),AND(DA17&gt;=DG$28,DA17&lt;&gt;"",CX17=""),AND(DC17&gt;=DG$28,DC17&lt;&gt;"",CX17=""),AND(DF17&gt;=DG$28,DF17&lt;&gt;"",CX17=""),AND(EC17&gt;=EG$28,EC17&lt;&gt;""),AND(EF17&gt;=EG$28,EF17&lt;&gt;""),AND(EY17&gt;=FC$28,EY17&lt;&gt;""),AND(FB17&gt;=FC$28,FB17&lt;&gt;""),AND(FU17&gt;=FY$28,FU17&lt;&gt;""),AND(FX17&gt;=FY$28,FX17&lt;&gt;""),AND(GQ17&gt;=GU$28,GQ17&lt;&gt;""),AND(GT17&gt;=GU$28,GT17&lt;&gt;""),AND(HM17&gt;=HQ$28,HM17&lt;&gt;""),AND(HP17&gt;=HQ$28,HP17&lt;&gt;""),AND(II17&gt;=IM$28,II17&lt;&gt;""),AND(IL17&gt;=IM$28,IL17&lt;&gt;""),AND(JE17&gt;=JI$28,JE17&lt;&gt;""),AND(JH17&gt;=JI$28,JH17&lt;&gt;""),AND(KA17&gt;=KE$28,KA17&lt;&gt;""),AND(KD17&gt;=KE$28,KD17&lt;&gt;""),AND(KW17&gt;=LA$28,KW17&lt;&gt;""),AND(KZ17&gt;=LA$28,KZ17&lt;&gt;""),AND(LS17&gt;=LW$28,LS17&lt;&gt;""),AND(LV17&gt;=LW$28,LV17&lt;&gt;""),AND(MO17&gt;=MS$28,MO17&lt;&gt;""),AND(MR17&gt;=MS$28,MR17&lt;&gt;""),AND(NK17&gt;=NO$28,NK17&lt;&gt;""),AND(NN17&gt;=NO$28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$29,AV17&lt;&gt;"",AP17=""),AND(BZ17&gt;=CC$29,BZ17&lt;&gt;"",BT17=""),AND(DD17&gt;=DG$29,DD17&lt;&gt;"",CX17=""),AND(ED17&gt;=EG$29,ED17&lt;&gt;""),AND(EZ17&gt;=FC$29,EZ17&lt;&gt;""),AND(FV17&gt;=FY$29,FV17&lt;&gt;""),AND(GR17&gt;=GU$29,GR17&lt;&gt;""),AND(HN17&gt;=HQ$29,HN17&lt;&gt;""),AND(IJ17&gt;=IM$29,IJ17&lt;&gt;""),AND(JF17&gt;=JI$29,JF17&lt;&gt;""),AND(KB17&gt;=KE$29,KB17&lt;&gt;""),AND(KX17&gt;=LA$29,KX17&lt;&gt;""),AND(LT17&gt;=LW$29,LT17&lt;&gt;""),AND(MP17&gt;=MS$29,MP17&lt;&gt;""),AND(NL17&gt;=NO$29,NL17&lt;&gt;"")),OR(G17="Worlds Team",G17="Excellence",G17="Merit")),"P","")</f>
        <v/>
      </c>
      <c r="K17" s="14">
        <f>IF(MAX(AV17,BZ17,DD17)&gt;0,MAX(AV17,BZ17,DD17),0)</f>
        <v>96.63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33.974999999999994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MAX(AS17,AU17,AX17,BW17,BY17,CB17,DA17,DC17,DF17)</f>
        <v>51.33</v>
      </c>
      <c r="P17" s="14" t="str">
        <f>IF(O17=0,"",IF(OR(O17=DC17,O17=DA17,O17=DF17),$CD$1,IF(OR(O17=BY17,O17=BW17,O17=CB17),$AZ$1,IF(OR(O17=AU17,O17=AS17,O17=AX17),$V$1,""))))</f>
        <v>2021 Elite Canada</v>
      </c>
      <c r="Q17" s="14">
        <f>IF(COUNT(AS17,AU17,AX17,BW17,BY17,CB17,DA17,DC17,DF17)&gt;1,LARGE((AS17,AU17,AX17,BW17,BY17,CB17,DA17,DC17,DF17),2),0)</f>
        <v>43.92</v>
      </c>
      <c r="R17" s="14" t="str">
        <f>IF(Q17=0,"",IF(OR(Q17=DC17,Q17=DA17,Q17=DF17),$CD$1,IF(OR(Q17=BY17,Q17=BW17,Q17=CB17),$AZ$1,IF(OR(Q17=AU17,Q17=AS17,Q17=AX17),$V$1,""))))</f>
        <v>2021 Canadian Championships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16.600000000000001</v>
      </c>
      <c r="BA17" s="67">
        <v>9.1999999999999993</v>
      </c>
      <c r="BB17" s="67">
        <v>2.7</v>
      </c>
      <c r="BC17" s="67">
        <v>16.8</v>
      </c>
      <c r="BD17" s="67">
        <v>0</v>
      </c>
      <c r="BE17" s="67">
        <v>14.1</v>
      </c>
      <c r="BF17" s="67">
        <v>8.9</v>
      </c>
      <c r="BG17" s="67">
        <v>12.6</v>
      </c>
      <c r="BH17" s="67">
        <v>15.73</v>
      </c>
      <c r="BI17" s="67">
        <v>0</v>
      </c>
      <c r="BJ17" s="67">
        <v>1.4</v>
      </c>
      <c r="BK17" s="67">
        <v>0.8</v>
      </c>
      <c r="BL17" s="67">
        <v>2</v>
      </c>
      <c r="BM17" s="67">
        <v>1.7350000000000001</v>
      </c>
      <c r="BN17" s="67">
        <v>0</v>
      </c>
      <c r="BO17" s="67">
        <v>9</v>
      </c>
      <c r="BP17" s="67">
        <v>5.4</v>
      </c>
      <c r="BQ17" s="67">
        <v>8.6</v>
      </c>
      <c r="BR17" s="67">
        <v>9.74</v>
      </c>
      <c r="BS17" s="67">
        <v>0</v>
      </c>
      <c r="BT17" s="73"/>
      <c r="BU17" s="14">
        <f>IF(SUM(AZ17:BC17)-BD17&gt;0,SUM(AZ17:BC17)-BD17,"")</f>
        <v>45.3</v>
      </c>
      <c r="BV17" s="14">
        <f>IF(BG17&gt;0,BG17,"")</f>
        <v>12.6</v>
      </c>
      <c r="BW17" s="14">
        <f>IF(SUM(BE17:BH17)-BI17&gt;0,SUM(BE17:BH17)-BI17,"")</f>
        <v>51.33</v>
      </c>
      <c r="BX17" s="14">
        <f>IF(BL17&gt;0,BL17,"")</f>
        <v>2</v>
      </c>
      <c r="BY17" s="14">
        <f>IF(SUM(BJ17:BM17)-BN17&gt;0,SUM(BJ17:BM17)-BN17,"")</f>
        <v>5.9350000000000005</v>
      </c>
      <c r="BZ17" s="14">
        <f>IF(BU17="",IF(MAX(BW17,BY17)&gt;0,MAX(BW17,BY17),""),MAX(BW17,BY17)+BU17)</f>
        <v>96.63</v>
      </c>
      <c r="CA17" s="14">
        <f>IF(BQ17&gt;0,BQ17,"")</f>
        <v>8.6</v>
      </c>
      <c r="CB17" s="14">
        <f>IF(SUM(BO17:BR17)-BS17&gt;0,SUM(BO17:BR17)-BS17,"")</f>
        <v>32.74</v>
      </c>
      <c r="CC17" s="14">
        <f>IF(SUM(BZ17,CB17)&gt;0,SUM(BZ17,CB17),"")</f>
        <v>129.37</v>
      </c>
      <c r="CD17" s="61">
        <v>12.4</v>
      </c>
      <c r="CE17" s="61">
        <v>7</v>
      </c>
      <c r="CF17" s="61">
        <v>0.9</v>
      </c>
      <c r="CG17" s="61">
        <v>13.675000000000001</v>
      </c>
      <c r="CH17" s="61">
        <v>0</v>
      </c>
      <c r="CI17" s="61">
        <v>1.4</v>
      </c>
      <c r="CJ17" s="61">
        <v>1</v>
      </c>
      <c r="CK17" s="61">
        <v>2</v>
      </c>
      <c r="CL17" s="61">
        <v>1.7150000000000001</v>
      </c>
      <c r="CM17" s="61">
        <v>0</v>
      </c>
      <c r="CN17" s="61">
        <v>12</v>
      </c>
      <c r="CO17" s="61">
        <v>7.7</v>
      </c>
      <c r="CP17" s="61">
        <v>11</v>
      </c>
      <c r="CQ17" s="61">
        <v>13.22</v>
      </c>
      <c r="CR17" s="61">
        <v>0</v>
      </c>
      <c r="CS17" s="61">
        <v>4.4000000000000004</v>
      </c>
      <c r="CT17" s="61">
        <v>2.8</v>
      </c>
      <c r="CU17" s="61">
        <v>4.5</v>
      </c>
      <c r="CV17" s="61">
        <v>5.03</v>
      </c>
      <c r="CW17" s="61">
        <v>0</v>
      </c>
      <c r="CX17" s="72"/>
      <c r="CY17" s="11">
        <f>IF(SUM(CD17:CG17)-CH17&gt;0,SUM(CD17:CG17)-CH17,"")</f>
        <v>33.974999999999994</v>
      </c>
      <c r="CZ17" s="11">
        <f>IF(CK17&gt;0,CK17,"")</f>
        <v>2</v>
      </c>
      <c r="DA17" s="11">
        <f>IF(SUM(CI17:CL17)-CM17&gt;0,SUM(CI17:CL17)-CM17,"")</f>
        <v>6.1150000000000002</v>
      </c>
      <c r="DB17" s="11">
        <f>IF(CP17&gt;0,CP17,"")</f>
        <v>11</v>
      </c>
      <c r="DC17" s="11">
        <f>IF(SUM(CN17:CQ17)-CR17&gt;0,SUM(CN17:CQ17)-CR17,"")</f>
        <v>43.92</v>
      </c>
      <c r="DD17" s="11">
        <f>IF(CY17="",IF(MAX(DA17,DC17)&gt;0,MAX(DA17,DC17),""),MAX(DA17,DC17)+CY17)</f>
        <v>77.894999999999996</v>
      </c>
      <c r="DE17" s="11">
        <f>IF(CU17&gt;0,CU17,"")</f>
        <v>4.5</v>
      </c>
      <c r="DF17" s="11">
        <f>IF(SUM(CS17:CV17)-CW17&gt;0,SUM(CS17:CV17)-CW17,"")</f>
        <v>16.73</v>
      </c>
      <c r="DG17" s="11">
        <f>IF(SUM(DD17,DF17)&gt;0,SUM(DD17,DF17),"")</f>
        <v>94.625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14.5</v>
      </c>
      <c r="NQ17" s="61">
        <f>IF($CX17="P",CE17,(CE17+BA17)/2)</f>
        <v>8.1</v>
      </c>
      <c r="NR17" s="61">
        <f>IF($CX17="P",CF17,(CF17+BB17)/2)</f>
        <v>1.8</v>
      </c>
      <c r="NS17" s="61">
        <f>IF($CX17="P",CG17,(CG17+BC17)/2)</f>
        <v>15.237500000000001</v>
      </c>
      <c r="NT17" s="61">
        <f>IF($CX17="P",CH17,(CH17+BD17)/2)</f>
        <v>0</v>
      </c>
      <c r="NU17" s="61">
        <f>IF($CX17="P",CI17,(CI17+BE17)/2)</f>
        <v>7.75</v>
      </c>
      <c r="NV17" s="61">
        <f>IF($CX17="P",CJ17,(CJ17+BF17)/2)</f>
        <v>4.95</v>
      </c>
      <c r="NW17" s="61">
        <f>IF($CX17="P",CK17,(CK17+BG17)/2)</f>
        <v>7.3</v>
      </c>
      <c r="NX17" s="61">
        <f>IF($CX17="P",CL17,(CL17+BH17)/2)</f>
        <v>8.7225000000000001</v>
      </c>
      <c r="NY17" s="61">
        <f>IF($CX17="P",CM17,(CM17+BI17)/2)</f>
        <v>0</v>
      </c>
      <c r="NZ17" s="61">
        <f>IF($CX17="P",CN17,(CN17+BJ17)/2)</f>
        <v>6.7</v>
      </c>
      <c r="OA17" s="61">
        <f>IF($CX17="P",CO17,(CO17+BK17)/2)</f>
        <v>4.25</v>
      </c>
      <c r="OB17" s="61">
        <f>IF($CX17="P",CP17,(CP17+BL17)/2)</f>
        <v>6.5</v>
      </c>
      <c r="OC17" s="61">
        <f>IF($CX17="P",CQ17,(CQ17+BM17)/2)</f>
        <v>7.4775</v>
      </c>
      <c r="OD17" s="61">
        <f>IF($CX17="P",CR17,(CR17+BN17)/2)</f>
        <v>0</v>
      </c>
      <c r="OE17" s="61">
        <f>IF($CX17="P",CS17,(CS17+BO17)/2)</f>
        <v>6.7</v>
      </c>
      <c r="OF17" s="61">
        <f>IF($CX17="P",CT17,(CT17+BP17)/2)</f>
        <v>4.0999999999999996</v>
      </c>
      <c r="OG17" s="61">
        <f>IF($CX17="P",CU17,(CU17+BQ17)/2)</f>
        <v>6.55</v>
      </c>
      <c r="OH17" s="61">
        <f>IF($CX17="P",CV17,(CV17+BR17)/2)</f>
        <v>7.3849999999999998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39.637500000000003</v>
      </c>
      <c r="OL17" s="11">
        <f>IF(NW17&gt;0,NW17,"")</f>
        <v>7.3</v>
      </c>
      <c r="OM17" s="11">
        <f>IF(SUM(NU17:NX17)-NY17&gt;0,SUM(NU17:NX17)-NY17,"")</f>
        <v>28.7225</v>
      </c>
      <c r="ON17" s="11">
        <f>IF(OB17&gt;0,OB17,"")</f>
        <v>6.5</v>
      </c>
      <c r="OO17" s="11">
        <f>IF(SUM(NZ17:OC17)-OD17&gt;0,SUM(NZ17:OC17)-OD17,"")</f>
        <v>24.927499999999998</v>
      </c>
      <c r="OP17" s="11">
        <f>IF(OR(OK17&lt;&gt;"",OM17&lt;&gt;"",OO17&lt;&gt;""),OK17+MAX(OM17,OO17),"")</f>
        <v>68.36</v>
      </c>
      <c r="OQ17" s="11">
        <f>IF(OG17&gt;0,OG17,"")</f>
        <v>6.55</v>
      </c>
      <c r="OR17" s="11">
        <f t="shared" ref="OR17" si="14">IF(SUM(OE17:OH17)-OI17&gt;0,SUM(OE17:OH17)-OI17,"")</f>
        <v>24.734999999999999</v>
      </c>
      <c r="OS17" s="11">
        <f t="shared" ref="OS17" si="15">IF(SUM(OP17,OR17)&gt;0,SUM(OP17,OR17),"")</f>
        <v>93.094999999999999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137</v>
      </c>
      <c r="C18" s="7" t="s">
        <v>5</v>
      </c>
      <c r="D18" s="26">
        <v>2004</v>
      </c>
      <c r="E18" s="15">
        <f>SUM(O18:S18)+K18/1000000</f>
        <v>92.485086605000021</v>
      </c>
      <c r="F18" s="3" t="str">
        <f>IF(G18&lt;&gt;"","P","")</f>
        <v/>
      </c>
      <c r="G18" s="115" t="str">
        <f>IF(OR(AND(AR18&gt;=AY$27,AR18&lt;&gt;"",AP18=""),AND(AT18&gt;=AY$27,AT18&lt;&gt;"",AP18=""),AND(AW18&gt;=AY$27,AW18&lt;&gt;"",AP18=""),AND(BV18&gt;=CC$27,BV18&lt;&gt;"",BT18=""),AND(BX18&gt;=CC$27,BX18&lt;&gt;"",BT18=""),AND(CA18&gt;=CC$27,CA18&lt;&gt;"",BT18=""),AND(CZ18&gt;=DG$27,CZ18&lt;&gt;"",CX18=""),AND(DB18&gt;=DG$27,DB18&lt;&gt;"",CX18=""),AND(DE18&gt;=DG$27,DE18&lt;&gt;"",CX18=""),AND(EA18&gt;=EG$27,EA18&lt;&gt;""),AND(EE18&gt;=EG$27,EE18&lt;&gt;""),AND(EW18&gt;=FC$27,EW18&lt;&gt;""),AND(FA18&gt;=FC$27,FA18&lt;&gt;""),AND(FS18&gt;=FY$27,FS18&lt;&gt;""),AND(FW18&gt;=FY$27,FW18&lt;&gt;""),AND(GO18&gt;=GU$27,GO18&lt;&gt;""),AND(GS18&gt;=GU$27,GS18&lt;&gt;""),AND(HK18&gt;=HQ$27,HK18&lt;&gt;""),AND(HO18&gt;=HQ$27,HO18&lt;&gt;""),AND(IG18&gt;=IM$27,IG18&lt;&gt;""),AND(IK18&gt;=IM$27,IK18&lt;&gt;""),AND(JC18&gt;=JI$27,JC18&lt;&gt;""),AND(JG18&gt;=JI$27,JG18&lt;&gt;""),AND(JY18&gt;=KE$27,JY18&lt;&gt;""),AND(KC18&gt;=KE$27,KC18&lt;&gt;""),AND(KU18&gt;=LA$27,KU18&lt;&gt;""),AND(KY18&gt;=LA$27,KY18&lt;&gt;""),AND(LQ18&gt;=LW$27,LQ18&lt;&gt;""),AND(LU18&gt;=LW$27,LU18&lt;&gt;""),AND(MM18&gt;=MS$27,MM18&lt;&gt;""),AND(MQ18&gt;=MS$27,MQ18&lt;&gt;""),AND(NI18&gt;=NO$27,NI18&lt;&gt;""),AND(NM18&gt;=NO$27,NM18&lt;&gt;"")),"Merit",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Excellence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Worlds Team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National Team",""))))</f>
        <v/>
      </c>
      <c r="H18" s="115" t="str">
        <f>IF(OR(AND(AS18&gt;=AY$28,AS18&lt;&gt;"",AP18=""),AND(AU18&gt;=AY$28,AU18&lt;&gt;"",AP18=""),AND(AX18&gt;=AY$28,AX18&lt;&gt;"",AP18=""),AND(BW18&gt;=CC$28,BW18&lt;&gt;"",BT18=""),AND(BY18&gt;=CC$28,BY18&lt;&gt;"",BT18=""),AND(CB18&gt;=CC$28,CB18&lt;&gt;"",BT18=""),AND(DA18&gt;=DG$28,DA18&lt;&gt;"",CX18=""),AND(DC18&gt;=DG$28,DC18&lt;&gt;"",CX18=""),AND(DF18&gt;=DG$28,DF18&lt;&gt;"",CX18=""),AND(EC18&gt;=EG$28,EC18&lt;&gt;""),AND(EF18&gt;=EG$28,EF18&lt;&gt;""),AND(EY18&gt;=FC$28,EY18&lt;&gt;""),AND(FB18&gt;=FC$28,FB18&lt;&gt;""),AND(FU18&gt;=FY$28,FU18&lt;&gt;""),AND(FX18&gt;=FY$28,FX18&lt;&gt;""),AND(GQ18&gt;=GU$28,GQ18&lt;&gt;""),AND(GT18&gt;=GU$28,GT18&lt;&gt;""),AND(HM18&gt;=HQ$28,HM18&lt;&gt;""),AND(HP18&gt;=HQ$28,HP18&lt;&gt;""),AND(II18&gt;=IM$28,II18&lt;&gt;""),AND(IL18&gt;=IM$28,IL18&lt;&gt;""),AND(JE18&gt;=JI$28,JE18&lt;&gt;""),AND(JH18&gt;=JI$28,JH18&lt;&gt;""),AND(KA18&gt;=KE$28,KA18&lt;&gt;""),AND(KD18&gt;=KE$28,KD18&lt;&gt;""),AND(KW18&gt;=LA$28,KW18&lt;&gt;""),AND(KZ18&gt;=LA$28,KZ18&lt;&gt;""),AND(LS18&gt;=LW$28,LS18&lt;&gt;""),AND(LV18&gt;=LW$28,LV18&lt;&gt;""),AND(MO18&gt;=MS$28,MO18&lt;&gt;""),AND(MR18&gt;=MS$28,MR18&lt;&gt;""),AND(NK18&gt;=NO$28,NK18&lt;&gt;""),AND(NN18&gt;=NO$28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$29,AV18&lt;&gt;"",AP18=""),AND(BZ18&gt;=CC$29,BZ18&lt;&gt;"",BT18=""),AND(DD18&gt;=DG$29,DD18&lt;&gt;"",CX18=""),AND(ED18&gt;=EG$29,ED18&lt;&gt;""),AND(EZ18&gt;=FC$29,EZ18&lt;&gt;""),AND(FV18&gt;=FY$29,FV18&lt;&gt;""),AND(GR18&gt;=GU$29,GR18&lt;&gt;""),AND(HN18&gt;=HQ$29,HN18&lt;&gt;""),AND(IJ18&gt;=IM$29,IJ18&lt;&gt;""),AND(JF18&gt;=JI$29,JF18&lt;&gt;""),AND(KB18&gt;=KE$29,KB18&lt;&gt;""),AND(KX18&gt;=LA$29,KX18&lt;&gt;""),AND(LT18&gt;=LW$29,LT18&lt;&gt;""),AND(MP18&gt;=MS$29,MP18&lt;&gt;""),AND(NL18&gt;=NO$29,NL18&lt;&gt;"")),OR(G18="Worlds Team",G18="Excellence",G18="Merit")),"P","")</f>
        <v/>
      </c>
      <c r="K18" s="14">
        <f>IF(MAX(AV18,BZ18,DD18)&gt;0,MAX(AV18,BZ18,DD18),0)</f>
        <v>86.605000000000004</v>
      </c>
      <c r="L18" s="14" t="str">
        <f>IF(K18=0,"",IF(K18=DD18,$CD$1,IF(K18=BZ18,$AZ$1,IF(K18=AV18,$V$1,""))))</f>
        <v>2021 Elite Canada</v>
      </c>
      <c r="M18" s="14">
        <f>IF($K18=$AV18,MAX(BU18,CY18),IF($K18=$BZ18,MAX(AQ18,CY18),IF($K18=$DD18,MAX(AQ18,BU18),MAX(AQ18,BU18,CY18))))</f>
        <v>40.765000000000001</v>
      </c>
      <c r="N18" s="14" t="str">
        <f>IF(M18=0,"",IF(AND(M18=CY18,$L18&lt;&gt;$CD$1),$CD$1,IF(AND(M18=BU18,$L18&lt;&gt;$AZ$1),$AZ$1,IF(AND(M18=AQ18,$L18&lt;&gt;$V$1),$V$1,""))))</f>
        <v>2021 Canadian Championships</v>
      </c>
      <c r="O18" s="14">
        <f>MAX(AS18,AU18,AX18,BW18,BY18,CB18,DA18,DC18,DF18)</f>
        <v>47.010000000000005</v>
      </c>
      <c r="P18" s="14" t="str">
        <f>IF(O18=0,"",IF(OR(O18=DC18,O18=DA18,O18=DF18),$CD$1,IF(OR(O18=BY18,O18=BW18,O18=CB18),$AZ$1,IF(OR(O18=AU18,O18=AS18,O18=AX18),$V$1,""))))</f>
        <v>2021 Elite Canada</v>
      </c>
      <c r="Q18" s="14">
        <f>IF(COUNT(AS18,AU18,AX18,BW18,BY18,CB18,DA18,DC18,DF18)&gt;1,LARGE((AS18,AU18,AX18,BW18,BY18,CB18,DA18,DC18,DF18),2),0)</f>
        <v>45.475000000000001</v>
      </c>
      <c r="R18" s="14" t="str">
        <f>IF(Q18=0,"",IF(OR(Q18=DC18,Q18=DA18,Q18=DF18),$CD$1,IF(OR(Q18=BY18,Q18=BW18,Q18=CB18),$AZ$1,IF(OR(Q18=AU18,Q18=AS18,Q18=AX18),$V$1,""))))</f>
        <v>2021 Canadian Championships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>IF(SUM(V18:Y18)-Z18&gt;0,SUM(V18:Y18)-Z18,"")</f>
        <v/>
      </c>
      <c r="AR18" s="11" t="str">
        <f>IF(AC18&gt;0,AC18,"")</f>
        <v/>
      </c>
      <c r="AS18" s="11" t="str">
        <f>IF(SUM(AA18:AD18)-AE18&gt;0,SUM(AA18:AD18)-AE18,"")</f>
        <v/>
      </c>
      <c r="AT18" s="11" t="str">
        <f>IF(AH18&gt;0,AH18,"")</f>
        <v/>
      </c>
      <c r="AU18" s="11" t="str">
        <f>IF(SUM(AF18:AI18)-AJ18&gt;0,SUM(AF18:AI18)-AJ18,"")</f>
        <v/>
      </c>
      <c r="AV18" s="11" t="str">
        <f>IF(AQ18="",IF(MAX(AS18,AU18)&gt;0,MAX(AS18,AU18),""),MAX(AS18,AU18)+AQ18)</f>
        <v/>
      </c>
      <c r="AW18" s="11" t="str">
        <f>IF(AM18&gt;0,AM18,"")</f>
        <v/>
      </c>
      <c r="AX18" s="11" t="str">
        <f>IF(SUM(AK18:AN18)-AO18&gt;0,SUM(AK18:AN18)-AO18,"")</f>
        <v/>
      </c>
      <c r="AY18" s="11" t="str">
        <f>IF(SUM(AV18,AX18)&gt;0,SUM(AV18,AX18),"")</f>
        <v/>
      </c>
      <c r="AZ18" s="67">
        <v>16.2</v>
      </c>
      <c r="BA18" s="67">
        <v>9.6999999999999993</v>
      </c>
      <c r="BB18" s="67">
        <v>2</v>
      </c>
      <c r="BC18" s="67">
        <v>14.56</v>
      </c>
      <c r="BD18" s="67">
        <v>0</v>
      </c>
      <c r="BE18" s="67">
        <v>11.3</v>
      </c>
      <c r="BF18" s="67">
        <v>9.1</v>
      </c>
      <c r="BG18" s="67">
        <v>9.3000000000000007</v>
      </c>
      <c r="BH18" s="67">
        <v>14.744999999999999</v>
      </c>
      <c r="BI18" s="67">
        <v>0.3</v>
      </c>
      <c r="BJ18" s="67"/>
      <c r="BK18" s="67"/>
      <c r="BL18" s="67"/>
      <c r="BM18" s="67"/>
      <c r="BN18" s="67"/>
      <c r="BO18" s="67">
        <v>14.2</v>
      </c>
      <c r="BP18" s="67">
        <v>9.4</v>
      </c>
      <c r="BQ18" s="67">
        <v>9.3000000000000007</v>
      </c>
      <c r="BR18" s="67">
        <v>14.41</v>
      </c>
      <c r="BS18" s="67">
        <v>0.3</v>
      </c>
      <c r="BT18" s="73"/>
      <c r="BU18" s="14">
        <f>IF(SUM(AZ18:BC18)-BD18&gt;0,SUM(AZ18:BC18)-BD18,"")</f>
        <v>42.46</v>
      </c>
      <c r="BV18" s="14">
        <f>IF(BG18&gt;0,BG18,"")</f>
        <v>9.3000000000000007</v>
      </c>
      <c r="BW18" s="14">
        <f>IF(SUM(BE18:BH18)-BI18&gt;0,SUM(BE18:BH18)-BI18,"")</f>
        <v>44.145000000000003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86.605000000000004</v>
      </c>
      <c r="CA18" s="14">
        <f>IF(BQ18&gt;0,BQ18,"")</f>
        <v>9.3000000000000007</v>
      </c>
      <c r="CB18" s="14">
        <f>IF(SUM(BO18:BR18)-BS18&gt;0,SUM(BO18:BR18)-BS18,"")</f>
        <v>47.010000000000005</v>
      </c>
      <c r="CC18" s="14">
        <f>IF(SUM(BZ18,CB18)&gt;0,SUM(BZ18,CB18),"")</f>
        <v>133.61500000000001</v>
      </c>
      <c r="CD18" s="61">
        <v>15.1</v>
      </c>
      <c r="CE18" s="61">
        <v>9.1</v>
      </c>
      <c r="CF18" s="61">
        <v>2</v>
      </c>
      <c r="CG18" s="61">
        <v>14.565</v>
      </c>
      <c r="CH18" s="61">
        <v>0</v>
      </c>
      <c r="CI18" s="61">
        <v>13.6</v>
      </c>
      <c r="CJ18" s="61">
        <v>8.6</v>
      </c>
      <c r="CK18" s="61">
        <v>9.3000000000000007</v>
      </c>
      <c r="CL18" s="61">
        <v>14.275</v>
      </c>
      <c r="CM18" s="61">
        <v>0.3</v>
      </c>
      <c r="CN18" s="61"/>
      <c r="CO18" s="61"/>
      <c r="CP18" s="61"/>
      <c r="CQ18" s="61"/>
      <c r="CR18" s="61"/>
      <c r="CS18" s="61">
        <v>6.7</v>
      </c>
      <c r="CT18" s="61">
        <v>4.4000000000000004</v>
      </c>
      <c r="CU18" s="61">
        <v>6.1</v>
      </c>
      <c r="CV18" s="61">
        <v>7.24</v>
      </c>
      <c r="CW18" s="61">
        <v>0</v>
      </c>
      <c r="CX18" s="72"/>
      <c r="CY18" s="11">
        <f>IF(SUM(CD18:CG18)-CH18&gt;0,SUM(CD18:CG18)-CH18,"")</f>
        <v>40.765000000000001</v>
      </c>
      <c r="CZ18" s="11">
        <f>IF(CK18&gt;0,CK18,"")</f>
        <v>9.3000000000000007</v>
      </c>
      <c r="DA18" s="11">
        <f>IF(SUM(CI18:CL18)-CM18&gt;0,SUM(CI18:CL18)-CM18,"")</f>
        <v>45.475000000000001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86.240000000000009</v>
      </c>
      <c r="DE18" s="11">
        <f>IF(CU18&gt;0,CU18,"")</f>
        <v>6.1</v>
      </c>
      <c r="DF18" s="11">
        <f>IF(SUM(CS18:CV18)-CW18&gt;0,SUM(CS18:CV18)-CW18,"")</f>
        <v>24.440000000000005</v>
      </c>
      <c r="DG18" s="11">
        <f>IF(SUM(DD18,DF18)&gt;0,SUM(DD18,DF18),"")</f>
        <v>110.68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15.649999999999999</v>
      </c>
      <c r="NQ18" s="61">
        <f>IF($CX18="P",CE18,(CE18+BA18)/2)</f>
        <v>9.3999999999999986</v>
      </c>
      <c r="NR18" s="61">
        <f>IF($CX18="P",CF18,(CF18+BB18)/2)</f>
        <v>2</v>
      </c>
      <c r="NS18" s="61">
        <f>IF($CX18="P",CG18,(CG18+BC18)/2)</f>
        <v>14.5625</v>
      </c>
      <c r="NT18" s="61">
        <f>IF($CX18="P",CH18,(CH18+BD18)/2)</f>
        <v>0</v>
      </c>
      <c r="NU18" s="61">
        <f>IF($CX18="P",CI18,(CI18+BE18)/2)</f>
        <v>12.45</v>
      </c>
      <c r="NV18" s="61">
        <f>IF($CX18="P",CJ18,(CJ18+BF18)/2)</f>
        <v>8.85</v>
      </c>
      <c r="NW18" s="61">
        <f>IF($CX18="P",CK18,(CK18+BG18)/2)</f>
        <v>9.3000000000000007</v>
      </c>
      <c r="NX18" s="61">
        <f>IF($CX18="P",CL18,(CL18+BH18)/2)</f>
        <v>14.51</v>
      </c>
      <c r="NY18" s="61">
        <f>IF($CX18="P",CM18,(CM18+BI18)/2)</f>
        <v>0.3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10.45</v>
      </c>
      <c r="OF18" s="61">
        <f>IF($CX18="P",CT18,(CT18+BP18)/2)</f>
        <v>6.9</v>
      </c>
      <c r="OG18" s="61">
        <f>IF($CX18="P",CU18,(CU18+BQ18)/2)</f>
        <v>7.7</v>
      </c>
      <c r="OH18" s="61">
        <f>IF($CX18="P",CV18,(CV18+BR18)/2)</f>
        <v>10.824999999999999</v>
      </c>
      <c r="OI18" s="61">
        <f>IF($CX18="P",CW18,(CW18+BS18)/2)</f>
        <v>0.15</v>
      </c>
      <c r="OJ18" s="72" t="s">
        <v>52</v>
      </c>
      <c r="OK18" s="11">
        <f>IF(SUM(NP18:NS18)-NT18&gt;0,SUM(NP18:NS18)-NT18,"")</f>
        <v>41.612499999999997</v>
      </c>
      <c r="OL18" s="11">
        <f>IF(NW18&gt;0,NW18,"")</f>
        <v>9.3000000000000007</v>
      </c>
      <c r="OM18" s="11">
        <f>IF(SUM(NU18:NX18)-NY18&gt;0,SUM(NU18:NX18)-NY18,"")</f>
        <v>44.81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86.422499999999999</v>
      </c>
      <c r="OQ18" s="11">
        <f>IF(OG18&gt;0,OG18,"")</f>
        <v>7.7</v>
      </c>
      <c r="OR18" s="11">
        <f t="shared" ref="OR18" si="16">IF(SUM(OE18:OH18)-OI18&gt;0,SUM(OE18:OH18)-OI18,"")</f>
        <v>35.725000000000001</v>
      </c>
      <c r="OS18" s="11">
        <f t="shared" ref="OS18" si="17">IF(SUM(OP18,OR18)&gt;0,SUM(OP18,OR18),"")</f>
        <v>122.14750000000001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8" t="s">
        <v>80</v>
      </c>
      <c r="C19" s="4" t="s">
        <v>6</v>
      </c>
      <c r="D19" s="26">
        <v>2004</v>
      </c>
      <c r="E19" s="15">
        <f>SUM(O19:S19)+K19/1000000</f>
        <v>90.215096430000003</v>
      </c>
      <c r="F19" s="3" t="str">
        <f>IF(G19&lt;&gt;"","P","")</f>
        <v/>
      </c>
      <c r="G19" s="115" t="str">
        <f>IF(OR(AND(AR19&gt;=AY$27,AR19&lt;&gt;"",AP19=""),AND(AT19&gt;=AY$27,AT19&lt;&gt;"",AP19=""),AND(AW19&gt;=AY$27,AW19&lt;&gt;"",AP19=""),AND(BV19&gt;=CC$27,BV19&lt;&gt;"",BT19=""),AND(BX19&gt;=CC$27,BX19&lt;&gt;"",BT19=""),AND(CA19&gt;=CC$27,CA19&lt;&gt;"",BT19=""),AND(CZ19&gt;=DG$27,CZ19&lt;&gt;"",CX19=""),AND(DB19&gt;=DG$27,DB19&lt;&gt;"",CX19=""),AND(DE19&gt;=DG$27,DE19&lt;&gt;"",CX19=""),AND(EA19&gt;=EG$27,EA19&lt;&gt;""),AND(EE19&gt;=EG$27,EE19&lt;&gt;""),AND(EW19&gt;=FC$27,EW19&lt;&gt;""),AND(FA19&gt;=FC$27,FA19&lt;&gt;""),AND(FS19&gt;=FY$27,FS19&lt;&gt;""),AND(FW19&gt;=FY$27,FW19&lt;&gt;""),AND(GO19&gt;=GU$27,GO19&lt;&gt;""),AND(GS19&gt;=GU$27,GS19&lt;&gt;""),AND(HK19&gt;=HQ$27,HK19&lt;&gt;""),AND(HO19&gt;=HQ$27,HO19&lt;&gt;""),AND(IG19&gt;=IM$27,IG19&lt;&gt;""),AND(IK19&gt;=IM$27,IK19&lt;&gt;""),AND(JC19&gt;=JI$27,JC19&lt;&gt;""),AND(JG19&gt;=JI$27,JG19&lt;&gt;""),AND(JY19&gt;=KE$27,JY19&lt;&gt;""),AND(KC19&gt;=KE$27,KC19&lt;&gt;""),AND(KU19&gt;=LA$27,KU19&lt;&gt;""),AND(KY19&gt;=LA$27,KY19&lt;&gt;""),AND(LQ19&gt;=LW$27,LQ19&lt;&gt;""),AND(LU19&gt;=LW$27,LU19&lt;&gt;""),AND(MM19&gt;=MS$27,MM19&lt;&gt;""),AND(MQ19&gt;=MS$27,MQ19&lt;&gt;""),AND(NI19&gt;=NO$27,NI19&lt;&gt;""),AND(NM19&gt;=NO$27,NM19&lt;&gt;"")),"Merit",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Excellence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Worlds Team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National Team",""))))</f>
        <v/>
      </c>
      <c r="H19" s="115" t="str">
        <f>IF(OR(AND(AS19&gt;=AY$28,AS19&lt;&gt;"",AP19=""),AND(AU19&gt;=AY$28,AU19&lt;&gt;"",AP19=""),AND(AX19&gt;=AY$28,AX19&lt;&gt;"",AP19=""),AND(BW19&gt;=CC$28,BW19&lt;&gt;"",BT19=""),AND(BY19&gt;=CC$28,BY19&lt;&gt;"",BT19=""),AND(CB19&gt;=CC$28,CB19&lt;&gt;"",BT19=""),AND(DA19&gt;=DG$28,DA19&lt;&gt;"",CX19=""),AND(DC19&gt;=DG$28,DC19&lt;&gt;"",CX19=""),AND(DF19&gt;=DG$28,DF19&lt;&gt;"",CX19=""),AND(EC19&gt;=EG$28,EC19&lt;&gt;""),AND(EF19&gt;=EG$28,EF19&lt;&gt;""),AND(EY19&gt;=FC$28,EY19&lt;&gt;""),AND(FB19&gt;=FC$28,FB19&lt;&gt;""),AND(FU19&gt;=FY$28,FU19&lt;&gt;""),AND(FX19&gt;=FY$28,FX19&lt;&gt;""),AND(GQ19&gt;=GU$28,GQ19&lt;&gt;""),AND(GT19&gt;=GU$28,GT19&lt;&gt;""),AND(HM19&gt;=HQ$28,HM19&lt;&gt;""),AND(HP19&gt;=HQ$28,HP19&lt;&gt;""),AND(II19&gt;=IM$28,II19&lt;&gt;""),AND(IL19&gt;=IM$28,IL19&lt;&gt;""),AND(JE19&gt;=JI$28,JE19&lt;&gt;""),AND(JH19&gt;=JI$28,JH19&lt;&gt;""),AND(KA19&gt;=KE$28,KA19&lt;&gt;""),AND(KD19&gt;=KE$28,KD19&lt;&gt;""),AND(KW19&gt;=LA$28,KW19&lt;&gt;""),AND(KZ19&gt;=LA$28,KZ19&lt;&gt;""),AND(LS19&gt;=LW$28,LS19&lt;&gt;""),AND(LV19&gt;=LW$28,LV19&lt;&gt;""),AND(MO19&gt;=MS$28,MO19&lt;&gt;""),AND(MR19&gt;=MS$28,MR19&lt;&gt;""),AND(NK19&gt;=NO$28,NK19&lt;&gt;""),AND(NN19&gt;=NO$28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$29,AV19&lt;&gt;"",AP19=""),AND(BZ19&gt;=CC$29,BZ19&lt;&gt;"",BT19=""),AND(DD19&gt;=DG$29,DD19&lt;&gt;"",CX19=""),AND(ED19&gt;=EG$29,ED19&lt;&gt;""),AND(EZ19&gt;=FC$29,EZ19&lt;&gt;""),AND(FV19&gt;=FY$29,FV19&lt;&gt;""),AND(GR19&gt;=GU$29,GR19&lt;&gt;""),AND(HN19&gt;=HQ$29,HN19&lt;&gt;""),AND(IJ19&gt;=IM$29,IJ19&lt;&gt;""),AND(JF19&gt;=JI$29,JF19&lt;&gt;""),AND(KB19&gt;=KE$29,KB19&lt;&gt;""),AND(KX19&gt;=LA$29,KX19&lt;&gt;""),AND(LT19&gt;=LW$29,LT19&lt;&gt;""),AND(MP19&gt;=MS$29,MP19&lt;&gt;""),AND(NL19&gt;=NO$29,NL19&lt;&gt;"")),OR(G19="Worlds Team",G19="Excellence",G19="Merit")),"P","")</f>
        <v/>
      </c>
      <c r="K19" s="14">
        <f>IF(MAX(AV19,BZ19,DD19)&gt;0,MAX(AV19,BZ19,DD19),0)</f>
        <v>96.43</v>
      </c>
      <c r="L19" s="14" t="str">
        <f>IF(K19=0,"",IF(K19=DD19,$CD$1,IF(K19=BZ19,$AZ$1,IF(K19=AV19,$V$1,""))))</f>
        <v>2021 Canadian Championships</v>
      </c>
      <c r="M19" s="14">
        <f>IF($K19=$AV19,MAX(BU19,CY19),IF($K19=$BZ19,MAX(AQ19,CY19),IF($K19=$DD19,MAX(AQ19,BU19),MAX(AQ19,BU19,CY19))))</f>
        <v>45.739999999999995</v>
      </c>
      <c r="N19" s="14" t="str">
        <f>IF(M19=0,"",IF(AND(M19=CY19,$L19&lt;&gt;$CD$1),$CD$1,IF(AND(M19=BU19,$L19&lt;&gt;$AZ$1),$AZ$1,IF(AND(M19=AQ19,$L19&lt;&gt;$V$1),$V$1,""))))</f>
        <v>2021 2nd Virtual Technical Trial</v>
      </c>
      <c r="O19" s="14">
        <f>MAX(AS19,AU19,AX19,BW19,BY19,CB19,DA19,DC19,DF19)</f>
        <v>52.06</v>
      </c>
      <c r="P19" s="14" t="str">
        <f>IF(O19=0,"",IF(OR(O19=DC19,O19=DA19,O19=DF19),$CD$1,IF(OR(O19=BY19,O19=BW19,O19=CB19),$AZ$1,IF(OR(O19=AU19,O19=AS19,O19=AX19),$V$1,""))))</f>
        <v>2021 Canadian Championships</v>
      </c>
      <c r="Q19" s="14">
        <f>IF(COUNT(AS19,AU19,AX19,BW19,BY19,CB19,DA19,DC19,DF19)&gt;1,LARGE((AS19,AU19,AX19,BW19,BY19,CB19,DA19,DC19,DF19),2),0)</f>
        <v>38.155000000000001</v>
      </c>
      <c r="R19" s="14" t="str">
        <f>IF(Q19=0,"",IF(OR(Q19=DC19,Q19=DA19,Q19=DF19),$CD$1,IF(OR(Q19=BY19,Q19=BW19,Q19=CB19),$AZ$1,IF(OR(Q19=AU19,Q19=AS19,Q19=AX19),$V$1,""))))</f>
        <v>2021 Canadian Championships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>
        <v>16.899999999999999</v>
      </c>
      <c r="W19" s="61">
        <v>9.4</v>
      </c>
      <c r="X19" s="61">
        <v>3.5</v>
      </c>
      <c r="Y19" s="61">
        <v>15.94</v>
      </c>
      <c r="Z19" s="61">
        <v>0</v>
      </c>
      <c r="AA19" s="61">
        <v>1.6</v>
      </c>
      <c r="AB19" s="61">
        <v>0.9</v>
      </c>
      <c r="AC19" s="61">
        <v>1.7</v>
      </c>
      <c r="AD19" s="61">
        <v>1.615</v>
      </c>
      <c r="AE19" s="61">
        <v>0</v>
      </c>
      <c r="AF19" s="61">
        <v>5.8</v>
      </c>
      <c r="AG19" s="61">
        <v>3.4</v>
      </c>
      <c r="AH19" s="61">
        <v>5.4</v>
      </c>
      <c r="AI19" s="61">
        <v>6.03</v>
      </c>
      <c r="AJ19" s="61">
        <v>0</v>
      </c>
      <c r="AK19" s="61">
        <v>10.9</v>
      </c>
      <c r="AL19" s="61">
        <v>6.5</v>
      </c>
      <c r="AM19" s="61">
        <v>9.4</v>
      </c>
      <c r="AN19" s="61">
        <v>10.69</v>
      </c>
      <c r="AO19" s="61">
        <v>0</v>
      </c>
      <c r="AP19" s="72"/>
      <c r="AQ19" s="11">
        <f>IF(SUM(V19:Y19)-Z19&gt;0,SUM(V19:Y19)-Z19,"")</f>
        <v>45.739999999999995</v>
      </c>
      <c r="AR19" s="11">
        <f>IF(AC19&gt;0,AC19,"")</f>
        <v>1.7</v>
      </c>
      <c r="AS19" s="11">
        <f>IF(SUM(AA19:AD19)-AE19&gt;0,SUM(AA19:AD19)-AE19,"")</f>
        <v>5.8150000000000004</v>
      </c>
      <c r="AT19" s="11">
        <f>IF(AH19&gt;0,AH19,"")</f>
        <v>5.4</v>
      </c>
      <c r="AU19" s="11">
        <f>IF(SUM(AF19:AI19)-AJ19&gt;0,SUM(AF19:AI19)-AJ19,"")</f>
        <v>20.63</v>
      </c>
      <c r="AV19" s="11">
        <f>IF(AQ19="",IF(MAX(AS19,AU19)&gt;0,MAX(AS19,AU19),""),MAX(AS19,AU19)+AQ19)</f>
        <v>66.36999999999999</v>
      </c>
      <c r="AW19" s="11">
        <f>IF(AM19&gt;0,AM19,"")</f>
        <v>9.4</v>
      </c>
      <c r="AX19" s="11">
        <f>IF(SUM(AK19:AN19)-AO19&gt;0,SUM(AK19:AN19)-AO19,"")</f>
        <v>37.489999999999995</v>
      </c>
      <c r="AY19" s="11">
        <f>IF(SUM(AV19,AX19)&gt;0,SUM(AV19,AX19),"")</f>
        <v>103.85999999999999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>IF(SUM(AZ19:BC19)-BD19&gt;0,SUM(AZ19:BC19)-BD19,"")</f>
        <v/>
      </c>
      <c r="BV19" s="14" t="str">
        <f>IF(BG19&gt;0,BG19,"")</f>
        <v/>
      </c>
      <c r="BW19" s="14" t="str">
        <f>IF(SUM(BE19:BH19)-BI19&gt;0,SUM(BE19:BH19)-BI19,"")</f>
        <v/>
      </c>
      <c r="BX19" s="14" t="str">
        <f>IF(BL19&gt;0,BL19,"")</f>
        <v/>
      </c>
      <c r="BY19" s="14" t="str">
        <f>IF(SUM(BJ19:BM19)-BN19&gt;0,SUM(BJ19:BM19)-BN19,"")</f>
        <v/>
      </c>
      <c r="BZ19" s="14" t="str">
        <f>IF(BU19="",IF(MAX(BW19,BY19)&gt;0,MAX(BW19,BY19),""),MAX(BW19,BY19)+BU19)</f>
        <v/>
      </c>
      <c r="CA19" s="14" t="str">
        <f>IF(BQ19&gt;0,BQ19,"")</f>
        <v/>
      </c>
      <c r="CB19" s="14" t="str">
        <f>IF(SUM(BO19:BR19)-BS19&gt;0,SUM(BO19:BR19)-BS19,"")</f>
        <v/>
      </c>
      <c r="CC19" s="14" t="str">
        <f>IF(SUM(BZ19,CB19)&gt;0,SUM(BZ19,CB19),"")</f>
        <v/>
      </c>
      <c r="CD19" s="61">
        <v>16</v>
      </c>
      <c r="CE19" s="61">
        <v>9.3000000000000007</v>
      </c>
      <c r="CF19" s="61">
        <v>3.3</v>
      </c>
      <c r="CG19" s="61">
        <v>15.77</v>
      </c>
      <c r="CH19" s="61">
        <v>0</v>
      </c>
      <c r="CI19" s="61">
        <v>10.9</v>
      </c>
      <c r="CJ19" s="61">
        <v>7.3</v>
      </c>
      <c r="CK19" s="61">
        <v>8.3000000000000007</v>
      </c>
      <c r="CL19" s="61">
        <v>11.654999999999999</v>
      </c>
      <c r="CM19" s="61">
        <v>0</v>
      </c>
      <c r="CN19" s="61">
        <v>15</v>
      </c>
      <c r="CO19" s="61">
        <v>9.3000000000000007</v>
      </c>
      <c r="CP19" s="61">
        <v>13.1</v>
      </c>
      <c r="CQ19" s="61">
        <v>15.06</v>
      </c>
      <c r="CR19" s="61">
        <v>0.4</v>
      </c>
      <c r="CS19" s="61">
        <v>5.9</v>
      </c>
      <c r="CT19" s="61">
        <v>3.9</v>
      </c>
      <c r="CU19" s="61">
        <v>5.4</v>
      </c>
      <c r="CV19" s="61">
        <v>6.085</v>
      </c>
      <c r="CW19" s="61">
        <v>0</v>
      </c>
      <c r="CX19" s="72"/>
      <c r="CY19" s="11">
        <f>IF(SUM(CD19:CG19)-CH19&gt;0,SUM(CD19:CG19)-CH19,"")</f>
        <v>44.370000000000005</v>
      </c>
      <c r="CZ19" s="11">
        <f>IF(CK19&gt;0,CK19,"")</f>
        <v>8.3000000000000007</v>
      </c>
      <c r="DA19" s="11">
        <f>IF(SUM(CI19:CL19)-CM19&gt;0,SUM(CI19:CL19)-CM19,"")</f>
        <v>38.155000000000001</v>
      </c>
      <c r="DB19" s="11">
        <f>IF(CP19&gt;0,CP19,"")</f>
        <v>13.1</v>
      </c>
      <c r="DC19" s="11">
        <f>IF(SUM(CN19:CQ19)-CR19&gt;0,SUM(CN19:CQ19)-CR19,"")</f>
        <v>52.06</v>
      </c>
      <c r="DD19" s="11">
        <f>IF(CY19="",IF(MAX(DA19,DC19)&gt;0,MAX(DA19,DC19),""),MAX(DA19,DC19)+CY19)</f>
        <v>96.43</v>
      </c>
      <c r="DE19" s="11">
        <f>IF(CU19&gt;0,CU19,"")</f>
        <v>5.4</v>
      </c>
      <c r="DF19" s="11">
        <f>IF(SUM(CS19:CV19)-CW19&gt;0,SUM(CS19:CV19)-CW19,"")</f>
        <v>21.285</v>
      </c>
      <c r="DG19" s="11">
        <f>IF(SUM(DD19,DF19)&gt;0,SUM(DD19,DF19),"")</f>
        <v>117.715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8</v>
      </c>
      <c r="NQ19" s="61">
        <f>IF($CX19="P",CE19,(CE19+BA19)/2)</f>
        <v>4.6500000000000004</v>
      </c>
      <c r="NR19" s="61">
        <f>IF($CX19="P",CF19,(CF19+BB19)/2)</f>
        <v>1.65</v>
      </c>
      <c r="NS19" s="61">
        <f>IF($CX19="P",CG19,(CG19+BC19)/2)</f>
        <v>7.8849999999999998</v>
      </c>
      <c r="NT19" s="61">
        <f>IF($CX19="P",CH19,(CH19+BD19)/2)</f>
        <v>0</v>
      </c>
      <c r="NU19" s="61">
        <f>IF($CX19="P",CI19,(CI19+BE19)/2)</f>
        <v>5.45</v>
      </c>
      <c r="NV19" s="61">
        <f>IF($CX19="P",CJ19,(CJ19+BF19)/2)</f>
        <v>3.65</v>
      </c>
      <c r="NW19" s="61">
        <f>IF($CX19="P",CK19,(CK19+BG19)/2)</f>
        <v>4.1500000000000004</v>
      </c>
      <c r="NX19" s="61">
        <f>IF($CX19="P",CL19,(CL19+BH19)/2)</f>
        <v>5.8274999999999997</v>
      </c>
      <c r="NY19" s="61">
        <f>IF($CX19="P",CM19,(CM19+BI19)/2)</f>
        <v>0</v>
      </c>
      <c r="NZ19" s="61">
        <f>IF($CX19="P",CN19,(CN19+BJ19)/2)</f>
        <v>7.5</v>
      </c>
      <c r="OA19" s="61">
        <f>IF($CX19="P",CO19,(CO19+BK19)/2)</f>
        <v>4.6500000000000004</v>
      </c>
      <c r="OB19" s="61">
        <f>IF($CX19="P",CP19,(CP19+BL19)/2)</f>
        <v>6.55</v>
      </c>
      <c r="OC19" s="61">
        <f>IF($CX19="P",CQ19,(CQ19+BM19)/2)</f>
        <v>7.53</v>
      </c>
      <c r="OD19" s="61">
        <f>IF($CX19="P",CR19,(CR19+BN19)/2)</f>
        <v>0.2</v>
      </c>
      <c r="OE19" s="61">
        <f>IF($CX19="P",CS19,(CS19+BO19)/2)</f>
        <v>2.95</v>
      </c>
      <c r="OF19" s="61">
        <f>IF($CX19="P",CT19,(CT19+BP19)/2)</f>
        <v>1.95</v>
      </c>
      <c r="OG19" s="61">
        <f>IF($CX19="P",CU19,(CU19+BQ19)/2)</f>
        <v>2.7</v>
      </c>
      <c r="OH19" s="61">
        <f>IF($CX19="P",CV19,(CV19+BR19)/2)</f>
        <v>3.0425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22.185000000000002</v>
      </c>
      <c r="OL19" s="11">
        <f>IF(NW19&gt;0,NW19,"")</f>
        <v>4.1500000000000004</v>
      </c>
      <c r="OM19" s="11">
        <f>IF(SUM(NU19:NX19)-NY19&gt;0,SUM(NU19:NX19)-NY19,"")</f>
        <v>19.077500000000001</v>
      </c>
      <c r="ON19" s="11">
        <f>IF(OB19&gt;0,OB19,"")</f>
        <v>6.55</v>
      </c>
      <c r="OO19" s="11">
        <f>IF(SUM(NZ19:OC19)-OD19&gt;0,SUM(NZ19:OC19)-OD19,"")</f>
        <v>26.03</v>
      </c>
      <c r="OP19" s="11">
        <f>IF(OR(OK19&lt;&gt;"",OM19&lt;&gt;"",OO19&lt;&gt;""),OK19+MAX(OM19,OO19),"")</f>
        <v>48.215000000000003</v>
      </c>
      <c r="OQ19" s="11">
        <f>IF(OG19&gt;0,OG19,"")</f>
        <v>2.7</v>
      </c>
      <c r="OR19" s="11">
        <f t="shared" ref="OR19" si="18">IF(SUM(OE19:OH19)-OI19&gt;0,SUM(OE19:OH19)-OI19,"")</f>
        <v>10.6425</v>
      </c>
      <c r="OS19" s="11">
        <f t="shared" ref="OS19" si="19">IF(SUM(OP19,OR19)&gt;0,SUM(OP19,OR19),"")</f>
        <v>58.857500000000002</v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139</v>
      </c>
      <c r="C20" s="7" t="s">
        <v>5</v>
      </c>
      <c r="D20" s="26">
        <v>2003</v>
      </c>
      <c r="E20" s="15">
        <f>SUM(O20:S20)+K20/1000000</f>
        <v>88.090080209999996</v>
      </c>
      <c r="F20" s="3" t="str">
        <f>IF(G20&lt;&gt;"","P","")</f>
        <v/>
      </c>
      <c r="G20" s="115" t="str">
        <f>IF(OR(AND(AR20&gt;=AY$27,AR20&lt;&gt;"",AP20=""),AND(AT20&gt;=AY$27,AT20&lt;&gt;"",AP20=""),AND(AW20&gt;=AY$27,AW20&lt;&gt;"",AP20=""),AND(BV20&gt;=CC$27,BV20&lt;&gt;"",BT20=""),AND(BX20&gt;=CC$27,BX20&lt;&gt;"",BT20=""),AND(CA20&gt;=CC$27,CA20&lt;&gt;"",BT20=""),AND(CZ20&gt;=DG$27,CZ20&lt;&gt;"",CX20=""),AND(DB20&gt;=DG$27,DB20&lt;&gt;"",CX20=""),AND(DE20&gt;=DG$27,DE20&lt;&gt;"",CX20=""),AND(EA20&gt;=EG$27,EA20&lt;&gt;""),AND(EE20&gt;=EG$27,EE20&lt;&gt;""),AND(EW20&gt;=FC$27,EW20&lt;&gt;""),AND(FA20&gt;=FC$27,FA20&lt;&gt;""),AND(FS20&gt;=FY$27,FS20&lt;&gt;""),AND(FW20&gt;=FY$27,FW20&lt;&gt;""),AND(GO20&gt;=GU$27,GO20&lt;&gt;""),AND(GS20&gt;=GU$27,GS20&lt;&gt;""),AND(HK20&gt;=HQ$27,HK20&lt;&gt;""),AND(HO20&gt;=HQ$27,HO20&lt;&gt;""),AND(IG20&gt;=IM$27,IG20&lt;&gt;""),AND(IK20&gt;=IM$27,IK20&lt;&gt;""),AND(JC20&gt;=JI$27,JC20&lt;&gt;""),AND(JG20&gt;=JI$27,JG20&lt;&gt;""),AND(JY20&gt;=KE$27,JY20&lt;&gt;""),AND(KC20&gt;=KE$27,KC20&lt;&gt;""),AND(KU20&gt;=LA$27,KU20&lt;&gt;""),AND(KY20&gt;=LA$27,KY20&lt;&gt;""),AND(LQ20&gt;=LW$27,LQ20&lt;&gt;""),AND(LU20&gt;=LW$27,LU20&lt;&gt;""),AND(MM20&gt;=MS$27,MM20&lt;&gt;""),AND(MQ20&gt;=MS$27,MQ20&lt;&gt;""),AND(NI20&gt;=NO$27,NI20&lt;&gt;""),AND(NM20&gt;=NO$27,NM20&lt;&gt;"")),"Merit",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Excellence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Worlds Team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National Team",""))))</f>
        <v/>
      </c>
      <c r="H20" s="115" t="str">
        <f>IF(OR(AND(AS20&gt;=AY$28,AS20&lt;&gt;"",AP20=""),AND(AU20&gt;=AY$28,AU20&lt;&gt;"",AP20=""),AND(AX20&gt;=AY$28,AX20&lt;&gt;"",AP20=""),AND(BW20&gt;=CC$28,BW20&lt;&gt;"",BT20=""),AND(BY20&gt;=CC$28,BY20&lt;&gt;"",BT20=""),AND(CB20&gt;=CC$28,CB20&lt;&gt;"",BT20=""),AND(DA20&gt;=DG$28,DA20&lt;&gt;"",CX20=""),AND(DC20&gt;=DG$28,DC20&lt;&gt;"",CX20=""),AND(DF20&gt;=DG$28,DF20&lt;&gt;"",CX20=""),AND(EC20&gt;=EG$28,EC20&lt;&gt;""),AND(EF20&gt;=EG$28,EF20&lt;&gt;""),AND(EY20&gt;=FC$28,EY20&lt;&gt;""),AND(FB20&gt;=FC$28,FB20&lt;&gt;""),AND(FU20&gt;=FY$28,FU20&lt;&gt;""),AND(FX20&gt;=FY$28,FX20&lt;&gt;""),AND(GQ20&gt;=GU$28,GQ20&lt;&gt;""),AND(GT20&gt;=GU$28,GT20&lt;&gt;""),AND(HM20&gt;=HQ$28,HM20&lt;&gt;""),AND(HP20&gt;=HQ$28,HP20&lt;&gt;""),AND(II20&gt;=IM$28,II20&lt;&gt;""),AND(IL20&gt;=IM$28,IL20&lt;&gt;""),AND(JE20&gt;=JI$28,JE20&lt;&gt;""),AND(JH20&gt;=JI$28,JH20&lt;&gt;""),AND(KA20&gt;=KE$28,KA20&lt;&gt;""),AND(KD20&gt;=KE$28,KD20&lt;&gt;""),AND(KW20&gt;=LA$28,KW20&lt;&gt;""),AND(KZ20&gt;=LA$28,KZ20&lt;&gt;""),AND(LS20&gt;=LW$28,LS20&lt;&gt;""),AND(LV20&gt;=LW$28,LV20&lt;&gt;""),AND(MO20&gt;=MS$28,MO20&lt;&gt;""),AND(MR20&gt;=MS$28,MR20&lt;&gt;""),AND(NK20&gt;=NO$28,NK20&lt;&gt;""),AND(NN20&gt;=NO$28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$29,AV20&lt;&gt;"",AP20=""),AND(BZ20&gt;=CC$29,BZ20&lt;&gt;"",BT20=""),AND(DD20&gt;=DG$29,DD20&lt;&gt;"",CX20=""),AND(ED20&gt;=EG$29,ED20&lt;&gt;""),AND(EZ20&gt;=FC$29,EZ20&lt;&gt;""),AND(FV20&gt;=FY$29,FV20&lt;&gt;""),AND(GR20&gt;=GU$29,GR20&lt;&gt;""),AND(HN20&gt;=HQ$29,HN20&lt;&gt;""),AND(IJ20&gt;=IM$29,IJ20&lt;&gt;""),AND(JF20&gt;=JI$29,JF20&lt;&gt;""),AND(KB20&gt;=KE$29,KB20&lt;&gt;""),AND(KX20&gt;=LA$29,KX20&lt;&gt;""),AND(LT20&gt;=LW$29,LT20&lt;&gt;""),AND(MP20&gt;=MS$29,MP20&lt;&gt;""),AND(NL20&gt;=NO$29,NL20&lt;&gt;"")),OR(G20="Worlds Team",G20="Excellence",G20="Merit")),"P","")</f>
        <v/>
      </c>
      <c r="K20" s="14">
        <f>IF(MAX(AV20,BZ20,DD20)&gt;0,MAX(AV20,BZ20,DD20),0)</f>
        <v>80.210000000000008</v>
      </c>
      <c r="L20" s="14" t="str">
        <f>IF(K20=0,"",IF(K20=DD20,$CD$1,IF(K20=BZ20,$AZ$1,IF(K20=AV20,$V$1,""))))</f>
        <v>2021 Canadian Championships</v>
      </c>
      <c r="M20" s="14">
        <f>IF($K20=$AV20,MAX(BU20,CY20),IF($K20=$BZ20,MAX(AQ20,CY20),IF($K20=$DD20,MAX(AQ20,BU20),MAX(AQ20,BU20,CY20))))</f>
        <v>41.305</v>
      </c>
      <c r="N20" s="14" t="str">
        <f>IF(M20=0,"",IF(AND(M20=CY20,$L20&lt;&gt;$CD$1),$CD$1,IF(AND(M20=BU20,$L20&lt;&gt;$AZ$1),$AZ$1,IF(AND(M20=AQ20,$L20&lt;&gt;$V$1),$V$1,""))))</f>
        <v>2021 Elite Canada</v>
      </c>
      <c r="O20" s="14">
        <f>MAX(AS20,AU20,AX20,BW20,BY20,CB20,DA20,DC20,DF20)</f>
        <v>47.620000000000005</v>
      </c>
      <c r="P20" s="14" t="str">
        <f>IF(O20=0,"",IF(OR(O20=DC20,O20=DA20,O20=DF20),$CD$1,IF(OR(O20=BY20,O20=BW20,O20=CB20),$AZ$1,IF(OR(O20=AU20,O20=AS20,O20=AX20),$V$1,""))))</f>
        <v>2021 Canadian Championships</v>
      </c>
      <c r="Q20" s="14">
        <f>IF(COUNT(AS20,AU20,AX20,BW20,BY20,CB20,DA20,DC20,DF20)&gt;1,LARGE((AS20,AU20,AX20,BW20,BY20,CB20,DA20,DC20,DF20),2),0)</f>
        <v>40.47</v>
      </c>
      <c r="R20" s="14" t="str">
        <f>IF(Q20=0,"",IF(OR(Q20=DC20,Q20=DA20,Q20=DF20),$CD$1,IF(OR(Q20=BY20,Q20=BW20,Q20=CB20),$AZ$1,IF(OR(Q20=AU20,Q20=AS20,Q20=AX20),$V$1,""))))</f>
        <v>2021 Elite Canada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67">
        <v>14.2</v>
      </c>
      <c r="BA20" s="67">
        <v>9.5</v>
      </c>
      <c r="BB20" s="67">
        <v>2.7</v>
      </c>
      <c r="BC20" s="67">
        <v>14.904999999999999</v>
      </c>
      <c r="BD20" s="67">
        <v>0</v>
      </c>
      <c r="BE20" s="67">
        <v>5.8</v>
      </c>
      <c r="BF20" s="67">
        <v>4.5</v>
      </c>
      <c r="BG20" s="67">
        <v>4.8</v>
      </c>
      <c r="BH20" s="67">
        <v>7.47</v>
      </c>
      <c r="BI20" s="67">
        <v>0</v>
      </c>
      <c r="BJ20" s="67"/>
      <c r="BK20" s="67"/>
      <c r="BL20" s="67"/>
      <c r="BM20" s="67"/>
      <c r="BN20" s="67"/>
      <c r="BO20" s="67">
        <v>10.1</v>
      </c>
      <c r="BP20" s="67">
        <v>8.8000000000000007</v>
      </c>
      <c r="BQ20" s="67">
        <v>8.5</v>
      </c>
      <c r="BR20" s="67">
        <v>14.17</v>
      </c>
      <c r="BS20" s="67">
        <v>1.1000000000000001</v>
      </c>
      <c r="BT20" s="73"/>
      <c r="BU20" s="14">
        <f>IF(SUM(AZ20:BC20)-BD20&gt;0,SUM(AZ20:BC20)-BD20,"")</f>
        <v>41.305</v>
      </c>
      <c r="BV20" s="14">
        <f>IF(BG20&gt;0,BG20,"")</f>
        <v>4.8</v>
      </c>
      <c r="BW20" s="14">
        <f>IF(SUM(BE20:BH20)-BI20&gt;0,SUM(BE20:BH20)-BI20,"")</f>
        <v>22.57</v>
      </c>
      <c r="BX20" s="14" t="str">
        <f>IF(BL20&gt;0,BL20,"")</f>
        <v/>
      </c>
      <c r="BY20" s="14" t="str">
        <f>IF(SUM(BJ20:BM20)-BN20&gt;0,SUM(BJ20:BM20)-BN20,"")</f>
        <v/>
      </c>
      <c r="BZ20" s="14">
        <f>IF(BU20="",IF(MAX(BW20,BY20)&gt;0,MAX(BW20,BY20),""),MAX(BW20,BY20)+BU20)</f>
        <v>63.875</v>
      </c>
      <c r="CA20" s="14">
        <f>IF(BQ20&gt;0,BQ20,"")</f>
        <v>8.5</v>
      </c>
      <c r="CB20" s="14">
        <f>IF(SUM(BO20:BR20)-BS20&gt;0,SUM(BO20:BR20)-BS20,"")</f>
        <v>40.47</v>
      </c>
      <c r="CC20" s="14">
        <f>IF(SUM(BZ20,CB20)&gt;0,SUM(BZ20,CB20),"")</f>
        <v>104.345</v>
      </c>
      <c r="CD20" s="61">
        <v>14.3</v>
      </c>
      <c r="CE20" s="61">
        <v>9.5</v>
      </c>
      <c r="CF20" s="61">
        <v>2.7</v>
      </c>
      <c r="CG20" s="61">
        <v>15.07</v>
      </c>
      <c r="CH20" s="61">
        <v>0</v>
      </c>
      <c r="CI20" s="61">
        <v>10.9</v>
      </c>
      <c r="CJ20" s="61">
        <v>7.6</v>
      </c>
      <c r="CK20" s="61">
        <v>8.1999999999999993</v>
      </c>
      <c r="CL20" s="61">
        <v>11.94</v>
      </c>
      <c r="CM20" s="61">
        <v>0</v>
      </c>
      <c r="CN20" s="61"/>
      <c r="CO20" s="61"/>
      <c r="CP20" s="61"/>
      <c r="CQ20" s="61"/>
      <c r="CR20" s="61"/>
      <c r="CS20" s="61">
        <v>13.2</v>
      </c>
      <c r="CT20" s="61">
        <v>9.4</v>
      </c>
      <c r="CU20" s="61">
        <v>10</v>
      </c>
      <c r="CV20" s="61">
        <v>15.02</v>
      </c>
      <c r="CW20" s="61">
        <v>0</v>
      </c>
      <c r="CX20" s="72"/>
      <c r="CY20" s="11">
        <f>IF(SUM(CD20:CG20)-CH20&gt;0,SUM(CD20:CG20)-CH20,"")</f>
        <v>41.57</v>
      </c>
      <c r="CZ20" s="11">
        <f>IF(CK20&gt;0,CK20,"")</f>
        <v>8.1999999999999993</v>
      </c>
      <c r="DA20" s="11">
        <f>IF(SUM(CI20:CL20)-CM20&gt;0,SUM(CI20:CL20)-CM20,"")</f>
        <v>38.64</v>
      </c>
      <c r="DB20" s="11" t="str">
        <f>IF(CP20&gt;0,CP20,"")</f>
        <v/>
      </c>
      <c r="DC20" s="11" t="str">
        <f>IF(SUM(CN20:CQ20)-CR20&gt;0,SUM(CN20:CQ20)-CR20,"")</f>
        <v/>
      </c>
      <c r="DD20" s="11">
        <f>IF(CY20="",IF(MAX(DA20,DC20)&gt;0,MAX(DA20,DC20),""),MAX(DA20,DC20)+CY20)</f>
        <v>80.210000000000008</v>
      </c>
      <c r="DE20" s="11">
        <f>IF(CU20&gt;0,CU20,"")</f>
        <v>10</v>
      </c>
      <c r="DF20" s="11">
        <f>IF(SUM(CS20:CV20)-CW20&gt;0,SUM(CS20:CV20)-CW20,"")</f>
        <v>47.620000000000005</v>
      </c>
      <c r="DG20" s="11">
        <f>IF(SUM(DD20,DF20)&gt;0,SUM(DD20,DF20),"")</f>
        <v>127.83000000000001</v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14.25</v>
      </c>
      <c r="NQ20" s="61">
        <f>IF($CX20="P",CE20,(CE20+BA20)/2)</f>
        <v>9.5</v>
      </c>
      <c r="NR20" s="61">
        <f>IF($CX20="P",CF20,(CF20+BB20)/2)</f>
        <v>2.7</v>
      </c>
      <c r="NS20" s="61">
        <f>IF($CX20="P",CG20,(CG20+BC20)/2)</f>
        <v>14.987500000000001</v>
      </c>
      <c r="NT20" s="61">
        <f>IF($CX20="P",CH20,(CH20+BD20)/2)</f>
        <v>0</v>
      </c>
      <c r="NU20" s="61">
        <f>IF($CX20="P",CI20,(CI20+BE20)/2)</f>
        <v>8.35</v>
      </c>
      <c r="NV20" s="61">
        <f>IF($CX20="P",CJ20,(CJ20+BF20)/2)</f>
        <v>6.05</v>
      </c>
      <c r="NW20" s="61">
        <f>IF($CX20="P",CK20,(CK20+BG20)/2)</f>
        <v>6.5</v>
      </c>
      <c r="NX20" s="61">
        <f>IF($CX20="P",CL20,(CL20+BH20)/2)</f>
        <v>9.7050000000000001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11.649999999999999</v>
      </c>
      <c r="OF20" s="61">
        <f>IF($CX20="P",CT20,(CT20+BP20)/2)</f>
        <v>9.1000000000000014</v>
      </c>
      <c r="OG20" s="61">
        <f>IF($CX20="P",CU20,(CU20+BQ20)/2)</f>
        <v>9.25</v>
      </c>
      <c r="OH20" s="61">
        <f>IF($CX20="P",CV20,(CV20+BR20)/2)</f>
        <v>14.594999999999999</v>
      </c>
      <c r="OI20" s="61">
        <f>IF($CX20="P",CW20,(CW20+BS20)/2)</f>
        <v>0.55000000000000004</v>
      </c>
      <c r="OJ20" s="72" t="s">
        <v>52</v>
      </c>
      <c r="OK20" s="11">
        <f>IF(SUM(NP20:NS20)-NT20&gt;0,SUM(NP20:NS20)-NT20,"")</f>
        <v>41.4375</v>
      </c>
      <c r="OL20" s="11">
        <f>IF(NW20&gt;0,NW20,"")</f>
        <v>6.5</v>
      </c>
      <c r="OM20" s="11">
        <f>IF(SUM(NU20:NX20)-NY20&gt;0,SUM(NU20:NX20)-NY20,"")</f>
        <v>30.604999999999997</v>
      </c>
      <c r="ON20" s="11" t="str">
        <f>IF(OB20&gt;0,OB20,"")</f>
        <v/>
      </c>
      <c r="OO20" s="11" t="str">
        <f>IF(SUM(NZ20:OC20)-OD20&gt;0,SUM(NZ20:OC20)-OD20,"")</f>
        <v/>
      </c>
      <c r="OP20" s="11">
        <f>IF(OR(OK20&lt;&gt;"",OM20&lt;&gt;"",OO20&lt;&gt;""),OK20+MAX(OM20,OO20),"")</f>
        <v>72.04249999999999</v>
      </c>
      <c r="OQ20" s="11">
        <f>IF(OG20&gt;0,OG20,"")</f>
        <v>9.25</v>
      </c>
      <c r="OR20" s="11">
        <f t="shared" ref="OR20" si="20">IF(SUM(OE20:OH20)-OI20&gt;0,SUM(OE20:OH20)-OI20,"")</f>
        <v>44.045000000000002</v>
      </c>
      <c r="OS20" s="11">
        <f t="shared" ref="OS20" si="21">IF(SUM(OP20,OR20)&gt;0,SUM(OP20,OR20),"")</f>
        <v>116.08749999999999</v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138</v>
      </c>
      <c r="C21" s="7" t="s">
        <v>4</v>
      </c>
      <c r="D21" s="26">
        <v>2001</v>
      </c>
      <c r="E21" s="15">
        <f>SUM(O21:S21)+K21/1000000</f>
        <v>75.790064760000007</v>
      </c>
      <c r="F21" s="3" t="str">
        <f>IF(G21&lt;&gt;"","P","")</f>
        <v/>
      </c>
      <c r="G21" s="115" t="str">
        <f>IF(OR(AND(AR21&gt;=AY$27,AR21&lt;&gt;"",AP21=""),AND(AT21&gt;=AY$27,AT21&lt;&gt;"",AP21=""),AND(AW21&gt;=AY$27,AW21&lt;&gt;"",AP21=""),AND(BV21&gt;=CC$27,BV21&lt;&gt;"",BT21=""),AND(BX21&gt;=CC$27,BX21&lt;&gt;"",BT21=""),AND(CA21&gt;=CC$27,CA21&lt;&gt;"",BT21=""),AND(CZ21&gt;=DG$27,CZ21&lt;&gt;"",CX21=""),AND(DB21&gt;=DG$27,DB21&lt;&gt;"",CX21=""),AND(DE21&gt;=DG$27,DE21&lt;&gt;"",CX21=""),AND(EA21&gt;=EG$27,EA21&lt;&gt;""),AND(EE21&gt;=EG$27,EE21&lt;&gt;""),AND(EW21&gt;=FC$27,EW21&lt;&gt;""),AND(FA21&gt;=FC$27,FA21&lt;&gt;""),AND(FS21&gt;=FY$27,FS21&lt;&gt;""),AND(FW21&gt;=FY$27,FW21&lt;&gt;""),AND(GO21&gt;=GU$27,GO21&lt;&gt;""),AND(GS21&gt;=GU$27,GS21&lt;&gt;""),AND(HK21&gt;=HQ$27,HK21&lt;&gt;""),AND(HO21&gt;=HQ$27,HO21&lt;&gt;""),AND(IG21&gt;=IM$27,IG21&lt;&gt;""),AND(IK21&gt;=IM$27,IK21&lt;&gt;""),AND(JC21&gt;=JI$27,JC21&lt;&gt;""),AND(JG21&gt;=JI$27,JG21&lt;&gt;""),AND(JY21&gt;=KE$27,JY21&lt;&gt;""),AND(KC21&gt;=KE$27,KC21&lt;&gt;""),AND(KU21&gt;=LA$27,KU21&lt;&gt;""),AND(KY21&gt;=LA$27,KY21&lt;&gt;""),AND(LQ21&gt;=LW$27,LQ21&lt;&gt;""),AND(LU21&gt;=LW$27,LU21&lt;&gt;""),AND(MM21&gt;=MS$27,MM21&lt;&gt;""),AND(MQ21&gt;=MS$27,MQ21&lt;&gt;""),AND(NI21&gt;=NO$27,NI21&lt;&gt;""),AND(NM21&gt;=NO$27,NM21&lt;&gt;"")),"Merit",IF(OR(AND(AR21&gt;=AY$26,AR21&lt;&gt;"",AP21=""),AND(AT21&gt;=AY$26,AT21&lt;&gt;"",AP21=""),AND(AW21&gt;=AY$26,AW21&lt;&gt;"",AP21=""),AND(BV21&gt;=CC$26,BV21&lt;&gt;"",BT21=""),AND(BX21&gt;=CC$26,BX21&lt;&gt;"",BT21=""),AND(CA21&gt;=CC$26,CA21&lt;&gt;"",BT21=""),AND(CZ21&gt;=DG$26,CZ21&lt;&gt;"",CX21=""),AND(DB21&gt;=DG$26,DB21&lt;&gt;"",CX21=""),AND(DE21&gt;=DG$26,DE21&lt;&gt;"",CX21=""),AND(EA21&gt;=EG$26,EA21&lt;&gt;""),AND(EE21&gt;=EG$26,EE21&lt;&gt;""),AND(EW21&gt;=FC$26,EW21&lt;&gt;""),AND(FA21&gt;=FC$26,FA21&lt;&gt;""),AND(FS21&gt;=FY$26,FS21&lt;&gt;""),AND(FW21&gt;=FY$26,FW21&lt;&gt;""),AND(GO21&gt;=GU$26,GO21&lt;&gt;""),AND(GS21&gt;=GU$26,GS21&lt;&gt;""),AND(HK21&gt;=HQ$26,HK21&lt;&gt;""),AND(HO21&gt;=HQ$26,HO21&lt;&gt;""),AND(IG21&gt;=IM$26,IG21&lt;&gt;""),AND(IK21&gt;=IM$26,IK21&lt;&gt;""),AND(JC21&gt;=JI$26,JC21&lt;&gt;""),AND(JG21&gt;=JI$26,JG21&lt;&gt;""),AND(JY21&gt;=KE$26,JY21&lt;&gt;""),AND(KC21&gt;=KE$26,KC21&lt;&gt;""),AND(KU21&gt;=LA$26,KU21&lt;&gt;""),AND(KY21&gt;=LA$26,KY21&lt;&gt;""),AND(LQ21&gt;=LW$26,LQ21&lt;&gt;""),AND(LU21&gt;=LW$26,LU21&lt;&gt;""),AND(MM21&gt;=MS$26,MM21&lt;&gt;""),AND(MQ21&gt;=MS$26,MQ21&lt;&gt;""),AND(NI21&gt;=NO$26,NI21&lt;&gt;""),AND(NM21&gt;=NO$26,NM21&lt;&gt;"")),"Excellence",IF(OR(AND(AR21&gt;=AY$25,AR21&lt;&gt;"",AP21=""),AND(AT21&gt;=AY$25,AT21&lt;&gt;"",AP21=""),AND(AW21&gt;=AY$25,AW21&lt;&gt;"",AP21=""),AND(BV21&gt;=CC$25,BV21&lt;&gt;"",BT21=""),AND(BX21&gt;=CC$25,BX21&lt;&gt;"",BT21=""),AND(CA21&gt;=CC$25,CA21&lt;&gt;"",BT21=""),AND(CZ21&gt;=DG$25,CZ21&lt;&gt;"",CX21=""),AND(DB21&gt;=DG$25,DB21&lt;&gt;"",CX21=""),AND(DE21&gt;=DG$25,DE21&lt;&gt;"",CX21=""),AND(EA21&gt;=EG$25,EA21&lt;&gt;""),AND(EE21&gt;=EG$25,EE21&lt;&gt;""),AND(EW21&gt;=FC$25,EW21&lt;&gt;""),AND(FA21&gt;=FC$25,FA21&lt;&gt;""),AND(FS21&gt;=FY$25,FS21&lt;&gt;""),AND(FW21&gt;=FY$25,FW21&lt;&gt;""),AND(GO21&gt;=GU$25,GO21&lt;&gt;""),AND(GS21&gt;=GU$25,GS21&lt;&gt;""),AND(HK21&gt;=HQ$25,HK21&lt;&gt;""),AND(HO21&gt;=HQ$25,HO21&lt;&gt;""),AND(IG21&gt;=IM$25,IG21&lt;&gt;""),AND(IK21&gt;=IM$25,IK21&lt;&gt;""),AND(JC21&gt;=JI$25,JC21&lt;&gt;""),AND(JG21&gt;=JI$25,JG21&lt;&gt;""),AND(JY21&gt;=KE$25,JY21&lt;&gt;""),AND(KC21&gt;=KE$25,KC21&lt;&gt;""),AND(KU21&gt;=LA$25,KU21&lt;&gt;""),AND(KY21&gt;=LA$25,KY21&lt;&gt;""),AND(LQ21&gt;=LW$25,LQ21&lt;&gt;""),AND(LU21&gt;=LW$25,LU21&lt;&gt;""),AND(MM21&gt;=MS$25,MM21&lt;&gt;""),AND(MQ21&gt;=MS$25,MQ21&lt;&gt;""),AND(NI21&gt;=NO$25,NI21&lt;&gt;""),AND(NM21&gt;=NO$25,NM21&lt;&gt;"")),"Worlds Team",IF(OR(AND(AR21&gt;=AY$24,AR21&lt;&gt;"",AP21=""),AND(AT21&gt;=AY$24,AT21&lt;&gt;"",AP21=""),AND(AW21&gt;=AY$24,AW21&lt;&gt;"",AP21=""),AND(BV21&gt;=CC$24,BV21&lt;&gt;"",BT21=""),AND(BX21&gt;=CC$24,BX21&lt;&gt;"",BT21=""),AND(CA21&gt;=CC$24,CA21&lt;&gt;"",BT21=""),AND(CZ21&gt;=DG$24,CZ21&lt;&gt;"",CX21=""),AND(DB21&gt;=DG$24,DB21&lt;&gt;"",CX21=""),AND(DE21&gt;=DG$24,DE21&lt;&gt;"",CX21=""),AND(EA21&gt;=EG$24,EA21&lt;&gt;""),AND(EE21&gt;=EG$24,EE21&lt;&gt;""),AND(EW21&gt;=FC$24,EW21&lt;&gt;""),AND(FA21&gt;=FC$24,FA21&lt;&gt;""),AND(FS21&gt;=FY$24,FS21&lt;&gt;""),AND(FW21&gt;=FY$24,FW21&lt;&gt;""),AND(GO21&gt;=GU$24,GO21&lt;&gt;""),AND(GS21&gt;=GU$24,GS21&lt;&gt;""),AND(HK21&gt;=HQ$24,HK21&lt;&gt;""),AND(HO21&gt;=HQ$24,HO21&lt;&gt;""),AND(IG21&gt;=IM$24,IG21&lt;&gt;""),AND(IK21&gt;=IM$24,IK21&lt;&gt;""),AND(JC21&gt;=JI$24,JC21&lt;&gt;""),AND(JG21&gt;=JI$24,JG21&lt;&gt;""),AND(JY21&gt;=KE$24,JY21&lt;&gt;""),AND(KC21&gt;=KE$24,KC21&lt;&gt;""),AND(KU21&gt;=LA$24,KU21&lt;&gt;""),AND(KY21&gt;=LA$24,KY21&lt;&gt;""),AND(LQ21&gt;=LW$24,LQ21&lt;&gt;""),AND(LU21&gt;=LW$24,LU21&lt;&gt;""),AND(MM21&gt;=MS$24,MM21&lt;&gt;""),AND(MQ21&gt;=MS$24,MQ21&lt;&gt;""),AND(NI21&gt;=NO$24,NI21&lt;&gt;""),AND(NM21&gt;=NO$24,NM21&lt;&gt;"")),"National Team",""))))</f>
        <v/>
      </c>
      <c r="H21" s="115" t="str">
        <f>IF(OR(AND(AS21&gt;=AY$28,AS21&lt;&gt;"",AP21=""),AND(AU21&gt;=AY$28,AU21&lt;&gt;"",AP21=""),AND(AX21&gt;=AY$28,AX21&lt;&gt;"",AP21=""),AND(BW21&gt;=CC$28,BW21&lt;&gt;"",BT21=""),AND(BY21&gt;=CC$28,BY21&lt;&gt;"",BT21=""),AND(CB21&gt;=CC$28,CB21&lt;&gt;"",BT21=""),AND(DA21&gt;=DG$28,DA21&lt;&gt;"",CX21=""),AND(DC21&gt;=DG$28,DC21&lt;&gt;"",CX21=""),AND(DF21&gt;=DG$28,DF21&lt;&gt;"",CX21=""),AND(EC21&gt;=EG$28,EC21&lt;&gt;""),AND(EF21&gt;=EG$28,EF21&lt;&gt;""),AND(EY21&gt;=FC$28,EY21&lt;&gt;""),AND(FB21&gt;=FC$28,FB21&lt;&gt;""),AND(FU21&gt;=FY$28,FU21&lt;&gt;""),AND(FX21&gt;=FY$28,FX21&lt;&gt;""),AND(GQ21&gt;=GU$28,GQ21&lt;&gt;""),AND(GT21&gt;=GU$28,GT21&lt;&gt;""),AND(HM21&gt;=HQ$28,HM21&lt;&gt;""),AND(HP21&gt;=HQ$28,HP21&lt;&gt;""),AND(II21&gt;=IM$28,II21&lt;&gt;""),AND(IL21&gt;=IM$28,IL21&lt;&gt;""),AND(JE21&gt;=JI$28,JE21&lt;&gt;""),AND(JH21&gt;=JI$28,JH21&lt;&gt;""),AND(KA21&gt;=KE$28,KA21&lt;&gt;""),AND(KD21&gt;=KE$28,KD21&lt;&gt;""),AND(KW21&gt;=LA$28,KW21&lt;&gt;""),AND(KZ21&gt;=LA$28,KZ21&lt;&gt;""),AND(LS21&gt;=LW$28,LS21&lt;&gt;""),AND(LV21&gt;=LW$28,LV21&lt;&gt;""),AND(MO21&gt;=MS$28,MO21&lt;&gt;""),AND(MR21&gt;=MS$28,MR21&lt;&gt;""),AND(NK21&gt;=NO$28,NK21&lt;&gt;""),AND(NN21&gt;=NO$28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$29,AV21&lt;&gt;"",AP21=""),AND(BZ21&gt;=CC$29,BZ21&lt;&gt;"",BT21=""),AND(DD21&gt;=DG$29,DD21&lt;&gt;"",CX21=""),AND(ED21&gt;=EG$29,ED21&lt;&gt;""),AND(EZ21&gt;=FC$29,EZ21&lt;&gt;""),AND(FV21&gt;=FY$29,FV21&lt;&gt;""),AND(GR21&gt;=GU$29,GR21&lt;&gt;""),AND(HN21&gt;=HQ$29,HN21&lt;&gt;""),AND(IJ21&gt;=IM$29,IJ21&lt;&gt;""),AND(JF21&gt;=JI$29,JF21&lt;&gt;""),AND(KB21&gt;=KE$29,KB21&lt;&gt;""),AND(KX21&gt;=LA$29,KX21&lt;&gt;""),AND(LT21&gt;=LW$29,LT21&lt;&gt;""),AND(MP21&gt;=MS$29,MP21&lt;&gt;""),AND(NL21&gt;=NO$29,NL21&lt;&gt;"")),OR(G21="Worlds Team",G21="Excellence",G21="Merit")),"P","")</f>
        <v/>
      </c>
      <c r="K21" s="14">
        <f>IF(MAX(AV21,BZ21,DD21)&gt;0,MAX(AV21,BZ21,DD21),0)</f>
        <v>64.760000000000005</v>
      </c>
      <c r="L21" s="14" t="str">
        <f>IF(K21=0,"",IF(K21=DD21,$CD$1,IF(K21=BZ21,$AZ$1,IF(K21=AV21,$V$1,""))))</f>
        <v>2021 Elite Canada</v>
      </c>
      <c r="M21" s="14">
        <f>IF($K21=$AV21,MAX(BU21,CY21),IF($K21=$BZ21,MAX(AQ21,CY21),IF($K21=$DD21,MAX(AQ21,BU21),MAX(AQ21,BU21,CY21))))</f>
        <v>39.230000000000004</v>
      </c>
      <c r="N21" s="14" t="str">
        <f>IF(M21=0,"",IF(AND(M21=CY21,$L21&lt;&gt;$CD$1),$CD$1,IF(AND(M21=BU21,$L21&lt;&gt;$AZ$1),$AZ$1,IF(AND(M21=AQ21,$L21&lt;&gt;$V$1),$V$1,""))))</f>
        <v>2021 Canadian Championships</v>
      </c>
      <c r="O21" s="14">
        <f>MAX(AS21,AU21,AX21,BW21,BY21,CB21,DA21,DC21,DF21)</f>
        <v>46.995000000000005</v>
      </c>
      <c r="P21" s="14" t="str">
        <f>IF(O21=0,"",IF(OR(O21=DC21,O21=DA21,O21=DF21),$CD$1,IF(OR(O21=BY21,O21=BW21,O21=CB21),$AZ$1,IF(OR(O21=AU21,O21=AS21,O21=AX21),$V$1,""))))</f>
        <v>2021 Elite Canada</v>
      </c>
      <c r="Q21" s="14">
        <f>IF(COUNT(AS21,AU21,AX21,BW21,BY21,CB21,DA21,DC21,DF21)&gt;1,LARGE((AS21,AU21,AX21,BW21,BY21,CB21,DA21,DC21,DF21),2),0)</f>
        <v>28.794999999999998</v>
      </c>
      <c r="R21" s="14" t="str">
        <f>IF(Q21=0,"",IF(OR(Q21=DC21,Q21=DA21,Q21=DF21),$CD$1,IF(OR(Q21=BY21,Q21=BW21,Q21=CB21),$AZ$1,IF(OR(Q21=AU21,Q21=AS21,Q21=AX21),$V$1,""))))</f>
        <v>2021 Elite Canada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>IF(SUM(V21:Y21)-Z21&gt;0,SUM(V21:Y21)-Z21,"")</f>
        <v/>
      </c>
      <c r="AR21" s="11" t="str">
        <f>IF(AC21&gt;0,AC21,"")</f>
        <v/>
      </c>
      <c r="AS21" s="11" t="str">
        <f>IF(SUM(AA21:AD21)-AE21&gt;0,SUM(AA21:AD21)-AE21,"")</f>
        <v/>
      </c>
      <c r="AT21" s="11" t="str">
        <f>IF(AH21&gt;0,AH21,"")</f>
        <v/>
      </c>
      <c r="AU21" s="11" t="str">
        <f>IF(SUM(AF21:AI21)-AJ21&gt;0,SUM(AF21:AI21)-AJ21,"")</f>
        <v/>
      </c>
      <c r="AV21" s="11" t="str">
        <f>IF(AQ21="",IF(MAX(AS21,AU21)&gt;0,MAX(AS21,AU21),""),MAX(AS21,AU21)+AQ21)</f>
        <v/>
      </c>
      <c r="AW21" s="11" t="str">
        <f>IF(AM21&gt;0,AM21,"")</f>
        <v/>
      </c>
      <c r="AX21" s="11" t="str">
        <f>IF(SUM(AK21:AN21)-AO21&gt;0,SUM(AK21:AN21)-AO21,"")</f>
        <v/>
      </c>
      <c r="AY21" s="11" t="str">
        <f>IF(SUM(AV21,AX21)&gt;0,SUM(AV21,AX21),"")</f>
        <v/>
      </c>
      <c r="AZ21" s="67">
        <v>12.9</v>
      </c>
      <c r="BA21" s="67">
        <v>8.4</v>
      </c>
      <c r="BB21" s="67">
        <v>1.3</v>
      </c>
      <c r="BC21" s="67">
        <v>13.365</v>
      </c>
      <c r="BD21" s="67">
        <v>0</v>
      </c>
      <c r="BE21" s="67">
        <v>8</v>
      </c>
      <c r="BF21" s="67">
        <v>5.4</v>
      </c>
      <c r="BG21" s="67">
        <v>6.5</v>
      </c>
      <c r="BH21" s="67">
        <v>8.8949999999999996</v>
      </c>
      <c r="BI21" s="67">
        <v>0</v>
      </c>
      <c r="BJ21" s="67"/>
      <c r="BK21" s="67"/>
      <c r="BL21" s="67"/>
      <c r="BM21" s="67"/>
      <c r="BN21" s="67"/>
      <c r="BO21" s="67">
        <v>13</v>
      </c>
      <c r="BP21" s="67">
        <v>9.1</v>
      </c>
      <c r="BQ21" s="67">
        <v>9.8000000000000007</v>
      </c>
      <c r="BR21" s="67">
        <v>15.095000000000001</v>
      </c>
      <c r="BS21" s="67">
        <v>0</v>
      </c>
      <c r="BT21" s="73"/>
      <c r="BU21" s="14">
        <f>IF(SUM(AZ21:BC21)-BD21&gt;0,SUM(AZ21:BC21)-BD21,"")</f>
        <v>35.965000000000003</v>
      </c>
      <c r="BV21" s="14">
        <f>IF(BG21&gt;0,BG21,"")</f>
        <v>6.5</v>
      </c>
      <c r="BW21" s="14">
        <f>IF(SUM(BE21:BH21)-BI21&gt;0,SUM(BE21:BH21)-BI21,"")</f>
        <v>28.794999999999998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64.760000000000005</v>
      </c>
      <c r="CA21" s="14">
        <f>IF(BQ21&gt;0,BQ21,"")</f>
        <v>9.8000000000000007</v>
      </c>
      <c r="CB21" s="14">
        <f>IF(SUM(BO21:BR21)-BS21&gt;0,SUM(BO21:BR21)-BS21,"")</f>
        <v>46.995000000000005</v>
      </c>
      <c r="CC21" s="14">
        <f>IF(SUM(BZ21,CB21)&gt;0,SUM(BZ21,CB21),"")</f>
        <v>111.75500000000001</v>
      </c>
      <c r="CD21" s="61">
        <v>12.9</v>
      </c>
      <c r="CE21" s="61">
        <v>8.8000000000000007</v>
      </c>
      <c r="CF21" s="61">
        <v>2.2999999999999998</v>
      </c>
      <c r="CG21" s="61">
        <v>15.23</v>
      </c>
      <c r="CH21" s="61">
        <v>0</v>
      </c>
      <c r="CI21" s="61">
        <v>1.3</v>
      </c>
      <c r="CJ21" s="61">
        <v>1</v>
      </c>
      <c r="CK21" s="61">
        <v>1.3</v>
      </c>
      <c r="CL21" s="61">
        <v>1.63</v>
      </c>
      <c r="CM21" s="61">
        <v>0</v>
      </c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>
        <f>IF(SUM(CD21:CG21)-CH21&gt;0,SUM(CD21:CG21)-CH21,"")</f>
        <v>39.230000000000004</v>
      </c>
      <c r="CZ21" s="11">
        <f>IF(CK21&gt;0,CK21,"")</f>
        <v>1.3</v>
      </c>
      <c r="DA21" s="11">
        <f>IF(SUM(CI21:CL21)-CM21&gt;0,SUM(CI21:CL21)-CM21,"")</f>
        <v>5.2299999999999995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44.46</v>
      </c>
      <c r="DE21" s="11" t="str">
        <f>IF(CU21&gt;0,CU21,"")</f>
        <v/>
      </c>
      <c r="DF21" s="11" t="str">
        <f>IF(SUM(CS21:CV21)-CW21&gt;0,SUM(CS21:CV21)-CW21,"")</f>
        <v/>
      </c>
      <c r="DG21" s="11">
        <f>IF(SUM(DD21,DF21)&gt;0,SUM(DD21,DF21),"")</f>
        <v>44.46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12.9</v>
      </c>
      <c r="NQ21" s="61">
        <f>IF($CX21="P",CE21,(CE21+BA21)/2)</f>
        <v>8.6000000000000014</v>
      </c>
      <c r="NR21" s="61">
        <f>IF($CX21="P",CF21,(CF21+BB21)/2)</f>
        <v>1.7999999999999998</v>
      </c>
      <c r="NS21" s="61">
        <f>IF($CX21="P",CG21,(CG21+BC21)/2)</f>
        <v>14.297499999999999</v>
      </c>
      <c r="NT21" s="61">
        <f>IF($CX21="P",CH21,(CH21+BD21)/2)</f>
        <v>0</v>
      </c>
      <c r="NU21" s="61">
        <f>IF($CX21="P",CI21,(CI21+BE21)/2)</f>
        <v>4.6500000000000004</v>
      </c>
      <c r="NV21" s="61">
        <f>IF($CX21="P",CJ21,(CJ21+BF21)/2)</f>
        <v>3.2</v>
      </c>
      <c r="NW21" s="61">
        <f>IF($CX21="P",CK21,(CK21+BG21)/2)</f>
        <v>3.9</v>
      </c>
      <c r="NX21" s="61">
        <f>IF($CX21="P",CL21,(CL21+BH21)/2)</f>
        <v>5.2624999999999993</v>
      </c>
      <c r="NY21" s="61">
        <f>IF($CX21="P",CM21,(CM21+BI21)/2)</f>
        <v>0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6.5</v>
      </c>
      <c r="OF21" s="61">
        <f>IF($CX21="P",CT21,(CT21+BP21)/2)</f>
        <v>4.55</v>
      </c>
      <c r="OG21" s="61">
        <f>IF($CX21="P",CU21,(CU21+BQ21)/2)</f>
        <v>4.9000000000000004</v>
      </c>
      <c r="OH21" s="61">
        <f>IF($CX21="P",CV21,(CV21+BR21)/2)</f>
        <v>7.5475000000000003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37.597499999999997</v>
      </c>
      <c r="OL21" s="11">
        <f>IF(NW21&gt;0,NW21,"")</f>
        <v>3.9</v>
      </c>
      <c r="OM21" s="11">
        <f>IF(SUM(NU21:NX21)-NY21&gt;0,SUM(NU21:NX21)-NY21,"")</f>
        <v>17.012499999999999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54.61</v>
      </c>
      <c r="OQ21" s="11">
        <f>IF(OG21&gt;0,OG21,"")</f>
        <v>4.9000000000000004</v>
      </c>
      <c r="OR21" s="11">
        <f t="shared" ref="OR21" si="22">IF(SUM(OE21:OH21)-OI21&gt;0,SUM(OE21:OH21)-OI21,"")</f>
        <v>23.497500000000002</v>
      </c>
      <c r="OS21" s="11">
        <f t="shared" ref="OS21" si="23">IF(SUM(OP21,OR21)&gt;0,SUM(OP21,OR21),"")</f>
        <v>78.107500000000002</v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62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69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0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7288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7333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7378" operator="between">
      <formula>EG$27</formula>
      <formula>1000</formula>
    </cfRule>
    <cfRule type="cellIs" dxfId="126" priority="47379" operator="between">
      <formula>EG$26</formula>
      <formula>EG$27</formula>
    </cfRule>
    <cfRule type="cellIs" dxfId="125" priority="47380" operator="between">
      <formula>EG$25</formula>
      <formula>EG$26</formula>
    </cfRule>
    <cfRule type="cellIs" dxfId="124" priority="47381" operator="between">
      <formula>EG$24</formula>
      <formula>EG$25</formula>
    </cfRule>
  </conditionalFormatting>
  <conditionalFormatting sqref="AR1:AR1048576 BV1:BV1048576 CZ1:CZ1048576">
    <cfRule type="cellIs" dxfId="123" priority="47522" operator="between">
      <formula>AY$27</formula>
      <formula>1000</formula>
    </cfRule>
    <cfRule type="cellIs" dxfId="122" priority="47523" operator="between">
      <formula>AY$26</formula>
      <formula>AY$27</formula>
    </cfRule>
    <cfRule type="cellIs" dxfId="121" priority="47524" operator="between">
      <formula>AY$25</formula>
      <formula>AY$26</formula>
    </cfRule>
    <cfRule type="cellIs" dxfId="120" priority="47525" operator="between">
      <formula>AY$24</formula>
      <formula>AY$25</formula>
    </cfRule>
  </conditionalFormatting>
  <conditionalFormatting sqref="AS1:AS1048576 BW1:BW1048576 DA1:DA1048576">
    <cfRule type="cellIs" dxfId="119" priority="47558" operator="between">
      <formula>AY$28</formula>
      <formula>1000</formula>
    </cfRule>
  </conditionalFormatting>
  <conditionalFormatting sqref="AT1:AT1048576 BX1:BX1048576 DB1:DB1048576">
    <cfRule type="cellIs" dxfId="118" priority="47567" operator="between">
      <formula>AY$27</formula>
      <formula>1000</formula>
    </cfRule>
    <cfRule type="cellIs" dxfId="117" priority="47568" operator="between">
      <formula>AY$26</formula>
      <formula>AY$27</formula>
    </cfRule>
    <cfRule type="cellIs" dxfId="116" priority="47569" operator="between">
      <formula>AY$25</formula>
      <formula>AY$26</formula>
    </cfRule>
    <cfRule type="cellIs" dxfId="115" priority="47570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7603" operator="between">
      <formula>AY$27</formula>
      <formula>1000</formula>
    </cfRule>
    <cfRule type="cellIs" dxfId="113" priority="47604" operator="between">
      <formula>AY$26</formula>
      <formula>AY$27</formula>
    </cfRule>
    <cfRule type="cellIs" dxfId="112" priority="47605" operator="between">
      <formula>AY$25</formula>
      <formula>AY$26</formula>
    </cfRule>
    <cfRule type="cellIs" dxfId="111" priority="47606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76</v>
      </c>
      <c r="G1" s="123" t="s">
        <v>74</v>
      </c>
      <c r="H1" s="123" t="s">
        <v>75</v>
      </c>
      <c r="I1" s="123" t="s">
        <v>9</v>
      </c>
      <c r="J1" s="123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133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/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/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70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120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70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119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70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20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70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120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IF(AND(G4&lt;&gt;"",H4&lt;&gt;""),SUMPRODUCT((G$4:G$28&lt;&gt;"")*(H$4:H$28&lt;&gt;"")*(E$4:E$28&gt;E4))+1,IF(H4&lt;&gt;"",SUMPRODUCT((I$4:I$28="No DD")*(E$4:E$28&gt;E4))+1+SUMPRODUCT((G$4:G$28&lt;&gt;"")*(H$4:H$28&lt;&gt;"")),""))</f>
        <v>1</v>
      </c>
      <c r="B4" s="8" t="s">
        <v>94</v>
      </c>
      <c r="C4" s="4" t="s">
        <v>6</v>
      </c>
      <c r="D4" s="26">
        <v>2000</v>
      </c>
      <c r="E4" s="15">
        <f>SUM(O4:S4)</f>
        <v>105.285</v>
      </c>
      <c r="F4" s="3" t="str">
        <f>IF(G4&lt;&gt;"","P","")</f>
        <v>P</v>
      </c>
      <c r="G4" s="115" t="str">
        <f>IF(OR(AND(AR4&gt;=AY$33,AR4&lt;&gt;"",AP4=""),AND(AT4&gt;=AY$33,AT4&lt;&gt;"",AP4=""),AND(AW4&gt;=AY$33,AW4&lt;&gt;"",AP4=""),AND(BV4&gt;=CC$33,BV4&lt;&gt;"",BT4=""),AND(BX4&gt;=CC$33,BX4&lt;&gt;"",BT4=""),AND(CA4&gt;=CC$33,CA4&lt;&gt;"",BT4=""),AND(CZ4&gt;=DG$33,CZ4&lt;&gt;"",CX4=""),AND(DB4&gt;=DG$33,DB4&lt;&gt;"",CX4=""),AND(DE4&gt;=DG$33,DE4&lt;&gt;"",CX4=""),AND(EA4&gt;=EG$33,EA4&lt;&gt;""),AND(EE4&gt;=EG$33,EE4&lt;&gt;""),AND(EW4&gt;=FC$33,EW4&lt;&gt;""),AND(FA4&gt;=FC$33,FA4&lt;&gt;""),AND(FS4&gt;=FY$33,FS4&lt;&gt;""),AND(FW4&gt;=FY$33,FW4&lt;&gt;""),AND(GO4&gt;=GU$33,GO4&lt;&gt;""),AND(GS4&gt;=GU$33,GS4&lt;&gt;""),AND(HK4&gt;=HQ$33,HK4&lt;&gt;""),AND(HO4&gt;=HQ$33,HO4&lt;&gt;""),AND(IG4&gt;=IM$33,IG4&lt;&gt;""),AND(IK4&gt;=IM$33,IK4&lt;&gt;""),AND(JC4&gt;=JI$33,JC4&lt;&gt;""),AND(JG4&gt;=JI$33,JG4&lt;&gt;""),AND(JY4&gt;=KE$33,JY4&lt;&gt;""),AND(KC4&gt;=KE$33,KC4&lt;&gt;""),AND(KU4&gt;=LA$33,KU4&lt;&gt;""),AND(KY4&gt;=LA$33,KY4&lt;&gt;""),AND(LQ4&gt;=LW$33,LQ4&lt;&gt;""),AND(LU4&gt;=LW$33,LU4&lt;&gt;""),AND(MM4&gt;=MS$33,MM4&lt;&gt;""),AND(MQ4&gt;=MS$33,MQ4&lt;&gt;""),AND(NI4&gt;=NO$33,NI4&lt;&gt;""),AND(NM4&gt;=NO$33,NM4&lt;&gt;"")),"Merit",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Excellence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Worlds Team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National Team",""))))</f>
        <v>National Team</v>
      </c>
      <c r="H4" s="115" t="str">
        <f>IF(OR(AND(AS4&gt;=AY$34,AS4&lt;&gt;"",AP4=""),AND(AU4&gt;=AY$34,AU4&lt;&gt;"",AP4=""),AND(AX4&gt;=AY$34,AX4&lt;&gt;"",AP4=""),AND(BW4&gt;=CC$34,BW4&lt;&gt;"",BT4=""),AND(BY4&gt;=CC$34,BY4&lt;&gt;"",BT4=""),AND(CB4&gt;=CC$34,CB4&lt;&gt;"",BT4=""),AND(DA4&gt;=DG$34,DA4&lt;&gt;"",CX4=""),AND(DC4&gt;=DG$34,DC4&lt;&gt;"",CX4=""),AND(DF4&gt;=DG$34,DF4&lt;&gt;"",CX4=""),AND(EC4&gt;=EG$34,EC4&lt;&gt;""),AND(EF4&gt;=EG$34,EF4&lt;&gt;""),AND(EY4&gt;=FC$34,EY4&lt;&gt;""),AND(FB4&gt;=FC$34,FB4&lt;&gt;""),AND(FU4&gt;=FY$34,FU4&lt;&gt;""),AND(FX4&gt;=FY$34,FX4&lt;&gt;""),AND(GQ4&gt;=GU$34,GQ4&lt;&gt;""),AND(GT4&gt;=GU$34,GT4&lt;&gt;""),AND(HM4&gt;=HQ$34,HM4&lt;&gt;""),AND(HP4&gt;=HQ$34,HP4&lt;&gt;""),AND(II4&gt;=IM$34,II4&lt;&gt;""),AND(IL4&gt;=IM$34,IL4&lt;&gt;""),AND(JE4&gt;=JI$34,JE4&lt;&gt;""),AND(JH4&gt;=JI$34,JH4&lt;&gt;""),AND(KA4&gt;=KE$34,KA4&lt;&gt;""),AND(KD4&gt;=KE$34,KD4&lt;&gt;""),AND(KW4&gt;=LA$34,KW4&lt;&gt;""),AND(KZ4&gt;=LA$34,KZ4&lt;&gt;""),AND(LS4&gt;=LW$34,LS4&lt;&gt;""),AND(LV4&gt;=LW$34,LV4&lt;&gt;""),AND(MO4&gt;=MS$34,MO4&lt;&gt;""),AND(MR4&gt;=MS$34,MR4&lt;&gt;""),AND(NK4&gt;=NO$34,NK4&lt;&gt;""),AND(NN4&gt;=NO$34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$35,AV4&lt;&gt;"",AP4=""),AND(BZ4&gt;=CC$35,BZ4&lt;&gt;"",BT4=""),AND(DD4&gt;=DG$35,DD4&lt;&gt;"",CX4=""),AND(ED4&gt;=EG$35,ED4&lt;&gt;""),AND(EZ4&gt;=FC$35,EZ4&lt;&gt;""),AND(FV4&gt;=FY$35,FV4&lt;&gt;""),AND(GR4&gt;=GU$35,GR4&lt;&gt;""),AND(HN4&gt;=HQ$35,HN4&lt;&gt;""),AND(IJ4&gt;=IM$35,IJ4&lt;&gt;""),AND(JF4&gt;=JI$35,JF4&lt;&gt;""),AND(KB4&gt;=KE$35,KB4&lt;&gt;""),AND(KX4&gt;=LA$35,KX4&lt;&gt;""),AND(LT4&gt;=LW$35,LT4&lt;&gt;""),AND(MP4&gt;=MS$35,MP4&lt;&gt;""),AND(NL4&gt;=NO$35,NL4&lt;&gt;"")),OR(G4="Worlds Team",G4="Excellence",G4="Merit")),"P","")</f>
        <v/>
      </c>
      <c r="K4" s="14">
        <f>IF(MAX(AV4,BZ4,DD4)&gt;0,MAX(AV4,BZ4,DD4),0)</f>
        <v>100.02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46.37</v>
      </c>
      <c r="N4" s="14" t="str">
        <f>IF(M4=0,"",IF(AND(M4=CY4,$L4&lt;&gt;$CD$1),$CD$1,IF(AND(M4=BU4,$L4&lt;&gt;$AZ$1),$AZ$1,IF(AND(M4=AQ4,$L4&lt;&gt;$V$1),$V$1,""))))</f>
        <v>2021 Elite Canada</v>
      </c>
      <c r="O4" s="14">
        <f>MAX(AS4,AU4,AX4,BW4,BY4,CB4,DA4,DC4,DF4)</f>
        <v>52.75</v>
      </c>
      <c r="P4" s="14" t="str">
        <f>IF(O4=0,"",IF(OR(O4=DC4,O4=DA4,O4=DF4),$CD$1,IF(OR(O4=BY4,O4=BW4,O4=CB4),$AZ$1,IF(OR(O4=AU4,O4=AS4,O4=AX4),$V$1,""))))</f>
        <v>2021 Elite Canada</v>
      </c>
      <c r="Q4" s="14">
        <f>IF(COUNT(AS4,AU4,AX4,BW4,BY4,CB4,DA4,DC4,DF4)&gt;1,LARGE((AS4,AU4,AX4,BW4,BY4,CB4,DA4,DC4,DF4),2),0)</f>
        <v>52.534999999999997</v>
      </c>
      <c r="R4" s="14" t="str">
        <f>IF(Q4=0,"",IF(OR(Q4=DC4,Q4=DA4,Q4=DF4),$CD$1,IF(OR(Q4=BY4,Q4=BW4,Q4=CB4),$AZ$1,IF(OR(Q4=AU4,Q4=AS4,Q4=AX4),$V$1,""))))</f>
        <v>2021 Canadian Championships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17.3</v>
      </c>
      <c r="W4" s="61">
        <v>9.1999999999999993</v>
      </c>
      <c r="X4" s="61">
        <v>3.2</v>
      </c>
      <c r="Y4" s="61">
        <v>15.725</v>
      </c>
      <c r="Z4" s="61">
        <v>0</v>
      </c>
      <c r="AA4" s="61">
        <v>15.2</v>
      </c>
      <c r="AB4" s="61">
        <v>9.1</v>
      </c>
      <c r="AC4" s="61">
        <v>11.5</v>
      </c>
      <c r="AD4" s="61">
        <v>14.595000000000001</v>
      </c>
      <c r="AE4" s="61">
        <v>0</v>
      </c>
      <c r="AF4" s="61">
        <v>14.9</v>
      </c>
      <c r="AG4" s="61">
        <v>9</v>
      </c>
      <c r="AH4" s="61">
        <v>11.3</v>
      </c>
      <c r="AI4" s="61">
        <v>14.61</v>
      </c>
      <c r="AJ4" s="61">
        <v>0.6</v>
      </c>
      <c r="AK4" s="61">
        <v>9.4</v>
      </c>
      <c r="AL4" s="61">
        <v>4.8</v>
      </c>
      <c r="AM4" s="61">
        <v>7.9</v>
      </c>
      <c r="AN4" s="61">
        <v>9.0150000000000006</v>
      </c>
      <c r="AO4" s="61">
        <v>0</v>
      </c>
      <c r="AP4" s="72"/>
      <c r="AQ4" s="11">
        <f>IF(SUM(V4:Y4)-Z4&gt;0,SUM(V4:Y4)-Z4,"")</f>
        <v>45.424999999999997</v>
      </c>
      <c r="AR4" s="11">
        <f>IF(AC4&gt;0,AC4,"")</f>
        <v>11.5</v>
      </c>
      <c r="AS4" s="11">
        <f>IF(SUM(AA4:AD4)-AE4&gt;0,SUM(AA4:AD4)-AE4,"")</f>
        <v>50.394999999999996</v>
      </c>
      <c r="AT4" s="11">
        <f>IF(AH4&gt;0,AH4,"")</f>
        <v>11.3</v>
      </c>
      <c r="AU4" s="11">
        <f>IF(SUM(AF4:AI4)-AJ4&gt;0,SUM(AF4:AI4)-AJ4,"")</f>
        <v>49.21</v>
      </c>
      <c r="AV4" s="11">
        <f>IF(AQ4="",IF(MAX(AS4,AU4)&gt;0,MAX(AS4,AU4),""),MAX(AS4,AU4)+AQ4)</f>
        <v>95.82</v>
      </c>
      <c r="AW4" s="11">
        <f>IF(AM4&gt;0,AM4,"")</f>
        <v>7.9</v>
      </c>
      <c r="AX4" s="11">
        <f>IF(SUM(AK4:AN4)-AO4&gt;0,SUM(AK4:AN4)-AO4,"")</f>
        <v>31.115000000000002</v>
      </c>
      <c r="AY4" s="11">
        <f>IF(SUM(AV4,AX4)&gt;0,SUM(AV4,AX4),"")</f>
        <v>126.935</v>
      </c>
      <c r="AZ4" s="67">
        <v>18</v>
      </c>
      <c r="BA4" s="67">
        <v>9.3000000000000007</v>
      </c>
      <c r="BB4" s="67">
        <v>3.4</v>
      </c>
      <c r="BC4" s="67">
        <v>15.67</v>
      </c>
      <c r="BD4" s="67">
        <v>0</v>
      </c>
      <c r="BE4" s="67">
        <v>16.8</v>
      </c>
      <c r="BF4" s="67">
        <v>9.6</v>
      </c>
      <c r="BG4" s="67">
        <v>11.5</v>
      </c>
      <c r="BH4" s="67">
        <v>14.85</v>
      </c>
      <c r="BI4" s="67">
        <v>0</v>
      </c>
      <c r="BJ4" s="67">
        <v>15.1</v>
      </c>
      <c r="BK4" s="67">
        <v>8.8000000000000007</v>
      </c>
      <c r="BL4" s="67">
        <v>12.2</v>
      </c>
      <c r="BM4" s="67">
        <v>14.585000000000001</v>
      </c>
      <c r="BN4" s="67">
        <v>0</v>
      </c>
      <c r="BO4" s="67">
        <v>15.6</v>
      </c>
      <c r="BP4" s="67">
        <v>9.6</v>
      </c>
      <c r="BQ4" s="67">
        <v>12.2</v>
      </c>
      <c r="BR4" s="67">
        <v>14.585000000000001</v>
      </c>
      <c r="BS4" s="67">
        <v>0</v>
      </c>
      <c r="BT4" s="73"/>
      <c r="BU4" s="14">
        <f>IF(SUM(AZ4:BC4)-BD4&gt;0,SUM(AZ4:BC4)-BD4,"")</f>
        <v>46.37</v>
      </c>
      <c r="BV4" s="14">
        <f>IF(BG4&gt;0,BG4,"")</f>
        <v>11.5</v>
      </c>
      <c r="BW4" s="14">
        <f>IF(SUM(BE4:BH4)-BI4&gt;0,SUM(BE4:BH4)-BI4,"")</f>
        <v>52.75</v>
      </c>
      <c r="BX4" s="14">
        <f>IF(BL4&gt;0,BL4,"")</f>
        <v>12.2</v>
      </c>
      <c r="BY4" s="14">
        <f>IF(SUM(BJ4:BM4)-BN4&gt;0,SUM(BJ4:BM4)-BN4,"")</f>
        <v>50.684999999999995</v>
      </c>
      <c r="BZ4" s="14">
        <f>IF(BU4="",IF(MAX(BW4,BY4)&gt;0,MAX(BW4,BY4),""),MAX(BW4,BY4)+BU4)</f>
        <v>99.12</v>
      </c>
      <c r="CA4" s="14">
        <f>IF(BQ4&gt;0,BQ4,"")</f>
        <v>12.2</v>
      </c>
      <c r="CB4" s="14">
        <f>IF(SUM(BO4:BR4)-BS4&gt;0,SUM(BO4:BR4)-BS4,"")</f>
        <v>51.984999999999999</v>
      </c>
      <c r="CC4" s="14">
        <f>IF(SUM(BZ4,CB4)&gt;0,SUM(BZ4,CB4),"")</f>
        <v>151.10500000000002</v>
      </c>
      <c r="CD4" s="61">
        <v>18.399999999999999</v>
      </c>
      <c r="CE4" s="61">
        <v>9.6999999999999993</v>
      </c>
      <c r="CF4" s="61">
        <v>3.4</v>
      </c>
      <c r="CG4" s="61">
        <v>15.984999999999999</v>
      </c>
      <c r="CH4" s="61">
        <v>0</v>
      </c>
      <c r="CI4" s="61">
        <v>15.7</v>
      </c>
      <c r="CJ4" s="61">
        <v>8.8000000000000007</v>
      </c>
      <c r="CK4" s="61">
        <v>10.6</v>
      </c>
      <c r="CL4" s="61">
        <v>14.8</v>
      </c>
      <c r="CM4" s="61">
        <v>0</v>
      </c>
      <c r="CN4" s="61">
        <v>16.399999999999999</v>
      </c>
      <c r="CO4" s="61">
        <v>9</v>
      </c>
      <c r="CP4" s="61">
        <v>12.2</v>
      </c>
      <c r="CQ4" s="61">
        <v>14.935</v>
      </c>
      <c r="CR4" s="61">
        <v>0</v>
      </c>
      <c r="CS4" s="61">
        <v>13.6</v>
      </c>
      <c r="CT4" s="61">
        <v>8.1999999999999993</v>
      </c>
      <c r="CU4" s="61">
        <v>11</v>
      </c>
      <c r="CV4" s="61">
        <v>12.05</v>
      </c>
      <c r="CW4" s="61">
        <v>0</v>
      </c>
      <c r="CX4" s="72"/>
      <c r="CY4" s="11">
        <f>IF(SUM(CD4:CG4)-CH4&gt;0,SUM(CD4:CG4)-CH4,"")</f>
        <v>47.484999999999999</v>
      </c>
      <c r="CZ4" s="11">
        <f>IF(CK4&gt;0,CK4,"")</f>
        <v>10.6</v>
      </c>
      <c r="DA4" s="11">
        <f>IF(SUM(CI4:CL4)-CM4&gt;0,SUM(CI4:CL4)-CM4,"")</f>
        <v>49.900000000000006</v>
      </c>
      <c r="DB4" s="11">
        <f>IF(CP4&gt;0,CP4,"")</f>
        <v>12.2</v>
      </c>
      <c r="DC4" s="11">
        <f>IF(SUM(CN4:CQ4)-CR4&gt;0,SUM(CN4:CQ4)-CR4,"")</f>
        <v>52.534999999999997</v>
      </c>
      <c r="DD4" s="11">
        <f>IF(CY4="",IF(MAX(DA4,DC4)&gt;0,MAX(DA4,DC4),""),MAX(DA4,DC4)+CY4)</f>
        <v>100.02</v>
      </c>
      <c r="DE4" s="11">
        <f>IF(CU4&gt;0,CU4,"")</f>
        <v>11</v>
      </c>
      <c r="DF4" s="11">
        <f>IF(SUM(CS4:CV4)-CW4&gt;0,SUM(CS4:CV4)-CW4,"")</f>
        <v>44.849999999999994</v>
      </c>
      <c r="DG4" s="11">
        <f>IF(SUM(DD4,DF4)&gt;0,SUM(DD4,DF4),"")</f>
        <v>144.87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18.2</v>
      </c>
      <c r="NQ4" s="61">
        <f>IF($CX4="P",CE4,(CE4+BA4)/2)</f>
        <v>9.5</v>
      </c>
      <c r="NR4" s="61">
        <f>IF($CX4="P",CF4,(CF4+BB4)/2)</f>
        <v>3.4</v>
      </c>
      <c r="NS4" s="61">
        <f>IF($CX4="P",CG4,(CG4+BC4)/2)</f>
        <v>15.827500000000001</v>
      </c>
      <c r="NT4" s="61">
        <f>IF($CX4="P",CH4,(CH4+BD4)/2)</f>
        <v>0</v>
      </c>
      <c r="NU4" s="61">
        <f>IF($CX4="P",CI4,(CI4+BE4)/2)</f>
        <v>16.25</v>
      </c>
      <c r="NV4" s="61">
        <f>IF($CX4="P",CJ4,(CJ4+BF4)/2)</f>
        <v>9.1999999999999993</v>
      </c>
      <c r="NW4" s="61">
        <f>IF($CX4="P",CK4,(CK4+BG4)/2)</f>
        <v>11.05</v>
      </c>
      <c r="NX4" s="61">
        <f>IF($CX4="P",CL4,(CL4+BH4)/2)</f>
        <v>14.824999999999999</v>
      </c>
      <c r="NY4" s="61">
        <f>IF($CX4="P",CM4,(CM4+BI4)/2)</f>
        <v>0</v>
      </c>
      <c r="NZ4" s="61">
        <f>IF($CX4="P",CN4,(CN4+BJ4)/2)</f>
        <v>15.75</v>
      </c>
      <c r="OA4" s="61">
        <f>IF($CX4="P",CO4,(CO4+BK4)/2)</f>
        <v>8.9</v>
      </c>
      <c r="OB4" s="61">
        <f>IF($CX4="P",CP4,(CP4+BL4)/2)</f>
        <v>12.2</v>
      </c>
      <c r="OC4" s="61">
        <f>IF($CX4="P",CQ4,(CQ4+BM4)/2)</f>
        <v>14.760000000000002</v>
      </c>
      <c r="OD4" s="61">
        <f>IF($CX4="P",CR4,(CR4+BN4)/2)</f>
        <v>0</v>
      </c>
      <c r="OE4" s="61">
        <f>IF($CX4="P",CS4,(CS4+BO4)/2)</f>
        <v>14.6</v>
      </c>
      <c r="OF4" s="61">
        <f>IF($CX4="P",CT4,(CT4+BP4)/2)</f>
        <v>8.8999999999999986</v>
      </c>
      <c r="OG4" s="61">
        <f>IF($CX4="P",CU4,(CU4+BQ4)/2)</f>
        <v>11.6</v>
      </c>
      <c r="OH4" s="61">
        <f>IF($CX4="P",CV4,(CV4+BR4)/2)</f>
        <v>13.317500000000001</v>
      </c>
      <c r="OI4" s="61">
        <f>IF($CX4="P",CW4,(CW4+BS4)/2)</f>
        <v>0</v>
      </c>
      <c r="OJ4" s="72" t="s">
        <v>52</v>
      </c>
      <c r="OK4" s="11">
        <f>IF(SUM(NP4:NS4)-NT4&gt;0,SUM(NP4:NS4)-NT4,"")</f>
        <v>46.927499999999995</v>
      </c>
      <c r="OL4" s="11">
        <f>IF(NW4&gt;0,NW4,"")</f>
        <v>11.05</v>
      </c>
      <c r="OM4" s="11">
        <f>IF(SUM(NU4:NX4)-NY4&gt;0,SUM(NU4:NX4)-NY4,"")</f>
        <v>51.325000000000003</v>
      </c>
      <c r="ON4" s="11">
        <f>IF(OB4&gt;0,OB4,"")</f>
        <v>12.2</v>
      </c>
      <c r="OO4" s="11">
        <f>IF(SUM(NZ4:OC4)-OD4&gt;0,SUM(NZ4:OC4)-OD4,"")</f>
        <v>51.61</v>
      </c>
      <c r="OP4" s="11">
        <f>IF(OR(OK4&lt;&gt;"",OM4&lt;&gt;"",OO4&lt;&gt;""),OK4+MAX(OM4,OO4),"")</f>
        <v>98.537499999999994</v>
      </c>
      <c r="OQ4" s="11">
        <f>IF(OG4&gt;0,OG4,"")</f>
        <v>11.6</v>
      </c>
      <c r="OR4" s="11">
        <f t="shared" ref="OR4:OR9" si="0">IF(SUM(OE4:OH4)-OI4&gt;0,SUM(OE4:OH4)-OI4,"")</f>
        <v>48.417500000000004</v>
      </c>
      <c r="OS4" s="11">
        <f>IF(SUM(OP4,OR4)&gt;0,SUM(OP4,OR4),"")</f>
        <v>146.95499999999998</v>
      </c>
    </row>
    <row r="5" spans="1:409" x14ac:dyDescent="0.2">
      <c r="A5" s="5" cm="1">
        <f t="array" ref="A5">IF(AND(G5&lt;&gt;"",H5&lt;&gt;""),SUMPRODUCT((G$4:G$28&lt;&gt;"")*(H$4:H$28&lt;&gt;"")*(E$4:E$28&gt;E5))+1,IF(H5&lt;&gt;"",SUMPRODUCT((I$4:I$28="No DD")*(E$4:E$28&gt;E5))+1+SUMPRODUCT((G$4:G$28&lt;&gt;"")*(H$4:H$28&lt;&gt;"")),""))</f>
        <v>2</v>
      </c>
      <c r="B5" s="8" t="s">
        <v>110</v>
      </c>
      <c r="C5" s="4" t="s">
        <v>5</v>
      </c>
      <c r="D5" s="26">
        <v>2001</v>
      </c>
      <c r="E5" s="15">
        <f>SUM(O5:S5)</f>
        <v>102.29</v>
      </c>
      <c r="F5" s="3" t="str">
        <f>IF(G5&lt;&gt;"","P","")</f>
        <v>P</v>
      </c>
      <c r="G5" s="115" t="str">
        <f>IF(OR(AND(AR5&gt;=AY$33,AR5&lt;&gt;"",AP5=""),AND(AT5&gt;=AY$33,AT5&lt;&gt;"",AP5=""),AND(AW5&gt;=AY$33,AW5&lt;&gt;"",AP5=""),AND(BV5&gt;=CC$33,BV5&lt;&gt;"",BT5=""),AND(BX5&gt;=CC$33,BX5&lt;&gt;"",BT5=""),AND(CA5&gt;=CC$33,CA5&lt;&gt;"",BT5=""),AND(CZ5&gt;=DG$33,CZ5&lt;&gt;"",CX5=""),AND(DB5&gt;=DG$33,DB5&lt;&gt;"",CX5=""),AND(DE5&gt;=DG$33,DE5&lt;&gt;"",CX5=""),AND(EA5&gt;=EG$33,EA5&lt;&gt;""),AND(EE5&gt;=EG$33,EE5&lt;&gt;""),AND(EW5&gt;=FC$33,EW5&lt;&gt;""),AND(FA5&gt;=FC$33,FA5&lt;&gt;""),AND(FS5&gt;=FY$33,FS5&lt;&gt;""),AND(FW5&gt;=FY$33,FW5&lt;&gt;""),AND(GO5&gt;=GU$33,GO5&lt;&gt;""),AND(GS5&gt;=GU$33,GS5&lt;&gt;""),AND(HK5&gt;=HQ$33,HK5&lt;&gt;""),AND(HO5&gt;=HQ$33,HO5&lt;&gt;""),AND(IG5&gt;=IM$33,IG5&lt;&gt;""),AND(IK5&gt;=IM$33,IK5&lt;&gt;""),AND(JC5&gt;=JI$33,JC5&lt;&gt;""),AND(JG5&gt;=JI$33,JG5&lt;&gt;""),AND(JY5&gt;=KE$33,JY5&lt;&gt;""),AND(KC5&gt;=KE$33,KC5&lt;&gt;""),AND(KU5&gt;=LA$33,KU5&lt;&gt;""),AND(KY5&gt;=LA$33,KY5&lt;&gt;""),AND(LQ5&gt;=LW$33,LQ5&lt;&gt;""),AND(LU5&gt;=LW$33,LU5&lt;&gt;""),AND(MM5&gt;=MS$33,MM5&lt;&gt;""),AND(MQ5&gt;=MS$33,MQ5&lt;&gt;""),AND(NI5&gt;=NO$33,NI5&lt;&gt;""),AND(NM5&gt;=NO$33,NM5&lt;&gt;"")),"Merit",IF(OR(AND(AR5&gt;=AY$32,AR5&lt;&gt;"",AP5=""),AND(AT5&gt;=AY$32,AT5&lt;&gt;"",AP5=""),AND(AW5&gt;=AY$32,AW5&lt;&gt;"",AP5=""),AND(BV5&gt;=CC$32,BV5&lt;&gt;"",BT5=""),AND(BX5&gt;=CC$32,BX5&lt;&gt;"",BT5=""),AND(CA5&gt;=CC$32,CA5&lt;&gt;"",BT5=""),AND(CZ5&gt;=DG$32,CZ5&lt;&gt;"",CX5=""),AND(DB5&gt;=DG$32,DB5&lt;&gt;"",CX5=""),AND(DE5&gt;=DG$32,DE5&lt;&gt;"",CX5=""),AND(EA5&gt;=EG$32,EA5&lt;&gt;""),AND(EE5&gt;=EG$32,EE5&lt;&gt;""),AND(EW5&gt;=FC$32,EW5&lt;&gt;""),AND(FA5&gt;=FC$32,FA5&lt;&gt;""),AND(FS5&gt;=FY$32,FS5&lt;&gt;""),AND(FW5&gt;=FY$32,FW5&lt;&gt;""),AND(GO5&gt;=GU$32,GO5&lt;&gt;""),AND(GS5&gt;=GU$32,GS5&lt;&gt;""),AND(HK5&gt;=HQ$32,HK5&lt;&gt;""),AND(HO5&gt;=HQ$32,HO5&lt;&gt;""),AND(IG5&gt;=IM$32,IG5&lt;&gt;""),AND(IK5&gt;=IM$32,IK5&lt;&gt;""),AND(JC5&gt;=JI$32,JC5&lt;&gt;""),AND(JG5&gt;=JI$32,JG5&lt;&gt;""),AND(JY5&gt;=KE$32,JY5&lt;&gt;""),AND(KC5&gt;=KE$32,KC5&lt;&gt;""),AND(KU5&gt;=LA$32,KU5&lt;&gt;""),AND(KY5&gt;=LA$32,KY5&lt;&gt;""),AND(LQ5&gt;=LW$32,LQ5&lt;&gt;""),AND(LU5&gt;=LW$32,LU5&lt;&gt;""),AND(MM5&gt;=MS$32,MM5&lt;&gt;""),AND(MQ5&gt;=MS$32,MQ5&lt;&gt;""),AND(NI5&gt;=NO$32,NI5&lt;&gt;""),AND(NM5&gt;=NO$32,NM5&lt;&gt;"")),"Excellence",IF(OR(AND(AR5&gt;=AY$31,AR5&lt;&gt;"",AP5=""),AND(AT5&gt;=AY$31,AT5&lt;&gt;"",AP5=""),AND(AW5&gt;=AY$31,AW5&lt;&gt;"",AP5=""),AND(BV5&gt;=CC$31,BV5&lt;&gt;"",BT5=""),AND(BX5&gt;=CC$31,BX5&lt;&gt;"",BT5=""),AND(CA5&gt;=CC$31,CA5&lt;&gt;"",BT5=""),AND(CZ5&gt;=DG$31,CZ5&lt;&gt;"",CX5=""),AND(DB5&gt;=DG$31,DB5&lt;&gt;"",CX5=""),AND(DE5&gt;=DG$31,DE5&lt;&gt;"",CX5=""),AND(EA5&gt;=EG$31,EA5&lt;&gt;""),AND(EE5&gt;=EG$31,EE5&lt;&gt;""),AND(EW5&gt;=FC$31,EW5&lt;&gt;""),AND(FA5&gt;=FC$31,FA5&lt;&gt;""),AND(FS5&gt;=FY$31,FS5&lt;&gt;""),AND(FW5&gt;=FY$31,FW5&lt;&gt;""),AND(GO5&gt;=GU$31,GO5&lt;&gt;""),AND(GS5&gt;=GU$31,GS5&lt;&gt;""),AND(HK5&gt;=HQ$31,HK5&lt;&gt;""),AND(HO5&gt;=HQ$31,HO5&lt;&gt;""),AND(IG5&gt;=IM$31,IG5&lt;&gt;""),AND(IK5&gt;=IM$31,IK5&lt;&gt;""),AND(JC5&gt;=JI$31,JC5&lt;&gt;""),AND(JG5&gt;=JI$31,JG5&lt;&gt;""),AND(JY5&gt;=KE$31,JY5&lt;&gt;""),AND(KC5&gt;=KE$31,KC5&lt;&gt;""),AND(KU5&gt;=LA$31,KU5&lt;&gt;""),AND(KY5&gt;=LA$31,KY5&lt;&gt;""),AND(LQ5&gt;=LW$31,LQ5&lt;&gt;""),AND(LU5&gt;=LW$31,LU5&lt;&gt;""),AND(MM5&gt;=MS$31,MM5&lt;&gt;""),AND(MQ5&gt;=MS$31,MQ5&lt;&gt;""),AND(NI5&gt;=NO$31,NI5&lt;&gt;""),AND(NM5&gt;=NO$31,NM5&lt;&gt;"")),"Worlds Team",IF(OR(AND(AR5&gt;=AY$30,AR5&lt;&gt;"",AP5=""),AND(AT5&gt;=AY$30,AT5&lt;&gt;"",AP5=""),AND(AW5&gt;=AY$30,AW5&lt;&gt;"",AP5=""),AND(BV5&gt;=CC$30,BV5&lt;&gt;"",BT5=""),AND(BX5&gt;=CC$30,BX5&lt;&gt;"",BT5=""),AND(CA5&gt;=CC$30,CA5&lt;&gt;"",BT5=""),AND(CZ5&gt;=DG$30,CZ5&lt;&gt;"",CX5=""),AND(DB5&gt;=DG$30,DB5&lt;&gt;"",CX5=""),AND(DE5&gt;=DG$30,DE5&lt;&gt;"",CX5=""),AND(EA5&gt;=EG$30,EA5&lt;&gt;""),AND(EE5&gt;=EG$30,EE5&lt;&gt;""),AND(EW5&gt;=FC$30,EW5&lt;&gt;""),AND(FA5&gt;=FC$30,FA5&lt;&gt;""),AND(FS5&gt;=FY$30,FS5&lt;&gt;""),AND(FW5&gt;=FY$30,FW5&lt;&gt;""),AND(GO5&gt;=GU$30,GO5&lt;&gt;""),AND(GS5&gt;=GU$30,GS5&lt;&gt;""),AND(HK5&gt;=HQ$30,HK5&lt;&gt;""),AND(HO5&gt;=HQ$30,HO5&lt;&gt;""),AND(IG5&gt;=IM$30,IG5&lt;&gt;""),AND(IK5&gt;=IM$30,IK5&lt;&gt;""),AND(JC5&gt;=JI$30,JC5&lt;&gt;""),AND(JG5&gt;=JI$30,JG5&lt;&gt;""),AND(JY5&gt;=KE$30,JY5&lt;&gt;""),AND(KC5&gt;=KE$30,KC5&lt;&gt;""),AND(KU5&gt;=LA$30,KU5&lt;&gt;""),AND(KY5&gt;=LA$30,KY5&lt;&gt;""),AND(LQ5&gt;=LW$30,LQ5&lt;&gt;""),AND(LU5&gt;=LW$30,LU5&lt;&gt;""),AND(MM5&gt;=MS$30,MM5&lt;&gt;""),AND(MQ5&gt;=MS$30,MQ5&lt;&gt;""),AND(NI5&gt;=NO$30,NI5&lt;&gt;""),AND(NM5&gt;=NO$30,NM5&lt;&gt;"")),"National Team",""))))</f>
        <v>National Team</v>
      </c>
      <c r="H5" s="115" t="str">
        <f>IF(OR(AND(AS5&gt;=AY$34,AS5&lt;&gt;"",AP5=""),AND(AU5&gt;=AY$34,AU5&lt;&gt;"",AP5=""),AND(AX5&gt;=AY$34,AX5&lt;&gt;"",AP5=""),AND(BW5&gt;=CC$34,BW5&lt;&gt;"",BT5=""),AND(BY5&gt;=CC$34,BY5&lt;&gt;"",BT5=""),AND(CB5&gt;=CC$34,CB5&lt;&gt;"",BT5=""),AND(DA5&gt;=DG$34,DA5&lt;&gt;"",CX5=""),AND(DC5&gt;=DG$34,DC5&lt;&gt;"",CX5=""),AND(DF5&gt;=DG$34,DF5&lt;&gt;"",CX5=""),AND(EC5&gt;=EG$34,EC5&lt;&gt;""),AND(EF5&gt;=EG$34,EF5&lt;&gt;""),AND(EY5&gt;=FC$34,EY5&lt;&gt;""),AND(FB5&gt;=FC$34,FB5&lt;&gt;""),AND(FU5&gt;=FY$34,FU5&lt;&gt;""),AND(FX5&gt;=FY$34,FX5&lt;&gt;""),AND(GQ5&gt;=GU$34,GQ5&lt;&gt;""),AND(GT5&gt;=GU$34,GT5&lt;&gt;""),AND(HM5&gt;=HQ$34,HM5&lt;&gt;""),AND(HP5&gt;=HQ$34,HP5&lt;&gt;""),AND(II5&gt;=IM$34,II5&lt;&gt;""),AND(IL5&gt;=IM$34,IL5&lt;&gt;""),AND(JE5&gt;=JI$34,JE5&lt;&gt;""),AND(JH5&gt;=JI$34,JH5&lt;&gt;""),AND(KA5&gt;=KE$34,KA5&lt;&gt;""),AND(KD5&gt;=KE$34,KD5&lt;&gt;""),AND(KW5&gt;=LA$34,KW5&lt;&gt;""),AND(KZ5&gt;=LA$34,KZ5&lt;&gt;""),AND(LS5&gt;=LW$34,LS5&lt;&gt;""),AND(LV5&gt;=LW$34,LV5&lt;&gt;""),AND(MO5&gt;=MS$34,MO5&lt;&gt;""),AND(MR5&gt;=MS$34,MR5&lt;&gt;""),AND(NK5&gt;=NO$34,NK5&lt;&gt;""),AND(NN5&gt;=NO$34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$35,AV5&lt;&gt;"",AP5=""),AND(BZ5&gt;=CC$35,BZ5&lt;&gt;"",BT5=""),AND(DD5&gt;=DG$35,DD5&lt;&gt;"",CX5=""),AND(ED5&gt;=EG$35,ED5&lt;&gt;""),AND(EZ5&gt;=FC$35,EZ5&lt;&gt;""),AND(FV5&gt;=FY$35,FV5&lt;&gt;""),AND(GR5&gt;=GU$35,GR5&lt;&gt;""),AND(HN5&gt;=HQ$35,HN5&lt;&gt;""),AND(IJ5&gt;=IM$35,IJ5&lt;&gt;""),AND(JF5&gt;=JI$35,JF5&lt;&gt;""),AND(KB5&gt;=KE$35,KB5&lt;&gt;""),AND(KX5&gt;=LA$35,KX5&lt;&gt;""),AND(LT5&gt;=LW$35,LT5&lt;&gt;""),AND(MP5&gt;=MS$35,MP5&lt;&gt;""),AND(NL5&gt;=NO$35,NL5&lt;&gt;"")),OR(G5="Worlds Team",G5="Excellence",G5="Merit")),"P","")</f>
        <v/>
      </c>
      <c r="K5" s="14">
        <f>IF(MAX(AV5,BZ5,DD5)&gt;0,MAX(AV5,BZ5,DD5),0)</f>
        <v>94.210000000000008</v>
      </c>
      <c r="L5" s="14" t="str">
        <f>IF(K5=0,"",IF(K5=DD5,$CD$1,IF(K5=BZ5,$AZ$1,IF(K5=AV5,$V$1,""))))</f>
        <v>2021 Elite Canada</v>
      </c>
      <c r="M5" s="14">
        <f>IF($K5=$AV5,MAX(BU5,CY5),IF($K5=$BZ5,MAX(AQ5,CY5),IF($K5=$DD5,MAX(AQ5,BU5),MAX(AQ5,BU5,CY5))))</f>
        <v>45.625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MAX(AS5,AU5,AX5,BW5,BY5,CB5,DA5,DC5,DF5)</f>
        <v>51.56</v>
      </c>
      <c r="P5" s="14" t="str">
        <f>IF(O5=0,"",IF(OR(O5=DC5,O5=DA5,O5=DF5),$CD$1,IF(OR(O5=BY5,O5=BW5,O5=CB5),$AZ$1,IF(OR(O5=AU5,O5=AS5,O5=AX5),$V$1,""))))</f>
        <v>2021 Elite Canada</v>
      </c>
      <c r="Q5" s="14">
        <f>IF(COUNT(AS5,AU5,AX5,BW5,BY5,CB5,DA5,DC5,DF5)&gt;1,LARGE((AS5,AU5,AX5,BW5,BY5,CB5,DA5,DC5,DF5),2),0)</f>
        <v>50.730000000000004</v>
      </c>
      <c r="R5" s="14" t="str">
        <f>IF(Q5=0,"",IF(OR(Q5=DC5,Q5=DA5,Q5=DF5),$CD$1,IF(OR(Q5=BY5,Q5=BW5,Q5=CB5),$AZ$1,IF(OR(Q5=AU5,Q5=AS5,Q5=AX5),$V$1,""))))</f>
        <v>2021 Elite Canada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17.2</v>
      </c>
      <c r="W5" s="61">
        <v>9.1999999999999993</v>
      </c>
      <c r="X5" s="61">
        <v>3.9</v>
      </c>
      <c r="Y5" s="61">
        <v>15.324999999999999</v>
      </c>
      <c r="Z5" s="61">
        <v>0</v>
      </c>
      <c r="AA5" s="61">
        <v>2.5</v>
      </c>
      <c r="AB5" s="61">
        <v>1.9</v>
      </c>
      <c r="AC5" s="61">
        <v>3.1</v>
      </c>
      <c r="AD5" s="61">
        <v>3.18</v>
      </c>
      <c r="AE5" s="61">
        <v>0</v>
      </c>
      <c r="AF5" s="61">
        <v>9</v>
      </c>
      <c r="AG5" s="61">
        <v>6.4</v>
      </c>
      <c r="AH5" s="61">
        <v>8.3000000000000007</v>
      </c>
      <c r="AI5" s="61">
        <v>10.46</v>
      </c>
      <c r="AJ5" s="61">
        <v>0</v>
      </c>
      <c r="AK5" s="61">
        <v>5.8</v>
      </c>
      <c r="AL5" s="61">
        <v>4.4000000000000004</v>
      </c>
      <c r="AM5" s="61">
        <v>6.7</v>
      </c>
      <c r="AN5" s="61">
        <v>7.2249999999999996</v>
      </c>
      <c r="AO5" s="61">
        <v>0</v>
      </c>
      <c r="AP5" s="72"/>
      <c r="AQ5" s="11">
        <f>IF(SUM(V5:Y5)-Z5&gt;0,SUM(V5:Y5)-Z5,"")</f>
        <v>45.625</v>
      </c>
      <c r="AR5" s="11">
        <f>IF(AC5&gt;0,AC5,"")</f>
        <v>3.1</v>
      </c>
      <c r="AS5" s="11">
        <f>IF(SUM(AA5:AD5)-AE5&gt;0,SUM(AA5:AD5)-AE5,"")</f>
        <v>10.68</v>
      </c>
      <c r="AT5" s="11">
        <f>IF(AH5&gt;0,AH5,"")</f>
        <v>8.3000000000000007</v>
      </c>
      <c r="AU5" s="11">
        <f>IF(SUM(AF5:AI5)-AJ5&gt;0,SUM(AF5:AI5)-AJ5,"")</f>
        <v>34.160000000000004</v>
      </c>
      <c r="AV5" s="11">
        <f>IF(AQ5="",IF(MAX(AS5,AU5)&gt;0,MAX(AS5,AU5),""),MAX(AS5,AU5)+AQ5)</f>
        <v>79.784999999999997</v>
      </c>
      <c r="AW5" s="11">
        <f>IF(AM5&gt;0,AM5,"")</f>
        <v>6.7</v>
      </c>
      <c r="AX5" s="11">
        <f>IF(SUM(AK5:AN5)-AO5&gt;0,SUM(AK5:AN5)-AO5,"")</f>
        <v>24.125</v>
      </c>
      <c r="AY5" s="11">
        <f>IF(SUM(AV5,AX5)&gt;0,SUM(AV5,AX5),"")</f>
        <v>103.91</v>
      </c>
      <c r="AZ5" s="67">
        <v>15.6</v>
      </c>
      <c r="BA5" s="67">
        <v>9.1</v>
      </c>
      <c r="BB5" s="67">
        <v>3.7</v>
      </c>
      <c r="BC5" s="67">
        <v>15.08</v>
      </c>
      <c r="BD5" s="67">
        <v>0</v>
      </c>
      <c r="BE5" s="67">
        <v>13</v>
      </c>
      <c r="BF5" s="67">
        <v>9.1999999999999993</v>
      </c>
      <c r="BG5" s="67">
        <v>13.3</v>
      </c>
      <c r="BH5" s="67">
        <v>14.365</v>
      </c>
      <c r="BI5" s="67">
        <v>0</v>
      </c>
      <c r="BJ5" s="67">
        <v>13.5</v>
      </c>
      <c r="BK5" s="67">
        <v>9.3000000000000007</v>
      </c>
      <c r="BL5" s="67">
        <v>13.3</v>
      </c>
      <c r="BM5" s="67">
        <v>14.63</v>
      </c>
      <c r="BN5" s="67">
        <v>0</v>
      </c>
      <c r="BO5" s="67">
        <v>14</v>
      </c>
      <c r="BP5" s="67">
        <v>9.6</v>
      </c>
      <c r="BQ5" s="67">
        <v>13.3</v>
      </c>
      <c r="BR5" s="67">
        <v>14.66</v>
      </c>
      <c r="BS5" s="67">
        <v>0</v>
      </c>
      <c r="BT5" s="73"/>
      <c r="BU5" s="14">
        <f>IF(SUM(AZ5:BC5)-BD5&gt;0,SUM(AZ5:BC5)-BD5,"")</f>
        <v>43.48</v>
      </c>
      <c r="BV5" s="14">
        <f>IF(BG5&gt;0,BG5,"")</f>
        <v>13.3</v>
      </c>
      <c r="BW5" s="14">
        <f>IF(SUM(BE5:BH5)-BI5&gt;0,SUM(BE5:BH5)-BI5,"")</f>
        <v>49.865000000000002</v>
      </c>
      <c r="BX5" s="14">
        <f>IF(BL5&gt;0,BL5,"")</f>
        <v>13.3</v>
      </c>
      <c r="BY5" s="14">
        <f>IF(SUM(BJ5:BM5)-BN5&gt;0,SUM(BJ5:BM5)-BN5,"")</f>
        <v>50.730000000000004</v>
      </c>
      <c r="BZ5" s="14">
        <f>IF(BU5="",IF(MAX(BW5,BY5)&gt;0,MAX(BW5,BY5),""),MAX(BW5,BY5)+BU5)</f>
        <v>94.210000000000008</v>
      </c>
      <c r="CA5" s="14">
        <f>IF(BQ5&gt;0,BQ5,"")</f>
        <v>13.3</v>
      </c>
      <c r="CB5" s="14">
        <f>IF(SUM(BO5:BR5)-BS5&gt;0,SUM(BO5:BR5)-BS5,"")</f>
        <v>51.56</v>
      </c>
      <c r="CC5" s="14">
        <f>IF(SUM(BZ5,CB5)&gt;0,SUM(BZ5,CB5),"")</f>
        <v>145.77000000000001</v>
      </c>
      <c r="CD5" s="61">
        <v>16.3</v>
      </c>
      <c r="CE5" s="61">
        <v>8.6999999999999993</v>
      </c>
      <c r="CF5" s="61">
        <v>3.5</v>
      </c>
      <c r="CG5" s="61">
        <v>15.31</v>
      </c>
      <c r="CH5" s="61">
        <v>0</v>
      </c>
      <c r="CI5" s="61">
        <v>11.8</v>
      </c>
      <c r="CJ5" s="61">
        <v>8.5</v>
      </c>
      <c r="CK5" s="61">
        <v>11.9</v>
      </c>
      <c r="CL5" s="61">
        <v>14.21</v>
      </c>
      <c r="CM5" s="61">
        <v>0</v>
      </c>
      <c r="CN5" s="61">
        <v>6.6</v>
      </c>
      <c r="CO5" s="61">
        <v>4.4000000000000004</v>
      </c>
      <c r="CP5" s="61">
        <v>7.1</v>
      </c>
      <c r="CQ5" s="61">
        <v>7.5949999999999998</v>
      </c>
      <c r="CR5" s="61">
        <v>0</v>
      </c>
      <c r="CS5" s="61">
        <v>10.8</v>
      </c>
      <c r="CT5" s="61">
        <v>8.4</v>
      </c>
      <c r="CU5" s="61">
        <v>11.7</v>
      </c>
      <c r="CV5" s="61">
        <v>13.29</v>
      </c>
      <c r="CW5" s="61">
        <v>0</v>
      </c>
      <c r="CX5" s="72"/>
      <c r="CY5" s="11">
        <f>IF(SUM(CD5:CG5)-CH5&gt;0,SUM(CD5:CG5)-CH5,"")</f>
        <v>43.81</v>
      </c>
      <c r="CZ5" s="11">
        <f>IF(CK5&gt;0,CK5,"")</f>
        <v>11.9</v>
      </c>
      <c r="DA5" s="11">
        <f>IF(SUM(CI5:CL5)-CM5&gt;0,SUM(CI5:CL5)-CM5,"")</f>
        <v>46.410000000000004</v>
      </c>
      <c r="DB5" s="11">
        <f>IF(CP5&gt;0,CP5,"")</f>
        <v>7.1</v>
      </c>
      <c r="DC5" s="11">
        <f>IF(SUM(CN5:CQ5)-CR5&gt;0,SUM(CN5:CQ5)-CR5,"")</f>
        <v>25.695</v>
      </c>
      <c r="DD5" s="11">
        <f>IF(CY5="",IF(MAX(DA5,DC5)&gt;0,MAX(DA5,DC5),""),MAX(DA5,DC5)+CY5)</f>
        <v>90.22</v>
      </c>
      <c r="DE5" s="11">
        <f>IF(CU5&gt;0,CU5,"")</f>
        <v>11.7</v>
      </c>
      <c r="DF5" s="11">
        <f>IF(SUM(CS5:CV5)-CW5&gt;0,SUM(CS5:CV5)-CW5,"")</f>
        <v>44.19</v>
      </c>
      <c r="DG5" s="11">
        <f>IF(SUM(DD5,DF5)&gt;0,SUM(DD5,DF5),"")</f>
        <v>134.41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15.95</v>
      </c>
      <c r="NQ5" s="61">
        <f>IF($CX5="P",CE5,(CE5+BA5)/2)</f>
        <v>8.8999999999999986</v>
      </c>
      <c r="NR5" s="61">
        <f>IF($CX5="P",CF5,(CF5+BB5)/2)</f>
        <v>3.6</v>
      </c>
      <c r="NS5" s="61">
        <f>IF($CX5="P",CG5,(CG5+BC5)/2)</f>
        <v>15.195</v>
      </c>
      <c r="NT5" s="61">
        <f>IF($CX5="P",CH5,(CH5+BD5)/2)</f>
        <v>0</v>
      </c>
      <c r="NU5" s="61">
        <f>IF($CX5="P",CI5,(CI5+BE5)/2)</f>
        <v>12.4</v>
      </c>
      <c r="NV5" s="61">
        <f>IF($CX5="P",CJ5,(CJ5+BF5)/2)</f>
        <v>8.85</v>
      </c>
      <c r="NW5" s="61">
        <f>IF($CX5="P",CK5,(CK5+BG5)/2)</f>
        <v>12.600000000000001</v>
      </c>
      <c r="NX5" s="61">
        <f>IF($CX5="P",CL5,(CL5+BH5)/2)</f>
        <v>14.287500000000001</v>
      </c>
      <c r="NY5" s="61">
        <f>IF($CX5="P",CM5,(CM5+BI5)/2)</f>
        <v>0</v>
      </c>
      <c r="NZ5" s="61">
        <f>IF($CX5="P",CN5,(CN5+BJ5)/2)</f>
        <v>10.050000000000001</v>
      </c>
      <c r="OA5" s="61">
        <f>IF($CX5="P",CO5,(CO5+BK5)/2)</f>
        <v>6.8500000000000005</v>
      </c>
      <c r="OB5" s="61">
        <f>IF($CX5="P",CP5,(CP5+BL5)/2)</f>
        <v>10.199999999999999</v>
      </c>
      <c r="OC5" s="61">
        <f>IF($CX5="P",CQ5,(CQ5+BM5)/2)</f>
        <v>11.112500000000001</v>
      </c>
      <c r="OD5" s="61">
        <f>IF($CX5="P",CR5,(CR5+BN5)/2)</f>
        <v>0</v>
      </c>
      <c r="OE5" s="61">
        <f>IF($CX5="P",CS5,(CS5+BO5)/2)</f>
        <v>12.4</v>
      </c>
      <c r="OF5" s="61">
        <f>IF($CX5="P",CT5,(CT5+BP5)/2)</f>
        <v>9</v>
      </c>
      <c r="OG5" s="61">
        <f>IF($CX5="P",CU5,(CU5+BQ5)/2)</f>
        <v>12.5</v>
      </c>
      <c r="OH5" s="61">
        <f>IF($CX5="P",CV5,(CV5+BR5)/2)</f>
        <v>13.975</v>
      </c>
      <c r="OI5" s="61">
        <f>IF($CX5="P",CW5,(CW5+BS5)/2)</f>
        <v>0</v>
      </c>
      <c r="OJ5" s="72" t="s">
        <v>52</v>
      </c>
      <c r="OK5" s="11">
        <f>IF(SUM(NP5:NS5)-NT5&gt;0,SUM(NP5:NS5)-NT5,"")</f>
        <v>43.644999999999996</v>
      </c>
      <c r="OL5" s="11">
        <f>IF(NW5&gt;0,NW5,"")</f>
        <v>12.600000000000001</v>
      </c>
      <c r="OM5" s="11">
        <f>IF(SUM(NU5:NX5)-NY5&gt;0,SUM(NU5:NX5)-NY5,"")</f>
        <v>48.137500000000003</v>
      </c>
      <c r="ON5" s="11">
        <f>IF(OB5&gt;0,OB5,"")</f>
        <v>10.199999999999999</v>
      </c>
      <c r="OO5" s="11">
        <f>IF(SUM(NZ5:OC5)-OD5&gt;0,SUM(NZ5:OC5)-OD5,"")</f>
        <v>38.212500000000006</v>
      </c>
      <c r="OP5" s="11">
        <f>IF(OR(OK5&lt;&gt;"",OM5&lt;&gt;"",OO5&lt;&gt;""),OK5+MAX(OM5,OO5),"")</f>
        <v>91.782499999999999</v>
      </c>
      <c r="OQ5" s="11">
        <f>IF(OG5&gt;0,OG5,"")</f>
        <v>12.5</v>
      </c>
      <c r="OR5" s="11">
        <f t="shared" si="0"/>
        <v>47.875</v>
      </c>
      <c r="OS5" s="11">
        <f t="shared" ref="OS5:OS9" si="1">IF(SUM(OP5,OR5)&gt;0,SUM(OP5,OR5),"")</f>
        <v>139.6575</v>
      </c>
    </row>
    <row r="6" spans="1:409" x14ac:dyDescent="0.2">
      <c r="A6" s="5" cm="1">
        <f t="array" ref="A6">IF(AND(G6&lt;&gt;"",H6&lt;&gt;""),SUMPRODUCT((G$4:G$28&lt;&gt;"")*(H$4:H$28&lt;&gt;"")*(E$4:E$28&gt;E6))+1,IF(H6&lt;&gt;"",SUMPRODUCT((I$4:I$28="No DD")*(E$4:E$28&gt;E6))+1+SUMPRODUCT((G$4:G$28&lt;&gt;"")*(H$4:H$28&lt;&gt;"")),""))</f>
        <v>3</v>
      </c>
      <c r="B6" s="8" t="s">
        <v>82</v>
      </c>
      <c r="C6" s="4" t="s">
        <v>5</v>
      </c>
      <c r="D6" s="5">
        <v>2002</v>
      </c>
      <c r="E6" s="15">
        <f>SUM(O6:S6)</f>
        <v>101.36</v>
      </c>
      <c r="F6" s="3" t="str">
        <f>IF(G6&lt;&gt;"","P","")</f>
        <v>P</v>
      </c>
      <c r="G6" s="115" t="str">
        <f>IF(OR(AND(AR6&gt;=AY$33,AR6&lt;&gt;"",AP6=""),AND(AT6&gt;=AY$33,AT6&lt;&gt;"",AP6=""),AND(AW6&gt;=AY$33,AW6&lt;&gt;"",AP6=""),AND(BV6&gt;=CC$33,BV6&lt;&gt;"",BT6=""),AND(BX6&gt;=CC$33,BX6&lt;&gt;"",BT6=""),AND(CA6&gt;=CC$33,CA6&lt;&gt;"",BT6=""),AND(CZ6&gt;=DG$33,CZ6&lt;&gt;"",CX6=""),AND(DB6&gt;=DG$33,DB6&lt;&gt;"",CX6=""),AND(DE6&gt;=DG$33,DE6&lt;&gt;"",CX6=""),AND(EA6&gt;=EG$33,EA6&lt;&gt;""),AND(EE6&gt;=EG$33,EE6&lt;&gt;""),AND(EW6&gt;=FC$33,EW6&lt;&gt;""),AND(FA6&gt;=FC$33,FA6&lt;&gt;""),AND(FS6&gt;=FY$33,FS6&lt;&gt;""),AND(FW6&gt;=FY$33,FW6&lt;&gt;""),AND(GO6&gt;=GU$33,GO6&lt;&gt;""),AND(GS6&gt;=GU$33,GS6&lt;&gt;""),AND(HK6&gt;=HQ$33,HK6&lt;&gt;""),AND(HO6&gt;=HQ$33,HO6&lt;&gt;""),AND(IG6&gt;=IM$33,IG6&lt;&gt;""),AND(IK6&gt;=IM$33,IK6&lt;&gt;""),AND(JC6&gt;=JI$33,JC6&lt;&gt;""),AND(JG6&gt;=JI$33,JG6&lt;&gt;""),AND(JY6&gt;=KE$33,JY6&lt;&gt;""),AND(KC6&gt;=KE$33,KC6&lt;&gt;""),AND(KU6&gt;=LA$33,KU6&lt;&gt;""),AND(KY6&gt;=LA$33,KY6&lt;&gt;""),AND(LQ6&gt;=LW$33,LQ6&lt;&gt;""),AND(LU6&gt;=LW$33,LU6&lt;&gt;""),AND(MM6&gt;=MS$33,MM6&lt;&gt;""),AND(MQ6&gt;=MS$33,MQ6&lt;&gt;""),AND(NI6&gt;=NO$33,NI6&lt;&gt;""),AND(NM6&gt;=NO$33,NM6&lt;&gt;"")),"Merit",IF(OR(AND(AR6&gt;=AY$32,AR6&lt;&gt;"",AP6=""),AND(AT6&gt;=AY$32,AT6&lt;&gt;"",AP6=""),AND(AW6&gt;=AY$32,AW6&lt;&gt;"",AP6=""),AND(BV6&gt;=CC$32,BV6&lt;&gt;"",BT6=""),AND(BX6&gt;=CC$32,BX6&lt;&gt;"",BT6=""),AND(CA6&gt;=CC$32,CA6&lt;&gt;"",BT6=""),AND(CZ6&gt;=DG$32,CZ6&lt;&gt;"",CX6=""),AND(DB6&gt;=DG$32,DB6&lt;&gt;"",CX6=""),AND(DE6&gt;=DG$32,DE6&lt;&gt;"",CX6=""),AND(EA6&gt;=EG$32,EA6&lt;&gt;""),AND(EE6&gt;=EG$32,EE6&lt;&gt;""),AND(EW6&gt;=FC$32,EW6&lt;&gt;""),AND(FA6&gt;=FC$32,FA6&lt;&gt;""),AND(FS6&gt;=FY$32,FS6&lt;&gt;""),AND(FW6&gt;=FY$32,FW6&lt;&gt;""),AND(GO6&gt;=GU$32,GO6&lt;&gt;""),AND(GS6&gt;=GU$32,GS6&lt;&gt;""),AND(HK6&gt;=HQ$32,HK6&lt;&gt;""),AND(HO6&gt;=HQ$32,HO6&lt;&gt;""),AND(IG6&gt;=IM$32,IG6&lt;&gt;""),AND(IK6&gt;=IM$32,IK6&lt;&gt;""),AND(JC6&gt;=JI$32,JC6&lt;&gt;""),AND(JG6&gt;=JI$32,JG6&lt;&gt;""),AND(JY6&gt;=KE$32,JY6&lt;&gt;""),AND(KC6&gt;=KE$32,KC6&lt;&gt;""),AND(KU6&gt;=LA$32,KU6&lt;&gt;""),AND(KY6&gt;=LA$32,KY6&lt;&gt;""),AND(LQ6&gt;=LW$32,LQ6&lt;&gt;""),AND(LU6&gt;=LW$32,LU6&lt;&gt;""),AND(MM6&gt;=MS$32,MM6&lt;&gt;""),AND(MQ6&gt;=MS$32,MQ6&lt;&gt;""),AND(NI6&gt;=NO$32,NI6&lt;&gt;""),AND(NM6&gt;=NO$32,NM6&lt;&gt;"")),"Excellence",IF(OR(AND(AR6&gt;=AY$31,AR6&lt;&gt;"",AP6=""),AND(AT6&gt;=AY$31,AT6&lt;&gt;"",AP6=""),AND(AW6&gt;=AY$31,AW6&lt;&gt;"",AP6=""),AND(BV6&gt;=CC$31,BV6&lt;&gt;"",BT6=""),AND(BX6&gt;=CC$31,BX6&lt;&gt;"",BT6=""),AND(CA6&gt;=CC$31,CA6&lt;&gt;"",BT6=""),AND(CZ6&gt;=DG$31,CZ6&lt;&gt;"",CX6=""),AND(DB6&gt;=DG$31,DB6&lt;&gt;"",CX6=""),AND(DE6&gt;=DG$31,DE6&lt;&gt;"",CX6=""),AND(EA6&gt;=EG$31,EA6&lt;&gt;""),AND(EE6&gt;=EG$31,EE6&lt;&gt;""),AND(EW6&gt;=FC$31,EW6&lt;&gt;""),AND(FA6&gt;=FC$31,FA6&lt;&gt;""),AND(FS6&gt;=FY$31,FS6&lt;&gt;""),AND(FW6&gt;=FY$31,FW6&lt;&gt;""),AND(GO6&gt;=GU$31,GO6&lt;&gt;""),AND(GS6&gt;=GU$31,GS6&lt;&gt;""),AND(HK6&gt;=HQ$31,HK6&lt;&gt;""),AND(HO6&gt;=HQ$31,HO6&lt;&gt;""),AND(IG6&gt;=IM$31,IG6&lt;&gt;""),AND(IK6&gt;=IM$31,IK6&lt;&gt;""),AND(JC6&gt;=JI$31,JC6&lt;&gt;""),AND(JG6&gt;=JI$31,JG6&lt;&gt;""),AND(JY6&gt;=KE$31,JY6&lt;&gt;""),AND(KC6&gt;=KE$31,KC6&lt;&gt;""),AND(KU6&gt;=LA$31,KU6&lt;&gt;""),AND(KY6&gt;=LA$31,KY6&lt;&gt;""),AND(LQ6&gt;=LW$31,LQ6&lt;&gt;""),AND(LU6&gt;=LW$31,LU6&lt;&gt;""),AND(MM6&gt;=MS$31,MM6&lt;&gt;""),AND(MQ6&gt;=MS$31,MQ6&lt;&gt;""),AND(NI6&gt;=NO$31,NI6&lt;&gt;""),AND(NM6&gt;=NO$31,NM6&lt;&gt;"")),"Worlds Team",IF(OR(AND(AR6&gt;=AY$30,AR6&lt;&gt;"",AP6=""),AND(AT6&gt;=AY$30,AT6&lt;&gt;"",AP6=""),AND(AW6&gt;=AY$30,AW6&lt;&gt;"",AP6=""),AND(BV6&gt;=CC$30,BV6&lt;&gt;"",BT6=""),AND(BX6&gt;=CC$30,BX6&lt;&gt;"",BT6=""),AND(CA6&gt;=CC$30,CA6&lt;&gt;"",BT6=""),AND(CZ6&gt;=DG$30,CZ6&lt;&gt;"",CX6=""),AND(DB6&gt;=DG$30,DB6&lt;&gt;"",CX6=""),AND(DE6&gt;=DG$30,DE6&lt;&gt;"",CX6=""),AND(EA6&gt;=EG$30,EA6&lt;&gt;""),AND(EE6&gt;=EG$30,EE6&lt;&gt;""),AND(EW6&gt;=FC$30,EW6&lt;&gt;""),AND(FA6&gt;=FC$30,FA6&lt;&gt;""),AND(FS6&gt;=FY$30,FS6&lt;&gt;""),AND(FW6&gt;=FY$30,FW6&lt;&gt;""),AND(GO6&gt;=GU$30,GO6&lt;&gt;""),AND(GS6&gt;=GU$30,GS6&lt;&gt;""),AND(HK6&gt;=HQ$30,HK6&lt;&gt;""),AND(HO6&gt;=HQ$30,HO6&lt;&gt;""),AND(IG6&gt;=IM$30,IG6&lt;&gt;""),AND(IK6&gt;=IM$30,IK6&lt;&gt;""),AND(JC6&gt;=JI$30,JC6&lt;&gt;""),AND(JG6&gt;=JI$30,JG6&lt;&gt;""),AND(JY6&gt;=KE$30,JY6&lt;&gt;""),AND(KC6&gt;=KE$30,KC6&lt;&gt;""),AND(KU6&gt;=LA$30,KU6&lt;&gt;""),AND(KY6&gt;=LA$30,KY6&lt;&gt;""),AND(LQ6&gt;=LW$30,LQ6&lt;&gt;""),AND(LU6&gt;=LW$30,LU6&lt;&gt;""),AND(MM6&gt;=MS$30,MM6&lt;&gt;""),AND(MQ6&gt;=MS$30,MQ6&lt;&gt;""),AND(NI6&gt;=NO$30,NI6&lt;&gt;""),AND(NM6&gt;=NO$30,NM6&lt;&gt;"")),"National Team",""))))</f>
        <v>National Team</v>
      </c>
      <c r="H6" s="115" t="str">
        <f>IF(OR(AND(AS6&gt;=AY$34,AS6&lt;&gt;"",AP6=""),AND(AU6&gt;=AY$34,AU6&lt;&gt;"",AP6=""),AND(AX6&gt;=AY$34,AX6&lt;&gt;"",AP6=""),AND(BW6&gt;=CC$34,BW6&lt;&gt;"",BT6=""),AND(BY6&gt;=CC$34,BY6&lt;&gt;"",BT6=""),AND(CB6&gt;=CC$34,CB6&lt;&gt;"",BT6=""),AND(DA6&gt;=DG$34,DA6&lt;&gt;"",CX6=""),AND(DC6&gt;=DG$34,DC6&lt;&gt;"",CX6=""),AND(DF6&gt;=DG$34,DF6&lt;&gt;"",CX6=""),AND(EC6&gt;=EG$34,EC6&lt;&gt;""),AND(EF6&gt;=EG$34,EF6&lt;&gt;""),AND(EY6&gt;=FC$34,EY6&lt;&gt;""),AND(FB6&gt;=FC$34,FB6&lt;&gt;""),AND(FU6&gt;=FY$34,FU6&lt;&gt;""),AND(FX6&gt;=FY$34,FX6&lt;&gt;""),AND(GQ6&gt;=GU$34,GQ6&lt;&gt;""),AND(GT6&gt;=GU$34,GT6&lt;&gt;""),AND(HM6&gt;=HQ$34,HM6&lt;&gt;""),AND(HP6&gt;=HQ$34,HP6&lt;&gt;""),AND(II6&gt;=IM$34,II6&lt;&gt;""),AND(IL6&gt;=IM$34,IL6&lt;&gt;""),AND(JE6&gt;=JI$34,JE6&lt;&gt;""),AND(JH6&gt;=JI$34,JH6&lt;&gt;""),AND(KA6&gt;=KE$34,KA6&lt;&gt;""),AND(KD6&gt;=KE$34,KD6&lt;&gt;""),AND(KW6&gt;=LA$34,KW6&lt;&gt;""),AND(KZ6&gt;=LA$34,KZ6&lt;&gt;""),AND(LS6&gt;=LW$34,LS6&lt;&gt;""),AND(LV6&gt;=LW$34,LV6&lt;&gt;""),AND(MO6&gt;=MS$34,MO6&lt;&gt;""),AND(MR6&gt;=MS$34,MR6&lt;&gt;""),AND(NK6&gt;=NO$34,NK6&lt;&gt;""),AND(NN6&gt;=NO$34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$35,AV6&lt;&gt;"",AP6=""),AND(BZ6&gt;=CC$35,BZ6&lt;&gt;"",BT6=""),AND(DD6&gt;=DG$35,DD6&lt;&gt;"",CX6=""),AND(ED6&gt;=EG$35,ED6&lt;&gt;""),AND(EZ6&gt;=FC$35,EZ6&lt;&gt;""),AND(FV6&gt;=FY$35,FV6&lt;&gt;""),AND(GR6&gt;=GU$35,GR6&lt;&gt;""),AND(HN6&gt;=HQ$35,HN6&lt;&gt;""),AND(IJ6&gt;=IM$35,IJ6&lt;&gt;""),AND(JF6&gt;=JI$35,JF6&lt;&gt;""),AND(KB6&gt;=KE$35,KB6&lt;&gt;""),AND(KX6&gt;=LA$35,KX6&lt;&gt;""),AND(LT6&gt;=LW$35,LT6&lt;&gt;""),AND(MP6&gt;=MS$35,MP6&lt;&gt;""),AND(NL6&gt;=NO$35,NL6&lt;&gt;"")),OR(G6="Worlds Team",G6="Excellence",G6="Merit")),"P","")</f>
        <v/>
      </c>
      <c r="K6" s="14">
        <f>IF(MAX(AV6,BZ6,DD6)&gt;0,MAX(AV6,BZ6,DD6),0)</f>
        <v>97.289999999999992</v>
      </c>
      <c r="L6" s="14" t="str">
        <f>IF(K6=0,"",IF(K6=DD6,$CD$1,IF(K6=BZ6,$AZ$1,IF(K6=AV6,$V$1,""))))</f>
        <v>2021 Elite Canada</v>
      </c>
      <c r="M6" s="14">
        <f>IF($K6=$AV6,MAX(BU6,CY6),IF($K6=$BZ6,MAX(AQ6,CY6),IF($K6=$DD6,MAX(AQ6,BU6),MAX(AQ6,BU6,CY6))))</f>
        <v>45.669999999999995</v>
      </c>
      <c r="N6" s="14" t="str">
        <f>IF(M6=0,"",IF(AND(M6=CY6,$L6&lt;&gt;$CD$1),$CD$1,IF(AND(M6=BU6,$L6&lt;&gt;$AZ$1),$AZ$1,IF(AND(M6=AQ6,$L6&lt;&gt;$V$1),$V$1,""))))</f>
        <v>2021 Canadian Championships</v>
      </c>
      <c r="O6" s="14">
        <f>MAX(AS6,AU6,AX6,BW6,BY6,CB6,DA6,DC6,DF6)</f>
        <v>50.795000000000002</v>
      </c>
      <c r="P6" s="14" t="str">
        <f>IF(O6=0,"",IF(OR(O6=DC6,O6=DA6,O6=DF6),$CD$1,IF(OR(O6=BY6,O6=BW6,O6=CB6),$AZ$1,IF(OR(O6=AU6,O6=AS6,O6=AX6),$V$1,""))))</f>
        <v>2021 Elite Canada</v>
      </c>
      <c r="Q6" s="14">
        <f>IF(COUNT(AS6,AU6,AX6,BW6,BY6,CB6,DA6,DC6,DF6)&gt;1,LARGE((AS6,AU6,AX6,BW6,BY6,CB6,DA6,DC6,DF6),2),0)</f>
        <v>50.564999999999998</v>
      </c>
      <c r="R6" s="14" t="str">
        <f>IF(Q6=0,"",IF(OR(Q6=DC6,Q6=DA6,Q6=DF6),$CD$1,IF(OR(Q6=BY6,Q6=BW6,Q6=CB6),$AZ$1,IF(OR(Q6=AU6,Q6=AS6,Q6=AX6),$V$1,""))))</f>
        <v>2021 Elite Canada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16.3</v>
      </c>
      <c r="W6" s="61">
        <v>9.6</v>
      </c>
      <c r="X6" s="61">
        <v>4.7</v>
      </c>
      <c r="Y6" s="61">
        <v>14.69</v>
      </c>
      <c r="Z6" s="61">
        <v>0</v>
      </c>
      <c r="AA6" s="61">
        <v>13</v>
      </c>
      <c r="AB6" s="61">
        <v>9.1</v>
      </c>
      <c r="AC6" s="61">
        <v>12</v>
      </c>
      <c r="AD6" s="61">
        <v>13.96</v>
      </c>
      <c r="AE6" s="61">
        <v>0</v>
      </c>
      <c r="AF6" s="61">
        <v>14.1</v>
      </c>
      <c r="AG6" s="61">
        <v>9</v>
      </c>
      <c r="AH6" s="61">
        <v>12</v>
      </c>
      <c r="AI6" s="61">
        <v>14.19</v>
      </c>
      <c r="AJ6" s="61">
        <v>0</v>
      </c>
      <c r="AK6" s="61">
        <v>13.1</v>
      </c>
      <c r="AL6" s="61">
        <v>9</v>
      </c>
      <c r="AM6" s="61">
        <v>12.7</v>
      </c>
      <c r="AN6" s="61">
        <v>13.89</v>
      </c>
      <c r="AO6" s="61">
        <v>0</v>
      </c>
      <c r="AP6" s="72"/>
      <c r="AQ6" s="11">
        <f>IF(SUM(V6:Y6)-Z6&gt;0,SUM(V6:Y6)-Z6,"")</f>
        <v>45.29</v>
      </c>
      <c r="AR6" s="11">
        <f>IF(AC6&gt;0,AC6,"")</f>
        <v>12</v>
      </c>
      <c r="AS6" s="11">
        <f>IF(SUM(AA6:AD6)-AE6&gt;0,SUM(AA6:AD6)-AE6,"")</f>
        <v>48.06</v>
      </c>
      <c r="AT6" s="11">
        <f>IF(AH6&gt;0,AH6,"")</f>
        <v>12</v>
      </c>
      <c r="AU6" s="11">
        <f>IF(SUM(AF6:AI6)-AJ6&gt;0,SUM(AF6:AI6)-AJ6,"")</f>
        <v>49.29</v>
      </c>
      <c r="AV6" s="11">
        <f>IF(AQ6="",IF(MAX(AS6,AU6)&gt;0,MAX(AS6,AU6),""),MAX(AS6,AU6)+AQ6)</f>
        <v>94.58</v>
      </c>
      <c r="AW6" s="11">
        <f>IF(AM6&gt;0,AM6,"")</f>
        <v>12.7</v>
      </c>
      <c r="AX6" s="11">
        <f>IF(SUM(AK6:AN6)-AO6&gt;0,SUM(AK6:AN6)-AO6,"")</f>
        <v>48.69</v>
      </c>
      <c r="AY6" s="11">
        <f>IF(SUM(AV6,AX6)&gt;0,SUM(AV6,AX6),"")</f>
        <v>143.26999999999998</v>
      </c>
      <c r="AZ6" s="67">
        <v>17.7</v>
      </c>
      <c r="BA6" s="67">
        <v>9.5</v>
      </c>
      <c r="BB6" s="67">
        <v>3.9</v>
      </c>
      <c r="BC6" s="67">
        <v>15.395</v>
      </c>
      <c r="BD6" s="67">
        <v>0</v>
      </c>
      <c r="BE6" s="67">
        <v>14.7</v>
      </c>
      <c r="BF6" s="67">
        <v>9</v>
      </c>
      <c r="BG6" s="67">
        <v>12.7</v>
      </c>
      <c r="BH6" s="67">
        <v>14.395</v>
      </c>
      <c r="BI6" s="67">
        <v>0</v>
      </c>
      <c r="BJ6" s="67">
        <v>14.5</v>
      </c>
      <c r="BK6" s="67">
        <v>9.1</v>
      </c>
      <c r="BL6" s="67">
        <v>12.7</v>
      </c>
      <c r="BM6" s="67">
        <v>14.265000000000001</v>
      </c>
      <c r="BN6" s="67">
        <v>0</v>
      </c>
      <c r="BO6" s="67">
        <v>14.4</v>
      </c>
      <c r="BP6" s="67">
        <v>8.5</v>
      </c>
      <c r="BQ6" s="67">
        <v>11.4</v>
      </c>
      <c r="BR6" s="67">
        <v>13.994999999999999</v>
      </c>
      <c r="BS6" s="67">
        <v>0</v>
      </c>
      <c r="BT6" s="73"/>
      <c r="BU6" s="14">
        <f>IF(SUM(AZ6:BC6)-BD6&gt;0,SUM(AZ6:BC6)-BD6,"")</f>
        <v>46.494999999999997</v>
      </c>
      <c r="BV6" s="14">
        <f>IF(BG6&gt;0,BG6,"")</f>
        <v>12.7</v>
      </c>
      <c r="BW6" s="14">
        <f>IF(SUM(BE6:BH6)-BI6&gt;0,SUM(BE6:BH6)-BI6,"")</f>
        <v>50.795000000000002</v>
      </c>
      <c r="BX6" s="14">
        <f>IF(BL6&gt;0,BL6,"")</f>
        <v>12.7</v>
      </c>
      <c r="BY6" s="14">
        <f>IF(SUM(BJ6:BM6)-BN6&gt;0,SUM(BJ6:BM6)-BN6,"")</f>
        <v>50.564999999999998</v>
      </c>
      <c r="BZ6" s="14">
        <f>IF(BU6="",IF(MAX(BW6,BY6)&gt;0,MAX(BW6,BY6),""),MAX(BW6,BY6)+BU6)</f>
        <v>97.289999999999992</v>
      </c>
      <c r="CA6" s="14">
        <f>IF(BQ6&gt;0,BQ6,"")</f>
        <v>11.4</v>
      </c>
      <c r="CB6" s="14">
        <f>IF(SUM(BO6:BR6)-BS6&gt;0,SUM(BO6:BR6)-BS6,"")</f>
        <v>48.294999999999995</v>
      </c>
      <c r="CC6" s="14">
        <f>IF(SUM(BZ6,CB6)&gt;0,SUM(BZ6,CB6),"")</f>
        <v>145.58499999999998</v>
      </c>
      <c r="CD6" s="61">
        <v>17.2</v>
      </c>
      <c r="CE6" s="61">
        <v>9.6</v>
      </c>
      <c r="CF6" s="61">
        <v>3.7</v>
      </c>
      <c r="CG6" s="61">
        <v>15.17</v>
      </c>
      <c r="CH6" s="61">
        <v>0</v>
      </c>
      <c r="CI6" s="61">
        <v>11.8</v>
      </c>
      <c r="CJ6" s="61">
        <v>8.3000000000000007</v>
      </c>
      <c r="CK6" s="61">
        <v>11.2</v>
      </c>
      <c r="CL6" s="61">
        <v>12.154999999999999</v>
      </c>
      <c r="CM6" s="61">
        <v>0</v>
      </c>
      <c r="CN6" s="61">
        <v>4.2</v>
      </c>
      <c r="CO6" s="61">
        <v>2.7</v>
      </c>
      <c r="CP6" s="61">
        <v>3.4</v>
      </c>
      <c r="CQ6" s="61">
        <v>4.4950000000000001</v>
      </c>
      <c r="CR6" s="61">
        <v>0</v>
      </c>
      <c r="CS6" s="61">
        <v>12.2</v>
      </c>
      <c r="CT6" s="61">
        <v>8.1999999999999993</v>
      </c>
      <c r="CU6" s="61">
        <v>11.5</v>
      </c>
      <c r="CV6" s="61">
        <v>12.61</v>
      </c>
      <c r="CW6" s="61">
        <v>0</v>
      </c>
      <c r="CX6" s="72"/>
      <c r="CY6" s="11">
        <f>IF(SUM(CD6:CG6)-CH6&gt;0,SUM(CD6:CG6)-CH6,"")</f>
        <v>45.669999999999995</v>
      </c>
      <c r="CZ6" s="11">
        <f>IF(CK6&gt;0,CK6,"")</f>
        <v>11.2</v>
      </c>
      <c r="DA6" s="11">
        <f>IF(SUM(CI6:CL6)-CM6&gt;0,SUM(CI6:CL6)-CM6,"")</f>
        <v>43.454999999999998</v>
      </c>
      <c r="DB6" s="11">
        <f>IF(CP6&gt;0,CP6,"")</f>
        <v>3.4</v>
      </c>
      <c r="DC6" s="11">
        <f>IF(SUM(CN6:CQ6)-CR6&gt;0,SUM(CN6:CQ6)-CR6,"")</f>
        <v>14.795000000000002</v>
      </c>
      <c r="DD6" s="11">
        <f>IF(CY6="",IF(MAX(DA6,DC6)&gt;0,MAX(DA6,DC6),""),MAX(DA6,DC6)+CY6)</f>
        <v>89.125</v>
      </c>
      <c r="DE6" s="11">
        <f>IF(CU6&gt;0,CU6,"")</f>
        <v>11.5</v>
      </c>
      <c r="DF6" s="11">
        <f>IF(SUM(CS6:CV6)-CW6&gt;0,SUM(CS6:CV6)-CW6,"")</f>
        <v>44.51</v>
      </c>
      <c r="DG6" s="11">
        <f>IF(SUM(DD6,DF6)&gt;0,SUM(DD6,DF6),"")</f>
        <v>133.63499999999999</v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100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17.45</v>
      </c>
      <c r="NQ6" s="61">
        <f>IF($CX6="P",CE6,(CE6+BA6)/2)</f>
        <v>9.5500000000000007</v>
      </c>
      <c r="NR6" s="61">
        <f>IF($CX6="P",CF6,(CF6+BB6)/2)</f>
        <v>3.8</v>
      </c>
      <c r="NS6" s="61">
        <f>IF($CX6="P",CG6,(CG6+BC6)/2)</f>
        <v>15.282499999999999</v>
      </c>
      <c r="NT6" s="61">
        <f>IF($CX6="P",CH6,(CH6+BD6)/2)</f>
        <v>0</v>
      </c>
      <c r="NU6" s="61">
        <f>IF($CX6="P",CI6,(CI6+BE6)/2)</f>
        <v>13.25</v>
      </c>
      <c r="NV6" s="61">
        <f>IF($CX6="P",CJ6,(CJ6+BF6)/2)</f>
        <v>8.65</v>
      </c>
      <c r="NW6" s="61">
        <f>IF($CX6="P",CK6,(CK6+BG6)/2)</f>
        <v>11.95</v>
      </c>
      <c r="NX6" s="61">
        <f>IF($CX6="P",CL6,(CL6+BH6)/2)</f>
        <v>13.274999999999999</v>
      </c>
      <c r="NY6" s="61">
        <f>IF($CX6="P",CM6,(CM6+BI6)/2)</f>
        <v>0</v>
      </c>
      <c r="NZ6" s="61">
        <f>IF($CX6="P",CN6,(CN6+BJ6)/2)</f>
        <v>9.35</v>
      </c>
      <c r="OA6" s="61">
        <f>IF($CX6="P",CO6,(CO6+BK6)/2)</f>
        <v>5.9</v>
      </c>
      <c r="OB6" s="61">
        <f>IF($CX6="P",CP6,(CP6+BL6)/2)</f>
        <v>8.0499999999999989</v>
      </c>
      <c r="OC6" s="61">
        <f>IF($CX6="P",CQ6,(CQ6+BM6)/2)</f>
        <v>9.3800000000000008</v>
      </c>
      <c r="OD6" s="61">
        <f>IF($CX6="P",CR6,(CR6+BN6)/2)</f>
        <v>0</v>
      </c>
      <c r="OE6" s="61">
        <f>IF($CX6="P",CS6,(CS6+BO6)/2)</f>
        <v>13.3</v>
      </c>
      <c r="OF6" s="61">
        <f>IF($CX6="P",CT6,(CT6+BP6)/2)</f>
        <v>8.35</v>
      </c>
      <c r="OG6" s="61">
        <f>IF($CX6="P",CU6,(CU6+BQ6)/2)</f>
        <v>11.45</v>
      </c>
      <c r="OH6" s="61">
        <f>IF($CX6="P",CV6,(CV6+BR6)/2)</f>
        <v>13.302499999999998</v>
      </c>
      <c r="OI6" s="61">
        <f>IF($CX6="P",CW6,(CW6+BS6)/2)</f>
        <v>0</v>
      </c>
      <c r="OJ6" s="72" t="s">
        <v>52</v>
      </c>
      <c r="OK6" s="11">
        <f>IF(SUM(NP6:NS6)-NT6&gt;0,SUM(NP6:NS6)-NT6,"")</f>
        <v>46.082499999999996</v>
      </c>
      <c r="OL6" s="11">
        <f>IF(NW6&gt;0,NW6,"")</f>
        <v>11.95</v>
      </c>
      <c r="OM6" s="11">
        <f>IF(SUM(NU6:NX6)-NY6&gt;0,SUM(NU6:NX6)-NY6,"")</f>
        <v>47.124999999999993</v>
      </c>
      <c r="ON6" s="11">
        <f>IF(OB6&gt;0,OB6,"")</f>
        <v>8.0499999999999989</v>
      </c>
      <c r="OO6" s="11">
        <f>IF(SUM(NZ6:OC6)-OD6&gt;0,SUM(NZ6:OC6)-OD6,"")</f>
        <v>32.68</v>
      </c>
      <c r="OP6" s="11">
        <f>IF(OR(OK6&lt;&gt;"",OM6&lt;&gt;"",OO6&lt;&gt;""),OK6+MAX(OM6,OO6),"")</f>
        <v>93.207499999999982</v>
      </c>
      <c r="OQ6" s="11">
        <f>IF(OG6&gt;0,OG6,"")</f>
        <v>11.45</v>
      </c>
      <c r="OR6" s="11">
        <f t="shared" si="0"/>
        <v>46.402499999999989</v>
      </c>
      <c r="OS6" s="11">
        <f t="shared" si="1"/>
        <v>139.60999999999996</v>
      </c>
    </row>
    <row r="7" spans="1:409" x14ac:dyDescent="0.2">
      <c r="A7" s="5" cm="1">
        <f t="array" ref="A7">IF(AND(G7&lt;&gt;"",H7&lt;&gt;""),SUMPRODUCT((G$4:G$28&lt;&gt;"")*(H$4:H$28&lt;&gt;"")*(E$4:E$28&gt;E7))+1,IF(H7&lt;&gt;"",SUMPRODUCT((I$4:I$28="No DD")*(E$4:E$28&gt;E7))+1+SUMPRODUCT((G$4:G$28&lt;&gt;"")*(H$4:H$28&lt;&gt;"")),""))</f>
        <v>4</v>
      </c>
      <c r="B7" s="8" t="s">
        <v>100</v>
      </c>
      <c r="C7" s="4" t="s">
        <v>5</v>
      </c>
      <c r="D7" s="26">
        <v>2003</v>
      </c>
      <c r="E7" s="15">
        <f>SUM(O7:S7)</f>
        <v>98.72999999999999</v>
      </c>
      <c r="F7" s="3" t="str">
        <f>IF(G7&lt;&gt;"","P","")</f>
        <v/>
      </c>
      <c r="G7" s="115" t="str">
        <f>IF(OR(AND(AR7&gt;=AY$33,AR7&lt;&gt;"",AP7=""),AND(AT7&gt;=AY$33,AT7&lt;&gt;"",AP7=""),AND(AW7&gt;=AY$33,AW7&lt;&gt;"",AP7=""),AND(BV7&gt;=CC$33,BV7&lt;&gt;"",BT7=""),AND(BX7&gt;=CC$33,BX7&lt;&gt;"",BT7=""),AND(CA7&gt;=CC$33,CA7&lt;&gt;"",BT7=""),AND(CZ7&gt;=DG$33,CZ7&lt;&gt;"",CX7=""),AND(DB7&gt;=DG$33,DB7&lt;&gt;"",CX7=""),AND(DE7&gt;=DG$33,DE7&lt;&gt;"",CX7=""),AND(EA7&gt;=EG$33,EA7&lt;&gt;""),AND(EE7&gt;=EG$33,EE7&lt;&gt;""),AND(EW7&gt;=FC$33,EW7&lt;&gt;""),AND(FA7&gt;=FC$33,FA7&lt;&gt;""),AND(FS7&gt;=FY$33,FS7&lt;&gt;""),AND(FW7&gt;=FY$33,FW7&lt;&gt;""),AND(GO7&gt;=GU$33,GO7&lt;&gt;""),AND(GS7&gt;=GU$33,GS7&lt;&gt;""),AND(HK7&gt;=HQ$33,HK7&lt;&gt;""),AND(HO7&gt;=HQ$33,HO7&lt;&gt;""),AND(IG7&gt;=IM$33,IG7&lt;&gt;""),AND(IK7&gt;=IM$33,IK7&lt;&gt;""),AND(JC7&gt;=JI$33,JC7&lt;&gt;""),AND(JG7&gt;=JI$33,JG7&lt;&gt;""),AND(JY7&gt;=KE$33,JY7&lt;&gt;""),AND(KC7&gt;=KE$33,KC7&lt;&gt;""),AND(KU7&gt;=LA$33,KU7&lt;&gt;""),AND(KY7&gt;=LA$33,KY7&lt;&gt;""),AND(LQ7&gt;=LW$33,LQ7&lt;&gt;""),AND(LU7&gt;=LW$33,LU7&lt;&gt;""),AND(MM7&gt;=MS$33,MM7&lt;&gt;""),AND(MQ7&gt;=MS$33,MQ7&lt;&gt;""),AND(NI7&gt;=NO$33,NI7&lt;&gt;""),AND(NM7&gt;=NO$33,NM7&lt;&gt;"")),"Merit",IF(OR(AND(AR7&gt;=AY$32,AR7&lt;&gt;"",AP7=""),AND(AT7&gt;=AY$32,AT7&lt;&gt;"",AP7=""),AND(AW7&gt;=AY$32,AW7&lt;&gt;"",AP7=""),AND(BV7&gt;=CC$32,BV7&lt;&gt;"",BT7=""),AND(BX7&gt;=CC$32,BX7&lt;&gt;"",BT7=""),AND(CA7&gt;=CC$32,CA7&lt;&gt;"",BT7=""),AND(CZ7&gt;=DG$32,CZ7&lt;&gt;"",CX7=""),AND(DB7&gt;=DG$32,DB7&lt;&gt;"",CX7=""),AND(DE7&gt;=DG$32,DE7&lt;&gt;"",CX7=""),AND(EA7&gt;=EG$32,EA7&lt;&gt;""),AND(EE7&gt;=EG$32,EE7&lt;&gt;""),AND(EW7&gt;=FC$32,EW7&lt;&gt;""),AND(FA7&gt;=FC$32,FA7&lt;&gt;""),AND(FS7&gt;=FY$32,FS7&lt;&gt;""),AND(FW7&gt;=FY$32,FW7&lt;&gt;""),AND(GO7&gt;=GU$32,GO7&lt;&gt;""),AND(GS7&gt;=GU$32,GS7&lt;&gt;""),AND(HK7&gt;=HQ$32,HK7&lt;&gt;""),AND(HO7&gt;=HQ$32,HO7&lt;&gt;""),AND(IG7&gt;=IM$32,IG7&lt;&gt;""),AND(IK7&gt;=IM$32,IK7&lt;&gt;""),AND(JC7&gt;=JI$32,JC7&lt;&gt;""),AND(JG7&gt;=JI$32,JG7&lt;&gt;""),AND(JY7&gt;=KE$32,JY7&lt;&gt;""),AND(KC7&gt;=KE$32,KC7&lt;&gt;""),AND(KU7&gt;=LA$32,KU7&lt;&gt;""),AND(KY7&gt;=LA$32,KY7&lt;&gt;""),AND(LQ7&gt;=LW$32,LQ7&lt;&gt;""),AND(LU7&gt;=LW$32,LU7&lt;&gt;""),AND(MM7&gt;=MS$32,MM7&lt;&gt;""),AND(MQ7&gt;=MS$32,MQ7&lt;&gt;""),AND(NI7&gt;=NO$32,NI7&lt;&gt;""),AND(NM7&gt;=NO$32,NM7&lt;&gt;"")),"Excellence",IF(OR(AND(AR7&gt;=AY$31,AR7&lt;&gt;"",AP7=""),AND(AT7&gt;=AY$31,AT7&lt;&gt;"",AP7=""),AND(AW7&gt;=AY$31,AW7&lt;&gt;"",AP7=""),AND(BV7&gt;=CC$31,BV7&lt;&gt;"",BT7=""),AND(BX7&gt;=CC$31,BX7&lt;&gt;"",BT7=""),AND(CA7&gt;=CC$31,CA7&lt;&gt;"",BT7=""),AND(CZ7&gt;=DG$31,CZ7&lt;&gt;"",CX7=""),AND(DB7&gt;=DG$31,DB7&lt;&gt;"",CX7=""),AND(DE7&gt;=DG$31,DE7&lt;&gt;"",CX7=""),AND(EA7&gt;=EG$31,EA7&lt;&gt;""),AND(EE7&gt;=EG$31,EE7&lt;&gt;""),AND(EW7&gt;=FC$31,EW7&lt;&gt;""),AND(FA7&gt;=FC$31,FA7&lt;&gt;""),AND(FS7&gt;=FY$31,FS7&lt;&gt;""),AND(FW7&gt;=FY$31,FW7&lt;&gt;""),AND(GO7&gt;=GU$31,GO7&lt;&gt;""),AND(GS7&gt;=GU$31,GS7&lt;&gt;""),AND(HK7&gt;=HQ$31,HK7&lt;&gt;""),AND(HO7&gt;=HQ$31,HO7&lt;&gt;""),AND(IG7&gt;=IM$31,IG7&lt;&gt;""),AND(IK7&gt;=IM$31,IK7&lt;&gt;""),AND(JC7&gt;=JI$31,JC7&lt;&gt;""),AND(JG7&gt;=JI$31,JG7&lt;&gt;""),AND(JY7&gt;=KE$31,JY7&lt;&gt;""),AND(KC7&gt;=KE$31,KC7&lt;&gt;""),AND(KU7&gt;=LA$31,KU7&lt;&gt;""),AND(KY7&gt;=LA$31,KY7&lt;&gt;""),AND(LQ7&gt;=LW$31,LQ7&lt;&gt;""),AND(LU7&gt;=LW$31,LU7&lt;&gt;""),AND(MM7&gt;=MS$31,MM7&lt;&gt;""),AND(MQ7&gt;=MS$31,MQ7&lt;&gt;""),AND(NI7&gt;=NO$31,NI7&lt;&gt;""),AND(NM7&gt;=NO$31,NM7&lt;&gt;"")),"Worlds Team",IF(OR(AND(AR7&gt;=AY$30,AR7&lt;&gt;"",AP7=""),AND(AT7&gt;=AY$30,AT7&lt;&gt;"",AP7=""),AND(AW7&gt;=AY$30,AW7&lt;&gt;"",AP7=""),AND(BV7&gt;=CC$30,BV7&lt;&gt;"",BT7=""),AND(BX7&gt;=CC$30,BX7&lt;&gt;"",BT7=""),AND(CA7&gt;=CC$30,CA7&lt;&gt;"",BT7=""),AND(CZ7&gt;=DG$30,CZ7&lt;&gt;"",CX7=""),AND(DB7&gt;=DG$30,DB7&lt;&gt;"",CX7=""),AND(DE7&gt;=DG$30,DE7&lt;&gt;"",CX7=""),AND(EA7&gt;=EG$30,EA7&lt;&gt;""),AND(EE7&gt;=EG$30,EE7&lt;&gt;""),AND(EW7&gt;=FC$30,EW7&lt;&gt;""),AND(FA7&gt;=FC$30,FA7&lt;&gt;""),AND(FS7&gt;=FY$30,FS7&lt;&gt;""),AND(FW7&gt;=FY$30,FW7&lt;&gt;""),AND(GO7&gt;=GU$30,GO7&lt;&gt;""),AND(GS7&gt;=GU$30,GS7&lt;&gt;""),AND(HK7&gt;=HQ$30,HK7&lt;&gt;""),AND(HO7&gt;=HQ$30,HO7&lt;&gt;""),AND(IG7&gt;=IM$30,IG7&lt;&gt;""),AND(IK7&gt;=IM$30,IK7&lt;&gt;""),AND(JC7&gt;=JI$30,JC7&lt;&gt;""),AND(JG7&gt;=JI$30,JG7&lt;&gt;""),AND(JY7&gt;=KE$30,JY7&lt;&gt;""),AND(KC7&gt;=KE$30,KC7&lt;&gt;""),AND(KU7&gt;=LA$30,KU7&lt;&gt;""),AND(KY7&gt;=LA$30,KY7&lt;&gt;""),AND(LQ7&gt;=LW$30,LQ7&lt;&gt;""),AND(LU7&gt;=LW$30,LU7&lt;&gt;""),AND(MM7&gt;=MS$30,MM7&lt;&gt;""),AND(MQ7&gt;=MS$30,MQ7&lt;&gt;""),AND(NI7&gt;=NO$30,NI7&lt;&gt;""),AND(NM7&gt;=NO$30,NM7&lt;&gt;"")),"National Team",""))))</f>
        <v/>
      </c>
      <c r="H7" s="115" t="str">
        <f>IF(OR(AND(AS7&gt;=AY$34,AS7&lt;&gt;"",AP7=""),AND(AU7&gt;=AY$34,AU7&lt;&gt;"",AP7=""),AND(AX7&gt;=AY$34,AX7&lt;&gt;"",AP7=""),AND(BW7&gt;=CC$34,BW7&lt;&gt;"",BT7=""),AND(BY7&gt;=CC$34,BY7&lt;&gt;"",BT7=""),AND(CB7&gt;=CC$34,CB7&lt;&gt;"",BT7=""),AND(DA7&gt;=DG$34,DA7&lt;&gt;"",CX7=""),AND(DC7&gt;=DG$34,DC7&lt;&gt;"",CX7=""),AND(DF7&gt;=DG$34,DF7&lt;&gt;"",CX7=""),AND(EC7&gt;=EG$34,EC7&lt;&gt;""),AND(EF7&gt;=EG$34,EF7&lt;&gt;""),AND(EY7&gt;=FC$34,EY7&lt;&gt;""),AND(FB7&gt;=FC$34,FB7&lt;&gt;""),AND(FU7&gt;=FY$34,FU7&lt;&gt;""),AND(FX7&gt;=FY$34,FX7&lt;&gt;""),AND(GQ7&gt;=GU$34,GQ7&lt;&gt;""),AND(GT7&gt;=GU$34,GT7&lt;&gt;""),AND(HM7&gt;=HQ$34,HM7&lt;&gt;""),AND(HP7&gt;=HQ$34,HP7&lt;&gt;""),AND(II7&gt;=IM$34,II7&lt;&gt;""),AND(IL7&gt;=IM$34,IL7&lt;&gt;""),AND(JE7&gt;=JI$34,JE7&lt;&gt;""),AND(JH7&gt;=JI$34,JH7&lt;&gt;""),AND(KA7&gt;=KE$34,KA7&lt;&gt;""),AND(KD7&gt;=KE$34,KD7&lt;&gt;""),AND(KW7&gt;=LA$34,KW7&lt;&gt;""),AND(KZ7&gt;=LA$34,KZ7&lt;&gt;""),AND(LS7&gt;=LW$34,LS7&lt;&gt;""),AND(LV7&gt;=LW$34,LV7&lt;&gt;""),AND(MO7&gt;=MS$34,MO7&lt;&gt;""),AND(MR7&gt;=MS$34,MR7&lt;&gt;""),AND(NK7&gt;=NO$34,NK7&lt;&gt;""),AND(NN7&gt;=NO$34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No DD</v>
      </c>
      <c r="J7" s="3" t="str">
        <f>IF(AND(OR(AND(AV7&gt;=AY$35,AV7&lt;&gt;"",AP7=""),AND(BZ7&gt;=CC$35,BZ7&lt;&gt;"",BT7=""),AND(DD7&gt;=DG$35,DD7&lt;&gt;"",CX7=""),AND(ED7&gt;=EG$35,ED7&lt;&gt;""),AND(EZ7&gt;=FC$35,EZ7&lt;&gt;""),AND(FV7&gt;=FY$35,FV7&lt;&gt;""),AND(GR7&gt;=GU$35,GR7&lt;&gt;""),AND(HN7&gt;=HQ$35,HN7&lt;&gt;""),AND(IJ7&gt;=IM$35,IJ7&lt;&gt;""),AND(JF7&gt;=JI$35,JF7&lt;&gt;""),AND(KB7&gt;=KE$35,KB7&lt;&gt;""),AND(KX7&gt;=LA$35,KX7&lt;&gt;""),AND(LT7&gt;=LW$35,LT7&lt;&gt;""),AND(MP7&gt;=MS$35,MP7&lt;&gt;""),AND(NL7&gt;=NO$35,NL7&lt;&gt;"")),OR(G7="Worlds Team",G7="Excellence",G7="Merit")),"P","")</f>
        <v/>
      </c>
      <c r="K7" s="14">
        <f>IF(MAX(AV7,BZ7,DD7)&gt;0,MAX(AV7,BZ7,DD7),0)</f>
        <v>90.56</v>
      </c>
      <c r="L7" s="14" t="str">
        <f>IF(K7=0,"",IF(K7=DD7,$CD$1,IF(K7=BZ7,$AZ$1,IF(K7=AV7,$V$1,""))))</f>
        <v>2021 Elite Canada</v>
      </c>
      <c r="M7" s="14">
        <f>IF($K7=$AV7,MAX(BU7,CY7),IF($K7=$BZ7,MAX(AQ7,CY7),IF($K7=$DD7,MAX(AQ7,BU7),MAX(AQ7,BU7,CY7))))</f>
        <v>42.290000000000006</v>
      </c>
      <c r="N7" s="14" t="str">
        <f>IF(M7=0,"",IF(AND(M7=CY7,$L7&lt;&gt;$CD$1),$CD$1,IF(AND(M7=BU7,$L7&lt;&gt;$AZ$1),$AZ$1,IF(AND(M7=AQ7,$L7&lt;&gt;$V$1),$V$1,""))))</f>
        <v>2021 Canadian Championships</v>
      </c>
      <c r="O7" s="14">
        <f>MAX(AS7,AU7,AX7,BW7,BY7,CB7,DA7,DC7,DF7)</f>
        <v>49.964999999999996</v>
      </c>
      <c r="P7" s="14" t="str">
        <f>IF(O7=0,"",IF(OR(O7=DC7,O7=DA7,O7=DF7),$CD$1,IF(OR(O7=BY7,O7=BW7,O7=CB7),$AZ$1,IF(OR(O7=AU7,O7=AS7,O7=AX7),$V$1,""))))</f>
        <v>2021 Elite Canada</v>
      </c>
      <c r="Q7" s="14">
        <f>IF(COUNT(AS7,AU7,AX7,BW7,BY7,CB7,DA7,DC7,DF7)&gt;1,LARGE((AS7,AU7,AX7,BW7,BY7,CB7,DA7,DC7,DF7),2),0)</f>
        <v>48.765000000000001</v>
      </c>
      <c r="R7" s="14" t="str">
        <f>IF(Q7=0,"",IF(OR(Q7=DC7,Q7=DA7,Q7=DF7),$CD$1,IF(OR(Q7=BY7,Q7=BW7,Q7=CB7),$AZ$1,IF(OR(Q7=AU7,Q7=AS7,Q7=AX7),$V$1,""))))</f>
        <v>2021 Elite Canada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16.2</v>
      </c>
      <c r="W7" s="61">
        <v>9</v>
      </c>
      <c r="X7" s="61">
        <v>2.1</v>
      </c>
      <c r="Y7" s="61">
        <v>14.725</v>
      </c>
      <c r="Z7" s="61">
        <v>0</v>
      </c>
      <c r="AA7" s="61">
        <v>7.3</v>
      </c>
      <c r="AB7" s="61">
        <v>4.2</v>
      </c>
      <c r="AC7" s="61">
        <v>4.3</v>
      </c>
      <c r="AD7" s="61">
        <v>7.1449999999999996</v>
      </c>
      <c r="AE7" s="61">
        <v>0</v>
      </c>
      <c r="AF7" s="61"/>
      <c r="AG7" s="61"/>
      <c r="AH7" s="61"/>
      <c r="AI7" s="61"/>
      <c r="AJ7" s="61"/>
      <c r="AK7" s="61">
        <v>3.2</v>
      </c>
      <c r="AL7" s="61">
        <v>1.8</v>
      </c>
      <c r="AM7" s="61">
        <v>2.5</v>
      </c>
      <c r="AN7" s="61">
        <v>2.88</v>
      </c>
      <c r="AO7" s="61">
        <v>0</v>
      </c>
      <c r="AP7" s="72"/>
      <c r="AQ7" s="11">
        <f>IF(SUM(V7:Y7)-Z7&gt;0,SUM(V7:Y7)-Z7,"")</f>
        <v>42.024999999999999</v>
      </c>
      <c r="AR7" s="11">
        <f>IF(AC7&gt;0,AC7,"")</f>
        <v>4.3</v>
      </c>
      <c r="AS7" s="11">
        <f>IF(SUM(AA7:AD7)-AE7&gt;0,SUM(AA7:AD7)-AE7,"")</f>
        <v>22.945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64.97</v>
      </c>
      <c r="AW7" s="11">
        <f>IF(AM7&gt;0,AM7,"")</f>
        <v>2.5</v>
      </c>
      <c r="AX7" s="11">
        <f>IF(SUM(AK7:AN7)-AO7&gt;0,SUM(AK7:AN7)-AO7,"")</f>
        <v>10.379999999999999</v>
      </c>
      <c r="AY7" s="11">
        <f>IF(SUM(AV7,AX7)&gt;0,SUM(AV7,AX7),"")</f>
        <v>75.349999999999994</v>
      </c>
      <c r="AZ7" s="67">
        <v>16.3</v>
      </c>
      <c r="BA7" s="67">
        <v>8.9</v>
      </c>
      <c r="BB7" s="67">
        <v>2.1</v>
      </c>
      <c r="BC7" s="67">
        <v>14.494999999999999</v>
      </c>
      <c r="BD7" s="67">
        <v>0</v>
      </c>
      <c r="BE7" s="67">
        <v>15.4</v>
      </c>
      <c r="BF7" s="67">
        <v>8.9</v>
      </c>
      <c r="BG7" s="67">
        <v>10.6</v>
      </c>
      <c r="BH7" s="67">
        <v>13.865</v>
      </c>
      <c r="BI7" s="67">
        <v>0</v>
      </c>
      <c r="BJ7" s="67"/>
      <c r="BK7" s="67"/>
      <c r="BL7" s="67"/>
      <c r="BM7" s="67"/>
      <c r="BN7" s="67"/>
      <c r="BO7" s="67">
        <v>15.8</v>
      </c>
      <c r="BP7" s="67">
        <v>9.5</v>
      </c>
      <c r="BQ7" s="67">
        <v>10.6</v>
      </c>
      <c r="BR7" s="67">
        <v>14.065</v>
      </c>
      <c r="BS7" s="67">
        <v>0</v>
      </c>
      <c r="BT7" s="73"/>
      <c r="BU7" s="14">
        <f>IF(SUM(AZ7:BC7)-BD7&gt;0,SUM(AZ7:BC7)-BD7,"")</f>
        <v>41.795000000000002</v>
      </c>
      <c r="BV7" s="14">
        <f>IF(BG7&gt;0,BG7,"")</f>
        <v>10.6</v>
      </c>
      <c r="BW7" s="14">
        <f>IF(SUM(BE7:BH7)-BI7&gt;0,SUM(BE7:BH7)-BI7,"")</f>
        <v>48.765000000000001</v>
      </c>
      <c r="BX7" s="14" t="str">
        <f>IF(BL7&gt;0,BL7,"")</f>
        <v/>
      </c>
      <c r="BY7" s="14" t="str">
        <f>IF(SUM(BJ7:BM7)-BN7&gt;0,SUM(BJ7:BM7)-BN7,"")</f>
        <v/>
      </c>
      <c r="BZ7" s="14">
        <f>IF(BU7="",IF(MAX(BW7,BY7)&gt;0,MAX(BW7,BY7),""),MAX(BW7,BY7)+BU7)</f>
        <v>90.56</v>
      </c>
      <c r="CA7" s="14">
        <f>IF(BQ7&gt;0,BQ7,"")</f>
        <v>10.6</v>
      </c>
      <c r="CB7" s="14">
        <f>IF(SUM(BO7:BR7)-BS7&gt;0,SUM(BO7:BR7)-BS7,"")</f>
        <v>49.964999999999996</v>
      </c>
      <c r="CC7" s="14">
        <f>IF(SUM(BZ7,CB7)&gt;0,SUM(BZ7,CB7),"")</f>
        <v>140.52500000000001</v>
      </c>
      <c r="CD7" s="61">
        <v>16.8</v>
      </c>
      <c r="CE7" s="61">
        <v>8.9</v>
      </c>
      <c r="CF7" s="61">
        <v>2.1</v>
      </c>
      <c r="CG7" s="61">
        <v>14.49</v>
      </c>
      <c r="CH7" s="61">
        <v>0</v>
      </c>
      <c r="CI7" s="61">
        <v>2.9</v>
      </c>
      <c r="CJ7" s="61">
        <v>1.7</v>
      </c>
      <c r="CK7" s="61">
        <v>2.5</v>
      </c>
      <c r="CL7" s="61">
        <v>2.83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>IF(SUM(CD7:CG7)-CH7&gt;0,SUM(CD7:CG7)-CH7,"")</f>
        <v>42.290000000000006</v>
      </c>
      <c r="CZ7" s="11">
        <f>IF(CK7&gt;0,CK7,"")</f>
        <v>2.5</v>
      </c>
      <c r="DA7" s="11">
        <f>IF(SUM(CI7:CL7)-CM7&gt;0,SUM(CI7:CL7)-CM7,"")</f>
        <v>9.93</v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52.220000000000006</v>
      </c>
      <c r="DE7" s="11" t="str">
        <f>IF(CU7&gt;0,CU7,"")</f>
        <v/>
      </c>
      <c r="DF7" s="11" t="str">
        <f>IF(SUM(CS7:CV7)-CW7&gt;0,SUM(CS7:CV7)-CW7,"")</f>
        <v/>
      </c>
      <c r="DG7" s="11">
        <f>IF(SUM(DD7,DF7)&gt;0,SUM(DD7,DF7),"")</f>
        <v>52.220000000000006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16.55</v>
      </c>
      <c r="NQ7" s="61">
        <f>IF($CX7="P",CE7,(CE7+BA7)/2)</f>
        <v>8.9</v>
      </c>
      <c r="NR7" s="61">
        <f>IF($CX7="P",CF7,(CF7+BB7)/2)</f>
        <v>2.1</v>
      </c>
      <c r="NS7" s="61">
        <f>IF($CX7="P",CG7,(CG7+BC7)/2)</f>
        <v>14.4925</v>
      </c>
      <c r="NT7" s="61">
        <f>IF($CX7="P",CH7,(CH7+BD7)/2)</f>
        <v>0</v>
      </c>
      <c r="NU7" s="61">
        <f>IF($CX7="P",CI7,(CI7+BE7)/2)</f>
        <v>9.15</v>
      </c>
      <c r="NV7" s="61">
        <f>IF($CX7="P",CJ7,(CJ7+BF7)/2)</f>
        <v>5.3</v>
      </c>
      <c r="NW7" s="61">
        <f>IF($CX7="P",CK7,(CK7+BG7)/2)</f>
        <v>6.55</v>
      </c>
      <c r="NX7" s="61">
        <f>IF($CX7="P",CL7,(CL7+BH7)/2)</f>
        <v>8.3475000000000001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7.9</v>
      </c>
      <c r="OF7" s="61">
        <f>IF($CX7="P",CT7,(CT7+BP7)/2)</f>
        <v>4.75</v>
      </c>
      <c r="OG7" s="61">
        <f>IF($CX7="P",CU7,(CU7+BQ7)/2)</f>
        <v>5.3</v>
      </c>
      <c r="OH7" s="61">
        <f>IF($CX7="P",CV7,(CV7+BR7)/2)</f>
        <v>7.0324999999999998</v>
      </c>
      <c r="OI7" s="61">
        <f>IF($CX7="P",CW7,(CW7+BS7)/2)</f>
        <v>0</v>
      </c>
      <c r="OJ7" s="72" t="s">
        <v>52</v>
      </c>
      <c r="OK7" s="11">
        <f>IF(SUM(NP7:NS7)-NT7&gt;0,SUM(NP7:NS7)-NT7,"")</f>
        <v>42.042500000000004</v>
      </c>
      <c r="OL7" s="11">
        <f>IF(NW7&gt;0,NW7,"")</f>
        <v>6.55</v>
      </c>
      <c r="OM7" s="11">
        <f>IF(SUM(NU7:NX7)-NY7&gt;0,SUM(NU7:NX7)-NY7,"")</f>
        <v>29.3475</v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71.39</v>
      </c>
      <c r="OQ7" s="11">
        <f>IF(OG7&gt;0,OG7,"")</f>
        <v>5.3</v>
      </c>
      <c r="OR7" s="11">
        <f t="shared" si="0"/>
        <v>24.982499999999998</v>
      </c>
      <c r="OS7" s="11">
        <f t="shared" si="1"/>
        <v>96.372500000000002</v>
      </c>
    </row>
    <row r="8" spans="1:409" x14ac:dyDescent="0.2">
      <c r="A8" s="5" cm="1">
        <f t="array" ref="A8">IF(AND(G8&lt;&gt;"",H8&lt;&gt;""),SUMPRODUCT((G$4:G$28&lt;&gt;"")*(H$4:H$28&lt;&gt;"")*(E$4:E$28&gt;E8))+1,IF(H8&lt;&gt;"",SUMPRODUCT((I$4:I$28="No DD")*(E$4:E$28&gt;E8))+1+SUMPRODUCT((G$4:G$28&lt;&gt;"")*(H$4:H$28&lt;&gt;"")),""))</f>
        <v>5</v>
      </c>
      <c r="B8" s="6" t="s">
        <v>152</v>
      </c>
      <c r="C8" s="7" t="s">
        <v>3</v>
      </c>
      <c r="D8" s="26">
        <v>2001</v>
      </c>
      <c r="E8" s="15">
        <f>SUM(O8:S8)</f>
        <v>96.945000000000007</v>
      </c>
      <c r="F8" s="3" t="str">
        <f>IF(G8&lt;&gt;"","P","")</f>
        <v/>
      </c>
      <c r="G8" s="115" t="str">
        <f>IF(OR(AND(AR8&gt;=AY$33,AR8&lt;&gt;"",AP8=""),AND(AT8&gt;=AY$33,AT8&lt;&gt;"",AP8=""),AND(AW8&gt;=AY$33,AW8&lt;&gt;"",AP8=""),AND(BV8&gt;=CC$33,BV8&lt;&gt;"",BT8=""),AND(BX8&gt;=CC$33,BX8&lt;&gt;"",BT8=""),AND(CA8&gt;=CC$33,CA8&lt;&gt;"",BT8=""),AND(CZ8&gt;=DG$33,CZ8&lt;&gt;"",CX8=""),AND(DB8&gt;=DG$33,DB8&lt;&gt;"",CX8=""),AND(DE8&gt;=DG$33,DE8&lt;&gt;"",CX8=""),AND(EA8&gt;=EG$33,EA8&lt;&gt;""),AND(EE8&gt;=EG$33,EE8&lt;&gt;""),AND(EW8&gt;=FC$33,EW8&lt;&gt;""),AND(FA8&gt;=FC$33,FA8&lt;&gt;""),AND(FS8&gt;=FY$33,FS8&lt;&gt;""),AND(FW8&gt;=FY$33,FW8&lt;&gt;""),AND(GO8&gt;=GU$33,GO8&lt;&gt;""),AND(GS8&gt;=GU$33,GS8&lt;&gt;""),AND(HK8&gt;=HQ$33,HK8&lt;&gt;""),AND(HO8&gt;=HQ$33,HO8&lt;&gt;""),AND(IG8&gt;=IM$33,IG8&lt;&gt;""),AND(IK8&gt;=IM$33,IK8&lt;&gt;""),AND(JC8&gt;=JI$33,JC8&lt;&gt;""),AND(JG8&gt;=JI$33,JG8&lt;&gt;""),AND(JY8&gt;=KE$33,JY8&lt;&gt;""),AND(KC8&gt;=KE$33,KC8&lt;&gt;""),AND(KU8&gt;=LA$33,KU8&lt;&gt;""),AND(KY8&gt;=LA$33,KY8&lt;&gt;""),AND(LQ8&gt;=LW$33,LQ8&lt;&gt;""),AND(LU8&gt;=LW$33,LU8&lt;&gt;""),AND(MM8&gt;=MS$33,MM8&lt;&gt;""),AND(MQ8&gt;=MS$33,MQ8&lt;&gt;""),AND(NI8&gt;=NO$33,NI8&lt;&gt;""),AND(NM8&gt;=NO$33,NM8&lt;&gt;"")),"Merit",IF(OR(AND(AR8&gt;=AY$32,AR8&lt;&gt;"",AP8=""),AND(AT8&gt;=AY$32,AT8&lt;&gt;"",AP8=""),AND(AW8&gt;=AY$32,AW8&lt;&gt;"",AP8=""),AND(BV8&gt;=CC$32,BV8&lt;&gt;"",BT8=""),AND(BX8&gt;=CC$32,BX8&lt;&gt;"",BT8=""),AND(CA8&gt;=CC$32,CA8&lt;&gt;"",BT8=""),AND(CZ8&gt;=DG$32,CZ8&lt;&gt;"",CX8=""),AND(DB8&gt;=DG$32,DB8&lt;&gt;"",CX8=""),AND(DE8&gt;=DG$32,DE8&lt;&gt;"",CX8=""),AND(EA8&gt;=EG$32,EA8&lt;&gt;""),AND(EE8&gt;=EG$32,EE8&lt;&gt;""),AND(EW8&gt;=FC$32,EW8&lt;&gt;""),AND(FA8&gt;=FC$32,FA8&lt;&gt;""),AND(FS8&gt;=FY$32,FS8&lt;&gt;""),AND(FW8&gt;=FY$32,FW8&lt;&gt;""),AND(GO8&gt;=GU$32,GO8&lt;&gt;""),AND(GS8&gt;=GU$32,GS8&lt;&gt;""),AND(HK8&gt;=HQ$32,HK8&lt;&gt;""),AND(HO8&gt;=HQ$32,HO8&lt;&gt;""),AND(IG8&gt;=IM$32,IG8&lt;&gt;""),AND(IK8&gt;=IM$32,IK8&lt;&gt;""),AND(JC8&gt;=JI$32,JC8&lt;&gt;""),AND(JG8&gt;=JI$32,JG8&lt;&gt;""),AND(JY8&gt;=KE$32,JY8&lt;&gt;""),AND(KC8&gt;=KE$32,KC8&lt;&gt;""),AND(KU8&gt;=LA$32,KU8&lt;&gt;""),AND(KY8&gt;=LA$32,KY8&lt;&gt;""),AND(LQ8&gt;=LW$32,LQ8&lt;&gt;""),AND(LU8&gt;=LW$32,LU8&lt;&gt;""),AND(MM8&gt;=MS$32,MM8&lt;&gt;""),AND(MQ8&gt;=MS$32,MQ8&lt;&gt;""),AND(NI8&gt;=NO$32,NI8&lt;&gt;""),AND(NM8&gt;=NO$32,NM8&lt;&gt;"")),"Excellence",IF(OR(AND(AR8&gt;=AY$31,AR8&lt;&gt;"",AP8=""),AND(AT8&gt;=AY$31,AT8&lt;&gt;"",AP8=""),AND(AW8&gt;=AY$31,AW8&lt;&gt;"",AP8=""),AND(BV8&gt;=CC$31,BV8&lt;&gt;"",BT8=""),AND(BX8&gt;=CC$31,BX8&lt;&gt;"",BT8=""),AND(CA8&gt;=CC$31,CA8&lt;&gt;"",BT8=""),AND(CZ8&gt;=DG$31,CZ8&lt;&gt;"",CX8=""),AND(DB8&gt;=DG$31,DB8&lt;&gt;"",CX8=""),AND(DE8&gt;=DG$31,DE8&lt;&gt;"",CX8=""),AND(EA8&gt;=EG$31,EA8&lt;&gt;""),AND(EE8&gt;=EG$31,EE8&lt;&gt;""),AND(EW8&gt;=FC$31,EW8&lt;&gt;""),AND(FA8&gt;=FC$31,FA8&lt;&gt;""),AND(FS8&gt;=FY$31,FS8&lt;&gt;""),AND(FW8&gt;=FY$31,FW8&lt;&gt;""),AND(GO8&gt;=GU$31,GO8&lt;&gt;""),AND(GS8&gt;=GU$31,GS8&lt;&gt;""),AND(HK8&gt;=HQ$31,HK8&lt;&gt;""),AND(HO8&gt;=HQ$31,HO8&lt;&gt;""),AND(IG8&gt;=IM$31,IG8&lt;&gt;""),AND(IK8&gt;=IM$31,IK8&lt;&gt;""),AND(JC8&gt;=JI$31,JC8&lt;&gt;""),AND(JG8&gt;=JI$31,JG8&lt;&gt;""),AND(JY8&gt;=KE$31,JY8&lt;&gt;""),AND(KC8&gt;=KE$31,KC8&lt;&gt;""),AND(KU8&gt;=LA$31,KU8&lt;&gt;""),AND(KY8&gt;=LA$31,KY8&lt;&gt;""),AND(LQ8&gt;=LW$31,LQ8&lt;&gt;""),AND(LU8&gt;=LW$31,LU8&lt;&gt;""),AND(MM8&gt;=MS$31,MM8&lt;&gt;""),AND(MQ8&gt;=MS$31,MQ8&lt;&gt;""),AND(NI8&gt;=NO$31,NI8&lt;&gt;""),AND(NM8&gt;=NO$31,NM8&lt;&gt;"")),"Worlds Team",IF(OR(AND(AR8&gt;=AY$30,AR8&lt;&gt;"",AP8=""),AND(AT8&gt;=AY$30,AT8&lt;&gt;"",AP8=""),AND(AW8&gt;=AY$30,AW8&lt;&gt;"",AP8=""),AND(BV8&gt;=CC$30,BV8&lt;&gt;"",BT8=""),AND(BX8&gt;=CC$30,BX8&lt;&gt;"",BT8=""),AND(CA8&gt;=CC$30,CA8&lt;&gt;"",BT8=""),AND(CZ8&gt;=DG$30,CZ8&lt;&gt;"",CX8=""),AND(DB8&gt;=DG$30,DB8&lt;&gt;"",CX8=""),AND(DE8&gt;=DG$30,DE8&lt;&gt;"",CX8=""),AND(EA8&gt;=EG$30,EA8&lt;&gt;""),AND(EE8&gt;=EG$30,EE8&lt;&gt;""),AND(EW8&gt;=FC$30,EW8&lt;&gt;""),AND(FA8&gt;=FC$30,FA8&lt;&gt;""),AND(FS8&gt;=FY$30,FS8&lt;&gt;""),AND(FW8&gt;=FY$30,FW8&lt;&gt;""),AND(GO8&gt;=GU$30,GO8&lt;&gt;""),AND(GS8&gt;=GU$30,GS8&lt;&gt;""),AND(HK8&gt;=HQ$30,HK8&lt;&gt;""),AND(HO8&gt;=HQ$30,HO8&lt;&gt;""),AND(IG8&gt;=IM$30,IG8&lt;&gt;""),AND(IK8&gt;=IM$30,IK8&lt;&gt;""),AND(JC8&gt;=JI$30,JC8&lt;&gt;""),AND(JG8&gt;=JI$30,JG8&lt;&gt;""),AND(JY8&gt;=KE$30,JY8&lt;&gt;""),AND(KC8&gt;=KE$30,KC8&lt;&gt;""),AND(KU8&gt;=LA$30,KU8&lt;&gt;""),AND(KY8&gt;=LA$30,KY8&lt;&gt;""),AND(LQ8&gt;=LW$30,LQ8&lt;&gt;""),AND(LU8&gt;=LW$30,LU8&lt;&gt;""),AND(MM8&gt;=MS$30,MM8&lt;&gt;""),AND(MQ8&gt;=MS$30,MQ8&lt;&gt;""),AND(NI8&gt;=NO$30,NI8&lt;&gt;""),AND(NM8&gt;=NO$30,NM8&lt;&gt;"")),"National Team",""))))</f>
        <v/>
      </c>
      <c r="H8" s="115" t="str">
        <f>IF(OR(AND(AS8&gt;=AY$34,AS8&lt;&gt;"",AP8=""),AND(AU8&gt;=AY$34,AU8&lt;&gt;"",AP8=""),AND(AX8&gt;=AY$34,AX8&lt;&gt;"",AP8=""),AND(BW8&gt;=CC$34,BW8&lt;&gt;"",BT8=""),AND(BY8&gt;=CC$34,BY8&lt;&gt;"",BT8=""),AND(CB8&gt;=CC$34,CB8&lt;&gt;"",BT8=""),AND(DA8&gt;=DG$34,DA8&lt;&gt;"",CX8=""),AND(DC8&gt;=DG$34,DC8&lt;&gt;"",CX8=""),AND(DF8&gt;=DG$34,DF8&lt;&gt;"",CX8=""),AND(EC8&gt;=EG$34,EC8&lt;&gt;""),AND(EF8&gt;=EG$34,EF8&lt;&gt;""),AND(EY8&gt;=FC$34,EY8&lt;&gt;""),AND(FB8&gt;=FC$34,FB8&lt;&gt;""),AND(FU8&gt;=FY$34,FU8&lt;&gt;""),AND(FX8&gt;=FY$34,FX8&lt;&gt;""),AND(GQ8&gt;=GU$34,GQ8&lt;&gt;""),AND(GT8&gt;=GU$34,GT8&lt;&gt;""),AND(HM8&gt;=HQ$34,HM8&lt;&gt;""),AND(HP8&gt;=HQ$34,HP8&lt;&gt;""),AND(II8&gt;=IM$34,II8&lt;&gt;""),AND(IL8&gt;=IM$34,IL8&lt;&gt;""),AND(JE8&gt;=JI$34,JE8&lt;&gt;""),AND(JH8&gt;=JI$34,JH8&lt;&gt;""),AND(KA8&gt;=KE$34,KA8&lt;&gt;""),AND(KD8&gt;=KE$34,KD8&lt;&gt;""),AND(KW8&gt;=LA$34,KW8&lt;&gt;""),AND(KZ8&gt;=LA$34,KZ8&lt;&gt;""),AND(LS8&gt;=LW$34,LS8&lt;&gt;""),AND(LV8&gt;=LW$34,LV8&lt;&gt;""),AND(MO8&gt;=MS$34,MO8&lt;&gt;""),AND(MR8&gt;=MS$34,MR8&lt;&gt;""),AND(NK8&gt;=NO$34,NK8&lt;&gt;""),AND(NN8&gt;=NO$34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No DD</v>
      </c>
      <c r="J8" s="3" t="str">
        <f>IF(AND(OR(AND(AV8&gt;=AY$35,AV8&lt;&gt;"",AP8=""),AND(BZ8&gt;=CC$35,BZ8&lt;&gt;"",BT8=""),AND(DD8&gt;=DG$35,DD8&lt;&gt;"",CX8=""),AND(ED8&gt;=EG$35,ED8&lt;&gt;""),AND(EZ8&gt;=FC$35,EZ8&lt;&gt;""),AND(FV8&gt;=FY$35,FV8&lt;&gt;""),AND(GR8&gt;=GU$35,GR8&lt;&gt;""),AND(HN8&gt;=HQ$35,HN8&lt;&gt;""),AND(IJ8&gt;=IM$35,IJ8&lt;&gt;""),AND(JF8&gt;=JI$35,JF8&lt;&gt;""),AND(KB8&gt;=KE$35,KB8&lt;&gt;""),AND(KX8&gt;=LA$35,KX8&lt;&gt;""),AND(LT8&gt;=LW$35,LT8&lt;&gt;""),AND(MP8&gt;=MS$35,MP8&lt;&gt;""),AND(NL8&gt;=NO$35,NL8&lt;&gt;"")),OR(G8="Worlds Team",G8="Excellence",G8="Merit")),"P","")</f>
        <v/>
      </c>
      <c r="K8" s="14">
        <f>IF(MAX(AV8,BZ8,DD8)&gt;0,MAX(AV8,BZ8,DD8),0)</f>
        <v>88.435000000000002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0</v>
      </c>
      <c r="N8" s="14" t="str">
        <f>IF(M8=0,"",IF(AND(M8=CY8,$L8&lt;&gt;$CD$1),$CD$1,IF(AND(M8=BU8,$L8&lt;&gt;$AZ$1),$AZ$1,IF(AND(M8=AQ8,$L8&lt;&gt;$V$1),$V$1,""))))</f>
        <v/>
      </c>
      <c r="O8" s="14">
        <f>MAX(AS8,AU8,AX8,BW8,BY8,CB8,DA8,DC8,DF8)</f>
        <v>49.64</v>
      </c>
      <c r="P8" s="14" t="str">
        <f>IF(O8=0,"",IF(OR(O8=DC8,O8=DA8,O8=DF8),$CD$1,IF(OR(O8=BY8,O8=BW8,O8=CB8),$AZ$1,IF(OR(O8=AU8,O8=AS8,O8=AX8),$V$1,""))))</f>
        <v>2021 Canadian Championships</v>
      </c>
      <c r="Q8" s="14">
        <f>IF(COUNT(AS8,AU8,AX8,BW8,BY8,CB8,DA8,DC8,DF8)&gt;1,LARGE((AS8,AU8,AX8,BW8,BY8,CB8,DA8,DC8,DF8),2),0)</f>
        <v>47.305000000000007</v>
      </c>
      <c r="R8" s="14" t="str">
        <f>IF(Q8=0,"",IF(OR(Q8=DC8,Q8=DA8,Q8=DF8),$CD$1,IF(OR(Q8=BY8,Q8=BW8,Q8=CB8),$AZ$1,IF(OR(Q8=AU8,Q8=AS8,Q8=AX8),$V$1,""))))</f>
        <v>2021 Canadian Championships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 t="str">
        <f>IF(SUM(V8:Y8)-Z8&gt;0,SUM(V8:Y8)-Z8,"")</f>
        <v/>
      </c>
      <c r="AR8" s="11" t="str">
        <f>IF(AC8&gt;0,AC8,"")</f>
        <v/>
      </c>
      <c r="AS8" s="11" t="str">
        <f>IF(SUM(AA8:AD8)-AE8&gt;0,SUM(AA8:AD8)-AE8,"")</f>
        <v/>
      </c>
      <c r="AT8" s="11" t="str">
        <f>IF(AH8&gt;0,AH8,"")</f>
        <v/>
      </c>
      <c r="AU8" s="11" t="str">
        <f>IF(SUM(AF8:AI8)-AJ8&gt;0,SUM(AF8:AI8)-AJ8,"")</f>
        <v/>
      </c>
      <c r="AV8" s="11" t="str">
        <f>IF(AQ8="",IF(MAX(AS8,AU8)&gt;0,MAX(AS8,AU8),""),MAX(AS8,AU8)+AQ8)</f>
        <v/>
      </c>
      <c r="AW8" s="11" t="str">
        <f>IF(AM8&gt;0,AM8,"")</f>
        <v/>
      </c>
      <c r="AX8" s="11" t="str">
        <f>IF(SUM(AK8:AN8)-AO8&gt;0,SUM(AK8:AN8)-AO8,"")</f>
        <v/>
      </c>
      <c r="AY8" s="11" t="str">
        <f>IF(SUM(AV8,AX8)&gt;0,SUM(AV8,AX8),"")</f>
        <v/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>IF(SUM(AZ8:BC8)-BD8&gt;0,SUM(AZ8:BC8)-BD8,"")</f>
        <v/>
      </c>
      <c r="BV8" s="14" t="str">
        <f>IF(BG8&gt;0,BG8,"")</f>
        <v/>
      </c>
      <c r="BW8" s="14" t="str">
        <f>IF(SUM(BE8:BH8)-BI8&gt;0,SUM(BE8:BH8)-BI8,"")</f>
        <v/>
      </c>
      <c r="BX8" s="14" t="str">
        <f>IF(BL8&gt;0,BL8,"")</f>
        <v/>
      </c>
      <c r="BY8" s="14" t="str">
        <f>IF(SUM(BJ8:BM8)-BN8&gt;0,SUM(BJ8:BM8)-BN8,"")</f>
        <v/>
      </c>
      <c r="BZ8" s="14" t="str">
        <f>IF(BU8="",IF(MAX(BW8,BY8)&gt;0,MAX(BW8,BY8),""),MAX(BW8,BY8)+BU8)</f>
        <v/>
      </c>
      <c r="CA8" s="14" t="str">
        <f>IF(BQ8&gt;0,BQ8,"")</f>
        <v/>
      </c>
      <c r="CB8" s="14" t="str">
        <f>IF(SUM(BO8:BR8)-BS8&gt;0,SUM(BO8:BR8)-BS8,"")</f>
        <v/>
      </c>
      <c r="CC8" s="14" t="str">
        <f>IF(SUM(BZ8,CB8)&gt;0,SUM(BZ8,CB8),"")</f>
        <v/>
      </c>
      <c r="CD8" s="61">
        <v>16.5</v>
      </c>
      <c r="CE8" s="61">
        <v>9</v>
      </c>
      <c r="CF8" s="61">
        <v>2.5</v>
      </c>
      <c r="CG8" s="61">
        <v>15.13</v>
      </c>
      <c r="CH8" s="61">
        <v>2</v>
      </c>
      <c r="CI8" s="61">
        <v>15.7</v>
      </c>
      <c r="CJ8" s="61">
        <v>8.9</v>
      </c>
      <c r="CK8" s="61">
        <v>8.5</v>
      </c>
      <c r="CL8" s="61">
        <v>14.505000000000001</v>
      </c>
      <c r="CM8" s="61">
        <v>0.3</v>
      </c>
      <c r="CN8" s="61"/>
      <c r="CO8" s="61"/>
      <c r="CP8" s="61"/>
      <c r="CQ8" s="61"/>
      <c r="CR8" s="61"/>
      <c r="CS8" s="61">
        <v>15.3</v>
      </c>
      <c r="CT8" s="61">
        <v>9.3000000000000007</v>
      </c>
      <c r="CU8" s="61">
        <v>10.4</v>
      </c>
      <c r="CV8" s="61">
        <v>14.64</v>
      </c>
      <c r="CW8" s="61">
        <v>0</v>
      </c>
      <c r="CX8" s="72"/>
      <c r="CY8" s="11">
        <f>IF(SUM(CD8:CG8)-CH8&gt;0,SUM(CD8:CG8)-CH8,"")</f>
        <v>41.13</v>
      </c>
      <c r="CZ8" s="11">
        <f>IF(CK8&gt;0,CK8,"")</f>
        <v>8.5</v>
      </c>
      <c r="DA8" s="11">
        <f>IF(SUM(CI8:CL8)-CM8&gt;0,SUM(CI8:CL8)-CM8,"")</f>
        <v>47.305000000000007</v>
      </c>
      <c r="DB8" s="11" t="str">
        <f>IF(CP8&gt;0,CP8,"")</f>
        <v/>
      </c>
      <c r="DC8" s="11" t="str">
        <f>IF(SUM(CN8:CQ8)-CR8&gt;0,SUM(CN8:CQ8)-CR8,"")</f>
        <v/>
      </c>
      <c r="DD8" s="11">
        <f>IF(CY8="",IF(MAX(DA8,DC8)&gt;0,MAX(DA8,DC8),""),MAX(DA8,DC8)+CY8)</f>
        <v>88.435000000000002</v>
      </c>
      <c r="DE8" s="11">
        <f>IF(CU8&gt;0,CU8,"")</f>
        <v>10.4</v>
      </c>
      <c r="DF8" s="11">
        <f>IF(SUM(CS8:CV8)-CW8&gt;0,SUM(CS8:CV8)-CW8,"")</f>
        <v>49.64</v>
      </c>
      <c r="DG8" s="11">
        <f>IF(SUM(DD8,DF8)&gt;0,SUM(DD8,DF8),"")</f>
        <v>138.07499999999999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8.25</v>
      </c>
      <c r="NQ8" s="61">
        <f>IF($CX8="P",CE8,(CE8+BA8)/2)</f>
        <v>4.5</v>
      </c>
      <c r="NR8" s="61">
        <f>IF($CX8="P",CF8,(CF8+BB8)/2)</f>
        <v>1.25</v>
      </c>
      <c r="NS8" s="61">
        <f>IF($CX8="P",CG8,(CG8+BC8)/2)</f>
        <v>7.5650000000000004</v>
      </c>
      <c r="NT8" s="61">
        <f>IF($CX8="P",CH8,(CH8+BD8)/2)</f>
        <v>1</v>
      </c>
      <c r="NU8" s="61">
        <f>IF($CX8="P",CI8,(CI8+BE8)/2)</f>
        <v>7.85</v>
      </c>
      <c r="NV8" s="61">
        <f>IF($CX8="P",CJ8,(CJ8+BF8)/2)</f>
        <v>4.45</v>
      </c>
      <c r="NW8" s="61">
        <f>IF($CX8="P",CK8,(CK8+BG8)/2)</f>
        <v>4.25</v>
      </c>
      <c r="NX8" s="61">
        <f>IF($CX8="P",CL8,(CL8+BH8)/2)</f>
        <v>7.2525000000000004</v>
      </c>
      <c r="NY8" s="61">
        <f>IF($CX8="P",CM8,(CM8+BI8)/2)</f>
        <v>0.15</v>
      </c>
      <c r="NZ8" s="61">
        <f>IF($CX8="P",CN8,(CN8+BJ8)/2)</f>
        <v>0</v>
      </c>
      <c r="OA8" s="61">
        <f>IF($CX8="P",CO8,(CO8+BK8)/2)</f>
        <v>0</v>
      </c>
      <c r="OB8" s="61">
        <f>IF($CX8="P",CP8,(CP8+BL8)/2)</f>
        <v>0</v>
      </c>
      <c r="OC8" s="61">
        <f>IF($CX8="P",CQ8,(CQ8+BM8)/2)</f>
        <v>0</v>
      </c>
      <c r="OD8" s="61">
        <f>IF($CX8="P",CR8,(CR8+BN8)/2)</f>
        <v>0</v>
      </c>
      <c r="OE8" s="61">
        <f>IF($CX8="P",CS8,(CS8+BO8)/2)</f>
        <v>7.65</v>
      </c>
      <c r="OF8" s="61">
        <f>IF($CX8="P",CT8,(CT8+BP8)/2)</f>
        <v>4.6500000000000004</v>
      </c>
      <c r="OG8" s="61">
        <f>IF($CX8="P",CU8,(CU8+BQ8)/2)</f>
        <v>5.2</v>
      </c>
      <c r="OH8" s="61">
        <f>IF($CX8="P",CV8,(CV8+BR8)/2)</f>
        <v>7.32</v>
      </c>
      <c r="OI8" s="61">
        <f>IF($CX8="P",CW8,(CW8+BS8)/2)</f>
        <v>0</v>
      </c>
      <c r="OJ8" s="72" t="s">
        <v>52</v>
      </c>
      <c r="OK8" s="11">
        <f>IF(SUM(NP8:NS8)-NT8&gt;0,SUM(NP8:NS8)-NT8,"")</f>
        <v>20.565000000000001</v>
      </c>
      <c r="OL8" s="11">
        <f>IF(NW8&gt;0,NW8,"")</f>
        <v>4.25</v>
      </c>
      <c r="OM8" s="11">
        <f>IF(SUM(NU8:NX8)-NY8&gt;0,SUM(NU8:NX8)-NY8,"")</f>
        <v>23.652500000000003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44.217500000000001</v>
      </c>
      <c r="OQ8" s="11">
        <f>IF(OG8&gt;0,OG8,"")</f>
        <v>5.2</v>
      </c>
      <c r="OR8" s="11">
        <f t="shared" si="0"/>
        <v>24.82</v>
      </c>
      <c r="OS8" s="11">
        <f t="shared" si="1"/>
        <v>69.037499999999994</v>
      </c>
    </row>
    <row r="9" spans="1:409" x14ac:dyDescent="0.2">
      <c r="A9" s="5" cm="1">
        <f t="array" ref="A9">IF(AND(G9&lt;&gt;"",H9&lt;&gt;""),SUMPRODUCT((G$4:G$28&lt;&gt;"")*(H$4:H$28&lt;&gt;"")*(E$4:E$28&gt;E9))+1,IF(H9&lt;&gt;"",SUMPRODUCT((I$4:I$28="No DD")*(E$4:E$28&gt;E9))+1+SUMPRODUCT((G$4:G$28&lt;&gt;"")*(H$4:H$28&lt;&gt;"")),""))</f>
        <v>6</v>
      </c>
      <c r="B9" s="8" t="s">
        <v>140</v>
      </c>
      <c r="C9" s="4" t="s">
        <v>95</v>
      </c>
      <c r="D9" s="26">
        <v>2000</v>
      </c>
      <c r="E9" s="15">
        <f>SUM(O9:S9)</f>
        <v>96.789999999999992</v>
      </c>
      <c r="F9" s="3" t="str">
        <f>IF(G9&lt;&gt;"","P","")</f>
        <v/>
      </c>
      <c r="G9" s="115" t="str">
        <f>IF(OR(AND(AR9&gt;=AY$33,AR9&lt;&gt;"",AP9=""),AND(AT9&gt;=AY$33,AT9&lt;&gt;"",AP9=""),AND(AW9&gt;=AY$33,AW9&lt;&gt;"",AP9=""),AND(BV9&gt;=CC$33,BV9&lt;&gt;"",BT9=""),AND(BX9&gt;=CC$33,BX9&lt;&gt;"",BT9=""),AND(CA9&gt;=CC$33,CA9&lt;&gt;"",BT9=""),AND(CZ9&gt;=DG$33,CZ9&lt;&gt;"",CX9=""),AND(DB9&gt;=DG$33,DB9&lt;&gt;"",CX9=""),AND(DE9&gt;=DG$33,DE9&lt;&gt;"",CX9=""),AND(EA9&gt;=EG$33,EA9&lt;&gt;""),AND(EE9&gt;=EG$33,EE9&lt;&gt;""),AND(EW9&gt;=FC$33,EW9&lt;&gt;""),AND(FA9&gt;=FC$33,FA9&lt;&gt;""),AND(FS9&gt;=FY$33,FS9&lt;&gt;""),AND(FW9&gt;=FY$33,FW9&lt;&gt;""),AND(GO9&gt;=GU$33,GO9&lt;&gt;""),AND(GS9&gt;=GU$33,GS9&lt;&gt;""),AND(HK9&gt;=HQ$33,HK9&lt;&gt;""),AND(HO9&gt;=HQ$33,HO9&lt;&gt;""),AND(IG9&gt;=IM$33,IG9&lt;&gt;""),AND(IK9&gt;=IM$33,IK9&lt;&gt;""),AND(JC9&gt;=JI$33,JC9&lt;&gt;""),AND(JG9&gt;=JI$33,JG9&lt;&gt;""),AND(JY9&gt;=KE$33,JY9&lt;&gt;""),AND(KC9&gt;=KE$33,KC9&lt;&gt;""),AND(KU9&gt;=LA$33,KU9&lt;&gt;""),AND(KY9&gt;=LA$33,KY9&lt;&gt;""),AND(LQ9&gt;=LW$33,LQ9&lt;&gt;""),AND(LU9&gt;=LW$33,LU9&lt;&gt;""),AND(MM9&gt;=MS$33,MM9&lt;&gt;""),AND(MQ9&gt;=MS$33,MQ9&lt;&gt;""),AND(NI9&gt;=NO$33,NI9&lt;&gt;""),AND(NM9&gt;=NO$33,NM9&lt;&gt;"")),"Merit",IF(OR(AND(AR9&gt;=AY$32,AR9&lt;&gt;"",AP9=""),AND(AT9&gt;=AY$32,AT9&lt;&gt;"",AP9=""),AND(AW9&gt;=AY$32,AW9&lt;&gt;"",AP9=""),AND(BV9&gt;=CC$32,BV9&lt;&gt;"",BT9=""),AND(BX9&gt;=CC$32,BX9&lt;&gt;"",BT9=""),AND(CA9&gt;=CC$32,CA9&lt;&gt;"",BT9=""),AND(CZ9&gt;=DG$32,CZ9&lt;&gt;"",CX9=""),AND(DB9&gt;=DG$32,DB9&lt;&gt;"",CX9=""),AND(DE9&gt;=DG$32,DE9&lt;&gt;"",CX9=""),AND(EA9&gt;=EG$32,EA9&lt;&gt;""),AND(EE9&gt;=EG$32,EE9&lt;&gt;""),AND(EW9&gt;=FC$32,EW9&lt;&gt;""),AND(FA9&gt;=FC$32,FA9&lt;&gt;""),AND(FS9&gt;=FY$32,FS9&lt;&gt;""),AND(FW9&gt;=FY$32,FW9&lt;&gt;""),AND(GO9&gt;=GU$32,GO9&lt;&gt;""),AND(GS9&gt;=GU$32,GS9&lt;&gt;""),AND(HK9&gt;=HQ$32,HK9&lt;&gt;""),AND(HO9&gt;=HQ$32,HO9&lt;&gt;""),AND(IG9&gt;=IM$32,IG9&lt;&gt;""),AND(IK9&gt;=IM$32,IK9&lt;&gt;""),AND(JC9&gt;=JI$32,JC9&lt;&gt;""),AND(JG9&gt;=JI$32,JG9&lt;&gt;""),AND(JY9&gt;=KE$32,JY9&lt;&gt;""),AND(KC9&gt;=KE$32,KC9&lt;&gt;""),AND(KU9&gt;=LA$32,KU9&lt;&gt;""),AND(KY9&gt;=LA$32,KY9&lt;&gt;""),AND(LQ9&gt;=LW$32,LQ9&lt;&gt;""),AND(LU9&gt;=LW$32,LU9&lt;&gt;""),AND(MM9&gt;=MS$32,MM9&lt;&gt;""),AND(MQ9&gt;=MS$32,MQ9&lt;&gt;""),AND(NI9&gt;=NO$32,NI9&lt;&gt;""),AND(NM9&gt;=NO$32,NM9&lt;&gt;"")),"Excellence",IF(OR(AND(AR9&gt;=AY$31,AR9&lt;&gt;"",AP9=""),AND(AT9&gt;=AY$31,AT9&lt;&gt;"",AP9=""),AND(AW9&gt;=AY$31,AW9&lt;&gt;"",AP9=""),AND(BV9&gt;=CC$31,BV9&lt;&gt;"",BT9=""),AND(BX9&gt;=CC$31,BX9&lt;&gt;"",BT9=""),AND(CA9&gt;=CC$31,CA9&lt;&gt;"",BT9=""),AND(CZ9&gt;=DG$31,CZ9&lt;&gt;"",CX9=""),AND(DB9&gt;=DG$31,DB9&lt;&gt;"",CX9=""),AND(DE9&gt;=DG$31,DE9&lt;&gt;"",CX9=""),AND(EA9&gt;=EG$31,EA9&lt;&gt;""),AND(EE9&gt;=EG$31,EE9&lt;&gt;""),AND(EW9&gt;=FC$31,EW9&lt;&gt;""),AND(FA9&gt;=FC$31,FA9&lt;&gt;""),AND(FS9&gt;=FY$31,FS9&lt;&gt;""),AND(FW9&gt;=FY$31,FW9&lt;&gt;""),AND(GO9&gt;=GU$31,GO9&lt;&gt;""),AND(GS9&gt;=GU$31,GS9&lt;&gt;""),AND(HK9&gt;=HQ$31,HK9&lt;&gt;""),AND(HO9&gt;=HQ$31,HO9&lt;&gt;""),AND(IG9&gt;=IM$31,IG9&lt;&gt;""),AND(IK9&gt;=IM$31,IK9&lt;&gt;""),AND(JC9&gt;=JI$31,JC9&lt;&gt;""),AND(JG9&gt;=JI$31,JG9&lt;&gt;""),AND(JY9&gt;=KE$31,JY9&lt;&gt;""),AND(KC9&gt;=KE$31,KC9&lt;&gt;""),AND(KU9&gt;=LA$31,KU9&lt;&gt;""),AND(KY9&gt;=LA$31,KY9&lt;&gt;""),AND(LQ9&gt;=LW$31,LQ9&lt;&gt;""),AND(LU9&gt;=LW$31,LU9&lt;&gt;""),AND(MM9&gt;=MS$31,MM9&lt;&gt;""),AND(MQ9&gt;=MS$31,MQ9&lt;&gt;""),AND(NI9&gt;=NO$31,NI9&lt;&gt;""),AND(NM9&gt;=NO$31,NM9&lt;&gt;"")),"Worlds Team",IF(OR(AND(AR9&gt;=AY$30,AR9&lt;&gt;"",AP9=""),AND(AT9&gt;=AY$30,AT9&lt;&gt;"",AP9=""),AND(AW9&gt;=AY$30,AW9&lt;&gt;"",AP9=""),AND(BV9&gt;=CC$30,BV9&lt;&gt;"",BT9=""),AND(BX9&gt;=CC$30,BX9&lt;&gt;"",BT9=""),AND(CA9&gt;=CC$30,CA9&lt;&gt;"",BT9=""),AND(CZ9&gt;=DG$30,CZ9&lt;&gt;"",CX9=""),AND(DB9&gt;=DG$30,DB9&lt;&gt;"",CX9=""),AND(DE9&gt;=DG$30,DE9&lt;&gt;"",CX9=""),AND(EA9&gt;=EG$30,EA9&lt;&gt;""),AND(EE9&gt;=EG$30,EE9&lt;&gt;""),AND(EW9&gt;=FC$30,EW9&lt;&gt;""),AND(FA9&gt;=FC$30,FA9&lt;&gt;""),AND(FS9&gt;=FY$30,FS9&lt;&gt;""),AND(FW9&gt;=FY$30,FW9&lt;&gt;""),AND(GO9&gt;=GU$30,GO9&lt;&gt;""),AND(GS9&gt;=GU$30,GS9&lt;&gt;""),AND(HK9&gt;=HQ$30,HK9&lt;&gt;""),AND(HO9&gt;=HQ$30,HO9&lt;&gt;""),AND(IG9&gt;=IM$30,IG9&lt;&gt;""),AND(IK9&gt;=IM$30,IK9&lt;&gt;""),AND(JC9&gt;=JI$30,JC9&lt;&gt;""),AND(JG9&gt;=JI$30,JG9&lt;&gt;""),AND(JY9&gt;=KE$30,JY9&lt;&gt;""),AND(KC9&gt;=KE$30,KC9&lt;&gt;""),AND(KU9&gt;=LA$30,KU9&lt;&gt;""),AND(KY9&gt;=LA$30,KY9&lt;&gt;""),AND(LQ9&gt;=LW$30,LQ9&lt;&gt;""),AND(LU9&gt;=LW$30,LU9&lt;&gt;""),AND(MM9&gt;=MS$30,MM9&lt;&gt;""),AND(MQ9&gt;=MS$30,MQ9&lt;&gt;""),AND(NI9&gt;=NO$30,NI9&lt;&gt;""),AND(NM9&gt;=NO$30,NM9&lt;&gt;"")),"National Team",""))))</f>
        <v/>
      </c>
      <c r="H9" s="115" t="str">
        <f>IF(OR(AND(AS9&gt;=AY$34,AS9&lt;&gt;"",AP9=""),AND(AU9&gt;=AY$34,AU9&lt;&gt;"",AP9=""),AND(AX9&gt;=AY$34,AX9&lt;&gt;"",AP9=""),AND(BW9&gt;=CC$34,BW9&lt;&gt;"",BT9=""),AND(BY9&gt;=CC$34,BY9&lt;&gt;"",BT9=""),AND(CB9&gt;=CC$34,CB9&lt;&gt;"",BT9=""),AND(DA9&gt;=DG$34,DA9&lt;&gt;"",CX9=""),AND(DC9&gt;=DG$34,DC9&lt;&gt;"",CX9=""),AND(DF9&gt;=DG$34,DF9&lt;&gt;"",CX9=""),AND(EC9&gt;=EG$34,EC9&lt;&gt;""),AND(EF9&gt;=EG$34,EF9&lt;&gt;""),AND(EY9&gt;=FC$34,EY9&lt;&gt;""),AND(FB9&gt;=FC$34,FB9&lt;&gt;""),AND(FU9&gt;=FY$34,FU9&lt;&gt;""),AND(FX9&gt;=FY$34,FX9&lt;&gt;""),AND(GQ9&gt;=GU$34,GQ9&lt;&gt;""),AND(GT9&gt;=GU$34,GT9&lt;&gt;""),AND(HM9&gt;=HQ$34,HM9&lt;&gt;""),AND(HP9&gt;=HQ$34,HP9&lt;&gt;""),AND(II9&gt;=IM$34,II9&lt;&gt;""),AND(IL9&gt;=IM$34,IL9&lt;&gt;""),AND(JE9&gt;=JI$34,JE9&lt;&gt;""),AND(JH9&gt;=JI$34,JH9&lt;&gt;""),AND(KA9&gt;=KE$34,KA9&lt;&gt;""),AND(KD9&gt;=KE$34,KD9&lt;&gt;""),AND(KW9&gt;=LA$34,KW9&lt;&gt;""),AND(KZ9&gt;=LA$34,KZ9&lt;&gt;""),AND(LS9&gt;=LW$34,LS9&lt;&gt;""),AND(LV9&gt;=LW$34,LV9&lt;&gt;""),AND(MO9&gt;=MS$34,MO9&lt;&gt;""),AND(MR9&gt;=MS$34,MR9&lt;&gt;""),AND(NK9&gt;=NO$34,NK9&lt;&gt;""),AND(NN9&gt;=NO$34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No DD</v>
      </c>
      <c r="J9" s="3" t="str">
        <f>IF(AND(OR(AND(AV9&gt;=AY$35,AV9&lt;&gt;"",AP9=""),AND(BZ9&gt;=CC$35,BZ9&lt;&gt;"",BT9=""),AND(DD9&gt;=DG$35,DD9&lt;&gt;"",CX9=""),AND(ED9&gt;=EG$35,ED9&lt;&gt;""),AND(EZ9&gt;=FC$35,EZ9&lt;&gt;""),AND(FV9&gt;=FY$35,FV9&lt;&gt;""),AND(GR9&gt;=GU$35,GR9&lt;&gt;""),AND(HN9&gt;=HQ$35,HN9&lt;&gt;""),AND(IJ9&gt;=IM$35,IJ9&lt;&gt;""),AND(JF9&gt;=JI$35,JF9&lt;&gt;""),AND(KB9&gt;=KE$35,KB9&lt;&gt;""),AND(KX9&gt;=LA$35,KX9&lt;&gt;""),AND(LT9&gt;=LW$35,LT9&lt;&gt;""),AND(MP9&gt;=MS$35,MP9&lt;&gt;""),AND(NL9&gt;=NO$35,NL9&lt;&gt;"")),OR(G9="Worlds Team",G9="Excellence",G9="Merit")),"P","")</f>
        <v/>
      </c>
      <c r="K9" s="14">
        <f>IF(MAX(AV9,BZ9,DD9)&gt;0,MAX(AV9,BZ9,DD9),0)</f>
        <v>90.62</v>
      </c>
      <c r="L9" s="14" t="str">
        <f>IF(K9=0,"",IF(K9=DD9,$CD$1,IF(K9=BZ9,$AZ$1,IF(K9=AV9,$V$1,""))))</f>
        <v>2021 Elite Canada</v>
      </c>
      <c r="M9" s="14">
        <f>IF($K9=$AV9,MAX(BU9,CY9),IF($K9=$BZ9,MAX(AQ9,CY9),IF($K9=$DD9,MAX(AQ9,BU9),MAX(AQ9,BU9,CY9))))</f>
        <v>41.755000000000003</v>
      </c>
      <c r="N9" s="14" t="str">
        <f>IF(M9=0,"",IF(AND(M9=CY9,$L9&lt;&gt;$CD$1),$CD$1,IF(AND(M9=BU9,$L9&lt;&gt;$AZ$1),$AZ$1,IF(AND(M9=AQ9,$L9&lt;&gt;$V$1),$V$1,""))))</f>
        <v>2021 Canadian Championships</v>
      </c>
      <c r="O9" s="14">
        <f>MAX(AS9,AU9,AX9,BW9,BY9,CB9,DA9,DC9,DF9)</f>
        <v>49.05</v>
      </c>
      <c r="P9" s="14" t="str">
        <f>IF(O9=0,"",IF(OR(O9=DC9,O9=DA9,O9=DF9),$CD$1,IF(OR(O9=BY9,O9=BW9,O9=CB9),$AZ$1,IF(OR(O9=AU9,O9=AS9,O9=AX9),$V$1,""))))</f>
        <v>2021 Elite Canada</v>
      </c>
      <c r="Q9" s="14">
        <f>IF(COUNT(AS9,AU9,AX9,BW9,BY9,CB9,DA9,DC9,DF9)&gt;1,LARGE((AS9,AU9,AX9,BW9,BY9,CB9,DA9,DC9,DF9),2),0)</f>
        <v>47.74</v>
      </c>
      <c r="R9" s="14" t="str">
        <f>IF(Q9=0,"",IF(OR(Q9=DC9,Q9=DA9,Q9=DF9),$CD$1,IF(OR(Q9=BY9,Q9=BW9,Q9=CB9),$AZ$1,IF(OR(Q9=AU9,Q9=AS9,Q9=AX9),$V$1,""))))</f>
        <v>2021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 t="str">
        <f>IF(SUM(V9:Y9)-Z9&gt;0,SUM(V9:Y9)-Z9,"")</f>
        <v/>
      </c>
      <c r="AR9" s="11" t="str">
        <f>IF(AC9&gt;0,AC9,"")</f>
        <v/>
      </c>
      <c r="AS9" s="11" t="str">
        <f>IF(SUM(AA9:AD9)-AE9&gt;0,SUM(AA9:AD9)-AE9,"")</f>
        <v/>
      </c>
      <c r="AT9" s="11" t="str">
        <f>IF(AH9&gt;0,AH9,"")</f>
        <v/>
      </c>
      <c r="AU9" s="11" t="str">
        <f>IF(SUM(AF9:AI9)-AJ9&gt;0,SUM(AF9:AI9)-AJ9,"")</f>
        <v/>
      </c>
      <c r="AV9" s="11" t="str">
        <f>IF(AQ9="",IF(MAX(AS9,AU9)&gt;0,MAX(AS9,AU9),""),MAX(AS9,AU9)+AQ9)</f>
        <v/>
      </c>
      <c r="AW9" s="11" t="str">
        <f>IF(AM9&gt;0,AM9,"")</f>
        <v/>
      </c>
      <c r="AX9" s="11" t="str">
        <f>IF(SUM(AK9:AN9)-AO9&gt;0,SUM(AK9:AN9)-AO9,"")</f>
        <v/>
      </c>
      <c r="AY9" s="11" t="str">
        <f>IF(SUM(AV9,AX9)&gt;0,SUM(AV9,AX9),"")</f>
        <v/>
      </c>
      <c r="AZ9" s="67">
        <v>16</v>
      </c>
      <c r="BA9" s="67">
        <v>8.9</v>
      </c>
      <c r="BB9" s="67">
        <v>2.1</v>
      </c>
      <c r="BC9" s="67">
        <v>14.57</v>
      </c>
      <c r="BD9" s="67">
        <v>0</v>
      </c>
      <c r="BE9" s="67">
        <v>15.2</v>
      </c>
      <c r="BF9" s="67">
        <v>9.3000000000000007</v>
      </c>
      <c r="BG9" s="67">
        <v>9.9</v>
      </c>
      <c r="BH9" s="67">
        <v>14.65</v>
      </c>
      <c r="BI9" s="67">
        <v>0</v>
      </c>
      <c r="BJ9" s="67"/>
      <c r="BK9" s="67"/>
      <c r="BL9" s="67"/>
      <c r="BM9" s="67"/>
      <c r="BN9" s="67"/>
      <c r="BO9" s="67">
        <v>15</v>
      </c>
      <c r="BP9" s="67">
        <v>8.8000000000000007</v>
      </c>
      <c r="BQ9" s="67">
        <v>9.1999999999999993</v>
      </c>
      <c r="BR9" s="67">
        <v>14.74</v>
      </c>
      <c r="BS9" s="67">
        <v>0</v>
      </c>
      <c r="BT9" s="73"/>
      <c r="BU9" s="14">
        <f>IF(SUM(AZ9:BC9)-BD9&gt;0,SUM(AZ9:BC9)-BD9,"")</f>
        <v>41.57</v>
      </c>
      <c r="BV9" s="14">
        <f>IF(BG9&gt;0,BG9,"")</f>
        <v>9.9</v>
      </c>
      <c r="BW9" s="14">
        <f>IF(SUM(BE9:BH9)-BI9&gt;0,SUM(BE9:BH9)-BI9,"")</f>
        <v>49.05</v>
      </c>
      <c r="BX9" s="14" t="str">
        <f>IF(BL9&gt;0,BL9,"")</f>
        <v/>
      </c>
      <c r="BY9" s="14" t="str">
        <f>IF(SUM(BJ9:BM9)-BN9&gt;0,SUM(BJ9:BM9)-BN9,"")</f>
        <v/>
      </c>
      <c r="BZ9" s="14">
        <f>IF(BU9="",IF(MAX(BW9,BY9)&gt;0,MAX(BW9,BY9),""),MAX(BW9,BY9)+BU9)</f>
        <v>90.62</v>
      </c>
      <c r="CA9" s="14">
        <f>IF(BQ9&gt;0,BQ9,"")</f>
        <v>9.1999999999999993</v>
      </c>
      <c r="CB9" s="14">
        <f>IF(SUM(BO9:BR9)-BS9&gt;0,SUM(BO9:BR9)-BS9,"")</f>
        <v>47.74</v>
      </c>
      <c r="CC9" s="14">
        <f>IF(SUM(BZ9,CB9)&gt;0,SUM(BZ9,CB9),"")</f>
        <v>138.36000000000001</v>
      </c>
      <c r="CD9" s="61">
        <v>16</v>
      </c>
      <c r="CE9" s="61">
        <v>9.1</v>
      </c>
      <c r="CF9" s="61">
        <v>2.1</v>
      </c>
      <c r="CG9" s="61">
        <v>14.555</v>
      </c>
      <c r="CH9" s="61">
        <v>0</v>
      </c>
      <c r="CI9" s="61">
        <v>14</v>
      </c>
      <c r="CJ9" s="61">
        <v>8.9</v>
      </c>
      <c r="CK9" s="61">
        <v>9.9</v>
      </c>
      <c r="CL9" s="61">
        <v>14.72</v>
      </c>
      <c r="CM9" s="61">
        <v>0</v>
      </c>
      <c r="CN9" s="61"/>
      <c r="CO9" s="61"/>
      <c r="CP9" s="61"/>
      <c r="CQ9" s="61"/>
      <c r="CR9" s="61"/>
      <c r="CS9" s="61">
        <v>5.7</v>
      </c>
      <c r="CT9" s="61">
        <v>3.6</v>
      </c>
      <c r="CU9" s="61">
        <v>4.4000000000000004</v>
      </c>
      <c r="CV9" s="61">
        <v>6.01</v>
      </c>
      <c r="CW9" s="61">
        <v>0</v>
      </c>
      <c r="CX9" s="72"/>
      <c r="CY9" s="11">
        <f>IF(SUM(CD9:CG9)-CH9&gt;0,SUM(CD9:CG9)-CH9,"")</f>
        <v>41.755000000000003</v>
      </c>
      <c r="CZ9" s="11">
        <f>IF(CK9&gt;0,CK9,"")</f>
        <v>9.9</v>
      </c>
      <c r="DA9" s="11">
        <f>IF(SUM(CI9:CL9)-CM9&gt;0,SUM(CI9:CL9)-CM9,"")</f>
        <v>47.519999999999996</v>
      </c>
      <c r="DB9" s="11" t="str">
        <f>IF(CP9&gt;0,CP9,"")</f>
        <v/>
      </c>
      <c r="DC9" s="11" t="str">
        <f>IF(SUM(CN9:CQ9)-CR9&gt;0,SUM(CN9:CQ9)-CR9,"")</f>
        <v/>
      </c>
      <c r="DD9" s="11">
        <f>IF(CY9="",IF(MAX(DA9,DC9)&gt;0,MAX(DA9,DC9),""),MAX(DA9,DC9)+CY9)</f>
        <v>89.275000000000006</v>
      </c>
      <c r="DE9" s="11">
        <f>IF(CU9&gt;0,CU9,"")</f>
        <v>4.4000000000000004</v>
      </c>
      <c r="DF9" s="11">
        <f>IF(SUM(CS9:CV9)-CW9&gt;0,SUM(CS9:CV9)-CW9,"")</f>
        <v>19.71</v>
      </c>
      <c r="DG9" s="11">
        <f>IF(SUM(DD9,DF9)&gt;0,SUM(DD9,DF9),"")</f>
        <v>108.98500000000001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16</v>
      </c>
      <c r="NQ9" s="61">
        <f>IF($CX9="P",CE9,(CE9+BA9)/2)</f>
        <v>9</v>
      </c>
      <c r="NR9" s="61">
        <f>IF($CX9="P",CF9,(CF9+BB9)/2)</f>
        <v>2.1</v>
      </c>
      <c r="NS9" s="61">
        <f>IF($CX9="P",CG9,(CG9+BC9)/2)</f>
        <v>14.5625</v>
      </c>
      <c r="NT9" s="61">
        <f>IF($CX9="P",CH9,(CH9+BD9)/2)</f>
        <v>0</v>
      </c>
      <c r="NU9" s="61">
        <f>IF($CX9="P",CI9,(CI9+BE9)/2)</f>
        <v>14.6</v>
      </c>
      <c r="NV9" s="61">
        <f>IF($CX9="P",CJ9,(CJ9+BF9)/2)</f>
        <v>9.1000000000000014</v>
      </c>
      <c r="NW9" s="61">
        <f>IF($CX9="P",CK9,(CK9+BG9)/2)</f>
        <v>9.9</v>
      </c>
      <c r="NX9" s="61">
        <f>IF($CX9="P",CL9,(CL9+BH9)/2)</f>
        <v>14.685</v>
      </c>
      <c r="NY9" s="61">
        <f>IF($CX9="P",CM9,(CM9+BI9)/2)</f>
        <v>0</v>
      </c>
      <c r="NZ9" s="61">
        <f>IF($CX9="P",CN9,(CN9+BJ9)/2)</f>
        <v>0</v>
      </c>
      <c r="OA9" s="61">
        <f>IF($CX9="P",CO9,(CO9+BK9)/2)</f>
        <v>0</v>
      </c>
      <c r="OB9" s="61">
        <f>IF($CX9="P",CP9,(CP9+BL9)/2)</f>
        <v>0</v>
      </c>
      <c r="OC9" s="61">
        <f>IF($CX9="P",CQ9,(CQ9+BM9)/2)</f>
        <v>0</v>
      </c>
      <c r="OD9" s="61">
        <f>IF($CX9="P",CR9,(CR9+BN9)/2)</f>
        <v>0</v>
      </c>
      <c r="OE9" s="61">
        <f>IF($CX9="P",CS9,(CS9+BO9)/2)</f>
        <v>10.35</v>
      </c>
      <c r="OF9" s="61">
        <f>IF($CX9="P",CT9,(CT9+BP9)/2)</f>
        <v>6.2</v>
      </c>
      <c r="OG9" s="61">
        <f>IF($CX9="P",CU9,(CU9+BQ9)/2)</f>
        <v>6.8</v>
      </c>
      <c r="OH9" s="61">
        <f>IF($CX9="P",CV9,(CV9+BR9)/2)</f>
        <v>10.375</v>
      </c>
      <c r="OI9" s="61">
        <f>IF($CX9="P",CW9,(CW9+BS9)/2)</f>
        <v>0</v>
      </c>
      <c r="OJ9" s="72" t="s">
        <v>52</v>
      </c>
      <c r="OK9" s="11">
        <f>IF(SUM(NP9:NS9)-NT9&gt;0,SUM(NP9:NS9)-NT9,"")</f>
        <v>41.662500000000001</v>
      </c>
      <c r="OL9" s="11">
        <f>IF(NW9&gt;0,NW9,"")</f>
        <v>9.9</v>
      </c>
      <c r="OM9" s="11">
        <f>IF(SUM(NU9:NX9)-NY9&gt;0,SUM(NU9:NX9)-NY9,"")</f>
        <v>48.285000000000004</v>
      </c>
      <c r="ON9" s="11" t="str">
        <f>IF(OB9&gt;0,OB9,"")</f>
        <v/>
      </c>
      <c r="OO9" s="11" t="str">
        <f>IF(SUM(NZ9:OC9)-OD9&gt;0,SUM(NZ9:OC9)-OD9,"")</f>
        <v/>
      </c>
      <c r="OP9" s="11">
        <f>IF(OR(OK9&lt;&gt;"",OM9&lt;&gt;"",OO9&lt;&gt;""),OK9+MAX(OM9,OO9),"")</f>
        <v>89.947500000000005</v>
      </c>
      <c r="OQ9" s="11">
        <f>IF(OG9&gt;0,OG9,"")</f>
        <v>6.8</v>
      </c>
      <c r="OR9" s="11">
        <f t="shared" si="0"/>
        <v>33.725000000000001</v>
      </c>
      <c r="OS9" s="11">
        <f t="shared" si="1"/>
        <v>123.67250000000001</v>
      </c>
    </row>
    <row r="10" spans="1:409" x14ac:dyDescent="0.2">
      <c r="A10" s="5" cm="1">
        <f t="array" ref="A10">IF(AND(G10&lt;&gt;"",H10&lt;&gt;""),SUMPRODUCT((G$4:G$28&lt;&gt;"")*(H$4:H$28&lt;&gt;"")*(E$4:E$28&gt;E10))+1,IF(H10&lt;&gt;"",SUMPRODUCT((I$4:I$28="No DD")*(E$4:E$28&gt;E10))+1+SUMPRODUCT((G$4:G$28&lt;&gt;"")*(H$4:H$28&lt;&gt;"")),""))</f>
        <v>7</v>
      </c>
      <c r="B10" s="8" t="s">
        <v>128</v>
      </c>
      <c r="C10" s="4" t="s">
        <v>6</v>
      </c>
      <c r="D10" s="26">
        <v>2004</v>
      </c>
      <c r="E10" s="15">
        <f>SUM(O10:S10)</f>
        <v>96.6</v>
      </c>
      <c r="F10" s="3" t="str">
        <f>IF(G10&lt;&gt;"","P","")</f>
        <v/>
      </c>
      <c r="G10" s="115" t="str">
        <f>IF(OR(AND(AR10&gt;=AY$33,AR10&lt;&gt;"",AP10=""),AND(AT10&gt;=AY$33,AT10&lt;&gt;"",AP10=""),AND(AW10&gt;=AY$33,AW10&lt;&gt;"",AP10=""),AND(BV10&gt;=CC$33,BV10&lt;&gt;"",BT10=""),AND(BX10&gt;=CC$33,BX10&lt;&gt;"",BT10=""),AND(CA10&gt;=CC$33,CA10&lt;&gt;"",BT10=""),AND(CZ10&gt;=DG$33,CZ10&lt;&gt;"",CX10=""),AND(DB10&gt;=DG$33,DB10&lt;&gt;"",CX10=""),AND(DE10&gt;=DG$33,DE10&lt;&gt;"",CX10=""),AND(EA10&gt;=EG$33,EA10&lt;&gt;""),AND(EE10&gt;=EG$33,EE10&lt;&gt;""),AND(EW10&gt;=FC$33,EW10&lt;&gt;""),AND(FA10&gt;=FC$33,FA10&lt;&gt;""),AND(FS10&gt;=FY$33,FS10&lt;&gt;""),AND(FW10&gt;=FY$33,FW10&lt;&gt;""),AND(GO10&gt;=GU$33,GO10&lt;&gt;""),AND(GS10&gt;=GU$33,GS10&lt;&gt;""),AND(HK10&gt;=HQ$33,HK10&lt;&gt;""),AND(HO10&gt;=HQ$33,HO10&lt;&gt;""),AND(IG10&gt;=IM$33,IG10&lt;&gt;""),AND(IK10&gt;=IM$33,IK10&lt;&gt;""),AND(JC10&gt;=JI$33,JC10&lt;&gt;""),AND(JG10&gt;=JI$33,JG10&lt;&gt;""),AND(JY10&gt;=KE$33,JY10&lt;&gt;""),AND(KC10&gt;=KE$33,KC10&lt;&gt;""),AND(KU10&gt;=LA$33,KU10&lt;&gt;""),AND(KY10&gt;=LA$33,KY10&lt;&gt;""),AND(LQ10&gt;=LW$33,LQ10&lt;&gt;""),AND(LU10&gt;=LW$33,LU10&lt;&gt;""),AND(MM10&gt;=MS$33,MM10&lt;&gt;""),AND(MQ10&gt;=MS$33,MQ10&lt;&gt;""),AND(NI10&gt;=NO$33,NI10&lt;&gt;""),AND(NM10&gt;=NO$33,NM10&lt;&gt;"")),"Merit",IF(OR(AND(AR10&gt;=AY$32,AR10&lt;&gt;"",AP10=""),AND(AT10&gt;=AY$32,AT10&lt;&gt;"",AP10=""),AND(AW10&gt;=AY$32,AW10&lt;&gt;"",AP10=""),AND(BV10&gt;=CC$32,BV10&lt;&gt;"",BT10=""),AND(BX10&gt;=CC$32,BX10&lt;&gt;"",BT10=""),AND(CA10&gt;=CC$32,CA10&lt;&gt;"",BT10=""),AND(CZ10&gt;=DG$32,CZ10&lt;&gt;"",CX10=""),AND(DB10&gt;=DG$32,DB10&lt;&gt;"",CX10=""),AND(DE10&gt;=DG$32,DE10&lt;&gt;"",CX10=""),AND(EA10&gt;=EG$32,EA10&lt;&gt;""),AND(EE10&gt;=EG$32,EE10&lt;&gt;""),AND(EW10&gt;=FC$32,EW10&lt;&gt;""),AND(FA10&gt;=FC$32,FA10&lt;&gt;""),AND(FS10&gt;=FY$32,FS10&lt;&gt;""),AND(FW10&gt;=FY$32,FW10&lt;&gt;""),AND(GO10&gt;=GU$32,GO10&lt;&gt;""),AND(GS10&gt;=GU$32,GS10&lt;&gt;""),AND(HK10&gt;=HQ$32,HK10&lt;&gt;""),AND(HO10&gt;=HQ$32,HO10&lt;&gt;""),AND(IG10&gt;=IM$32,IG10&lt;&gt;""),AND(IK10&gt;=IM$32,IK10&lt;&gt;""),AND(JC10&gt;=JI$32,JC10&lt;&gt;""),AND(JG10&gt;=JI$32,JG10&lt;&gt;""),AND(JY10&gt;=KE$32,JY10&lt;&gt;""),AND(KC10&gt;=KE$32,KC10&lt;&gt;""),AND(KU10&gt;=LA$32,KU10&lt;&gt;""),AND(KY10&gt;=LA$32,KY10&lt;&gt;""),AND(LQ10&gt;=LW$32,LQ10&lt;&gt;""),AND(LU10&gt;=LW$32,LU10&lt;&gt;""),AND(MM10&gt;=MS$32,MM10&lt;&gt;""),AND(MQ10&gt;=MS$32,MQ10&lt;&gt;""),AND(NI10&gt;=NO$32,NI10&lt;&gt;""),AND(NM10&gt;=NO$32,NM10&lt;&gt;"")),"Excellence",IF(OR(AND(AR10&gt;=AY$31,AR10&lt;&gt;"",AP10=""),AND(AT10&gt;=AY$31,AT10&lt;&gt;"",AP10=""),AND(AW10&gt;=AY$31,AW10&lt;&gt;"",AP10=""),AND(BV10&gt;=CC$31,BV10&lt;&gt;"",BT10=""),AND(BX10&gt;=CC$31,BX10&lt;&gt;"",BT10=""),AND(CA10&gt;=CC$31,CA10&lt;&gt;"",BT10=""),AND(CZ10&gt;=DG$31,CZ10&lt;&gt;"",CX10=""),AND(DB10&gt;=DG$31,DB10&lt;&gt;"",CX10=""),AND(DE10&gt;=DG$31,DE10&lt;&gt;"",CX10=""),AND(EA10&gt;=EG$31,EA10&lt;&gt;""),AND(EE10&gt;=EG$31,EE10&lt;&gt;""),AND(EW10&gt;=FC$31,EW10&lt;&gt;""),AND(FA10&gt;=FC$31,FA10&lt;&gt;""),AND(FS10&gt;=FY$31,FS10&lt;&gt;""),AND(FW10&gt;=FY$31,FW10&lt;&gt;""),AND(GO10&gt;=GU$31,GO10&lt;&gt;""),AND(GS10&gt;=GU$31,GS10&lt;&gt;""),AND(HK10&gt;=HQ$31,HK10&lt;&gt;""),AND(HO10&gt;=HQ$31,HO10&lt;&gt;""),AND(IG10&gt;=IM$31,IG10&lt;&gt;""),AND(IK10&gt;=IM$31,IK10&lt;&gt;""),AND(JC10&gt;=JI$31,JC10&lt;&gt;""),AND(JG10&gt;=JI$31,JG10&lt;&gt;""),AND(JY10&gt;=KE$31,JY10&lt;&gt;""),AND(KC10&gt;=KE$31,KC10&lt;&gt;""),AND(KU10&gt;=LA$31,KU10&lt;&gt;""),AND(KY10&gt;=LA$31,KY10&lt;&gt;""),AND(LQ10&gt;=LW$31,LQ10&lt;&gt;""),AND(LU10&gt;=LW$31,LU10&lt;&gt;""),AND(MM10&gt;=MS$31,MM10&lt;&gt;""),AND(MQ10&gt;=MS$31,MQ10&lt;&gt;""),AND(NI10&gt;=NO$31,NI10&lt;&gt;""),AND(NM10&gt;=NO$31,NM10&lt;&gt;"")),"Worlds Team",IF(OR(AND(AR10&gt;=AY$30,AR10&lt;&gt;"",AP10=""),AND(AT10&gt;=AY$30,AT10&lt;&gt;"",AP10=""),AND(AW10&gt;=AY$30,AW10&lt;&gt;"",AP10=""),AND(BV10&gt;=CC$30,BV10&lt;&gt;"",BT10=""),AND(BX10&gt;=CC$30,BX10&lt;&gt;"",BT10=""),AND(CA10&gt;=CC$30,CA10&lt;&gt;"",BT10=""),AND(CZ10&gt;=DG$30,CZ10&lt;&gt;"",CX10=""),AND(DB10&gt;=DG$30,DB10&lt;&gt;"",CX10=""),AND(DE10&gt;=DG$30,DE10&lt;&gt;"",CX10=""),AND(EA10&gt;=EG$30,EA10&lt;&gt;""),AND(EE10&gt;=EG$30,EE10&lt;&gt;""),AND(EW10&gt;=FC$30,EW10&lt;&gt;""),AND(FA10&gt;=FC$30,FA10&lt;&gt;""),AND(FS10&gt;=FY$30,FS10&lt;&gt;""),AND(FW10&gt;=FY$30,FW10&lt;&gt;""),AND(GO10&gt;=GU$30,GO10&lt;&gt;""),AND(GS10&gt;=GU$30,GS10&lt;&gt;""),AND(HK10&gt;=HQ$30,HK10&lt;&gt;""),AND(HO10&gt;=HQ$30,HO10&lt;&gt;""),AND(IG10&gt;=IM$30,IG10&lt;&gt;""),AND(IK10&gt;=IM$30,IK10&lt;&gt;""),AND(JC10&gt;=JI$30,JC10&lt;&gt;""),AND(JG10&gt;=JI$30,JG10&lt;&gt;""),AND(JY10&gt;=KE$30,JY10&lt;&gt;""),AND(KC10&gt;=KE$30,KC10&lt;&gt;""),AND(KU10&gt;=LA$30,KU10&lt;&gt;""),AND(KY10&gt;=LA$30,KY10&lt;&gt;""),AND(LQ10&gt;=LW$30,LQ10&lt;&gt;""),AND(LU10&gt;=LW$30,LU10&lt;&gt;""),AND(MM10&gt;=MS$30,MM10&lt;&gt;""),AND(MQ10&gt;=MS$30,MQ10&lt;&gt;""),AND(NI10&gt;=NO$30,NI10&lt;&gt;""),AND(NM10&gt;=NO$30,NM10&lt;&gt;"")),"National Team",""))))</f>
        <v/>
      </c>
      <c r="H10" s="115" t="str">
        <f>IF(OR(AND(AS10&gt;=AY$34,AS10&lt;&gt;"",AP10=""),AND(AU10&gt;=AY$34,AU10&lt;&gt;"",AP10=""),AND(AX10&gt;=AY$34,AX10&lt;&gt;"",AP10=""),AND(BW10&gt;=CC$34,BW10&lt;&gt;"",BT10=""),AND(BY10&gt;=CC$34,BY10&lt;&gt;"",BT10=""),AND(CB10&gt;=CC$34,CB10&lt;&gt;"",BT10=""),AND(DA10&gt;=DG$34,DA10&lt;&gt;"",CX10=""),AND(DC10&gt;=DG$34,DC10&lt;&gt;"",CX10=""),AND(DF10&gt;=DG$34,DF10&lt;&gt;"",CX10=""),AND(EC10&gt;=EG$34,EC10&lt;&gt;""),AND(EF10&gt;=EG$34,EF10&lt;&gt;""),AND(EY10&gt;=FC$34,EY10&lt;&gt;""),AND(FB10&gt;=FC$34,FB10&lt;&gt;""),AND(FU10&gt;=FY$34,FU10&lt;&gt;""),AND(FX10&gt;=FY$34,FX10&lt;&gt;""),AND(GQ10&gt;=GU$34,GQ10&lt;&gt;""),AND(GT10&gt;=GU$34,GT10&lt;&gt;""),AND(HM10&gt;=HQ$34,HM10&lt;&gt;""),AND(HP10&gt;=HQ$34,HP10&lt;&gt;""),AND(II10&gt;=IM$34,II10&lt;&gt;""),AND(IL10&gt;=IM$34,IL10&lt;&gt;""),AND(JE10&gt;=JI$34,JE10&lt;&gt;""),AND(JH10&gt;=JI$34,JH10&lt;&gt;""),AND(KA10&gt;=KE$34,KA10&lt;&gt;""),AND(KD10&gt;=KE$34,KD10&lt;&gt;""),AND(KW10&gt;=LA$34,KW10&lt;&gt;""),AND(KZ10&gt;=LA$34,KZ10&lt;&gt;""),AND(LS10&gt;=LW$34,LS10&lt;&gt;""),AND(LV10&gt;=LW$34,LV10&lt;&gt;""),AND(MO10&gt;=MS$34,MO10&lt;&gt;""),AND(MR10&gt;=MS$34,MR10&lt;&gt;""),AND(NK10&gt;=NO$34,NK10&lt;&gt;""),AND(NN10&gt;=NO$34,NN10&lt;&gt;"")),"National Team","")</f>
        <v>National Team</v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No DD</v>
      </c>
      <c r="J10" s="3" t="str">
        <f>IF(AND(OR(AND(AV10&gt;=AY$35,AV10&lt;&gt;"",AP10=""),AND(BZ10&gt;=CC$35,BZ10&lt;&gt;"",BT10=""),AND(DD10&gt;=DG$35,DD10&lt;&gt;"",CX10=""),AND(ED10&gt;=EG$35,ED10&lt;&gt;""),AND(EZ10&gt;=FC$35,EZ10&lt;&gt;""),AND(FV10&gt;=FY$35,FV10&lt;&gt;""),AND(GR10&gt;=GU$35,GR10&lt;&gt;""),AND(HN10&gt;=HQ$35,HN10&lt;&gt;""),AND(IJ10&gt;=IM$35,IJ10&lt;&gt;""),AND(JF10&gt;=JI$35,JF10&lt;&gt;""),AND(KB10&gt;=KE$35,KB10&lt;&gt;""),AND(KX10&gt;=LA$35,KX10&lt;&gt;""),AND(LT10&gt;=LW$35,LT10&lt;&gt;""),AND(MP10&gt;=MS$35,MP10&lt;&gt;""),AND(NL10&gt;=NO$35,NL10&lt;&gt;"")),OR(G10="Worlds Team",G10="Excellence",G10="Merit")),"P","")</f>
        <v/>
      </c>
      <c r="K10" s="14">
        <f>IF(MAX(AV10,BZ10,DD10)&gt;0,MAX(AV10,BZ10,DD10),0)</f>
        <v>88.289999999999992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42.775000000000006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MAX(AS10,AU10,AX10,BW10,BY10,CB10,DA10,DC10,DF10)</f>
        <v>48.725000000000001</v>
      </c>
      <c r="P10" s="14" t="str">
        <f>IF(O10=0,"",IF(OR(O10=DC10,O10=DA10,O10=DF10),$CD$1,IF(OR(O10=BY10,O10=BW10,O10=CB10),$AZ$1,IF(OR(O10=AU10,O10=AS10,O10=AX10),$V$1,""))))</f>
        <v>2021 Elite Canada</v>
      </c>
      <c r="Q10" s="14">
        <f>IF(COUNT(AS10,AU10,AX10,BW10,BY10,CB10,DA10,DC10,DF10)&gt;1,LARGE((AS10,AU10,AX10,BW10,BY10,CB10,DA10,DC10,DF10),2),0)</f>
        <v>47.875</v>
      </c>
      <c r="R10" s="14" t="str">
        <f>IF(Q10=0,"",IF(OR(Q10=DC10,Q10=DA10,Q10=DF10),$CD$1,IF(OR(Q10=BY10,Q10=BW10,Q10=CB10),$AZ$1,IF(OR(Q10=AU10,Q10=AS10,Q10=AX10),$V$1,""))))</f>
        <v>2021 Canadian Championships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16.5</v>
      </c>
      <c r="W10" s="61">
        <v>9.1</v>
      </c>
      <c r="X10" s="61">
        <v>2</v>
      </c>
      <c r="Y10" s="61">
        <v>14.11</v>
      </c>
      <c r="Z10" s="61">
        <v>0</v>
      </c>
      <c r="AA10" s="61">
        <v>13.7</v>
      </c>
      <c r="AB10" s="61">
        <v>9.5</v>
      </c>
      <c r="AC10" s="61">
        <v>9.6999999999999993</v>
      </c>
      <c r="AD10" s="61">
        <v>13.68</v>
      </c>
      <c r="AE10" s="61">
        <v>0</v>
      </c>
      <c r="AF10" s="61"/>
      <c r="AG10" s="61"/>
      <c r="AH10" s="61"/>
      <c r="AI10" s="61"/>
      <c r="AJ10" s="61"/>
      <c r="AK10" s="61">
        <v>4.4000000000000004</v>
      </c>
      <c r="AL10" s="61">
        <v>2.2999999999999998</v>
      </c>
      <c r="AM10" s="61">
        <v>4</v>
      </c>
      <c r="AN10" s="61">
        <v>4.24</v>
      </c>
      <c r="AO10" s="61">
        <v>0</v>
      </c>
      <c r="AP10" s="72"/>
      <c r="AQ10" s="11">
        <f>IF(SUM(V10:Y10)-Z10&gt;0,SUM(V10:Y10)-Z10,"")</f>
        <v>41.71</v>
      </c>
      <c r="AR10" s="11">
        <f>IF(AC10&gt;0,AC10,"")</f>
        <v>9.6999999999999993</v>
      </c>
      <c r="AS10" s="11">
        <f>IF(SUM(AA10:AD10)-AE10&gt;0,SUM(AA10:AD10)-AE10,"")</f>
        <v>46.58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88.289999999999992</v>
      </c>
      <c r="AW10" s="11">
        <f>IF(AM10&gt;0,AM10,"")</f>
        <v>4</v>
      </c>
      <c r="AX10" s="11">
        <f>IF(SUM(AK10:AN10)-AO10&gt;0,SUM(AK10:AN10)-AO10,"")</f>
        <v>14.94</v>
      </c>
      <c r="AY10" s="11">
        <f>IF(SUM(AV10,AX10)&gt;0,SUM(AV10,AX10),"")</f>
        <v>103.22999999999999</v>
      </c>
      <c r="AZ10" s="67">
        <v>17.3</v>
      </c>
      <c r="BA10" s="67">
        <v>9.4</v>
      </c>
      <c r="BB10" s="67">
        <v>2</v>
      </c>
      <c r="BC10" s="67">
        <v>14.074999999999999</v>
      </c>
      <c r="BD10" s="67">
        <v>0</v>
      </c>
      <c r="BE10" s="67">
        <v>7.2</v>
      </c>
      <c r="BF10" s="67">
        <v>4.4000000000000004</v>
      </c>
      <c r="BG10" s="67">
        <v>6.1</v>
      </c>
      <c r="BH10" s="67">
        <v>6.92</v>
      </c>
      <c r="BI10" s="67">
        <v>0</v>
      </c>
      <c r="BJ10" s="67"/>
      <c r="BK10" s="67"/>
      <c r="BL10" s="67"/>
      <c r="BM10" s="67"/>
      <c r="BN10" s="67"/>
      <c r="BO10" s="67">
        <v>15.7</v>
      </c>
      <c r="BP10" s="67">
        <v>9.4</v>
      </c>
      <c r="BQ10" s="67">
        <v>10</v>
      </c>
      <c r="BR10" s="67">
        <v>13.625</v>
      </c>
      <c r="BS10" s="67">
        <v>0</v>
      </c>
      <c r="BT10" s="73"/>
      <c r="BU10" s="14">
        <f>IF(SUM(AZ10:BC10)-BD10&gt;0,SUM(AZ10:BC10)-BD10,"")</f>
        <v>42.775000000000006</v>
      </c>
      <c r="BV10" s="14">
        <f>IF(BG10&gt;0,BG10,"")</f>
        <v>6.1</v>
      </c>
      <c r="BW10" s="14">
        <f>IF(SUM(BE10:BH10)-BI10&gt;0,SUM(BE10:BH10)-BI10,"")</f>
        <v>24.620000000000005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67.39500000000001</v>
      </c>
      <c r="CA10" s="14">
        <f>IF(BQ10&gt;0,BQ10,"")</f>
        <v>10</v>
      </c>
      <c r="CB10" s="14">
        <f>IF(SUM(BO10:BR10)-BS10&gt;0,SUM(BO10:BR10)-BS10,"")</f>
        <v>48.725000000000001</v>
      </c>
      <c r="CC10" s="14">
        <f>IF(SUM(BZ10,CB10)&gt;0,SUM(BZ10,CB10),"")</f>
        <v>116.12</v>
      </c>
      <c r="CD10" s="61">
        <v>12.2</v>
      </c>
      <c r="CE10" s="61">
        <v>7.2</v>
      </c>
      <c r="CF10" s="61">
        <v>0.8</v>
      </c>
      <c r="CG10" s="61">
        <v>11.79</v>
      </c>
      <c r="CH10" s="61">
        <v>0</v>
      </c>
      <c r="CI10" s="61">
        <v>14.5</v>
      </c>
      <c r="CJ10" s="61">
        <v>9.4</v>
      </c>
      <c r="CK10" s="61">
        <v>10</v>
      </c>
      <c r="CL10" s="61">
        <v>13.975</v>
      </c>
      <c r="CM10" s="61">
        <v>0</v>
      </c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72"/>
      <c r="CY10" s="11">
        <f>IF(SUM(CD10:CG10)-CH10&gt;0,SUM(CD10:CG10)-CH10,"")</f>
        <v>31.99</v>
      </c>
      <c r="CZ10" s="11">
        <f>IF(CK10&gt;0,CK10,"")</f>
        <v>10</v>
      </c>
      <c r="DA10" s="11">
        <f>IF(SUM(CI10:CL10)-CM10&gt;0,SUM(CI10:CL10)-CM10,"")</f>
        <v>47.875</v>
      </c>
      <c r="DB10" s="11" t="str">
        <f>IF(CP10&gt;0,CP10,"")</f>
        <v/>
      </c>
      <c r="DC10" s="11" t="str">
        <f>IF(SUM(CN10:CQ10)-CR10&gt;0,SUM(CN10:CQ10)-CR10,"")</f>
        <v/>
      </c>
      <c r="DD10" s="11">
        <f>IF(CY10="",IF(MAX(DA10,DC10)&gt;0,MAX(DA10,DC10),""),MAX(DA10,DC10)+CY10)</f>
        <v>79.864999999999995</v>
      </c>
      <c r="DE10" s="11" t="str">
        <f>IF(CU10&gt;0,CU10,"")</f>
        <v/>
      </c>
      <c r="DF10" s="11" t="str">
        <f>IF(SUM(CS10:CV10)-CW10&gt;0,SUM(CS10:CV10)-CW10,"")</f>
        <v/>
      </c>
      <c r="DG10" s="11">
        <f>IF(SUM(DD10,DF10)&gt;0,SUM(DD10,DF10),"")</f>
        <v>79.864999999999995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14.75</v>
      </c>
      <c r="NQ10" s="61">
        <f>IF($CX10="P",CE10,(CE10+BA10)/2)</f>
        <v>8.3000000000000007</v>
      </c>
      <c r="NR10" s="61">
        <f>IF($CX10="P",CF10,(CF10+BB10)/2)</f>
        <v>1.4</v>
      </c>
      <c r="NS10" s="61">
        <f>IF($CX10="P",CG10,(CG10+BC10)/2)</f>
        <v>12.932499999999999</v>
      </c>
      <c r="NT10" s="61">
        <f>IF($CX10="P",CH10,(CH10+BD10)/2)</f>
        <v>0</v>
      </c>
      <c r="NU10" s="61">
        <f>IF($CX10="P",CI10,(CI10+BE10)/2)</f>
        <v>10.85</v>
      </c>
      <c r="NV10" s="61">
        <f>IF($CX10="P",CJ10,(CJ10+BF10)/2)</f>
        <v>6.9</v>
      </c>
      <c r="NW10" s="61">
        <f>IF($CX10="P",CK10,(CK10+BG10)/2)</f>
        <v>8.0500000000000007</v>
      </c>
      <c r="NX10" s="61">
        <f>IF($CX10="P",CL10,(CL10+BH10)/2)</f>
        <v>10.4475</v>
      </c>
      <c r="NY10" s="61">
        <f>IF($CX10="P",CM10,(CM10+BI10)/2)</f>
        <v>0</v>
      </c>
      <c r="NZ10" s="61">
        <f>IF($CX10="P",CN10,(CN10+BJ10)/2)</f>
        <v>0</v>
      </c>
      <c r="OA10" s="61">
        <f>IF($CX10="P",CO10,(CO10+BK10)/2)</f>
        <v>0</v>
      </c>
      <c r="OB10" s="61">
        <f>IF($CX10="P",CP10,(CP10+BL10)/2)</f>
        <v>0</v>
      </c>
      <c r="OC10" s="61">
        <f>IF($CX10="P",CQ10,(CQ10+BM10)/2)</f>
        <v>0</v>
      </c>
      <c r="OD10" s="61">
        <f>IF($CX10="P",CR10,(CR10+BN10)/2)</f>
        <v>0</v>
      </c>
      <c r="OE10" s="61">
        <f>IF($CX10="P",CS10,(CS10+BO10)/2)</f>
        <v>7.85</v>
      </c>
      <c r="OF10" s="61">
        <f>IF($CX10="P",CT10,(CT10+BP10)/2)</f>
        <v>4.7</v>
      </c>
      <c r="OG10" s="61">
        <f>IF($CX10="P",CU10,(CU10+BQ10)/2)</f>
        <v>5</v>
      </c>
      <c r="OH10" s="61">
        <f>IF($CX10="P",CV10,(CV10+BR10)/2)</f>
        <v>6.8125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37.3825</v>
      </c>
      <c r="OL10" s="11">
        <f>IF(NW10&gt;0,NW10,"")</f>
        <v>8.0500000000000007</v>
      </c>
      <c r="OM10" s="11">
        <f>IF(SUM(NU10:NX10)-NY10&gt;0,SUM(NU10:NX10)-NY10,"")</f>
        <v>36.247500000000002</v>
      </c>
      <c r="ON10" s="11" t="str">
        <f>IF(OB10&gt;0,OB10,"")</f>
        <v/>
      </c>
      <c r="OO10" s="11" t="str">
        <f>IF(SUM(NZ10:OC10)-OD10&gt;0,SUM(NZ10:OC10)-OD10,"")</f>
        <v/>
      </c>
      <c r="OP10" s="11">
        <f>IF(OR(OK10&lt;&gt;"",OM10&lt;&gt;"",OO10&lt;&gt;""),OK10+MAX(OM10,OO10),"")</f>
        <v>73.63</v>
      </c>
      <c r="OQ10" s="11">
        <f>IF(OG10&gt;0,OG10,"")</f>
        <v>5</v>
      </c>
      <c r="OR10" s="11">
        <f t="shared" ref="OR10" si="2">IF(SUM(OE10:OH10)-OI10&gt;0,SUM(OE10:OH10)-OI10,"")</f>
        <v>24.362500000000001</v>
      </c>
      <c r="OS10" s="11">
        <f t="shared" ref="OS10" si="3">IF(SUM(OP10,OR10)&gt;0,SUM(OP10,OR10),"")</f>
        <v>97.992499999999993</v>
      </c>
    </row>
    <row r="11" spans="1:409" x14ac:dyDescent="0.2">
      <c r="A11" s="5" t="str" cm="1">
        <f t="array" ref="A11">IF(AND(G11&lt;&gt;"",H11&lt;&gt;""),SUMPRODUCT((G$4:G$28&lt;&gt;"")*(H$4:H$28&lt;&gt;"")*(E$4:E$28&gt;E11))+1,IF(H11&lt;&gt;"",SUMPRODUCT((I$4:I$28="No DD")*(E$4:E$28&gt;E11))+1+SUMPRODUCT((G$4:G$28&lt;&gt;"")*(H$4:H$28&lt;&gt;"")),""))</f>
        <v/>
      </c>
      <c r="B11" s="8" t="s">
        <v>88</v>
      </c>
      <c r="C11" s="4" t="s">
        <v>4</v>
      </c>
      <c r="D11" s="26">
        <v>2003</v>
      </c>
      <c r="E11" s="15">
        <f>SUM(O11:S11)</f>
        <v>94.259999999999991</v>
      </c>
      <c r="F11" s="3" t="str">
        <f>IF(G11&lt;&gt;"","P","")</f>
        <v/>
      </c>
      <c r="G11" s="115" t="str">
        <f>IF(OR(AND(AR11&gt;=AY$33,AR11&lt;&gt;"",AP11=""),AND(AT11&gt;=AY$33,AT11&lt;&gt;"",AP11=""),AND(AW11&gt;=AY$33,AW11&lt;&gt;"",AP11=""),AND(BV11&gt;=CC$33,BV11&lt;&gt;"",BT11=""),AND(BX11&gt;=CC$33,BX11&lt;&gt;"",BT11=""),AND(CA11&gt;=CC$33,CA11&lt;&gt;"",BT11=""),AND(CZ11&gt;=DG$33,CZ11&lt;&gt;"",CX11=""),AND(DB11&gt;=DG$33,DB11&lt;&gt;"",CX11=""),AND(DE11&gt;=DG$33,DE11&lt;&gt;"",CX11=""),AND(EA11&gt;=EG$33,EA11&lt;&gt;""),AND(EE11&gt;=EG$33,EE11&lt;&gt;""),AND(EW11&gt;=FC$33,EW11&lt;&gt;""),AND(FA11&gt;=FC$33,FA11&lt;&gt;""),AND(FS11&gt;=FY$33,FS11&lt;&gt;""),AND(FW11&gt;=FY$33,FW11&lt;&gt;""),AND(GO11&gt;=GU$33,GO11&lt;&gt;""),AND(GS11&gt;=GU$33,GS11&lt;&gt;""),AND(HK11&gt;=HQ$33,HK11&lt;&gt;""),AND(HO11&gt;=HQ$33,HO11&lt;&gt;""),AND(IG11&gt;=IM$33,IG11&lt;&gt;""),AND(IK11&gt;=IM$33,IK11&lt;&gt;""),AND(JC11&gt;=JI$33,JC11&lt;&gt;""),AND(JG11&gt;=JI$33,JG11&lt;&gt;""),AND(JY11&gt;=KE$33,JY11&lt;&gt;""),AND(KC11&gt;=KE$33,KC11&lt;&gt;""),AND(KU11&gt;=LA$33,KU11&lt;&gt;""),AND(KY11&gt;=LA$33,KY11&lt;&gt;""),AND(LQ11&gt;=LW$33,LQ11&lt;&gt;""),AND(LU11&gt;=LW$33,LU11&lt;&gt;""),AND(MM11&gt;=MS$33,MM11&lt;&gt;""),AND(MQ11&gt;=MS$33,MQ11&lt;&gt;""),AND(NI11&gt;=NO$33,NI11&lt;&gt;""),AND(NM11&gt;=NO$33,NM11&lt;&gt;"")),"Merit",IF(OR(AND(AR11&gt;=AY$32,AR11&lt;&gt;"",AP11=""),AND(AT11&gt;=AY$32,AT11&lt;&gt;"",AP11=""),AND(AW11&gt;=AY$32,AW11&lt;&gt;"",AP11=""),AND(BV11&gt;=CC$32,BV11&lt;&gt;"",BT11=""),AND(BX11&gt;=CC$32,BX11&lt;&gt;"",BT11=""),AND(CA11&gt;=CC$32,CA11&lt;&gt;"",BT11=""),AND(CZ11&gt;=DG$32,CZ11&lt;&gt;"",CX11=""),AND(DB11&gt;=DG$32,DB11&lt;&gt;"",CX11=""),AND(DE11&gt;=DG$32,DE11&lt;&gt;"",CX11=""),AND(EA11&gt;=EG$32,EA11&lt;&gt;""),AND(EE11&gt;=EG$32,EE11&lt;&gt;""),AND(EW11&gt;=FC$32,EW11&lt;&gt;""),AND(FA11&gt;=FC$32,FA11&lt;&gt;""),AND(FS11&gt;=FY$32,FS11&lt;&gt;""),AND(FW11&gt;=FY$32,FW11&lt;&gt;""),AND(GO11&gt;=GU$32,GO11&lt;&gt;""),AND(GS11&gt;=GU$32,GS11&lt;&gt;""),AND(HK11&gt;=HQ$32,HK11&lt;&gt;""),AND(HO11&gt;=HQ$32,HO11&lt;&gt;""),AND(IG11&gt;=IM$32,IG11&lt;&gt;""),AND(IK11&gt;=IM$32,IK11&lt;&gt;""),AND(JC11&gt;=JI$32,JC11&lt;&gt;""),AND(JG11&gt;=JI$32,JG11&lt;&gt;""),AND(JY11&gt;=KE$32,JY11&lt;&gt;""),AND(KC11&gt;=KE$32,KC11&lt;&gt;""),AND(KU11&gt;=LA$32,KU11&lt;&gt;""),AND(KY11&gt;=LA$32,KY11&lt;&gt;""),AND(LQ11&gt;=LW$32,LQ11&lt;&gt;""),AND(LU11&gt;=LW$32,LU11&lt;&gt;""),AND(MM11&gt;=MS$32,MM11&lt;&gt;""),AND(MQ11&gt;=MS$32,MQ11&lt;&gt;""),AND(NI11&gt;=NO$32,NI11&lt;&gt;""),AND(NM11&gt;=NO$32,NM11&lt;&gt;"")),"Excellence",IF(OR(AND(AR11&gt;=AY$31,AR11&lt;&gt;"",AP11=""),AND(AT11&gt;=AY$31,AT11&lt;&gt;"",AP11=""),AND(AW11&gt;=AY$31,AW11&lt;&gt;"",AP11=""),AND(BV11&gt;=CC$31,BV11&lt;&gt;"",BT11=""),AND(BX11&gt;=CC$31,BX11&lt;&gt;"",BT11=""),AND(CA11&gt;=CC$31,CA11&lt;&gt;"",BT11=""),AND(CZ11&gt;=DG$31,CZ11&lt;&gt;"",CX11=""),AND(DB11&gt;=DG$31,DB11&lt;&gt;"",CX11=""),AND(DE11&gt;=DG$31,DE11&lt;&gt;"",CX11=""),AND(EA11&gt;=EG$31,EA11&lt;&gt;""),AND(EE11&gt;=EG$31,EE11&lt;&gt;""),AND(EW11&gt;=FC$31,EW11&lt;&gt;""),AND(FA11&gt;=FC$31,FA11&lt;&gt;""),AND(FS11&gt;=FY$31,FS11&lt;&gt;""),AND(FW11&gt;=FY$31,FW11&lt;&gt;""),AND(GO11&gt;=GU$31,GO11&lt;&gt;""),AND(GS11&gt;=GU$31,GS11&lt;&gt;""),AND(HK11&gt;=HQ$31,HK11&lt;&gt;""),AND(HO11&gt;=HQ$31,HO11&lt;&gt;""),AND(IG11&gt;=IM$31,IG11&lt;&gt;""),AND(IK11&gt;=IM$31,IK11&lt;&gt;""),AND(JC11&gt;=JI$31,JC11&lt;&gt;""),AND(JG11&gt;=JI$31,JG11&lt;&gt;""),AND(JY11&gt;=KE$31,JY11&lt;&gt;""),AND(KC11&gt;=KE$31,KC11&lt;&gt;""),AND(KU11&gt;=LA$31,KU11&lt;&gt;""),AND(KY11&gt;=LA$31,KY11&lt;&gt;""),AND(LQ11&gt;=LW$31,LQ11&lt;&gt;""),AND(LU11&gt;=LW$31,LU11&lt;&gt;""),AND(MM11&gt;=MS$31,MM11&lt;&gt;""),AND(MQ11&gt;=MS$31,MQ11&lt;&gt;""),AND(NI11&gt;=NO$31,NI11&lt;&gt;""),AND(NM11&gt;=NO$31,NM11&lt;&gt;"")),"Worlds Team",IF(OR(AND(AR11&gt;=AY$30,AR11&lt;&gt;"",AP11=""),AND(AT11&gt;=AY$30,AT11&lt;&gt;"",AP11=""),AND(AW11&gt;=AY$30,AW11&lt;&gt;"",AP11=""),AND(BV11&gt;=CC$30,BV11&lt;&gt;"",BT11=""),AND(BX11&gt;=CC$30,BX11&lt;&gt;"",BT11=""),AND(CA11&gt;=CC$30,CA11&lt;&gt;"",BT11=""),AND(CZ11&gt;=DG$30,CZ11&lt;&gt;"",CX11=""),AND(DB11&gt;=DG$30,DB11&lt;&gt;"",CX11=""),AND(DE11&gt;=DG$30,DE11&lt;&gt;"",CX11=""),AND(EA11&gt;=EG$30,EA11&lt;&gt;""),AND(EE11&gt;=EG$30,EE11&lt;&gt;""),AND(EW11&gt;=FC$30,EW11&lt;&gt;""),AND(FA11&gt;=FC$30,FA11&lt;&gt;""),AND(FS11&gt;=FY$30,FS11&lt;&gt;""),AND(FW11&gt;=FY$30,FW11&lt;&gt;""),AND(GO11&gt;=GU$30,GO11&lt;&gt;""),AND(GS11&gt;=GU$30,GS11&lt;&gt;""),AND(HK11&gt;=HQ$30,HK11&lt;&gt;""),AND(HO11&gt;=HQ$30,HO11&lt;&gt;""),AND(IG11&gt;=IM$30,IG11&lt;&gt;""),AND(IK11&gt;=IM$30,IK11&lt;&gt;""),AND(JC11&gt;=JI$30,JC11&lt;&gt;""),AND(JG11&gt;=JI$30,JG11&lt;&gt;""),AND(JY11&gt;=KE$30,JY11&lt;&gt;""),AND(KC11&gt;=KE$30,KC11&lt;&gt;""),AND(KU11&gt;=LA$30,KU11&lt;&gt;""),AND(KY11&gt;=LA$30,KY11&lt;&gt;""),AND(LQ11&gt;=LW$30,LQ11&lt;&gt;""),AND(LU11&gt;=LW$30,LU11&lt;&gt;""),AND(MM11&gt;=MS$30,MM11&lt;&gt;""),AND(MQ11&gt;=MS$30,MQ11&lt;&gt;""),AND(NI11&gt;=NO$30,NI11&lt;&gt;""),AND(NM11&gt;=NO$30,NM11&lt;&gt;"")),"National Team",""))))</f>
        <v/>
      </c>
      <c r="H11" s="115" t="str">
        <f>IF(OR(AND(AS11&gt;=AY$34,AS11&lt;&gt;"",AP11=""),AND(AU11&gt;=AY$34,AU11&lt;&gt;"",AP11=""),AND(AX11&gt;=AY$34,AX11&lt;&gt;"",AP11=""),AND(BW11&gt;=CC$34,BW11&lt;&gt;"",BT11=""),AND(BY11&gt;=CC$34,BY11&lt;&gt;"",BT11=""),AND(CB11&gt;=CC$34,CB11&lt;&gt;"",BT11=""),AND(DA11&gt;=DG$34,DA11&lt;&gt;"",CX11=""),AND(DC11&gt;=DG$34,DC11&lt;&gt;"",CX11=""),AND(DF11&gt;=DG$34,DF11&lt;&gt;"",CX11=""),AND(EC11&gt;=EG$34,EC11&lt;&gt;""),AND(EF11&gt;=EG$34,EF11&lt;&gt;""),AND(EY11&gt;=FC$34,EY11&lt;&gt;""),AND(FB11&gt;=FC$34,FB11&lt;&gt;""),AND(FU11&gt;=FY$34,FU11&lt;&gt;""),AND(FX11&gt;=FY$34,FX11&lt;&gt;""),AND(GQ11&gt;=GU$34,GQ11&lt;&gt;""),AND(GT11&gt;=GU$34,GT11&lt;&gt;""),AND(HM11&gt;=HQ$34,HM11&lt;&gt;""),AND(HP11&gt;=HQ$34,HP11&lt;&gt;""),AND(II11&gt;=IM$34,II11&lt;&gt;""),AND(IL11&gt;=IM$34,IL11&lt;&gt;""),AND(JE11&gt;=JI$34,JE11&lt;&gt;""),AND(JH11&gt;=JI$34,JH11&lt;&gt;""),AND(KA11&gt;=KE$34,KA11&lt;&gt;""),AND(KD11&gt;=KE$34,KD11&lt;&gt;""),AND(KW11&gt;=LA$34,KW11&lt;&gt;""),AND(KZ11&gt;=LA$34,KZ11&lt;&gt;""),AND(LS11&gt;=LW$34,LS11&lt;&gt;""),AND(LV11&gt;=LW$34,LV11&lt;&gt;""),AND(MO11&gt;=MS$34,MO11&lt;&gt;""),AND(MR11&gt;=MS$34,MR11&lt;&gt;""),AND(NK11&gt;=NO$34,NK11&lt;&gt;""),AND(NN11&gt;=NO$34,NN11&lt;&gt;"")),"National Team","")</f>
        <v/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$35,AV11&lt;&gt;"",AP11=""),AND(BZ11&gt;=CC$35,BZ11&lt;&gt;"",BT11=""),AND(DD11&gt;=DG$35,DD11&lt;&gt;"",CX11=""),AND(ED11&gt;=EG$35,ED11&lt;&gt;""),AND(EZ11&gt;=FC$35,EZ11&lt;&gt;""),AND(FV11&gt;=FY$35,FV11&lt;&gt;""),AND(GR11&gt;=GU$35,GR11&lt;&gt;""),AND(HN11&gt;=HQ$35,HN11&lt;&gt;""),AND(IJ11&gt;=IM$35,IJ11&lt;&gt;""),AND(JF11&gt;=JI$35,JF11&lt;&gt;""),AND(KB11&gt;=KE$35,KB11&lt;&gt;""),AND(KX11&gt;=LA$35,KX11&lt;&gt;""),AND(LT11&gt;=LW$35,LT11&lt;&gt;""),AND(MP11&gt;=MS$35,MP11&lt;&gt;""),AND(NL11&gt;=NO$35,NL11&lt;&gt;"")),OR(G11="Worlds Team",G11="Excellence",G11="Merit")),"P","")</f>
        <v/>
      </c>
      <c r="K11" s="14">
        <f>IF(MAX(AV11,BZ11,DD11)&gt;0,MAX(AV11,BZ11,DD11),0)</f>
        <v>87.91</v>
      </c>
      <c r="L11" s="14" t="str">
        <f>IF(K11=0,"",IF(K11=DD11,$CD$1,IF(K11=BZ11,$AZ$1,IF(K11=AV11,$V$1,""))))</f>
        <v>2021 Canadian Championships</v>
      </c>
      <c r="M11" s="14">
        <f>IF($K11=$AV11,MAX(BU11,CY11),IF($K11=$BZ11,MAX(AQ11,CY11),IF($K11=$DD11,MAX(AQ11,BU11),MAX(AQ11,BU11,CY11))))</f>
        <v>39.755000000000003</v>
      </c>
      <c r="N11" s="14" t="str">
        <f>IF(M11=0,"",IF(AND(M11=CY11,$L11&lt;&gt;$CD$1),$CD$1,IF(AND(M11=BU11,$L11&lt;&gt;$AZ$1),$AZ$1,IF(AND(M11=AQ11,$L11&lt;&gt;$V$1),$V$1,""))))</f>
        <v>2021 2nd Virtual Technical Trial</v>
      </c>
      <c r="O11" s="14">
        <f>MAX(AS11,AU11,AX11,BW11,BY11,CB11,DA11,DC11,DF11)</f>
        <v>47.254999999999995</v>
      </c>
      <c r="P11" s="14" t="str">
        <f>IF(O11=0,"",IF(OR(O11=DC11,O11=DA11,O11=DF11),$CD$1,IF(OR(O11=BY11,O11=BW11,O11=CB11),$AZ$1,IF(OR(O11=AU11,O11=AS11,O11=AX11),$V$1,""))))</f>
        <v>2021 Canadian Championships</v>
      </c>
      <c r="Q11" s="14">
        <f>IF(COUNT(AS11,AU11,AX11,BW11,BY11,CB11,DA11,DC11,DF11)&gt;1,LARGE((AS11,AU11,AX11,BW11,BY11,CB11,DA11,DC11,DF11),2),0)</f>
        <v>47.004999999999995</v>
      </c>
      <c r="R11" s="14" t="str">
        <f>IF(Q11=0,"",IF(OR(Q11=DC11,Q11=DA11,Q11=DF11),$CD$1,IF(OR(Q11=BY11,Q11=BW11,Q11=CB11),$AZ$1,IF(OR(Q11=AU11,Q11=AS11,Q11=AX11),$V$1,""))))</f>
        <v>2021 Canadian Championships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>
        <v>14.3</v>
      </c>
      <c r="W11" s="61">
        <v>9.3000000000000007</v>
      </c>
      <c r="X11" s="61">
        <v>2.5</v>
      </c>
      <c r="Y11" s="61">
        <v>13.654999999999999</v>
      </c>
      <c r="Z11" s="61">
        <v>0</v>
      </c>
      <c r="AA11" s="61">
        <v>6.8</v>
      </c>
      <c r="AB11" s="61">
        <v>4.5</v>
      </c>
      <c r="AC11" s="61">
        <v>5.0999999999999996</v>
      </c>
      <c r="AD11" s="61">
        <v>6.97</v>
      </c>
      <c r="AE11" s="61">
        <v>0</v>
      </c>
      <c r="AF11" s="61"/>
      <c r="AG11" s="61"/>
      <c r="AH11" s="61"/>
      <c r="AI11" s="61"/>
      <c r="AJ11" s="61"/>
      <c r="AK11" s="61">
        <v>8.3000000000000007</v>
      </c>
      <c r="AL11" s="61">
        <v>6.1</v>
      </c>
      <c r="AM11" s="61">
        <v>5.4</v>
      </c>
      <c r="AN11" s="61">
        <v>9.1349999999999998</v>
      </c>
      <c r="AO11" s="61">
        <v>0</v>
      </c>
      <c r="AP11" s="72"/>
      <c r="AQ11" s="11">
        <f>IF(SUM(V11:Y11)-Z11&gt;0,SUM(V11:Y11)-Z11,"")</f>
        <v>39.755000000000003</v>
      </c>
      <c r="AR11" s="11">
        <f>IF(AC11&gt;0,AC11,"")</f>
        <v>5.0999999999999996</v>
      </c>
      <c r="AS11" s="11">
        <f>IF(SUM(AA11:AD11)-AE11&gt;0,SUM(AA11:AD11)-AE11,"")</f>
        <v>23.369999999999997</v>
      </c>
      <c r="AT11" s="11" t="str">
        <f>IF(AH11&gt;0,AH11,"")</f>
        <v/>
      </c>
      <c r="AU11" s="11" t="str">
        <f>IF(SUM(AF11:AI11)-AJ11&gt;0,SUM(AF11:AI11)-AJ11,"")</f>
        <v/>
      </c>
      <c r="AV11" s="11">
        <f>IF(AQ11="",IF(MAX(AS11,AU11)&gt;0,MAX(AS11,AU11),""),MAX(AS11,AU11)+AQ11)</f>
        <v>63.125</v>
      </c>
      <c r="AW11" s="11">
        <f>IF(AM11&gt;0,AM11,"")</f>
        <v>5.4</v>
      </c>
      <c r="AX11" s="11">
        <f>IF(SUM(AK11:AN11)-AO11&gt;0,SUM(AK11:AN11)-AO11,"")</f>
        <v>28.935000000000002</v>
      </c>
      <c r="AY11" s="11">
        <f>IF(SUM(AV11,AX11)&gt;0,SUM(AV11,AX11),"")</f>
        <v>92.06</v>
      </c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73"/>
      <c r="BU11" s="14" t="str">
        <f>IF(SUM(AZ11:BC11)-BD11&gt;0,SUM(AZ11:BC11)-BD11,"")</f>
        <v/>
      </c>
      <c r="BV11" s="14" t="str">
        <f>IF(BG11&gt;0,BG11,"")</f>
        <v/>
      </c>
      <c r="BW11" s="14" t="str">
        <f>IF(SUM(BE11:BH11)-BI11&gt;0,SUM(BE11:BH11)-BI11,"")</f>
        <v/>
      </c>
      <c r="BX11" s="14" t="str">
        <f>IF(BL11&gt;0,BL11,"")</f>
        <v/>
      </c>
      <c r="BY11" s="14" t="str">
        <f>IF(SUM(BJ11:BM11)-BN11&gt;0,SUM(BJ11:BM11)-BN11,"")</f>
        <v/>
      </c>
      <c r="BZ11" s="14" t="str">
        <f>IF(BU11="",IF(MAX(BW11,BY11)&gt;0,MAX(BW11,BY11),""),MAX(BW11,BY11)+BU11)</f>
        <v/>
      </c>
      <c r="CA11" s="14" t="str">
        <f>IF(BQ11&gt;0,BQ11,"")</f>
        <v/>
      </c>
      <c r="CB11" s="14" t="str">
        <f>IF(SUM(BO11:BR11)-BS11&gt;0,SUM(BO11:BR11)-BS11,"")</f>
        <v/>
      </c>
      <c r="CC11" s="14" t="str">
        <f>IF(SUM(BZ11,CB11)&gt;0,SUM(BZ11,CB11),"")</f>
        <v/>
      </c>
      <c r="CD11" s="61">
        <v>14.9</v>
      </c>
      <c r="CE11" s="61">
        <v>9.1999999999999993</v>
      </c>
      <c r="CF11" s="61">
        <v>2.7</v>
      </c>
      <c r="CG11" s="61">
        <v>13.855</v>
      </c>
      <c r="CH11" s="61">
        <v>0</v>
      </c>
      <c r="CI11" s="61">
        <v>14.2</v>
      </c>
      <c r="CJ11" s="61">
        <v>9.6</v>
      </c>
      <c r="CK11" s="61">
        <v>9.8000000000000007</v>
      </c>
      <c r="CL11" s="61">
        <v>13.654999999999999</v>
      </c>
      <c r="CM11" s="61">
        <v>0</v>
      </c>
      <c r="CN11" s="61"/>
      <c r="CO11" s="61"/>
      <c r="CP11" s="61"/>
      <c r="CQ11" s="61"/>
      <c r="CR11" s="61"/>
      <c r="CS11" s="61">
        <v>14.3</v>
      </c>
      <c r="CT11" s="61">
        <v>9</v>
      </c>
      <c r="CU11" s="61">
        <v>10</v>
      </c>
      <c r="CV11" s="61">
        <v>13.705</v>
      </c>
      <c r="CW11" s="61">
        <v>0</v>
      </c>
      <c r="CX11" s="72"/>
      <c r="CY11" s="11">
        <f>IF(SUM(CD11:CG11)-CH11&gt;0,SUM(CD11:CG11)-CH11,"")</f>
        <v>40.655000000000001</v>
      </c>
      <c r="CZ11" s="11">
        <f>IF(CK11&gt;0,CK11,"")</f>
        <v>9.8000000000000007</v>
      </c>
      <c r="DA11" s="11">
        <f>IF(SUM(CI11:CL11)-CM11&gt;0,SUM(CI11:CL11)-CM11,"")</f>
        <v>47.254999999999995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87.91</v>
      </c>
      <c r="DE11" s="11">
        <f>IF(CU11&gt;0,CU11,"")</f>
        <v>10</v>
      </c>
      <c r="DF11" s="11">
        <f>IF(SUM(CS11:CV11)-CW11&gt;0,SUM(CS11:CV11)-CW11,"")</f>
        <v>47.004999999999995</v>
      </c>
      <c r="DG11" s="11">
        <f>IF(SUM(DD11,DF11)&gt;0,SUM(DD11,DF11),"")</f>
        <v>134.91499999999999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7.45</v>
      </c>
      <c r="NQ11" s="61">
        <f>IF($CX11="P",CE11,(CE11+BA11)/2)</f>
        <v>4.5999999999999996</v>
      </c>
      <c r="NR11" s="61">
        <f>IF($CX11="P",CF11,(CF11+BB11)/2)</f>
        <v>1.35</v>
      </c>
      <c r="NS11" s="61">
        <f>IF($CX11="P",CG11,(CG11+BC11)/2)</f>
        <v>6.9275000000000002</v>
      </c>
      <c r="NT11" s="61">
        <f>IF($CX11="P",CH11,(CH11+BD11)/2)</f>
        <v>0</v>
      </c>
      <c r="NU11" s="61">
        <f>IF($CX11="P",CI11,(CI11+BE11)/2)</f>
        <v>7.1</v>
      </c>
      <c r="NV11" s="61">
        <f>IF($CX11="P",CJ11,(CJ11+BF11)/2)</f>
        <v>4.8</v>
      </c>
      <c r="NW11" s="61">
        <f>IF($CX11="P",CK11,(CK11+BG11)/2)</f>
        <v>4.9000000000000004</v>
      </c>
      <c r="NX11" s="61">
        <f>IF($CX11="P",CL11,(CL11+BH11)/2)</f>
        <v>6.8274999999999997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7.15</v>
      </c>
      <c r="OF11" s="61">
        <f>IF($CX11="P",CT11,(CT11+BP11)/2)</f>
        <v>4.5</v>
      </c>
      <c r="OG11" s="61">
        <f>IF($CX11="P",CU11,(CU11+BQ11)/2)</f>
        <v>5</v>
      </c>
      <c r="OH11" s="61">
        <f>IF($CX11="P",CV11,(CV11+BR11)/2)</f>
        <v>6.8525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20.327500000000001</v>
      </c>
      <c r="OL11" s="11">
        <f>IF(NW11&gt;0,NW11,"")</f>
        <v>4.9000000000000004</v>
      </c>
      <c r="OM11" s="11">
        <f>IF(SUM(NU11:NX11)-NY11&gt;0,SUM(NU11:NX11)-NY11,"")</f>
        <v>23.627499999999998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43.954999999999998</v>
      </c>
      <c r="OQ11" s="11">
        <f>IF(OG11&gt;0,OG11,"")</f>
        <v>5</v>
      </c>
      <c r="OR11" s="11">
        <f t="shared" ref="OR11" si="4">IF(SUM(OE11:OH11)-OI11&gt;0,SUM(OE11:OH11)-OI11,"")</f>
        <v>23.502499999999998</v>
      </c>
      <c r="OS11" s="11">
        <f t="shared" ref="OS11" si="5">IF(SUM(OP11,OR11)&gt;0,SUM(OP11,OR11),"")</f>
        <v>67.457499999999996</v>
      </c>
    </row>
    <row r="12" spans="1:409" x14ac:dyDescent="0.2">
      <c r="A12" s="5" t="str" cm="1">
        <f t="array" ref="A12">IF(AND(G12&lt;&gt;"",H12&lt;&gt;""),SUMPRODUCT((G$4:G$28&lt;&gt;"")*(H$4:H$28&lt;&gt;"")*(E$4:E$28&gt;E12))+1,IF(H12&lt;&gt;"",SUMPRODUCT((I$4:I$28="No DD")*(E$4:E$28&gt;E12))+1+SUMPRODUCT((G$4:G$28&lt;&gt;"")*(H$4:H$28&lt;&gt;"")),""))</f>
        <v/>
      </c>
      <c r="B12" s="8" t="s">
        <v>97</v>
      </c>
      <c r="C12" s="4" t="s">
        <v>95</v>
      </c>
      <c r="D12" s="26">
        <v>2002</v>
      </c>
      <c r="E12" s="15">
        <f>SUM(O12:S12)</f>
        <v>92.75</v>
      </c>
      <c r="F12" s="3" t="str">
        <f>IF(G12&lt;&gt;"","P","")</f>
        <v/>
      </c>
      <c r="G12" s="115" t="str">
        <f>IF(OR(AND(AR12&gt;=AY$33,AR12&lt;&gt;"",AP12=""),AND(AT12&gt;=AY$33,AT12&lt;&gt;"",AP12=""),AND(AW12&gt;=AY$33,AW12&lt;&gt;"",AP12=""),AND(BV12&gt;=CC$33,BV12&lt;&gt;"",BT12=""),AND(BX12&gt;=CC$33,BX12&lt;&gt;"",BT12=""),AND(CA12&gt;=CC$33,CA12&lt;&gt;"",BT12=""),AND(CZ12&gt;=DG$33,CZ12&lt;&gt;"",CX12=""),AND(DB12&gt;=DG$33,DB12&lt;&gt;"",CX12=""),AND(DE12&gt;=DG$33,DE12&lt;&gt;"",CX12=""),AND(EA12&gt;=EG$33,EA12&lt;&gt;""),AND(EE12&gt;=EG$33,EE12&lt;&gt;""),AND(EW12&gt;=FC$33,EW12&lt;&gt;""),AND(FA12&gt;=FC$33,FA12&lt;&gt;""),AND(FS12&gt;=FY$33,FS12&lt;&gt;""),AND(FW12&gt;=FY$33,FW12&lt;&gt;""),AND(GO12&gt;=GU$33,GO12&lt;&gt;""),AND(GS12&gt;=GU$33,GS12&lt;&gt;""),AND(HK12&gt;=HQ$33,HK12&lt;&gt;""),AND(HO12&gt;=HQ$33,HO12&lt;&gt;""),AND(IG12&gt;=IM$33,IG12&lt;&gt;""),AND(IK12&gt;=IM$33,IK12&lt;&gt;""),AND(JC12&gt;=JI$33,JC12&lt;&gt;""),AND(JG12&gt;=JI$33,JG12&lt;&gt;""),AND(JY12&gt;=KE$33,JY12&lt;&gt;""),AND(KC12&gt;=KE$33,KC12&lt;&gt;""),AND(KU12&gt;=LA$33,KU12&lt;&gt;""),AND(KY12&gt;=LA$33,KY12&lt;&gt;""),AND(LQ12&gt;=LW$33,LQ12&lt;&gt;""),AND(LU12&gt;=LW$33,LU12&lt;&gt;""),AND(MM12&gt;=MS$33,MM12&lt;&gt;""),AND(MQ12&gt;=MS$33,MQ12&lt;&gt;""),AND(NI12&gt;=NO$33,NI12&lt;&gt;""),AND(NM12&gt;=NO$33,NM12&lt;&gt;"")),"Merit",IF(OR(AND(AR12&gt;=AY$32,AR12&lt;&gt;"",AP12=""),AND(AT12&gt;=AY$32,AT12&lt;&gt;"",AP12=""),AND(AW12&gt;=AY$32,AW12&lt;&gt;"",AP12=""),AND(BV12&gt;=CC$32,BV12&lt;&gt;"",BT12=""),AND(BX12&gt;=CC$32,BX12&lt;&gt;"",BT12=""),AND(CA12&gt;=CC$32,CA12&lt;&gt;"",BT12=""),AND(CZ12&gt;=DG$32,CZ12&lt;&gt;"",CX12=""),AND(DB12&gt;=DG$32,DB12&lt;&gt;"",CX12=""),AND(DE12&gt;=DG$32,DE12&lt;&gt;"",CX12=""),AND(EA12&gt;=EG$32,EA12&lt;&gt;""),AND(EE12&gt;=EG$32,EE12&lt;&gt;""),AND(EW12&gt;=FC$32,EW12&lt;&gt;""),AND(FA12&gt;=FC$32,FA12&lt;&gt;""),AND(FS12&gt;=FY$32,FS12&lt;&gt;""),AND(FW12&gt;=FY$32,FW12&lt;&gt;""),AND(GO12&gt;=GU$32,GO12&lt;&gt;""),AND(GS12&gt;=GU$32,GS12&lt;&gt;""),AND(HK12&gt;=HQ$32,HK12&lt;&gt;""),AND(HO12&gt;=HQ$32,HO12&lt;&gt;""),AND(IG12&gt;=IM$32,IG12&lt;&gt;""),AND(IK12&gt;=IM$32,IK12&lt;&gt;""),AND(JC12&gt;=JI$32,JC12&lt;&gt;""),AND(JG12&gt;=JI$32,JG12&lt;&gt;""),AND(JY12&gt;=KE$32,JY12&lt;&gt;""),AND(KC12&gt;=KE$32,KC12&lt;&gt;""),AND(KU12&gt;=LA$32,KU12&lt;&gt;""),AND(KY12&gt;=LA$32,KY12&lt;&gt;""),AND(LQ12&gt;=LW$32,LQ12&lt;&gt;""),AND(LU12&gt;=LW$32,LU12&lt;&gt;""),AND(MM12&gt;=MS$32,MM12&lt;&gt;""),AND(MQ12&gt;=MS$32,MQ12&lt;&gt;""),AND(NI12&gt;=NO$32,NI12&lt;&gt;""),AND(NM12&gt;=NO$32,NM12&lt;&gt;"")),"Excellence",IF(OR(AND(AR12&gt;=AY$31,AR12&lt;&gt;"",AP12=""),AND(AT12&gt;=AY$31,AT12&lt;&gt;"",AP12=""),AND(AW12&gt;=AY$31,AW12&lt;&gt;"",AP12=""),AND(BV12&gt;=CC$31,BV12&lt;&gt;"",BT12=""),AND(BX12&gt;=CC$31,BX12&lt;&gt;"",BT12=""),AND(CA12&gt;=CC$31,CA12&lt;&gt;"",BT12=""),AND(CZ12&gt;=DG$31,CZ12&lt;&gt;"",CX12=""),AND(DB12&gt;=DG$31,DB12&lt;&gt;"",CX12=""),AND(DE12&gt;=DG$31,DE12&lt;&gt;"",CX12=""),AND(EA12&gt;=EG$31,EA12&lt;&gt;""),AND(EE12&gt;=EG$31,EE12&lt;&gt;""),AND(EW12&gt;=FC$31,EW12&lt;&gt;""),AND(FA12&gt;=FC$31,FA12&lt;&gt;""),AND(FS12&gt;=FY$31,FS12&lt;&gt;""),AND(FW12&gt;=FY$31,FW12&lt;&gt;""),AND(GO12&gt;=GU$31,GO12&lt;&gt;""),AND(GS12&gt;=GU$31,GS12&lt;&gt;""),AND(HK12&gt;=HQ$31,HK12&lt;&gt;""),AND(HO12&gt;=HQ$31,HO12&lt;&gt;""),AND(IG12&gt;=IM$31,IG12&lt;&gt;""),AND(IK12&gt;=IM$31,IK12&lt;&gt;""),AND(JC12&gt;=JI$31,JC12&lt;&gt;""),AND(JG12&gt;=JI$31,JG12&lt;&gt;""),AND(JY12&gt;=KE$31,JY12&lt;&gt;""),AND(KC12&gt;=KE$31,KC12&lt;&gt;""),AND(KU12&gt;=LA$31,KU12&lt;&gt;""),AND(KY12&gt;=LA$31,KY12&lt;&gt;""),AND(LQ12&gt;=LW$31,LQ12&lt;&gt;""),AND(LU12&gt;=LW$31,LU12&lt;&gt;""),AND(MM12&gt;=MS$31,MM12&lt;&gt;""),AND(MQ12&gt;=MS$31,MQ12&lt;&gt;""),AND(NI12&gt;=NO$31,NI12&lt;&gt;""),AND(NM12&gt;=NO$31,NM12&lt;&gt;"")),"Worlds Team",IF(OR(AND(AR12&gt;=AY$30,AR12&lt;&gt;"",AP12=""),AND(AT12&gt;=AY$30,AT12&lt;&gt;"",AP12=""),AND(AW12&gt;=AY$30,AW12&lt;&gt;"",AP12=""),AND(BV12&gt;=CC$30,BV12&lt;&gt;"",BT12=""),AND(BX12&gt;=CC$30,BX12&lt;&gt;"",BT12=""),AND(CA12&gt;=CC$30,CA12&lt;&gt;"",BT12=""),AND(CZ12&gt;=DG$30,CZ12&lt;&gt;"",CX12=""),AND(DB12&gt;=DG$30,DB12&lt;&gt;"",CX12=""),AND(DE12&gt;=DG$30,DE12&lt;&gt;"",CX12=""),AND(EA12&gt;=EG$30,EA12&lt;&gt;""),AND(EE12&gt;=EG$30,EE12&lt;&gt;""),AND(EW12&gt;=FC$30,EW12&lt;&gt;""),AND(FA12&gt;=FC$30,FA12&lt;&gt;""),AND(FS12&gt;=FY$30,FS12&lt;&gt;""),AND(FW12&gt;=FY$30,FW12&lt;&gt;""),AND(GO12&gt;=GU$30,GO12&lt;&gt;""),AND(GS12&gt;=GU$30,GS12&lt;&gt;""),AND(HK12&gt;=HQ$30,HK12&lt;&gt;""),AND(HO12&gt;=HQ$30,HO12&lt;&gt;""),AND(IG12&gt;=IM$30,IG12&lt;&gt;""),AND(IK12&gt;=IM$30,IK12&lt;&gt;""),AND(JC12&gt;=JI$30,JC12&lt;&gt;""),AND(JG12&gt;=JI$30,JG12&lt;&gt;""),AND(JY12&gt;=KE$30,JY12&lt;&gt;""),AND(KC12&gt;=KE$30,KC12&lt;&gt;""),AND(KU12&gt;=LA$30,KU12&lt;&gt;""),AND(KY12&gt;=LA$30,KY12&lt;&gt;""),AND(LQ12&gt;=LW$30,LQ12&lt;&gt;""),AND(LU12&gt;=LW$30,LU12&lt;&gt;""),AND(MM12&gt;=MS$30,MM12&lt;&gt;""),AND(MQ12&gt;=MS$30,MQ12&lt;&gt;""),AND(NI12&gt;=NO$30,NI12&lt;&gt;""),AND(NM12&gt;=NO$30,NM12&lt;&gt;"")),"National Team",""))))</f>
        <v/>
      </c>
      <c r="H12" s="115" t="str">
        <f>IF(OR(AND(AS12&gt;=AY$34,AS12&lt;&gt;"",AP12=""),AND(AU12&gt;=AY$34,AU12&lt;&gt;"",AP12=""),AND(AX12&gt;=AY$34,AX12&lt;&gt;"",AP12=""),AND(BW12&gt;=CC$34,BW12&lt;&gt;"",BT12=""),AND(BY12&gt;=CC$34,BY12&lt;&gt;"",BT12=""),AND(CB12&gt;=CC$34,CB12&lt;&gt;"",BT12=""),AND(DA12&gt;=DG$34,DA12&lt;&gt;"",CX12=""),AND(DC12&gt;=DG$34,DC12&lt;&gt;"",CX12=""),AND(DF12&gt;=DG$34,DF12&lt;&gt;"",CX12=""),AND(EC12&gt;=EG$34,EC12&lt;&gt;""),AND(EF12&gt;=EG$34,EF12&lt;&gt;""),AND(EY12&gt;=FC$34,EY12&lt;&gt;""),AND(FB12&gt;=FC$34,FB12&lt;&gt;""),AND(FU12&gt;=FY$34,FU12&lt;&gt;""),AND(FX12&gt;=FY$34,FX12&lt;&gt;""),AND(GQ12&gt;=GU$34,GQ12&lt;&gt;""),AND(GT12&gt;=GU$34,GT12&lt;&gt;""),AND(HM12&gt;=HQ$34,HM12&lt;&gt;""),AND(HP12&gt;=HQ$34,HP12&lt;&gt;""),AND(II12&gt;=IM$34,II12&lt;&gt;""),AND(IL12&gt;=IM$34,IL12&lt;&gt;""),AND(JE12&gt;=JI$34,JE12&lt;&gt;""),AND(JH12&gt;=JI$34,JH12&lt;&gt;""),AND(KA12&gt;=KE$34,KA12&lt;&gt;""),AND(KD12&gt;=KE$34,KD12&lt;&gt;""),AND(KW12&gt;=LA$34,KW12&lt;&gt;""),AND(KZ12&gt;=LA$34,KZ12&lt;&gt;""),AND(LS12&gt;=LW$34,LS12&lt;&gt;""),AND(LV12&gt;=LW$34,LV12&lt;&gt;""),AND(MO12&gt;=MS$34,MO12&lt;&gt;""),AND(MR12&gt;=MS$34,MR12&lt;&gt;""),AND(NK12&gt;=NO$34,NK12&lt;&gt;""),AND(NN12&gt;=NO$34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$35,AV12&lt;&gt;"",AP12=""),AND(BZ12&gt;=CC$35,BZ12&lt;&gt;"",BT12=""),AND(DD12&gt;=DG$35,DD12&lt;&gt;"",CX12=""),AND(ED12&gt;=EG$35,ED12&lt;&gt;""),AND(EZ12&gt;=FC$35,EZ12&lt;&gt;""),AND(FV12&gt;=FY$35,FV12&lt;&gt;""),AND(GR12&gt;=GU$35,GR12&lt;&gt;""),AND(HN12&gt;=HQ$35,HN12&lt;&gt;""),AND(IJ12&gt;=IM$35,IJ12&lt;&gt;""),AND(JF12&gt;=JI$35,JF12&lt;&gt;""),AND(KB12&gt;=KE$35,KB12&lt;&gt;""),AND(KX12&gt;=LA$35,KX12&lt;&gt;""),AND(LT12&gt;=LW$35,LT12&lt;&gt;""),AND(MP12&gt;=MS$35,MP12&lt;&gt;""),AND(NL12&gt;=NO$35,NL12&lt;&gt;"")),OR(G12="Worlds Team",G12="Excellence",G12="Merit")),"P","")</f>
        <v/>
      </c>
      <c r="K12" s="14">
        <f>IF(MAX(AV12,BZ12,DD12)&gt;0,MAX(AV12,BZ12,DD12),0)</f>
        <v>87.12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40.44</v>
      </c>
      <c r="N12" s="14" t="str">
        <f>IF(M12=0,"",IF(AND(M12=CY12,$L12&lt;&gt;$CD$1),$CD$1,IF(AND(M12=BU12,$L12&lt;&gt;$AZ$1),$AZ$1,IF(AND(M12=AQ12,$L12&lt;&gt;$V$1),$V$1,""))))</f>
        <v>2021 Canadian Championships</v>
      </c>
      <c r="O12" s="14">
        <f>MAX(AS12,AU12,AX12,BW12,BY12,CB12,DA12,DC12,DF12)</f>
        <v>46.410000000000004</v>
      </c>
      <c r="P12" s="14" t="str">
        <f>IF(O12=0,"",IF(OR(O12=DC12,O12=DA12,O12=DF12),$CD$1,IF(OR(O12=BY12,O12=BW12,O12=CB12),$AZ$1,IF(OR(O12=AU12,O12=AS12,O12=AX12),$V$1,""))))</f>
        <v>2021 Elite Canada</v>
      </c>
      <c r="Q12" s="14">
        <f>IF(COUNT(AS12,AU12,AX12,BW12,BY12,CB12,DA12,DC12,DF12)&gt;1,LARGE((AS12,AU12,AX12,BW12,BY12,CB12,DA12,DC12,DF12),2),0)</f>
        <v>46.339999999999996</v>
      </c>
      <c r="R12" s="14" t="str">
        <f>IF(Q12=0,"",IF(OR(Q12=DC12,Q12=DA12,Q12=DF12),$CD$1,IF(OR(Q12=BY12,Q12=BW12,Q12=CB12),$AZ$1,IF(OR(Q12=AU12,Q12=AS12,Q12=AX12),$V$1,""))))</f>
        <v>2021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15.2</v>
      </c>
      <c r="W12" s="61">
        <v>8.9</v>
      </c>
      <c r="X12" s="61">
        <v>2.2000000000000002</v>
      </c>
      <c r="Y12" s="61">
        <v>13.195</v>
      </c>
      <c r="Z12" s="61">
        <v>0</v>
      </c>
      <c r="AA12" s="61">
        <v>2.4</v>
      </c>
      <c r="AB12" s="61">
        <v>1.7</v>
      </c>
      <c r="AC12" s="61">
        <v>2.2999999999999998</v>
      </c>
      <c r="AD12" s="61">
        <v>2.6949999999999998</v>
      </c>
      <c r="AE12" s="61">
        <v>0</v>
      </c>
      <c r="AF12" s="61"/>
      <c r="AG12" s="61"/>
      <c r="AH12" s="61"/>
      <c r="AI12" s="61"/>
      <c r="AJ12" s="61"/>
      <c r="AK12" s="61">
        <v>13.9</v>
      </c>
      <c r="AL12" s="61">
        <v>9.3000000000000007</v>
      </c>
      <c r="AM12" s="61">
        <v>10.3</v>
      </c>
      <c r="AN12" s="61">
        <v>12.76</v>
      </c>
      <c r="AO12" s="61">
        <v>0</v>
      </c>
      <c r="AP12" s="72"/>
      <c r="AQ12" s="11">
        <f>IF(SUM(V12:Y12)-Z12&gt;0,SUM(V12:Y12)-Z12,"")</f>
        <v>39.495000000000005</v>
      </c>
      <c r="AR12" s="11">
        <f>IF(AC12&gt;0,AC12,"")</f>
        <v>2.2999999999999998</v>
      </c>
      <c r="AS12" s="11">
        <f>IF(SUM(AA12:AD12)-AE12&gt;0,SUM(AA12:AD12)-AE12,"")</f>
        <v>9.0949999999999989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48.59</v>
      </c>
      <c r="AW12" s="11">
        <f>IF(AM12&gt;0,AM12,"")</f>
        <v>10.3</v>
      </c>
      <c r="AX12" s="11">
        <f>IF(SUM(AK12:AN12)-AO12&gt;0,SUM(AK12:AN12)-AO12,"")</f>
        <v>46.26</v>
      </c>
      <c r="AY12" s="11">
        <f>IF(SUM(AV12,AX12)&gt;0,SUM(AV12,AX12),"")</f>
        <v>94.85</v>
      </c>
      <c r="AZ12" s="67">
        <v>15.7</v>
      </c>
      <c r="BA12" s="67">
        <v>9.5</v>
      </c>
      <c r="BB12" s="67">
        <v>2.2000000000000002</v>
      </c>
      <c r="BC12" s="67">
        <v>13.38</v>
      </c>
      <c r="BD12" s="67">
        <v>0</v>
      </c>
      <c r="BE12" s="67">
        <v>14.8</v>
      </c>
      <c r="BF12" s="67">
        <v>9.1</v>
      </c>
      <c r="BG12" s="67">
        <v>9.6999999999999993</v>
      </c>
      <c r="BH12" s="67">
        <v>12.74</v>
      </c>
      <c r="BI12" s="67">
        <v>0</v>
      </c>
      <c r="BJ12" s="67"/>
      <c r="BK12" s="67"/>
      <c r="BL12" s="67"/>
      <c r="BM12" s="67"/>
      <c r="BN12" s="67"/>
      <c r="BO12" s="67">
        <v>14.8</v>
      </c>
      <c r="BP12" s="67">
        <v>8.9</v>
      </c>
      <c r="BQ12" s="67">
        <v>9.6999999999999993</v>
      </c>
      <c r="BR12" s="67">
        <v>13.01</v>
      </c>
      <c r="BS12" s="67">
        <v>0</v>
      </c>
      <c r="BT12" s="73"/>
      <c r="BU12" s="14">
        <f>IF(SUM(AZ12:BC12)-BD12&gt;0,SUM(AZ12:BC12)-BD12,"")</f>
        <v>40.78</v>
      </c>
      <c r="BV12" s="14">
        <f>IF(BG12&gt;0,BG12,"")</f>
        <v>9.6999999999999993</v>
      </c>
      <c r="BW12" s="14">
        <f>IF(SUM(BE12:BH12)-BI12&gt;0,SUM(BE12:BH12)-BI12,"")</f>
        <v>46.339999999999996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87.12</v>
      </c>
      <c r="CA12" s="14">
        <f>IF(BQ12&gt;0,BQ12,"")</f>
        <v>9.6999999999999993</v>
      </c>
      <c r="CB12" s="14">
        <f>IF(SUM(BO12:BR12)-BS12&gt;0,SUM(BO12:BR12)-BS12,"")</f>
        <v>46.410000000000004</v>
      </c>
      <c r="CC12" s="14">
        <f>IF(SUM(BZ12,CB12)&gt;0,SUM(BZ12,CB12),"")</f>
        <v>133.53</v>
      </c>
      <c r="CD12" s="61">
        <v>15.3</v>
      </c>
      <c r="CE12" s="61">
        <v>9.6</v>
      </c>
      <c r="CF12" s="61">
        <v>2.2000000000000002</v>
      </c>
      <c r="CG12" s="61">
        <v>13.34</v>
      </c>
      <c r="CH12" s="61">
        <v>0</v>
      </c>
      <c r="CI12" s="61">
        <v>2.6</v>
      </c>
      <c r="CJ12" s="61">
        <v>1.8</v>
      </c>
      <c r="CK12" s="61">
        <v>2.2999999999999998</v>
      </c>
      <c r="CL12" s="61">
        <v>2.6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>IF(SUM(CD12:CG12)-CH12&gt;0,SUM(CD12:CG12)-CH12,"")</f>
        <v>40.44</v>
      </c>
      <c r="CZ12" s="11">
        <f>IF(CK12&gt;0,CK12,"")</f>
        <v>2.2999999999999998</v>
      </c>
      <c r="DA12" s="11">
        <f>IF(SUM(CI12:CL12)-CM12&gt;0,SUM(CI12:CL12)-CM12,"")</f>
        <v>9.3000000000000007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49.739999999999995</v>
      </c>
      <c r="DE12" s="11" t="str">
        <f>IF(CU12&gt;0,CU12,"")</f>
        <v/>
      </c>
      <c r="DF12" s="11" t="str">
        <f>IF(SUM(CS12:CV12)-CW12&gt;0,SUM(CS12:CV12)-CW12,"")</f>
        <v/>
      </c>
      <c r="DG12" s="11">
        <f>IF(SUM(DD12,DF12)&gt;0,SUM(DD12,DF12),"")</f>
        <v>49.739999999999995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15.5</v>
      </c>
      <c r="NQ12" s="61">
        <f>IF($CX12="P",CE12,(CE12+BA12)/2)</f>
        <v>9.5500000000000007</v>
      </c>
      <c r="NR12" s="61">
        <f>IF($CX12="P",CF12,(CF12+BB12)/2)</f>
        <v>2.2000000000000002</v>
      </c>
      <c r="NS12" s="61">
        <f>IF($CX12="P",CG12,(CG12+BC12)/2)</f>
        <v>13.36</v>
      </c>
      <c r="NT12" s="61">
        <f>IF($CX12="P",CH12,(CH12+BD12)/2)</f>
        <v>0</v>
      </c>
      <c r="NU12" s="61">
        <f>IF($CX12="P",CI12,(CI12+BE12)/2)</f>
        <v>8.7000000000000011</v>
      </c>
      <c r="NV12" s="61">
        <f>IF($CX12="P",CJ12,(CJ12+BF12)/2)</f>
        <v>5.45</v>
      </c>
      <c r="NW12" s="61">
        <f>IF($CX12="P",CK12,(CK12+BG12)/2)</f>
        <v>6</v>
      </c>
      <c r="NX12" s="61">
        <f>IF($CX12="P",CL12,(CL12+BH12)/2)</f>
        <v>7.67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7.4</v>
      </c>
      <c r="OF12" s="61">
        <f>IF($CX12="P",CT12,(CT12+BP12)/2)</f>
        <v>4.45</v>
      </c>
      <c r="OG12" s="61">
        <f>IF($CX12="P",CU12,(CU12+BQ12)/2)</f>
        <v>4.8499999999999996</v>
      </c>
      <c r="OH12" s="61">
        <f>IF($CX12="P",CV12,(CV12+BR12)/2)</f>
        <v>6.5049999999999999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40.61</v>
      </c>
      <c r="OL12" s="11">
        <f>IF(NW12&gt;0,NW12,"")</f>
        <v>6</v>
      </c>
      <c r="OM12" s="11">
        <f>IF(SUM(NU12:NX12)-NY12&gt;0,SUM(NU12:NX12)-NY12,"")</f>
        <v>27.82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68.430000000000007</v>
      </c>
      <c r="OQ12" s="11">
        <f>IF(OG12&gt;0,OG12,"")</f>
        <v>4.8499999999999996</v>
      </c>
      <c r="OR12" s="11">
        <f t="shared" ref="OR12" si="6">IF(SUM(OE12:OH12)-OI12&gt;0,SUM(OE12:OH12)-OI12,"")</f>
        <v>23.205000000000002</v>
      </c>
      <c r="OS12" s="11">
        <f t="shared" ref="OS12" si="7">IF(SUM(OP12,OR12)&gt;0,SUM(OP12,OR12),"")</f>
        <v>91.635000000000005</v>
      </c>
    </row>
    <row r="13" spans="1:409" x14ac:dyDescent="0.2">
      <c r="A13" s="5" t="str" cm="1">
        <f t="array" ref="A13">IF(AND(G13&lt;&gt;"",H13&lt;&gt;""),SUMPRODUCT((G$4:G$28&lt;&gt;"")*(H$4:H$28&lt;&gt;"")*(E$4:E$28&gt;E13))+1,IF(H13&lt;&gt;"",SUMPRODUCT((I$4:I$28="No DD")*(E$4:E$28&gt;E13))+1+SUMPRODUCT((G$4:G$28&lt;&gt;"")*(H$4:H$28&lt;&gt;"")),""))</f>
        <v/>
      </c>
      <c r="B13" s="6" t="s">
        <v>81</v>
      </c>
      <c r="C13" s="7" t="s">
        <v>3</v>
      </c>
      <c r="D13" s="7">
        <v>2002</v>
      </c>
      <c r="E13" s="15">
        <f>SUM(O13:S13)</f>
        <v>92.454999999999984</v>
      </c>
      <c r="F13" s="3" t="str">
        <f>IF(G13&lt;&gt;"","P","")</f>
        <v/>
      </c>
      <c r="G13" s="115" t="str">
        <f>IF(OR(AND(AR13&gt;=AY$33,AR13&lt;&gt;"",AP13=""),AND(AT13&gt;=AY$33,AT13&lt;&gt;"",AP13=""),AND(AW13&gt;=AY$33,AW13&lt;&gt;"",AP13=""),AND(BV13&gt;=CC$33,BV13&lt;&gt;"",BT13=""),AND(BX13&gt;=CC$33,BX13&lt;&gt;"",BT13=""),AND(CA13&gt;=CC$33,CA13&lt;&gt;"",BT13=""),AND(CZ13&gt;=DG$33,CZ13&lt;&gt;"",CX13=""),AND(DB13&gt;=DG$33,DB13&lt;&gt;"",CX13=""),AND(DE13&gt;=DG$33,DE13&lt;&gt;"",CX13=""),AND(EA13&gt;=EG$33,EA13&lt;&gt;""),AND(EE13&gt;=EG$33,EE13&lt;&gt;""),AND(EW13&gt;=FC$33,EW13&lt;&gt;""),AND(FA13&gt;=FC$33,FA13&lt;&gt;""),AND(FS13&gt;=FY$33,FS13&lt;&gt;""),AND(FW13&gt;=FY$33,FW13&lt;&gt;""),AND(GO13&gt;=GU$33,GO13&lt;&gt;""),AND(GS13&gt;=GU$33,GS13&lt;&gt;""),AND(HK13&gt;=HQ$33,HK13&lt;&gt;""),AND(HO13&gt;=HQ$33,HO13&lt;&gt;""),AND(IG13&gt;=IM$33,IG13&lt;&gt;""),AND(IK13&gt;=IM$33,IK13&lt;&gt;""),AND(JC13&gt;=JI$33,JC13&lt;&gt;""),AND(JG13&gt;=JI$33,JG13&lt;&gt;""),AND(JY13&gt;=KE$33,JY13&lt;&gt;""),AND(KC13&gt;=KE$33,KC13&lt;&gt;""),AND(KU13&gt;=LA$33,KU13&lt;&gt;""),AND(KY13&gt;=LA$33,KY13&lt;&gt;""),AND(LQ13&gt;=LW$33,LQ13&lt;&gt;""),AND(LU13&gt;=LW$33,LU13&lt;&gt;""),AND(MM13&gt;=MS$33,MM13&lt;&gt;""),AND(MQ13&gt;=MS$33,MQ13&lt;&gt;""),AND(NI13&gt;=NO$33,NI13&lt;&gt;""),AND(NM13&gt;=NO$33,NM13&lt;&gt;"")),"Merit",IF(OR(AND(AR13&gt;=AY$32,AR13&lt;&gt;"",AP13=""),AND(AT13&gt;=AY$32,AT13&lt;&gt;"",AP13=""),AND(AW13&gt;=AY$32,AW13&lt;&gt;"",AP13=""),AND(BV13&gt;=CC$32,BV13&lt;&gt;"",BT13=""),AND(BX13&gt;=CC$32,BX13&lt;&gt;"",BT13=""),AND(CA13&gt;=CC$32,CA13&lt;&gt;"",BT13=""),AND(CZ13&gt;=DG$32,CZ13&lt;&gt;"",CX13=""),AND(DB13&gt;=DG$32,DB13&lt;&gt;"",CX13=""),AND(DE13&gt;=DG$32,DE13&lt;&gt;"",CX13=""),AND(EA13&gt;=EG$32,EA13&lt;&gt;""),AND(EE13&gt;=EG$32,EE13&lt;&gt;""),AND(EW13&gt;=FC$32,EW13&lt;&gt;""),AND(FA13&gt;=FC$32,FA13&lt;&gt;""),AND(FS13&gt;=FY$32,FS13&lt;&gt;""),AND(FW13&gt;=FY$32,FW13&lt;&gt;""),AND(GO13&gt;=GU$32,GO13&lt;&gt;""),AND(GS13&gt;=GU$32,GS13&lt;&gt;""),AND(HK13&gt;=HQ$32,HK13&lt;&gt;""),AND(HO13&gt;=HQ$32,HO13&lt;&gt;""),AND(IG13&gt;=IM$32,IG13&lt;&gt;""),AND(IK13&gt;=IM$32,IK13&lt;&gt;""),AND(JC13&gt;=JI$32,JC13&lt;&gt;""),AND(JG13&gt;=JI$32,JG13&lt;&gt;""),AND(JY13&gt;=KE$32,JY13&lt;&gt;""),AND(KC13&gt;=KE$32,KC13&lt;&gt;""),AND(KU13&gt;=LA$32,KU13&lt;&gt;""),AND(KY13&gt;=LA$32,KY13&lt;&gt;""),AND(LQ13&gt;=LW$32,LQ13&lt;&gt;""),AND(LU13&gt;=LW$32,LU13&lt;&gt;""),AND(MM13&gt;=MS$32,MM13&lt;&gt;""),AND(MQ13&gt;=MS$32,MQ13&lt;&gt;""),AND(NI13&gt;=NO$32,NI13&lt;&gt;""),AND(NM13&gt;=NO$32,NM13&lt;&gt;"")),"Excellence",IF(OR(AND(AR13&gt;=AY$31,AR13&lt;&gt;"",AP13=""),AND(AT13&gt;=AY$31,AT13&lt;&gt;"",AP13=""),AND(AW13&gt;=AY$31,AW13&lt;&gt;"",AP13=""),AND(BV13&gt;=CC$31,BV13&lt;&gt;"",BT13=""),AND(BX13&gt;=CC$31,BX13&lt;&gt;"",BT13=""),AND(CA13&gt;=CC$31,CA13&lt;&gt;"",BT13=""),AND(CZ13&gt;=DG$31,CZ13&lt;&gt;"",CX13=""),AND(DB13&gt;=DG$31,DB13&lt;&gt;"",CX13=""),AND(DE13&gt;=DG$31,DE13&lt;&gt;"",CX13=""),AND(EA13&gt;=EG$31,EA13&lt;&gt;""),AND(EE13&gt;=EG$31,EE13&lt;&gt;""),AND(EW13&gt;=FC$31,EW13&lt;&gt;""),AND(FA13&gt;=FC$31,FA13&lt;&gt;""),AND(FS13&gt;=FY$31,FS13&lt;&gt;""),AND(FW13&gt;=FY$31,FW13&lt;&gt;""),AND(GO13&gt;=GU$31,GO13&lt;&gt;""),AND(GS13&gt;=GU$31,GS13&lt;&gt;""),AND(HK13&gt;=HQ$31,HK13&lt;&gt;""),AND(HO13&gt;=HQ$31,HO13&lt;&gt;""),AND(IG13&gt;=IM$31,IG13&lt;&gt;""),AND(IK13&gt;=IM$31,IK13&lt;&gt;""),AND(JC13&gt;=JI$31,JC13&lt;&gt;""),AND(JG13&gt;=JI$31,JG13&lt;&gt;""),AND(JY13&gt;=KE$31,JY13&lt;&gt;""),AND(KC13&gt;=KE$31,KC13&lt;&gt;""),AND(KU13&gt;=LA$31,KU13&lt;&gt;""),AND(KY13&gt;=LA$31,KY13&lt;&gt;""),AND(LQ13&gt;=LW$31,LQ13&lt;&gt;""),AND(LU13&gt;=LW$31,LU13&lt;&gt;""),AND(MM13&gt;=MS$31,MM13&lt;&gt;""),AND(MQ13&gt;=MS$31,MQ13&lt;&gt;""),AND(NI13&gt;=NO$31,NI13&lt;&gt;""),AND(NM13&gt;=NO$31,NM13&lt;&gt;"")),"Worlds Team",IF(OR(AND(AR13&gt;=AY$30,AR13&lt;&gt;"",AP13=""),AND(AT13&gt;=AY$30,AT13&lt;&gt;"",AP13=""),AND(AW13&gt;=AY$30,AW13&lt;&gt;"",AP13=""),AND(BV13&gt;=CC$30,BV13&lt;&gt;"",BT13=""),AND(BX13&gt;=CC$30,BX13&lt;&gt;"",BT13=""),AND(CA13&gt;=CC$30,CA13&lt;&gt;"",BT13=""),AND(CZ13&gt;=DG$30,CZ13&lt;&gt;"",CX13=""),AND(DB13&gt;=DG$30,DB13&lt;&gt;"",CX13=""),AND(DE13&gt;=DG$30,DE13&lt;&gt;"",CX13=""),AND(EA13&gt;=EG$30,EA13&lt;&gt;""),AND(EE13&gt;=EG$30,EE13&lt;&gt;""),AND(EW13&gt;=FC$30,EW13&lt;&gt;""),AND(FA13&gt;=FC$30,FA13&lt;&gt;""),AND(FS13&gt;=FY$30,FS13&lt;&gt;""),AND(FW13&gt;=FY$30,FW13&lt;&gt;""),AND(GO13&gt;=GU$30,GO13&lt;&gt;""),AND(GS13&gt;=GU$30,GS13&lt;&gt;""),AND(HK13&gt;=HQ$30,HK13&lt;&gt;""),AND(HO13&gt;=HQ$30,HO13&lt;&gt;""),AND(IG13&gt;=IM$30,IG13&lt;&gt;""),AND(IK13&gt;=IM$30,IK13&lt;&gt;""),AND(JC13&gt;=JI$30,JC13&lt;&gt;""),AND(JG13&gt;=JI$30,JG13&lt;&gt;""),AND(JY13&gt;=KE$30,JY13&lt;&gt;""),AND(KC13&gt;=KE$30,KC13&lt;&gt;""),AND(KU13&gt;=LA$30,KU13&lt;&gt;""),AND(KY13&gt;=LA$30,KY13&lt;&gt;""),AND(LQ13&gt;=LW$30,LQ13&lt;&gt;""),AND(LU13&gt;=LW$30,LU13&lt;&gt;""),AND(MM13&gt;=MS$30,MM13&lt;&gt;""),AND(MQ13&gt;=MS$30,MQ13&lt;&gt;""),AND(NI13&gt;=NO$30,NI13&lt;&gt;""),AND(NM13&gt;=NO$30,NM13&lt;&gt;"")),"National Team",""))))</f>
        <v/>
      </c>
      <c r="H13" s="115" t="str">
        <f>IF(OR(AND(AS13&gt;=AY$34,AS13&lt;&gt;"",AP13=""),AND(AU13&gt;=AY$34,AU13&lt;&gt;"",AP13=""),AND(AX13&gt;=AY$34,AX13&lt;&gt;"",AP13=""),AND(BW13&gt;=CC$34,BW13&lt;&gt;"",BT13=""),AND(BY13&gt;=CC$34,BY13&lt;&gt;"",BT13=""),AND(CB13&gt;=CC$34,CB13&lt;&gt;"",BT13=""),AND(DA13&gt;=DG$34,DA13&lt;&gt;"",CX13=""),AND(DC13&gt;=DG$34,DC13&lt;&gt;"",CX13=""),AND(DF13&gt;=DG$34,DF13&lt;&gt;"",CX13=""),AND(EC13&gt;=EG$34,EC13&lt;&gt;""),AND(EF13&gt;=EG$34,EF13&lt;&gt;""),AND(EY13&gt;=FC$34,EY13&lt;&gt;""),AND(FB13&gt;=FC$34,FB13&lt;&gt;""),AND(FU13&gt;=FY$34,FU13&lt;&gt;""),AND(FX13&gt;=FY$34,FX13&lt;&gt;""),AND(GQ13&gt;=GU$34,GQ13&lt;&gt;""),AND(GT13&gt;=GU$34,GT13&lt;&gt;""),AND(HM13&gt;=HQ$34,HM13&lt;&gt;""),AND(HP13&gt;=HQ$34,HP13&lt;&gt;""),AND(II13&gt;=IM$34,II13&lt;&gt;""),AND(IL13&gt;=IM$34,IL13&lt;&gt;""),AND(JE13&gt;=JI$34,JE13&lt;&gt;""),AND(JH13&gt;=JI$34,JH13&lt;&gt;""),AND(KA13&gt;=KE$34,KA13&lt;&gt;""),AND(KD13&gt;=KE$34,KD13&lt;&gt;""),AND(KW13&gt;=LA$34,KW13&lt;&gt;""),AND(KZ13&gt;=LA$34,KZ13&lt;&gt;""),AND(LS13&gt;=LW$34,LS13&lt;&gt;""),AND(LV13&gt;=LW$34,LV13&lt;&gt;""),AND(MO13&gt;=MS$34,MO13&lt;&gt;""),AND(MR13&gt;=MS$34,MR13&lt;&gt;""),AND(NK13&gt;=NO$34,NK13&lt;&gt;""),AND(NN13&gt;=NO$34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$35,AV13&lt;&gt;"",AP13=""),AND(BZ13&gt;=CC$35,BZ13&lt;&gt;"",BT13=""),AND(DD13&gt;=DG$35,DD13&lt;&gt;"",CX13=""),AND(ED13&gt;=EG$35,ED13&lt;&gt;""),AND(EZ13&gt;=FC$35,EZ13&lt;&gt;""),AND(FV13&gt;=FY$35,FV13&lt;&gt;""),AND(GR13&gt;=GU$35,GR13&lt;&gt;""),AND(HN13&gt;=HQ$35,HN13&lt;&gt;""),AND(IJ13&gt;=IM$35,IJ13&lt;&gt;""),AND(JF13&gt;=JI$35,JF13&lt;&gt;""),AND(KB13&gt;=KE$35,KB13&lt;&gt;""),AND(KX13&gt;=LA$35,KX13&lt;&gt;""),AND(LT13&gt;=LW$35,LT13&lt;&gt;""),AND(MP13&gt;=MS$35,MP13&lt;&gt;""),AND(NL13&gt;=NO$35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MAX(AS13,AU13,AX13,BW13,BY13,CB13,DA13,DC13,DF13)</f>
        <v>46.389999999999993</v>
      </c>
      <c r="P13" s="14" t="str">
        <f>IF(O13=0,"",IF(OR(O13=DC13,O13=DA13,O13=DF13),$CD$1,IF(OR(O13=BY13,O13=BW13,O13=CB13),$AZ$1,IF(OR(O13=AU13,O13=AS13,O13=AX13),$V$1,""))))</f>
        <v>2021 2nd Virtual Technical Trial</v>
      </c>
      <c r="Q13" s="14">
        <f>IF(COUNT(AS13,AU13,AX13,BW13,BY13,CB13,DA13,DC13,DF13)&gt;1,LARGE((AS13,AU13,AX13,BW13,BY13,CB13,DA13,DC13,DF13),2),0)</f>
        <v>46.064999999999998</v>
      </c>
      <c r="R13" s="14" t="str">
        <f>IF(Q13=0,"",IF(OR(Q13=DC13,Q13=DA13,Q13=DF13),$CD$1,IF(OR(Q13=BY13,Q13=BW13,Q13=CB13),$AZ$1,IF(OR(Q13=AU13,Q13=AS13,Q13=AX13),$V$1,""))))</f>
        <v>2021 Canadian Championships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>
        <v>2.9</v>
      </c>
      <c r="W13" s="61">
        <v>1.6</v>
      </c>
      <c r="X13" s="61">
        <v>1.5</v>
      </c>
      <c r="Y13" s="61">
        <v>2.85</v>
      </c>
      <c r="Z13" s="61">
        <v>0</v>
      </c>
      <c r="AA13" s="61">
        <v>11.8</v>
      </c>
      <c r="AB13" s="61">
        <v>7.9</v>
      </c>
      <c r="AC13" s="61">
        <v>9.1</v>
      </c>
      <c r="AD13" s="61">
        <v>12.605</v>
      </c>
      <c r="AE13" s="61">
        <v>0</v>
      </c>
      <c r="AF13" s="61">
        <v>13.7</v>
      </c>
      <c r="AG13" s="61">
        <v>9.1</v>
      </c>
      <c r="AH13" s="61">
        <v>10.5</v>
      </c>
      <c r="AI13" s="61">
        <v>13.79</v>
      </c>
      <c r="AJ13" s="61">
        <v>0.7</v>
      </c>
      <c r="AK13" s="61">
        <v>13.4</v>
      </c>
      <c r="AL13" s="61">
        <v>8.8000000000000007</v>
      </c>
      <c r="AM13" s="61">
        <v>9.8000000000000007</v>
      </c>
      <c r="AN13" s="61">
        <v>13.975</v>
      </c>
      <c r="AO13" s="61">
        <v>1.4</v>
      </c>
      <c r="AP13" s="72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67">
        <v>16</v>
      </c>
      <c r="BA13" s="67">
        <v>9.4</v>
      </c>
      <c r="BB13" s="67">
        <v>4</v>
      </c>
      <c r="BC13" s="67">
        <v>14.795</v>
      </c>
      <c r="BD13" s="67">
        <v>0.2</v>
      </c>
      <c r="BE13" s="67">
        <v>15.2</v>
      </c>
      <c r="BF13" s="67">
        <v>9.3000000000000007</v>
      </c>
      <c r="BG13" s="67">
        <v>8.6</v>
      </c>
      <c r="BH13" s="67">
        <v>14.645</v>
      </c>
      <c r="BI13" s="67">
        <v>2.8</v>
      </c>
      <c r="BJ13" s="67">
        <v>0</v>
      </c>
      <c r="BK13" s="67">
        <v>0</v>
      </c>
      <c r="BL13" s="67">
        <v>0</v>
      </c>
      <c r="BM13" s="67">
        <v>0</v>
      </c>
      <c r="BN13" s="67">
        <v>0</v>
      </c>
      <c r="BO13" s="67">
        <v>14.8</v>
      </c>
      <c r="BP13" s="67">
        <v>9.1</v>
      </c>
      <c r="BQ13" s="67">
        <v>9.1999999999999993</v>
      </c>
      <c r="BR13" s="67">
        <v>14.175000000000001</v>
      </c>
      <c r="BS13" s="67">
        <v>2.2000000000000002</v>
      </c>
      <c r="BT13" s="73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1">
        <v>15.8</v>
      </c>
      <c r="CE13" s="61">
        <v>9.5</v>
      </c>
      <c r="CF13" s="61">
        <v>4</v>
      </c>
      <c r="CG13" s="61">
        <v>14.865</v>
      </c>
      <c r="CH13" s="61">
        <v>0</v>
      </c>
      <c r="CI13" s="61">
        <v>2.6</v>
      </c>
      <c r="CJ13" s="61">
        <v>1.7</v>
      </c>
      <c r="CK13" s="61">
        <v>2.7</v>
      </c>
      <c r="CL13" s="61">
        <v>3.03</v>
      </c>
      <c r="CM13" s="61">
        <v>0</v>
      </c>
      <c r="CN13" s="61">
        <v>11.3</v>
      </c>
      <c r="CO13" s="61">
        <v>6.7</v>
      </c>
      <c r="CP13" s="61">
        <v>7</v>
      </c>
      <c r="CQ13" s="61">
        <v>11.715</v>
      </c>
      <c r="CR13" s="61">
        <v>0</v>
      </c>
      <c r="CS13" s="61">
        <v>13.4</v>
      </c>
      <c r="CT13" s="61">
        <v>8.9</v>
      </c>
      <c r="CU13" s="61">
        <v>10.5</v>
      </c>
      <c r="CV13" s="61">
        <v>13.965</v>
      </c>
      <c r="CW13" s="61">
        <v>0.7</v>
      </c>
      <c r="CX13" s="72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15.9</v>
      </c>
      <c r="NQ13" s="61">
        <f>IF($CX13="P",CE13,(CE13+BA13)/2)</f>
        <v>9.4499999999999993</v>
      </c>
      <c r="NR13" s="61">
        <f>IF($CX13="P",CF13,(CF13+BB13)/2)</f>
        <v>4</v>
      </c>
      <c r="NS13" s="61">
        <f>IF($CX13="P",CG13,(CG13+BC13)/2)</f>
        <v>14.83</v>
      </c>
      <c r="NT13" s="61">
        <f>IF($CX13="P",CH13,(CH13+BD13)/2)</f>
        <v>0.1</v>
      </c>
      <c r="NU13" s="61">
        <f>IF($CX13="P",CI13,(CI13+BE13)/2)</f>
        <v>8.9</v>
      </c>
      <c r="NV13" s="61">
        <f>IF($CX13="P",CJ13,(CJ13+BF13)/2)</f>
        <v>5.5</v>
      </c>
      <c r="NW13" s="61">
        <f>IF($CX13="P",CK13,(CK13+BG13)/2)</f>
        <v>5.65</v>
      </c>
      <c r="NX13" s="61">
        <f>IF($CX13="P",CL13,(CL13+BH13)/2)</f>
        <v>8.8375000000000004</v>
      </c>
      <c r="NY13" s="61">
        <f>IF($CX13="P",CM13,(CM13+BI13)/2)</f>
        <v>1.4</v>
      </c>
      <c r="NZ13" s="61">
        <f>IF($CX13="P",CN13,(CN13+BJ13)/2)</f>
        <v>5.65</v>
      </c>
      <c r="OA13" s="61">
        <f>IF($CX13="P",CO13,(CO13+BK13)/2)</f>
        <v>3.35</v>
      </c>
      <c r="OB13" s="61">
        <f>IF($CX13="P",CP13,(CP13+BL13)/2)</f>
        <v>3.5</v>
      </c>
      <c r="OC13" s="61">
        <f>IF($CX13="P",CQ13,(CQ13+BM13)/2)</f>
        <v>5.8574999999999999</v>
      </c>
      <c r="OD13" s="61">
        <f>IF($CX13="P",CR13,(CR13+BN13)/2)</f>
        <v>0</v>
      </c>
      <c r="OE13" s="61">
        <f>IF($CX13="P",CS13,(CS13+BO13)/2)</f>
        <v>14.100000000000001</v>
      </c>
      <c r="OF13" s="61">
        <f>IF($CX13="P",CT13,(CT13+BP13)/2)</f>
        <v>9</v>
      </c>
      <c r="OG13" s="61">
        <f>IF($CX13="P",CU13,(CU13+BQ13)/2)</f>
        <v>9.85</v>
      </c>
      <c r="OH13" s="61">
        <f>IF($CX13="P",CV13,(CV13+BR13)/2)</f>
        <v>14.07</v>
      </c>
      <c r="OI13" s="61">
        <f>IF($CX13="P",CW13,(CW13+BS13)/2)</f>
        <v>1.4500000000000002</v>
      </c>
      <c r="OJ13" s="72" t="s">
        <v>52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ref="OR13" si="8">IF(SUM(OE13:OH13)-OI13&gt;0,SUM(OE13:OH13)-OI13,"")</f>
        <v>45.57</v>
      </c>
      <c r="OS13" s="11">
        <f t="shared" ref="OS13" si="9">IF(SUM(OP13,OR13)&gt;0,SUM(OP13,OR13),"")</f>
        <v>117.13749999999999</v>
      </c>
    </row>
    <row r="14" spans="1:409" x14ac:dyDescent="0.2">
      <c r="A14" s="5" t="str" cm="1">
        <f t="array" ref="A14">IF(AND(G14&lt;&gt;"",H14&lt;&gt;""),SUMPRODUCT((G$4:G$28&lt;&gt;"")*(H$4:H$28&lt;&gt;"")*(E$4:E$28&gt;E14))+1,IF(H14&lt;&gt;"",SUMPRODUCT((I$4:I$28="No DD")*(E$4:E$28&gt;E14))+1+SUMPRODUCT((G$4:G$28&lt;&gt;"")*(H$4:H$28&lt;&gt;"")),""))</f>
        <v/>
      </c>
      <c r="B14" s="8" t="s">
        <v>99</v>
      </c>
      <c r="C14" s="4" t="s">
        <v>5</v>
      </c>
      <c r="D14" s="26">
        <v>2000</v>
      </c>
      <c r="E14" s="15">
        <f>SUM(O14:S14)</f>
        <v>92.14</v>
      </c>
      <c r="F14" s="3" t="str">
        <f>IF(G14&lt;&gt;"","P","")</f>
        <v/>
      </c>
      <c r="G14" s="115" t="str">
        <f>IF(OR(AND(AR14&gt;=AY$33,AR14&lt;&gt;"",AP14=""),AND(AT14&gt;=AY$33,AT14&lt;&gt;"",AP14=""),AND(AW14&gt;=AY$33,AW14&lt;&gt;"",AP14=""),AND(BV14&gt;=CC$33,BV14&lt;&gt;"",BT14=""),AND(BX14&gt;=CC$33,BX14&lt;&gt;"",BT14=""),AND(CA14&gt;=CC$33,CA14&lt;&gt;"",BT14=""),AND(CZ14&gt;=DG$33,CZ14&lt;&gt;"",CX14=""),AND(DB14&gt;=DG$33,DB14&lt;&gt;"",CX14=""),AND(DE14&gt;=DG$33,DE14&lt;&gt;"",CX14=""),AND(EA14&gt;=EG$33,EA14&lt;&gt;""),AND(EE14&gt;=EG$33,EE14&lt;&gt;""),AND(EW14&gt;=FC$33,EW14&lt;&gt;""),AND(FA14&gt;=FC$33,FA14&lt;&gt;""),AND(FS14&gt;=FY$33,FS14&lt;&gt;""),AND(FW14&gt;=FY$33,FW14&lt;&gt;""),AND(GO14&gt;=GU$33,GO14&lt;&gt;""),AND(GS14&gt;=GU$33,GS14&lt;&gt;""),AND(HK14&gt;=HQ$33,HK14&lt;&gt;""),AND(HO14&gt;=HQ$33,HO14&lt;&gt;""),AND(IG14&gt;=IM$33,IG14&lt;&gt;""),AND(IK14&gt;=IM$33,IK14&lt;&gt;""),AND(JC14&gt;=JI$33,JC14&lt;&gt;""),AND(JG14&gt;=JI$33,JG14&lt;&gt;""),AND(JY14&gt;=KE$33,JY14&lt;&gt;""),AND(KC14&gt;=KE$33,KC14&lt;&gt;""),AND(KU14&gt;=LA$33,KU14&lt;&gt;""),AND(KY14&gt;=LA$33,KY14&lt;&gt;""),AND(LQ14&gt;=LW$33,LQ14&lt;&gt;""),AND(LU14&gt;=LW$33,LU14&lt;&gt;""),AND(MM14&gt;=MS$33,MM14&lt;&gt;""),AND(MQ14&gt;=MS$33,MQ14&lt;&gt;""),AND(NI14&gt;=NO$33,NI14&lt;&gt;""),AND(NM14&gt;=NO$33,NM14&lt;&gt;"")),"Merit",IF(OR(AND(AR14&gt;=AY$32,AR14&lt;&gt;"",AP14=""),AND(AT14&gt;=AY$32,AT14&lt;&gt;"",AP14=""),AND(AW14&gt;=AY$32,AW14&lt;&gt;"",AP14=""),AND(BV14&gt;=CC$32,BV14&lt;&gt;"",BT14=""),AND(BX14&gt;=CC$32,BX14&lt;&gt;"",BT14=""),AND(CA14&gt;=CC$32,CA14&lt;&gt;"",BT14=""),AND(CZ14&gt;=DG$32,CZ14&lt;&gt;"",CX14=""),AND(DB14&gt;=DG$32,DB14&lt;&gt;"",CX14=""),AND(DE14&gt;=DG$32,DE14&lt;&gt;"",CX14=""),AND(EA14&gt;=EG$32,EA14&lt;&gt;""),AND(EE14&gt;=EG$32,EE14&lt;&gt;""),AND(EW14&gt;=FC$32,EW14&lt;&gt;""),AND(FA14&gt;=FC$32,FA14&lt;&gt;""),AND(FS14&gt;=FY$32,FS14&lt;&gt;""),AND(FW14&gt;=FY$32,FW14&lt;&gt;""),AND(GO14&gt;=GU$32,GO14&lt;&gt;""),AND(GS14&gt;=GU$32,GS14&lt;&gt;""),AND(HK14&gt;=HQ$32,HK14&lt;&gt;""),AND(HO14&gt;=HQ$32,HO14&lt;&gt;""),AND(IG14&gt;=IM$32,IG14&lt;&gt;""),AND(IK14&gt;=IM$32,IK14&lt;&gt;""),AND(JC14&gt;=JI$32,JC14&lt;&gt;""),AND(JG14&gt;=JI$32,JG14&lt;&gt;""),AND(JY14&gt;=KE$32,JY14&lt;&gt;""),AND(KC14&gt;=KE$32,KC14&lt;&gt;""),AND(KU14&gt;=LA$32,KU14&lt;&gt;""),AND(KY14&gt;=LA$32,KY14&lt;&gt;""),AND(LQ14&gt;=LW$32,LQ14&lt;&gt;""),AND(LU14&gt;=LW$32,LU14&lt;&gt;""),AND(MM14&gt;=MS$32,MM14&lt;&gt;""),AND(MQ14&gt;=MS$32,MQ14&lt;&gt;""),AND(NI14&gt;=NO$32,NI14&lt;&gt;""),AND(NM14&gt;=NO$32,NM14&lt;&gt;"")),"Excellence",IF(OR(AND(AR14&gt;=AY$31,AR14&lt;&gt;"",AP14=""),AND(AT14&gt;=AY$31,AT14&lt;&gt;"",AP14=""),AND(AW14&gt;=AY$31,AW14&lt;&gt;"",AP14=""),AND(BV14&gt;=CC$31,BV14&lt;&gt;"",BT14=""),AND(BX14&gt;=CC$31,BX14&lt;&gt;"",BT14=""),AND(CA14&gt;=CC$31,CA14&lt;&gt;"",BT14=""),AND(CZ14&gt;=DG$31,CZ14&lt;&gt;"",CX14=""),AND(DB14&gt;=DG$31,DB14&lt;&gt;"",CX14=""),AND(DE14&gt;=DG$31,DE14&lt;&gt;"",CX14=""),AND(EA14&gt;=EG$31,EA14&lt;&gt;""),AND(EE14&gt;=EG$31,EE14&lt;&gt;""),AND(EW14&gt;=FC$31,EW14&lt;&gt;""),AND(FA14&gt;=FC$31,FA14&lt;&gt;""),AND(FS14&gt;=FY$31,FS14&lt;&gt;""),AND(FW14&gt;=FY$31,FW14&lt;&gt;""),AND(GO14&gt;=GU$31,GO14&lt;&gt;""),AND(GS14&gt;=GU$31,GS14&lt;&gt;""),AND(HK14&gt;=HQ$31,HK14&lt;&gt;""),AND(HO14&gt;=HQ$31,HO14&lt;&gt;""),AND(IG14&gt;=IM$31,IG14&lt;&gt;""),AND(IK14&gt;=IM$31,IK14&lt;&gt;""),AND(JC14&gt;=JI$31,JC14&lt;&gt;""),AND(JG14&gt;=JI$31,JG14&lt;&gt;""),AND(JY14&gt;=KE$31,JY14&lt;&gt;""),AND(KC14&gt;=KE$31,KC14&lt;&gt;""),AND(KU14&gt;=LA$31,KU14&lt;&gt;""),AND(KY14&gt;=LA$31,KY14&lt;&gt;""),AND(LQ14&gt;=LW$31,LQ14&lt;&gt;""),AND(LU14&gt;=LW$31,LU14&lt;&gt;""),AND(MM14&gt;=MS$31,MM14&lt;&gt;""),AND(MQ14&gt;=MS$31,MQ14&lt;&gt;""),AND(NI14&gt;=NO$31,NI14&lt;&gt;""),AND(NM14&gt;=NO$31,NM14&lt;&gt;"")),"Worlds Team",IF(OR(AND(AR14&gt;=AY$30,AR14&lt;&gt;"",AP14=""),AND(AT14&gt;=AY$30,AT14&lt;&gt;"",AP14=""),AND(AW14&gt;=AY$30,AW14&lt;&gt;"",AP14=""),AND(BV14&gt;=CC$30,BV14&lt;&gt;"",BT14=""),AND(BX14&gt;=CC$30,BX14&lt;&gt;"",BT14=""),AND(CA14&gt;=CC$30,CA14&lt;&gt;"",BT14=""),AND(CZ14&gt;=DG$30,CZ14&lt;&gt;"",CX14=""),AND(DB14&gt;=DG$30,DB14&lt;&gt;"",CX14=""),AND(DE14&gt;=DG$30,DE14&lt;&gt;"",CX14=""),AND(EA14&gt;=EG$30,EA14&lt;&gt;""),AND(EE14&gt;=EG$30,EE14&lt;&gt;""),AND(EW14&gt;=FC$30,EW14&lt;&gt;""),AND(FA14&gt;=FC$30,FA14&lt;&gt;""),AND(FS14&gt;=FY$30,FS14&lt;&gt;""),AND(FW14&gt;=FY$30,FW14&lt;&gt;""),AND(GO14&gt;=GU$30,GO14&lt;&gt;""),AND(GS14&gt;=GU$30,GS14&lt;&gt;""),AND(HK14&gt;=HQ$30,HK14&lt;&gt;""),AND(HO14&gt;=HQ$30,HO14&lt;&gt;""),AND(IG14&gt;=IM$30,IG14&lt;&gt;""),AND(IK14&gt;=IM$30,IK14&lt;&gt;""),AND(JC14&gt;=JI$30,JC14&lt;&gt;""),AND(JG14&gt;=JI$30,JG14&lt;&gt;""),AND(JY14&gt;=KE$30,JY14&lt;&gt;""),AND(KC14&gt;=KE$30,KC14&lt;&gt;""),AND(KU14&gt;=LA$30,KU14&lt;&gt;""),AND(KY14&gt;=LA$30,KY14&lt;&gt;""),AND(LQ14&gt;=LW$30,LQ14&lt;&gt;""),AND(LU14&gt;=LW$30,LU14&lt;&gt;""),AND(MM14&gt;=MS$30,MM14&lt;&gt;""),AND(MQ14&gt;=MS$30,MQ14&lt;&gt;""),AND(NI14&gt;=NO$30,NI14&lt;&gt;""),AND(NM14&gt;=NO$30,NM14&lt;&gt;"")),"National Team",""))))</f>
        <v/>
      </c>
      <c r="H14" s="115" t="str">
        <f>IF(OR(AND(AS14&gt;=AY$34,AS14&lt;&gt;"",AP14=""),AND(AU14&gt;=AY$34,AU14&lt;&gt;"",AP14=""),AND(AX14&gt;=AY$34,AX14&lt;&gt;"",AP14=""),AND(BW14&gt;=CC$34,BW14&lt;&gt;"",BT14=""),AND(BY14&gt;=CC$34,BY14&lt;&gt;"",BT14=""),AND(CB14&gt;=CC$34,CB14&lt;&gt;"",BT14=""),AND(DA14&gt;=DG$34,DA14&lt;&gt;"",CX14=""),AND(DC14&gt;=DG$34,DC14&lt;&gt;"",CX14=""),AND(DF14&gt;=DG$34,DF14&lt;&gt;"",CX14=""),AND(EC14&gt;=EG$34,EC14&lt;&gt;""),AND(EF14&gt;=EG$34,EF14&lt;&gt;""),AND(EY14&gt;=FC$34,EY14&lt;&gt;""),AND(FB14&gt;=FC$34,FB14&lt;&gt;""),AND(FU14&gt;=FY$34,FU14&lt;&gt;""),AND(FX14&gt;=FY$34,FX14&lt;&gt;""),AND(GQ14&gt;=GU$34,GQ14&lt;&gt;""),AND(GT14&gt;=GU$34,GT14&lt;&gt;""),AND(HM14&gt;=HQ$34,HM14&lt;&gt;""),AND(HP14&gt;=HQ$34,HP14&lt;&gt;""),AND(II14&gt;=IM$34,II14&lt;&gt;""),AND(IL14&gt;=IM$34,IL14&lt;&gt;""),AND(JE14&gt;=JI$34,JE14&lt;&gt;""),AND(JH14&gt;=JI$34,JH14&lt;&gt;""),AND(KA14&gt;=KE$34,KA14&lt;&gt;""),AND(KD14&gt;=KE$34,KD14&lt;&gt;""),AND(KW14&gt;=LA$34,KW14&lt;&gt;""),AND(KZ14&gt;=LA$34,KZ14&lt;&gt;""),AND(LS14&gt;=LW$34,LS14&lt;&gt;""),AND(LV14&gt;=LW$34,LV14&lt;&gt;""),AND(MO14&gt;=MS$34,MO14&lt;&gt;""),AND(MR14&gt;=MS$34,MR14&lt;&gt;""),AND(NK14&gt;=NO$34,NK14&lt;&gt;""),AND(NN14&gt;=NO$34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$35,AV14&lt;&gt;"",AP14=""),AND(BZ14&gt;=CC$35,BZ14&lt;&gt;"",BT14=""),AND(DD14&gt;=DG$35,DD14&lt;&gt;"",CX14=""),AND(ED14&gt;=EG$35,ED14&lt;&gt;""),AND(EZ14&gt;=FC$35,EZ14&lt;&gt;""),AND(FV14&gt;=FY$35,FV14&lt;&gt;""),AND(GR14&gt;=GU$35,GR14&lt;&gt;""),AND(HN14&gt;=HQ$35,HN14&lt;&gt;""),AND(IJ14&gt;=IM$35,IJ14&lt;&gt;""),AND(JF14&gt;=JI$35,JF14&lt;&gt;""),AND(KB14&gt;=KE$35,KB14&lt;&gt;""),AND(KX14&gt;=LA$35,KX14&lt;&gt;""),AND(LT14&gt;=LW$35,LT14&lt;&gt;""),AND(MP14&gt;=MS$35,MP14&lt;&gt;""),AND(NL14&gt;=NO$35,NL14&lt;&gt;"")),OR(G14="Worlds Team",G14="Excellence",G14="Merit")),"P","")</f>
        <v/>
      </c>
      <c r="K14" s="14">
        <f>IF(MAX(AV14,BZ14,DD14)&gt;0,MAX(AV14,BZ14,DD14),0)</f>
        <v>87.965000000000003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41.475000000000001</v>
      </c>
      <c r="N14" s="14" t="str">
        <f>IF(M14=0,"",IF(AND(M14=CY14,$L14&lt;&gt;$CD$1),$CD$1,IF(AND(M14=BU14,$L14&lt;&gt;$AZ$1),$AZ$1,IF(AND(M14=AQ14,$L14&lt;&gt;$V$1),$V$1,""))))</f>
        <v>2021 Canadian Championships</v>
      </c>
      <c r="O14" s="14">
        <f>MAX(AS14,AU14,AX14,BW14,BY14,CB14,DA14,DC14,DF14)</f>
        <v>46.474999999999994</v>
      </c>
      <c r="P14" s="14" t="str">
        <f>IF(O14=0,"",IF(OR(O14=DC14,O14=DA14,O14=DF14),$CD$1,IF(OR(O14=BY14,O14=BW14,O14=CB14),$AZ$1,IF(OR(O14=AU14,O14=AS14,O14=AX14),$V$1,""))))</f>
        <v>2021 2nd Virtual Technical Trial</v>
      </c>
      <c r="Q14" s="14">
        <f>IF(COUNT(AS14,AU14,AX14,BW14,BY14,CB14,DA14,DC14,DF14)&gt;1,LARGE((AS14,AU14,AX14,BW14,BY14,CB14,DA14,DC14,DF14),2),0)</f>
        <v>45.665000000000006</v>
      </c>
      <c r="R14" s="14" t="str">
        <f>IF(Q14=0,"",IF(OR(Q14=DC14,Q14=DA14,Q14=DF14),$CD$1,IF(OR(Q14=BY14,Q14=BW14,Q14=CB14),$AZ$1,IF(OR(Q14=AU14,Q14=AS14,Q14=AX14),$V$1,""))))</f>
        <v>2021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15.9</v>
      </c>
      <c r="W14" s="61">
        <v>9.6</v>
      </c>
      <c r="X14" s="61">
        <v>2</v>
      </c>
      <c r="Y14" s="61">
        <v>13.99</v>
      </c>
      <c r="Z14" s="61">
        <v>0</v>
      </c>
      <c r="AA14" s="61">
        <v>14.1</v>
      </c>
      <c r="AB14" s="61">
        <v>8.9</v>
      </c>
      <c r="AC14" s="61">
        <v>9.8000000000000007</v>
      </c>
      <c r="AD14" s="61">
        <v>13.675000000000001</v>
      </c>
      <c r="AE14" s="61">
        <v>0</v>
      </c>
      <c r="AF14" s="61"/>
      <c r="AG14" s="61"/>
      <c r="AH14" s="61"/>
      <c r="AI14" s="61"/>
      <c r="AJ14" s="61"/>
      <c r="AK14" s="61">
        <v>6.8</v>
      </c>
      <c r="AL14" s="61">
        <v>4.4000000000000004</v>
      </c>
      <c r="AM14" s="61">
        <v>5.2</v>
      </c>
      <c r="AN14" s="61">
        <v>6.6950000000000003</v>
      </c>
      <c r="AO14" s="61">
        <v>0</v>
      </c>
      <c r="AP14" s="72"/>
      <c r="AQ14" s="11">
        <f>IF(SUM(V14:Y14)-Z14&gt;0,SUM(V14:Y14)-Z14,"")</f>
        <v>41.49</v>
      </c>
      <c r="AR14" s="11">
        <f>IF(AC14&gt;0,AC14,"")</f>
        <v>9.8000000000000007</v>
      </c>
      <c r="AS14" s="11">
        <f>IF(SUM(AA14:AD14)-AE14&gt;0,SUM(AA14:AD14)-AE14,"")</f>
        <v>46.474999999999994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87.965000000000003</v>
      </c>
      <c r="AW14" s="11">
        <f>IF(AM14&gt;0,AM14,"")</f>
        <v>5.2</v>
      </c>
      <c r="AX14" s="11">
        <f>IF(SUM(AK14:AN14)-AO14&gt;0,SUM(AK14:AN14)-AO14,"")</f>
        <v>23.094999999999999</v>
      </c>
      <c r="AY14" s="11">
        <f>IF(SUM(AV14,AX14)&gt;0,SUM(AV14,AX14),"")</f>
        <v>111.06</v>
      </c>
      <c r="AZ14" s="67">
        <v>14.5</v>
      </c>
      <c r="BA14" s="67">
        <v>8.4</v>
      </c>
      <c r="BB14" s="67">
        <v>0.8</v>
      </c>
      <c r="BC14" s="67">
        <v>14.164999999999999</v>
      </c>
      <c r="BD14" s="67">
        <v>0</v>
      </c>
      <c r="BE14" s="67">
        <v>13.5</v>
      </c>
      <c r="BF14" s="67">
        <v>9.1</v>
      </c>
      <c r="BG14" s="67">
        <v>9.8000000000000007</v>
      </c>
      <c r="BH14" s="67">
        <v>13.265000000000001</v>
      </c>
      <c r="BI14" s="67">
        <v>0</v>
      </c>
      <c r="BJ14" s="67"/>
      <c r="BK14" s="67"/>
      <c r="BL14" s="67"/>
      <c r="BM14" s="67"/>
      <c r="BN14" s="67"/>
      <c r="BO14" s="67">
        <v>14.1</v>
      </c>
      <c r="BP14" s="67">
        <v>9</v>
      </c>
      <c r="BQ14" s="67">
        <v>8.5</v>
      </c>
      <c r="BR14" s="67">
        <v>13</v>
      </c>
      <c r="BS14" s="67">
        <v>0.3</v>
      </c>
      <c r="BT14" s="73"/>
      <c r="BU14" s="14">
        <f>IF(SUM(AZ14:BC14)-BD14&gt;0,SUM(AZ14:BC14)-BD14,"")</f>
        <v>37.864999999999995</v>
      </c>
      <c r="BV14" s="14">
        <f>IF(BG14&gt;0,BG14,"")</f>
        <v>9.8000000000000007</v>
      </c>
      <c r="BW14" s="14">
        <f>IF(SUM(BE14:BH14)-BI14&gt;0,SUM(BE14:BH14)-BI14,"")</f>
        <v>45.665000000000006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83.53</v>
      </c>
      <c r="CA14" s="14">
        <f>IF(BQ14&gt;0,BQ14,"")</f>
        <v>8.5</v>
      </c>
      <c r="CB14" s="14">
        <f>IF(SUM(BO14:BR14)-BS14&gt;0,SUM(BO14:BR14)-BS14,"")</f>
        <v>44.300000000000004</v>
      </c>
      <c r="CC14" s="14">
        <f>IF(SUM(BZ14,CB14)&gt;0,SUM(BZ14,CB14),"")</f>
        <v>127.83000000000001</v>
      </c>
      <c r="CD14" s="61">
        <v>16</v>
      </c>
      <c r="CE14" s="61">
        <v>9.5</v>
      </c>
      <c r="CF14" s="61">
        <v>2</v>
      </c>
      <c r="CG14" s="61">
        <v>13.975</v>
      </c>
      <c r="CH14" s="61">
        <v>0</v>
      </c>
      <c r="CI14" s="61">
        <v>4.5</v>
      </c>
      <c r="CJ14" s="61">
        <v>2.5</v>
      </c>
      <c r="CK14" s="61">
        <v>2.6</v>
      </c>
      <c r="CL14" s="61">
        <v>4.2</v>
      </c>
      <c r="CM14" s="61">
        <v>0</v>
      </c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>
        <f>IF(SUM(CD14:CG14)-CH14&gt;0,SUM(CD14:CG14)-CH14,"")</f>
        <v>41.475000000000001</v>
      </c>
      <c r="CZ14" s="11">
        <f>IF(CK14&gt;0,CK14,"")</f>
        <v>2.6</v>
      </c>
      <c r="DA14" s="11">
        <f>IF(SUM(CI14:CL14)-CM14&gt;0,SUM(CI14:CL14)-CM14,"")</f>
        <v>13.8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55.275000000000006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55.275000000000006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15.25</v>
      </c>
      <c r="NQ14" s="61">
        <f>IF($CX14="P",CE14,(CE14+BA14)/2)</f>
        <v>8.9499999999999993</v>
      </c>
      <c r="NR14" s="61">
        <f>IF($CX14="P",CF14,(CF14+BB14)/2)</f>
        <v>1.4</v>
      </c>
      <c r="NS14" s="61">
        <f>IF($CX14="P",CG14,(CG14+BC14)/2)</f>
        <v>14.07</v>
      </c>
      <c r="NT14" s="61">
        <f>IF($CX14="P",CH14,(CH14+BD14)/2)</f>
        <v>0</v>
      </c>
      <c r="NU14" s="61">
        <f>IF($CX14="P",CI14,(CI14+BE14)/2)</f>
        <v>9</v>
      </c>
      <c r="NV14" s="61">
        <f>IF($CX14="P",CJ14,(CJ14+BF14)/2)</f>
        <v>5.8</v>
      </c>
      <c r="NW14" s="61">
        <f>IF($CX14="P",CK14,(CK14+BG14)/2)</f>
        <v>6.2</v>
      </c>
      <c r="NX14" s="61">
        <f>IF($CX14="P",CL14,(CL14+BH14)/2)</f>
        <v>8.7324999999999999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7.05</v>
      </c>
      <c r="OF14" s="61">
        <f>IF($CX14="P",CT14,(CT14+BP14)/2)</f>
        <v>4.5</v>
      </c>
      <c r="OG14" s="61">
        <f>IF($CX14="P",CU14,(CU14+BQ14)/2)</f>
        <v>4.25</v>
      </c>
      <c r="OH14" s="61">
        <f>IF($CX14="P",CV14,(CV14+BR14)/2)</f>
        <v>6.5</v>
      </c>
      <c r="OI14" s="61">
        <f>IF($CX14="P",CW14,(CW14+BS14)/2)</f>
        <v>0.15</v>
      </c>
      <c r="OJ14" s="72" t="s">
        <v>52</v>
      </c>
      <c r="OK14" s="11">
        <f>IF(SUM(NP14:NS14)-NT14&gt;0,SUM(NP14:NS14)-NT14,"")</f>
        <v>39.67</v>
      </c>
      <c r="OL14" s="11">
        <f>IF(NW14&gt;0,NW14,"")</f>
        <v>6.2</v>
      </c>
      <c r="OM14" s="11">
        <f>IF(SUM(NU14:NX14)-NY14&gt;0,SUM(NU14:NX14)-NY14,"")</f>
        <v>29.732500000000002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69.402500000000003</v>
      </c>
      <c r="OQ14" s="11">
        <f>IF(OG14&gt;0,OG14,"")</f>
        <v>4.25</v>
      </c>
      <c r="OR14" s="11">
        <f t="shared" ref="OR14" si="10">IF(SUM(OE14:OH14)-OI14&gt;0,SUM(OE14:OH14)-OI14,"")</f>
        <v>22.150000000000002</v>
      </c>
      <c r="OS14" s="11">
        <f t="shared" ref="OS14" si="11">IF(SUM(OP14,OR14)&gt;0,SUM(OP14,OR14),"")</f>
        <v>91.552500000000009</v>
      </c>
    </row>
    <row r="15" spans="1:409" x14ac:dyDescent="0.2">
      <c r="A15" s="5" t="str" cm="1">
        <f t="array" ref="A15">IF(AND(G15&lt;&gt;"",H15&lt;&gt;""),SUMPRODUCT((G$4:G$28&lt;&gt;"")*(H$4:H$28&lt;&gt;"")*(E$4:E$28&gt;E15))+1,IF(H15&lt;&gt;"",SUMPRODUCT((I$4:I$28="No DD")*(E$4:E$28&gt;E15))+1+SUMPRODUCT((G$4:G$28&lt;&gt;"")*(H$4:H$28&lt;&gt;"")),""))</f>
        <v/>
      </c>
      <c r="B15" s="8" t="s">
        <v>98</v>
      </c>
      <c r="C15" s="4" t="s">
        <v>4</v>
      </c>
      <c r="D15" s="26">
        <v>2004</v>
      </c>
      <c r="E15" s="15">
        <f>SUM(O15:S15)</f>
        <v>91.88</v>
      </c>
      <c r="F15" s="3" t="str">
        <f>IF(G15&lt;&gt;"","P","")</f>
        <v/>
      </c>
      <c r="G15" s="115" t="str">
        <f>IF(OR(AND(AR15&gt;=AY$33,AR15&lt;&gt;"",AP15=""),AND(AT15&gt;=AY$33,AT15&lt;&gt;"",AP15=""),AND(AW15&gt;=AY$33,AW15&lt;&gt;"",AP15=""),AND(BV15&gt;=CC$33,BV15&lt;&gt;"",BT15=""),AND(BX15&gt;=CC$33,BX15&lt;&gt;"",BT15=""),AND(CA15&gt;=CC$33,CA15&lt;&gt;"",BT15=""),AND(CZ15&gt;=DG$33,CZ15&lt;&gt;"",CX15=""),AND(DB15&gt;=DG$33,DB15&lt;&gt;"",CX15=""),AND(DE15&gt;=DG$33,DE15&lt;&gt;"",CX15=""),AND(EA15&gt;=EG$33,EA15&lt;&gt;""),AND(EE15&gt;=EG$33,EE15&lt;&gt;""),AND(EW15&gt;=FC$33,EW15&lt;&gt;""),AND(FA15&gt;=FC$33,FA15&lt;&gt;""),AND(FS15&gt;=FY$33,FS15&lt;&gt;""),AND(FW15&gt;=FY$33,FW15&lt;&gt;""),AND(GO15&gt;=GU$33,GO15&lt;&gt;""),AND(GS15&gt;=GU$33,GS15&lt;&gt;""),AND(HK15&gt;=HQ$33,HK15&lt;&gt;""),AND(HO15&gt;=HQ$33,HO15&lt;&gt;""),AND(IG15&gt;=IM$33,IG15&lt;&gt;""),AND(IK15&gt;=IM$33,IK15&lt;&gt;""),AND(JC15&gt;=JI$33,JC15&lt;&gt;""),AND(JG15&gt;=JI$33,JG15&lt;&gt;""),AND(JY15&gt;=KE$33,JY15&lt;&gt;""),AND(KC15&gt;=KE$33,KC15&lt;&gt;""),AND(KU15&gt;=LA$33,KU15&lt;&gt;""),AND(KY15&gt;=LA$33,KY15&lt;&gt;""),AND(LQ15&gt;=LW$33,LQ15&lt;&gt;""),AND(LU15&gt;=LW$33,LU15&lt;&gt;""),AND(MM15&gt;=MS$33,MM15&lt;&gt;""),AND(MQ15&gt;=MS$33,MQ15&lt;&gt;""),AND(NI15&gt;=NO$33,NI15&lt;&gt;""),AND(NM15&gt;=NO$33,NM15&lt;&gt;"")),"Merit",IF(OR(AND(AR15&gt;=AY$32,AR15&lt;&gt;"",AP15=""),AND(AT15&gt;=AY$32,AT15&lt;&gt;"",AP15=""),AND(AW15&gt;=AY$32,AW15&lt;&gt;"",AP15=""),AND(BV15&gt;=CC$32,BV15&lt;&gt;"",BT15=""),AND(BX15&gt;=CC$32,BX15&lt;&gt;"",BT15=""),AND(CA15&gt;=CC$32,CA15&lt;&gt;"",BT15=""),AND(CZ15&gt;=DG$32,CZ15&lt;&gt;"",CX15=""),AND(DB15&gt;=DG$32,DB15&lt;&gt;"",CX15=""),AND(DE15&gt;=DG$32,DE15&lt;&gt;"",CX15=""),AND(EA15&gt;=EG$32,EA15&lt;&gt;""),AND(EE15&gt;=EG$32,EE15&lt;&gt;""),AND(EW15&gt;=FC$32,EW15&lt;&gt;""),AND(FA15&gt;=FC$32,FA15&lt;&gt;""),AND(FS15&gt;=FY$32,FS15&lt;&gt;""),AND(FW15&gt;=FY$32,FW15&lt;&gt;""),AND(GO15&gt;=GU$32,GO15&lt;&gt;""),AND(GS15&gt;=GU$32,GS15&lt;&gt;""),AND(HK15&gt;=HQ$32,HK15&lt;&gt;""),AND(HO15&gt;=HQ$32,HO15&lt;&gt;""),AND(IG15&gt;=IM$32,IG15&lt;&gt;""),AND(IK15&gt;=IM$32,IK15&lt;&gt;""),AND(JC15&gt;=JI$32,JC15&lt;&gt;""),AND(JG15&gt;=JI$32,JG15&lt;&gt;""),AND(JY15&gt;=KE$32,JY15&lt;&gt;""),AND(KC15&gt;=KE$32,KC15&lt;&gt;""),AND(KU15&gt;=LA$32,KU15&lt;&gt;""),AND(KY15&gt;=LA$32,KY15&lt;&gt;""),AND(LQ15&gt;=LW$32,LQ15&lt;&gt;""),AND(LU15&gt;=LW$32,LU15&lt;&gt;""),AND(MM15&gt;=MS$32,MM15&lt;&gt;""),AND(MQ15&gt;=MS$32,MQ15&lt;&gt;""),AND(NI15&gt;=NO$32,NI15&lt;&gt;""),AND(NM15&gt;=NO$32,NM15&lt;&gt;"")),"Excellence",IF(OR(AND(AR15&gt;=AY$31,AR15&lt;&gt;"",AP15=""),AND(AT15&gt;=AY$31,AT15&lt;&gt;"",AP15=""),AND(AW15&gt;=AY$31,AW15&lt;&gt;"",AP15=""),AND(BV15&gt;=CC$31,BV15&lt;&gt;"",BT15=""),AND(BX15&gt;=CC$31,BX15&lt;&gt;"",BT15=""),AND(CA15&gt;=CC$31,CA15&lt;&gt;"",BT15=""),AND(CZ15&gt;=DG$31,CZ15&lt;&gt;"",CX15=""),AND(DB15&gt;=DG$31,DB15&lt;&gt;"",CX15=""),AND(DE15&gt;=DG$31,DE15&lt;&gt;"",CX15=""),AND(EA15&gt;=EG$31,EA15&lt;&gt;""),AND(EE15&gt;=EG$31,EE15&lt;&gt;""),AND(EW15&gt;=FC$31,EW15&lt;&gt;""),AND(FA15&gt;=FC$31,FA15&lt;&gt;""),AND(FS15&gt;=FY$31,FS15&lt;&gt;""),AND(FW15&gt;=FY$31,FW15&lt;&gt;""),AND(GO15&gt;=GU$31,GO15&lt;&gt;""),AND(GS15&gt;=GU$31,GS15&lt;&gt;""),AND(HK15&gt;=HQ$31,HK15&lt;&gt;""),AND(HO15&gt;=HQ$31,HO15&lt;&gt;""),AND(IG15&gt;=IM$31,IG15&lt;&gt;""),AND(IK15&gt;=IM$31,IK15&lt;&gt;""),AND(JC15&gt;=JI$31,JC15&lt;&gt;""),AND(JG15&gt;=JI$31,JG15&lt;&gt;""),AND(JY15&gt;=KE$31,JY15&lt;&gt;""),AND(KC15&gt;=KE$31,KC15&lt;&gt;""),AND(KU15&gt;=LA$31,KU15&lt;&gt;""),AND(KY15&gt;=LA$31,KY15&lt;&gt;""),AND(LQ15&gt;=LW$31,LQ15&lt;&gt;""),AND(LU15&gt;=LW$31,LU15&lt;&gt;""),AND(MM15&gt;=MS$31,MM15&lt;&gt;""),AND(MQ15&gt;=MS$31,MQ15&lt;&gt;""),AND(NI15&gt;=NO$31,NI15&lt;&gt;""),AND(NM15&gt;=NO$31,NM15&lt;&gt;"")),"Worlds Team",IF(OR(AND(AR15&gt;=AY$30,AR15&lt;&gt;"",AP15=""),AND(AT15&gt;=AY$30,AT15&lt;&gt;"",AP15=""),AND(AW15&gt;=AY$30,AW15&lt;&gt;"",AP15=""),AND(BV15&gt;=CC$30,BV15&lt;&gt;"",BT15=""),AND(BX15&gt;=CC$30,BX15&lt;&gt;"",BT15=""),AND(CA15&gt;=CC$30,CA15&lt;&gt;"",BT15=""),AND(CZ15&gt;=DG$30,CZ15&lt;&gt;"",CX15=""),AND(DB15&gt;=DG$30,DB15&lt;&gt;"",CX15=""),AND(DE15&gt;=DG$30,DE15&lt;&gt;"",CX15=""),AND(EA15&gt;=EG$30,EA15&lt;&gt;""),AND(EE15&gt;=EG$30,EE15&lt;&gt;""),AND(EW15&gt;=FC$30,EW15&lt;&gt;""),AND(FA15&gt;=FC$30,FA15&lt;&gt;""),AND(FS15&gt;=FY$30,FS15&lt;&gt;""),AND(FW15&gt;=FY$30,FW15&lt;&gt;""),AND(GO15&gt;=GU$30,GO15&lt;&gt;""),AND(GS15&gt;=GU$30,GS15&lt;&gt;""),AND(HK15&gt;=HQ$30,HK15&lt;&gt;""),AND(HO15&gt;=HQ$30,HO15&lt;&gt;""),AND(IG15&gt;=IM$30,IG15&lt;&gt;""),AND(IK15&gt;=IM$30,IK15&lt;&gt;""),AND(JC15&gt;=JI$30,JC15&lt;&gt;""),AND(JG15&gt;=JI$30,JG15&lt;&gt;""),AND(JY15&gt;=KE$30,JY15&lt;&gt;""),AND(KC15&gt;=KE$30,KC15&lt;&gt;""),AND(KU15&gt;=LA$30,KU15&lt;&gt;""),AND(KY15&gt;=LA$30,KY15&lt;&gt;""),AND(LQ15&gt;=LW$30,LQ15&lt;&gt;""),AND(LU15&gt;=LW$30,LU15&lt;&gt;""),AND(MM15&gt;=MS$30,MM15&lt;&gt;""),AND(MQ15&gt;=MS$30,MQ15&lt;&gt;""),AND(NI15&gt;=NO$30,NI15&lt;&gt;""),AND(NM15&gt;=NO$30,NM15&lt;&gt;"")),"National Team",""))))</f>
        <v/>
      </c>
      <c r="H15" s="115" t="str">
        <f>IF(OR(AND(AS15&gt;=AY$34,AS15&lt;&gt;"",AP15=""),AND(AU15&gt;=AY$34,AU15&lt;&gt;"",AP15=""),AND(AX15&gt;=AY$34,AX15&lt;&gt;"",AP15=""),AND(BW15&gt;=CC$34,BW15&lt;&gt;"",BT15=""),AND(BY15&gt;=CC$34,BY15&lt;&gt;"",BT15=""),AND(CB15&gt;=CC$34,CB15&lt;&gt;"",BT15=""),AND(DA15&gt;=DG$34,DA15&lt;&gt;"",CX15=""),AND(DC15&gt;=DG$34,DC15&lt;&gt;"",CX15=""),AND(DF15&gt;=DG$34,DF15&lt;&gt;"",CX15=""),AND(EC15&gt;=EG$34,EC15&lt;&gt;""),AND(EF15&gt;=EG$34,EF15&lt;&gt;""),AND(EY15&gt;=FC$34,EY15&lt;&gt;""),AND(FB15&gt;=FC$34,FB15&lt;&gt;""),AND(FU15&gt;=FY$34,FU15&lt;&gt;""),AND(FX15&gt;=FY$34,FX15&lt;&gt;""),AND(GQ15&gt;=GU$34,GQ15&lt;&gt;""),AND(GT15&gt;=GU$34,GT15&lt;&gt;""),AND(HM15&gt;=HQ$34,HM15&lt;&gt;""),AND(HP15&gt;=HQ$34,HP15&lt;&gt;""),AND(II15&gt;=IM$34,II15&lt;&gt;""),AND(IL15&gt;=IM$34,IL15&lt;&gt;""),AND(JE15&gt;=JI$34,JE15&lt;&gt;""),AND(JH15&gt;=JI$34,JH15&lt;&gt;""),AND(KA15&gt;=KE$34,KA15&lt;&gt;""),AND(KD15&gt;=KE$34,KD15&lt;&gt;""),AND(KW15&gt;=LA$34,KW15&lt;&gt;""),AND(KZ15&gt;=LA$34,KZ15&lt;&gt;""),AND(LS15&gt;=LW$34,LS15&lt;&gt;""),AND(LV15&gt;=LW$34,LV15&lt;&gt;""),AND(MO15&gt;=MS$34,MO15&lt;&gt;""),AND(MR15&gt;=MS$34,MR15&lt;&gt;""),AND(NK15&gt;=NO$34,NK15&lt;&gt;""),AND(NN15&gt;=NO$34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$35,AV15&lt;&gt;"",AP15=""),AND(BZ15&gt;=CC$35,BZ15&lt;&gt;"",BT15=""),AND(DD15&gt;=DG$35,DD15&lt;&gt;"",CX15=""),AND(ED15&gt;=EG$35,ED15&lt;&gt;""),AND(EZ15&gt;=FC$35,EZ15&lt;&gt;""),AND(FV15&gt;=FY$35,FV15&lt;&gt;""),AND(GR15&gt;=GU$35,GR15&lt;&gt;""),AND(HN15&gt;=HQ$35,HN15&lt;&gt;""),AND(IJ15&gt;=IM$35,IJ15&lt;&gt;""),AND(JF15&gt;=JI$35,JF15&lt;&gt;""),AND(KB15&gt;=KE$35,KB15&lt;&gt;""),AND(KX15&gt;=LA$35,KX15&lt;&gt;""),AND(LT15&gt;=LW$35,LT15&lt;&gt;""),AND(MP15&gt;=MS$35,MP15&lt;&gt;""),AND(NL15&gt;=NO$35,NL15&lt;&gt;"")),OR(G15="Worlds Team",G15="Excellence",G15="Merit")),"P","")</f>
        <v/>
      </c>
      <c r="K15" s="14">
        <f>IF(MAX(AV15,BZ15,DD15)&gt;0,MAX(AV15,BZ15,DD15),0)</f>
        <v>87.259999999999991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42.26</v>
      </c>
      <c r="N15" s="14" t="str">
        <f>IF(M15=0,"",IF(AND(M15=CY15,$L15&lt;&gt;$CD$1),$CD$1,IF(AND(M15=BU15,$L15&lt;&gt;$AZ$1),$AZ$1,IF(AND(M15=AQ15,$L15&lt;&gt;$V$1),$V$1,""))))</f>
        <v>2021 Canadian Championships</v>
      </c>
      <c r="O15" s="14">
        <f>MAX(AS15,AU15,AX15,BW15,BY15,CB15,DA15,DC15,DF15)</f>
        <v>46.98</v>
      </c>
      <c r="P15" s="14" t="str">
        <f>IF(O15=0,"",IF(OR(O15=DC15,O15=DA15,O15=DF15),$CD$1,IF(OR(O15=BY15,O15=BW15,O15=CB15),$AZ$1,IF(OR(O15=AU15,O15=AS15,O15=AX15),$V$1,""))))</f>
        <v>2021 2nd Virtual Technical Trial</v>
      </c>
      <c r="Q15" s="14">
        <f>IF(COUNT(AS15,AU15,AX15,BW15,BY15,CB15,DA15,DC15,DF15)&gt;1,LARGE((AS15,AU15,AX15,BW15,BY15,CB15,DA15,DC15,DF15),2),0)</f>
        <v>44.9</v>
      </c>
      <c r="R15" s="14" t="str">
        <f>IF(Q15=0,"",IF(OR(Q15=DC15,Q15=DA15,Q15=DF15),$CD$1,IF(OR(Q15=BY15,Q15=BW15,Q15=CB15),$AZ$1,IF(OR(Q15=AU15,Q15=AS15,Q15=AX15),$V$1,""))))</f>
        <v>2021 2nd Virtual Technical Trial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>
        <v>15.7</v>
      </c>
      <c r="W15" s="61">
        <v>9.3000000000000007</v>
      </c>
      <c r="X15" s="61">
        <v>2</v>
      </c>
      <c r="Y15" s="61">
        <v>15.36</v>
      </c>
      <c r="Z15" s="61">
        <v>0</v>
      </c>
      <c r="AA15" s="61">
        <v>12.6</v>
      </c>
      <c r="AB15" s="61">
        <v>8.9</v>
      </c>
      <c r="AC15" s="61">
        <v>8.6999999999999993</v>
      </c>
      <c r="AD15" s="61">
        <v>14.8</v>
      </c>
      <c r="AE15" s="61">
        <v>0.1</v>
      </c>
      <c r="AF15" s="61"/>
      <c r="AG15" s="61"/>
      <c r="AH15" s="61"/>
      <c r="AI15" s="61"/>
      <c r="AJ15" s="61"/>
      <c r="AK15" s="61">
        <v>14</v>
      </c>
      <c r="AL15" s="61">
        <v>8.6999999999999993</v>
      </c>
      <c r="AM15" s="61">
        <v>9.6</v>
      </c>
      <c r="AN15" s="61">
        <v>14.68</v>
      </c>
      <c r="AO15" s="61">
        <v>0</v>
      </c>
      <c r="AP15" s="72"/>
      <c r="AQ15" s="11">
        <f>IF(SUM(V15:Y15)-Z15&gt;0,SUM(V15:Y15)-Z15,"")</f>
        <v>42.36</v>
      </c>
      <c r="AR15" s="11">
        <f>IF(AC15&gt;0,AC15,"")</f>
        <v>8.6999999999999993</v>
      </c>
      <c r="AS15" s="11">
        <f>IF(SUM(AA15:AD15)-AE15&gt;0,SUM(AA15:AD15)-AE15,"")</f>
        <v>44.9</v>
      </c>
      <c r="AT15" s="11" t="str">
        <f>IF(AH15&gt;0,AH15,"")</f>
        <v/>
      </c>
      <c r="AU15" s="11" t="str">
        <f>IF(SUM(AF15:AI15)-AJ15&gt;0,SUM(AF15:AI15)-AJ15,"")</f>
        <v/>
      </c>
      <c r="AV15" s="11">
        <f>IF(AQ15="",IF(MAX(AS15,AU15)&gt;0,MAX(AS15,AU15),""),MAX(AS15,AU15)+AQ15)</f>
        <v>87.259999999999991</v>
      </c>
      <c r="AW15" s="11">
        <f>IF(AM15&gt;0,AM15,"")</f>
        <v>9.6</v>
      </c>
      <c r="AX15" s="11">
        <f>IF(SUM(AK15:AN15)-AO15&gt;0,SUM(AK15:AN15)-AO15,"")</f>
        <v>46.98</v>
      </c>
      <c r="AY15" s="11">
        <f>IF(SUM(AV15,AX15)&gt;0,SUM(AV15,AX15),"")</f>
        <v>134.23999999999998</v>
      </c>
      <c r="AZ15" s="67">
        <v>14.5</v>
      </c>
      <c r="BA15" s="67">
        <v>9.1999999999999993</v>
      </c>
      <c r="BB15" s="67">
        <v>2.9</v>
      </c>
      <c r="BC15" s="67">
        <v>15.175000000000001</v>
      </c>
      <c r="BD15" s="67">
        <v>0</v>
      </c>
      <c r="BE15" s="67">
        <v>7.4</v>
      </c>
      <c r="BF15" s="67">
        <v>4.3</v>
      </c>
      <c r="BG15" s="67">
        <v>5.3</v>
      </c>
      <c r="BH15" s="67">
        <v>7.35</v>
      </c>
      <c r="BI15" s="67">
        <v>0</v>
      </c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>
        <f>IF(SUM(AZ15:BC15)-BD15&gt;0,SUM(AZ15:BC15)-BD15,"")</f>
        <v>41.774999999999999</v>
      </c>
      <c r="BV15" s="14">
        <f>IF(BG15&gt;0,BG15,"")</f>
        <v>5.3</v>
      </c>
      <c r="BW15" s="14">
        <f>IF(SUM(BE15:BH15)-BI15&gt;0,SUM(BE15:BH15)-BI15,"")</f>
        <v>24.35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66.125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66.125</v>
      </c>
      <c r="CD15" s="61">
        <v>15.1</v>
      </c>
      <c r="CE15" s="61">
        <v>8.8000000000000007</v>
      </c>
      <c r="CF15" s="61">
        <v>2.9</v>
      </c>
      <c r="CG15" s="61">
        <v>15.46</v>
      </c>
      <c r="CH15" s="61">
        <v>0</v>
      </c>
      <c r="CI15" s="61">
        <v>3</v>
      </c>
      <c r="CJ15" s="61">
        <v>1.7</v>
      </c>
      <c r="CK15" s="61">
        <v>2.5</v>
      </c>
      <c r="CL15" s="61">
        <v>3.165</v>
      </c>
      <c r="CM15" s="61">
        <v>0</v>
      </c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>
        <f>IF(SUM(CD15:CG15)-CH15&gt;0,SUM(CD15:CG15)-CH15,"")</f>
        <v>42.26</v>
      </c>
      <c r="CZ15" s="11">
        <f>IF(CK15&gt;0,CK15,"")</f>
        <v>2.5</v>
      </c>
      <c r="DA15" s="11">
        <f>IF(SUM(CI15:CL15)-CM15&gt;0,SUM(CI15:CL15)-CM15,"")</f>
        <v>10.365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52.625</v>
      </c>
      <c r="DE15" s="11" t="str">
        <f>IF(CU15&gt;0,CU15,"")</f>
        <v/>
      </c>
      <c r="DF15" s="11" t="str">
        <f>IF(SUM(CS15:CV15)-CW15&gt;0,SUM(CS15:CV15)-CW15,"")</f>
        <v/>
      </c>
      <c r="DG15" s="11">
        <f>IF(SUM(DD15,DF15)&gt;0,SUM(DD15,DF15),"")</f>
        <v>52.625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14.8</v>
      </c>
      <c r="NQ15" s="61">
        <f>IF($CX15="P",CE15,(CE15+BA15)/2)</f>
        <v>9</v>
      </c>
      <c r="NR15" s="61">
        <f>IF($CX15="P",CF15,(CF15+BB15)/2)</f>
        <v>2.9</v>
      </c>
      <c r="NS15" s="61">
        <f>IF($CX15="P",CG15,(CG15+BC15)/2)</f>
        <v>15.317500000000001</v>
      </c>
      <c r="NT15" s="61">
        <f>IF($CX15="P",CH15,(CH15+BD15)/2)</f>
        <v>0</v>
      </c>
      <c r="NU15" s="61">
        <f>IF($CX15="P",CI15,(CI15+BE15)/2)</f>
        <v>5.2</v>
      </c>
      <c r="NV15" s="61">
        <f>IF($CX15="P",CJ15,(CJ15+BF15)/2)</f>
        <v>3</v>
      </c>
      <c r="NW15" s="61">
        <f>IF($CX15="P",CK15,(CK15+BG15)/2)</f>
        <v>3.9</v>
      </c>
      <c r="NX15" s="61">
        <f>IF($CX15="P",CL15,(CL15+BH15)/2)</f>
        <v>5.2575000000000003</v>
      </c>
      <c r="NY15" s="61">
        <f>IF($CX15="P",CM15,(CM15+BI15)/2)</f>
        <v>0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0</v>
      </c>
      <c r="OF15" s="61">
        <f>IF($CX15="P",CT15,(CT15+BP15)/2)</f>
        <v>0</v>
      </c>
      <c r="OG15" s="61">
        <f>IF($CX15="P",CU15,(CU15+BQ15)/2)</f>
        <v>0</v>
      </c>
      <c r="OH15" s="61">
        <f>IF($CX15="P",CV15,(CV15+BR15)/2)</f>
        <v>0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42.017499999999998</v>
      </c>
      <c r="OL15" s="11">
        <f>IF(NW15&gt;0,NW15,"")</f>
        <v>3.9</v>
      </c>
      <c r="OM15" s="11">
        <f>IF(SUM(NU15:NX15)-NY15&gt;0,SUM(NU15:NX15)-NY15,"")</f>
        <v>17.357500000000002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59.375</v>
      </c>
      <c r="OQ15" s="11" t="str">
        <f>IF(OG15&gt;0,OG15,"")</f>
        <v/>
      </c>
      <c r="OR15" s="11" t="str">
        <f t="shared" ref="OR15" si="12">IF(SUM(OE15:OH15)-OI15&gt;0,SUM(OE15:OH15)-OI15,"")</f>
        <v/>
      </c>
      <c r="OS15" s="11">
        <f t="shared" ref="OS15" si="13">IF(SUM(OP15,OR15)&gt;0,SUM(OP15,OR15),"")</f>
        <v>59.375</v>
      </c>
    </row>
    <row r="16" spans="1:409" x14ac:dyDescent="0.2">
      <c r="A16" s="5" t="str" cm="1">
        <f t="array" ref="A16">IF(AND(G16&lt;&gt;"",H16&lt;&gt;""),SUMPRODUCT((G$4:G$28&lt;&gt;"")*(H$4:H$28&lt;&gt;"")*(E$4:E$28&gt;E16))+1,IF(H16&lt;&gt;"",SUMPRODUCT((I$4:I$28="No DD")*(E$4:E$28&gt;E16))+1+SUMPRODUCT((G$4:G$28&lt;&gt;"")*(H$4:H$28&lt;&gt;"")),""))</f>
        <v/>
      </c>
      <c r="B16" s="6" t="s">
        <v>141</v>
      </c>
      <c r="C16" s="7" t="s">
        <v>6</v>
      </c>
      <c r="D16" s="26">
        <v>2003</v>
      </c>
      <c r="E16" s="15">
        <f>SUM(O16:S16)</f>
        <v>90.47999999999999</v>
      </c>
      <c r="F16" s="3" t="str">
        <f>IF(G16&lt;&gt;"","P","")</f>
        <v/>
      </c>
      <c r="G16" s="115" t="str">
        <f>IF(OR(AND(AR16&gt;=AY$33,AR16&lt;&gt;"",AP16=""),AND(AT16&gt;=AY$33,AT16&lt;&gt;"",AP16=""),AND(AW16&gt;=AY$33,AW16&lt;&gt;"",AP16=""),AND(BV16&gt;=CC$33,BV16&lt;&gt;"",BT16=""),AND(BX16&gt;=CC$33,BX16&lt;&gt;"",BT16=""),AND(CA16&gt;=CC$33,CA16&lt;&gt;"",BT16=""),AND(CZ16&gt;=DG$33,CZ16&lt;&gt;"",CX16=""),AND(DB16&gt;=DG$33,DB16&lt;&gt;"",CX16=""),AND(DE16&gt;=DG$33,DE16&lt;&gt;"",CX16=""),AND(EA16&gt;=EG$33,EA16&lt;&gt;""),AND(EE16&gt;=EG$33,EE16&lt;&gt;""),AND(EW16&gt;=FC$33,EW16&lt;&gt;""),AND(FA16&gt;=FC$33,FA16&lt;&gt;""),AND(FS16&gt;=FY$33,FS16&lt;&gt;""),AND(FW16&gt;=FY$33,FW16&lt;&gt;""),AND(GO16&gt;=GU$33,GO16&lt;&gt;""),AND(GS16&gt;=GU$33,GS16&lt;&gt;""),AND(HK16&gt;=HQ$33,HK16&lt;&gt;""),AND(HO16&gt;=HQ$33,HO16&lt;&gt;""),AND(IG16&gt;=IM$33,IG16&lt;&gt;""),AND(IK16&gt;=IM$33,IK16&lt;&gt;""),AND(JC16&gt;=JI$33,JC16&lt;&gt;""),AND(JG16&gt;=JI$33,JG16&lt;&gt;""),AND(JY16&gt;=KE$33,JY16&lt;&gt;""),AND(KC16&gt;=KE$33,KC16&lt;&gt;""),AND(KU16&gt;=LA$33,KU16&lt;&gt;""),AND(KY16&gt;=LA$33,KY16&lt;&gt;""),AND(LQ16&gt;=LW$33,LQ16&lt;&gt;""),AND(LU16&gt;=LW$33,LU16&lt;&gt;""),AND(MM16&gt;=MS$33,MM16&lt;&gt;""),AND(MQ16&gt;=MS$33,MQ16&lt;&gt;""),AND(NI16&gt;=NO$33,NI16&lt;&gt;""),AND(NM16&gt;=NO$33,NM16&lt;&gt;"")),"Merit",IF(OR(AND(AR16&gt;=AY$32,AR16&lt;&gt;"",AP16=""),AND(AT16&gt;=AY$32,AT16&lt;&gt;"",AP16=""),AND(AW16&gt;=AY$32,AW16&lt;&gt;"",AP16=""),AND(BV16&gt;=CC$32,BV16&lt;&gt;"",BT16=""),AND(BX16&gt;=CC$32,BX16&lt;&gt;"",BT16=""),AND(CA16&gt;=CC$32,CA16&lt;&gt;"",BT16=""),AND(CZ16&gt;=DG$32,CZ16&lt;&gt;"",CX16=""),AND(DB16&gt;=DG$32,DB16&lt;&gt;"",CX16=""),AND(DE16&gt;=DG$32,DE16&lt;&gt;"",CX16=""),AND(EA16&gt;=EG$32,EA16&lt;&gt;""),AND(EE16&gt;=EG$32,EE16&lt;&gt;""),AND(EW16&gt;=FC$32,EW16&lt;&gt;""),AND(FA16&gt;=FC$32,FA16&lt;&gt;""),AND(FS16&gt;=FY$32,FS16&lt;&gt;""),AND(FW16&gt;=FY$32,FW16&lt;&gt;""),AND(GO16&gt;=GU$32,GO16&lt;&gt;""),AND(GS16&gt;=GU$32,GS16&lt;&gt;""),AND(HK16&gt;=HQ$32,HK16&lt;&gt;""),AND(HO16&gt;=HQ$32,HO16&lt;&gt;""),AND(IG16&gt;=IM$32,IG16&lt;&gt;""),AND(IK16&gt;=IM$32,IK16&lt;&gt;""),AND(JC16&gt;=JI$32,JC16&lt;&gt;""),AND(JG16&gt;=JI$32,JG16&lt;&gt;""),AND(JY16&gt;=KE$32,JY16&lt;&gt;""),AND(KC16&gt;=KE$32,KC16&lt;&gt;""),AND(KU16&gt;=LA$32,KU16&lt;&gt;""),AND(KY16&gt;=LA$32,KY16&lt;&gt;""),AND(LQ16&gt;=LW$32,LQ16&lt;&gt;""),AND(LU16&gt;=LW$32,LU16&lt;&gt;""),AND(MM16&gt;=MS$32,MM16&lt;&gt;""),AND(MQ16&gt;=MS$32,MQ16&lt;&gt;""),AND(NI16&gt;=NO$32,NI16&lt;&gt;""),AND(NM16&gt;=NO$32,NM16&lt;&gt;"")),"Excellence",IF(OR(AND(AR16&gt;=AY$31,AR16&lt;&gt;"",AP16=""),AND(AT16&gt;=AY$31,AT16&lt;&gt;"",AP16=""),AND(AW16&gt;=AY$31,AW16&lt;&gt;"",AP16=""),AND(BV16&gt;=CC$31,BV16&lt;&gt;"",BT16=""),AND(BX16&gt;=CC$31,BX16&lt;&gt;"",BT16=""),AND(CA16&gt;=CC$31,CA16&lt;&gt;"",BT16=""),AND(CZ16&gt;=DG$31,CZ16&lt;&gt;"",CX16=""),AND(DB16&gt;=DG$31,DB16&lt;&gt;"",CX16=""),AND(DE16&gt;=DG$31,DE16&lt;&gt;"",CX16=""),AND(EA16&gt;=EG$31,EA16&lt;&gt;""),AND(EE16&gt;=EG$31,EE16&lt;&gt;""),AND(EW16&gt;=FC$31,EW16&lt;&gt;""),AND(FA16&gt;=FC$31,FA16&lt;&gt;""),AND(FS16&gt;=FY$31,FS16&lt;&gt;""),AND(FW16&gt;=FY$31,FW16&lt;&gt;""),AND(GO16&gt;=GU$31,GO16&lt;&gt;""),AND(GS16&gt;=GU$31,GS16&lt;&gt;""),AND(HK16&gt;=HQ$31,HK16&lt;&gt;""),AND(HO16&gt;=HQ$31,HO16&lt;&gt;""),AND(IG16&gt;=IM$31,IG16&lt;&gt;""),AND(IK16&gt;=IM$31,IK16&lt;&gt;""),AND(JC16&gt;=JI$31,JC16&lt;&gt;""),AND(JG16&gt;=JI$31,JG16&lt;&gt;""),AND(JY16&gt;=KE$31,JY16&lt;&gt;""),AND(KC16&gt;=KE$31,KC16&lt;&gt;""),AND(KU16&gt;=LA$31,KU16&lt;&gt;""),AND(KY16&gt;=LA$31,KY16&lt;&gt;""),AND(LQ16&gt;=LW$31,LQ16&lt;&gt;""),AND(LU16&gt;=LW$31,LU16&lt;&gt;""),AND(MM16&gt;=MS$31,MM16&lt;&gt;""),AND(MQ16&gt;=MS$31,MQ16&lt;&gt;""),AND(NI16&gt;=NO$31,NI16&lt;&gt;""),AND(NM16&gt;=NO$31,NM16&lt;&gt;"")),"Worlds Team",IF(OR(AND(AR16&gt;=AY$30,AR16&lt;&gt;"",AP16=""),AND(AT16&gt;=AY$30,AT16&lt;&gt;"",AP16=""),AND(AW16&gt;=AY$30,AW16&lt;&gt;"",AP16=""),AND(BV16&gt;=CC$30,BV16&lt;&gt;"",BT16=""),AND(BX16&gt;=CC$30,BX16&lt;&gt;"",BT16=""),AND(CA16&gt;=CC$30,CA16&lt;&gt;"",BT16=""),AND(CZ16&gt;=DG$30,CZ16&lt;&gt;"",CX16=""),AND(DB16&gt;=DG$30,DB16&lt;&gt;"",CX16=""),AND(DE16&gt;=DG$30,DE16&lt;&gt;"",CX16=""),AND(EA16&gt;=EG$30,EA16&lt;&gt;""),AND(EE16&gt;=EG$30,EE16&lt;&gt;""),AND(EW16&gt;=FC$30,EW16&lt;&gt;""),AND(FA16&gt;=FC$30,FA16&lt;&gt;""),AND(FS16&gt;=FY$30,FS16&lt;&gt;""),AND(FW16&gt;=FY$30,FW16&lt;&gt;""),AND(GO16&gt;=GU$30,GO16&lt;&gt;""),AND(GS16&gt;=GU$30,GS16&lt;&gt;""),AND(HK16&gt;=HQ$30,HK16&lt;&gt;""),AND(HO16&gt;=HQ$30,HO16&lt;&gt;""),AND(IG16&gt;=IM$30,IG16&lt;&gt;""),AND(IK16&gt;=IM$30,IK16&lt;&gt;""),AND(JC16&gt;=JI$30,JC16&lt;&gt;""),AND(JG16&gt;=JI$30,JG16&lt;&gt;""),AND(JY16&gt;=KE$30,JY16&lt;&gt;""),AND(KC16&gt;=KE$30,KC16&lt;&gt;""),AND(KU16&gt;=LA$30,KU16&lt;&gt;""),AND(KY16&gt;=LA$30,KY16&lt;&gt;""),AND(LQ16&gt;=LW$30,LQ16&lt;&gt;""),AND(LU16&gt;=LW$30,LU16&lt;&gt;""),AND(MM16&gt;=MS$30,MM16&lt;&gt;""),AND(MQ16&gt;=MS$30,MQ16&lt;&gt;""),AND(NI16&gt;=NO$30,NI16&lt;&gt;""),AND(NM16&gt;=NO$30,NM16&lt;&gt;"")),"National Team",""))))</f>
        <v/>
      </c>
      <c r="H16" s="115" t="str">
        <f>IF(OR(AND(AS16&gt;=AY$34,AS16&lt;&gt;"",AP16=""),AND(AU16&gt;=AY$34,AU16&lt;&gt;"",AP16=""),AND(AX16&gt;=AY$34,AX16&lt;&gt;"",AP16=""),AND(BW16&gt;=CC$34,BW16&lt;&gt;"",BT16=""),AND(BY16&gt;=CC$34,BY16&lt;&gt;"",BT16=""),AND(CB16&gt;=CC$34,CB16&lt;&gt;"",BT16=""),AND(DA16&gt;=DG$34,DA16&lt;&gt;"",CX16=""),AND(DC16&gt;=DG$34,DC16&lt;&gt;"",CX16=""),AND(DF16&gt;=DG$34,DF16&lt;&gt;"",CX16=""),AND(EC16&gt;=EG$34,EC16&lt;&gt;""),AND(EF16&gt;=EG$34,EF16&lt;&gt;""),AND(EY16&gt;=FC$34,EY16&lt;&gt;""),AND(FB16&gt;=FC$34,FB16&lt;&gt;""),AND(FU16&gt;=FY$34,FU16&lt;&gt;""),AND(FX16&gt;=FY$34,FX16&lt;&gt;""),AND(GQ16&gt;=GU$34,GQ16&lt;&gt;""),AND(GT16&gt;=GU$34,GT16&lt;&gt;""),AND(HM16&gt;=HQ$34,HM16&lt;&gt;""),AND(HP16&gt;=HQ$34,HP16&lt;&gt;""),AND(II16&gt;=IM$34,II16&lt;&gt;""),AND(IL16&gt;=IM$34,IL16&lt;&gt;""),AND(JE16&gt;=JI$34,JE16&lt;&gt;""),AND(JH16&gt;=JI$34,JH16&lt;&gt;""),AND(KA16&gt;=KE$34,KA16&lt;&gt;""),AND(KD16&gt;=KE$34,KD16&lt;&gt;""),AND(KW16&gt;=LA$34,KW16&lt;&gt;""),AND(KZ16&gt;=LA$34,KZ16&lt;&gt;""),AND(LS16&gt;=LW$34,LS16&lt;&gt;""),AND(LV16&gt;=LW$34,LV16&lt;&gt;""),AND(MO16&gt;=MS$34,MO16&lt;&gt;""),AND(MR16&gt;=MS$34,MR16&lt;&gt;""),AND(NK16&gt;=NO$34,NK16&lt;&gt;""),AND(NN16&gt;=NO$34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$35,AV16&lt;&gt;"",AP16=""),AND(BZ16&gt;=CC$35,BZ16&lt;&gt;"",BT16=""),AND(DD16&gt;=DG$35,DD16&lt;&gt;"",CX16=""),AND(ED16&gt;=EG$35,ED16&lt;&gt;""),AND(EZ16&gt;=FC$35,EZ16&lt;&gt;""),AND(FV16&gt;=FY$35,FV16&lt;&gt;""),AND(GR16&gt;=GU$35,GR16&lt;&gt;""),AND(HN16&gt;=HQ$35,HN16&lt;&gt;""),AND(IJ16&gt;=IM$35,IJ16&lt;&gt;""),AND(JF16&gt;=JI$35,JF16&lt;&gt;""),AND(KB16&gt;=KE$35,KB16&lt;&gt;""),AND(KX16&gt;=LA$35,KX16&lt;&gt;""),AND(LT16&gt;=LW$35,LT16&lt;&gt;""),AND(MP16&gt;=MS$35,MP16&lt;&gt;""),AND(NL16&gt;=NO$35,NL16&lt;&gt;"")),OR(G16="Worlds Team",G16="Excellence",G16="Merit")),"P","")</f>
        <v/>
      </c>
      <c r="K16" s="14">
        <f>IF(MAX(AV16,BZ16,DD16)&gt;0,MAX(AV16,BZ16,DD16),0)</f>
        <v>86.9</v>
      </c>
      <c r="L16" s="14" t="str">
        <f>IF(K16=0,"",IF(K16=DD16,$CD$1,IF(K16=BZ16,$AZ$1,IF(K16=AV16,$V$1,""))))</f>
        <v>2021 Canadian Championships</v>
      </c>
      <c r="M16" s="14">
        <f>IF($K16=$AV16,MAX(BU16,CY16),IF($K16=$BZ16,MAX(AQ16,CY16),IF($K16=$DD16,MAX(AQ16,BU16),MAX(AQ16,BU16,CY16))))</f>
        <v>40.260000000000005</v>
      </c>
      <c r="N16" s="14" t="str">
        <f>IF(M16=0,"",IF(AND(M16=CY16,$L16&lt;&gt;$CD$1),$CD$1,IF(AND(M16=BU16,$L16&lt;&gt;$AZ$1),$AZ$1,IF(AND(M16=AQ16,$L16&lt;&gt;$V$1),$V$1,""))))</f>
        <v>2021 Elite Canada</v>
      </c>
      <c r="O16" s="14">
        <f>MAX(AS16,AU16,AX16,BW16,BY16,CB16,DA16,DC16,DF16)</f>
        <v>45.79</v>
      </c>
      <c r="P16" s="14" t="str">
        <f>IF(O16=0,"",IF(OR(O16=DC16,O16=DA16,O16=DF16),$CD$1,IF(OR(O16=BY16,O16=BW16,O16=CB16),$AZ$1,IF(OR(O16=AU16,O16=AS16,O16=AX16),$V$1,""))))</f>
        <v>2021 Canadian Championships</v>
      </c>
      <c r="Q16" s="14">
        <f>IF(COUNT(AS16,AU16,AX16,BW16,BY16,CB16,DA16,DC16,DF16)&gt;1,LARGE((AS16,AU16,AX16,BW16,BY16,CB16,DA16,DC16,DF16),2),0)</f>
        <v>44.69</v>
      </c>
      <c r="R16" s="14" t="str">
        <f>IF(Q16=0,"",IF(OR(Q16=DC16,Q16=DA16,Q16=DF16),$CD$1,IF(OR(Q16=BY16,Q16=BW16,Q16=CB16),$AZ$1,IF(OR(Q16=AU16,Q16=AS16,Q16=AX16),$V$1,""))))</f>
        <v>2021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IF(AQ16="",IF(MAX(AS16,AU16)&gt;0,MAX(AS16,AU16),""),MAX(AS16,AU16)+AQ16)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>
        <v>16</v>
      </c>
      <c r="BA16" s="67">
        <v>9</v>
      </c>
      <c r="BB16" s="67">
        <v>1.8</v>
      </c>
      <c r="BC16" s="67">
        <v>13.46</v>
      </c>
      <c r="BD16" s="67">
        <v>0</v>
      </c>
      <c r="BE16" s="67">
        <v>15.4</v>
      </c>
      <c r="BF16" s="67">
        <v>9.4</v>
      </c>
      <c r="BG16" s="67">
        <v>7.8</v>
      </c>
      <c r="BH16" s="67">
        <v>13.09</v>
      </c>
      <c r="BI16" s="67">
        <v>1</v>
      </c>
      <c r="BJ16" s="67"/>
      <c r="BK16" s="67"/>
      <c r="BL16" s="67"/>
      <c r="BM16" s="67"/>
      <c r="BN16" s="67"/>
      <c r="BO16" s="67">
        <v>1.6</v>
      </c>
      <c r="BP16" s="67">
        <v>1</v>
      </c>
      <c r="BQ16" s="67">
        <v>1.3</v>
      </c>
      <c r="BR16" s="67">
        <v>1.4350000000000001</v>
      </c>
      <c r="BS16" s="67">
        <v>0</v>
      </c>
      <c r="BT16" s="73"/>
      <c r="BU16" s="14">
        <f>IF(SUM(AZ16:BC16)-BD16&gt;0,SUM(AZ16:BC16)-BD16,"")</f>
        <v>40.260000000000005</v>
      </c>
      <c r="BV16" s="14">
        <f>IF(BG16&gt;0,BG16,"")</f>
        <v>7.8</v>
      </c>
      <c r="BW16" s="14">
        <f>IF(SUM(BE16:BH16)-BI16&gt;0,SUM(BE16:BH16)-BI16,"")</f>
        <v>44.69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84.95</v>
      </c>
      <c r="CA16" s="14">
        <f>IF(BQ16&gt;0,BQ16,"")</f>
        <v>1.3</v>
      </c>
      <c r="CB16" s="14">
        <f>IF(SUM(BO16:BR16)-BS16&gt;0,SUM(BO16:BR16)-BS16,"")</f>
        <v>5.3350000000000009</v>
      </c>
      <c r="CC16" s="14">
        <f>IF(SUM(BZ16,CB16)&gt;0,SUM(BZ16,CB16),"")</f>
        <v>90.284999999999997</v>
      </c>
      <c r="CD16" s="61">
        <v>15.9</v>
      </c>
      <c r="CE16" s="61">
        <v>9.6999999999999993</v>
      </c>
      <c r="CF16" s="61">
        <v>2</v>
      </c>
      <c r="CG16" s="61">
        <v>13.51</v>
      </c>
      <c r="CH16" s="61">
        <v>0</v>
      </c>
      <c r="CI16" s="61">
        <v>14.4</v>
      </c>
      <c r="CJ16" s="61">
        <v>9.4</v>
      </c>
      <c r="CK16" s="61">
        <v>8.8000000000000007</v>
      </c>
      <c r="CL16" s="61">
        <v>13.19</v>
      </c>
      <c r="CM16" s="61">
        <v>0</v>
      </c>
      <c r="CN16" s="61"/>
      <c r="CO16" s="61"/>
      <c r="CP16" s="61"/>
      <c r="CQ16" s="61"/>
      <c r="CR16" s="61"/>
      <c r="CS16" s="61">
        <v>13.7</v>
      </c>
      <c r="CT16" s="61">
        <v>9</v>
      </c>
      <c r="CU16" s="61">
        <v>8.1999999999999993</v>
      </c>
      <c r="CV16" s="61">
        <v>13.074999999999999</v>
      </c>
      <c r="CW16" s="61">
        <v>0.6</v>
      </c>
      <c r="CX16" s="72"/>
      <c r="CY16" s="11">
        <f>IF(SUM(CD16:CG16)-CH16&gt;0,SUM(CD16:CG16)-CH16,"")</f>
        <v>41.11</v>
      </c>
      <c r="CZ16" s="11">
        <f>IF(CK16&gt;0,CK16,"")</f>
        <v>8.8000000000000007</v>
      </c>
      <c r="DA16" s="11">
        <f>IF(SUM(CI16:CL16)-CM16&gt;0,SUM(CI16:CL16)-CM16,"")</f>
        <v>45.79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86.9</v>
      </c>
      <c r="DE16" s="11">
        <f>IF(CU16&gt;0,CU16,"")</f>
        <v>8.1999999999999993</v>
      </c>
      <c r="DF16" s="11">
        <f>IF(SUM(CS16:CV16)-CW16&gt;0,SUM(CS16:CV16)-CW16,"")</f>
        <v>43.374999999999993</v>
      </c>
      <c r="DG16" s="11">
        <f>IF(SUM(DD16,DF16)&gt;0,SUM(DD16,DF16),"")</f>
        <v>130.27500000000001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15.95</v>
      </c>
      <c r="NQ16" s="61">
        <f>IF($CX16="P",CE16,(CE16+BA16)/2)</f>
        <v>9.35</v>
      </c>
      <c r="NR16" s="61">
        <f>IF($CX16="P",CF16,(CF16+BB16)/2)</f>
        <v>1.9</v>
      </c>
      <c r="NS16" s="61">
        <f>IF($CX16="P",CG16,(CG16+BC16)/2)</f>
        <v>13.484999999999999</v>
      </c>
      <c r="NT16" s="61">
        <f>IF($CX16="P",CH16,(CH16+BD16)/2)</f>
        <v>0</v>
      </c>
      <c r="NU16" s="61">
        <f>IF($CX16="P",CI16,(CI16+BE16)/2)</f>
        <v>14.9</v>
      </c>
      <c r="NV16" s="61">
        <f>IF($CX16="P",CJ16,(CJ16+BF16)/2)</f>
        <v>9.4</v>
      </c>
      <c r="NW16" s="61">
        <f>IF($CX16="P",CK16,(CK16+BG16)/2)</f>
        <v>8.3000000000000007</v>
      </c>
      <c r="NX16" s="61">
        <f>IF($CX16="P",CL16,(CL16+BH16)/2)</f>
        <v>13.14</v>
      </c>
      <c r="NY16" s="61">
        <f>IF($CX16="P",CM16,(CM16+BI16)/2)</f>
        <v>0.5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7.6499999999999995</v>
      </c>
      <c r="OF16" s="61">
        <f>IF($CX16="P",CT16,(CT16+BP16)/2)</f>
        <v>5</v>
      </c>
      <c r="OG16" s="61">
        <f>IF($CX16="P",CU16,(CU16+BQ16)/2)</f>
        <v>4.75</v>
      </c>
      <c r="OH16" s="61">
        <f>IF($CX16="P",CV16,(CV16+BR16)/2)</f>
        <v>7.2549999999999999</v>
      </c>
      <c r="OI16" s="61">
        <f>IF($CX16="P",CW16,(CW16+BS16)/2)</f>
        <v>0.3</v>
      </c>
      <c r="OJ16" s="72" t="s">
        <v>52</v>
      </c>
      <c r="OK16" s="11">
        <f>IF(SUM(NP16:NS16)-NT16&gt;0,SUM(NP16:NS16)-NT16,"")</f>
        <v>40.684999999999995</v>
      </c>
      <c r="OL16" s="11">
        <f>IF(NW16&gt;0,NW16,"")</f>
        <v>8.3000000000000007</v>
      </c>
      <c r="OM16" s="11">
        <f>IF(SUM(NU16:NX16)-NY16&gt;0,SUM(NU16:NX16)-NY16,"")</f>
        <v>45.24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85.924999999999997</v>
      </c>
      <c r="OQ16" s="11">
        <f>IF(OG16&gt;0,OG16,"")</f>
        <v>4.75</v>
      </c>
      <c r="OR16" s="11">
        <f t="shared" ref="OR16" si="14">IF(SUM(OE16:OH16)-OI16&gt;0,SUM(OE16:OH16)-OI16,"")</f>
        <v>24.354999999999997</v>
      </c>
      <c r="OS16" s="11">
        <f t="shared" ref="OS16" si="15">IF(SUM(OP16,OR16)&gt;0,SUM(OP16,OR16),"")</f>
        <v>110.28</v>
      </c>
    </row>
    <row r="17" spans="1:409" x14ac:dyDescent="0.2">
      <c r="A17" s="5" t="str" cm="1">
        <f t="array" ref="A17">IF(AND(G17&lt;&gt;"",H17&lt;&gt;""),SUMPRODUCT((G$4:G$28&lt;&gt;"")*(H$4:H$28&lt;&gt;"")*(E$4:E$28&gt;E17))+1,IF(H17&lt;&gt;"",SUMPRODUCT((I$4:I$28="No DD")*(E$4:E$28&gt;E17))+1+SUMPRODUCT((G$4:G$28&lt;&gt;"")*(H$4:H$28&lt;&gt;"")),""))</f>
        <v/>
      </c>
      <c r="B17" s="6" t="s">
        <v>125</v>
      </c>
      <c r="C17" s="7" t="s">
        <v>5</v>
      </c>
      <c r="D17" s="26">
        <v>2001</v>
      </c>
      <c r="E17" s="15">
        <f>SUM(O17:S17)</f>
        <v>90.419999999999987</v>
      </c>
      <c r="F17" s="3" t="str">
        <f>IF(G17&lt;&gt;"","P","")</f>
        <v/>
      </c>
      <c r="G17" s="115" t="str">
        <f>IF(OR(AND(AR17&gt;=AY$33,AR17&lt;&gt;"",AP17=""),AND(AT17&gt;=AY$33,AT17&lt;&gt;"",AP17=""),AND(AW17&gt;=AY$33,AW17&lt;&gt;"",AP17=""),AND(BV17&gt;=CC$33,BV17&lt;&gt;"",BT17=""),AND(BX17&gt;=CC$33,BX17&lt;&gt;"",BT17=""),AND(CA17&gt;=CC$33,CA17&lt;&gt;"",BT17=""),AND(CZ17&gt;=DG$33,CZ17&lt;&gt;"",CX17=""),AND(DB17&gt;=DG$33,DB17&lt;&gt;"",CX17=""),AND(DE17&gt;=DG$33,DE17&lt;&gt;"",CX17=""),AND(EA17&gt;=EG$33,EA17&lt;&gt;""),AND(EE17&gt;=EG$33,EE17&lt;&gt;""),AND(EW17&gt;=FC$33,EW17&lt;&gt;""),AND(FA17&gt;=FC$33,FA17&lt;&gt;""),AND(FS17&gt;=FY$33,FS17&lt;&gt;""),AND(FW17&gt;=FY$33,FW17&lt;&gt;""),AND(GO17&gt;=GU$33,GO17&lt;&gt;""),AND(GS17&gt;=GU$33,GS17&lt;&gt;""),AND(HK17&gt;=HQ$33,HK17&lt;&gt;""),AND(HO17&gt;=HQ$33,HO17&lt;&gt;""),AND(IG17&gt;=IM$33,IG17&lt;&gt;""),AND(IK17&gt;=IM$33,IK17&lt;&gt;""),AND(JC17&gt;=JI$33,JC17&lt;&gt;""),AND(JG17&gt;=JI$33,JG17&lt;&gt;""),AND(JY17&gt;=KE$33,JY17&lt;&gt;""),AND(KC17&gt;=KE$33,KC17&lt;&gt;""),AND(KU17&gt;=LA$33,KU17&lt;&gt;""),AND(KY17&gt;=LA$33,KY17&lt;&gt;""),AND(LQ17&gt;=LW$33,LQ17&lt;&gt;""),AND(LU17&gt;=LW$33,LU17&lt;&gt;""),AND(MM17&gt;=MS$33,MM17&lt;&gt;""),AND(MQ17&gt;=MS$33,MQ17&lt;&gt;""),AND(NI17&gt;=NO$33,NI17&lt;&gt;""),AND(NM17&gt;=NO$33,NM17&lt;&gt;"")),"Merit",IF(OR(AND(AR17&gt;=AY$32,AR17&lt;&gt;"",AP17=""),AND(AT17&gt;=AY$32,AT17&lt;&gt;"",AP17=""),AND(AW17&gt;=AY$32,AW17&lt;&gt;"",AP17=""),AND(BV17&gt;=CC$32,BV17&lt;&gt;"",BT17=""),AND(BX17&gt;=CC$32,BX17&lt;&gt;"",BT17=""),AND(CA17&gt;=CC$32,CA17&lt;&gt;"",BT17=""),AND(CZ17&gt;=DG$32,CZ17&lt;&gt;"",CX17=""),AND(DB17&gt;=DG$32,DB17&lt;&gt;"",CX17=""),AND(DE17&gt;=DG$32,DE17&lt;&gt;"",CX17=""),AND(EA17&gt;=EG$32,EA17&lt;&gt;""),AND(EE17&gt;=EG$32,EE17&lt;&gt;""),AND(EW17&gt;=FC$32,EW17&lt;&gt;""),AND(FA17&gt;=FC$32,FA17&lt;&gt;""),AND(FS17&gt;=FY$32,FS17&lt;&gt;""),AND(FW17&gt;=FY$32,FW17&lt;&gt;""),AND(GO17&gt;=GU$32,GO17&lt;&gt;""),AND(GS17&gt;=GU$32,GS17&lt;&gt;""),AND(HK17&gt;=HQ$32,HK17&lt;&gt;""),AND(HO17&gt;=HQ$32,HO17&lt;&gt;""),AND(IG17&gt;=IM$32,IG17&lt;&gt;""),AND(IK17&gt;=IM$32,IK17&lt;&gt;""),AND(JC17&gt;=JI$32,JC17&lt;&gt;""),AND(JG17&gt;=JI$32,JG17&lt;&gt;""),AND(JY17&gt;=KE$32,JY17&lt;&gt;""),AND(KC17&gt;=KE$32,KC17&lt;&gt;""),AND(KU17&gt;=LA$32,KU17&lt;&gt;""),AND(KY17&gt;=LA$32,KY17&lt;&gt;""),AND(LQ17&gt;=LW$32,LQ17&lt;&gt;""),AND(LU17&gt;=LW$32,LU17&lt;&gt;""),AND(MM17&gt;=MS$32,MM17&lt;&gt;""),AND(MQ17&gt;=MS$32,MQ17&lt;&gt;""),AND(NI17&gt;=NO$32,NI17&lt;&gt;""),AND(NM17&gt;=NO$32,NM17&lt;&gt;"")),"Excellence",IF(OR(AND(AR17&gt;=AY$31,AR17&lt;&gt;"",AP17=""),AND(AT17&gt;=AY$31,AT17&lt;&gt;"",AP17=""),AND(AW17&gt;=AY$31,AW17&lt;&gt;"",AP17=""),AND(BV17&gt;=CC$31,BV17&lt;&gt;"",BT17=""),AND(BX17&gt;=CC$31,BX17&lt;&gt;"",BT17=""),AND(CA17&gt;=CC$31,CA17&lt;&gt;"",BT17=""),AND(CZ17&gt;=DG$31,CZ17&lt;&gt;"",CX17=""),AND(DB17&gt;=DG$31,DB17&lt;&gt;"",CX17=""),AND(DE17&gt;=DG$31,DE17&lt;&gt;"",CX17=""),AND(EA17&gt;=EG$31,EA17&lt;&gt;""),AND(EE17&gt;=EG$31,EE17&lt;&gt;""),AND(EW17&gt;=FC$31,EW17&lt;&gt;""),AND(FA17&gt;=FC$31,FA17&lt;&gt;""),AND(FS17&gt;=FY$31,FS17&lt;&gt;""),AND(FW17&gt;=FY$31,FW17&lt;&gt;""),AND(GO17&gt;=GU$31,GO17&lt;&gt;""),AND(GS17&gt;=GU$31,GS17&lt;&gt;""),AND(HK17&gt;=HQ$31,HK17&lt;&gt;""),AND(HO17&gt;=HQ$31,HO17&lt;&gt;""),AND(IG17&gt;=IM$31,IG17&lt;&gt;""),AND(IK17&gt;=IM$31,IK17&lt;&gt;""),AND(JC17&gt;=JI$31,JC17&lt;&gt;""),AND(JG17&gt;=JI$31,JG17&lt;&gt;""),AND(JY17&gt;=KE$31,JY17&lt;&gt;""),AND(KC17&gt;=KE$31,KC17&lt;&gt;""),AND(KU17&gt;=LA$31,KU17&lt;&gt;""),AND(KY17&gt;=LA$31,KY17&lt;&gt;""),AND(LQ17&gt;=LW$31,LQ17&lt;&gt;""),AND(LU17&gt;=LW$31,LU17&lt;&gt;""),AND(MM17&gt;=MS$31,MM17&lt;&gt;""),AND(MQ17&gt;=MS$31,MQ17&lt;&gt;""),AND(NI17&gt;=NO$31,NI17&lt;&gt;""),AND(NM17&gt;=NO$31,NM17&lt;&gt;"")),"Worlds Team",IF(OR(AND(AR17&gt;=AY$30,AR17&lt;&gt;"",AP17=""),AND(AT17&gt;=AY$30,AT17&lt;&gt;"",AP17=""),AND(AW17&gt;=AY$30,AW17&lt;&gt;"",AP17=""),AND(BV17&gt;=CC$30,BV17&lt;&gt;"",BT17=""),AND(BX17&gt;=CC$30,BX17&lt;&gt;"",BT17=""),AND(CA17&gt;=CC$30,CA17&lt;&gt;"",BT17=""),AND(CZ17&gt;=DG$30,CZ17&lt;&gt;"",CX17=""),AND(DB17&gt;=DG$30,DB17&lt;&gt;"",CX17=""),AND(DE17&gt;=DG$30,DE17&lt;&gt;"",CX17=""),AND(EA17&gt;=EG$30,EA17&lt;&gt;""),AND(EE17&gt;=EG$30,EE17&lt;&gt;""),AND(EW17&gt;=FC$30,EW17&lt;&gt;""),AND(FA17&gt;=FC$30,FA17&lt;&gt;""),AND(FS17&gt;=FY$30,FS17&lt;&gt;""),AND(FW17&gt;=FY$30,FW17&lt;&gt;""),AND(GO17&gt;=GU$30,GO17&lt;&gt;""),AND(GS17&gt;=GU$30,GS17&lt;&gt;""),AND(HK17&gt;=HQ$30,HK17&lt;&gt;""),AND(HO17&gt;=HQ$30,HO17&lt;&gt;""),AND(IG17&gt;=IM$30,IG17&lt;&gt;""),AND(IK17&gt;=IM$30,IK17&lt;&gt;""),AND(JC17&gt;=JI$30,JC17&lt;&gt;""),AND(JG17&gt;=JI$30,JG17&lt;&gt;""),AND(JY17&gt;=KE$30,JY17&lt;&gt;""),AND(KC17&gt;=KE$30,KC17&lt;&gt;""),AND(KU17&gt;=LA$30,KU17&lt;&gt;""),AND(KY17&gt;=LA$30,KY17&lt;&gt;""),AND(LQ17&gt;=LW$30,LQ17&lt;&gt;""),AND(LU17&gt;=LW$30,LU17&lt;&gt;""),AND(MM17&gt;=MS$30,MM17&lt;&gt;""),AND(MQ17&gt;=MS$30,MQ17&lt;&gt;""),AND(NI17&gt;=NO$30,NI17&lt;&gt;""),AND(NM17&gt;=NO$30,NM17&lt;&gt;"")),"National Team",""))))</f>
        <v/>
      </c>
      <c r="H17" s="115" t="str">
        <f>IF(OR(AND(AS17&gt;=AY$34,AS17&lt;&gt;"",AP17=""),AND(AU17&gt;=AY$34,AU17&lt;&gt;"",AP17=""),AND(AX17&gt;=AY$34,AX17&lt;&gt;"",AP17=""),AND(BW17&gt;=CC$34,BW17&lt;&gt;"",BT17=""),AND(BY17&gt;=CC$34,BY17&lt;&gt;"",BT17=""),AND(CB17&gt;=CC$34,CB17&lt;&gt;"",BT17=""),AND(DA17&gt;=DG$34,DA17&lt;&gt;"",CX17=""),AND(DC17&gt;=DG$34,DC17&lt;&gt;"",CX17=""),AND(DF17&gt;=DG$34,DF17&lt;&gt;"",CX17=""),AND(EC17&gt;=EG$34,EC17&lt;&gt;""),AND(EF17&gt;=EG$34,EF17&lt;&gt;""),AND(EY17&gt;=FC$34,EY17&lt;&gt;""),AND(FB17&gt;=FC$34,FB17&lt;&gt;""),AND(FU17&gt;=FY$34,FU17&lt;&gt;""),AND(FX17&gt;=FY$34,FX17&lt;&gt;""),AND(GQ17&gt;=GU$34,GQ17&lt;&gt;""),AND(GT17&gt;=GU$34,GT17&lt;&gt;""),AND(HM17&gt;=HQ$34,HM17&lt;&gt;""),AND(HP17&gt;=HQ$34,HP17&lt;&gt;""),AND(II17&gt;=IM$34,II17&lt;&gt;""),AND(IL17&gt;=IM$34,IL17&lt;&gt;""),AND(JE17&gt;=JI$34,JE17&lt;&gt;""),AND(JH17&gt;=JI$34,JH17&lt;&gt;""),AND(KA17&gt;=KE$34,KA17&lt;&gt;""),AND(KD17&gt;=KE$34,KD17&lt;&gt;""),AND(KW17&gt;=LA$34,KW17&lt;&gt;""),AND(KZ17&gt;=LA$34,KZ17&lt;&gt;""),AND(LS17&gt;=LW$34,LS17&lt;&gt;""),AND(LV17&gt;=LW$34,LV17&lt;&gt;""),AND(MO17&gt;=MS$34,MO17&lt;&gt;""),AND(MR17&gt;=MS$34,MR17&lt;&gt;""),AND(NK17&gt;=NO$34,NK17&lt;&gt;""),AND(NN17&gt;=NO$34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$35,AV17&lt;&gt;"",AP17=""),AND(BZ17&gt;=CC$35,BZ17&lt;&gt;"",BT17=""),AND(DD17&gt;=DG$35,DD17&lt;&gt;"",CX17=""),AND(ED17&gt;=EG$35,ED17&lt;&gt;""),AND(EZ17&gt;=FC$35,EZ17&lt;&gt;""),AND(FV17&gt;=FY$35,FV17&lt;&gt;""),AND(GR17&gt;=GU$35,GR17&lt;&gt;""),AND(HN17&gt;=HQ$35,HN17&lt;&gt;""),AND(IJ17&gt;=IM$35,IJ17&lt;&gt;""),AND(JF17&gt;=JI$35,JF17&lt;&gt;""),AND(KB17&gt;=KE$35,KB17&lt;&gt;""),AND(KX17&gt;=LA$35,KX17&lt;&gt;""),AND(LT17&gt;=LW$35,LT17&lt;&gt;""),AND(MP17&gt;=MS$35,MP17&lt;&gt;""),AND(NL17&gt;=NO$35,NL17&lt;&gt;"")),OR(G17="Worlds Team",G17="Excellence",G17="Merit")),"P","")</f>
        <v/>
      </c>
      <c r="K17" s="14">
        <f>IF(MAX(AV17,BZ17,DD17)&gt;0,MAX(AV17,BZ17,DD17),0)</f>
        <v>89.034999999999997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41.315000000000005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MAX(AS17,AU17,AX17,BW17,BY17,CB17,DA17,DC17,DF17)</f>
        <v>46.41</v>
      </c>
      <c r="P17" s="14" t="str">
        <f>IF(O17=0,"",IF(OR(O17=DC17,O17=DA17,O17=DF17),$CD$1,IF(OR(O17=BY17,O17=BW17,O17=CB17),$AZ$1,IF(OR(O17=AU17,O17=AS17,O17=AX17),$V$1,""))))</f>
        <v>2021 Elite Canada</v>
      </c>
      <c r="Q17" s="14">
        <f>IF(COUNT(AS17,AU17,AX17,BW17,BY17,CB17,DA17,DC17,DF17)&gt;1,LARGE((AS17,AU17,AX17,BW17,BY17,CB17,DA17,DC17,DF17),2),0)</f>
        <v>44.01</v>
      </c>
      <c r="R17" s="14" t="str">
        <f>IF(Q17=0,"",IF(OR(Q17=DC17,Q17=DA17,Q17=DF17),$CD$1,IF(OR(Q17=BY17,Q17=BW17,Q17=CB17),$AZ$1,IF(OR(Q17=AU17,Q17=AS17,Q17=AX17),$V$1,""))))</f>
        <v>2021 Canadian Championships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16.100000000000001</v>
      </c>
      <c r="BA17" s="67">
        <v>9.6</v>
      </c>
      <c r="BB17" s="67">
        <v>2.2000000000000002</v>
      </c>
      <c r="BC17" s="67">
        <v>14.725</v>
      </c>
      <c r="BD17" s="67">
        <v>0</v>
      </c>
      <c r="BE17" s="67">
        <v>13.8</v>
      </c>
      <c r="BF17" s="67">
        <v>9.5</v>
      </c>
      <c r="BG17" s="67">
        <v>9.6999999999999993</v>
      </c>
      <c r="BH17" s="67">
        <v>13.41</v>
      </c>
      <c r="BI17" s="67">
        <v>0</v>
      </c>
      <c r="BJ17" s="67"/>
      <c r="BK17" s="67"/>
      <c r="BL17" s="67"/>
      <c r="BM17" s="67"/>
      <c r="BN17" s="67"/>
      <c r="BO17" s="67">
        <v>5.2</v>
      </c>
      <c r="BP17" s="67">
        <v>3.4</v>
      </c>
      <c r="BQ17" s="67">
        <v>4.3</v>
      </c>
      <c r="BR17" s="67">
        <v>5.49</v>
      </c>
      <c r="BS17" s="67">
        <v>0</v>
      </c>
      <c r="BT17" s="73"/>
      <c r="BU17" s="14">
        <f>IF(SUM(AZ17:BC17)-BD17&gt;0,SUM(AZ17:BC17)-BD17,"")</f>
        <v>42.625</v>
      </c>
      <c r="BV17" s="14">
        <f>IF(BG17&gt;0,BG17,"")</f>
        <v>9.6999999999999993</v>
      </c>
      <c r="BW17" s="14">
        <f>IF(SUM(BE17:BH17)-BI17&gt;0,SUM(BE17:BH17)-BI17,"")</f>
        <v>46.41</v>
      </c>
      <c r="BX17" s="14" t="str">
        <f>IF(BL17&gt;0,BL17,"")</f>
        <v/>
      </c>
      <c r="BY17" s="14" t="str">
        <f>IF(SUM(BJ17:BM17)-BN17&gt;0,SUM(BJ17:BM17)-BN17,"")</f>
        <v/>
      </c>
      <c r="BZ17" s="14">
        <f>IF(BU17="",IF(MAX(BW17,BY17)&gt;0,MAX(BW17,BY17),""),MAX(BW17,BY17)+BU17)</f>
        <v>89.034999999999997</v>
      </c>
      <c r="CA17" s="14">
        <f>IF(BQ17&gt;0,BQ17,"")</f>
        <v>4.3</v>
      </c>
      <c r="CB17" s="14">
        <f>IF(SUM(BO17:BR17)-BS17&gt;0,SUM(BO17:BR17)-BS17,"")</f>
        <v>18.39</v>
      </c>
      <c r="CC17" s="14">
        <f>IF(SUM(BZ17,CB17)&gt;0,SUM(BZ17,CB17),"")</f>
        <v>107.425</v>
      </c>
      <c r="CD17" s="61">
        <v>15.8</v>
      </c>
      <c r="CE17" s="61">
        <v>9.4</v>
      </c>
      <c r="CF17" s="61">
        <v>2</v>
      </c>
      <c r="CG17" s="61">
        <v>14.115</v>
      </c>
      <c r="CH17" s="61">
        <v>0</v>
      </c>
      <c r="CI17" s="61">
        <v>13.9</v>
      </c>
      <c r="CJ17" s="61">
        <v>8.8000000000000007</v>
      </c>
      <c r="CK17" s="61">
        <v>8.1999999999999993</v>
      </c>
      <c r="CL17" s="61">
        <v>13.39</v>
      </c>
      <c r="CM17" s="61">
        <v>0.6</v>
      </c>
      <c r="CN17" s="61"/>
      <c r="CO17" s="61"/>
      <c r="CP17" s="61"/>
      <c r="CQ17" s="61"/>
      <c r="CR17" s="61"/>
      <c r="CS17" s="61">
        <v>14.1</v>
      </c>
      <c r="CT17" s="61">
        <v>8.8000000000000007</v>
      </c>
      <c r="CU17" s="61">
        <v>9.4</v>
      </c>
      <c r="CV17" s="61">
        <v>11.71</v>
      </c>
      <c r="CW17" s="61">
        <v>0</v>
      </c>
      <c r="CX17" s="72"/>
      <c r="CY17" s="11">
        <f>IF(SUM(CD17:CG17)-CH17&gt;0,SUM(CD17:CG17)-CH17,"")</f>
        <v>41.315000000000005</v>
      </c>
      <c r="CZ17" s="11">
        <f>IF(CK17&gt;0,CK17,"")</f>
        <v>8.1999999999999993</v>
      </c>
      <c r="DA17" s="11">
        <f>IF(SUM(CI17:CL17)-CM17&gt;0,SUM(CI17:CL17)-CM17,"")</f>
        <v>43.690000000000005</v>
      </c>
      <c r="DB17" s="11" t="str">
        <f>IF(CP17&gt;0,CP17,"")</f>
        <v/>
      </c>
      <c r="DC17" s="11" t="str">
        <f>IF(SUM(CN17:CQ17)-CR17&gt;0,SUM(CN17:CQ17)-CR17,"")</f>
        <v/>
      </c>
      <c r="DD17" s="11">
        <f>IF(CY17="",IF(MAX(DA17,DC17)&gt;0,MAX(DA17,DC17),""),MAX(DA17,DC17)+CY17)</f>
        <v>85.00500000000001</v>
      </c>
      <c r="DE17" s="11">
        <f>IF(CU17&gt;0,CU17,"")</f>
        <v>9.4</v>
      </c>
      <c r="DF17" s="11">
        <f>IF(SUM(CS17:CV17)-CW17&gt;0,SUM(CS17:CV17)-CW17,"")</f>
        <v>44.01</v>
      </c>
      <c r="DG17" s="11">
        <f>IF(SUM(DD17,DF17)&gt;0,SUM(DD17,DF17),"")</f>
        <v>129.01500000000001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15.950000000000001</v>
      </c>
      <c r="NQ17" s="61">
        <f>IF($CX17="P",CE17,(CE17+BA17)/2)</f>
        <v>9.5</v>
      </c>
      <c r="NR17" s="61">
        <f>IF($CX17="P",CF17,(CF17+BB17)/2)</f>
        <v>2.1</v>
      </c>
      <c r="NS17" s="61">
        <f>IF($CX17="P",CG17,(CG17+BC17)/2)</f>
        <v>14.42</v>
      </c>
      <c r="NT17" s="61">
        <f>IF($CX17="P",CH17,(CH17+BD17)/2)</f>
        <v>0</v>
      </c>
      <c r="NU17" s="61">
        <f>IF($CX17="P",CI17,(CI17+BE17)/2)</f>
        <v>13.850000000000001</v>
      </c>
      <c r="NV17" s="61">
        <f>IF($CX17="P",CJ17,(CJ17+BF17)/2)</f>
        <v>9.15</v>
      </c>
      <c r="NW17" s="61">
        <f>IF($CX17="P",CK17,(CK17+BG17)/2)</f>
        <v>8.9499999999999993</v>
      </c>
      <c r="NX17" s="61">
        <f>IF($CX17="P",CL17,(CL17+BH17)/2)</f>
        <v>13.4</v>
      </c>
      <c r="NY17" s="61">
        <f>IF($CX17="P",CM17,(CM17+BI17)/2)</f>
        <v>0.3</v>
      </c>
      <c r="NZ17" s="61">
        <f>IF($CX17="P",CN17,(CN17+BJ17)/2)</f>
        <v>0</v>
      </c>
      <c r="OA17" s="61">
        <f>IF($CX17="P",CO17,(CO17+BK17)/2)</f>
        <v>0</v>
      </c>
      <c r="OB17" s="61">
        <f>IF($CX17="P",CP17,(CP17+BL17)/2)</f>
        <v>0</v>
      </c>
      <c r="OC17" s="61">
        <f>IF($CX17="P",CQ17,(CQ17+BM17)/2)</f>
        <v>0</v>
      </c>
      <c r="OD17" s="61">
        <f>IF($CX17="P",CR17,(CR17+BN17)/2)</f>
        <v>0</v>
      </c>
      <c r="OE17" s="61">
        <f>IF($CX17="P",CS17,(CS17+BO17)/2)</f>
        <v>9.65</v>
      </c>
      <c r="OF17" s="61">
        <f>IF($CX17="P",CT17,(CT17+BP17)/2)</f>
        <v>6.1000000000000005</v>
      </c>
      <c r="OG17" s="61">
        <f>IF($CX17="P",CU17,(CU17+BQ17)/2)</f>
        <v>6.85</v>
      </c>
      <c r="OH17" s="61">
        <f>IF($CX17="P",CV17,(CV17+BR17)/2)</f>
        <v>8.6000000000000014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41.970000000000006</v>
      </c>
      <c r="OL17" s="11">
        <f>IF(NW17&gt;0,NW17,"")</f>
        <v>8.9499999999999993</v>
      </c>
      <c r="OM17" s="11">
        <f>IF(SUM(NU17:NX17)-NY17&gt;0,SUM(NU17:NX17)-NY17,"")</f>
        <v>45.050000000000004</v>
      </c>
      <c r="ON17" s="11" t="str">
        <f>IF(OB17&gt;0,OB17,"")</f>
        <v/>
      </c>
      <c r="OO17" s="11" t="str">
        <f>IF(SUM(NZ17:OC17)-OD17&gt;0,SUM(NZ17:OC17)-OD17,"")</f>
        <v/>
      </c>
      <c r="OP17" s="11">
        <f>IF(OR(OK17&lt;&gt;"",OM17&lt;&gt;"",OO17&lt;&gt;""),OK17+MAX(OM17,OO17),"")</f>
        <v>87.02000000000001</v>
      </c>
      <c r="OQ17" s="11">
        <f>IF(OG17&gt;0,OG17,"")</f>
        <v>6.85</v>
      </c>
      <c r="OR17" s="11">
        <f t="shared" ref="OR17" si="16">IF(SUM(OE17:OH17)-OI17&gt;0,SUM(OE17:OH17)-OI17,"")</f>
        <v>31.200000000000003</v>
      </c>
      <c r="OS17" s="11">
        <f t="shared" ref="OS17" si="17">IF(SUM(OP17,OR17)&gt;0,SUM(OP17,OR17),"")</f>
        <v>118.22000000000001</v>
      </c>
    </row>
    <row r="18" spans="1:409" x14ac:dyDescent="0.2">
      <c r="A18" s="5" t="str" cm="1">
        <f t="array" ref="A18">IF(AND(G18&lt;&gt;"",H18&lt;&gt;""),SUMPRODUCT((G$4:G$28&lt;&gt;"")*(H$4:H$28&lt;&gt;"")*(E$4:E$28&gt;E18))+1,IF(H18&lt;&gt;"",SUMPRODUCT((I$4:I$28="No DD")*(E$4:E$28&gt;E18))+1+SUMPRODUCT((G$4:G$28&lt;&gt;"")*(H$4:H$28&lt;&gt;"")),""))</f>
        <v/>
      </c>
      <c r="B18" s="8" t="s">
        <v>93</v>
      </c>
      <c r="C18" s="4" t="s">
        <v>4</v>
      </c>
      <c r="D18" s="26">
        <v>2004</v>
      </c>
      <c r="E18" s="15">
        <f>SUM(O18:S18)</f>
        <v>89.495000000000005</v>
      </c>
      <c r="F18" s="3" t="str">
        <f>IF(G18&lt;&gt;"","P","")</f>
        <v/>
      </c>
      <c r="G18" s="115" t="str">
        <f>IF(OR(AND(AR18&gt;=AY$33,AR18&lt;&gt;"",AP18=""),AND(AT18&gt;=AY$33,AT18&lt;&gt;"",AP18=""),AND(AW18&gt;=AY$33,AW18&lt;&gt;"",AP18=""),AND(BV18&gt;=CC$33,BV18&lt;&gt;"",BT18=""),AND(BX18&gt;=CC$33,BX18&lt;&gt;"",BT18=""),AND(CA18&gt;=CC$33,CA18&lt;&gt;"",BT18=""),AND(CZ18&gt;=DG$33,CZ18&lt;&gt;"",CX18=""),AND(DB18&gt;=DG$33,DB18&lt;&gt;"",CX18=""),AND(DE18&gt;=DG$33,DE18&lt;&gt;"",CX18=""),AND(EA18&gt;=EG$33,EA18&lt;&gt;""),AND(EE18&gt;=EG$33,EE18&lt;&gt;""),AND(EW18&gt;=FC$33,EW18&lt;&gt;""),AND(FA18&gt;=FC$33,FA18&lt;&gt;""),AND(FS18&gt;=FY$33,FS18&lt;&gt;""),AND(FW18&gt;=FY$33,FW18&lt;&gt;""),AND(GO18&gt;=GU$33,GO18&lt;&gt;""),AND(GS18&gt;=GU$33,GS18&lt;&gt;""),AND(HK18&gt;=HQ$33,HK18&lt;&gt;""),AND(HO18&gt;=HQ$33,HO18&lt;&gt;""),AND(IG18&gt;=IM$33,IG18&lt;&gt;""),AND(IK18&gt;=IM$33,IK18&lt;&gt;""),AND(JC18&gt;=JI$33,JC18&lt;&gt;""),AND(JG18&gt;=JI$33,JG18&lt;&gt;""),AND(JY18&gt;=KE$33,JY18&lt;&gt;""),AND(KC18&gt;=KE$33,KC18&lt;&gt;""),AND(KU18&gt;=LA$33,KU18&lt;&gt;""),AND(KY18&gt;=LA$33,KY18&lt;&gt;""),AND(LQ18&gt;=LW$33,LQ18&lt;&gt;""),AND(LU18&gt;=LW$33,LU18&lt;&gt;""),AND(MM18&gt;=MS$33,MM18&lt;&gt;""),AND(MQ18&gt;=MS$33,MQ18&lt;&gt;""),AND(NI18&gt;=NO$33,NI18&lt;&gt;""),AND(NM18&gt;=NO$33,NM18&lt;&gt;"")),"Merit",IF(OR(AND(AR18&gt;=AY$32,AR18&lt;&gt;"",AP18=""),AND(AT18&gt;=AY$32,AT18&lt;&gt;"",AP18=""),AND(AW18&gt;=AY$32,AW18&lt;&gt;"",AP18=""),AND(BV18&gt;=CC$32,BV18&lt;&gt;"",BT18=""),AND(BX18&gt;=CC$32,BX18&lt;&gt;"",BT18=""),AND(CA18&gt;=CC$32,CA18&lt;&gt;"",BT18=""),AND(CZ18&gt;=DG$32,CZ18&lt;&gt;"",CX18=""),AND(DB18&gt;=DG$32,DB18&lt;&gt;"",CX18=""),AND(DE18&gt;=DG$32,DE18&lt;&gt;"",CX18=""),AND(EA18&gt;=EG$32,EA18&lt;&gt;""),AND(EE18&gt;=EG$32,EE18&lt;&gt;""),AND(EW18&gt;=FC$32,EW18&lt;&gt;""),AND(FA18&gt;=FC$32,FA18&lt;&gt;""),AND(FS18&gt;=FY$32,FS18&lt;&gt;""),AND(FW18&gt;=FY$32,FW18&lt;&gt;""),AND(GO18&gt;=GU$32,GO18&lt;&gt;""),AND(GS18&gt;=GU$32,GS18&lt;&gt;""),AND(HK18&gt;=HQ$32,HK18&lt;&gt;""),AND(HO18&gt;=HQ$32,HO18&lt;&gt;""),AND(IG18&gt;=IM$32,IG18&lt;&gt;""),AND(IK18&gt;=IM$32,IK18&lt;&gt;""),AND(JC18&gt;=JI$32,JC18&lt;&gt;""),AND(JG18&gt;=JI$32,JG18&lt;&gt;""),AND(JY18&gt;=KE$32,JY18&lt;&gt;""),AND(KC18&gt;=KE$32,KC18&lt;&gt;""),AND(KU18&gt;=LA$32,KU18&lt;&gt;""),AND(KY18&gt;=LA$32,KY18&lt;&gt;""),AND(LQ18&gt;=LW$32,LQ18&lt;&gt;""),AND(LU18&gt;=LW$32,LU18&lt;&gt;""),AND(MM18&gt;=MS$32,MM18&lt;&gt;""),AND(MQ18&gt;=MS$32,MQ18&lt;&gt;""),AND(NI18&gt;=NO$32,NI18&lt;&gt;""),AND(NM18&gt;=NO$32,NM18&lt;&gt;"")),"Excellence",IF(OR(AND(AR18&gt;=AY$31,AR18&lt;&gt;"",AP18=""),AND(AT18&gt;=AY$31,AT18&lt;&gt;"",AP18=""),AND(AW18&gt;=AY$31,AW18&lt;&gt;"",AP18=""),AND(BV18&gt;=CC$31,BV18&lt;&gt;"",BT18=""),AND(BX18&gt;=CC$31,BX18&lt;&gt;"",BT18=""),AND(CA18&gt;=CC$31,CA18&lt;&gt;"",BT18=""),AND(CZ18&gt;=DG$31,CZ18&lt;&gt;"",CX18=""),AND(DB18&gt;=DG$31,DB18&lt;&gt;"",CX18=""),AND(DE18&gt;=DG$31,DE18&lt;&gt;"",CX18=""),AND(EA18&gt;=EG$31,EA18&lt;&gt;""),AND(EE18&gt;=EG$31,EE18&lt;&gt;""),AND(EW18&gt;=FC$31,EW18&lt;&gt;""),AND(FA18&gt;=FC$31,FA18&lt;&gt;""),AND(FS18&gt;=FY$31,FS18&lt;&gt;""),AND(FW18&gt;=FY$31,FW18&lt;&gt;""),AND(GO18&gt;=GU$31,GO18&lt;&gt;""),AND(GS18&gt;=GU$31,GS18&lt;&gt;""),AND(HK18&gt;=HQ$31,HK18&lt;&gt;""),AND(HO18&gt;=HQ$31,HO18&lt;&gt;""),AND(IG18&gt;=IM$31,IG18&lt;&gt;""),AND(IK18&gt;=IM$31,IK18&lt;&gt;""),AND(JC18&gt;=JI$31,JC18&lt;&gt;""),AND(JG18&gt;=JI$31,JG18&lt;&gt;""),AND(JY18&gt;=KE$31,JY18&lt;&gt;""),AND(KC18&gt;=KE$31,KC18&lt;&gt;""),AND(KU18&gt;=LA$31,KU18&lt;&gt;""),AND(KY18&gt;=LA$31,KY18&lt;&gt;""),AND(LQ18&gt;=LW$31,LQ18&lt;&gt;""),AND(LU18&gt;=LW$31,LU18&lt;&gt;""),AND(MM18&gt;=MS$31,MM18&lt;&gt;""),AND(MQ18&gt;=MS$31,MQ18&lt;&gt;""),AND(NI18&gt;=NO$31,NI18&lt;&gt;""),AND(NM18&gt;=NO$31,NM18&lt;&gt;"")),"Worlds Team",IF(OR(AND(AR18&gt;=AY$30,AR18&lt;&gt;"",AP18=""),AND(AT18&gt;=AY$30,AT18&lt;&gt;"",AP18=""),AND(AW18&gt;=AY$30,AW18&lt;&gt;"",AP18=""),AND(BV18&gt;=CC$30,BV18&lt;&gt;"",BT18=""),AND(BX18&gt;=CC$30,BX18&lt;&gt;"",BT18=""),AND(CA18&gt;=CC$30,CA18&lt;&gt;"",BT18=""),AND(CZ18&gt;=DG$30,CZ18&lt;&gt;"",CX18=""),AND(DB18&gt;=DG$30,DB18&lt;&gt;"",CX18=""),AND(DE18&gt;=DG$30,DE18&lt;&gt;"",CX18=""),AND(EA18&gt;=EG$30,EA18&lt;&gt;""),AND(EE18&gt;=EG$30,EE18&lt;&gt;""),AND(EW18&gt;=FC$30,EW18&lt;&gt;""),AND(FA18&gt;=FC$30,FA18&lt;&gt;""),AND(FS18&gt;=FY$30,FS18&lt;&gt;""),AND(FW18&gt;=FY$30,FW18&lt;&gt;""),AND(GO18&gt;=GU$30,GO18&lt;&gt;""),AND(GS18&gt;=GU$30,GS18&lt;&gt;""),AND(HK18&gt;=HQ$30,HK18&lt;&gt;""),AND(HO18&gt;=HQ$30,HO18&lt;&gt;""),AND(IG18&gt;=IM$30,IG18&lt;&gt;""),AND(IK18&gt;=IM$30,IK18&lt;&gt;""),AND(JC18&gt;=JI$30,JC18&lt;&gt;""),AND(JG18&gt;=JI$30,JG18&lt;&gt;""),AND(JY18&gt;=KE$30,JY18&lt;&gt;""),AND(KC18&gt;=KE$30,KC18&lt;&gt;""),AND(KU18&gt;=LA$30,KU18&lt;&gt;""),AND(KY18&gt;=LA$30,KY18&lt;&gt;""),AND(LQ18&gt;=LW$30,LQ18&lt;&gt;""),AND(LU18&gt;=LW$30,LU18&lt;&gt;""),AND(MM18&gt;=MS$30,MM18&lt;&gt;""),AND(MQ18&gt;=MS$30,MQ18&lt;&gt;""),AND(NI18&gt;=NO$30,NI18&lt;&gt;""),AND(NM18&gt;=NO$30,NM18&lt;&gt;"")),"National Team",""))))</f>
        <v/>
      </c>
      <c r="H18" s="115" t="str">
        <f>IF(OR(AND(AS18&gt;=AY$34,AS18&lt;&gt;"",AP18=""),AND(AU18&gt;=AY$34,AU18&lt;&gt;"",AP18=""),AND(AX18&gt;=AY$34,AX18&lt;&gt;"",AP18=""),AND(BW18&gt;=CC$34,BW18&lt;&gt;"",BT18=""),AND(BY18&gt;=CC$34,BY18&lt;&gt;"",BT18=""),AND(CB18&gt;=CC$34,CB18&lt;&gt;"",BT18=""),AND(DA18&gt;=DG$34,DA18&lt;&gt;"",CX18=""),AND(DC18&gt;=DG$34,DC18&lt;&gt;"",CX18=""),AND(DF18&gt;=DG$34,DF18&lt;&gt;"",CX18=""),AND(EC18&gt;=EG$34,EC18&lt;&gt;""),AND(EF18&gt;=EG$34,EF18&lt;&gt;""),AND(EY18&gt;=FC$34,EY18&lt;&gt;""),AND(FB18&gt;=FC$34,FB18&lt;&gt;""),AND(FU18&gt;=FY$34,FU18&lt;&gt;""),AND(FX18&gt;=FY$34,FX18&lt;&gt;""),AND(GQ18&gt;=GU$34,GQ18&lt;&gt;""),AND(GT18&gt;=GU$34,GT18&lt;&gt;""),AND(HM18&gt;=HQ$34,HM18&lt;&gt;""),AND(HP18&gt;=HQ$34,HP18&lt;&gt;""),AND(II18&gt;=IM$34,II18&lt;&gt;""),AND(IL18&gt;=IM$34,IL18&lt;&gt;""),AND(JE18&gt;=JI$34,JE18&lt;&gt;""),AND(JH18&gt;=JI$34,JH18&lt;&gt;""),AND(KA18&gt;=KE$34,KA18&lt;&gt;""),AND(KD18&gt;=KE$34,KD18&lt;&gt;""),AND(KW18&gt;=LA$34,KW18&lt;&gt;""),AND(KZ18&gt;=LA$34,KZ18&lt;&gt;""),AND(LS18&gt;=LW$34,LS18&lt;&gt;""),AND(LV18&gt;=LW$34,LV18&lt;&gt;""),AND(MO18&gt;=MS$34,MO18&lt;&gt;""),AND(MR18&gt;=MS$34,MR18&lt;&gt;""),AND(NK18&gt;=NO$34,NK18&lt;&gt;""),AND(NN18&gt;=NO$34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$35,AV18&lt;&gt;"",AP18=""),AND(BZ18&gt;=CC$35,BZ18&lt;&gt;"",BT18=""),AND(DD18&gt;=DG$35,DD18&lt;&gt;"",CX18=""),AND(ED18&gt;=EG$35,ED18&lt;&gt;""),AND(EZ18&gt;=FC$35,EZ18&lt;&gt;""),AND(FV18&gt;=FY$35,FV18&lt;&gt;""),AND(GR18&gt;=GU$35,GR18&lt;&gt;""),AND(HN18&gt;=HQ$35,HN18&lt;&gt;""),AND(IJ18&gt;=IM$35,IJ18&lt;&gt;""),AND(JF18&gt;=JI$35,JF18&lt;&gt;""),AND(KB18&gt;=KE$35,KB18&lt;&gt;""),AND(KX18&gt;=LA$35,KX18&lt;&gt;""),AND(LT18&gt;=LW$35,LT18&lt;&gt;""),AND(MP18&gt;=MS$35,MP18&lt;&gt;""),AND(NL18&gt;=NO$35,NL18&lt;&gt;"")),OR(G18="Worlds Team",G18="Excellence",G18="Merit")),"P","")</f>
        <v/>
      </c>
      <c r="K18" s="14">
        <f>IF(MAX(AV18,BZ18,DD18)&gt;0,MAX(AV18,BZ18,DD18),0)</f>
        <v>87.53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40.69</v>
      </c>
      <c r="N18" s="14" t="str">
        <f>IF(M18=0,"",IF(AND(M18=CY18,$L18&lt;&gt;$CD$1),$CD$1,IF(AND(M18=BU18,$L18&lt;&gt;$AZ$1),$AZ$1,IF(AND(M18=AQ18,$L18&lt;&gt;$V$1),$V$1,""))))</f>
        <v>2021 Elite Canada</v>
      </c>
      <c r="O18" s="14">
        <f>MAX(AS18,AU18,AX18,BW18,BY18,CB18,DA18,DC18,DF18)</f>
        <v>45.54</v>
      </c>
      <c r="P18" s="14" t="str">
        <f>IF(O18=0,"",IF(OR(O18=DC18,O18=DA18,O18=DF18),$CD$1,IF(OR(O18=BY18,O18=BW18,O18=CB18),$AZ$1,IF(OR(O18=AU18,O18=AS18,O18=AX18),$V$1,""))))</f>
        <v>2021 Canadian Championships</v>
      </c>
      <c r="Q18" s="14">
        <f>IF(COUNT(AS18,AU18,AX18,BW18,BY18,CB18,DA18,DC18,DF18)&gt;1,LARGE((AS18,AU18,AX18,BW18,BY18,CB18,DA18,DC18,DF18),2),0)</f>
        <v>43.954999999999998</v>
      </c>
      <c r="R18" s="14" t="str">
        <f>IF(Q18=0,"",IF(OR(Q18=DC18,Q18=DA18,Q18=DF18),$CD$1,IF(OR(Q18=BY18,Q18=BW18,Q18=CB18),$AZ$1,IF(OR(Q18=AU18,Q18=AS18,Q18=AX18),$V$1,""))))</f>
        <v>2021 Canadian Championships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>
        <v>14.3</v>
      </c>
      <c r="W18" s="61">
        <v>9.3000000000000007</v>
      </c>
      <c r="X18" s="61">
        <v>2.2000000000000002</v>
      </c>
      <c r="Y18" s="61">
        <v>13.51</v>
      </c>
      <c r="Z18" s="61">
        <v>0</v>
      </c>
      <c r="AA18" s="61">
        <v>12.2</v>
      </c>
      <c r="AB18" s="61">
        <v>8.6</v>
      </c>
      <c r="AC18" s="61">
        <v>7.8</v>
      </c>
      <c r="AD18" s="61">
        <v>11.705</v>
      </c>
      <c r="AE18" s="61">
        <v>0</v>
      </c>
      <c r="AF18" s="61"/>
      <c r="AG18" s="61"/>
      <c r="AH18" s="61"/>
      <c r="AI18" s="61"/>
      <c r="AJ18" s="61"/>
      <c r="AK18" s="61">
        <v>12.4</v>
      </c>
      <c r="AL18" s="61">
        <v>9.1999999999999993</v>
      </c>
      <c r="AM18" s="61">
        <v>9</v>
      </c>
      <c r="AN18" s="61">
        <v>13.005000000000001</v>
      </c>
      <c r="AO18" s="61">
        <v>0</v>
      </c>
      <c r="AP18" s="72"/>
      <c r="AQ18" s="11">
        <f>IF(SUM(V18:Y18)-Z18&gt;0,SUM(V18:Y18)-Z18,"")</f>
        <v>39.31</v>
      </c>
      <c r="AR18" s="11">
        <f>IF(AC18&gt;0,AC18,"")</f>
        <v>7.8</v>
      </c>
      <c r="AS18" s="11">
        <f>IF(SUM(AA18:AD18)-AE18&gt;0,SUM(AA18:AD18)-AE18,"")</f>
        <v>40.305</v>
      </c>
      <c r="AT18" s="11" t="str">
        <f>IF(AH18&gt;0,AH18,"")</f>
        <v/>
      </c>
      <c r="AU18" s="11" t="str">
        <f>IF(SUM(AF18:AI18)-AJ18&gt;0,SUM(AF18:AI18)-AJ18,"")</f>
        <v/>
      </c>
      <c r="AV18" s="11">
        <f>IF(AQ18="",IF(MAX(AS18,AU18)&gt;0,MAX(AS18,AU18),""),MAX(AS18,AU18)+AQ18)</f>
        <v>79.615000000000009</v>
      </c>
      <c r="AW18" s="11">
        <f>IF(AM18&gt;0,AM18,"")</f>
        <v>9</v>
      </c>
      <c r="AX18" s="11">
        <f>IF(SUM(AK18:AN18)-AO18&gt;0,SUM(AK18:AN18)-AO18,"")</f>
        <v>43.605000000000004</v>
      </c>
      <c r="AY18" s="11">
        <f>IF(SUM(AV18,AX18)&gt;0,SUM(AV18,AX18),"")</f>
        <v>123.22000000000001</v>
      </c>
      <c r="AZ18" s="67">
        <v>15.9</v>
      </c>
      <c r="BA18" s="67">
        <v>9.5</v>
      </c>
      <c r="BB18" s="67">
        <v>1.5</v>
      </c>
      <c r="BC18" s="67">
        <v>13.79</v>
      </c>
      <c r="BD18" s="67">
        <v>0</v>
      </c>
      <c r="BE18" s="67">
        <v>7.1</v>
      </c>
      <c r="BF18" s="67">
        <v>4.4000000000000004</v>
      </c>
      <c r="BG18" s="67">
        <v>5.7</v>
      </c>
      <c r="BH18" s="67">
        <v>6.585</v>
      </c>
      <c r="BI18" s="67">
        <v>0</v>
      </c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>
        <f>IF(SUM(AZ18:BC18)-BD18&gt;0,SUM(AZ18:BC18)-BD18,"")</f>
        <v>40.69</v>
      </c>
      <c r="BV18" s="14">
        <f>IF(BG18&gt;0,BG18,"")</f>
        <v>5.7</v>
      </c>
      <c r="BW18" s="14">
        <f>IF(SUM(BE18:BH18)-BI18&gt;0,SUM(BE18:BH18)-BI18,"")</f>
        <v>23.785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64.474999999999994</v>
      </c>
      <c r="CA18" s="14" t="str">
        <f>IF(BQ18&gt;0,BQ18,"")</f>
        <v/>
      </c>
      <c r="CB18" s="14" t="str">
        <f>IF(SUM(BO18:BR18)-BS18&gt;0,SUM(BO18:BR18)-BS18,"")</f>
        <v/>
      </c>
      <c r="CC18" s="14">
        <f>IF(SUM(BZ18,CB18)&gt;0,SUM(BZ18,CB18),"")</f>
        <v>64.474999999999994</v>
      </c>
      <c r="CD18" s="61">
        <v>16.7</v>
      </c>
      <c r="CE18" s="61">
        <v>9.8000000000000007</v>
      </c>
      <c r="CF18" s="61">
        <v>1.5</v>
      </c>
      <c r="CG18" s="61">
        <v>13.99</v>
      </c>
      <c r="CH18" s="61">
        <v>0</v>
      </c>
      <c r="CI18" s="61">
        <v>14.1</v>
      </c>
      <c r="CJ18" s="61">
        <v>9.1999999999999993</v>
      </c>
      <c r="CK18" s="61">
        <v>9.1</v>
      </c>
      <c r="CL18" s="61">
        <v>13.14</v>
      </c>
      <c r="CM18" s="61">
        <v>0</v>
      </c>
      <c r="CN18" s="61"/>
      <c r="CO18" s="61"/>
      <c r="CP18" s="61"/>
      <c r="CQ18" s="61"/>
      <c r="CR18" s="61"/>
      <c r="CS18" s="61">
        <v>13.5</v>
      </c>
      <c r="CT18" s="61">
        <v>8.9</v>
      </c>
      <c r="CU18" s="61">
        <v>8.5</v>
      </c>
      <c r="CV18" s="61">
        <v>13.355</v>
      </c>
      <c r="CW18" s="61">
        <v>0.3</v>
      </c>
      <c r="CX18" s="72"/>
      <c r="CY18" s="11">
        <f>IF(SUM(CD18:CG18)-CH18&gt;0,SUM(CD18:CG18)-CH18,"")</f>
        <v>41.99</v>
      </c>
      <c r="CZ18" s="11">
        <f>IF(CK18&gt;0,CK18,"")</f>
        <v>9.1</v>
      </c>
      <c r="DA18" s="11">
        <f>IF(SUM(CI18:CL18)-CM18&gt;0,SUM(CI18:CL18)-CM18,"")</f>
        <v>45.54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87.53</v>
      </c>
      <c r="DE18" s="11">
        <f>IF(CU18&gt;0,CU18,"")</f>
        <v>8.5</v>
      </c>
      <c r="DF18" s="11">
        <f>IF(SUM(CS18:CV18)-CW18&gt;0,SUM(CS18:CV18)-CW18,"")</f>
        <v>43.954999999999998</v>
      </c>
      <c r="DG18" s="11">
        <f>IF(SUM(DD18,DF18)&gt;0,SUM(DD18,DF18),"")</f>
        <v>131.48500000000001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16.3</v>
      </c>
      <c r="NQ18" s="61">
        <f>IF($CX18="P",CE18,(CE18+BA18)/2)</f>
        <v>9.65</v>
      </c>
      <c r="NR18" s="61">
        <f>IF($CX18="P",CF18,(CF18+BB18)/2)</f>
        <v>1.5</v>
      </c>
      <c r="NS18" s="61">
        <f>IF($CX18="P",CG18,(CG18+BC18)/2)</f>
        <v>13.89</v>
      </c>
      <c r="NT18" s="61">
        <f>IF($CX18="P",CH18,(CH18+BD18)/2)</f>
        <v>0</v>
      </c>
      <c r="NU18" s="61">
        <f>IF($CX18="P",CI18,(CI18+BE18)/2)</f>
        <v>10.6</v>
      </c>
      <c r="NV18" s="61">
        <f>IF($CX18="P",CJ18,(CJ18+BF18)/2)</f>
        <v>6.8</v>
      </c>
      <c r="NW18" s="61">
        <f>IF($CX18="P",CK18,(CK18+BG18)/2)</f>
        <v>7.4</v>
      </c>
      <c r="NX18" s="61">
        <f>IF($CX18="P",CL18,(CL18+BH18)/2)</f>
        <v>9.8625000000000007</v>
      </c>
      <c r="NY18" s="61">
        <f>IF($CX18="P",CM18,(CM18+BI18)/2)</f>
        <v>0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6.75</v>
      </c>
      <c r="OF18" s="61">
        <f>IF($CX18="P",CT18,(CT18+BP18)/2)</f>
        <v>4.45</v>
      </c>
      <c r="OG18" s="61">
        <f>IF($CX18="P",CU18,(CU18+BQ18)/2)</f>
        <v>4.25</v>
      </c>
      <c r="OH18" s="61">
        <f>IF($CX18="P",CV18,(CV18+BR18)/2)</f>
        <v>6.6775000000000002</v>
      </c>
      <c r="OI18" s="61">
        <f>IF($CX18="P",CW18,(CW18+BS18)/2)</f>
        <v>0.15</v>
      </c>
      <c r="OJ18" s="72" t="s">
        <v>52</v>
      </c>
      <c r="OK18" s="11">
        <f>IF(SUM(NP18:NS18)-NT18&gt;0,SUM(NP18:NS18)-NT18,"")</f>
        <v>41.34</v>
      </c>
      <c r="OL18" s="11">
        <f>IF(NW18&gt;0,NW18,"")</f>
        <v>7.4</v>
      </c>
      <c r="OM18" s="11">
        <f>IF(SUM(NU18:NX18)-NY18&gt;0,SUM(NU18:NX18)-NY18,"")</f>
        <v>34.662499999999994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76.002499999999998</v>
      </c>
      <c r="OQ18" s="11">
        <f>IF(OG18&gt;0,OG18,"")</f>
        <v>4.25</v>
      </c>
      <c r="OR18" s="11">
        <f t="shared" ref="OR18" si="18">IF(SUM(OE18:OH18)-OI18&gt;0,SUM(OE18:OH18)-OI18,"")</f>
        <v>21.977499999999999</v>
      </c>
      <c r="OS18" s="11">
        <f t="shared" ref="OS18" si="19">IF(SUM(OP18,OR18)&gt;0,SUM(OP18,OR18),"")</f>
        <v>97.97999999999999</v>
      </c>
    </row>
    <row r="19" spans="1:409" x14ac:dyDescent="0.2">
      <c r="A19" s="5" t="str" cm="1">
        <f t="array" ref="A19">IF(AND(G19&lt;&gt;"",H19&lt;&gt;""),SUMPRODUCT((G$4:G$28&lt;&gt;"")*(H$4:H$28&lt;&gt;"")*(E$4:E$28&gt;E19))+1,IF(H19&lt;&gt;"",SUMPRODUCT((I$4:I$28="No DD")*(E$4:E$28&gt;E19))+1+SUMPRODUCT((G$4:G$28&lt;&gt;"")*(H$4:H$28&lt;&gt;"")),""))</f>
        <v/>
      </c>
      <c r="B19" s="6" t="s">
        <v>144</v>
      </c>
      <c r="C19" s="7" t="s">
        <v>6</v>
      </c>
      <c r="D19" s="26">
        <v>2003</v>
      </c>
      <c r="E19" s="15">
        <f>SUM(O19:S19)</f>
        <v>89.10499999999999</v>
      </c>
      <c r="F19" s="3" t="str">
        <f>IF(G19&lt;&gt;"","P","")</f>
        <v/>
      </c>
      <c r="G19" s="115" t="str">
        <f>IF(OR(AND(AR19&gt;=AY$33,AR19&lt;&gt;"",AP19=""),AND(AT19&gt;=AY$33,AT19&lt;&gt;"",AP19=""),AND(AW19&gt;=AY$33,AW19&lt;&gt;"",AP19=""),AND(BV19&gt;=CC$33,BV19&lt;&gt;"",BT19=""),AND(BX19&gt;=CC$33,BX19&lt;&gt;"",BT19=""),AND(CA19&gt;=CC$33,CA19&lt;&gt;"",BT19=""),AND(CZ19&gt;=DG$33,CZ19&lt;&gt;"",CX19=""),AND(DB19&gt;=DG$33,DB19&lt;&gt;"",CX19=""),AND(DE19&gt;=DG$33,DE19&lt;&gt;"",CX19=""),AND(EA19&gt;=EG$33,EA19&lt;&gt;""),AND(EE19&gt;=EG$33,EE19&lt;&gt;""),AND(EW19&gt;=FC$33,EW19&lt;&gt;""),AND(FA19&gt;=FC$33,FA19&lt;&gt;""),AND(FS19&gt;=FY$33,FS19&lt;&gt;""),AND(FW19&gt;=FY$33,FW19&lt;&gt;""),AND(GO19&gt;=GU$33,GO19&lt;&gt;""),AND(GS19&gt;=GU$33,GS19&lt;&gt;""),AND(HK19&gt;=HQ$33,HK19&lt;&gt;""),AND(HO19&gt;=HQ$33,HO19&lt;&gt;""),AND(IG19&gt;=IM$33,IG19&lt;&gt;""),AND(IK19&gt;=IM$33,IK19&lt;&gt;""),AND(JC19&gt;=JI$33,JC19&lt;&gt;""),AND(JG19&gt;=JI$33,JG19&lt;&gt;""),AND(JY19&gt;=KE$33,JY19&lt;&gt;""),AND(KC19&gt;=KE$33,KC19&lt;&gt;""),AND(KU19&gt;=LA$33,KU19&lt;&gt;""),AND(KY19&gt;=LA$33,KY19&lt;&gt;""),AND(LQ19&gt;=LW$33,LQ19&lt;&gt;""),AND(LU19&gt;=LW$33,LU19&lt;&gt;""),AND(MM19&gt;=MS$33,MM19&lt;&gt;""),AND(MQ19&gt;=MS$33,MQ19&lt;&gt;""),AND(NI19&gt;=NO$33,NI19&lt;&gt;""),AND(NM19&gt;=NO$33,NM19&lt;&gt;"")),"Merit",IF(OR(AND(AR19&gt;=AY$32,AR19&lt;&gt;"",AP19=""),AND(AT19&gt;=AY$32,AT19&lt;&gt;"",AP19=""),AND(AW19&gt;=AY$32,AW19&lt;&gt;"",AP19=""),AND(BV19&gt;=CC$32,BV19&lt;&gt;"",BT19=""),AND(BX19&gt;=CC$32,BX19&lt;&gt;"",BT19=""),AND(CA19&gt;=CC$32,CA19&lt;&gt;"",BT19=""),AND(CZ19&gt;=DG$32,CZ19&lt;&gt;"",CX19=""),AND(DB19&gt;=DG$32,DB19&lt;&gt;"",CX19=""),AND(DE19&gt;=DG$32,DE19&lt;&gt;"",CX19=""),AND(EA19&gt;=EG$32,EA19&lt;&gt;""),AND(EE19&gt;=EG$32,EE19&lt;&gt;""),AND(EW19&gt;=FC$32,EW19&lt;&gt;""),AND(FA19&gt;=FC$32,FA19&lt;&gt;""),AND(FS19&gt;=FY$32,FS19&lt;&gt;""),AND(FW19&gt;=FY$32,FW19&lt;&gt;""),AND(GO19&gt;=GU$32,GO19&lt;&gt;""),AND(GS19&gt;=GU$32,GS19&lt;&gt;""),AND(HK19&gt;=HQ$32,HK19&lt;&gt;""),AND(HO19&gt;=HQ$32,HO19&lt;&gt;""),AND(IG19&gt;=IM$32,IG19&lt;&gt;""),AND(IK19&gt;=IM$32,IK19&lt;&gt;""),AND(JC19&gt;=JI$32,JC19&lt;&gt;""),AND(JG19&gt;=JI$32,JG19&lt;&gt;""),AND(JY19&gt;=KE$32,JY19&lt;&gt;""),AND(KC19&gt;=KE$32,KC19&lt;&gt;""),AND(KU19&gt;=LA$32,KU19&lt;&gt;""),AND(KY19&gt;=LA$32,KY19&lt;&gt;""),AND(LQ19&gt;=LW$32,LQ19&lt;&gt;""),AND(LU19&gt;=LW$32,LU19&lt;&gt;""),AND(MM19&gt;=MS$32,MM19&lt;&gt;""),AND(MQ19&gt;=MS$32,MQ19&lt;&gt;""),AND(NI19&gt;=NO$32,NI19&lt;&gt;""),AND(NM19&gt;=NO$32,NM19&lt;&gt;"")),"Excellence",IF(OR(AND(AR19&gt;=AY$31,AR19&lt;&gt;"",AP19=""),AND(AT19&gt;=AY$31,AT19&lt;&gt;"",AP19=""),AND(AW19&gt;=AY$31,AW19&lt;&gt;"",AP19=""),AND(BV19&gt;=CC$31,BV19&lt;&gt;"",BT19=""),AND(BX19&gt;=CC$31,BX19&lt;&gt;"",BT19=""),AND(CA19&gt;=CC$31,CA19&lt;&gt;"",BT19=""),AND(CZ19&gt;=DG$31,CZ19&lt;&gt;"",CX19=""),AND(DB19&gt;=DG$31,DB19&lt;&gt;"",CX19=""),AND(DE19&gt;=DG$31,DE19&lt;&gt;"",CX19=""),AND(EA19&gt;=EG$31,EA19&lt;&gt;""),AND(EE19&gt;=EG$31,EE19&lt;&gt;""),AND(EW19&gt;=FC$31,EW19&lt;&gt;""),AND(FA19&gt;=FC$31,FA19&lt;&gt;""),AND(FS19&gt;=FY$31,FS19&lt;&gt;""),AND(FW19&gt;=FY$31,FW19&lt;&gt;""),AND(GO19&gt;=GU$31,GO19&lt;&gt;""),AND(GS19&gt;=GU$31,GS19&lt;&gt;""),AND(HK19&gt;=HQ$31,HK19&lt;&gt;""),AND(HO19&gt;=HQ$31,HO19&lt;&gt;""),AND(IG19&gt;=IM$31,IG19&lt;&gt;""),AND(IK19&gt;=IM$31,IK19&lt;&gt;""),AND(JC19&gt;=JI$31,JC19&lt;&gt;""),AND(JG19&gt;=JI$31,JG19&lt;&gt;""),AND(JY19&gt;=KE$31,JY19&lt;&gt;""),AND(KC19&gt;=KE$31,KC19&lt;&gt;""),AND(KU19&gt;=LA$31,KU19&lt;&gt;""),AND(KY19&gt;=LA$31,KY19&lt;&gt;""),AND(LQ19&gt;=LW$31,LQ19&lt;&gt;""),AND(LU19&gt;=LW$31,LU19&lt;&gt;""),AND(MM19&gt;=MS$31,MM19&lt;&gt;""),AND(MQ19&gt;=MS$31,MQ19&lt;&gt;""),AND(NI19&gt;=NO$31,NI19&lt;&gt;""),AND(NM19&gt;=NO$31,NM19&lt;&gt;"")),"Worlds Team",IF(OR(AND(AR19&gt;=AY$30,AR19&lt;&gt;"",AP19=""),AND(AT19&gt;=AY$30,AT19&lt;&gt;"",AP19=""),AND(AW19&gt;=AY$30,AW19&lt;&gt;"",AP19=""),AND(BV19&gt;=CC$30,BV19&lt;&gt;"",BT19=""),AND(BX19&gt;=CC$30,BX19&lt;&gt;"",BT19=""),AND(CA19&gt;=CC$30,CA19&lt;&gt;"",BT19=""),AND(CZ19&gt;=DG$30,CZ19&lt;&gt;"",CX19=""),AND(DB19&gt;=DG$30,DB19&lt;&gt;"",CX19=""),AND(DE19&gt;=DG$30,DE19&lt;&gt;"",CX19=""),AND(EA19&gt;=EG$30,EA19&lt;&gt;""),AND(EE19&gt;=EG$30,EE19&lt;&gt;""),AND(EW19&gt;=FC$30,EW19&lt;&gt;""),AND(FA19&gt;=FC$30,FA19&lt;&gt;""),AND(FS19&gt;=FY$30,FS19&lt;&gt;""),AND(FW19&gt;=FY$30,FW19&lt;&gt;""),AND(GO19&gt;=GU$30,GO19&lt;&gt;""),AND(GS19&gt;=GU$30,GS19&lt;&gt;""),AND(HK19&gt;=HQ$30,HK19&lt;&gt;""),AND(HO19&gt;=HQ$30,HO19&lt;&gt;""),AND(IG19&gt;=IM$30,IG19&lt;&gt;""),AND(IK19&gt;=IM$30,IK19&lt;&gt;""),AND(JC19&gt;=JI$30,JC19&lt;&gt;""),AND(JG19&gt;=JI$30,JG19&lt;&gt;""),AND(JY19&gt;=KE$30,JY19&lt;&gt;""),AND(KC19&gt;=KE$30,KC19&lt;&gt;""),AND(KU19&gt;=LA$30,KU19&lt;&gt;""),AND(KY19&gt;=LA$30,KY19&lt;&gt;""),AND(LQ19&gt;=LW$30,LQ19&lt;&gt;""),AND(LU19&gt;=LW$30,LU19&lt;&gt;""),AND(MM19&gt;=MS$30,MM19&lt;&gt;""),AND(MQ19&gt;=MS$30,MQ19&lt;&gt;""),AND(NI19&gt;=NO$30,NI19&lt;&gt;""),AND(NM19&gt;=NO$30,NM19&lt;&gt;"")),"National Team",""))))</f>
        <v/>
      </c>
      <c r="H19" s="115" t="str">
        <f>IF(OR(AND(AS19&gt;=AY$34,AS19&lt;&gt;"",AP19=""),AND(AU19&gt;=AY$34,AU19&lt;&gt;"",AP19=""),AND(AX19&gt;=AY$34,AX19&lt;&gt;"",AP19=""),AND(BW19&gt;=CC$34,BW19&lt;&gt;"",BT19=""),AND(BY19&gt;=CC$34,BY19&lt;&gt;"",BT19=""),AND(CB19&gt;=CC$34,CB19&lt;&gt;"",BT19=""),AND(DA19&gt;=DG$34,DA19&lt;&gt;"",CX19=""),AND(DC19&gt;=DG$34,DC19&lt;&gt;"",CX19=""),AND(DF19&gt;=DG$34,DF19&lt;&gt;"",CX19=""),AND(EC19&gt;=EG$34,EC19&lt;&gt;""),AND(EF19&gt;=EG$34,EF19&lt;&gt;""),AND(EY19&gt;=FC$34,EY19&lt;&gt;""),AND(FB19&gt;=FC$34,FB19&lt;&gt;""),AND(FU19&gt;=FY$34,FU19&lt;&gt;""),AND(FX19&gt;=FY$34,FX19&lt;&gt;""),AND(GQ19&gt;=GU$34,GQ19&lt;&gt;""),AND(GT19&gt;=GU$34,GT19&lt;&gt;""),AND(HM19&gt;=HQ$34,HM19&lt;&gt;""),AND(HP19&gt;=HQ$34,HP19&lt;&gt;""),AND(II19&gt;=IM$34,II19&lt;&gt;""),AND(IL19&gt;=IM$34,IL19&lt;&gt;""),AND(JE19&gt;=JI$34,JE19&lt;&gt;""),AND(JH19&gt;=JI$34,JH19&lt;&gt;""),AND(KA19&gt;=KE$34,KA19&lt;&gt;""),AND(KD19&gt;=KE$34,KD19&lt;&gt;""),AND(KW19&gt;=LA$34,KW19&lt;&gt;""),AND(KZ19&gt;=LA$34,KZ19&lt;&gt;""),AND(LS19&gt;=LW$34,LS19&lt;&gt;""),AND(LV19&gt;=LW$34,LV19&lt;&gt;""),AND(MO19&gt;=MS$34,MO19&lt;&gt;""),AND(MR19&gt;=MS$34,MR19&lt;&gt;""),AND(NK19&gt;=NO$34,NK19&lt;&gt;""),AND(NN19&gt;=NO$34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$35,AV19&lt;&gt;"",AP19=""),AND(BZ19&gt;=CC$35,BZ19&lt;&gt;"",BT19=""),AND(DD19&gt;=DG$35,DD19&lt;&gt;"",CX19=""),AND(ED19&gt;=EG$35,ED19&lt;&gt;""),AND(EZ19&gt;=FC$35,EZ19&lt;&gt;""),AND(FV19&gt;=FY$35,FV19&lt;&gt;""),AND(GR19&gt;=GU$35,GR19&lt;&gt;""),AND(HN19&gt;=HQ$35,HN19&lt;&gt;""),AND(IJ19&gt;=IM$35,IJ19&lt;&gt;""),AND(JF19&gt;=JI$35,JF19&lt;&gt;""),AND(KB19&gt;=KE$35,KB19&lt;&gt;""),AND(KX19&gt;=LA$35,KX19&lt;&gt;""),AND(LT19&gt;=LW$35,LT19&lt;&gt;""),AND(MP19&gt;=MS$35,MP19&lt;&gt;""),AND(NL19&gt;=NO$35,NL19&lt;&gt;"")),OR(G19="Worlds Team",G19="Excellence",G19="Merit")),"P","")</f>
        <v/>
      </c>
      <c r="K19" s="14">
        <f>IF(MAX(AV19,BZ19,DD19)&gt;0,MAX(AV19,BZ19,DD19),0)</f>
        <v>83.745000000000005</v>
      </c>
      <c r="L19" s="14" t="str">
        <f>IF(K19=0,"",IF(K19=DD19,$CD$1,IF(K19=BZ19,$AZ$1,IF(K19=AV19,$V$1,""))))</f>
        <v>2021 Canadian Championships</v>
      </c>
      <c r="M19" s="14">
        <f>IF($K19=$AV19,MAX(BU19,CY19),IF($K19=$BZ19,MAX(AQ19,CY19),IF($K19=$DD19,MAX(AQ19,BU19),MAX(AQ19,BU19,CY19))))</f>
        <v>20.415000000000003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MAX(AS19,AU19,AX19,BW19,BY19,CB19,DA19,DC19,DF19)</f>
        <v>46.384999999999991</v>
      </c>
      <c r="P19" s="14" t="str">
        <f>IF(O19=0,"",IF(OR(O19=DC19,O19=DA19,O19=DF19),$CD$1,IF(OR(O19=BY19,O19=BW19,O19=CB19),$AZ$1,IF(OR(O19=AU19,O19=AS19,O19=AX19),$V$1,""))))</f>
        <v>2021 Canadian Championships</v>
      </c>
      <c r="Q19" s="14">
        <f>IF(COUNT(AS19,AU19,AX19,BW19,BY19,CB19,DA19,DC19,DF19)&gt;1,LARGE((AS19,AU19,AX19,BW19,BY19,CB19,DA19,DC19,DF19),2),0)</f>
        <v>42.72</v>
      </c>
      <c r="R19" s="14" t="str">
        <f>IF(Q19=0,"",IF(OR(Q19=DC19,Q19=DA19,Q19=DF19),$CD$1,IF(OR(Q19=BY19,Q19=BW19,Q19=CB19),$AZ$1,IF(OR(Q19=AU19,Q19=AS19,Q19=AX19),$V$1,""))))</f>
        <v>2021 Canadian Championships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>IF(SUM(V19:Y19)-Z19&gt;0,SUM(V19:Y19)-Z19,"")</f>
        <v/>
      </c>
      <c r="AR19" s="11" t="str">
        <f>IF(AC19&gt;0,AC19,"")</f>
        <v/>
      </c>
      <c r="AS19" s="11" t="str">
        <f>IF(SUM(AA19:AD19)-AE19&gt;0,SUM(AA19:AD19)-AE19,"")</f>
        <v/>
      </c>
      <c r="AT19" s="11" t="str">
        <f>IF(AH19&gt;0,AH19,"")</f>
        <v/>
      </c>
      <c r="AU19" s="11" t="str">
        <f>IF(SUM(AF19:AI19)-AJ19&gt;0,SUM(AF19:AI19)-AJ19,"")</f>
        <v/>
      </c>
      <c r="AV19" s="11" t="str">
        <f>IF(AQ19="",IF(MAX(AS19,AU19)&gt;0,MAX(AS19,AU19),""),MAX(AS19,AU19)+AQ19)</f>
        <v/>
      </c>
      <c r="AW19" s="11" t="str">
        <f>IF(AM19&gt;0,AM19,"")</f>
        <v/>
      </c>
      <c r="AX19" s="11" t="str">
        <f>IF(SUM(AK19:AN19)-AO19&gt;0,SUM(AK19:AN19)-AO19,"")</f>
        <v/>
      </c>
      <c r="AY19" s="11" t="str">
        <f>IF(SUM(AV19,AX19)&gt;0,SUM(AV19,AX19),"")</f>
        <v/>
      </c>
      <c r="AZ19" s="67">
        <v>7.2</v>
      </c>
      <c r="BA19" s="67">
        <v>4.5999999999999996</v>
      </c>
      <c r="BB19" s="67">
        <v>1.3</v>
      </c>
      <c r="BC19" s="67">
        <v>7.3150000000000004</v>
      </c>
      <c r="BD19" s="67">
        <v>0</v>
      </c>
      <c r="BE19" s="67">
        <v>2.8</v>
      </c>
      <c r="BF19" s="67">
        <v>1.8</v>
      </c>
      <c r="BG19" s="67">
        <v>2.2999999999999998</v>
      </c>
      <c r="BH19" s="67">
        <v>2.98</v>
      </c>
      <c r="BI19" s="67">
        <v>0</v>
      </c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>
        <f>IF(SUM(AZ19:BC19)-BD19&gt;0,SUM(AZ19:BC19)-BD19,"")</f>
        <v>20.415000000000003</v>
      </c>
      <c r="BV19" s="14">
        <f>IF(BG19&gt;0,BG19,"")</f>
        <v>2.2999999999999998</v>
      </c>
      <c r="BW19" s="14">
        <f>IF(SUM(BE19:BH19)-BI19&gt;0,SUM(BE19:BH19)-BI19,"")</f>
        <v>9.879999999999999</v>
      </c>
      <c r="BX19" s="14" t="str">
        <f>IF(BL19&gt;0,BL19,"")</f>
        <v/>
      </c>
      <c r="BY19" s="14" t="str">
        <f>IF(SUM(BJ19:BM19)-BN19&gt;0,SUM(BJ19:BM19)-BN19,"")</f>
        <v/>
      </c>
      <c r="BZ19" s="14">
        <f>IF(BU19="",IF(MAX(BW19,BY19)&gt;0,MAX(BW19,BY19),""),MAX(BW19,BY19)+BU19)</f>
        <v>30.295000000000002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30.295000000000002</v>
      </c>
      <c r="CD19" s="61">
        <v>15</v>
      </c>
      <c r="CE19" s="61">
        <v>9.4</v>
      </c>
      <c r="CF19" s="61">
        <v>2.1</v>
      </c>
      <c r="CG19" s="61">
        <v>14.525</v>
      </c>
      <c r="CH19" s="61">
        <v>0</v>
      </c>
      <c r="CI19" s="61">
        <v>11.9</v>
      </c>
      <c r="CJ19" s="61">
        <v>8.9</v>
      </c>
      <c r="CK19" s="61">
        <v>8.8000000000000007</v>
      </c>
      <c r="CL19" s="61">
        <v>13.12</v>
      </c>
      <c r="CM19" s="61">
        <v>0</v>
      </c>
      <c r="CN19" s="61"/>
      <c r="CO19" s="61"/>
      <c r="CP19" s="61"/>
      <c r="CQ19" s="61"/>
      <c r="CR19" s="61"/>
      <c r="CS19" s="61">
        <v>14.6</v>
      </c>
      <c r="CT19" s="61">
        <v>9.1999999999999993</v>
      </c>
      <c r="CU19" s="61">
        <v>8.8000000000000007</v>
      </c>
      <c r="CV19" s="61">
        <v>13.785</v>
      </c>
      <c r="CW19" s="61">
        <v>0</v>
      </c>
      <c r="CX19" s="72"/>
      <c r="CY19" s="11">
        <f>IF(SUM(CD19:CG19)-CH19&gt;0,SUM(CD19:CG19)-CH19,"")</f>
        <v>41.024999999999999</v>
      </c>
      <c r="CZ19" s="11">
        <f>IF(CK19&gt;0,CK19,"")</f>
        <v>8.8000000000000007</v>
      </c>
      <c r="DA19" s="11">
        <f>IF(SUM(CI19:CL19)-CM19&gt;0,SUM(CI19:CL19)-CM19,"")</f>
        <v>42.72</v>
      </c>
      <c r="DB19" s="11" t="str">
        <f>IF(CP19&gt;0,CP19,"")</f>
        <v/>
      </c>
      <c r="DC19" s="11" t="str">
        <f>IF(SUM(CN19:CQ19)-CR19&gt;0,SUM(CN19:CQ19)-CR19,"")</f>
        <v/>
      </c>
      <c r="DD19" s="11">
        <f>IF(CY19="",IF(MAX(DA19,DC19)&gt;0,MAX(DA19,DC19),""),MAX(DA19,DC19)+CY19)</f>
        <v>83.745000000000005</v>
      </c>
      <c r="DE19" s="11">
        <f>IF(CU19&gt;0,CU19,"")</f>
        <v>8.8000000000000007</v>
      </c>
      <c r="DF19" s="11">
        <f>IF(SUM(CS19:CV19)-CW19&gt;0,SUM(CS19:CV19)-CW19,"")</f>
        <v>46.384999999999991</v>
      </c>
      <c r="DG19" s="11">
        <f>IF(SUM(DD19,DF19)&gt;0,SUM(DD19,DF19),"")</f>
        <v>130.13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11.1</v>
      </c>
      <c r="NQ19" s="61">
        <f>IF($CX19="P",CE19,(CE19+BA19)/2)</f>
        <v>7</v>
      </c>
      <c r="NR19" s="61">
        <f>IF($CX19="P",CF19,(CF19+BB19)/2)</f>
        <v>1.7000000000000002</v>
      </c>
      <c r="NS19" s="61">
        <f>IF($CX19="P",CG19,(CG19+BC19)/2)</f>
        <v>10.92</v>
      </c>
      <c r="NT19" s="61">
        <f>IF($CX19="P",CH19,(CH19+BD19)/2)</f>
        <v>0</v>
      </c>
      <c r="NU19" s="61">
        <f>IF($CX19="P",CI19,(CI19+BE19)/2)</f>
        <v>7.35</v>
      </c>
      <c r="NV19" s="61">
        <f>IF($CX19="P",CJ19,(CJ19+BF19)/2)</f>
        <v>5.3500000000000005</v>
      </c>
      <c r="NW19" s="61">
        <f>IF($CX19="P",CK19,(CK19+BG19)/2)</f>
        <v>5.5500000000000007</v>
      </c>
      <c r="NX19" s="61">
        <f>IF($CX19="P",CL19,(CL19+BH19)/2)</f>
        <v>8.0499999999999989</v>
      </c>
      <c r="NY19" s="61">
        <f>IF($CX19="P",CM19,(CM19+BI19)/2)</f>
        <v>0</v>
      </c>
      <c r="NZ19" s="61">
        <f>IF($CX19="P",CN19,(CN19+BJ19)/2)</f>
        <v>0</v>
      </c>
      <c r="OA19" s="61">
        <f>IF($CX19="P",CO19,(CO19+BK19)/2)</f>
        <v>0</v>
      </c>
      <c r="OB19" s="61">
        <f>IF($CX19="P",CP19,(CP19+BL19)/2)</f>
        <v>0</v>
      </c>
      <c r="OC19" s="61">
        <f>IF($CX19="P",CQ19,(CQ19+BM19)/2)</f>
        <v>0</v>
      </c>
      <c r="OD19" s="61">
        <f>IF($CX19="P",CR19,(CR19+BN19)/2)</f>
        <v>0</v>
      </c>
      <c r="OE19" s="61">
        <f>IF($CX19="P",CS19,(CS19+BO19)/2)</f>
        <v>7.3</v>
      </c>
      <c r="OF19" s="61">
        <f>IF($CX19="P",CT19,(CT19+BP19)/2)</f>
        <v>4.5999999999999996</v>
      </c>
      <c r="OG19" s="61">
        <f>IF($CX19="P",CU19,(CU19+BQ19)/2)</f>
        <v>4.4000000000000004</v>
      </c>
      <c r="OH19" s="61">
        <f>IF($CX19="P",CV19,(CV19+BR19)/2)</f>
        <v>6.8925000000000001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30.72</v>
      </c>
      <c r="OL19" s="11">
        <f>IF(NW19&gt;0,NW19,"")</f>
        <v>5.5500000000000007</v>
      </c>
      <c r="OM19" s="11">
        <f>IF(SUM(NU19:NX19)-NY19&gt;0,SUM(NU19:NX19)-NY19,"")</f>
        <v>26.299999999999997</v>
      </c>
      <c r="ON19" s="11" t="str">
        <f>IF(OB19&gt;0,OB19,"")</f>
        <v/>
      </c>
      <c r="OO19" s="11" t="str">
        <f>IF(SUM(NZ19:OC19)-OD19&gt;0,SUM(NZ19:OC19)-OD19,"")</f>
        <v/>
      </c>
      <c r="OP19" s="11">
        <f>IF(OR(OK19&lt;&gt;"",OM19&lt;&gt;"",OO19&lt;&gt;""),OK19+MAX(OM19,OO19),"")</f>
        <v>57.019999999999996</v>
      </c>
      <c r="OQ19" s="11">
        <f>IF(OG19&gt;0,OG19,"")</f>
        <v>4.4000000000000004</v>
      </c>
      <c r="OR19" s="11">
        <f t="shared" ref="OR19" si="20">IF(SUM(OE19:OH19)-OI19&gt;0,SUM(OE19:OH19)-OI19,"")</f>
        <v>23.192499999999995</v>
      </c>
      <c r="OS19" s="11">
        <f t="shared" ref="OS19" si="21">IF(SUM(OP19,OR19)&gt;0,SUM(OP19,OR19),"")</f>
        <v>80.212499999999991</v>
      </c>
    </row>
    <row r="20" spans="1:409" x14ac:dyDescent="0.2">
      <c r="A20" s="5" t="str" cm="1">
        <f t="array" ref="A20">IF(AND(G20&lt;&gt;"",H20&lt;&gt;""),SUMPRODUCT((G$4:G$28&lt;&gt;"")*(H$4:H$28&lt;&gt;"")*(E$4:E$28&gt;E20))+1,IF(H20&lt;&gt;"",SUMPRODUCT((I$4:I$28="No DD")*(E$4:E$28&gt;E20))+1+SUMPRODUCT((G$4:G$28&lt;&gt;"")*(H$4:H$28&lt;&gt;"")),""))</f>
        <v/>
      </c>
      <c r="B20" s="8" t="s">
        <v>127</v>
      </c>
      <c r="C20" s="4" t="s">
        <v>4</v>
      </c>
      <c r="D20" s="26">
        <v>2004</v>
      </c>
      <c r="E20" s="15">
        <f>SUM(O20:S20)</f>
        <v>88.03</v>
      </c>
      <c r="F20" s="3" t="str">
        <f>IF(G20&lt;&gt;"","P","")</f>
        <v/>
      </c>
      <c r="G20" s="115" t="str">
        <f>IF(OR(AND(AR20&gt;=AY$33,AR20&lt;&gt;"",AP20=""),AND(AT20&gt;=AY$33,AT20&lt;&gt;"",AP20=""),AND(AW20&gt;=AY$33,AW20&lt;&gt;"",AP20=""),AND(BV20&gt;=CC$33,BV20&lt;&gt;"",BT20=""),AND(BX20&gt;=CC$33,BX20&lt;&gt;"",BT20=""),AND(CA20&gt;=CC$33,CA20&lt;&gt;"",BT20=""),AND(CZ20&gt;=DG$33,CZ20&lt;&gt;"",CX20=""),AND(DB20&gt;=DG$33,DB20&lt;&gt;"",CX20=""),AND(DE20&gt;=DG$33,DE20&lt;&gt;"",CX20=""),AND(EA20&gt;=EG$33,EA20&lt;&gt;""),AND(EE20&gt;=EG$33,EE20&lt;&gt;""),AND(EW20&gt;=FC$33,EW20&lt;&gt;""),AND(FA20&gt;=FC$33,FA20&lt;&gt;""),AND(FS20&gt;=FY$33,FS20&lt;&gt;""),AND(FW20&gt;=FY$33,FW20&lt;&gt;""),AND(GO20&gt;=GU$33,GO20&lt;&gt;""),AND(GS20&gt;=GU$33,GS20&lt;&gt;""),AND(HK20&gt;=HQ$33,HK20&lt;&gt;""),AND(HO20&gt;=HQ$33,HO20&lt;&gt;""),AND(IG20&gt;=IM$33,IG20&lt;&gt;""),AND(IK20&gt;=IM$33,IK20&lt;&gt;""),AND(JC20&gt;=JI$33,JC20&lt;&gt;""),AND(JG20&gt;=JI$33,JG20&lt;&gt;""),AND(JY20&gt;=KE$33,JY20&lt;&gt;""),AND(KC20&gt;=KE$33,KC20&lt;&gt;""),AND(KU20&gt;=LA$33,KU20&lt;&gt;""),AND(KY20&gt;=LA$33,KY20&lt;&gt;""),AND(LQ20&gt;=LW$33,LQ20&lt;&gt;""),AND(LU20&gt;=LW$33,LU20&lt;&gt;""),AND(MM20&gt;=MS$33,MM20&lt;&gt;""),AND(MQ20&gt;=MS$33,MQ20&lt;&gt;""),AND(NI20&gt;=NO$33,NI20&lt;&gt;""),AND(NM20&gt;=NO$33,NM20&lt;&gt;"")),"Merit",IF(OR(AND(AR20&gt;=AY$32,AR20&lt;&gt;"",AP20=""),AND(AT20&gt;=AY$32,AT20&lt;&gt;"",AP20=""),AND(AW20&gt;=AY$32,AW20&lt;&gt;"",AP20=""),AND(BV20&gt;=CC$32,BV20&lt;&gt;"",BT20=""),AND(BX20&gt;=CC$32,BX20&lt;&gt;"",BT20=""),AND(CA20&gt;=CC$32,CA20&lt;&gt;"",BT20=""),AND(CZ20&gt;=DG$32,CZ20&lt;&gt;"",CX20=""),AND(DB20&gt;=DG$32,DB20&lt;&gt;"",CX20=""),AND(DE20&gt;=DG$32,DE20&lt;&gt;"",CX20=""),AND(EA20&gt;=EG$32,EA20&lt;&gt;""),AND(EE20&gt;=EG$32,EE20&lt;&gt;""),AND(EW20&gt;=FC$32,EW20&lt;&gt;""),AND(FA20&gt;=FC$32,FA20&lt;&gt;""),AND(FS20&gt;=FY$32,FS20&lt;&gt;""),AND(FW20&gt;=FY$32,FW20&lt;&gt;""),AND(GO20&gt;=GU$32,GO20&lt;&gt;""),AND(GS20&gt;=GU$32,GS20&lt;&gt;""),AND(HK20&gt;=HQ$32,HK20&lt;&gt;""),AND(HO20&gt;=HQ$32,HO20&lt;&gt;""),AND(IG20&gt;=IM$32,IG20&lt;&gt;""),AND(IK20&gt;=IM$32,IK20&lt;&gt;""),AND(JC20&gt;=JI$32,JC20&lt;&gt;""),AND(JG20&gt;=JI$32,JG20&lt;&gt;""),AND(JY20&gt;=KE$32,JY20&lt;&gt;""),AND(KC20&gt;=KE$32,KC20&lt;&gt;""),AND(KU20&gt;=LA$32,KU20&lt;&gt;""),AND(KY20&gt;=LA$32,KY20&lt;&gt;""),AND(LQ20&gt;=LW$32,LQ20&lt;&gt;""),AND(LU20&gt;=LW$32,LU20&lt;&gt;""),AND(MM20&gt;=MS$32,MM20&lt;&gt;""),AND(MQ20&gt;=MS$32,MQ20&lt;&gt;""),AND(NI20&gt;=NO$32,NI20&lt;&gt;""),AND(NM20&gt;=NO$32,NM20&lt;&gt;"")),"Excellence",IF(OR(AND(AR20&gt;=AY$31,AR20&lt;&gt;"",AP20=""),AND(AT20&gt;=AY$31,AT20&lt;&gt;"",AP20=""),AND(AW20&gt;=AY$31,AW20&lt;&gt;"",AP20=""),AND(BV20&gt;=CC$31,BV20&lt;&gt;"",BT20=""),AND(BX20&gt;=CC$31,BX20&lt;&gt;"",BT20=""),AND(CA20&gt;=CC$31,CA20&lt;&gt;"",BT20=""),AND(CZ20&gt;=DG$31,CZ20&lt;&gt;"",CX20=""),AND(DB20&gt;=DG$31,DB20&lt;&gt;"",CX20=""),AND(DE20&gt;=DG$31,DE20&lt;&gt;"",CX20=""),AND(EA20&gt;=EG$31,EA20&lt;&gt;""),AND(EE20&gt;=EG$31,EE20&lt;&gt;""),AND(EW20&gt;=FC$31,EW20&lt;&gt;""),AND(FA20&gt;=FC$31,FA20&lt;&gt;""),AND(FS20&gt;=FY$31,FS20&lt;&gt;""),AND(FW20&gt;=FY$31,FW20&lt;&gt;""),AND(GO20&gt;=GU$31,GO20&lt;&gt;""),AND(GS20&gt;=GU$31,GS20&lt;&gt;""),AND(HK20&gt;=HQ$31,HK20&lt;&gt;""),AND(HO20&gt;=HQ$31,HO20&lt;&gt;""),AND(IG20&gt;=IM$31,IG20&lt;&gt;""),AND(IK20&gt;=IM$31,IK20&lt;&gt;""),AND(JC20&gt;=JI$31,JC20&lt;&gt;""),AND(JG20&gt;=JI$31,JG20&lt;&gt;""),AND(JY20&gt;=KE$31,JY20&lt;&gt;""),AND(KC20&gt;=KE$31,KC20&lt;&gt;""),AND(KU20&gt;=LA$31,KU20&lt;&gt;""),AND(KY20&gt;=LA$31,KY20&lt;&gt;""),AND(LQ20&gt;=LW$31,LQ20&lt;&gt;""),AND(LU20&gt;=LW$31,LU20&lt;&gt;""),AND(MM20&gt;=MS$31,MM20&lt;&gt;""),AND(MQ20&gt;=MS$31,MQ20&lt;&gt;""),AND(NI20&gt;=NO$31,NI20&lt;&gt;""),AND(NM20&gt;=NO$31,NM20&lt;&gt;"")),"Worlds Team",IF(OR(AND(AR20&gt;=AY$30,AR20&lt;&gt;"",AP20=""),AND(AT20&gt;=AY$30,AT20&lt;&gt;"",AP20=""),AND(AW20&gt;=AY$30,AW20&lt;&gt;"",AP20=""),AND(BV20&gt;=CC$30,BV20&lt;&gt;"",BT20=""),AND(BX20&gt;=CC$30,BX20&lt;&gt;"",BT20=""),AND(CA20&gt;=CC$30,CA20&lt;&gt;"",BT20=""),AND(CZ20&gt;=DG$30,CZ20&lt;&gt;"",CX20=""),AND(DB20&gt;=DG$30,DB20&lt;&gt;"",CX20=""),AND(DE20&gt;=DG$30,DE20&lt;&gt;"",CX20=""),AND(EA20&gt;=EG$30,EA20&lt;&gt;""),AND(EE20&gt;=EG$30,EE20&lt;&gt;""),AND(EW20&gt;=FC$30,EW20&lt;&gt;""),AND(FA20&gt;=FC$30,FA20&lt;&gt;""),AND(FS20&gt;=FY$30,FS20&lt;&gt;""),AND(FW20&gt;=FY$30,FW20&lt;&gt;""),AND(GO20&gt;=GU$30,GO20&lt;&gt;""),AND(GS20&gt;=GU$30,GS20&lt;&gt;""),AND(HK20&gt;=HQ$30,HK20&lt;&gt;""),AND(HO20&gt;=HQ$30,HO20&lt;&gt;""),AND(IG20&gt;=IM$30,IG20&lt;&gt;""),AND(IK20&gt;=IM$30,IK20&lt;&gt;""),AND(JC20&gt;=JI$30,JC20&lt;&gt;""),AND(JG20&gt;=JI$30,JG20&lt;&gt;""),AND(JY20&gt;=KE$30,JY20&lt;&gt;""),AND(KC20&gt;=KE$30,KC20&lt;&gt;""),AND(KU20&gt;=LA$30,KU20&lt;&gt;""),AND(KY20&gt;=LA$30,KY20&lt;&gt;""),AND(LQ20&gt;=LW$30,LQ20&lt;&gt;""),AND(LU20&gt;=LW$30,LU20&lt;&gt;""),AND(MM20&gt;=MS$30,MM20&lt;&gt;""),AND(MQ20&gt;=MS$30,MQ20&lt;&gt;""),AND(NI20&gt;=NO$30,NI20&lt;&gt;""),AND(NM20&gt;=NO$30,NM20&lt;&gt;"")),"National Team",""))))</f>
        <v/>
      </c>
      <c r="H20" s="115" t="str">
        <f>IF(OR(AND(AS20&gt;=AY$34,AS20&lt;&gt;"",AP20=""),AND(AU20&gt;=AY$34,AU20&lt;&gt;"",AP20=""),AND(AX20&gt;=AY$34,AX20&lt;&gt;"",AP20=""),AND(BW20&gt;=CC$34,BW20&lt;&gt;"",BT20=""),AND(BY20&gt;=CC$34,BY20&lt;&gt;"",BT20=""),AND(CB20&gt;=CC$34,CB20&lt;&gt;"",BT20=""),AND(DA20&gt;=DG$34,DA20&lt;&gt;"",CX20=""),AND(DC20&gt;=DG$34,DC20&lt;&gt;"",CX20=""),AND(DF20&gt;=DG$34,DF20&lt;&gt;"",CX20=""),AND(EC20&gt;=EG$34,EC20&lt;&gt;""),AND(EF20&gt;=EG$34,EF20&lt;&gt;""),AND(EY20&gt;=FC$34,EY20&lt;&gt;""),AND(FB20&gt;=FC$34,FB20&lt;&gt;""),AND(FU20&gt;=FY$34,FU20&lt;&gt;""),AND(FX20&gt;=FY$34,FX20&lt;&gt;""),AND(GQ20&gt;=GU$34,GQ20&lt;&gt;""),AND(GT20&gt;=GU$34,GT20&lt;&gt;""),AND(HM20&gt;=HQ$34,HM20&lt;&gt;""),AND(HP20&gt;=HQ$34,HP20&lt;&gt;""),AND(II20&gt;=IM$34,II20&lt;&gt;""),AND(IL20&gt;=IM$34,IL20&lt;&gt;""),AND(JE20&gt;=JI$34,JE20&lt;&gt;""),AND(JH20&gt;=JI$34,JH20&lt;&gt;""),AND(KA20&gt;=KE$34,KA20&lt;&gt;""),AND(KD20&gt;=KE$34,KD20&lt;&gt;""),AND(KW20&gt;=LA$34,KW20&lt;&gt;""),AND(KZ20&gt;=LA$34,KZ20&lt;&gt;""),AND(LS20&gt;=LW$34,LS20&lt;&gt;""),AND(LV20&gt;=LW$34,LV20&lt;&gt;""),AND(MO20&gt;=MS$34,MO20&lt;&gt;""),AND(MR20&gt;=MS$34,MR20&lt;&gt;""),AND(NK20&gt;=NO$34,NK20&lt;&gt;""),AND(NN20&gt;=NO$34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$35,AV20&lt;&gt;"",AP20=""),AND(BZ20&gt;=CC$35,BZ20&lt;&gt;"",BT20=""),AND(DD20&gt;=DG$35,DD20&lt;&gt;"",CX20=""),AND(ED20&gt;=EG$35,ED20&lt;&gt;""),AND(EZ20&gt;=FC$35,EZ20&lt;&gt;""),AND(FV20&gt;=FY$35,FV20&lt;&gt;""),AND(GR20&gt;=GU$35,GR20&lt;&gt;""),AND(HN20&gt;=HQ$35,HN20&lt;&gt;""),AND(IJ20&gt;=IM$35,IJ20&lt;&gt;""),AND(JF20&gt;=JI$35,JF20&lt;&gt;""),AND(KB20&gt;=KE$35,KB20&lt;&gt;""),AND(KX20&gt;=LA$35,KX20&lt;&gt;""),AND(LT20&gt;=LW$35,LT20&lt;&gt;""),AND(MP20&gt;=MS$35,MP20&lt;&gt;""),AND(NL20&gt;=NO$35,NL20&lt;&gt;"")),OR(G20="Worlds Team",G20="Excellence",G20="Merit")),"P","")</f>
        <v/>
      </c>
      <c r="K20" s="14">
        <f>IF(MAX(AV20,BZ20,DD20)&gt;0,MAX(AV20,BZ20,DD20),0)</f>
        <v>82.6</v>
      </c>
      <c r="L20" s="14" t="str">
        <f>IF(K20=0,"",IF(K20=DD20,$CD$1,IF(K20=BZ20,$AZ$1,IF(K20=AV20,$V$1,""))))</f>
        <v>2021 2nd Virtual Technical Trial</v>
      </c>
      <c r="M20" s="14">
        <f>IF($K20=$AV20,MAX(BU20,CY20),IF($K20=$BZ20,MAX(AQ20,CY20),IF($K20=$DD20,MAX(AQ20,BU20),MAX(AQ20,BU20,CY20))))</f>
        <v>0</v>
      </c>
      <c r="N20" s="14" t="str">
        <f>IF(M20=0,"",IF(AND(M20=CY20,$L20&lt;&gt;$CD$1),$CD$1,IF(AND(M20=BU20,$L20&lt;&gt;$AZ$1),$AZ$1,IF(AND(M20=AQ20,$L20&lt;&gt;$V$1),$V$1,""))))</f>
        <v/>
      </c>
      <c r="O20" s="14">
        <f>MAX(AS20,AU20,AX20,BW20,BY20,CB20,DA20,DC20,DF20)</f>
        <v>46.1</v>
      </c>
      <c r="P20" s="14" t="str">
        <f>IF(O20=0,"",IF(OR(O20=DC20,O20=DA20,O20=DF20),$CD$1,IF(OR(O20=BY20,O20=BW20,O20=CB20),$AZ$1,IF(OR(O20=AU20,O20=AS20,O20=AX20),$V$1,""))))</f>
        <v>2021 2nd Virtual Technical Trial</v>
      </c>
      <c r="Q20" s="14">
        <f>IF(COUNT(AS20,AU20,AX20,BW20,BY20,CB20,DA20,DC20,DF20)&gt;1,LARGE((AS20,AU20,AX20,BW20,BY20,CB20,DA20,DC20,DF20),2),0)</f>
        <v>41.93</v>
      </c>
      <c r="R20" s="14" t="str">
        <f>IF(Q20=0,"",IF(OR(Q20=DC20,Q20=DA20,Q20=DF20),$CD$1,IF(OR(Q20=BY20,Q20=BW20,Q20=CB20),$AZ$1,IF(OR(Q20=AU20,Q20=AS20,Q20=AX20),$V$1,""))))</f>
        <v>2021 2nd Virtual Technical Trial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>
        <v>15.1</v>
      </c>
      <c r="W20" s="61">
        <v>9.6</v>
      </c>
      <c r="X20" s="61">
        <v>2</v>
      </c>
      <c r="Y20" s="61">
        <v>13.97</v>
      </c>
      <c r="Z20" s="61">
        <v>0</v>
      </c>
      <c r="AA20" s="61">
        <v>10.199999999999999</v>
      </c>
      <c r="AB20" s="61">
        <v>8.4</v>
      </c>
      <c r="AC20" s="61">
        <v>9.6999999999999993</v>
      </c>
      <c r="AD20" s="61">
        <v>13.63</v>
      </c>
      <c r="AE20" s="61">
        <v>0</v>
      </c>
      <c r="AF20" s="61"/>
      <c r="AG20" s="61"/>
      <c r="AH20" s="61"/>
      <c r="AI20" s="61"/>
      <c r="AJ20" s="61"/>
      <c r="AK20" s="61">
        <v>13.9</v>
      </c>
      <c r="AL20" s="61">
        <v>9.3000000000000007</v>
      </c>
      <c r="AM20" s="61">
        <v>9</v>
      </c>
      <c r="AN20" s="61">
        <v>13.9</v>
      </c>
      <c r="AO20" s="61">
        <v>0</v>
      </c>
      <c r="AP20" s="72"/>
      <c r="AQ20" s="11">
        <f>IF(SUM(V20:Y20)-Z20&gt;0,SUM(V20:Y20)-Z20,"")</f>
        <v>40.67</v>
      </c>
      <c r="AR20" s="11">
        <f>IF(AC20&gt;0,AC20,"")</f>
        <v>9.6999999999999993</v>
      </c>
      <c r="AS20" s="11">
        <f>IF(SUM(AA20:AD20)-AE20&gt;0,SUM(AA20:AD20)-AE20,"")</f>
        <v>41.93</v>
      </c>
      <c r="AT20" s="11" t="str">
        <f>IF(AH20&gt;0,AH20,"")</f>
        <v/>
      </c>
      <c r="AU20" s="11" t="str">
        <f>IF(SUM(AF20:AI20)-AJ20&gt;0,SUM(AF20:AI20)-AJ20,"")</f>
        <v/>
      </c>
      <c r="AV20" s="11">
        <f>IF(AQ20="",IF(MAX(AS20,AU20)&gt;0,MAX(AS20,AU20),""),MAX(AS20,AU20)+AQ20)</f>
        <v>82.6</v>
      </c>
      <c r="AW20" s="11">
        <f>IF(AM20&gt;0,AM20,"")</f>
        <v>9</v>
      </c>
      <c r="AX20" s="11">
        <f>IF(SUM(AK20:AN20)-AO20&gt;0,SUM(AK20:AN20)-AO20,"")</f>
        <v>46.1</v>
      </c>
      <c r="AY20" s="11">
        <f>IF(SUM(AV20,AX20)&gt;0,SUM(AV20,AX20),"")</f>
        <v>128.69999999999999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>IF(SUM(AZ20:BC20)-BD20&gt;0,SUM(AZ20:BC20)-BD20,"")</f>
        <v/>
      </c>
      <c r="BV20" s="14" t="str">
        <f>IF(BG20&gt;0,BG20,"")</f>
        <v/>
      </c>
      <c r="BW20" s="14" t="str">
        <f>IF(SUM(BE20:BH20)-BI20&gt;0,SUM(BE20:BH20)-BI20,"")</f>
        <v/>
      </c>
      <c r="BX20" s="14" t="str">
        <f>IF(BL20&gt;0,BL20,"")</f>
        <v/>
      </c>
      <c r="BY20" s="14" t="str">
        <f>IF(SUM(BJ20:BM20)-BN20&gt;0,SUM(BJ20:BM20)-BN20,"")</f>
        <v/>
      </c>
      <c r="BZ20" s="14" t="str">
        <f>IF(BU20="",IF(MAX(BW20,BY20)&gt;0,MAX(BW20,BY20),""),MAX(BW20,BY20)+BU20)</f>
        <v/>
      </c>
      <c r="CA20" s="14" t="str">
        <f>IF(BQ20&gt;0,BQ20,"")</f>
        <v/>
      </c>
      <c r="CB20" s="14" t="str">
        <f>IF(SUM(BO20:BR20)-BS20&gt;0,SUM(BO20:BR20)-BS20,"")</f>
        <v/>
      </c>
      <c r="CC20" s="14" t="str">
        <f>IF(SUM(BZ20,CB20)&gt;0,SUM(BZ20,CB20),"")</f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>IF(SUM(CD20:CG20)-CH20&gt;0,SUM(CD20:CG20)-CH20,"")</f>
        <v/>
      </c>
      <c r="CZ20" s="11" t="str">
        <f>IF(CK20&gt;0,CK20,"")</f>
        <v/>
      </c>
      <c r="DA20" s="11" t="str">
        <f>IF(SUM(CI20:CL20)-CM20&gt;0,SUM(CI20:CL20)-CM20,"")</f>
        <v/>
      </c>
      <c r="DB20" s="11" t="str">
        <f>IF(CP20&gt;0,CP20,"")</f>
        <v/>
      </c>
      <c r="DC20" s="11" t="str">
        <f>IF(SUM(CN20:CQ20)-CR20&gt;0,SUM(CN20:CQ20)-CR20,"")</f>
        <v/>
      </c>
      <c r="DD20" s="11" t="str">
        <f>IF(CY20="",IF(MAX(DA20,DC20)&gt;0,MAX(DA20,DC20),""),MAX(DA20,DC20)+CY20)</f>
        <v/>
      </c>
      <c r="DE20" s="11" t="str">
        <f>IF(CU20&gt;0,CU20,"")</f>
        <v/>
      </c>
      <c r="DF20" s="11" t="str">
        <f>IF(SUM(CS20:CV20)-CW20&gt;0,SUM(CS20:CV20)-CW20,"")</f>
        <v/>
      </c>
      <c r="DG20" s="11" t="str">
        <f>IF(SUM(DD20,DF20)&gt;0,SUM(DD20,DF20),"")</f>
        <v/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0</v>
      </c>
      <c r="NQ20" s="61">
        <f>IF($CX20="P",CE20,(CE20+BA20)/2)</f>
        <v>0</v>
      </c>
      <c r="NR20" s="61">
        <f>IF($CX20="P",CF20,(CF20+BB20)/2)</f>
        <v>0</v>
      </c>
      <c r="NS20" s="61">
        <f>IF($CX20="P",CG20,(CG20+BC20)/2)</f>
        <v>0</v>
      </c>
      <c r="NT20" s="61">
        <f>IF($CX20="P",CH20,(CH20+BD20)/2)</f>
        <v>0</v>
      </c>
      <c r="NU20" s="61">
        <f>IF($CX20="P",CI20,(CI20+BE20)/2)</f>
        <v>0</v>
      </c>
      <c r="NV20" s="61">
        <f>IF($CX20="P",CJ20,(CJ20+BF20)/2)</f>
        <v>0</v>
      </c>
      <c r="NW20" s="61">
        <f>IF($CX20="P",CK20,(CK20+BG20)/2)</f>
        <v>0</v>
      </c>
      <c r="NX20" s="61">
        <f>IF($CX20="P",CL20,(CL20+BH20)/2)</f>
        <v>0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0</v>
      </c>
      <c r="OF20" s="61">
        <f>IF($CX20="P",CT20,(CT20+BP20)/2)</f>
        <v>0</v>
      </c>
      <c r="OG20" s="61">
        <f>IF($CX20="P",CU20,(CU20+BQ20)/2)</f>
        <v>0</v>
      </c>
      <c r="OH20" s="61">
        <f>IF($CX20="P",CV20,(CV20+BR20)/2)</f>
        <v>0</v>
      </c>
      <c r="OI20" s="61">
        <f>IF($CX20="P",CW20,(CW20+BS20)/2)</f>
        <v>0</v>
      </c>
      <c r="OJ20" s="72" t="s">
        <v>52</v>
      </c>
      <c r="OK20" s="11" t="str">
        <f>IF(SUM(NP20:NS20)-NT20&gt;0,SUM(NP20:NS20)-NT20,"")</f>
        <v/>
      </c>
      <c r="OL20" s="11" t="str">
        <f>IF(NW20&gt;0,NW20,"")</f>
        <v/>
      </c>
      <c r="OM20" s="11" t="str">
        <f>IF(SUM(NU20:NX20)-NY20&gt;0,SUM(NU20:NX20)-NY20,"")</f>
        <v/>
      </c>
      <c r="ON20" s="11" t="str">
        <f>IF(OB20&gt;0,OB20,"")</f>
        <v/>
      </c>
      <c r="OO20" s="11" t="str">
        <f>IF(SUM(NZ20:OC20)-OD20&gt;0,SUM(NZ20:OC20)-OD20,"")</f>
        <v/>
      </c>
      <c r="OP20" s="11" t="str">
        <f>IF(OR(OK20&lt;&gt;"",OM20&lt;&gt;"",OO20&lt;&gt;""),OK20+MAX(OM20,OO20),"")</f>
        <v/>
      </c>
      <c r="OQ20" s="11" t="str">
        <f>IF(OG20&gt;0,OG20,"")</f>
        <v/>
      </c>
      <c r="OR20" s="11" t="str">
        <f t="shared" ref="OR20" si="22">IF(SUM(OE20:OH20)-OI20&gt;0,SUM(OE20:OH20)-OI20,"")</f>
        <v/>
      </c>
      <c r="OS20" s="11" t="str">
        <f t="shared" ref="OS20" si="23">IF(SUM(OP20,OR20)&gt;0,SUM(OP20,OR20),"")</f>
        <v/>
      </c>
    </row>
    <row r="21" spans="1:409" x14ac:dyDescent="0.2">
      <c r="A21" s="5" t="str" cm="1">
        <f t="array" ref="A21">IF(AND(G21&lt;&gt;"",H21&lt;&gt;""),SUMPRODUCT((G$4:G$28&lt;&gt;"")*(H$4:H$28&lt;&gt;"")*(E$4:E$28&gt;E21))+1,IF(H21&lt;&gt;"",SUMPRODUCT((I$4:I$28="No DD")*(E$4:E$28&gt;E21))+1+SUMPRODUCT((G$4:G$28&lt;&gt;"")*(H$4:H$28&lt;&gt;"")),""))</f>
        <v/>
      </c>
      <c r="B21" s="6" t="s">
        <v>107</v>
      </c>
      <c r="C21" s="7" t="s">
        <v>5</v>
      </c>
      <c r="D21" s="5">
        <v>2004</v>
      </c>
      <c r="E21" s="15">
        <f>SUM(O21:S21)</f>
        <v>87.88</v>
      </c>
      <c r="F21" s="3" t="str">
        <f>IF(G21&lt;&gt;"","P","")</f>
        <v/>
      </c>
      <c r="G21" s="115" t="str">
        <f>IF(OR(AND(AR21&gt;=AY$33,AR21&lt;&gt;"",AP21=""),AND(AT21&gt;=AY$33,AT21&lt;&gt;"",AP21=""),AND(AW21&gt;=AY$33,AW21&lt;&gt;"",AP21=""),AND(BV21&gt;=CC$33,BV21&lt;&gt;"",BT21=""),AND(BX21&gt;=CC$33,BX21&lt;&gt;"",BT21=""),AND(CA21&gt;=CC$33,CA21&lt;&gt;"",BT21=""),AND(CZ21&gt;=DG$33,CZ21&lt;&gt;"",CX21=""),AND(DB21&gt;=DG$33,DB21&lt;&gt;"",CX21=""),AND(DE21&gt;=DG$33,DE21&lt;&gt;"",CX21=""),AND(EA21&gt;=EG$33,EA21&lt;&gt;""),AND(EE21&gt;=EG$33,EE21&lt;&gt;""),AND(EW21&gt;=FC$33,EW21&lt;&gt;""),AND(FA21&gt;=FC$33,FA21&lt;&gt;""),AND(FS21&gt;=FY$33,FS21&lt;&gt;""),AND(FW21&gt;=FY$33,FW21&lt;&gt;""),AND(GO21&gt;=GU$33,GO21&lt;&gt;""),AND(GS21&gt;=GU$33,GS21&lt;&gt;""),AND(HK21&gt;=HQ$33,HK21&lt;&gt;""),AND(HO21&gt;=HQ$33,HO21&lt;&gt;""),AND(IG21&gt;=IM$33,IG21&lt;&gt;""),AND(IK21&gt;=IM$33,IK21&lt;&gt;""),AND(JC21&gt;=JI$33,JC21&lt;&gt;""),AND(JG21&gt;=JI$33,JG21&lt;&gt;""),AND(JY21&gt;=KE$33,JY21&lt;&gt;""),AND(KC21&gt;=KE$33,KC21&lt;&gt;""),AND(KU21&gt;=LA$33,KU21&lt;&gt;""),AND(KY21&gt;=LA$33,KY21&lt;&gt;""),AND(LQ21&gt;=LW$33,LQ21&lt;&gt;""),AND(LU21&gt;=LW$33,LU21&lt;&gt;""),AND(MM21&gt;=MS$33,MM21&lt;&gt;""),AND(MQ21&gt;=MS$33,MQ21&lt;&gt;""),AND(NI21&gt;=NO$33,NI21&lt;&gt;""),AND(NM21&gt;=NO$33,NM21&lt;&gt;"")),"Merit",IF(OR(AND(AR21&gt;=AY$32,AR21&lt;&gt;"",AP21=""),AND(AT21&gt;=AY$32,AT21&lt;&gt;"",AP21=""),AND(AW21&gt;=AY$32,AW21&lt;&gt;"",AP21=""),AND(BV21&gt;=CC$32,BV21&lt;&gt;"",BT21=""),AND(BX21&gt;=CC$32,BX21&lt;&gt;"",BT21=""),AND(CA21&gt;=CC$32,CA21&lt;&gt;"",BT21=""),AND(CZ21&gt;=DG$32,CZ21&lt;&gt;"",CX21=""),AND(DB21&gt;=DG$32,DB21&lt;&gt;"",CX21=""),AND(DE21&gt;=DG$32,DE21&lt;&gt;"",CX21=""),AND(EA21&gt;=EG$32,EA21&lt;&gt;""),AND(EE21&gt;=EG$32,EE21&lt;&gt;""),AND(EW21&gt;=FC$32,EW21&lt;&gt;""),AND(FA21&gt;=FC$32,FA21&lt;&gt;""),AND(FS21&gt;=FY$32,FS21&lt;&gt;""),AND(FW21&gt;=FY$32,FW21&lt;&gt;""),AND(GO21&gt;=GU$32,GO21&lt;&gt;""),AND(GS21&gt;=GU$32,GS21&lt;&gt;""),AND(HK21&gt;=HQ$32,HK21&lt;&gt;""),AND(HO21&gt;=HQ$32,HO21&lt;&gt;""),AND(IG21&gt;=IM$32,IG21&lt;&gt;""),AND(IK21&gt;=IM$32,IK21&lt;&gt;""),AND(JC21&gt;=JI$32,JC21&lt;&gt;""),AND(JG21&gt;=JI$32,JG21&lt;&gt;""),AND(JY21&gt;=KE$32,JY21&lt;&gt;""),AND(KC21&gt;=KE$32,KC21&lt;&gt;""),AND(KU21&gt;=LA$32,KU21&lt;&gt;""),AND(KY21&gt;=LA$32,KY21&lt;&gt;""),AND(LQ21&gt;=LW$32,LQ21&lt;&gt;""),AND(LU21&gt;=LW$32,LU21&lt;&gt;""),AND(MM21&gt;=MS$32,MM21&lt;&gt;""),AND(MQ21&gt;=MS$32,MQ21&lt;&gt;""),AND(NI21&gt;=NO$32,NI21&lt;&gt;""),AND(NM21&gt;=NO$32,NM21&lt;&gt;"")),"Excellence",IF(OR(AND(AR21&gt;=AY$31,AR21&lt;&gt;"",AP21=""),AND(AT21&gt;=AY$31,AT21&lt;&gt;"",AP21=""),AND(AW21&gt;=AY$31,AW21&lt;&gt;"",AP21=""),AND(BV21&gt;=CC$31,BV21&lt;&gt;"",BT21=""),AND(BX21&gt;=CC$31,BX21&lt;&gt;"",BT21=""),AND(CA21&gt;=CC$31,CA21&lt;&gt;"",BT21=""),AND(CZ21&gt;=DG$31,CZ21&lt;&gt;"",CX21=""),AND(DB21&gt;=DG$31,DB21&lt;&gt;"",CX21=""),AND(DE21&gt;=DG$31,DE21&lt;&gt;"",CX21=""),AND(EA21&gt;=EG$31,EA21&lt;&gt;""),AND(EE21&gt;=EG$31,EE21&lt;&gt;""),AND(EW21&gt;=FC$31,EW21&lt;&gt;""),AND(FA21&gt;=FC$31,FA21&lt;&gt;""),AND(FS21&gt;=FY$31,FS21&lt;&gt;""),AND(FW21&gt;=FY$31,FW21&lt;&gt;""),AND(GO21&gt;=GU$31,GO21&lt;&gt;""),AND(GS21&gt;=GU$31,GS21&lt;&gt;""),AND(HK21&gt;=HQ$31,HK21&lt;&gt;""),AND(HO21&gt;=HQ$31,HO21&lt;&gt;""),AND(IG21&gt;=IM$31,IG21&lt;&gt;""),AND(IK21&gt;=IM$31,IK21&lt;&gt;""),AND(JC21&gt;=JI$31,JC21&lt;&gt;""),AND(JG21&gt;=JI$31,JG21&lt;&gt;""),AND(JY21&gt;=KE$31,JY21&lt;&gt;""),AND(KC21&gt;=KE$31,KC21&lt;&gt;""),AND(KU21&gt;=LA$31,KU21&lt;&gt;""),AND(KY21&gt;=LA$31,KY21&lt;&gt;""),AND(LQ21&gt;=LW$31,LQ21&lt;&gt;""),AND(LU21&gt;=LW$31,LU21&lt;&gt;""),AND(MM21&gt;=MS$31,MM21&lt;&gt;""),AND(MQ21&gt;=MS$31,MQ21&lt;&gt;""),AND(NI21&gt;=NO$31,NI21&lt;&gt;""),AND(NM21&gt;=NO$31,NM21&lt;&gt;"")),"Worlds Team",IF(OR(AND(AR21&gt;=AY$30,AR21&lt;&gt;"",AP21=""),AND(AT21&gt;=AY$30,AT21&lt;&gt;"",AP21=""),AND(AW21&gt;=AY$30,AW21&lt;&gt;"",AP21=""),AND(BV21&gt;=CC$30,BV21&lt;&gt;"",BT21=""),AND(BX21&gt;=CC$30,BX21&lt;&gt;"",BT21=""),AND(CA21&gt;=CC$30,CA21&lt;&gt;"",BT21=""),AND(CZ21&gt;=DG$30,CZ21&lt;&gt;"",CX21=""),AND(DB21&gt;=DG$30,DB21&lt;&gt;"",CX21=""),AND(DE21&gt;=DG$30,DE21&lt;&gt;"",CX21=""),AND(EA21&gt;=EG$30,EA21&lt;&gt;""),AND(EE21&gt;=EG$30,EE21&lt;&gt;""),AND(EW21&gt;=FC$30,EW21&lt;&gt;""),AND(FA21&gt;=FC$30,FA21&lt;&gt;""),AND(FS21&gt;=FY$30,FS21&lt;&gt;""),AND(FW21&gt;=FY$30,FW21&lt;&gt;""),AND(GO21&gt;=GU$30,GO21&lt;&gt;""),AND(GS21&gt;=GU$30,GS21&lt;&gt;""),AND(HK21&gt;=HQ$30,HK21&lt;&gt;""),AND(HO21&gt;=HQ$30,HO21&lt;&gt;""),AND(IG21&gt;=IM$30,IG21&lt;&gt;""),AND(IK21&gt;=IM$30,IK21&lt;&gt;""),AND(JC21&gt;=JI$30,JC21&lt;&gt;""),AND(JG21&gt;=JI$30,JG21&lt;&gt;""),AND(JY21&gt;=KE$30,JY21&lt;&gt;""),AND(KC21&gt;=KE$30,KC21&lt;&gt;""),AND(KU21&gt;=LA$30,KU21&lt;&gt;""),AND(KY21&gt;=LA$30,KY21&lt;&gt;""),AND(LQ21&gt;=LW$30,LQ21&lt;&gt;""),AND(LU21&gt;=LW$30,LU21&lt;&gt;""),AND(MM21&gt;=MS$30,MM21&lt;&gt;""),AND(MQ21&gt;=MS$30,MQ21&lt;&gt;""),AND(NI21&gt;=NO$30,NI21&lt;&gt;""),AND(NM21&gt;=NO$30,NM21&lt;&gt;"")),"National Team",""))))</f>
        <v/>
      </c>
      <c r="H21" s="115" t="str">
        <f>IF(OR(AND(AS21&gt;=AY$34,AS21&lt;&gt;"",AP21=""),AND(AU21&gt;=AY$34,AU21&lt;&gt;"",AP21=""),AND(AX21&gt;=AY$34,AX21&lt;&gt;"",AP21=""),AND(BW21&gt;=CC$34,BW21&lt;&gt;"",BT21=""),AND(BY21&gt;=CC$34,BY21&lt;&gt;"",BT21=""),AND(CB21&gt;=CC$34,CB21&lt;&gt;"",BT21=""),AND(DA21&gt;=DG$34,DA21&lt;&gt;"",CX21=""),AND(DC21&gt;=DG$34,DC21&lt;&gt;"",CX21=""),AND(DF21&gt;=DG$34,DF21&lt;&gt;"",CX21=""),AND(EC21&gt;=EG$34,EC21&lt;&gt;""),AND(EF21&gt;=EG$34,EF21&lt;&gt;""),AND(EY21&gt;=FC$34,EY21&lt;&gt;""),AND(FB21&gt;=FC$34,FB21&lt;&gt;""),AND(FU21&gt;=FY$34,FU21&lt;&gt;""),AND(FX21&gt;=FY$34,FX21&lt;&gt;""),AND(GQ21&gt;=GU$34,GQ21&lt;&gt;""),AND(GT21&gt;=GU$34,GT21&lt;&gt;""),AND(HM21&gt;=HQ$34,HM21&lt;&gt;""),AND(HP21&gt;=HQ$34,HP21&lt;&gt;""),AND(II21&gt;=IM$34,II21&lt;&gt;""),AND(IL21&gt;=IM$34,IL21&lt;&gt;""),AND(JE21&gt;=JI$34,JE21&lt;&gt;""),AND(JH21&gt;=JI$34,JH21&lt;&gt;""),AND(KA21&gt;=KE$34,KA21&lt;&gt;""),AND(KD21&gt;=KE$34,KD21&lt;&gt;""),AND(KW21&gt;=LA$34,KW21&lt;&gt;""),AND(KZ21&gt;=LA$34,KZ21&lt;&gt;""),AND(LS21&gt;=LW$34,LS21&lt;&gt;""),AND(LV21&gt;=LW$34,LV21&lt;&gt;""),AND(MO21&gt;=MS$34,MO21&lt;&gt;""),AND(MR21&gt;=MS$34,MR21&lt;&gt;""),AND(NK21&gt;=NO$34,NK21&lt;&gt;""),AND(NN21&gt;=NO$34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$35,AV21&lt;&gt;"",AP21=""),AND(BZ21&gt;=CC$35,BZ21&lt;&gt;"",BT21=""),AND(DD21&gt;=DG$35,DD21&lt;&gt;"",CX21=""),AND(ED21&gt;=EG$35,ED21&lt;&gt;""),AND(EZ21&gt;=FC$35,EZ21&lt;&gt;""),AND(FV21&gt;=FY$35,FV21&lt;&gt;""),AND(GR21&gt;=GU$35,GR21&lt;&gt;""),AND(HN21&gt;=HQ$35,HN21&lt;&gt;""),AND(IJ21&gt;=IM$35,IJ21&lt;&gt;""),AND(JF21&gt;=JI$35,JF21&lt;&gt;""),AND(KB21&gt;=KE$35,KB21&lt;&gt;""),AND(KX21&gt;=LA$35,KX21&lt;&gt;""),AND(LT21&gt;=LW$35,LT21&lt;&gt;""),AND(MP21&gt;=MS$35,MP21&lt;&gt;""),AND(NL21&gt;=NO$35,NL21&lt;&gt;"")),OR(G21="Worlds Team",G21="Excellence",G21="Merit")),"P","")</f>
        <v/>
      </c>
      <c r="K21" s="14">
        <f>IF(MAX(AV21,BZ21,DD21)&gt;0,MAX(AV21,BZ21,DD21),0)</f>
        <v>85.344999999999999</v>
      </c>
      <c r="L21" s="14" t="str">
        <f>IF(K21=0,"",IF(K21=DD21,$CD$1,IF(K21=BZ21,$AZ$1,IF(K21=AV21,$V$1,""))))</f>
        <v>2021 Canadian Championships</v>
      </c>
      <c r="M21" s="14">
        <f>IF($K21=$AV21,MAX(BU21,CY21),IF($K21=$BZ21,MAX(AQ21,CY21),IF($K21=$DD21,MAX(AQ21,BU21),MAX(AQ21,BU21,CY21))))</f>
        <v>40.17</v>
      </c>
      <c r="N21" s="14" t="str">
        <f>IF(M21=0,"",IF(AND(M21=CY21,$L21&lt;&gt;$CD$1),$CD$1,IF(AND(M21=BU21,$L21&lt;&gt;$AZ$1),$AZ$1,IF(AND(M21=AQ21,$L21&lt;&gt;$V$1),$V$1,""))))</f>
        <v>2021 Elite Canada</v>
      </c>
      <c r="O21" s="14">
        <f>MAX(AS21,AU21,AX21,BW21,BY21,CB21,DA21,DC21,DF21)</f>
        <v>45.725000000000001</v>
      </c>
      <c r="P21" s="14" t="str">
        <f>IF(O21=0,"",IF(OR(O21=DC21,O21=DA21,O21=DF21),$CD$1,IF(OR(O21=BY21,O21=BW21,O21=CB21),$AZ$1,IF(OR(O21=AU21,O21=AS21,O21=AX21),$V$1,""))))</f>
        <v>2021 Canadian Championships</v>
      </c>
      <c r="Q21" s="14">
        <f>IF(COUNT(AS21,AU21,AX21,BW21,BY21,CB21,DA21,DC21,DF21)&gt;1,LARGE((AS21,AU21,AX21,BW21,BY21,CB21,DA21,DC21,DF21),2),0)</f>
        <v>42.155000000000001</v>
      </c>
      <c r="R21" s="14" t="str">
        <f>IF(Q21=0,"",IF(OR(Q21=DC21,Q21=DA21,Q21=DF21),$CD$1,IF(OR(Q21=BY21,Q21=BW21,Q21=CB21),$AZ$1,IF(OR(Q21=AU21,Q21=AS21,Q21=AX21),$V$1,""))))</f>
        <v>2021 Elite Canada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>IF(SUM(V21:Y21)-Z21&gt;0,SUM(V21:Y21)-Z21,"")</f>
        <v/>
      </c>
      <c r="AR21" s="11" t="str">
        <f>IF(AC21&gt;0,AC21,"")</f>
        <v/>
      </c>
      <c r="AS21" s="11" t="str">
        <f>IF(SUM(AA21:AD21)-AE21&gt;0,SUM(AA21:AD21)-AE21,"")</f>
        <v/>
      </c>
      <c r="AT21" s="11" t="str">
        <f>IF(AH21&gt;0,AH21,"")</f>
        <v/>
      </c>
      <c r="AU21" s="11" t="str">
        <f>IF(SUM(AF21:AI21)-AJ21&gt;0,SUM(AF21:AI21)-AJ21,"")</f>
        <v/>
      </c>
      <c r="AV21" s="11" t="str">
        <f>IF(AQ21="",IF(MAX(AS21,AU21)&gt;0,MAX(AS21,AU21),""),MAX(AS21,AU21)+AQ21)</f>
        <v/>
      </c>
      <c r="AW21" s="11" t="str">
        <f>IF(AM21&gt;0,AM21,"")</f>
        <v/>
      </c>
      <c r="AX21" s="11" t="str">
        <f>IF(SUM(AK21:AN21)-AO21&gt;0,SUM(AK21:AN21)-AO21,"")</f>
        <v/>
      </c>
      <c r="AY21" s="11" t="str">
        <f>IF(SUM(AV21,AX21)&gt;0,SUM(AV21,AX21),"")</f>
        <v/>
      </c>
      <c r="AZ21" s="67">
        <v>15.3</v>
      </c>
      <c r="BA21" s="67">
        <v>9.4</v>
      </c>
      <c r="BB21" s="67">
        <v>2</v>
      </c>
      <c r="BC21" s="67">
        <v>13.47</v>
      </c>
      <c r="BD21" s="67">
        <v>0</v>
      </c>
      <c r="BE21" s="67">
        <v>11.9</v>
      </c>
      <c r="BF21" s="67">
        <v>9</v>
      </c>
      <c r="BG21" s="67">
        <v>8.4</v>
      </c>
      <c r="BH21" s="67">
        <v>13.255000000000001</v>
      </c>
      <c r="BI21" s="67">
        <v>0.4</v>
      </c>
      <c r="BJ21" s="67"/>
      <c r="BK21" s="67"/>
      <c r="BL21" s="67"/>
      <c r="BM21" s="67"/>
      <c r="BN21" s="67"/>
      <c r="BO21" s="67">
        <v>10.6</v>
      </c>
      <c r="BP21" s="67">
        <v>7.2</v>
      </c>
      <c r="BQ21" s="67">
        <v>6.8</v>
      </c>
      <c r="BR21" s="67">
        <v>10.574999999999999</v>
      </c>
      <c r="BS21" s="67">
        <v>0</v>
      </c>
      <c r="BT21" s="73"/>
      <c r="BU21" s="14">
        <f>IF(SUM(AZ21:BC21)-BD21&gt;0,SUM(AZ21:BC21)-BD21,"")</f>
        <v>40.17</v>
      </c>
      <c r="BV21" s="14">
        <f>IF(BG21&gt;0,BG21,"")</f>
        <v>8.4</v>
      </c>
      <c r="BW21" s="14">
        <f>IF(SUM(BE21:BH21)-BI21&gt;0,SUM(BE21:BH21)-BI21,"")</f>
        <v>42.155000000000001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82.325000000000003</v>
      </c>
      <c r="CA21" s="14">
        <f>IF(BQ21&gt;0,BQ21,"")</f>
        <v>6.8</v>
      </c>
      <c r="CB21" s="14">
        <f>IF(SUM(BO21:BR21)-BS21&gt;0,SUM(BO21:BR21)-BS21,"")</f>
        <v>35.174999999999997</v>
      </c>
      <c r="CC21" s="14">
        <f>IF(SUM(BZ21,CB21)&gt;0,SUM(BZ21,CB21),"")</f>
        <v>117.5</v>
      </c>
      <c r="CD21" s="61">
        <v>15.1</v>
      </c>
      <c r="CE21" s="61">
        <v>9.4</v>
      </c>
      <c r="CF21" s="61">
        <v>2</v>
      </c>
      <c r="CG21" s="61">
        <v>13.12</v>
      </c>
      <c r="CH21" s="61">
        <v>0</v>
      </c>
      <c r="CI21" s="61">
        <v>14</v>
      </c>
      <c r="CJ21" s="61">
        <v>9.1999999999999993</v>
      </c>
      <c r="CK21" s="61">
        <v>8.8000000000000007</v>
      </c>
      <c r="CL21" s="61">
        <v>13.725</v>
      </c>
      <c r="CM21" s="61">
        <v>0</v>
      </c>
      <c r="CN21" s="61"/>
      <c r="CO21" s="61"/>
      <c r="CP21" s="61"/>
      <c r="CQ21" s="61"/>
      <c r="CR21" s="61"/>
      <c r="CS21" s="61">
        <v>9.4</v>
      </c>
      <c r="CT21" s="61">
        <v>6.1</v>
      </c>
      <c r="CU21" s="61">
        <v>6.3</v>
      </c>
      <c r="CV21" s="61">
        <v>9.4049999999999994</v>
      </c>
      <c r="CW21" s="61">
        <v>0</v>
      </c>
      <c r="CX21" s="72"/>
      <c r="CY21" s="11">
        <f>IF(SUM(CD21:CG21)-CH21&gt;0,SUM(CD21:CG21)-CH21,"")</f>
        <v>39.619999999999997</v>
      </c>
      <c r="CZ21" s="11">
        <f>IF(CK21&gt;0,CK21,"")</f>
        <v>8.8000000000000007</v>
      </c>
      <c r="DA21" s="11">
        <f>IF(SUM(CI21:CL21)-CM21&gt;0,SUM(CI21:CL21)-CM21,"")</f>
        <v>45.725000000000001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85.344999999999999</v>
      </c>
      <c r="DE21" s="11">
        <f>IF(CU21&gt;0,CU21,"")</f>
        <v>6.3</v>
      </c>
      <c r="DF21" s="11">
        <f>IF(SUM(CS21:CV21)-CW21&gt;0,SUM(CS21:CV21)-CW21,"")</f>
        <v>31.204999999999998</v>
      </c>
      <c r="DG21" s="11">
        <f>IF(SUM(DD21,DF21)&gt;0,SUM(DD21,DF21),"")</f>
        <v>116.55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15.2</v>
      </c>
      <c r="NQ21" s="61">
        <f>IF($CX21="P",CE21,(CE21+BA21)/2)</f>
        <v>9.4</v>
      </c>
      <c r="NR21" s="61">
        <f>IF($CX21="P",CF21,(CF21+BB21)/2)</f>
        <v>2</v>
      </c>
      <c r="NS21" s="61">
        <f>IF($CX21="P",CG21,(CG21+BC21)/2)</f>
        <v>13.295</v>
      </c>
      <c r="NT21" s="61">
        <f>IF($CX21="P",CH21,(CH21+BD21)/2)</f>
        <v>0</v>
      </c>
      <c r="NU21" s="61">
        <f>IF($CX21="P",CI21,(CI21+BE21)/2)</f>
        <v>12.95</v>
      </c>
      <c r="NV21" s="61">
        <f>IF($CX21="P",CJ21,(CJ21+BF21)/2)</f>
        <v>9.1</v>
      </c>
      <c r="NW21" s="61">
        <f>IF($CX21="P",CK21,(CK21+BG21)/2)</f>
        <v>8.6000000000000014</v>
      </c>
      <c r="NX21" s="61">
        <f>IF($CX21="P",CL21,(CL21+BH21)/2)</f>
        <v>13.49</v>
      </c>
      <c r="NY21" s="61">
        <f>IF($CX21="P",CM21,(CM21+BI21)/2)</f>
        <v>0.2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10</v>
      </c>
      <c r="OF21" s="61">
        <f>IF($CX21="P",CT21,(CT21+BP21)/2)</f>
        <v>6.65</v>
      </c>
      <c r="OG21" s="61">
        <f>IF($CX21="P",CU21,(CU21+BQ21)/2)</f>
        <v>6.55</v>
      </c>
      <c r="OH21" s="61">
        <f>IF($CX21="P",CV21,(CV21+BR21)/2)</f>
        <v>9.9899999999999984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39.895000000000003</v>
      </c>
      <c r="OL21" s="11">
        <f>IF(NW21&gt;0,NW21,"")</f>
        <v>8.6000000000000014</v>
      </c>
      <c r="OM21" s="11">
        <f>IF(SUM(NU21:NX21)-NY21&gt;0,SUM(NU21:NX21)-NY21,"")</f>
        <v>43.94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83.835000000000008</v>
      </c>
      <c r="OQ21" s="11">
        <f>IF(OG21&gt;0,OG21,"")</f>
        <v>6.55</v>
      </c>
      <c r="OR21" s="11">
        <f t="shared" ref="OR21" si="24">IF(SUM(OE21:OH21)-OI21&gt;0,SUM(OE21:OH21)-OI21,"")</f>
        <v>33.19</v>
      </c>
      <c r="OS21" s="11">
        <f t="shared" ref="OS21" si="25">IF(SUM(OP21,OR21)&gt;0,SUM(OP21,OR21),"")</f>
        <v>117.02500000000001</v>
      </c>
    </row>
    <row r="22" spans="1:409" x14ac:dyDescent="0.2">
      <c r="A22" s="5" t="str" cm="1">
        <f t="array" ref="A22">IF(AND(G22&lt;&gt;"",H22&lt;&gt;""),SUMPRODUCT((G$4:G$28&lt;&gt;"")*(H$4:H$28&lt;&gt;"")*(E$4:E$28&gt;E22))+1,IF(H22&lt;&gt;"",SUMPRODUCT((I$4:I$28="No DD")*(E$4:E$28&gt;E22))+1+SUMPRODUCT((G$4:G$28&lt;&gt;"")*(H$4:H$28&lt;&gt;"")),""))</f>
        <v/>
      </c>
      <c r="B22" s="8" t="s">
        <v>102</v>
      </c>
      <c r="C22" s="4" t="s">
        <v>5</v>
      </c>
      <c r="D22" s="26">
        <v>2003</v>
      </c>
      <c r="E22" s="15">
        <f>SUM(O22:S22)</f>
        <v>86.504999999999995</v>
      </c>
      <c r="F22" s="3" t="str">
        <f>IF(G22&lt;&gt;"","P","")</f>
        <v/>
      </c>
      <c r="G22" s="115" t="str">
        <f>IF(OR(AND(AR22&gt;=AY$33,AR22&lt;&gt;"",AP22=""),AND(AT22&gt;=AY$33,AT22&lt;&gt;"",AP22=""),AND(AW22&gt;=AY$33,AW22&lt;&gt;"",AP22=""),AND(BV22&gt;=CC$33,BV22&lt;&gt;"",BT22=""),AND(BX22&gt;=CC$33,BX22&lt;&gt;"",BT22=""),AND(CA22&gt;=CC$33,CA22&lt;&gt;"",BT22=""),AND(CZ22&gt;=DG$33,CZ22&lt;&gt;"",CX22=""),AND(DB22&gt;=DG$33,DB22&lt;&gt;"",CX22=""),AND(DE22&gt;=DG$33,DE22&lt;&gt;"",CX22=""),AND(EA22&gt;=EG$33,EA22&lt;&gt;""),AND(EE22&gt;=EG$33,EE22&lt;&gt;""),AND(EW22&gt;=FC$33,EW22&lt;&gt;""),AND(FA22&gt;=FC$33,FA22&lt;&gt;""),AND(FS22&gt;=FY$33,FS22&lt;&gt;""),AND(FW22&gt;=FY$33,FW22&lt;&gt;""),AND(GO22&gt;=GU$33,GO22&lt;&gt;""),AND(GS22&gt;=GU$33,GS22&lt;&gt;""),AND(HK22&gt;=HQ$33,HK22&lt;&gt;""),AND(HO22&gt;=HQ$33,HO22&lt;&gt;""),AND(IG22&gt;=IM$33,IG22&lt;&gt;""),AND(IK22&gt;=IM$33,IK22&lt;&gt;""),AND(JC22&gt;=JI$33,JC22&lt;&gt;""),AND(JG22&gt;=JI$33,JG22&lt;&gt;""),AND(JY22&gt;=KE$33,JY22&lt;&gt;""),AND(KC22&gt;=KE$33,KC22&lt;&gt;""),AND(KU22&gt;=LA$33,KU22&lt;&gt;""),AND(KY22&gt;=LA$33,KY22&lt;&gt;""),AND(LQ22&gt;=LW$33,LQ22&lt;&gt;""),AND(LU22&gt;=LW$33,LU22&lt;&gt;""),AND(MM22&gt;=MS$33,MM22&lt;&gt;""),AND(MQ22&gt;=MS$33,MQ22&lt;&gt;""),AND(NI22&gt;=NO$33,NI22&lt;&gt;""),AND(NM22&gt;=NO$33,NM22&lt;&gt;"")),"Merit",IF(OR(AND(AR22&gt;=AY$32,AR22&lt;&gt;"",AP22=""),AND(AT22&gt;=AY$32,AT22&lt;&gt;"",AP22=""),AND(AW22&gt;=AY$32,AW22&lt;&gt;"",AP22=""),AND(BV22&gt;=CC$32,BV22&lt;&gt;"",BT22=""),AND(BX22&gt;=CC$32,BX22&lt;&gt;"",BT22=""),AND(CA22&gt;=CC$32,CA22&lt;&gt;"",BT22=""),AND(CZ22&gt;=DG$32,CZ22&lt;&gt;"",CX22=""),AND(DB22&gt;=DG$32,DB22&lt;&gt;"",CX22=""),AND(DE22&gt;=DG$32,DE22&lt;&gt;"",CX22=""),AND(EA22&gt;=EG$32,EA22&lt;&gt;""),AND(EE22&gt;=EG$32,EE22&lt;&gt;""),AND(EW22&gt;=FC$32,EW22&lt;&gt;""),AND(FA22&gt;=FC$32,FA22&lt;&gt;""),AND(FS22&gt;=FY$32,FS22&lt;&gt;""),AND(FW22&gt;=FY$32,FW22&lt;&gt;""),AND(GO22&gt;=GU$32,GO22&lt;&gt;""),AND(GS22&gt;=GU$32,GS22&lt;&gt;""),AND(HK22&gt;=HQ$32,HK22&lt;&gt;""),AND(HO22&gt;=HQ$32,HO22&lt;&gt;""),AND(IG22&gt;=IM$32,IG22&lt;&gt;""),AND(IK22&gt;=IM$32,IK22&lt;&gt;""),AND(JC22&gt;=JI$32,JC22&lt;&gt;""),AND(JG22&gt;=JI$32,JG22&lt;&gt;""),AND(JY22&gt;=KE$32,JY22&lt;&gt;""),AND(KC22&gt;=KE$32,KC22&lt;&gt;""),AND(KU22&gt;=LA$32,KU22&lt;&gt;""),AND(KY22&gt;=LA$32,KY22&lt;&gt;""),AND(LQ22&gt;=LW$32,LQ22&lt;&gt;""),AND(LU22&gt;=LW$32,LU22&lt;&gt;""),AND(MM22&gt;=MS$32,MM22&lt;&gt;""),AND(MQ22&gt;=MS$32,MQ22&lt;&gt;""),AND(NI22&gt;=NO$32,NI22&lt;&gt;""),AND(NM22&gt;=NO$32,NM22&lt;&gt;"")),"Excellence",IF(OR(AND(AR22&gt;=AY$31,AR22&lt;&gt;"",AP22=""),AND(AT22&gt;=AY$31,AT22&lt;&gt;"",AP22=""),AND(AW22&gt;=AY$31,AW22&lt;&gt;"",AP22=""),AND(BV22&gt;=CC$31,BV22&lt;&gt;"",BT22=""),AND(BX22&gt;=CC$31,BX22&lt;&gt;"",BT22=""),AND(CA22&gt;=CC$31,CA22&lt;&gt;"",BT22=""),AND(CZ22&gt;=DG$31,CZ22&lt;&gt;"",CX22=""),AND(DB22&gt;=DG$31,DB22&lt;&gt;"",CX22=""),AND(DE22&gt;=DG$31,DE22&lt;&gt;"",CX22=""),AND(EA22&gt;=EG$31,EA22&lt;&gt;""),AND(EE22&gt;=EG$31,EE22&lt;&gt;""),AND(EW22&gt;=FC$31,EW22&lt;&gt;""),AND(FA22&gt;=FC$31,FA22&lt;&gt;""),AND(FS22&gt;=FY$31,FS22&lt;&gt;""),AND(FW22&gt;=FY$31,FW22&lt;&gt;""),AND(GO22&gt;=GU$31,GO22&lt;&gt;""),AND(GS22&gt;=GU$31,GS22&lt;&gt;""),AND(HK22&gt;=HQ$31,HK22&lt;&gt;""),AND(HO22&gt;=HQ$31,HO22&lt;&gt;""),AND(IG22&gt;=IM$31,IG22&lt;&gt;""),AND(IK22&gt;=IM$31,IK22&lt;&gt;""),AND(JC22&gt;=JI$31,JC22&lt;&gt;""),AND(JG22&gt;=JI$31,JG22&lt;&gt;""),AND(JY22&gt;=KE$31,JY22&lt;&gt;""),AND(KC22&gt;=KE$31,KC22&lt;&gt;""),AND(KU22&gt;=LA$31,KU22&lt;&gt;""),AND(KY22&gt;=LA$31,KY22&lt;&gt;""),AND(LQ22&gt;=LW$31,LQ22&lt;&gt;""),AND(LU22&gt;=LW$31,LU22&lt;&gt;""),AND(MM22&gt;=MS$31,MM22&lt;&gt;""),AND(MQ22&gt;=MS$31,MQ22&lt;&gt;""),AND(NI22&gt;=NO$31,NI22&lt;&gt;""),AND(NM22&gt;=NO$31,NM22&lt;&gt;"")),"Worlds Team",IF(OR(AND(AR22&gt;=AY$30,AR22&lt;&gt;"",AP22=""),AND(AT22&gt;=AY$30,AT22&lt;&gt;"",AP22=""),AND(AW22&gt;=AY$30,AW22&lt;&gt;"",AP22=""),AND(BV22&gt;=CC$30,BV22&lt;&gt;"",BT22=""),AND(BX22&gt;=CC$30,BX22&lt;&gt;"",BT22=""),AND(CA22&gt;=CC$30,CA22&lt;&gt;"",BT22=""),AND(CZ22&gt;=DG$30,CZ22&lt;&gt;"",CX22=""),AND(DB22&gt;=DG$30,DB22&lt;&gt;"",CX22=""),AND(DE22&gt;=DG$30,DE22&lt;&gt;"",CX22=""),AND(EA22&gt;=EG$30,EA22&lt;&gt;""),AND(EE22&gt;=EG$30,EE22&lt;&gt;""),AND(EW22&gt;=FC$30,EW22&lt;&gt;""),AND(FA22&gt;=FC$30,FA22&lt;&gt;""),AND(FS22&gt;=FY$30,FS22&lt;&gt;""),AND(FW22&gt;=FY$30,FW22&lt;&gt;""),AND(GO22&gt;=GU$30,GO22&lt;&gt;""),AND(GS22&gt;=GU$30,GS22&lt;&gt;""),AND(HK22&gt;=HQ$30,HK22&lt;&gt;""),AND(HO22&gt;=HQ$30,HO22&lt;&gt;""),AND(IG22&gt;=IM$30,IG22&lt;&gt;""),AND(IK22&gt;=IM$30,IK22&lt;&gt;""),AND(JC22&gt;=JI$30,JC22&lt;&gt;""),AND(JG22&gt;=JI$30,JG22&lt;&gt;""),AND(JY22&gt;=KE$30,JY22&lt;&gt;""),AND(KC22&gt;=KE$30,KC22&lt;&gt;""),AND(KU22&gt;=LA$30,KU22&lt;&gt;""),AND(KY22&gt;=LA$30,KY22&lt;&gt;""),AND(LQ22&gt;=LW$30,LQ22&lt;&gt;""),AND(LU22&gt;=LW$30,LU22&lt;&gt;""),AND(MM22&gt;=MS$30,MM22&lt;&gt;""),AND(MQ22&gt;=MS$30,MQ22&lt;&gt;""),AND(NI22&gt;=NO$30,NI22&lt;&gt;""),AND(NM22&gt;=NO$30,NM22&lt;&gt;"")),"National Team",""))))</f>
        <v/>
      </c>
      <c r="H22" s="115" t="str">
        <f>IF(OR(AND(AS22&gt;=AY$34,AS22&lt;&gt;"",AP22=""),AND(AU22&gt;=AY$34,AU22&lt;&gt;"",AP22=""),AND(AX22&gt;=AY$34,AX22&lt;&gt;"",AP22=""),AND(BW22&gt;=CC$34,BW22&lt;&gt;"",BT22=""),AND(BY22&gt;=CC$34,BY22&lt;&gt;"",BT22=""),AND(CB22&gt;=CC$34,CB22&lt;&gt;"",BT22=""),AND(DA22&gt;=DG$34,DA22&lt;&gt;"",CX22=""),AND(DC22&gt;=DG$34,DC22&lt;&gt;"",CX22=""),AND(DF22&gt;=DG$34,DF22&lt;&gt;"",CX22=""),AND(EC22&gt;=EG$34,EC22&lt;&gt;""),AND(EF22&gt;=EG$34,EF22&lt;&gt;""),AND(EY22&gt;=FC$34,EY22&lt;&gt;""),AND(FB22&gt;=FC$34,FB22&lt;&gt;""),AND(FU22&gt;=FY$34,FU22&lt;&gt;""),AND(FX22&gt;=FY$34,FX22&lt;&gt;""),AND(GQ22&gt;=GU$34,GQ22&lt;&gt;""),AND(GT22&gt;=GU$34,GT22&lt;&gt;""),AND(HM22&gt;=HQ$34,HM22&lt;&gt;""),AND(HP22&gt;=HQ$34,HP22&lt;&gt;""),AND(II22&gt;=IM$34,II22&lt;&gt;""),AND(IL22&gt;=IM$34,IL22&lt;&gt;""),AND(JE22&gt;=JI$34,JE22&lt;&gt;""),AND(JH22&gt;=JI$34,JH22&lt;&gt;""),AND(KA22&gt;=KE$34,KA22&lt;&gt;""),AND(KD22&gt;=KE$34,KD22&lt;&gt;""),AND(KW22&gt;=LA$34,KW22&lt;&gt;""),AND(KZ22&gt;=LA$34,KZ22&lt;&gt;""),AND(LS22&gt;=LW$34,LS22&lt;&gt;""),AND(LV22&gt;=LW$34,LV22&lt;&gt;""),AND(MO22&gt;=MS$34,MO22&lt;&gt;""),AND(MR22&gt;=MS$34,MR22&lt;&gt;""),AND(NK22&gt;=NO$34,NK22&lt;&gt;""),AND(NN22&gt;=NO$34,NN22&lt;&gt;"")),"National Team","")</f>
        <v/>
      </c>
      <c r="I22" s="116" t="str">
        <f>IF(AND(G22="Merit",H22="Merit"),"Merit",IF(AND(OR(G22="Merit",G22="Excellence"),OR(H22="Merit",H22="Excellence")),"Excellence",IF(AND(OR(G22="Merit",G22="Excellence",G22="Worlds Team"),OR(H22="Merit",H22="Excellence",H22="Worlds Team")),"Worlds Team",IF(AND(OR(G22="Merit",G22="Excellence",G22="Worlds Team",G22="National Team"),OR(H22="Merit",H22="Excellence",H22="Worlds Team",H22="National Team")),"National Team",IF(OR(H22="Merit",H22="Excellence",H22="Worlds Team",H22="National Team"),"No DD","")))))</f>
        <v/>
      </c>
      <c r="J22" s="3" t="str">
        <f>IF(AND(OR(AND(AV22&gt;=AY$35,AV22&lt;&gt;"",AP22=""),AND(BZ22&gt;=CC$35,BZ22&lt;&gt;"",BT22=""),AND(DD22&gt;=DG$35,DD22&lt;&gt;"",CX22=""),AND(ED22&gt;=EG$35,ED22&lt;&gt;""),AND(EZ22&gt;=FC$35,EZ22&lt;&gt;""),AND(FV22&gt;=FY$35,FV22&lt;&gt;""),AND(GR22&gt;=GU$35,GR22&lt;&gt;""),AND(HN22&gt;=HQ$35,HN22&lt;&gt;""),AND(IJ22&gt;=IM$35,IJ22&lt;&gt;""),AND(JF22&gt;=JI$35,JF22&lt;&gt;""),AND(KB22&gt;=KE$35,KB22&lt;&gt;""),AND(KX22&gt;=LA$35,KX22&lt;&gt;""),AND(LT22&gt;=LW$35,LT22&lt;&gt;""),AND(MP22&gt;=MS$35,MP22&lt;&gt;""),AND(NL22&gt;=NO$35,NL22&lt;&gt;"")),OR(G22="Worlds Team",G22="Excellence",G22="Merit")),"P","")</f>
        <v/>
      </c>
      <c r="K22" s="14">
        <f>IF(MAX(AV22,BZ22,DD22)&gt;0,MAX(AV22,BZ22,DD22),0)</f>
        <v>85.134999999999991</v>
      </c>
      <c r="L22" s="14" t="str">
        <f>IF(K22=0,"",IF(K22=DD22,$CD$1,IF(K22=BZ22,$AZ$1,IF(K22=AV22,$V$1,""))))</f>
        <v>2021 2nd Virtual Technical Trial</v>
      </c>
      <c r="M22" s="14">
        <f>IF($K22=$AV22,MAX(BU22,CY22),IF($K22=$BZ22,MAX(AQ22,CY22),IF($K22=$DD22,MAX(AQ22,BU22),MAX(AQ22,BU22,CY22))))</f>
        <v>39.840000000000003</v>
      </c>
      <c r="N22" s="14" t="str">
        <f>IF(M22=0,"",IF(AND(M22=CY22,$L22&lt;&gt;$CD$1),$CD$1,IF(AND(M22=BU22,$L22&lt;&gt;$AZ$1),$AZ$1,IF(AND(M22=AQ22,$L22&lt;&gt;$V$1),$V$1,""))))</f>
        <v>2021 Canadian Championships</v>
      </c>
      <c r="O22" s="14">
        <f>MAX(AS22,AU22,AX22,BW22,BY22,CB22,DA22,DC22,DF22)</f>
        <v>45.96</v>
      </c>
      <c r="P22" s="14" t="str">
        <f>IF(O22=0,"",IF(OR(O22=DC22,O22=DA22,O22=DF22),$CD$1,IF(OR(O22=BY22,O22=BW22,O22=CB22),$AZ$1,IF(OR(O22=AU22,O22=AS22,O22=AX22),$V$1,""))))</f>
        <v>2021 2nd Virtual Technical Trial</v>
      </c>
      <c r="Q22" s="14">
        <f>IF(COUNT(AS22,AU22,AX22,BW22,BY22,CB22,DA22,DC22,DF22)&gt;1,LARGE((AS22,AU22,AX22,BW22,BY22,CB22,DA22,DC22,DF22),2),0)</f>
        <v>40.545000000000002</v>
      </c>
      <c r="R22" s="14" t="str">
        <f>IF(Q22=0,"",IF(OR(Q22=DC22,Q22=DA22,Q22=DF22),$CD$1,IF(OR(Q22=BY22,Q22=BW22,Q22=CB22),$AZ$1,IF(OR(Q22=AU22,Q22=AS22,Q22=AX22),$V$1,""))))</f>
        <v>2021 2nd Virtual Technical Trial</v>
      </c>
      <c r="S22" s="14" t="str">
        <f>IF(MAX(DI22,DK22)&gt;0,MAX(DI22,DK22),"")</f>
        <v/>
      </c>
      <c r="T22" s="24" t="str">
        <f>IF(S22="","",IF(S22=DH22,"(Vol 1)",IF(S22=DI22,"(Vol 2)",IF(S22=DJ22,"(Prelim)",IF(S22=DK22,"(Final)")))))</f>
        <v/>
      </c>
      <c r="U22" s="14" t="str">
        <f>IF(S22="","",IF(S22=DH22,IF(S22+IF(M22="",0,M22)=NJ22,$MT$1,IF(S22+IF(M22="",0,M22)=MN22,$LX$1,IF(S22+IF(M22="",0,M22)=LR22,$LB$1,IF(S22+IF(M22="",0,M22)=KV22,$KF$1,IF(S22+IF(M22="",0,M22)=JZ22,$JJ$1,IF(S22+IF(M22="",0,M22)=JD22,$IN$1,IF(S22+IF(M22="",0,M22)=IH22,$HR$1,IF(S22+IF(M22="",0,M22)=HL22,$GV$1,IF(S22+IF(M22="",0,M22)=GP22,$FZ$1,IF(S22+IF(M22="",0,M22)=FT22,$FD$1,IF(S22+IF(M22="",0,M22)=EX22,$EH$1,IF(S22+IF(M22="",0,M22)=EB22,$DL$1)))))))))))),IF(S22=DI22,IF(S22+IF(O22="",0,O22)=NK22,$MT$1,IF(S22+IF(O22="",0,O22)=MO22,$LX$1,IF(S22+IF(O22="",0,O22)=LS22,$LB$1,IF(S22+IF(O22="",0,O22)=KW22,$KF$1,IF(S22+IF(O22="",0,O22)=KA22,$JJ$1,IF(S22+IF(O22="",0,O22)=JE22,$IN$1,IF(S22+IF(O22="",0,O22)=II22,$HR$1,IF(S22+IF(O22="",0,O22)=HM22,$GV$1,IF(S22+IF(O22="",0,O22)=GQ22,$FZ$1,IF(S22+IF(O22="",0,O22)=FU22,$FD$1,IF(S22+IF(O22="",0,O22)=EY22,$EH$1,IF(S22+IF(O22="",0,O22)=EC22,$DL$1)))))))))))),IF(S22=DJ22,IF(S22+IF(K22="",0,K22)=NL22,$MT$1,IF(S22+IF(K22="",0,K22)=MP22,$LX$1,IF(S22+IF(K22="",0,K22)=LT22,$LB$1,IF(S22+IF(K22="",0,K22)=KX22,$KF$1,IF(S22+IF(K22="",0,K22)=KB22,$JJ$1,IF(S22+IF(K22="",0,K22)=JF22,$IN$1,IF(S22+IF(K22="",0,K22)=IJ22,$HR$1,IF(S22+IF(K22="",0,K22)=HN22,$GV$1,IF(S22+IF(K22="",0,K22)=GR22,$FZ$1,IF(S22+IF(K22="",0,K22)=FV22,$FD$1,IF(S22+IF(K22="",0,K22)=EZ22,$EH$1,IF(S22+IF(K22="",0,K22)=ED22,$DL$1)))))))))))),IF(S22=DK22,IF(S22+IF(Q22="",0,Q22)=NN22,$MT$1,IF(S22+IF(Q22="",0,Q22)=MR22,$LX$1,IF(S22+IF(Q22="",0,Q22)=LV22,$LB$1,IF(S22+IF(Q22="",0,Q22)=KZ22,$KF$1,IF(S22+IF(Q22="",0,Q22)=KD22,$JJ$1,IF(S22+IF(Q22="",0,Q22)=JH22,$IN$1,IF(S22+IF(Q22="",0,Q22)=IL22,$HR$1,IF(S22+IF(Q22="",0,Q22)=HP22,$GV$1,IF(S22+IF(Q22="",0,Q22)=GT22,$FZ$1,IF(S22+IF(Q22="",0,Q22)=FX22,$FD$1,IF(S22+IF(Q22="",0,Q22)=FB22,$EH$1,IF(S22+IF(Q22="",0,Q22)=EF22,$DL$1)))))))))))))))))</f>
        <v/>
      </c>
      <c r="V22" s="61">
        <v>14.7</v>
      </c>
      <c r="W22" s="61">
        <v>9.6</v>
      </c>
      <c r="X22" s="61">
        <v>1.4</v>
      </c>
      <c r="Y22" s="61">
        <v>13.475</v>
      </c>
      <c r="Z22" s="61">
        <v>0</v>
      </c>
      <c r="AA22" s="61">
        <v>14</v>
      </c>
      <c r="AB22" s="61">
        <v>9.1999999999999993</v>
      </c>
      <c r="AC22" s="61">
        <v>9.6999999999999993</v>
      </c>
      <c r="AD22" s="61">
        <v>13.06</v>
      </c>
      <c r="AE22" s="61">
        <v>0</v>
      </c>
      <c r="AF22" s="61"/>
      <c r="AG22" s="61"/>
      <c r="AH22" s="61"/>
      <c r="AI22" s="61"/>
      <c r="AJ22" s="61"/>
      <c r="AK22" s="61">
        <v>12.3</v>
      </c>
      <c r="AL22" s="61">
        <v>8.3000000000000007</v>
      </c>
      <c r="AM22" s="61">
        <v>8.5</v>
      </c>
      <c r="AN22" s="61">
        <v>11.445</v>
      </c>
      <c r="AO22" s="61">
        <v>0</v>
      </c>
      <c r="AP22" s="72"/>
      <c r="AQ22" s="11">
        <f>IF(SUM(V22:Y22)-Z22&gt;0,SUM(V22:Y22)-Z22,"")</f>
        <v>39.174999999999997</v>
      </c>
      <c r="AR22" s="11">
        <f>IF(AC22&gt;0,AC22,"")</f>
        <v>9.6999999999999993</v>
      </c>
      <c r="AS22" s="11">
        <f>IF(SUM(AA22:AD22)-AE22&gt;0,SUM(AA22:AD22)-AE22,"")</f>
        <v>45.96</v>
      </c>
      <c r="AT22" s="11" t="str">
        <f>IF(AH22&gt;0,AH22,"")</f>
        <v/>
      </c>
      <c r="AU22" s="11" t="str">
        <f>IF(SUM(AF22:AI22)-AJ22&gt;0,SUM(AF22:AI22)-AJ22,"")</f>
        <v/>
      </c>
      <c r="AV22" s="11">
        <f>IF(AQ22="",IF(MAX(AS22,AU22)&gt;0,MAX(AS22,AU22),""),MAX(AS22,AU22)+AQ22)</f>
        <v>85.134999999999991</v>
      </c>
      <c r="AW22" s="11">
        <f>IF(AM22&gt;0,AM22,"")</f>
        <v>8.5</v>
      </c>
      <c r="AX22" s="11">
        <f>IF(SUM(AK22:AN22)-AO22&gt;0,SUM(AK22:AN22)-AO22,"")</f>
        <v>40.545000000000002</v>
      </c>
      <c r="AY22" s="11">
        <f>IF(SUM(AV22,AX22)&gt;0,SUM(AV22,AX22),"")</f>
        <v>125.67999999999999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>IF(SUM(AZ22:BC22)-BD22&gt;0,SUM(AZ22:BC22)-BD22,"")</f>
        <v/>
      </c>
      <c r="BV22" s="14" t="str">
        <f>IF(BG22&gt;0,BG22,"")</f>
        <v/>
      </c>
      <c r="BW22" s="14" t="str">
        <f>IF(SUM(BE22:BH22)-BI22&gt;0,SUM(BE22:BH22)-BI22,"")</f>
        <v/>
      </c>
      <c r="BX22" s="14" t="str">
        <f>IF(BL22&gt;0,BL22,"")</f>
        <v/>
      </c>
      <c r="BY22" s="14" t="str">
        <f>IF(SUM(BJ22:BM22)-BN22&gt;0,SUM(BJ22:BM22)-BN22,"")</f>
        <v/>
      </c>
      <c r="BZ22" s="14" t="str">
        <f>IF(BU22="",IF(MAX(BW22,BY22)&gt;0,MAX(BW22,BY22),""),MAX(BW22,BY22)+BU22)</f>
        <v/>
      </c>
      <c r="CA22" s="14" t="str">
        <f>IF(BQ22&gt;0,BQ22,"")</f>
        <v/>
      </c>
      <c r="CB22" s="14" t="str">
        <f>IF(SUM(BO22:BR22)-BS22&gt;0,SUM(BO22:BR22)-BS22,"")</f>
        <v/>
      </c>
      <c r="CC22" s="14" t="str">
        <f>IF(SUM(BZ22,CB22)&gt;0,SUM(BZ22,CB22),"")</f>
        <v/>
      </c>
      <c r="CD22" s="61">
        <v>15.4</v>
      </c>
      <c r="CE22" s="61">
        <v>9.4</v>
      </c>
      <c r="CF22" s="61">
        <v>1.4</v>
      </c>
      <c r="CG22" s="61">
        <v>13.64</v>
      </c>
      <c r="CH22" s="61">
        <v>0</v>
      </c>
      <c r="CI22" s="61">
        <v>6.1</v>
      </c>
      <c r="CJ22" s="61">
        <v>4.7</v>
      </c>
      <c r="CK22" s="61">
        <v>5.6</v>
      </c>
      <c r="CL22" s="61">
        <v>6.3949999999999996</v>
      </c>
      <c r="CM22" s="61">
        <v>0</v>
      </c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>
        <f>IF(SUM(CD22:CG22)-CH22&gt;0,SUM(CD22:CG22)-CH22,"")</f>
        <v>39.840000000000003</v>
      </c>
      <c r="CZ22" s="11">
        <f>IF(CK22&gt;0,CK22,"")</f>
        <v>5.6</v>
      </c>
      <c r="DA22" s="11">
        <f>IF(SUM(CI22:CL22)-CM22&gt;0,SUM(CI22:CL22)-CM22,"")</f>
        <v>22.794999999999998</v>
      </c>
      <c r="DB22" s="11" t="str">
        <f>IF(CP22&gt;0,CP22,"")</f>
        <v/>
      </c>
      <c r="DC22" s="11" t="str">
        <f>IF(SUM(CN22:CQ22)-CR22&gt;0,SUM(CN22:CQ22)-CR22,"")</f>
        <v/>
      </c>
      <c r="DD22" s="11">
        <f>IF(CY22="",IF(MAX(DA22,DC22)&gt;0,MAX(DA22,DC22),""),MAX(DA22,DC22)+CY22)</f>
        <v>62.635000000000005</v>
      </c>
      <c r="DE22" s="11" t="str">
        <f>IF(CU22&gt;0,CU22,"")</f>
        <v/>
      </c>
      <c r="DF22" s="11" t="str">
        <f>IF(SUM(CS22:CV22)-CW22&gt;0,SUM(CS22:CV22)-CW22,"")</f>
        <v/>
      </c>
      <c r="DG22" s="11">
        <f>IF(SUM(DD22,DF22)&gt;0,SUM(DD22,DF22),"")</f>
        <v>62.635000000000005</v>
      </c>
      <c r="DH22" s="23" t="str">
        <f>IF(MAX(EB22,EX22,FT22,GP22,HL22,IH22,JD22,JZ22,KV22,LR22,MN22,NJ22)-IF(M22="",0,M22)&gt;0.001,MAX(EB22,EX22,FT22,GP22,HL22,IH22,JD22,JZ22,KV22,LR22,MN22,NJ22)-IF(M22="",0,M22),"")</f>
        <v/>
      </c>
      <c r="DI22" s="23" t="str">
        <f>IF(MAX(EC22,EY22,FU22,GQ22,HM22,II22,JE22,KA22,KW22,LS22,MO22,NK22)-IF(O22="",0,O22)&gt;0.001,MAX(EC22,EY22,FU22,GQ22,HM22,II22,JE22,KA22,KW22,LS22,MO22,NK22)-IF(O22="",0,O22),"")</f>
        <v/>
      </c>
      <c r="DJ22" s="23" t="str">
        <f>IF(MAX(ED22,EZ22,FV22,GR22,HN22,IJ22,JF22,KB22,KX22,LT22,MP22,NL22)-IF(K22="",0,K22)&gt;0.001,MAX(ED22,EZ22,FV22,GR22,HN22,IJ22,JF22,KB22,KX22,LT22,MP22,NL22)-IF(K22="",0,K22),"")</f>
        <v/>
      </c>
      <c r="DK22" s="23" t="str">
        <f>IF(MAX(EF22,FB22,FX22,GT22,HP22,IL22,JH22,KD22,KZ22,LV22,MR22,NN22)-IF(Q22="",0,Q22)&gt;0.001,MAX(EF22,FB22,FX22,GT22,HP22,IL22,JH22,KD22,KZ22,LV22,MR22,NN22)-IF(Q22="",0,Q22),"")</f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>IF(DS22&gt;0,DS22,"")</f>
        <v/>
      </c>
      <c r="EB22" s="11" t="str">
        <f>IF(SUM(DL22:DO22)-DP22&gt;0,SUM(DL22:DO22)-DP22,"")</f>
        <v/>
      </c>
      <c r="EC22" s="11" t="str">
        <f>IF(SUM(DQ22:DT22)-DU22&gt;0,SUM(DQ22:DT22)-DU22,"")</f>
        <v/>
      </c>
      <c r="ED22" s="11" t="str">
        <f>IF(SUM(EB22:EC22)&gt;0,SUM(EB22:EC22),"")</f>
        <v/>
      </c>
      <c r="EE22" s="11" t="str">
        <f>IF(DX22&gt;0,DX22,"")</f>
        <v/>
      </c>
      <c r="EF22" s="11" t="str">
        <f>IF(SUM(DV22:DY22)-DZ22&gt;0,SUM(DV22:DY22)-DZ22,"")</f>
        <v/>
      </c>
      <c r="EG22" s="11" t="str">
        <f>IF(SUM(ED22,EF22)&gt;0,SUM(ED22,EF22),"")</f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>IF(EO22&gt;0,EO22,"")</f>
        <v/>
      </c>
      <c r="EX22" s="14" t="str">
        <f>IF(SUM(EH22:EK22)-EL22&gt;0,SUM(EH22:EK22)-EL22,"")</f>
        <v/>
      </c>
      <c r="EY22" s="14" t="str">
        <f>IF(SUM(EM22:EP22)-EQ22&gt;0,SUM(EM22:EP22)-EQ22,"")</f>
        <v/>
      </c>
      <c r="EZ22" s="14" t="str">
        <f>IF(SUM(EX22:EY22)&gt;0,SUM(EX22:EY22),"")</f>
        <v/>
      </c>
      <c r="FA22" s="14" t="str">
        <f>IF(ET22&gt;0,ET22,"")</f>
        <v/>
      </c>
      <c r="FB22" s="14" t="str">
        <f>IF(SUM(ER22:EU22)-EV22&gt;0,SUM(ER22:EU22)-EV22,"")</f>
        <v/>
      </c>
      <c r="FC22" s="14" t="str">
        <f>IF(SUM(EZ22,FB22)&gt;0,SUM(EZ22,FB22),"")</f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>IF(FK22&gt;0,FK22,"")</f>
        <v/>
      </c>
      <c r="FT22" s="11" t="str">
        <f>IF(SUM(FD22:FG22)-FH22&gt;0,SUM(FD22:FG22)-FH22,"")</f>
        <v/>
      </c>
      <c r="FU22" s="11" t="str">
        <f>IF(SUM(FI22:FL22)-FM22&gt;0,SUM(FI22:FL22)-FM22,"")</f>
        <v/>
      </c>
      <c r="FV22" s="11" t="str">
        <f>IF(SUM(FT22:FU22)&gt;0,SUM(FT22:FU22),"")</f>
        <v/>
      </c>
      <c r="FW22" s="11" t="str">
        <f>IF(FP22&gt;0,FP22,"")</f>
        <v/>
      </c>
      <c r="FX22" s="11" t="str">
        <f>IF(SUM(FN22:FQ22)-FR22&gt;0,SUM(FN22:FQ22)-FR22,"")</f>
        <v/>
      </c>
      <c r="FY22" s="11" t="str">
        <f>IF(SUM(FV22,FX22)&gt;0,SUM(FV22,FX22),"")</f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>IF(GG22&gt;0,GG22,"")</f>
        <v/>
      </c>
      <c r="GP22" s="14" t="str">
        <f>IF(SUM(FZ22:GC22)-GD22&gt;0,SUM(FZ22:GC22)-GD22,"")</f>
        <v/>
      </c>
      <c r="GQ22" s="14" t="str">
        <f>IF(SUM(GE22:GH22)-GI22&gt;0,SUM(GE22:GH22)-GI22,"")</f>
        <v/>
      </c>
      <c r="GR22" s="14" t="str">
        <f>IF(SUM(GP22:GQ22)&gt;0,SUM(GP22:GQ22),"")</f>
        <v/>
      </c>
      <c r="GS22" s="14" t="str">
        <f>IF(GL22&gt;0,GL22,"")</f>
        <v/>
      </c>
      <c r="GT22" s="14" t="str">
        <f>IF(SUM(GJ22:GM22)-GN22&gt;0,SUM(GJ22:GM22)-GN22,"")</f>
        <v/>
      </c>
      <c r="GU22" s="14" t="str">
        <f>IF(SUM(GR22,GT22)&gt;0,SUM(GR22,GT22),"")</f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>IF(HC22&gt;0,HC22,"")</f>
        <v/>
      </c>
      <c r="HL22" s="11" t="str">
        <f>IF(SUM(GV22:GY22)-GZ22&gt;0,SUM(GV22:GY22)-GZ22,"")</f>
        <v/>
      </c>
      <c r="HM22" s="11" t="str">
        <f>IF(SUM(HA22:HD22)-HE22&gt;0,SUM(HA22:HD22)-HE22,"")</f>
        <v/>
      </c>
      <c r="HN22" s="11" t="str">
        <f>IF(SUM(HL22:HM22)&gt;0,SUM(HL22:HM22),"")</f>
        <v/>
      </c>
      <c r="HO22" s="11" t="str">
        <f>IF(HH22&gt;0,HH22,"")</f>
        <v/>
      </c>
      <c r="HP22" s="11" t="str">
        <f>IF(SUM(HF22:HI22)-HJ22&gt;0,SUM(HF22:HI22)-HJ22,"")</f>
        <v/>
      </c>
      <c r="HQ22" s="11" t="str">
        <f>IF(SUM(HN22,HP22)&gt;0,SUM(HN22,HP22),"")</f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>IF(HY22&gt;0,HY22,"")</f>
        <v/>
      </c>
      <c r="IH22" s="14" t="str">
        <f>IF(SUM(HR22:HU22)-HV22&gt;0,SUM(HR22:HU22)-HV22,"")</f>
        <v/>
      </c>
      <c r="II22" s="14" t="str">
        <f>IF(SUM(HW22:HZ22)-IA22&gt;0,SUM(HW22:HZ22)-IA22,"")</f>
        <v/>
      </c>
      <c r="IJ22" s="14" t="str">
        <f>IF(SUM(IH22:II22)&gt;0,SUM(IH22:II22),"")</f>
        <v/>
      </c>
      <c r="IK22" s="14" t="str">
        <f>IF(ID22&gt;0,ID22,"")</f>
        <v/>
      </c>
      <c r="IL22" s="14" t="str">
        <f>IF(SUM(IB22:IE22)-IF22&gt;0,SUM(IB22:IE22)-IF22,"")</f>
        <v/>
      </c>
      <c r="IM22" s="14" t="str">
        <f>IF(SUM(IJ22,IL22)&gt;0,SUM(IJ22,IL22),"")</f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>IF(IU22&gt;0,IU22,"")</f>
        <v/>
      </c>
      <c r="JD22" s="11" t="str">
        <f>IF(SUM(IN22:IQ22)-IR22&gt;0,SUM(IN22:IQ22)-IR22,"")</f>
        <v/>
      </c>
      <c r="JE22" s="11" t="str">
        <f>IF(SUM(IS22:IV22)-IW22&gt;0,SUM(IS22:IV22)-IW22,"")</f>
        <v/>
      </c>
      <c r="JF22" s="11" t="str">
        <f>IF(SUM(JD22:JE22)&gt;0,SUM(JD22:JE22),"")</f>
        <v/>
      </c>
      <c r="JG22" s="11" t="str">
        <f>IF(IZ22&gt;0,IZ22,"")</f>
        <v/>
      </c>
      <c r="JH22" s="11" t="str">
        <f>IF(SUM(IX22:JA22)-JB22&gt;0,SUM(IX22:JA22)-JB22,"")</f>
        <v/>
      </c>
      <c r="JI22" s="11" t="str">
        <f>IF(SUM(JF22,JH22)&gt;0,SUM(JF22,JH22),"")</f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>IF(JQ22&gt;0,JQ22,"")</f>
        <v/>
      </c>
      <c r="JZ22" s="14" t="str">
        <f>IF(SUM(JJ22:JM22)-JN22&gt;0,SUM(JJ22:JM22)-JN22,"")</f>
        <v/>
      </c>
      <c r="KA22" s="14" t="str">
        <f>IF(SUM(JO22:JR22)-JS22&gt;0,SUM(JO22:JR22)-JS22,"")</f>
        <v/>
      </c>
      <c r="KB22" s="14" t="str">
        <f>IF(SUM(JZ22:KA22)&gt;0,SUM(JZ22:KA22),"")</f>
        <v/>
      </c>
      <c r="KC22" s="14" t="str">
        <f>IF(JV22&gt;0,JV22,"")</f>
        <v/>
      </c>
      <c r="KD22" s="14" t="str">
        <f>IF(SUM(JT22:JW22)-JX22&gt;0,SUM(JT22:JW22)-JX22,"")</f>
        <v/>
      </c>
      <c r="KE22" s="14" t="str">
        <f>IF(SUM(KB22,KD22)&gt;0,SUM(KB22,KD22),"")</f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>IF(KM22&gt;0,KM22,"")</f>
        <v/>
      </c>
      <c r="KV22" s="11" t="str">
        <f>IF(SUM(KF22:KI22)-KJ22&gt;0,SUM(KF22:KI22)-KJ22,"")</f>
        <v/>
      </c>
      <c r="KW22" s="11" t="str">
        <f>IF(SUM(KK22:KN22)-KO22&gt;0,SUM(KK22:KN22)-KO22,"")</f>
        <v/>
      </c>
      <c r="KX22" s="11" t="str">
        <f>IF(SUM(KV22:KW22)&gt;0,SUM(KV22:KW22),"")</f>
        <v/>
      </c>
      <c r="KY22" s="11" t="str">
        <f>IF(KR22&gt;0,KR22,"")</f>
        <v/>
      </c>
      <c r="KZ22" s="11" t="str">
        <f>IF(SUM(KP22:KS22)-KT22&gt;0,SUM(KP22:KS22)-KT22,"")</f>
        <v/>
      </c>
      <c r="LA22" s="11" t="str">
        <f>IF(SUM(KX22,KZ22)&gt;0,SUM(KX22,KZ22),"")</f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>IF(LI22&gt;0,LI22,"")</f>
        <v/>
      </c>
      <c r="LR22" s="14" t="str">
        <f>IF(SUM(LB22:LE22)-LF22&gt;0,SUM(LB22:LE22)-LF22,"")</f>
        <v/>
      </c>
      <c r="LS22" s="14" t="str">
        <f>IF(SUM(LG22:LJ22)-LK22&gt;0,SUM(LG22:LJ22)-LK22,"")</f>
        <v/>
      </c>
      <c r="LT22" s="14" t="str">
        <f>IF(SUM(LR22:LS22)&gt;0,SUM(LR22:LS22),"")</f>
        <v/>
      </c>
      <c r="LU22" s="14" t="str">
        <f>IF(LN22&gt;0,LN22,"")</f>
        <v/>
      </c>
      <c r="LV22" s="14" t="str">
        <f>IF(SUM(LL22:LO22)-LP22&gt;0,SUM(LL22:LO22)-LP22,"")</f>
        <v/>
      </c>
      <c r="LW22" s="14" t="str">
        <f>IF(SUM(LT22,LV22)&gt;0,SUM(LT22,LV22),"")</f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>IF(ME22&gt;0,ME22,"")</f>
        <v/>
      </c>
      <c r="MN22" s="11" t="str">
        <f>IF(SUM(LX22:MA22)-MB22&gt;0,SUM(LX22:MA22)-MB22,"")</f>
        <v/>
      </c>
      <c r="MO22" s="11" t="str">
        <f>IF(SUM(MC22:MF22)-MG22&gt;0,SUM(MC22:MF22)-MG22,"")</f>
        <v/>
      </c>
      <c r="MP22" s="11" t="str">
        <f>IF(SUM(MN22:MO22)&gt;0,SUM(MN22:MO22),"")</f>
        <v/>
      </c>
      <c r="MQ22" s="11" t="str">
        <f>IF(MJ22&gt;0,MJ22,"")</f>
        <v/>
      </c>
      <c r="MR22" s="11" t="str">
        <f>IF(SUM(MH22:MK22)-ML22&gt;0,SUM(MH22:MK22)-ML22,"")</f>
        <v/>
      </c>
      <c r="MS22" s="11" t="str">
        <f>IF(SUM(MP22,MR22)&gt;0,SUM(MP22,MR22),"")</f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>IF(NA22&gt;0,NA22,"")</f>
        <v/>
      </c>
      <c r="NJ22" s="14" t="str">
        <f>IF(SUM(MT22:MW22)-MX22&gt;0,SUM(MT22:MW22)-MX22,"")</f>
        <v/>
      </c>
      <c r="NK22" s="14" t="str">
        <f>IF(SUM(MY22:NB22)-NC22&gt;0,SUM(MY22:NB22)-NC22,"")</f>
        <v/>
      </c>
      <c r="NL22" s="14" t="str">
        <f>IF(SUM(NJ22:NK22)&gt;0,SUM(NJ22:NK22),"")</f>
        <v/>
      </c>
      <c r="NM22" s="14" t="str">
        <f>IF(NF22&gt;0,NF22,"")</f>
        <v/>
      </c>
      <c r="NN22" s="14" t="str">
        <f>IF(SUM(ND22:NG22)-NH22&gt;0,SUM(ND22:NG22)-NH22,"")</f>
        <v/>
      </c>
      <c r="NO22" s="14" t="str">
        <f>IF(SUM(NL22,NN22)&gt;0,SUM(NL22,NN22),"")</f>
        <v/>
      </c>
      <c r="NP22" s="61">
        <f>IF($CX22="P",CD22,(CD22+AZ22)/2)</f>
        <v>7.7</v>
      </c>
      <c r="NQ22" s="61">
        <f>IF($CX22="P",CE22,(CE22+BA22)/2)</f>
        <v>4.7</v>
      </c>
      <c r="NR22" s="61">
        <f>IF($CX22="P",CF22,(CF22+BB22)/2)</f>
        <v>0.7</v>
      </c>
      <c r="NS22" s="61">
        <f>IF($CX22="P",CG22,(CG22+BC22)/2)</f>
        <v>6.82</v>
      </c>
      <c r="NT22" s="61">
        <f>IF($CX22="P",CH22,(CH22+BD22)/2)</f>
        <v>0</v>
      </c>
      <c r="NU22" s="61">
        <f>IF($CX22="P",CI22,(CI22+BE22)/2)</f>
        <v>3.05</v>
      </c>
      <c r="NV22" s="61">
        <f>IF($CX22="P",CJ22,(CJ22+BF22)/2)</f>
        <v>2.35</v>
      </c>
      <c r="NW22" s="61">
        <f>IF($CX22="P",CK22,(CK22+BG22)/2)</f>
        <v>2.8</v>
      </c>
      <c r="NX22" s="61">
        <f>IF($CX22="P",CL22,(CL22+BH22)/2)</f>
        <v>3.1974999999999998</v>
      </c>
      <c r="NY22" s="61">
        <f>IF($CX22="P",CM22,(CM22+BI22)/2)</f>
        <v>0</v>
      </c>
      <c r="NZ22" s="61">
        <f>IF($CX22="P",CN22,(CN22+BJ22)/2)</f>
        <v>0</v>
      </c>
      <c r="OA22" s="61">
        <f>IF($CX22="P",CO22,(CO22+BK22)/2)</f>
        <v>0</v>
      </c>
      <c r="OB22" s="61">
        <f>IF($CX22="P",CP22,(CP22+BL22)/2)</f>
        <v>0</v>
      </c>
      <c r="OC22" s="61">
        <f>IF($CX22="P",CQ22,(CQ22+BM22)/2)</f>
        <v>0</v>
      </c>
      <c r="OD22" s="61">
        <f>IF($CX22="P",CR22,(CR22+BN22)/2)</f>
        <v>0</v>
      </c>
      <c r="OE22" s="61">
        <f>IF($CX22="P",CS22,(CS22+BO22)/2)</f>
        <v>0</v>
      </c>
      <c r="OF22" s="61">
        <f>IF($CX22="P",CT22,(CT22+BP22)/2)</f>
        <v>0</v>
      </c>
      <c r="OG22" s="61">
        <f>IF($CX22="P",CU22,(CU22+BQ22)/2)</f>
        <v>0</v>
      </c>
      <c r="OH22" s="61">
        <f>IF($CX22="P",CV22,(CV22+BR22)/2)</f>
        <v>0</v>
      </c>
      <c r="OI22" s="61">
        <f>IF($CX22="P",CW22,(CW22+BS22)/2)</f>
        <v>0</v>
      </c>
      <c r="OJ22" s="72" t="s">
        <v>52</v>
      </c>
      <c r="OK22" s="11">
        <f>IF(SUM(NP22:NS22)-NT22&gt;0,SUM(NP22:NS22)-NT22,"")</f>
        <v>19.920000000000002</v>
      </c>
      <c r="OL22" s="11">
        <f>IF(NW22&gt;0,NW22,"")</f>
        <v>2.8</v>
      </c>
      <c r="OM22" s="11">
        <f>IF(SUM(NU22:NX22)-NY22&gt;0,SUM(NU22:NX22)-NY22,"")</f>
        <v>11.397499999999999</v>
      </c>
      <c r="ON22" s="11" t="str">
        <f>IF(OB22&gt;0,OB22,"")</f>
        <v/>
      </c>
      <c r="OO22" s="11" t="str">
        <f>IF(SUM(NZ22:OC22)-OD22&gt;0,SUM(NZ22:OC22)-OD22,"")</f>
        <v/>
      </c>
      <c r="OP22" s="11">
        <f>IF(OR(OK22&lt;&gt;"",OM22&lt;&gt;"",OO22&lt;&gt;""),OK22+MAX(OM22,OO22),"")</f>
        <v>31.317500000000003</v>
      </c>
      <c r="OQ22" s="11" t="str">
        <f>IF(OG22&gt;0,OG22,"")</f>
        <v/>
      </c>
      <c r="OR22" s="11" t="str">
        <f t="shared" ref="OR22" si="26">IF(SUM(OE22:OH22)-OI22&gt;0,SUM(OE22:OH22)-OI22,"")</f>
        <v/>
      </c>
      <c r="OS22" s="11">
        <f t="shared" ref="OS22" si="27">IF(SUM(OP22,OR22)&gt;0,SUM(OP22,OR22),"")</f>
        <v>31.317500000000003</v>
      </c>
    </row>
    <row r="23" spans="1:409" x14ac:dyDescent="0.2">
      <c r="A23" s="5" t="str" cm="1">
        <f t="array" ref="A23">IF(AND(G23&lt;&gt;"",H23&lt;&gt;""),SUMPRODUCT((G$4:G$28&lt;&gt;"")*(H$4:H$28&lt;&gt;"")*(E$4:E$28&gt;E23))+1,IF(H23&lt;&gt;"",SUMPRODUCT((I$4:I$28="No DD")*(E$4:E$28&gt;E23))+1+SUMPRODUCT((G$4:G$28&lt;&gt;"")*(H$4:H$28&lt;&gt;"")),""))</f>
        <v/>
      </c>
      <c r="B23" s="6" t="s">
        <v>142</v>
      </c>
      <c r="C23" s="7" t="s">
        <v>4</v>
      </c>
      <c r="D23" s="26">
        <v>2002</v>
      </c>
      <c r="E23" s="15">
        <f>SUM(O23:S23)</f>
        <v>86.055000000000007</v>
      </c>
      <c r="F23" s="3" t="str">
        <f>IF(G23&lt;&gt;"","P","")</f>
        <v/>
      </c>
      <c r="G23" s="115" t="str">
        <f>IF(OR(AND(AR23&gt;=AY$33,AR23&lt;&gt;"",AP23=""),AND(AT23&gt;=AY$33,AT23&lt;&gt;"",AP23=""),AND(AW23&gt;=AY$33,AW23&lt;&gt;"",AP23=""),AND(BV23&gt;=CC$33,BV23&lt;&gt;"",BT23=""),AND(BX23&gt;=CC$33,BX23&lt;&gt;"",BT23=""),AND(CA23&gt;=CC$33,CA23&lt;&gt;"",BT23=""),AND(CZ23&gt;=DG$33,CZ23&lt;&gt;"",CX23=""),AND(DB23&gt;=DG$33,DB23&lt;&gt;"",CX23=""),AND(DE23&gt;=DG$33,DE23&lt;&gt;"",CX23=""),AND(EA23&gt;=EG$33,EA23&lt;&gt;""),AND(EE23&gt;=EG$33,EE23&lt;&gt;""),AND(EW23&gt;=FC$33,EW23&lt;&gt;""),AND(FA23&gt;=FC$33,FA23&lt;&gt;""),AND(FS23&gt;=FY$33,FS23&lt;&gt;""),AND(FW23&gt;=FY$33,FW23&lt;&gt;""),AND(GO23&gt;=GU$33,GO23&lt;&gt;""),AND(GS23&gt;=GU$33,GS23&lt;&gt;""),AND(HK23&gt;=HQ$33,HK23&lt;&gt;""),AND(HO23&gt;=HQ$33,HO23&lt;&gt;""),AND(IG23&gt;=IM$33,IG23&lt;&gt;""),AND(IK23&gt;=IM$33,IK23&lt;&gt;""),AND(JC23&gt;=JI$33,JC23&lt;&gt;""),AND(JG23&gt;=JI$33,JG23&lt;&gt;""),AND(JY23&gt;=KE$33,JY23&lt;&gt;""),AND(KC23&gt;=KE$33,KC23&lt;&gt;""),AND(KU23&gt;=LA$33,KU23&lt;&gt;""),AND(KY23&gt;=LA$33,KY23&lt;&gt;""),AND(LQ23&gt;=LW$33,LQ23&lt;&gt;""),AND(LU23&gt;=LW$33,LU23&lt;&gt;""),AND(MM23&gt;=MS$33,MM23&lt;&gt;""),AND(MQ23&gt;=MS$33,MQ23&lt;&gt;""),AND(NI23&gt;=NO$33,NI23&lt;&gt;""),AND(NM23&gt;=NO$33,NM23&lt;&gt;"")),"Merit",IF(OR(AND(AR23&gt;=AY$32,AR23&lt;&gt;"",AP23=""),AND(AT23&gt;=AY$32,AT23&lt;&gt;"",AP23=""),AND(AW23&gt;=AY$32,AW23&lt;&gt;"",AP23=""),AND(BV23&gt;=CC$32,BV23&lt;&gt;"",BT23=""),AND(BX23&gt;=CC$32,BX23&lt;&gt;"",BT23=""),AND(CA23&gt;=CC$32,CA23&lt;&gt;"",BT23=""),AND(CZ23&gt;=DG$32,CZ23&lt;&gt;"",CX23=""),AND(DB23&gt;=DG$32,DB23&lt;&gt;"",CX23=""),AND(DE23&gt;=DG$32,DE23&lt;&gt;"",CX23=""),AND(EA23&gt;=EG$32,EA23&lt;&gt;""),AND(EE23&gt;=EG$32,EE23&lt;&gt;""),AND(EW23&gt;=FC$32,EW23&lt;&gt;""),AND(FA23&gt;=FC$32,FA23&lt;&gt;""),AND(FS23&gt;=FY$32,FS23&lt;&gt;""),AND(FW23&gt;=FY$32,FW23&lt;&gt;""),AND(GO23&gt;=GU$32,GO23&lt;&gt;""),AND(GS23&gt;=GU$32,GS23&lt;&gt;""),AND(HK23&gt;=HQ$32,HK23&lt;&gt;""),AND(HO23&gt;=HQ$32,HO23&lt;&gt;""),AND(IG23&gt;=IM$32,IG23&lt;&gt;""),AND(IK23&gt;=IM$32,IK23&lt;&gt;""),AND(JC23&gt;=JI$32,JC23&lt;&gt;""),AND(JG23&gt;=JI$32,JG23&lt;&gt;""),AND(JY23&gt;=KE$32,JY23&lt;&gt;""),AND(KC23&gt;=KE$32,KC23&lt;&gt;""),AND(KU23&gt;=LA$32,KU23&lt;&gt;""),AND(KY23&gt;=LA$32,KY23&lt;&gt;""),AND(LQ23&gt;=LW$32,LQ23&lt;&gt;""),AND(LU23&gt;=LW$32,LU23&lt;&gt;""),AND(MM23&gt;=MS$32,MM23&lt;&gt;""),AND(MQ23&gt;=MS$32,MQ23&lt;&gt;""),AND(NI23&gt;=NO$32,NI23&lt;&gt;""),AND(NM23&gt;=NO$32,NM23&lt;&gt;"")),"Excellence",IF(OR(AND(AR23&gt;=AY$31,AR23&lt;&gt;"",AP23=""),AND(AT23&gt;=AY$31,AT23&lt;&gt;"",AP23=""),AND(AW23&gt;=AY$31,AW23&lt;&gt;"",AP23=""),AND(BV23&gt;=CC$31,BV23&lt;&gt;"",BT23=""),AND(BX23&gt;=CC$31,BX23&lt;&gt;"",BT23=""),AND(CA23&gt;=CC$31,CA23&lt;&gt;"",BT23=""),AND(CZ23&gt;=DG$31,CZ23&lt;&gt;"",CX23=""),AND(DB23&gt;=DG$31,DB23&lt;&gt;"",CX23=""),AND(DE23&gt;=DG$31,DE23&lt;&gt;"",CX23=""),AND(EA23&gt;=EG$31,EA23&lt;&gt;""),AND(EE23&gt;=EG$31,EE23&lt;&gt;""),AND(EW23&gt;=FC$31,EW23&lt;&gt;""),AND(FA23&gt;=FC$31,FA23&lt;&gt;""),AND(FS23&gt;=FY$31,FS23&lt;&gt;""),AND(FW23&gt;=FY$31,FW23&lt;&gt;""),AND(GO23&gt;=GU$31,GO23&lt;&gt;""),AND(GS23&gt;=GU$31,GS23&lt;&gt;""),AND(HK23&gt;=HQ$31,HK23&lt;&gt;""),AND(HO23&gt;=HQ$31,HO23&lt;&gt;""),AND(IG23&gt;=IM$31,IG23&lt;&gt;""),AND(IK23&gt;=IM$31,IK23&lt;&gt;""),AND(JC23&gt;=JI$31,JC23&lt;&gt;""),AND(JG23&gt;=JI$31,JG23&lt;&gt;""),AND(JY23&gt;=KE$31,JY23&lt;&gt;""),AND(KC23&gt;=KE$31,KC23&lt;&gt;""),AND(KU23&gt;=LA$31,KU23&lt;&gt;""),AND(KY23&gt;=LA$31,KY23&lt;&gt;""),AND(LQ23&gt;=LW$31,LQ23&lt;&gt;""),AND(LU23&gt;=LW$31,LU23&lt;&gt;""),AND(MM23&gt;=MS$31,MM23&lt;&gt;""),AND(MQ23&gt;=MS$31,MQ23&lt;&gt;""),AND(NI23&gt;=NO$31,NI23&lt;&gt;""),AND(NM23&gt;=NO$31,NM23&lt;&gt;"")),"Worlds Team",IF(OR(AND(AR23&gt;=AY$30,AR23&lt;&gt;"",AP23=""),AND(AT23&gt;=AY$30,AT23&lt;&gt;"",AP23=""),AND(AW23&gt;=AY$30,AW23&lt;&gt;"",AP23=""),AND(BV23&gt;=CC$30,BV23&lt;&gt;"",BT23=""),AND(BX23&gt;=CC$30,BX23&lt;&gt;"",BT23=""),AND(CA23&gt;=CC$30,CA23&lt;&gt;"",BT23=""),AND(CZ23&gt;=DG$30,CZ23&lt;&gt;"",CX23=""),AND(DB23&gt;=DG$30,DB23&lt;&gt;"",CX23=""),AND(DE23&gt;=DG$30,DE23&lt;&gt;"",CX23=""),AND(EA23&gt;=EG$30,EA23&lt;&gt;""),AND(EE23&gt;=EG$30,EE23&lt;&gt;""),AND(EW23&gt;=FC$30,EW23&lt;&gt;""),AND(FA23&gt;=FC$30,FA23&lt;&gt;""),AND(FS23&gt;=FY$30,FS23&lt;&gt;""),AND(FW23&gt;=FY$30,FW23&lt;&gt;""),AND(GO23&gt;=GU$30,GO23&lt;&gt;""),AND(GS23&gt;=GU$30,GS23&lt;&gt;""),AND(HK23&gt;=HQ$30,HK23&lt;&gt;""),AND(HO23&gt;=HQ$30,HO23&lt;&gt;""),AND(IG23&gt;=IM$30,IG23&lt;&gt;""),AND(IK23&gt;=IM$30,IK23&lt;&gt;""),AND(JC23&gt;=JI$30,JC23&lt;&gt;""),AND(JG23&gt;=JI$30,JG23&lt;&gt;""),AND(JY23&gt;=KE$30,JY23&lt;&gt;""),AND(KC23&gt;=KE$30,KC23&lt;&gt;""),AND(KU23&gt;=LA$30,KU23&lt;&gt;""),AND(KY23&gt;=LA$30,KY23&lt;&gt;""),AND(LQ23&gt;=LW$30,LQ23&lt;&gt;""),AND(LU23&gt;=LW$30,LU23&lt;&gt;""),AND(MM23&gt;=MS$30,MM23&lt;&gt;""),AND(MQ23&gt;=MS$30,MQ23&lt;&gt;""),AND(NI23&gt;=NO$30,NI23&lt;&gt;""),AND(NM23&gt;=NO$30,NM23&lt;&gt;"")),"National Team",""))))</f>
        <v/>
      </c>
      <c r="H23" s="115" t="str">
        <f>IF(OR(AND(AS23&gt;=AY$34,AS23&lt;&gt;"",AP23=""),AND(AU23&gt;=AY$34,AU23&lt;&gt;"",AP23=""),AND(AX23&gt;=AY$34,AX23&lt;&gt;"",AP23=""),AND(BW23&gt;=CC$34,BW23&lt;&gt;"",BT23=""),AND(BY23&gt;=CC$34,BY23&lt;&gt;"",BT23=""),AND(CB23&gt;=CC$34,CB23&lt;&gt;"",BT23=""),AND(DA23&gt;=DG$34,DA23&lt;&gt;"",CX23=""),AND(DC23&gt;=DG$34,DC23&lt;&gt;"",CX23=""),AND(DF23&gt;=DG$34,DF23&lt;&gt;"",CX23=""),AND(EC23&gt;=EG$34,EC23&lt;&gt;""),AND(EF23&gt;=EG$34,EF23&lt;&gt;""),AND(EY23&gt;=FC$34,EY23&lt;&gt;""),AND(FB23&gt;=FC$34,FB23&lt;&gt;""),AND(FU23&gt;=FY$34,FU23&lt;&gt;""),AND(FX23&gt;=FY$34,FX23&lt;&gt;""),AND(GQ23&gt;=GU$34,GQ23&lt;&gt;""),AND(GT23&gt;=GU$34,GT23&lt;&gt;""),AND(HM23&gt;=HQ$34,HM23&lt;&gt;""),AND(HP23&gt;=HQ$34,HP23&lt;&gt;""),AND(II23&gt;=IM$34,II23&lt;&gt;""),AND(IL23&gt;=IM$34,IL23&lt;&gt;""),AND(JE23&gt;=JI$34,JE23&lt;&gt;""),AND(JH23&gt;=JI$34,JH23&lt;&gt;""),AND(KA23&gt;=KE$34,KA23&lt;&gt;""),AND(KD23&gt;=KE$34,KD23&lt;&gt;""),AND(KW23&gt;=LA$34,KW23&lt;&gt;""),AND(KZ23&gt;=LA$34,KZ23&lt;&gt;""),AND(LS23&gt;=LW$34,LS23&lt;&gt;""),AND(LV23&gt;=LW$34,LV23&lt;&gt;""),AND(MO23&gt;=MS$34,MO23&lt;&gt;""),AND(MR23&gt;=MS$34,MR23&lt;&gt;""),AND(NK23&gt;=NO$34,NK23&lt;&gt;""),AND(NN23&gt;=NO$34,NN23&lt;&gt;"")),"National Team","")</f>
        <v/>
      </c>
      <c r="I23" s="116" t="str">
        <f>IF(AND(G23="Merit",H23="Merit"),"Merit",IF(AND(OR(G23="Merit",G23="Excellence"),OR(H23="Merit",H23="Excellence")),"Excellence",IF(AND(OR(G23="Merit",G23="Excellence",G23="Worlds Team"),OR(H23="Merit",H23="Excellence",H23="Worlds Team")),"Worlds Team",IF(AND(OR(G23="Merit",G23="Excellence",G23="Worlds Team",G23="National Team"),OR(H23="Merit",H23="Excellence",H23="Worlds Team",H23="National Team")),"National Team",IF(OR(H23="Merit",H23="Excellence",H23="Worlds Team",H23="National Team"),"No DD","")))))</f>
        <v/>
      </c>
      <c r="J23" s="3" t="str">
        <f>IF(AND(OR(AND(AV23&gt;=AY$35,AV23&lt;&gt;"",AP23=""),AND(BZ23&gt;=CC$35,BZ23&lt;&gt;"",BT23=""),AND(DD23&gt;=DG$35,DD23&lt;&gt;"",CX23=""),AND(ED23&gt;=EG$35,ED23&lt;&gt;""),AND(EZ23&gt;=FC$35,EZ23&lt;&gt;""),AND(FV23&gt;=FY$35,FV23&lt;&gt;""),AND(GR23&gt;=GU$35,GR23&lt;&gt;""),AND(HN23&gt;=HQ$35,HN23&lt;&gt;""),AND(IJ23&gt;=IM$35,IJ23&lt;&gt;""),AND(JF23&gt;=JI$35,JF23&lt;&gt;""),AND(KB23&gt;=KE$35,KB23&lt;&gt;""),AND(KX23&gt;=LA$35,KX23&lt;&gt;""),AND(LT23&gt;=LW$35,LT23&lt;&gt;""),AND(MP23&gt;=MS$35,MP23&lt;&gt;""),AND(NL23&gt;=NO$35,NL23&lt;&gt;"")),OR(G23="Worlds Team",G23="Excellence",G23="Merit")),"P","")</f>
        <v/>
      </c>
      <c r="K23" s="14">
        <f>IF(MAX(AV23,BZ23,DD23)&gt;0,MAX(AV23,BZ23,DD23),0)</f>
        <v>80.41</v>
      </c>
      <c r="L23" s="14" t="str">
        <f>IF(K23=0,"",IF(K23=DD23,$CD$1,IF(K23=BZ23,$AZ$1,IF(K23=AV23,$V$1,""))))</f>
        <v>2021 Canadian Championships</v>
      </c>
      <c r="M23" s="14">
        <f>IF($K23=$AV23,MAX(BU23,CY23),IF($K23=$BZ23,MAX(AQ23,CY23),IF($K23=$DD23,MAX(AQ23,BU23),MAX(AQ23,BU23,CY23))))</f>
        <v>24.085000000000001</v>
      </c>
      <c r="N23" s="14" t="str">
        <f>IF(M23=0,"",IF(AND(M23=CY23,$L23&lt;&gt;$CD$1),$CD$1,IF(AND(M23=BU23,$L23&lt;&gt;$AZ$1),$AZ$1,IF(AND(M23=AQ23,$L23&lt;&gt;$V$1),$V$1,""))))</f>
        <v>2021 Elite Canada</v>
      </c>
      <c r="O23" s="14">
        <f>MAX(AS23,AU23,AX23,BW23,BY23,CB23,DA23,DC23,DF23)</f>
        <v>43.635000000000005</v>
      </c>
      <c r="P23" s="14" t="str">
        <f>IF(O23=0,"",IF(OR(O23=DC23,O23=DA23,O23=DF23),$CD$1,IF(OR(O23=BY23,O23=BW23,O23=CB23),$AZ$1,IF(OR(O23=AU23,O23=AS23,O23=AX23),$V$1,""))))</f>
        <v>2021 Canadian Championships</v>
      </c>
      <c r="Q23" s="14">
        <f>IF(COUNT(AS23,AU23,AX23,BW23,BY23,CB23,DA23,DC23,DF23)&gt;1,LARGE((AS23,AU23,AX23,BW23,BY23,CB23,DA23,DC23,DF23),2),0)</f>
        <v>42.42</v>
      </c>
      <c r="R23" s="14" t="str">
        <f>IF(Q23=0,"",IF(OR(Q23=DC23,Q23=DA23,Q23=DF23),$CD$1,IF(OR(Q23=BY23,Q23=BW23,Q23=CB23),$AZ$1,IF(OR(Q23=AU23,Q23=AS23,Q23=AX23),$V$1,""))))</f>
        <v>2021 Elite Canada</v>
      </c>
      <c r="S23" s="14" t="str">
        <f>IF(MAX(DI23,DK23)&gt;0,MAX(DI23,DK23),"")</f>
        <v/>
      </c>
      <c r="T23" s="24" t="str">
        <f>IF(S23="","",IF(S23=DH23,"(Vol 1)",IF(S23=DI23,"(Vol 2)",IF(S23=DJ23,"(Prelim)",IF(S23=DK23,"(Final)")))))</f>
        <v/>
      </c>
      <c r="U23" s="14" t="str">
        <f>IF(S23="","",IF(S23=DH23,IF(S23+IF(M23="",0,M23)=NJ23,$MT$1,IF(S23+IF(M23="",0,M23)=MN23,$LX$1,IF(S23+IF(M23="",0,M23)=LR23,$LB$1,IF(S23+IF(M23="",0,M23)=KV23,$KF$1,IF(S23+IF(M23="",0,M23)=JZ23,$JJ$1,IF(S23+IF(M23="",0,M23)=JD23,$IN$1,IF(S23+IF(M23="",0,M23)=IH23,$HR$1,IF(S23+IF(M23="",0,M23)=HL23,$GV$1,IF(S23+IF(M23="",0,M23)=GP23,$FZ$1,IF(S23+IF(M23="",0,M23)=FT23,$FD$1,IF(S23+IF(M23="",0,M23)=EX23,$EH$1,IF(S23+IF(M23="",0,M23)=EB23,$DL$1)))))))))))),IF(S23=DI23,IF(S23+IF(O23="",0,O23)=NK23,$MT$1,IF(S23+IF(O23="",0,O23)=MO23,$LX$1,IF(S23+IF(O23="",0,O23)=LS23,$LB$1,IF(S23+IF(O23="",0,O23)=KW23,$KF$1,IF(S23+IF(O23="",0,O23)=KA23,$JJ$1,IF(S23+IF(O23="",0,O23)=JE23,$IN$1,IF(S23+IF(O23="",0,O23)=II23,$HR$1,IF(S23+IF(O23="",0,O23)=HM23,$GV$1,IF(S23+IF(O23="",0,O23)=GQ23,$FZ$1,IF(S23+IF(O23="",0,O23)=FU23,$FD$1,IF(S23+IF(O23="",0,O23)=EY23,$EH$1,IF(S23+IF(O23="",0,O23)=EC23,$DL$1)))))))))))),IF(S23=DJ23,IF(S23+IF(K23="",0,K23)=NL23,$MT$1,IF(S23+IF(K23="",0,K23)=MP23,$LX$1,IF(S23+IF(K23="",0,K23)=LT23,$LB$1,IF(S23+IF(K23="",0,K23)=KX23,$KF$1,IF(S23+IF(K23="",0,K23)=KB23,$JJ$1,IF(S23+IF(K23="",0,K23)=JF23,$IN$1,IF(S23+IF(K23="",0,K23)=IJ23,$HR$1,IF(S23+IF(K23="",0,K23)=HN23,$GV$1,IF(S23+IF(K23="",0,K23)=GR23,$FZ$1,IF(S23+IF(K23="",0,K23)=FV23,$FD$1,IF(S23+IF(K23="",0,K23)=EZ23,$EH$1,IF(S23+IF(K23="",0,K23)=ED23,$DL$1)))))))))))),IF(S23=DK23,IF(S23+IF(Q23="",0,Q23)=NN23,$MT$1,IF(S23+IF(Q23="",0,Q23)=MR23,$LX$1,IF(S23+IF(Q23="",0,Q23)=LV23,$LB$1,IF(S23+IF(Q23="",0,Q23)=KZ23,$KF$1,IF(S23+IF(Q23="",0,Q23)=KD23,$JJ$1,IF(S23+IF(Q23="",0,Q23)=JH23,$IN$1,IF(S23+IF(Q23="",0,Q23)=IL23,$HR$1,IF(S23+IF(Q23="",0,Q23)=HP23,$GV$1,IF(S23+IF(Q23="",0,Q23)=GT23,$FZ$1,IF(S23+IF(Q23="",0,Q23)=FX23,$FD$1,IF(S23+IF(Q23="",0,Q23)=FB23,$EH$1,IF(S23+IF(Q23="",0,Q23)=EF23,$DL$1)))))))))))))))))</f>
        <v/>
      </c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2"/>
      <c r="AQ23" s="11" t="str">
        <f>IF(SUM(V23:Y23)-Z23&gt;0,SUM(V23:Y23)-Z23,"")</f>
        <v/>
      </c>
      <c r="AR23" s="11" t="str">
        <f>IF(AC23&gt;0,AC23,"")</f>
        <v/>
      </c>
      <c r="AS23" s="11" t="str">
        <f>IF(SUM(AA23:AD23)-AE23&gt;0,SUM(AA23:AD23)-AE23,"")</f>
        <v/>
      </c>
      <c r="AT23" s="11" t="str">
        <f>IF(AH23&gt;0,AH23,"")</f>
        <v/>
      </c>
      <c r="AU23" s="11" t="str">
        <f>IF(SUM(AF23:AI23)-AJ23&gt;0,SUM(AF23:AI23)-AJ23,"")</f>
        <v/>
      </c>
      <c r="AV23" s="11" t="str">
        <f>IF(AQ23="",IF(MAX(AS23,AU23)&gt;0,MAX(AS23,AU23),""),MAX(AS23,AU23)+AQ23)</f>
        <v/>
      </c>
      <c r="AW23" s="11" t="str">
        <f>IF(AM23&gt;0,AM23,"")</f>
        <v/>
      </c>
      <c r="AX23" s="11" t="str">
        <f>IF(SUM(AK23:AN23)-AO23&gt;0,SUM(AK23:AN23)-AO23,"")</f>
        <v/>
      </c>
      <c r="AY23" s="11" t="str">
        <f>IF(SUM(AV23,AX23)&gt;0,SUM(AV23,AX23),"")</f>
        <v/>
      </c>
      <c r="AZ23" s="67">
        <v>9.8000000000000007</v>
      </c>
      <c r="BA23" s="67">
        <v>5.0999999999999996</v>
      </c>
      <c r="BB23" s="67">
        <v>0.9</v>
      </c>
      <c r="BC23" s="67">
        <v>8.2850000000000001</v>
      </c>
      <c r="BD23" s="67">
        <v>0</v>
      </c>
      <c r="BE23" s="67">
        <v>15.2</v>
      </c>
      <c r="BF23" s="67">
        <v>9.1999999999999993</v>
      </c>
      <c r="BG23" s="67">
        <v>6.8</v>
      </c>
      <c r="BH23" s="67">
        <v>13.22</v>
      </c>
      <c r="BI23" s="67">
        <v>2</v>
      </c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73"/>
      <c r="BU23" s="14">
        <f>IF(SUM(AZ23:BC23)-BD23&gt;0,SUM(AZ23:BC23)-BD23,"")</f>
        <v>24.085000000000001</v>
      </c>
      <c r="BV23" s="14">
        <f>IF(BG23&gt;0,BG23,"")</f>
        <v>6.8</v>
      </c>
      <c r="BW23" s="14">
        <f>IF(SUM(BE23:BH23)-BI23&gt;0,SUM(BE23:BH23)-BI23,"")</f>
        <v>42.42</v>
      </c>
      <c r="BX23" s="14" t="str">
        <f>IF(BL23&gt;0,BL23,"")</f>
        <v/>
      </c>
      <c r="BY23" s="14" t="str">
        <f>IF(SUM(BJ23:BM23)-BN23&gt;0,SUM(BJ23:BM23)-BN23,"")</f>
        <v/>
      </c>
      <c r="BZ23" s="14">
        <f>IF(BU23="",IF(MAX(BW23,BY23)&gt;0,MAX(BW23,BY23),""),MAX(BW23,BY23)+BU23)</f>
        <v>66.504999999999995</v>
      </c>
      <c r="CA23" s="14" t="str">
        <f>IF(BQ23&gt;0,BQ23,"")</f>
        <v/>
      </c>
      <c r="CB23" s="14" t="str">
        <f>IF(SUM(BO23:BR23)-BS23&gt;0,SUM(BO23:BR23)-BS23,"")</f>
        <v/>
      </c>
      <c r="CC23" s="14">
        <f>IF(SUM(BZ23,CB23)&gt;0,SUM(BZ23,CB23),"")</f>
        <v>66.504999999999995</v>
      </c>
      <c r="CD23" s="61">
        <v>15</v>
      </c>
      <c r="CE23" s="61">
        <v>9.5</v>
      </c>
      <c r="CF23" s="61">
        <v>1.9</v>
      </c>
      <c r="CG23" s="61">
        <v>13.755000000000001</v>
      </c>
      <c r="CH23" s="61">
        <v>0</v>
      </c>
      <c r="CI23" s="61">
        <v>12.9</v>
      </c>
      <c r="CJ23" s="61">
        <v>9.3000000000000007</v>
      </c>
      <c r="CK23" s="61">
        <v>6.9</v>
      </c>
      <c r="CL23" s="61">
        <v>13.055</v>
      </c>
      <c r="CM23" s="61">
        <v>1.9</v>
      </c>
      <c r="CN23" s="61"/>
      <c r="CO23" s="61"/>
      <c r="CP23" s="61"/>
      <c r="CQ23" s="61"/>
      <c r="CR23" s="61"/>
      <c r="CS23" s="61">
        <v>14.5</v>
      </c>
      <c r="CT23" s="61">
        <v>8.9</v>
      </c>
      <c r="CU23" s="61">
        <v>8</v>
      </c>
      <c r="CV23" s="61">
        <v>13.035</v>
      </c>
      <c r="CW23" s="61">
        <v>0.8</v>
      </c>
      <c r="CX23" s="72"/>
      <c r="CY23" s="11">
        <f>IF(SUM(CD23:CG23)-CH23&gt;0,SUM(CD23:CG23)-CH23,"")</f>
        <v>40.155000000000001</v>
      </c>
      <c r="CZ23" s="11">
        <f>IF(CK23&gt;0,CK23,"")</f>
        <v>6.9</v>
      </c>
      <c r="DA23" s="11">
        <f>IF(SUM(CI23:CL23)-CM23&gt;0,SUM(CI23:CL23)-CM23,"")</f>
        <v>40.255000000000003</v>
      </c>
      <c r="DB23" s="11" t="str">
        <f>IF(CP23&gt;0,CP23,"")</f>
        <v/>
      </c>
      <c r="DC23" s="11" t="str">
        <f>IF(SUM(CN23:CQ23)-CR23&gt;0,SUM(CN23:CQ23)-CR23,"")</f>
        <v/>
      </c>
      <c r="DD23" s="11">
        <f>IF(CY23="",IF(MAX(DA23,DC23)&gt;0,MAX(DA23,DC23),""),MAX(DA23,DC23)+CY23)</f>
        <v>80.41</v>
      </c>
      <c r="DE23" s="11">
        <f>IF(CU23&gt;0,CU23,"")</f>
        <v>8</v>
      </c>
      <c r="DF23" s="11">
        <f>IF(SUM(CS23:CV23)-CW23&gt;0,SUM(CS23:CV23)-CW23,"")</f>
        <v>43.635000000000005</v>
      </c>
      <c r="DG23" s="11">
        <f>IF(SUM(DD23,DF23)&gt;0,SUM(DD23,DF23),"")</f>
        <v>124.045</v>
      </c>
      <c r="DH23" s="23" t="str">
        <f>IF(MAX(EB23,EX23,FT23,GP23,HL23,IH23,JD23,JZ23,KV23,LR23,MN23,NJ23)-IF(M23="",0,M23)&gt;0.001,MAX(EB23,EX23,FT23,GP23,HL23,IH23,JD23,JZ23,KV23,LR23,MN23,NJ23)-IF(M23="",0,M23),"")</f>
        <v/>
      </c>
      <c r="DI23" s="23" t="str">
        <f>IF(MAX(EC23,EY23,FU23,GQ23,HM23,II23,JE23,KA23,KW23,LS23,MO23,NK23)-IF(O23="",0,O23)&gt;0.001,MAX(EC23,EY23,FU23,GQ23,HM23,II23,JE23,KA23,KW23,LS23,MO23,NK23)-IF(O23="",0,O23),"")</f>
        <v/>
      </c>
      <c r="DJ23" s="23" t="str">
        <f>IF(MAX(ED23,EZ23,FV23,GR23,HN23,IJ23,JF23,KB23,KX23,LT23,MP23,NL23)-IF(K23="",0,K23)&gt;0.001,MAX(ED23,EZ23,FV23,GR23,HN23,IJ23,JF23,KB23,KX23,LT23,MP23,NL23)-IF(K23="",0,K23),"")</f>
        <v/>
      </c>
      <c r="DK23" s="23" t="str">
        <f>IF(MAX(EF23,FB23,FX23,GT23,HP23,IL23,JH23,KD23,KZ23,LV23,MR23,NN23)-IF(Q23="",0,Q23)&gt;0.001,MAX(EF23,FB23,FX23,GT23,HP23,IL23,JH23,KD23,KZ23,LV23,MR23,NN23)-IF(Q23="",0,Q23),"")</f>
        <v/>
      </c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11" t="str">
        <f>IF(DS23&gt;0,DS23,"")</f>
        <v/>
      </c>
      <c r="EB23" s="11" t="str">
        <f>IF(SUM(DL23:DO23)-DP23&gt;0,SUM(DL23:DO23)-DP23,"")</f>
        <v/>
      </c>
      <c r="EC23" s="11" t="str">
        <f>IF(SUM(DQ23:DT23)-DU23&gt;0,SUM(DQ23:DT23)-DU23,"")</f>
        <v/>
      </c>
      <c r="ED23" s="11" t="str">
        <f>IF(SUM(EB23:EC23)&gt;0,SUM(EB23:EC23),"")</f>
        <v/>
      </c>
      <c r="EE23" s="11" t="str">
        <f>IF(DX23&gt;0,DX23,"")</f>
        <v/>
      </c>
      <c r="EF23" s="11" t="str">
        <f>IF(SUM(DV23:DY23)-DZ23&gt;0,SUM(DV23:DY23)-DZ23,"")</f>
        <v/>
      </c>
      <c r="EG23" s="11" t="str">
        <f>IF(SUM(ED23,EF23)&gt;0,SUM(ED23,EF23),"")</f>
        <v/>
      </c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14" t="str">
        <f>IF(EO23&gt;0,EO23,"")</f>
        <v/>
      </c>
      <c r="EX23" s="14" t="str">
        <f>IF(SUM(EH23:EK23)-EL23&gt;0,SUM(EH23:EK23)-EL23,"")</f>
        <v/>
      </c>
      <c r="EY23" s="14" t="str">
        <f>IF(SUM(EM23:EP23)-EQ23&gt;0,SUM(EM23:EP23)-EQ23,"")</f>
        <v/>
      </c>
      <c r="EZ23" s="14" t="str">
        <f>IF(SUM(EX23:EY23)&gt;0,SUM(EX23:EY23),"")</f>
        <v/>
      </c>
      <c r="FA23" s="14" t="str">
        <f>IF(ET23&gt;0,ET23,"")</f>
        <v/>
      </c>
      <c r="FB23" s="14" t="str">
        <f>IF(SUM(ER23:EU23)-EV23&gt;0,SUM(ER23:EU23)-EV23,"")</f>
        <v/>
      </c>
      <c r="FC23" s="14" t="str">
        <f>IF(SUM(EZ23,FB23)&gt;0,SUM(EZ23,FB23),"")</f>
        <v/>
      </c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11" t="str">
        <f>IF(FK23&gt;0,FK23,"")</f>
        <v/>
      </c>
      <c r="FT23" s="11" t="str">
        <f>IF(SUM(FD23:FG23)-FH23&gt;0,SUM(FD23:FG23)-FH23,"")</f>
        <v/>
      </c>
      <c r="FU23" s="11" t="str">
        <f>IF(SUM(FI23:FL23)-FM23&gt;0,SUM(FI23:FL23)-FM23,"")</f>
        <v/>
      </c>
      <c r="FV23" s="11" t="str">
        <f>IF(SUM(FT23:FU23)&gt;0,SUM(FT23:FU23),"")</f>
        <v/>
      </c>
      <c r="FW23" s="11" t="str">
        <f>IF(FP23&gt;0,FP23,"")</f>
        <v/>
      </c>
      <c r="FX23" s="11" t="str">
        <f>IF(SUM(FN23:FQ23)-FR23&gt;0,SUM(FN23:FQ23)-FR23,"")</f>
        <v/>
      </c>
      <c r="FY23" s="11" t="str">
        <f>IF(SUM(FV23,FX23)&gt;0,SUM(FV23,FX23),"")</f>
        <v/>
      </c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14" t="str">
        <f>IF(GG23&gt;0,GG23,"")</f>
        <v/>
      </c>
      <c r="GP23" s="14" t="str">
        <f>IF(SUM(FZ23:GC23)-GD23&gt;0,SUM(FZ23:GC23)-GD23,"")</f>
        <v/>
      </c>
      <c r="GQ23" s="14" t="str">
        <f>IF(SUM(GE23:GH23)-GI23&gt;0,SUM(GE23:GH23)-GI23,"")</f>
        <v/>
      </c>
      <c r="GR23" s="14" t="str">
        <f>IF(SUM(GP23:GQ23)&gt;0,SUM(GP23:GQ23),"")</f>
        <v/>
      </c>
      <c r="GS23" s="14" t="str">
        <f>IF(GL23&gt;0,GL23,"")</f>
        <v/>
      </c>
      <c r="GT23" s="14" t="str">
        <f>IF(SUM(GJ23:GM23)-GN23&gt;0,SUM(GJ23:GM23)-GN23,"")</f>
        <v/>
      </c>
      <c r="GU23" s="14" t="str">
        <f>IF(SUM(GR23,GT23)&gt;0,SUM(GR23,GT23),"")</f>
        <v/>
      </c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11" t="str">
        <f>IF(HC23&gt;0,HC23,"")</f>
        <v/>
      </c>
      <c r="HL23" s="11" t="str">
        <f>IF(SUM(GV23:GY23)-GZ23&gt;0,SUM(GV23:GY23)-GZ23,"")</f>
        <v/>
      </c>
      <c r="HM23" s="11" t="str">
        <f>IF(SUM(HA23:HD23)-HE23&gt;0,SUM(HA23:HD23)-HE23,"")</f>
        <v/>
      </c>
      <c r="HN23" s="11" t="str">
        <f>IF(SUM(HL23:HM23)&gt;0,SUM(HL23:HM23),"")</f>
        <v/>
      </c>
      <c r="HO23" s="11" t="str">
        <f>IF(HH23&gt;0,HH23,"")</f>
        <v/>
      </c>
      <c r="HP23" s="11" t="str">
        <f>IF(SUM(HF23:HI23)-HJ23&gt;0,SUM(HF23:HI23)-HJ23,"")</f>
        <v/>
      </c>
      <c r="HQ23" s="11" t="str">
        <f>IF(SUM(HN23,HP23)&gt;0,SUM(HN23,HP23),"")</f>
        <v/>
      </c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14" t="str">
        <f>IF(HY23&gt;0,HY23,"")</f>
        <v/>
      </c>
      <c r="IH23" s="14" t="str">
        <f>IF(SUM(HR23:HU23)-HV23&gt;0,SUM(HR23:HU23)-HV23,"")</f>
        <v/>
      </c>
      <c r="II23" s="14" t="str">
        <f>IF(SUM(HW23:HZ23)-IA23&gt;0,SUM(HW23:HZ23)-IA23,"")</f>
        <v/>
      </c>
      <c r="IJ23" s="14" t="str">
        <f>IF(SUM(IH23:II23)&gt;0,SUM(IH23:II23),"")</f>
        <v/>
      </c>
      <c r="IK23" s="14" t="str">
        <f>IF(ID23&gt;0,ID23,"")</f>
        <v/>
      </c>
      <c r="IL23" s="14" t="str">
        <f>IF(SUM(IB23:IE23)-IF23&gt;0,SUM(IB23:IE23)-IF23,"")</f>
        <v/>
      </c>
      <c r="IM23" s="14" t="str">
        <f>IF(SUM(IJ23,IL23)&gt;0,SUM(IJ23,IL23),"")</f>
        <v/>
      </c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11" t="str">
        <f>IF(IU23&gt;0,IU23,"")</f>
        <v/>
      </c>
      <c r="JD23" s="11" t="str">
        <f>IF(SUM(IN23:IQ23)-IR23&gt;0,SUM(IN23:IQ23)-IR23,"")</f>
        <v/>
      </c>
      <c r="JE23" s="11" t="str">
        <f>IF(SUM(IS23:IV23)-IW23&gt;0,SUM(IS23:IV23)-IW23,"")</f>
        <v/>
      </c>
      <c r="JF23" s="11" t="str">
        <f>IF(SUM(JD23:JE23)&gt;0,SUM(JD23:JE23),"")</f>
        <v/>
      </c>
      <c r="JG23" s="11" t="str">
        <f>IF(IZ23&gt;0,IZ23,"")</f>
        <v/>
      </c>
      <c r="JH23" s="11" t="str">
        <f>IF(SUM(IX23:JA23)-JB23&gt;0,SUM(IX23:JA23)-JB23,"")</f>
        <v/>
      </c>
      <c r="JI23" s="11" t="str">
        <f>IF(SUM(JF23,JH23)&gt;0,SUM(JF23,JH23),"")</f>
        <v/>
      </c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14" t="str">
        <f>IF(JQ23&gt;0,JQ23,"")</f>
        <v/>
      </c>
      <c r="JZ23" s="14" t="str">
        <f>IF(SUM(JJ23:JM23)-JN23&gt;0,SUM(JJ23:JM23)-JN23,"")</f>
        <v/>
      </c>
      <c r="KA23" s="14" t="str">
        <f>IF(SUM(JO23:JR23)-JS23&gt;0,SUM(JO23:JR23)-JS23,"")</f>
        <v/>
      </c>
      <c r="KB23" s="14" t="str">
        <f>IF(SUM(JZ23:KA23)&gt;0,SUM(JZ23:KA23),"")</f>
        <v/>
      </c>
      <c r="KC23" s="14" t="str">
        <f>IF(JV23&gt;0,JV23,"")</f>
        <v/>
      </c>
      <c r="KD23" s="14" t="str">
        <f>IF(SUM(JT23:JW23)-JX23&gt;0,SUM(JT23:JW23)-JX23,"")</f>
        <v/>
      </c>
      <c r="KE23" s="14" t="str">
        <f>IF(SUM(KB23,KD23)&gt;0,SUM(KB23,KD23),"")</f>
        <v/>
      </c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11" t="str">
        <f>IF(KM23&gt;0,KM23,"")</f>
        <v/>
      </c>
      <c r="KV23" s="11" t="str">
        <f>IF(SUM(KF23:KI23)-KJ23&gt;0,SUM(KF23:KI23)-KJ23,"")</f>
        <v/>
      </c>
      <c r="KW23" s="11" t="str">
        <f>IF(SUM(KK23:KN23)-KO23&gt;0,SUM(KK23:KN23)-KO23,"")</f>
        <v/>
      </c>
      <c r="KX23" s="11" t="str">
        <f>IF(SUM(KV23:KW23)&gt;0,SUM(KV23:KW23),"")</f>
        <v/>
      </c>
      <c r="KY23" s="11" t="str">
        <f>IF(KR23&gt;0,KR23,"")</f>
        <v/>
      </c>
      <c r="KZ23" s="11" t="str">
        <f>IF(SUM(KP23:KS23)-KT23&gt;0,SUM(KP23:KS23)-KT23,"")</f>
        <v/>
      </c>
      <c r="LA23" s="11" t="str">
        <f>IF(SUM(KX23,KZ23)&gt;0,SUM(KX23,KZ23),"")</f>
        <v/>
      </c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14" t="str">
        <f>IF(LI23&gt;0,LI23,"")</f>
        <v/>
      </c>
      <c r="LR23" s="14" t="str">
        <f>IF(SUM(LB23:LE23)-LF23&gt;0,SUM(LB23:LE23)-LF23,"")</f>
        <v/>
      </c>
      <c r="LS23" s="14" t="str">
        <f>IF(SUM(LG23:LJ23)-LK23&gt;0,SUM(LG23:LJ23)-LK23,"")</f>
        <v/>
      </c>
      <c r="LT23" s="14" t="str">
        <f>IF(SUM(LR23:LS23)&gt;0,SUM(LR23:LS23),"")</f>
        <v/>
      </c>
      <c r="LU23" s="14" t="str">
        <f>IF(LN23&gt;0,LN23,"")</f>
        <v/>
      </c>
      <c r="LV23" s="14" t="str">
        <f>IF(SUM(LL23:LO23)-LP23&gt;0,SUM(LL23:LO23)-LP23,"")</f>
        <v/>
      </c>
      <c r="LW23" s="14" t="str">
        <f>IF(SUM(LT23,LV23)&gt;0,SUM(LT23,LV23),"")</f>
        <v/>
      </c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11" t="str">
        <f>IF(ME23&gt;0,ME23,"")</f>
        <v/>
      </c>
      <c r="MN23" s="11" t="str">
        <f>IF(SUM(LX23:MA23)-MB23&gt;0,SUM(LX23:MA23)-MB23,"")</f>
        <v/>
      </c>
      <c r="MO23" s="11" t="str">
        <f>IF(SUM(MC23:MF23)-MG23&gt;0,SUM(MC23:MF23)-MG23,"")</f>
        <v/>
      </c>
      <c r="MP23" s="11" t="str">
        <f>IF(SUM(MN23:MO23)&gt;0,SUM(MN23:MO23),"")</f>
        <v/>
      </c>
      <c r="MQ23" s="11" t="str">
        <f>IF(MJ23&gt;0,MJ23,"")</f>
        <v/>
      </c>
      <c r="MR23" s="11" t="str">
        <f>IF(SUM(MH23:MK23)-ML23&gt;0,SUM(MH23:MK23)-ML23,"")</f>
        <v/>
      </c>
      <c r="MS23" s="11" t="str">
        <f>IF(SUM(MP23,MR23)&gt;0,SUM(MP23,MR23),"")</f>
        <v/>
      </c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14" t="str">
        <f>IF(NA23&gt;0,NA23,"")</f>
        <v/>
      </c>
      <c r="NJ23" s="14" t="str">
        <f>IF(SUM(MT23:MW23)-MX23&gt;0,SUM(MT23:MW23)-MX23,"")</f>
        <v/>
      </c>
      <c r="NK23" s="14" t="str">
        <f>IF(SUM(MY23:NB23)-NC23&gt;0,SUM(MY23:NB23)-NC23,"")</f>
        <v/>
      </c>
      <c r="NL23" s="14" t="str">
        <f>IF(SUM(NJ23:NK23)&gt;0,SUM(NJ23:NK23),"")</f>
        <v/>
      </c>
      <c r="NM23" s="14" t="str">
        <f>IF(NF23&gt;0,NF23,"")</f>
        <v/>
      </c>
      <c r="NN23" s="14" t="str">
        <f>IF(SUM(ND23:NG23)-NH23&gt;0,SUM(ND23:NG23)-NH23,"")</f>
        <v/>
      </c>
      <c r="NO23" s="14" t="str">
        <f>IF(SUM(NL23,NN23)&gt;0,SUM(NL23,NN23),"")</f>
        <v/>
      </c>
      <c r="NP23" s="61">
        <f>IF($CX23="P",CD23,(CD23+AZ23)/2)</f>
        <v>12.4</v>
      </c>
      <c r="NQ23" s="61">
        <f>IF($CX23="P",CE23,(CE23+BA23)/2)</f>
        <v>7.3</v>
      </c>
      <c r="NR23" s="61">
        <f>IF($CX23="P",CF23,(CF23+BB23)/2)</f>
        <v>1.4</v>
      </c>
      <c r="NS23" s="61">
        <f>IF($CX23="P",CG23,(CG23+BC23)/2)</f>
        <v>11.02</v>
      </c>
      <c r="NT23" s="61">
        <f>IF($CX23="P",CH23,(CH23+BD23)/2)</f>
        <v>0</v>
      </c>
      <c r="NU23" s="61">
        <f>IF($CX23="P",CI23,(CI23+BE23)/2)</f>
        <v>14.05</v>
      </c>
      <c r="NV23" s="61">
        <f>IF($CX23="P",CJ23,(CJ23+BF23)/2)</f>
        <v>9.25</v>
      </c>
      <c r="NW23" s="61">
        <f>IF($CX23="P",CK23,(CK23+BG23)/2)</f>
        <v>6.85</v>
      </c>
      <c r="NX23" s="61">
        <f>IF($CX23="P",CL23,(CL23+BH23)/2)</f>
        <v>13.137499999999999</v>
      </c>
      <c r="NY23" s="61">
        <f>IF($CX23="P",CM23,(CM23+BI23)/2)</f>
        <v>1.95</v>
      </c>
      <c r="NZ23" s="61">
        <f>IF($CX23="P",CN23,(CN23+BJ23)/2)</f>
        <v>0</v>
      </c>
      <c r="OA23" s="61">
        <f>IF($CX23="P",CO23,(CO23+BK23)/2)</f>
        <v>0</v>
      </c>
      <c r="OB23" s="61">
        <f>IF($CX23="P",CP23,(CP23+BL23)/2)</f>
        <v>0</v>
      </c>
      <c r="OC23" s="61">
        <f>IF($CX23="P",CQ23,(CQ23+BM23)/2)</f>
        <v>0</v>
      </c>
      <c r="OD23" s="61">
        <f>IF($CX23="P",CR23,(CR23+BN23)/2)</f>
        <v>0</v>
      </c>
      <c r="OE23" s="61">
        <f>IF($CX23="P",CS23,(CS23+BO23)/2)</f>
        <v>7.25</v>
      </c>
      <c r="OF23" s="61">
        <f>IF($CX23="P",CT23,(CT23+BP23)/2)</f>
        <v>4.45</v>
      </c>
      <c r="OG23" s="61">
        <f>IF($CX23="P",CU23,(CU23+BQ23)/2)</f>
        <v>4</v>
      </c>
      <c r="OH23" s="61">
        <f>IF($CX23="P",CV23,(CV23+BR23)/2)</f>
        <v>6.5175000000000001</v>
      </c>
      <c r="OI23" s="61">
        <f>IF($CX23="P",CW23,(CW23+BS23)/2)</f>
        <v>0.4</v>
      </c>
      <c r="OJ23" s="72" t="s">
        <v>52</v>
      </c>
      <c r="OK23" s="11">
        <f>IF(SUM(NP23:NS23)-NT23&gt;0,SUM(NP23:NS23)-NT23,"")</f>
        <v>32.119999999999997</v>
      </c>
      <c r="OL23" s="11">
        <f>IF(NW23&gt;0,NW23,"")</f>
        <v>6.85</v>
      </c>
      <c r="OM23" s="11">
        <f>IF(SUM(NU23:NX23)-NY23&gt;0,SUM(NU23:NX23)-NY23,"")</f>
        <v>41.337499999999991</v>
      </c>
      <c r="ON23" s="11" t="str">
        <f>IF(OB23&gt;0,OB23,"")</f>
        <v/>
      </c>
      <c r="OO23" s="11" t="str">
        <f>IF(SUM(NZ23:OC23)-OD23&gt;0,SUM(NZ23:OC23)-OD23,"")</f>
        <v/>
      </c>
      <c r="OP23" s="11">
        <f>IF(OR(OK23&lt;&gt;"",OM23&lt;&gt;"",OO23&lt;&gt;""),OK23+MAX(OM23,OO23),"")</f>
        <v>73.457499999999982</v>
      </c>
      <c r="OQ23" s="11">
        <f>IF(OG23&gt;0,OG23,"")</f>
        <v>4</v>
      </c>
      <c r="OR23" s="11">
        <f t="shared" ref="OR23" si="28">IF(SUM(OE23:OH23)-OI23&gt;0,SUM(OE23:OH23)-OI23,"")</f>
        <v>21.817500000000003</v>
      </c>
      <c r="OS23" s="11">
        <f t="shared" ref="OS23" si="29">IF(SUM(OP23,OR23)&gt;0,SUM(OP23,OR23),"")</f>
        <v>95.274999999999977</v>
      </c>
    </row>
    <row r="24" spans="1:409" x14ac:dyDescent="0.2">
      <c r="A24" s="5" t="str" cm="1">
        <f t="array" ref="A24">IF(AND(G24&lt;&gt;"",H24&lt;&gt;""),SUMPRODUCT((G$4:G$28&lt;&gt;"")*(H$4:H$28&lt;&gt;"")*(E$4:E$28&gt;E24))+1,IF(H24&lt;&gt;"",SUMPRODUCT((I$4:I$28="No DD")*(E$4:E$28&gt;E24))+1+SUMPRODUCT((G$4:G$28&lt;&gt;"")*(H$4:H$28&lt;&gt;"")),""))</f>
        <v/>
      </c>
      <c r="B24" s="8" t="s">
        <v>96</v>
      </c>
      <c r="C24" s="4" t="s">
        <v>95</v>
      </c>
      <c r="D24" s="26">
        <v>2003</v>
      </c>
      <c r="E24" s="15">
        <f>SUM(O24:S24)</f>
        <v>49.555</v>
      </c>
      <c r="F24" s="3" t="str">
        <f>IF(G24&lt;&gt;"","P","")</f>
        <v/>
      </c>
      <c r="G24" s="115" t="str">
        <f>IF(OR(AND(AR24&gt;=AY$33,AR24&lt;&gt;"",AP24=""),AND(AT24&gt;=AY$33,AT24&lt;&gt;"",AP24=""),AND(AW24&gt;=AY$33,AW24&lt;&gt;"",AP24=""),AND(BV24&gt;=CC$33,BV24&lt;&gt;"",BT24=""),AND(BX24&gt;=CC$33,BX24&lt;&gt;"",BT24=""),AND(CA24&gt;=CC$33,CA24&lt;&gt;"",BT24=""),AND(CZ24&gt;=DG$33,CZ24&lt;&gt;"",CX24=""),AND(DB24&gt;=DG$33,DB24&lt;&gt;"",CX24=""),AND(DE24&gt;=DG$33,DE24&lt;&gt;"",CX24=""),AND(EA24&gt;=EG$33,EA24&lt;&gt;""),AND(EE24&gt;=EG$33,EE24&lt;&gt;""),AND(EW24&gt;=FC$33,EW24&lt;&gt;""),AND(FA24&gt;=FC$33,FA24&lt;&gt;""),AND(FS24&gt;=FY$33,FS24&lt;&gt;""),AND(FW24&gt;=FY$33,FW24&lt;&gt;""),AND(GO24&gt;=GU$33,GO24&lt;&gt;""),AND(GS24&gt;=GU$33,GS24&lt;&gt;""),AND(HK24&gt;=HQ$33,HK24&lt;&gt;""),AND(HO24&gt;=HQ$33,HO24&lt;&gt;""),AND(IG24&gt;=IM$33,IG24&lt;&gt;""),AND(IK24&gt;=IM$33,IK24&lt;&gt;""),AND(JC24&gt;=JI$33,JC24&lt;&gt;""),AND(JG24&gt;=JI$33,JG24&lt;&gt;""),AND(JY24&gt;=KE$33,JY24&lt;&gt;""),AND(KC24&gt;=KE$33,KC24&lt;&gt;""),AND(KU24&gt;=LA$33,KU24&lt;&gt;""),AND(KY24&gt;=LA$33,KY24&lt;&gt;""),AND(LQ24&gt;=LW$33,LQ24&lt;&gt;""),AND(LU24&gt;=LW$33,LU24&lt;&gt;""),AND(MM24&gt;=MS$33,MM24&lt;&gt;""),AND(MQ24&gt;=MS$33,MQ24&lt;&gt;""),AND(NI24&gt;=NO$33,NI24&lt;&gt;""),AND(NM24&gt;=NO$33,NM24&lt;&gt;"")),"Merit",IF(OR(AND(AR24&gt;=AY$32,AR24&lt;&gt;"",AP24=""),AND(AT24&gt;=AY$32,AT24&lt;&gt;"",AP24=""),AND(AW24&gt;=AY$32,AW24&lt;&gt;"",AP24=""),AND(BV24&gt;=CC$32,BV24&lt;&gt;"",BT24=""),AND(BX24&gt;=CC$32,BX24&lt;&gt;"",BT24=""),AND(CA24&gt;=CC$32,CA24&lt;&gt;"",BT24=""),AND(CZ24&gt;=DG$32,CZ24&lt;&gt;"",CX24=""),AND(DB24&gt;=DG$32,DB24&lt;&gt;"",CX24=""),AND(DE24&gt;=DG$32,DE24&lt;&gt;"",CX24=""),AND(EA24&gt;=EG$32,EA24&lt;&gt;""),AND(EE24&gt;=EG$32,EE24&lt;&gt;""),AND(EW24&gt;=FC$32,EW24&lt;&gt;""),AND(FA24&gt;=FC$32,FA24&lt;&gt;""),AND(FS24&gt;=FY$32,FS24&lt;&gt;""),AND(FW24&gt;=FY$32,FW24&lt;&gt;""),AND(GO24&gt;=GU$32,GO24&lt;&gt;""),AND(GS24&gt;=GU$32,GS24&lt;&gt;""),AND(HK24&gt;=HQ$32,HK24&lt;&gt;""),AND(HO24&gt;=HQ$32,HO24&lt;&gt;""),AND(IG24&gt;=IM$32,IG24&lt;&gt;""),AND(IK24&gt;=IM$32,IK24&lt;&gt;""),AND(JC24&gt;=JI$32,JC24&lt;&gt;""),AND(JG24&gt;=JI$32,JG24&lt;&gt;""),AND(JY24&gt;=KE$32,JY24&lt;&gt;""),AND(KC24&gt;=KE$32,KC24&lt;&gt;""),AND(KU24&gt;=LA$32,KU24&lt;&gt;""),AND(KY24&gt;=LA$32,KY24&lt;&gt;""),AND(LQ24&gt;=LW$32,LQ24&lt;&gt;""),AND(LU24&gt;=LW$32,LU24&lt;&gt;""),AND(MM24&gt;=MS$32,MM24&lt;&gt;""),AND(MQ24&gt;=MS$32,MQ24&lt;&gt;""),AND(NI24&gt;=NO$32,NI24&lt;&gt;""),AND(NM24&gt;=NO$32,NM24&lt;&gt;"")),"Excellence",IF(OR(AND(AR24&gt;=AY$31,AR24&lt;&gt;"",AP24=""),AND(AT24&gt;=AY$31,AT24&lt;&gt;"",AP24=""),AND(AW24&gt;=AY$31,AW24&lt;&gt;"",AP24=""),AND(BV24&gt;=CC$31,BV24&lt;&gt;"",BT24=""),AND(BX24&gt;=CC$31,BX24&lt;&gt;"",BT24=""),AND(CA24&gt;=CC$31,CA24&lt;&gt;"",BT24=""),AND(CZ24&gt;=DG$31,CZ24&lt;&gt;"",CX24=""),AND(DB24&gt;=DG$31,DB24&lt;&gt;"",CX24=""),AND(DE24&gt;=DG$31,DE24&lt;&gt;"",CX24=""),AND(EA24&gt;=EG$31,EA24&lt;&gt;""),AND(EE24&gt;=EG$31,EE24&lt;&gt;""),AND(EW24&gt;=FC$31,EW24&lt;&gt;""),AND(FA24&gt;=FC$31,FA24&lt;&gt;""),AND(FS24&gt;=FY$31,FS24&lt;&gt;""),AND(FW24&gt;=FY$31,FW24&lt;&gt;""),AND(GO24&gt;=GU$31,GO24&lt;&gt;""),AND(GS24&gt;=GU$31,GS24&lt;&gt;""),AND(HK24&gt;=HQ$31,HK24&lt;&gt;""),AND(HO24&gt;=HQ$31,HO24&lt;&gt;""),AND(IG24&gt;=IM$31,IG24&lt;&gt;""),AND(IK24&gt;=IM$31,IK24&lt;&gt;""),AND(JC24&gt;=JI$31,JC24&lt;&gt;""),AND(JG24&gt;=JI$31,JG24&lt;&gt;""),AND(JY24&gt;=KE$31,JY24&lt;&gt;""),AND(KC24&gt;=KE$31,KC24&lt;&gt;""),AND(KU24&gt;=LA$31,KU24&lt;&gt;""),AND(KY24&gt;=LA$31,KY24&lt;&gt;""),AND(LQ24&gt;=LW$31,LQ24&lt;&gt;""),AND(LU24&gt;=LW$31,LU24&lt;&gt;""),AND(MM24&gt;=MS$31,MM24&lt;&gt;""),AND(MQ24&gt;=MS$31,MQ24&lt;&gt;""),AND(NI24&gt;=NO$31,NI24&lt;&gt;""),AND(NM24&gt;=NO$31,NM24&lt;&gt;"")),"Worlds Team",IF(OR(AND(AR24&gt;=AY$30,AR24&lt;&gt;"",AP24=""),AND(AT24&gt;=AY$30,AT24&lt;&gt;"",AP24=""),AND(AW24&gt;=AY$30,AW24&lt;&gt;"",AP24=""),AND(BV24&gt;=CC$30,BV24&lt;&gt;"",BT24=""),AND(BX24&gt;=CC$30,BX24&lt;&gt;"",BT24=""),AND(CA24&gt;=CC$30,CA24&lt;&gt;"",BT24=""),AND(CZ24&gt;=DG$30,CZ24&lt;&gt;"",CX24=""),AND(DB24&gt;=DG$30,DB24&lt;&gt;"",CX24=""),AND(DE24&gt;=DG$30,DE24&lt;&gt;"",CX24=""),AND(EA24&gt;=EG$30,EA24&lt;&gt;""),AND(EE24&gt;=EG$30,EE24&lt;&gt;""),AND(EW24&gt;=FC$30,EW24&lt;&gt;""),AND(FA24&gt;=FC$30,FA24&lt;&gt;""),AND(FS24&gt;=FY$30,FS24&lt;&gt;""),AND(FW24&gt;=FY$30,FW24&lt;&gt;""),AND(GO24&gt;=GU$30,GO24&lt;&gt;""),AND(GS24&gt;=GU$30,GS24&lt;&gt;""),AND(HK24&gt;=HQ$30,HK24&lt;&gt;""),AND(HO24&gt;=HQ$30,HO24&lt;&gt;""),AND(IG24&gt;=IM$30,IG24&lt;&gt;""),AND(IK24&gt;=IM$30,IK24&lt;&gt;""),AND(JC24&gt;=JI$30,JC24&lt;&gt;""),AND(JG24&gt;=JI$30,JG24&lt;&gt;""),AND(JY24&gt;=KE$30,JY24&lt;&gt;""),AND(KC24&gt;=KE$30,KC24&lt;&gt;""),AND(KU24&gt;=LA$30,KU24&lt;&gt;""),AND(KY24&gt;=LA$30,KY24&lt;&gt;""),AND(LQ24&gt;=LW$30,LQ24&lt;&gt;""),AND(LU24&gt;=LW$30,LU24&lt;&gt;""),AND(MM24&gt;=MS$30,MM24&lt;&gt;""),AND(MQ24&gt;=MS$30,MQ24&lt;&gt;""),AND(NI24&gt;=NO$30,NI24&lt;&gt;""),AND(NM24&gt;=NO$30,NM24&lt;&gt;"")),"National Team",""))))</f>
        <v/>
      </c>
      <c r="H24" s="115" t="str">
        <f>IF(OR(AND(AS24&gt;=AY$34,AS24&lt;&gt;"",AP24=""),AND(AU24&gt;=AY$34,AU24&lt;&gt;"",AP24=""),AND(AX24&gt;=AY$34,AX24&lt;&gt;"",AP24=""),AND(BW24&gt;=CC$34,BW24&lt;&gt;"",BT24=""),AND(BY24&gt;=CC$34,BY24&lt;&gt;"",BT24=""),AND(CB24&gt;=CC$34,CB24&lt;&gt;"",BT24=""),AND(DA24&gt;=DG$34,DA24&lt;&gt;"",CX24=""),AND(DC24&gt;=DG$34,DC24&lt;&gt;"",CX24=""),AND(DF24&gt;=DG$34,DF24&lt;&gt;"",CX24=""),AND(EC24&gt;=EG$34,EC24&lt;&gt;""),AND(EF24&gt;=EG$34,EF24&lt;&gt;""),AND(EY24&gt;=FC$34,EY24&lt;&gt;""),AND(FB24&gt;=FC$34,FB24&lt;&gt;""),AND(FU24&gt;=FY$34,FU24&lt;&gt;""),AND(FX24&gt;=FY$34,FX24&lt;&gt;""),AND(GQ24&gt;=GU$34,GQ24&lt;&gt;""),AND(GT24&gt;=GU$34,GT24&lt;&gt;""),AND(HM24&gt;=HQ$34,HM24&lt;&gt;""),AND(HP24&gt;=HQ$34,HP24&lt;&gt;""),AND(II24&gt;=IM$34,II24&lt;&gt;""),AND(IL24&gt;=IM$34,IL24&lt;&gt;""),AND(JE24&gt;=JI$34,JE24&lt;&gt;""),AND(JH24&gt;=JI$34,JH24&lt;&gt;""),AND(KA24&gt;=KE$34,KA24&lt;&gt;""),AND(KD24&gt;=KE$34,KD24&lt;&gt;""),AND(KW24&gt;=LA$34,KW24&lt;&gt;""),AND(KZ24&gt;=LA$34,KZ24&lt;&gt;""),AND(LS24&gt;=LW$34,LS24&lt;&gt;""),AND(LV24&gt;=LW$34,LV24&lt;&gt;""),AND(MO24&gt;=MS$34,MO24&lt;&gt;""),AND(MR24&gt;=MS$34,MR24&lt;&gt;""),AND(NK24&gt;=NO$34,NK24&lt;&gt;""),AND(NN24&gt;=NO$34,NN24&lt;&gt;"")),"National Team","")</f>
        <v/>
      </c>
      <c r="I24" s="116" t="str">
        <f>IF(AND(G24="Merit",H24="Merit"),"Merit",IF(AND(OR(G24="Merit",G24="Excellence"),OR(H24="Merit",H24="Excellence")),"Excellence",IF(AND(OR(G24="Merit",G24="Excellence",G24="Worlds Team"),OR(H24="Merit",H24="Excellence",H24="Worlds Team")),"Worlds Team",IF(AND(OR(G24="Merit",G24="Excellence",G24="Worlds Team",G24="National Team"),OR(H24="Merit",H24="Excellence",H24="Worlds Team",H24="National Team")),"National Team",IF(OR(H24="Merit",H24="Excellence",H24="Worlds Team",H24="National Team"),"No DD","")))))</f>
        <v/>
      </c>
      <c r="J24" s="3" t="str">
        <f>IF(AND(OR(AND(AV24&gt;=AY$35,AV24&lt;&gt;"",AP24=""),AND(BZ24&gt;=CC$35,BZ24&lt;&gt;"",BT24=""),AND(DD24&gt;=DG$35,DD24&lt;&gt;"",CX24=""),AND(ED24&gt;=EG$35,ED24&lt;&gt;""),AND(EZ24&gt;=FC$35,EZ24&lt;&gt;""),AND(FV24&gt;=FY$35,FV24&lt;&gt;""),AND(GR24&gt;=GU$35,GR24&lt;&gt;""),AND(HN24&gt;=HQ$35,HN24&lt;&gt;""),AND(IJ24&gt;=IM$35,IJ24&lt;&gt;""),AND(JF24&gt;=JI$35,JF24&lt;&gt;""),AND(KB24&gt;=KE$35,KB24&lt;&gt;""),AND(KX24&gt;=LA$35,KX24&lt;&gt;""),AND(LT24&gt;=LW$35,LT24&lt;&gt;""),AND(MP24&gt;=MS$35,MP24&lt;&gt;""),AND(NL24&gt;=NO$35,NL24&lt;&gt;"")),OR(G24="Worlds Team",G24="Excellence",G24="Merit")),"P","")</f>
        <v/>
      </c>
      <c r="K24" s="14">
        <f>IF(MAX(AV24,BZ24,DD24)&gt;0,MAX(AV24,BZ24,DD24),0)</f>
        <v>62.49</v>
      </c>
      <c r="L24" s="14" t="str">
        <f>IF(K24=0,"",IF(K24=DD24,$CD$1,IF(K24=BZ24,$AZ$1,IF(K24=AV24,$V$1,""))))</f>
        <v>2021 2nd Virtual Technical Trial</v>
      </c>
      <c r="M24" s="14">
        <f>IF($K24=$AV24,MAX(BU24,CY24),IF($K24=$BZ24,MAX(AQ24,CY24),IF($K24=$DD24,MAX(AQ24,BU24),MAX(AQ24,BU24,CY24))))</f>
        <v>0</v>
      </c>
      <c r="N24" s="14" t="str">
        <f>IF(M24=0,"",IF(AND(M24=CY24,$L24&lt;&gt;$CD$1),$CD$1,IF(AND(M24=BU24,$L24&lt;&gt;$AZ$1),$AZ$1,IF(AND(M24=AQ24,$L24&lt;&gt;$V$1),$V$1,""))))</f>
        <v/>
      </c>
      <c r="O24" s="14">
        <f>MAX(AS24,AU24,AX24,BW24,BY24,CB24,DA24,DC24,DF24)</f>
        <v>27.46</v>
      </c>
      <c r="P24" s="14" t="str">
        <f>IF(O24=0,"",IF(OR(O24=DC24,O24=DA24,O24=DF24),$CD$1,IF(OR(O24=BY24,O24=BW24,O24=CB24),$AZ$1,IF(OR(O24=AU24,O24=AS24,O24=AX24),$V$1,""))))</f>
        <v>2021 2nd Virtual Technical Trial</v>
      </c>
      <c r="Q24" s="14">
        <f>IF(COUNT(AS24,AU24,AX24,BW24,BY24,CB24,DA24,DC24,DF24)&gt;1,LARGE((AS24,AU24,AX24,BW24,BY24,CB24,DA24,DC24,DF24),2),0)</f>
        <v>22.094999999999999</v>
      </c>
      <c r="R24" s="14" t="str">
        <f>IF(Q24=0,"",IF(OR(Q24=DC24,Q24=DA24,Q24=DF24),$CD$1,IF(OR(Q24=BY24,Q24=BW24,Q24=CB24),$AZ$1,IF(OR(Q24=AU24,Q24=AS24,Q24=AX24),$V$1,""))))</f>
        <v>2021 2nd Virtual Technical Trial</v>
      </c>
      <c r="S24" s="14" t="str">
        <f>IF(MAX(DI24,DK24)&gt;0,MAX(DI24,DK24),"")</f>
        <v/>
      </c>
      <c r="T24" s="24" t="str">
        <f>IF(S24="","",IF(S24=DH24,"(Vol 1)",IF(S24=DI24,"(Vol 2)",IF(S24=DJ24,"(Prelim)",IF(S24=DK24,"(Final)")))))</f>
        <v/>
      </c>
      <c r="U24" s="14" t="str">
        <f>IF(S24="","",IF(S24=DH24,IF(S24+IF(M24="",0,M24)=NJ24,$MT$1,IF(S24+IF(M24="",0,M24)=MN24,$LX$1,IF(S24+IF(M24="",0,M24)=LR24,$LB$1,IF(S24+IF(M24="",0,M24)=KV24,$KF$1,IF(S24+IF(M24="",0,M24)=JZ24,$JJ$1,IF(S24+IF(M24="",0,M24)=JD24,$IN$1,IF(S24+IF(M24="",0,M24)=IH24,$HR$1,IF(S24+IF(M24="",0,M24)=HL24,$GV$1,IF(S24+IF(M24="",0,M24)=GP24,$FZ$1,IF(S24+IF(M24="",0,M24)=FT24,$FD$1,IF(S24+IF(M24="",0,M24)=EX24,$EH$1,IF(S24+IF(M24="",0,M24)=EB24,$DL$1)))))))))))),IF(S24=DI24,IF(S24+IF(O24="",0,O24)=NK24,$MT$1,IF(S24+IF(O24="",0,O24)=MO24,$LX$1,IF(S24+IF(O24="",0,O24)=LS24,$LB$1,IF(S24+IF(O24="",0,O24)=KW24,$KF$1,IF(S24+IF(O24="",0,O24)=KA24,$JJ$1,IF(S24+IF(O24="",0,O24)=JE24,$IN$1,IF(S24+IF(O24="",0,O24)=II24,$HR$1,IF(S24+IF(O24="",0,O24)=HM24,$GV$1,IF(S24+IF(O24="",0,O24)=GQ24,$FZ$1,IF(S24+IF(O24="",0,O24)=FU24,$FD$1,IF(S24+IF(O24="",0,O24)=EY24,$EH$1,IF(S24+IF(O24="",0,O24)=EC24,$DL$1)))))))))))),IF(S24=DJ24,IF(S24+IF(K24="",0,K24)=NL24,$MT$1,IF(S24+IF(K24="",0,K24)=MP24,$LX$1,IF(S24+IF(K24="",0,K24)=LT24,$LB$1,IF(S24+IF(K24="",0,K24)=KX24,$KF$1,IF(S24+IF(K24="",0,K24)=KB24,$JJ$1,IF(S24+IF(K24="",0,K24)=JF24,$IN$1,IF(S24+IF(K24="",0,K24)=IJ24,$HR$1,IF(S24+IF(K24="",0,K24)=HN24,$GV$1,IF(S24+IF(K24="",0,K24)=GR24,$FZ$1,IF(S24+IF(K24="",0,K24)=FV24,$FD$1,IF(S24+IF(K24="",0,K24)=EZ24,$EH$1,IF(S24+IF(K24="",0,K24)=ED24,$DL$1)))))))))))),IF(S24=DK24,IF(S24+IF(Q24="",0,Q24)=NN24,$MT$1,IF(S24+IF(Q24="",0,Q24)=MR24,$LX$1,IF(S24+IF(Q24="",0,Q24)=LV24,$LB$1,IF(S24+IF(Q24="",0,Q24)=KZ24,$KF$1,IF(S24+IF(Q24="",0,Q24)=KD24,$JJ$1,IF(S24+IF(Q24="",0,Q24)=JH24,$IN$1,IF(S24+IF(Q24="",0,Q24)=IL24,$HR$1,IF(S24+IF(Q24="",0,Q24)=HP24,$GV$1,IF(S24+IF(Q24="",0,Q24)=GT24,$FZ$1,IF(S24+IF(Q24="",0,Q24)=FX24,$FD$1,IF(S24+IF(Q24="",0,Q24)=FB24,$EH$1,IF(S24+IF(Q24="",0,Q24)=EF24,$DL$1)))))))))))))))))</f>
        <v/>
      </c>
      <c r="V24" s="61">
        <v>15.4</v>
      </c>
      <c r="W24" s="61">
        <v>9.6999999999999993</v>
      </c>
      <c r="X24" s="61">
        <v>1.5</v>
      </c>
      <c r="Y24" s="61">
        <v>13.795</v>
      </c>
      <c r="Z24" s="61">
        <v>0</v>
      </c>
      <c r="AA24" s="61">
        <v>7.1</v>
      </c>
      <c r="AB24" s="61">
        <v>4.5</v>
      </c>
      <c r="AC24" s="61">
        <v>3.6</v>
      </c>
      <c r="AD24" s="61">
        <v>6.8949999999999996</v>
      </c>
      <c r="AE24" s="61">
        <v>0</v>
      </c>
      <c r="AF24" s="61"/>
      <c r="AG24" s="61"/>
      <c r="AH24" s="61"/>
      <c r="AI24" s="61"/>
      <c r="AJ24" s="61"/>
      <c r="AK24" s="61">
        <v>8.3000000000000007</v>
      </c>
      <c r="AL24" s="61">
        <v>5.6</v>
      </c>
      <c r="AM24" s="61">
        <v>5.3</v>
      </c>
      <c r="AN24" s="61">
        <v>8.26</v>
      </c>
      <c r="AO24" s="61">
        <v>0</v>
      </c>
      <c r="AP24" s="72"/>
      <c r="AQ24" s="11">
        <f>IF(SUM(V24:Y24)-Z24&gt;0,SUM(V24:Y24)-Z24,"")</f>
        <v>40.395000000000003</v>
      </c>
      <c r="AR24" s="11">
        <f>IF(AC24&gt;0,AC24,"")</f>
        <v>3.6</v>
      </c>
      <c r="AS24" s="11">
        <f>IF(SUM(AA24:AD24)-AE24&gt;0,SUM(AA24:AD24)-AE24,"")</f>
        <v>22.094999999999999</v>
      </c>
      <c r="AT24" s="11" t="str">
        <f>IF(AH24&gt;0,AH24,"")</f>
        <v/>
      </c>
      <c r="AU24" s="11" t="str">
        <f>IF(SUM(AF24:AI24)-AJ24&gt;0,SUM(AF24:AI24)-AJ24,"")</f>
        <v/>
      </c>
      <c r="AV24" s="11">
        <f>IF(AQ24="",IF(MAX(AS24,AU24)&gt;0,MAX(AS24,AU24),""),MAX(AS24,AU24)+AQ24)</f>
        <v>62.49</v>
      </c>
      <c r="AW24" s="11">
        <f>IF(AM24&gt;0,AM24,"")</f>
        <v>5.3</v>
      </c>
      <c r="AX24" s="11">
        <f>IF(SUM(AK24:AN24)-AO24&gt;0,SUM(AK24:AN24)-AO24,"")</f>
        <v>27.46</v>
      </c>
      <c r="AY24" s="11">
        <f>IF(SUM(AV24,AX24)&gt;0,SUM(AV24,AX24),"")</f>
        <v>89.95</v>
      </c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73"/>
      <c r="BU24" s="14" t="str">
        <f>IF(SUM(AZ24:BC24)-BD24&gt;0,SUM(AZ24:BC24)-BD24,"")</f>
        <v/>
      </c>
      <c r="BV24" s="14" t="str">
        <f>IF(BG24&gt;0,BG24,"")</f>
        <v/>
      </c>
      <c r="BW24" s="14" t="str">
        <f>IF(SUM(BE24:BH24)-BI24&gt;0,SUM(BE24:BH24)-BI24,"")</f>
        <v/>
      </c>
      <c r="BX24" s="14" t="str">
        <f>IF(BL24&gt;0,BL24,"")</f>
        <v/>
      </c>
      <c r="BY24" s="14" t="str">
        <f>IF(SUM(BJ24:BM24)-BN24&gt;0,SUM(BJ24:BM24)-BN24,"")</f>
        <v/>
      </c>
      <c r="BZ24" s="14" t="str">
        <f>IF(BU24="",IF(MAX(BW24,BY24)&gt;0,MAX(BW24,BY24),""),MAX(BW24,BY24)+BU24)</f>
        <v/>
      </c>
      <c r="CA24" s="14" t="str">
        <f>IF(BQ24&gt;0,BQ24,"")</f>
        <v/>
      </c>
      <c r="CB24" s="14" t="str">
        <f>IF(SUM(BO24:BR24)-BS24&gt;0,SUM(BO24:BR24)-BS24,"")</f>
        <v/>
      </c>
      <c r="CC24" s="14" t="str">
        <f>IF(SUM(BZ24,CB24)&gt;0,SUM(BZ24,CB24),"")</f>
        <v/>
      </c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72"/>
      <c r="CY24" s="11" t="str">
        <f>IF(SUM(CD24:CG24)-CH24&gt;0,SUM(CD24:CG24)-CH24,"")</f>
        <v/>
      </c>
      <c r="CZ24" s="11" t="str">
        <f>IF(CK24&gt;0,CK24,"")</f>
        <v/>
      </c>
      <c r="DA24" s="11" t="str">
        <f>IF(SUM(CI24:CL24)-CM24&gt;0,SUM(CI24:CL24)-CM24,"")</f>
        <v/>
      </c>
      <c r="DB24" s="11" t="str">
        <f>IF(CP24&gt;0,CP24,"")</f>
        <v/>
      </c>
      <c r="DC24" s="11" t="str">
        <f>IF(SUM(CN24:CQ24)-CR24&gt;0,SUM(CN24:CQ24)-CR24,"")</f>
        <v/>
      </c>
      <c r="DD24" s="11" t="str">
        <f>IF(CY24="",IF(MAX(DA24,DC24)&gt;0,MAX(DA24,DC24),""),MAX(DA24,DC24)+CY24)</f>
        <v/>
      </c>
      <c r="DE24" s="11" t="str">
        <f>IF(CU24&gt;0,CU24,"")</f>
        <v/>
      </c>
      <c r="DF24" s="11" t="str">
        <f>IF(SUM(CS24:CV24)-CW24&gt;0,SUM(CS24:CV24)-CW24,"")</f>
        <v/>
      </c>
      <c r="DG24" s="11" t="str">
        <f>IF(SUM(DD24,DF24)&gt;0,SUM(DD24,DF24),"")</f>
        <v/>
      </c>
      <c r="DH24" s="23" t="str">
        <f>IF(MAX(EB24,EX24,FT24,GP24,HL24,IH24,JD24,JZ24,KV24,LR24,MN24,NJ24)-IF(M24="",0,M24)&gt;0.001,MAX(EB24,EX24,FT24,GP24,HL24,IH24,JD24,JZ24,KV24,LR24,MN24,NJ24)-IF(M24="",0,M24),"")</f>
        <v/>
      </c>
      <c r="DI24" s="23" t="str">
        <f>IF(MAX(EC24,EY24,FU24,GQ24,HM24,II24,JE24,KA24,KW24,LS24,MO24,NK24)-IF(O24="",0,O24)&gt;0.001,MAX(EC24,EY24,FU24,GQ24,HM24,II24,JE24,KA24,KW24,LS24,MO24,NK24)-IF(O24="",0,O24),"")</f>
        <v/>
      </c>
      <c r="DJ24" s="23" t="str">
        <f>IF(MAX(ED24,EZ24,FV24,GR24,HN24,IJ24,JF24,KB24,KX24,LT24,MP24,NL24)-IF(K24="",0,K24)&gt;0.001,MAX(ED24,EZ24,FV24,GR24,HN24,IJ24,JF24,KB24,KX24,LT24,MP24,NL24)-IF(K24="",0,K24),"")</f>
        <v/>
      </c>
      <c r="DK24" s="23" t="str">
        <f>IF(MAX(EF24,FB24,FX24,GT24,HP24,IL24,JH24,KD24,KZ24,LV24,MR24,NN24)-IF(Q24="",0,Q24)&gt;0.001,MAX(EF24,FB24,FX24,GT24,HP24,IL24,JH24,KD24,KZ24,LV24,MR24,NN24)-IF(Q24="",0,Q24),"")</f>
        <v/>
      </c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11" t="str">
        <f>IF(DS24&gt;0,DS24,"")</f>
        <v/>
      </c>
      <c r="EB24" s="11" t="str">
        <f>IF(SUM(DL24:DO24)-DP24&gt;0,SUM(DL24:DO24)-DP24,"")</f>
        <v/>
      </c>
      <c r="EC24" s="11" t="str">
        <f>IF(SUM(DQ24:DT24)-DU24&gt;0,SUM(DQ24:DT24)-DU24,"")</f>
        <v/>
      </c>
      <c r="ED24" s="11" t="str">
        <f>IF(SUM(EB24:EC24)&gt;0,SUM(EB24:EC24),"")</f>
        <v/>
      </c>
      <c r="EE24" s="11" t="str">
        <f>IF(DX24&gt;0,DX24,"")</f>
        <v/>
      </c>
      <c r="EF24" s="11" t="str">
        <f>IF(SUM(DV24:DY24)-DZ24&gt;0,SUM(DV24:DY24)-DZ24,"")</f>
        <v/>
      </c>
      <c r="EG24" s="11" t="str">
        <f>IF(SUM(ED24,EF24)&gt;0,SUM(ED24,EF24),"")</f>
        <v/>
      </c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14" t="str">
        <f>IF(EO24&gt;0,EO24,"")</f>
        <v/>
      </c>
      <c r="EX24" s="14" t="str">
        <f>IF(SUM(EH24:EK24)-EL24&gt;0,SUM(EH24:EK24)-EL24,"")</f>
        <v/>
      </c>
      <c r="EY24" s="14" t="str">
        <f>IF(SUM(EM24:EP24)-EQ24&gt;0,SUM(EM24:EP24)-EQ24,"")</f>
        <v/>
      </c>
      <c r="EZ24" s="14" t="str">
        <f>IF(SUM(EX24:EY24)&gt;0,SUM(EX24:EY24),"")</f>
        <v/>
      </c>
      <c r="FA24" s="14" t="str">
        <f>IF(ET24&gt;0,ET24,"")</f>
        <v/>
      </c>
      <c r="FB24" s="14" t="str">
        <f>IF(SUM(ER24:EU24)-EV24&gt;0,SUM(ER24:EU24)-EV24,"")</f>
        <v/>
      </c>
      <c r="FC24" s="14" t="str">
        <f>IF(SUM(EZ24,FB24)&gt;0,SUM(EZ24,FB24),"")</f>
        <v/>
      </c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11" t="str">
        <f>IF(FK24&gt;0,FK24,"")</f>
        <v/>
      </c>
      <c r="FT24" s="11" t="str">
        <f>IF(SUM(FD24:FG24)-FH24&gt;0,SUM(FD24:FG24)-FH24,"")</f>
        <v/>
      </c>
      <c r="FU24" s="11" t="str">
        <f>IF(SUM(FI24:FL24)-FM24&gt;0,SUM(FI24:FL24)-FM24,"")</f>
        <v/>
      </c>
      <c r="FV24" s="11" t="str">
        <f>IF(SUM(FT24:FU24)&gt;0,SUM(FT24:FU24),"")</f>
        <v/>
      </c>
      <c r="FW24" s="11" t="str">
        <f>IF(FP24&gt;0,FP24,"")</f>
        <v/>
      </c>
      <c r="FX24" s="11" t="str">
        <f>IF(SUM(FN24:FQ24)-FR24&gt;0,SUM(FN24:FQ24)-FR24,"")</f>
        <v/>
      </c>
      <c r="FY24" s="11" t="str">
        <f>IF(SUM(FV24,FX24)&gt;0,SUM(FV24,FX24),"")</f>
        <v/>
      </c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14" t="str">
        <f>IF(GG24&gt;0,GG24,"")</f>
        <v/>
      </c>
      <c r="GP24" s="14" t="str">
        <f>IF(SUM(FZ24:GC24)-GD24&gt;0,SUM(FZ24:GC24)-GD24,"")</f>
        <v/>
      </c>
      <c r="GQ24" s="14" t="str">
        <f>IF(SUM(GE24:GH24)-GI24&gt;0,SUM(GE24:GH24)-GI24,"")</f>
        <v/>
      </c>
      <c r="GR24" s="14" t="str">
        <f>IF(SUM(GP24:GQ24)&gt;0,SUM(GP24:GQ24),"")</f>
        <v/>
      </c>
      <c r="GS24" s="14" t="str">
        <f>IF(GL24&gt;0,GL24,"")</f>
        <v/>
      </c>
      <c r="GT24" s="14" t="str">
        <f>IF(SUM(GJ24:GM24)-GN24&gt;0,SUM(GJ24:GM24)-GN24,"")</f>
        <v/>
      </c>
      <c r="GU24" s="14" t="str">
        <f>IF(SUM(GR24,GT24)&gt;0,SUM(GR24,GT24),"")</f>
        <v/>
      </c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11" t="str">
        <f>IF(HC24&gt;0,HC24,"")</f>
        <v/>
      </c>
      <c r="HL24" s="11" t="str">
        <f>IF(SUM(GV24:GY24)-GZ24&gt;0,SUM(GV24:GY24)-GZ24,"")</f>
        <v/>
      </c>
      <c r="HM24" s="11" t="str">
        <f>IF(SUM(HA24:HD24)-HE24&gt;0,SUM(HA24:HD24)-HE24,"")</f>
        <v/>
      </c>
      <c r="HN24" s="11" t="str">
        <f>IF(SUM(HL24:HM24)&gt;0,SUM(HL24:HM24),"")</f>
        <v/>
      </c>
      <c r="HO24" s="11" t="str">
        <f>IF(HH24&gt;0,HH24,"")</f>
        <v/>
      </c>
      <c r="HP24" s="11" t="str">
        <f>IF(SUM(HF24:HI24)-HJ24&gt;0,SUM(HF24:HI24)-HJ24,"")</f>
        <v/>
      </c>
      <c r="HQ24" s="11" t="str">
        <f>IF(SUM(HN24,HP24)&gt;0,SUM(HN24,HP24),"")</f>
        <v/>
      </c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14" t="str">
        <f>IF(HY24&gt;0,HY24,"")</f>
        <v/>
      </c>
      <c r="IH24" s="14" t="str">
        <f>IF(SUM(HR24:HU24)-HV24&gt;0,SUM(HR24:HU24)-HV24,"")</f>
        <v/>
      </c>
      <c r="II24" s="14" t="str">
        <f>IF(SUM(HW24:HZ24)-IA24&gt;0,SUM(HW24:HZ24)-IA24,"")</f>
        <v/>
      </c>
      <c r="IJ24" s="14" t="str">
        <f>IF(SUM(IH24:II24)&gt;0,SUM(IH24:II24),"")</f>
        <v/>
      </c>
      <c r="IK24" s="14" t="str">
        <f>IF(ID24&gt;0,ID24,"")</f>
        <v/>
      </c>
      <c r="IL24" s="14" t="str">
        <f>IF(SUM(IB24:IE24)-IF24&gt;0,SUM(IB24:IE24)-IF24,"")</f>
        <v/>
      </c>
      <c r="IM24" s="14" t="str">
        <f>IF(SUM(IJ24,IL24)&gt;0,SUM(IJ24,IL24),"")</f>
        <v/>
      </c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11" t="str">
        <f>IF(IU24&gt;0,IU24,"")</f>
        <v/>
      </c>
      <c r="JD24" s="11" t="str">
        <f>IF(SUM(IN24:IQ24)-IR24&gt;0,SUM(IN24:IQ24)-IR24,"")</f>
        <v/>
      </c>
      <c r="JE24" s="11" t="str">
        <f>IF(SUM(IS24:IV24)-IW24&gt;0,SUM(IS24:IV24)-IW24,"")</f>
        <v/>
      </c>
      <c r="JF24" s="11" t="str">
        <f>IF(SUM(JD24:JE24)&gt;0,SUM(JD24:JE24),"")</f>
        <v/>
      </c>
      <c r="JG24" s="11" t="str">
        <f>IF(IZ24&gt;0,IZ24,"")</f>
        <v/>
      </c>
      <c r="JH24" s="11" t="str">
        <f>IF(SUM(IX24:JA24)-JB24&gt;0,SUM(IX24:JA24)-JB24,"")</f>
        <v/>
      </c>
      <c r="JI24" s="11" t="str">
        <f>IF(SUM(JF24,JH24)&gt;0,SUM(JF24,JH24),"")</f>
        <v/>
      </c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14" t="str">
        <f>IF(JQ24&gt;0,JQ24,"")</f>
        <v/>
      </c>
      <c r="JZ24" s="14" t="str">
        <f>IF(SUM(JJ24:JM24)-JN24&gt;0,SUM(JJ24:JM24)-JN24,"")</f>
        <v/>
      </c>
      <c r="KA24" s="14" t="str">
        <f>IF(SUM(JO24:JR24)-JS24&gt;0,SUM(JO24:JR24)-JS24,"")</f>
        <v/>
      </c>
      <c r="KB24" s="14" t="str">
        <f>IF(SUM(JZ24:KA24)&gt;0,SUM(JZ24:KA24),"")</f>
        <v/>
      </c>
      <c r="KC24" s="14" t="str">
        <f>IF(JV24&gt;0,JV24,"")</f>
        <v/>
      </c>
      <c r="KD24" s="14" t="str">
        <f>IF(SUM(JT24:JW24)-JX24&gt;0,SUM(JT24:JW24)-JX24,"")</f>
        <v/>
      </c>
      <c r="KE24" s="14" t="str">
        <f>IF(SUM(KB24,KD24)&gt;0,SUM(KB24,KD24),"")</f>
        <v/>
      </c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11" t="str">
        <f>IF(KM24&gt;0,KM24,"")</f>
        <v/>
      </c>
      <c r="KV24" s="11" t="str">
        <f>IF(SUM(KF24:KI24)-KJ24&gt;0,SUM(KF24:KI24)-KJ24,"")</f>
        <v/>
      </c>
      <c r="KW24" s="11" t="str">
        <f>IF(SUM(KK24:KN24)-KO24&gt;0,SUM(KK24:KN24)-KO24,"")</f>
        <v/>
      </c>
      <c r="KX24" s="11" t="str">
        <f>IF(SUM(KV24:KW24)&gt;0,SUM(KV24:KW24),"")</f>
        <v/>
      </c>
      <c r="KY24" s="11" t="str">
        <f>IF(KR24&gt;0,KR24,"")</f>
        <v/>
      </c>
      <c r="KZ24" s="11" t="str">
        <f>IF(SUM(KP24:KS24)-KT24&gt;0,SUM(KP24:KS24)-KT24,"")</f>
        <v/>
      </c>
      <c r="LA24" s="11" t="str">
        <f>IF(SUM(KX24,KZ24)&gt;0,SUM(KX24,KZ24),"")</f>
        <v/>
      </c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14" t="str">
        <f>IF(LI24&gt;0,LI24,"")</f>
        <v/>
      </c>
      <c r="LR24" s="14" t="str">
        <f>IF(SUM(LB24:LE24)-LF24&gt;0,SUM(LB24:LE24)-LF24,"")</f>
        <v/>
      </c>
      <c r="LS24" s="14" t="str">
        <f>IF(SUM(LG24:LJ24)-LK24&gt;0,SUM(LG24:LJ24)-LK24,"")</f>
        <v/>
      </c>
      <c r="LT24" s="14" t="str">
        <f>IF(SUM(LR24:LS24)&gt;0,SUM(LR24:LS24),"")</f>
        <v/>
      </c>
      <c r="LU24" s="14" t="str">
        <f>IF(LN24&gt;0,LN24,"")</f>
        <v/>
      </c>
      <c r="LV24" s="14" t="str">
        <f>IF(SUM(LL24:LO24)-LP24&gt;0,SUM(LL24:LO24)-LP24,"")</f>
        <v/>
      </c>
      <c r="LW24" s="14" t="str">
        <f>IF(SUM(LT24,LV24)&gt;0,SUM(LT24,LV24),"")</f>
        <v/>
      </c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11" t="str">
        <f>IF(ME24&gt;0,ME24,"")</f>
        <v/>
      </c>
      <c r="MN24" s="11" t="str">
        <f>IF(SUM(LX24:MA24)-MB24&gt;0,SUM(LX24:MA24)-MB24,"")</f>
        <v/>
      </c>
      <c r="MO24" s="11" t="str">
        <f>IF(SUM(MC24:MF24)-MG24&gt;0,SUM(MC24:MF24)-MG24,"")</f>
        <v/>
      </c>
      <c r="MP24" s="11" t="str">
        <f>IF(SUM(MN24:MO24)&gt;0,SUM(MN24:MO24),"")</f>
        <v/>
      </c>
      <c r="MQ24" s="11" t="str">
        <f>IF(MJ24&gt;0,MJ24,"")</f>
        <v/>
      </c>
      <c r="MR24" s="11" t="str">
        <f>IF(SUM(MH24:MK24)-ML24&gt;0,SUM(MH24:MK24)-ML24,"")</f>
        <v/>
      </c>
      <c r="MS24" s="11" t="str">
        <f>IF(SUM(MP24,MR24)&gt;0,SUM(MP24,MR24),"")</f>
        <v/>
      </c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14" t="str">
        <f>IF(NA24&gt;0,NA24,"")</f>
        <v/>
      </c>
      <c r="NJ24" s="14" t="str">
        <f>IF(SUM(MT24:MW24)-MX24&gt;0,SUM(MT24:MW24)-MX24,"")</f>
        <v/>
      </c>
      <c r="NK24" s="14" t="str">
        <f>IF(SUM(MY24:NB24)-NC24&gt;0,SUM(MY24:NB24)-NC24,"")</f>
        <v/>
      </c>
      <c r="NL24" s="14" t="str">
        <f>IF(SUM(NJ24:NK24)&gt;0,SUM(NJ24:NK24),"")</f>
        <v/>
      </c>
      <c r="NM24" s="14" t="str">
        <f>IF(NF24&gt;0,NF24,"")</f>
        <v/>
      </c>
      <c r="NN24" s="14" t="str">
        <f>IF(SUM(ND24:NG24)-NH24&gt;0,SUM(ND24:NG24)-NH24,"")</f>
        <v/>
      </c>
      <c r="NO24" s="14" t="str">
        <f>IF(SUM(NL24,NN24)&gt;0,SUM(NL24,NN24),"")</f>
        <v/>
      </c>
      <c r="NP24" s="61">
        <f>IF($CX24="P",CD24,(CD24+AZ24)/2)</f>
        <v>0</v>
      </c>
      <c r="NQ24" s="61">
        <f>IF($CX24="P",CE24,(CE24+BA24)/2)</f>
        <v>0</v>
      </c>
      <c r="NR24" s="61">
        <f>IF($CX24="P",CF24,(CF24+BB24)/2)</f>
        <v>0</v>
      </c>
      <c r="NS24" s="61">
        <f>IF($CX24="P",CG24,(CG24+BC24)/2)</f>
        <v>0</v>
      </c>
      <c r="NT24" s="61">
        <f>IF($CX24="P",CH24,(CH24+BD24)/2)</f>
        <v>0</v>
      </c>
      <c r="NU24" s="61">
        <f>IF($CX24="P",CI24,(CI24+BE24)/2)</f>
        <v>0</v>
      </c>
      <c r="NV24" s="61">
        <f>IF($CX24="P",CJ24,(CJ24+BF24)/2)</f>
        <v>0</v>
      </c>
      <c r="NW24" s="61">
        <f>IF($CX24="P",CK24,(CK24+BG24)/2)</f>
        <v>0</v>
      </c>
      <c r="NX24" s="61">
        <f>IF($CX24="P",CL24,(CL24+BH24)/2)</f>
        <v>0</v>
      </c>
      <c r="NY24" s="61">
        <f>IF($CX24="P",CM24,(CM24+BI24)/2)</f>
        <v>0</v>
      </c>
      <c r="NZ24" s="61">
        <f>IF($CX24="P",CN24,(CN24+BJ24)/2)</f>
        <v>0</v>
      </c>
      <c r="OA24" s="61">
        <f>IF($CX24="P",CO24,(CO24+BK24)/2)</f>
        <v>0</v>
      </c>
      <c r="OB24" s="61">
        <f>IF($CX24="P",CP24,(CP24+BL24)/2)</f>
        <v>0</v>
      </c>
      <c r="OC24" s="61">
        <f>IF($CX24="P",CQ24,(CQ24+BM24)/2)</f>
        <v>0</v>
      </c>
      <c r="OD24" s="61">
        <f>IF($CX24="P",CR24,(CR24+BN24)/2)</f>
        <v>0</v>
      </c>
      <c r="OE24" s="61">
        <f>IF($CX24="P",CS24,(CS24+BO24)/2)</f>
        <v>0</v>
      </c>
      <c r="OF24" s="61">
        <f>IF($CX24="P",CT24,(CT24+BP24)/2)</f>
        <v>0</v>
      </c>
      <c r="OG24" s="61">
        <f>IF($CX24="P",CU24,(CU24+BQ24)/2)</f>
        <v>0</v>
      </c>
      <c r="OH24" s="61">
        <f>IF($CX24="P",CV24,(CV24+BR24)/2)</f>
        <v>0</v>
      </c>
      <c r="OI24" s="61">
        <f>IF($CX24="P",CW24,(CW24+BS24)/2)</f>
        <v>0</v>
      </c>
      <c r="OJ24" s="72" t="s">
        <v>52</v>
      </c>
      <c r="OK24" s="11" t="str">
        <f>IF(SUM(NP24:NS24)-NT24&gt;0,SUM(NP24:NS24)-NT24,"")</f>
        <v/>
      </c>
      <c r="OL24" s="11" t="str">
        <f>IF(NW24&gt;0,NW24,"")</f>
        <v/>
      </c>
      <c r="OM24" s="11" t="str">
        <f>IF(SUM(NU24:NX24)-NY24&gt;0,SUM(NU24:NX24)-NY24,"")</f>
        <v/>
      </c>
      <c r="ON24" s="11" t="str">
        <f>IF(OB24&gt;0,OB24,"")</f>
        <v/>
      </c>
      <c r="OO24" s="11" t="str">
        <f>IF(SUM(NZ24:OC24)-OD24&gt;0,SUM(NZ24:OC24)-OD24,"")</f>
        <v/>
      </c>
      <c r="OP24" s="11" t="str">
        <f>IF(OR(OK24&lt;&gt;"",OM24&lt;&gt;"",OO24&lt;&gt;""),OK24+MAX(OM24,OO24),"")</f>
        <v/>
      </c>
      <c r="OQ24" s="11" t="str">
        <f>IF(OG24&gt;0,OG24,"")</f>
        <v/>
      </c>
      <c r="OR24" s="11" t="str">
        <f t="shared" ref="OR24" si="30">IF(SUM(OE24:OH24)-OI24&gt;0,SUM(OE24:OH24)-OI24,"")</f>
        <v/>
      </c>
      <c r="OS24" s="11" t="str">
        <f t="shared" ref="OS24" si="31">IF(SUM(OP24,OR24)&gt;0,SUM(OP24,OR24),"")</f>
        <v/>
      </c>
    </row>
    <row r="25" spans="1:409" x14ac:dyDescent="0.2">
      <c r="A25" s="5" t="str" cm="1">
        <f t="array" ref="A25">IF(AND(G25&lt;&gt;"",H25&lt;&gt;""),SUMPRODUCT((G$4:G$28&lt;&gt;"")*(H$4:H$28&lt;&gt;"")*(E$4:E$28&gt;E25))+1,IF(H25&lt;&gt;"",SUMPRODUCT((I$4:I$28="No DD")*(E$4:E$28&gt;E25))+1+SUMPRODUCT((G$4:G$28&lt;&gt;"")*(H$4:H$28&lt;&gt;"")),""))</f>
        <v/>
      </c>
      <c r="B25" s="6" t="s">
        <v>143</v>
      </c>
      <c r="C25" s="7" t="s">
        <v>5</v>
      </c>
      <c r="D25" s="26">
        <v>2001</v>
      </c>
      <c r="E25" s="15">
        <f>SUM(O25:S25)</f>
        <v>35.46</v>
      </c>
      <c r="F25" s="3" t="str">
        <f>IF(G25&lt;&gt;"","P","")</f>
        <v/>
      </c>
      <c r="G25" s="115" t="str">
        <f>IF(OR(AND(AR25&gt;=AY$33,AR25&lt;&gt;"",AP25=""),AND(AT25&gt;=AY$33,AT25&lt;&gt;"",AP25=""),AND(AW25&gt;=AY$33,AW25&lt;&gt;"",AP25=""),AND(BV25&gt;=CC$33,BV25&lt;&gt;"",BT25=""),AND(BX25&gt;=CC$33,BX25&lt;&gt;"",BT25=""),AND(CA25&gt;=CC$33,CA25&lt;&gt;"",BT25=""),AND(CZ25&gt;=DG$33,CZ25&lt;&gt;"",CX25=""),AND(DB25&gt;=DG$33,DB25&lt;&gt;"",CX25=""),AND(DE25&gt;=DG$33,DE25&lt;&gt;"",CX25=""),AND(EA25&gt;=EG$33,EA25&lt;&gt;""),AND(EE25&gt;=EG$33,EE25&lt;&gt;""),AND(EW25&gt;=FC$33,EW25&lt;&gt;""),AND(FA25&gt;=FC$33,FA25&lt;&gt;""),AND(FS25&gt;=FY$33,FS25&lt;&gt;""),AND(FW25&gt;=FY$33,FW25&lt;&gt;""),AND(GO25&gt;=GU$33,GO25&lt;&gt;""),AND(GS25&gt;=GU$33,GS25&lt;&gt;""),AND(HK25&gt;=HQ$33,HK25&lt;&gt;""),AND(HO25&gt;=HQ$33,HO25&lt;&gt;""),AND(IG25&gt;=IM$33,IG25&lt;&gt;""),AND(IK25&gt;=IM$33,IK25&lt;&gt;""),AND(JC25&gt;=JI$33,JC25&lt;&gt;""),AND(JG25&gt;=JI$33,JG25&lt;&gt;""),AND(JY25&gt;=KE$33,JY25&lt;&gt;""),AND(KC25&gt;=KE$33,KC25&lt;&gt;""),AND(KU25&gt;=LA$33,KU25&lt;&gt;""),AND(KY25&gt;=LA$33,KY25&lt;&gt;""),AND(LQ25&gt;=LW$33,LQ25&lt;&gt;""),AND(LU25&gt;=LW$33,LU25&lt;&gt;""),AND(MM25&gt;=MS$33,MM25&lt;&gt;""),AND(MQ25&gt;=MS$33,MQ25&lt;&gt;""),AND(NI25&gt;=NO$33,NI25&lt;&gt;""),AND(NM25&gt;=NO$33,NM25&lt;&gt;"")),"Merit",IF(OR(AND(AR25&gt;=AY$32,AR25&lt;&gt;"",AP25=""),AND(AT25&gt;=AY$32,AT25&lt;&gt;"",AP25=""),AND(AW25&gt;=AY$32,AW25&lt;&gt;"",AP25=""),AND(BV25&gt;=CC$32,BV25&lt;&gt;"",BT25=""),AND(BX25&gt;=CC$32,BX25&lt;&gt;"",BT25=""),AND(CA25&gt;=CC$32,CA25&lt;&gt;"",BT25=""),AND(CZ25&gt;=DG$32,CZ25&lt;&gt;"",CX25=""),AND(DB25&gt;=DG$32,DB25&lt;&gt;"",CX25=""),AND(DE25&gt;=DG$32,DE25&lt;&gt;"",CX25=""),AND(EA25&gt;=EG$32,EA25&lt;&gt;""),AND(EE25&gt;=EG$32,EE25&lt;&gt;""),AND(EW25&gt;=FC$32,EW25&lt;&gt;""),AND(FA25&gt;=FC$32,FA25&lt;&gt;""),AND(FS25&gt;=FY$32,FS25&lt;&gt;""),AND(FW25&gt;=FY$32,FW25&lt;&gt;""),AND(GO25&gt;=GU$32,GO25&lt;&gt;""),AND(GS25&gt;=GU$32,GS25&lt;&gt;""),AND(HK25&gt;=HQ$32,HK25&lt;&gt;""),AND(HO25&gt;=HQ$32,HO25&lt;&gt;""),AND(IG25&gt;=IM$32,IG25&lt;&gt;""),AND(IK25&gt;=IM$32,IK25&lt;&gt;""),AND(JC25&gt;=JI$32,JC25&lt;&gt;""),AND(JG25&gt;=JI$32,JG25&lt;&gt;""),AND(JY25&gt;=KE$32,JY25&lt;&gt;""),AND(KC25&gt;=KE$32,KC25&lt;&gt;""),AND(KU25&gt;=LA$32,KU25&lt;&gt;""),AND(KY25&gt;=LA$32,KY25&lt;&gt;""),AND(LQ25&gt;=LW$32,LQ25&lt;&gt;""),AND(LU25&gt;=LW$32,LU25&lt;&gt;""),AND(MM25&gt;=MS$32,MM25&lt;&gt;""),AND(MQ25&gt;=MS$32,MQ25&lt;&gt;""),AND(NI25&gt;=NO$32,NI25&lt;&gt;""),AND(NM25&gt;=NO$32,NM25&lt;&gt;"")),"Excellence",IF(OR(AND(AR25&gt;=AY$31,AR25&lt;&gt;"",AP25=""),AND(AT25&gt;=AY$31,AT25&lt;&gt;"",AP25=""),AND(AW25&gt;=AY$31,AW25&lt;&gt;"",AP25=""),AND(BV25&gt;=CC$31,BV25&lt;&gt;"",BT25=""),AND(BX25&gt;=CC$31,BX25&lt;&gt;"",BT25=""),AND(CA25&gt;=CC$31,CA25&lt;&gt;"",BT25=""),AND(CZ25&gt;=DG$31,CZ25&lt;&gt;"",CX25=""),AND(DB25&gt;=DG$31,DB25&lt;&gt;"",CX25=""),AND(DE25&gt;=DG$31,DE25&lt;&gt;"",CX25=""),AND(EA25&gt;=EG$31,EA25&lt;&gt;""),AND(EE25&gt;=EG$31,EE25&lt;&gt;""),AND(EW25&gt;=FC$31,EW25&lt;&gt;""),AND(FA25&gt;=FC$31,FA25&lt;&gt;""),AND(FS25&gt;=FY$31,FS25&lt;&gt;""),AND(FW25&gt;=FY$31,FW25&lt;&gt;""),AND(GO25&gt;=GU$31,GO25&lt;&gt;""),AND(GS25&gt;=GU$31,GS25&lt;&gt;""),AND(HK25&gt;=HQ$31,HK25&lt;&gt;""),AND(HO25&gt;=HQ$31,HO25&lt;&gt;""),AND(IG25&gt;=IM$31,IG25&lt;&gt;""),AND(IK25&gt;=IM$31,IK25&lt;&gt;""),AND(JC25&gt;=JI$31,JC25&lt;&gt;""),AND(JG25&gt;=JI$31,JG25&lt;&gt;""),AND(JY25&gt;=KE$31,JY25&lt;&gt;""),AND(KC25&gt;=KE$31,KC25&lt;&gt;""),AND(KU25&gt;=LA$31,KU25&lt;&gt;""),AND(KY25&gt;=LA$31,KY25&lt;&gt;""),AND(LQ25&gt;=LW$31,LQ25&lt;&gt;""),AND(LU25&gt;=LW$31,LU25&lt;&gt;""),AND(MM25&gt;=MS$31,MM25&lt;&gt;""),AND(MQ25&gt;=MS$31,MQ25&lt;&gt;""),AND(NI25&gt;=NO$31,NI25&lt;&gt;""),AND(NM25&gt;=NO$31,NM25&lt;&gt;"")),"Worlds Team",IF(OR(AND(AR25&gt;=AY$30,AR25&lt;&gt;"",AP25=""),AND(AT25&gt;=AY$30,AT25&lt;&gt;"",AP25=""),AND(AW25&gt;=AY$30,AW25&lt;&gt;"",AP25=""),AND(BV25&gt;=CC$30,BV25&lt;&gt;"",BT25=""),AND(BX25&gt;=CC$30,BX25&lt;&gt;"",BT25=""),AND(CA25&gt;=CC$30,CA25&lt;&gt;"",BT25=""),AND(CZ25&gt;=DG$30,CZ25&lt;&gt;"",CX25=""),AND(DB25&gt;=DG$30,DB25&lt;&gt;"",CX25=""),AND(DE25&gt;=DG$30,DE25&lt;&gt;"",CX25=""),AND(EA25&gt;=EG$30,EA25&lt;&gt;""),AND(EE25&gt;=EG$30,EE25&lt;&gt;""),AND(EW25&gt;=FC$30,EW25&lt;&gt;""),AND(FA25&gt;=FC$30,FA25&lt;&gt;""),AND(FS25&gt;=FY$30,FS25&lt;&gt;""),AND(FW25&gt;=FY$30,FW25&lt;&gt;""),AND(GO25&gt;=GU$30,GO25&lt;&gt;""),AND(GS25&gt;=GU$30,GS25&lt;&gt;""),AND(HK25&gt;=HQ$30,HK25&lt;&gt;""),AND(HO25&gt;=HQ$30,HO25&lt;&gt;""),AND(IG25&gt;=IM$30,IG25&lt;&gt;""),AND(IK25&gt;=IM$30,IK25&lt;&gt;""),AND(JC25&gt;=JI$30,JC25&lt;&gt;""),AND(JG25&gt;=JI$30,JG25&lt;&gt;""),AND(JY25&gt;=KE$30,JY25&lt;&gt;""),AND(KC25&gt;=KE$30,KC25&lt;&gt;""),AND(KU25&gt;=LA$30,KU25&lt;&gt;""),AND(KY25&gt;=LA$30,KY25&lt;&gt;""),AND(LQ25&gt;=LW$30,LQ25&lt;&gt;""),AND(LU25&gt;=LW$30,LU25&lt;&gt;""),AND(MM25&gt;=MS$30,MM25&lt;&gt;""),AND(MQ25&gt;=MS$30,MQ25&lt;&gt;""),AND(NI25&gt;=NO$30,NI25&lt;&gt;""),AND(NM25&gt;=NO$30,NM25&lt;&gt;"")),"National Team",""))))</f>
        <v/>
      </c>
      <c r="H25" s="115" t="str">
        <f>IF(OR(AND(AS25&gt;=AY$34,AS25&lt;&gt;"",AP25=""),AND(AU25&gt;=AY$34,AU25&lt;&gt;"",AP25=""),AND(AX25&gt;=AY$34,AX25&lt;&gt;"",AP25=""),AND(BW25&gt;=CC$34,BW25&lt;&gt;"",BT25=""),AND(BY25&gt;=CC$34,BY25&lt;&gt;"",BT25=""),AND(CB25&gt;=CC$34,CB25&lt;&gt;"",BT25=""),AND(DA25&gt;=DG$34,DA25&lt;&gt;"",CX25=""),AND(DC25&gt;=DG$34,DC25&lt;&gt;"",CX25=""),AND(DF25&gt;=DG$34,DF25&lt;&gt;"",CX25=""),AND(EC25&gt;=EG$34,EC25&lt;&gt;""),AND(EF25&gt;=EG$34,EF25&lt;&gt;""),AND(EY25&gt;=FC$34,EY25&lt;&gt;""),AND(FB25&gt;=FC$34,FB25&lt;&gt;""),AND(FU25&gt;=FY$34,FU25&lt;&gt;""),AND(FX25&gt;=FY$34,FX25&lt;&gt;""),AND(GQ25&gt;=GU$34,GQ25&lt;&gt;""),AND(GT25&gt;=GU$34,GT25&lt;&gt;""),AND(HM25&gt;=HQ$34,HM25&lt;&gt;""),AND(HP25&gt;=HQ$34,HP25&lt;&gt;""),AND(II25&gt;=IM$34,II25&lt;&gt;""),AND(IL25&gt;=IM$34,IL25&lt;&gt;""),AND(JE25&gt;=JI$34,JE25&lt;&gt;""),AND(JH25&gt;=JI$34,JH25&lt;&gt;""),AND(KA25&gt;=KE$34,KA25&lt;&gt;""),AND(KD25&gt;=KE$34,KD25&lt;&gt;""),AND(KW25&gt;=LA$34,KW25&lt;&gt;""),AND(KZ25&gt;=LA$34,KZ25&lt;&gt;""),AND(LS25&gt;=LW$34,LS25&lt;&gt;""),AND(LV25&gt;=LW$34,LV25&lt;&gt;""),AND(MO25&gt;=MS$34,MO25&lt;&gt;""),AND(MR25&gt;=MS$34,MR25&lt;&gt;""),AND(NK25&gt;=NO$34,NK25&lt;&gt;""),AND(NN25&gt;=NO$34,NN25&lt;&gt;"")),"National Team","")</f>
        <v/>
      </c>
      <c r="I25" s="116" t="str">
        <f>IF(AND(G25="Merit",H25="Merit"),"Merit",IF(AND(OR(G25="Merit",G25="Excellence"),OR(H25="Merit",H25="Excellence")),"Excellence",IF(AND(OR(G25="Merit",G25="Excellence",G25="Worlds Team"),OR(H25="Merit",H25="Excellence",H25="Worlds Team")),"Worlds Team",IF(AND(OR(G25="Merit",G25="Excellence",G25="Worlds Team",G25="National Team"),OR(H25="Merit",H25="Excellence",H25="Worlds Team",H25="National Team")),"National Team",IF(OR(H25="Merit",H25="Excellence",H25="Worlds Team",H25="National Team"),"No DD","")))))</f>
        <v/>
      </c>
      <c r="J25" s="3" t="str">
        <f>IF(AND(OR(AND(AV25&gt;=AY$35,AV25&lt;&gt;"",AP25=""),AND(BZ25&gt;=CC$35,BZ25&lt;&gt;"",BT25=""),AND(DD25&gt;=DG$35,DD25&lt;&gt;"",CX25=""),AND(ED25&gt;=EG$35,ED25&lt;&gt;""),AND(EZ25&gt;=FC$35,EZ25&lt;&gt;""),AND(FV25&gt;=FY$35,FV25&lt;&gt;""),AND(GR25&gt;=GU$35,GR25&lt;&gt;""),AND(HN25&gt;=HQ$35,HN25&lt;&gt;""),AND(IJ25&gt;=IM$35,IJ25&lt;&gt;""),AND(JF25&gt;=JI$35,JF25&lt;&gt;""),AND(KB25&gt;=KE$35,KB25&lt;&gt;""),AND(KX25&gt;=LA$35,KX25&lt;&gt;""),AND(LT25&gt;=LW$35,LT25&lt;&gt;""),AND(MP25&gt;=MS$35,MP25&lt;&gt;""),AND(NL25&gt;=NO$35,NL25&lt;&gt;"")),OR(G25="Worlds Team",G25="Excellence",G25="Merit")),"P","")</f>
        <v/>
      </c>
      <c r="K25" s="14">
        <f>IF(MAX(AV25,BZ25,DD25)&gt;0,MAX(AV25,BZ25,DD25),0)</f>
        <v>70.38</v>
      </c>
      <c r="L25" s="14" t="str">
        <f>IF(K25=0,"",IF(K25=DD25,$CD$1,IF(K25=BZ25,$AZ$1,IF(K25=AV25,$V$1,""))))</f>
        <v>2021 Canadian Championships</v>
      </c>
      <c r="M25" s="14">
        <f>IF($K25=$AV25,MAX(BU25,CY25),IF($K25=$BZ25,MAX(AQ25,CY25),IF($K25=$DD25,MAX(AQ25,BU25),MAX(AQ25,BU25,CY25))))</f>
        <v>36.510000000000005</v>
      </c>
      <c r="N25" s="14" t="str">
        <f>IF(M25=0,"",IF(AND(M25=CY25,$L25&lt;&gt;$CD$1),$CD$1,IF(AND(M25=BU25,$L25&lt;&gt;$AZ$1),$AZ$1,IF(AND(M25=AQ25,$L25&lt;&gt;$V$1),$V$1,""))))</f>
        <v>2021 Elite Canada</v>
      </c>
      <c r="O25" s="14">
        <f>MAX(AS25,AU25,AX25,BW25,BY25,CB25,DA25,DC25,DF25)</f>
        <v>30.405000000000001</v>
      </c>
      <c r="P25" s="14" t="str">
        <f>IF(O25=0,"",IF(OR(O25=DC25,O25=DA25,O25=DF25),$CD$1,IF(OR(O25=BY25,O25=BW25,O25=CB25),$AZ$1,IF(OR(O25=AU25,O25=AS25,O25=AX25),$V$1,""))))</f>
        <v>2021 Canadian Championships</v>
      </c>
      <c r="Q25" s="14">
        <f>IF(COUNT(AS25,AU25,AX25,BW25,BY25,CB25,DA25,DC25,DF25)&gt;1,LARGE((AS25,AU25,AX25,BW25,BY25,CB25,DA25,DC25,DF25),2),0)</f>
        <v>5.0549999999999997</v>
      </c>
      <c r="R25" s="14" t="str">
        <f>IF(Q25=0,"",IF(OR(Q25=DC25,Q25=DA25,Q25=DF25),$CD$1,IF(OR(Q25=BY25,Q25=BW25,Q25=CB25),$AZ$1,IF(OR(Q25=AU25,Q25=AS25,Q25=AX25),$V$1,""))))</f>
        <v>2021 Elite Canada</v>
      </c>
      <c r="S25" s="14" t="str">
        <f>IF(MAX(DI25,DK25)&gt;0,MAX(DI25,DK25),"")</f>
        <v/>
      </c>
      <c r="T25" s="24" t="str">
        <f>IF(S25="","",IF(S25=DH25,"(Vol 1)",IF(S25=DI25,"(Vol 2)",IF(S25=DJ25,"(Prelim)",IF(S25=DK25,"(Final)")))))</f>
        <v/>
      </c>
      <c r="U25" s="14" t="str">
        <f>IF(S25="","",IF(S25=DH25,IF(S25+IF(M25="",0,M25)=NJ25,$MT$1,IF(S25+IF(M25="",0,M25)=MN25,$LX$1,IF(S25+IF(M25="",0,M25)=LR25,$LB$1,IF(S25+IF(M25="",0,M25)=KV25,$KF$1,IF(S25+IF(M25="",0,M25)=JZ25,$JJ$1,IF(S25+IF(M25="",0,M25)=JD25,$IN$1,IF(S25+IF(M25="",0,M25)=IH25,$HR$1,IF(S25+IF(M25="",0,M25)=HL25,$GV$1,IF(S25+IF(M25="",0,M25)=GP25,$FZ$1,IF(S25+IF(M25="",0,M25)=FT25,$FD$1,IF(S25+IF(M25="",0,M25)=EX25,$EH$1,IF(S25+IF(M25="",0,M25)=EB25,$DL$1)))))))))))),IF(S25=DI25,IF(S25+IF(O25="",0,O25)=NK25,$MT$1,IF(S25+IF(O25="",0,O25)=MO25,$LX$1,IF(S25+IF(O25="",0,O25)=LS25,$LB$1,IF(S25+IF(O25="",0,O25)=KW25,$KF$1,IF(S25+IF(O25="",0,O25)=KA25,$JJ$1,IF(S25+IF(O25="",0,O25)=JE25,$IN$1,IF(S25+IF(O25="",0,O25)=II25,$HR$1,IF(S25+IF(O25="",0,O25)=HM25,$GV$1,IF(S25+IF(O25="",0,O25)=GQ25,$FZ$1,IF(S25+IF(O25="",0,O25)=FU25,$FD$1,IF(S25+IF(O25="",0,O25)=EY25,$EH$1,IF(S25+IF(O25="",0,O25)=EC25,$DL$1)))))))))))),IF(S25=DJ25,IF(S25+IF(K25="",0,K25)=NL25,$MT$1,IF(S25+IF(K25="",0,K25)=MP25,$LX$1,IF(S25+IF(K25="",0,K25)=LT25,$LB$1,IF(S25+IF(K25="",0,K25)=KX25,$KF$1,IF(S25+IF(K25="",0,K25)=KB25,$JJ$1,IF(S25+IF(K25="",0,K25)=JF25,$IN$1,IF(S25+IF(K25="",0,K25)=IJ25,$HR$1,IF(S25+IF(K25="",0,K25)=HN25,$GV$1,IF(S25+IF(K25="",0,K25)=GR25,$FZ$1,IF(S25+IF(K25="",0,K25)=FV25,$FD$1,IF(S25+IF(K25="",0,K25)=EZ25,$EH$1,IF(S25+IF(K25="",0,K25)=ED25,$DL$1)))))))))))),IF(S25=DK25,IF(S25+IF(Q25="",0,Q25)=NN25,$MT$1,IF(S25+IF(Q25="",0,Q25)=MR25,$LX$1,IF(S25+IF(Q25="",0,Q25)=LV25,$LB$1,IF(S25+IF(Q25="",0,Q25)=KZ25,$KF$1,IF(S25+IF(Q25="",0,Q25)=KD25,$JJ$1,IF(S25+IF(Q25="",0,Q25)=JH25,$IN$1,IF(S25+IF(Q25="",0,Q25)=IL25,$HR$1,IF(S25+IF(Q25="",0,Q25)=HP25,$GV$1,IF(S25+IF(Q25="",0,Q25)=GT25,$FZ$1,IF(S25+IF(Q25="",0,Q25)=FX25,$FD$1,IF(S25+IF(Q25="",0,Q25)=FB25,$EH$1,IF(S25+IF(Q25="",0,Q25)=EF25,$DL$1)))))))))))))))))</f>
        <v/>
      </c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72"/>
      <c r="AQ25" s="11" t="str">
        <f>IF(SUM(V25:Y25)-Z25&gt;0,SUM(V25:Y25)-Z25,"")</f>
        <v/>
      </c>
      <c r="AR25" s="11" t="str">
        <f>IF(AC25&gt;0,AC25,"")</f>
        <v/>
      </c>
      <c r="AS25" s="11" t="str">
        <f>IF(SUM(AA25:AD25)-AE25&gt;0,SUM(AA25:AD25)-AE25,"")</f>
        <v/>
      </c>
      <c r="AT25" s="11" t="str">
        <f>IF(AH25&gt;0,AH25,"")</f>
        <v/>
      </c>
      <c r="AU25" s="11" t="str">
        <f>IF(SUM(AF25:AI25)-AJ25&gt;0,SUM(AF25:AI25)-AJ25,"")</f>
        <v/>
      </c>
      <c r="AV25" s="11" t="str">
        <f>IF(AQ25="",IF(MAX(AS25,AU25)&gt;0,MAX(AS25,AU25),""),MAX(AS25,AU25)+AQ25)</f>
        <v/>
      </c>
      <c r="AW25" s="11" t="str">
        <f>IF(AM25&gt;0,AM25,"")</f>
        <v/>
      </c>
      <c r="AX25" s="11" t="str">
        <f>IF(SUM(AK25:AN25)-AO25&gt;0,SUM(AK25:AN25)-AO25,"")</f>
        <v/>
      </c>
      <c r="AY25" s="11" t="str">
        <f>IF(SUM(AV25,AX25)&gt;0,SUM(AV25,AX25),"")</f>
        <v/>
      </c>
      <c r="AZ25" s="67">
        <v>14.9</v>
      </c>
      <c r="BA25" s="67">
        <v>8.4</v>
      </c>
      <c r="BB25" s="67">
        <v>0.8</v>
      </c>
      <c r="BC25" s="67">
        <v>12.41</v>
      </c>
      <c r="BD25" s="67">
        <v>0</v>
      </c>
      <c r="BE25" s="67">
        <v>1.4</v>
      </c>
      <c r="BF25" s="67">
        <v>0.9</v>
      </c>
      <c r="BG25" s="67">
        <v>1.5</v>
      </c>
      <c r="BH25" s="67">
        <v>1.4550000000000001</v>
      </c>
      <c r="BI25" s="67">
        <v>0.2</v>
      </c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73"/>
      <c r="BU25" s="14">
        <f>IF(SUM(AZ25:BC25)-BD25&gt;0,SUM(AZ25:BC25)-BD25,"")</f>
        <v>36.510000000000005</v>
      </c>
      <c r="BV25" s="14">
        <f>IF(BG25&gt;0,BG25,"")</f>
        <v>1.5</v>
      </c>
      <c r="BW25" s="14">
        <f>IF(SUM(BE25:BH25)-BI25&gt;0,SUM(BE25:BH25)-BI25,"")</f>
        <v>5.0549999999999997</v>
      </c>
      <c r="BX25" s="14" t="str">
        <f>IF(BL25&gt;0,BL25,"")</f>
        <v/>
      </c>
      <c r="BY25" s="14" t="str">
        <f>IF(SUM(BJ25:BM25)-BN25&gt;0,SUM(BJ25:BM25)-BN25,"")</f>
        <v/>
      </c>
      <c r="BZ25" s="14">
        <f>IF(BU25="",IF(MAX(BW25,BY25)&gt;0,MAX(BW25,BY25),""),MAX(BW25,BY25)+BU25)</f>
        <v>41.565000000000005</v>
      </c>
      <c r="CA25" s="14" t="str">
        <f>IF(BQ25&gt;0,BQ25,"")</f>
        <v/>
      </c>
      <c r="CB25" s="14" t="str">
        <f>IF(SUM(BO25:BR25)-BS25&gt;0,SUM(BO25:BR25)-BS25,"")</f>
        <v/>
      </c>
      <c r="CC25" s="14">
        <f>IF(SUM(BZ25,CB25)&gt;0,SUM(BZ25,CB25),"")</f>
        <v>41.565000000000005</v>
      </c>
      <c r="CD25" s="61">
        <v>15.4</v>
      </c>
      <c r="CE25" s="61">
        <v>8.9</v>
      </c>
      <c r="CF25" s="61">
        <v>2.1</v>
      </c>
      <c r="CG25" s="61">
        <v>13.574999999999999</v>
      </c>
      <c r="CH25" s="61">
        <v>0</v>
      </c>
      <c r="CI25" s="61">
        <v>9.1</v>
      </c>
      <c r="CJ25" s="61">
        <v>6.2</v>
      </c>
      <c r="CK25" s="61">
        <v>6.5</v>
      </c>
      <c r="CL25" s="61">
        <v>8.8049999999999997</v>
      </c>
      <c r="CM25" s="61">
        <v>0.2</v>
      </c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72"/>
      <c r="CY25" s="11">
        <f>IF(SUM(CD25:CG25)-CH25&gt;0,SUM(CD25:CG25)-CH25,"")</f>
        <v>39.975000000000001</v>
      </c>
      <c r="CZ25" s="11">
        <f>IF(CK25&gt;0,CK25,"")</f>
        <v>6.5</v>
      </c>
      <c r="DA25" s="11">
        <f>IF(SUM(CI25:CL25)-CM25&gt;0,SUM(CI25:CL25)-CM25,"")</f>
        <v>30.405000000000001</v>
      </c>
      <c r="DB25" s="11" t="str">
        <f>IF(CP25&gt;0,CP25,"")</f>
        <v/>
      </c>
      <c r="DC25" s="11" t="str">
        <f>IF(SUM(CN25:CQ25)-CR25&gt;0,SUM(CN25:CQ25)-CR25,"")</f>
        <v/>
      </c>
      <c r="DD25" s="11">
        <f>IF(CY25="",IF(MAX(DA25,DC25)&gt;0,MAX(DA25,DC25),""),MAX(DA25,DC25)+CY25)</f>
        <v>70.38</v>
      </c>
      <c r="DE25" s="11" t="str">
        <f>IF(CU25&gt;0,CU25,"")</f>
        <v/>
      </c>
      <c r="DF25" s="11" t="str">
        <f>IF(SUM(CS25:CV25)-CW25&gt;0,SUM(CS25:CV25)-CW25,"")</f>
        <v/>
      </c>
      <c r="DG25" s="11">
        <f>IF(SUM(DD25,DF25)&gt;0,SUM(DD25,DF25),"")</f>
        <v>70.38</v>
      </c>
      <c r="DH25" s="23" t="str">
        <f>IF(MAX(EB25,EX25,FT25,GP25,HL25,IH25,JD25,JZ25,KV25,LR25,MN25,NJ25)-IF(M25="",0,M25)&gt;0.001,MAX(EB25,EX25,FT25,GP25,HL25,IH25,JD25,JZ25,KV25,LR25,MN25,NJ25)-IF(M25="",0,M25),"")</f>
        <v/>
      </c>
      <c r="DI25" s="23" t="str">
        <f>IF(MAX(EC25,EY25,FU25,GQ25,HM25,II25,JE25,KA25,KW25,LS25,MO25,NK25)-IF(O25="",0,O25)&gt;0.001,MAX(EC25,EY25,FU25,GQ25,HM25,II25,JE25,KA25,KW25,LS25,MO25,NK25)-IF(O25="",0,O25),"")</f>
        <v/>
      </c>
      <c r="DJ25" s="23" t="str">
        <f>IF(MAX(ED25,EZ25,FV25,GR25,HN25,IJ25,JF25,KB25,KX25,LT25,MP25,NL25)-IF(K25="",0,K25)&gt;0.001,MAX(ED25,EZ25,FV25,GR25,HN25,IJ25,JF25,KB25,KX25,LT25,MP25,NL25)-IF(K25="",0,K25),"")</f>
        <v/>
      </c>
      <c r="DK25" s="23" t="str">
        <f>IF(MAX(EF25,FB25,FX25,GT25,HP25,IL25,JH25,KD25,KZ25,LV25,MR25,NN25)-IF(Q25="",0,Q25)&gt;0.001,MAX(EF25,FB25,FX25,GT25,HP25,IL25,JH25,KD25,KZ25,LV25,MR25,NN25)-IF(Q25="",0,Q25),"")</f>
        <v/>
      </c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11" t="str">
        <f>IF(DS25&gt;0,DS25,"")</f>
        <v/>
      </c>
      <c r="EB25" s="11" t="str">
        <f>IF(SUM(DL25:DO25)-DP25&gt;0,SUM(DL25:DO25)-DP25,"")</f>
        <v/>
      </c>
      <c r="EC25" s="11" t="str">
        <f>IF(SUM(DQ25:DT25)-DU25&gt;0,SUM(DQ25:DT25)-DU25,"")</f>
        <v/>
      </c>
      <c r="ED25" s="11" t="str">
        <f>IF(SUM(EB25:EC25)&gt;0,SUM(EB25:EC25),"")</f>
        <v/>
      </c>
      <c r="EE25" s="11" t="str">
        <f>IF(DX25&gt;0,DX25,"")</f>
        <v/>
      </c>
      <c r="EF25" s="11" t="str">
        <f>IF(SUM(DV25:DY25)-DZ25&gt;0,SUM(DV25:DY25)-DZ25,"")</f>
        <v/>
      </c>
      <c r="EG25" s="11" t="str">
        <f>IF(SUM(ED25,EF25)&gt;0,SUM(ED25,EF25),"")</f>
        <v/>
      </c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14" t="str">
        <f>IF(EO25&gt;0,EO25,"")</f>
        <v/>
      </c>
      <c r="EX25" s="14" t="str">
        <f>IF(SUM(EH25:EK25)-EL25&gt;0,SUM(EH25:EK25)-EL25,"")</f>
        <v/>
      </c>
      <c r="EY25" s="14" t="str">
        <f>IF(SUM(EM25:EP25)-EQ25&gt;0,SUM(EM25:EP25)-EQ25,"")</f>
        <v/>
      </c>
      <c r="EZ25" s="14" t="str">
        <f>IF(SUM(EX25:EY25)&gt;0,SUM(EX25:EY25),"")</f>
        <v/>
      </c>
      <c r="FA25" s="14" t="str">
        <f>IF(ET25&gt;0,ET25,"")</f>
        <v/>
      </c>
      <c r="FB25" s="14" t="str">
        <f>IF(SUM(ER25:EU25)-EV25&gt;0,SUM(ER25:EU25)-EV25,"")</f>
        <v/>
      </c>
      <c r="FC25" s="14" t="str">
        <f>IF(SUM(EZ25,FB25)&gt;0,SUM(EZ25,FB25),"")</f>
        <v/>
      </c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11" t="str">
        <f>IF(FK25&gt;0,FK25,"")</f>
        <v/>
      </c>
      <c r="FT25" s="11" t="str">
        <f>IF(SUM(FD25:FG25)-FH25&gt;0,SUM(FD25:FG25)-FH25,"")</f>
        <v/>
      </c>
      <c r="FU25" s="11" t="str">
        <f>IF(SUM(FI25:FL25)-FM25&gt;0,SUM(FI25:FL25)-FM25,"")</f>
        <v/>
      </c>
      <c r="FV25" s="11" t="str">
        <f>IF(SUM(FT25:FU25)&gt;0,SUM(FT25:FU25),"")</f>
        <v/>
      </c>
      <c r="FW25" s="11" t="str">
        <f>IF(FP25&gt;0,FP25,"")</f>
        <v/>
      </c>
      <c r="FX25" s="11" t="str">
        <f>IF(SUM(FN25:FQ25)-FR25&gt;0,SUM(FN25:FQ25)-FR25,"")</f>
        <v/>
      </c>
      <c r="FY25" s="11" t="str">
        <f>IF(SUM(FV25,FX25)&gt;0,SUM(FV25,FX25),"")</f>
        <v/>
      </c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14" t="str">
        <f>IF(GG25&gt;0,GG25,"")</f>
        <v/>
      </c>
      <c r="GP25" s="14" t="str">
        <f>IF(SUM(FZ25:GC25)-GD25&gt;0,SUM(FZ25:GC25)-GD25,"")</f>
        <v/>
      </c>
      <c r="GQ25" s="14" t="str">
        <f>IF(SUM(GE25:GH25)-GI25&gt;0,SUM(GE25:GH25)-GI25,"")</f>
        <v/>
      </c>
      <c r="GR25" s="14" t="str">
        <f>IF(SUM(GP25:GQ25)&gt;0,SUM(GP25:GQ25),"")</f>
        <v/>
      </c>
      <c r="GS25" s="14" t="str">
        <f>IF(GL25&gt;0,GL25,"")</f>
        <v/>
      </c>
      <c r="GT25" s="14" t="str">
        <f>IF(SUM(GJ25:GM25)-GN25&gt;0,SUM(GJ25:GM25)-GN25,"")</f>
        <v/>
      </c>
      <c r="GU25" s="14" t="str">
        <f>IF(SUM(GR25,GT25)&gt;0,SUM(GR25,GT25),"")</f>
        <v/>
      </c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11" t="str">
        <f>IF(HC25&gt;0,HC25,"")</f>
        <v/>
      </c>
      <c r="HL25" s="11" t="str">
        <f>IF(SUM(GV25:GY25)-GZ25&gt;0,SUM(GV25:GY25)-GZ25,"")</f>
        <v/>
      </c>
      <c r="HM25" s="11" t="str">
        <f>IF(SUM(HA25:HD25)-HE25&gt;0,SUM(HA25:HD25)-HE25,"")</f>
        <v/>
      </c>
      <c r="HN25" s="11" t="str">
        <f>IF(SUM(HL25:HM25)&gt;0,SUM(HL25:HM25),"")</f>
        <v/>
      </c>
      <c r="HO25" s="11" t="str">
        <f>IF(HH25&gt;0,HH25,"")</f>
        <v/>
      </c>
      <c r="HP25" s="11" t="str">
        <f>IF(SUM(HF25:HI25)-HJ25&gt;0,SUM(HF25:HI25)-HJ25,"")</f>
        <v/>
      </c>
      <c r="HQ25" s="11" t="str">
        <f>IF(SUM(HN25,HP25)&gt;0,SUM(HN25,HP25),"")</f>
        <v/>
      </c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14" t="str">
        <f>IF(HY25&gt;0,HY25,"")</f>
        <v/>
      </c>
      <c r="IH25" s="14" t="str">
        <f>IF(SUM(HR25:HU25)-HV25&gt;0,SUM(HR25:HU25)-HV25,"")</f>
        <v/>
      </c>
      <c r="II25" s="14" t="str">
        <f>IF(SUM(HW25:HZ25)-IA25&gt;0,SUM(HW25:HZ25)-IA25,"")</f>
        <v/>
      </c>
      <c r="IJ25" s="14" t="str">
        <f>IF(SUM(IH25:II25)&gt;0,SUM(IH25:II25),"")</f>
        <v/>
      </c>
      <c r="IK25" s="14" t="str">
        <f>IF(ID25&gt;0,ID25,"")</f>
        <v/>
      </c>
      <c r="IL25" s="14" t="str">
        <f>IF(SUM(IB25:IE25)-IF25&gt;0,SUM(IB25:IE25)-IF25,"")</f>
        <v/>
      </c>
      <c r="IM25" s="14" t="str">
        <f>IF(SUM(IJ25,IL25)&gt;0,SUM(IJ25,IL25),"")</f>
        <v/>
      </c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11" t="str">
        <f>IF(IU25&gt;0,IU25,"")</f>
        <v/>
      </c>
      <c r="JD25" s="11" t="str">
        <f>IF(SUM(IN25:IQ25)-IR25&gt;0,SUM(IN25:IQ25)-IR25,"")</f>
        <v/>
      </c>
      <c r="JE25" s="11" t="str">
        <f>IF(SUM(IS25:IV25)-IW25&gt;0,SUM(IS25:IV25)-IW25,"")</f>
        <v/>
      </c>
      <c r="JF25" s="11" t="str">
        <f>IF(SUM(JD25:JE25)&gt;0,SUM(JD25:JE25),"")</f>
        <v/>
      </c>
      <c r="JG25" s="11" t="str">
        <f>IF(IZ25&gt;0,IZ25,"")</f>
        <v/>
      </c>
      <c r="JH25" s="11" t="str">
        <f>IF(SUM(IX25:JA25)-JB25&gt;0,SUM(IX25:JA25)-JB25,"")</f>
        <v/>
      </c>
      <c r="JI25" s="11" t="str">
        <f>IF(SUM(JF25,JH25)&gt;0,SUM(JF25,JH25),"")</f>
        <v/>
      </c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14" t="str">
        <f>IF(JQ25&gt;0,JQ25,"")</f>
        <v/>
      </c>
      <c r="JZ25" s="14" t="str">
        <f>IF(SUM(JJ25:JM25)-JN25&gt;0,SUM(JJ25:JM25)-JN25,"")</f>
        <v/>
      </c>
      <c r="KA25" s="14" t="str">
        <f>IF(SUM(JO25:JR25)-JS25&gt;0,SUM(JO25:JR25)-JS25,"")</f>
        <v/>
      </c>
      <c r="KB25" s="14" t="str">
        <f>IF(SUM(JZ25:KA25)&gt;0,SUM(JZ25:KA25),"")</f>
        <v/>
      </c>
      <c r="KC25" s="14" t="str">
        <f>IF(JV25&gt;0,JV25,"")</f>
        <v/>
      </c>
      <c r="KD25" s="14" t="str">
        <f>IF(SUM(JT25:JW25)-JX25&gt;0,SUM(JT25:JW25)-JX25,"")</f>
        <v/>
      </c>
      <c r="KE25" s="14" t="str">
        <f>IF(SUM(KB25,KD25)&gt;0,SUM(KB25,KD25),"")</f>
        <v/>
      </c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11" t="str">
        <f>IF(KM25&gt;0,KM25,"")</f>
        <v/>
      </c>
      <c r="KV25" s="11" t="str">
        <f>IF(SUM(KF25:KI25)-KJ25&gt;0,SUM(KF25:KI25)-KJ25,"")</f>
        <v/>
      </c>
      <c r="KW25" s="11" t="str">
        <f>IF(SUM(KK25:KN25)-KO25&gt;0,SUM(KK25:KN25)-KO25,"")</f>
        <v/>
      </c>
      <c r="KX25" s="11" t="str">
        <f>IF(SUM(KV25:KW25)&gt;0,SUM(KV25:KW25),"")</f>
        <v/>
      </c>
      <c r="KY25" s="11" t="str">
        <f>IF(KR25&gt;0,KR25,"")</f>
        <v/>
      </c>
      <c r="KZ25" s="11" t="str">
        <f>IF(SUM(KP25:KS25)-KT25&gt;0,SUM(KP25:KS25)-KT25,"")</f>
        <v/>
      </c>
      <c r="LA25" s="11" t="str">
        <f>IF(SUM(KX25,KZ25)&gt;0,SUM(KX25,KZ25),"")</f>
        <v/>
      </c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14" t="str">
        <f>IF(LI25&gt;0,LI25,"")</f>
        <v/>
      </c>
      <c r="LR25" s="14" t="str">
        <f>IF(SUM(LB25:LE25)-LF25&gt;0,SUM(LB25:LE25)-LF25,"")</f>
        <v/>
      </c>
      <c r="LS25" s="14" t="str">
        <f>IF(SUM(LG25:LJ25)-LK25&gt;0,SUM(LG25:LJ25)-LK25,"")</f>
        <v/>
      </c>
      <c r="LT25" s="14" t="str">
        <f>IF(SUM(LR25:LS25)&gt;0,SUM(LR25:LS25),"")</f>
        <v/>
      </c>
      <c r="LU25" s="14" t="str">
        <f>IF(LN25&gt;0,LN25,"")</f>
        <v/>
      </c>
      <c r="LV25" s="14" t="str">
        <f>IF(SUM(LL25:LO25)-LP25&gt;0,SUM(LL25:LO25)-LP25,"")</f>
        <v/>
      </c>
      <c r="LW25" s="14" t="str">
        <f>IF(SUM(LT25,LV25)&gt;0,SUM(LT25,LV25),"")</f>
        <v/>
      </c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11" t="str">
        <f>IF(ME25&gt;0,ME25,"")</f>
        <v/>
      </c>
      <c r="MN25" s="11" t="str">
        <f>IF(SUM(LX25:MA25)-MB25&gt;0,SUM(LX25:MA25)-MB25,"")</f>
        <v/>
      </c>
      <c r="MO25" s="11" t="str">
        <f>IF(SUM(MC25:MF25)-MG25&gt;0,SUM(MC25:MF25)-MG25,"")</f>
        <v/>
      </c>
      <c r="MP25" s="11" t="str">
        <f>IF(SUM(MN25:MO25)&gt;0,SUM(MN25:MO25),"")</f>
        <v/>
      </c>
      <c r="MQ25" s="11" t="str">
        <f>IF(MJ25&gt;0,MJ25,"")</f>
        <v/>
      </c>
      <c r="MR25" s="11" t="str">
        <f>IF(SUM(MH25:MK25)-ML25&gt;0,SUM(MH25:MK25)-ML25,"")</f>
        <v/>
      </c>
      <c r="MS25" s="11" t="str">
        <f>IF(SUM(MP25,MR25)&gt;0,SUM(MP25,MR25),"")</f>
        <v/>
      </c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14" t="str">
        <f>IF(NA25&gt;0,NA25,"")</f>
        <v/>
      </c>
      <c r="NJ25" s="14" t="str">
        <f>IF(SUM(MT25:MW25)-MX25&gt;0,SUM(MT25:MW25)-MX25,"")</f>
        <v/>
      </c>
      <c r="NK25" s="14" t="str">
        <f>IF(SUM(MY25:NB25)-NC25&gt;0,SUM(MY25:NB25)-NC25,"")</f>
        <v/>
      </c>
      <c r="NL25" s="14" t="str">
        <f>IF(SUM(NJ25:NK25)&gt;0,SUM(NJ25:NK25),"")</f>
        <v/>
      </c>
      <c r="NM25" s="14" t="str">
        <f>IF(NF25&gt;0,NF25,"")</f>
        <v/>
      </c>
      <c r="NN25" s="14" t="str">
        <f>IF(SUM(ND25:NG25)-NH25&gt;0,SUM(ND25:NG25)-NH25,"")</f>
        <v/>
      </c>
      <c r="NO25" s="14" t="str">
        <f>IF(SUM(NL25,NN25)&gt;0,SUM(NL25,NN25),"")</f>
        <v/>
      </c>
      <c r="NP25" s="61">
        <f>IF($CX25="P",CD25,(CD25+AZ25)/2)</f>
        <v>15.15</v>
      </c>
      <c r="NQ25" s="61">
        <f>IF($CX25="P",CE25,(CE25+BA25)/2)</f>
        <v>8.65</v>
      </c>
      <c r="NR25" s="61">
        <f>IF($CX25="P",CF25,(CF25+BB25)/2)</f>
        <v>1.4500000000000002</v>
      </c>
      <c r="NS25" s="61">
        <f>IF($CX25="P",CG25,(CG25+BC25)/2)</f>
        <v>12.9925</v>
      </c>
      <c r="NT25" s="61">
        <f>IF($CX25="P",CH25,(CH25+BD25)/2)</f>
        <v>0</v>
      </c>
      <c r="NU25" s="61">
        <f>IF($CX25="P",CI25,(CI25+BE25)/2)</f>
        <v>5.25</v>
      </c>
      <c r="NV25" s="61">
        <f>IF($CX25="P",CJ25,(CJ25+BF25)/2)</f>
        <v>3.5500000000000003</v>
      </c>
      <c r="NW25" s="61">
        <f>IF($CX25="P",CK25,(CK25+BG25)/2)</f>
        <v>4</v>
      </c>
      <c r="NX25" s="61">
        <f>IF($CX25="P",CL25,(CL25+BH25)/2)</f>
        <v>5.13</v>
      </c>
      <c r="NY25" s="61">
        <f>IF($CX25="P",CM25,(CM25+BI25)/2)</f>
        <v>0.2</v>
      </c>
      <c r="NZ25" s="61">
        <f>IF($CX25="P",CN25,(CN25+BJ25)/2)</f>
        <v>0</v>
      </c>
      <c r="OA25" s="61">
        <f>IF($CX25="P",CO25,(CO25+BK25)/2)</f>
        <v>0</v>
      </c>
      <c r="OB25" s="61">
        <f>IF($CX25="P",CP25,(CP25+BL25)/2)</f>
        <v>0</v>
      </c>
      <c r="OC25" s="61">
        <f>IF($CX25="P",CQ25,(CQ25+BM25)/2)</f>
        <v>0</v>
      </c>
      <c r="OD25" s="61">
        <f>IF($CX25="P",CR25,(CR25+BN25)/2)</f>
        <v>0</v>
      </c>
      <c r="OE25" s="61">
        <f>IF($CX25="P",CS25,(CS25+BO25)/2)</f>
        <v>0</v>
      </c>
      <c r="OF25" s="61">
        <f>IF($CX25="P",CT25,(CT25+BP25)/2)</f>
        <v>0</v>
      </c>
      <c r="OG25" s="61">
        <f>IF($CX25="P",CU25,(CU25+BQ25)/2)</f>
        <v>0</v>
      </c>
      <c r="OH25" s="61">
        <f>IF($CX25="P",CV25,(CV25+BR25)/2)</f>
        <v>0</v>
      </c>
      <c r="OI25" s="61">
        <f>IF($CX25="P",CW25,(CW25+BS25)/2)</f>
        <v>0</v>
      </c>
      <c r="OJ25" s="72" t="s">
        <v>52</v>
      </c>
      <c r="OK25" s="11">
        <f>IF(SUM(NP25:NS25)-NT25&gt;0,SUM(NP25:NS25)-NT25,"")</f>
        <v>38.2425</v>
      </c>
      <c r="OL25" s="11">
        <f>IF(NW25&gt;0,NW25,"")</f>
        <v>4</v>
      </c>
      <c r="OM25" s="11">
        <f>IF(SUM(NU25:NX25)-NY25&gt;0,SUM(NU25:NX25)-NY25,"")</f>
        <v>17.73</v>
      </c>
      <c r="ON25" s="11" t="str">
        <f>IF(OB25&gt;0,OB25,"")</f>
        <v/>
      </c>
      <c r="OO25" s="11" t="str">
        <f>IF(SUM(NZ25:OC25)-OD25&gt;0,SUM(NZ25:OC25)-OD25,"")</f>
        <v/>
      </c>
      <c r="OP25" s="11">
        <f>IF(OR(OK25&lt;&gt;"",OM25&lt;&gt;"",OO25&lt;&gt;""),OK25+MAX(OM25,OO25),"")</f>
        <v>55.972499999999997</v>
      </c>
      <c r="OQ25" s="11" t="str">
        <f>IF(OG25&gt;0,OG25,"")</f>
        <v/>
      </c>
      <c r="OR25" s="11" t="str">
        <f t="shared" ref="OR25" si="32">IF(SUM(OE25:OH25)-OI25&gt;0,SUM(OE25:OH25)-OI25,"")</f>
        <v/>
      </c>
      <c r="OS25" s="11">
        <f t="shared" ref="OS25" si="33">IF(SUM(OP25,OR25)&gt;0,SUM(OP25,OR25),"")</f>
        <v>55.972499999999997</v>
      </c>
    </row>
    <row r="26" spans="1:409" x14ac:dyDescent="0.2">
      <c r="A26" s="5" t="str" cm="1">
        <f t="array" ref="A26">IF(AND(G26&lt;&gt;"",H26&lt;&gt;""),SUMPRODUCT((G$4:G$28&lt;&gt;"")*(H$4:H$28&lt;&gt;"")*(E$4:E$28&gt;E26))+1,IF(H26&lt;&gt;"",SUMPRODUCT((I$4:I$28="No DD")*(E$4:E$28&gt;E26))+1+SUMPRODUCT((G$4:G$28&lt;&gt;"")*(H$4:H$28&lt;&gt;"")),""))</f>
        <v/>
      </c>
      <c r="B26" s="8" t="s">
        <v>121</v>
      </c>
      <c r="C26" s="4" t="s">
        <v>5</v>
      </c>
      <c r="D26" s="26">
        <v>2003</v>
      </c>
      <c r="E26" s="15">
        <f>SUM(O26:S26)</f>
        <v>26.639999999999997</v>
      </c>
      <c r="F26" s="3" t="str">
        <f>IF(G26&lt;&gt;"","P","")</f>
        <v/>
      </c>
      <c r="G26" s="115" t="str">
        <f>IF(OR(AND(AR26&gt;=AY$33,AR26&lt;&gt;"",AP26=""),AND(AT26&gt;=AY$33,AT26&lt;&gt;"",AP26=""),AND(AW26&gt;=AY$33,AW26&lt;&gt;"",AP26=""),AND(BV26&gt;=CC$33,BV26&lt;&gt;"",BT26=""),AND(BX26&gt;=CC$33,BX26&lt;&gt;"",BT26=""),AND(CA26&gt;=CC$33,CA26&lt;&gt;"",BT26=""),AND(CZ26&gt;=DG$33,CZ26&lt;&gt;"",CX26=""),AND(DB26&gt;=DG$33,DB26&lt;&gt;"",CX26=""),AND(DE26&gt;=DG$33,DE26&lt;&gt;"",CX26=""),AND(EA26&gt;=EG$33,EA26&lt;&gt;""),AND(EE26&gt;=EG$33,EE26&lt;&gt;""),AND(EW26&gt;=FC$33,EW26&lt;&gt;""),AND(FA26&gt;=FC$33,FA26&lt;&gt;""),AND(FS26&gt;=FY$33,FS26&lt;&gt;""),AND(FW26&gt;=FY$33,FW26&lt;&gt;""),AND(GO26&gt;=GU$33,GO26&lt;&gt;""),AND(GS26&gt;=GU$33,GS26&lt;&gt;""),AND(HK26&gt;=HQ$33,HK26&lt;&gt;""),AND(HO26&gt;=HQ$33,HO26&lt;&gt;""),AND(IG26&gt;=IM$33,IG26&lt;&gt;""),AND(IK26&gt;=IM$33,IK26&lt;&gt;""),AND(JC26&gt;=JI$33,JC26&lt;&gt;""),AND(JG26&gt;=JI$33,JG26&lt;&gt;""),AND(JY26&gt;=KE$33,JY26&lt;&gt;""),AND(KC26&gt;=KE$33,KC26&lt;&gt;""),AND(KU26&gt;=LA$33,KU26&lt;&gt;""),AND(KY26&gt;=LA$33,KY26&lt;&gt;""),AND(LQ26&gt;=LW$33,LQ26&lt;&gt;""),AND(LU26&gt;=LW$33,LU26&lt;&gt;""),AND(MM26&gt;=MS$33,MM26&lt;&gt;""),AND(MQ26&gt;=MS$33,MQ26&lt;&gt;""),AND(NI26&gt;=NO$33,NI26&lt;&gt;""),AND(NM26&gt;=NO$33,NM26&lt;&gt;"")),"Merit",IF(OR(AND(AR26&gt;=AY$32,AR26&lt;&gt;"",AP26=""),AND(AT26&gt;=AY$32,AT26&lt;&gt;"",AP26=""),AND(AW26&gt;=AY$32,AW26&lt;&gt;"",AP26=""),AND(BV26&gt;=CC$32,BV26&lt;&gt;"",BT26=""),AND(BX26&gt;=CC$32,BX26&lt;&gt;"",BT26=""),AND(CA26&gt;=CC$32,CA26&lt;&gt;"",BT26=""),AND(CZ26&gt;=DG$32,CZ26&lt;&gt;"",CX26=""),AND(DB26&gt;=DG$32,DB26&lt;&gt;"",CX26=""),AND(DE26&gt;=DG$32,DE26&lt;&gt;"",CX26=""),AND(EA26&gt;=EG$32,EA26&lt;&gt;""),AND(EE26&gt;=EG$32,EE26&lt;&gt;""),AND(EW26&gt;=FC$32,EW26&lt;&gt;""),AND(FA26&gt;=FC$32,FA26&lt;&gt;""),AND(FS26&gt;=FY$32,FS26&lt;&gt;""),AND(FW26&gt;=FY$32,FW26&lt;&gt;""),AND(GO26&gt;=GU$32,GO26&lt;&gt;""),AND(GS26&gt;=GU$32,GS26&lt;&gt;""),AND(HK26&gt;=HQ$32,HK26&lt;&gt;""),AND(HO26&gt;=HQ$32,HO26&lt;&gt;""),AND(IG26&gt;=IM$32,IG26&lt;&gt;""),AND(IK26&gt;=IM$32,IK26&lt;&gt;""),AND(JC26&gt;=JI$32,JC26&lt;&gt;""),AND(JG26&gt;=JI$32,JG26&lt;&gt;""),AND(JY26&gt;=KE$32,JY26&lt;&gt;""),AND(KC26&gt;=KE$32,KC26&lt;&gt;""),AND(KU26&gt;=LA$32,KU26&lt;&gt;""),AND(KY26&gt;=LA$32,KY26&lt;&gt;""),AND(LQ26&gt;=LW$32,LQ26&lt;&gt;""),AND(LU26&gt;=LW$32,LU26&lt;&gt;""),AND(MM26&gt;=MS$32,MM26&lt;&gt;""),AND(MQ26&gt;=MS$32,MQ26&lt;&gt;""),AND(NI26&gt;=NO$32,NI26&lt;&gt;""),AND(NM26&gt;=NO$32,NM26&lt;&gt;"")),"Excellence",IF(OR(AND(AR26&gt;=AY$31,AR26&lt;&gt;"",AP26=""),AND(AT26&gt;=AY$31,AT26&lt;&gt;"",AP26=""),AND(AW26&gt;=AY$31,AW26&lt;&gt;"",AP26=""),AND(BV26&gt;=CC$31,BV26&lt;&gt;"",BT26=""),AND(BX26&gt;=CC$31,BX26&lt;&gt;"",BT26=""),AND(CA26&gt;=CC$31,CA26&lt;&gt;"",BT26=""),AND(CZ26&gt;=DG$31,CZ26&lt;&gt;"",CX26=""),AND(DB26&gt;=DG$31,DB26&lt;&gt;"",CX26=""),AND(DE26&gt;=DG$31,DE26&lt;&gt;"",CX26=""),AND(EA26&gt;=EG$31,EA26&lt;&gt;""),AND(EE26&gt;=EG$31,EE26&lt;&gt;""),AND(EW26&gt;=FC$31,EW26&lt;&gt;""),AND(FA26&gt;=FC$31,FA26&lt;&gt;""),AND(FS26&gt;=FY$31,FS26&lt;&gt;""),AND(FW26&gt;=FY$31,FW26&lt;&gt;""),AND(GO26&gt;=GU$31,GO26&lt;&gt;""),AND(GS26&gt;=GU$31,GS26&lt;&gt;""),AND(HK26&gt;=HQ$31,HK26&lt;&gt;""),AND(HO26&gt;=HQ$31,HO26&lt;&gt;""),AND(IG26&gt;=IM$31,IG26&lt;&gt;""),AND(IK26&gt;=IM$31,IK26&lt;&gt;""),AND(JC26&gt;=JI$31,JC26&lt;&gt;""),AND(JG26&gt;=JI$31,JG26&lt;&gt;""),AND(JY26&gt;=KE$31,JY26&lt;&gt;""),AND(KC26&gt;=KE$31,KC26&lt;&gt;""),AND(KU26&gt;=LA$31,KU26&lt;&gt;""),AND(KY26&gt;=LA$31,KY26&lt;&gt;""),AND(LQ26&gt;=LW$31,LQ26&lt;&gt;""),AND(LU26&gt;=LW$31,LU26&lt;&gt;""),AND(MM26&gt;=MS$31,MM26&lt;&gt;""),AND(MQ26&gt;=MS$31,MQ26&lt;&gt;""),AND(NI26&gt;=NO$31,NI26&lt;&gt;""),AND(NM26&gt;=NO$31,NM26&lt;&gt;"")),"Worlds Team",IF(OR(AND(AR26&gt;=AY$30,AR26&lt;&gt;"",AP26=""),AND(AT26&gt;=AY$30,AT26&lt;&gt;"",AP26=""),AND(AW26&gt;=AY$30,AW26&lt;&gt;"",AP26=""),AND(BV26&gt;=CC$30,BV26&lt;&gt;"",BT26=""),AND(BX26&gt;=CC$30,BX26&lt;&gt;"",BT26=""),AND(CA26&gt;=CC$30,CA26&lt;&gt;"",BT26=""),AND(CZ26&gt;=DG$30,CZ26&lt;&gt;"",CX26=""),AND(DB26&gt;=DG$30,DB26&lt;&gt;"",CX26=""),AND(DE26&gt;=DG$30,DE26&lt;&gt;"",CX26=""),AND(EA26&gt;=EG$30,EA26&lt;&gt;""),AND(EE26&gt;=EG$30,EE26&lt;&gt;""),AND(EW26&gt;=FC$30,EW26&lt;&gt;""),AND(FA26&gt;=FC$30,FA26&lt;&gt;""),AND(FS26&gt;=FY$30,FS26&lt;&gt;""),AND(FW26&gt;=FY$30,FW26&lt;&gt;""),AND(GO26&gt;=GU$30,GO26&lt;&gt;""),AND(GS26&gt;=GU$30,GS26&lt;&gt;""),AND(HK26&gt;=HQ$30,HK26&lt;&gt;""),AND(HO26&gt;=HQ$30,HO26&lt;&gt;""),AND(IG26&gt;=IM$30,IG26&lt;&gt;""),AND(IK26&gt;=IM$30,IK26&lt;&gt;""),AND(JC26&gt;=JI$30,JC26&lt;&gt;""),AND(JG26&gt;=JI$30,JG26&lt;&gt;""),AND(JY26&gt;=KE$30,JY26&lt;&gt;""),AND(KC26&gt;=KE$30,KC26&lt;&gt;""),AND(KU26&gt;=LA$30,KU26&lt;&gt;""),AND(KY26&gt;=LA$30,KY26&lt;&gt;""),AND(LQ26&gt;=LW$30,LQ26&lt;&gt;""),AND(LU26&gt;=LW$30,LU26&lt;&gt;""),AND(MM26&gt;=MS$30,MM26&lt;&gt;""),AND(MQ26&gt;=MS$30,MQ26&lt;&gt;""),AND(NI26&gt;=NO$30,NI26&lt;&gt;""),AND(NM26&gt;=NO$30,NM26&lt;&gt;"")),"National Team",""))))</f>
        <v/>
      </c>
      <c r="H26" s="115" t="str">
        <f>IF(OR(AND(AS26&gt;=AY$34,AS26&lt;&gt;"",AP26=""),AND(AU26&gt;=AY$34,AU26&lt;&gt;"",AP26=""),AND(AX26&gt;=AY$34,AX26&lt;&gt;"",AP26=""),AND(BW26&gt;=CC$34,BW26&lt;&gt;"",BT26=""),AND(BY26&gt;=CC$34,BY26&lt;&gt;"",BT26=""),AND(CB26&gt;=CC$34,CB26&lt;&gt;"",BT26=""),AND(DA26&gt;=DG$34,DA26&lt;&gt;"",CX26=""),AND(DC26&gt;=DG$34,DC26&lt;&gt;"",CX26=""),AND(DF26&gt;=DG$34,DF26&lt;&gt;"",CX26=""),AND(EC26&gt;=EG$34,EC26&lt;&gt;""),AND(EF26&gt;=EG$34,EF26&lt;&gt;""),AND(EY26&gt;=FC$34,EY26&lt;&gt;""),AND(FB26&gt;=FC$34,FB26&lt;&gt;""),AND(FU26&gt;=FY$34,FU26&lt;&gt;""),AND(FX26&gt;=FY$34,FX26&lt;&gt;""),AND(GQ26&gt;=GU$34,GQ26&lt;&gt;""),AND(GT26&gt;=GU$34,GT26&lt;&gt;""),AND(HM26&gt;=HQ$34,HM26&lt;&gt;""),AND(HP26&gt;=HQ$34,HP26&lt;&gt;""),AND(II26&gt;=IM$34,II26&lt;&gt;""),AND(IL26&gt;=IM$34,IL26&lt;&gt;""),AND(JE26&gt;=JI$34,JE26&lt;&gt;""),AND(JH26&gt;=JI$34,JH26&lt;&gt;""),AND(KA26&gt;=KE$34,KA26&lt;&gt;""),AND(KD26&gt;=KE$34,KD26&lt;&gt;""),AND(KW26&gt;=LA$34,KW26&lt;&gt;""),AND(KZ26&gt;=LA$34,KZ26&lt;&gt;""),AND(LS26&gt;=LW$34,LS26&lt;&gt;""),AND(LV26&gt;=LW$34,LV26&lt;&gt;""),AND(MO26&gt;=MS$34,MO26&lt;&gt;""),AND(MR26&gt;=MS$34,MR26&lt;&gt;""),AND(NK26&gt;=NO$34,NK26&lt;&gt;""),AND(NN26&gt;=NO$34,NN26&lt;&gt;"")),"National Team","")</f>
        <v/>
      </c>
      <c r="I26" s="116" t="str">
        <f>IF(AND(G26="Merit",H26="Merit"),"Merit",IF(AND(OR(G26="Merit",G26="Excellence"),OR(H26="Merit",H26="Excellence")),"Excellence",IF(AND(OR(G26="Merit",G26="Excellence",G26="Worlds Team"),OR(H26="Merit",H26="Excellence",H26="Worlds Team")),"Worlds Team",IF(AND(OR(G26="Merit",G26="Excellence",G26="Worlds Team",G26="National Team"),OR(H26="Merit",H26="Excellence",H26="Worlds Team",H26="National Team")),"National Team",IF(OR(H26="Merit",H26="Excellence",H26="Worlds Team",H26="National Team"),"No DD","")))))</f>
        <v/>
      </c>
      <c r="J26" s="3" t="str">
        <f>IF(AND(OR(AND(AV26&gt;=AY$35,AV26&lt;&gt;"",AP26=""),AND(BZ26&gt;=CC$35,BZ26&lt;&gt;"",BT26=""),AND(DD26&gt;=DG$35,DD26&lt;&gt;"",CX26=""),AND(ED26&gt;=EG$35,ED26&lt;&gt;""),AND(EZ26&gt;=FC$35,EZ26&lt;&gt;""),AND(FV26&gt;=FY$35,FV26&lt;&gt;""),AND(GR26&gt;=GU$35,GR26&lt;&gt;""),AND(HN26&gt;=HQ$35,HN26&lt;&gt;""),AND(IJ26&gt;=IM$35,IJ26&lt;&gt;""),AND(JF26&gt;=JI$35,JF26&lt;&gt;""),AND(KB26&gt;=KE$35,KB26&lt;&gt;""),AND(KX26&gt;=LA$35,KX26&lt;&gt;""),AND(LT26&gt;=LW$35,LT26&lt;&gt;""),AND(MP26&gt;=MS$35,MP26&lt;&gt;""),AND(NL26&gt;=NO$35,NL26&lt;&gt;"")),OR(G26="Worlds Team",G26="Excellence",G26="Merit")),"P","")</f>
        <v/>
      </c>
      <c r="K26" s="14">
        <f>IF(MAX(AV26,BZ26,DD26)&gt;0,MAX(AV26,BZ26,DD26),0)</f>
        <v>43.125</v>
      </c>
      <c r="L26" s="14" t="str">
        <f>IF(K26=0,"",IF(K26=DD26,$CD$1,IF(K26=BZ26,$AZ$1,IF(K26=AV26,$V$1,""))))</f>
        <v>2021 Canadian Championships</v>
      </c>
      <c r="M26" s="14">
        <f>IF($K26=$AV26,MAX(BU26,CY26),IF($K26=$BZ26,MAX(AQ26,CY26),IF($K26=$DD26,MAX(AQ26,BU26),MAX(AQ26,BU26,CY26))))</f>
        <v>0</v>
      </c>
      <c r="N26" s="14" t="str">
        <f>IF(M26=0,"",IF(AND(M26=CY26,$L26&lt;&gt;$CD$1),$CD$1,IF(AND(M26=BU26,$L26&lt;&gt;$AZ$1),$AZ$1,IF(AND(M26=AQ26,$L26&lt;&gt;$V$1),$V$1,""))))</f>
        <v/>
      </c>
      <c r="O26" s="14">
        <f>MAX(AS26,AU26,AX26,BW26,BY26,CB26,DA26,DC26,DF26)</f>
        <v>26.639999999999997</v>
      </c>
      <c r="P26" s="14" t="str">
        <f>IF(O26=0,"",IF(OR(O26=DC26,O26=DA26,O26=DF26),$CD$1,IF(OR(O26=BY26,O26=BW26,O26=CB26),$AZ$1,IF(OR(O26=AU26,O26=AS26,O26=AX26),$V$1,""))))</f>
        <v>2021 Canadian Championships</v>
      </c>
      <c r="Q26" s="14">
        <f>IF(COUNT(AS26,AU26,AX26,BW26,BY26,CB26,DA26,DC26,DF26)&gt;1,LARGE((AS26,AU26,AX26,BW26,BY26,CB26,DA26,DC26,DF26),2),0)</f>
        <v>0</v>
      </c>
      <c r="R26" s="14" t="str">
        <f>IF(Q26=0,"",IF(OR(Q26=DC26,Q26=DA26,Q26=DF26),$CD$1,IF(OR(Q26=BY26,Q26=BW26,Q26=CB26),$AZ$1,IF(OR(Q26=AU26,Q26=AS26,Q26=AX26),$V$1,""))))</f>
        <v/>
      </c>
      <c r="S26" s="14" t="str">
        <f>IF(MAX(DI26,DK26)&gt;0,MAX(DI26,DK26),"")</f>
        <v/>
      </c>
      <c r="T26" s="24" t="str">
        <f>IF(S26="","",IF(S26=DH26,"(Vol 1)",IF(S26=DI26,"(Vol 2)",IF(S26=DJ26,"(Prelim)",IF(S26=DK26,"(Final)")))))</f>
        <v/>
      </c>
      <c r="U26" s="14" t="str">
        <f>IF(S26="","",IF(S26=DH26,IF(S26+IF(M26="",0,M26)=NJ26,$MT$1,IF(S26+IF(M26="",0,M26)=MN26,$LX$1,IF(S26+IF(M26="",0,M26)=LR26,$LB$1,IF(S26+IF(M26="",0,M26)=KV26,$KF$1,IF(S26+IF(M26="",0,M26)=JZ26,$JJ$1,IF(S26+IF(M26="",0,M26)=JD26,$IN$1,IF(S26+IF(M26="",0,M26)=IH26,$HR$1,IF(S26+IF(M26="",0,M26)=HL26,$GV$1,IF(S26+IF(M26="",0,M26)=GP26,$FZ$1,IF(S26+IF(M26="",0,M26)=FT26,$FD$1,IF(S26+IF(M26="",0,M26)=EX26,$EH$1,IF(S26+IF(M26="",0,M26)=EB26,$DL$1)))))))))))),IF(S26=DI26,IF(S26+IF(O26="",0,O26)=NK26,$MT$1,IF(S26+IF(O26="",0,O26)=MO26,$LX$1,IF(S26+IF(O26="",0,O26)=LS26,$LB$1,IF(S26+IF(O26="",0,O26)=KW26,$KF$1,IF(S26+IF(O26="",0,O26)=KA26,$JJ$1,IF(S26+IF(O26="",0,O26)=JE26,$IN$1,IF(S26+IF(O26="",0,O26)=II26,$HR$1,IF(S26+IF(O26="",0,O26)=HM26,$GV$1,IF(S26+IF(O26="",0,O26)=GQ26,$FZ$1,IF(S26+IF(O26="",0,O26)=FU26,$FD$1,IF(S26+IF(O26="",0,O26)=EY26,$EH$1,IF(S26+IF(O26="",0,O26)=EC26,$DL$1)))))))))))),IF(S26=DJ26,IF(S26+IF(K26="",0,K26)=NL26,$MT$1,IF(S26+IF(K26="",0,K26)=MP26,$LX$1,IF(S26+IF(K26="",0,K26)=LT26,$LB$1,IF(S26+IF(K26="",0,K26)=KX26,$KF$1,IF(S26+IF(K26="",0,K26)=KB26,$JJ$1,IF(S26+IF(K26="",0,K26)=JF26,$IN$1,IF(S26+IF(K26="",0,K26)=IJ26,$HR$1,IF(S26+IF(K26="",0,K26)=HN26,$GV$1,IF(S26+IF(K26="",0,K26)=GR26,$FZ$1,IF(S26+IF(K26="",0,K26)=FV26,$FD$1,IF(S26+IF(K26="",0,K26)=EZ26,$EH$1,IF(S26+IF(K26="",0,K26)=ED26,$DL$1)))))))))))),IF(S26=DK26,IF(S26+IF(Q26="",0,Q26)=NN26,$MT$1,IF(S26+IF(Q26="",0,Q26)=MR26,$LX$1,IF(S26+IF(Q26="",0,Q26)=LV26,$LB$1,IF(S26+IF(Q26="",0,Q26)=KZ26,$KF$1,IF(S26+IF(Q26="",0,Q26)=KD26,$JJ$1,IF(S26+IF(Q26="",0,Q26)=JH26,$IN$1,IF(S26+IF(Q26="",0,Q26)=IL26,$HR$1,IF(S26+IF(Q26="",0,Q26)=HP26,$GV$1,IF(S26+IF(Q26="",0,Q26)=GT26,$FZ$1,IF(S26+IF(Q26="",0,Q26)=FX26,$FD$1,IF(S26+IF(Q26="",0,Q26)=FB26,$EH$1,IF(S26+IF(Q26="",0,Q26)=EF26,$DL$1)))))))))))))))))</f>
        <v/>
      </c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72"/>
      <c r="AQ26" s="11" t="str">
        <f>IF(SUM(V26:Y26)-Z26&gt;0,SUM(V26:Y26)-Z26,"")</f>
        <v/>
      </c>
      <c r="AR26" s="11" t="str">
        <f>IF(AC26&gt;0,AC26,"")</f>
        <v/>
      </c>
      <c r="AS26" s="11" t="str">
        <f>IF(SUM(AA26:AD26)-AE26&gt;0,SUM(AA26:AD26)-AE26,"")</f>
        <v/>
      </c>
      <c r="AT26" s="11" t="str">
        <f>IF(AH26&gt;0,AH26,"")</f>
        <v/>
      </c>
      <c r="AU26" s="11" t="str">
        <f>IF(SUM(AF26:AI26)-AJ26&gt;0,SUM(AF26:AI26)-AJ26,"")</f>
        <v/>
      </c>
      <c r="AV26" s="11" t="str">
        <f>IF(AQ26="",IF(MAX(AS26,AU26)&gt;0,MAX(AS26,AU26),""),MAX(AS26,AU26)+AQ26)</f>
        <v/>
      </c>
      <c r="AW26" s="11" t="str">
        <f>IF(AM26&gt;0,AM26,"")</f>
        <v/>
      </c>
      <c r="AX26" s="11" t="str">
        <f>IF(SUM(AK26:AN26)-AO26&gt;0,SUM(AK26:AN26)-AO26,"")</f>
        <v/>
      </c>
      <c r="AY26" s="11" t="str">
        <f>IF(SUM(AV26,AX26)&gt;0,SUM(AV26,AX26),"")</f>
        <v/>
      </c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73"/>
      <c r="BU26" s="14" t="str">
        <f>IF(SUM(AZ26:BC26)-BD26&gt;0,SUM(AZ26:BC26)-BD26,"")</f>
        <v/>
      </c>
      <c r="BV26" s="14" t="str">
        <f>IF(BG26&gt;0,BG26,"")</f>
        <v/>
      </c>
      <c r="BW26" s="14" t="str">
        <f>IF(SUM(BE26:BH26)-BI26&gt;0,SUM(BE26:BH26)-BI26,"")</f>
        <v/>
      </c>
      <c r="BX26" s="14" t="str">
        <f>IF(BL26&gt;0,BL26,"")</f>
        <v/>
      </c>
      <c r="BY26" s="14" t="str">
        <f>IF(SUM(BJ26:BM26)-BN26&gt;0,SUM(BJ26:BM26)-BN26,"")</f>
        <v/>
      </c>
      <c r="BZ26" s="14" t="str">
        <f>IF(BU26="",IF(MAX(BW26,BY26)&gt;0,MAX(BW26,BY26),""),MAX(BW26,BY26)+BU26)</f>
        <v/>
      </c>
      <c r="CA26" s="14" t="str">
        <f>IF(BQ26&gt;0,BQ26,"")</f>
        <v/>
      </c>
      <c r="CB26" s="14" t="str">
        <f>IF(SUM(BO26:BR26)-BS26&gt;0,SUM(BO26:BR26)-BS26,"")</f>
        <v/>
      </c>
      <c r="CC26" s="14" t="str">
        <f>IF(SUM(BZ26,CB26)&gt;0,SUM(BZ26,CB26),"")</f>
        <v/>
      </c>
      <c r="CD26" s="61">
        <v>6.7</v>
      </c>
      <c r="CE26" s="61">
        <v>3.7</v>
      </c>
      <c r="CF26" s="61">
        <v>0.7</v>
      </c>
      <c r="CG26" s="61">
        <v>5.3849999999999998</v>
      </c>
      <c r="CH26" s="61">
        <v>0</v>
      </c>
      <c r="CI26" s="61">
        <v>8.1999999999999993</v>
      </c>
      <c r="CJ26" s="61">
        <v>5.0999999999999996</v>
      </c>
      <c r="CK26" s="61">
        <v>6</v>
      </c>
      <c r="CL26" s="61">
        <v>7.34</v>
      </c>
      <c r="CM26" s="61">
        <v>0</v>
      </c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72"/>
      <c r="CY26" s="11">
        <f>IF(SUM(CD26:CG26)-CH26&gt;0,SUM(CD26:CG26)-CH26,"")</f>
        <v>16.484999999999999</v>
      </c>
      <c r="CZ26" s="11">
        <f>IF(CK26&gt;0,CK26,"")</f>
        <v>6</v>
      </c>
      <c r="DA26" s="11">
        <f>IF(SUM(CI26:CL26)-CM26&gt;0,SUM(CI26:CL26)-CM26,"")</f>
        <v>26.639999999999997</v>
      </c>
      <c r="DB26" s="11" t="str">
        <f>IF(CP26&gt;0,CP26,"")</f>
        <v/>
      </c>
      <c r="DC26" s="11" t="str">
        <f>IF(SUM(CN26:CQ26)-CR26&gt;0,SUM(CN26:CQ26)-CR26,"")</f>
        <v/>
      </c>
      <c r="DD26" s="11">
        <f>IF(CY26="",IF(MAX(DA26,DC26)&gt;0,MAX(DA26,DC26),""),MAX(DA26,DC26)+CY26)</f>
        <v>43.125</v>
      </c>
      <c r="DE26" s="11" t="str">
        <f>IF(CU26&gt;0,CU26,"")</f>
        <v/>
      </c>
      <c r="DF26" s="11" t="str">
        <f>IF(SUM(CS26:CV26)-CW26&gt;0,SUM(CS26:CV26)-CW26,"")</f>
        <v/>
      </c>
      <c r="DG26" s="11">
        <f>IF(SUM(DD26,DF26)&gt;0,SUM(DD26,DF26),"")</f>
        <v>43.125</v>
      </c>
      <c r="DH26" s="23" t="str">
        <f>IF(MAX(EB26,EX26,FT26,GP26,HL26,IH26,JD26,JZ26,KV26,LR26,MN26,NJ26)-IF(M26="",0,M26)&gt;0.001,MAX(EB26,EX26,FT26,GP26,HL26,IH26,JD26,JZ26,KV26,LR26,MN26,NJ26)-IF(M26="",0,M26),"")</f>
        <v/>
      </c>
      <c r="DI26" s="23" t="str">
        <f>IF(MAX(EC26,EY26,FU26,GQ26,HM26,II26,JE26,KA26,KW26,LS26,MO26,NK26)-IF(O26="",0,O26)&gt;0.001,MAX(EC26,EY26,FU26,GQ26,HM26,II26,JE26,KA26,KW26,LS26,MO26,NK26)-IF(O26="",0,O26),"")</f>
        <v/>
      </c>
      <c r="DJ26" s="23" t="str">
        <f>IF(MAX(ED26,EZ26,FV26,GR26,HN26,IJ26,JF26,KB26,KX26,LT26,MP26,NL26)-IF(K26="",0,K26)&gt;0.001,MAX(ED26,EZ26,FV26,GR26,HN26,IJ26,JF26,KB26,KX26,LT26,MP26,NL26)-IF(K26="",0,K26),"")</f>
        <v/>
      </c>
      <c r="DK26" s="23" t="str">
        <f>IF(MAX(EF26,FB26,FX26,GT26,HP26,IL26,JH26,KD26,KZ26,LV26,MR26,NN26)-IF(Q26="",0,Q26)&gt;0.001,MAX(EF26,FB26,FX26,GT26,HP26,IL26,JH26,KD26,KZ26,LV26,MR26,NN26)-IF(Q26="",0,Q26),"")</f>
        <v/>
      </c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11" t="str">
        <f>IF(DS26&gt;0,DS26,"")</f>
        <v/>
      </c>
      <c r="EB26" s="11" t="str">
        <f>IF(SUM(DL26:DO26)-DP26&gt;0,SUM(DL26:DO26)-DP26,"")</f>
        <v/>
      </c>
      <c r="EC26" s="11" t="str">
        <f>IF(SUM(DQ26:DT26)-DU26&gt;0,SUM(DQ26:DT26)-DU26,"")</f>
        <v/>
      </c>
      <c r="ED26" s="11" t="str">
        <f>IF(SUM(EB26:EC26)&gt;0,SUM(EB26:EC26),"")</f>
        <v/>
      </c>
      <c r="EE26" s="11" t="str">
        <f>IF(DX26&gt;0,DX26,"")</f>
        <v/>
      </c>
      <c r="EF26" s="11" t="str">
        <f>IF(SUM(DV26:DY26)-DZ26&gt;0,SUM(DV26:DY26)-DZ26,"")</f>
        <v/>
      </c>
      <c r="EG26" s="11" t="str">
        <f>IF(SUM(ED26,EF26)&gt;0,SUM(ED26,EF26),"")</f>
        <v/>
      </c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14" t="str">
        <f>IF(EO26&gt;0,EO26,"")</f>
        <v/>
      </c>
      <c r="EX26" s="14" t="str">
        <f>IF(SUM(EH26:EK26)-EL26&gt;0,SUM(EH26:EK26)-EL26,"")</f>
        <v/>
      </c>
      <c r="EY26" s="14" t="str">
        <f>IF(SUM(EM26:EP26)-EQ26&gt;0,SUM(EM26:EP26)-EQ26,"")</f>
        <v/>
      </c>
      <c r="EZ26" s="14" t="str">
        <f>IF(SUM(EX26:EY26)&gt;0,SUM(EX26:EY26),"")</f>
        <v/>
      </c>
      <c r="FA26" s="14" t="str">
        <f>IF(ET26&gt;0,ET26,"")</f>
        <v/>
      </c>
      <c r="FB26" s="14" t="str">
        <f>IF(SUM(ER26:EU26)-EV26&gt;0,SUM(ER26:EU26)-EV26,"")</f>
        <v/>
      </c>
      <c r="FC26" s="14" t="str">
        <f>IF(SUM(EZ26,FB26)&gt;0,SUM(EZ26,FB26),"")</f>
        <v/>
      </c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11" t="str">
        <f>IF(FK26&gt;0,FK26,"")</f>
        <v/>
      </c>
      <c r="FT26" s="11" t="str">
        <f>IF(SUM(FD26:FG26)-FH26&gt;0,SUM(FD26:FG26)-FH26,"")</f>
        <v/>
      </c>
      <c r="FU26" s="11" t="str">
        <f>IF(SUM(FI26:FL26)-FM26&gt;0,SUM(FI26:FL26)-FM26,"")</f>
        <v/>
      </c>
      <c r="FV26" s="11" t="str">
        <f>IF(SUM(FT26:FU26)&gt;0,SUM(FT26:FU26),"")</f>
        <v/>
      </c>
      <c r="FW26" s="11" t="str">
        <f>IF(FP26&gt;0,FP26,"")</f>
        <v/>
      </c>
      <c r="FX26" s="11" t="str">
        <f>IF(SUM(FN26:FQ26)-FR26&gt;0,SUM(FN26:FQ26)-FR26,"")</f>
        <v/>
      </c>
      <c r="FY26" s="11" t="str">
        <f>IF(SUM(FV26,FX26)&gt;0,SUM(FV26,FX26),"")</f>
        <v/>
      </c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14" t="str">
        <f>IF(GG26&gt;0,GG26,"")</f>
        <v/>
      </c>
      <c r="GP26" s="14" t="str">
        <f>IF(SUM(FZ26:GC26)-GD26&gt;0,SUM(FZ26:GC26)-GD26,"")</f>
        <v/>
      </c>
      <c r="GQ26" s="14" t="str">
        <f>IF(SUM(GE26:GH26)-GI26&gt;0,SUM(GE26:GH26)-GI26,"")</f>
        <v/>
      </c>
      <c r="GR26" s="14" t="str">
        <f>IF(SUM(GP26:GQ26)&gt;0,SUM(GP26:GQ26),"")</f>
        <v/>
      </c>
      <c r="GS26" s="14" t="str">
        <f>IF(GL26&gt;0,GL26,"")</f>
        <v/>
      </c>
      <c r="GT26" s="14" t="str">
        <f>IF(SUM(GJ26:GM26)-GN26&gt;0,SUM(GJ26:GM26)-GN26,"")</f>
        <v/>
      </c>
      <c r="GU26" s="14" t="str">
        <f>IF(SUM(GR26,GT26)&gt;0,SUM(GR26,GT26),"")</f>
        <v/>
      </c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11" t="str">
        <f>IF(HC26&gt;0,HC26,"")</f>
        <v/>
      </c>
      <c r="HL26" s="11" t="str">
        <f>IF(SUM(GV26:GY26)-GZ26&gt;0,SUM(GV26:GY26)-GZ26,"")</f>
        <v/>
      </c>
      <c r="HM26" s="11" t="str">
        <f>IF(SUM(HA26:HD26)-HE26&gt;0,SUM(HA26:HD26)-HE26,"")</f>
        <v/>
      </c>
      <c r="HN26" s="11" t="str">
        <f>IF(SUM(HL26:HM26)&gt;0,SUM(HL26:HM26),"")</f>
        <v/>
      </c>
      <c r="HO26" s="11" t="str">
        <f>IF(HH26&gt;0,HH26,"")</f>
        <v/>
      </c>
      <c r="HP26" s="11" t="str">
        <f>IF(SUM(HF26:HI26)-HJ26&gt;0,SUM(HF26:HI26)-HJ26,"")</f>
        <v/>
      </c>
      <c r="HQ26" s="11" t="str">
        <f>IF(SUM(HN26,HP26)&gt;0,SUM(HN26,HP26),"")</f>
        <v/>
      </c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14" t="str">
        <f>IF(HY26&gt;0,HY26,"")</f>
        <v/>
      </c>
      <c r="IH26" s="14" t="str">
        <f>IF(SUM(HR26:HU26)-HV26&gt;0,SUM(HR26:HU26)-HV26,"")</f>
        <v/>
      </c>
      <c r="II26" s="14" t="str">
        <f>IF(SUM(HW26:HZ26)-IA26&gt;0,SUM(HW26:HZ26)-IA26,"")</f>
        <v/>
      </c>
      <c r="IJ26" s="14" t="str">
        <f>IF(SUM(IH26:II26)&gt;0,SUM(IH26:II26),"")</f>
        <v/>
      </c>
      <c r="IK26" s="14" t="str">
        <f>IF(ID26&gt;0,ID26,"")</f>
        <v/>
      </c>
      <c r="IL26" s="14" t="str">
        <f>IF(SUM(IB26:IE26)-IF26&gt;0,SUM(IB26:IE26)-IF26,"")</f>
        <v/>
      </c>
      <c r="IM26" s="14" t="str">
        <f>IF(SUM(IJ26,IL26)&gt;0,SUM(IJ26,IL26),"")</f>
        <v/>
      </c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11" t="str">
        <f>IF(IU26&gt;0,IU26,"")</f>
        <v/>
      </c>
      <c r="JD26" s="11" t="str">
        <f>IF(SUM(IN26:IQ26)-IR26&gt;0,SUM(IN26:IQ26)-IR26,"")</f>
        <v/>
      </c>
      <c r="JE26" s="11" t="str">
        <f>IF(SUM(IS26:IV26)-IW26&gt;0,SUM(IS26:IV26)-IW26,"")</f>
        <v/>
      </c>
      <c r="JF26" s="11" t="str">
        <f>IF(SUM(JD26:JE26)&gt;0,SUM(JD26:JE26),"")</f>
        <v/>
      </c>
      <c r="JG26" s="11" t="str">
        <f>IF(IZ26&gt;0,IZ26,"")</f>
        <v/>
      </c>
      <c r="JH26" s="11" t="str">
        <f>IF(SUM(IX26:JA26)-JB26&gt;0,SUM(IX26:JA26)-JB26,"")</f>
        <v/>
      </c>
      <c r="JI26" s="11" t="str">
        <f>IF(SUM(JF26,JH26)&gt;0,SUM(JF26,JH26),"")</f>
        <v/>
      </c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14" t="str">
        <f>IF(JQ26&gt;0,JQ26,"")</f>
        <v/>
      </c>
      <c r="JZ26" s="14" t="str">
        <f>IF(SUM(JJ26:JM26)-JN26&gt;0,SUM(JJ26:JM26)-JN26,"")</f>
        <v/>
      </c>
      <c r="KA26" s="14" t="str">
        <f>IF(SUM(JO26:JR26)-JS26&gt;0,SUM(JO26:JR26)-JS26,"")</f>
        <v/>
      </c>
      <c r="KB26" s="14" t="str">
        <f>IF(SUM(JZ26:KA26)&gt;0,SUM(JZ26:KA26),"")</f>
        <v/>
      </c>
      <c r="KC26" s="14" t="str">
        <f>IF(JV26&gt;0,JV26,"")</f>
        <v/>
      </c>
      <c r="KD26" s="14" t="str">
        <f>IF(SUM(JT26:JW26)-JX26&gt;0,SUM(JT26:JW26)-JX26,"")</f>
        <v/>
      </c>
      <c r="KE26" s="14" t="str">
        <f>IF(SUM(KB26,KD26)&gt;0,SUM(KB26,KD26),"")</f>
        <v/>
      </c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11" t="str">
        <f>IF(KM26&gt;0,KM26,"")</f>
        <v/>
      </c>
      <c r="KV26" s="11" t="str">
        <f>IF(SUM(KF26:KI26)-KJ26&gt;0,SUM(KF26:KI26)-KJ26,"")</f>
        <v/>
      </c>
      <c r="KW26" s="11" t="str">
        <f>IF(SUM(KK26:KN26)-KO26&gt;0,SUM(KK26:KN26)-KO26,"")</f>
        <v/>
      </c>
      <c r="KX26" s="11" t="str">
        <f>IF(SUM(KV26:KW26)&gt;0,SUM(KV26:KW26),"")</f>
        <v/>
      </c>
      <c r="KY26" s="11" t="str">
        <f>IF(KR26&gt;0,KR26,"")</f>
        <v/>
      </c>
      <c r="KZ26" s="11" t="str">
        <f>IF(SUM(KP26:KS26)-KT26&gt;0,SUM(KP26:KS26)-KT26,"")</f>
        <v/>
      </c>
      <c r="LA26" s="11" t="str">
        <f>IF(SUM(KX26,KZ26)&gt;0,SUM(KX26,KZ26),"")</f>
        <v/>
      </c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14" t="str">
        <f>IF(LI26&gt;0,LI26,"")</f>
        <v/>
      </c>
      <c r="LR26" s="14" t="str">
        <f>IF(SUM(LB26:LE26)-LF26&gt;0,SUM(LB26:LE26)-LF26,"")</f>
        <v/>
      </c>
      <c r="LS26" s="14" t="str">
        <f>IF(SUM(LG26:LJ26)-LK26&gt;0,SUM(LG26:LJ26)-LK26,"")</f>
        <v/>
      </c>
      <c r="LT26" s="14" t="str">
        <f>IF(SUM(LR26:LS26)&gt;0,SUM(LR26:LS26),"")</f>
        <v/>
      </c>
      <c r="LU26" s="14" t="str">
        <f>IF(LN26&gt;0,LN26,"")</f>
        <v/>
      </c>
      <c r="LV26" s="14" t="str">
        <f>IF(SUM(LL26:LO26)-LP26&gt;0,SUM(LL26:LO26)-LP26,"")</f>
        <v/>
      </c>
      <c r="LW26" s="14" t="str">
        <f>IF(SUM(LT26,LV26)&gt;0,SUM(LT26,LV26),"")</f>
        <v/>
      </c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11" t="str">
        <f>IF(ME26&gt;0,ME26,"")</f>
        <v/>
      </c>
      <c r="MN26" s="11" t="str">
        <f>IF(SUM(LX26:MA26)-MB26&gt;0,SUM(LX26:MA26)-MB26,"")</f>
        <v/>
      </c>
      <c r="MO26" s="11" t="str">
        <f>IF(SUM(MC26:MF26)-MG26&gt;0,SUM(MC26:MF26)-MG26,"")</f>
        <v/>
      </c>
      <c r="MP26" s="11" t="str">
        <f>IF(SUM(MN26:MO26)&gt;0,SUM(MN26:MO26),"")</f>
        <v/>
      </c>
      <c r="MQ26" s="11" t="str">
        <f>IF(MJ26&gt;0,MJ26,"")</f>
        <v/>
      </c>
      <c r="MR26" s="11" t="str">
        <f>IF(SUM(MH26:MK26)-ML26&gt;0,SUM(MH26:MK26)-ML26,"")</f>
        <v/>
      </c>
      <c r="MS26" s="11" t="str">
        <f>IF(SUM(MP26,MR26)&gt;0,SUM(MP26,MR26),"")</f>
        <v/>
      </c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14" t="str">
        <f>IF(NA26&gt;0,NA26,"")</f>
        <v/>
      </c>
      <c r="NJ26" s="14" t="str">
        <f>IF(SUM(MT26:MW26)-MX26&gt;0,SUM(MT26:MW26)-MX26,"")</f>
        <v/>
      </c>
      <c r="NK26" s="14" t="str">
        <f>IF(SUM(MY26:NB26)-NC26&gt;0,SUM(MY26:NB26)-NC26,"")</f>
        <v/>
      </c>
      <c r="NL26" s="14" t="str">
        <f>IF(SUM(NJ26:NK26)&gt;0,SUM(NJ26:NK26),"")</f>
        <v/>
      </c>
      <c r="NM26" s="14" t="str">
        <f>IF(NF26&gt;0,NF26,"")</f>
        <v/>
      </c>
      <c r="NN26" s="14" t="str">
        <f>IF(SUM(ND26:NG26)-NH26&gt;0,SUM(ND26:NG26)-NH26,"")</f>
        <v/>
      </c>
      <c r="NO26" s="14" t="str">
        <f>IF(SUM(NL26,NN26)&gt;0,SUM(NL26,NN26),"")</f>
        <v/>
      </c>
      <c r="NP26" s="61">
        <f>IF($CX26="P",CD26,(CD26+AZ26)/2)</f>
        <v>3.35</v>
      </c>
      <c r="NQ26" s="61">
        <f>IF($CX26="P",CE26,(CE26+BA26)/2)</f>
        <v>1.85</v>
      </c>
      <c r="NR26" s="61">
        <f>IF($CX26="P",CF26,(CF26+BB26)/2)</f>
        <v>0.35</v>
      </c>
      <c r="NS26" s="61">
        <f>IF($CX26="P",CG26,(CG26+BC26)/2)</f>
        <v>2.6924999999999999</v>
      </c>
      <c r="NT26" s="61">
        <f>IF($CX26="P",CH26,(CH26+BD26)/2)</f>
        <v>0</v>
      </c>
      <c r="NU26" s="61">
        <f>IF($CX26="P",CI26,(CI26+BE26)/2)</f>
        <v>4.0999999999999996</v>
      </c>
      <c r="NV26" s="61">
        <f>IF($CX26="P",CJ26,(CJ26+BF26)/2)</f>
        <v>2.5499999999999998</v>
      </c>
      <c r="NW26" s="61">
        <f>IF($CX26="P",CK26,(CK26+BG26)/2)</f>
        <v>3</v>
      </c>
      <c r="NX26" s="61">
        <f>IF($CX26="P",CL26,(CL26+BH26)/2)</f>
        <v>3.67</v>
      </c>
      <c r="NY26" s="61">
        <f>IF($CX26="P",CM26,(CM26+BI26)/2)</f>
        <v>0</v>
      </c>
      <c r="NZ26" s="61">
        <f>IF($CX26="P",CN26,(CN26+BJ26)/2)</f>
        <v>0</v>
      </c>
      <c r="OA26" s="61">
        <f>IF($CX26="P",CO26,(CO26+BK26)/2)</f>
        <v>0</v>
      </c>
      <c r="OB26" s="61">
        <f>IF($CX26="P",CP26,(CP26+BL26)/2)</f>
        <v>0</v>
      </c>
      <c r="OC26" s="61">
        <f>IF($CX26="P",CQ26,(CQ26+BM26)/2)</f>
        <v>0</v>
      </c>
      <c r="OD26" s="61">
        <f>IF($CX26="P",CR26,(CR26+BN26)/2)</f>
        <v>0</v>
      </c>
      <c r="OE26" s="61">
        <f>IF($CX26="P",CS26,(CS26+BO26)/2)</f>
        <v>0</v>
      </c>
      <c r="OF26" s="61">
        <f>IF($CX26="P",CT26,(CT26+BP26)/2)</f>
        <v>0</v>
      </c>
      <c r="OG26" s="61">
        <f>IF($CX26="P",CU26,(CU26+BQ26)/2)</f>
        <v>0</v>
      </c>
      <c r="OH26" s="61">
        <f>IF($CX26="P",CV26,(CV26+BR26)/2)</f>
        <v>0</v>
      </c>
      <c r="OI26" s="61">
        <f>IF($CX26="P",CW26,(CW26+BS26)/2)</f>
        <v>0</v>
      </c>
      <c r="OJ26" s="72" t="s">
        <v>52</v>
      </c>
      <c r="OK26" s="11">
        <f>IF(SUM(NP26:NS26)-NT26&gt;0,SUM(NP26:NS26)-NT26,"")</f>
        <v>8.2424999999999997</v>
      </c>
      <c r="OL26" s="11">
        <f>IF(NW26&gt;0,NW26,"")</f>
        <v>3</v>
      </c>
      <c r="OM26" s="11">
        <f>IF(SUM(NU26:NX26)-NY26&gt;0,SUM(NU26:NX26)-NY26,"")</f>
        <v>13.319999999999999</v>
      </c>
      <c r="ON26" s="11" t="str">
        <f>IF(OB26&gt;0,OB26,"")</f>
        <v/>
      </c>
      <c r="OO26" s="11" t="str">
        <f>IF(SUM(NZ26:OC26)-OD26&gt;0,SUM(NZ26:OC26)-OD26,"")</f>
        <v/>
      </c>
      <c r="OP26" s="11">
        <f>IF(OR(OK26&lt;&gt;"",OM26&lt;&gt;"",OO26&lt;&gt;""),OK26+MAX(OM26,OO26),"")</f>
        <v>21.5625</v>
      </c>
      <c r="OQ26" s="11" t="str">
        <f>IF(OG26&gt;0,OG26,"")</f>
        <v/>
      </c>
      <c r="OR26" s="11" t="str">
        <f t="shared" ref="OR26" si="34">IF(SUM(OE26:OH26)-OI26&gt;0,SUM(OE26:OH26)-OI26,"")</f>
        <v/>
      </c>
      <c r="OS26" s="11">
        <f t="shared" ref="OS26" si="35">IF(SUM(OP26,OR26)&gt;0,SUM(OP26,OR26),"")</f>
        <v>21.5625</v>
      </c>
    </row>
    <row r="27" spans="1:409" x14ac:dyDescent="0.2">
      <c r="A27" s="5" t="str" cm="1">
        <f t="array" ref="A27">IF(AND(G27&lt;&gt;"",H27&lt;&gt;""),SUMPRODUCT((G$4:G$28&lt;&gt;"")*(H$4:H$28&lt;&gt;"")*(E$4:E$28&gt;E27))+1,IF(H27&lt;&gt;"",SUMPRODUCT((I$4:I$28="No DD")*(E$4:E$28&gt;E27))+1+SUMPRODUCT((G$4:G$28&lt;&gt;"")*(H$4:H$28&lt;&gt;"")),""))</f>
        <v/>
      </c>
      <c r="B27" s="6" t="s">
        <v>155</v>
      </c>
      <c r="C27" s="7" t="s">
        <v>3</v>
      </c>
      <c r="D27" s="26">
        <v>2004</v>
      </c>
      <c r="E27" s="15">
        <f>SUM(O27:S27)</f>
        <v>20.73</v>
      </c>
      <c r="F27" s="3" t="str">
        <f>IF(G27&lt;&gt;"","P","")</f>
        <v/>
      </c>
      <c r="G27" s="115" t="str">
        <f>IF(OR(AND(AR27&gt;=AY$33,AR27&lt;&gt;"",AP27=""),AND(AT27&gt;=AY$33,AT27&lt;&gt;"",AP27=""),AND(AW27&gt;=AY$33,AW27&lt;&gt;"",AP27=""),AND(BV27&gt;=CC$33,BV27&lt;&gt;"",BT27=""),AND(BX27&gt;=CC$33,BX27&lt;&gt;"",BT27=""),AND(CA27&gt;=CC$33,CA27&lt;&gt;"",BT27=""),AND(CZ27&gt;=DG$33,CZ27&lt;&gt;"",CX27=""),AND(DB27&gt;=DG$33,DB27&lt;&gt;"",CX27=""),AND(DE27&gt;=DG$33,DE27&lt;&gt;"",CX27=""),AND(EA27&gt;=EG$33,EA27&lt;&gt;""),AND(EE27&gt;=EG$33,EE27&lt;&gt;""),AND(EW27&gt;=FC$33,EW27&lt;&gt;""),AND(FA27&gt;=FC$33,FA27&lt;&gt;""),AND(FS27&gt;=FY$33,FS27&lt;&gt;""),AND(FW27&gt;=FY$33,FW27&lt;&gt;""),AND(GO27&gt;=GU$33,GO27&lt;&gt;""),AND(GS27&gt;=GU$33,GS27&lt;&gt;""),AND(HK27&gt;=HQ$33,HK27&lt;&gt;""),AND(HO27&gt;=HQ$33,HO27&lt;&gt;""),AND(IG27&gt;=IM$33,IG27&lt;&gt;""),AND(IK27&gt;=IM$33,IK27&lt;&gt;""),AND(JC27&gt;=JI$33,JC27&lt;&gt;""),AND(JG27&gt;=JI$33,JG27&lt;&gt;""),AND(JY27&gt;=KE$33,JY27&lt;&gt;""),AND(KC27&gt;=KE$33,KC27&lt;&gt;""),AND(KU27&gt;=LA$33,KU27&lt;&gt;""),AND(KY27&gt;=LA$33,KY27&lt;&gt;""),AND(LQ27&gt;=LW$33,LQ27&lt;&gt;""),AND(LU27&gt;=LW$33,LU27&lt;&gt;""),AND(MM27&gt;=MS$33,MM27&lt;&gt;""),AND(MQ27&gt;=MS$33,MQ27&lt;&gt;""),AND(NI27&gt;=NO$33,NI27&lt;&gt;""),AND(NM27&gt;=NO$33,NM27&lt;&gt;"")),"Merit",IF(OR(AND(AR27&gt;=AY$32,AR27&lt;&gt;"",AP27=""),AND(AT27&gt;=AY$32,AT27&lt;&gt;"",AP27=""),AND(AW27&gt;=AY$32,AW27&lt;&gt;"",AP27=""),AND(BV27&gt;=CC$32,BV27&lt;&gt;"",BT27=""),AND(BX27&gt;=CC$32,BX27&lt;&gt;"",BT27=""),AND(CA27&gt;=CC$32,CA27&lt;&gt;"",BT27=""),AND(CZ27&gt;=DG$32,CZ27&lt;&gt;"",CX27=""),AND(DB27&gt;=DG$32,DB27&lt;&gt;"",CX27=""),AND(DE27&gt;=DG$32,DE27&lt;&gt;"",CX27=""),AND(EA27&gt;=EG$32,EA27&lt;&gt;""),AND(EE27&gt;=EG$32,EE27&lt;&gt;""),AND(EW27&gt;=FC$32,EW27&lt;&gt;""),AND(FA27&gt;=FC$32,FA27&lt;&gt;""),AND(FS27&gt;=FY$32,FS27&lt;&gt;""),AND(FW27&gt;=FY$32,FW27&lt;&gt;""),AND(GO27&gt;=GU$32,GO27&lt;&gt;""),AND(GS27&gt;=GU$32,GS27&lt;&gt;""),AND(HK27&gt;=HQ$32,HK27&lt;&gt;""),AND(HO27&gt;=HQ$32,HO27&lt;&gt;""),AND(IG27&gt;=IM$32,IG27&lt;&gt;""),AND(IK27&gt;=IM$32,IK27&lt;&gt;""),AND(JC27&gt;=JI$32,JC27&lt;&gt;""),AND(JG27&gt;=JI$32,JG27&lt;&gt;""),AND(JY27&gt;=KE$32,JY27&lt;&gt;""),AND(KC27&gt;=KE$32,KC27&lt;&gt;""),AND(KU27&gt;=LA$32,KU27&lt;&gt;""),AND(KY27&gt;=LA$32,KY27&lt;&gt;""),AND(LQ27&gt;=LW$32,LQ27&lt;&gt;""),AND(LU27&gt;=LW$32,LU27&lt;&gt;""),AND(MM27&gt;=MS$32,MM27&lt;&gt;""),AND(MQ27&gt;=MS$32,MQ27&lt;&gt;""),AND(NI27&gt;=NO$32,NI27&lt;&gt;""),AND(NM27&gt;=NO$32,NM27&lt;&gt;"")),"Excellence",IF(OR(AND(AR27&gt;=AY$31,AR27&lt;&gt;"",AP27=""),AND(AT27&gt;=AY$31,AT27&lt;&gt;"",AP27=""),AND(AW27&gt;=AY$31,AW27&lt;&gt;"",AP27=""),AND(BV27&gt;=CC$31,BV27&lt;&gt;"",BT27=""),AND(BX27&gt;=CC$31,BX27&lt;&gt;"",BT27=""),AND(CA27&gt;=CC$31,CA27&lt;&gt;"",BT27=""),AND(CZ27&gt;=DG$31,CZ27&lt;&gt;"",CX27=""),AND(DB27&gt;=DG$31,DB27&lt;&gt;"",CX27=""),AND(DE27&gt;=DG$31,DE27&lt;&gt;"",CX27=""),AND(EA27&gt;=EG$31,EA27&lt;&gt;""),AND(EE27&gt;=EG$31,EE27&lt;&gt;""),AND(EW27&gt;=FC$31,EW27&lt;&gt;""),AND(FA27&gt;=FC$31,FA27&lt;&gt;""),AND(FS27&gt;=FY$31,FS27&lt;&gt;""),AND(FW27&gt;=FY$31,FW27&lt;&gt;""),AND(GO27&gt;=GU$31,GO27&lt;&gt;""),AND(GS27&gt;=GU$31,GS27&lt;&gt;""),AND(HK27&gt;=HQ$31,HK27&lt;&gt;""),AND(HO27&gt;=HQ$31,HO27&lt;&gt;""),AND(IG27&gt;=IM$31,IG27&lt;&gt;""),AND(IK27&gt;=IM$31,IK27&lt;&gt;""),AND(JC27&gt;=JI$31,JC27&lt;&gt;""),AND(JG27&gt;=JI$31,JG27&lt;&gt;""),AND(JY27&gt;=KE$31,JY27&lt;&gt;""),AND(KC27&gt;=KE$31,KC27&lt;&gt;""),AND(KU27&gt;=LA$31,KU27&lt;&gt;""),AND(KY27&gt;=LA$31,KY27&lt;&gt;""),AND(LQ27&gt;=LW$31,LQ27&lt;&gt;""),AND(LU27&gt;=LW$31,LU27&lt;&gt;""),AND(MM27&gt;=MS$31,MM27&lt;&gt;""),AND(MQ27&gt;=MS$31,MQ27&lt;&gt;""),AND(NI27&gt;=NO$31,NI27&lt;&gt;""),AND(NM27&gt;=NO$31,NM27&lt;&gt;"")),"Worlds Team",IF(OR(AND(AR27&gt;=AY$30,AR27&lt;&gt;"",AP27=""),AND(AT27&gt;=AY$30,AT27&lt;&gt;"",AP27=""),AND(AW27&gt;=AY$30,AW27&lt;&gt;"",AP27=""),AND(BV27&gt;=CC$30,BV27&lt;&gt;"",BT27=""),AND(BX27&gt;=CC$30,BX27&lt;&gt;"",BT27=""),AND(CA27&gt;=CC$30,CA27&lt;&gt;"",BT27=""),AND(CZ27&gt;=DG$30,CZ27&lt;&gt;"",CX27=""),AND(DB27&gt;=DG$30,DB27&lt;&gt;"",CX27=""),AND(DE27&gt;=DG$30,DE27&lt;&gt;"",CX27=""),AND(EA27&gt;=EG$30,EA27&lt;&gt;""),AND(EE27&gt;=EG$30,EE27&lt;&gt;""),AND(EW27&gt;=FC$30,EW27&lt;&gt;""),AND(FA27&gt;=FC$30,FA27&lt;&gt;""),AND(FS27&gt;=FY$30,FS27&lt;&gt;""),AND(FW27&gt;=FY$30,FW27&lt;&gt;""),AND(GO27&gt;=GU$30,GO27&lt;&gt;""),AND(GS27&gt;=GU$30,GS27&lt;&gt;""),AND(HK27&gt;=HQ$30,HK27&lt;&gt;""),AND(HO27&gt;=HQ$30,HO27&lt;&gt;""),AND(IG27&gt;=IM$30,IG27&lt;&gt;""),AND(IK27&gt;=IM$30,IK27&lt;&gt;""),AND(JC27&gt;=JI$30,JC27&lt;&gt;""),AND(JG27&gt;=JI$30,JG27&lt;&gt;""),AND(JY27&gt;=KE$30,JY27&lt;&gt;""),AND(KC27&gt;=KE$30,KC27&lt;&gt;""),AND(KU27&gt;=LA$30,KU27&lt;&gt;""),AND(KY27&gt;=LA$30,KY27&lt;&gt;""),AND(LQ27&gt;=LW$30,LQ27&lt;&gt;""),AND(LU27&gt;=LW$30,LU27&lt;&gt;""),AND(MM27&gt;=MS$30,MM27&lt;&gt;""),AND(MQ27&gt;=MS$30,MQ27&lt;&gt;""),AND(NI27&gt;=NO$30,NI27&lt;&gt;""),AND(NM27&gt;=NO$30,NM27&lt;&gt;"")),"National Team",""))))</f>
        <v/>
      </c>
      <c r="H27" s="115" t="str">
        <f>IF(OR(AND(AS27&gt;=AY$34,AS27&lt;&gt;"",AP27=""),AND(AU27&gt;=AY$34,AU27&lt;&gt;"",AP27=""),AND(AX27&gt;=AY$34,AX27&lt;&gt;"",AP27=""),AND(BW27&gt;=CC$34,BW27&lt;&gt;"",BT27=""),AND(BY27&gt;=CC$34,BY27&lt;&gt;"",BT27=""),AND(CB27&gt;=CC$34,CB27&lt;&gt;"",BT27=""),AND(DA27&gt;=DG$34,DA27&lt;&gt;"",CX27=""),AND(DC27&gt;=DG$34,DC27&lt;&gt;"",CX27=""),AND(DF27&gt;=DG$34,DF27&lt;&gt;"",CX27=""),AND(EC27&gt;=EG$34,EC27&lt;&gt;""),AND(EF27&gt;=EG$34,EF27&lt;&gt;""),AND(EY27&gt;=FC$34,EY27&lt;&gt;""),AND(FB27&gt;=FC$34,FB27&lt;&gt;""),AND(FU27&gt;=FY$34,FU27&lt;&gt;""),AND(FX27&gt;=FY$34,FX27&lt;&gt;""),AND(GQ27&gt;=GU$34,GQ27&lt;&gt;""),AND(GT27&gt;=GU$34,GT27&lt;&gt;""),AND(HM27&gt;=HQ$34,HM27&lt;&gt;""),AND(HP27&gt;=HQ$34,HP27&lt;&gt;""),AND(II27&gt;=IM$34,II27&lt;&gt;""),AND(IL27&gt;=IM$34,IL27&lt;&gt;""),AND(JE27&gt;=JI$34,JE27&lt;&gt;""),AND(JH27&gt;=JI$34,JH27&lt;&gt;""),AND(KA27&gt;=KE$34,KA27&lt;&gt;""),AND(KD27&gt;=KE$34,KD27&lt;&gt;""),AND(KW27&gt;=LA$34,KW27&lt;&gt;""),AND(KZ27&gt;=LA$34,KZ27&lt;&gt;""),AND(LS27&gt;=LW$34,LS27&lt;&gt;""),AND(LV27&gt;=LW$34,LV27&lt;&gt;""),AND(MO27&gt;=MS$34,MO27&lt;&gt;""),AND(MR27&gt;=MS$34,MR27&lt;&gt;""),AND(NK27&gt;=NO$34,NK27&lt;&gt;""),AND(NN27&gt;=NO$34,NN27&lt;&gt;"")),"National Team","")</f>
        <v/>
      </c>
      <c r="I27" s="116" t="str">
        <f>IF(AND(G27="Merit",H27="Merit"),"Merit",IF(AND(OR(G27="Merit",G27="Excellence"),OR(H27="Merit",H27="Excellence")),"Excellence",IF(AND(OR(G27="Merit",G27="Excellence",G27="Worlds Team"),OR(H27="Merit",H27="Excellence",H27="Worlds Team")),"Worlds Team",IF(AND(OR(G27="Merit",G27="Excellence",G27="Worlds Team",G27="National Team"),OR(H27="Merit",H27="Excellence",H27="Worlds Team",H27="National Team")),"National Team",IF(OR(H27="Merit",H27="Excellence",H27="Worlds Team",H27="National Team"),"No DD","")))))</f>
        <v/>
      </c>
      <c r="J27" s="3" t="str">
        <f>IF(AND(OR(AND(AV27&gt;=AY$35,AV27&lt;&gt;"",AP27=""),AND(BZ27&gt;=CC$35,BZ27&lt;&gt;"",BT27=""),AND(DD27&gt;=DG$35,DD27&lt;&gt;"",CX27=""),AND(ED27&gt;=EG$35,ED27&lt;&gt;""),AND(EZ27&gt;=FC$35,EZ27&lt;&gt;""),AND(FV27&gt;=FY$35,FV27&lt;&gt;""),AND(GR27&gt;=GU$35,GR27&lt;&gt;""),AND(HN27&gt;=HQ$35,HN27&lt;&gt;""),AND(IJ27&gt;=IM$35,IJ27&lt;&gt;""),AND(JF27&gt;=JI$35,JF27&lt;&gt;""),AND(KB27&gt;=KE$35,KB27&lt;&gt;""),AND(KX27&gt;=LA$35,KX27&lt;&gt;""),AND(LT27&gt;=LW$35,LT27&lt;&gt;""),AND(MP27&gt;=MS$35,MP27&lt;&gt;""),AND(NL27&gt;=NO$35,NL27&lt;&gt;"")),OR(G27="Worlds Team",G27="Excellence",G27="Merit")),"P","")</f>
        <v/>
      </c>
      <c r="K27" s="14">
        <f>IF(MAX(AV27,BZ27,DD27)&gt;0,MAX(AV27,BZ27,DD27),0)</f>
        <v>62.400000000000006</v>
      </c>
      <c r="L27" s="14" t="str">
        <f>IF(K27=0,"",IF(K27=DD27,$CD$1,IF(K27=BZ27,$AZ$1,IF(K27=AV27,$V$1,""))))</f>
        <v>2021 Canadian Championships</v>
      </c>
      <c r="M27" s="14">
        <f>IF($K27=$AV27,MAX(BU27,CY27),IF($K27=$BZ27,MAX(AQ27,CY27),IF($K27=$DD27,MAX(AQ27,BU27),MAX(AQ27,BU27,CY27))))</f>
        <v>0</v>
      </c>
      <c r="N27" s="14" t="str">
        <f>IF(M27=0,"",IF(AND(M27=CY27,$L27&lt;&gt;$CD$1),$CD$1,IF(AND(M27=BU27,$L27&lt;&gt;$AZ$1),$AZ$1,IF(AND(M27=AQ27,$L27&lt;&gt;$V$1),$V$1,""))))</f>
        <v/>
      </c>
      <c r="O27" s="14">
        <f>MAX(AS27,AU27,AX27,BW27,BY27,CB27,DA27,DC27,DF27)</f>
        <v>20.73</v>
      </c>
      <c r="P27" s="14" t="str">
        <f>IF(O27=0,"",IF(OR(O27=DC27,O27=DA27,O27=DF27),$CD$1,IF(OR(O27=BY27,O27=BW27,O27=CB27),$AZ$1,IF(OR(O27=AU27,O27=AS27,O27=AX27),$V$1,""))))</f>
        <v>2021 Canadian Championships</v>
      </c>
      <c r="Q27" s="14">
        <f>IF(COUNT(AS27,AU27,AX27,BW27,BY27,CB27,DA27,DC27,DF27)&gt;1,LARGE((AS27,AU27,AX27,BW27,BY27,CB27,DA27,DC27,DF27),2),0)</f>
        <v>0</v>
      </c>
      <c r="R27" s="14" t="str">
        <f>IF(Q27=0,"",IF(OR(Q27=DC27,Q27=DA27,Q27=DF27),$CD$1,IF(OR(Q27=BY27,Q27=BW27,Q27=CB27),$AZ$1,IF(OR(Q27=AU27,Q27=AS27,Q27=AX27),$V$1,""))))</f>
        <v/>
      </c>
      <c r="S27" s="14" t="str">
        <f>IF(MAX(DI27,DK27)&gt;0,MAX(DI27,DK27),"")</f>
        <v/>
      </c>
      <c r="T27" s="24" t="str">
        <f>IF(S27="","",IF(S27=DH27,"(Vol 1)",IF(S27=DI27,"(Vol 2)",IF(S27=DJ27,"(Prelim)",IF(S27=DK27,"(Final)")))))</f>
        <v/>
      </c>
      <c r="U27" s="14" t="str">
        <f>IF(S27="","",IF(S27=DH27,IF(S27+IF(M27="",0,M27)=NJ27,$MT$1,IF(S27+IF(M27="",0,M27)=MN27,$LX$1,IF(S27+IF(M27="",0,M27)=LR27,$LB$1,IF(S27+IF(M27="",0,M27)=KV27,$KF$1,IF(S27+IF(M27="",0,M27)=JZ27,$JJ$1,IF(S27+IF(M27="",0,M27)=JD27,$IN$1,IF(S27+IF(M27="",0,M27)=IH27,$HR$1,IF(S27+IF(M27="",0,M27)=HL27,$GV$1,IF(S27+IF(M27="",0,M27)=GP27,$FZ$1,IF(S27+IF(M27="",0,M27)=FT27,$FD$1,IF(S27+IF(M27="",0,M27)=EX27,$EH$1,IF(S27+IF(M27="",0,M27)=EB27,$DL$1)))))))))))),IF(S27=DI27,IF(S27+IF(O27="",0,O27)=NK27,$MT$1,IF(S27+IF(O27="",0,O27)=MO27,$LX$1,IF(S27+IF(O27="",0,O27)=LS27,$LB$1,IF(S27+IF(O27="",0,O27)=KW27,$KF$1,IF(S27+IF(O27="",0,O27)=KA27,$JJ$1,IF(S27+IF(O27="",0,O27)=JE27,$IN$1,IF(S27+IF(O27="",0,O27)=II27,$HR$1,IF(S27+IF(O27="",0,O27)=HM27,$GV$1,IF(S27+IF(O27="",0,O27)=GQ27,$FZ$1,IF(S27+IF(O27="",0,O27)=FU27,$FD$1,IF(S27+IF(O27="",0,O27)=EY27,$EH$1,IF(S27+IF(O27="",0,O27)=EC27,$DL$1)))))))))))),IF(S27=DJ27,IF(S27+IF(K27="",0,K27)=NL27,$MT$1,IF(S27+IF(K27="",0,K27)=MP27,$LX$1,IF(S27+IF(K27="",0,K27)=LT27,$LB$1,IF(S27+IF(K27="",0,K27)=KX27,$KF$1,IF(S27+IF(K27="",0,K27)=KB27,$JJ$1,IF(S27+IF(K27="",0,K27)=JF27,$IN$1,IF(S27+IF(K27="",0,K27)=IJ27,$HR$1,IF(S27+IF(K27="",0,K27)=HN27,$GV$1,IF(S27+IF(K27="",0,K27)=GR27,$FZ$1,IF(S27+IF(K27="",0,K27)=FV27,$FD$1,IF(S27+IF(K27="",0,K27)=EZ27,$EH$1,IF(S27+IF(K27="",0,K27)=ED27,$DL$1)))))))))))),IF(S27=DK27,IF(S27+IF(Q27="",0,Q27)=NN27,$MT$1,IF(S27+IF(Q27="",0,Q27)=MR27,$LX$1,IF(S27+IF(Q27="",0,Q27)=LV27,$LB$1,IF(S27+IF(Q27="",0,Q27)=KZ27,$KF$1,IF(S27+IF(Q27="",0,Q27)=KD27,$JJ$1,IF(S27+IF(Q27="",0,Q27)=JH27,$IN$1,IF(S27+IF(Q27="",0,Q27)=IL27,$HR$1,IF(S27+IF(Q27="",0,Q27)=HP27,$GV$1,IF(S27+IF(Q27="",0,Q27)=GT27,$FZ$1,IF(S27+IF(Q27="",0,Q27)=FX27,$FD$1,IF(S27+IF(Q27="",0,Q27)=FB27,$EH$1,IF(S27+IF(Q27="",0,Q27)=EF27,$DL$1)))))))))))))))))</f>
        <v/>
      </c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72"/>
      <c r="AQ27" s="11" t="str">
        <f>IF(SUM(V27:Y27)-Z27&gt;0,SUM(V27:Y27)-Z27,"")</f>
        <v/>
      </c>
      <c r="AR27" s="11" t="str">
        <f>IF(AC27&gt;0,AC27,"")</f>
        <v/>
      </c>
      <c r="AS27" s="11" t="str">
        <f>IF(SUM(AA27:AD27)-AE27&gt;0,SUM(AA27:AD27)-AE27,"")</f>
        <v/>
      </c>
      <c r="AT27" s="11" t="str">
        <f>IF(AH27&gt;0,AH27,"")</f>
        <v/>
      </c>
      <c r="AU27" s="11" t="str">
        <f>IF(SUM(AF27:AI27)-AJ27&gt;0,SUM(AF27:AI27)-AJ27,"")</f>
        <v/>
      </c>
      <c r="AV27" s="11" t="str">
        <f>IF(AQ27="",IF(MAX(AS27,AU27)&gt;0,MAX(AS27,AU27),""),MAX(AS27,AU27)+AQ27)</f>
        <v/>
      </c>
      <c r="AW27" s="11" t="str">
        <f>IF(AM27&gt;0,AM27,"")</f>
        <v/>
      </c>
      <c r="AX27" s="11" t="str">
        <f>IF(SUM(AK27:AN27)-AO27&gt;0,SUM(AK27:AN27)-AO27,"")</f>
        <v/>
      </c>
      <c r="AY27" s="11" t="str">
        <f>IF(SUM(AV27,AX27)&gt;0,SUM(AV27,AX27),"")</f>
        <v/>
      </c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73"/>
      <c r="BU27" s="14" t="str">
        <f>IF(SUM(AZ27:BC27)-BD27&gt;0,SUM(AZ27:BC27)-BD27,"")</f>
        <v/>
      </c>
      <c r="BV27" s="14" t="str">
        <f>IF(BG27&gt;0,BG27,"")</f>
        <v/>
      </c>
      <c r="BW27" s="14" t="str">
        <f>IF(SUM(BE27:BH27)-BI27&gt;0,SUM(BE27:BH27)-BI27,"")</f>
        <v/>
      </c>
      <c r="BX27" s="14" t="str">
        <f>IF(BL27&gt;0,BL27,"")</f>
        <v/>
      </c>
      <c r="BY27" s="14" t="str">
        <f>IF(SUM(BJ27:BM27)-BN27&gt;0,SUM(BJ27:BM27)-BN27,"")</f>
        <v/>
      </c>
      <c r="BZ27" s="14" t="str">
        <f>IF(BU27="",IF(MAX(BW27,BY27)&gt;0,MAX(BW27,BY27),""),MAX(BW27,BY27)+BU27)</f>
        <v/>
      </c>
      <c r="CA27" s="14" t="str">
        <f>IF(BQ27&gt;0,BQ27,"")</f>
        <v/>
      </c>
      <c r="CB27" s="14" t="str">
        <f>IF(SUM(BO27:BR27)-BS27&gt;0,SUM(BO27:BR27)-BS27,"")</f>
        <v/>
      </c>
      <c r="CC27" s="14" t="str">
        <f>IF(SUM(BZ27,CB27)&gt;0,SUM(BZ27,CB27),"")</f>
        <v/>
      </c>
      <c r="CD27" s="61">
        <v>15.2</v>
      </c>
      <c r="CE27" s="61">
        <v>9.1</v>
      </c>
      <c r="CF27" s="61">
        <v>2.1</v>
      </c>
      <c r="CG27" s="61">
        <v>15.27</v>
      </c>
      <c r="CH27" s="61">
        <v>0</v>
      </c>
      <c r="CI27" s="61">
        <v>5.8</v>
      </c>
      <c r="CJ27" s="61">
        <v>3.7</v>
      </c>
      <c r="CK27" s="61">
        <v>5.2</v>
      </c>
      <c r="CL27" s="61">
        <v>6.03</v>
      </c>
      <c r="CM27" s="61">
        <v>0</v>
      </c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72"/>
      <c r="CY27" s="11">
        <f>IF(SUM(CD27:CG27)-CH27&gt;0,SUM(CD27:CG27)-CH27,"")</f>
        <v>41.67</v>
      </c>
      <c r="CZ27" s="11">
        <f>IF(CK27&gt;0,CK27,"")</f>
        <v>5.2</v>
      </c>
      <c r="DA27" s="11">
        <f>IF(SUM(CI27:CL27)-CM27&gt;0,SUM(CI27:CL27)-CM27,"")</f>
        <v>20.73</v>
      </c>
      <c r="DB27" s="11" t="str">
        <f>IF(CP27&gt;0,CP27,"")</f>
        <v/>
      </c>
      <c r="DC27" s="11" t="str">
        <f>IF(SUM(CN27:CQ27)-CR27&gt;0,SUM(CN27:CQ27)-CR27,"")</f>
        <v/>
      </c>
      <c r="DD27" s="11">
        <f>IF(CY27="",IF(MAX(DA27,DC27)&gt;0,MAX(DA27,DC27),""),MAX(DA27,DC27)+CY27)</f>
        <v>62.400000000000006</v>
      </c>
      <c r="DE27" s="11" t="str">
        <f>IF(CU27&gt;0,CU27,"")</f>
        <v/>
      </c>
      <c r="DF27" s="11" t="str">
        <f>IF(SUM(CS27:CV27)-CW27&gt;0,SUM(CS27:CV27)-CW27,"")</f>
        <v/>
      </c>
      <c r="DG27" s="11">
        <f>IF(SUM(DD27,DF27)&gt;0,SUM(DD27,DF27),"")</f>
        <v>62.400000000000006</v>
      </c>
      <c r="DH27" s="23" t="str">
        <f>IF(MAX(EB27,EX27,FT27,GP27,HL27,IH27,JD27,JZ27,KV27,LR27,MN27,NJ27)-IF(M27="",0,M27)&gt;0.001,MAX(EB27,EX27,FT27,GP27,HL27,IH27,JD27,JZ27,KV27,LR27,MN27,NJ27)-IF(M27="",0,M27),"")</f>
        <v/>
      </c>
      <c r="DI27" s="23" t="str">
        <f>IF(MAX(EC27,EY27,FU27,GQ27,HM27,II27,JE27,KA27,KW27,LS27,MO27,NK27)-IF(O27="",0,O27)&gt;0.001,MAX(EC27,EY27,FU27,GQ27,HM27,II27,JE27,KA27,KW27,LS27,MO27,NK27)-IF(O27="",0,O27),"")</f>
        <v/>
      </c>
      <c r="DJ27" s="23" t="str">
        <f>IF(MAX(ED27,EZ27,FV27,GR27,HN27,IJ27,JF27,KB27,KX27,LT27,MP27,NL27)-IF(K27="",0,K27)&gt;0.001,MAX(ED27,EZ27,FV27,GR27,HN27,IJ27,JF27,KB27,KX27,LT27,MP27,NL27)-IF(K27="",0,K27),"")</f>
        <v/>
      </c>
      <c r="DK27" s="23" t="str">
        <f>IF(MAX(EF27,FB27,FX27,GT27,HP27,IL27,JH27,KD27,KZ27,LV27,MR27,NN27)-IF(Q27="",0,Q27)&gt;0.001,MAX(EF27,FB27,FX27,GT27,HP27,IL27,JH27,KD27,KZ27,LV27,MR27,NN27)-IF(Q27="",0,Q27),"")</f>
        <v/>
      </c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11" t="str">
        <f>IF(DS27&gt;0,DS27,"")</f>
        <v/>
      </c>
      <c r="EB27" s="11" t="str">
        <f>IF(SUM(DL27:DO27)-DP27&gt;0,SUM(DL27:DO27)-DP27,"")</f>
        <v/>
      </c>
      <c r="EC27" s="11" t="str">
        <f>IF(SUM(DQ27:DT27)-DU27&gt;0,SUM(DQ27:DT27)-DU27,"")</f>
        <v/>
      </c>
      <c r="ED27" s="11" t="str">
        <f>IF(SUM(EB27:EC27)&gt;0,SUM(EB27:EC27),"")</f>
        <v/>
      </c>
      <c r="EE27" s="11" t="str">
        <f>IF(DX27&gt;0,DX27,"")</f>
        <v/>
      </c>
      <c r="EF27" s="11" t="str">
        <f>IF(SUM(DV27:DY27)-DZ27&gt;0,SUM(DV27:DY27)-DZ27,"")</f>
        <v/>
      </c>
      <c r="EG27" s="11" t="str">
        <f>IF(SUM(ED27,EF27)&gt;0,SUM(ED27,EF27),"")</f>
        <v/>
      </c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14" t="str">
        <f>IF(EO27&gt;0,EO27,"")</f>
        <v/>
      </c>
      <c r="EX27" s="14" t="str">
        <f>IF(SUM(EH27:EK27)-EL27&gt;0,SUM(EH27:EK27)-EL27,"")</f>
        <v/>
      </c>
      <c r="EY27" s="14" t="str">
        <f>IF(SUM(EM27:EP27)-EQ27&gt;0,SUM(EM27:EP27)-EQ27,"")</f>
        <v/>
      </c>
      <c r="EZ27" s="14" t="str">
        <f>IF(SUM(EX27:EY27)&gt;0,SUM(EX27:EY27),"")</f>
        <v/>
      </c>
      <c r="FA27" s="14" t="str">
        <f>IF(ET27&gt;0,ET27,"")</f>
        <v/>
      </c>
      <c r="FB27" s="14" t="str">
        <f>IF(SUM(ER27:EU27)-EV27&gt;0,SUM(ER27:EU27)-EV27,"")</f>
        <v/>
      </c>
      <c r="FC27" s="14" t="str">
        <f>IF(SUM(EZ27,FB27)&gt;0,SUM(EZ27,FB27),"")</f>
        <v/>
      </c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11" t="str">
        <f>IF(FK27&gt;0,FK27,"")</f>
        <v/>
      </c>
      <c r="FT27" s="11" t="str">
        <f>IF(SUM(FD27:FG27)-FH27&gt;0,SUM(FD27:FG27)-FH27,"")</f>
        <v/>
      </c>
      <c r="FU27" s="11" t="str">
        <f>IF(SUM(FI27:FL27)-FM27&gt;0,SUM(FI27:FL27)-FM27,"")</f>
        <v/>
      </c>
      <c r="FV27" s="11" t="str">
        <f>IF(SUM(FT27:FU27)&gt;0,SUM(FT27:FU27),"")</f>
        <v/>
      </c>
      <c r="FW27" s="11" t="str">
        <f>IF(FP27&gt;0,FP27,"")</f>
        <v/>
      </c>
      <c r="FX27" s="11" t="str">
        <f>IF(SUM(FN27:FQ27)-FR27&gt;0,SUM(FN27:FQ27)-FR27,"")</f>
        <v/>
      </c>
      <c r="FY27" s="11" t="str">
        <f>IF(SUM(FV27,FX27)&gt;0,SUM(FV27,FX27),"")</f>
        <v/>
      </c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14" t="str">
        <f>IF(GG27&gt;0,GG27,"")</f>
        <v/>
      </c>
      <c r="GP27" s="14" t="str">
        <f>IF(SUM(FZ27:GC27)-GD27&gt;0,SUM(FZ27:GC27)-GD27,"")</f>
        <v/>
      </c>
      <c r="GQ27" s="14" t="str">
        <f>IF(SUM(GE27:GH27)-GI27&gt;0,SUM(GE27:GH27)-GI27,"")</f>
        <v/>
      </c>
      <c r="GR27" s="14" t="str">
        <f>IF(SUM(GP27:GQ27)&gt;0,SUM(GP27:GQ27),"")</f>
        <v/>
      </c>
      <c r="GS27" s="14" t="str">
        <f>IF(GL27&gt;0,GL27,"")</f>
        <v/>
      </c>
      <c r="GT27" s="14" t="str">
        <f>IF(SUM(GJ27:GM27)-GN27&gt;0,SUM(GJ27:GM27)-GN27,"")</f>
        <v/>
      </c>
      <c r="GU27" s="14" t="str">
        <f>IF(SUM(GR27,GT27)&gt;0,SUM(GR27,GT27),"")</f>
        <v/>
      </c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11" t="str">
        <f>IF(HC27&gt;0,HC27,"")</f>
        <v/>
      </c>
      <c r="HL27" s="11" t="str">
        <f>IF(SUM(GV27:GY27)-GZ27&gt;0,SUM(GV27:GY27)-GZ27,"")</f>
        <v/>
      </c>
      <c r="HM27" s="11" t="str">
        <f>IF(SUM(HA27:HD27)-HE27&gt;0,SUM(HA27:HD27)-HE27,"")</f>
        <v/>
      </c>
      <c r="HN27" s="11" t="str">
        <f>IF(SUM(HL27:HM27)&gt;0,SUM(HL27:HM27),"")</f>
        <v/>
      </c>
      <c r="HO27" s="11" t="str">
        <f>IF(HH27&gt;0,HH27,"")</f>
        <v/>
      </c>
      <c r="HP27" s="11" t="str">
        <f>IF(SUM(HF27:HI27)-HJ27&gt;0,SUM(HF27:HI27)-HJ27,"")</f>
        <v/>
      </c>
      <c r="HQ27" s="11" t="str">
        <f>IF(SUM(HN27,HP27)&gt;0,SUM(HN27,HP27),"")</f>
        <v/>
      </c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14" t="str">
        <f>IF(HY27&gt;0,HY27,"")</f>
        <v/>
      </c>
      <c r="IH27" s="14" t="str">
        <f>IF(SUM(HR27:HU27)-HV27&gt;0,SUM(HR27:HU27)-HV27,"")</f>
        <v/>
      </c>
      <c r="II27" s="14" t="str">
        <f>IF(SUM(HW27:HZ27)-IA27&gt;0,SUM(HW27:HZ27)-IA27,"")</f>
        <v/>
      </c>
      <c r="IJ27" s="14" t="str">
        <f>IF(SUM(IH27:II27)&gt;0,SUM(IH27:II27),"")</f>
        <v/>
      </c>
      <c r="IK27" s="14" t="str">
        <f>IF(ID27&gt;0,ID27,"")</f>
        <v/>
      </c>
      <c r="IL27" s="14" t="str">
        <f>IF(SUM(IB27:IE27)-IF27&gt;0,SUM(IB27:IE27)-IF27,"")</f>
        <v/>
      </c>
      <c r="IM27" s="14" t="str">
        <f>IF(SUM(IJ27,IL27)&gt;0,SUM(IJ27,IL27),"")</f>
        <v/>
      </c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11" t="str">
        <f>IF(IU27&gt;0,IU27,"")</f>
        <v/>
      </c>
      <c r="JD27" s="11" t="str">
        <f>IF(SUM(IN27:IQ27)-IR27&gt;0,SUM(IN27:IQ27)-IR27,"")</f>
        <v/>
      </c>
      <c r="JE27" s="11" t="str">
        <f>IF(SUM(IS27:IV27)-IW27&gt;0,SUM(IS27:IV27)-IW27,"")</f>
        <v/>
      </c>
      <c r="JF27" s="11" t="str">
        <f>IF(SUM(JD27:JE27)&gt;0,SUM(JD27:JE27),"")</f>
        <v/>
      </c>
      <c r="JG27" s="11" t="str">
        <f>IF(IZ27&gt;0,IZ27,"")</f>
        <v/>
      </c>
      <c r="JH27" s="11" t="str">
        <f>IF(SUM(IX27:JA27)-JB27&gt;0,SUM(IX27:JA27)-JB27,"")</f>
        <v/>
      </c>
      <c r="JI27" s="11" t="str">
        <f>IF(SUM(JF27,JH27)&gt;0,SUM(JF27,JH27),"")</f>
        <v/>
      </c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14" t="str">
        <f>IF(JQ27&gt;0,JQ27,"")</f>
        <v/>
      </c>
      <c r="JZ27" s="14" t="str">
        <f>IF(SUM(JJ27:JM27)-JN27&gt;0,SUM(JJ27:JM27)-JN27,"")</f>
        <v/>
      </c>
      <c r="KA27" s="14" t="str">
        <f>IF(SUM(JO27:JR27)-JS27&gt;0,SUM(JO27:JR27)-JS27,"")</f>
        <v/>
      </c>
      <c r="KB27" s="14" t="str">
        <f>IF(SUM(JZ27:KA27)&gt;0,SUM(JZ27:KA27),"")</f>
        <v/>
      </c>
      <c r="KC27" s="14" t="str">
        <f>IF(JV27&gt;0,JV27,"")</f>
        <v/>
      </c>
      <c r="KD27" s="14" t="str">
        <f>IF(SUM(JT27:JW27)-JX27&gt;0,SUM(JT27:JW27)-JX27,"")</f>
        <v/>
      </c>
      <c r="KE27" s="14" t="str">
        <f>IF(SUM(KB27,KD27)&gt;0,SUM(KB27,KD27),"")</f>
        <v/>
      </c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11" t="str">
        <f>IF(KM27&gt;0,KM27,"")</f>
        <v/>
      </c>
      <c r="KV27" s="11" t="str">
        <f>IF(SUM(KF27:KI27)-KJ27&gt;0,SUM(KF27:KI27)-KJ27,"")</f>
        <v/>
      </c>
      <c r="KW27" s="11" t="str">
        <f>IF(SUM(KK27:KN27)-KO27&gt;0,SUM(KK27:KN27)-KO27,"")</f>
        <v/>
      </c>
      <c r="KX27" s="11" t="str">
        <f>IF(SUM(KV27:KW27)&gt;0,SUM(KV27:KW27),"")</f>
        <v/>
      </c>
      <c r="KY27" s="11" t="str">
        <f>IF(KR27&gt;0,KR27,"")</f>
        <v/>
      </c>
      <c r="KZ27" s="11" t="str">
        <f>IF(SUM(KP27:KS27)-KT27&gt;0,SUM(KP27:KS27)-KT27,"")</f>
        <v/>
      </c>
      <c r="LA27" s="11" t="str">
        <f>IF(SUM(KX27,KZ27)&gt;0,SUM(KX27,KZ27),"")</f>
        <v/>
      </c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14" t="str">
        <f>IF(LI27&gt;0,LI27,"")</f>
        <v/>
      </c>
      <c r="LR27" s="14" t="str">
        <f>IF(SUM(LB27:LE27)-LF27&gt;0,SUM(LB27:LE27)-LF27,"")</f>
        <v/>
      </c>
      <c r="LS27" s="14" t="str">
        <f>IF(SUM(LG27:LJ27)-LK27&gt;0,SUM(LG27:LJ27)-LK27,"")</f>
        <v/>
      </c>
      <c r="LT27" s="14" t="str">
        <f>IF(SUM(LR27:LS27)&gt;0,SUM(LR27:LS27),"")</f>
        <v/>
      </c>
      <c r="LU27" s="14" t="str">
        <f>IF(LN27&gt;0,LN27,"")</f>
        <v/>
      </c>
      <c r="LV27" s="14" t="str">
        <f>IF(SUM(LL27:LO27)-LP27&gt;0,SUM(LL27:LO27)-LP27,"")</f>
        <v/>
      </c>
      <c r="LW27" s="14" t="str">
        <f>IF(SUM(LT27,LV27)&gt;0,SUM(LT27,LV27),"")</f>
        <v/>
      </c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11" t="str">
        <f>IF(ME27&gt;0,ME27,"")</f>
        <v/>
      </c>
      <c r="MN27" s="11" t="str">
        <f>IF(SUM(LX27:MA27)-MB27&gt;0,SUM(LX27:MA27)-MB27,"")</f>
        <v/>
      </c>
      <c r="MO27" s="11" t="str">
        <f>IF(SUM(MC27:MF27)-MG27&gt;0,SUM(MC27:MF27)-MG27,"")</f>
        <v/>
      </c>
      <c r="MP27" s="11" t="str">
        <f>IF(SUM(MN27:MO27)&gt;0,SUM(MN27:MO27),"")</f>
        <v/>
      </c>
      <c r="MQ27" s="11" t="str">
        <f>IF(MJ27&gt;0,MJ27,"")</f>
        <v/>
      </c>
      <c r="MR27" s="11" t="str">
        <f>IF(SUM(MH27:MK27)-ML27&gt;0,SUM(MH27:MK27)-ML27,"")</f>
        <v/>
      </c>
      <c r="MS27" s="11" t="str">
        <f>IF(SUM(MP27,MR27)&gt;0,SUM(MP27,MR27),"")</f>
        <v/>
      </c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14" t="str">
        <f>IF(NA27&gt;0,NA27,"")</f>
        <v/>
      </c>
      <c r="NJ27" s="14" t="str">
        <f>IF(SUM(MT27:MW27)-MX27&gt;0,SUM(MT27:MW27)-MX27,"")</f>
        <v/>
      </c>
      <c r="NK27" s="14" t="str">
        <f>IF(SUM(MY27:NB27)-NC27&gt;0,SUM(MY27:NB27)-NC27,"")</f>
        <v/>
      </c>
      <c r="NL27" s="14" t="str">
        <f>IF(SUM(NJ27:NK27)&gt;0,SUM(NJ27:NK27),"")</f>
        <v/>
      </c>
      <c r="NM27" s="14" t="str">
        <f>IF(NF27&gt;0,NF27,"")</f>
        <v/>
      </c>
      <c r="NN27" s="14" t="str">
        <f>IF(SUM(ND27:NG27)-NH27&gt;0,SUM(ND27:NG27)-NH27,"")</f>
        <v/>
      </c>
      <c r="NO27" s="14" t="str">
        <f>IF(SUM(NL27,NN27)&gt;0,SUM(NL27,NN27),"")</f>
        <v/>
      </c>
      <c r="NP27" s="61">
        <f>IF($CX27="P",CD27,(CD27+AZ27)/2)</f>
        <v>7.6</v>
      </c>
      <c r="NQ27" s="61">
        <f>IF($CX27="P",CE27,(CE27+BA27)/2)</f>
        <v>4.55</v>
      </c>
      <c r="NR27" s="61">
        <f>IF($CX27="P",CF27,(CF27+BB27)/2)</f>
        <v>1.05</v>
      </c>
      <c r="NS27" s="61">
        <f>IF($CX27="P",CG27,(CG27+BC27)/2)</f>
        <v>7.6349999999999998</v>
      </c>
      <c r="NT27" s="61">
        <f>IF($CX27="P",CH27,(CH27+BD27)/2)</f>
        <v>0</v>
      </c>
      <c r="NU27" s="61">
        <f>IF($CX27="P",CI27,(CI27+BE27)/2)</f>
        <v>2.9</v>
      </c>
      <c r="NV27" s="61">
        <f>IF($CX27="P",CJ27,(CJ27+BF27)/2)</f>
        <v>1.85</v>
      </c>
      <c r="NW27" s="61">
        <f>IF($CX27="P",CK27,(CK27+BG27)/2)</f>
        <v>2.6</v>
      </c>
      <c r="NX27" s="61">
        <f>IF($CX27="P",CL27,(CL27+BH27)/2)</f>
        <v>3.0150000000000001</v>
      </c>
      <c r="NY27" s="61">
        <f>IF($CX27="P",CM27,(CM27+BI27)/2)</f>
        <v>0</v>
      </c>
      <c r="NZ27" s="61">
        <f>IF($CX27="P",CN27,(CN27+BJ27)/2)</f>
        <v>0</v>
      </c>
      <c r="OA27" s="61">
        <f>IF($CX27="P",CO27,(CO27+BK27)/2)</f>
        <v>0</v>
      </c>
      <c r="OB27" s="61">
        <f>IF($CX27="P",CP27,(CP27+BL27)/2)</f>
        <v>0</v>
      </c>
      <c r="OC27" s="61">
        <f>IF($CX27="P",CQ27,(CQ27+BM27)/2)</f>
        <v>0</v>
      </c>
      <c r="OD27" s="61">
        <f>IF($CX27="P",CR27,(CR27+BN27)/2)</f>
        <v>0</v>
      </c>
      <c r="OE27" s="61">
        <f>IF($CX27="P",CS27,(CS27+BO27)/2)</f>
        <v>0</v>
      </c>
      <c r="OF27" s="61">
        <f>IF($CX27="P",CT27,(CT27+BP27)/2)</f>
        <v>0</v>
      </c>
      <c r="OG27" s="61">
        <f>IF($CX27="P",CU27,(CU27+BQ27)/2)</f>
        <v>0</v>
      </c>
      <c r="OH27" s="61">
        <f>IF($CX27="P",CV27,(CV27+BR27)/2)</f>
        <v>0</v>
      </c>
      <c r="OI27" s="61">
        <f>IF($CX27="P",CW27,(CW27+BS27)/2)</f>
        <v>0</v>
      </c>
      <c r="OJ27" s="72" t="s">
        <v>52</v>
      </c>
      <c r="OK27" s="11">
        <f>IF(SUM(NP27:NS27)-NT27&gt;0,SUM(NP27:NS27)-NT27,"")</f>
        <v>20.835000000000001</v>
      </c>
      <c r="OL27" s="11">
        <f>IF(NW27&gt;0,NW27,"")</f>
        <v>2.6</v>
      </c>
      <c r="OM27" s="11">
        <f>IF(SUM(NU27:NX27)-NY27&gt;0,SUM(NU27:NX27)-NY27,"")</f>
        <v>10.365</v>
      </c>
      <c r="ON27" s="11" t="str">
        <f>IF(OB27&gt;0,OB27,"")</f>
        <v/>
      </c>
      <c r="OO27" s="11" t="str">
        <f>IF(SUM(NZ27:OC27)-OD27&gt;0,SUM(NZ27:OC27)-OD27,"")</f>
        <v/>
      </c>
      <c r="OP27" s="11">
        <f>IF(OR(OK27&lt;&gt;"",OM27&lt;&gt;"",OO27&lt;&gt;""),OK27+MAX(OM27,OO27),"")</f>
        <v>31.200000000000003</v>
      </c>
      <c r="OQ27" s="11" t="str">
        <f>IF(OG27&gt;0,OG27,"")</f>
        <v/>
      </c>
      <c r="OR27" s="11" t="str">
        <f t="shared" ref="OR27" si="36">IF(SUM(OE27:OH27)-OI27&gt;0,SUM(OE27:OH27)-OI27,"")</f>
        <v/>
      </c>
      <c r="OS27" s="11">
        <f t="shared" ref="OS27" si="37">IF(SUM(OP27,OR27)&gt;0,SUM(OP27,OR27),"")</f>
        <v>31.200000000000003</v>
      </c>
    </row>
    <row r="28" spans="1:409" x14ac:dyDescent="0.2">
      <c r="B28" s="6"/>
      <c r="D28" s="1"/>
    </row>
    <row r="29" spans="1:409" x14ac:dyDescent="0.2">
      <c r="H29" s="115"/>
      <c r="J29" s="115"/>
    </row>
    <row r="30" spans="1:409" x14ac:dyDescent="0.2">
      <c r="B30" s="62" t="s">
        <v>50</v>
      </c>
      <c r="C30" s="49"/>
      <c r="H30" s="3"/>
      <c r="AR30" s="114"/>
      <c r="AS30" s="114"/>
      <c r="AT30" s="114"/>
      <c r="AW30" s="47"/>
      <c r="AY30" s="56">
        <v>11.2</v>
      </c>
      <c r="BV30" s="114"/>
      <c r="BW30" s="114"/>
      <c r="BX30" s="114"/>
      <c r="CA30" s="47"/>
      <c r="CC30" s="56">
        <v>11.2</v>
      </c>
      <c r="CZ30" s="114"/>
      <c r="DA30" s="114"/>
      <c r="DB30" s="114"/>
      <c r="DE30" s="47"/>
      <c r="DG30" s="56">
        <v>11.2</v>
      </c>
      <c r="EA30" s="49"/>
      <c r="EE30" s="47"/>
      <c r="EG30" s="56">
        <v>11.2</v>
      </c>
      <c r="EW30" s="49"/>
      <c r="FA30" s="47"/>
      <c r="FC30" s="56">
        <v>11.2</v>
      </c>
      <c r="FS30" s="49"/>
      <c r="FW30" s="47"/>
      <c r="FY30" s="56">
        <v>11.2</v>
      </c>
      <c r="GO30" s="49"/>
      <c r="GS30" s="47"/>
      <c r="GU30" s="56">
        <v>11.2</v>
      </c>
      <c r="HK30" s="49"/>
      <c r="HO30" s="47"/>
      <c r="HQ30" s="56">
        <v>11.2</v>
      </c>
      <c r="IG30" s="49"/>
      <c r="IK30" s="47"/>
      <c r="IM30" s="56">
        <v>11.2</v>
      </c>
      <c r="JC30" s="49"/>
      <c r="JG30" s="47"/>
      <c r="JI30" s="56">
        <v>11.2</v>
      </c>
      <c r="JY30" s="49"/>
      <c r="KC30" s="47"/>
      <c r="KE30" s="56">
        <v>11.2</v>
      </c>
      <c r="KU30" s="49"/>
      <c r="KY30" s="47"/>
      <c r="LA30" s="56">
        <v>11.2</v>
      </c>
      <c r="LQ30" s="49"/>
      <c r="LU30" s="47"/>
      <c r="LW30" s="56">
        <v>11.2</v>
      </c>
      <c r="MM30" s="49"/>
      <c r="MQ30" s="47"/>
      <c r="MS30" s="56">
        <v>11.2</v>
      </c>
      <c r="NI30" s="49"/>
      <c r="NM30" s="47"/>
      <c r="NO30" s="56">
        <v>11.2</v>
      </c>
    </row>
    <row r="31" spans="1:409" hidden="1" x14ac:dyDescent="0.2">
      <c r="B31" s="83" t="s">
        <v>49</v>
      </c>
      <c r="C31" s="49"/>
      <c r="AR31" s="114"/>
      <c r="AS31" s="114"/>
      <c r="AT31" s="114"/>
      <c r="AW31" s="47"/>
      <c r="AY31" s="98">
        <v>1000</v>
      </c>
      <c r="BV31" s="114"/>
      <c r="BW31" s="114"/>
      <c r="BX31" s="114"/>
      <c r="CA31" s="47"/>
      <c r="CC31" s="98">
        <v>1000</v>
      </c>
      <c r="CZ31" s="114"/>
      <c r="DA31" s="114"/>
      <c r="DB31" s="114"/>
      <c r="DE31" s="47"/>
      <c r="DG31" s="98">
        <v>1000</v>
      </c>
      <c r="EA31" s="49"/>
      <c r="EE31" s="47"/>
      <c r="EG31" s="98">
        <v>1000</v>
      </c>
      <c r="EW31" s="49"/>
      <c r="FA31" s="47"/>
      <c r="FC31" s="98">
        <v>1000</v>
      </c>
      <c r="FS31" s="49"/>
      <c r="FW31" s="47"/>
      <c r="FY31" s="98">
        <v>1000</v>
      </c>
      <c r="GO31" s="49"/>
      <c r="GS31" s="47"/>
      <c r="GU31" s="98">
        <v>1000</v>
      </c>
      <c r="HK31" s="49"/>
      <c r="HO31" s="47"/>
      <c r="HQ31" s="98">
        <v>1000</v>
      </c>
      <c r="IG31" s="49"/>
      <c r="IK31" s="47"/>
      <c r="IM31" s="98">
        <v>1000</v>
      </c>
      <c r="JC31" s="49"/>
      <c r="JG31" s="47"/>
      <c r="JI31" s="98">
        <v>1000</v>
      </c>
      <c r="JY31" s="49"/>
      <c r="KC31" s="47"/>
      <c r="KE31" s="98">
        <v>1000</v>
      </c>
      <c r="KU31" s="49"/>
      <c r="KY31" s="47"/>
      <c r="LA31" s="98">
        <v>1000</v>
      </c>
      <c r="LQ31" s="49"/>
      <c r="LU31" s="47"/>
      <c r="LW31" s="98">
        <v>1000</v>
      </c>
      <c r="MM31" s="49"/>
      <c r="MQ31" s="47"/>
      <c r="MS31" s="98">
        <v>1000</v>
      </c>
      <c r="NI31" s="49"/>
      <c r="NM31" s="47"/>
      <c r="NO31" s="98">
        <v>1000</v>
      </c>
    </row>
    <row r="32" spans="1:409" hidden="1" x14ac:dyDescent="0.2">
      <c r="A32" s="49"/>
      <c r="B32" s="84" t="s">
        <v>62</v>
      </c>
      <c r="C32" s="49"/>
      <c r="AR32" s="114"/>
      <c r="AS32" s="114"/>
      <c r="AT32" s="114"/>
      <c r="AV32" s="47"/>
      <c r="AW32" s="47"/>
      <c r="AX32" s="47"/>
      <c r="AY32" s="86">
        <v>1000</v>
      </c>
      <c r="BV32" s="114"/>
      <c r="BW32" s="114"/>
      <c r="BX32" s="114"/>
      <c r="CA32" s="47"/>
      <c r="CC32" s="86">
        <v>1000</v>
      </c>
      <c r="CZ32" s="114"/>
      <c r="DA32" s="114"/>
      <c r="DB32" s="114"/>
      <c r="DD32" s="47"/>
      <c r="DE32" s="47"/>
      <c r="DF32" s="47"/>
      <c r="DG32" s="86">
        <v>1000</v>
      </c>
      <c r="EA32" s="49"/>
      <c r="EE32" s="47"/>
      <c r="EG32" s="86">
        <v>1000</v>
      </c>
      <c r="EW32" s="49"/>
      <c r="FA32" s="47"/>
      <c r="FC32" s="86">
        <v>1000</v>
      </c>
      <c r="FS32" s="49"/>
      <c r="FW32" s="47"/>
      <c r="FY32" s="86">
        <v>1000</v>
      </c>
      <c r="GO32" s="49"/>
      <c r="GS32" s="47"/>
      <c r="GU32" s="86">
        <v>1000</v>
      </c>
      <c r="HK32" s="49"/>
      <c r="HO32" s="47"/>
      <c r="HQ32" s="86">
        <v>1000</v>
      </c>
      <c r="IG32" s="49"/>
      <c r="IK32" s="47"/>
      <c r="IM32" s="86">
        <v>1000</v>
      </c>
      <c r="JC32" s="49"/>
      <c r="JG32" s="47"/>
      <c r="JI32" s="86">
        <v>1000</v>
      </c>
      <c r="JY32" s="49"/>
      <c r="KC32" s="47"/>
      <c r="KE32" s="86">
        <v>1000</v>
      </c>
      <c r="KU32" s="49"/>
      <c r="KY32" s="47"/>
      <c r="LA32" s="86">
        <v>1000</v>
      </c>
      <c r="LQ32" s="49"/>
      <c r="LU32" s="47"/>
      <c r="LW32" s="86">
        <v>1000</v>
      </c>
      <c r="MM32" s="49"/>
      <c r="MQ32" s="47"/>
      <c r="MS32" s="86">
        <v>1000</v>
      </c>
      <c r="NI32" s="49"/>
      <c r="NM32" s="47"/>
      <c r="NO32" s="86">
        <v>1000</v>
      </c>
    </row>
    <row r="33" spans="1:379" hidden="1" x14ac:dyDescent="0.2">
      <c r="A33" s="49"/>
      <c r="B33" s="110" t="s">
        <v>69</v>
      </c>
      <c r="C33" s="49"/>
      <c r="AR33" s="114"/>
      <c r="AS33" s="114"/>
      <c r="AT33" s="114"/>
      <c r="AV33" s="47"/>
      <c r="AW33" s="47"/>
      <c r="AX33" s="47"/>
      <c r="AY33" s="111">
        <v>1000</v>
      </c>
      <c r="BV33" s="114"/>
      <c r="BW33" s="114"/>
      <c r="BX33" s="114"/>
      <c r="CA33" s="47"/>
      <c r="CC33" s="111">
        <v>1000</v>
      </c>
      <c r="CZ33" s="114"/>
      <c r="DA33" s="114"/>
      <c r="DB33" s="114"/>
      <c r="DD33" s="47"/>
      <c r="DE33" s="47"/>
      <c r="DF33" s="47"/>
      <c r="DG33" s="111">
        <v>1000</v>
      </c>
      <c r="EA33" s="49"/>
      <c r="EE33" s="47"/>
      <c r="EG33" s="111">
        <v>1000</v>
      </c>
      <c r="EW33" s="49"/>
      <c r="FA33" s="47"/>
      <c r="FC33" s="111">
        <v>1000</v>
      </c>
      <c r="FS33" s="49"/>
      <c r="FW33" s="47"/>
      <c r="FY33" s="111">
        <v>1000</v>
      </c>
      <c r="GO33" s="49"/>
      <c r="GS33" s="47"/>
      <c r="GU33" s="111">
        <v>1000</v>
      </c>
      <c r="HK33" s="49"/>
      <c r="HO33" s="47"/>
      <c r="HQ33" s="111">
        <v>1000</v>
      </c>
      <c r="IG33" s="49"/>
      <c r="IK33" s="47"/>
      <c r="IM33" s="111">
        <v>1000</v>
      </c>
      <c r="JC33" s="49"/>
      <c r="JG33" s="47"/>
      <c r="JI33" s="111">
        <v>1000</v>
      </c>
      <c r="JY33" s="49"/>
      <c r="KC33" s="47"/>
      <c r="KE33" s="111">
        <v>1000</v>
      </c>
      <c r="KU33" s="49"/>
      <c r="KY33" s="47"/>
      <c r="LA33" s="111">
        <v>1000</v>
      </c>
      <c r="LQ33" s="49"/>
      <c r="LU33" s="47"/>
      <c r="LW33" s="111">
        <v>1000</v>
      </c>
      <c r="MM33" s="49"/>
      <c r="MQ33" s="47"/>
      <c r="MS33" s="111">
        <v>1000</v>
      </c>
      <c r="NI33" s="49"/>
      <c r="NM33" s="47"/>
      <c r="NO33" s="111">
        <v>1000</v>
      </c>
    </row>
    <row r="34" spans="1:379" x14ac:dyDescent="0.2">
      <c r="A34" s="49"/>
      <c r="B34" s="108" t="s">
        <v>47</v>
      </c>
      <c r="C34" s="49"/>
      <c r="O34" s="2"/>
      <c r="AR34" s="114"/>
      <c r="AS34" s="114"/>
      <c r="AT34" s="114"/>
      <c r="AV34" s="47"/>
      <c r="AW34" s="47"/>
      <c r="AX34" s="47"/>
      <c r="AY34" s="109">
        <v>48.3</v>
      </c>
      <c r="BV34" s="114"/>
      <c r="BW34" s="114"/>
      <c r="BX34" s="114"/>
      <c r="CA34" s="47"/>
      <c r="CC34" s="109">
        <v>48.3</v>
      </c>
      <c r="CZ34" s="114"/>
      <c r="DA34" s="114"/>
      <c r="DB34" s="114"/>
      <c r="DD34" s="47"/>
      <c r="DE34" s="47"/>
      <c r="DF34" s="47"/>
      <c r="DG34" s="109">
        <v>48.3</v>
      </c>
      <c r="EA34" s="49"/>
      <c r="EE34" s="47"/>
      <c r="EG34" s="109">
        <v>48.3</v>
      </c>
      <c r="EW34" s="49"/>
      <c r="FA34" s="47"/>
      <c r="FC34" s="109">
        <v>48.3</v>
      </c>
      <c r="FS34" s="49"/>
      <c r="FW34" s="47"/>
      <c r="FY34" s="109">
        <v>48.3</v>
      </c>
      <c r="GO34" s="49"/>
      <c r="GS34" s="47"/>
      <c r="GU34" s="109">
        <v>48.3</v>
      </c>
      <c r="HK34" s="49"/>
      <c r="HO34" s="47"/>
      <c r="HQ34" s="109">
        <v>48.3</v>
      </c>
      <c r="IG34" s="49"/>
      <c r="IK34" s="47"/>
      <c r="IM34" s="109">
        <v>48.3</v>
      </c>
      <c r="JC34" s="49"/>
      <c r="JG34" s="47"/>
      <c r="JI34" s="109">
        <v>48.3</v>
      </c>
      <c r="JY34" s="49"/>
      <c r="KC34" s="47"/>
      <c r="KE34" s="109">
        <v>48.3</v>
      </c>
      <c r="KU34" s="49"/>
      <c r="KY34" s="47"/>
      <c r="LA34" s="109">
        <v>48.3</v>
      </c>
      <c r="LQ34" s="49"/>
      <c r="LU34" s="47"/>
      <c r="LW34" s="109">
        <v>48.3</v>
      </c>
      <c r="MM34" s="49"/>
      <c r="MQ34" s="47"/>
      <c r="MS34" s="109">
        <v>48.3</v>
      </c>
      <c r="NI34" s="49"/>
      <c r="NM34" s="47"/>
      <c r="NO34" s="109">
        <v>48.3</v>
      </c>
    </row>
    <row r="35" spans="1:379" hidden="1" x14ac:dyDescent="0.2">
      <c r="A35" s="49"/>
      <c r="B35" s="64" t="s">
        <v>48</v>
      </c>
      <c r="C35" s="49"/>
      <c r="O35" s="2"/>
      <c r="AR35" s="114"/>
      <c r="AS35" s="114"/>
      <c r="AT35" s="114"/>
      <c r="AV35" s="47"/>
      <c r="AW35" s="47"/>
      <c r="AX35" s="47"/>
      <c r="AY35" s="58">
        <v>1000</v>
      </c>
      <c r="BV35" s="114"/>
      <c r="BW35" s="114"/>
      <c r="BX35" s="114"/>
      <c r="CA35" s="47"/>
      <c r="CC35" s="58">
        <v>1000</v>
      </c>
      <c r="CZ35" s="114"/>
      <c r="DA35" s="114"/>
      <c r="DB35" s="114"/>
      <c r="DD35" s="47"/>
      <c r="DE35" s="47"/>
      <c r="DF35" s="47"/>
      <c r="DG35" s="58">
        <v>1000</v>
      </c>
      <c r="EA35" s="49"/>
      <c r="EE35" s="47"/>
      <c r="EG35" s="58">
        <v>1000</v>
      </c>
      <c r="EW35" s="49"/>
      <c r="FA35" s="47"/>
      <c r="FC35" s="58">
        <v>1000</v>
      </c>
      <c r="FS35" s="49"/>
      <c r="FW35" s="47"/>
      <c r="FY35" s="58">
        <v>1000</v>
      </c>
      <c r="GO35" s="49"/>
      <c r="GS35" s="47"/>
      <c r="GU35" s="58">
        <v>1000</v>
      </c>
      <c r="HK35" s="49"/>
      <c r="HO35" s="47"/>
      <c r="HQ35" s="58">
        <v>1000</v>
      </c>
      <c r="IG35" s="49"/>
      <c r="IK35" s="47"/>
      <c r="IM35" s="58">
        <v>1000</v>
      </c>
      <c r="JC35" s="49"/>
      <c r="JG35" s="47"/>
      <c r="JI35" s="58">
        <v>1000</v>
      </c>
      <c r="JY35" s="49"/>
      <c r="KC35" s="47"/>
      <c r="KE35" s="58">
        <v>1000</v>
      </c>
      <c r="KU35" s="49"/>
      <c r="KY35" s="47"/>
      <c r="LA35" s="58">
        <v>1000</v>
      </c>
      <c r="LQ35" s="49"/>
      <c r="LU35" s="47"/>
      <c r="LW35" s="58">
        <v>1000</v>
      </c>
      <c r="MM35" s="49"/>
      <c r="MQ35" s="47"/>
      <c r="MS35" s="58">
        <v>1000</v>
      </c>
      <c r="NI35" s="49"/>
      <c r="NM35" s="47"/>
      <c r="NO35" s="58">
        <v>1000</v>
      </c>
    </row>
    <row r="36" spans="1:379" hidden="1" x14ac:dyDescent="0.2">
      <c r="A36" s="49"/>
      <c r="B36" s="106" t="s">
        <v>60</v>
      </c>
      <c r="C36" s="49"/>
      <c r="AR36" s="114"/>
      <c r="AS36" s="114"/>
      <c r="AT36" s="114"/>
      <c r="AV36" s="47"/>
      <c r="AW36" s="47"/>
      <c r="AX36" s="47"/>
      <c r="AY36" s="107">
        <v>1000</v>
      </c>
      <c r="BV36" s="114"/>
      <c r="BW36" s="114"/>
      <c r="BX36" s="114"/>
      <c r="CA36" s="47"/>
      <c r="CB36" s="117"/>
      <c r="CC36" s="107">
        <v>1000</v>
      </c>
      <c r="CZ36" s="114"/>
      <c r="DA36" s="114"/>
      <c r="DB36" s="114"/>
      <c r="DD36" s="47"/>
      <c r="DE36" s="47"/>
      <c r="DF36" s="47"/>
      <c r="DG36" s="107">
        <v>1000</v>
      </c>
      <c r="EA36" s="49"/>
      <c r="EE36" s="47"/>
      <c r="EF36" s="117"/>
      <c r="EG36" s="107">
        <v>1000</v>
      </c>
      <c r="EW36" s="49"/>
      <c r="FA36" s="47"/>
      <c r="FC36" s="107">
        <v>1000</v>
      </c>
      <c r="FS36" s="49"/>
      <c r="FW36" s="47"/>
      <c r="FY36" s="107">
        <v>1000</v>
      </c>
      <c r="GO36" s="49"/>
      <c r="GS36" s="47"/>
      <c r="GT36" s="117"/>
      <c r="GU36" s="107">
        <v>1000</v>
      </c>
      <c r="HK36" s="49"/>
      <c r="HO36" s="47"/>
      <c r="HP36" s="117"/>
      <c r="HQ36" s="107">
        <v>1000</v>
      </c>
      <c r="IG36" s="49"/>
      <c r="IK36" s="47"/>
      <c r="IL36" s="117"/>
      <c r="IM36" s="107">
        <v>1000</v>
      </c>
      <c r="JC36" s="49"/>
      <c r="JG36" s="47"/>
      <c r="JI36" s="107">
        <v>1000</v>
      </c>
      <c r="JY36" s="49"/>
      <c r="KC36" s="47"/>
      <c r="KE36" s="107">
        <v>1000</v>
      </c>
      <c r="KU36" s="49"/>
      <c r="KY36" s="47"/>
      <c r="LA36" s="107">
        <v>1000</v>
      </c>
      <c r="LQ36" s="49"/>
      <c r="LU36" s="47"/>
      <c r="LW36" s="107">
        <v>1000</v>
      </c>
      <c r="MM36" s="49"/>
      <c r="MQ36" s="47"/>
      <c r="MS36" s="107">
        <v>1000</v>
      </c>
      <c r="NI36" s="49"/>
      <c r="NM36" s="47"/>
      <c r="NO36" s="107">
        <v>1000</v>
      </c>
    </row>
    <row r="37" spans="1:379" hidden="1" x14ac:dyDescent="0.2">
      <c r="A37" s="49"/>
      <c r="B37" s="66" t="s">
        <v>34</v>
      </c>
      <c r="C37" s="49"/>
      <c r="O37" s="2"/>
      <c r="AR37" s="114"/>
      <c r="AS37" s="114"/>
      <c r="AT37" s="114"/>
      <c r="AV37" s="47"/>
      <c r="AW37" s="47"/>
      <c r="AX37" s="47"/>
      <c r="AY37" s="60">
        <v>1000</v>
      </c>
      <c r="BV37" s="114"/>
      <c r="BW37" s="114"/>
      <c r="BX37" s="114"/>
      <c r="CA37" s="47"/>
      <c r="CC37" s="60">
        <v>1000</v>
      </c>
      <c r="CZ37" s="114"/>
      <c r="DA37" s="114"/>
      <c r="DB37" s="114"/>
      <c r="DD37" s="47"/>
      <c r="DE37" s="47"/>
      <c r="DF37" s="47"/>
      <c r="DG37" s="60">
        <v>1000</v>
      </c>
      <c r="EA37" s="49"/>
      <c r="EE37" s="47"/>
      <c r="EG37" s="60">
        <v>1000</v>
      </c>
      <c r="EW37" s="49"/>
      <c r="FA37" s="47"/>
      <c r="FC37" s="60">
        <v>1000</v>
      </c>
      <c r="FS37" s="49"/>
      <c r="FW37" s="47"/>
      <c r="FY37" s="60">
        <v>1000</v>
      </c>
      <c r="GO37" s="49"/>
      <c r="GS37" s="47"/>
      <c r="GU37" s="60">
        <v>1000</v>
      </c>
      <c r="HK37" s="49"/>
      <c r="HO37" s="47"/>
      <c r="HQ37" s="60">
        <v>1000</v>
      </c>
      <c r="IG37" s="49"/>
      <c r="IK37" s="47"/>
      <c r="IL37" s="117"/>
      <c r="IM37" s="60">
        <v>1000</v>
      </c>
      <c r="JC37" s="49"/>
      <c r="JG37" s="47"/>
      <c r="JI37" s="60">
        <v>1000</v>
      </c>
      <c r="JY37" s="49"/>
      <c r="KC37" s="47"/>
      <c r="KE37" s="60">
        <v>1000</v>
      </c>
      <c r="KU37" s="49"/>
      <c r="KY37" s="47"/>
      <c r="LA37" s="60">
        <v>1000</v>
      </c>
      <c r="LQ37" s="49"/>
      <c r="LU37" s="47"/>
      <c r="LW37" s="60">
        <v>1000</v>
      </c>
      <c r="MM37" s="49"/>
      <c r="MQ37" s="47"/>
      <c r="MS37" s="60">
        <v>1000</v>
      </c>
      <c r="NI37" s="49"/>
      <c r="NM37" s="47"/>
      <c r="NO37" s="60">
        <v>1000</v>
      </c>
    </row>
    <row r="38" spans="1:379" x14ac:dyDescent="0.2">
      <c r="B38" s="74" t="s">
        <v>53</v>
      </c>
      <c r="C38" s="2"/>
      <c r="AU38" s="47"/>
      <c r="AV38" s="47"/>
      <c r="AX38" s="47"/>
      <c r="DC38" s="47"/>
      <c r="DD38" s="47"/>
      <c r="DF38" s="47"/>
      <c r="EX38" s="47"/>
    </row>
    <row r="39" spans="1:379" x14ac:dyDescent="0.2">
      <c r="A39" s="49"/>
      <c r="B39" s="49"/>
      <c r="C39" s="4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379" ht="17" x14ac:dyDescent="0.2">
      <c r="A40" s="49"/>
      <c r="B40" s="49"/>
      <c r="C40" s="48"/>
      <c r="S40" s="18"/>
      <c r="T40" s="18"/>
      <c r="AQ40" s="47"/>
      <c r="AR40" s="47"/>
      <c r="AS40" s="47"/>
      <c r="AT40" s="47"/>
      <c r="AU40" s="47"/>
      <c r="AV40" s="47"/>
      <c r="AX40" s="47"/>
      <c r="CY40" s="47"/>
      <c r="CZ40" s="47"/>
      <c r="DA40" s="47"/>
      <c r="DB40" s="47"/>
      <c r="DC40" s="47"/>
      <c r="DD40" s="47"/>
      <c r="DF40" s="47"/>
    </row>
    <row r="41" spans="1:379" ht="17" x14ac:dyDescent="0.2">
      <c r="A41" s="49"/>
      <c r="B41" s="49"/>
      <c r="C41" s="48"/>
      <c r="S41" s="18"/>
      <c r="AQ41" s="47"/>
      <c r="AR41" s="47"/>
      <c r="AS41" s="47"/>
      <c r="AT41" s="47"/>
      <c r="AU41" s="47"/>
      <c r="AV41" s="47"/>
      <c r="AX41" s="47"/>
      <c r="CY41" s="47"/>
      <c r="CZ41" s="47"/>
      <c r="DA41" s="47"/>
      <c r="DB41" s="47"/>
      <c r="DC41" s="47"/>
      <c r="DD41" s="47"/>
      <c r="DF41" s="47"/>
    </row>
    <row r="42" spans="1:379" ht="17" x14ac:dyDescent="0.2">
      <c r="S42" s="18"/>
      <c r="T42" s="18"/>
      <c r="AQ42" s="47"/>
      <c r="AR42" s="47"/>
      <c r="AS42" s="47"/>
      <c r="AT42" s="47"/>
      <c r="AU42" s="47"/>
      <c r="AV42" s="47"/>
      <c r="AX42" s="47"/>
      <c r="CY42" s="47"/>
      <c r="CZ42" s="47"/>
      <c r="DA42" s="47"/>
      <c r="DB42" s="47"/>
      <c r="DC42" s="47"/>
      <c r="DD42" s="47"/>
      <c r="DF42" s="47"/>
    </row>
    <row r="43" spans="1:379" ht="17" x14ac:dyDescent="0.2">
      <c r="S43" s="18"/>
      <c r="T43" s="18"/>
      <c r="AQ43" s="47"/>
      <c r="AR43" s="47"/>
      <c r="AS43" s="47"/>
      <c r="AT43" s="47"/>
      <c r="AU43" s="47"/>
      <c r="AV43" s="47"/>
      <c r="AX43" s="47"/>
      <c r="CY43" s="47"/>
      <c r="CZ43" s="47"/>
      <c r="DA43" s="47"/>
      <c r="DB43" s="47"/>
      <c r="DC43" s="47"/>
      <c r="DD43" s="47"/>
      <c r="DF43" s="47"/>
    </row>
    <row r="44" spans="1:379" ht="17" x14ac:dyDescent="0.2">
      <c r="S44" s="18"/>
      <c r="T44" s="18"/>
      <c r="AQ44" s="47"/>
      <c r="AR44" s="47"/>
      <c r="AS44" s="47"/>
      <c r="AT44" s="47"/>
      <c r="AU44" s="47"/>
      <c r="AV44" s="47"/>
      <c r="AX44" s="47"/>
      <c r="CY44" s="47"/>
      <c r="CZ44" s="47"/>
      <c r="DA44" s="47"/>
      <c r="DB44" s="47"/>
      <c r="DC44" s="47"/>
      <c r="DD44" s="47"/>
      <c r="DF44" s="47"/>
    </row>
    <row r="45" spans="1:379" ht="17" x14ac:dyDescent="0.2">
      <c r="S45" s="18"/>
      <c r="T45" s="18"/>
      <c r="U45" s="18"/>
    </row>
    <row r="46" spans="1:379" ht="17" x14ac:dyDescent="0.2">
      <c r="S46" s="18"/>
      <c r="T46" s="18"/>
      <c r="U46" s="18"/>
    </row>
    <row r="47" spans="1:379" ht="17" x14ac:dyDescent="0.2">
      <c r="S47" s="18"/>
      <c r="T47" s="18"/>
      <c r="U47" s="18"/>
    </row>
    <row r="48" spans="1:379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  <row r="55" spans="19:21" ht="17" x14ac:dyDescent="0.2">
      <c r="S55" s="18"/>
      <c r="T55" s="18"/>
      <c r="U55" s="18"/>
    </row>
    <row r="56" spans="19:21" ht="17" x14ac:dyDescent="0.2">
      <c r="S56" s="18"/>
      <c r="T56" s="18"/>
      <c r="U56" s="18"/>
    </row>
    <row r="57" spans="19:21" ht="17" x14ac:dyDescent="0.2">
      <c r="S57" s="18"/>
      <c r="T57" s="18"/>
      <c r="U57" s="18"/>
    </row>
    <row r="58" spans="19:21" ht="17" x14ac:dyDescent="0.2">
      <c r="S58" s="18"/>
      <c r="T58" s="18"/>
      <c r="U58" s="18"/>
    </row>
    <row r="59" spans="19:21" ht="17" x14ac:dyDescent="0.2">
      <c r="S59" s="18"/>
      <c r="T59" s="18"/>
      <c r="U59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7">
      <sortCondition descending="1" ref="F1:F28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LX1:MS1"/>
    <mergeCell ref="DH1:DK1"/>
    <mergeCell ref="DL1:EG1"/>
    <mergeCell ref="EH1:FC1"/>
    <mergeCell ref="FD1:FY1"/>
    <mergeCell ref="FZ1:GU1"/>
    <mergeCell ref="GV1:HQ1"/>
    <mergeCell ref="S1:S3"/>
    <mergeCell ref="T1:T3"/>
    <mergeCell ref="U1:U3"/>
    <mergeCell ref="V1:AY1"/>
    <mergeCell ref="AZ1:CC1"/>
    <mergeCell ref="CD1:DG1"/>
    <mergeCell ref="CD2:CH2"/>
    <mergeCell ref="CI2:CM2"/>
    <mergeCell ref="CN2:CR2"/>
    <mergeCell ref="CS2:CW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7">
    <cfRule type="expression" dxfId="105" priority="1" stopIfTrue="1">
      <formula>IF($AP4&lt;&gt;"",1,0)</formula>
    </cfRule>
  </conditionalFormatting>
  <conditionalFormatting sqref="AZ4:CC27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7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6533" operator="between">
      <formula>AY$34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6578" operator="between">
      <formula>AY$34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623" operator="between">
      <formula>EG$33</formula>
      <formula>1000</formula>
    </cfRule>
    <cfRule type="cellIs" dxfId="95" priority="46624" operator="between">
      <formula>EG$32</formula>
      <formula>EG$33</formula>
    </cfRule>
    <cfRule type="cellIs" dxfId="94" priority="46625" operator="between">
      <formula>EG$31</formula>
      <formula>EG$32</formula>
    </cfRule>
    <cfRule type="cellIs" dxfId="93" priority="46626" operator="between">
      <formula>EG$30</formula>
      <formula>EG$31</formula>
    </cfRule>
  </conditionalFormatting>
  <conditionalFormatting sqref="AR1:AR1048576 BV1:BV1048576 CZ1:CZ1048576">
    <cfRule type="cellIs" dxfId="92" priority="46767" operator="between">
      <formula>AY$33</formula>
      <formula>1000</formula>
    </cfRule>
    <cfRule type="cellIs" dxfId="91" priority="46768" operator="between">
      <formula>AY$32</formula>
      <formula>AY$33</formula>
    </cfRule>
    <cfRule type="cellIs" dxfId="90" priority="46769" operator="between">
      <formula>AY$31</formula>
      <formula>AY$32</formula>
    </cfRule>
    <cfRule type="cellIs" dxfId="89" priority="46770" operator="between">
      <formula>AY$30</formula>
      <formula>AY$31</formula>
    </cfRule>
  </conditionalFormatting>
  <conditionalFormatting sqref="AS1:AS1048576 BW1:BW1048576 DA1:DA1048576">
    <cfRule type="cellIs" dxfId="88" priority="46803" operator="between">
      <formula>AY$34</formula>
      <formula>1000</formula>
    </cfRule>
  </conditionalFormatting>
  <conditionalFormatting sqref="AT1:AT1048576 BX1:BX1048576 DB1:DB1048576">
    <cfRule type="cellIs" dxfId="87" priority="46812" operator="between">
      <formula>AY$33</formula>
      <formula>1000</formula>
    </cfRule>
    <cfRule type="cellIs" dxfId="86" priority="46813" operator="between">
      <formula>AY$32</formula>
      <formula>AY$33</formula>
    </cfRule>
    <cfRule type="cellIs" dxfId="85" priority="46814" operator="between">
      <formula>AY$31</formula>
      <formula>AY$32</formula>
    </cfRule>
    <cfRule type="cellIs" dxfId="84" priority="46815" operator="between">
      <formula>AY$30</formula>
      <formula>AY$31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848" operator="between">
      <formula>AY$33</formula>
      <formula>1000</formula>
    </cfRule>
    <cfRule type="cellIs" dxfId="82" priority="46849" operator="between">
      <formula>AY$32</formula>
      <formula>AY$33</formula>
    </cfRule>
    <cfRule type="cellIs" dxfId="81" priority="46850" operator="between">
      <formula>AY$31</formula>
      <formula>AY$32</formula>
    </cfRule>
    <cfRule type="cellIs" dxfId="80" priority="46851" operator="between">
      <formula>AY$30</formula>
      <formula>AY$31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 t="s">
        <v>161</v>
      </c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IF(AND(F4="P",G4="P"),SUMPRODUCT((F$4:F$11="P")*(G$4:G$11="P")*(E$4:E$11&gt;E4))+1,IF(G4="P",SUMPRODUCT((F$4:F$11="")*(G$4:G$11="P")*(E$4:E$11&gt;E4))+1+SUMPRODUCT((F$4:F$11="P")*(G$4:G$11="P")),""))</f>
        <v>1</v>
      </c>
      <c r="B4" s="8" t="s">
        <v>129</v>
      </c>
      <c r="C4" s="4" t="s">
        <v>3</v>
      </c>
      <c r="D4" s="26">
        <v>2003</v>
      </c>
      <c r="E4" s="15">
        <f>SUM(J4:N4)</f>
        <v>129.19999999999999</v>
      </c>
      <c r="F4" s="3" t="str">
        <f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64.099999999999994</v>
      </c>
      <c r="K4" s="14" t="str">
        <f>IF(J4=0,"",IF(J4=CA4,$BI$1,IF(J4=BE4,$AM$1,IF(J4=AI4,$Q$1,""))))</f>
        <v>2021 2nd Virtual Technical Trial</v>
      </c>
      <c r="L4" s="14">
        <f>MAX(AK4,BG4,CC4)</f>
        <v>65.099999999999994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26.1</v>
      </c>
      <c r="R4" s="61">
        <v>5.9</v>
      </c>
      <c r="S4" s="61">
        <v>0</v>
      </c>
      <c r="T4" s="61">
        <v>0.3</v>
      </c>
      <c r="U4" s="61">
        <v>26</v>
      </c>
      <c r="V4" s="61">
        <v>5.5</v>
      </c>
      <c r="W4" s="61">
        <v>0</v>
      </c>
      <c r="X4" s="61">
        <v>0.3</v>
      </c>
      <c r="Y4" s="61">
        <v>26.7</v>
      </c>
      <c r="Z4" s="61">
        <v>6.1</v>
      </c>
      <c r="AA4" s="61">
        <v>0</v>
      </c>
      <c r="AB4" s="61">
        <v>0.3</v>
      </c>
      <c r="AC4" s="61">
        <v>26.5</v>
      </c>
      <c r="AD4" s="61">
        <v>5.5</v>
      </c>
      <c r="AE4" s="61">
        <v>0.3</v>
      </c>
      <c r="AF4" s="61">
        <v>0.3</v>
      </c>
      <c r="AG4" s="72"/>
      <c r="AH4" s="11">
        <f>IF(SUM(R4,V4)&gt;0,SUM(R4,V4),"")</f>
        <v>11.4</v>
      </c>
      <c r="AI4" s="11">
        <f>IF(SUM(Q4:R4,T4:V4,X4)-S4-W4&gt;0,SUM(Q4:R4,T4:V4,X4)-S4-W4,"")</f>
        <v>64.099999999999994</v>
      </c>
      <c r="AJ4" s="11">
        <f>IF(SUM(Z4,AD4)&gt;0,SUM(Z4,AD4),"")</f>
        <v>11.6</v>
      </c>
      <c r="AK4" s="11">
        <f>IF(SUM(Y4:Z4,AB4:AD4,AF4)-SUM(AA4,AE4)&gt;0,SUM(Y4:Z4,AB4:AD4,AF4)-SUM(AA4,AE4),"")</f>
        <v>65.099999999999994</v>
      </c>
      <c r="AL4" s="11">
        <f>IF(SUM(AI4,AK4)&gt;0,SUM(AI4,AK4),"")</f>
        <v>129.19999999999999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/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0</v>
      </c>
      <c r="LZ4" s="61">
        <f>IF($BY4="P",BJ4,(BJ4+AN4)/2)</f>
        <v>0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0</v>
      </c>
      <c r="MD4" s="61">
        <f>IF($BY4="P",BN4,(BN4+AR4)/2)</f>
        <v>0</v>
      </c>
      <c r="ME4" s="61">
        <f>IF($BY4="P",BO4,(BO4+AS4)/2)</f>
        <v>0</v>
      </c>
      <c r="MF4" s="61">
        <f>IF($BY4="P",BP4,(BP4+AT4)/2)</f>
        <v>0</v>
      </c>
      <c r="MG4" s="61">
        <f>IF($BY4="P",BQ4,(BQ4+AU4)/2)</f>
        <v>0</v>
      </c>
      <c r="MH4" s="61">
        <f>IF($BY4="P",BR4,(BR4+AV4)/2)</f>
        <v>0</v>
      </c>
      <c r="MI4" s="61">
        <f>IF($BY4="P",BS4,(BS4+AW4)/2)</f>
        <v>0</v>
      </c>
      <c r="MJ4" s="61">
        <f>IF($BY4="P",BT4,(BT4+AX4)/2)</f>
        <v>0</v>
      </c>
      <c r="MK4" s="61">
        <f>IF($BY4="P",BU4,(BU4+AY4)/2)</f>
        <v>0</v>
      </c>
      <c r="ML4" s="61">
        <f>IF($BY4="P",BV4,(BV4+AZ4)/2)</f>
        <v>0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>
        <f>IF(AND(F5="P",G5="P"),SUMPRODUCT((F$4:F$11="P")*(G$4:G$11="P")*(E$4:E$11&gt;E5))+1,IF(G5="P",SUMPRODUCT((F$4:F$11="")*(G$4:G$11="P")*(E$4:E$11&gt;E5))+1+SUMPRODUCT((F$4:F$11="P")*(G$4:G$11="P")),""))</f>
        <v>2</v>
      </c>
      <c r="B5" s="6" t="s">
        <v>83</v>
      </c>
      <c r="C5" s="7" t="s">
        <v>4</v>
      </c>
      <c r="D5" s="26">
        <v>2002</v>
      </c>
      <c r="E5" s="15">
        <f>SUM(J5:N5)</f>
        <v>128</v>
      </c>
      <c r="F5" s="3" t="str">
        <f>IF(OR(AND(AH5&gt;=AL$13,AI5&gt;=AL$17,AI5&lt;&gt;"",AG5=""),AND(BD5&gt;=BH$13,BE5&gt;=BH$17,BE5&lt;&gt;"",BC5=""),AND(BZ5&gt;=CD$13,CA5&gt;=CD$17,CA5&lt;&gt;"",BY5=""),AND(CW5&gt;=DA$13,CX5&gt;=DA$17,CX5&lt;&gt;""),AND(DR5&gt;=DV$13,DS5&gt;=DV$17,DS5&lt;&gt;""),AND(EM5&gt;=EQ$13,EN5&gt;=EQ$17,EN5&lt;&gt;""),AND(FH5&gt;=FL$13,FI5&gt;=FL$17,FI5&lt;&gt;""),AND(GC5&gt;=GG$13,GD5&gt;=GG$17,GD5&lt;&gt;""),AND(GX5&gt;=HB$13,GY5&gt;=HB$17,GY5&lt;&gt;""),AND(HS5&gt;=HW$13,HT5&gt;=HW$17,HT5&lt;&gt;""),AND(IN5&gt;=IR$13,IO5&gt;=IR$17,IO5&lt;&gt;""),AND(JI5&gt;=JM$13,JJ5&gt;=JM$17,JJ5&lt;&gt;""),AND(KD5&gt;=KH$13,KE5&gt;=KH$17,KE5&lt;&gt;""),AND(KY5&gt;=LC$13,KZ5&gt;=LC$17,KZ5&lt;&gt;""),AND(LT5&gt;=LX$13,LU5&gt;=LX$17,LU5&lt;&gt;"")),"P","")</f>
        <v>P</v>
      </c>
      <c r="G5" s="3" t="str">
        <f>IF(OR(AND(AI5&gt;=AL$17,AI5&lt;&gt;"",AG5=""),AND(BE5&gt;=BH$17,BE5&lt;&gt;"",BC5=""),AND(CA5&gt;=CD$17,CA5&lt;&gt;"",BY5=""),AND(CX5&gt;=DA$17,CX5&lt;&gt;""),AND(DS5&gt;=DV$17,DS5&lt;&gt;""),AND(EN5&gt;=EQ$17,EN5&lt;&gt;""),AND(FI5&gt;=FL$17,FI5&lt;&gt;""),AND(GD5&gt;=GG$17,GD5&lt;&gt;""),AND(GY5&gt;=HB$17,GY5&lt;&gt;""),AND(HT5&gt;=HW$17,HT5&lt;&gt;""),AND(IO5&gt;=IR$17,IO5&lt;&gt;""),AND(JJ5&gt;=JM$17,JJ5&lt;&gt;""),AND(KE5&gt;=KH$17,KE5&lt;&gt;""),AND(KZ5&gt;=LC$17,KZ5&lt;&gt;""),AND(LU5&gt;=LX$17,LU5&lt;&gt;"")),"P","")</f>
        <v>P</v>
      </c>
      <c r="H5" s="116" t="str">
        <f>IF(AND(G5="P",F5=""),"No DD",IF(OR(AND(AI5&gt;=AL$20,AI5&lt;&gt;"",AH5&gt;=AL$16,AH5&lt;&gt;"",AG5=""),AND(BE5&gt;=BH$20,BE5&lt;&gt;"",BD5&gt;=BH$16,BD5&lt;&gt;"",BC5=""),AND(CA5&gt;=CD$20,CA5&lt;&gt;"",BZ5&gt;=CD$16,BZ5&lt;&gt;"",BY5=""),AND(CX5&gt;=DA$20,CX5&lt;&gt;"",CW5&gt;=DA$16,CW5&lt;&gt;""),AND(DS5&gt;=DV$20,DS5&lt;&gt;"",DR5&gt;=DV$16,DR5&lt;&gt;""),AND(EN5&gt;=EQ$20,EN5&lt;&gt;"",EM5&gt;=EQ$16,EM5&lt;&gt;""),AND(FI5&gt;=FL$20,FI5&lt;&gt;"",FH5&gt;=FL$16,FH5&lt;&gt;""),AND(GD5&gt;=GG$20,GD5&lt;&gt;"",GC5&gt;=GG$16,GC5&lt;&gt;""),AND(GY5&gt;=HB$20,GY5&lt;&gt;"",GX5&gt;=HB$16,GX5&lt;&gt;""),AND(HT5&gt;=HW$20,HT5&lt;&gt;"",HS5&gt;=HW$16,HS5&lt;&gt;""),AND(IO5&gt;=IR$20,IO5&lt;&gt;"",IN5&gt;=IR$16,IN5&lt;&gt;""),AND(JJ5&gt;=JM$20,JJ5&lt;&gt;"",JI5&gt;=JM$16,JI5&lt;&gt;""),AND(KE5&gt;=KH$20,KE5&lt;&gt;"",KD5&gt;=KH$16,KD5&lt;&gt;""),AND(KZ5&gt;=LC$20,KZ5&lt;&gt;"",KY5&gt;=LC$16,KY5&lt;&gt;""),AND(LU5&gt;=LX$20,LU5&lt;&gt;"",LT5&gt;=LX$16,LT5&lt;&gt;"")),"Merit",IF(OR(AND(AI5&gt;=AL$19,AI5&lt;&gt;"",AH5&gt;=AL$15,AH5&lt;&gt;"",AG5=""),AND(BE5&gt;=BH$19,BE5&lt;&gt;"",BD5&gt;=BH$15,BD5&lt;&gt;"",BC5=""),AND(CA5&gt;=CD$19,CA5&lt;&gt;"",BZ5&gt;=CD$15,BZ5&lt;&gt;"",BY5=""),AND(CX5&gt;=DA$19,CX5&lt;&gt;"",CW5&gt;=DA$15,CW5&lt;&gt;""),AND(DS5&gt;=DV$19,DS5&lt;&gt;"",DR5&gt;=DV$15,DR5&lt;&gt;""),AND(EN5&gt;=EQ$19,EN5&lt;&gt;"",EM5&gt;=EQ$15,EM5&lt;&gt;""),AND(FI5&gt;=FL$19,FI5&lt;&gt;"",FH5&gt;=FL$15,FH5&lt;&gt;""),AND(GD5&gt;=GG$19,GD5&lt;&gt;"",GC5&gt;=GG$15,GC5&lt;&gt;""),AND(GY5&gt;=HB$19,GY5&lt;&gt;"",GX5&gt;=HB$15,GX5&lt;&gt;""),AND(HT5&gt;=HW$19,HT5&lt;&gt;"",HS5&gt;=HW$15,HS5&lt;&gt;""),AND(IO5&gt;=IR$19,IO5&lt;&gt;"",IN5&gt;=IR$15,IN5&lt;&gt;""),AND(JJ5&gt;=JM$19,JJ5&lt;&gt;"",JI5&gt;=JM$15,JI5&lt;&gt;""),AND(KE5&gt;=KH$19,KE5&lt;&gt;"",KD5&gt;=KH$15,KD5&lt;&gt;""),AND(KZ5&gt;=LC$19,KZ5&lt;&gt;"",KY5&gt;=LC$15,KY5&lt;&gt;""),AND(LU5&gt;=LX$19,LU5&lt;&gt;"",LT5&gt;=LX$15,LT5&lt;&gt;"")),"Excellence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Worlds Team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63.9</v>
      </c>
      <c r="K5" s="14" t="str">
        <f>IF(J5=0,"",IF(J5=CA5,$BI$1,IF(J5=BE5,$AM$1,IF(J5=AI5,$Q$1,""))))</f>
        <v>2021 Elite Canada</v>
      </c>
      <c r="L5" s="14">
        <f>MAX(AK5,BG5,CC5)</f>
        <v>64.099999999999994</v>
      </c>
      <c r="M5" s="14" t="str">
        <f>IF(L5=0,"",IF(J5=CC5,$BI$1,IF(L5=BG5,$AM$1,IF(L5=AK5,$Q$1,""))))</f>
        <v>2021 Elite Canada</v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27.2</v>
      </c>
      <c r="R5" s="41">
        <v>5.8</v>
      </c>
      <c r="S5" s="41">
        <v>0</v>
      </c>
      <c r="T5" s="41">
        <v>0</v>
      </c>
      <c r="U5" s="41">
        <v>24.7</v>
      </c>
      <c r="V5" s="41">
        <v>6.1</v>
      </c>
      <c r="W5" s="41">
        <v>0.3</v>
      </c>
      <c r="X5" s="41">
        <v>0</v>
      </c>
      <c r="Y5" s="41">
        <v>25.8</v>
      </c>
      <c r="Z5" s="41">
        <v>5.4</v>
      </c>
      <c r="AA5" s="41">
        <v>0.1</v>
      </c>
      <c r="AB5" s="41">
        <v>0</v>
      </c>
      <c r="AC5" s="41">
        <v>26.4</v>
      </c>
      <c r="AD5" s="41">
        <v>6.1</v>
      </c>
      <c r="AE5" s="41">
        <v>0</v>
      </c>
      <c r="AF5" s="41">
        <v>0</v>
      </c>
      <c r="AG5" s="72"/>
      <c r="AH5" s="11">
        <f>IF(SUM(R5,V5)&gt;0,SUM(R5,V5),"")</f>
        <v>11.899999999999999</v>
      </c>
      <c r="AI5" s="11">
        <f>IF(SUM(Q5:R5,T5:V5,X5)-S5-W5&gt;0,SUM(Q5:R5,T5:V5,X5)-S5-W5,"")</f>
        <v>63.500000000000007</v>
      </c>
      <c r="AJ5" s="11">
        <f>IF(SUM(Z5,AD5)&gt;0,SUM(Z5,AD5),"")</f>
        <v>11.5</v>
      </c>
      <c r="AK5" s="11">
        <f>IF(SUM(Y5:Z5,AB5:AD5,AF5)-SUM(AA5,AE5)&gt;0,SUM(Y5:Z5,AB5:AD5,AF5)-SUM(AA5,AE5),"")</f>
        <v>63.6</v>
      </c>
      <c r="AL5" s="11">
        <f>IF(SUM(AI5,AK5)&gt;0,SUM(AI5,AK5),"")</f>
        <v>127.10000000000001</v>
      </c>
      <c r="AM5" s="36">
        <v>26.3</v>
      </c>
      <c r="AN5" s="36">
        <v>5.8</v>
      </c>
      <c r="AO5" s="36">
        <v>0</v>
      </c>
      <c r="AP5" s="36">
        <v>0</v>
      </c>
      <c r="AQ5" s="36">
        <v>25.7</v>
      </c>
      <c r="AR5" s="36">
        <v>6.1</v>
      </c>
      <c r="AS5" s="36">
        <v>0</v>
      </c>
      <c r="AT5" s="36">
        <v>0</v>
      </c>
      <c r="AU5" s="36">
        <v>26.4</v>
      </c>
      <c r="AV5" s="36">
        <v>6.9</v>
      </c>
      <c r="AW5" s="36">
        <v>0</v>
      </c>
      <c r="AX5" s="36">
        <v>0</v>
      </c>
      <c r="AY5" s="36">
        <v>25.1</v>
      </c>
      <c r="AZ5" s="36">
        <v>5.7</v>
      </c>
      <c r="BA5" s="36">
        <v>0</v>
      </c>
      <c r="BB5" s="36">
        <v>0</v>
      </c>
      <c r="BC5" s="73"/>
      <c r="BD5" s="14">
        <f>IF(SUM(AN5,AR5)&gt;0,SUM(AN5,AR5),"")</f>
        <v>11.899999999999999</v>
      </c>
      <c r="BE5" s="14">
        <f>IF(SUM(AM5:AN5,AP5:AR5,AT5)-AO5-AS5&gt;0,SUM(AM5:AN5,AP5:AR5,AT5)-AO5-AS5,"")</f>
        <v>63.9</v>
      </c>
      <c r="BF5" s="14">
        <f>IF(SUM(AV5,AZ5)&gt;0,SUM(AV5,AZ5),"")</f>
        <v>12.600000000000001</v>
      </c>
      <c r="BG5" s="14">
        <f>IF(SUM(AU5:AV5,AX5:AZ5,BB5)-SUM(AW5,BA5)&gt;0,SUM(AU5:AV5,AX5:AZ5,BB5)-SUM(AW5,BA5),"")</f>
        <v>64.099999999999994</v>
      </c>
      <c r="BH5" s="14">
        <f>IF(SUM(BE5,BG5)&gt;0,SUM(BE5,BG5),"")</f>
        <v>128</v>
      </c>
      <c r="BI5" s="41">
        <v>23.7</v>
      </c>
      <c r="BJ5" s="41">
        <v>3</v>
      </c>
      <c r="BK5" s="41">
        <v>0</v>
      </c>
      <c r="BL5" s="41">
        <v>0</v>
      </c>
      <c r="BM5" s="41">
        <v>20.3</v>
      </c>
      <c r="BN5" s="41">
        <v>3.7</v>
      </c>
      <c r="BO5" s="41">
        <v>0</v>
      </c>
      <c r="BP5" s="41">
        <v>0</v>
      </c>
      <c r="BQ5" s="41"/>
      <c r="BR5" s="41"/>
      <c r="BS5" s="41"/>
      <c r="BT5" s="41"/>
      <c r="BU5" s="41"/>
      <c r="BV5" s="41"/>
      <c r="BW5" s="41"/>
      <c r="BX5" s="41"/>
      <c r="BY5" s="72"/>
      <c r="BZ5" s="11">
        <f>IF(SUM(BJ5,BN5)&gt;0,SUM(BJ5,BN5),"")</f>
        <v>6.7</v>
      </c>
      <c r="CA5" s="11">
        <f>IF(SUM(BI5:BJ5,BL5:BN5,BP5)-BK5-BO5&gt;0,SUM(BI5:BJ5,BL5:BN5,BP5)-BK5-BO5,"")</f>
        <v>50.7</v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>
        <f>IF(SUM(CA5,CC5)&gt;0,SUM(CA5,CC5),"")</f>
        <v>50.7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>
        <v>25</v>
      </c>
      <c r="CH5" s="35">
        <v>5.4</v>
      </c>
      <c r="CI5" s="35">
        <v>0</v>
      </c>
      <c r="CJ5" s="35">
        <v>0</v>
      </c>
      <c r="CK5" s="35">
        <v>24.8</v>
      </c>
      <c r="CL5" s="35">
        <v>6.1</v>
      </c>
      <c r="CM5" s="35">
        <v>0</v>
      </c>
      <c r="CN5" s="35">
        <v>0</v>
      </c>
      <c r="CO5" s="35"/>
      <c r="CP5" s="35"/>
      <c r="CQ5" s="35"/>
      <c r="CR5" s="35"/>
      <c r="CS5" s="35"/>
      <c r="CT5" s="35"/>
      <c r="CU5" s="35"/>
      <c r="CV5" s="35"/>
      <c r="CW5" s="11">
        <f>IF(SUM(CH5,CL5)&gt;0,SUM(CH5,CL5),"")</f>
        <v>11.5</v>
      </c>
      <c r="CX5" s="11">
        <f>IF(SUM(CG5:CH5,CJ5:CL5,CN5)-CI5-CM5&gt;0,SUM(CG5:CH5,CJ5:CL5,CN5)-CI5-CM5,"")</f>
        <v>61.300000000000004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61.300000000000004</v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</v>
      </c>
      <c r="LZ5" s="61">
        <f>IF($BY5="P",BJ5,(BJ5+AN5)/2)</f>
        <v>4.4000000000000004</v>
      </c>
      <c r="MA5" s="61">
        <f>IF($BY5="P",BK5,(BK5+AO5)/2)</f>
        <v>0</v>
      </c>
      <c r="MB5" s="61">
        <f>IF($BY5="P",BL5,(BL5+AP5)/2)</f>
        <v>0</v>
      </c>
      <c r="MC5" s="61">
        <f>IF($BY5="P",BM5,(BM5+AQ5)/2)</f>
        <v>23</v>
      </c>
      <c r="MD5" s="61">
        <f>IF($BY5="P",BN5,(BN5+AR5)/2)</f>
        <v>4.9000000000000004</v>
      </c>
      <c r="ME5" s="61">
        <f>IF($BY5="P",BO5,(BO5+AS5)/2)</f>
        <v>0</v>
      </c>
      <c r="MF5" s="61">
        <f>IF($BY5="P",BP5,(BP5+AT5)/2)</f>
        <v>0</v>
      </c>
      <c r="MG5" s="61">
        <f>IF($BY5="P",BQ5,(BQ5+AU5)/2)</f>
        <v>13.2</v>
      </c>
      <c r="MH5" s="61">
        <f>IF($BY5="P",BR5,(BR5+AV5)/2)</f>
        <v>3.45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12.55</v>
      </c>
      <c r="ML5" s="61">
        <f>IF($BY5="P",BV5,(BV5+AZ5)/2)</f>
        <v>2.85</v>
      </c>
      <c r="MM5" s="61">
        <f>IF($BY5="P",BW5,(BW5+BA5)/2)</f>
        <v>0</v>
      </c>
      <c r="MN5" s="61">
        <f>IF($BY5="P",BX5,(BX5+BB5)/2)</f>
        <v>0</v>
      </c>
      <c r="MO5" s="72" t="s">
        <v>52</v>
      </c>
      <c r="MP5" s="11">
        <f>IF(SUM(LZ5,MD5)&gt;0,SUM(LZ5,MD5),"")</f>
        <v>9.3000000000000007</v>
      </c>
      <c r="MQ5" s="11">
        <f>IF(SUM(LY5:LZ5,MB5:MD5,MF5)-MA5-ME5&gt;0,SUM(LY5:LZ5,MB5:MD5,MF5)-MA5-ME5,"")</f>
        <v>57.3</v>
      </c>
      <c r="MR5" s="11">
        <f>IF(SUM(MH5,ML5)&gt;0,SUM(MH5,ML5),"")</f>
        <v>6.3000000000000007</v>
      </c>
      <c r="MS5" s="11">
        <f>IF(SUM(MG5:MH5,MJ5:ML5,MN5)-SUM(MI5,MM5)&gt;0,SUM(MG5:MH5,MJ5:ML5,MN5)-SUM(MI5,MM5),"")</f>
        <v>32.049999999999997</v>
      </c>
      <c r="MT5" s="11">
        <f>IF(SUM(MQ5,MS5)&gt;0,SUM(MQ5,MS5),"")</f>
        <v>89.35</v>
      </c>
    </row>
    <row r="6" spans="1:358" x14ac:dyDescent="0.2">
      <c r="A6" s="5" t="str">
        <f>IF(AND(F6="P",G6="P"),SUMPRODUCT((F$4:F$11="P")*(G$4:G$11="P")*(E$4:E$11&gt;E6))+1,IF(G6="P",SUMPRODUCT((F$4:F$11="")*(G$4:G$11="P")*(E$4:E$11&gt;E6))+1+SUMPRODUCT((F$4:F$11="P")*(G$4:G$11="P")),""))</f>
        <v/>
      </c>
      <c r="B6" s="8" t="s">
        <v>130</v>
      </c>
      <c r="C6" s="4" t="s">
        <v>3</v>
      </c>
      <c r="D6" s="26">
        <v>2003</v>
      </c>
      <c r="E6" s="15">
        <f>SUM(J6:N6)</f>
        <v>123.49999999999999</v>
      </c>
      <c r="F6" s="3" t="str">
        <f>IF(OR(AND(AH6&gt;=AL$13,AI6&gt;=AL$17,AI6&lt;&gt;"",AG6=""),AND(BD6&gt;=BH$13,BE6&gt;=BH$17,BE6&lt;&gt;"",BC6=""),AND(BZ6&gt;=CD$13,CA6&gt;=CD$17,CA6&lt;&gt;"",BY6=""),AND(CW6&gt;=DA$13,CX6&gt;=DA$17,CX6&lt;&gt;""),AND(DR6&gt;=DV$13,DS6&gt;=DV$17,DS6&lt;&gt;""),AND(EM6&gt;=EQ$13,EN6&gt;=EQ$17,EN6&lt;&gt;""),AND(FH6&gt;=FL$13,FI6&gt;=FL$17,FI6&lt;&gt;""),AND(GC6&gt;=GG$13,GD6&gt;=GG$17,GD6&lt;&gt;""),AND(GX6&gt;=HB$13,GY6&gt;=HB$17,GY6&lt;&gt;""),AND(HS6&gt;=HW$13,HT6&gt;=HW$17,HT6&lt;&gt;""),AND(IN6&gt;=IR$13,IO6&gt;=IR$17,IO6&lt;&gt;""),AND(JI6&gt;=JM$13,JJ6&gt;=JM$17,JJ6&lt;&gt;""),AND(KD6&gt;=KH$13,KE6&gt;=KH$17,KE6&lt;&gt;""),AND(KY6&gt;=LC$13,KZ6&gt;=LC$17,KZ6&lt;&gt;""),AND(LT6&gt;=LX$13,LU6&gt;=LX$17,LU6&lt;&gt;"")),"P","")</f>
        <v/>
      </c>
      <c r="G6" s="3" t="str">
        <f>IF(OR(AND(AI6&gt;=AL$17,AI6&lt;&gt;"",AG6=""),AND(BE6&gt;=BH$17,BE6&lt;&gt;"",BC6=""),AND(CA6&gt;=CD$17,CA6&lt;&gt;"",BY6=""),AND(CX6&gt;=DA$17,CX6&lt;&gt;""),AND(DS6&gt;=DV$17,DS6&lt;&gt;""),AND(EN6&gt;=EQ$17,EN6&lt;&gt;""),AND(FI6&gt;=FL$17,FI6&lt;&gt;""),AND(GD6&gt;=GG$17,GD6&lt;&gt;""),AND(GY6&gt;=HB$17,GY6&lt;&gt;""),AND(HT6&gt;=HW$17,HT6&lt;&gt;""),AND(IO6&gt;=IR$17,IO6&lt;&gt;""),AND(JJ6&gt;=JM$17,JJ6&lt;&gt;""),AND(KE6&gt;=KH$17,KE6&lt;&gt;""),AND(KZ6&gt;=LC$17,KZ6&lt;&gt;""),AND(LU6&gt;=LX$17,LU6&lt;&gt;"")),"P","")</f>
        <v/>
      </c>
      <c r="H6" s="116" t="str">
        <f>IF(AND(G6="P",F6=""),"No DD",IF(OR(AND(AI6&gt;=AL$20,AI6&lt;&gt;"",AH6&gt;=AL$16,AH6&lt;&gt;"",AG6=""),AND(BE6&gt;=BH$20,BE6&lt;&gt;"",BD6&gt;=BH$16,BD6&lt;&gt;"",BC6=""),AND(CA6&gt;=CD$20,CA6&lt;&gt;"",BZ6&gt;=CD$16,BZ6&lt;&gt;"",BY6=""),AND(CX6&gt;=DA$20,CX6&lt;&gt;"",CW6&gt;=DA$16,CW6&lt;&gt;""),AND(DS6&gt;=DV$20,DS6&lt;&gt;"",DR6&gt;=DV$16,DR6&lt;&gt;""),AND(EN6&gt;=EQ$20,EN6&lt;&gt;"",EM6&gt;=EQ$16,EM6&lt;&gt;""),AND(FI6&gt;=FL$20,FI6&lt;&gt;"",FH6&gt;=FL$16,FH6&lt;&gt;""),AND(GD6&gt;=GG$20,GD6&lt;&gt;"",GC6&gt;=GG$16,GC6&lt;&gt;""),AND(GY6&gt;=HB$20,GY6&lt;&gt;"",GX6&gt;=HB$16,GX6&lt;&gt;""),AND(HT6&gt;=HW$20,HT6&lt;&gt;"",HS6&gt;=HW$16,HS6&lt;&gt;""),AND(IO6&gt;=IR$20,IO6&lt;&gt;"",IN6&gt;=IR$16,IN6&lt;&gt;""),AND(JJ6&gt;=JM$20,JJ6&lt;&gt;"",JI6&gt;=JM$16,JI6&lt;&gt;""),AND(KE6&gt;=KH$20,KE6&lt;&gt;"",KD6&gt;=KH$16,KD6&lt;&gt;""),AND(KZ6&gt;=LC$20,KZ6&lt;&gt;"",KY6&gt;=LC$16,KY6&lt;&gt;""),AND(LU6&gt;=LX$20,LU6&lt;&gt;"",LT6&gt;=LX$16,LT6&lt;&gt;"")),"Merit",IF(OR(AND(AI6&gt;=AL$19,AI6&lt;&gt;"",AH6&gt;=AL$15,AH6&lt;&gt;"",AG6=""),AND(BE6&gt;=BH$19,BE6&lt;&gt;"",BD6&gt;=BH$15,BD6&lt;&gt;"",BC6=""),AND(CA6&gt;=CD$19,CA6&lt;&gt;"",BZ6&gt;=CD$15,BZ6&lt;&gt;"",BY6=""),AND(CX6&gt;=DA$19,CX6&lt;&gt;"",CW6&gt;=DA$15,CW6&lt;&gt;""),AND(DS6&gt;=DV$19,DS6&lt;&gt;"",DR6&gt;=DV$15,DR6&lt;&gt;""),AND(EN6&gt;=EQ$19,EN6&lt;&gt;"",EM6&gt;=EQ$15,EM6&lt;&gt;""),AND(FI6&gt;=FL$19,FI6&lt;&gt;"",FH6&gt;=FL$15,FH6&lt;&gt;""),AND(GD6&gt;=GG$19,GD6&lt;&gt;"",GC6&gt;=GG$15,GC6&lt;&gt;""),AND(GY6&gt;=HB$19,GY6&lt;&gt;"",GX6&gt;=HB$15,GX6&lt;&gt;""),AND(HT6&gt;=HW$19,HT6&lt;&gt;"",HS6&gt;=HW$15,HS6&lt;&gt;""),AND(IO6&gt;=IR$19,IO6&lt;&gt;"",IN6&gt;=IR$15,IN6&lt;&gt;""),AND(JJ6&gt;=JM$19,JJ6&lt;&gt;"",JI6&gt;=JM$15,JI6&lt;&gt;""),AND(KE6&gt;=KH$19,KE6&lt;&gt;"",KD6&gt;=KH$15,KD6&lt;&gt;""),AND(KZ6&gt;=LC$19,KZ6&lt;&gt;"",KY6&gt;=LC$15,KY6&lt;&gt;""),AND(LU6&gt;=LX$19,LU6&lt;&gt;"",LT6&gt;=LX$15,LT6&lt;&gt;"")),"Excellence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Worlds Team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National Team","")))))</f>
        <v/>
      </c>
      <c r="I6" s="3" t="str">
        <f>IF(OR(H6="Worlds Team",H6="Excellence",H6="Merit"),"P","")</f>
        <v/>
      </c>
      <c r="J6" s="14">
        <f>MAX(AI6,BE6,CA6)</f>
        <v>59.3</v>
      </c>
      <c r="K6" s="14" t="str">
        <f>IF(J6=0,"",IF(J6=CA6,$BI$1,IF(J6=BE6,$AM$1,IF(J6=AI6,$Q$1,""))))</f>
        <v>2021 Canadian Championships</v>
      </c>
      <c r="L6" s="14">
        <f>MAX(AK6,BG6,CC6)</f>
        <v>64.199999999999989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61">
        <v>19.899999999999999</v>
      </c>
      <c r="R6" s="61">
        <v>2.8</v>
      </c>
      <c r="S6" s="61">
        <v>0</v>
      </c>
      <c r="T6" s="61">
        <v>0.3</v>
      </c>
      <c r="U6" s="61">
        <v>23.3</v>
      </c>
      <c r="V6" s="61">
        <v>3.6</v>
      </c>
      <c r="W6" s="61">
        <v>0.3</v>
      </c>
      <c r="X6" s="61">
        <v>0</v>
      </c>
      <c r="Y6" s="61">
        <v>24.6</v>
      </c>
      <c r="Z6" s="61">
        <v>5.0999999999999996</v>
      </c>
      <c r="AA6" s="61">
        <v>0.3</v>
      </c>
      <c r="AB6" s="61">
        <v>0.3</v>
      </c>
      <c r="AC6" s="61">
        <v>23.6</v>
      </c>
      <c r="AD6" s="61">
        <v>4.4000000000000004</v>
      </c>
      <c r="AE6" s="61">
        <v>0.3</v>
      </c>
      <c r="AF6" s="61">
        <v>0</v>
      </c>
      <c r="AG6" s="72"/>
      <c r="AH6" s="11">
        <f>IF(SUM(R6,V6)&gt;0,SUM(R6,V6),"")</f>
        <v>6.4</v>
      </c>
      <c r="AI6" s="11">
        <f>IF(SUM(Q6:R6,T6:V6,X6)-S6-W6&gt;0,SUM(Q6:R6,T6:V6,X6)-S6-W6,"")</f>
        <v>49.6</v>
      </c>
      <c r="AJ6" s="11">
        <f>IF(SUM(Z6,AD6)&gt;0,SUM(Z6,AD6),"")</f>
        <v>9.5</v>
      </c>
      <c r="AK6" s="11">
        <f>IF(SUM(Y6:Z6,AB6:AD6,AF6)-SUM(AA6,AE6)&gt;0,SUM(Y6:Z6,AB6:AD6,AF6)-SUM(AA6,AE6),"")</f>
        <v>57.400000000000006</v>
      </c>
      <c r="AL6" s="11">
        <f>IF(SUM(AI6,AK6)&gt;0,SUM(AI6,AK6),"")</f>
        <v>107</v>
      </c>
      <c r="AM6" s="36">
        <v>21.5</v>
      </c>
      <c r="AN6" s="36">
        <v>4.5999999999999996</v>
      </c>
      <c r="AO6" s="36">
        <v>0.3</v>
      </c>
      <c r="AP6" s="36">
        <v>0.3</v>
      </c>
      <c r="AQ6" s="36">
        <v>26.5</v>
      </c>
      <c r="AR6" s="36">
        <v>4.3</v>
      </c>
      <c r="AS6" s="36">
        <v>0</v>
      </c>
      <c r="AT6" s="36">
        <v>0.3</v>
      </c>
      <c r="AU6" s="36">
        <v>25.6</v>
      </c>
      <c r="AV6" s="36">
        <v>4.3</v>
      </c>
      <c r="AW6" s="36">
        <v>0</v>
      </c>
      <c r="AX6" s="36">
        <v>0.3</v>
      </c>
      <c r="AY6" s="36">
        <v>22.4</v>
      </c>
      <c r="AZ6" s="36">
        <v>3.5</v>
      </c>
      <c r="BA6" s="36">
        <v>0</v>
      </c>
      <c r="BB6" s="36">
        <v>0.3</v>
      </c>
      <c r="BC6" s="73"/>
      <c r="BD6" s="14">
        <f>IF(SUM(AN6,AR6)&gt;0,SUM(AN6,AR6),"")</f>
        <v>8.8999999999999986</v>
      </c>
      <c r="BE6" s="14">
        <f>IF(SUM(AM6:AN6,AP6:AR6,AT6)-AO6-AS6&gt;0,SUM(AM6:AN6,AP6:AR6,AT6)-AO6-AS6,"")</f>
        <v>57.2</v>
      </c>
      <c r="BF6" s="14">
        <f>IF(SUM(AV6,AZ6)&gt;0,SUM(AV6,AZ6),"")</f>
        <v>7.8</v>
      </c>
      <c r="BG6" s="14">
        <f>IF(SUM(AU6:AV6,AX6:AZ6,BB6)-SUM(AW6,BA6)&gt;0,SUM(AU6:AV6,AX6:AZ6,BB6)-SUM(AW6,BA6),"")</f>
        <v>56.4</v>
      </c>
      <c r="BH6" s="14">
        <f>IF(SUM(BE6,BG6)&gt;0,SUM(BE6,BG6),"")</f>
        <v>113.6</v>
      </c>
      <c r="BI6" s="61">
        <v>26.6</v>
      </c>
      <c r="BJ6" s="61">
        <v>5.0999999999999996</v>
      </c>
      <c r="BK6" s="61">
        <v>0</v>
      </c>
      <c r="BL6" s="61">
        <v>0.3</v>
      </c>
      <c r="BM6" s="61">
        <v>25.1</v>
      </c>
      <c r="BN6" s="61">
        <v>1.9</v>
      </c>
      <c r="BO6" s="61">
        <v>0</v>
      </c>
      <c r="BP6" s="61">
        <v>0.3</v>
      </c>
      <c r="BQ6" s="61">
        <v>27.3</v>
      </c>
      <c r="BR6" s="61">
        <v>5.0999999999999996</v>
      </c>
      <c r="BS6" s="61">
        <v>0</v>
      </c>
      <c r="BT6" s="61">
        <v>0.3</v>
      </c>
      <c r="BU6" s="61">
        <v>26.7</v>
      </c>
      <c r="BV6" s="61">
        <v>4.5</v>
      </c>
      <c r="BW6" s="61">
        <v>0</v>
      </c>
      <c r="BX6" s="61">
        <v>0.3</v>
      </c>
      <c r="BY6" s="72"/>
      <c r="BZ6" s="11">
        <f>IF(SUM(BJ6,BN6)&gt;0,SUM(BJ6,BN6),"")</f>
        <v>7</v>
      </c>
      <c r="CA6" s="11">
        <f>IF(SUM(BI6:BJ6,BL6:BN6,BP6)-BK6-BO6&gt;0,SUM(BI6:BJ6,BL6:BN6,BP6)-BK6-BO6,"")</f>
        <v>59.3</v>
      </c>
      <c r="CB6" s="11">
        <f>IF(SUM(BR6,BV6)&gt;0,SUM(BR6,BV6),"")</f>
        <v>9.6</v>
      </c>
      <c r="CC6" s="11">
        <f>IF(SUM(BQ6:BR6,BT6:BV6,BX6)-SUM(BS6,BW6)&gt;0,SUM(BQ6:BR6,BT6:BV6,BX6)-SUM(BS6,BW6),"")</f>
        <v>64.199999999999989</v>
      </c>
      <c r="CD6" s="11">
        <f>IF(SUM(CA6,CC6)&gt;0,SUM(CA6,CC6),"")</f>
        <v>123.49999999999999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/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24.05</v>
      </c>
      <c r="LZ6" s="61">
        <f>IF($BY6="P",BJ6,(BJ6+AN6)/2)</f>
        <v>4.8499999999999996</v>
      </c>
      <c r="MA6" s="61">
        <f>IF($BY6="P",BK6,(BK6+AO6)/2)</f>
        <v>0.15</v>
      </c>
      <c r="MB6" s="61">
        <f>IF($BY6="P",BL6,(BL6+AP6)/2)</f>
        <v>0.3</v>
      </c>
      <c r="MC6" s="61">
        <f>IF($BY6="P",BM6,(BM6+AQ6)/2)</f>
        <v>25.8</v>
      </c>
      <c r="MD6" s="61">
        <f>IF($BY6="P",BN6,(BN6+AR6)/2)</f>
        <v>3.0999999999999996</v>
      </c>
      <c r="ME6" s="61">
        <f>IF($BY6="P",BO6,(BO6+AS6)/2)</f>
        <v>0</v>
      </c>
      <c r="MF6" s="61">
        <f>IF($BY6="P",BP6,(BP6+AT6)/2)</f>
        <v>0.3</v>
      </c>
      <c r="MG6" s="61">
        <f>IF($BY6="P",BQ6,(BQ6+AU6)/2)</f>
        <v>26.450000000000003</v>
      </c>
      <c r="MH6" s="61">
        <f>IF($BY6="P",BR6,(BR6+AV6)/2)</f>
        <v>4.6999999999999993</v>
      </c>
      <c r="MI6" s="61">
        <f>IF($BY6="P",BS6,(BS6+AW6)/2)</f>
        <v>0</v>
      </c>
      <c r="MJ6" s="61">
        <f>IF($BY6="P",BT6,(BT6+AX6)/2)</f>
        <v>0.3</v>
      </c>
      <c r="MK6" s="61">
        <f>IF($BY6="P",BU6,(BU6+AY6)/2)</f>
        <v>24.549999999999997</v>
      </c>
      <c r="ML6" s="61">
        <f>IF($BY6="P",BV6,(BV6+AZ6)/2)</f>
        <v>4</v>
      </c>
      <c r="MM6" s="61">
        <f>IF($BY6="P",BW6,(BW6+BA6)/2)</f>
        <v>0</v>
      </c>
      <c r="MN6" s="61">
        <f>IF($BY6="P",BX6,(BX6+BB6)/2)</f>
        <v>0.3</v>
      </c>
      <c r="MO6" s="72" t="s">
        <v>52</v>
      </c>
      <c r="MP6" s="11">
        <f>IF(SUM(LZ6,MD6)&gt;0,SUM(LZ6,MD6),"")</f>
        <v>7.9499999999999993</v>
      </c>
      <c r="MQ6" s="11">
        <f>IF(SUM(LY6:LZ6,MB6:MD6,MF6)-MA6-ME6&gt;0,SUM(LY6:LZ6,MB6:MD6,MF6)-MA6-ME6,"")</f>
        <v>58.25</v>
      </c>
      <c r="MR6" s="11">
        <f>IF(SUM(MH6,ML6)&gt;0,SUM(MH6,ML6),"")</f>
        <v>8.6999999999999993</v>
      </c>
      <c r="MS6" s="11">
        <f>IF(SUM(MG6:MH6,MJ6:ML6,MN6)-SUM(MI6,MM6)&gt;0,SUM(MG6:MH6,MJ6:ML6,MN6)-SUM(MI6,MM6),"")</f>
        <v>60.3</v>
      </c>
      <c r="MT6" s="11">
        <f>IF(SUM(MQ6,MS6)&gt;0,SUM(MQ6,MS6),"")</f>
        <v>118.55</v>
      </c>
    </row>
    <row r="7" spans="1:358" x14ac:dyDescent="0.2">
      <c r="A7" s="5" t="str">
        <f>IF(AND(F7="P",G7="P"),SUMPRODUCT((F$4:F$11="P")*(G$4:G$11="P")*(E$4:E$11&gt;E7))+1,IF(G7="P",SUMPRODUCT((F$4:F$11="")*(G$4:G$11="P")*(E$4:E$11&gt;E7))+1+SUMPRODUCT((F$4:F$11="P")*(G$4:G$11="P")),""))</f>
        <v/>
      </c>
      <c r="B7" s="8" t="s">
        <v>103</v>
      </c>
      <c r="C7" s="4" t="s">
        <v>4</v>
      </c>
      <c r="D7" s="26">
        <v>2004</v>
      </c>
      <c r="E7" s="15">
        <f>SUM(J7:N7)</f>
        <v>118.30000000000001</v>
      </c>
      <c r="F7" s="3" t="str">
        <f>IF(OR(AND(AH7&gt;=AL$13,AI7&gt;=AL$17,AI7&lt;&gt;"",AG7=""),AND(BD7&gt;=BH$13,BE7&gt;=BH$17,BE7&lt;&gt;"",BC7=""),AND(BZ7&gt;=CD$13,CA7&gt;=CD$17,CA7&lt;&gt;"",BY7=""),AND(CW7&gt;=DA$13,CX7&gt;=DA$17,CX7&lt;&gt;""),AND(DR7&gt;=DV$13,DS7&gt;=DV$17,DS7&lt;&gt;""),AND(EM7&gt;=EQ$13,EN7&gt;=EQ$17,EN7&lt;&gt;""),AND(FH7&gt;=FL$13,FI7&gt;=FL$17,FI7&lt;&gt;""),AND(GC7&gt;=GG$13,GD7&gt;=GG$17,GD7&lt;&gt;""),AND(GX7&gt;=HB$13,GY7&gt;=HB$17,GY7&lt;&gt;""),AND(HS7&gt;=HW$13,HT7&gt;=HW$17,HT7&lt;&gt;""),AND(IN7&gt;=IR$13,IO7&gt;=IR$17,IO7&lt;&gt;""),AND(JI7&gt;=JM$13,JJ7&gt;=JM$17,JJ7&lt;&gt;""),AND(KD7&gt;=KH$13,KE7&gt;=KH$17,KE7&lt;&gt;""),AND(KY7&gt;=LC$13,KZ7&gt;=LC$17,KZ7&lt;&gt;""),AND(LT7&gt;=LX$13,LU7&gt;=LX$17,LU7&lt;&gt;"")),"P","")</f>
        <v/>
      </c>
      <c r="G7" s="3" t="str">
        <f>IF(OR(AND(AI7&gt;=AL$17,AI7&lt;&gt;"",AG7=""),AND(BE7&gt;=BH$17,BE7&lt;&gt;"",BC7=""),AND(CA7&gt;=CD$17,CA7&lt;&gt;"",BY7=""),AND(CX7&gt;=DA$17,CX7&lt;&gt;""),AND(DS7&gt;=DV$17,DS7&lt;&gt;""),AND(EN7&gt;=EQ$17,EN7&lt;&gt;""),AND(FI7&gt;=FL$17,FI7&lt;&gt;""),AND(GD7&gt;=GG$17,GD7&lt;&gt;""),AND(GY7&gt;=HB$17,GY7&lt;&gt;""),AND(HT7&gt;=HW$17,HT7&lt;&gt;""),AND(IO7&gt;=IR$17,IO7&lt;&gt;""),AND(JJ7&gt;=JM$17,JJ7&lt;&gt;""),AND(KE7&gt;=KH$17,KE7&lt;&gt;""),AND(KZ7&gt;=LC$17,KZ7&lt;&gt;""),AND(LU7&gt;=LX$17,LU7&lt;&gt;"")),"P","")</f>
        <v/>
      </c>
      <c r="H7" s="116" t="str">
        <f>IF(AND(G7="P",F7=""),"No DD",IF(OR(AND(AI7&gt;=AL$20,AI7&lt;&gt;"",AH7&gt;=AL$16,AH7&lt;&gt;"",AG7=""),AND(BE7&gt;=BH$20,BE7&lt;&gt;"",BD7&gt;=BH$16,BD7&lt;&gt;"",BC7=""),AND(CA7&gt;=CD$20,CA7&lt;&gt;"",BZ7&gt;=CD$16,BZ7&lt;&gt;"",BY7=""),AND(CX7&gt;=DA$20,CX7&lt;&gt;"",CW7&gt;=DA$16,CW7&lt;&gt;""),AND(DS7&gt;=DV$20,DS7&lt;&gt;"",DR7&gt;=DV$16,DR7&lt;&gt;""),AND(EN7&gt;=EQ$20,EN7&lt;&gt;"",EM7&gt;=EQ$16,EM7&lt;&gt;""),AND(FI7&gt;=FL$20,FI7&lt;&gt;"",FH7&gt;=FL$16,FH7&lt;&gt;""),AND(GD7&gt;=GG$20,GD7&lt;&gt;"",GC7&gt;=GG$16,GC7&lt;&gt;""),AND(GY7&gt;=HB$20,GY7&lt;&gt;"",GX7&gt;=HB$16,GX7&lt;&gt;""),AND(HT7&gt;=HW$20,HT7&lt;&gt;"",HS7&gt;=HW$16,HS7&lt;&gt;""),AND(IO7&gt;=IR$20,IO7&lt;&gt;"",IN7&gt;=IR$16,IN7&lt;&gt;""),AND(JJ7&gt;=JM$20,JJ7&lt;&gt;"",JI7&gt;=JM$16,JI7&lt;&gt;""),AND(KE7&gt;=KH$20,KE7&lt;&gt;"",KD7&gt;=KH$16,KD7&lt;&gt;""),AND(KZ7&gt;=LC$20,KZ7&lt;&gt;"",KY7&gt;=LC$16,KY7&lt;&gt;""),AND(LU7&gt;=LX$20,LU7&lt;&gt;"",LT7&gt;=LX$16,LT7&lt;&gt;"")),"Merit",IF(OR(AND(AI7&gt;=AL$19,AI7&lt;&gt;"",AH7&gt;=AL$15,AH7&lt;&gt;"",AG7=""),AND(BE7&gt;=BH$19,BE7&lt;&gt;"",BD7&gt;=BH$15,BD7&lt;&gt;"",BC7=""),AND(CA7&gt;=CD$19,CA7&lt;&gt;"",BZ7&gt;=CD$15,BZ7&lt;&gt;"",BY7=""),AND(CX7&gt;=DA$19,CX7&lt;&gt;"",CW7&gt;=DA$15,CW7&lt;&gt;""),AND(DS7&gt;=DV$19,DS7&lt;&gt;"",DR7&gt;=DV$15,DR7&lt;&gt;""),AND(EN7&gt;=EQ$19,EN7&lt;&gt;"",EM7&gt;=EQ$15,EM7&lt;&gt;""),AND(FI7&gt;=FL$19,FI7&lt;&gt;"",FH7&gt;=FL$15,FH7&lt;&gt;""),AND(GD7&gt;=GG$19,GD7&lt;&gt;"",GC7&gt;=GG$15,GC7&lt;&gt;""),AND(GY7&gt;=HB$19,GY7&lt;&gt;"",GX7&gt;=HB$15,GX7&lt;&gt;""),AND(HT7&gt;=HW$19,HT7&lt;&gt;"",HS7&gt;=HW$15,HS7&lt;&gt;""),AND(IO7&gt;=IR$19,IO7&lt;&gt;"",IN7&gt;=IR$15,IN7&lt;&gt;""),AND(JJ7&gt;=JM$19,JJ7&lt;&gt;"",JI7&gt;=JM$15,JI7&lt;&gt;""),AND(KE7&gt;=KH$19,KE7&lt;&gt;"",KD7&gt;=KH$15,KD7&lt;&gt;""),AND(KZ7&gt;=LC$19,KZ7&lt;&gt;"",KY7&gt;=LC$15,KY7&lt;&gt;""),AND(LU7&gt;=LX$19,LU7&lt;&gt;"",LT7&gt;=LX$15,LT7&lt;&gt;"")),"Excellence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Worlds Team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National Team","")))))</f>
        <v/>
      </c>
      <c r="I7" s="3" t="str">
        <f>IF(OR(H7="Worlds Team",H7="Excellence",H7="Merit"),"P","")</f>
        <v/>
      </c>
      <c r="J7" s="14">
        <f>MAX(AI7,BE7,CA7)</f>
        <v>58.5</v>
      </c>
      <c r="K7" s="14" t="str">
        <f>IF(J7=0,"",IF(J7=CA7,$BI$1,IF(J7=BE7,$AM$1,IF(J7=AI7,$Q$1,""))))</f>
        <v>2021 Canadian Championships</v>
      </c>
      <c r="L7" s="14">
        <f>MAX(AK7,BG7,CC7)</f>
        <v>59.800000000000004</v>
      </c>
      <c r="M7" s="14" t="str">
        <f>IF(L7=0,"",IF(J7=CC7,$BI$1,IF(L7=BG7,$AM$1,IF(L7=AK7,$Q$1,""))))</f>
        <v>2021 Elite Canada</v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61">
        <v>24.6</v>
      </c>
      <c r="R7" s="61">
        <v>4.5999999999999996</v>
      </c>
      <c r="S7" s="61">
        <v>0</v>
      </c>
      <c r="T7" s="61">
        <v>0.6</v>
      </c>
      <c r="U7" s="61">
        <v>23.6</v>
      </c>
      <c r="V7" s="61">
        <v>1.2</v>
      </c>
      <c r="W7" s="61">
        <v>0</v>
      </c>
      <c r="X7" s="61">
        <v>0</v>
      </c>
      <c r="Y7" s="61">
        <v>23.8</v>
      </c>
      <c r="Z7" s="61">
        <v>4.5999999999999996</v>
      </c>
      <c r="AA7" s="61">
        <v>0</v>
      </c>
      <c r="AB7" s="61">
        <v>0.6</v>
      </c>
      <c r="AC7" s="61">
        <v>22.4</v>
      </c>
      <c r="AD7" s="61">
        <v>3.4</v>
      </c>
      <c r="AE7" s="61">
        <v>0.3</v>
      </c>
      <c r="AF7" s="61">
        <v>0</v>
      </c>
      <c r="AG7" s="72"/>
      <c r="AH7" s="11">
        <f>IF(SUM(R7,V7)&gt;0,SUM(R7,V7),"")</f>
        <v>5.8</v>
      </c>
      <c r="AI7" s="11">
        <f>IF(SUM(Q7:R7,T7:V7,X7)-S7-W7&gt;0,SUM(Q7:R7,T7:V7,X7)-S7-W7,"")</f>
        <v>54.600000000000009</v>
      </c>
      <c r="AJ7" s="11">
        <f>IF(SUM(Z7,AD7)&gt;0,SUM(Z7,AD7),"")</f>
        <v>8</v>
      </c>
      <c r="AK7" s="11">
        <f>IF(SUM(Y7:Z7,AB7:AD7,AF7)-SUM(AA7,AE7)&gt;0,SUM(Y7:Z7,AB7:AD7,AF7)-SUM(AA7,AE7),"")</f>
        <v>54.5</v>
      </c>
      <c r="AL7" s="11">
        <f>IF(SUM(AI7,AK7)&gt;0,SUM(AI7,AK7),"")</f>
        <v>109.10000000000001</v>
      </c>
      <c r="AM7" s="36">
        <v>25.2</v>
      </c>
      <c r="AN7" s="36">
        <v>3.9</v>
      </c>
      <c r="AO7" s="36">
        <v>0</v>
      </c>
      <c r="AP7" s="36">
        <v>0.3</v>
      </c>
      <c r="AQ7" s="36">
        <v>25.6</v>
      </c>
      <c r="AR7" s="36">
        <v>3.4</v>
      </c>
      <c r="AS7" s="36">
        <v>0.3</v>
      </c>
      <c r="AT7" s="36">
        <v>0</v>
      </c>
      <c r="AU7" s="36">
        <v>25.6</v>
      </c>
      <c r="AV7" s="36">
        <v>4.5999999999999996</v>
      </c>
      <c r="AW7" s="36">
        <v>0</v>
      </c>
      <c r="AX7" s="36">
        <v>0.6</v>
      </c>
      <c r="AY7" s="36">
        <v>25.9</v>
      </c>
      <c r="AZ7" s="36">
        <v>3.4</v>
      </c>
      <c r="BA7" s="36">
        <v>0.3</v>
      </c>
      <c r="BB7" s="36">
        <v>0</v>
      </c>
      <c r="BC7" s="73"/>
      <c r="BD7" s="14">
        <f>IF(SUM(AN7,AR7)&gt;0,SUM(AN7,AR7),"")</f>
        <v>7.3</v>
      </c>
      <c r="BE7" s="14">
        <f>IF(SUM(AM7:AN7,AP7:AR7,AT7)-AO7-AS7&gt;0,SUM(AM7:AN7,AP7:AR7,AT7)-AO7-AS7,"")</f>
        <v>58.1</v>
      </c>
      <c r="BF7" s="14">
        <f>IF(SUM(AV7,AZ7)&gt;0,SUM(AV7,AZ7),"")</f>
        <v>8</v>
      </c>
      <c r="BG7" s="14">
        <f>IF(SUM(AU7:AV7,AX7:AZ7,BB7)-SUM(AW7,BA7)&gt;0,SUM(AU7:AV7,AX7:AZ7,BB7)-SUM(AW7,BA7),"")</f>
        <v>59.800000000000004</v>
      </c>
      <c r="BH7" s="14">
        <f>IF(SUM(BE7,BG7)&gt;0,SUM(BE7,BG7),"")</f>
        <v>117.9</v>
      </c>
      <c r="BI7" s="61">
        <v>24.8</v>
      </c>
      <c r="BJ7" s="61">
        <v>4.5999999999999996</v>
      </c>
      <c r="BK7" s="61">
        <v>0</v>
      </c>
      <c r="BL7" s="61">
        <v>0.6</v>
      </c>
      <c r="BM7" s="61">
        <v>25.4</v>
      </c>
      <c r="BN7" s="61">
        <v>3.4</v>
      </c>
      <c r="BO7" s="61">
        <v>0.3</v>
      </c>
      <c r="BP7" s="61">
        <v>0</v>
      </c>
      <c r="BQ7" s="61">
        <v>24.3</v>
      </c>
      <c r="BR7" s="61">
        <v>1.2</v>
      </c>
      <c r="BS7" s="61">
        <v>0</v>
      </c>
      <c r="BT7" s="61">
        <v>0</v>
      </c>
      <c r="BU7" s="61">
        <v>24.7</v>
      </c>
      <c r="BV7" s="61">
        <v>3.3</v>
      </c>
      <c r="BW7" s="61">
        <v>0.4</v>
      </c>
      <c r="BX7" s="61">
        <v>0.6</v>
      </c>
      <c r="BY7" s="72"/>
      <c r="BZ7" s="11">
        <f>IF(SUM(BJ7,BN7)&gt;0,SUM(BJ7,BN7),"")</f>
        <v>8</v>
      </c>
      <c r="CA7" s="11">
        <f>IF(SUM(BI7:BJ7,BL7:BN7,BP7)-BK7-BO7&gt;0,SUM(BI7:BJ7,BL7:BN7,BP7)-BK7-BO7,"")</f>
        <v>58.5</v>
      </c>
      <c r="CB7" s="11">
        <f>IF(SUM(BR7,BV7)&gt;0,SUM(BR7,BV7),"")</f>
        <v>4.5</v>
      </c>
      <c r="CC7" s="11">
        <f>IF(SUM(BQ7:BR7,BT7:BV7,BX7)-SUM(BS7,BW7)&gt;0,SUM(BQ7:BR7,BT7:BV7,BX7)-SUM(BS7,BW7),"")</f>
        <v>53.7</v>
      </c>
      <c r="CD7" s="11">
        <f>IF(SUM(CA7,CC7)&gt;0,SUM(CA7,CC7),"")</f>
        <v>112.2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/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25</v>
      </c>
      <c r="LZ7" s="61">
        <f>IF($BY7="P",BJ7,(BJ7+AN7)/2)</f>
        <v>4.25</v>
      </c>
      <c r="MA7" s="61">
        <f>IF($BY7="P",BK7,(BK7+AO7)/2)</f>
        <v>0</v>
      </c>
      <c r="MB7" s="61">
        <f>IF($BY7="P",BL7,(BL7+AP7)/2)</f>
        <v>0.44999999999999996</v>
      </c>
      <c r="MC7" s="61">
        <f>IF($BY7="P",BM7,(BM7+AQ7)/2)</f>
        <v>25.5</v>
      </c>
      <c r="MD7" s="61">
        <f>IF($BY7="P",BN7,(BN7+AR7)/2)</f>
        <v>3.4</v>
      </c>
      <c r="ME7" s="61">
        <f>IF($BY7="P",BO7,(BO7+AS7)/2)</f>
        <v>0.3</v>
      </c>
      <c r="MF7" s="61">
        <f>IF($BY7="P",BP7,(BP7+AT7)/2)</f>
        <v>0</v>
      </c>
      <c r="MG7" s="61">
        <f>IF($BY7="P",BQ7,(BQ7+AU7)/2)</f>
        <v>24.950000000000003</v>
      </c>
      <c r="MH7" s="61">
        <f>IF($BY7="P",BR7,(BR7+AV7)/2)</f>
        <v>2.9</v>
      </c>
      <c r="MI7" s="61">
        <f>IF($BY7="P",BS7,(BS7+AW7)/2)</f>
        <v>0</v>
      </c>
      <c r="MJ7" s="61">
        <f>IF($BY7="P",BT7,(BT7+AX7)/2)</f>
        <v>0.3</v>
      </c>
      <c r="MK7" s="61">
        <f>IF($BY7="P",BU7,(BU7+AY7)/2)</f>
        <v>25.299999999999997</v>
      </c>
      <c r="ML7" s="61">
        <f>IF($BY7="P",BV7,(BV7+AZ7)/2)</f>
        <v>3.3499999999999996</v>
      </c>
      <c r="MM7" s="61">
        <f>IF($BY7="P",BW7,(BW7+BA7)/2)</f>
        <v>0.35</v>
      </c>
      <c r="MN7" s="61">
        <f>IF($BY7="P",BX7,(BX7+BB7)/2)</f>
        <v>0.3</v>
      </c>
      <c r="MO7" s="72" t="s">
        <v>52</v>
      </c>
      <c r="MP7" s="11">
        <f>IF(SUM(LZ7,MD7)&gt;0,SUM(LZ7,MD7),"")</f>
        <v>7.65</v>
      </c>
      <c r="MQ7" s="11">
        <f>IF(SUM(LY7:LZ7,MB7:MD7,MF7)-MA7-ME7&gt;0,SUM(LY7:LZ7,MB7:MD7,MF7)-MA7-ME7,"")</f>
        <v>58.300000000000004</v>
      </c>
      <c r="MR7" s="11">
        <f>IF(SUM(MH7,ML7)&gt;0,SUM(MH7,ML7),"")</f>
        <v>6.25</v>
      </c>
      <c r="MS7" s="11">
        <f>IF(SUM(MG7:MH7,MJ7:ML7,MN7)-SUM(MI7,MM7)&gt;0,SUM(MG7:MH7,MJ7:ML7,MN7)-SUM(MI7,MM7),"")</f>
        <v>56.75</v>
      </c>
      <c r="MT7" s="11">
        <f>IF(SUM(MQ7,MS7)&gt;0,SUM(MQ7,MS7),"")</f>
        <v>115.05000000000001</v>
      </c>
    </row>
    <row r="8" spans="1:358" x14ac:dyDescent="0.2">
      <c r="A8" s="5" t="str">
        <f>IF(AND(F8="P",G8="P"),SUMPRODUCT((F$4:F$11="P")*(G$4:G$11="P")*(E$4:E$11&gt;E8))+1,IF(G8="P",SUMPRODUCT((F$4:F$11="")*(G$4:G$11="P")*(E$4:E$11&gt;E8))+1+SUMPRODUCT((F$4:F$11="P")*(G$4:G$11="P")),""))</f>
        <v/>
      </c>
      <c r="B8" s="8" t="s">
        <v>145</v>
      </c>
      <c r="C8" s="4" t="s">
        <v>4</v>
      </c>
      <c r="D8" s="26">
        <v>2004</v>
      </c>
      <c r="E8" s="15">
        <f>SUM(J8:N8)</f>
        <v>118.1</v>
      </c>
      <c r="F8" s="3" t="str">
        <f>IF(OR(AND(AH8&gt;=AL$13,AI8&gt;=AL$17,AI8&lt;&gt;"",AG8=""),AND(BD8&gt;=BH$13,BE8&gt;=BH$17,BE8&lt;&gt;"",BC8=""),AND(BZ8&gt;=CD$13,CA8&gt;=CD$17,CA8&lt;&gt;"",BY8=""),AND(CW8&gt;=DA$13,CX8&gt;=DA$17,CX8&lt;&gt;""),AND(DR8&gt;=DV$13,DS8&gt;=DV$17,DS8&lt;&gt;""),AND(EM8&gt;=EQ$13,EN8&gt;=EQ$17,EN8&lt;&gt;""),AND(FH8&gt;=FL$13,FI8&gt;=FL$17,FI8&lt;&gt;""),AND(GC8&gt;=GG$13,GD8&gt;=GG$17,GD8&lt;&gt;""),AND(GX8&gt;=HB$13,GY8&gt;=HB$17,GY8&lt;&gt;""),AND(HS8&gt;=HW$13,HT8&gt;=HW$17,HT8&lt;&gt;""),AND(IN8&gt;=IR$13,IO8&gt;=IR$17,IO8&lt;&gt;""),AND(JI8&gt;=JM$13,JJ8&gt;=JM$17,JJ8&lt;&gt;""),AND(KD8&gt;=KH$13,KE8&gt;=KH$17,KE8&lt;&gt;""),AND(KY8&gt;=LC$13,KZ8&gt;=LC$17,KZ8&lt;&gt;""),AND(LT8&gt;=LX$13,LU8&gt;=LX$17,LU8&lt;&gt;"")),"P","")</f>
        <v/>
      </c>
      <c r="G8" s="3" t="str">
        <f>IF(OR(AND(AI8&gt;=AL$17,AI8&lt;&gt;"",AG8=""),AND(BE8&gt;=BH$17,BE8&lt;&gt;"",BC8=""),AND(CA8&gt;=CD$17,CA8&lt;&gt;"",BY8=""),AND(CX8&gt;=DA$17,CX8&lt;&gt;""),AND(DS8&gt;=DV$17,DS8&lt;&gt;""),AND(EN8&gt;=EQ$17,EN8&lt;&gt;""),AND(FI8&gt;=FL$17,FI8&lt;&gt;""),AND(GD8&gt;=GG$17,GD8&lt;&gt;""),AND(GY8&gt;=HB$17,GY8&lt;&gt;""),AND(HT8&gt;=HW$17,HT8&lt;&gt;""),AND(IO8&gt;=IR$17,IO8&lt;&gt;""),AND(JJ8&gt;=JM$17,JJ8&lt;&gt;""),AND(KE8&gt;=KH$17,KE8&lt;&gt;""),AND(KZ8&gt;=LC$17,KZ8&lt;&gt;""),AND(LU8&gt;=LX$17,LU8&lt;&gt;"")),"P","")</f>
        <v/>
      </c>
      <c r="H8" s="116" t="str">
        <f>IF(AND(G8="P",F8=""),"No DD",IF(OR(AND(AI8&gt;=AL$20,AI8&lt;&gt;"",AH8&gt;=AL$16,AH8&lt;&gt;"",AG8=""),AND(BE8&gt;=BH$20,BE8&lt;&gt;"",BD8&gt;=BH$16,BD8&lt;&gt;"",BC8=""),AND(CA8&gt;=CD$20,CA8&lt;&gt;"",BZ8&gt;=CD$16,BZ8&lt;&gt;"",BY8=""),AND(CX8&gt;=DA$20,CX8&lt;&gt;"",CW8&gt;=DA$16,CW8&lt;&gt;""),AND(DS8&gt;=DV$20,DS8&lt;&gt;"",DR8&gt;=DV$16,DR8&lt;&gt;""),AND(EN8&gt;=EQ$20,EN8&lt;&gt;"",EM8&gt;=EQ$16,EM8&lt;&gt;""),AND(FI8&gt;=FL$20,FI8&lt;&gt;"",FH8&gt;=FL$16,FH8&lt;&gt;""),AND(GD8&gt;=GG$20,GD8&lt;&gt;"",GC8&gt;=GG$16,GC8&lt;&gt;""),AND(GY8&gt;=HB$20,GY8&lt;&gt;"",GX8&gt;=HB$16,GX8&lt;&gt;""),AND(HT8&gt;=HW$20,HT8&lt;&gt;"",HS8&gt;=HW$16,HS8&lt;&gt;""),AND(IO8&gt;=IR$20,IO8&lt;&gt;"",IN8&gt;=IR$16,IN8&lt;&gt;""),AND(JJ8&gt;=JM$20,JJ8&lt;&gt;"",JI8&gt;=JM$16,JI8&lt;&gt;""),AND(KE8&gt;=KH$20,KE8&lt;&gt;"",KD8&gt;=KH$16,KD8&lt;&gt;""),AND(KZ8&gt;=LC$20,KZ8&lt;&gt;"",KY8&gt;=LC$16,KY8&lt;&gt;""),AND(LU8&gt;=LX$20,LU8&lt;&gt;"",LT8&gt;=LX$16,LT8&lt;&gt;"")),"Merit",IF(OR(AND(AI8&gt;=AL$19,AI8&lt;&gt;"",AH8&gt;=AL$15,AH8&lt;&gt;"",AG8=""),AND(BE8&gt;=BH$19,BE8&lt;&gt;"",BD8&gt;=BH$15,BD8&lt;&gt;"",BC8=""),AND(CA8&gt;=CD$19,CA8&lt;&gt;"",BZ8&gt;=CD$15,BZ8&lt;&gt;"",BY8=""),AND(CX8&gt;=DA$19,CX8&lt;&gt;"",CW8&gt;=DA$15,CW8&lt;&gt;""),AND(DS8&gt;=DV$19,DS8&lt;&gt;"",DR8&gt;=DV$15,DR8&lt;&gt;""),AND(EN8&gt;=EQ$19,EN8&lt;&gt;"",EM8&gt;=EQ$15,EM8&lt;&gt;""),AND(FI8&gt;=FL$19,FI8&lt;&gt;"",FH8&gt;=FL$15,FH8&lt;&gt;""),AND(GD8&gt;=GG$19,GD8&lt;&gt;"",GC8&gt;=GG$15,GC8&lt;&gt;""),AND(GY8&gt;=HB$19,GY8&lt;&gt;"",GX8&gt;=HB$15,GX8&lt;&gt;""),AND(HT8&gt;=HW$19,HT8&lt;&gt;"",HS8&gt;=HW$15,HS8&lt;&gt;""),AND(IO8&gt;=IR$19,IO8&lt;&gt;"",IN8&gt;=IR$15,IN8&lt;&gt;""),AND(JJ8&gt;=JM$19,JJ8&lt;&gt;"",JI8&gt;=JM$15,JI8&lt;&gt;""),AND(KE8&gt;=KH$19,KE8&lt;&gt;"",KD8&gt;=KH$15,KD8&lt;&gt;""),AND(KZ8&gt;=LC$19,KZ8&lt;&gt;"",KY8&gt;=LC$15,KY8&lt;&gt;""),AND(LU8&gt;=LX$19,LU8&lt;&gt;"",LT8&gt;=LX$15,LT8&lt;&gt;"")),"Excellence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Worlds Team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National Team","")))))</f>
        <v/>
      </c>
      <c r="I8" s="3" t="str">
        <f>IF(OR(H8="Worlds Team",H8="Excellence",H8="Merit"),"P","")</f>
        <v/>
      </c>
      <c r="J8" s="14">
        <f>MAX(AI8,BE8,CA8)</f>
        <v>59.199999999999996</v>
      </c>
      <c r="K8" s="14" t="str">
        <f>IF(J8=0,"",IF(J8=CA8,$BI$1,IF(J8=BE8,$AM$1,IF(J8=AI8,$Q$1,""))))</f>
        <v>2021 Canadian Championships</v>
      </c>
      <c r="L8" s="14">
        <f>MAX(AK8,BG8,CC8)</f>
        <v>58.9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>IF(SUM(R8,V8)&gt;0,SUM(R8,V8),"")</f>
        <v/>
      </c>
      <c r="AI8" s="11" t="str">
        <f>IF(SUM(Q8:R8,T8:V8,X8)-S8-W8&gt;0,SUM(Q8:R8,T8:V8,X8)-S8-W8,"")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6">
        <v>23.1</v>
      </c>
      <c r="AN8" s="36">
        <v>4.0999999999999996</v>
      </c>
      <c r="AO8" s="36">
        <v>0.3</v>
      </c>
      <c r="AP8" s="36">
        <v>0.3</v>
      </c>
      <c r="AQ8" s="36">
        <v>24.7</v>
      </c>
      <c r="AR8" s="36">
        <v>3.9</v>
      </c>
      <c r="AS8" s="36">
        <v>0</v>
      </c>
      <c r="AT8" s="36">
        <v>0.3</v>
      </c>
      <c r="AU8" s="36">
        <v>23.2</v>
      </c>
      <c r="AV8" s="36">
        <v>1.9</v>
      </c>
      <c r="AW8" s="36">
        <v>0</v>
      </c>
      <c r="AX8" s="36">
        <v>0.3</v>
      </c>
      <c r="AY8" s="36">
        <v>22.9</v>
      </c>
      <c r="AZ8" s="36">
        <v>1.9</v>
      </c>
      <c r="BA8" s="36">
        <v>0</v>
      </c>
      <c r="BB8" s="36">
        <v>0.3</v>
      </c>
      <c r="BC8" s="73"/>
      <c r="BD8" s="14">
        <f>IF(SUM(AN8,AR8)&gt;0,SUM(AN8,AR8),"")</f>
        <v>8</v>
      </c>
      <c r="BE8" s="14">
        <f>IF(SUM(AM8:AN8,AP8:AR8,AT8)-AO8-AS8&gt;0,SUM(AM8:AN8,AP8:AR8,AT8)-AO8-AS8,"")</f>
        <v>56.1</v>
      </c>
      <c r="BF8" s="14">
        <f>IF(SUM(AV8,AZ8)&gt;0,SUM(AV8,AZ8),"")</f>
        <v>3.8</v>
      </c>
      <c r="BG8" s="14">
        <f>IF(SUM(AU8:AV8,AX8:AZ8,BB8)-SUM(AW8,BA8)&gt;0,SUM(AU8:AV8,AX8:AZ8,BB8)-SUM(AW8,BA8),"")</f>
        <v>50.499999999999993</v>
      </c>
      <c r="BH8" s="14">
        <f>IF(SUM(BE8,BG8)&gt;0,SUM(BE8,BG8),"")</f>
        <v>106.6</v>
      </c>
      <c r="BI8" s="61">
        <v>25.4</v>
      </c>
      <c r="BJ8" s="61">
        <v>4.0999999999999996</v>
      </c>
      <c r="BK8" s="61">
        <v>0</v>
      </c>
      <c r="BL8" s="61">
        <v>0.3</v>
      </c>
      <c r="BM8" s="61">
        <v>25.2</v>
      </c>
      <c r="BN8" s="61">
        <v>3.9</v>
      </c>
      <c r="BO8" s="61">
        <v>0</v>
      </c>
      <c r="BP8" s="61">
        <v>0.3</v>
      </c>
      <c r="BQ8" s="61">
        <v>24.9</v>
      </c>
      <c r="BR8" s="61">
        <v>4.0999999999999996</v>
      </c>
      <c r="BS8" s="61">
        <v>0</v>
      </c>
      <c r="BT8" s="61">
        <v>0.3</v>
      </c>
      <c r="BU8" s="61">
        <v>25.4</v>
      </c>
      <c r="BV8" s="61">
        <v>3.9</v>
      </c>
      <c r="BW8" s="61">
        <v>0</v>
      </c>
      <c r="BX8" s="61">
        <v>0.3</v>
      </c>
      <c r="BY8" s="72"/>
      <c r="BZ8" s="11">
        <f>IF(SUM(BJ8,BN8)&gt;0,SUM(BJ8,BN8),"")</f>
        <v>8</v>
      </c>
      <c r="CA8" s="11">
        <f>IF(SUM(BI8:BJ8,BL8:BN8,BP8)-BK8-BO8&gt;0,SUM(BI8:BJ8,BL8:BN8,BP8)-BK8-BO8,"")</f>
        <v>59.199999999999996</v>
      </c>
      <c r="CB8" s="11">
        <f>IF(SUM(BR8,BV8)&gt;0,SUM(BR8,BV8),"")</f>
        <v>8</v>
      </c>
      <c r="CC8" s="11">
        <f>IF(SUM(BQ8:BR8,BT8:BV8,BX8)-SUM(BS8,BW8)&gt;0,SUM(BQ8:BR8,BT8:BV8,BX8)-SUM(BS8,BW8),"")</f>
        <v>58.9</v>
      </c>
      <c r="CD8" s="11">
        <f>IF(SUM(CA8,CC8)&gt;0,SUM(CA8,CC8),"")</f>
        <v>118.1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/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24.25</v>
      </c>
      <c r="LZ8" s="61">
        <f>IF($BY8="P",BJ8,(BJ8+AN8)/2)</f>
        <v>4.0999999999999996</v>
      </c>
      <c r="MA8" s="61">
        <f>IF($BY8="P",BK8,(BK8+AO8)/2)</f>
        <v>0.15</v>
      </c>
      <c r="MB8" s="61">
        <f>IF($BY8="P",BL8,(BL8+AP8)/2)</f>
        <v>0.3</v>
      </c>
      <c r="MC8" s="61">
        <f>IF($BY8="P",BM8,(BM8+AQ8)/2)</f>
        <v>24.95</v>
      </c>
      <c r="MD8" s="61">
        <f>IF($BY8="P",BN8,(BN8+AR8)/2)</f>
        <v>3.9</v>
      </c>
      <c r="ME8" s="61">
        <f>IF($BY8="P",BO8,(BO8+AS8)/2)</f>
        <v>0</v>
      </c>
      <c r="MF8" s="61">
        <f>IF($BY8="P",BP8,(BP8+AT8)/2)</f>
        <v>0.3</v>
      </c>
      <c r="MG8" s="61">
        <f>IF($BY8="P",BQ8,(BQ8+AU8)/2)</f>
        <v>24.049999999999997</v>
      </c>
      <c r="MH8" s="61">
        <f>IF($BY8="P",BR8,(BR8+AV8)/2)</f>
        <v>3</v>
      </c>
      <c r="MI8" s="61">
        <f>IF($BY8="P",BS8,(BS8+AW8)/2)</f>
        <v>0</v>
      </c>
      <c r="MJ8" s="61">
        <f>IF($BY8="P",BT8,(BT8+AX8)/2)</f>
        <v>0.3</v>
      </c>
      <c r="MK8" s="61">
        <f>IF($BY8="P",BU8,(BU8+AY8)/2)</f>
        <v>24.15</v>
      </c>
      <c r="ML8" s="61">
        <f>IF($BY8="P",BV8,(BV8+AZ8)/2)</f>
        <v>2.9</v>
      </c>
      <c r="MM8" s="61">
        <f>IF($BY8="P",BW8,(BW8+BA8)/2)</f>
        <v>0</v>
      </c>
      <c r="MN8" s="61">
        <f>IF($BY8="P",BX8,(BX8+BB8)/2)</f>
        <v>0.3</v>
      </c>
      <c r="MO8" s="72" t="s">
        <v>52</v>
      </c>
      <c r="MP8" s="11">
        <f>IF(SUM(LZ8,MD8)&gt;0,SUM(LZ8,MD8),"")</f>
        <v>8</v>
      </c>
      <c r="MQ8" s="11">
        <f>IF(SUM(LY8:LZ8,MB8:MD8,MF8)-MA8-ME8&gt;0,SUM(LY8:LZ8,MB8:MD8,MF8)-MA8-ME8,"")</f>
        <v>57.65</v>
      </c>
      <c r="MR8" s="11">
        <f>IF(SUM(MH8,ML8)&gt;0,SUM(MH8,ML8),"")</f>
        <v>5.9</v>
      </c>
      <c r="MS8" s="11">
        <f>IF(SUM(MG8:MH8,MJ8:ML8,MN8)-SUM(MI8,MM8)&gt;0,SUM(MG8:MH8,MJ8:ML8,MN8)-SUM(MI8,MM8),"")</f>
        <v>54.699999999999996</v>
      </c>
      <c r="MT8" s="11">
        <f>IF(SUM(MQ8,MS8)&gt;0,SUM(MQ8,MS8),"")</f>
        <v>112.35</v>
      </c>
    </row>
    <row r="9" spans="1:358" x14ac:dyDescent="0.2">
      <c r="A9" s="5" t="str">
        <f>IF(AND(F9="P",G9="P"),SUMPRODUCT((F$4:F$11="P")*(G$4:G$11="P")*(E$4:E$11&gt;E9))+1,IF(G9="P",SUMPRODUCT((F$4:F$11="")*(G$4:G$11="P")*(E$4:E$11&gt;E9))+1+SUMPRODUCT((F$4:F$11="P")*(G$4:G$11="P")),""))</f>
        <v/>
      </c>
      <c r="B9" s="8" t="s">
        <v>123</v>
      </c>
      <c r="C9" s="4" t="s">
        <v>4</v>
      </c>
      <c r="D9" s="26">
        <v>2004</v>
      </c>
      <c r="E9" s="15">
        <f>SUM(J9:N9)</f>
        <v>105.5</v>
      </c>
      <c r="F9" s="3" t="str">
        <f>IF(OR(AND(AH9&gt;=AL$13,AI9&gt;=AL$17,AI9&lt;&gt;"",AG9=""),AND(BD9&gt;=BH$13,BE9&gt;=BH$17,BE9&lt;&gt;"",BC9=""),AND(BZ9&gt;=CD$13,CA9&gt;=CD$17,CA9&lt;&gt;"",BY9=""),AND(CW9&gt;=DA$13,CX9&gt;=DA$17,CX9&lt;&gt;""),AND(DR9&gt;=DV$13,DS9&gt;=DV$17,DS9&lt;&gt;""),AND(EM9&gt;=EQ$13,EN9&gt;=EQ$17,EN9&lt;&gt;""),AND(FH9&gt;=FL$13,FI9&gt;=FL$17,FI9&lt;&gt;""),AND(GC9&gt;=GG$13,GD9&gt;=GG$17,GD9&lt;&gt;""),AND(GX9&gt;=HB$13,GY9&gt;=HB$17,GY9&lt;&gt;""),AND(HS9&gt;=HW$13,HT9&gt;=HW$17,HT9&lt;&gt;""),AND(IN9&gt;=IR$13,IO9&gt;=IR$17,IO9&lt;&gt;""),AND(JI9&gt;=JM$13,JJ9&gt;=JM$17,JJ9&lt;&gt;""),AND(KD9&gt;=KH$13,KE9&gt;=KH$17,KE9&lt;&gt;""),AND(KY9&gt;=LC$13,KZ9&gt;=LC$17,KZ9&lt;&gt;""),AND(LT9&gt;=LX$13,LU9&gt;=LX$17,LU9&lt;&gt;"")),"P","")</f>
        <v/>
      </c>
      <c r="G9" s="3" t="str">
        <f>IF(OR(AND(AI9&gt;=AL$17,AI9&lt;&gt;"",AG9=""),AND(BE9&gt;=BH$17,BE9&lt;&gt;"",BC9=""),AND(CA9&gt;=CD$17,CA9&lt;&gt;"",BY9=""),AND(CX9&gt;=DA$17,CX9&lt;&gt;""),AND(DS9&gt;=DV$17,DS9&lt;&gt;""),AND(EN9&gt;=EQ$17,EN9&lt;&gt;""),AND(FI9&gt;=FL$17,FI9&lt;&gt;""),AND(GD9&gt;=GG$17,GD9&lt;&gt;""),AND(GY9&gt;=HB$17,GY9&lt;&gt;""),AND(HT9&gt;=HW$17,HT9&lt;&gt;""),AND(IO9&gt;=IR$17,IO9&lt;&gt;""),AND(JJ9&gt;=JM$17,JJ9&lt;&gt;""),AND(KE9&gt;=KH$17,KE9&lt;&gt;""),AND(KZ9&gt;=LC$17,KZ9&lt;&gt;""),AND(LU9&gt;=LX$17,LU9&lt;&gt;"")),"P","")</f>
        <v/>
      </c>
      <c r="H9" s="116" t="str">
        <f>IF(AND(G9="P",F9=""),"No DD",IF(OR(AND(AI9&gt;=AL$20,AI9&lt;&gt;"",AH9&gt;=AL$16,AH9&lt;&gt;"",AG9=""),AND(BE9&gt;=BH$20,BE9&lt;&gt;"",BD9&gt;=BH$16,BD9&lt;&gt;"",BC9=""),AND(CA9&gt;=CD$20,CA9&lt;&gt;"",BZ9&gt;=CD$16,BZ9&lt;&gt;"",BY9=""),AND(CX9&gt;=DA$20,CX9&lt;&gt;"",CW9&gt;=DA$16,CW9&lt;&gt;""),AND(DS9&gt;=DV$20,DS9&lt;&gt;"",DR9&gt;=DV$16,DR9&lt;&gt;""),AND(EN9&gt;=EQ$20,EN9&lt;&gt;"",EM9&gt;=EQ$16,EM9&lt;&gt;""),AND(FI9&gt;=FL$20,FI9&lt;&gt;"",FH9&gt;=FL$16,FH9&lt;&gt;""),AND(GD9&gt;=GG$20,GD9&lt;&gt;"",GC9&gt;=GG$16,GC9&lt;&gt;""),AND(GY9&gt;=HB$20,GY9&lt;&gt;"",GX9&gt;=HB$16,GX9&lt;&gt;""),AND(HT9&gt;=HW$20,HT9&lt;&gt;"",HS9&gt;=HW$16,HS9&lt;&gt;""),AND(IO9&gt;=IR$20,IO9&lt;&gt;"",IN9&gt;=IR$16,IN9&lt;&gt;""),AND(JJ9&gt;=JM$20,JJ9&lt;&gt;"",JI9&gt;=JM$16,JI9&lt;&gt;""),AND(KE9&gt;=KH$20,KE9&lt;&gt;"",KD9&gt;=KH$16,KD9&lt;&gt;""),AND(KZ9&gt;=LC$20,KZ9&lt;&gt;"",KY9&gt;=LC$16,KY9&lt;&gt;""),AND(LU9&gt;=LX$20,LU9&lt;&gt;"",LT9&gt;=LX$16,LT9&lt;&gt;"")),"Merit",IF(OR(AND(AI9&gt;=AL$19,AI9&lt;&gt;"",AH9&gt;=AL$15,AH9&lt;&gt;"",AG9=""),AND(BE9&gt;=BH$19,BE9&lt;&gt;"",BD9&gt;=BH$15,BD9&lt;&gt;"",BC9=""),AND(CA9&gt;=CD$19,CA9&lt;&gt;"",BZ9&gt;=CD$15,BZ9&lt;&gt;"",BY9=""),AND(CX9&gt;=DA$19,CX9&lt;&gt;"",CW9&gt;=DA$15,CW9&lt;&gt;""),AND(DS9&gt;=DV$19,DS9&lt;&gt;"",DR9&gt;=DV$15,DR9&lt;&gt;""),AND(EN9&gt;=EQ$19,EN9&lt;&gt;"",EM9&gt;=EQ$15,EM9&lt;&gt;""),AND(FI9&gt;=FL$19,FI9&lt;&gt;"",FH9&gt;=FL$15,FH9&lt;&gt;""),AND(GD9&gt;=GG$19,GD9&lt;&gt;"",GC9&gt;=GG$15,GC9&lt;&gt;""),AND(GY9&gt;=HB$19,GY9&lt;&gt;"",GX9&gt;=HB$15,GX9&lt;&gt;""),AND(HT9&gt;=HW$19,HT9&lt;&gt;"",HS9&gt;=HW$15,HS9&lt;&gt;""),AND(IO9&gt;=IR$19,IO9&lt;&gt;"",IN9&gt;=IR$15,IN9&lt;&gt;""),AND(JJ9&gt;=JM$19,JJ9&lt;&gt;"",JI9&gt;=JM$15,JI9&lt;&gt;""),AND(KE9&gt;=KH$19,KE9&lt;&gt;"",KD9&gt;=KH$15,KD9&lt;&gt;""),AND(KZ9&gt;=LC$19,KZ9&lt;&gt;"",KY9&gt;=LC$15,KY9&lt;&gt;""),AND(LU9&gt;=LX$19,LU9&lt;&gt;"",LT9&gt;=LX$15,LT9&lt;&gt;"")),"Excellence",IF(OR(AND(AI9&gt;=AL$18,AI9&lt;&gt;"",AH9&gt;=AL$14,AH9&lt;&gt;"",AG9=""),AND(BE9&gt;=BH$18,BE9&lt;&gt;"",BD9&gt;=BH$14,BD9&lt;&gt;"",BC9=""),AND(CA9&gt;=CD$18,CA9&lt;&gt;"",BZ9&gt;=CD$14,BZ9&lt;&gt;"",BY9=""),AND(CX9&gt;=DA$18,CX9&lt;&gt;"",CW9&gt;=DA$14,CW9&lt;&gt;""),AND(DS9&gt;=DV$18,DS9&lt;&gt;"",DR9&gt;=DV$14,DR9&lt;&gt;""),AND(EN9&gt;=EQ$18,EN9&lt;&gt;"",EM9&gt;=EQ$14,EM9&lt;&gt;""),AND(FI9&gt;=FL$18,FI9&lt;&gt;"",FH9&gt;=FL$14,FH9&lt;&gt;""),AND(GD9&gt;=GG$18,GD9&lt;&gt;"",GC9&gt;=GG$14,GC9&lt;&gt;""),AND(GY9&gt;=HB$18,GY9&lt;&gt;"",GX9&gt;=HB$14,GX9&lt;&gt;""),AND(HT9&gt;=HW$18,HT9&lt;&gt;"",HS9&gt;=HW$14,HS9&lt;&gt;""),AND(IO9&gt;=IR$18,IO9&lt;&gt;"",IN9&gt;=IR$14,IN9&lt;&gt;""),AND(JJ9&gt;=JM$18,JJ9&lt;&gt;"",JI9&gt;=JM$14,JI9&lt;&gt;""),AND(KE9&gt;=KH$18,KE9&lt;&gt;"",KD9&gt;=KH$14,KD9&lt;&gt;""),AND(KZ9&gt;=LC$18,KZ9&lt;&gt;"",KY9&gt;=LC$14,KY9&lt;&gt;""),AND(LU9&gt;=LX$18,LU9&lt;&gt;"",LT9&gt;=LX$14,LT9&lt;&gt;"")),"Worlds Team",IF(OR(AND(AI9&gt;=AL$17,AI9&lt;&gt;"",AH9&gt;=AL$13,AH9&lt;&gt;"",AG9=""),AND(BE9&gt;=BH$17,BE9&lt;&gt;"",BD9&gt;=BH$13,BD9&lt;&gt;"",BC9=""),AND(CA9&gt;=CD$17,CA9&lt;&gt;"",BZ9&gt;=CD$13,BZ9&lt;&gt;"",BY9=""),AND(CX9&gt;=DA$17,CX9&lt;&gt;"",CW9&gt;=DA$13,CW9&lt;&gt;""),AND(DS9&gt;=DV$17,DS9&lt;&gt;"",DR9&gt;=DV$13,DR9&lt;&gt;""),AND(EN9&gt;=EQ$17,EN9&lt;&gt;"",EM9&gt;=EQ$13,EM9&lt;&gt;""),AND(FI9&gt;=FL$17,FI9&lt;&gt;"",FH9&gt;=FL$13,FH9&lt;&gt;""),AND(GD9&gt;=GG$17,GD9&lt;&gt;"",GC9&gt;=GG$13,GC9&lt;&gt;""),AND(GY9&gt;=HB$17,GY9&lt;&gt;"",GX9&gt;=HB$13,GX9&lt;&gt;""),AND(HT9&gt;=HW$17,HT9&lt;&gt;"",HS9&gt;=HW$13,HS9&lt;&gt;""),AND(IO9&gt;=IR$17,IO9&lt;&gt;"",IN9&gt;=IR$13,IN9&lt;&gt;""),AND(JJ9&gt;=JM$17,JJ9&lt;&gt;"",JI9&gt;=JM$13,JI9&lt;&gt;""),AND(KE9&gt;=KH$17,KE9&lt;&gt;"",KD9&gt;=KH$13,KD9&lt;&gt;""),AND(KZ9&gt;=LC$17,KZ9&lt;&gt;"",KY9&gt;=LC$13,KY9&lt;&gt;""),AND(LU9&gt;=LX$17,LU9&lt;&gt;"",LT9&gt;=LX$13,LT9&lt;&gt;"")),"National Team","")))))</f>
        <v/>
      </c>
      <c r="I9" s="3" t="str">
        <f>IF(OR(H9="Worlds Team",H9="Excellence",H9="Merit"),"P","")</f>
        <v/>
      </c>
      <c r="J9" s="14">
        <f>MAX(AI9,BE9,CA9)</f>
        <v>50</v>
      </c>
      <c r="K9" s="14" t="str">
        <f>IF(J9=0,"",IF(J9=CA9,$BI$1,IF(J9=BE9,$AM$1,IF(J9=AI9,$Q$1,""))))</f>
        <v>2021 2nd Virtual Technical Trial</v>
      </c>
      <c r="L9" s="14">
        <f>MAX(AK9,BG9,CC9)</f>
        <v>55.500000000000007</v>
      </c>
      <c r="M9" s="14" t="str">
        <f>IF(L9=0,"",IF(J9=CC9,$BI$1,IF(L9=BG9,$AM$1,IF(L9=AK9,$Q$1,""))))</f>
        <v>2021 2nd Virtual Technical Trial</v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61">
        <v>21.8</v>
      </c>
      <c r="R9" s="61">
        <v>4.4000000000000004</v>
      </c>
      <c r="S9" s="61">
        <v>0.6</v>
      </c>
      <c r="T9" s="61">
        <v>0.3</v>
      </c>
      <c r="U9" s="61">
        <v>22.8</v>
      </c>
      <c r="V9" s="61">
        <v>1.3</v>
      </c>
      <c r="W9" s="61">
        <v>0</v>
      </c>
      <c r="X9" s="61">
        <v>0</v>
      </c>
      <c r="Y9" s="61">
        <v>23</v>
      </c>
      <c r="Z9" s="61">
        <v>4</v>
      </c>
      <c r="AA9" s="61">
        <v>0</v>
      </c>
      <c r="AB9" s="61">
        <v>0.3</v>
      </c>
      <c r="AC9" s="61">
        <v>24.9</v>
      </c>
      <c r="AD9" s="61">
        <v>3.6</v>
      </c>
      <c r="AE9" s="61">
        <v>0.3</v>
      </c>
      <c r="AF9" s="61">
        <v>0</v>
      </c>
      <c r="AG9" s="72"/>
      <c r="AH9" s="11">
        <f>IF(SUM(R9,V9)&gt;0,SUM(R9,V9),"")</f>
        <v>5.7</v>
      </c>
      <c r="AI9" s="11">
        <f>IF(SUM(Q9:R9,T9:V9,X9)-S9-W9&gt;0,SUM(Q9:R9,T9:V9,X9)-S9-W9,"")</f>
        <v>50</v>
      </c>
      <c r="AJ9" s="11">
        <f>IF(SUM(Z9,AD9)&gt;0,SUM(Z9,AD9),"")</f>
        <v>7.6</v>
      </c>
      <c r="AK9" s="11">
        <f>IF(SUM(Y9:Z9,AB9:AD9,AF9)-SUM(AA9,AE9)&gt;0,SUM(Y9:Z9,AB9:AD9,AF9)-SUM(AA9,AE9),"")</f>
        <v>55.500000000000007</v>
      </c>
      <c r="AL9" s="11">
        <f>IF(SUM(AI9,AK9)&gt;0,SUM(AI9,AK9),"")</f>
        <v>105.5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/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IF(AND(F10="P",G10="P"),SUMPRODUCT((F$4:F$11="P")*(G$4:G$11="P")*(E$4:E$11&gt;E10))+1,IF(G10="P",SUMPRODUCT((F$4:F$11="")*(G$4:G$11="P")*(E$4:E$11&gt;E10))+1+SUMPRODUCT((F$4:F$11="P")*(G$4:G$11="P")),""))</f>
        <v/>
      </c>
      <c r="B10" s="8" t="s">
        <v>86</v>
      </c>
      <c r="C10" s="4" t="s">
        <v>3</v>
      </c>
      <c r="D10" s="26">
        <v>2004</v>
      </c>
      <c r="E10" s="15">
        <f>SUM(J10:N10)</f>
        <v>53.9</v>
      </c>
      <c r="F10" s="3" t="str">
        <f>IF(OR(AND(AH10&gt;=AL$13,AI10&gt;=AL$17,AI10&lt;&gt;"",AG10=""),AND(BD10&gt;=BH$13,BE10&gt;=BH$17,BE10&lt;&gt;"",BC10=""),AND(BZ10&gt;=CD$13,CA10&gt;=CD$17,CA10&lt;&gt;"",BY10=""),AND(CW10&gt;=DA$13,CX10&gt;=DA$17,CX10&lt;&gt;""),AND(DR10&gt;=DV$13,DS10&gt;=DV$17,DS10&lt;&gt;""),AND(EM10&gt;=EQ$13,EN10&gt;=EQ$17,EN10&lt;&gt;""),AND(FH10&gt;=FL$13,FI10&gt;=FL$17,FI10&lt;&gt;""),AND(GC10&gt;=GG$13,GD10&gt;=GG$17,GD10&lt;&gt;""),AND(GX10&gt;=HB$13,GY10&gt;=HB$17,GY10&lt;&gt;""),AND(HS10&gt;=HW$13,HT10&gt;=HW$17,HT10&lt;&gt;""),AND(IN10&gt;=IR$13,IO10&gt;=IR$17,IO10&lt;&gt;""),AND(JI10&gt;=JM$13,JJ10&gt;=JM$17,JJ10&lt;&gt;""),AND(KD10&gt;=KH$13,KE10&gt;=KH$17,KE10&lt;&gt;""),AND(KY10&gt;=LC$13,KZ10&gt;=LC$17,KZ10&lt;&gt;""),AND(LT10&gt;=LX$13,LU10&gt;=LX$17,LU10&lt;&gt;"")),"P","")</f>
        <v/>
      </c>
      <c r="G10" s="3" t="str">
        <f>IF(OR(AND(AI10&gt;=AL$17,AI10&lt;&gt;"",AG10=""),AND(BE10&gt;=BH$17,BE10&lt;&gt;"",BC10=""),AND(CA10&gt;=CD$17,CA10&lt;&gt;"",BY10=""),AND(CX10&gt;=DA$17,CX10&lt;&gt;""),AND(DS10&gt;=DV$17,DS10&lt;&gt;""),AND(EN10&gt;=EQ$17,EN10&lt;&gt;""),AND(FI10&gt;=FL$17,FI10&lt;&gt;""),AND(GD10&gt;=GG$17,GD10&lt;&gt;""),AND(GY10&gt;=HB$17,GY10&lt;&gt;""),AND(HT10&gt;=HW$17,HT10&lt;&gt;""),AND(IO10&gt;=IR$17,IO10&lt;&gt;""),AND(JJ10&gt;=JM$17,JJ10&lt;&gt;""),AND(KE10&gt;=KH$17,KE10&lt;&gt;""),AND(KZ10&gt;=LC$17,KZ10&lt;&gt;""),AND(LU10&gt;=LX$17,LU10&lt;&gt;"")),"P","")</f>
        <v/>
      </c>
      <c r="H10" s="116" t="str">
        <f>IF(AND(G10="P",F10=""),"No DD",IF(OR(AND(AI10&gt;=AL$20,AI10&lt;&gt;"",AH10&gt;=AL$16,AH10&lt;&gt;"",AG10=""),AND(BE10&gt;=BH$20,BE10&lt;&gt;"",BD10&gt;=BH$16,BD10&lt;&gt;"",BC10=""),AND(CA10&gt;=CD$20,CA10&lt;&gt;"",BZ10&gt;=CD$16,BZ10&lt;&gt;"",BY10=""),AND(CX10&gt;=DA$20,CX10&lt;&gt;"",CW10&gt;=DA$16,CW10&lt;&gt;""),AND(DS10&gt;=DV$20,DS10&lt;&gt;"",DR10&gt;=DV$16,DR10&lt;&gt;""),AND(EN10&gt;=EQ$20,EN10&lt;&gt;"",EM10&gt;=EQ$16,EM10&lt;&gt;""),AND(FI10&gt;=FL$20,FI10&lt;&gt;"",FH10&gt;=FL$16,FH10&lt;&gt;""),AND(GD10&gt;=GG$20,GD10&lt;&gt;"",GC10&gt;=GG$16,GC10&lt;&gt;""),AND(GY10&gt;=HB$20,GY10&lt;&gt;"",GX10&gt;=HB$16,GX10&lt;&gt;""),AND(HT10&gt;=HW$20,HT10&lt;&gt;"",HS10&gt;=HW$16,HS10&lt;&gt;""),AND(IO10&gt;=IR$20,IO10&lt;&gt;"",IN10&gt;=IR$16,IN10&lt;&gt;""),AND(JJ10&gt;=JM$20,JJ10&lt;&gt;"",JI10&gt;=JM$16,JI10&lt;&gt;""),AND(KE10&gt;=KH$20,KE10&lt;&gt;"",KD10&gt;=KH$16,KD10&lt;&gt;""),AND(KZ10&gt;=LC$20,KZ10&lt;&gt;"",KY10&gt;=LC$16,KY10&lt;&gt;""),AND(LU10&gt;=LX$20,LU10&lt;&gt;"",LT10&gt;=LX$16,LT10&lt;&gt;"")),"Merit",IF(OR(AND(AI10&gt;=AL$19,AI10&lt;&gt;"",AH10&gt;=AL$15,AH10&lt;&gt;"",AG10=""),AND(BE10&gt;=BH$19,BE10&lt;&gt;"",BD10&gt;=BH$15,BD10&lt;&gt;"",BC10=""),AND(CA10&gt;=CD$19,CA10&lt;&gt;"",BZ10&gt;=CD$15,BZ10&lt;&gt;"",BY10=""),AND(CX10&gt;=DA$19,CX10&lt;&gt;"",CW10&gt;=DA$15,CW10&lt;&gt;""),AND(DS10&gt;=DV$19,DS10&lt;&gt;"",DR10&gt;=DV$15,DR10&lt;&gt;""),AND(EN10&gt;=EQ$19,EN10&lt;&gt;"",EM10&gt;=EQ$15,EM10&lt;&gt;""),AND(FI10&gt;=FL$19,FI10&lt;&gt;"",FH10&gt;=FL$15,FH10&lt;&gt;""),AND(GD10&gt;=GG$19,GD10&lt;&gt;"",GC10&gt;=GG$15,GC10&lt;&gt;""),AND(GY10&gt;=HB$19,GY10&lt;&gt;"",GX10&gt;=HB$15,GX10&lt;&gt;""),AND(HT10&gt;=HW$19,HT10&lt;&gt;"",HS10&gt;=HW$15,HS10&lt;&gt;""),AND(IO10&gt;=IR$19,IO10&lt;&gt;"",IN10&gt;=IR$15,IN10&lt;&gt;""),AND(JJ10&gt;=JM$19,JJ10&lt;&gt;"",JI10&gt;=JM$15,JI10&lt;&gt;""),AND(KE10&gt;=KH$19,KE10&lt;&gt;"",KD10&gt;=KH$15,KD10&lt;&gt;""),AND(KZ10&gt;=LC$19,KZ10&lt;&gt;"",KY10&gt;=LC$15,KY10&lt;&gt;""),AND(LU10&gt;=LX$19,LU10&lt;&gt;"",LT10&gt;=LX$15,LT10&lt;&gt;"")),"Excellence",IF(OR(AND(AI10&gt;=AL$18,AI10&lt;&gt;"",AH10&gt;=AL$14,AH10&lt;&gt;"",AG10=""),AND(BE10&gt;=BH$18,BE10&lt;&gt;"",BD10&gt;=BH$14,BD10&lt;&gt;"",BC10=""),AND(CA10&gt;=CD$18,CA10&lt;&gt;"",BZ10&gt;=CD$14,BZ10&lt;&gt;"",BY10=""),AND(CX10&gt;=DA$18,CX10&lt;&gt;"",CW10&gt;=DA$14,CW10&lt;&gt;""),AND(DS10&gt;=DV$18,DS10&lt;&gt;"",DR10&gt;=DV$14,DR10&lt;&gt;""),AND(EN10&gt;=EQ$18,EN10&lt;&gt;"",EM10&gt;=EQ$14,EM10&lt;&gt;""),AND(FI10&gt;=FL$18,FI10&lt;&gt;"",FH10&gt;=FL$14,FH10&lt;&gt;""),AND(GD10&gt;=GG$18,GD10&lt;&gt;"",GC10&gt;=GG$14,GC10&lt;&gt;""),AND(GY10&gt;=HB$18,GY10&lt;&gt;"",GX10&gt;=HB$14,GX10&lt;&gt;""),AND(HT10&gt;=HW$18,HT10&lt;&gt;"",HS10&gt;=HW$14,HS10&lt;&gt;""),AND(IO10&gt;=IR$18,IO10&lt;&gt;"",IN10&gt;=IR$14,IN10&lt;&gt;""),AND(JJ10&gt;=JM$18,JJ10&lt;&gt;"",JI10&gt;=JM$14,JI10&lt;&gt;""),AND(KE10&gt;=KH$18,KE10&lt;&gt;"",KD10&gt;=KH$14,KD10&lt;&gt;""),AND(KZ10&gt;=LC$18,KZ10&lt;&gt;"",KY10&gt;=LC$14,KY10&lt;&gt;""),AND(LU10&gt;=LX$18,LU10&lt;&gt;"",LT10&gt;=LX$14,LT10&lt;&gt;"")),"Worlds Team",IF(OR(AND(AI10&gt;=AL$17,AI10&lt;&gt;"",AH10&gt;=AL$13,AH10&lt;&gt;"",AG10=""),AND(BE10&gt;=BH$17,BE10&lt;&gt;"",BD10&gt;=BH$13,BD10&lt;&gt;"",BC10=""),AND(CA10&gt;=CD$17,CA10&lt;&gt;"",BZ10&gt;=CD$13,BZ10&lt;&gt;"",BY10=""),AND(CX10&gt;=DA$17,CX10&lt;&gt;"",CW10&gt;=DA$13,CW10&lt;&gt;""),AND(DS10&gt;=DV$17,DS10&lt;&gt;"",DR10&gt;=DV$13,DR10&lt;&gt;""),AND(EN10&gt;=EQ$17,EN10&lt;&gt;"",EM10&gt;=EQ$13,EM10&lt;&gt;""),AND(FI10&gt;=FL$17,FI10&lt;&gt;"",FH10&gt;=FL$13,FH10&lt;&gt;""),AND(GD10&gt;=GG$17,GD10&lt;&gt;"",GC10&gt;=GG$13,GC10&lt;&gt;""),AND(GY10&gt;=HB$17,GY10&lt;&gt;"",GX10&gt;=HB$13,GX10&lt;&gt;""),AND(HT10&gt;=HW$17,HT10&lt;&gt;"",HS10&gt;=HW$13,HS10&lt;&gt;""),AND(IO10&gt;=IR$17,IO10&lt;&gt;"",IN10&gt;=IR$13,IN10&lt;&gt;""),AND(JJ10&gt;=JM$17,JJ10&lt;&gt;"",JI10&gt;=JM$13,JI10&lt;&gt;""),AND(KE10&gt;=KH$17,KE10&lt;&gt;"",KD10&gt;=KH$13,KD10&lt;&gt;""),AND(KZ10&gt;=LC$17,KZ10&lt;&gt;"",KY10&gt;=LC$13,KY10&lt;&gt;""),AND(LU10&gt;=LX$17,LU10&lt;&gt;"",LT10&gt;=LX$13,LT10&lt;&gt;"")),"National Team","")))))</f>
        <v/>
      </c>
      <c r="I10" s="3" t="str">
        <f>IF(OR(H10="Worlds Team",H10="Excellence",H10="Merit"),"P","")</f>
        <v/>
      </c>
      <c r="J10" s="14">
        <f>MAX(AI10,BE10,CA10)</f>
        <v>53.9</v>
      </c>
      <c r="K10" s="14" t="str">
        <f>IF(J10=0,"",IF(J10=CA10,$BI$1,IF(J10=BE10,$AM$1,IF(J10=AI10,$Q$1,""))))</f>
        <v>2021 Elite Canada</v>
      </c>
      <c r="L10" s="14">
        <f>MAX(AK10,BG10,CC10)</f>
        <v>0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>IF(SUM(R10,V10)&gt;0,SUM(R10,V10),"")</f>
        <v/>
      </c>
      <c r="AI10" s="11" t="str">
        <f>IF(SUM(Q10:R10,T10:V10,X10)-S10-W10&gt;0,SUM(Q10:R10,T10:V10,X10)-S10-W10,"")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>
        <v>25.2</v>
      </c>
      <c r="AN10" s="36">
        <v>3.2</v>
      </c>
      <c r="AO10" s="36">
        <v>0.2</v>
      </c>
      <c r="AP10" s="36">
        <v>0</v>
      </c>
      <c r="AQ10" s="36">
        <v>25.6</v>
      </c>
      <c r="AR10" s="36">
        <v>3.4</v>
      </c>
      <c r="AS10" s="36">
        <v>3.3</v>
      </c>
      <c r="AT10" s="36">
        <v>0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6.6</v>
      </c>
      <c r="BE10" s="14">
        <f>IF(SUM(AM10:AN10,AP10:AR10,AT10)-AO10-AS10&gt;0,SUM(AM10:AN10,AP10:AR10,AT10)-AO10-AS10,"")</f>
        <v>53.9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53.9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>IF(SUM(BJ10,BN10)&gt;0,SUM(BJ10,BN10),"")</f>
        <v/>
      </c>
      <c r="CA10" s="11" t="str">
        <f>IF(SUM(BI10:BJ10,BL10:BN10,BP10)-BK10-BO10&gt;0,SUM(BI10:BJ10,BL10:BN10,BP10)-BK10-BO10,"")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/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12.6</v>
      </c>
      <c r="LZ10" s="61">
        <f>IF($BY10="P",BJ10,(BJ10+AN10)/2)</f>
        <v>1.6</v>
      </c>
      <c r="MA10" s="61">
        <f>IF($BY10="P",BK10,(BK10+AO10)/2)</f>
        <v>0.1</v>
      </c>
      <c r="MB10" s="61">
        <f>IF($BY10="P",BL10,(BL10+AP10)/2)</f>
        <v>0</v>
      </c>
      <c r="MC10" s="61">
        <f>IF($BY10="P",BM10,(BM10+AQ10)/2)</f>
        <v>12.8</v>
      </c>
      <c r="MD10" s="61">
        <f>IF($BY10="P",BN10,(BN10+AR10)/2)</f>
        <v>1.7</v>
      </c>
      <c r="ME10" s="61">
        <f>IF($BY10="P",BO10,(BO10+AS10)/2)</f>
        <v>1.65</v>
      </c>
      <c r="MF10" s="61">
        <f>IF($BY10="P",BP10,(BP10+AT10)/2)</f>
        <v>0</v>
      </c>
      <c r="MG10" s="61">
        <f>IF($BY10="P",BQ10,(BQ10+AU10)/2)</f>
        <v>0</v>
      </c>
      <c r="MH10" s="61">
        <f>IF($BY10="P",BR10,(BR10+AV10)/2)</f>
        <v>0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0</v>
      </c>
      <c r="ML10" s="61">
        <f>IF($BY10="P",BV10,(BV10+AZ10)/2)</f>
        <v>0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3.3</v>
      </c>
      <c r="MQ10" s="11">
        <f>IF(SUM(LY10:LZ10,MB10:MD10,MF10)-MA10-ME10&gt;0,SUM(LY10:LZ10,MB10:MD10,MF10)-MA10-ME10,"")</f>
        <v>26.95</v>
      </c>
      <c r="MR10" s="11" t="str">
        <f>IF(SUM(MH10,ML10)&gt;0,SUM(MH10,ML10),"")</f>
        <v/>
      </c>
      <c r="MS10" s="11" t="str">
        <f>IF(SUM(MG10:MH10,MJ10:ML10,MN10)-SUM(MI10,MM10)&gt;0,SUM(MG10:MH10,MJ10:ML10,MN10)-SUM(MI10,MM10),"")</f>
        <v/>
      </c>
      <c r="MT10" s="11">
        <f>IF(SUM(MQ10,MS10)&gt;0,SUM(MQ10,MS10),"")</f>
        <v>26.95</v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69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0">
      <sortCondition descending="1" ref="F1:F11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6063" operator="between">
      <formula>AL$16</formula>
      <formula>1000</formula>
    </cfRule>
    <cfRule type="cellIs" dxfId="66" priority="46064" operator="between">
      <formula>AL$15</formula>
      <formula>AL$16</formula>
    </cfRule>
    <cfRule type="cellIs" dxfId="65" priority="46065" operator="between">
      <formula>AL$14</formula>
      <formula>AL$15</formula>
    </cfRule>
    <cfRule type="cellIs" dxfId="64" priority="46066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6243" operator="between">
      <formula>AL$20</formula>
      <formula>1000</formula>
    </cfRule>
    <cfRule type="cellIs" dxfId="62" priority="46244" operator="between">
      <formula>AL$19</formula>
      <formula>AL$20</formula>
    </cfRule>
    <cfRule type="cellIs" dxfId="61" priority="46245" operator="between">
      <formula>AL$18</formula>
      <formula>AL$19</formula>
    </cfRule>
    <cfRule type="cellIs" dxfId="60" priority="46246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 t="s">
        <v>160</v>
      </c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/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6" t="s">
        <v>146</v>
      </c>
      <c r="C4" s="7" t="s">
        <v>3</v>
      </c>
      <c r="D4" s="26">
        <v>2004</v>
      </c>
      <c r="E4" s="15">
        <f>SUM(J4:N4)</f>
        <v>120.8</v>
      </c>
      <c r="F4" s="3" t="str">
        <f>IF(OR(AND(AH4&gt;=AL$17,AI4&gt;=AL$21,AI4&lt;&gt;"",AG4=""),AND(BD4&gt;=BH$17,BE4&gt;=BH$21,BE4&lt;&gt;"",BC4=""),AND(BZ4&gt;=CD$17,CA4&gt;=CD$21,CA4&lt;&gt;"",BY4=""),AND(CW4&gt;=DA$17,CX4&gt;=DA$21,CX4&lt;&gt;""),AND(DR4&gt;=DV$17,DS4&gt;=DV$21,DS4&lt;&gt;""),AND(EM4&gt;=EQ$17,EN4&gt;=EQ$21,EN4&lt;&gt;""),AND(FH4&gt;=FL$17,FI4&gt;=FL$21,FI4&lt;&gt;""),AND(GC4&gt;=GG$17,GD4&gt;=GG$21,GD4&lt;&gt;""),AND(GX4&gt;=HB$17,GY4&gt;=HB$21,GY4&lt;&gt;""),AND(HS4&gt;=HW$17,HT4&gt;=HW$21,HT4&lt;&gt;""),AND(IN4&gt;=IR$17,IO4&gt;=IR$21,IO4&lt;&gt;""),AND(JI4&gt;=JM$17,JJ4&gt;=JM$21,JJ4&lt;&gt;""),AND(KD4&gt;=KH$17,KE4&gt;=KH$21,KE4&lt;&gt;""),AND(KY4&gt;=LC$17,KZ4&gt;=LC$21,KZ4&lt;&gt;""),AND(LT4&gt;=LX$17,LU4&gt;=LX$21,LU4&lt;&gt;"")),"P","")</f>
        <v>P</v>
      </c>
      <c r="G4" s="3" t="str">
        <f>IF(OR(AND(AI4&gt;=AL$21,AI4&lt;&gt;"",AG4=""),AND(BE4&gt;=BH$21,BE4&lt;&gt;"",BC4=""),AND(CA4&gt;=CD$21,CA4&lt;&gt;"",BY4=""),AND(CX4&gt;=DA$21,CX4&lt;&gt;""),AND(DS4&gt;=DV$21,DS4&lt;&gt;""),AND(EN4&gt;=EQ$21,EN4&lt;&gt;""),AND(FI4&gt;=FL$21,FI4&lt;&gt;""),AND(GD4&gt;=GG$21,GD4&lt;&gt;""),AND(GY4&gt;=HB$21,GY4&lt;&gt;""),AND(HT4&gt;=HW$21,HT4&lt;&gt;""),AND(IO4&gt;=IR$21,IO4&lt;&gt;""),AND(JJ4&gt;=JM$21,JJ4&lt;&gt;""),AND(KE4&gt;=KH$21,KE4&lt;&gt;""),AND(KZ4&gt;=LC$21,KZ4&lt;&gt;""),AND(LU4&gt;=LX$21,LU4&lt;&gt;"")),"P","")</f>
        <v>P</v>
      </c>
      <c r="H4" s="116" t="str">
        <f>IF(AND(G4="P",F4=""),"No DD",IF(OR(AND(AI4&gt;=AL$24,AI4&lt;&gt;"",AH4&gt;=AL$20,AH4&lt;&gt;"",AG4=""),AND(BE4&gt;=BH$24,BE4&lt;&gt;"",BD4&gt;=BH$20,BD4&lt;&gt;"",BC4=""),AND(CA4&gt;=CD$24,CA4&lt;&gt;"",BZ4&gt;=CD$20,BZ4&lt;&gt;"",BY4=""),AND(CX4&gt;=DA$24,CX4&lt;&gt;"",CW4&gt;=DA$20,CW4&lt;&gt;""),AND(DS4&gt;=DV$24,DS4&lt;&gt;"",DR4&gt;=DV$20,DR4&lt;&gt;""),AND(EN4&gt;=EQ$24,EN4&lt;&gt;"",EM4&gt;=EQ$20,EM4&lt;&gt;""),AND(FI4&gt;=FL$24,FI4&lt;&gt;"",FH4&gt;=FL$20,FH4&lt;&gt;""),AND(GD4&gt;=GG$24,GD4&lt;&gt;"",GC4&gt;=GG$20,GC4&lt;&gt;""),AND(GY4&gt;=HB$24,GY4&lt;&gt;"",GX4&gt;=HB$20,GX4&lt;&gt;""),AND(HT4&gt;=HW$24,HT4&lt;&gt;"",HS4&gt;=HW$20,HS4&lt;&gt;""),AND(IO4&gt;=IR$24,IO4&lt;&gt;"",IN4&gt;=IR$20,IN4&lt;&gt;""),AND(JJ4&gt;=JM$24,JJ4&lt;&gt;"",JI4&gt;=JM$20,JI4&lt;&gt;""),AND(KE4&gt;=KH$24,KE4&lt;&gt;"",KD4&gt;=KH$20,KD4&lt;&gt;""),AND(KZ4&gt;=LC$24,KZ4&lt;&gt;"",KY4&gt;=LC$20,KY4&lt;&gt;""),AND(LU4&gt;=LX$24,LU4&lt;&gt;"",LT4&gt;=LX$20,LT4&lt;&gt;"")),"Merit",IF(OR(AND(AI4&gt;=AL$23,AI4&lt;&gt;"",AH4&gt;=AL$19,AH4&lt;&gt;"",AG4=""),AND(BE4&gt;=BH$23,BE4&lt;&gt;"",BD4&gt;=BH$19,BD4&lt;&gt;"",BC4=""),AND(CA4&gt;=CD$23,CA4&lt;&gt;"",BZ4&gt;=CD$19,BZ4&lt;&gt;"",BY4=""),AND(CX4&gt;=DA$23,CX4&lt;&gt;"",CW4&gt;=DA$19,CW4&lt;&gt;""),AND(DS4&gt;=DV$23,DS4&lt;&gt;"",DR4&gt;=DV$19,DR4&lt;&gt;""),AND(EN4&gt;=EQ$23,EN4&lt;&gt;"",EM4&gt;=EQ$19,EM4&lt;&gt;""),AND(FI4&gt;=FL$23,FI4&lt;&gt;"",FH4&gt;=FL$19,FH4&lt;&gt;""),AND(GD4&gt;=GG$23,GD4&lt;&gt;"",GC4&gt;=GG$19,GC4&lt;&gt;""),AND(GY4&gt;=HB$23,GY4&lt;&gt;"",GX4&gt;=HB$19,GX4&lt;&gt;""),AND(HT4&gt;=HW$23,HT4&lt;&gt;"",HS4&gt;=HW$19,HS4&lt;&gt;""),AND(IO4&gt;=IR$23,IO4&lt;&gt;"",IN4&gt;=IR$19,IN4&lt;&gt;""),AND(JJ4&gt;=JM$23,JJ4&lt;&gt;"",JI4&gt;=JM$19,JI4&lt;&gt;""),AND(KE4&gt;=KH$23,KE4&lt;&gt;"",KD4&gt;=KH$19,KD4&lt;&gt;""),AND(KZ4&gt;=LC$23,KZ4&lt;&gt;"",KY4&gt;=LC$19,KY4&lt;&gt;""),AND(LU4&gt;=LX$23,LU4&lt;&gt;"",LT4&gt;=LX$19,LT4&lt;&gt;"")),"Excellence",IF(OR(AND(AI4&gt;=AL$22,AI4&lt;&gt;"",AH4&gt;=AL$18,AH4&lt;&gt;"",AG4=""),AND(BE4&gt;=BH$22,BE4&lt;&gt;"",BD4&gt;=BH$18,BD4&lt;&gt;"",BC4=""),AND(CA4&gt;=CD$22,CA4&lt;&gt;"",BZ4&gt;=CD$18,BZ4&lt;&gt;"",BY4=""),AND(CX4&gt;=DA$22,CX4&lt;&gt;"",CW4&gt;=DA$18,CW4&lt;&gt;""),AND(DS4&gt;=DV$22,DS4&lt;&gt;"",DR4&gt;=DV$18,DR4&lt;&gt;""),AND(EN4&gt;=EQ$22,EN4&lt;&gt;"",EM4&gt;=EQ$18,EM4&lt;&gt;""),AND(FI4&gt;=FL$22,FI4&lt;&gt;"",FH4&gt;=FL$18,FH4&lt;&gt;""),AND(GD4&gt;=GG$22,GD4&lt;&gt;"",GC4&gt;=GG$18,GC4&lt;&gt;""),AND(GY4&gt;=HB$22,GY4&lt;&gt;"",GX4&gt;=HB$18,GX4&lt;&gt;""),AND(HT4&gt;=HW$22,HT4&lt;&gt;"",HS4&gt;=HW$18,HS4&lt;&gt;""),AND(IO4&gt;=IR$22,IO4&lt;&gt;"",IN4&gt;=IR$18,IN4&lt;&gt;""),AND(JJ4&gt;=JM$22,JJ4&lt;&gt;"",JI4&gt;=JM$18,JI4&lt;&gt;""),AND(KE4&gt;=KH$22,KE4&lt;&gt;"",KD4&gt;=KH$18,KD4&lt;&gt;""),AND(KZ4&gt;=LC$22,KZ4&lt;&gt;"",KY4&gt;=LC$18,KY4&lt;&gt;""),AND(LU4&gt;=LX$22,LU4&lt;&gt;"",LT4&gt;=LX$18,LT4&lt;&gt;"")),"Worlds Team",IF(OR(AND(AI4&gt;=AL$21,AI4&lt;&gt;"",AH4&gt;=AL$17,AH4&lt;&gt;"",AG4=""),AND(BE4&gt;=BH$21,BE4&lt;&gt;"",BD4&gt;=BH$17,BD4&lt;&gt;"",BC4=""),AND(CA4&gt;=CD$21,CA4&lt;&gt;"",BZ4&gt;=CD$17,BZ4&lt;&gt;"",BY4=""),AND(CX4&gt;=DA$21,CX4&lt;&gt;"",CW4&gt;=DA$17,CW4&lt;&gt;""),AND(DS4&gt;=DV$21,DS4&lt;&gt;"",DR4&gt;=DV$17,DR4&lt;&gt;""),AND(EN4&gt;=EQ$21,EN4&lt;&gt;"",EM4&gt;=EQ$17,EM4&lt;&gt;""),AND(FI4&gt;=FL$21,FI4&lt;&gt;"",FH4&gt;=FL$17,FH4&lt;&gt;""),AND(GD4&gt;=GG$21,GD4&lt;&gt;"",GC4&gt;=GG$17,GC4&lt;&gt;""),AND(GY4&gt;=HB$21,GY4&lt;&gt;"",GX4&gt;=HB$17,GX4&lt;&gt;""),AND(HT4&gt;=HW$21,HT4&lt;&gt;"",HS4&gt;=HW$17,HS4&lt;&gt;""),AND(IO4&gt;=IR$21,IO4&lt;&gt;"",IN4&gt;=IR$17,IN4&lt;&gt;""),AND(JJ4&gt;=JM$21,JJ4&lt;&gt;"",JI4&gt;=JM$17,JI4&lt;&gt;""),AND(KE4&gt;=KH$21,KE4&lt;&gt;"",KD4&gt;=KH$17,KD4&lt;&gt;""),AND(KZ4&gt;=LC$21,KZ4&lt;&gt;"",KY4&gt;=LC$17,KY4&lt;&gt;""),AND(LU4&gt;=LX$21,LU4&lt;&gt;"",LT4&gt;=LX$17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60.6</v>
      </c>
      <c r="K4" s="14" t="str">
        <f>IF(J4=0,"",IF(J4=CA4,$BI$1,IF(J4=BE4,$AM$1,IF(J4=AI4,$Q$1,""))))</f>
        <v>2021 Canadian Championships</v>
      </c>
      <c r="L4" s="14">
        <f>MAX(AK4,BG4,CC4)</f>
        <v>60.199999999999996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>
        <v>25.1</v>
      </c>
      <c r="AN4" s="36">
        <v>3.9</v>
      </c>
      <c r="AO4" s="36">
        <v>0</v>
      </c>
      <c r="AP4" s="36">
        <v>0.3</v>
      </c>
      <c r="AQ4" s="36">
        <v>25.9</v>
      </c>
      <c r="AR4" s="36">
        <v>3.2</v>
      </c>
      <c r="AS4" s="36">
        <v>0</v>
      </c>
      <c r="AT4" s="36">
        <v>0</v>
      </c>
      <c r="AU4" s="36">
        <v>26.9</v>
      </c>
      <c r="AV4" s="36">
        <v>3.6</v>
      </c>
      <c r="AW4" s="36">
        <v>0</v>
      </c>
      <c r="AX4" s="36">
        <v>0</v>
      </c>
      <c r="AY4" s="36">
        <v>25.3</v>
      </c>
      <c r="AZ4" s="36">
        <v>4.0999999999999996</v>
      </c>
      <c r="BA4" s="36">
        <v>0</v>
      </c>
      <c r="BB4" s="36">
        <v>0.3</v>
      </c>
      <c r="BC4" s="73"/>
      <c r="BD4" s="14">
        <f>IF(SUM(AN4,AR4)&gt;0,SUM(AN4,AR4),"")</f>
        <v>7.1</v>
      </c>
      <c r="BE4" s="14">
        <f>IF(SUM(AM4:AN4,AP4:AR4,AT4)-AO4-AS4&gt;0,SUM(AM4:AN4,AP4:AR4,AT4)-AO4-AS4,"")</f>
        <v>58.400000000000006</v>
      </c>
      <c r="BF4" s="14">
        <f>IF(SUM(AV4,AZ4)&gt;0,SUM(AV4,AZ4),"")</f>
        <v>7.6999999999999993</v>
      </c>
      <c r="BG4" s="14">
        <f>IF(SUM(AU4:AV4,AX4:AZ4,BB4)-SUM(AW4,BA4)&gt;0,SUM(AU4:AV4,AX4:AZ4,BB4)-SUM(AW4,BA4),"")</f>
        <v>60.199999999999996</v>
      </c>
      <c r="BH4" s="14">
        <f>IF(SUM(BE4,BG4)&gt;0,SUM(BE4,BG4),"")</f>
        <v>118.6</v>
      </c>
      <c r="BI4" s="37">
        <v>25.8</v>
      </c>
      <c r="BJ4" s="37">
        <v>3.9</v>
      </c>
      <c r="BK4" s="37">
        <v>0</v>
      </c>
      <c r="BL4" s="37">
        <v>0.3</v>
      </c>
      <c r="BM4" s="37">
        <v>26.2</v>
      </c>
      <c r="BN4" s="37">
        <v>4.0999999999999996</v>
      </c>
      <c r="BO4" s="37">
        <v>0</v>
      </c>
      <c r="BP4" s="37">
        <v>0.3</v>
      </c>
      <c r="BQ4" s="37">
        <v>25.5</v>
      </c>
      <c r="BR4" s="37">
        <v>3.9</v>
      </c>
      <c r="BS4" s="37">
        <v>0.2</v>
      </c>
      <c r="BT4" s="37">
        <v>0.3</v>
      </c>
      <c r="BU4" s="37">
        <v>26.3</v>
      </c>
      <c r="BV4" s="37">
        <v>4.0999999999999996</v>
      </c>
      <c r="BW4" s="37">
        <v>0.2</v>
      </c>
      <c r="BX4" s="37">
        <v>0.3</v>
      </c>
      <c r="BY4" s="72"/>
      <c r="BZ4" s="11">
        <f>IF(SUM(BJ4,BN4)&gt;0,SUM(BJ4,BN4),"")</f>
        <v>8</v>
      </c>
      <c r="CA4" s="11">
        <f>IF(SUM(BI4:BJ4,BL4:BN4,BP4)-BK4-BO4&gt;0,SUM(BI4:BJ4,BL4:BN4,BP4)-BK4-BO4,"")</f>
        <v>60.6</v>
      </c>
      <c r="CB4" s="11">
        <f>IF(SUM(BR4,BV4)&gt;0,SUM(BR4,BV4),"")</f>
        <v>8</v>
      </c>
      <c r="CC4" s="11">
        <f>IF(SUM(BQ4:BR4,BT4:BV4,BX4)-SUM(BS4,BW4)&gt;0,SUM(BQ4:BR4,BT4:BV4,BX4)-SUM(BS4,BW4),"")</f>
        <v>60</v>
      </c>
      <c r="CD4" s="11">
        <f>IF(SUM(CA4,CC4)&gt;0,SUM(CA4,CC4),"")</f>
        <v>120.6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25.450000000000003</v>
      </c>
      <c r="LZ4" s="61">
        <f>IF($BY4="P",BJ4,(BJ4+AN4)/2)</f>
        <v>3.9</v>
      </c>
      <c r="MA4" s="61">
        <f>IF($BY4="P",BK4,(BK4+AO4)/2)</f>
        <v>0</v>
      </c>
      <c r="MB4" s="61">
        <f>IF($BY4="P",BL4,(BL4+AP4)/2)</f>
        <v>0.3</v>
      </c>
      <c r="MC4" s="61">
        <f>IF($BY4="P",BM4,(BM4+AQ4)/2)</f>
        <v>26.049999999999997</v>
      </c>
      <c r="MD4" s="61">
        <f>IF($BY4="P",BN4,(BN4+AR4)/2)</f>
        <v>3.65</v>
      </c>
      <c r="ME4" s="61">
        <f>IF($BY4="P",BO4,(BO4+AS4)/2)</f>
        <v>0</v>
      </c>
      <c r="MF4" s="61">
        <f>IF($BY4="P",BP4,(BP4+AT4)/2)</f>
        <v>0.15</v>
      </c>
      <c r="MG4" s="61">
        <f>IF($BY4="P",BQ4,(BQ4+AU4)/2)</f>
        <v>26.2</v>
      </c>
      <c r="MH4" s="61">
        <f>IF($BY4="P",BR4,(BR4+AV4)/2)</f>
        <v>3.75</v>
      </c>
      <c r="MI4" s="61">
        <f>IF($BY4="P",BS4,(BS4+AW4)/2)</f>
        <v>0.1</v>
      </c>
      <c r="MJ4" s="61">
        <f>IF($BY4="P",BT4,(BT4+AX4)/2)</f>
        <v>0.15</v>
      </c>
      <c r="MK4" s="61">
        <f>IF($BY4="P",BU4,(BU4+AY4)/2)</f>
        <v>25.8</v>
      </c>
      <c r="ML4" s="61">
        <f>IF($BY4="P",BV4,(BV4+AZ4)/2)</f>
        <v>4.0999999999999996</v>
      </c>
      <c r="MM4" s="61">
        <f>IF($BY4="P",BW4,(BW4+BA4)/2)</f>
        <v>0.1</v>
      </c>
      <c r="MN4" s="61">
        <f>IF($BY4="P",BX4,(BX4+BB4)/2)</f>
        <v>0.3</v>
      </c>
      <c r="MO4" s="72" t="s">
        <v>52</v>
      </c>
      <c r="MP4" s="11">
        <f>IF(SUM(LZ4,MD4)&gt;0,SUM(LZ4,MD4),"")</f>
        <v>7.55</v>
      </c>
      <c r="MQ4" s="11">
        <f>IF(SUM(LY4:LZ4,MB4:MD4,MF4)-MA4-ME4&gt;0,SUM(LY4:LZ4,MB4:MD4,MF4)-MA4-ME4,"")</f>
        <v>59.5</v>
      </c>
      <c r="MR4" s="11">
        <f>IF(SUM(MH4,ML4)&gt;0,SUM(MH4,ML4),"")</f>
        <v>7.85</v>
      </c>
      <c r="MS4" s="11">
        <f>IF(SUM(MG4:MH4,MJ4:ML4,MN4)-SUM(MI4,MM4)&gt;0,SUM(MG4:MH4,MJ4:ML4,MN4)-SUM(MI4,MM4),"")</f>
        <v>60.099999999999994</v>
      </c>
      <c r="MT4" s="11">
        <f>IF(SUM(MQ4,MS4)&gt;0,SUM(MQ4,MS4),"")</f>
        <v>119.6</v>
      </c>
    </row>
    <row r="5" spans="1:358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6" t="s">
        <v>147</v>
      </c>
      <c r="C5" s="7" t="s">
        <v>3</v>
      </c>
      <c r="D5" s="26">
        <v>2003</v>
      </c>
      <c r="E5" s="15">
        <f>SUM(J5:N5)</f>
        <v>120.69999999999999</v>
      </c>
      <c r="F5" s="3" t="str">
        <f>IF(OR(AND(AH5&gt;=AL$17,AI5&gt;=AL$21,AI5&lt;&gt;"",AG5=""),AND(BD5&gt;=BH$17,BE5&gt;=BH$21,BE5&lt;&gt;"",BC5=""),AND(BZ5&gt;=CD$17,CA5&gt;=CD$21,CA5&lt;&gt;"",BY5=""),AND(CW5&gt;=DA$17,CX5&gt;=DA$21,CX5&lt;&gt;""),AND(DR5&gt;=DV$17,DS5&gt;=DV$21,DS5&lt;&gt;""),AND(EM5&gt;=EQ$17,EN5&gt;=EQ$21,EN5&lt;&gt;""),AND(FH5&gt;=FL$17,FI5&gt;=FL$21,FI5&lt;&gt;""),AND(GC5&gt;=GG$17,GD5&gt;=GG$21,GD5&lt;&gt;""),AND(GX5&gt;=HB$17,GY5&gt;=HB$21,GY5&lt;&gt;""),AND(HS5&gt;=HW$17,HT5&gt;=HW$21,HT5&lt;&gt;""),AND(IN5&gt;=IR$17,IO5&gt;=IR$21,IO5&lt;&gt;""),AND(JI5&gt;=JM$17,JJ5&gt;=JM$21,JJ5&lt;&gt;""),AND(KD5&gt;=KH$17,KE5&gt;=KH$21,KE5&lt;&gt;""),AND(KY5&gt;=LC$17,KZ5&gt;=LC$21,KZ5&lt;&gt;""),AND(LT5&gt;=LX$17,LU5&gt;=LX$21,LU5&lt;&gt;"")),"P","")</f>
        <v>P</v>
      </c>
      <c r="G5" s="3" t="str">
        <f>IF(OR(AND(AI5&gt;=AL$21,AI5&lt;&gt;"",AG5=""),AND(BE5&gt;=BH$21,BE5&lt;&gt;"",BC5=""),AND(CA5&gt;=CD$21,CA5&lt;&gt;"",BY5=""),AND(CX5&gt;=DA$21,CX5&lt;&gt;""),AND(DS5&gt;=DV$21,DS5&lt;&gt;""),AND(EN5&gt;=EQ$21,EN5&lt;&gt;""),AND(FI5&gt;=FL$21,FI5&lt;&gt;""),AND(GD5&gt;=GG$21,GD5&lt;&gt;""),AND(GY5&gt;=HB$21,GY5&lt;&gt;""),AND(HT5&gt;=HW$21,HT5&lt;&gt;""),AND(IO5&gt;=IR$21,IO5&lt;&gt;""),AND(JJ5&gt;=JM$21,JJ5&lt;&gt;""),AND(KE5&gt;=KH$21,KE5&lt;&gt;""),AND(KZ5&gt;=LC$21,KZ5&lt;&gt;""),AND(LU5&gt;=LX$21,LU5&lt;&gt;"")),"P","")</f>
        <v>P</v>
      </c>
      <c r="H5" s="116" t="str">
        <f>IF(AND(G5="P",F5=""),"No DD",IF(OR(AND(AI5&gt;=AL$24,AI5&lt;&gt;"",AH5&gt;=AL$20,AH5&lt;&gt;"",AG5=""),AND(BE5&gt;=BH$24,BE5&lt;&gt;"",BD5&gt;=BH$20,BD5&lt;&gt;"",BC5=""),AND(CA5&gt;=CD$24,CA5&lt;&gt;"",BZ5&gt;=CD$20,BZ5&lt;&gt;"",BY5=""),AND(CX5&gt;=DA$24,CX5&lt;&gt;"",CW5&gt;=DA$20,CW5&lt;&gt;""),AND(DS5&gt;=DV$24,DS5&lt;&gt;"",DR5&gt;=DV$20,DR5&lt;&gt;""),AND(EN5&gt;=EQ$24,EN5&lt;&gt;"",EM5&gt;=EQ$20,EM5&lt;&gt;""),AND(FI5&gt;=FL$24,FI5&lt;&gt;"",FH5&gt;=FL$20,FH5&lt;&gt;""),AND(GD5&gt;=GG$24,GD5&lt;&gt;"",GC5&gt;=GG$20,GC5&lt;&gt;""),AND(GY5&gt;=HB$24,GY5&lt;&gt;"",GX5&gt;=HB$20,GX5&lt;&gt;""),AND(HT5&gt;=HW$24,HT5&lt;&gt;"",HS5&gt;=HW$20,HS5&lt;&gt;""),AND(IO5&gt;=IR$24,IO5&lt;&gt;"",IN5&gt;=IR$20,IN5&lt;&gt;""),AND(JJ5&gt;=JM$24,JJ5&lt;&gt;"",JI5&gt;=JM$20,JI5&lt;&gt;""),AND(KE5&gt;=KH$24,KE5&lt;&gt;"",KD5&gt;=KH$20,KD5&lt;&gt;""),AND(KZ5&gt;=LC$24,KZ5&lt;&gt;"",KY5&gt;=LC$20,KY5&lt;&gt;""),AND(LU5&gt;=LX$24,LU5&lt;&gt;"",LT5&gt;=LX$20,LT5&lt;&gt;"")),"Merit",IF(OR(AND(AI5&gt;=AL$23,AI5&lt;&gt;"",AH5&gt;=AL$19,AH5&lt;&gt;"",AG5=""),AND(BE5&gt;=BH$23,BE5&lt;&gt;"",BD5&gt;=BH$19,BD5&lt;&gt;"",BC5=""),AND(CA5&gt;=CD$23,CA5&lt;&gt;"",BZ5&gt;=CD$19,BZ5&lt;&gt;"",BY5=""),AND(CX5&gt;=DA$23,CX5&lt;&gt;"",CW5&gt;=DA$19,CW5&lt;&gt;""),AND(DS5&gt;=DV$23,DS5&lt;&gt;"",DR5&gt;=DV$19,DR5&lt;&gt;""),AND(EN5&gt;=EQ$23,EN5&lt;&gt;"",EM5&gt;=EQ$19,EM5&lt;&gt;""),AND(FI5&gt;=FL$23,FI5&lt;&gt;"",FH5&gt;=FL$19,FH5&lt;&gt;""),AND(GD5&gt;=GG$23,GD5&lt;&gt;"",GC5&gt;=GG$19,GC5&lt;&gt;""),AND(GY5&gt;=HB$23,GY5&lt;&gt;"",GX5&gt;=HB$19,GX5&lt;&gt;""),AND(HT5&gt;=HW$23,HT5&lt;&gt;"",HS5&gt;=HW$19,HS5&lt;&gt;""),AND(IO5&gt;=IR$23,IO5&lt;&gt;"",IN5&gt;=IR$19,IN5&lt;&gt;""),AND(JJ5&gt;=JM$23,JJ5&lt;&gt;"",JI5&gt;=JM$19,JI5&lt;&gt;""),AND(KE5&gt;=KH$23,KE5&lt;&gt;"",KD5&gt;=KH$19,KD5&lt;&gt;""),AND(KZ5&gt;=LC$23,KZ5&lt;&gt;"",KY5&gt;=LC$19,KY5&lt;&gt;""),AND(LU5&gt;=LX$23,LU5&lt;&gt;"",LT5&gt;=LX$19,LT5&lt;&gt;"")),"Excellence",IF(OR(AND(AI5&gt;=AL$22,AI5&lt;&gt;"",AH5&gt;=AL$18,AH5&lt;&gt;"",AG5=""),AND(BE5&gt;=BH$22,BE5&lt;&gt;"",BD5&gt;=BH$18,BD5&lt;&gt;"",BC5=""),AND(CA5&gt;=CD$22,CA5&lt;&gt;"",BZ5&gt;=CD$18,BZ5&lt;&gt;"",BY5=""),AND(CX5&gt;=DA$22,CX5&lt;&gt;"",CW5&gt;=DA$18,CW5&lt;&gt;""),AND(DS5&gt;=DV$22,DS5&lt;&gt;"",DR5&gt;=DV$18,DR5&lt;&gt;""),AND(EN5&gt;=EQ$22,EN5&lt;&gt;"",EM5&gt;=EQ$18,EM5&lt;&gt;""),AND(FI5&gt;=FL$22,FI5&lt;&gt;"",FH5&gt;=FL$18,FH5&lt;&gt;""),AND(GD5&gt;=GG$22,GD5&lt;&gt;"",GC5&gt;=GG$18,GC5&lt;&gt;""),AND(GY5&gt;=HB$22,GY5&lt;&gt;"",GX5&gt;=HB$18,GX5&lt;&gt;""),AND(HT5&gt;=HW$22,HT5&lt;&gt;"",HS5&gt;=HW$18,HS5&lt;&gt;""),AND(IO5&gt;=IR$22,IO5&lt;&gt;"",IN5&gt;=IR$18,IN5&lt;&gt;""),AND(JJ5&gt;=JM$22,JJ5&lt;&gt;"",JI5&gt;=JM$18,JI5&lt;&gt;""),AND(KE5&gt;=KH$22,KE5&lt;&gt;"",KD5&gt;=KH$18,KD5&lt;&gt;""),AND(KZ5&gt;=LC$22,KZ5&lt;&gt;"",KY5&gt;=LC$18,KY5&lt;&gt;""),AND(LU5&gt;=LX$22,LU5&lt;&gt;"",LT5&gt;=LX$18,LT5&lt;&gt;"")),"Worlds Team",IF(OR(AND(AI5&gt;=AL$21,AI5&lt;&gt;"",AH5&gt;=AL$17,AH5&lt;&gt;"",AG5=""),AND(BE5&gt;=BH$21,BE5&lt;&gt;"",BD5&gt;=BH$17,BD5&lt;&gt;"",BC5=""),AND(CA5&gt;=CD$21,CA5&lt;&gt;"",BZ5&gt;=CD$17,BZ5&lt;&gt;"",BY5=""),AND(CX5&gt;=DA$21,CX5&lt;&gt;"",CW5&gt;=DA$17,CW5&lt;&gt;""),AND(DS5&gt;=DV$21,DS5&lt;&gt;"",DR5&gt;=DV$17,DR5&lt;&gt;""),AND(EN5&gt;=EQ$21,EN5&lt;&gt;"",EM5&gt;=EQ$17,EM5&lt;&gt;""),AND(FI5&gt;=FL$21,FI5&lt;&gt;"",FH5&gt;=FL$17,FH5&lt;&gt;""),AND(GD5&gt;=GG$21,GD5&lt;&gt;"",GC5&gt;=GG$17,GC5&lt;&gt;""),AND(GY5&gt;=HB$21,GY5&lt;&gt;"",GX5&gt;=HB$17,GX5&lt;&gt;""),AND(HT5&gt;=HW$21,HT5&lt;&gt;"",HS5&gt;=HW$17,HS5&lt;&gt;""),AND(IO5&gt;=IR$21,IO5&lt;&gt;"",IN5&gt;=IR$17,IN5&lt;&gt;""),AND(JJ5&gt;=JM$21,JJ5&lt;&gt;"",JI5&gt;=JM$17,JI5&lt;&gt;""),AND(KE5&gt;=KH$21,KE5&lt;&gt;"",KD5&gt;=KH$17,KD5&lt;&gt;""),AND(KZ5&gt;=LC$21,KZ5&lt;&gt;"",KY5&gt;=LC$17,KY5&lt;&gt;""),AND(LU5&gt;=LX$21,LU5&lt;&gt;"",LT5&gt;=LX$17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72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6">
        <v>25.4</v>
      </c>
      <c r="AN5" s="36">
        <v>4.0999999999999996</v>
      </c>
      <c r="AO5" s="36">
        <v>0.3</v>
      </c>
      <c r="AP5" s="36">
        <v>0.3</v>
      </c>
      <c r="AQ5" s="36">
        <v>25.3</v>
      </c>
      <c r="AR5" s="36">
        <v>3.9</v>
      </c>
      <c r="AS5" s="36">
        <v>0</v>
      </c>
      <c r="AT5" s="36">
        <v>0.3</v>
      </c>
      <c r="AU5" s="36">
        <v>25.7</v>
      </c>
      <c r="AV5" s="36">
        <v>4.0999999999999996</v>
      </c>
      <c r="AW5" s="36">
        <v>0.3</v>
      </c>
      <c r="AX5" s="36">
        <v>0.3</v>
      </c>
      <c r="AY5" s="36">
        <v>25.1</v>
      </c>
      <c r="AZ5" s="36">
        <v>3.9</v>
      </c>
      <c r="BA5" s="36">
        <v>0.3</v>
      </c>
      <c r="BB5" s="36">
        <v>0.3</v>
      </c>
      <c r="BC5" s="73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37">
        <v>25.5</v>
      </c>
      <c r="BJ5" s="37">
        <v>3.9</v>
      </c>
      <c r="BK5" s="37">
        <v>0</v>
      </c>
      <c r="BL5" s="37">
        <v>0.3</v>
      </c>
      <c r="BM5" s="37">
        <v>25.9</v>
      </c>
      <c r="BN5" s="37">
        <v>4.0999999999999996</v>
      </c>
      <c r="BO5" s="37">
        <v>0</v>
      </c>
      <c r="BP5" s="37">
        <v>0.3</v>
      </c>
      <c r="BQ5" s="37">
        <v>26.1</v>
      </c>
      <c r="BR5" s="37">
        <v>3.9</v>
      </c>
      <c r="BS5" s="37">
        <v>0</v>
      </c>
      <c r="BT5" s="37">
        <v>0.3</v>
      </c>
      <c r="BU5" s="37">
        <v>26</v>
      </c>
      <c r="BV5" s="37">
        <v>4.0999999999999996</v>
      </c>
      <c r="BW5" s="37">
        <v>0</v>
      </c>
      <c r="BX5" s="37">
        <v>0.3</v>
      </c>
      <c r="BY5" s="72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>
        <v>26</v>
      </c>
      <c r="CH5" s="35">
        <v>4.3</v>
      </c>
      <c r="CI5" s="35">
        <v>0</v>
      </c>
      <c r="CJ5" s="35">
        <v>0</v>
      </c>
      <c r="CK5" s="35">
        <v>25.1</v>
      </c>
      <c r="CL5" s="35">
        <v>4.5</v>
      </c>
      <c r="CM5" s="35">
        <v>0</v>
      </c>
      <c r="CN5" s="35">
        <v>0</v>
      </c>
      <c r="CO5" s="35"/>
      <c r="CP5" s="35"/>
      <c r="CQ5" s="35"/>
      <c r="CR5" s="35"/>
      <c r="CS5" s="35"/>
      <c r="CT5" s="35"/>
      <c r="CU5" s="35"/>
      <c r="CV5" s="35"/>
      <c r="CW5" s="11">
        <f>IF(SUM(CH5,CL5)&gt;0,SUM(CH5,CL5),"")</f>
        <v>8.8000000000000007</v>
      </c>
      <c r="CX5" s="11">
        <f>IF(SUM(CG5:CH5,CJ5:CL5,CN5)-CI5-CM5&gt;0,SUM(CG5:CH5,CJ5:CL5,CN5)-CI5-CM5,"")</f>
        <v>59.900000000000006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59.900000000000006</v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25.45</v>
      </c>
      <c r="LZ5" s="61">
        <f>IF($BY5="P",BJ5,(BJ5+AN5)/2)</f>
        <v>4</v>
      </c>
      <c r="MA5" s="61">
        <f>IF($BY5="P",BK5,(BK5+AO5)/2)</f>
        <v>0.15</v>
      </c>
      <c r="MB5" s="61">
        <f>IF($BY5="P",BL5,(BL5+AP5)/2)</f>
        <v>0.3</v>
      </c>
      <c r="MC5" s="61">
        <f>IF($BY5="P",BM5,(BM5+AQ5)/2)</f>
        <v>25.6</v>
      </c>
      <c r="MD5" s="61">
        <f>IF($BY5="P",BN5,(BN5+AR5)/2)</f>
        <v>4</v>
      </c>
      <c r="ME5" s="61">
        <f>IF($BY5="P",BO5,(BO5+AS5)/2)</f>
        <v>0</v>
      </c>
      <c r="MF5" s="61">
        <f>IF($BY5="P",BP5,(BP5+AT5)/2)</f>
        <v>0.3</v>
      </c>
      <c r="MG5" s="61">
        <f>IF($BY5="P",BQ5,(BQ5+AU5)/2)</f>
        <v>25.9</v>
      </c>
      <c r="MH5" s="61">
        <f>IF($BY5="P",BR5,(BR5+AV5)/2)</f>
        <v>4</v>
      </c>
      <c r="MI5" s="61">
        <f>IF($BY5="P",BS5,(BS5+AW5)/2)</f>
        <v>0.15</v>
      </c>
      <c r="MJ5" s="61">
        <f>IF($BY5="P",BT5,(BT5+AX5)/2)</f>
        <v>0.3</v>
      </c>
      <c r="MK5" s="61">
        <f>IF($BY5="P",BU5,(BU5+AY5)/2)</f>
        <v>25.55</v>
      </c>
      <c r="ML5" s="61">
        <f>IF($BY5="P",BV5,(BV5+AZ5)/2)</f>
        <v>4</v>
      </c>
      <c r="MM5" s="61">
        <f>IF($BY5="P",BW5,(BW5+BA5)/2)</f>
        <v>0.15</v>
      </c>
      <c r="MN5" s="61">
        <f>IF($BY5="P",BX5,(BX5+BB5)/2)</f>
        <v>0.3</v>
      </c>
      <c r="MO5" s="72" t="s">
        <v>52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IF(AND(F6="P",G6="P"),SUMPRODUCT((F$4:F$15="P")*(G$4:G$15="P")*(E$4:E$15&gt;E6))+1,IF(G6="P",SUMPRODUCT((F$4:F$15="")*(G$4:G$15="P")*(E$4:E$15&gt;E6))+1+SUMPRODUCT((F$4:F$15="P")*(G$4:G$15="P")),""))</f>
        <v/>
      </c>
      <c r="B6" s="6" t="s">
        <v>107</v>
      </c>
      <c r="C6" s="7" t="s">
        <v>5</v>
      </c>
      <c r="D6" s="26">
        <v>2004</v>
      </c>
      <c r="E6" s="15">
        <f>SUM(J6:N6)</f>
        <v>118</v>
      </c>
      <c r="F6" s="3" t="str">
        <f>IF(OR(AND(AH6&gt;=AL$17,AI6&gt;=AL$21,AI6&lt;&gt;"",AG6=""),AND(BD6&gt;=BH$17,BE6&gt;=BH$21,BE6&lt;&gt;"",BC6=""),AND(BZ6&gt;=CD$17,CA6&gt;=CD$21,CA6&lt;&gt;"",BY6=""),AND(CW6&gt;=DA$17,CX6&gt;=DA$21,CX6&lt;&gt;""),AND(DR6&gt;=DV$17,DS6&gt;=DV$21,DS6&lt;&gt;""),AND(EM6&gt;=EQ$17,EN6&gt;=EQ$21,EN6&lt;&gt;""),AND(FH6&gt;=FL$17,FI6&gt;=FL$21,FI6&lt;&gt;""),AND(GC6&gt;=GG$17,GD6&gt;=GG$21,GD6&lt;&gt;""),AND(GX6&gt;=HB$17,GY6&gt;=HB$21,GY6&lt;&gt;""),AND(HS6&gt;=HW$17,HT6&gt;=HW$21,HT6&lt;&gt;""),AND(IN6&gt;=IR$17,IO6&gt;=IR$21,IO6&lt;&gt;""),AND(JI6&gt;=JM$17,JJ6&gt;=JM$21,JJ6&lt;&gt;""),AND(KD6&gt;=KH$17,KE6&gt;=KH$21,KE6&lt;&gt;""),AND(KY6&gt;=LC$17,KZ6&gt;=LC$21,KZ6&lt;&gt;""),AND(LT6&gt;=LX$17,LU6&gt;=LX$21,LU6&lt;&gt;"")),"P","")</f>
        <v/>
      </c>
      <c r="G6" s="3" t="str">
        <f>IF(OR(AND(AI6&gt;=AL$21,AI6&lt;&gt;"",AG6=""),AND(BE6&gt;=BH$21,BE6&lt;&gt;"",BC6=""),AND(CA6&gt;=CD$21,CA6&lt;&gt;"",BY6=""),AND(CX6&gt;=DA$21,CX6&lt;&gt;""),AND(DS6&gt;=DV$21,DS6&lt;&gt;""),AND(EN6&gt;=EQ$21,EN6&lt;&gt;""),AND(FI6&gt;=FL$21,FI6&lt;&gt;""),AND(GD6&gt;=GG$21,GD6&lt;&gt;""),AND(GY6&gt;=HB$21,GY6&lt;&gt;""),AND(HT6&gt;=HW$21,HT6&lt;&gt;""),AND(IO6&gt;=IR$21,IO6&lt;&gt;""),AND(JJ6&gt;=JM$21,JJ6&lt;&gt;""),AND(KE6&gt;=KH$21,KE6&lt;&gt;""),AND(KZ6&gt;=LC$21,KZ6&lt;&gt;""),AND(LU6&gt;=LX$21,LU6&lt;&gt;"")),"P","")</f>
        <v/>
      </c>
      <c r="H6" s="116" t="str">
        <f>IF(AND(G6="P",F6=""),"No DD",IF(OR(AND(AI6&gt;=AL$24,AI6&lt;&gt;"",AH6&gt;=AL$20,AH6&lt;&gt;"",AG6=""),AND(BE6&gt;=BH$24,BE6&lt;&gt;"",BD6&gt;=BH$20,BD6&lt;&gt;"",BC6=""),AND(CA6&gt;=CD$24,CA6&lt;&gt;"",BZ6&gt;=CD$20,BZ6&lt;&gt;"",BY6=""),AND(CX6&gt;=DA$24,CX6&lt;&gt;"",CW6&gt;=DA$20,CW6&lt;&gt;""),AND(DS6&gt;=DV$24,DS6&lt;&gt;"",DR6&gt;=DV$20,DR6&lt;&gt;""),AND(EN6&gt;=EQ$24,EN6&lt;&gt;"",EM6&gt;=EQ$20,EM6&lt;&gt;""),AND(FI6&gt;=FL$24,FI6&lt;&gt;"",FH6&gt;=FL$20,FH6&lt;&gt;""),AND(GD6&gt;=GG$24,GD6&lt;&gt;"",GC6&gt;=GG$20,GC6&lt;&gt;""),AND(GY6&gt;=HB$24,GY6&lt;&gt;"",GX6&gt;=HB$20,GX6&lt;&gt;""),AND(HT6&gt;=HW$24,HT6&lt;&gt;"",HS6&gt;=HW$20,HS6&lt;&gt;""),AND(IO6&gt;=IR$24,IO6&lt;&gt;"",IN6&gt;=IR$20,IN6&lt;&gt;""),AND(JJ6&gt;=JM$24,JJ6&lt;&gt;"",JI6&gt;=JM$20,JI6&lt;&gt;""),AND(KE6&gt;=KH$24,KE6&lt;&gt;"",KD6&gt;=KH$20,KD6&lt;&gt;""),AND(KZ6&gt;=LC$24,KZ6&lt;&gt;"",KY6&gt;=LC$20,KY6&lt;&gt;""),AND(LU6&gt;=LX$24,LU6&lt;&gt;"",LT6&gt;=LX$20,LT6&lt;&gt;"")),"Merit",IF(OR(AND(AI6&gt;=AL$23,AI6&lt;&gt;"",AH6&gt;=AL$19,AH6&lt;&gt;"",AG6=""),AND(BE6&gt;=BH$23,BE6&lt;&gt;"",BD6&gt;=BH$19,BD6&lt;&gt;"",BC6=""),AND(CA6&gt;=CD$23,CA6&lt;&gt;"",BZ6&gt;=CD$19,BZ6&lt;&gt;"",BY6=""),AND(CX6&gt;=DA$23,CX6&lt;&gt;"",CW6&gt;=DA$19,CW6&lt;&gt;""),AND(DS6&gt;=DV$23,DS6&lt;&gt;"",DR6&gt;=DV$19,DR6&lt;&gt;""),AND(EN6&gt;=EQ$23,EN6&lt;&gt;"",EM6&gt;=EQ$19,EM6&lt;&gt;""),AND(FI6&gt;=FL$23,FI6&lt;&gt;"",FH6&gt;=FL$19,FH6&lt;&gt;""),AND(GD6&gt;=GG$23,GD6&lt;&gt;"",GC6&gt;=GG$19,GC6&lt;&gt;""),AND(GY6&gt;=HB$23,GY6&lt;&gt;"",GX6&gt;=HB$19,GX6&lt;&gt;""),AND(HT6&gt;=HW$23,HT6&lt;&gt;"",HS6&gt;=HW$19,HS6&lt;&gt;""),AND(IO6&gt;=IR$23,IO6&lt;&gt;"",IN6&gt;=IR$19,IN6&lt;&gt;""),AND(JJ6&gt;=JM$23,JJ6&lt;&gt;"",JI6&gt;=JM$19,JI6&lt;&gt;""),AND(KE6&gt;=KH$23,KE6&lt;&gt;"",KD6&gt;=KH$19,KD6&lt;&gt;""),AND(KZ6&gt;=LC$23,KZ6&lt;&gt;"",KY6&gt;=LC$19,KY6&lt;&gt;""),AND(LU6&gt;=LX$23,LU6&lt;&gt;"",LT6&gt;=LX$19,LT6&lt;&gt;"")),"Excellence",IF(OR(AND(AI6&gt;=AL$22,AI6&lt;&gt;"",AH6&gt;=AL$18,AH6&lt;&gt;"",AG6=""),AND(BE6&gt;=BH$22,BE6&lt;&gt;"",BD6&gt;=BH$18,BD6&lt;&gt;"",BC6=""),AND(CA6&gt;=CD$22,CA6&lt;&gt;"",BZ6&gt;=CD$18,BZ6&lt;&gt;"",BY6=""),AND(CX6&gt;=DA$22,CX6&lt;&gt;"",CW6&gt;=DA$18,CW6&lt;&gt;""),AND(DS6&gt;=DV$22,DS6&lt;&gt;"",DR6&gt;=DV$18,DR6&lt;&gt;""),AND(EN6&gt;=EQ$22,EN6&lt;&gt;"",EM6&gt;=EQ$18,EM6&lt;&gt;""),AND(FI6&gt;=FL$22,FI6&lt;&gt;"",FH6&gt;=FL$18,FH6&lt;&gt;""),AND(GD6&gt;=GG$22,GD6&lt;&gt;"",GC6&gt;=GG$18,GC6&lt;&gt;""),AND(GY6&gt;=HB$22,GY6&lt;&gt;"",GX6&gt;=HB$18,GX6&lt;&gt;""),AND(HT6&gt;=HW$22,HT6&lt;&gt;"",HS6&gt;=HW$18,HS6&lt;&gt;""),AND(IO6&gt;=IR$22,IO6&lt;&gt;"",IN6&gt;=IR$18,IN6&lt;&gt;""),AND(JJ6&gt;=JM$22,JJ6&lt;&gt;"",JI6&gt;=JM$18,JI6&lt;&gt;""),AND(KE6&gt;=KH$22,KE6&lt;&gt;"",KD6&gt;=KH$18,KD6&lt;&gt;""),AND(KZ6&gt;=LC$22,KZ6&lt;&gt;"",KY6&gt;=LC$18,KY6&lt;&gt;""),AND(LU6&gt;=LX$22,LU6&lt;&gt;"",LT6&gt;=LX$18,LT6&lt;&gt;"")),"Worlds Team",IF(OR(AND(AI6&gt;=AL$21,AI6&lt;&gt;"",AH6&gt;=AL$17,AH6&lt;&gt;"",AG6=""),AND(BE6&gt;=BH$21,BE6&lt;&gt;"",BD6&gt;=BH$17,BD6&lt;&gt;"",BC6=""),AND(CA6&gt;=CD$21,CA6&lt;&gt;"",BZ6&gt;=CD$17,BZ6&lt;&gt;"",BY6=""),AND(CX6&gt;=DA$21,CX6&lt;&gt;"",CW6&gt;=DA$17,CW6&lt;&gt;""),AND(DS6&gt;=DV$21,DS6&lt;&gt;"",DR6&gt;=DV$17,DR6&lt;&gt;""),AND(EN6&gt;=EQ$21,EN6&lt;&gt;"",EM6&gt;=EQ$17,EM6&lt;&gt;""),AND(FI6&gt;=FL$21,FI6&lt;&gt;"",FH6&gt;=FL$17,FH6&lt;&gt;""),AND(GD6&gt;=GG$21,GD6&lt;&gt;"",GC6&gt;=GG$17,GC6&lt;&gt;""),AND(GY6&gt;=HB$21,GY6&lt;&gt;"",GX6&gt;=HB$17,GX6&lt;&gt;""),AND(HT6&gt;=HW$21,HT6&lt;&gt;"",HS6&gt;=HW$17,HS6&lt;&gt;""),AND(IO6&gt;=IR$21,IO6&lt;&gt;"",IN6&gt;=IR$17,IN6&lt;&gt;""),AND(JJ6&gt;=JM$21,JJ6&lt;&gt;"",JI6&gt;=JM$17,JI6&lt;&gt;""),AND(KE6&gt;=KH$21,KE6&lt;&gt;"",KD6&gt;=KH$17,KD6&lt;&gt;""),AND(KZ6&gt;=LC$21,KZ6&lt;&gt;"",KY6&gt;=LC$17,KY6&lt;&gt;""),AND(LU6&gt;=LX$21,LU6&lt;&gt;"",LT6&gt;=LX$17,LT6&lt;&gt;"")),"National Team","")))))</f>
        <v/>
      </c>
      <c r="I6" s="3" t="str">
        <f>IF(OR(H6="Worlds Team",H6="Excellence",H6="Merit"),"P","")</f>
        <v/>
      </c>
      <c r="J6" s="14">
        <f>MAX(AI6,BE6,CA6)</f>
        <v>57.699999999999996</v>
      </c>
      <c r="K6" s="14" t="str">
        <f>IF(J6=0,"",IF(J6=CA6,$BI$1,IF(J6=BE6,$AM$1,IF(J6=AI6,$Q$1,""))))</f>
        <v>2021 Canadian Championships</v>
      </c>
      <c r="L6" s="14">
        <f>MAX(AK6,BG6,CC6)</f>
        <v>60.3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37">
        <v>23.8</v>
      </c>
      <c r="R6" s="37">
        <v>1.2</v>
      </c>
      <c r="S6" s="37">
        <v>0</v>
      </c>
      <c r="T6" s="37">
        <v>0</v>
      </c>
      <c r="U6" s="37">
        <v>17.2</v>
      </c>
      <c r="V6" s="37">
        <v>1.6</v>
      </c>
      <c r="W6" s="37">
        <v>0</v>
      </c>
      <c r="X6" s="37">
        <v>0.3</v>
      </c>
      <c r="Y6" s="37">
        <v>24</v>
      </c>
      <c r="Z6" s="37">
        <v>3.2</v>
      </c>
      <c r="AA6" s="37">
        <v>0</v>
      </c>
      <c r="AB6" s="37">
        <v>0</v>
      </c>
      <c r="AC6" s="37">
        <v>21.2</v>
      </c>
      <c r="AD6" s="37">
        <v>1.9</v>
      </c>
      <c r="AE6" s="37">
        <v>0</v>
      </c>
      <c r="AF6" s="37">
        <v>0.3</v>
      </c>
      <c r="AG6" s="72"/>
      <c r="AH6" s="11">
        <f>IF(SUM(R6,V6)&gt;0,SUM(R6,V6),"")</f>
        <v>2.8</v>
      </c>
      <c r="AI6" s="11">
        <f>IF(SUM(Q6:R6,T6:V6,X6)-S6-W6&gt;0,SUM(Q6:R6,T6:V6,X6)-S6-W6,"")</f>
        <v>44.1</v>
      </c>
      <c r="AJ6" s="11">
        <f>IF(SUM(Z6,AD6)&gt;0,SUM(Z6,AD6),"")</f>
        <v>5.0999999999999996</v>
      </c>
      <c r="AK6" s="11">
        <f>IF(SUM(Y6:Z6,AB6:AD6,AF6)-SUM(AA6,AE6)&gt;0,SUM(Y6:Z6,AB6:AD6,AF6)-SUM(AA6,AE6),"")</f>
        <v>50.599999999999994</v>
      </c>
      <c r="AL6" s="11">
        <f>IF(SUM(AI6,AK6)&gt;0,SUM(AI6,AK6),"")</f>
        <v>94.699999999999989</v>
      </c>
      <c r="AM6" s="36">
        <v>23.8</v>
      </c>
      <c r="AN6" s="36">
        <v>3.2</v>
      </c>
      <c r="AO6" s="36">
        <v>0</v>
      </c>
      <c r="AP6" s="36">
        <v>0</v>
      </c>
      <c r="AQ6" s="36">
        <v>24.7</v>
      </c>
      <c r="AR6" s="36">
        <v>2.4</v>
      </c>
      <c r="AS6" s="36">
        <v>0.6</v>
      </c>
      <c r="AT6" s="36">
        <v>0.3</v>
      </c>
      <c r="AU6" s="36">
        <v>25</v>
      </c>
      <c r="AV6" s="36">
        <v>3.4</v>
      </c>
      <c r="AW6" s="36">
        <v>0</v>
      </c>
      <c r="AX6" s="36">
        <v>0</v>
      </c>
      <c r="AY6" s="36">
        <v>23</v>
      </c>
      <c r="AZ6" s="36">
        <v>3.9</v>
      </c>
      <c r="BA6" s="36">
        <v>0</v>
      </c>
      <c r="BB6" s="36">
        <v>0.3</v>
      </c>
      <c r="BC6" s="73"/>
      <c r="BD6" s="14">
        <f>IF(SUM(AN6,AR6)&gt;0,SUM(AN6,AR6),"")</f>
        <v>5.6</v>
      </c>
      <c r="BE6" s="14">
        <f>IF(SUM(AM6:AN6,AP6:AR6,AT6)-AO6-AS6&gt;0,SUM(AM6:AN6,AP6:AR6,AT6)-AO6-AS6,"")</f>
        <v>53.8</v>
      </c>
      <c r="BF6" s="14">
        <f>IF(SUM(AV6,AZ6)&gt;0,SUM(AV6,AZ6),"")</f>
        <v>7.3</v>
      </c>
      <c r="BG6" s="14">
        <f>IF(SUM(AU6:AV6,AX6:AZ6,BB6)-SUM(AW6,BA6)&gt;0,SUM(AU6:AV6,AX6:AZ6,BB6)-SUM(AW6,BA6),"")</f>
        <v>55.599999999999994</v>
      </c>
      <c r="BH6" s="14">
        <f>IF(SUM(BE6,BG6)&gt;0,SUM(BE6,BG6),"")</f>
        <v>109.39999999999999</v>
      </c>
      <c r="BI6" s="37">
        <v>26.2</v>
      </c>
      <c r="BJ6" s="37">
        <v>3.4</v>
      </c>
      <c r="BK6" s="37">
        <v>0</v>
      </c>
      <c r="BL6" s="37">
        <v>0</v>
      </c>
      <c r="BM6" s="37">
        <v>24</v>
      </c>
      <c r="BN6" s="37">
        <v>3.5</v>
      </c>
      <c r="BO6" s="37">
        <v>0</v>
      </c>
      <c r="BP6" s="37">
        <v>0.6</v>
      </c>
      <c r="BQ6" s="37">
        <v>26</v>
      </c>
      <c r="BR6" s="37">
        <v>3.4</v>
      </c>
      <c r="BS6" s="37">
        <v>0</v>
      </c>
      <c r="BT6" s="37">
        <v>0</v>
      </c>
      <c r="BU6" s="37">
        <v>25.7</v>
      </c>
      <c r="BV6" s="37">
        <v>4.5999999999999996</v>
      </c>
      <c r="BW6" s="37">
        <v>0</v>
      </c>
      <c r="BX6" s="37">
        <v>0.6</v>
      </c>
      <c r="BY6" s="72"/>
      <c r="BZ6" s="11">
        <f>IF(SUM(BJ6,BN6)&gt;0,SUM(BJ6,BN6),"")</f>
        <v>6.9</v>
      </c>
      <c r="CA6" s="11">
        <f>IF(SUM(BI6:BJ6,BL6:BN6,BP6)-BK6-BO6&gt;0,SUM(BI6:BJ6,BL6:BN6,BP6)-BK6-BO6,"")</f>
        <v>57.699999999999996</v>
      </c>
      <c r="CB6" s="11">
        <f>IF(SUM(BR6,BV6)&gt;0,SUM(BR6,BV6),"")</f>
        <v>8</v>
      </c>
      <c r="CC6" s="11">
        <f>IF(SUM(BQ6:BR6,BT6:BV6,BX6)-SUM(BS6,BW6)&gt;0,SUM(BQ6:BR6,BT6:BV6,BX6)-SUM(BS6,BW6),"")</f>
        <v>60.3</v>
      </c>
      <c r="CD6" s="11">
        <f>IF(SUM(CA6,CC6)&gt;0,SUM(CA6,CC6),"")</f>
        <v>118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25</v>
      </c>
      <c r="LZ6" s="61">
        <f>IF($BY6="P",BJ6,(BJ6+AN6)/2)</f>
        <v>3.3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24.35</v>
      </c>
      <c r="MD6" s="61">
        <f>IF($BY6="P",BN6,(BN6+AR6)/2)</f>
        <v>2.95</v>
      </c>
      <c r="ME6" s="61">
        <f>IF($BY6="P",BO6,(BO6+AS6)/2)</f>
        <v>0.3</v>
      </c>
      <c r="MF6" s="61">
        <f>IF($BY6="P",BP6,(BP6+AT6)/2)</f>
        <v>0.44999999999999996</v>
      </c>
      <c r="MG6" s="61">
        <f>IF($BY6="P",BQ6,(BQ6+AU6)/2)</f>
        <v>25.5</v>
      </c>
      <c r="MH6" s="61">
        <f>IF($BY6="P",BR6,(BR6+AV6)/2)</f>
        <v>3.4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24.35</v>
      </c>
      <c r="ML6" s="61">
        <f>IF($BY6="P",BV6,(BV6+AZ6)/2)</f>
        <v>4.25</v>
      </c>
      <c r="MM6" s="61">
        <f>IF($BY6="P",BW6,(BW6+BA6)/2)</f>
        <v>0</v>
      </c>
      <c r="MN6" s="61">
        <f>IF($BY6="P",BX6,(BX6+BB6)/2)</f>
        <v>0.44999999999999996</v>
      </c>
      <c r="MO6" s="72" t="s">
        <v>52</v>
      </c>
      <c r="MP6" s="11">
        <f>IF(SUM(LZ6,MD6)&gt;0,SUM(LZ6,MD6),"")</f>
        <v>6.25</v>
      </c>
      <c r="MQ6" s="11">
        <f>IF(SUM(LY6:LZ6,MB6:MD6,MF6)-MA6-ME6&gt;0,SUM(LY6:LZ6,MB6:MD6,MF6)-MA6-ME6,"")</f>
        <v>55.750000000000014</v>
      </c>
      <c r="MR6" s="11">
        <f>IF(SUM(MH6,ML6)&gt;0,SUM(MH6,ML6),"")</f>
        <v>7.65</v>
      </c>
      <c r="MS6" s="11">
        <f>IF(SUM(MG6:MH6,MJ6:ML6,MN6)-SUM(MI6,MM6)&gt;0,SUM(MG6:MH6,MJ6:ML6,MN6)-SUM(MI6,MM6),"")</f>
        <v>57.95</v>
      </c>
      <c r="MT6" s="11">
        <f>IF(SUM(MQ6,MS6)&gt;0,SUM(MQ6,MS6),"")</f>
        <v>113.70000000000002</v>
      </c>
    </row>
    <row r="7" spans="1:358" x14ac:dyDescent="0.2">
      <c r="A7" s="5" t="str">
        <f>IF(AND(F7="P",G7="P"),SUMPRODUCT((F$4:F$15="P")*(G$4:G$15="P")*(E$4:E$15&gt;E7))+1,IF(G7="P",SUMPRODUCT((F$4:F$15="")*(G$4:G$15="P")*(E$4:E$15&gt;E7))+1+SUMPRODUCT((F$4:F$15="P")*(G$4:G$15="P")),""))</f>
        <v/>
      </c>
      <c r="B7" s="6" t="s">
        <v>67</v>
      </c>
      <c r="C7" s="7" t="s">
        <v>3</v>
      </c>
      <c r="D7" s="26">
        <v>2003</v>
      </c>
      <c r="E7" s="15">
        <f>SUM(J7:N7)</f>
        <v>117.9</v>
      </c>
      <c r="F7" s="3" t="str">
        <f>IF(OR(AND(AH7&gt;=AL$17,AI7&gt;=AL$21,AI7&lt;&gt;"",AG7=""),AND(BD7&gt;=BH$17,BE7&gt;=BH$21,BE7&lt;&gt;"",BC7=""),AND(BZ7&gt;=CD$17,CA7&gt;=CD$21,CA7&lt;&gt;"",BY7=""),AND(CW7&gt;=DA$17,CX7&gt;=DA$21,CX7&lt;&gt;""),AND(DR7&gt;=DV$17,DS7&gt;=DV$21,DS7&lt;&gt;""),AND(EM7&gt;=EQ$17,EN7&gt;=EQ$21,EN7&lt;&gt;""),AND(FH7&gt;=FL$17,FI7&gt;=FL$21,FI7&lt;&gt;""),AND(GC7&gt;=GG$17,GD7&gt;=GG$21,GD7&lt;&gt;""),AND(GX7&gt;=HB$17,GY7&gt;=HB$21,GY7&lt;&gt;""),AND(HS7&gt;=HW$17,HT7&gt;=HW$21,HT7&lt;&gt;""),AND(IN7&gt;=IR$17,IO7&gt;=IR$21,IO7&lt;&gt;""),AND(JI7&gt;=JM$17,JJ7&gt;=JM$21,JJ7&lt;&gt;""),AND(KD7&gt;=KH$17,KE7&gt;=KH$21,KE7&lt;&gt;""),AND(KY7&gt;=LC$17,KZ7&gt;=LC$21,KZ7&lt;&gt;""),AND(LT7&gt;=LX$17,LU7&gt;=LX$21,LU7&lt;&gt;"")),"P","")</f>
        <v/>
      </c>
      <c r="G7" s="3" t="str">
        <f>IF(OR(AND(AI7&gt;=AL$21,AI7&lt;&gt;"",AG7=""),AND(BE7&gt;=BH$21,BE7&lt;&gt;"",BC7=""),AND(CA7&gt;=CD$21,CA7&lt;&gt;"",BY7=""),AND(CX7&gt;=DA$21,CX7&lt;&gt;""),AND(DS7&gt;=DV$21,DS7&lt;&gt;""),AND(EN7&gt;=EQ$21,EN7&lt;&gt;""),AND(FI7&gt;=FL$21,FI7&lt;&gt;""),AND(GD7&gt;=GG$21,GD7&lt;&gt;""),AND(GY7&gt;=HB$21,GY7&lt;&gt;""),AND(HT7&gt;=HW$21,HT7&lt;&gt;""),AND(IO7&gt;=IR$21,IO7&lt;&gt;""),AND(JJ7&gt;=JM$21,JJ7&lt;&gt;""),AND(KE7&gt;=KH$21,KE7&lt;&gt;""),AND(KZ7&gt;=LC$21,KZ7&lt;&gt;""),AND(LU7&gt;=LX$21,LU7&lt;&gt;"")),"P","")</f>
        <v/>
      </c>
      <c r="H7" s="116" t="str">
        <f>IF(AND(G7="P",F7=""),"No DD",IF(OR(AND(AI7&gt;=AL$24,AI7&lt;&gt;"",AH7&gt;=AL$20,AH7&lt;&gt;"",AG7=""),AND(BE7&gt;=BH$24,BE7&lt;&gt;"",BD7&gt;=BH$20,BD7&lt;&gt;"",BC7=""),AND(CA7&gt;=CD$24,CA7&lt;&gt;"",BZ7&gt;=CD$20,BZ7&lt;&gt;"",BY7=""),AND(CX7&gt;=DA$24,CX7&lt;&gt;"",CW7&gt;=DA$20,CW7&lt;&gt;""),AND(DS7&gt;=DV$24,DS7&lt;&gt;"",DR7&gt;=DV$20,DR7&lt;&gt;""),AND(EN7&gt;=EQ$24,EN7&lt;&gt;"",EM7&gt;=EQ$20,EM7&lt;&gt;""),AND(FI7&gt;=FL$24,FI7&lt;&gt;"",FH7&gt;=FL$20,FH7&lt;&gt;""),AND(GD7&gt;=GG$24,GD7&lt;&gt;"",GC7&gt;=GG$20,GC7&lt;&gt;""),AND(GY7&gt;=HB$24,GY7&lt;&gt;"",GX7&gt;=HB$20,GX7&lt;&gt;""),AND(HT7&gt;=HW$24,HT7&lt;&gt;"",HS7&gt;=HW$20,HS7&lt;&gt;""),AND(IO7&gt;=IR$24,IO7&lt;&gt;"",IN7&gt;=IR$20,IN7&lt;&gt;""),AND(JJ7&gt;=JM$24,JJ7&lt;&gt;"",JI7&gt;=JM$20,JI7&lt;&gt;""),AND(KE7&gt;=KH$24,KE7&lt;&gt;"",KD7&gt;=KH$20,KD7&lt;&gt;""),AND(KZ7&gt;=LC$24,KZ7&lt;&gt;"",KY7&gt;=LC$20,KY7&lt;&gt;""),AND(LU7&gt;=LX$24,LU7&lt;&gt;"",LT7&gt;=LX$20,LT7&lt;&gt;"")),"Merit",IF(OR(AND(AI7&gt;=AL$23,AI7&lt;&gt;"",AH7&gt;=AL$19,AH7&lt;&gt;"",AG7=""),AND(BE7&gt;=BH$23,BE7&lt;&gt;"",BD7&gt;=BH$19,BD7&lt;&gt;"",BC7=""),AND(CA7&gt;=CD$23,CA7&lt;&gt;"",BZ7&gt;=CD$19,BZ7&lt;&gt;"",BY7=""),AND(CX7&gt;=DA$23,CX7&lt;&gt;"",CW7&gt;=DA$19,CW7&lt;&gt;""),AND(DS7&gt;=DV$23,DS7&lt;&gt;"",DR7&gt;=DV$19,DR7&lt;&gt;""),AND(EN7&gt;=EQ$23,EN7&lt;&gt;"",EM7&gt;=EQ$19,EM7&lt;&gt;""),AND(FI7&gt;=FL$23,FI7&lt;&gt;"",FH7&gt;=FL$19,FH7&lt;&gt;""),AND(GD7&gt;=GG$23,GD7&lt;&gt;"",GC7&gt;=GG$19,GC7&lt;&gt;""),AND(GY7&gt;=HB$23,GY7&lt;&gt;"",GX7&gt;=HB$19,GX7&lt;&gt;""),AND(HT7&gt;=HW$23,HT7&lt;&gt;"",HS7&gt;=HW$19,HS7&lt;&gt;""),AND(IO7&gt;=IR$23,IO7&lt;&gt;"",IN7&gt;=IR$19,IN7&lt;&gt;""),AND(JJ7&gt;=JM$23,JJ7&lt;&gt;"",JI7&gt;=JM$19,JI7&lt;&gt;""),AND(KE7&gt;=KH$23,KE7&lt;&gt;"",KD7&gt;=KH$19,KD7&lt;&gt;""),AND(KZ7&gt;=LC$23,KZ7&lt;&gt;"",KY7&gt;=LC$19,KY7&lt;&gt;""),AND(LU7&gt;=LX$23,LU7&lt;&gt;"",LT7&gt;=LX$19,LT7&lt;&gt;"")),"Excellence",IF(OR(AND(AI7&gt;=AL$22,AI7&lt;&gt;"",AH7&gt;=AL$18,AH7&lt;&gt;"",AG7=""),AND(BE7&gt;=BH$22,BE7&lt;&gt;"",BD7&gt;=BH$18,BD7&lt;&gt;"",BC7=""),AND(CA7&gt;=CD$22,CA7&lt;&gt;"",BZ7&gt;=CD$18,BZ7&lt;&gt;"",BY7=""),AND(CX7&gt;=DA$22,CX7&lt;&gt;"",CW7&gt;=DA$18,CW7&lt;&gt;""),AND(DS7&gt;=DV$22,DS7&lt;&gt;"",DR7&gt;=DV$18,DR7&lt;&gt;""),AND(EN7&gt;=EQ$22,EN7&lt;&gt;"",EM7&gt;=EQ$18,EM7&lt;&gt;""),AND(FI7&gt;=FL$22,FI7&lt;&gt;"",FH7&gt;=FL$18,FH7&lt;&gt;""),AND(GD7&gt;=GG$22,GD7&lt;&gt;"",GC7&gt;=GG$18,GC7&lt;&gt;""),AND(GY7&gt;=HB$22,GY7&lt;&gt;"",GX7&gt;=HB$18,GX7&lt;&gt;""),AND(HT7&gt;=HW$22,HT7&lt;&gt;"",HS7&gt;=HW$18,HS7&lt;&gt;""),AND(IO7&gt;=IR$22,IO7&lt;&gt;"",IN7&gt;=IR$18,IN7&lt;&gt;""),AND(JJ7&gt;=JM$22,JJ7&lt;&gt;"",JI7&gt;=JM$18,JI7&lt;&gt;""),AND(KE7&gt;=KH$22,KE7&lt;&gt;"",KD7&gt;=KH$18,KD7&lt;&gt;""),AND(KZ7&gt;=LC$22,KZ7&lt;&gt;"",KY7&gt;=LC$18,KY7&lt;&gt;""),AND(LU7&gt;=LX$22,LU7&lt;&gt;"",LT7&gt;=LX$18,LT7&lt;&gt;"")),"Worlds Team",IF(OR(AND(AI7&gt;=AL$21,AI7&lt;&gt;"",AH7&gt;=AL$17,AH7&lt;&gt;"",AG7=""),AND(BE7&gt;=BH$21,BE7&lt;&gt;"",BD7&gt;=BH$17,BD7&lt;&gt;"",BC7=""),AND(CA7&gt;=CD$21,CA7&lt;&gt;"",BZ7&gt;=CD$17,BZ7&lt;&gt;"",BY7=""),AND(CX7&gt;=DA$21,CX7&lt;&gt;"",CW7&gt;=DA$17,CW7&lt;&gt;""),AND(DS7&gt;=DV$21,DS7&lt;&gt;"",DR7&gt;=DV$17,DR7&lt;&gt;""),AND(EN7&gt;=EQ$21,EN7&lt;&gt;"",EM7&gt;=EQ$17,EM7&lt;&gt;""),AND(FI7&gt;=FL$21,FI7&lt;&gt;"",FH7&gt;=FL$17,FH7&lt;&gt;""),AND(GD7&gt;=GG$21,GD7&lt;&gt;"",GC7&gt;=GG$17,GC7&lt;&gt;""),AND(GY7&gt;=HB$21,GY7&lt;&gt;"",GX7&gt;=HB$17,GX7&lt;&gt;""),AND(HT7&gt;=HW$21,HT7&lt;&gt;"",HS7&gt;=HW$17,HS7&lt;&gt;""),AND(IO7&gt;=IR$21,IO7&lt;&gt;"",IN7&gt;=IR$17,IN7&lt;&gt;""),AND(JJ7&gt;=JM$21,JJ7&lt;&gt;"",JI7&gt;=JM$17,JI7&lt;&gt;""),AND(KE7&gt;=KH$21,KE7&lt;&gt;"",KD7&gt;=KH$17,KD7&lt;&gt;""),AND(KZ7&gt;=LC$21,KZ7&lt;&gt;"",KY7&gt;=LC$17,KY7&lt;&gt;""),AND(LU7&gt;=LX$21,LU7&lt;&gt;"",LT7&gt;=LX$17,LT7&lt;&gt;"")),"National Team","")))))</f>
        <v/>
      </c>
      <c r="I7" s="3" t="str">
        <f>IF(OR(H7="Worlds Team",H7="Excellence",H7="Merit"),"P","")</f>
        <v/>
      </c>
      <c r="J7" s="14">
        <f>MAX(AI7,BE7,CA7)</f>
        <v>58.7</v>
      </c>
      <c r="K7" s="14" t="str">
        <f>IF(J7=0,"",IF(J7=CA7,$BI$1,IF(J7=BE7,$AM$1,IF(J7=AI7,$Q$1,""))))</f>
        <v>2021 Canadian Championships</v>
      </c>
      <c r="L7" s="14">
        <f>MAX(AK7,BG7,CC7)</f>
        <v>59.199999999999996</v>
      </c>
      <c r="M7" s="14" t="str">
        <f>IF(L7=0,"",IF(J7=CC7,$BI$1,IF(L7=BG7,$AM$1,IF(L7=AK7,$Q$1,""))))</f>
        <v/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37">
        <v>26</v>
      </c>
      <c r="R7" s="37">
        <v>3.6</v>
      </c>
      <c r="S7" s="37">
        <v>0</v>
      </c>
      <c r="T7" s="37">
        <v>0</v>
      </c>
      <c r="U7" s="37">
        <v>24.2</v>
      </c>
      <c r="V7" s="37">
        <v>4.5</v>
      </c>
      <c r="W7" s="37">
        <v>0</v>
      </c>
      <c r="X7" s="37">
        <v>0.3</v>
      </c>
      <c r="Y7" s="37">
        <v>25.6</v>
      </c>
      <c r="Z7" s="37">
        <v>3.6</v>
      </c>
      <c r="AA7" s="37">
        <v>0</v>
      </c>
      <c r="AB7" s="37">
        <v>0</v>
      </c>
      <c r="AC7" s="37">
        <v>24.4</v>
      </c>
      <c r="AD7" s="37">
        <v>4.3</v>
      </c>
      <c r="AE7" s="37">
        <v>0</v>
      </c>
      <c r="AF7" s="37">
        <v>0.3</v>
      </c>
      <c r="AG7" s="72"/>
      <c r="AH7" s="11">
        <f>IF(SUM(R7,V7)&gt;0,SUM(R7,V7),"")</f>
        <v>8.1</v>
      </c>
      <c r="AI7" s="11">
        <f>IF(SUM(Q7:R7,T7:V7,X7)-S7-W7&gt;0,SUM(Q7:R7,T7:V7,X7)-S7-W7,"")</f>
        <v>58.599999999999994</v>
      </c>
      <c r="AJ7" s="11">
        <f>IF(SUM(Z7,AD7)&gt;0,SUM(Z7,AD7),"")</f>
        <v>7.9</v>
      </c>
      <c r="AK7" s="11">
        <f>IF(SUM(Y7:Z7,AB7:AD7,AF7)-SUM(AA7,AE7)&gt;0,SUM(Y7:Z7,AB7:AD7,AF7)-SUM(AA7,AE7),"")</f>
        <v>58.199999999999996</v>
      </c>
      <c r="AL7" s="11">
        <f>IF(SUM(AI7,AK7)&gt;0,SUM(AI7,AK7),"")</f>
        <v>116.79999999999998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37">
        <v>25.5</v>
      </c>
      <c r="BJ7" s="37">
        <v>3.6</v>
      </c>
      <c r="BK7" s="37">
        <v>0.3</v>
      </c>
      <c r="BL7" s="37">
        <v>0</v>
      </c>
      <c r="BM7" s="37">
        <v>25.4</v>
      </c>
      <c r="BN7" s="37">
        <v>4.5</v>
      </c>
      <c r="BO7" s="37">
        <v>0.3</v>
      </c>
      <c r="BP7" s="37">
        <v>0.3</v>
      </c>
      <c r="BQ7" s="37">
        <v>26.3</v>
      </c>
      <c r="BR7" s="37">
        <v>3.6</v>
      </c>
      <c r="BS7" s="37">
        <v>0.3</v>
      </c>
      <c r="BT7" s="37">
        <v>0</v>
      </c>
      <c r="BU7" s="37">
        <v>25.1</v>
      </c>
      <c r="BV7" s="37">
        <v>4.5</v>
      </c>
      <c r="BW7" s="37">
        <v>0.3</v>
      </c>
      <c r="BX7" s="37">
        <v>0.3</v>
      </c>
      <c r="BY7" s="72"/>
      <c r="BZ7" s="11">
        <f>IF(SUM(BJ7,BN7)&gt;0,SUM(BJ7,BN7),"")</f>
        <v>8.1</v>
      </c>
      <c r="CA7" s="11">
        <f>IF(SUM(BI7:BJ7,BL7:BN7,BP7)-BK7-BO7&gt;0,SUM(BI7:BJ7,BL7:BN7,BP7)-BK7-BO7,"")</f>
        <v>58.7</v>
      </c>
      <c r="CB7" s="11">
        <f>IF(SUM(BR7,BV7)&gt;0,SUM(BR7,BV7),"")</f>
        <v>8.1</v>
      </c>
      <c r="CC7" s="11">
        <f>IF(SUM(BQ7:BR7,BT7:BV7,BX7)-SUM(BS7,BW7)&gt;0,SUM(BQ7:BR7,BT7:BV7,BX7)-SUM(BS7,BW7),"")</f>
        <v>59.199999999999996</v>
      </c>
      <c r="CD7" s="11">
        <f>IF(SUM(CA7,CC7)&gt;0,SUM(CA7,CC7),"")</f>
        <v>117.9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12.75</v>
      </c>
      <c r="LZ7" s="61">
        <f>IF($BY7="P",BJ7,(BJ7+AN7)/2)</f>
        <v>1.8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12.7</v>
      </c>
      <c r="MD7" s="61">
        <f>IF($BY7="P",BN7,(BN7+AR7)/2)</f>
        <v>2.25</v>
      </c>
      <c r="ME7" s="61">
        <f>IF($BY7="P",BO7,(BO7+AS7)/2)</f>
        <v>0.15</v>
      </c>
      <c r="MF7" s="61">
        <f>IF($BY7="P",BP7,(BP7+AT7)/2)</f>
        <v>0.15</v>
      </c>
      <c r="MG7" s="61">
        <f>IF($BY7="P",BQ7,(BQ7+AU7)/2)</f>
        <v>13.15</v>
      </c>
      <c r="MH7" s="61">
        <f>IF($BY7="P",BR7,(BR7+AV7)/2)</f>
        <v>1.8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12.55</v>
      </c>
      <c r="ML7" s="61">
        <f>IF($BY7="P",BV7,(BV7+AZ7)/2)</f>
        <v>2.25</v>
      </c>
      <c r="MM7" s="61">
        <f>IF($BY7="P",BW7,(BW7+BA7)/2)</f>
        <v>0.15</v>
      </c>
      <c r="MN7" s="61">
        <f>IF($BY7="P",BX7,(BX7+BB7)/2)</f>
        <v>0.15</v>
      </c>
      <c r="MO7" s="72" t="s">
        <v>52</v>
      </c>
      <c r="MP7" s="11">
        <f>IF(SUM(LZ7,MD7)&gt;0,SUM(LZ7,MD7),"")</f>
        <v>4.05</v>
      </c>
      <c r="MQ7" s="11">
        <f>IF(SUM(LY7:LZ7,MB7:MD7,MF7)-MA7-ME7&gt;0,SUM(LY7:LZ7,MB7:MD7,MF7)-MA7-ME7,"")</f>
        <v>29.35</v>
      </c>
      <c r="MR7" s="11">
        <f>IF(SUM(MH7,ML7)&gt;0,SUM(MH7,ML7),"")</f>
        <v>4.05</v>
      </c>
      <c r="MS7" s="11">
        <f>IF(SUM(MG7:MH7,MJ7:ML7,MN7)-SUM(MI7,MM7)&gt;0,SUM(MG7:MH7,MJ7:ML7,MN7)-SUM(MI7,MM7),"")</f>
        <v>29.599999999999998</v>
      </c>
      <c r="MT7" s="11">
        <f>IF(SUM(MQ7,MS7)&gt;0,SUM(MQ7,MS7),"")</f>
        <v>58.95</v>
      </c>
    </row>
    <row r="8" spans="1:358" x14ac:dyDescent="0.2">
      <c r="A8" s="5" t="str">
        <f>IF(AND(F8="P",G8="P"),SUMPRODUCT((F$4:F$15="P")*(G$4:G$15="P")*(E$4:E$15&gt;E8))+1,IF(G8="P",SUMPRODUCT((F$4:F$15="")*(G$4:G$15="P")*(E$4:E$15&gt;E8))+1+SUMPRODUCT((F$4:F$15="P")*(G$4:G$15="P")),""))</f>
        <v/>
      </c>
      <c r="B8" s="6" t="s">
        <v>131</v>
      </c>
      <c r="C8" s="7" t="s">
        <v>4</v>
      </c>
      <c r="D8" s="26">
        <v>2002</v>
      </c>
      <c r="E8" s="15">
        <f>SUM(J8:N8)</f>
        <v>117.6</v>
      </c>
      <c r="F8" s="3" t="str">
        <f>IF(OR(AND(AH8&gt;=AL$17,AI8&gt;=AL$21,AI8&lt;&gt;"",AG8=""),AND(BD8&gt;=BH$17,BE8&gt;=BH$21,BE8&lt;&gt;"",BC8=""),AND(BZ8&gt;=CD$17,CA8&gt;=CD$21,CA8&lt;&gt;"",BY8=""),AND(CW8&gt;=DA$17,CX8&gt;=DA$21,CX8&lt;&gt;""),AND(DR8&gt;=DV$17,DS8&gt;=DV$21,DS8&lt;&gt;""),AND(EM8&gt;=EQ$17,EN8&gt;=EQ$21,EN8&lt;&gt;""),AND(FH8&gt;=FL$17,FI8&gt;=FL$21,FI8&lt;&gt;""),AND(GC8&gt;=GG$17,GD8&gt;=GG$21,GD8&lt;&gt;""),AND(GX8&gt;=HB$17,GY8&gt;=HB$21,GY8&lt;&gt;""),AND(HS8&gt;=HW$17,HT8&gt;=HW$21,HT8&lt;&gt;""),AND(IN8&gt;=IR$17,IO8&gt;=IR$21,IO8&lt;&gt;""),AND(JI8&gt;=JM$17,JJ8&gt;=JM$21,JJ8&lt;&gt;""),AND(KD8&gt;=KH$17,KE8&gt;=KH$21,KE8&lt;&gt;""),AND(KY8&gt;=LC$17,KZ8&gt;=LC$21,KZ8&lt;&gt;""),AND(LT8&gt;=LX$17,LU8&gt;=LX$21,LU8&lt;&gt;"")),"P","")</f>
        <v/>
      </c>
      <c r="G8" s="3" t="str">
        <f>IF(OR(AND(AI8&gt;=AL$21,AI8&lt;&gt;"",AG8=""),AND(BE8&gt;=BH$21,BE8&lt;&gt;"",BC8=""),AND(CA8&gt;=CD$21,CA8&lt;&gt;"",BY8=""),AND(CX8&gt;=DA$21,CX8&lt;&gt;""),AND(DS8&gt;=DV$21,DS8&lt;&gt;""),AND(EN8&gt;=EQ$21,EN8&lt;&gt;""),AND(FI8&gt;=FL$21,FI8&lt;&gt;""),AND(GD8&gt;=GG$21,GD8&lt;&gt;""),AND(GY8&gt;=HB$21,GY8&lt;&gt;""),AND(HT8&gt;=HW$21,HT8&lt;&gt;""),AND(IO8&gt;=IR$21,IO8&lt;&gt;""),AND(JJ8&gt;=JM$21,JJ8&lt;&gt;""),AND(KE8&gt;=KH$21,KE8&lt;&gt;""),AND(KZ8&gt;=LC$21,KZ8&lt;&gt;""),AND(LU8&gt;=LX$21,LU8&lt;&gt;"")),"P","")</f>
        <v/>
      </c>
      <c r="H8" s="116" t="str">
        <f>IF(AND(G8="P",F8=""),"No DD",IF(OR(AND(AI8&gt;=AL$24,AI8&lt;&gt;"",AH8&gt;=AL$20,AH8&lt;&gt;"",AG8=""),AND(BE8&gt;=BH$24,BE8&lt;&gt;"",BD8&gt;=BH$20,BD8&lt;&gt;"",BC8=""),AND(CA8&gt;=CD$24,CA8&lt;&gt;"",BZ8&gt;=CD$20,BZ8&lt;&gt;"",BY8=""),AND(CX8&gt;=DA$24,CX8&lt;&gt;"",CW8&gt;=DA$20,CW8&lt;&gt;""),AND(DS8&gt;=DV$24,DS8&lt;&gt;"",DR8&gt;=DV$20,DR8&lt;&gt;""),AND(EN8&gt;=EQ$24,EN8&lt;&gt;"",EM8&gt;=EQ$20,EM8&lt;&gt;""),AND(FI8&gt;=FL$24,FI8&lt;&gt;"",FH8&gt;=FL$20,FH8&lt;&gt;""),AND(GD8&gt;=GG$24,GD8&lt;&gt;"",GC8&gt;=GG$20,GC8&lt;&gt;""),AND(GY8&gt;=HB$24,GY8&lt;&gt;"",GX8&gt;=HB$20,GX8&lt;&gt;""),AND(HT8&gt;=HW$24,HT8&lt;&gt;"",HS8&gt;=HW$20,HS8&lt;&gt;""),AND(IO8&gt;=IR$24,IO8&lt;&gt;"",IN8&gt;=IR$20,IN8&lt;&gt;""),AND(JJ8&gt;=JM$24,JJ8&lt;&gt;"",JI8&gt;=JM$20,JI8&lt;&gt;""),AND(KE8&gt;=KH$24,KE8&lt;&gt;"",KD8&gt;=KH$20,KD8&lt;&gt;""),AND(KZ8&gt;=LC$24,KZ8&lt;&gt;"",KY8&gt;=LC$20,KY8&lt;&gt;""),AND(LU8&gt;=LX$24,LU8&lt;&gt;"",LT8&gt;=LX$20,LT8&lt;&gt;"")),"Merit",IF(OR(AND(AI8&gt;=AL$23,AI8&lt;&gt;"",AH8&gt;=AL$19,AH8&lt;&gt;"",AG8=""),AND(BE8&gt;=BH$23,BE8&lt;&gt;"",BD8&gt;=BH$19,BD8&lt;&gt;"",BC8=""),AND(CA8&gt;=CD$23,CA8&lt;&gt;"",BZ8&gt;=CD$19,BZ8&lt;&gt;"",BY8=""),AND(CX8&gt;=DA$23,CX8&lt;&gt;"",CW8&gt;=DA$19,CW8&lt;&gt;""),AND(DS8&gt;=DV$23,DS8&lt;&gt;"",DR8&gt;=DV$19,DR8&lt;&gt;""),AND(EN8&gt;=EQ$23,EN8&lt;&gt;"",EM8&gt;=EQ$19,EM8&lt;&gt;""),AND(FI8&gt;=FL$23,FI8&lt;&gt;"",FH8&gt;=FL$19,FH8&lt;&gt;""),AND(GD8&gt;=GG$23,GD8&lt;&gt;"",GC8&gt;=GG$19,GC8&lt;&gt;""),AND(GY8&gt;=HB$23,GY8&lt;&gt;"",GX8&gt;=HB$19,GX8&lt;&gt;""),AND(HT8&gt;=HW$23,HT8&lt;&gt;"",HS8&gt;=HW$19,HS8&lt;&gt;""),AND(IO8&gt;=IR$23,IO8&lt;&gt;"",IN8&gt;=IR$19,IN8&lt;&gt;""),AND(JJ8&gt;=JM$23,JJ8&lt;&gt;"",JI8&gt;=JM$19,JI8&lt;&gt;""),AND(KE8&gt;=KH$23,KE8&lt;&gt;"",KD8&gt;=KH$19,KD8&lt;&gt;""),AND(KZ8&gt;=LC$23,KZ8&lt;&gt;"",KY8&gt;=LC$19,KY8&lt;&gt;""),AND(LU8&gt;=LX$23,LU8&lt;&gt;"",LT8&gt;=LX$19,LT8&lt;&gt;"")),"Excellence",IF(OR(AND(AI8&gt;=AL$22,AI8&lt;&gt;"",AH8&gt;=AL$18,AH8&lt;&gt;"",AG8=""),AND(BE8&gt;=BH$22,BE8&lt;&gt;"",BD8&gt;=BH$18,BD8&lt;&gt;"",BC8=""),AND(CA8&gt;=CD$22,CA8&lt;&gt;"",BZ8&gt;=CD$18,BZ8&lt;&gt;"",BY8=""),AND(CX8&gt;=DA$22,CX8&lt;&gt;"",CW8&gt;=DA$18,CW8&lt;&gt;""),AND(DS8&gt;=DV$22,DS8&lt;&gt;"",DR8&gt;=DV$18,DR8&lt;&gt;""),AND(EN8&gt;=EQ$22,EN8&lt;&gt;"",EM8&gt;=EQ$18,EM8&lt;&gt;""),AND(FI8&gt;=FL$22,FI8&lt;&gt;"",FH8&gt;=FL$18,FH8&lt;&gt;""),AND(GD8&gt;=GG$22,GD8&lt;&gt;"",GC8&gt;=GG$18,GC8&lt;&gt;""),AND(GY8&gt;=HB$22,GY8&lt;&gt;"",GX8&gt;=HB$18,GX8&lt;&gt;""),AND(HT8&gt;=HW$22,HT8&lt;&gt;"",HS8&gt;=HW$18,HS8&lt;&gt;""),AND(IO8&gt;=IR$22,IO8&lt;&gt;"",IN8&gt;=IR$18,IN8&lt;&gt;""),AND(JJ8&gt;=JM$22,JJ8&lt;&gt;"",JI8&gt;=JM$18,JI8&lt;&gt;""),AND(KE8&gt;=KH$22,KE8&lt;&gt;"",KD8&gt;=KH$18,KD8&lt;&gt;""),AND(KZ8&gt;=LC$22,KZ8&lt;&gt;"",KY8&gt;=LC$18,KY8&lt;&gt;""),AND(LU8&gt;=LX$22,LU8&lt;&gt;"",LT8&gt;=LX$18,LT8&lt;&gt;"")),"Worlds Team",IF(OR(AND(AI8&gt;=AL$21,AI8&lt;&gt;"",AH8&gt;=AL$17,AH8&lt;&gt;"",AG8=""),AND(BE8&gt;=BH$21,BE8&lt;&gt;"",BD8&gt;=BH$17,BD8&lt;&gt;"",BC8=""),AND(CA8&gt;=CD$21,CA8&lt;&gt;"",BZ8&gt;=CD$17,BZ8&lt;&gt;"",BY8=""),AND(CX8&gt;=DA$21,CX8&lt;&gt;"",CW8&gt;=DA$17,CW8&lt;&gt;""),AND(DS8&gt;=DV$21,DS8&lt;&gt;"",DR8&gt;=DV$17,DR8&lt;&gt;""),AND(EN8&gt;=EQ$21,EN8&lt;&gt;"",EM8&gt;=EQ$17,EM8&lt;&gt;""),AND(FI8&gt;=FL$21,FI8&lt;&gt;"",FH8&gt;=FL$17,FH8&lt;&gt;""),AND(GD8&gt;=GG$21,GD8&lt;&gt;"",GC8&gt;=GG$17,GC8&lt;&gt;""),AND(GY8&gt;=HB$21,GY8&lt;&gt;"",GX8&gt;=HB$17,GX8&lt;&gt;""),AND(HT8&gt;=HW$21,HT8&lt;&gt;"",HS8&gt;=HW$17,HS8&lt;&gt;""),AND(IO8&gt;=IR$21,IO8&lt;&gt;"",IN8&gt;=IR$17,IN8&lt;&gt;""),AND(JJ8&gt;=JM$21,JJ8&lt;&gt;"",JI8&gt;=JM$17,JI8&lt;&gt;""),AND(KE8&gt;=KH$21,KE8&lt;&gt;"",KD8&gt;=KH$17,KD8&lt;&gt;""),AND(KZ8&gt;=LC$21,KZ8&lt;&gt;"",KY8&gt;=LC$17,KY8&lt;&gt;""),AND(LU8&gt;=LX$21,LU8&lt;&gt;"",LT8&gt;=LX$17,LT8&lt;&gt;"")),"National Team","")))))</f>
        <v/>
      </c>
      <c r="I8" s="3" t="str">
        <f>IF(OR(H8="Worlds Team",H8="Excellence",H8="Merit"),"P","")</f>
        <v/>
      </c>
      <c r="J8" s="14">
        <f>MAX(AI8,BE8,CA8)</f>
        <v>59.4</v>
      </c>
      <c r="K8" s="14" t="str">
        <f>IF(J8=0,"",IF(J8=CA8,$BI$1,IF(J8=BE8,$AM$1,IF(J8=AI8,$Q$1,""))))</f>
        <v>2021 2nd Virtual Technical Trial</v>
      </c>
      <c r="L8" s="14">
        <f>MAX(AK8,BG8,CC8)</f>
        <v>58.199999999999996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37">
        <v>25</v>
      </c>
      <c r="R8" s="37">
        <v>3.9</v>
      </c>
      <c r="S8" s="37">
        <v>0</v>
      </c>
      <c r="T8" s="37">
        <v>0.3</v>
      </c>
      <c r="U8" s="37">
        <v>25.8</v>
      </c>
      <c r="V8" s="37">
        <v>4.0999999999999996</v>
      </c>
      <c r="W8" s="37">
        <v>0</v>
      </c>
      <c r="X8" s="37">
        <v>0.3</v>
      </c>
      <c r="Y8" s="37">
        <v>26.4</v>
      </c>
      <c r="Z8" s="37">
        <v>1.7</v>
      </c>
      <c r="AA8" s="37">
        <v>1.3</v>
      </c>
      <c r="AB8" s="37">
        <v>0</v>
      </c>
      <c r="AC8" s="37">
        <v>25.4</v>
      </c>
      <c r="AD8" s="37">
        <v>3.2</v>
      </c>
      <c r="AE8" s="37">
        <v>0.3</v>
      </c>
      <c r="AF8" s="37">
        <v>0</v>
      </c>
      <c r="AG8" s="72"/>
      <c r="AH8" s="11">
        <f>IF(SUM(R8,V8)&gt;0,SUM(R8,V8),"")</f>
        <v>8</v>
      </c>
      <c r="AI8" s="11">
        <f>IF(SUM(Q8:R8,T8:V8,X8)-S8-W8&gt;0,SUM(Q8:R8,T8:V8,X8)-S8-W8,"")</f>
        <v>59.4</v>
      </c>
      <c r="AJ8" s="11">
        <f>IF(SUM(Z8,AD8)&gt;0,SUM(Z8,AD8),"")</f>
        <v>4.9000000000000004</v>
      </c>
      <c r="AK8" s="11">
        <f>IF(SUM(Y8:Z8,AB8:AD8,AF8)-SUM(AA8,AE8)&gt;0,SUM(Y8:Z8,AB8:AD8,AF8)-SUM(AA8,AE8),"")</f>
        <v>55.1</v>
      </c>
      <c r="AL8" s="11">
        <f>IF(SUM(AI8,AK8)&gt;0,SUM(AI8,AK8),"")</f>
        <v>114.5</v>
      </c>
      <c r="AM8" s="36">
        <v>23.7</v>
      </c>
      <c r="AN8" s="36">
        <v>3.9</v>
      </c>
      <c r="AO8" s="36">
        <v>0</v>
      </c>
      <c r="AP8" s="36">
        <v>0.3</v>
      </c>
      <c r="AQ8" s="36">
        <v>24.7</v>
      </c>
      <c r="AR8" s="36">
        <v>4.0999999999999996</v>
      </c>
      <c r="AS8" s="36">
        <v>0</v>
      </c>
      <c r="AT8" s="36">
        <v>0.3</v>
      </c>
      <c r="AU8" s="36">
        <v>24.6</v>
      </c>
      <c r="AV8" s="36">
        <v>3.9</v>
      </c>
      <c r="AW8" s="36">
        <v>0</v>
      </c>
      <c r="AX8" s="36">
        <v>0.3</v>
      </c>
      <c r="AY8" s="36">
        <v>23.7</v>
      </c>
      <c r="AZ8" s="36">
        <v>4.0999999999999996</v>
      </c>
      <c r="BA8" s="36">
        <v>0.6</v>
      </c>
      <c r="BB8" s="36">
        <v>0.3</v>
      </c>
      <c r="BC8" s="73"/>
      <c r="BD8" s="14">
        <f>IF(SUM(AN8,AR8)&gt;0,SUM(AN8,AR8),"")</f>
        <v>8</v>
      </c>
      <c r="BE8" s="14">
        <f>IF(SUM(AM8:AN8,AP8:AR8,AT8)-AO8-AS8&gt;0,SUM(AM8:AN8,AP8:AR8,AT8)-AO8-AS8,"")</f>
        <v>56.999999999999993</v>
      </c>
      <c r="BF8" s="14">
        <f>IF(SUM(AV8,AZ8)&gt;0,SUM(AV8,AZ8),"")</f>
        <v>8</v>
      </c>
      <c r="BG8" s="14">
        <f>IF(SUM(AU8:AV8,AX8:AZ8,BB8)-SUM(AW8,BA8)&gt;0,SUM(AU8:AV8,AX8:AZ8,BB8)-SUM(AW8,BA8),"")</f>
        <v>56.3</v>
      </c>
      <c r="BH8" s="14">
        <f>IF(SUM(BE8,BG8)&gt;0,SUM(BE8,BG8),"")</f>
        <v>113.29999999999998</v>
      </c>
      <c r="BI8" s="37">
        <v>25</v>
      </c>
      <c r="BJ8" s="37">
        <v>3.9</v>
      </c>
      <c r="BK8" s="37">
        <v>0</v>
      </c>
      <c r="BL8" s="37">
        <v>0.3</v>
      </c>
      <c r="BM8" s="37">
        <v>24.4</v>
      </c>
      <c r="BN8" s="37">
        <v>2.4</v>
      </c>
      <c r="BO8" s="37">
        <v>0.6</v>
      </c>
      <c r="BP8" s="37">
        <v>0.3</v>
      </c>
      <c r="BQ8" s="37">
        <v>25</v>
      </c>
      <c r="BR8" s="37">
        <v>3.9</v>
      </c>
      <c r="BS8" s="37">
        <v>0.3</v>
      </c>
      <c r="BT8" s="37">
        <v>0.3</v>
      </c>
      <c r="BU8" s="37">
        <v>24.9</v>
      </c>
      <c r="BV8" s="37">
        <v>4.0999999999999996</v>
      </c>
      <c r="BW8" s="37">
        <v>0</v>
      </c>
      <c r="BX8" s="37">
        <v>0.3</v>
      </c>
      <c r="BY8" s="72"/>
      <c r="BZ8" s="11">
        <f>IF(SUM(BJ8,BN8)&gt;0,SUM(BJ8,BN8),"")</f>
        <v>6.3</v>
      </c>
      <c r="CA8" s="11">
        <f>IF(SUM(BI8:BJ8,BL8:BN8,BP8)-BK8-BO8&gt;0,SUM(BI8:BJ8,BL8:BN8,BP8)-BK8-BO8,"")</f>
        <v>55.699999999999989</v>
      </c>
      <c r="CB8" s="11">
        <f>IF(SUM(BR8,BV8)&gt;0,SUM(BR8,BV8),"")</f>
        <v>8</v>
      </c>
      <c r="CC8" s="11">
        <f>IF(SUM(BQ8:BR8,BT8:BV8,BX8)-SUM(BS8,BW8)&gt;0,SUM(BQ8:BR8,BT8:BV8,BX8)-SUM(BS8,BW8),"")</f>
        <v>58.199999999999996</v>
      </c>
      <c r="CD8" s="11">
        <f>IF(SUM(CA8,CC8)&gt;0,SUM(CA8,CC8),"")</f>
        <v>113.89999999999998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24.35</v>
      </c>
      <c r="LZ8" s="61">
        <f>IF($BY8="P",BJ8,(BJ8+AN8)/2)</f>
        <v>3.9</v>
      </c>
      <c r="MA8" s="61">
        <f>IF($BY8="P",BK8,(BK8+AO8)/2)</f>
        <v>0</v>
      </c>
      <c r="MB8" s="61">
        <f>IF($BY8="P",BL8,(BL8+AP8)/2)</f>
        <v>0.3</v>
      </c>
      <c r="MC8" s="61">
        <f>IF($BY8="P",BM8,(BM8+AQ8)/2)</f>
        <v>24.549999999999997</v>
      </c>
      <c r="MD8" s="61">
        <f>IF($BY8="P",BN8,(BN8+AR8)/2)</f>
        <v>3.25</v>
      </c>
      <c r="ME8" s="61">
        <f>IF($BY8="P",BO8,(BO8+AS8)/2)</f>
        <v>0.3</v>
      </c>
      <c r="MF8" s="61">
        <f>IF($BY8="P",BP8,(BP8+AT8)/2)</f>
        <v>0.3</v>
      </c>
      <c r="MG8" s="61">
        <f>IF($BY8="P",BQ8,(BQ8+AU8)/2)</f>
        <v>24.8</v>
      </c>
      <c r="MH8" s="61">
        <f>IF($BY8="P",BR8,(BR8+AV8)/2)</f>
        <v>3.9</v>
      </c>
      <c r="MI8" s="61">
        <f>IF($BY8="P",BS8,(BS8+AW8)/2)</f>
        <v>0.15</v>
      </c>
      <c r="MJ8" s="61">
        <f>IF($BY8="P",BT8,(BT8+AX8)/2)</f>
        <v>0.3</v>
      </c>
      <c r="MK8" s="61">
        <f>IF($BY8="P",BU8,(BU8+AY8)/2)</f>
        <v>24.299999999999997</v>
      </c>
      <c r="ML8" s="61">
        <f>IF($BY8="P",BV8,(BV8+AZ8)/2)</f>
        <v>4.0999999999999996</v>
      </c>
      <c r="MM8" s="61">
        <f>IF($BY8="P",BW8,(BW8+BA8)/2)</f>
        <v>0.3</v>
      </c>
      <c r="MN8" s="61">
        <f>IF($BY8="P",BX8,(BX8+BB8)/2)</f>
        <v>0.3</v>
      </c>
      <c r="MO8" s="72" t="s">
        <v>52</v>
      </c>
      <c r="MP8" s="11">
        <f>IF(SUM(LZ8,MD8)&gt;0,SUM(LZ8,MD8),"")</f>
        <v>7.15</v>
      </c>
      <c r="MQ8" s="11">
        <f>IF(SUM(LY8:LZ8,MB8:MD8,MF8)-MA8-ME8&gt;0,SUM(LY8:LZ8,MB8:MD8,MF8)-MA8-ME8,"")</f>
        <v>56.349999999999994</v>
      </c>
      <c r="MR8" s="11">
        <f>IF(SUM(MH8,ML8)&gt;0,SUM(MH8,ML8),"")</f>
        <v>8</v>
      </c>
      <c r="MS8" s="11">
        <f>IF(SUM(MG8:MH8,MJ8:ML8,MN8)-SUM(MI8,MM8)&gt;0,SUM(MG8:MH8,MJ8:ML8,MN8)-SUM(MI8,MM8),"")</f>
        <v>57.249999999999993</v>
      </c>
      <c r="MT8" s="11">
        <f>IF(SUM(MQ8,MS8)&gt;0,SUM(MQ8,MS8),"")</f>
        <v>113.6</v>
      </c>
    </row>
    <row r="9" spans="1:358" x14ac:dyDescent="0.2">
      <c r="A9" s="5" t="str">
        <f>IF(AND(F9="P",G9="P"),SUMPRODUCT((F$4:F$15="P")*(G$4:G$15="P")*(E$4:E$15&gt;E9))+1,IF(G9="P",SUMPRODUCT((F$4:F$15="")*(G$4:G$15="P")*(E$4:E$15&gt;E9))+1+SUMPRODUCT((F$4:F$15="P")*(G$4:G$15="P")),""))</f>
        <v/>
      </c>
      <c r="B9" s="6" t="s">
        <v>84</v>
      </c>
      <c r="C9" s="7" t="s">
        <v>3</v>
      </c>
      <c r="D9" s="26">
        <v>2004</v>
      </c>
      <c r="E9" s="15">
        <f>SUM(J9:N9)</f>
        <v>115.6</v>
      </c>
      <c r="F9" s="3" t="str">
        <f>IF(OR(AND(AH9&gt;=AL$17,AI9&gt;=AL$21,AI9&lt;&gt;"",AG9=""),AND(BD9&gt;=BH$17,BE9&gt;=BH$21,BE9&lt;&gt;"",BC9=""),AND(BZ9&gt;=CD$17,CA9&gt;=CD$21,CA9&lt;&gt;"",BY9=""),AND(CW9&gt;=DA$17,CX9&gt;=DA$21,CX9&lt;&gt;""),AND(DR9&gt;=DV$17,DS9&gt;=DV$21,DS9&lt;&gt;""),AND(EM9&gt;=EQ$17,EN9&gt;=EQ$21,EN9&lt;&gt;""),AND(FH9&gt;=FL$17,FI9&gt;=FL$21,FI9&lt;&gt;""),AND(GC9&gt;=GG$17,GD9&gt;=GG$21,GD9&lt;&gt;""),AND(GX9&gt;=HB$17,GY9&gt;=HB$21,GY9&lt;&gt;""),AND(HS9&gt;=HW$17,HT9&gt;=HW$21,HT9&lt;&gt;""),AND(IN9&gt;=IR$17,IO9&gt;=IR$21,IO9&lt;&gt;""),AND(JI9&gt;=JM$17,JJ9&gt;=JM$21,JJ9&lt;&gt;""),AND(KD9&gt;=KH$17,KE9&gt;=KH$21,KE9&lt;&gt;""),AND(KY9&gt;=LC$17,KZ9&gt;=LC$21,KZ9&lt;&gt;""),AND(LT9&gt;=LX$17,LU9&gt;=LX$21,LU9&lt;&gt;"")),"P","")</f>
        <v/>
      </c>
      <c r="G9" s="3" t="str">
        <f>IF(OR(AND(AI9&gt;=AL$21,AI9&lt;&gt;"",AG9=""),AND(BE9&gt;=BH$21,BE9&lt;&gt;"",BC9=""),AND(CA9&gt;=CD$21,CA9&lt;&gt;"",BY9=""),AND(CX9&gt;=DA$21,CX9&lt;&gt;""),AND(DS9&gt;=DV$21,DS9&lt;&gt;""),AND(EN9&gt;=EQ$21,EN9&lt;&gt;""),AND(FI9&gt;=FL$21,FI9&lt;&gt;""),AND(GD9&gt;=GG$21,GD9&lt;&gt;""),AND(GY9&gt;=HB$21,GY9&lt;&gt;""),AND(HT9&gt;=HW$21,HT9&lt;&gt;""),AND(IO9&gt;=IR$21,IO9&lt;&gt;""),AND(JJ9&gt;=JM$21,JJ9&lt;&gt;""),AND(KE9&gt;=KH$21,KE9&lt;&gt;""),AND(KZ9&gt;=LC$21,KZ9&lt;&gt;""),AND(LU9&gt;=LX$21,LU9&lt;&gt;"")),"P","")</f>
        <v/>
      </c>
      <c r="H9" s="116" t="str">
        <f>IF(AND(G9="P",F9=""),"No DD",IF(OR(AND(AI9&gt;=AL$24,AI9&lt;&gt;"",AH9&gt;=AL$20,AH9&lt;&gt;"",AG9=""),AND(BE9&gt;=BH$24,BE9&lt;&gt;"",BD9&gt;=BH$20,BD9&lt;&gt;"",BC9=""),AND(CA9&gt;=CD$24,CA9&lt;&gt;"",BZ9&gt;=CD$20,BZ9&lt;&gt;"",BY9=""),AND(CX9&gt;=DA$24,CX9&lt;&gt;"",CW9&gt;=DA$20,CW9&lt;&gt;""),AND(DS9&gt;=DV$24,DS9&lt;&gt;"",DR9&gt;=DV$20,DR9&lt;&gt;""),AND(EN9&gt;=EQ$24,EN9&lt;&gt;"",EM9&gt;=EQ$20,EM9&lt;&gt;""),AND(FI9&gt;=FL$24,FI9&lt;&gt;"",FH9&gt;=FL$20,FH9&lt;&gt;""),AND(GD9&gt;=GG$24,GD9&lt;&gt;"",GC9&gt;=GG$20,GC9&lt;&gt;""),AND(GY9&gt;=HB$24,GY9&lt;&gt;"",GX9&gt;=HB$20,GX9&lt;&gt;""),AND(HT9&gt;=HW$24,HT9&lt;&gt;"",HS9&gt;=HW$20,HS9&lt;&gt;""),AND(IO9&gt;=IR$24,IO9&lt;&gt;"",IN9&gt;=IR$20,IN9&lt;&gt;""),AND(JJ9&gt;=JM$24,JJ9&lt;&gt;"",JI9&gt;=JM$20,JI9&lt;&gt;""),AND(KE9&gt;=KH$24,KE9&lt;&gt;"",KD9&gt;=KH$20,KD9&lt;&gt;""),AND(KZ9&gt;=LC$24,KZ9&lt;&gt;"",KY9&gt;=LC$20,KY9&lt;&gt;""),AND(LU9&gt;=LX$24,LU9&lt;&gt;"",LT9&gt;=LX$20,LT9&lt;&gt;"")),"Merit",IF(OR(AND(AI9&gt;=AL$23,AI9&lt;&gt;"",AH9&gt;=AL$19,AH9&lt;&gt;"",AG9=""),AND(BE9&gt;=BH$23,BE9&lt;&gt;"",BD9&gt;=BH$19,BD9&lt;&gt;"",BC9=""),AND(CA9&gt;=CD$23,CA9&lt;&gt;"",BZ9&gt;=CD$19,BZ9&lt;&gt;"",BY9=""),AND(CX9&gt;=DA$23,CX9&lt;&gt;"",CW9&gt;=DA$19,CW9&lt;&gt;""),AND(DS9&gt;=DV$23,DS9&lt;&gt;"",DR9&gt;=DV$19,DR9&lt;&gt;""),AND(EN9&gt;=EQ$23,EN9&lt;&gt;"",EM9&gt;=EQ$19,EM9&lt;&gt;""),AND(FI9&gt;=FL$23,FI9&lt;&gt;"",FH9&gt;=FL$19,FH9&lt;&gt;""),AND(GD9&gt;=GG$23,GD9&lt;&gt;"",GC9&gt;=GG$19,GC9&lt;&gt;""),AND(GY9&gt;=HB$23,GY9&lt;&gt;"",GX9&gt;=HB$19,GX9&lt;&gt;""),AND(HT9&gt;=HW$23,HT9&lt;&gt;"",HS9&gt;=HW$19,HS9&lt;&gt;""),AND(IO9&gt;=IR$23,IO9&lt;&gt;"",IN9&gt;=IR$19,IN9&lt;&gt;""),AND(JJ9&gt;=JM$23,JJ9&lt;&gt;"",JI9&gt;=JM$19,JI9&lt;&gt;""),AND(KE9&gt;=KH$23,KE9&lt;&gt;"",KD9&gt;=KH$19,KD9&lt;&gt;""),AND(KZ9&gt;=LC$23,KZ9&lt;&gt;"",KY9&gt;=LC$19,KY9&lt;&gt;""),AND(LU9&gt;=LX$23,LU9&lt;&gt;"",LT9&gt;=LX$19,LT9&lt;&gt;"")),"Excellence",IF(OR(AND(AI9&gt;=AL$22,AI9&lt;&gt;"",AH9&gt;=AL$18,AH9&lt;&gt;"",AG9=""),AND(BE9&gt;=BH$22,BE9&lt;&gt;"",BD9&gt;=BH$18,BD9&lt;&gt;"",BC9=""),AND(CA9&gt;=CD$22,CA9&lt;&gt;"",BZ9&gt;=CD$18,BZ9&lt;&gt;"",BY9=""),AND(CX9&gt;=DA$22,CX9&lt;&gt;"",CW9&gt;=DA$18,CW9&lt;&gt;""),AND(DS9&gt;=DV$22,DS9&lt;&gt;"",DR9&gt;=DV$18,DR9&lt;&gt;""),AND(EN9&gt;=EQ$22,EN9&lt;&gt;"",EM9&gt;=EQ$18,EM9&lt;&gt;""),AND(FI9&gt;=FL$22,FI9&lt;&gt;"",FH9&gt;=FL$18,FH9&lt;&gt;""),AND(GD9&gt;=GG$22,GD9&lt;&gt;"",GC9&gt;=GG$18,GC9&lt;&gt;""),AND(GY9&gt;=HB$22,GY9&lt;&gt;"",GX9&gt;=HB$18,GX9&lt;&gt;""),AND(HT9&gt;=HW$22,HT9&lt;&gt;"",HS9&gt;=HW$18,HS9&lt;&gt;""),AND(IO9&gt;=IR$22,IO9&lt;&gt;"",IN9&gt;=IR$18,IN9&lt;&gt;""),AND(JJ9&gt;=JM$22,JJ9&lt;&gt;"",JI9&gt;=JM$18,JI9&lt;&gt;""),AND(KE9&gt;=KH$22,KE9&lt;&gt;"",KD9&gt;=KH$18,KD9&lt;&gt;""),AND(KZ9&gt;=LC$22,KZ9&lt;&gt;"",KY9&gt;=LC$18,KY9&lt;&gt;""),AND(LU9&gt;=LX$22,LU9&lt;&gt;"",LT9&gt;=LX$18,LT9&lt;&gt;"")),"Worlds Team",IF(OR(AND(AI9&gt;=AL$21,AI9&lt;&gt;"",AH9&gt;=AL$17,AH9&lt;&gt;"",AG9=""),AND(BE9&gt;=BH$21,BE9&lt;&gt;"",BD9&gt;=BH$17,BD9&lt;&gt;"",BC9=""),AND(CA9&gt;=CD$21,CA9&lt;&gt;"",BZ9&gt;=CD$17,BZ9&lt;&gt;"",BY9=""),AND(CX9&gt;=DA$21,CX9&lt;&gt;"",CW9&gt;=DA$17,CW9&lt;&gt;""),AND(DS9&gt;=DV$21,DS9&lt;&gt;"",DR9&gt;=DV$17,DR9&lt;&gt;""),AND(EN9&gt;=EQ$21,EN9&lt;&gt;"",EM9&gt;=EQ$17,EM9&lt;&gt;""),AND(FI9&gt;=FL$21,FI9&lt;&gt;"",FH9&gt;=FL$17,FH9&lt;&gt;""),AND(GD9&gt;=GG$21,GD9&lt;&gt;"",GC9&gt;=GG$17,GC9&lt;&gt;""),AND(GY9&gt;=HB$21,GY9&lt;&gt;"",GX9&gt;=HB$17,GX9&lt;&gt;""),AND(HT9&gt;=HW$21,HT9&lt;&gt;"",HS9&gt;=HW$17,HS9&lt;&gt;""),AND(IO9&gt;=IR$21,IO9&lt;&gt;"",IN9&gt;=IR$17,IN9&lt;&gt;""),AND(JJ9&gt;=JM$21,JJ9&lt;&gt;"",JI9&gt;=JM$17,JI9&lt;&gt;""),AND(KE9&gt;=KH$21,KE9&lt;&gt;"",KD9&gt;=KH$17,KD9&lt;&gt;""),AND(KZ9&gt;=LC$21,KZ9&lt;&gt;"",KY9&gt;=LC$17,KY9&lt;&gt;""),AND(LU9&gt;=LX$21,LU9&lt;&gt;"",LT9&gt;=LX$17,LT9&lt;&gt;"")),"National Team","")))))</f>
        <v/>
      </c>
      <c r="I9" s="3" t="str">
        <f>IF(OR(H9="Worlds Team",H9="Excellence",H9="Merit"),"P","")</f>
        <v/>
      </c>
      <c r="J9" s="14">
        <f>MAX(AI9,BE9,CA9)</f>
        <v>57.699999999999996</v>
      </c>
      <c r="K9" s="14" t="str">
        <f>IF(J9=0,"",IF(J9=CA9,$BI$1,IF(J9=BE9,$AM$1,IF(J9=AI9,$Q$1,""))))</f>
        <v>2021 2nd Virtual Technical Trial</v>
      </c>
      <c r="L9" s="14">
        <f>MAX(AK9,BG9,CC9)</f>
        <v>57.9</v>
      </c>
      <c r="M9" s="14" t="str">
        <f>IF(L9=0,"",IF(J9=CC9,$BI$1,IF(L9=BG9,$AM$1,IF(L9=AK9,$Q$1,""))))</f>
        <v>2021 2nd Virtual Technical Trial</v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37">
        <v>25.6</v>
      </c>
      <c r="R9" s="37">
        <v>3.6</v>
      </c>
      <c r="S9" s="37">
        <v>0</v>
      </c>
      <c r="T9" s="37">
        <v>0</v>
      </c>
      <c r="U9" s="37">
        <v>23.9</v>
      </c>
      <c r="V9" s="37">
        <v>4.3</v>
      </c>
      <c r="W9" s="37">
        <v>0</v>
      </c>
      <c r="X9" s="37">
        <v>0.3</v>
      </c>
      <c r="Y9" s="37">
        <v>25.6</v>
      </c>
      <c r="Z9" s="37">
        <v>3.2</v>
      </c>
      <c r="AA9" s="37">
        <v>0.4</v>
      </c>
      <c r="AB9" s="37">
        <v>0</v>
      </c>
      <c r="AC9" s="37">
        <v>24.9</v>
      </c>
      <c r="AD9" s="37">
        <v>4.3</v>
      </c>
      <c r="AE9" s="37">
        <v>0</v>
      </c>
      <c r="AF9" s="37">
        <v>0.3</v>
      </c>
      <c r="AG9" s="72"/>
      <c r="AH9" s="11">
        <f>IF(SUM(R9,V9)&gt;0,SUM(R9,V9),"")</f>
        <v>7.9</v>
      </c>
      <c r="AI9" s="11">
        <f>IF(SUM(Q9:R9,T9:V9,X9)-S9-W9&gt;0,SUM(Q9:R9,T9:V9,X9)-S9-W9,"")</f>
        <v>57.699999999999996</v>
      </c>
      <c r="AJ9" s="11">
        <f>IF(SUM(Z9,AD9)&gt;0,SUM(Z9,AD9),"")</f>
        <v>7.5</v>
      </c>
      <c r="AK9" s="11">
        <f>IF(SUM(Y9:Z9,AB9:AD9,AF9)-SUM(AA9,AE9)&gt;0,SUM(Y9:Z9,AB9:AD9,AF9)-SUM(AA9,AE9),"")</f>
        <v>57.9</v>
      </c>
      <c r="AL9" s="11">
        <f>IF(SUM(AI9,AK9)&gt;0,SUM(AI9,AK9),"")</f>
        <v>115.6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IF(AND(F10="P",G10="P"),SUMPRODUCT((F$4:F$15="P")*(G$4:G$15="P")*(E$4:E$15&gt;E10))+1,IF(G10="P",SUMPRODUCT((F$4:F$15="")*(G$4:G$15="P")*(E$4:E$15&gt;E10))+1+SUMPRODUCT((F$4:F$15="P")*(G$4:G$15="P")),""))</f>
        <v/>
      </c>
      <c r="B10" s="6" t="s">
        <v>115</v>
      </c>
      <c r="C10" s="7" t="s">
        <v>5</v>
      </c>
      <c r="D10" s="26">
        <v>2001</v>
      </c>
      <c r="E10" s="15">
        <f>SUM(J10:N10)</f>
        <v>114.29999999999998</v>
      </c>
      <c r="F10" s="3" t="str">
        <f>IF(OR(AND(AH10&gt;=AL$17,AI10&gt;=AL$21,AI10&lt;&gt;"",AG10=""),AND(BD10&gt;=BH$17,BE10&gt;=BH$21,BE10&lt;&gt;"",BC10=""),AND(BZ10&gt;=CD$17,CA10&gt;=CD$21,CA10&lt;&gt;"",BY10=""),AND(CW10&gt;=DA$17,CX10&gt;=DA$21,CX10&lt;&gt;""),AND(DR10&gt;=DV$17,DS10&gt;=DV$21,DS10&lt;&gt;""),AND(EM10&gt;=EQ$17,EN10&gt;=EQ$21,EN10&lt;&gt;""),AND(FH10&gt;=FL$17,FI10&gt;=FL$21,FI10&lt;&gt;""),AND(GC10&gt;=GG$17,GD10&gt;=GG$21,GD10&lt;&gt;""),AND(GX10&gt;=HB$17,GY10&gt;=HB$21,GY10&lt;&gt;""),AND(HS10&gt;=HW$17,HT10&gt;=HW$21,HT10&lt;&gt;""),AND(IN10&gt;=IR$17,IO10&gt;=IR$21,IO10&lt;&gt;""),AND(JI10&gt;=JM$17,JJ10&gt;=JM$21,JJ10&lt;&gt;""),AND(KD10&gt;=KH$17,KE10&gt;=KH$21,KE10&lt;&gt;""),AND(KY10&gt;=LC$17,KZ10&gt;=LC$21,KZ10&lt;&gt;""),AND(LT10&gt;=LX$17,LU10&gt;=LX$21,LU10&lt;&gt;"")),"P","")</f>
        <v/>
      </c>
      <c r="G10" s="3" t="str">
        <f>IF(OR(AND(AI10&gt;=AL$21,AI10&lt;&gt;"",AG10=""),AND(BE10&gt;=BH$21,BE10&lt;&gt;"",BC10=""),AND(CA10&gt;=CD$21,CA10&lt;&gt;"",BY10=""),AND(CX10&gt;=DA$21,CX10&lt;&gt;""),AND(DS10&gt;=DV$21,DS10&lt;&gt;""),AND(EN10&gt;=EQ$21,EN10&lt;&gt;""),AND(FI10&gt;=FL$21,FI10&lt;&gt;""),AND(GD10&gt;=GG$21,GD10&lt;&gt;""),AND(GY10&gt;=HB$21,GY10&lt;&gt;""),AND(HT10&gt;=HW$21,HT10&lt;&gt;""),AND(IO10&gt;=IR$21,IO10&lt;&gt;""),AND(JJ10&gt;=JM$21,JJ10&lt;&gt;""),AND(KE10&gt;=KH$21,KE10&lt;&gt;""),AND(KZ10&gt;=LC$21,KZ10&lt;&gt;""),AND(LU10&gt;=LX$21,LU10&lt;&gt;"")),"P","")</f>
        <v/>
      </c>
      <c r="H10" s="116" t="str">
        <f>IF(AND(G10="P",F10=""),"No DD",IF(OR(AND(AI10&gt;=AL$24,AI10&lt;&gt;"",AH10&gt;=AL$20,AH10&lt;&gt;"",AG10=""),AND(BE10&gt;=BH$24,BE10&lt;&gt;"",BD10&gt;=BH$20,BD10&lt;&gt;"",BC10=""),AND(CA10&gt;=CD$24,CA10&lt;&gt;"",BZ10&gt;=CD$20,BZ10&lt;&gt;"",BY10=""),AND(CX10&gt;=DA$24,CX10&lt;&gt;"",CW10&gt;=DA$20,CW10&lt;&gt;""),AND(DS10&gt;=DV$24,DS10&lt;&gt;"",DR10&gt;=DV$20,DR10&lt;&gt;""),AND(EN10&gt;=EQ$24,EN10&lt;&gt;"",EM10&gt;=EQ$20,EM10&lt;&gt;""),AND(FI10&gt;=FL$24,FI10&lt;&gt;"",FH10&gt;=FL$20,FH10&lt;&gt;""),AND(GD10&gt;=GG$24,GD10&lt;&gt;"",GC10&gt;=GG$20,GC10&lt;&gt;""),AND(GY10&gt;=HB$24,GY10&lt;&gt;"",GX10&gt;=HB$20,GX10&lt;&gt;""),AND(HT10&gt;=HW$24,HT10&lt;&gt;"",HS10&gt;=HW$20,HS10&lt;&gt;""),AND(IO10&gt;=IR$24,IO10&lt;&gt;"",IN10&gt;=IR$20,IN10&lt;&gt;""),AND(JJ10&gt;=JM$24,JJ10&lt;&gt;"",JI10&gt;=JM$20,JI10&lt;&gt;""),AND(KE10&gt;=KH$24,KE10&lt;&gt;"",KD10&gt;=KH$20,KD10&lt;&gt;""),AND(KZ10&gt;=LC$24,KZ10&lt;&gt;"",KY10&gt;=LC$20,KY10&lt;&gt;""),AND(LU10&gt;=LX$24,LU10&lt;&gt;"",LT10&gt;=LX$20,LT10&lt;&gt;"")),"Merit",IF(OR(AND(AI10&gt;=AL$23,AI10&lt;&gt;"",AH10&gt;=AL$19,AH10&lt;&gt;"",AG10=""),AND(BE10&gt;=BH$23,BE10&lt;&gt;"",BD10&gt;=BH$19,BD10&lt;&gt;"",BC10=""),AND(CA10&gt;=CD$23,CA10&lt;&gt;"",BZ10&gt;=CD$19,BZ10&lt;&gt;"",BY10=""),AND(CX10&gt;=DA$23,CX10&lt;&gt;"",CW10&gt;=DA$19,CW10&lt;&gt;""),AND(DS10&gt;=DV$23,DS10&lt;&gt;"",DR10&gt;=DV$19,DR10&lt;&gt;""),AND(EN10&gt;=EQ$23,EN10&lt;&gt;"",EM10&gt;=EQ$19,EM10&lt;&gt;""),AND(FI10&gt;=FL$23,FI10&lt;&gt;"",FH10&gt;=FL$19,FH10&lt;&gt;""),AND(GD10&gt;=GG$23,GD10&lt;&gt;"",GC10&gt;=GG$19,GC10&lt;&gt;""),AND(GY10&gt;=HB$23,GY10&lt;&gt;"",GX10&gt;=HB$19,GX10&lt;&gt;""),AND(HT10&gt;=HW$23,HT10&lt;&gt;"",HS10&gt;=HW$19,HS10&lt;&gt;""),AND(IO10&gt;=IR$23,IO10&lt;&gt;"",IN10&gt;=IR$19,IN10&lt;&gt;""),AND(JJ10&gt;=JM$23,JJ10&lt;&gt;"",JI10&gt;=JM$19,JI10&lt;&gt;""),AND(KE10&gt;=KH$23,KE10&lt;&gt;"",KD10&gt;=KH$19,KD10&lt;&gt;""),AND(KZ10&gt;=LC$23,KZ10&lt;&gt;"",KY10&gt;=LC$19,KY10&lt;&gt;""),AND(LU10&gt;=LX$23,LU10&lt;&gt;"",LT10&gt;=LX$19,LT10&lt;&gt;"")),"Excellence",IF(OR(AND(AI10&gt;=AL$22,AI10&lt;&gt;"",AH10&gt;=AL$18,AH10&lt;&gt;"",AG10=""),AND(BE10&gt;=BH$22,BE10&lt;&gt;"",BD10&gt;=BH$18,BD10&lt;&gt;"",BC10=""),AND(CA10&gt;=CD$22,CA10&lt;&gt;"",BZ10&gt;=CD$18,BZ10&lt;&gt;"",BY10=""),AND(CX10&gt;=DA$22,CX10&lt;&gt;"",CW10&gt;=DA$18,CW10&lt;&gt;""),AND(DS10&gt;=DV$22,DS10&lt;&gt;"",DR10&gt;=DV$18,DR10&lt;&gt;""),AND(EN10&gt;=EQ$22,EN10&lt;&gt;"",EM10&gt;=EQ$18,EM10&lt;&gt;""),AND(FI10&gt;=FL$22,FI10&lt;&gt;"",FH10&gt;=FL$18,FH10&lt;&gt;""),AND(GD10&gt;=GG$22,GD10&lt;&gt;"",GC10&gt;=GG$18,GC10&lt;&gt;""),AND(GY10&gt;=HB$22,GY10&lt;&gt;"",GX10&gt;=HB$18,GX10&lt;&gt;""),AND(HT10&gt;=HW$22,HT10&lt;&gt;"",HS10&gt;=HW$18,HS10&lt;&gt;""),AND(IO10&gt;=IR$22,IO10&lt;&gt;"",IN10&gt;=IR$18,IN10&lt;&gt;""),AND(JJ10&gt;=JM$22,JJ10&lt;&gt;"",JI10&gt;=JM$18,JI10&lt;&gt;""),AND(KE10&gt;=KH$22,KE10&lt;&gt;"",KD10&gt;=KH$18,KD10&lt;&gt;""),AND(KZ10&gt;=LC$22,KZ10&lt;&gt;"",KY10&gt;=LC$18,KY10&lt;&gt;""),AND(LU10&gt;=LX$22,LU10&lt;&gt;"",LT10&gt;=LX$18,LT10&lt;&gt;"")),"Worlds Team",IF(OR(AND(AI10&gt;=AL$21,AI10&lt;&gt;"",AH10&gt;=AL$17,AH10&lt;&gt;"",AG10=""),AND(BE10&gt;=BH$21,BE10&lt;&gt;"",BD10&gt;=BH$17,BD10&lt;&gt;"",BC10=""),AND(CA10&gt;=CD$21,CA10&lt;&gt;"",BZ10&gt;=CD$17,BZ10&lt;&gt;"",BY10=""),AND(CX10&gt;=DA$21,CX10&lt;&gt;"",CW10&gt;=DA$17,CW10&lt;&gt;""),AND(DS10&gt;=DV$21,DS10&lt;&gt;"",DR10&gt;=DV$17,DR10&lt;&gt;""),AND(EN10&gt;=EQ$21,EN10&lt;&gt;"",EM10&gt;=EQ$17,EM10&lt;&gt;""),AND(FI10&gt;=FL$21,FI10&lt;&gt;"",FH10&gt;=FL$17,FH10&lt;&gt;""),AND(GD10&gt;=GG$21,GD10&lt;&gt;"",GC10&gt;=GG$17,GC10&lt;&gt;""),AND(GY10&gt;=HB$21,GY10&lt;&gt;"",GX10&gt;=HB$17,GX10&lt;&gt;""),AND(HT10&gt;=HW$21,HT10&lt;&gt;"",HS10&gt;=HW$17,HS10&lt;&gt;""),AND(IO10&gt;=IR$21,IO10&lt;&gt;"",IN10&gt;=IR$17,IN10&lt;&gt;""),AND(JJ10&gt;=JM$21,JJ10&lt;&gt;"",JI10&gt;=JM$17,JI10&lt;&gt;""),AND(KE10&gt;=KH$21,KE10&lt;&gt;"",KD10&gt;=KH$17,KD10&lt;&gt;""),AND(KZ10&gt;=LC$21,KZ10&lt;&gt;"",KY10&gt;=LC$17,KY10&lt;&gt;""),AND(LU10&gt;=LX$21,LU10&lt;&gt;"",LT10&gt;=LX$17,LT10&lt;&gt;"")),"National Team","")))))</f>
        <v/>
      </c>
      <c r="I10" s="3" t="str">
        <f>IF(OR(H10="Worlds Team",H10="Excellence",H10="Merit"),"P","")</f>
        <v/>
      </c>
      <c r="J10" s="14">
        <f>MAX(AI10,BE10,CA10)</f>
        <v>57.899999999999991</v>
      </c>
      <c r="K10" s="14" t="str">
        <f>IF(J10=0,"",IF(J10=CA10,$BI$1,IF(J10=BE10,$AM$1,IF(J10=AI10,$Q$1,""))))</f>
        <v>2021 Canadian Championships</v>
      </c>
      <c r="L10" s="14">
        <f>MAX(AK10,BG10,CC10)</f>
        <v>56.4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37">
        <v>23.3</v>
      </c>
      <c r="R10" s="37">
        <v>1.2</v>
      </c>
      <c r="S10" s="37">
        <v>0</v>
      </c>
      <c r="T10" s="37">
        <v>0</v>
      </c>
      <c r="U10" s="37">
        <v>24.2</v>
      </c>
      <c r="V10" s="37">
        <v>2.5</v>
      </c>
      <c r="W10" s="37">
        <v>0.5</v>
      </c>
      <c r="X10" s="37">
        <v>0.3</v>
      </c>
      <c r="Y10" s="37">
        <v>24.7</v>
      </c>
      <c r="Z10" s="37">
        <v>1.8</v>
      </c>
      <c r="AA10" s="37">
        <v>1.2</v>
      </c>
      <c r="AB10" s="37">
        <v>0</v>
      </c>
      <c r="AC10" s="37">
        <v>24.5</v>
      </c>
      <c r="AD10" s="37">
        <v>2.4</v>
      </c>
      <c r="AE10" s="37">
        <v>0.6</v>
      </c>
      <c r="AF10" s="37">
        <v>0.3</v>
      </c>
      <c r="AG10" s="72"/>
      <c r="AH10" s="11">
        <f>IF(SUM(R10,V10)&gt;0,SUM(R10,V10),"")</f>
        <v>3.7</v>
      </c>
      <c r="AI10" s="11">
        <f>IF(SUM(Q10:R10,T10:V10,X10)-S10-W10&gt;0,SUM(Q10:R10,T10:V10,X10)-S10-W10,"")</f>
        <v>51</v>
      </c>
      <c r="AJ10" s="11">
        <f>IF(SUM(Z10,AD10)&gt;0,SUM(Z10,AD10),"")</f>
        <v>4.2</v>
      </c>
      <c r="AK10" s="11">
        <f>IF(SUM(Y10:Z10,AB10:AD10,AF10)-SUM(AA10,AE10)&gt;0,SUM(Y10:Z10,AB10:AD10,AF10)-SUM(AA10,AE10),"")</f>
        <v>51.9</v>
      </c>
      <c r="AL10" s="11">
        <f>IF(SUM(AI10,AK10)&gt;0,SUM(AI10,AK10),"")</f>
        <v>102.9</v>
      </c>
      <c r="AM10" s="36">
        <v>22.8</v>
      </c>
      <c r="AN10" s="36">
        <v>1.2</v>
      </c>
      <c r="AO10" s="36">
        <v>0</v>
      </c>
      <c r="AP10" s="36">
        <v>0</v>
      </c>
      <c r="AQ10" s="36">
        <v>24.3</v>
      </c>
      <c r="AR10" s="36">
        <v>2.4</v>
      </c>
      <c r="AS10" s="36">
        <v>0.6</v>
      </c>
      <c r="AT10" s="36">
        <v>0.3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3.5999999999999996</v>
      </c>
      <c r="BE10" s="14">
        <f>IF(SUM(AM10:AN10,AP10:AR10,AT10)-AO10-AS10&gt;0,SUM(AM10:AN10,AP10:AR10,AT10)-AO10-AS10,"")</f>
        <v>50.399999999999991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50.399999999999991</v>
      </c>
      <c r="BI10" s="37">
        <v>25.8</v>
      </c>
      <c r="BJ10" s="37">
        <v>3.4</v>
      </c>
      <c r="BK10" s="37">
        <v>0</v>
      </c>
      <c r="BL10" s="37">
        <v>0</v>
      </c>
      <c r="BM10" s="37">
        <v>25.8</v>
      </c>
      <c r="BN10" s="37">
        <v>2.8</v>
      </c>
      <c r="BO10" s="37">
        <v>0.2</v>
      </c>
      <c r="BP10" s="37">
        <v>0.3</v>
      </c>
      <c r="BQ10" s="37">
        <v>26.6</v>
      </c>
      <c r="BR10" s="37">
        <v>1.8</v>
      </c>
      <c r="BS10" s="37">
        <v>1.2</v>
      </c>
      <c r="BT10" s="37">
        <v>0</v>
      </c>
      <c r="BU10" s="37">
        <v>26.3</v>
      </c>
      <c r="BV10" s="37">
        <v>2.8</v>
      </c>
      <c r="BW10" s="37">
        <v>0.2</v>
      </c>
      <c r="BX10" s="37">
        <v>0.3</v>
      </c>
      <c r="BY10" s="72"/>
      <c r="BZ10" s="11">
        <f>IF(SUM(BJ10,BN10)&gt;0,SUM(BJ10,BN10),"")</f>
        <v>6.1999999999999993</v>
      </c>
      <c r="CA10" s="11">
        <f>IF(SUM(BI10:BJ10,BL10:BN10,BP10)-BK10-BO10&gt;0,SUM(BI10:BJ10,BL10:BN10,BP10)-BK10-BO10,"")</f>
        <v>57.899999999999991</v>
      </c>
      <c r="CB10" s="11">
        <f>IF(SUM(BR10,BV10)&gt;0,SUM(BR10,BV10),"")</f>
        <v>4.5999999999999996</v>
      </c>
      <c r="CC10" s="11">
        <f>IF(SUM(BQ10:BR10,BT10:BV10,BX10)-SUM(BS10,BW10)&gt;0,SUM(BQ10:BR10,BT10:BV10,BX10)-SUM(BS10,BW10),"")</f>
        <v>56.4</v>
      </c>
      <c r="CD10" s="11">
        <f>IF(SUM(CA10,CC10)&gt;0,SUM(CA10,CC10),"")</f>
        <v>114.29999999999998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24.3</v>
      </c>
      <c r="LZ10" s="61">
        <f>IF($BY10="P",BJ10,(BJ10+AN10)/2)</f>
        <v>2.2999999999999998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25.05</v>
      </c>
      <c r="MD10" s="61">
        <f>IF($BY10="P",BN10,(BN10+AR10)/2)</f>
        <v>2.5999999999999996</v>
      </c>
      <c r="ME10" s="61">
        <f>IF($BY10="P",BO10,(BO10+AS10)/2)</f>
        <v>0.4</v>
      </c>
      <c r="MF10" s="61">
        <f>IF($BY10="P",BP10,(BP10+AT10)/2)</f>
        <v>0.3</v>
      </c>
      <c r="MG10" s="61">
        <f>IF($BY10="P",BQ10,(BQ10+AU10)/2)</f>
        <v>13.3</v>
      </c>
      <c r="MH10" s="61">
        <f>IF($BY10="P",BR10,(BR10+AV10)/2)</f>
        <v>0.9</v>
      </c>
      <c r="MI10" s="61">
        <f>IF($BY10="P",BS10,(BS10+AW10)/2)</f>
        <v>0.6</v>
      </c>
      <c r="MJ10" s="61">
        <f>IF($BY10="P",BT10,(BT10+AX10)/2)</f>
        <v>0</v>
      </c>
      <c r="MK10" s="61">
        <f>IF($BY10="P",BU10,(BU10+AY10)/2)</f>
        <v>13.15</v>
      </c>
      <c r="ML10" s="61">
        <f>IF($BY10="P",BV10,(BV10+AZ10)/2)</f>
        <v>1.4</v>
      </c>
      <c r="MM10" s="61">
        <f>IF($BY10="P",BW10,(BW10+BA10)/2)</f>
        <v>0.1</v>
      </c>
      <c r="MN10" s="61">
        <f>IF($BY10="P",BX10,(BX10+BB10)/2)</f>
        <v>0.15</v>
      </c>
      <c r="MO10" s="72" t="s">
        <v>52</v>
      </c>
      <c r="MP10" s="11">
        <f>IF(SUM(LZ10,MD10)&gt;0,SUM(LZ10,MD10),"")</f>
        <v>4.8999999999999995</v>
      </c>
      <c r="MQ10" s="11">
        <f>IF(SUM(LY10:LZ10,MB10:MD10,MF10)-MA10-ME10&gt;0,SUM(LY10:LZ10,MB10:MD10,MF10)-MA10-ME10,"")</f>
        <v>54.150000000000006</v>
      </c>
      <c r="MR10" s="11">
        <f>IF(SUM(MH10,ML10)&gt;0,SUM(MH10,ML10),"")</f>
        <v>2.2999999999999998</v>
      </c>
      <c r="MS10" s="11">
        <f>IF(SUM(MG10:MH10,MJ10:ML10,MN10)-SUM(MI10,MM10)&gt;0,SUM(MG10:MH10,MJ10:ML10,MN10)-SUM(MI10,MM10),"")</f>
        <v>28.2</v>
      </c>
      <c r="MT10" s="11">
        <f>IF(SUM(MQ10,MS10)&gt;0,SUM(MQ10,MS10),"")</f>
        <v>82.350000000000009</v>
      </c>
    </row>
    <row r="11" spans="1:358" x14ac:dyDescent="0.2">
      <c r="A11" s="5" t="str">
        <f>IF(AND(F11="P",G11="P"),SUMPRODUCT((F$4:F$15="P")*(G$4:G$15="P")*(E$4:E$15&gt;E11))+1,IF(G11="P",SUMPRODUCT((F$4:F$15="")*(G$4:G$15="P")*(E$4:E$15&gt;E11))+1+SUMPRODUCT((F$4:F$15="P")*(G$4:G$15="P")),""))</f>
        <v/>
      </c>
      <c r="B11" s="6" t="s">
        <v>124</v>
      </c>
      <c r="C11" s="7" t="s">
        <v>4</v>
      </c>
      <c r="D11" s="26">
        <v>2001</v>
      </c>
      <c r="E11" s="15">
        <f>SUM(J11:N11)</f>
        <v>112.49999999999999</v>
      </c>
      <c r="F11" s="3" t="str">
        <f>IF(OR(AND(AH11&gt;=AL$17,AI11&gt;=AL$21,AI11&lt;&gt;"",AG11=""),AND(BD11&gt;=BH$17,BE11&gt;=BH$21,BE11&lt;&gt;"",BC11=""),AND(BZ11&gt;=CD$17,CA11&gt;=CD$21,CA11&lt;&gt;"",BY11=""),AND(CW11&gt;=DA$17,CX11&gt;=DA$21,CX11&lt;&gt;""),AND(DR11&gt;=DV$17,DS11&gt;=DV$21,DS11&lt;&gt;""),AND(EM11&gt;=EQ$17,EN11&gt;=EQ$21,EN11&lt;&gt;""),AND(FH11&gt;=FL$17,FI11&gt;=FL$21,FI11&lt;&gt;""),AND(GC11&gt;=GG$17,GD11&gt;=GG$21,GD11&lt;&gt;""),AND(GX11&gt;=HB$17,GY11&gt;=HB$21,GY11&lt;&gt;""),AND(HS11&gt;=HW$17,HT11&gt;=HW$21,HT11&lt;&gt;""),AND(IN11&gt;=IR$17,IO11&gt;=IR$21,IO11&lt;&gt;""),AND(JI11&gt;=JM$17,JJ11&gt;=JM$21,JJ11&lt;&gt;""),AND(KD11&gt;=KH$17,KE11&gt;=KH$21,KE11&lt;&gt;""),AND(KY11&gt;=LC$17,KZ11&gt;=LC$21,KZ11&lt;&gt;""),AND(LT11&gt;=LX$17,LU11&gt;=LX$21,LU11&lt;&gt;"")),"P","")</f>
        <v/>
      </c>
      <c r="G11" s="3" t="str">
        <f>IF(OR(AND(AI11&gt;=AL$21,AI11&lt;&gt;"",AG11=""),AND(BE11&gt;=BH$21,BE11&lt;&gt;"",BC11=""),AND(CA11&gt;=CD$21,CA11&lt;&gt;"",BY11=""),AND(CX11&gt;=DA$21,CX11&lt;&gt;""),AND(DS11&gt;=DV$21,DS11&lt;&gt;""),AND(EN11&gt;=EQ$21,EN11&lt;&gt;""),AND(FI11&gt;=FL$21,FI11&lt;&gt;""),AND(GD11&gt;=GG$21,GD11&lt;&gt;""),AND(GY11&gt;=HB$21,GY11&lt;&gt;""),AND(HT11&gt;=HW$21,HT11&lt;&gt;""),AND(IO11&gt;=IR$21,IO11&lt;&gt;""),AND(JJ11&gt;=JM$21,JJ11&lt;&gt;""),AND(KE11&gt;=KH$21,KE11&lt;&gt;""),AND(KZ11&gt;=LC$21,KZ11&lt;&gt;""),AND(LU11&gt;=LX$21,LU11&lt;&gt;"")),"P","")</f>
        <v/>
      </c>
      <c r="H11" s="116" t="str">
        <f>IF(AND(G11="P",F11=""),"No DD",IF(OR(AND(AI11&gt;=AL$24,AI11&lt;&gt;"",AH11&gt;=AL$20,AH11&lt;&gt;"",AG11=""),AND(BE11&gt;=BH$24,BE11&lt;&gt;"",BD11&gt;=BH$20,BD11&lt;&gt;"",BC11=""),AND(CA11&gt;=CD$24,CA11&lt;&gt;"",BZ11&gt;=CD$20,BZ11&lt;&gt;"",BY11=""),AND(CX11&gt;=DA$24,CX11&lt;&gt;"",CW11&gt;=DA$20,CW11&lt;&gt;""),AND(DS11&gt;=DV$24,DS11&lt;&gt;"",DR11&gt;=DV$20,DR11&lt;&gt;""),AND(EN11&gt;=EQ$24,EN11&lt;&gt;"",EM11&gt;=EQ$20,EM11&lt;&gt;""),AND(FI11&gt;=FL$24,FI11&lt;&gt;"",FH11&gt;=FL$20,FH11&lt;&gt;""),AND(GD11&gt;=GG$24,GD11&lt;&gt;"",GC11&gt;=GG$20,GC11&lt;&gt;""),AND(GY11&gt;=HB$24,GY11&lt;&gt;"",GX11&gt;=HB$20,GX11&lt;&gt;""),AND(HT11&gt;=HW$24,HT11&lt;&gt;"",HS11&gt;=HW$20,HS11&lt;&gt;""),AND(IO11&gt;=IR$24,IO11&lt;&gt;"",IN11&gt;=IR$20,IN11&lt;&gt;""),AND(JJ11&gt;=JM$24,JJ11&lt;&gt;"",JI11&gt;=JM$20,JI11&lt;&gt;""),AND(KE11&gt;=KH$24,KE11&lt;&gt;"",KD11&gt;=KH$20,KD11&lt;&gt;""),AND(KZ11&gt;=LC$24,KZ11&lt;&gt;"",KY11&gt;=LC$20,KY11&lt;&gt;""),AND(LU11&gt;=LX$24,LU11&lt;&gt;"",LT11&gt;=LX$20,LT11&lt;&gt;"")),"Merit",IF(OR(AND(AI11&gt;=AL$23,AI11&lt;&gt;"",AH11&gt;=AL$19,AH11&lt;&gt;"",AG11=""),AND(BE11&gt;=BH$23,BE11&lt;&gt;"",BD11&gt;=BH$19,BD11&lt;&gt;"",BC11=""),AND(CA11&gt;=CD$23,CA11&lt;&gt;"",BZ11&gt;=CD$19,BZ11&lt;&gt;"",BY11=""),AND(CX11&gt;=DA$23,CX11&lt;&gt;"",CW11&gt;=DA$19,CW11&lt;&gt;""),AND(DS11&gt;=DV$23,DS11&lt;&gt;"",DR11&gt;=DV$19,DR11&lt;&gt;""),AND(EN11&gt;=EQ$23,EN11&lt;&gt;"",EM11&gt;=EQ$19,EM11&lt;&gt;""),AND(FI11&gt;=FL$23,FI11&lt;&gt;"",FH11&gt;=FL$19,FH11&lt;&gt;""),AND(GD11&gt;=GG$23,GD11&lt;&gt;"",GC11&gt;=GG$19,GC11&lt;&gt;""),AND(GY11&gt;=HB$23,GY11&lt;&gt;"",GX11&gt;=HB$19,GX11&lt;&gt;""),AND(HT11&gt;=HW$23,HT11&lt;&gt;"",HS11&gt;=HW$19,HS11&lt;&gt;""),AND(IO11&gt;=IR$23,IO11&lt;&gt;"",IN11&gt;=IR$19,IN11&lt;&gt;""),AND(JJ11&gt;=JM$23,JJ11&lt;&gt;"",JI11&gt;=JM$19,JI11&lt;&gt;""),AND(KE11&gt;=KH$23,KE11&lt;&gt;"",KD11&gt;=KH$19,KD11&lt;&gt;""),AND(KZ11&gt;=LC$23,KZ11&lt;&gt;"",KY11&gt;=LC$19,KY11&lt;&gt;""),AND(LU11&gt;=LX$23,LU11&lt;&gt;"",LT11&gt;=LX$19,LT11&lt;&gt;"")),"Excellence",IF(OR(AND(AI11&gt;=AL$22,AI11&lt;&gt;"",AH11&gt;=AL$18,AH11&lt;&gt;"",AG11=""),AND(BE11&gt;=BH$22,BE11&lt;&gt;"",BD11&gt;=BH$18,BD11&lt;&gt;"",BC11=""),AND(CA11&gt;=CD$22,CA11&lt;&gt;"",BZ11&gt;=CD$18,BZ11&lt;&gt;"",BY11=""),AND(CX11&gt;=DA$22,CX11&lt;&gt;"",CW11&gt;=DA$18,CW11&lt;&gt;""),AND(DS11&gt;=DV$22,DS11&lt;&gt;"",DR11&gt;=DV$18,DR11&lt;&gt;""),AND(EN11&gt;=EQ$22,EN11&lt;&gt;"",EM11&gt;=EQ$18,EM11&lt;&gt;""),AND(FI11&gt;=FL$22,FI11&lt;&gt;"",FH11&gt;=FL$18,FH11&lt;&gt;""),AND(GD11&gt;=GG$22,GD11&lt;&gt;"",GC11&gt;=GG$18,GC11&lt;&gt;""),AND(GY11&gt;=HB$22,GY11&lt;&gt;"",GX11&gt;=HB$18,GX11&lt;&gt;""),AND(HT11&gt;=HW$22,HT11&lt;&gt;"",HS11&gt;=HW$18,HS11&lt;&gt;""),AND(IO11&gt;=IR$22,IO11&lt;&gt;"",IN11&gt;=IR$18,IN11&lt;&gt;""),AND(JJ11&gt;=JM$22,JJ11&lt;&gt;"",JI11&gt;=JM$18,JI11&lt;&gt;""),AND(KE11&gt;=KH$22,KE11&lt;&gt;"",KD11&gt;=KH$18,KD11&lt;&gt;""),AND(KZ11&gt;=LC$22,KZ11&lt;&gt;"",KY11&gt;=LC$18,KY11&lt;&gt;""),AND(LU11&gt;=LX$22,LU11&lt;&gt;"",LT11&gt;=LX$18,LT11&lt;&gt;"")),"Worlds Team",IF(OR(AND(AI11&gt;=AL$21,AI11&lt;&gt;"",AH11&gt;=AL$17,AH11&lt;&gt;"",AG11=""),AND(BE11&gt;=BH$21,BE11&lt;&gt;"",BD11&gt;=BH$17,BD11&lt;&gt;"",BC11=""),AND(CA11&gt;=CD$21,CA11&lt;&gt;"",BZ11&gt;=CD$17,BZ11&lt;&gt;"",BY11=""),AND(CX11&gt;=DA$21,CX11&lt;&gt;"",CW11&gt;=DA$17,CW11&lt;&gt;""),AND(DS11&gt;=DV$21,DS11&lt;&gt;"",DR11&gt;=DV$17,DR11&lt;&gt;""),AND(EN11&gt;=EQ$21,EN11&lt;&gt;"",EM11&gt;=EQ$17,EM11&lt;&gt;""),AND(FI11&gt;=FL$21,FI11&lt;&gt;"",FH11&gt;=FL$17,FH11&lt;&gt;""),AND(GD11&gt;=GG$21,GD11&lt;&gt;"",GC11&gt;=GG$17,GC11&lt;&gt;""),AND(GY11&gt;=HB$21,GY11&lt;&gt;"",GX11&gt;=HB$17,GX11&lt;&gt;""),AND(HT11&gt;=HW$21,HT11&lt;&gt;"",HS11&gt;=HW$17,HS11&lt;&gt;""),AND(IO11&gt;=IR$21,IO11&lt;&gt;"",IN11&gt;=IR$17,IN11&lt;&gt;""),AND(JJ11&gt;=JM$21,JJ11&lt;&gt;"",JI11&gt;=JM$17,JI11&lt;&gt;""),AND(KE11&gt;=KH$21,KE11&lt;&gt;"",KD11&gt;=KH$17,KD11&lt;&gt;""),AND(KZ11&gt;=LC$21,KZ11&lt;&gt;"",KY11&gt;=LC$17,KY11&lt;&gt;""),AND(LU11&gt;=LX$21,LU11&lt;&gt;"",LT11&gt;=LX$17,LT11&lt;&gt;"")),"National Team","")))))</f>
        <v/>
      </c>
      <c r="I11" s="3" t="str">
        <f>IF(OR(H11="Worlds Team",H11="Excellence",H11="Merit"),"P","")</f>
        <v/>
      </c>
      <c r="J11" s="14">
        <f>MAX(AI11,BE11,CA11)</f>
        <v>56.599999999999994</v>
      </c>
      <c r="K11" s="14" t="str">
        <f>IF(J11=0,"",IF(J11=CA11,$BI$1,IF(J11=BE11,$AM$1,IF(J11=AI11,$Q$1,""))))</f>
        <v>2021 Canadian Championships</v>
      </c>
      <c r="L11" s="14">
        <f>MAX(AK11,BG11,CC11)</f>
        <v>55.899999999999991</v>
      </c>
      <c r="M11" s="14" t="str">
        <f>IF(L11=0,"",IF(J11=CC11,$BI$1,IF(L11=BG11,$AM$1,IF(L11=AK11,$Q$1,""))))</f>
        <v>2021 2nd Virtual Technical Trial</v>
      </c>
      <c r="N11" s="14" t="str">
        <f>IF(MAX(CE11:CF11)&gt;0,MAX(CE11:CF11),"")</f>
        <v/>
      </c>
      <c r="O11" s="24" t="str">
        <f>IF(N11="","",IF(N11=CE11,"(Prelim)",IF(N11=CF11,"(Final)")))</f>
        <v/>
      </c>
      <c r="P11" s="14" t="str">
        <f>IF(N11="","",IF(N11=CE11,IF(N11+IF(J11="",0,J11)=LU11,$LD$1,IF(N11+IF(J11="",0,J11)=KZ11,$KI$1,IF(N11+IF(J11="",0,J11)=KE11,$JN$1,IF(N11+IF(J11="",0,J11)=JJ11,$IS$1,IF(N11+IF(J11="",0,J11)=IO11,$HX$1,IF(N11+IF(J11="",0,J11)=HT11,$HC$1,IF(N11+IF(J11="",0,J11)=GY11,$GH$1,IF(N11+IF(J11="",0,J11)=GD11,$FM$1,IF(N11+IF(J11="",0,J11)=FI11,$ER$1,IF(N11+IF(J11="",0,J11)=EN11,$DW$1,IF(N11+IF(J11="",0,J11)=DS11,$DB$1,IF(N11+IF(J11="",0,J11)=CX11,$CG$1)))))))))))),IF(N11=CF11,IF(N11+IF(L11="",0,L11)=LW11,$LD$1,IF(N11+IF(L11="",0,L11)=LB11,$KI$1,IF(N11+IF(L11="",0,L11)=KG11,$JN$1,IF(N11+IF(L11="",0,L11)=JL11,$IS$1,IF(N11+IF(L11="",0,L11)=IQ11,$HX$1,IF(N11+IF(L11="",0,L11)=HV11,$HC$1,IF(N11+IF(L11="",0,L11)=HA11,$GH$1,IF(N11+IF(L11="",0,L11)=GF11,$FM$1,IF(N11+IF(L11="",0,L11)=FK11,$ER$1,IF(N11+IF(L11="",0,L11)=EP11,$DW$1,IF(N11+IF(L11="",0,L11)=DU11,$DB$1,IF(N11+IF(L11="",0,L11)=CZ11,$CG$1)))))))))))))))</f>
        <v/>
      </c>
      <c r="Q11" s="37">
        <v>24.8</v>
      </c>
      <c r="R11" s="37">
        <v>3.4</v>
      </c>
      <c r="S11" s="37">
        <v>0</v>
      </c>
      <c r="T11" s="37">
        <v>0</v>
      </c>
      <c r="U11" s="37">
        <v>23.7</v>
      </c>
      <c r="V11" s="37">
        <v>3.9</v>
      </c>
      <c r="W11" s="37">
        <v>0</v>
      </c>
      <c r="X11" s="37">
        <v>0.3</v>
      </c>
      <c r="Y11" s="37">
        <v>24.8</v>
      </c>
      <c r="Z11" s="37">
        <v>3.4</v>
      </c>
      <c r="AA11" s="37">
        <v>0</v>
      </c>
      <c r="AB11" s="37">
        <v>0</v>
      </c>
      <c r="AC11" s="37">
        <v>24.8</v>
      </c>
      <c r="AD11" s="37">
        <v>2.8</v>
      </c>
      <c r="AE11" s="37">
        <v>0.2</v>
      </c>
      <c r="AF11" s="37">
        <v>0.3</v>
      </c>
      <c r="AG11" s="72"/>
      <c r="AH11" s="11">
        <f>IF(SUM(R11,V11)&gt;0,SUM(R11,V11),"")</f>
        <v>7.3</v>
      </c>
      <c r="AI11" s="11">
        <f>IF(SUM(Q11:R11,T11:V11,X11)-S11-W11&gt;0,SUM(Q11:R11,T11:V11,X11)-S11-W11,"")</f>
        <v>56.099999999999994</v>
      </c>
      <c r="AJ11" s="11">
        <f>IF(SUM(Z11,AD11)&gt;0,SUM(Z11,AD11),"")</f>
        <v>6.1999999999999993</v>
      </c>
      <c r="AK11" s="11">
        <f>IF(SUM(Y11:Z11,AB11:AD11,AF11)-SUM(AA11,AE11)&gt;0,SUM(Y11:Z11,AB11:AD11,AF11)-SUM(AA11,AE11),"")</f>
        <v>55.899999999999991</v>
      </c>
      <c r="AL11" s="11">
        <f>IF(SUM(AI11,AK11)&gt;0,SUM(AI11,AK11),"")</f>
        <v>111.99999999999999</v>
      </c>
      <c r="AM11" s="36">
        <v>22.5</v>
      </c>
      <c r="AN11" s="36">
        <v>3.4</v>
      </c>
      <c r="AO11" s="36">
        <v>0</v>
      </c>
      <c r="AP11" s="36">
        <v>0</v>
      </c>
      <c r="AQ11" s="36">
        <v>22.6</v>
      </c>
      <c r="AR11" s="36">
        <v>1.9</v>
      </c>
      <c r="AS11" s="36">
        <v>0</v>
      </c>
      <c r="AT11" s="36">
        <v>0.3</v>
      </c>
      <c r="AU11" s="36"/>
      <c r="AV11" s="36"/>
      <c r="AW11" s="36"/>
      <c r="AX11" s="36"/>
      <c r="AY11" s="36"/>
      <c r="AZ11" s="36"/>
      <c r="BA11" s="36"/>
      <c r="BB11" s="36"/>
      <c r="BC11" s="73"/>
      <c r="BD11" s="14">
        <f>IF(SUM(AN11,AR11)&gt;0,SUM(AN11,AR11),"")</f>
        <v>5.3</v>
      </c>
      <c r="BE11" s="14">
        <f>IF(SUM(AM11:AN11,AP11:AR11,AT11)-AO11-AS11&gt;0,SUM(AM11:AN11,AP11:AR11,AT11)-AO11-AS11,"")</f>
        <v>50.699999999999996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50.699999999999996</v>
      </c>
      <c r="BI11" s="37">
        <v>25.4</v>
      </c>
      <c r="BJ11" s="37">
        <v>3.4</v>
      </c>
      <c r="BK11" s="37">
        <v>0</v>
      </c>
      <c r="BL11" s="37">
        <v>0</v>
      </c>
      <c r="BM11" s="37">
        <v>23.6</v>
      </c>
      <c r="BN11" s="37">
        <v>3.9</v>
      </c>
      <c r="BO11" s="37">
        <v>0</v>
      </c>
      <c r="BP11" s="37">
        <v>0.3</v>
      </c>
      <c r="BQ11" s="37">
        <v>24</v>
      </c>
      <c r="BR11" s="37">
        <v>1.2</v>
      </c>
      <c r="BS11" s="37">
        <v>0</v>
      </c>
      <c r="BT11" s="37">
        <v>0</v>
      </c>
      <c r="BU11" s="37">
        <v>24.2</v>
      </c>
      <c r="BV11" s="37">
        <v>3.2</v>
      </c>
      <c r="BW11" s="37">
        <v>0</v>
      </c>
      <c r="BX11" s="37">
        <v>0.3</v>
      </c>
      <c r="BY11" s="72"/>
      <c r="BZ11" s="11">
        <f>IF(SUM(BJ11,BN11)&gt;0,SUM(BJ11,BN11),"")</f>
        <v>7.3</v>
      </c>
      <c r="CA11" s="11">
        <f>IF(SUM(BI11:BJ11,BL11:BN11,BP11)-BK11-BO11&gt;0,SUM(BI11:BJ11,BL11:BN11,BP11)-BK11-BO11,"")</f>
        <v>56.599999999999994</v>
      </c>
      <c r="CB11" s="11">
        <f>IF(SUM(BR11,BV11)&gt;0,SUM(BR11,BV11),"")</f>
        <v>4.4000000000000004</v>
      </c>
      <c r="CC11" s="11">
        <f>IF(SUM(BQ11:BR11,BT11:BV11,BX11)-SUM(BS11,BW11)&gt;0,SUM(BQ11:BR11,BT11:BV11,BX11)-SUM(BS11,BW11),"")</f>
        <v>52.9</v>
      </c>
      <c r="CD11" s="11">
        <f>IF(SUM(CA11,CC11)&gt;0,SUM(CA11,CC11),"")</f>
        <v>109.5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IF(MAX(CZ11,DU11,EP11,FK11,GF11,HA11,HV11,IQ11,JL11,KG11,LB11,LW11)-IF(L11="",0,L11)&gt;0.001,MAX(CZ11,DU11,EP11,FK11,GF11,HA11,HV11,IQ11,JL11,KG11,LB11,LW11)-IF(L11="",0,L11),"")</f>
        <v/>
      </c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11" t="str">
        <f>IF(SUM(CH11,CL11)&gt;0,SUM(CH11,CL11),"")</f>
        <v/>
      </c>
      <c r="CX11" s="11" t="str">
        <f>IF(SUM(CG11:CH11,CJ11:CL11,CN11)-CI11-CM11&gt;0,SUM(CG11:CH11,CJ11:CL11,CN11)-CI11-CM11,"")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14" t="str">
        <f>IF(SUM(DC11,DG11)&gt;0,SUM(DC11,DG11),"")</f>
        <v/>
      </c>
      <c r="DS11" s="14" t="str">
        <f>IF(SUM(DB11:DC11,DE11:DG11,DI11)-DD11-DH11&gt;0,SUM(DB11:DC11,DE11:DG11,DI11)-DD11-DH11,"")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11" t="str">
        <f>IF(SUM(DX11,EB11)&gt;0,SUM(DX11,EB11),"")</f>
        <v/>
      </c>
      <c r="EN11" s="11" t="str">
        <f>IF(SUM(DW11:DX11,DZ11:EB11,ED11)-DY11-EC11&gt;0,SUM(DW11:DX11,DZ11:EB11,ED11)-DY11-EC11,"")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14" t="str">
        <f>IF(SUM(ES11,EW11)&gt;0,SUM(ES11,EW11),"")</f>
        <v/>
      </c>
      <c r="FI11" s="14" t="str">
        <f>IF(SUM(ER11:ES11,EU11:EW11,EY11)-ET11-EX11&gt;0,SUM(ER11:ES11,EU11:EW11,EY11)-ET11-EX11,"")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11" t="str">
        <f>IF(SUM(FN11,FR11)&gt;0,SUM(FN11,FR11),"")</f>
        <v/>
      </c>
      <c r="GD11" s="11" t="str">
        <f>IF(SUM(FM11:FN11,FP11:FR11,FT11)-FO11-FS11&gt;0,SUM(FM11:FN11,FP11:FR11,FT11)-FO11-FS11,"")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14" t="str">
        <f>IF(SUM(GI11,GM11)&gt;0,SUM(GI11,GM11),"")</f>
        <v/>
      </c>
      <c r="GY11" s="14" t="str">
        <f>IF(SUM(GH11:GI11,GK11:GM11,GO11)-GJ11-GN11&gt;0,SUM(GH11:GI11,GK11:GM11,GO11)-GJ11-GN11,"")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11" t="str">
        <f>IF(SUM(HD11,HH11)&gt;0,SUM(HD11,HH11),"")</f>
        <v/>
      </c>
      <c r="HT11" s="11" t="str">
        <f>IF(SUM(HC11:HD11,HF11:HH11,HJ11)-HE11-HI11&gt;0,SUM(HC11:HD11,HF11:HH11,HJ11)-HE11-HI11,"")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14" t="str">
        <f>IF(SUM(HY11,IC11)&gt;0,SUM(HY11,IC11),"")</f>
        <v/>
      </c>
      <c r="IO11" s="14" t="str">
        <f>IF(SUM(HX11:HY11,IA11:IC11,IE11)-HZ11-ID11&gt;0,SUM(HX11:HY11,IA11:IC11,IE11)-HZ11-ID11,"")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11" t="str">
        <f>IF(SUM(IT11,IX11)&gt;0,SUM(IT11,IX11),"")</f>
        <v/>
      </c>
      <c r="JJ11" s="11" t="str">
        <f>IF(SUM(IS11:IT11,IV11:IX11,IZ11)-IU11-IY11&gt;0,SUM(IS11:IT11,IV11:IX11,IZ11)-IU11-IY11,"")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14" t="str">
        <f>IF(SUM(JO11,JS11)&gt;0,SUM(JO11,JS11),"")</f>
        <v/>
      </c>
      <c r="KE11" s="14" t="str">
        <f>IF(SUM(JN11:JO11,JQ11:JS11,JU11)-JP11-JT11&gt;0,SUM(JN11:JO11,JQ11:JS11,JU11)-JP11-JT11,"")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11" t="str">
        <f>IF(SUM(KJ11,KN11)&gt;0,SUM(KJ11,KN11),"")</f>
        <v/>
      </c>
      <c r="KZ11" s="11" t="str">
        <f>IF(SUM(KI11:KJ11,KL11:KN11,KP11)-KK11-KO11&gt;0,SUM(KI11:KJ11,KL11:KN11,KP11)-KK11-KO11,"")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14" t="str">
        <f>IF(SUM(LE11,LI11)&gt;0,SUM(LE11,LI11),"")</f>
        <v/>
      </c>
      <c r="LU11" s="14" t="str">
        <f>IF(SUM(LD11:LE11,LG11:LI11,LK11)-LF11-LJ11&gt;0,SUM(LD11:LE11,LG11:LI11,LK11)-LF11-LJ11,"")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23.95</v>
      </c>
      <c r="LZ11" s="61">
        <f>IF($BY11="P",BJ11,(BJ11+AN11)/2)</f>
        <v>3.4</v>
      </c>
      <c r="MA11" s="61">
        <f>IF($BY11="P",BK11,(BK11+AO11)/2)</f>
        <v>0</v>
      </c>
      <c r="MB11" s="61">
        <f>IF($BY11="P",BL11,(BL11+AP11)/2)</f>
        <v>0</v>
      </c>
      <c r="MC11" s="61">
        <f>IF($BY11="P",BM11,(BM11+AQ11)/2)</f>
        <v>23.1</v>
      </c>
      <c r="MD11" s="61">
        <f>IF($BY11="P",BN11,(BN11+AR11)/2)</f>
        <v>2.9</v>
      </c>
      <c r="ME11" s="61">
        <f>IF($BY11="P",BO11,(BO11+AS11)/2)</f>
        <v>0</v>
      </c>
      <c r="MF11" s="61">
        <f>IF($BY11="P",BP11,(BP11+AT11)/2)</f>
        <v>0.3</v>
      </c>
      <c r="MG11" s="61">
        <f>IF($BY11="P",BQ11,(BQ11+AU11)/2)</f>
        <v>12</v>
      </c>
      <c r="MH11" s="61">
        <f>IF($BY11="P",BR11,(BR11+AV11)/2)</f>
        <v>0.6</v>
      </c>
      <c r="MI11" s="61">
        <f>IF($BY11="P",BS11,(BS11+AW11)/2)</f>
        <v>0</v>
      </c>
      <c r="MJ11" s="61">
        <f>IF($BY11="P",BT11,(BT11+AX11)/2)</f>
        <v>0</v>
      </c>
      <c r="MK11" s="61">
        <f>IF($BY11="P",BU11,(BU11+AY11)/2)</f>
        <v>12.1</v>
      </c>
      <c r="ML11" s="61">
        <f>IF($BY11="P",BV11,(BV11+AZ11)/2)</f>
        <v>1.6</v>
      </c>
      <c r="MM11" s="61">
        <f>IF($BY11="P",BW11,(BW11+BA11)/2)</f>
        <v>0</v>
      </c>
      <c r="MN11" s="61">
        <f>IF($BY11="P",BX11,(BX11+BB11)/2)</f>
        <v>0.15</v>
      </c>
      <c r="MO11" s="72" t="s">
        <v>52</v>
      </c>
      <c r="MP11" s="11">
        <f>IF(SUM(LZ11,MD11)&gt;0,SUM(LZ11,MD11),"")</f>
        <v>6.3</v>
      </c>
      <c r="MQ11" s="11">
        <f>IF(SUM(LY11:LZ11,MB11:MD11,MF11)-MA11-ME11&gt;0,SUM(LY11:LZ11,MB11:MD11,MF11)-MA11-ME11,"")</f>
        <v>53.65</v>
      </c>
      <c r="MR11" s="11">
        <f>IF(SUM(MH11,ML11)&gt;0,SUM(MH11,ML11),"")</f>
        <v>2.2000000000000002</v>
      </c>
      <c r="MS11" s="11">
        <f>IF(SUM(MG11:MH11,MJ11:ML11,MN11)-SUM(MI11,MM11)&gt;0,SUM(MG11:MH11,MJ11:ML11,MN11)-SUM(MI11,MM11),"")</f>
        <v>26.45</v>
      </c>
      <c r="MT11" s="11">
        <f>IF(SUM(MQ11,MS11)&gt;0,SUM(MQ11,MS11),"")</f>
        <v>80.099999999999994</v>
      </c>
    </row>
    <row r="12" spans="1:358" x14ac:dyDescent="0.2">
      <c r="A12" s="5" t="str">
        <f>IF(AND(F12="P",G12="P"),SUMPRODUCT((F$4:F$15="P")*(G$4:G$15="P")*(E$4:E$15&gt;E12))+1,IF(G12="P",SUMPRODUCT((F$4:F$15="")*(G$4:G$15="P")*(E$4:E$15&gt;E12))+1+SUMPRODUCT((F$4:F$15="P")*(G$4:G$15="P")),""))</f>
        <v/>
      </c>
      <c r="B12" s="6" t="s">
        <v>148</v>
      </c>
      <c r="C12" s="7" t="s">
        <v>3</v>
      </c>
      <c r="D12" s="26">
        <v>2004</v>
      </c>
      <c r="E12" s="15">
        <f>SUM(J12:N12)</f>
        <v>55.500000000000007</v>
      </c>
      <c r="F12" s="3" t="str">
        <f>IF(OR(AND(AH12&gt;=AL$17,AI12&gt;=AL$21,AI12&lt;&gt;"",AG12=""),AND(BD12&gt;=BH$17,BE12&gt;=BH$21,BE12&lt;&gt;"",BC12=""),AND(BZ12&gt;=CD$17,CA12&gt;=CD$21,CA12&lt;&gt;"",BY12=""),AND(CW12&gt;=DA$17,CX12&gt;=DA$21,CX12&lt;&gt;""),AND(DR12&gt;=DV$17,DS12&gt;=DV$21,DS12&lt;&gt;""),AND(EM12&gt;=EQ$17,EN12&gt;=EQ$21,EN12&lt;&gt;""),AND(FH12&gt;=FL$17,FI12&gt;=FL$21,FI12&lt;&gt;""),AND(GC12&gt;=GG$17,GD12&gt;=GG$21,GD12&lt;&gt;""),AND(GX12&gt;=HB$17,GY12&gt;=HB$21,GY12&lt;&gt;""),AND(HS12&gt;=HW$17,HT12&gt;=HW$21,HT12&lt;&gt;""),AND(IN12&gt;=IR$17,IO12&gt;=IR$21,IO12&lt;&gt;""),AND(JI12&gt;=JM$17,JJ12&gt;=JM$21,JJ12&lt;&gt;""),AND(KD12&gt;=KH$17,KE12&gt;=KH$21,KE12&lt;&gt;""),AND(KY12&gt;=LC$17,KZ12&gt;=LC$21,KZ12&lt;&gt;""),AND(LT12&gt;=LX$17,LU12&gt;=LX$21,LU12&lt;&gt;"")),"P","")</f>
        <v/>
      </c>
      <c r="G12" s="3" t="str">
        <f>IF(OR(AND(AI12&gt;=AL$21,AI12&lt;&gt;"",AG12=""),AND(BE12&gt;=BH$21,BE12&lt;&gt;"",BC12=""),AND(CA12&gt;=CD$21,CA12&lt;&gt;"",BY12=""),AND(CX12&gt;=DA$21,CX12&lt;&gt;""),AND(DS12&gt;=DV$21,DS12&lt;&gt;""),AND(EN12&gt;=EQ$21,EN12&lt;&gt;""),AND(FI12&gt;=FL$21,FI12&lt;&gt;""),AND(GD12&gt;=GG$21,GD12&lt;&gt;""),AND(GY12&gt;=HB$21,GY12&lt;&gt;""),AND(HT12&gt;=HW$21,HT12&lt;&gt;""),AND(IO12&gt;=IR$21,IO12&lt;&gt;""),AND(JJ12&gt;=JM$21,JJ12&lt;&gt;""),AND(KE12&gt;=KH$21,KE12&lt;&gt;""),AND(KZ12&gt;=LC$21,KZ12&lt;&gt;""),AND(LU12&gt;=LX$21,LU12&lt;&gt;"")),"P","")</f>
        <v/>
      </c>
      <c r="H12" s="116" t="str">
        <f>IF(AND(G12="P",F12=""),"No DD",IF(OR(AND(AI12&gt;=AL$24,AI12&lt;&gt;"",AH12&gt;=AL$20,AH12&lt;&gt;"",AG12=""),AND(BE12&gt;=BH$24,BE12&lt;&gt;"",BD12&gt;=BH$20,BD12&lt;&gt;"",BC12=""),AND(CA12&gt;=CD$24,CA12&lt;&gt;"",BZ12&gt;=CD$20,BZ12&lt;&gt;"",BY12=""),AND(CX12&gt;=DA$24,CX12&lt;&gt;"",CW12&gt;=DA$20,CW12&lt;&gt;""),AND(DS12&gt;=DV$24,DS12&lt;&gt;"",DR12&gt;=DV$20,DR12&lt;&gt;""),AND(EN12&gt;=EQ$24,EN12&lt;&gt;"",EM12&gt;=EQ$20,EM12&lt;&gt;""),AND(FI12&gt;=FL$24,FI12&lt;&gt;"",FH12&gt;=FL$20,FH12&lt;&gt;""),AND(GD12&gt;=GG$24,GD12&lt;&gt;"",GC12&gt;=GG$20,GC12&lt;&gt;""),AND(GY12&gt;=HB$24,GY12&lt;&gt;"",GX12&gt;=HB$20,GX12&lt;&gt;""),AND(HT12&gt;=HW$24,HT12&lt;&gt;"",HS12&gt;=HW$20,HS12&lt;&gt;""),AND(IO12&gt;=IR$24,IO12&lt;&gt;"",IN12&gt;=IR$20,IN12&lt;&gt;""),AND(JJ12&gt;=JM$24,JJ12&lt;&gt;"",JI12&gt;=JM$20,JI12&lt;&gt;""),AND(KE12&gt;=KH$24,KE12&lt;&gt;"",KD12&gt;=KH$20,KD12&lt;&gt;""),AND(KZ12&gt;=LC$24,KZ12&lt;&gt;"",KY12&gt;=LC$20,KY12&lt;&gt;""),AND(LU12&gt;=LX$24,LU12&lt;&gt;"",LT12&gt;=LX$20,LT12&lt;&gt;"")),"Merit",IF(OR(AND(AI12&gt;=AL$23,AI12&lt;&gt;"",AH12&gt;=AL$19,AH12&lt;&gt;"",AG12=""),AND(BE12&gt;=BH$23,BE12&lt;&gt;"",BD12&gt;=BH$19,BD12&lt;&gt;"",BC12=""),AND(CA12&gt;=CD$23,CA12&lt;&gt;"",BZ12&gt;=CD$19,BZ12&lt;&gt;"",BY12=""),AND(CX12&gt;=DA$23,CX12&lt;&gt;"",CW12&gt;=DA$19,CW12&lt;&gt;""),AND(DS12&gt;=DV$23,DS12&lt;&gt;"",DR12&gt;=DV$19,DR12&lt;&gt;""),AND(EN12&gt;=EQ$23,EN12&lt;&gt;"",EM12&gt;=EQ$19,EM12&lt;&gt;""),AND(FI12&gt;=FL$23,FI12&lt;&gt;"",FH12&gt;=FL$19,FH12&lt;&gt;""),AND(GD12&gt;=GG$23,GD12&lt;&gt;"",GC12&gt;=GG$19,GC12&lt;&gt;""),AND(GY12&gt;=HB$23,GY12&lt;&gt;"",GX12&gt;=HB$19,GX12&lt;&gt;""),AND(HT12&gt;=HW$23,HT12&lt;&gt;"",HS12&gt;=HW$19,HS12&lt;&gt;""),AND(IO12&gt;=IR$23,IO12&lt;&gt;"",IN12&gt;=IR$19,IN12&lt;&gt;""),AND(JJ12&gt;=JM$23,JJ12&lt;&gt;"",JI12&gt;=JM$19,JI12&lt;&gt;""),AND(KE12&gt;=KH$23,KE12&lt;&gt;"",KD12&gt;=KH$19,KD12&lt;&gt;""),AND(KZ12&gt;=LC$23,KZ12&lt;&gt;"",KY12&gt;=LC$19,KY12&lt;&gt;""),AND(LU12&gt;=LX$23,LU12&lt;&gt;"",LT12&gt;=LX$19,LT12&lt;&gt;"")),"Excellence",IF(OR(AND(AI12&gt;=AL$22,AI12&lt;&gt;"",AH12&gt;=AL$18,AH12&lt;&gt;"",AG12=""),AND(BE12&gt;=BH$22,BE12&lt;&gt;"",BD12&gt;=BH$18,BD12&lt;&gt;"",BC12=""),AND(CA12&gt;=CD$22,CA12&lt;&gt;"",BZ12&gt;=CD$18,BZ12&lt;&gt;"",BY12=""),AND(CX12&gt;=DA$22,CX12&lt;&gt;"",CW12&gt;=DA$18,CW12&lt;&gt;""),AND(DS12&gt;=DV$22,DS12&lt;&gt;"",DR12&gt;=DV$18,DR12&lt;&gt;""),AND(EN12&gt;=EQ$22,EN12&lt;&gt;"",EM12&gt;=EQ$18,EM12&lt;&gt;""),AND(FI12&gt;=FL$22,FI12&lt;&gt;"",FH12&gt;=FL$18,FH12&lt;&gt;""),AND(GD12&gt;=GG$22,GD12&lt;&gt;"",GC12&gt;=GG$18,GC12&lt;&gt;""),AND(GY12&gt;=HB$22,GY12&lt;&gt;"",GX12&gt;=HB$18,GX12&lt;&gt;""),AND(HT12&gt;=HW$22,HT12&lt;&gt;"",HS12&gt;=HW$18,HS12&lt;&gt;""),AND(IO12&gt;=IR$22,IO12&lt;&gt;"",IN12&gt;=IR$18,IN12&lt;&gt;""),AND(JJ12&gt;=JM$22,JJ12&lt;&gt;"",JI12&gt;=JM$18,JI12&lt;&gt;""),AND(KE12&gt;=KH$22,KE12&lt;&gt;"",KD12&gt;=KH$18,KD12&lt;&gt;""),AND(KZ12&gt;=LC$22,KZ12&lt;&gt;"",KY12&gt;=LC$18,KY12&lt;&gt;""),AND(LU12&gt;=LX$22,LU12&lt;&gt;"",LT12&gt;=LX$18,LT12&lt;&gt;"")),"Worlds Team",IF(OR(AND(AI12&gt;=AL$21,AI12&lt;&gt;"",AH12&gt;=AL$17,AH12&lt;&gt;"",AG12=""),AND(BE12&gt;=BH$21,BE12&lt;&gt;"",BD12&gt;=BH$17,BD12&lt;&gt;"",BC12=""),AND(CA12&gt;=CD$21,CA12&lt;&gt;"",BZ12&gt;=CD$17,BZ12&lt;&gt;"",BY12=""),AND(CX12&gt;=DA$21,CX12&lt;&gt;"",CW12&gt;=DA$17,CW12&lt;&gt;""),AND(DS12&gt;=DV$21,DS12&lt;&gt;"",DR12&gt;=DV$17,DR12&lt;&gt;""),AND(EN12&gt;=EQ$21,EN12&lt;&gt;"",EM12&gt;=EQ$17,EM12&lt;&gt;""),AND(FI12&gt;=FL$21,FI12&lt;&gt;"",FH12&gt;=FL$17,FH12&lt;&gt;""),AND(GD12&gt;=GG$21,GD12&lt;&gt;"",GC12&gt;=GG$17,GC12&lt;&gt;""),AND(GY12&gt;=HB$21,GY12&lt;&gt;"",GX12&gt;=HB$17,GX12&lt;&gt;""),AND(HT12&gt;=HW$21,HT12&lt;&gt;"",HS12&gt;=HW$17,HS12&lt;&gt;""),AND(IO12&gt;=IR$21,IO12&lt;&gt;"",IN12&gt;=IR$17,IN12&lt;&gt;""),AND(JJ12&gt;=JM$21,JJ12&lt;&gt;"",JI12&gt;=JM$17,JI12&lt;&gt;""),AND(KE12&gt;=KH$21,KE12&lt;&gt;"",KD12&gt;=KH$17,KD12&lt;&gt;""),AND(KZ12&gt;=LC$21,KZ12&lt;&gt;"",KY12&gt;=LC$17,KY12&lt;&gt;""),AND(LU12&gt;=LX$21,LU12&lt;&gt;"",LT12&gt;=LX$17,LT12&lt;&gt;"")),"National Team","")))))</f>
        <v/>
      </c>
      <c r="I12" s="3" t="str">
        <f>IF(OR(H12="Worlds Team",H12="Excellence",H12="Merit"),"P","")</f>
        <v/>
      </c>
      <c r="J12" s="14">
        <f>MAX(AI12,BE12,CA12)</f>
        <v>55.500000000000007</v>
      </c>
      <c r="K12" s="14" t="str">
        <f>IF(J12=0,"",IF(J12=CA12,$BI$1,IF(J12=BE12,$AM$1,IF(J12=AI12,$Q$1,""))))</f>
        <v>2021 Elite Canada</v>
      </c>
      <c r="L12" s="14">
        <f>MAX(AK12,BG12,CC12)</f>
        <v>0</v>
      </c>
      <c r="M12" s="14" t="str">
        <f>IF(L12=0,"",IF(J12=CC12,$BI$1,IF(L12=BG12,$AM$1,IF(L12=AK12,$Q$1,""))))</f>
        <v/>
      </c>
      <c r="N12" s="14" t="str">
        <f>IF(MAX(CE12:CF12)&gt;0,MAX(CE12:CF12),"")</f>
        <v/>
      </c>
      <c r="O12" s="24" t="str">
        <f>IF(N12="","",IF(N12=CE12,"(Prelim)",IF(N12=CF12,"(Final)")))</f>
        <v/>
      </c>
      <c r="P12" s="14" t="str">
        <f>IF(N12="","",IF(N12=CE12,IF(N12+IF(J12="",0,J12)=LU12,$LD$1,IF(N12+IF(J12="",0,J12)=KZ12,$KI$1,IF(N12+IF(J12="",0,J12)=KE12,$JN$1,IF(N12+IF(J12="",0,J12)=JJ12,$IS$1,IF(N12+IF(J12="",0,J12)=IO12,$HX$1,IF(N12+IF(J12="",0,J12)=HT12,$HC$1,IF(N12+IF(J12="",0,J12)=GY12,$GH$1,IF(N12+IF(J12="",0,J12)=GD12,$FM$1,IF(N12+IF(J12="",0,J12)=FI12,$ER$1,IF(N12+IF(J12="",0,J12)=EN12,$DW$1,IF(N12+IF(J12="",0,J12)=DS12,$DB$1,IF(N12+IF(J12="",0,J12)=CX12,$CG$1)))))))))))),IF(N12=CF12,IF(N12+IF(L12="",0,L12)=LW12,$LD$1,IF(N12+IF(L12="",0,L12)=LB12,$KI$1,IF(N12+IF(L12="",0,L12)=KG12,$JN$1,IF(N12+IF(L12="",0,L12)=JL12,$IS$1,IF(N12+IF(L12="",0,L12)=IQ12,$HX$1,IF(N12+IF(L12="",0,L12)=HV12,$HC$1,IF(N12+IF(L12="",0,L12)=HA12,$GH$1,IF(N12+IF(L12="",0,L12)=GF12,$FM$1,IF(N12+IF(L12="",0,L12)=FK12,$ER$1,IF(N12+IF(L12="",0,L12)=EP12,$DW$1,IF(N12+IF(L12="",0,L12)=DU12,$DB$1,IF(N12+IF(L12="",0,L12)=CZ12,$CG$1)))))))))))))))</f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72"/>
      <c r="AH12" s="11" t="str">
        <f>IF(SUM(R12,V12)&gt;0,SUM(R12,V12),"")</f>
        <v/>
      </c>
      <c r="AI12" s="11" t="str">
        <f>IF(SUM(Q12:R12,T12:V12,X12)-S12-W12&gt;0,SUM(Q12:R12,T12:V12,X12)-S12-W12,"")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6">
        <v>24.1</v>
      </c>
      <c r="AN12" s="36">
        <v>4.0999999999999996</v>
      </c>
      <c r="AO12" s="36">
        <v>0.6</v>
      </c>
      <c r="AP12" s="36">
        <v>0.3</v>
      </c>
      <c r="AQ12" s="36">
        <v>24.6</v>
      </c>
      <c r="AR12" s="36">
        <v>3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7.1</v>
      </c>
      <c r="BE12" s="14">
        <f>IF(SUM(AM12:AN12,AP12:AR12,AT12)-AO12-AS12&gt;0,SUM(AM12:AN12,AP12:AR12,AT12)-AO12-AS12,"")</f>
        <v>55.500000000000007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55.500000000000007</v>
      </c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72"/>
      <c r="BZ12" s="11" t="str">
        <f>IF(SUM(BJ12,BN12)&gt;0,SUM(BJ12,BN12),"")</f>
        <v/>
      </c>
      <c r="CA12" s="11" t="str">
        <f>IF(SUM(BI12:BJ12,BL12:BN12,BP12)-BK12-BO12&gt;0,SUM(BI12:BJ12,BL12:BN12,BP12)-BK12-BO12,"")</f>
        <v/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 t="str">
        <f>IF(SUM(CA12,CC12)&gt;0,SUM(CA12,CC12),"")</f>
        <v/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IF(MAX(CZ12,DU12,EP12,FK12,GF12,HA12,HV12,IQ12,JL12,KG12,LB12,LW12)-IF(L12="",0,L12)&gt;0.001,MAX(CZ12,DU12,EP12,FK12,GF12,HA12,HV12,IQ12,JL12,KG12,LB12,LW12)-IF(L12="",0,L12),"")</f>
        <v/>
      </c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11" t="str">
        <f>IF(SUM(CH12,CL12)&gt;0,SUM(CH12,CL12),"")</f>
        <v/>
      </c>
      <c r="CX12" s="11" t="str">
        <f>IF(SUM(CG12:CH12,CJ12:CL12,CN12)-CI12-CM12&gt;0,SUM(CG12:CH12,CJ12:CL12,CN12)-CI12-CM12,"")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14" t="str">
        <f>IF(SUM(DC12,DG12)&gt;0,SUM(DC12,DG12),"")</f>
        <v/>
      </c>
      <c r="DS12" s="14" t="str">
        <f>IF(SUM(DB12:DC12,DE12:DG12,DI12)-DD12-DH12&gt;0,SUM(DB12:DC12,DE12:DG12,DI12)-DD12-DH12,"")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11" t="str">
        <f>IF(SUM(DX12,EB12)&gt;0,SUM(DX12,EB12),"")</f>
        <v/>
      </c>
      <c r="EN12" s="11" t="str">
        <f>IF(SUM(DW12:DX12,DZ12:EB12,ED12)-DY12-EC12&gt;0,SUM(DW12:DX12,DZ12:EB12,ED12)-DY12-EC12,"")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14" t="str">
        <f>IF(SUM(ES12,EW12)&gt;0,SUM(ES12,EW12),"")</f>
        <v/>
      </c>
      <c r="FI12" s="14" t="str">
        <f>IF(SUM(ER12:ES12,EU12:EW12,EY12)-ET12-EX12&gt;0,SUM(ER12:ES12,EU12:EW12,EY12)-ET12-EX12,"")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11" t="str">
        <f>IF(SUM(FN12,FR12)&gt;0,SUM(FN12,FR12),"")</f>
        <v/>
      </c>
      <c r="GD12" s="11" t="str">
        <f>IF(SUM(FM12:FN12,FP12:FR12,FT12)-FO12-FS12&gt;0,SUM(FM12:FN12,FP12:FR12,FT12)-FO12-FS12,"")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14" t="str">
        <f>IF(SUM(GI12,GM12)&gt;0,SUM(GI12,GM12),"")</f>
        <v/>
      </c>
      <c r="GY12" s="14" t="str">
        <f>IF(SUM(GH12:GI12,GK12:GM12,GO12)-GJ12-GN12&gt;0,SUM(GH12:GI12,GK12:GM12,GO12)-GJ12-GN12,"")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11" t="str">
        <f>IF(SUM(HD12,HH12)&gt;0,SUM(HD12,HH12),"")</f>
        <v/>
      </c>
      <c r="HT12" s="11" t="str">
        <f>IF(SUM(HC12:HD12,HF12:HH12,HJ12)-HE12-HI12&gt;0,SUM(HC12:HD12,HF12:HH12,HJ12)-HE12-HI12,"")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14" t="str">
        <f>IF(SUM(HY12,IC12)&gt;0,SUM(HY12,IC12),"")</f>
        <v/>
      </c>
      <c r="IO12" s="14" t="str">
        <f>IF(SUM(HX12:HY12,IA12:IC12,IE12)-HZ12-ID12&gt;0,SUM(HX12:HY12,IA12:IC12,IE12)-HZ12-ID12,"")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11" t="str">
        <f>IF(SUM(IT12,IX12)&gt;0,SUM(IT12,IX12),"")</f>
        <v/>
      </c>
      <c r="JJ12" s="11" t="str">
        <f>IF(SUM(IS12:IT12,IV12:IX12,IZ12)-IU12-IY12&gt;0,SUM(IS12:IT12,IV12:IX12,IZ12)-IU12-IY12,"")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14" t="str">
        <f>IF(SUM(JO12,JS12)&gt;0,SUM(JO12,JS12),"")</f>
        <v/>
      </c>
      <c r="KE12" s="14" t="str">
        <f>IF(SUM(JN12:JO12,JQ12:JS12,JU12)-JP12-JT12&gt;0,SUM(JN12:JO12,JQ12:JS12,JU12)-JP12-JT12,"")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11" t="str">
        <f>IF(SUM(KJ12,KN12)&gt;0,SUM(KJ12,KN12),"")</f>
        <v/>
      </c>
      <c r="KZ12" s="11" t="str">
        <f>IF(SUM(KI12:KJ12,KL12:KN12,KP12)-KK12-KO12&gt;0,SUM(KI12:KJ12,KL12:KN12,KP12)-KK12-KO12,"")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14" t="str">
        <f>IF(SUM(LE12,LI12)&gt;0,SUM(LE12,LI12),"")</f>
        <v/>
      </c>
      <c r="LU12" s="14" t="str">
        <f>IF(SUM(LD12:LE12,LG12:LI12,LK12)-LF12-LJ12&gt;0,SUM(LD12:LE12,LG12:LI12,LK12)-LF12-LJ12,"")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12.05</v>
      </c>
      <c r="LZ12" s="61">
        <f>IF($BY12="P",BJ12,(BJ12+AN12)/2)</f>
        <v>2.0499999999999998</v>
      </c>
      <c r="MA12" s="61">
        <f>IF($BY12="P",BK12,(BK12+AO12)/2)</f>
        <v>0.3</v>
      </c>
      <c r="MB12" s="61">
        <f>IF($BY12="P",BL12,(BL12+AP12)/2)</f>
        <v>0.15</v>
      </c>
      <c r="MC12" s="61">
        <f>IF($BY12="P",BM12,(BM12+AQ12)/2)</f>
        <v>12.3</v>
      </c>
      <c r="MD12" s="61">
        <f>IF($BY12="P",BN12,(BN12+AR12)/2)</f>
        <v>1.5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0</v>
      </c>
      <c r="MH12" s="61">
        <f>IF($BY12="P",BR12,(BR12+AV12)/2)</f>
        <v>0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0</v>
      </c>
      <c r="ML12" s="61">
        <f>IF($BY12="P",BV12,(BV12+AZ12)/2)</f>
        <v>0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3.55</v>
      </c>
      <c r="MQ12" s="11">
        <f>IF(SUM(LY12:LZ12,MB12:MD12,MF12)-MA12-ME12&gt;0,SUM(LY12:LZ12,MB12:MD12,MF12)-MA12-ME12,"")</f>
        <v>27.750000000000004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27.750000000000004</v>
      </c>
    </row>
    <row r="13" spans="1:358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6" t="s">
        <v>157</v>
      </c>
      <c r="C13" s="7" t="s">
        <v>3</v>
      </c>
      <c r="D13" s="26">
        <v>2004</v>
      </c>
      <c r="E13" s="15">
        <f>SUM(J13:N13)</f>
        <v>50.099999999999994</v>
      </c>
      <c r="F13" s="3" t="str">
        <f>IF(OR(AND(AH13&gt;=AL$17,AI13&gt;=AL$21,AI13&lt;&gt;"",AG13=""),AND(BD13&gt;=BH$17,BE13&gt;=BH$21,BE13&lt;&gt;"",BC13=""),AND(BZ13&gt;=CD$17,CA13&gt;=CD$21,CA13&lt;&gt;"",BY13=""),AND(CW13&gt;=DA$17,CX13&gt;=DA$21,CX13&lt;&gt;""),AND(DR13&gt;=DV$17,DS13&gt;=DV$21,DS13&lt;&gt;""),AND(EM13&gt;=EQ$17,EN13&gt;=EQ$21,EN13&lt;&gt;""),AND(FH13&gt;=FL$17,FI13&gt;=FL$21,FI13&lt;&gt;""),AND(GC13&gt;=GG$17,GD13&gt;=GG$21,GD13&lt;&gt;""),AND(GX13&gt;=HB$17,GY13&gt;=HB$21,GY13&lt;&gt;""),AND(HS13&gt;=HW$17,HT13&gt;=HW$21,HT13&lt;&gt;""),AND(IN13&gt;=IR$17,IO13&gt;=IR$21,IO13&lt;&gt;""),AND(JI13&gt;=JM$17,JJ13&gt;=JM$21,JJ13&lt;&gt;""),AND(KD13&gt;=KH$17,KE13&gt;=KH$21,KE13&lt;&gt;""),AND(KY13&gt;=LC$17,KZ13&gt;=LC$21,KZ13&lt;&gt;""),AND(LT13&gt;=LX$17,LU13&gt;=LX$21,LU13&lt;&gt;"")),"P","")</f>
        <v/>
      </c>
      <c r="G13" s="3" t="str">
        <f>IF(OR(AND(AI13&gt;=AL$21,AI13&lt;&gt;"",AG13=""),AND(BE13&gt;=BH$21,BE13&lt;&gt;"",BC13=""),AND(CA13&gt;=CD$21,CA13&lt;&gt;"",BY13=""),AND(CX13&gt;=DA$21,CX13&lt;&gt;""),AND(DS13&gt;=DV$21,DS13&lt;&gt;""),AND(EN13&gt;=EQ$21,EN13&lt;&gt;""),AND(FI13&gt;=FL$21,FI13&lt;&gt;""),AND(GD13&gt;=GG$21,GD13&lt;&gt;""),AND(GY13&gt;=HB$21,GY13&lt;&gt;""),AND(HT13&gt;=HW$21,HT13&lt;&gt;""),AND(IO13&gt;=IR$21,IO13&lt;&gt;""),AND(JJ13&gt;=JM$21,JJ13&lt;&gt;""),AND(KE13&gt;=KH$21,KE13&lt;&gt;""),AND(KZ13&gt;=LC$21,KZ13&lt;&gt;""),AND(LU13&gt;=LX$21,LU13&lt;&gt;"")),"P","")</f>
        <v/>
      </c>
      <c r="H13" s="116" t="str">
        <f>IF(AND(G13="P",F13=""),"No DD",IF(OR(AND(AI13&gt;=AL$24,AI13&lt;&gt;"",AH13&gt;=AL$20,AH13&lt;&gt;"",AG13=""),AND(BE13&gt;=BH$24,BE13&lt;&gt;"",BD13&gt;=BH$20,BD13&lt;&gt;"",BC13=""),AND(CA13&gt;=CD$24,CA13&lt;&gt;"",BZ13&gt;=CD$20,BZ13&lt;&gt;"",BY13=""),AND(CX13&gt;=DA$24,CX13&lt;&gt;"",CW13&gt;=DA$20,CW13&lt;&gt;""),AND(DS13&gt;=DV$24,DS13&lt;&gt;"",DR13&gt;=DV$20,DR13&lt;&gt;""),AND(EN13&gt;=EQ$24,EN13&lt;&gt;"",EM13&gt;=EQ$20,EM13&lt;&gt;""),AND(FI13&gt;=FL$24,FI13&lt;&gt;"",FH13&gt;=FL$20,FH13&lt;&gt;""),AND(GD13&gt;=GG$24,GD13&lt;&gt;"",GC13&gt;=GG$20,GC13&lt;&gt;""),AND(GY13&gt;=HB$24,GY13&lt;&gt;"",GX13&gt;=HB$20,GX13&lt;&gt;""),AND(HT13&gt;=HW$24,HT13&lt;&gt;"",HS13&gt;=HW$20,HS13&lt;&gt;""),AND(IO13&gt;=IR$24,IO13&lt;&gt;"",IN13&gt;=IR$20,IN13&lt;&gt;""),AND(JJ13&gt;=JM$24,JJ13&lt;&gt;"",JI13&gt;=JM$20,JI13&lt;&gt;""),AND(KE13&gt;=KH$24,KE13&lt;&gt;"",KD13&gt;=KH$20,KD13&lt;&gt;""),AND(KZ13&gt;=LC$24,KZ13&lt;&gt;"",KY13&gt;=LC$20,KY13&lt;&gt;""),AND(LU13&gt;=LX$24,LU13&lt;&gt;"",LT13&gt;=LX$20,LT13&lt;&gt;"")),"Merit",IF(OR(AND(AI13&gt;=AL$23,AI13&lt;&gt;"",AH13&gt;=AL$19,AH13&lt;&gt;"",AG13=""),AND(BE13&gt;=BH$23,BE13&lt;&gt;"",BD13&gt;=BH$19,BD13&lt;&gt;"",BC13=""),AND(CA13&gt;=CD$23,CA13&lt;&gt;"",BZ13&gt;=CD$19,BZ13&lt;&gt;"",BY13=""),AND(CX13&gt;=DA$23,CX13&lt;&gt;"",CW13&gt;=DA$19,CW13&lt;&gt;""),AND(DS13&gt;=DV$23,DS13&lt;&gt;"",DR13&gt;=DV$19,DR13&lt;&gt;""),AND(EN13&gt;=EQ$23,EN13&lt;&gt;"",EM13&gt;=EQ$19,EM13&lt;&gt;""),AND(FI13&gt;=FL$23,FI13&lt;&gt;"",FH13&gt;=FL$19,FH13&lt;&gt;""),AND(GD13&gt;=GG$23,GD13&lt;&gt;"",GC13&gt;=GG$19,GC13&lt;&gt;""),AND(GY13&gt;=HB$23,GY13&lt;&gt;"",GX13&gt;=HB$19,GX13&lt;&gt;""),AND(HT13&gt;=HW$23,HT13&lt;&gt;"",HS13&gt;=HW$19,HS13&lt;&gt;""),AND(IO13&gt;=IR$23,IO13&lt;&gt;"",IN13&gt;=IR$19,IN13&lt;&gt;""),AND(JJ13&gt;=JM$23,JJ13&lt;&gt;"",JI13&gt;=JM$19,JI13&lt;&gt;""),AND(KE13&gt;=KH$23,KE13&lt;&gt;"",KD13&gt;=KH$19,KD13&lt;&gt;""),AND(KZ13&gt;=LC$23,KZ13&lt;&gt;"",KY13&gt;=LC$19,KY13&lt;&gt;""),AND(LU13&gt;=LX$23,LU13&lt;&gt;"",LT13&gt;=LX$19,LT13&lt;&gt;"")),"Excellence",IF(OR(AND(AI13&gt;=AL$22,AI13&lt;&gt;"",AH13&gt;=AL$18,AH13&lt;&gt;"",AG13=""),AND(BE13&gt;=BH$22,BE13&lt;&gt;"",BD13&gt;=BH$18,BD13&lt;&gt;"",BC13=""),AND(CA13&gt;=CD$22,CA13&lt;&gt;"",BZ13&gt;=CD$18,BZ13&lt;&gt;"",BY13=""),AND(CX13&gt;=DA$22,CX13&lt;&gt;"",CW13&gt;=DA$18,CW13&lt;&gt;""),AND(DS13&gt;=DV$22,DS13&lt;&gt;"",DR13&gt;=DV$18,DR13&lt;&gt;""),AND(EN13&gt;=EQ$22,EN13&lt;&gt;"",EM13&gt;=EQ$18,EM13&lt;&gt;""),AND(FI13&gt;=FL$22,FI13&lt;&gt;"",FH13&gt;=FL$18,FH13&lt;&gt;""),AND(GD13&gt;=GG$22,GD13&lt;&gt;"",GC13&gt;=GG$18,GC13&lt;&gt;""),AND(GY13&gt;=HB$22,GY13&lt;&gt;"",GX13&gt;=HB$18,GX13&lt;&gt;""),AND(HT13&gt;=HW$22,HT13&lt;&gt;"",HS13&gt;=HW$18,HS13&lt;&gt;""),AND(IO13&gt;=IR$22,IO13&lt;&gt;"",IN13&gt;=IR$18,IN13&lt;&gt;""),AND(JJ13&gt;=JM$22,JJ13&lt;&gt;"",JI13&gt;=JM$18,JI13&lt;&gt;""),AND(KE13&gt;=KH$22,KE13&lt;&gt;"",KD13&gt;=KH$18,KD13&lt;&gt;""),AND(KZ13&gt;=LC$22,KZ13&lt;&gt;"",KY13&gt;=LC$18,KY13&lt;&gt;""),AND(LU13&gt;=LX$22,LU13&lt;&gt;"",LT13&gt;=LX$18,LT13&lt;&gt;"")),"Worlds Team",IF(OR(AND(AI13&gt;=AL$21,AI13&lt;&gt;"",AH13&gt;=AL$17,AH13&lt;&gt;"",AG13=""),AND(BE13&gt;=BH$21,BE13&lt;&gt;"",BD13&gt;=BH$17,BD13&lt;&gt;"",BC13=""),AND(CA13&gt;=CD$21,CA13&lt;&gt;"",BZ13&gt;=CD$17,BZ13&lt;&gt;"",BY13=""),AND(CX13&gt;=DA$21,CX13&lt;&gt;"",CW13&gt;=DA$17,CW13&lt;&gt;""),AND(DS13&gt;=DV$21,DS13&lt;&gt;"",DR13&gt;=DV$17,DR13&lt;&gt;""),AND(EN13&gt;=EQ$21,EN13&lt;&gt;"",EM13&gt;=EQ$17,EM13&lt;&gt;""),AND(FI13&gt;=FL$21,FI13&lt;&gt;"",FH13&gt;=FL$17,FH13&lt;&gt;""),AND(GD13&gt;=GG$21,GD13&lt;&gt;"",GC13&gt;=GG$17,GC13&lt;&gt;""),AND(GY13&gt;=HB$21,GY13&lt;&gt;"",GX13&gt;=HB$17,GX13&lt;&gt;""),AND(HT13&gt;=HW$21,HT13&lt;&gt;"",HS13&gt;=HW$17,HS13&lt;&gt;""),AND(IO13&gt;=IR$21,IO13&lt;&gt;"",IN13&gt;=IR$17,IN13&lt;&gt;""),AND(JJ13&gt;=JM$21,JJ13&lt;&gt;"",JI13&gt;=JM$17,JI13&lt;&gt;""),AND(KE13&gt;=KH$21,KE13&lt;&gt;"",KD13&gt;=KH$17,KD13&lt;&gt;""),AND(KZ13&gt;=LC$21,KZ13&lt;&gt;"",KY13&gt;=LC$17,KY13&lt;&gt;""),AND(LU13&gt;=LX$21,LU13&lt;&gt;"",LT13&gt;=LX$17,LT13&lt;&gt;"")),"National Team","")))))</f>
        <v/>
      </c>
      <c r="I13" s="3" t="str">
        <f>IF(OR(H13="Worlds Team",H13="Excellence",H13="Merit"),"P","")</f>
        <v/>
      </c>
      <c r="J13" s="14">
        <f>MAX(AI13,BE13,CA13)</f>
        <v>50.099999999999994</v>
      </c>
      <c r="K13" s="14" t="str">
        <f>IF(J13=0,"",IF(J13=CA13,$BI$1,IF(J13=BE13,$AM$1,IF(J13=AI13,$Q$1,""))))</f>
        <v>2021 Canadian Championships</v>
      </c>
      <c r="L13" s="14">
        <f>MAX(AK13,BG13,CC13)</f>
        <v>0</v>
      </c>
      <c r="M13" s="14" t="str">
        <f>IF(L13=0,"",IF(J13=CC13,$BI$1,IF(L13=BG13,$AM$1,IF(L13=AK13,$Q$1,""))))</f>
        <v/>
      </c>
      <c r="N13" s="14" t="str">
        <f>IF(MAX(CE13:CF13)&gt;0,MAX(CE13:CF13),"")</f>
        <v/>
      </c>
      <c r="O13" s="24" t="str">
        <f>IF(N13="","",IF(N13=CE13,"(Prelim)",IF(N13=CF13,"(Final)")))</f>
        <v/>
      </c>
      <c r="P13" s="14" t="str">
        <f>IF(N13="","",IF(N13=CE13,IF(N13+IF(J13="",0,J13)=LU13,$LD$1,IF(N13+IF(J13="",0,J13)=KZ13,$KI$1,IF(N13+IF(J13="",0,J13)=KE13,$JN$1,IF(N13+IF(J13="",0,J13)=JJ13,$IS$1,IF(N13+IF(J13="",0,J13)=IO13,$HX$1,IF(N13+IF(J13="",0,J13)=HT13,$HC$1,IF(N13+IF(J13="",0,J13)=GY13,$GH$1,IF(N13+IF(J13="",0,J13)=GD13,$FM$1,IF(N13+IF(J13="",0,J13)=FI13,$ER$1,IF(N13+IF(J13="",0,J13)=EN13,$DW$1,IF(N13+IF(J13="",0,J13)=DS13,$DB$1,IF(N13+IF(J13="",0,J13)=CX13,$CG$1)))))))))))),IF(N13=CF13,IF(N13+IF(L13="",0,L13)=LW13,$LD$1,IF(N13+IF(L13="",0,L13)=LB13,$KI$1,IF(N13+IF(L13="",0,L13)=KG13,$JN$1,IF(N13+IF(L13="",0,L13)=JL13,$IS$1,IF(N13+IF(L13="",0,L13)=IQ13,$HX$1,IF(N13+IF(L13="",0,L13)=HV13,$HC$1,IF(N13+IF(L13="",0,L13)=HA13,$GH$1,IF(N13+IF(L13="",0,L13)=GF13,$FM$1,IF(N13+IF(L13="",0,L13)=FK13,$ER$1,IF(N13+IF(L13="",0,L13)=EP13,$DW$1,IF(N13+IF(L13="",0,L13)=DU13,$DB$1,IF(N13+IF(L13="",0,L13)=CZ13,$CG$1)))))))))))))))</f>
        <v/>
      </c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72"/>
      <c r="AH13" s="11" t="str">
        <f>IF(SUM(R13,V13)&gt;0,SUM(R13,V13),"")</f>
        <v/>
      </c>
      <c r="AI13" s="11" t="str">
        <f>IF(SUM(Q13:R13,T13:V13,X13)-S13-W13&gt;0,SUM(Q13:R13,T13:V13,X13)-S13-W13,"")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73"/>
      <c r="BD13" s="14" t="str">
        <f>IF(SUM(AN13,AR13)&gt;0,SUM(AN13,AR13),"")</f>
        <v/>
      </c>
      <c r="BE13" s="14" t="str">
        <f>IF(SUM(AM13:AN13,AP13:AR13,AT13)-AO13-AS13&gt;0,SUM(AM13:AN13,AP13:AR13,AT13)-AO13-AS13,"")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37">
        <v>23.7</v>
      </c>
      <c r="BJ13" s="37">
        <v>1.2</v>
      </c>
      <c r="BK13" s="37">
        <v>0</v>
      </c>
      <c r="BL13" s="37">
        <v>0</v>
      </c>
      <c r="BM13" s="37">
        <v>23</v>
      </c>
      <c r="BN13" s="37">
        <v>1.9</v>
      </c>
      <c r="BO13" s="37">
        <v>0</v>
      </c>
      <c r="BP13" s="37">
        <v>0.3</v>
      </c>
      <c r="BQ13" s="37"/>
      <c r="BR13" s="37"/>
      <c r="BS13" s="37"/>
      <c r="BT13" s="37"/>
      <c r="BU13" s="37"/>
      <c r="BV13" s="37"/>
      <c r="BW13" s="37"/>
      <c r="BX13" s="37"/>
      <c r="BY13" s="72"/>
      <c r="BZ13" s="11">
        <f>IF(SUM(BJ13,BN13)&gt;0,SUM(BJ13,BN13),"")</f>
        <v>3.0999999999999996</v>
      </c>
      <c r="CA13" s="11">
        <f>IF(SUM(BI13:BJ13,BL13:BN13,BP13)-BK13-BO13&gt;0,SUM(BI13:BJ13,BL13:BN13,BP13)-BK13-BO13,"")</f>
        <v>50.099999999999994</v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>
        <f>IF(SUM(CA13,CC13)&gt;0,SUM(CA13,CC13),"")</f>
        <v>50.099999999999994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IF(MAX(CZ13,DU13,EP13,FK13,GF13,HA13,HV13,IQ13,JL13,KG13,LB13,LW13)-IF(L13="",0,L13)&gt;0.001,MAX(CZ13,DU13,EP13,FK13,GF13,HA13,HV13,IQ13,JL13,KG13,LB13,LW13)-IF(L13="",0,L13),"")</f>
        <v/>
      </c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11" t="str">
        <f>IF(SUM(CH13,CL13)&gt;0,SUM(CH13,CL13),"")</f>
        <v/>
      </c>
      <c r="CX13" s="11" t="str">
        <f>IF(SUM(CG13:CH13,CJ13:CL13,CN13)-CI13-CM13&gt;0,SUM(CG13:CH13,CJ13:CL13,CN13)-CI13-CM13,"")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14" t="str">
        <f>IF(SUM(DC13,DG13)&gt;0,SUM(DC13,DG13),"")</f>
        <v/>
      </c>
      <c r="DS13" s="14" t="str">
        <f>IF(SUM(DB13:DC13,DE13:DG13,DI13)-DD13-DH13&gt;0,SUM(DB13:DC13,DE13:DG13,DI13)-DD13-DH13,"")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11" t="str">
        <f>IF(SUM(DX13,EB13)&gt;0,SUM(DX13,EB13),"")</f>
        <v/>
      </c>
      <c r="EN13" s="11" t="str">
        <f>IF(SUM(DW13:DX13,DZ13:EB13,ED13)-DY13-EC13&gt;0,SUM(DW13:DX13,DZ13:EB13,ED13)-DY13-EC13,"")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14" t="str">
        <f>IF(SUM(ES13,EW13)&gt;0,SUM(ES13,EW13),"")</f>
        <v/>
      </c>
      <c r="FI13" s="14" t="str">
        <f>IF(SUM(ER13:ES13,EU13:EW13,EY13)-ET13-EX13&gt;0,SUM(ER13:ES13,EU13:EW13,EY13)-ET13-EX13,"")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11" t="str">
        <f>IF(SUM(FN13,FR13)&gt;0,SUM(FN13,FR13),"")</f>
        <v/>
      </c>
      <c r="GD13" s="11" t="str">
        <f>IF(SUM(FM13:FN13,FP13:FR13,FT13)-FO13-FS13&gt;0,SUM(FM13:FN13,FP13:FR13,FT13)-FO13-FS13,"")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14" t="str">
        <f>IF(SUM(GI13,GM13)&gt;0,SUM(GI13,GM13),"")</f>
        <v/>
      </c>
      <c r="GY13" s="14" t="str">
        <f>IF(SUM(GH13:GI13,GK13:GM13,GO13)-GJ13-GN13&gt;0,SUM(GH13:GI13,GK13:GM13,GO13)-GJ13-GN13,"")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11" t="str">
        <f>IF(SUM(HD13,HH13)&gt;0,SUM(HD13,HH13),"")</f>
        <v/>
      </c>
      <c r="HT13" s="11" t="str">
        <f>IF(SUM(HC13:HD13,HF13:HH13,HJ13)-HE13-HI13&gt;0,SUM(HC13:HD13,HF13:HH13,HJ13)-HE13-HI13,"")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14" t="str">
        <f>IF(SUM(HY13,IC13)&gt;0,SUM(HY13,IC13),"")</f>
        <v/>
      </c>
      <c r="IO13" s="14" t="str">
        <f>IF(SUM(HX13:HY13,IA13:IC13,IE13)-HZ13-ID13&gt;0,SUM(HX13:HY13,IA13:IC13,IE13)-HZ13-ID13,"")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11" t="str">
        <f>IF(SUM(IT13,IX13)&gt;0,SUM(IT13,IX13),"")</f>
        <v/>
      </c>
      <c r="JJ13" s="11" t="str">
        <f>IF(SUM(IS13:IT13,IV13:IX13,IZ13)-IU13-IY13&gt;0,SUM(IS13:IT13,IV13:IX13,IZ13)-IU13-IY13,"")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14" t="str">
        <f>IF(SUM(JO13,JS13)&gt;0,SUM(JO13,JS13),"")</f>
        <v/>
      </c>
      <c r="KE13" s="14" t="str">
        <f>IF(SUM(JN13:JO13,JQ13:JS13,JU13)-JP13-JT13&gt;0,SUM(JN13:JO13,JQ13:JS13,JU13)-JP13-JT13,"")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11" t="str">
        <f>IF(SUM(KJ13,KN13)&gt;0,SUM(KJ13,KN13),"")</f>
        <v/>
      </c>
      <c r="KZ13" s="11" t="str">
        <f>IF(SUM(KI13:KJ13,KL13:KN13,KP13)-KK13-KO13&gt;0,SUM(KI13:KJ13,KL13:KN13,KP13)-KK13-KO13,"")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14" t="str">
        <f>IF(SUM(LE13,LI13)&gt;0,SUM(LE13,LI13),"")</f>
        <v/>
      </c>
      <c r="LU13" s="14" t="str">
        <f>IF(SUM(LD13:LE13,LG13:LI13,LK13)-LF13-LJ13&gt;0,SUM(LD13:LE13,LG13:LI13,LK13)-LF13-LJ13,"")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11.85</v>
      </c>
      <c r="LZ13" s="61">
        <f>IF($BY13="P",BJ13,(BJ13+AN13)/2)</f>
        <v>0.6</v>
      </c>
      <c r="MA13" s="61">
        <f>IF($BY13="P",BK13,(BK13+AO13)/2)</f>
        <v>0</v>
      </c>
      <c r="MB13" s="61">
        <f>IF($BY13="P",BL13,(BL13+AP13)/2)</f>
        <v>0</v>
      </c>
      <c r="MC13" s="61">
        <f>IF($BY13="P",BM13,(BM13+AQ13)/2)</f>
        <v>11.5</v>
      </c>
      <c r="MD13" s="61">
        <f>IF($BY13="P",BN13,(BN13+AR13)/2)</f>
        <v>0.95</v>
      </c>
      <c r="ME13" s="61">
        <f>IF($BY13="P",BO13,(BO13+AS13)/2)</f>
        <v>0</v>
      </c>
      <c r="MF13" s="61">
        <f>IF($BY13="P",BP13,(BP13+AT13)/2)</f>
        <v>0.15</v>
      </c>
      <c r="MG13" s="61">
        <f>IF($BY13="P",BQ13,(BQ13+AU13)/2)</f>
        <v>0</v>
      </c>
      <c r="MH13" s="61">
        <f>IF($BY13="P",BR13,(BR13+AV13)/2)</f>
        <v>0</v>
      </c>
      <c r="MI13" s="61">
        <f>IF($BY13="P",BS13,(BS13+AW13)/2)</f>
        <v>0</v>
      </c>
      <c r="MJ13" s="61">
        <f>IF($BY13="P",BT13,(BT13+AX13)/2)</f>
        <v>0</v>
      </c>
      <c r="MK13" s="61">
        <f>IF($BY13="P",BU13,(BU13+AY13)/2)</f>
        <v>0</v>
      </c>
      <c r="ML13" s="61">
        <f>IF($BY13="P",BV13,(BV13+AZ13)/2)</f>
        <v>0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1.5499999999999998</v>
      </c>
      <c r="MQ13" s="11">
        <f>IF(SUM(LY13:LZ13,MB13:MD13,MF13)-MA13-ME13&gt;0,SUM(LY13:LZ13,MB13:MD13,MF13)-MA13-ME13,"")</f>
        <v>25.049999999999997</v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>
        <f>IF(SUM(MQ13,MS13)&gt;0,SUM(MQ13,MS13),"")</f>
        <v>25.049999999999997</v>
      </c>
    </row>
    <row r="14" spans="1:358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6" t="s">
        <v>142</v>
      </c>
      <c r="C14" s="7" t="s">
        <v>4</v>
      </c>
      <c r="D14" s="26">
        <v>2002</v>
      </c>
      <c r="E14" s="15">
        <f>SUM(J14:N14)</f>
        <v>46.4</v>
      </c>
      <c r="F14" s="3" t="str">
        <f>IF(OR(AND(AH14&gt;=AL$17,AI14&gt;=AL$21,AI14&lt;&gt;"",AG14=""),AND(BD14&gt;=BH$17,BE14&gt;=BH$21,BE14&lt;&gt;"",BC14=""),AND(BZ14&gt;=CD$17,CA14&gt;=CD$21,CA14&lt;&gt;"",BY14=""),AND(CW14&gt;=DA$17,CX14&gt;=DA$21,CX14&lt;&gt;""),AND(DR14&gt;=DV$17,DS14&gt;=DV$21,DS14&lt;&gt;""),AND(EM14&gt;=EQ$17,EN14&gt;=EQ$21,EN14&lt;&gt;""),AND(FH14&gt;=FL$17,FI14&gt;=FL$21,FI14&lt;&gt;""),AND(GC14&gt;=GG$17,GD14&gt;=GG$21,GD14&lt;&gt;""),AND(GX14&gt;=HB$17,GY14&gt;=HB$21,GY14&lt;&gt;""),AND(HS14&gt;=HW$17,HT14&gt;=HW$21,HT14&lt;&gt;""),AND(IN14&gt;=IR$17,IO14&gt;=IR$21,IO14&lt;&gt;""),AND(JI14&gt;=JM$17,JJ14&gt;=JM$21,JJ14&lt;&gt;""),AND(KD14&gt;=KH$17,KE14&gt;=KH$21,KE14&lt;&gt;""),AND(KY14&gt;=LC$17,KZ14&gt;=LC$21,KZ14&lt;&gt;""),AND(LT14&gt;=LX$17,LU14&gt;=LX$21,LU14&lt;&gt;"")),"P","")</f>
        <v/>
      </c>
      <c r="G14" s="3" t="str">
        <f>IF(OR(AND(AI14&gt;=AL$21,AI14&lt;&gt;"",AG14=""),AND(BE14&gt;=BH$21,BE14&lt;&gt;"",BC14=""),AND(CA14&gt;=CD$21,CA14&lt;&gt;"",BY14=""),AND(CX14&gt;=DA$21,CX14&lt;&gt;""),AND(DS14&gt;=DV$21,DS14&lt;&gt;""),AND(EN14&gt;=EQ$21,EN14&lt;&gt;""),AND(FI14&gt;=FL$21,FI14&lt;&gt;""),AND(GD14&gt;=GG$21,GD14&lt;&gt;""),AND(GY14&gt;=HB$21,GY14&lt;&gt;""),AND(HT14&gt;=HW$21,HT14&lt;&gt;""),AND(IO14&gt;=IR$21,IO14&lt;&gt;""),AND(JJ14&gt;=JM$21,JJ14&lt;&gt;""),AND(KE14&gt;=KH$21,KE14&lt;&gt;""),AND(KZ14&gt;=LC$21,KZ14&lt;&gt;""),AND(LU14&gt;=LX$21,LU14&lt;&gt;"")),"P","")</f>
        <v/>
      </c>
      <c r="H14" s="116" t="str">
        <f>IF(AND(G14="P",F14=""),"No DD",IF(OR(AND(AI14&gt;=AL$24,AI14&lt;&gt;"",AH14&gt;=AL$20,AH14&lt;&gt;"",AG14=""),AND(BE14&gt;=BH$24,BE14&lt;&gt;"",BD14&gt;=BH$20,BD14&lt;&gt;"",BC14=""),AND(CA14&gt;=CD$24,CA14&lt;&gt;"",BZ14&gt;=CD$20,BZ14&lt;&gt;"",BY14=""),AND(CX14&gt;=DA$24,CX14&lt;&gt;"",CW14&gt;=DA$20,CW14&lt;&gt;""),AND(DS14&gt;=DV$24,DS14&lt;&gt;"",DR14&gt;=DV$20,DR14&lt;&gt;""),AND(EN14&gt;=EQ$24,EN14&lt;&gt;"",EM14&gt;=EQ$20,EM14&lt;&gt;""),AND(FI14&gt;=FL$24,FI14&lt;&gt;"",FH14&gt;=FL$20,FH14&lt;&gt;""),AND(GD14&gt;=GG$24,GD14&lt;&gt;"",GC14&gt;=GG$20,GC14&lt;&gt;""),AND(GY14&gt;=HB$24,GY14&lt;&gt;"",GX14&gt;=HB$20,GX14&lt;&gt;""),AND(HT14&gt;=HW$24,HT14&lt;&gt;"",HS14&gt;=HW$20,HS14&lt;&gt;""),AND(IO14&gt;=IR$24,IO14&lt;&gt;"",IN14&gt;=IR$20,IN14&lt;&gt;""),AND(JJ14&gt;=JM$24,JJ14&lt;&gt;"",JI14&gt;=JM$20,JI14&lt;&gt;""),AND(KE14&gt;=KH$24,KE14&lt;&gt;"",KD14&gt;=KH$20,KD14&lt;&gt;""),AND(KZ14&gt;=LC$24,KZ14&lt;&gt;"",KY14&gt;=LC$20,KY14&lt;&gt;""),AND(LU14&gt;=LX$24,LU14&lt;&gt;"",LT14&gt;=LX$20,LT14&lt;&gt;"")),"Merit",IF(OR(AND(AI14&gt;=AL$23,AI14&lt;&gt;"",AH14&gt;=AL$19,AH14&lt;&gt;"",AG14=""),AND(BE14&gt;=BH$23,BE14&lt;&gt;"",BD14&gt;=BH$19,BD14&lt;&gt;"",BC14=""),AND(CA14&gt;=CD$23,CA14&lt;&gt;"",BZ14&gt;=CD$19,BZ14&lt;&gt;"",BY14=""),AND(CX14&gt;=DA$23,CX14&lt;&gt;"",CW14&gt;=DA$19,CW14&lt;&gt;""),AND(DS14&gt;=DV$23,DS14&lt;&gt;"",DR14&gt;=DV$19,DR14&lt;&gt;""),AND(EN14&gt;=EQ$23,EN14&lt;&gt;"",EM14&gt;=EQ$19,EM14&lt;&gt;""),AND(FI14&gt;=FL$23,FI14&lt;&gt;"",FH14&gt;=FL$19,FH14&lt;&gt;""),AND(GD14&gt;=GG$23,GD14&lt;&gt;"",GC14&gt;=GG$19,GC14&lt;&gt;""),AND(GY14&gt;=HB$23,GY14&lt;&gt;"",GX14&gt;=HB$19,GX14&lt;&gt;""),AND(HT14&gt;=HW$23,HT14&lt;&gt;"",HS14&gt;=HW$19,HS14&lt;&gt;""),AND(IO14&gt;=IR$23,IO14&lt;&gt;"",IN14&gt;=IR$19,IN14&lt;&gt;""),AND(JJ14&gt;=JM$23,JJ14&lt;&gt;"",JI14&gt;=JM$19,JI14&lt;&gt;""),AND(KE14&gt;=KH$23,KE14&lt;&gt;"",KD14&gt;=KH$19,KD14&lt;&gt;""),AND(KZ14&gt;=LC$23,KZ14&lt;&gt;"",KY14&gt;=LC$19,KY14&lt;&gt;""),AND(LU14&gt;=LX$23,LU14&lt;&gt;"",LT14&gt;=LX$19,LT14&lt;&gt;"")),"Excellence",IF(OR(AND(AI14&gt;=AL$22,AI14&lt;&gt;"",AH14&gt;=AL$18,AH14&lt;&gt;"",AG14=""),AND(BE14&gt;=BH$22,BE14&lt;&gt;"",BD14&gt;=BH$18,BD14&lt;&gt;"",BC14=""),AND(CA14&gt;=CD$22,CA14&lt;&gt;"",BZ14&gt;=CD$18,BZ14&lt;&gt;"",BY14=""),AND(CX14&gt;=DA$22,CX14&lt;&gt;"",CW14&gt;=DA$18,CW14&lt;&gt;""),AND(DS14&gt;=DV$22,DS14&lt;&gt;"",DR14&gt;=DV$18,DR14&lt;&gt;""),AND(EN14&gt;=EQ$22,EN14&lt;&gt;"",EM14&gt;=EQ$18,EM14&lt;&gt;""),AND(FI14&gt;=FL$22,FI14&lt;&gt;"",FH14&gt;=FL$18,FH14&lt;&gt;""),AND(GD14&gt;=GG$22,GD14&lt;&gt;"",GC14&gt;=GG$18,GC14&lt;&gt;""),AND(GY14&gt;=HB$22,GY14&lt;&gt;"",GX14&gt;=HB$18,GX14&lt;&gt;""),AND(HT14&gt;=HW$22,HT14&lt;&gt;"",HS14&gt;=HW$18,HS14&lt;&gt;""),AND(IO14&gt;=IR$22,IO14&lt;&gt;"",IN14&gt;=IR$18,IN14&lt;&gt;""),AND(JJ14&gt;=JM$22,JJ14&lt;&gt;"",JI14&gt;=JM$18,JI14&lt;&gt;""),AND(KE14&gt;=KH$22,KE14&lt;&gt;"",KD14&gt;=KH$18,KD14&lt;&gt;""),AND(KZ14&gt;=LC$22,KZ14&lt;&gt;"",KY14&gt;=LC$18,KY14&lt;&gt;""),AND(LU14&gt;=LX$22,LU14&lt;&gt;"",LT14&gt;=LX$18,LT14&lt;&gt;"")),"Worlds Team",IF(OR(AND(AI14&gt;=AL$21,AI14&lt;&gt;"",AH14&gt;=AL$17,AH14&lt;&gt;"",AG14=""),AND(BE14&gt;=BH$21,BE14&lt;&gt;"",BD14&gt;=BH$17,BD14&lt;&gt;"",BC14=""),AND(CA14&gt;=CD$21,CA14&lt;&gt;"",BZ14&gt;=CD$17,BZ14&lt;&gt;"",BY14=""),AND(CX14&gt;=DA$21,CX14&lt;&gt;"",CW14&gt;=DA$17,CW14&lt;&gt;""),AND(DS14&gt;=DV$21,DS14&lt;&gt;"",DR14&gt;=DV$17,DR14&lt;&gt;""),AND(EN14&gt;=EQ$21,EN14&lt;&gt;"",EM14&gt;=EQ$17,EM14&lt;&gt;""),AND(FI14&gt;=FL$21,FI14&lt;&gt;"",FH14&gt;=FL$17,FH14&lt;&gt;""),AND(GD14&gt;=GG$21,GD14&lt;&gt;"",GC14&gt;=GG$17,GC14&lt;&gt;""),AND(GY14&gt;=HB$21,GY14&lt;&gt;"",GX14&gt;=HB$17,GX14&lt;&gt;""),AND(HT14&gt;=HW$21,HT14&lt;&gt;"",HS14&gt;=HW$17,HS14&lt;&gt;""),AND(IO14&gt;=IR$21,IO14&lt;&gt;"",IN14&gt;=IR$17,IN14&lt;&gt;""),AND(JJ14&gt;=JM$21,JJ14&lt;&gt;"",JI14&gt;=JM$17,JI14&lt;&gt;""),AND(KE14&gt;=KH$21,KE14&lt;&gt;"",KD14&gt;=KH$17,KD14&lt;&gt;""),AND(KZ14&gt;=LC$21,KZ14&lt;&gt;"",KY14&gt;=LC$17,KY14&lt;&gt;""),AND(LU14&gt;=LX$21,LU14&lt;&gt;"",LT14&gt;=LX$17,LT14&lt;&gt;"")),"National Team","")))))</f>
        <v/>
      </c>
      <c r="I14" s="3" t="str">
        <f>IF(OR(H14="Worlds Team",H14="Excellence",H14="Merit"),"P","")</f>
        <v/>
      </c>
      <c r="J14" s="14">
        <f>MAX(AI14,BE14,CA14)</f>
        <v>46.4</v>
      </c>
      <c r="K14" s="14" t="str">
        <f>IF(J14=0,"",IF(J14=CA14,$BI$1,IF(J14=BE14,$AM$1,IF(J14=AI14,$Q$1,""))))</f>
        <v>2021 Canadian Championships</v>
      </c>
      <c r="L14" s="14">
        <f>MAX(AK14,BG14,CC14)</f>
        <v>0</v>
      </c>
      <c r="M14" s="14" t="str">
        <f>IF(L14=0,"",IF(J14=CC14,$BI$1,IF(L14=BG14,$AM$1,IF(L14=AK14,$Q$1,""))))</f>
        <v/>
      </c>
      <c r="N14" s="14" t="str">
        <f>IF(MAX(CE14:CF14)&gt;0,MAX(CE14:CF14),"")</f>
        <v/>
      </c>
      <c r="O14" s="24" t="str">
        <f>IF(N14="","",IF(N14=CE14,"(Prelim)",IF(N14=CF14,"(Final)")))</f>
        <v/>
      </c>
      <c r="P14" s="14" t="str">
        <f>IF(N14="","",IF(N14=CE14,IF(N14+IF(J14="",0,J14)=LU14,$LD$1,IF(N14+IF(J14="",0,J14)=KZ14,$KI$1,IF(N14+IF(J14="",0,J14)=KE14,$JN$1,IF(N14+IF(J14="",0,J14)=JJ14,$IS$1,IF(N14+IF(J14="",0,J14)=IO14,$HX$1,IF(N14+IF(J14="",0,J14)=HT14,$HC$1,IF(N14+IF(J14="",0,J14)=GY14,$GH$1,IF(N14+IF(J14="",0,J14)=GD14,$FM$1,IF(N14+IF(J14="",0,J14)=FI14,$ER$1,IF(N14+IF(J14="",0,J14)=EN14,$DW$1,IF(N14+IF(J14="",0,J14)=DS14,$DB$1,IF(N14+IF(J14="",0,J14)=CX14,$CG$1)))))))))))),IF(N14=CF14,IF(N14+IF(L14="",0,L14)=LW14,$LD$1,IF(N14+IF(L14="",0,L14)=LB14,$KI$1,IF(N14+IF(L14="",0,L14)=KG14,$JN$1,IF(N14+IF(L14="",0,L14)=JL14,$IS$1,IF(N14+IF(L14="",0,L14)=IQ14,$HX$1,IF(N14+IF(L14="",0,L14)=HV14,$HC$1,IF(N14+IF(L14="",0,L14)=HA14,$GH$1,IF(N14+IF(L14="",0,L14)=GF14,$FM$1,IF(N14+IF(L14="",0,L14)=FK14,$ER$1,IF(N14+IF(L14="",0,L14)=EP14,$DW$1,IF(N14+IF(L14="",0,L14)=DU14,$DB$1,IF(N14+IF(L14="",0,L14)=CZ14,$CG$1)))))))))))))))</f>
        <v/>
      </c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72"/>
      <c r="AH14" s="11" t="str">
        <f>IF(SUM(R14,V14)&gt;0,SUM(R14,V14),"")</f>
        <v/>
      </c>
      <c r="AI14" s="11" t="str">
        <f>IF(SUM(Q14:R14,T14:V14,X14)-S14-W14&gt;0,SUM(Q14:R14,T14:V14,X14)-S14-W14,"")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73"/>
      <c r="BD14" s="14" t="str">
        <f>IF(SUM(AN14,AR14)&gt;0,SUM(AN14,AR14),"")</f>
        <v/>
      </c>
      <c r="BE14" s="14" t="str">
        <f>IF(SUM(AM14:AN14,AP14:AR14,AT14)-AO14-AS14&gt;0,SUM(AM14:AN14,AP14:AR14,AT14)-AO14-AS14,"")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37">
        <v>25.8</v>
      </c>
      <c r="BJ14" s="37">
        <v>3.4</v>
      </c>
      <c r="BK14" s="37">
        <v>0</v>
      </c>
      <c r="BL14" s="37">
        <v>0</v>
      </c>
      <c r="BM14" s="37">
        <v>15.5</v>
      </c>
      <c r="BN14" s="37">
        <v>1.4</v>
      </c>
      <c r="BO14" s="37">
        <v>0</v>
      </c>
      <c r="BP14" s="37">
        <v>0.3</v>
      </c>
      <c r="BQ14" s="37"/>
      <c r="BR14" s="37"/>
      <c r="BS14" s="37"/>
      <c r="BT14" s="37"/>
      <c r="BU14" s="37"/>
      <c r="BV14" s="37"/>
      <c r="BW14" s="37"/>
      <c r="BX14" s="37"/>
      <c r="BY14" s="72"/>
      <c r="BZ14" s="11">
        <f>IF(SUM(BJ14,BN14)&gt;0,SUM(BJ14,BN14),"")</f>
        <v>4.8</v>
      </c>
      <c r="CA14" s="11">
        <f>IF(SUM(BI14:BJ14,BL14:BN14,BP14)-BK14-BO14&gt;0,SUM(BI14:BJ14,BL14:BN14,BP14)-BK14-BO14,"")</f>
        <v>46.4</v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>
        <f>IF(SUM(CA14,CC14)&gt;0,SUM(CA14,CC14),"")</f>
        <v>46.4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IF(MAX(CZ14,DU14,EP14,FK14,GF14,HA14,HV14,IQ14,JL14,KG14,LB14,LW14)-IF(L14="",0,L14)&gt;0.001,MAX(CZ14,DU14,EP14,FK14,GF14,HA14,HV14,IQ14,JL14,KG14,LB14,LW14)-IF(L14="",0,L14),"")</f>
        <v/>
      </c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11" t="str">
        <f>IF(SUM(CH14,CL14)&gt;0,SUM(CH14,CL14),"")</f>
        <v/>
      </c>
      <c r="CX14" s="11" t="str">
        <f>IF(SUM(CG14:CH14,CJ14:CL14,CN14)-CI14-CM14&gt;0,SUM(CG14:CH14,CJ14:CL14,CN14)-CI14-CM14,"")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14" t="str">
        <f>IF(SUM(DC14,DG14)&gt;0,SUM(DC14,DG14),"")</f>
        <v/>
      </c>
      <c r="DS14" s="14" t="str">
        <f>IF(SUM(DB14:DC14,DE14:DG14,DI14)-DD14-DH14&gt;0,SUM(DB14:DC14,DE14:DG14,DI14)-DD14-DH14,"")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11" t="str">
        <f>IF(SUM(DX14,EB14)&gt;0,SUM(DX14,EB14),"")</f>
        <v/>
      </c>
      <c r="EN14" s="11" t="str">
        <f>IF(SUM(DW14:DX14,DZ14:EB14,ED14)-DY14-EC14&gt;0,SUM(DW14:DX14,DZ14:EB14,ED14)-DY14-EC14,"")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14" t="str">
        <f>IF(SUM(ES14,EW14)&gt;0,SUM(ES14,EW14),"")</f>
        <v/>
      </c>
      <c r="FI14" s="14" t="str">
        <f>IF(SUM(ER14:ES14,EU14:EW14,EY14)-ET14-EX14&gt;0,SUM(ER14:ES14,EU14:EW14,EY14)-ET14-EX14,"")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11" t="str">
        <f>IF(SUM(FN14,FR14)&gt;0,SUM(FN14,FR14),"")</f>
        <v/>
      </c>
      <c r="GD14" s="11" t="str">
        <f>IF(SUM(FM14:FN14,FP14:FR14,FT14)-FO14-FS14&gt;0,SUM(FM14:FN14,FP14:FR14,FT14)-FO14-FS14,"")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14" t="str">
        <f>IF(SUM(GI14,GM14)&gt;0,SUM(GI14,GM14),"")</f>
        <v/>
      </c>
      <c r="GY14" s="14" t="str">
        <f>IF(SUM(GH14:GI14,GK14:GM14,GO14)-GJ14-GN14&gt;0,SUM(GH14:GI14,GK14:GM14,GO14)-GJ14-GN14,"")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11" t="str">
        <f>IF(SUM(HD14,HH14)&gt;0,SUM(HD14,HH14),"")</f>
        <v/>
      </c>
      <c r="HT14" s="11" t="str">
        <f>IF(SUM(HC14:HD14,HF14:HH14,HJ14)-HE14-HI14&gt;0,SUM(HC14:HD14,HF14:HH14,HJ14)-HE14-HI14,"")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14" t="str">
        <f>IF(SUM(HY14,IC14)&gt;0,SUM(HY14,IC14),"")</f>
        <v/>
      </c>
      <c r="IO14" s="14" t="str">
        <f>IF(SUM(HX14:HY14,IA14:IC14,IE14)-HZ14-ID14&gt;0,SUM(HX14:HY14,IA14:IC14,IE14)-HZ14-ID14,"")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11" t="str">
        <f>IF(SUM(IT14,IX14)&gt;0,SUM(IT14,IX14),"")</f>
        <v/>
      </c>
      <c r="JJ14" s="11" t="str">
        <f>IF(SUM(IS14:IT14,IV14:IX14,IZ14)-IU14-IY14&gt;0,SUM(IS14:IT14,IV14:IX14,IZ14)-IU14-IY14,"")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14" t="str">
        <f>IF(SUM(JO14,JS14)&gt;0,SUM(JO14,JS14),"")</f>
        <v/>
      </c>
      <c r="KE14" s="14" t="str">
        <f>IF(SUM(JN14:JO14,JQ14:JS14,JU14)-JP14-JT14&gt;0,SUM(JN14:JO14,JQ14:JS14,JU14)-JP14-JT14,"")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11" t="str">
        <f>IF(SUM(KJ14,KN14)&gt;0,SUM(KJ14,KN14),"")</f>
        <v/>
      </c>
      <c r="KZ14" s="11" t="str">
        <f>IF(SUM(KI14:KJ14,KL14:KN14,KP14)-KK14-KO14&gt;0,SUM(KI14:KJ14,KL14:KN14,KP14)-KK14-KO14,"")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14" t="str">
        <f>IF(SUM(LE14,LI14)&gt;0,SUM(LE14,LI14),"")</f>
        <v/>
      </c>
      <c r="LU14" s="14" t="str">
        <f>IF(SUM(LD14:LE14,LG14:LI14,LK14)-LF14-LJ14&gt;0,SUM(LD14:LE14,LG14:LI14,LK14)-LF14-LJ14,"")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12.9</v>
      </c>
      <c r="LZ14" s="61">
        <f>IF($BY14="P",BJ14,(BJ14+AN14)/2)</f>
        <v>1.7</v>
      </c>
      <c r="MA14" s="61">
        <f>IF($BY14="P",BK14,(BK14+AO14)/2)</f>
        <v>0</v>
      </c>
      <c r="MB14" s="61">
        <f>IF($BY14="P",BL14,(BL14+AP14)/2)</f>
        <v>0</v>
      </c>
      <c r="MC14" s="61">
        <f>IF($BY14="P",BM14,(BM14+AQ14)/2)</f>
        <v>7.75</v>
      </c>
      <c r="MD14" s="61">
        <f>IF($BY14="P",BN14,(BN14+AR14)/2)</f>
        <v>0.7</v>
      </c>
      <c r="ME14" s="61">
        <f>IF($BY14="P",BO14,(BO14+AS14)/2)</f>
        <v>0</v>
      </c>
      <c r="MF14" s="61">
        <f>IF($BY14="P",BP14,(BP14+AT14)/2)</f>
        <v>0.15</v>
      </c>
      <c r="MG14" s="61">
        <f>IF($BY14="P",BQ14,(BQ14+AU14)/2)</f>
        <v>0</v>
      </c>
      <c r="MH14" s="61">
        <f>IF($BY14="P",BR14,(BR14+AV14)/2)</f>
        <v>0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0</v>
      </c>
      <c r="ML14" s="61">
        <f>IF($BY14="P",BV14,(BV14+AZ14)/2)</f>
        <v>0</v>
      </c>
      <c r="MM14" s="61">
        <f>IF($BY14="P",BW14,(BW14+BA14)/2)</f>
        <v>0</v>
      </c>
      <c r="MN14" s="61">
        <f>IF($BY14="P",BX14,(BX14+BB14)/2)</f>
        <v>0</v>
      </c>
      <c r="MO14" s="72" t="s">
        <v>52</v>
      </c>
      <c r="MP14" s="11">
        <f>IF(SUM(LZ14,MD14)&gt;0,SUM(LZ14,MD14),"")</f>
        <v>2.4</v>
      </c>
      <c r="MQ14" s="11">
        <f>IF(SUM(LY14:LZ14,MB14:MD14,MF14)-MA14-ME14&gt;0,SUM(LY14:LZ14,MB14:MD14,MF14)-MA14-ME14,"")</f>
        <v>23.2</v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>
        <f>IF(SUM(MQ14,MS14)&gt;0,SUM(MQ14,MS14),"")</f>
        <v>23.2</v>
      </c>
    </row>
    <row r="15" spans="1:358" ht="17" x14ac:dyDescent="0.2">
      <c r="N15" s="18"/>
      <c r="O15" s="18"/>
      <c r="P15" s="1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</row>
    <row r="16" spans="1:358" ht="17" x14ac:dyDescent="0.2">
      <c r="N16" s="18"/>
      <c r="O16" s="18"/>
      <c r="P16" s="18"/>
    </row>
    <row r="17" spans="1:336" ht="17" x14ac:dyDescent="0.2">
      <c r="B17" s="62" t="s">
        <v>50</v>
      </c>
      <c r="N17" s="18"/>
      <c r="O17" s="18"/>
      <c r="P17" s="18"/>
      <c r="AH17" s="49"/>
      <c r="AL17" s="56">
        <v>7.2</v>
      </c>
      <c r="BD17" s="49"/>
      <c r="BH17" s="56">
        <v>7.2</v>
      </c>
      <c r="BZ17" s="49"/>
      <c r="CD17" s="56">
        <v>7.2</v>
      </c>
      <c r="CW17" s="49"/>
      <c r="DA17" s="56">
        <v>7.2</v>
      </c>
      <c r="DR17" s="49"/>
      <c r="DV17" s="56">
        <v>7.2</v>
      </c>
      <c r="EM17" s="49"/>
      <c r="EQ17" s="56">
        <v>7.2</v>
      </c>
      <c r="FH17" s="49"/>
      <c r="FL17" s="56">
        <v>7.2</v>
      </c>
      <c r="GC17" s="49"/>
      <c r="GG17" s="56">
        <v>7.2</v>
      </c>
      <c r="GX17" s="49"/>
      <c r="HB17" s="56">
        <v>7.2</v>
      </c>
      <c r="HS17" s="49"/>
      <c r="HW17" s="56">
        <v>7.2</v>
      </c>
      <c r="IN17" s="49"/>
      <c r="IR17" s="56">
        <v>7.2</v>
      </c>
      <c r="JI17" s="49"/>
      <c r="JM17" s="56">
        <v>7.2</v>
      </c>
      <c r="KD17" s="49"/>
      <c r="KH17" s="56">
        <v>7.2</v>
      </c>
      <c r="KY17" s="49"/>
      <c r="LC17" s="56">
        <v>7.2</v>
      </c>
      <c r="LT17" s="49"/>
      <c r="LX17" s="56">
        <v>7.2</v>
      </c>
    </row>
    <row r="18" spans="1:336" ht="17" hidden="1" x14ac:dyDescent="0.2">
      <c r="B18" s="83" t="s">
        <v>49</v>
      </c>
      <c r="N18" s="18"/>
      <c r="O18" s="18"/>
      <c r="P18" s="18"/>
      <c r="AH18" s="49"/>
      <c r="AL18" s="85">
        <v>1000</v>
      </c>
      <c r="BD18" s="49"/>
      <c r="BH18" s="85">
        <v>1000</v>
      </c>
      <c r="BZ18" s="49"/>
      <c r="CD18" s="85">
        <v>1000</v>
      </c>
      <c r="CW18" s="49"/>
      <c r="DA18" s="85">
        <v>1000</v>
      </c>
      <c r="DR18" s="49"/>
      <c r="DV18" s="85">
        <v>1000</v>
      </c>
      <c r="EM18" s="49"/>
      <c r="EQ18" s="85">
        <v>1000</v>
      </c>
      <c r="FH18" s="49"/>
      <c r="FL18" s="85">
        <v>1000</v>
      </c>
      <c r="GC18" s="49"/>
      <c r="GG18" s="85">
        <v>1000</v>
      </c>
      <c r="GX18" s="49"/>
      <c r="HB18" s="85">
        <v>1000</v>
      </c>
      <c r="HS18" s="49"/>
      <c r="HW18" s="85">
        <v>1000</v>
      </c>
      <c r="IN18" s="49"/>
      <c r="IR18" s="85">
        <v>1000</v>
      </c>
      <c r="JI18" s="49"/>
      <c r="JM18" s="85">
        <v>1000</v>
      </c>
      <c r="KD18" s="49"/>
      <c r="KH18" s="85">
        <v>1000</v>
      </c>
      <c r="KY18" s="49"/>
      <c r="LC18" s="85">
        <v>1000</v>
      </c>
      <c r="LT18" s="49"/>
      <c r="LX18" s="85">
        <v>1000</v>
      </c>
    </row>
    <row r="19" spans="1:336" ht="17" hidden="1" x14ac:dyDescent="0.2">
      <c r="A19" s="49"/>
      <c r="B19" s="84" t="s">
        <v>62</v>
      </c>
      <c r="C19" s="48"/>
      <c r="N19" s="18"/>
      <c r="O19" s="18"/>
      <c r="P19" s="18"/>
      <c r="AH19" s="49"/>
      <c r="AL19" s="86">
        <v>1000</v>
      </c>
      <c r="BD19" s="49"/>
      <c r="BH19" s="86">
        <v>1000</v>
      </c>
      <c r="BZ19" s="49"/>
      <c r="CD19" s="86">
        <v>1000</v>
      </c>
      <c r="CW19" s="49"/>
      <c r="DA19" s="86">
        <v>1000</v>
      </c>
      <c r="DR19" s="49"/>
      <c r="DV19" s="86">
        <v>1000</v>
      </c>
      <c r="EM19" s="49"/>
      <c r="EQ19" s="86">
        <v>1000</v>
      </c>
      <c r="FH19" s="49"/>
      <c r="FL19" s="86">
        <v>1000</v>
      </c>
      <c r="GC19" s="49"/>
      <c r="GG19" s="86">
        <v>1000</v>
      </c>
      <c r="GX19" s="49"/>
      <c r="HB19" s="86">
        <v>1000</v>
      </c>
      <c r="HS19" s="49"/>
      <c r="HW19" s="86">
        <v>1000</v>
      </c>
      <c r="IN19" s="49"/>
      <c r="IR19" s="86">
        <v>1000</v>
      </c>
      <c r="JI19" s="49"/>
      <c r="JM19" s="86">
        <v>1000</v>
      </c>
      <c r="KD19" s="49"/>
      <c r="KH19" s="86">
        <v>1000</v>
      </c>
      <c r="KY19" s="49"/>
      <c r="LC19" s="86">
        <v>1000</v>
      </c>
      <c r="LT19" s="49"/>
      <c r="LX19" s="86">
        <v>1000</v>
      </c>
    </row>
    <row r="20" spans="1:336" ht="17" hidden="1" x14ac:dyDescent="0.2">
      <c r="A20" s="49"/>
      <c r="B20" s="110" t="s">
        <v>69</v>
      </c>
      <c r="C20" s="48"/>
      <c r="N20" s="18"/>
      <c r="O20" s="18"/>
      <c r="P20" s="18"/>
      <c r="AH20" s="49"/>
      <c r="AL20" s="111">
        <v>1000</v>
      </c>
      <c r="BD20" s="49"/>
      <c r="BH20" s="111">
        <v>1000</v>
      </c>
      <c r="BZ20" s="49"/>
      <c r="CD20" s="111">
        <v>1000</v>
      </c>
      <c r="CW20" s="49"/>
      <c r="DA20" s="111">
        <v>1000</v>
      </c>
      <c r="DR20" s="49"/>
      <c r="DV20" s="111">
        <v>1000</v>
      </c>
      <c r="EM20" s="49"/>
      <c r="EQ20" s="111">
        <v>1000</v>
      </c>
      <c r="FH20" s="49"/>
      <c r="FL20" s="111">
        <v>1000</v>
      </c>
      <c r="GC20" s="49"/>
      <c r="GG20" s="111">
        <v>1000</v>
      </c>
      <c r="GX20" s="49"/>
      <c r="HB20" s="111">
        <v>1000</v>
      </c>
      <c r="HS20" s="49"/>
      <c r="HW20" s="111">
        <v>1000</v>
      </c>
      <c r="IN20" s="49"/>
      <c r="IR20" s="111">
        <v>1000</v>
      </c>
      <c r="JI20" s="49"/>
      <c r="JM20" s="111">
        <v>1000</v>
      </c>
      <c r="KD20" s="49"/>
      <c r="KH20" s="111">
        <v>1000</v>
      </c>
      <c r="KY20" s="49"/>
      <c r="LC20" s="111">
        <v>1000</v>
      </c>
      <c r="LT20" s="49"/>
      <c r="LX20" s="111">
        <v>1000</v>
      </c>
    </row>
    <row r="21" spans="1:336" ht="17" x14ac:dyDescent="0.2">
      <c r="A21" s="49"/>
      <c r="B21" s="108" t="s">
        <v>47</v>
      </c>
      <c r="C21" s="48"/>
      <c r="N21" s="18"/>
      <c r="O21" s="18"/>
      <c r="P21" s="18"/>
      <c r="AH21" s="49"/>
      <c r="AL21" s="109">
        <v>60</v>
      </c>
      <c r="BD21" s="49"/>
      <c r="BH21" s="109">
        <v>60</v>
      </c>
      <c r="BZ21" s="49"/>
      <c r="CD21" s="109">
        <v>60</v>
      </c>
      <c r="CW21" s="49"/>
      <c r="DA21" s="109">
        <v>60</v>
      </c>
      <c r="DR21" s="49"/>
      <c r="DV21" s="109">
        <v>60</v>
      </c>
      <c r="EM21" s="49"/>
      <c r="EQ21" s="109">
        <v>60</v>
      </c>
      <c r="FH21" s="49"/>
      <c r="FL21" s="109">
        <v>60</v>
      </c>
      <c r="GC21" s="49"/>
      <c r="GG21" s="109">
        <v>60</v>
      </c>
      <c r="GX21" s="49"/>
      <c r="HB21" s="109">
        <v>60</v>
      </c>
      <c r="HS21" s="49"/>
      <c r="HW21" s="109">
        <v>60</v>
      </c>
      <c r="IN21" s="49"/>
      <c r="IR21" s="109">
        <v>60</v>
      </c>
      <c r="JI21" s="49"/>
      <c r="JM21" s="109">
        <v>60</v>
      </c>
      <c r="KD21" s="49"/>
      <c r="KH21" s="109">
        <v>60</v>
      </c>
      <c r="KY21" s="49"/>
      <c r="LC21" s="109">
        <v>60</v>
      </c>
      <c r="LT21" s="49"/>
      <c r="LX21" s="109">
        <v>60</v>
      </c>
    </row>
    <row r="22" spans="1:336" ht="17" hidden="1" x14ac:dyDescent="0.2">
      <c r="A22" s="49"/>
      <c r="B22" s="64" t="s">
        <v>48</v>
      </c>
      <c r="C22" s="48"/>
      <c r="N22" s="18"/>
      <c r="O22" s="18"/>
      <c r="P22" s="18"/>
      <c r="AH22" s="49"/>
      <c r="AL22" s="58">
        <v>1000</v>
      </c>
      <c r="BD22" s="49"/>
      <c r="BH22" s="58">
        <v>1000</v>
      </c>
      <c r="BZ22" s="49"/>
      <c r="CD22" s="58">
        <v>1000</v>
      </c>
      <c r="CW22" s="49"/>
      <c r="DA22" s="58">
        <v>1000</v>
      </c>
      <c r="DR22" s="49"/>
      <c r="DV22" s="58">
        <v>1000</v>
      </c>
      <c r="EM22" s="49"/>
      <c r="EQ22" s="58">
        <v>1000</v>
      </c>
      <c r="FH22" s="49"/>
      <c r="FL22" s="58">
        <v>1000</v>
      </c>
      <c r="GC22" s="49"/>
      <c r="GG22" s="58">
        <v>1000</v>
      </c>
      <c r="GX22" s="49"/>
      <c r="HB22" s="58">
        <v>1000</v>
      </c>
      <c r="HS22" s="49"/>
      <c r="HW22" s="58">
        <v>1000</v>
      </c>
      <c r="IN22" s="49"/>
      <c r="IR22" s="58">
        <v>1000</v>
      </c>
      <c r="JI22" s="49"/>
      <c r="JM22" s="58">
        <v>1000</v>
      </c>
      <c r="KD22" s="49"/>
      <c r="KH22" s="58">
        <v>1000</v>
      </c>
      <c r="KY22" s="49"/>
      <c r="LC22" s="58">
        <v>1000</v>
      </c>
      <c r="LT22" s="49"/>
      <c r="LX22" s="58">
        <v>1000</v>
      </c>
    </row>
    <row r="23" spans="1:336" ht="17" hidden="1" x14ac:dyDescent="0.2">
      <c r="A23" s="49"/>
      <c r="B23" s="106" t="s">
        <v>60</v>
      </c>
      <c r="C23" s="48"/>
      <c r="N23" s="18"/>
      <c r="O23" s="18"/>
      <c r="P23" s="18"/>
      <c r="AH23" s="49"/>
      <c r="AL23" s="107">
        <v>1000</v>
      </c>
      <c r="BD23" s="49"/>
      <c r="BH23" s="107">
        <v>1000</v>
      </c>
      <c r="BZ23" s="49"/>
      <c r="CD23" s="107">
        <v>1000</v>
      </c>
      <c r="CW23" s="49"/>
      <c r="DA23" s="107">
        <v>1000</v>
      </c>
      <c r="DR23" s="49"/>
      <c r="DV23" s="107">
        <v>1000</v>
      </c>
      <c r="EM23" s="49"/>
      <c r="EQ23" s="107">
        <v>1000</v>
      </c>
      <c r="FH23" s="49"/>
      <c r="FL23" s="107">
        <v>1000</v>
      </c>
      <c r="GC23" s="49"/>
      <c r="GG23" s="107">
        <v>1000</v>
      </c>
      <c r="GX23" s="49"/>
      <c r="HB23" s="107">
        <v>1000</v>
      </c>
      <c r="HS23" s="49"/>
      <c r="HW23" s="107">
        <v>1000</v>
      </c>
      <c r="IN23" s="49"/>
      <c r="IR23" s="107">
        <v>1000</v>
      </c>
      <c r="JI23" s="49"/>
      <c r="JM23" s="107">
        <v>1000</v>
      </c>
      <c r="KD23" s="49"/>
      <c r="KH23" s="107">
        <v>1000</v>
      </c>
      <c r="KY23" s="49"/>
      <c r="LC23" s="107">
        <v>1000</v>
      </c>
      <c r="LT23" s="49"/>
      <c r="LX23" s="107">
        <v>1000</v>
      </c>
    </row>
    <row r="24" spans="1:336" ht="17" hidden="1" x14ac:dyDescent="0.2">
      <c r="A24" s="49"/>
      <c r="B24" s="66" t="s">
        <v>34</v>
      </c>
      <c r="C24" s="48"/>
      <c r="N24" s="18"/>
      <c r="O24" s="18"/>
      <c r="P24" s="18"/>
      <c r="AH24" s="49"/>
      <c r="AL24" s="60">
        <v>1000</v>
      </c>
      <c r="BD24" s="49"/>
      <c r="BH24" s="60">
        <v>1000</v>
      </c>
      <c r="BZ24" s="49"/>
      <c r="CD24" s="60">
        <v>1000</v>
      </c>
      <c r="CW24" s="49"/>
      <c r="DA24" s="60">
        <v>1000</v>
      </c>
      <c r="DR24" s="49"/>
      <c r="DV24" s="60">
        <v>1000</v>
      </c>
      <c r="EM24" s="49"/>
      <c r="EQ24" s="60">
        <v>1000</v>
      </c>
      <c r="FH24" s="49"/>
      <c r="FL24" s="60">
        <v>1000</v>
      </c>
      <c r="GC24" s="49"/>
      <c r="GG24" s="60">
        <v>1000</v>
      </c>
      <c r="GX24" s="49"/>
      <c r="HB24" s="60">
        <v>1000</v>
      </c>
      <c r="HS24" s="49"/>
      <c r="HW24" s="60">
        <v>1000</v>
      </c>
      <c r="IN24" s="49"/>
      <c r="IR24" s="60">
        <v>1000</v>
      </c>
      <c r="JI24" s="49"/>
      <c r="JM24" s="60">
        <v>1000</v>
      </c>
      <c r="KD24" s="49"/>
      <c r="KH24" s="60">
        <v>1000</v>
      </c>
      <c r="KY24" s="49"/>
      <c r="LC24" s="60">
        <v>1000</v>
      </c>
      <c r="LT24" s="49"/>
      <c r="LX24" s="60">
        <v>1000</v>
      </c>
    </row>
    <row r="25" spans="1:336" x14ac:dyDescent="0.2">
      <c r="B25" s="74" t="s">
        <v>53</v>
      </c>
      <c r="C25" s="2"/>
    </row>
    <row r="26" spans="1:336" x14ac:dyDescent="0.2">
      <c r="A26" s="49"/>
      <c r="B26" s="49"/>
      <c r="C26" s="48"/>
    </row>
    <row r="27" spans="1:336" x14ac:dyDescent="0.2">
      <c r="A27" s="49"/>
      <c r="B27" s="49"/>
      <c r="C27" s="48"/>
    </row>
    <row r="28" spans="1:336" x14ac:dyDescent="0.2">
      <c r="A28" s="49"/>
      <c r="B28" s="49"/>
      <c r="C28" s="48"/>
    </row>
    <row r="29" spans="1:336" x14ac:dyDescent="0.2">
      <c r="A29" s="6"/>
      <c r="B29" s="6"/>
      <c r="C29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4">
      <sortCondition descending="1" ref="F1:F15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14">
    <cfRule type="expression" dxfId="59" priority="1" stopIfTrue="1">
      <formula>IF($AG4&lt;&gt;"",1,0)</formula>
    </cfRule>
  </conditionalFormatting>
  <conditionalFormatting sqref="AM4:BH1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AL$20</formula>
      <formula>1000</formula>
    </cfRule>
    <cfRule type="cellIs" dxfId="46" priority="40653" operator="between">
      <formula>AL$19</formula>
      <formula>AL$20</formula>
    </cfRule>
    <cfRule type="cellIs" dxfId="45" priority="40654" operator="between">
      <formula>AL$18</formula>
      <formula>AL$19</formula>
    </cfRule>
    <cfRule type="cellIs" dxfId="44" priority="40655" operator="between">
      <formula>AL$17</formula>
      <formula>AL$18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AL$24</formula>
      <formula>1000</formula>
    </cfRule>
    <cfRule type="cellIs" dxfId="42" priority="40835" operator="between">
      <formula>AL$23</formula>
      <formula>AL$24</formula>
    </cfRule>
    <cfRule type="cellIs" dxfId="41" priority="40836" operator="between">
      <formula>AL$22</formula>
      <formula>AL$23</formula>
    </cfRule>
    <cfRule type="cellIs" dxfId="40" priority="40837" operator="between">
      <formula>AL$21</formula>
      <formula>AL$22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 t="s">
        <v>160</v>
      </c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IF(AND(F4="P",G4="P"),SUMPRODUCT((F$4:F$25="P")*(G$4:G$25="P")*(E$4:E$25&gt;E4))+1,IF(G4="P",SUMPRODUCT((F$4:F$25="")*(G$4:G$25="P")*(E$4:E$25&gt;E4))+1+SUMPRODUCT((F$4:F$25="P")*(G$4:G$25="P")),""))</f>
        <v>1</v>
      </c>
      <c r="B4" s="8" t="s">
        <v>68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$27,AI4&gt;=AL$31,AI4&lt;&gt;"",AG4=""),AND(BD4&gt;=BH$27,BE4&gt;=BH$31,BE4&lt;&gt;"",BC4=""),AND(BZ4&gt;=CD$27,CA4&gt;=CD$31,CA4&lt;&gt;"",BY4=""),AND(CW4&gt;=DA$27,CX4&gt;=DA$31,CX4&lt;&gt;""),AND(DR4&gt;=DV$27,DS4&gt;=DV$31,DS4&lt;&gt;""),AND(EM4&gt;=EQ$27,EN4&gt;=EQ$31,EN4&lt;&gt;""),AND(FH4&gt;=FL$27,FI4&gt;=FL$31,FI4&lt;&gt;""),AND(GC4&gt;=GG$27,GD4&gt;=GG$31,GD4&lt;&gt;""),AND(GX4&gt;=HB$27,GY4&gt;=HB$31,GY4&lt;&gt;""),AND(HS4&gt;=HW$27,HT4&gt;=HW$31,HT4&lt;&gt;""),AND(IN4&gt;=IR$27,IO4&gt;=IR$31,IO4&lt;&gt;""),AND(JI4&gt;=JM$27,JJ4&gt;=JM$31,JJ4&lt;&gt;""),AND(KD4&gt;=KH$27,KE4&gt;=KH$31,KE4&lt;&gt;""),AND(KY4&gt;=LC$27,KZ4&gt;=LC$31,KZ4&lt;&gt;""),AND(LT4&gt;=LX$27,LU4&gt;=LX$31,LU4&lt;&gt;"")),"P","")</f>
        <v>P</v>
      </c>
      <c r="G4" s="3" t="str">
        <f>IF(OR(AND(AI4&gt;=AL$31,AI4&lt;&gt;"",AG4=""),AND(BE4&gt;=BH$31,BE4&lt;&gt;"",BC4=""),AND(CA4&gt;=CD$31,CA4&lt;&gt;"",BY4=""),AND(CX4&gt;=DA$31,CX4&lt;&gt;""),AND(DS4&gt;=DV$31,DS4&lt;&gt;""),AND(EN4&gt;=EQ$31,EN4&lt;&gt;""),AND(FI4&gt;=FL$31,FI4&lt;&gt;""),AND(GD4&gt;=GG$31,GD4&lt;&gt;""),AND(GY4&gt;=HB$31,GY4&lt;&gt;""),AND(HT4&gt;=HW$31,HT4&lt;&gt;""),AND(IO4&gt;=IR$31,IO4&lt;&gt;""),AND(JJ4&gt;=JM$31,JJ4&lt;&gt;""),AND(KE4&gt;=KH$31,KE4&lt;&gt;""),AND(KZ4&gt;=LC$31,KZ4&lt;&gt;""),AND(LU4&gt;=LX$31,LU4&lt;&gt;"")),"P","")</f>
        <v>P</v>
      </c>
      <c r="H4" s="116" t="str">
        <f>IF(AND(G4="P",F4=""),"No DD",IF(OR(AND(AH4&gt;=AL$30,AH4&lt;&gt;"",AI4&gt;=AL$34,AI4&lt;&gt;"",AG4=""),AND(BD4&gt;=BH$30,BD4&lt;&gt;"",BE4&gt;=BH$34,BE4&lt;&gt;"",BC4=""),AND(BZ4&gt;=CD$30,BZ4&lt;&gt;"",CA4&gt;=CD$34,CA4&lt;&gt;"",BY4=""),AND(CW4&gt;=DA$30,CW4&lt;&gt;"",CX4&gt;=DA$34,CX4&lt;&gt;""),AND(DR4&gt;=DV$30,DR4&lt;&gt;"",DS4&gt;=DV$34,DS4&lt;&gt;""),AND(EM4&gt;=EQ$30,EM4&lt;&gt;"",EN4&gt;=EQ$34,EN4&lt;&gt;""),AND(FH4&gt;=FL$30,FH4&lt;&gt;"",FI4&gt;=FL$34,FI4&lt;&gt;""),AND(GC4&gt;=GG$30,GC4&lt;&gt;"",GD4&gt;=GG$34,GD4&lt;&gt;""),AND(GX4&gt;=HB$30,GX4&lt;&gt;"",GY4&gt;=HB$34,GY4&lt;&gt;""),AND(HS4&gt;=HW$30,HS4&lt;&gt;"",HT4&gt;=HW$34,HT4&lt;&gt;""),AND(IN4&gt;=IR$30,IN4&lt;&gt;"",IO4&gt;=IR$34,IO4&lt;&gt;""),AND(JI4&gt;=JM$30,JI4&lt;&gt;"",JJ4&gt;=JM$34,JJ4&lt;&gt;""),AND(KD4&gt;=KH$30,KD4&lt;&gt;"",KE4&gt;=KH$34,KE4&lt;&gt;""),AND(KY4&gt;=LC$30,KY4&lt;&gt;"",KZ4&gt;=LC$34,KZ4&lt;&gt;""),AND(LT4&gt;=LX$30,LT4&lt;&gt;"",LU4&gt;=LX$34,LU4&lt;&gt;"")),"Merit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Excellence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Worlds Team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25.2</v>
      </c>
      <c r="R4" s="61">
        <v>9.1999999999999993</v>
      </c>
      <c r="S4" s="61">
        <v>1.2</v>
      </c>
      <c r="T4" s="61">
        <v>0.3</v>
      </c>
      <c r="U4" s="61">
        <v>27.8</v>
      </c>
      <c r="V4" s="61">
        <v>9.1999999999999993</v>
      </c>
      <c r="W4" s="61">
        <v>1.2</v>
      </c>
      <c r="X4" s="61">
        <v>0.3</v>
      </c>
      <c r="Y4" s="61">
        <v>25.6</v>
      </c>
      <c r="Z4" s="61">
        <v>8.1</v>
      </c>
      <c r="AA4" s="61">
        <v>0.3</v>
      </c>
      <c r="AB4" s="61">
        <v>0.3</v>
      </c>
      <c r="AC4" s="61">
        <v>27.7</v>
      </c>
      <c r="AD4" s="61">
        <v>8.1</v>
      </c>
      <c r="AE4" s="61">
        <v>0</v>
      </c>
      <c r="AF4" s="61">
        <v>0</v>
      </c>
      <c r="AG4" s="72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6">
        <v>28.4</v>
      </c>
      <c r="AN4" s="36">
        <v>9.1999999999999993</v>
      </c>
      <c r="AO4" s="36">
        <v>0</v>
      </c>
      <c r="AP4" s="36">
        <v>0.3</v>
      </c>
      <c r="AQ4" s="36">
        <v>28.6</v>
      </c>
      <c r="AR4" s="36">
        <v>9.1999999999999993</v>
      </c>
      <c r="AS4" s="36">
        <v>0</v>
      </c>
      <c r="AT4" s="36">
        <v>0.3</v>
      </c>
      <c r="AU4" s="36">
        <v>28.3</v>
      </c>
      <c r="AV4" s="36">
        <v>8.1</v>
      </c>
      <c r="AW4" s="36">
        <v>0</v>
      </c>
      <c r="AX4" s="36">
        <v>0.3</v>
      </c>
      <c r="AY4" s="36">
        <v>27.3</v>
      </c>
      <c r="AZ4" s="36">
        <v>6.4</v>
      </c>
      <c r="BA4" s="36">
        <v>0</v>
      </c>
      <c r="BB4" s="36">
        <v>0</v>
      </c>
      <c r="BC4" s="73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1">
        <v>28.9</v>
      </c>
      <c r="BJ4" s="61">
        <v>9.1999999999999993</v>
      </c>
      <c r="BK4" s="61">
        <v>0.3</v>
      </c>
      <c r="BL4" s="61">
        <v>0.3</v>
      </c>
      <c r="BM4" s="61">
        <v>28.9</v>
      </c>
      <c r="BN4" s="61">
        <v>9.1999999999999993</v>
      </c>
      <c r="BO4" s="61">
        <v>0</v>
      </c>
      <c r="BP4" s="61">
        <v>0.3</v>
      </c>
      <c r="BQ4" s="61">
        <v>20.5</v>
      </c>
      <c r="BR4" s="61">
        <v>2.8</v>
      </c>
      <c r="BS4" s="61">
        <v>0</v>
      </c>
      <c r="BT4" s="61">
        <v>0</v>
      </c>
      <c r="BU4" s="61">
        <v>20.7</v>
      </c>
      <c r="BV4" s="61">
        <v>3.6</v>
      </c>
      <c r="BW4" s="61">
        <v>0</v>
      </c>
      <c r="BX4" s="61">
        <v>0</v>
      </c>
      <c r="BY4" s="72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28.65</v>
      </c>
      <c r="LZ4" s="61">
        <f>IF($BY4="P",BJ4,(BJ4+AN4)/2)</f>
        <v>9.1999999999999993</v>
      </c>
      <c r="MA4" s="61">
        <f>IF($BY4="P",BK4,(BK4+AO4)/2)</f>
        <v>0.15</v>
      </c>
      <c r="MB4" s="61">
        <f>IF($BY4="P",BL4,(BL4+AP4)/2)</f>
        <v>0.3</v>
      </c>
      <c r="MC4" s="61">
        <f>IF($BY4="P",BM4,(BM4+AQ4)/2)</f>
        <v>28.75</v>
      </c>
      <c r="MD4" s="61">
        <f>IF($BY4="P",BN4,(BN4+AR4)/2)</f>
        <v>9.1999999999999993</v>
      </c>
      <c r="ME4" s="61">
        <f>IF($BY4="P",BO4,(BO4+AS4)/2)</f>
        <v>0</v>
      </c>
      <c r="MF4" s="61">
        <f>IF($BY4="P",BP4,(BP4+AT4)/2)</f>
        <v>0.3</v>
      </c>
      <c r="MG4" s="61">
        <f>IF($BY4="P",BQ4,(BQ4+AU4)/2)</f>
        <v>24.4</v>
      </c>
      <c r="MH4" s="61">
        <f>IF($BY4="P",BR4,(BR4+AV4)/2)</f>
        <v>5.4499999999999993</v>
      </c>
      <c r="MI4" s="61">
        <f>IF($BY4="P",BS4,(BS4+AW4)/2)</f>
        <v>0</v>
      </c>
      <c r="MJ4" s="61">
        <f>IF($BY4="P",BT4,(BT4+AX4)/2)</f>
        <v>0.15</v>
      </c>
      <c r="MK4" s="61">
        <f>IF($BY4="P",BU4,(BU4+AY4)/2)</f>
        <v>24</v>
      </c>
      <c r="ML4" s="61">
        <f>IF($BY4="P",BV4,(BV4+AZ4)/2)</f>
        <v>5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IF(AND(F5="P",G5="P"),SUMPRODUCT((F$4:F$25="P")*(G$4:G$25="P")*(E$4:E$25&gt;E5))+1,IF(G5="P",SUMPRODUCT((F$4:F$25="")*(G$4:G$25="P")*(E$4:E$25&gt;E5))+1+SUMPRODUCT((F$4:F$25="P")*(G$4:G$25="P")),""))</f>
        <v>2</v>
      </c>
      <c r="B5" s="8" t="s">
        <v>78</v>
      </c>
      <c r="C5" s="4" t="s">
        <v>5</v>
      </c>
      <c r="D5" s="5">
        <v>2003</v>
      </c>
      <c r="E5" s="15">
        <f>SUM(J5:N5)</f>
        <v>220.1</v>
      </c>
      <c r="F5" s="3" t="str">
        <f>IF(OR(AND(AH5&gt;=AL$27,AI5&gt;=AL$31,AI5&lt;&gt;"",AG5=""),AND(BD5&gt;=BH$27,BE5&gt;=BH$31,BE5&lt;&gt;"",BC5=""),AND(BZ5&gt;=CD$27,CA5&gt;=CD$31,CA5&lt;&gt;"",BY5=""),AND(CW5&gt;=DA$27,CX5&gt;=DA$31,CX5&lt;&gt;""),AND(DR5&gt;=DV$27,DS5&gt;=DV$31,DS5&lt;&gt;""),AND(EM5&gt;=EQ$27,EN5&gt;=EQ$31,EN5&lt;&gt;""),AND(FH5&gt;=FL$27,FI5&gt;=FL$31,FI5&lt;&gt;""),AND(GC5&gt;=GG$27,GD5&gt;=GG$31,GD5&lt;&gt;""),AND(GX5&gt;=HB$27,GY5&gt;=HB$31,GY5&lt;&gt;""),AND(HS5&gt;=HW$27,HT5&gt;=HW$31,HT5&lt;&gt;""),AND(IN5&gt;=IR$27,IO5&gt;=IR$31,IO5&lt;&gt;""),AND(JI5&gt;=JM$27,JJ5&gt;=JM$31,JJ5&lt;&gt;""),AND(KD5&gt;=KH$27,KE5&gt;=KH$31,KE5&lt;&gt;""),AND(KY5&gt;=LC$27,KZ5&gt;=LC$31,KZ5&lt;&gt;""),AND(LT5&gt;=LX$27,LU5&gt;=LX$31,LU5&lt;&gt;"")),"P","")</f>
        <v>P</v>
      </c>
      <c r="G5" s="3" t="str">
        <f>IF(OR(AND(AI5&gt;=AL$31,AI5&lt;&gt;"",AG5=""),AND(BE5&gt;=BH$31,BE5&lt;&gt;"",BC5=""),AND(CA5&gt;=CD$31,CA5&lt;&gt;"",BY5=""),AND(CX5&gt;=DA$31,CX5&lt;&gt;""),AND(DS5&gt;=DV$31,DS5&lt;&gt;""),AND(EN5&gt;=EQ$31,EN5&lt;&gt;""),AND(FI5&gt;=FL$31,FI5&lt;&gt;""),AND(GD5&gt;=GG$31,GD5&lt;&gt;""),AND(GY5&gt;=HB$31,GY5&lt;&gt;""),AND(HT5&gt;=HW$31,HT5&lt;&gt;""),AND(IO5&gt;=IR$31,IO5&lt;&gt;""),AND(JJ5&gt;=JM$31,JJ5&lt;&gt;""),AND(KE5&gt;=KH$31,KE5&lt;&gt;""),AND(KZ5&gt;=LC$31,KZ5&lt;&gt;""),AND(LU5&gt;=LX$31,LU5&lt;&gt;"")),"P","")</f>
        <v>P</v>
      </c>
      <c r="H5" s="116" t="str">
        <f>IF(AND(G5="P",F5=""),"No DD",IF(OR(AND(AH5&gt;=AL$30,AH5&lt;&gt;"",AI5&gt;=AL$34,AI5&lt;&gt;"",AG5=""),AND(BD5&gt;=BH$30,BD5&lt;&gt;"",BE5&gt;=BH$34,BE5&lt;&gt;"",BC5=""),AND(BZ5&gt;=CD$30,BZ5&lt;&gt;"",CA5&gt;=CD$34,CA5&lt;&gt;"",BY5=""),AND(CW5&gt;=DA$30,CW5&lt;&gt;"",CX5&gt;=DA$34,CX5&lt;&gt;""),AND(DR5&gt;=DV$30,DR5&lt;&gt;"",DS5&gt;=DV$34,DS5&lt;&gt;""),AND(EM5&gt;=EQ$30,EM5&lt;&gt;"",EN5&gt;=EQ$34,EN5&lt;&gt;""),AND(FH5&gt;=FL$30,FH5&lt;&gt;"",FI5&gt;=FL$34,FI5&lt;&gt;""),AND(GC5&gt;=GG$30,GC5&lt;&gt;"",GD5&gt;=GG$34,GD5&lt;&gt;""),AND(GX5&gt;=HB$30,GX5&lt;&gt;"",GY5&gt;=HB$34,GY5&lt;&gt;""),AND(HS5&gt;=HW$30,HS5&lt;&gt;"",HT5&gt;=HW$34,HT5&lt;&gt;""),AND(IN5&gt;=IR$30,IN5&lt;&gt;"",IO5&gt;=IR$34,IO5&lt;&gt;""),AND(JI5&gt;=JM$30,JI5&lt;&gt;"",JJ5&gt;=JM$34,JJ5&lt;&gt;""),AND(KD5&gt;=KH$30,KD5&lt;&gt;"",KE5&gt;=KH$34,KE5&lt;&gt;""),AND(KY5&gt;=LC$30,KY5&lt;&gt;"",KZ5&gt;=LC$34,KZ5&lt;&gt;""),AND(LT5&gt;=LX$30,LT5&lt;&gt;"",LU5&gt;=LX$34,LU5&lt;&gt;"")),"Merit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Excellence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Worlds Team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28.8</v>
      </c>
      <c r="R5" s="61">
        <v>8</v>
      </c>
      <c r="S5" s="61">
        <v>0</v>
      </c>
      <c r="T5" s="61">
        <v>0.3</v>
      </c>
      <c r="U5" s="61">
        <v>28.6</v>
      </c>
      <c r="V5" s="61">
        <v>8.4</v>
      </c>
      <c r="W5" s="61">
        <v>0.9</v>
      </c>
      <c r="X5" s="61">
        <v>0</v>
      </c>
      <c r="Y5" s="61">
        <v>27.8</v>
      </c>
      <c r="Z5" s="61">
        <v>8.1</v>
      </c>
      <c r="AA5" s="61">
        <v>0</v>
      </c>
      <c r="AB5" s="61">
        <v>0</v>
      </c>
      <c r="AC5" s="61">
        <v>28</v>
      </c>
      <c r="AD5" s="61">
        <v>8.4</v>
      </c>
      <c r="AE5" s="61">
        <v>0.3</v>
      </c>
      <c r="AF5" s="61">
        <v>0.3</v>
      </c>
      <c r="AG5" s="72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6">
        <v>28.5</v>
      </c>
      <c r="AN5" s="36">
        <v>8.8000000000000007</v>
      </c>
      <c r="AO5" s="36">
        <v>0</v>
      </c>
      <c r="AP5" s="36">
        <v>0.3</v>
      </c>
      <c r="AQ5" s="36">
        <v>28.6</v>
      </c>
      <c r="AR5" s="36">
        <v>8.4</v>
      </c>
      <c r="AS5" s="36">
        <v>0</v>
      </c>
      <c r="AT5" s="36">
        <v>0</v>
      </c>
      <c r="AU5" s="36">
        <v>20.100000000000001</v>
      </c>
      <c r="AV5" s="36">
        <v>4.8</v>
      </c>
      <c r="AW5" s="36">
        <v>0</v>
      </c>
      <c r="AX5" s="36">
        <v>0.3</v>
      </c>
      <c r="AY5" s="36">
        <v>27.5</v>
      </c>
      <c r="AZ5" s="36">
        <v>8.9</v>
      </c>
      <c r="BA5" s="36">
        <v>0</v>
      </c>
      <c r="BB5" s="36">
        <v>0.3</v>
      </c>
      <c r="BC5" s="73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1">
        <v>29</v>
      </c>
      <c r="BJ5" s="61">
        <v>9.1999999999999993</v>
      </c>
      <c r="BK5" s="61">
        <v>0</v>
      </c>
      <c r="BL5" s="61">
        <v>0.3</v>
      </c>
      <c r="BM5" s="61">
        <v>27.5</v>
      </c>
      <c r="BN5" s="61">
        <v>6.8</v>
      </c>
      <c r="BO5" s="61">
        <v>1.5</v>
      </c>
      <c r="BP5" s="61">
        <v>0</v>
      </c>
      <c r="BQ5" s="61">
        <v>29.2</v>
      </c>
      <c r="BR5" s="61">
        <v>7.2</v>
      </c>
      <c r="BS5" s="61">
        <v>0.9</v>
      </c>
      <c r="BT5" s="61">
        <v>0</v>
      </c>
      <c r="BU5" s="61">
        <v>28.7</v>
      </c>
      <c r="BV5" s="61">
        <v>7.2</v>
      </c>
      <c r="BW5" s="61">
        <v>0.9</v>
      </c>
      <c r="BX5" s="61">
        <v>0</v>
      </c>
      <c r="BY5" s="72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28.75</v>
      </c>
      <c r="LZ5" s="61">
        <f>IF($BY5="P",BJ5,(BJ5+AN5)/2)</f>
        <v>9</v>
      </c>
      <c r="MA5" s="61">
        <f>IF($BY5="P",BK5,(BK5+AO5)/2)</f>
        <v>0</v>
      </c>
      <c r="MB5" s="61">
        <f>IF($BY5="P",BL5,(BL5+AP5)/2)</f>
        <v>0.3</v>
      </c>
      <c r="MC5" s="61">
        <f>IF($BY5="P",BM5,(BM5+AQ5)/2)</f>
        <v>28.05</v>
      </c>
      <c r="MD5" s="61">
        <f>IF($BY5="P",BN5,(BN5+AR5)/2)</f>
        <v>7.6</v>
      </c>
      <c r="ME5" s="61">
        <f>IF($BY5="P",BO5,(BO5+AS5)/2)</f>
        <v>0.75</v>
      </c>
      <c r="MF5" s="61">
        <f>IF($BY5="P",BP5,(BP5+AT5)/2)</f>
        <v>0</v>
      </c>
      <c r="MG5" s="61">
        <f>IF($BY5="P",BQ5,(BQ5+AU5)/2)</f>
        <v>24.65</v>
      </c>
      <c r="MH5" s="61">
        <f>IF($BY5="P",BR5,(BR5+AV5)/2)</f>
        <v>6</v>
      </c>
      <c r="MI5" s="61">
        <f>IF($BY5="P",BS5,(BS5+AW5)/2)</f>
        <v>0.45</v>
      </c>
      <c r="MJ5" s="61">
        <f>IF($BY5="P",BT5,(BT5+AX5)/2)</f>
        <v>0.15</v>
      </c>
      <c r="MK5" s="61">
        <f>IF($BY5="P",BU5,(BU5+AY5)/2)</f>
        <v>28.1</v>
      </c>
      <c r="ML5" s="61">
        <f>IF($BY5="P",BV5,(BV5+AZ5)/2)</f>
        <v>8.0500000000000007</v>
      </c>
      <c r="MM5" s="61">
        <f>IF($BY5="P",BW5,(BW5+BA5)/2)</f>
        <v>0.45</v>
      </c>
      <c r="MN5" s="61">
        <f>IF($BY5="P",BX5,(BX5+BB5)/2)</f>
        <v>0.15</v>
      </c>
      <c r="MO5" s="72" t="s">
        <v>52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IF(AND(F6="P",G6="P"),SUMPRODUCT((F$4:F$25="P")*(G$4:G$25="P")*(E$4:E$25&gt;E6))+1,IF(G6="P",SUMPRODUCT((F$4:F$25="")*(G$4:G$25="P")*(E$4:E$25&gt;E6))+1+SUMPRODUCT((F$4:F$25="P")*(G$4:G$25="P")),""))</f>
        <v>3</v>
      </c>
      <c r="B6" s="8" t="s">
        <v>83</v>
      </c>
      <c r="C6" s="4" t="s">
        <v>4</v>
      </c>
      <c r="D6" s="5">
        <v>2002</v>
      </c>
      <c r="E6" s="15">
        <f>SUM(J6:N6)</f>
        <v>212.1</v>
      </c>
      <c r="F6" s="3" t="str">
        <f>IF(OR(AND(AH6&gt;=AL$27,AI6&gt;=AL$31,AI6&lt;&gt;"",AG6=""),AND(BD6&gt;=BH$27,BE6&gt;=BH$31,BE6&lt;&gt;"",BC6=""),AND(BZ6&gt;=CD$27,CA6&gt;=CD$31,CA6&lt;&gt;"",BY6=""),AND(CW6&gt;=DA$27,CX6&gt;=DA$31,CX6&lt;&gt;""),AND(DR6&gt;=DV$27,DS6&gt;=DV$31,DS6&lt;&gt;""),AND(EM6&gt;=EQ$27,EN6&gt;=EQ$31,EN6&lt;&gt;""),AND(FH6&gt;=FL$27,FI6&gt;=FL$31,FI6&lt;&gt;""),AND(GC6&gt;=GG$27,GD6&gt;=GG$31,GD6&lt;&gt;""),AND(GX6&gt;=HB$27,GY6&gt;=HB$31,GY6&lt;&gt;""),AND(HS6&gt;=HW$27,HT6&gt;=HW$31,HT6&lt;&gt;""),AND(IN6&gt;=IR$27,IO6&gt;=IR$31,IO6&lt;&gt;""),AND(JI6&gt;=JM$27,JJ6&gt;=JM$31,JJ6&lt;&gt;""),AND(KD6&gt;=KH$27,KE6&gt;=KH$31,KE6&lt;&gt;""),AND(KY6&gt;=LC$27,KZ6&gt;=LC$31,KZ6&lt;&gt;""),AND(LT6&gt;=LX$27,LU6&gt;=LX$31,LU6&lt;&gt;"")),"P","")</f>
        <v>P</v>
      </c>
      <c r="G6" s="3" t="str">
        <f>IF(OR(AND(AI6&gt;=AL$31,AI6&lt;&gt;"",AG6=""),AND(BE6&gt;=BH$31,BE6&lt;&gt;"",BC6=""),AND(CA6&gt;=CD$31,CA6&lt;&gt;"",BY6=""),AND(CX6&gt;=DA$31,CX6&lt;&gt;""),AND(DS6&gt;=DV$31,DS6&lt;&gt;""),AND(EN6&gt;=EQ$31,EN6&lt;&gt;""),AND(FI6&gt;=FL$31,FI6&lt;&gt;""),AND(GD6&gt;=GG$31,GD6&lt;&gt;""),AND(GY6&gt;=HB$31,GY6&lt;&gt;""),AND(HT6&gt;=HW$31,HT6&lt;&gt;""),AND(IO6&gt;=IR$31,IO6&lt;&gt;""),AND(JJ6&gt;=JM$31,JJ6&lt;&gt;""),AND(KE6&gt;=KH$31,KE6&lt;&gt;""),AND(KZ6&gt;=LC$31,KZ6&lt;&gt;""),AND(LU6&gt;=LX$31,LU6&lt;&gt;"")),"P","")</f>
        <v>P</v>
      </c>
      <c r="H6" s="116" t="str">
        <f>IF(AND(G6="P",F6=""),"No DD",IF(OR(AND(AH6&gt;=AL$30,AH6&lt;&gt;"",AI6&gt;=AL$34,AI6&lt;&gt;"",AG6=""),AND(BD6&gt;=BH$30,BD6&lt;&gt;"",BE6&gt;=BH$34,BE6&lt;&gt;"",BC6=""),AND(BZ6&gt;=CD$30,BZ6&lt;&gt;"",CA6&gt;=CD$34,CA6&lt;&gt;"",BY6=""),AND(CW6&gt;=DA$30,CW6&lt;&gt;"",CX6&gt;=DA$34,CX6&lt;&gt;""),AND(DR6&gt;=DV$30,DR6&lt;&gt;"",DS6&gt;=DV$34,DS6&lt;&gt;""),AND(EM6&gt;=EQ$30,EM6&lt;&gt;"",EN6&gt;=EQ$34,EN6&lt;&gt;""),AND(FH6&gt;=FL$30,FH6&lt;&gt;"",FI6&gt;=FL$34,FI6&lt;&gt;""),AND(GC6&gt;=GG$30,GC6&lt;&gt;"",GD6&gt;=GG$34,GD6&lt;&gt;""),AND(GX6&gt;=HB$30,GX6&lt;&gt;"",GY6&gt;=HB$34,GY6&lt;&gt;""),AND(HS6&gt;=HW$30,HS6&lt;&gt;"",HT6&gt;=HW$34,HT6&lt;&gt;""),AND(IN6&gt;=IR$30,IN6&lt;&gt;"",IO6&gt;=IR$34,IO6&lt;&gt;""),AND(JI6&gt;=JM$30,JI6&lt;&gt;"",JJ6&gt;=JM$34,JJ6&lt;&gt;""),AND(KD6&gt;=KH$30,KD6&lt;&gt;"",KE6&gt;=KH$34,KE6&lt;&gt;""),AND(KY6&gt;=LC$30,KY6&lt;&gt;"",KZ6&gt;=LC$34,KZ6&lt;&gt;""),AND(LT6&gt;=LX$30,LT6&lt;&gt;"",LU6&gt;=LX$34,LU6&lt;&gt;"")),"Merit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Excellence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Worlds Team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28.5</v>
      </c>
      <c r="R6" s="61">
        <v>7.2</v>
      </c>
      <c r="S6" s="61">
        <v>0</v>
      </c>
      <c r="T6" s="61">
        <v>0</v>
      </c>
      <c r="U6" s="61">
        <v>28</v>
      </c>
      <c r="V6" s="61">
        <v>7.7</v>
      </c>
      <c r="W6" s="61">
        <v>0.3</v>
      </c>
      <c r="X6" s="61">
        <v>0.3</v>
      </c>
      <c r="Y6" s="61">
        <v>0</v>
      </c>
      <c r="Z6" s="61">
        <v>0</v>
      </c>
      <c r="AA6" s="61">
        <v>0</v>
      </c>
      <c r="AB6" s="61">
        <v>0</v>
      </c>
      <c r="AC6" s="61">
        <v>27.9</v>
      </c>
      <c r="AD6" s="61">
        <v>8.1</v>
      </c>
      <c r="AE6" s="61">
        <v>0.9</v>
      </c>
      <c r="AF6" s="61">
        <v>0</v>
      </c>
      <c r="AG6" s="72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6">
        <v>27.9</v>
      </c>
      <c r="AN6" s="36">
        <v>7.2</v>
      </c>
      <c r="AO6" s="36">
        <v>0.3</v>
      </c>
      <c r="AP6" s="36">
        <v>0</v>
      </c>
      <c r="AQ6" s="36">
        <v>27.9</v>
      </c>
      <c r="AR6" s="36">
        <v>7.2</v>
      </c>
      <c r="AS6" s="36">
        <v>0</v>
      </c>
      <c r="AT6" s="36">
        <v>0</v>
      </c>
      <c r="AU6" s="36">
        <v>26.8</v>
      </c>
      <c r="AV6" s="36">
        <v>8.1</v>
      </c>
      <c r="AW6" s="36">
        <v>0</v>
      </c>
      <c r="AX6" s="36">
        <v>0</v>
      </c>
      <c r="AY6" s="36">
        <v>27.9</v>
      </c>
      <c r="AZ6" s="36">
        <v>7.7</v>
      </c>
      <c r="BA6" s="36">
        <v>0</v>
      </c>
      <c r="BB6" s="36">
        <v>0.3</v>
      </c>
      <c r="BC6" s="73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1">
        <v>27.7</v>
      </c>
      <c r="BJ6" s="61">
        <v>8.4</v>
      </c>
      <c r="BK6" s="61">
        <v>0</v>
      </c>
      <c r="BL6" s="61">
        <v>0</v>
      </c>
      <c r="BM6" s="61">
        <v>20.399999999999999</v>
      </c>
      <c r="BN6" s="61">
        <v>2.8</v>
      </c>
      <c r="BO6" s="61">
        <v>0</v>
      </c>
      <c r="BP6" s="61">
        <v>0</v>
      </c>
      <c r="BQ6" s="61"/>
      <c r="BR6" s="61"/>
      <c r="BS6" s="61"/>
      <c r="BT6" s="61"/>
      <c r="BU6" s="61"/>
      <c r="BV6" s="61"/>
      <c r="BW6" s="61"/>
      <c r="BX6" s="61"/>
      <c r="BY6" s="72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>
        <v>27.9</v>
      </c>
      <c r="CH6" s="40">
        <v>8.4</v>
      </c>
      <c r="CI6" s="40">
        <v>0</v>
      </c>
      <c r="CJ6" s="40">
        <v>0</v>
      </c>
      <c r="CK6" s="40">
        <v>20.100000000000001</v>
      </c>
      <c r="CL6" s="40">
        <v>2.8</v>
      </c>
      <c r="CM6" s="40">
        <v>0</v>
      </c>
      <c r="CN6" s="40">
        <v>0</v>
      </c>
      <c r="CO6" s="40"/>
      <c r="CP6" s="40"/>
      <c r="CQ6" s="40"/>
      <c r="CR6" s="40"/>
      <c r="CS6" s="40"/>
      <c r="CT6" s="40"/>
      <c r="CU6" s="40"/>
      <c r="CV6" s="40"/>
      <c r="CW6" s="11">
        <f>IF(SUM(CH6,CL6)&gt;0,SUM(CH6,CL6),"")</f>
        <v>11.2</v>
      </c>
      <c r="CX6" s="11">
        <f>IF(SUM(CG6:CH6,CJ6:CL6,CN6)-SUM(CI6,CM6)&gt;0,SUM(CG6:CH6,CJ6:CL6,CN6)-SUM(CI6,CM6),"")</f>
        <v>59.199999999999996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59.199999999999996</v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27.799999999999997</v>
      </c>
      <c r="LZ6" s="61">
        <f>IF($BY6="P",BJ6,(BJ6+AN6)/2)</f>
        <v>7.8000000000000007</v>
      </c>
      <c r="MA6" s="61">
        <f>IF($BY6="P",BK6,(BK6+AO6)/2)</f>
        <v>0.15</v>
      </c>
      <c r="MB6" s="61">
        <f>IF($BY6="P",BL6,(BL6+AP6)/2)</f>
        <v>0</v>
      </c>
      <c r="MC6" s="61">
        <f>IF($BY6="P",BM6,(BM6+AQ6)/2)</f>
        <v>24.15</v>
      </c>
      <c r="MD6" s="61">
        <f>IF($BY6="P",BN6,(BN6+AR6)/2)</f>
        <v>5</v>
      </c>
      <c r="ME6" s="61">
        <f>IF($BY6="P",BO6,(BO6+AS6)/2)</f>
        <v>0</v>
      </c>
      <c r="MF6" s="61">
        <f>IF($BY6="P",BP6,(BP6+AT6)/2)</f>
        <v>0</v>
      </c>
      <c r="MG6" s="61">
        <f>IF($BY6="P",BQ6,(BQ6+AU6)/2)</f>
        <v>13.4</v>
      </c>
      <c r="MH6" s="61">
        <f>IF($BY6="P",BR6,(BR6+AV6)/2)</f>
        <v>4.05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13.95</v>
      </c>
      <c r="ML6" s="61">
        <f>IF($BY6="P",BV6,(BV6+AZ6)/2)</f>
        <v>3.85</v>
      </c>
      <c r="MM6" s="61">
        <f>IF($BY6="P",BW6,(BW6+BA6)/2)</f>
        <v>0</v>
      </c>
      <c r="MN6" s="61">
        <f>IF($BY6="P",BX6,(BX6+BB6)/2)</f>
        <v>0.15</v>
      </c>
      <c r="MO6" s="72" t="s">
        <v>52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IF(AND(F7="P",G7="P"),SUMPRODUCT((F$4:F$25="P")*(G$4:G$25="P")*(E$4:E$25&gt;E7))+1,IF(G7="P",SUMPRODUCT((F$4:F$25="")*(G$4:G$25="P")*(E$4:E$25&gt;E7))+1+SUMPRODUCT((F$4:F$25="P")*(G$4:G$25="P")),""))</f>
        <v>4</v>
      </c>
      <c r="B7" s="8" t="s">
        <v>85</v>
      </c>
      <c r="C7" s="4" t="s">
        <v>4</v>
      </c>
      <c r="D7" s="5">
        <v>2003</v>
      </c>
      <c r="E7" s="15">
        <f>SUM(J7:N7)</f>
        <v>208.6</v>
      </c>
      <c r="F7" s="3" t="str">
        <f>IF(OR(AND(AH7&gt;=AL$27,AI7&gt;=AL$31,AI7&lt;&gt;"",AG7=""),AND(BD7&gt;=BH$27,BE7&gt;=BH$31,BE7&lt;&gt;"",BC7=""),AND(BZ7&gt;=CD$27,CA7&gt;=CD$31,CA7&lt;&gt;"",BY7=""),AND(CW7&gt;=DA$27,CX7&gt;=DA$31,CX7&lt;&gt;""),AND(DR7&gt;=DV$27,DS7&gt;=DV$31,DS7&lt;&gt;""),AND(EM7&gt;=EQ$27,EN7&gt;=EQ$31,EN7&lt;&gt;""),AND(FH7&gt;=FL$27,FI7&gt;=FL$31,FI7&lt;&gt;""),AND(GC7&gt;=GG$27,GD7&gt;=GG$31,GD7&lt;&gt;""),AND(GX7&gt;=HB$27,GY7&gt;=HB$31,GY7&lt;&gt;""),AND(HS7&gt;=HW$27,HT7&gt;=HW$31,HT7&lt;&gt;""),AND(IN7&gt;=IR$27,IO7&gt;=IR$31,IO7&lt;&gt;""),AND(JI7&gt;=JM$27,JJ7&gt;=JM$31,JJ7&lt;&gt;""),AND(KD7&gt;=KH$27,KE7&gt;=KH$31,KE7&lt;&gt;""),AND(KY7&gt;=LC$27,KZ7&gt;=LC$31,KZ7&lt;&gt;""),AND(LT7&gt;=LX$27,LU7&gt;=LX$31,LU7&lt;&gt;"")),"P","")</f>
        <v>P</v>
      </c>
      <c r="G7" s="3" t="str">
        <f>IF(OR(AND(AI7&gt;=AL$31,AI7&lt;&gt;"",AG7=""),AND(BE7&gt;=BH$31,BE7&lt;&gt;"",BC7=""),AND(CA7&gt;=CD$31,CA7&lt;&gt;"",BY7=""),AND(CX7&gt;=DA$31,CX7&lt;&gt;""),AND(DS7&gt;=DV$31,DS7&lt;&gt;""),AND(EN7&gt;=EQ$31,EN7&lt;&gt;""),AND(FI7&gt;=FL$31,FI7&lt;&gt;""),AND(GD7&gt;=GG$31,GD7&lt;&gt;""),AND(GY7&gt;=HB$31,GY7&lt;&gt;""),AND(HT7&gt;=HW$31,HT7&lt;&gt;""),AND(IO7&gt;=IR$31,IO7&lt;&gt;""),AND(JJ7&gt;=JM$31,JJ7&lt;&gt;""),AND(KE7&gt;=KH$31,KE7&lt;&gt;""),AND(KZ7&gt;=LC$31,KZ7&lt;&gt;""),AND(LU7&gt;=LX$31,LU7&lt;&gt;"")),"P","")</f>
        <v>P</v>
      </c>
      <c r="H7" s="116" t="str">
        <f>IF(AND(G7="P",F7=""),"No DD",IF(OR(AND(AH7&gt;=AL$30,AH7&lt;&gt;"",AI7&gt;=AL$34,AI7&lt;&gt;"",AG7=""),AND(BD7&gt;=BH$30,BD7&lt;&gt;"",BE7&gt;=BH$34,BE7&lt;&gt;"",BC7=""),AND(BZ7&gt;=CD$30,BZ7&lt;&gt;"",CA7&gt;=CD$34,CA7&lt;&gt;"",BY7=""),AND(CW7&gt;=DA$30,CW7&lt;&gt;"",CX7&gt;=DA$34,CX7&lt;&gt;""),AND(DR7&gt;=DV$30,DR7&lt;&gt;"",DS7&gt;=DV$34,DS7&lt;&gt;""),AND(EM7&gt;=EQ$30,EM7&lt;&gt;"",EN7&gt;=EQ$34,EN7&lt;&gt;""),AND(FH7&gt;=FL$30,FH7&lt;&gt;"",FI7&gt;=FL$34,FI7&lt;&gt;""),AND(GC7&gt;=GG$30,GC7&lt;&gt;"",GD7&gt;=GG$34,GD7&lt;&gt;""),AND(GX7&gt;=HB$30,GX7&lt;&gt;"",GY7&gt;=HB$34,GY7&lt;&gt;""),AND(HS7&gt;=HW$30,HS7&lt;&gt;"",HT7&gt;=HW$34,HT7&lt;&gt;""),AND(IN7&gt;=IR$30,IN7&lt;&gt;"",IO7&gt;=IR$34,IO7&lt;&gt;""),AND(JI7&gt;=JM$30,JI7&lt;&gt;"",JJ7&gt;=JM$34,JJ7&lt;&gt;""),AND(KD7&gt;=KH$30,KD7&lt;&gt;"",KE7&gt;=KH$34,KE7&lt;&gt;""),AND(KY7&gt;=LC$30,KY7&lt;&gt;"",KZ7&gt;=LC$34,KZ7&lt;&gt;""),AND(LT7&gt;=LX$30,LT7&lt;&gt;"",LU7&gt;=LX$34,LU7&lt;&gt;"")),"Merit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Excellence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Worlds Team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28.2</v>
      </c>
      <c r="R7" s="61">
        <v>7.6</v>
      </c>
      <c r="S7" s="61">
        <v>1.2</v>
      </c>
      <c r="T7" s="61">
        <v>0</v>
      </c>
      <c r="U7" s="61">
        <v>28.7</v>
      </c>
      <c r="V7" s="61">
        <v>7.2</v>
      </c>
      <c r="W7" s="61">
        <v>0</v>
      </c>
      <c r="X7" s="61">
        <v>0</v>
      </c>
      <c r="Y7" s="61">
        <v>28.4</v>
      </c>
      <c r="Z7" s="61">
        <v>6</v>
      </c>
      <c r="AA7" s="61">
        <v>1.2</v>
      </c>
      <c r="AB7" s="61">
        <v>0</v>
      </c>
      <c r="AC7" s="61">
        <v>27.7</v>
      </c>
      <c r="AD7" s="61">
        <v>6.8</v>
      </c>
      <c r="AE7" s="61">
        <v>0.3</v>
      </c>
      <c r="AF7" s="61">
        <v>0</v>
      </c>
      <c r="AG7" s="72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6">
        <v>28</v>
      </c>
      <c r="AN7" s="36">
        <v>7.6</v>
      </c>
      <c r="AO7" s="36">
        <v>0.9</v>
      </c>
      <c r="AP7" s="36">
        <v>0</v>
      </c>
      <c r="AQ7" s="36">
        <v>27.9</v>
      </c>
      <c r="AR7" s="36">
        <v>7.2</v>
      </c>
      <c r="AS7" s="36">
        <v>0.9</v>
      </c>
      <c r="AT7" s="36">
        <v>0</v>
      </c>
      <c r="AU7" s="36">
        <v>28</v>
      </c>
      <c r="AV7" s="36">
        <v>6.8</v>
      </c>
      <c r="AW7" s="36">
        <v>0.3</v>
      </c>
      <c r="AX7" s="36">
        <v>0</v>
      </c>
      <c r="AY7" s="36">
        <v>28.1</v>
      </c>
      <c r="AZ7" s="36">
        <v>7.2</v>
      </c>
      <c r="BA7" s="36">
        <v>0.9</v>
      </c>
      <c r="BB7" s="36">
        <v>0.3</v>
      </c>
      <c r="BC7" s="73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</v>
      </c>
      <c r="BG7" s="14">
        <f>IF(SUM(AU7:AV7,AX7:AZ7,BB7)-SUM(AW7,BA7)&gt;0,SUM(AU7:AV7,AX7:AZ7,BB7)-SUM(AW7,BA7),"")</f>
        <v>69.199999999999989</v>
      </c>
      <c r="BH7" s="14">
        <f>IF(SUM(BE7,BG7)&gt;0,SUM(BE7,BG7),"")</f>
        <v>138.1</v>
      </c>
      <c r="BI7" s="61">
        <v>27.6</v>
      </c>
      <c r="BJ7" s="61">
        <v>6.8</v>
      </c>
      <c r="BK7" s="61">
        <v>0.3</v>
      </c>
      <c r="BL7" s="61">
        <v>0</v>
      </c>
      <c r="BM7" s="61">
        <v>27.3</v>
      </c>
      <c r="BN7" s="61">
        <v>3.9</v>
      </c>
      <c r="BO7" s="61">
        <v>2.1</v>
      </c>
      <c r="BP7" s="61">
        <v>0</v>
      </c>
      <c r="BQ7" s="61">
        <v>26.9</v>
      </c>
      <c r="BR7" s="61">
        <v>8</v>
      </c>
      <c r="BS7" s="61">
        <v>1.5</v>
      </c>
      <c r="BT7" s="61">
        <v>0</v>
      </c>
      <c r="BU7" s="61">
        <v>28</v>
      </c>
      <c r="BV7" s="61">
        <v>7.2</v>
      </c>
      <c r="BW7" s="61">
        <v>0</v>
      </c>
      <c r="BX7" s="61">
        <v>0</v>
      </c>
      <c r="BY7" s="72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>
        <v>27</v>
      </c>
      <c r="CH7" s="40">
        <v>7.6</v>
      </c>
      <c r="CI7" s="40">
        <v>1.2</v>
      </c>
      <c r="CJ7" s="40">
        <v>0</v>
      </c>
      <c r="CK7" s="40">
        <v>24.9</v>
      </c>
      <c r="CL7" s="40">
        <v>7.2</v>
      </c>
      <c r="CM7" s="40">
        <v>1.2</v>
      </c>
      <c r="CN7" s="40">
        <v>0</v>
      </c>
      <c r="CO7" s="40"/>
      <c r="CP7" s="40"/>
      <c r="CQ7" s="40"/>
      <c r="CR7" s="40"/>
      <c r="CS7" s="40"/>
      <c r="CT7" s="40"/>
      <c r="CU7" s="40"/>
      <c r="CV7" s="40"/>
      <c r="CW7" s="11">
        <f>IF(SUM(CH7,CL7)&gt;0,SUM(CH7,CL7),"")</f>
        <v>14.8</v>
      </c>
      <c r="CX7" s="11">
        <f>IF(SUM(CG7:CH7,CJ7:CL7,CN7)-SUM(CI7,CM7)&gt;0,SUM(CG7:CH7,CJ7:CL7,CN7)-SUM(CI7,CM7),"")</f>
        <v>64.3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64.3</v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27.8</v>
      </c>
      <c r="LZ7" s="61">
        <f>IF($BY7="P",BJ7,(BJ7+AN7)/2)</f>
        <v>7.1999999999999993</v>
      </c>
      <c r="MA7" s="61">
        <f>IF($BY7="P",BK7,(BK7+AO7)/2)</f>
        <v>0.6</v>
      </c>
      <c r="MB7" s="61">
        <f>IF($BY7="P",BL7,(BL7+AP7)/2)</f>
        <v>0</v>
      </c>
      <c r="MC7" s="61">
        <f>IF($BY7="P",BM7,(BM7+AQ7)/2)</f>
        <v>27.6</v>
      </c>
      <c r="MD7" s="61">
        <f>IF($BY7="P",BN7,(BN7+AR7)/2)</f>
        <v>5.55</v>
      </c>
      <c r="ME7" s="61">
        <f>IF($BY7="P",BO7,(BO7+AS7)/2)</f>
        <v>1.5</v>
      </c>
      <c r="MF7" s="61">
        <f>IF($BY7="P",BP7,(BP7+AT7)/2)</f>
        <v>0</v>
      </c>
      <c r="MG7" s="61">
        <f>IF($BY7="P",BQ7,(BQ7+AU7)/2)</f>
        <v>27.45</v>
      </c>
      <c r="MH7" s="61">
        <f>IF($BY7="P",BR7,(BR7+AV7)/2)</f>
        <v>7.4</v>
      </c>
      <c r="MI7" s="61">
        <f>IF($BY7="P",BS7,(BS7+AW7)/2)</f>
        <v>0.9</v>
      </c>
      <c r="MJ7" s="61">
        <f>IF($BY7="P",BT7,(BT7+AX7)/2)</f>
        <v>0</v>
      </c>
      <c r="MK7" s="61">
        <f>IF($BY7="P",BU7,(BU7+AY7)/2)</f>
        <v>28.05</v>
      </c>
      <c r="ML7" s="61">
        <f>IF($BY7="P",BV7,(BV7+AZ7)/2)</f>
        <v>7.2</v>
      </c>
      <c r="MM7" s="61">
        <f>IF($BY7="P",BW7,(BW7+BA7)/2)</f>
        <v>0.45</v>
      </c>
      <c r="MN7" s="61">
        <f>IF($BY7="P",BX7,(BX7+BB7)/2)</f>
        <v>0.15</v>
      </c>
      <c r="MO7" s="72" t="s">
        <v>52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14.600000000000001</v>
      </c>
      <c r="MS7" s="11">
        <f>IF(SUM(MG7:MH7,MJ7:ML7,MN7)-SUM(MI7,MM7)&gt;0,SUM(MG7:MH7,MJ7:ML7,MN7)-SUM(MI7,MM7),"")</f>
        <v>68.90000000000002</v>
      </c>
      <c r="MT7" s="11">
        <f>IF(SUM(MQ7,MS7)&gt;0,SUM(MQ7,MS7),"")</f>
        <v>134.95000000000005</v>
      </c>
    </row>
    <row r="8" spans="1:358" x14ac:dyDescent="0.2">
      <c r="A8" s="5">
        <f>IF(AND(F8="P",G8="P"),SUMPRODUCT((F$4:F$25="P")*(G$4:G$25="P")*(E$4:E$25&gt;E8))+1,IF(G8="P",SUMPRODUCT((F$4:F$25="")*(G$4:G$25="P")*(E$4:E$25&gt;E8))+1+SUMPRODUCT((F$4:F$25="P")*(G$4:G$25="P")),""))</f>
        <v>5</v>
      </c>
      <c r="B8" s="8" t="s">
        <v>87</v>
      </c>
      <c r="C8" s="4" t="s">
        <v>5</v>
      </c>
      <c r="D8" s="5">
        <v>2003</v>
      </c>
      <c r="E8" s="15">
        <f>SUM(J8:N8)</f>
        <v>194.2</v>
      </c>
      <c r="F8" s="3" t="str">
        <f>IF(OR(AND(AH8&gt;=AL$27,AI8&gt;=AL$31,AI8&lt;&gt;"",AG8=""),AND(BD8&gt;=BH$27,BE8&gt;=BH$31,BE8&lt;&gt;"",BC8=""),AND(BZ8&gt;=CD$27,CA8&gt;=CD$31,CA8&lt;&gt;"",BY8=""),AND(CW8&gt;=DA$27,CX8&gt;=DA$31,CX8&lt;&gt;""),AND(DR8&gt;=DV$27,DS8&gt;=DV$31,DS8&lt;&gt;""),AND(EM8&gt;=EQ$27,EN8&gt;=EQ$31,EN8&lt;&gt;""),AND(FH8&gt;=FL$27,FI8&gt;=FL$31,FI8&lt;&gt;""),AND(GC8&gt;=GG$27,GD8&gt;=GG$31,GD8&lt;&gt;""),AND(GX8&gt;=HB$27,GY8&gt;=HB$31,GY8&lt;&gt;""),AND(HS8&gt;=HW$27,HT8&gt;=HW$31,HT8&lt;&gt;""),AND(IN8&gt;=IR$27,IO8&gt;=IR$31,IO8&lt;&gt;""),AND(JI8&gt;=JM$27,JJ8&gt;=JM$31,JJ8&lt;&gt;""),AND(KD8&gt;=KH$27,KE8&gt;=KH$31,KE8&lt;&gt;""),AND(KY8&gt;=LC$27,KZ8&gt;=LC$31,KZ8&lt;&gt;""),AND(LT8&gt;=LX$27,LU8&gt;=LX$31,LU8&lt;&gt;"")),"P","")</f>
        <v>P</v>
      </c>
      <c r="G8" s="3" t="str">
        <f>IF(OR(AND(AI8&gt;=AL$31,AI8&lt;&gt;"",AG8=""),AND(BE8&gt;=BH$31,BE8&lt;&gt;"",BC8=""),AND(CA8&gt;=CD$31,CA8&lt;&gt;"",BY8=""),AND(CX8&gt;=DA$31,CX8&lt;&gt;""),AND(DS8&gt;=DV$31,DS8&lt;&gt;""),AND(EN8&gt;=EQ$31,EN8&lt;&gt;""),AND(FI8&gt;=FL$31,FI8&lt;&gt;""),AND(GD8&gt;=GG$31,GD8&lt;&gt;""),AND(GY8&gt;=HB$31,GY8&lt;&gt;""),AND(HT8&gt;=HW$31,HT8&lt;&gt;""),AND(IO8&gt;=IR$31,IO8&lt;&gt;""),AND(JJ8&gt;=JM$31,JJ8&lt;&gt;""),AND(KE8&gt;=KH$31,KE8&lt;&gt;""),AND(KZ8&gt;=LC$31,KZ8&lt;&gt;""),AND(LU8&gt;=LX$31,LU8&lt;&gt;"")),"P","")</f>
        <v>P</v>
      </c>
      <c r="H8" s="116" t="str">
        <f>IF(AND(G8="P",F8=""),"No DD",IF(OR(AND(AH8&gt;=AL$30,AH8&lt;&gt;"",AI8&gt;=AL$34,AI8&lt;&gt;"",AG8=""),AND(BD8&gt;=BH$30,BD8&lt;&gt;"",BE8&gt;=BH$34,BE8&lt;&gt;"",BC8=""),AND(BZ8&gt;=CD$30,BZ8&lt;&gt;"",CA8&gt;=CD$34,CA8&lt;&gt;"",BY8=""),AND(CW8&gt;=DA$30,CW8&lt;&gt;"",CX8&gt;=DA$34,CX8&lt;&gt;""),AND(DR8&gt;=DV$30,DR8&lt;&gt;"",DS8&gt;=DV$34,DS8&lt;&gt;""),AND(EM8&gt;=EQ$30,EM8&lt;&gt;"",EN8&gt;=EQ$34,EN8&lt;&gt;""),AND(FH8&gt;=FL$30,FH8&lt;&gt;"",FI8&gt;=FL$34,FI8&lt;&gt;""),AND(GC8&gt;=GG$30,GC8&lt;&gt;"",GD8&gt;=GG$34,GD8&lt;&gt;""),AND(GX8&gt;=HB$30,GX8&lt;&gt;"",GY8&gt;=HB$34,GY8&lt;&gt;""),AND(HS8&gt;=HW$30,HS8&lt;&gt;"",HT8&gt;=HW$34,HT8&lt;&gt;""),AND(IN8&gt;=IR$30,IN8&lt;&gt;"",IO8&gt;=IR$34,IO8&lt;&gt;""),AND(JI8&gt;=JM$30,JI8&lt;&gt;"",JJ8&gt;=JM$34,JJ8&lt;&gt;""),AND(KD8&gt;=KH$30,KD8&lt;&gt;"",KE8&gt;=KH$34,KE8&lt;&gt;""),AND(KY8&gt;=LC$30,KY8&lt;&gt;"",KZ8&gt;=LC$34,KZ8&lt;&gt;""),AND(LT8&gt;=LX$30,LT8&lt;&gt;"",LU8&gt;=LX$34,LU8&lt;&gt;"")),"Merit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Excellence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Worlds Team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69.199999999999989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125.00000000000001</v>
      </c>
      <c r="M8" s="14" t="str">
        <f>IF(L8=0,"",IF(AND(J8&lt;&gt;CA8,L8=CD8),$BI$1,IF(AND(J8&lt;&gt;BE8,L8=BH8),$AM$1,IF(L8=AL8,$Q$1,""))))</f>
        <v>2021 Elite Canada</v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28.2</v>
      </c>
      <c r="R8" s="61">
        <v>7.2</v>
      </c>
      <c r="S8" s="61">
        <v>0.9</v>
      </c>
      <c r="T8" s="61">
        <v>0</v>
      </c>
      <c r="U8" s="61">
        <v>20.100000000000001</v>
      </c>
      <c r="V8" s="61">
        <v>3.2</v>
      </c>
      <c r="W8" s="61">
        <v>0</v>
      </c>
      <c r="X8" s="61">
        <v>0</v>
      </c>
      <c r="Y8" s="61">
        <v>28</v>
      </c>
      <c r="Z8" s="61">
        <v>6.9</v>
      </c>
      <c r="AA8" s="61">
        <v>0</v>
      </c>
      <c r="AB8" s="61">
        <v>0</v>
      </c>
      <c r="AC8" s="61">
        <v>28.6</v>
      </c>
      <c r="AD8" s="61">
        <v>4.3</v>
      </c>
      <c r="AE8" s="61">
        <v>1.7</v>
      </c>
      <c r="AF8" s="61">
        <v>0</v>
      </c>
      <c r="AG8" s="72"/>
      <c r="AH8" s="11">
        <f>IF(SUM(R8,V8)&gt;0,SUM(R8,V8),"")</f>
        <v>10.4</v>
      </c>
      <c r="AI8" s="11">
        <f>IF(SUM(Q8:R8,T8:V8,X8)-SUM(S8,W8)&gt;0,SUM(Q8:R8,T8:V8,X8)-SUM(S8,W8),"")</f>
        <v>57.800000000000004</v>
      </c>
      <c r="AJ8" s="11">
        <f>IF(SUM(Z8,AD8)&gt;0,SUM(Z8,AD8),"")</f>
        <v>11.2</v>
      </c>
      <c r="AK8" s="11">
        <f>IF(SUM(Y8:Z8,AB8:AD8,AF8)-SUM(AA8,AE8)&gt;0,SUM(Y8:Z8,AB8:AD8,AF8)-SUM(AA8,AE8),"")</f>
        <v>66.099999999999994</v>
      </c>
      <c r="AL8" s="11">
        <f>IF(SUM(AI8,AK8)&gt;0,SUM(AI8,AK8),"")</f>
        <v>123.9</v>
      </c>
      <c r="AM8" s="36">
        <v>27.8</v>
      </c>
      <c r="AN8" s="36">
        <v>7.3</v>
      </c>
      <c r="AO8" s="36">
        <v>0.3</v>
      </c>
      <c r="AP8" s="36">
        <v>0</v>
      </c>
      <c r="AQ8" s="36">
        <v>28.1</v>
      </c>
      <c r="AR8" s="36">
        <v>6</v>
      </c>
      <c r="AS8" s="36">
        <v>0.3</v>
      </c>
      <c r="AT8" s="36">
        <v>0</v>
      </c>
      <c r="AU8" s="36">
        <v>27.9</v>
      </c>
      <c r="AV8" s="36">
        <v>3.5</v>
      </c>
      <c r="AW8" s="36">
        <v>2.5</v>
      </c>
      <c r="AX8" s="36">
        <v>0</v>
      </c>
      <c r="AY8" s="36">
        <v>27.3</v>
      </c>
      <c r="AZ8" s="36">
        <v>3.1</v>
      </c>
      <c r="BA8" s="36">
        <v>2.9</v>
      </c>
      <c r="BB8" s="36">
        <v>0</v>
      </c>
      <c r="BC8" s="73"/>
      <c r="BD8" s="14">
        <f>IF(SUM(AN8,AR8)&gt;0,SUM(AN8,AR8),"")</f>
        <v>13.3</v>
      </c>
      <c r="BE8" s="14">
        <f>IF(SUM(AM8:AN8,AP8:AR8,AT8)-SUM(AO8,AS8)&gt;0,SUM(AM8:AN8,AP8:AR8,AT8)-SUM(AO8,AS8),"")</f>
        <v>68.600000000000009</v>
      </c>
      <c r="BF8" s="14">
        <f>IF(SUM(AV8,AZ8)&gt;0,SUM(AV8,AZ8),"")</f>
        <v>6.6</v>
      </c>
      <c r="BG8" s="14">
        <f>IF(SUM(AU8:AV8,AX8:AZ8,BB8)-SUM(AW8,BA8)&gt;0,SUM(AU8:AV8,AX8:AZ8,BB8)-SUM(AW8,BA8),"")</f>
        <v>56.400000000000006</v>
      </c>
      <c r="BH8" s="14">
        <f>IF(SUM(BE8,BG8)&gt;0,SUM(BE8,BG8),"")</f>
        <v>125.00000000000001</v>
      </c>
      <c r="BI8" s="61">
        <v>28.2</v>
      </c>
      <c r="BJ8" s="61">
        <v>5.6</v>
      </c>
      <c r="BK8" s="61">
        <v>0.4</v>
      </c>
      <c r="BL8" s="61">
        <v>0</v>
      </c>
      <c r="BM8" s="61">
        <v>28.1</v>
      </c>
      <c r="BN8" s="61">
        <v>7.7</v>
      </c>
      <c r="BO8" s="61">
        <v>0</v>
      </c>
      <c r="BP8" s="61">
        <v>0</v>
      </c>
      <c r="BQ8" s="61">
        <v>0</v>
      </c>
      <c r="BR8" s="61">
        <v>0</v>
      </c>
      <c r="BS8" s="61">
        <v>0</v>
      </c>
      <c r="BT8" s="61">
        <v>0</v>
      </c>
      <c r="BU8" s="61">
        <v>20</v>
      </c>
      <c r="BV8" s="61">
        <v>2.4</v>
      </c>
      <c r="BW8" s="61">
        <v>0</v>
      </c>
      <c r="BX8" s="61">
        <v>0</v>
      </c>
      <c r="BY8" s="72"/>
      <c r="BZ8" s="11">
        <f>IF(SUM(BJ8,BN8)&gt;0,SUM(BJ8,BN8),"")</f>
        <v>13.3</v>
      </c>
      <c r="CA8" s="11">
        <f>IF(SUM(BI8:BJ8,BL8:BN8,BP8)-SUM(BK8,BO8)&gt;0,SUM(BI8:BJ8,BL8:BN8,BP8)-SUM(BK8,BO8),"")</f>
        <v>69.199999999999989</v>
      </c>
      <c r="CB8" s="11">
        <f>IF(SUM(BR8,BV8)&gt;0,SUM(BR8,BV8),"")</f>
        <v>2.4</v>
      </c>
      <c r="CC8" s="11">
        <f>IF(SUM(BQ8:BR8,BT8:BV8,BX8)-SUM(BS8,BW8)&gt;0,SUM(BQ8:BR8,BT8:BV8,BX8)-SUM(BS8,BW8),"")</f>
        <v>22.4</v>
      </c>
      <c r="CD8" s="11">
        <f>IF(SUM(CA8,CC8)&gt;0,SUM(CA8,CC8),"")</f>
        <v>91.6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28</v>
      </c>
      <c r="LZ8" s="61">
        <f>IF($BY8="P",BJ8,(BJ8+AN8)/2)</f>
        <v>6.4499999999999993</v>
      </c>
      <c r="MA8" s="61">
        <f>IF($BY8="P",BK8,(BK8+AO8)/2)</f>
        <v>0.35</v>
      </c>
      <c r="MB8" s="61">
        <f>IF($BY8="P",BL8,(BL8+AP8)/2)</f>
        <v>0</v>
      </c>
      <c r="MC8" s="61">
        <f>IF($BY8="P",BM8,(BM8+AQ8)/2)</f>
        <v>28.1</v>
      </c>
      <c r="MD8" s="61">
        <f>IF($BY8="P",BN8,(BN8+AR8)/2)</f>
        <v>6.85</v>
      </c>
      <c r="ME8" s="61">
        <f>IF($BY8="P",BO8,(BO8+AS8)/2)</f>
        <v>0.15</v>
      </c>
      <c r="MF8" s="61">
        <f>IF($BY8="P",BP8,(BP8+AT8)/2)</f>
        <v>0</v>
      </c>
      <c r="MG8" s="61">
        <f>IF($BY8="P",BQ8,(BQ8+AU8)/2)</f>
        <v>13.95</v>
      </c>
      <c r="MH8" s="61">
        <f>IF($BY8="P",BR8,(BR8+AV8)/2)</f>
        <v>1.75</v>
      </c>
      <c r="MI8" s="61">
        <f>IF($BY8="P",BS8,(BS8+AW8)/2)</f>
        <v>1.25</v>
      </c>
      <c r="MJ8" s="61">
        <f>IF($BY8="P",BT8,(BT8+AX8)/2)</f>
        <v>0</v>
      </c>
      <c r="MK8" s="61">
        <f>IF($BY8="P",BU8,(BU8+AY8)/2)</f>
        <v>23.65</v>
      </c>
      <c r="ML8" s="61">
        <f>IF($BY8="P",BV8,(BV8+AZ8)/2)</f>
        <v>2.75</v>
      </c>
      <c r="MM8" s="61">
        <f>IF($BY8="P",BW8,(BW8+BA8)/2)</f>
        <v>1.45</v>
      </c>
      <c r="MN8" s="61">
        <f>IF($BY8="P",BX8,(BX8+BB8)/2)</f>
        <v>0</v>
      </c>
      <c r="MO8" s="72" t="s">
        <v>52</v>
      </c>
      <c r="MP8" s="11">
        <f>IF(SUM(LZ8,MD8)&gt;0,SUM(LZ8,MD8),"")</f>
        <v>13.299999999999999</v>
      </c>
      <c r="MQ8" s="11">
        <f>IF(SUM(LY8:LZ8,MB8:MD8,MF8)-SUM(MA8,ME8)&gt;0,SUM(LY8:LZ8,MB8:MD8,MF8)-SUM(MA8,ME8),"")</f>
        <v>68.900000000000006</v>
      </c>
      <c r="MR8" s="11">
        <f>IF(SUM(MH8,ML8)&gt;0,SUM(MH8,ML8),"")</f>
        <v>4.5</v>
      </c>
      <c r="MS8" s="11">
        <f>IF(SUM(MG8:MH8,MJ8:ML8,MN8)-SUM(MI8,MM8)&gt;0,SUM(MG8:MH8,MJ8:ML8,MN8)-SUM(MI8,MM8),"")</f>
        <v>39.399999999999991</v>
      </c>
      <c r="MT8" s="11">
        <f>IF(SUM(MQ8,MS8)&gt;0,SUM(MQ8,MS8),"")</f>
        <v>108.3</v>
      </c>
    </row>
    <row r="9" spans="1:358" x14ac:dyDescent="0.2">
      <c r="A9" s="5" t="str">
        <f>IF(AND(F9="P",G9="P"),SUMPRODUCT((F$4:F$25="P")*(G$4:G$25="P")*(E$4:E$25&gt;E9))+1,IF(G9="P",SUMPRODUCT((F$4:F$25="")*(G$4:G$25="P")*(E$4:E$25&gt;E9))+1+SUMPRODUCT((F$4:F$25="P")*(G$4:G$25="P")),""))</f>
        <v/>
      </c>
      <c r="B9" s="8" t="s">
        <v>149</v>
      </c>
      <c r="C9" s="4" t="s">
        <v>3</v>
      </c>
      <c r="D9" s="5">
        <v>2000</v>
      </c>
      <c r="E9" s="15">
        <f>SUM(J9:N9)</f>
        <v>199.8</v>
      </c>
      <c r="F9" s="3" t="str">
        <f>IF(OR(AND(AH9&gt;=AL$27,AI9&gt;=AL$31,AI9&lt;&gt;"",AG9=""),AND(BD9&gt;=BH$27,BE9&gt;=BH$31,BE9&lt;&gt;"",BC9=""),AND(BZ9&gt;=CD$27,CA9&gt;=CD$31,CA9&lt;&gt;"",BY9=""),AND(CW9&gt;=DA$27,CX9&gt;=DA$31,CX9&lt;&gt;""),AND(DR9&gt;=DV$27,DS9&gt;=DV$31,DS9&lt;&gt;""),AND(EM9&gt;=EQ$27,EN9&gt;=EQ$31,EN9&lt;&gt;""),AND(FH9&gt;=FL$27,FI9&gt;=FL$31,FI9&lt;&gt;""),AND(GC9&gt;=GG$27,GD9&gt;=GG$31,GD9&lt;&gt;""),AND(GX9&gt;=HB$27,GY9&gt;=HB$31,GY9&lt;&gt;""),AND(HS9&gt;=HW$27,HT9&gt;=HW$31,HT9&lt;&gt;""),AND(IN9&gt;=IR$27,IO9&gt;=IR$31,IO9&lt;&gt;""),AND(JI9&gt;=JM$27,JJ9&gt;=JM$31,JJ9&lt;&gt;""),AND(KD9&gt;=KH$27,KE9&gt;=KH$31,KE9&lt;&gt;""),AND(KY9&gt;=LC$27,KZ9&gt;=LC$31,KZ9&lt;&gt;""),AND(LT9&gt;=LX$27,LU9&gt;=LX$31,LU9&lt;&gt;"")),"P","")</f>
        <v/>
      </c>
      <c r="G9" s="3" t="str">
        <f>IF(OR(AND(AI9&gt;=AL$31,AI9&lt;&gt;"",AG9=""),AND(BE9&gt;=BH$31,BE9&lt;&gt;"",BC9=""),AND(CA9&gt;=CD$31,CA9&lt;&gt;"",BY9=""),AND(CX9&gt;=DA$31,CX9&lt;&gt;""),AND(DS9&gt;=DV$31,DS9&lt;&gt;""),AND(EN9&gt;=EQ$31,EN9&lt;&gt;""),AND(FI9&gt;=FL$31,FI9&lt;&gt;""),AND(GD9&gt;=GG$31,GD9&lt;&gt;""),AND(GY9&gt;=HB$31,GY9&lt;&gt;""),AND(HT9&gt;=HW$31,HT9&lt;&gt;""),AND(IO9&gt;=IR$31,IO9&lt;&gt;""),AND(JJ9&gt;=JM$31,JJ9&lt;&gt;""),AND(KE9&gt;=KH$31,KE9&lt;&gt;""),AND(KZ9&gt;=LC$31,KZ9&lt;&gt;""),AND(LU9&gt;=LX$31,LU9&lt;&gt;"")),"P","")</f>
        <v/>
      </c>
      <c r="H9" s="116" t="str">
        <f>IF(AND(G9="P",F9=""),"No DD",IF(OR(AND(AH9&gt;=AL$30,AH9&lt;&gt;"",AI9&gt;=AL$34,AI9&lt;&gt;"",AG9=""),AND(BD9&gt;=BH$30,BD9&lt;&gt;"",BE9&gt;=BH$34,BE9&lt;&gt;"",BC9=""),AND(BZ9&gt;=CD$30,BZ9&lt;&gt;"",CA9&gt;=CD$34,CA9&lt;&gt;"",BY9=""),AND(CW9&gt;=DA$30,CW9&lt;&gt;"",CX9&gt;=DA$34,CX9&lt;&gt;""),AND(DR9&gt;=DV$30,DR9&lt;&gt;"",DS9&gt;=DV$34,DS9&lt;&gt;""),AND(EM9&gt;=EQ$30,EM9&lt;&gt;"",EN9&gt;=EQ$34,EN9&lt;&gt;""),AND(FH9&gt;=FL$30,FH9&lt;&gt;"",FI9&gt;=FL$34,FI9&lt;&gt;""),AND(GC9&gt;=GG$30,GC9&lt;&gt;"",GD9&gt;=GG$34,GD9&lt;&gt;""),AND(GX9&gt;=HB$30,GX9&lt;&gt;"",GY9&gt;=HB$34,GY9&lt;&gt;""),AND(HS9&gt;=HW$30,HS9&lt;&gt;"",HT9&gt;=HW$34,HT9&lt;&gt;""),AND(IN9&gt;=IR$30,IN9&lt;&gt;"",IO9&gt;=IR$34,IO9&lt;&gt;""),AND(JI9&gt;=JM$30,JI9&lt;&gt;"",JJ9&gt;=JM$34,JJ9&lt;&gt;""),AND(KD9&gt;=KH$30,KD9&lt;&gt;"",KE9&gt;=KH$34,KE9&lt;&gt;""),AND(KY9&gt;=LC$30,KY9&lt;&gt;"",KZ9&gt;=LC$34,KZ9&lt;&gt;""),AND(LT9&gt;=LX$30,LT9&lt;&gt;"",LU9&gt;=LX$34,LU9&lt;&gt;"")),"Merit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Excellence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Worlds Team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National Team","")))))</f>
        <v/>
      </c>
      <c r="I9" s="3" t="str">
        <f>IF(OR(H9="Worlds Team",H9="Excellence",H9="Merit"),"P","")</f>
        <v/>
      </c>
      <c r="J9" s="14">
        <f>MAX(AI9,BE9,CA9)</f>
        <v>67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132.80000000000001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>IF(SUM(R9,V9)&gt;0,SUM(R9,V9),"")</f>
        <v/>
      </c>
      <c r="AI9" s="11" t="str">
        <f>IF(SUM(Q9:R9,T9:V9,X9)-SUM(S9,W9)&gt;0,SUM(Q9:R9,T9:V9,X9)-SUM(S9,W9),"")</f>
        <v/>
      </c>
      <c r="AJ9" s="11" t="str">
        <f>IF(SUM(Z9,AD9)&gt;0,SUM(Z9,AD9),"")</f>
        <v/>
      </c>
      <c r="AK9" s="11" t="str">
        <f>IF(SUM(Y9:Z9,AB9:AD9,AF9)-SUM(AA9,AE9)&gt;0,SUM(Y9:Z9,AB9:AD9,AF9)-SUM(AA9,AE9),"")</f>
        <v/>
      </c>
      <c r="AL9" s="11" t="str">
        <f>IF(SUM(AI9,AK9)&gt;0,SUM(AI9,AK9),"")</f>
        <v/>
      </c>
      <c r="AM9" s="36">
        <v>27.9</v>
      </c>
      <c r="AN9" s="36">
        <v>6</v>
      </c>
      <c r="AO9" s="36">
        <v>0.9</v>
      </c>
      <c r="AP9" s="36">
        <v>0</v>
      </c>
      <c r="AQ9" s="36">
        <v>27.7</v>
      </c>
      <c r="AR9" s="36">
        <v>6.4</v>
      </c>
      <c r="AS9" s="36">
        <v>0.9</v>
      </c>
      <c r="AT9" s="36">
        <v>0</v>
      </c>
      <c r="AU9" s="36">
        <v>28.2</v>
      </c>
      <c r="AV9" s="36">
        <v>5.2</v>
      </c>
      <c r="AW9" s="36">
        <v>0</v>
      </c>
      <c r="AX9" s="36">
        <v>0</v>
      </c>
      <c r="AY9" s="36">
        <v>28</v>
      </c>
      <c r="AZ9" s="36">
        <v>5.2</v>
      </c>
      <c r="BA9" s="36">
        <v>0</v>
      </c>
      <c r="BB9" s="36">
        <v>0</v>
      </c>
      <c r="BC9" s="73"/>
      <c r="BD9" s="14">
        <f>IF(SUM(AN9,AR9)&gt;0,SUM(AN9,AR9),"")</f>
        <v>12.4</v>
      </c>
      <c r="BE9" s="14">
        <f>IF(SUM(AM9:AN9,AP9:AR9,AT9)-SUM(AO9,AS9)&gt;0,SUM(AM9:AN9,AP9:AR9,AT9)-SUM(AO9,AS9),"")</f>
        <v>66.2</v>
      </c>
      <c r="BF9" s="14">
        <f>IF(SUM(AV9,AZ9)&gt;0,SUM(AV9,AZ9),"")</f>
        <v>10.4</v>
      </c>
      <c r="BG9" s="14">
        <f>IF(SUM(AU9:AV9,AX9:AZ9,BB9)-SUM(AW9,BA9)&gt;0,SUM(AU9:AV9,AX9:AZ9,BB9)-SUM(AW9,BA9),"")</f>
        <v>66.599999999999994</v>
      </c>
      <c r="BH9" s="14">
        <f>IF(SUM(BE9,BG9)&gt;0,SUM(BE9,BG9),"")</f>
        <v>132.80000000000001</v>
      </c>
      <c r="BI9" s="61">
        <v>27.8</v>
      </c>
      <c r="BJ9" s="61">
        <v>6.8</v>
      </c>
      <c r="BK9" s="61">
        <v>0.3</v>
      </c>
      <c r="BL9" s="61">
        <v>0</v>
      </c>
      <c r="BM9" s="61">
        <v>27.2</v>
      </c>
      <c r="BN9" s="61">
        <v>6.4</v>
      </c>
      <c r="BO9" s="61">
        <v>0.9</v>
      </c>
      <c r="BP9" s="61">
        <v>0</v>
      </c>
      <c r="BQ9" s="61">
        <v>28.3</v>
      </c>
      <c r="BR9" s="61">
        <v>5.2</v>
      </c>
      <c r="BS9" s="61">
        <v>0.9</v>
      </c>
      <c r="BT9" s="61">
        <v>0</v>
      </c>
      <c r="BU9" s="61">
        <v>27.7</v>
      </c>
      <c r="BV9" s="61">
        <v>5.2</v>
      </c>
      <c r="BW9" s="61">
        <v>0</v>
      </c>
      <c r="BX9" s="61">
        <v>0</v>
      </c>
      <c r="BY9" s="72"/>
      <c r="BZ9" s="11">
        <f>IF(SUM(BJ9,BN9)&gt;0,SUM(BJ9,BN9),"")</f>
        <v>13.2</v>
      </c>
      <c r="CA9" s="11">
        <f>IF(SUM(BI9:BJ9,BL9:BN9,BP9)-SUM(BK9,BO9)&gt;0,SUM(BI9:BJ9,BL9:BN9,BP9)-SUM(BK9,BO9),"")</f>
        <v>67</v>
      </c>
      <c r="CB9" s="11">
        <f>IF(SUM(BR9,BV9)&gt;0,SUM(BR9,BV9),"")</f>
        <v>10.4</v>
      </c>
      <c r="CC9" s="11">
        <f>IF(SUM(BQ9:BR9,BT9:BV9,BX9)-SUM(BS9,BW9)&gt;0,SUM(BQ9:BR9,BT9:BV9,BX9)-SUM(BS9,BW9),"")</f>
        <v>65.5</v>
      </c>
      <c r="CD9" s="11">
        <f>IF(SUM(CA9,CC9)&gt;0,SUM(CA9,CC9),"")</f>
        <v>132.5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27.85</v>
      </c>
      <c r="LZ9" s="61">
        <f>IF($BY9="P",BJ9,(BJ9+AN9)/2)</f>
        <v>6.4</v>
      </c>
      <c r="MA9" s="61">
        <f>IF($BY9="P",BK9,(BK9+AO9)/2)</f>
        <v>0.6</v>
      </c>
      <c r="MB9" s="61">
        <f>IF($BY9="P",BL9,(BL9+AP9)/2)</f>
        <v>0</v>
      </c>
      <c r="MC9" s="61">
        <f>IF($BY9="P",BM9,(BM9+AQ9)/2)</f>
        <v>27.45</v>
      </c>
      <c r="MD9" s="61">
        <f>IF($BY9="P",BN9,(BN9+AR9)/2)</f>
        <v>6.4</v>
      </c>
      <c r="ME9" s="61">
        <f>IF($BY9="P",BO9,(BO9+AS9)/2)</f>
        <v>0.9</v>
      </c>
      <c r="MF9" s="61">
        <f>IF($BY9="P",BP9,(BP9+AT9)/2)</f>
        <v>0</v>
      </c>
      <c r="MG9" s="61">
        <f>IF($BY9="P",BQ9,(BQ9+AU9)/2)</f>
        <v>28.25</v>
      </c>
      <c r="MH9" s="61">
        <f>IF($BY9="P",BR9,(BR9+AV9)/2)</f>
        <v>5.2</v>
      </c>
      <c r="MI9" s="61">
        <f>IF($BY9="P",BS9,(BS9+AW9)/2)</f>
        <v>0.45</v>
      </c>
      <c r="MJ9" s="61">
        <f>IF($BY9="P",BT9,(BT9+AX9)/2)</f>
        <v>0</v>
      </c>
      <c r="MK9" s="61">
        <f>IF($BY9="P",BU9,(BU9+AY9)/2)</f>
        <v>27.85</v>
      </c>
      <c r="ML9" s="61">
        <f>IF($BY9="P",BV9,(BV9+AZ9)/2)</f>
        <v>5.2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>
        <f>IF(SUM(LZ9,MD9)&gt;0,SUM(LZ9,MD9),"")</f>
        <v>12.8</v>
      </c>
      <c r="MQ9" s="11">
        <f>IF(SUM(LY9:LZ9,MB9:MD9,MF9)-SUM(MA9,ME9)&gt;0,SUM(LY9:LZ9,MB9:MD9,MF9)-SUM(MA9,ME9),"")</f>
        <v>66.600000000000009</v>
      </c>
      <c r="MR9" s="11">
        <f>IF(SUM(MH9,ML9)&gt;0,SUM(MH9,ML9),"")</f>
        <v>10.4</v>
      </c>
      <c r="MS9" s="11">
        <f>IF(SUM(MG9:MH9,MJ9:ML9,MN9)-SUM(MI9,MM9)&gt;0,SUM(MG9:MH9,MJ9:ML9,MN9)-SUM(MI9,MM9),"")</f>
        <v>66.05</v>
      </c>
      <c r="MT9" s="11">
        <f>IF(SUM(MQ9,MS9)&gt;0,SUM(MQ9,MS9),"")</f>
        <v>132.65</v>
      </c>
    </row>
    <row r="10" spans="1:358" x14ac:dyDescent="0.2">
      <c r="A10" s="5" t="str">
        <f>IF(AND(F10="P",G10="P"),SUMPRODUCT((F$4:F$25="P")*(G$4:G$25="P")*(E$4:E$25&gt;E10))+1,IF(G10="P",SUMPRODUCT((F$4:F$25="")*(G$4:G$25="P")*(E$4:E$25&gt;E10))+1+SUMPRODUCT((F$4:F$25="P")*(G$4:G$25="P")),""))</f>
        <v/>
      </c>
      <c r="B10" s="8" t="s">
        <v>80</v>
      </c>
      <c r="C10" s="4" t="s">
        <v>6</v>
      </c>
      <c r="D10" s="5">
        <v>2004</v>
      </c>
      <c r="E10" s="15">
        <f>SUM(J10:N10)</f>
        <v>196.89999999999998</v>
      </c>
      <c r="F10" s="3" t="str">
        <f>IF(OR(AND(AH10&gt;=AL$27,AI10&gt;=AL$31,AI10&lt;&gt;"",AG10=""),AND(BD10&gt;=BH$27,BE10&gt;=BH$31,BE10&lt;&gt;"",BC10=""),AND(BZ10&gt;=CD$27,CA10&gt;=CD$31,CA10&lt;&gt;"",BY10=""),AND(CW10&gt;=DA$27,CX10&gt;=DA$31,CX10&lt;&gt;""),AND(DR10&gt;=DV$27,DS10&gt;=DV$31,DS10&lt;&gt;""),AND(EM10&gt;=EQ$27,EN10&gt;=EQ$31,EN10&lt;&gt;""),AND(FH10&gt;=FL$27,FI10&gt;=FL$31,FI10&lt;&gt;""),AND(GC10&gt;=GG$27,GD10&gt;=GG$31,GD10&lt;&gt;""),AND(GX10&gt;=HB$27,GY10&gt;=HB$31,GY10&lt;&gt;""),AND(HS10&gt;=HW$27,HT10&gt;=HW$31,HT10&lt;&gt;""),AND(IN10&gt;=IR$27,IO10&gt;=IR$31,IO10&lt;&gt;""),AND(JI10&gt;=JM$27,JJ10&gt;=JM$31,JJ10&lt;&gt;""),AND(KD10&gt;=KH$27,KE10&gt;=KH$31,KE10&lt;&gt;""),AND(KY10&gt;=LC$27,KZ10&gt;=LC$31,KZ10&lt;&gt;""),AND(LT10&gt;=LX$27,LU10&gt;=LX$31,LU10&lt;&gt;"")),"P","")</f>
        <v/>
      </c>
      <c r="G10" s="3" t="str">
        <f>IF(OR(AND(AI10&gt;=AL$31,AI10&lt;&gt;"",AG10=""),AND(BE10&gt;=BH$31,BE10&lt;&gt;"",BC10=""),AND(CA10&gt;=CD$31,CA10&lt;&gt;"",BY10=""),AND(CX10&gt;=DA$31,CX10&lt;&gt;""),AND(DS10&gt;=DV$31,DS10&lt;&gt;""),AND(EN10&gt;=EQ$31,EN10&lt;&gt;""),AND(FI10&gt;=FL$31,FI10&lt;&gt;""),AND(GD10&gt;=GG$31,GD10&lt;&gt;""),AND(GY10&gt;=HB$31,GY10&lt;&gt;""),AND(HT10&gt;=HW$31,HT10&lt;&gt;""),AND(IO10&gt;=IR$31,IO10&lt;&gt;""),AND(JJ10&gt;=JM$31,JJ10&lt;&gt;""),AND(KE10&gt;=KH$31,KE10&lt;&gt;""),AND(KZ10&gt;=LC$31,KZ10&lt;&gt;""),AND(LU10&gt;=LX$31,LU10&lt;&gt;"")),"P","")</f>
        <v/>
      </c>
      <c r="H10" s="116" t="str">
        <f>IF(AND(G10="P",F10=""),"No DD",IF(OR(AND(AH10&gt;=AL$30,AH10&lt;&gt;"",AI10&gt;=AL$34,AI10&lt;&gt;"",AG10=""),AND(BD10&gt;=BH$30,BD10&lt;&gt;"",BE10&gt;=BH$34,BE10&lt;&gt;"",BC10=""),AND(BZ10&gt;=CD$30,BZ10&lt;&gt;"",CA10&gt;=CD$34,CA10&lt;&gt;"",BY10=""),AND(CW10&gt;=DA$30,CW10&lt;&gt;"",CX10&gt;=DA$34,CX10&lt;&gt;""),AND(DR10&gt;=DV$30,DR10&lt;&gt;"",DS10&gt;=DV$34,DS10&lt;&gt;""),AND(EM10&gt;=EQ$30,EM10&lt;&gt;"",EN10&gt;=EQ$34,EN10&lt;&gt;""),AND(FH10&gt;=FL$30,FH10&lt;&gt;"",FI10&gt;=FL$34,FI10&lt;&gt;""),AND(GC10&gt;=GG$30,GC10&lt;&gt;"",GD10&gt;=GG$34,GD10&lt;&gt;""),AND(GX10&gt;=HB$30,GX10&lt;&gt;"",GY10&gt;=HB$34,GY10&lt;&gt;""),AND(HS10&gt;=HW$30,HS10&lt;&gt;"",HT10&gt;=HW$34,HT10&lt;&gt;""),AND(IN10&gt;=IR$30,IN10&lt;&gt;"",IO10&gt;=IR$34,IO10&lt;&gt;""),AND(JI10&gt;=JM$30,JI10&lt;&gt;"",JJ10&gt;=JM$34,JJ10&lt;&gt;""),AND(KD10&gt;=KH$30,KD10&lt;&gt;"",KE10&gt;=KH$34,KE10&lt;&gt;""),AND(KY10&gt;=LC$30,KY10&lt;&gt;"",KZ10&gt;=LC$34,KZ10&lt;&gt;""),AND(LT10&gt;=LX$30,LT10&lt;&gt;"",LU10&gt;=LX$34,LU10&lt;&gt;"")),"Merit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Excellence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Worlds Team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National Team","")))))</f>
        <v/>
      </c>
      <c r="I10" s="3" t="str">
        <f>IF(OR(H10="Worlds Team",H10="Excellence",H10="Merit"),"P","")</f>
        <v/>
      </c>
      <c r="J10" s="14">
        <f>MAX(AI10,BE10,CA10)</f>
        <v>66.2</v>
      </c>
      <c r="K10" s="14" t="str">
        <f>IF(J10=0,"",IF(J10=CA10,$BI$1,IF(J10=BE10,$AM$1,IF(J10=AI10,$Q$1,""))))</f>
        <v>2021 Elite Canada</v>
      </c>
      <c r="L10" s="14">
        <f>IF(J10=AI10,MAX(BH10,CD10),IF(J10=BE10,MAX(AL10,CD10),MAX(AL10,BH10)))</f>
        <v>130.69999999999999</v>
      </c>
      <c r="M10" s="14" t="str">
        <f>IF(L10=0,"",IF(AND(J10&lt;&gt;CA10,L10=CD10),$BI$1,IF(AND(J10&lt;&gt;BE10,L10=BH10),$AM$1,IF(L10=AL10,$Q$1,""))))</f>
        <v>2021 2nd Virtual Technical Trial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>
        <v>27.9</v>
      </c>
      <c r="R10" s="61">
        <v>4.8</v>
      </c>
      <c r="S10" s="61">
        <v>0</v>
      </c>
      <c r="T10" s="61">
        <v>0</v>
      </c>
      <c r="U10" s="61">
        <v>28.3</v>
      </c>
      <c r="V10" s="61">
        <v>4.8</v>
      </c>
      <c r="W10" s="61">
        <v>0</v>
      </c>
      <c r="X10" s="61">
        <v>0</v>
      </c>
      <c r="Y10" s="61">
        <v>28.6</v>
      </c>
      <c r="Z10" s="61">
        <v>4.3</v>
      </c>
      <c r="AA10" s="61">
        <v>0</v>
      </c>
      <c r="AB10" s="61">
        <v>0</v>
      </c>
      <c r="AC10" s="61">
        <v>28.5</v>
      </c>
      <c r="AD10" s="61">
        <v>3.5</v>
      </c>
      <c r="AE10" s="61">
        <v>0</v>
      </c>
      <c r="AF10" s="61">
        <v>0</v>
      </c>
      <c r="AG10" s="72"/>
      <c r="AH10" s="11">
        <f>IF(SUM(R10,V10)&gt;0,SUM(R10,V10),"")</f>
        <v>9.6</v>
      </c>
      <c r="AI10" s="11">
        <f>IF(SUM(Q10:R10,T10:V10,X10)-SUM(S10,W10)&gt;0,SUM(Q10:R10,T10:V10,X10)-SUM(S10,W10),"")</f>
        <v>65.8</v>
      </c>
      <c r="AJ10" s="11">
        <f>IF(SUM(Z10,AD10)&gt;0,SUM(Z10,AD10),"")</f>
        <v>7.8</v>
      </c>
      <c r="AK10" s="11">
        <f>IF(SUM(Y10:Z10,AB10:AD10,AF10)-SUM(AA10,AE10)&gt;0,SUM(Y10:Z10,AB10:AD10,AF10)-SUM(AA10,AE10),"")</f>
        <v>64.900000000000006</v>
      </c>
      <c r="AL10" s="11">
        <f>IF(SUM(AI10,AK10)&gt;0,SUM(AI10,AK10),"")</f>
        <v>130.69999999999999</v>
      </c>
      <c r="AM10" s="36">
        <v>28.2</v>
      </c>
      <c r="AN10" s="36">
        <v>4.8</v>
      </c>
      <c r="AO10" s="36">
        <v>0</v>
      </c>
      <c r="AP10" s="36">
        <v>0</v>
      </c>
      <c r="AQ10" s="36">
        <v>28.4</v>
      </c>
      <c r="AR10" s="36">
        <v>4.8</v>
      </c>
      <c r="AS10" s="36">
        <v>0</v>
      </c>
      <c r="AT10" s="36">
        <v>0</v>
      </c>
      <c r="AU10" s="36">
        <v>28.9</v>
      </c>
      <c r="AV10" s="36">
        <v>3.5</v>
      </c>
      <c r="AW10" s="36">
        <v>0</v>
      </c>
      <c r="AX10" s="36">
        <v>0</v>
      </c>
      <c r="AY10" s="36">
        <v>28.7</v>
      </c>
      <c r="AZ10" s="36">
        <v>4.3</v>
      </c>
      <c r="BA10" s="36">
        <v>0</v>
      </c>
      <c r="BB10" s="36">
        <v>0</v>
      </c>
      <c r="BC10" s="73"/>
      <c r="BD10" s="14">
        <f>IF(SUM(AN10,AR10)&gt;0,SUM(AN10,AR10),"")</f>
        <v>9.6</v>
      </c>
      <c r="BE10" s="14">
        <f>IF(SUM(AM10:AN10,AP10:AR10,AT10)-SUM(AO10,AS10)&gt;0,SUM(AM10:AN10,AP10:AR10,AT10)-SUM(AO10,AS10),"")</f>
        <v>66.2</v>
      </c>
      <c r="BF10" s="14">
        <f>IF(SUM(AV10,AZ10)&gt;0,SUM(AV10,AZ10),"")</f>
        <v>7.8</v>
      </c>
      <c r="BG10" s="14">
        <f>IF(SUM(AU10:AV10,AX10:AZ10,BB10)-SUM(AW10,BA10)&gt;0,SUM(AU10:AV10,AX10:AZ10,BB10)-SUM(AW10,BA10),"")</f>
        <v>65.399999999999991</v>
      </c>
      <c r="BH10" s="14">
        <f>IF(SUM(BE10,BG10)&gt;0,SUM(BE10,BG10),"")</f>
        <v>131.6</v>
      </c>
      <c r="BI10" s="61">
        <v>25.2</v>
      </c>
      <c r="BJ10" s="61">
        <v>4.8</v>
      </c>
      <c r="BK10" s="61">
        <v>0</v>
      </c>
      <c r="BL10" s="61">
        <v>0</v>
      </c>
      <c r="BM10" s="61">
        <v>29</v>
      </c>
      <c r="BN10" s="61">
        <v>4.8</v>
      </c>
      <c r="BO10" s="61">
        <v>0</v>
      </c>
      <c r="BP10" s="61">
        <v>0</v>
      </c>
      <c r="BQ10" s="61">
        <v>28.9</v>
      </c>
      <c r="BR10" s="61">
        <v>4.3</v>
      </c>
      <c r="BS10" s="61">
        <v>0</v>
      </c>
      <c r="BT10" s="61">
        <v>0</v>
      </c>
      <c r="BU10" s="61">
        <v>29</v>
      </c>
      <c r="BV10" s="61">
        <v>3.5</v>
      </c>
      <c r="BW10" s="61">
        <v>0</v>
      </c>
      <c r="BX10" s="61">
        <v>0</v>
      </c>
      <c r="BY10" s="72"/>
      <c r="BZ10" s="11">
        <f>IF(SUM(BJ10,BN10)&gt;0,SUM(BJ10,BN10),"")</f>
        <v>9.6</v>
      </c>
      <c r="CA10" s="11">
        <f>IF(SUM(BI10:BJ10,BL10:BN10,BP10)-SUM(BK10,BO10)&gt;0,SUM(BI10:BJ10,BL10:BN10,BP10)-SUM(BK10,BO10),"")</f>
        <v>63.8</v>
      </c>
      <c r="CB10" s="11">
        <f>IF(SUM(BR10,BV10)&gt;0,SUM(BR10,BV10),"")</f>
        <v>7.8</v>
      </c>
      <c r="CC10" s="11">
        <f>IF(SUM(BQ10:BR10,BT10:BV10,BX10)-SUM(BS10,BW10)&gt;0,SUM(BQ10:BR10,BT10:BV10,BX10)-SUM(BS10,BW10),"")</f>
        <v>65.699999999999989</v>
      </c>
      <c r="CD10" s="11">
        <f>IF(SUM(CA10,CC10)&gt;0,SUM(CA10,CC10),"")</f>
        <v>129.5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26.7</v>
      </c>
      <c r="LZ10" s="61">
        <f>IF($BY10="P",BJ10,(BJ10+AN10)/2)</f>
        <v>4.8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28.7</v>
      </c>
      <c r="MD10" s="61">
        <f>IF($BY10="P",BN10,(BN10+AR10)/2)</f>
        <v>4.8</v>
      </c>
      <c r="ME10" s="61">
        <f>IF($BY10="P",BO10,(BO10+AS10)/2)</f>
        <v>0</v>
      </c>
      <c r="MF10" s="61">
        <f>IF($BY10="P",BP10,(BP10+AT10)/2)</f>
        <v>0</v>
      </c>
      <c r="MG10" s="61">
        <f>IF($BY10="P",BQ10,(BQ10+AU10)/2)</f>
        <v>28.9</v>
      </c>
      <c r="MH10" s="61">
        <f>IF($BY10="P",BR10,(BR10+AV10)/2)</f>
        <v>3.9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28.85</v>
      </c>
      <c r="ML10" s="61">
        <f>IF($BY10="P",BV10,(BV10+AZ10)/2)</f>
        <v>3.9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9.6</v>
      </c>
      <c r="MQ10" s="11">
        <f>IF(SUM(LY10:LZ10,MB10:MD10,MF10)-SUM(MA10,ME10)&gt;0,SUM(LY10:LZ10,MB10:MD10,MF10)-SUM(MA10,ME10),"")</f>
        <v>65</v>
      </c>
      <c r="MR10" s="11">
        <f>IF(SUM(MH10,ML10)&gt;0,SUM(MH10,ML10),"")</f>
        <v>7.8</v>
      </c>
      <c r="MS10" s="11">
        <f>IF(SUM(MG10:MH10,MJ10:ML10,MN10)-SUM(MI10,MM10)&gt;0,SUM(MG10:MH10,MJ10:ML10,MN10)-SUM(MI10,MM10),"")</f>
        <v>65.55</v>
      </c>
      <c r="MT10" s="11">
        <f>IF(SUM(MQ10,MS10)&gt;0,SUM(MQ10,MS10),"")</f>
        <v>130.55000000000001</v>
      </c>
    </row>
    <row r="11" spans="1:358" x14ac:dyDescent="0.2">
      <c r="A11" s="5" t="str">
        <f>IF(AND(F11="P",G11="P"),SUMPRODUCT((F$4:F$25="P")*(G$4:G$25="P")*(E$4:E$25&gt;E11))+1,IF(G11="P",SUMPRODUCT((F$4:F$25="")*(G$4:G$25="P")*(E$4:E$25&gt;E11))+1+SUMPRODUCT((F$4:F$25="P")*(G$4:G$25="P")),""))</f>
        <v/>
      </c>
      <c r="B11" s="8" t="s">
        <v>104</v>
      </c>
      <c r="C11" s="4" t="s">
        <v>6</v>
      </c>
      <c r="D11" s="5">
        <v>2000</v>
      </c>
      <c r="E11" s="15">
        <f>SUM(J11:N11)</f>
        <v>193.10000000000002</v>
      </c>
      <c r="F11" s="3" t="str">
        <f>IF(OR(AND(AH11&gt;=AL$27,AI11&gt;=AL$31,AI11&lt;&gt;"",AG11=""),AND(BD11&gt;=BH$27,BE11&gt;=BH$31,BE11&lt;&gt;"",BC11=""),AND(BZ11&gt;=CD$27,CA11&gt;=CD$31,CA11&lt;&gt;"",BY11=""),AND(CW11&gt;=DA$27,CX11&gt;=DA$31,CX11&lt;&gt;""),AND(DR11&gt;=DV$27,DS11&gt;=DV$31,DS11&lt;&gt;""),AND(EM11&gt;=EQ$27,EN11&gt;=EQ$31,EN11&lt;&gt;""),AND(FH11&gt;=FL$27,FI11&gt;=FL$31,FI11&lt;&gt;""),AND(GC11&gt;=GG$27,GD11&gt;=GG$31,GD11&lt;&gt;""),AND(GX11&gt;=HB$27,GY11&gt;=HB$31,GY11&lt;&gt;""),AND(HS11&gt;=HW$27,HT11&gt;=HW$31,HT11&lt;&gt;""),AND(IN11&gt;=IR$27,IO11&gt;=IR$31,IO11&lt;&gt;""),AND(JI11&gt;=JM$27,JJ11&gt;=JM$31,JJ11&lt;&gt;""),AND(KD11&gt;=KH$27,KE11&gt;=KH$31,KE11&lt;&gt;""),AND(KY11&gt;=LC$27,KZ11&gt;=LC$31,KZ11&lt;&gt;""),AND(LT11&gt;=LX$27,LU11&gt;=LX$31,LU11&lt;&gt;"")),"P","")</f>
        <v/>
      </c>
      <c r="G11" s="3" t="str">
        <f>IF(OR(AND(AI11&gt;=AL$31,AI11&lt;&gt;"",AG11=""),AND(BE11&gt;=BH$31,BE11&lt;&gt;"",BC11=""),AND(CA11&gt;=CD$31,CA11&lt;&gt;"",BY11=""),AND(CX11&gt;=DA$31,CX11&lt;&gt;""),AND(DS11&gt;=DV$31,DS11&lt;&gt;""),AND(EN11&gt;=EQ$31,EN11&lt;&gt;""),AND(FI11&gt;=FL$31,FI11&lt;&gt;""),AND(GD11&gt;=GG$31,GD11&lt;&gt;""),AND(GY11&gt;=HB$31,GY11&lt;&gt;""),AND(HT11&gt;=HW$31,HT11&lt;&gt;""),AND(IO11&gt;=IR$31,IO11&lt;&gt;""),AND(JJ11&gt;=JM$31,JJ11&lt;&gt;""),AND(KE11&gt;=KH$31,KE11&lt;&gt;""),AND(KZ11&gt;=LC$31,KZ11&lt;&gt;""),AND(LU11&gt;=LX$31,LU11&lt;&gt;"")),"P","")</f>
        <v/>
      </c>
      <c r="H11" s="116" t="str">
        <f>IF(AND(G11="P",F11=""),"No DD",IF(OR(AND(AH11&gt;=AL$30,AH11&lt;&gt;"",AI11&gt;=AL$34,AI11&lt;&gt;"",AG11=""),AND(BD11&gt;=BH$30,BD11&lt;&gt;"",BE11&gt;=BH$34,BE11&lt;&gt;"",BC11=""),AND(BZ11&gt;=CD$30,BZ11&lt;&gt;"",CA11&gt;=CD$34,CA11&lt;&gt;"",BY11=""),AND(CW11&gt;=DA$30,CW11&lt;&gt;"",CX11&gt;=DA$34,CX11&lt;&gt;""),AND(DR11&gt;=DV$30,DR11&lt;&gt;"",DS11&gt;=DV$34,DS11&lt;&gt;""),AND(EM11&gt;=EQ$30,EM11&lt;&gt;"",EN11&gt;=EQ$34,EN11&lt;&gt;""),AND(FH11&gt;=FL$30,FH11&lt;&gt;"",FI11&gt;=FL$34,FI11&lt;&gt;""),AND(GC11&gt;=GG$30,GC11&lt;&gt;"",GD11&gt;=GG$34,GD11&lt;&gt;""),AND(GX11&gt;=HB$30,GX11&lt;&gt;"",GY11&gt;=HB$34,GY11&lt;&gt;""),AND(HS11&gt;=HW$30,HS11&lt;&gt;"",HT11&gt;=HW$34,HT11&lt;&gt;""),AND(IN11&gt;=IR$30,IN11&lt;&gt;"",IO11&gt;=IR$34,IO11&lt;&gt;""),AND(JI11&gt;=JM$30,JI11&lt;&gt;"",JJ11&gt;=JM$34,JJ11&lt;&gt;""),AND(KD11&gt;=KH$30,KD11&lt;&gt;"",KE11&gt;=KH$34,KE11&lt;&gt;""),AND(KY11&gt;=LC$30,KY11&lt;&gt;"",KZ11&gt;=LC$34,KZ11&lt;&gt;""),AND(LT11&gt;=LX$30,LT11&lt;&gt;"",LU11&gt;=LX$34,LU11&lt;&gt;"")),"Merit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Excellence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Worlds Team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National Team","")))))</f>
        <v/>
      </c>
      <c r="I11" s="3" t="str">
        <f>IF(OR(H11="Worlds Team",H11="Excellence",H11="Merit"),"P","")</f>
        <v/>
      </c>
      <c r="J11" s="14">
        <f>MAX(AI11,BE11,CA11)</f>
        <v>65.500000000000014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127.6</v>
      </c>
      <c r="M11" s="14" t="str">
        <f>IF(L11=0,"",IF(AND(J11&lt;&gt;CA11,L11=CD11),$BI$1,IF(AND(J11&lt;&gt;BE11,L11=BH11),$AM$1,IF(L11=AL11,$Q$1,""))))</f>
        <v>2021 Canadian Championships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25.6</v>
      </c>
      <c r="R11" s="61">
        <v>7.6</v>
      </c>
      <c r="S11" s="61">
        <v>1.5</v>
      </c>
      <c r="T11" s="61">
        <v>0</v>
      </c>
      <c r="U11" s="61">
        <v>27.7</v>
      </c>
      <c r="V11" s="61">
        <v>6.4</v>
      </c>
      <c r="W11" s="61">
        <v>0.3</v>
      </c>
      <c r="X11" s="61">
        <v>0</v>
      </c>
      <c r="Y11" s="61">
        <v>26.8</v>
      </c>
      <c r="Z11" s="61">
        <v>6.4</v>
      </c>
      <c r="AA11" s="61">
        <v>0.3</v>
      </c>
      <c r="AB11" s="61">
        <v>0</v>
      </c>
      <c r="AC11" s="61">
        <v>28</v>
      </c>
      <c r="AD11" s="61">
        <v>2.4</v>
      </c>
      <c r="AE11" s="61">
        <v>3.9</v>
      </c>
      <c r="AF11" s="61">
        <v>0</v>
      </c>
      <c r="AG11" s="72"/>
      <c r="AH11" s="11">
        <f>IF(SUM(R11,V11)&gt;0,SUM(R11,V11),"")</f>
        <v>14</v>
      </c>
      <c r="AI11" s="11">
        <f>IF(SUM(Q11:R11,T11:V11,X11)-SUM(S11,W11)&gt;0,SUM(Q11:R11,T11:V11,X11)-SUM(S11,W11),"")</f>
        <v>65.500000000000014</v>
      </c>
      <c r="AJ11" s="11">
        <f>IF(SUM(Z11,AD11)&gt;0,SUM(Z11,AD11),"")</f>
        <v>8.8000000000000007</v>
      </c>
      <c r="AK11" s="11">
        <f>IF(SUM(Y11:Z11,AB11:AD11,AF11)-SUM(AA11,AE11)&gt;0,SUM(Y11:Z11,AB11:AD11,AF11)-SUM(AA11,AE11),"")</f>
        <v>59.4</v>
      </c>
      <c r="AL11" s="11">
        <f>IF(SUM(AI11,AK11)&gt;0,SUM(AI11,AK11),"")</f>
        <v>124.9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>IF(SUM(AN11,AR11)&gt;0,SUM(AN11,AR11),"")</f>
        <v/>
      </c>
      <c r="BE11" s="14" t="str">
        <f>IF(SUM(AM11:AN11,AP11:AR11,AT11)-SUM(AO11,AS11)&gt;0,SUM(AM11:AN11,AP11:AR11,AT11)-SUM(AO11,AS11),"")</f>
        <v/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 t="str">
        <f>IF(SUM(BE11,BG11)&gt;0,SUM(BE11,BG11),"")</f>
        <v/>
      </c>
      <c r="BI11" s="61">
        <v>25.7</v>
      </c>
      <c r="BJ11" s="61">
        <v>6</v>
      </c>
      <c r="BK11" s="61">
        <v>1.8</v>
      </c>
      <c r="BL11" s="61">
        <v>0</v>
      </c>
      <c r="BM11" s="61">
        <v>28</v>
      </c>
      <c r="BN11" s="61">
        <v>6</v>
      </c>
      <c r="BO11" s="61">
        <v>0.3</v>
      </c>
      <c r="BP11" s="61">
        <v>0</v>
      </c>
      <c r="BQ11" s="61">
        <v>27.2</v>
      </c>
      <c r="BR11" s="61">
        <v>6</v>
      </c>
      <c r="BS11" s="61">
        <v>0.3</v>
      </c>
      <c r="BT11" s="61">
        <v>0</v>
      </c>
      <c r="BU11" s="61">
        <v>27.9</v>
      </c>
      <c r="BV11" s="61">
        <v>4.5999999999999996</v>
      </c>
      <c r="BW11" s="61">
        <v>1.4</v>
      </c>
      <c r="BX11" s="61">
        <v>0</v>
      </c>
      <c r="BY11" s="72"/>
      <c r="BZ11" s="11">
        <f>IF(SUM(BJ11,BN11)&gt;0,SUM(BJ11,BN11),"")</f>
        <v>12</v>
      </c>
      <c r="CA11" s="11">
        <f>IF(SUM(BI11:BJ11,BL11:BN11,BP11)-SUM(BK11,BO11)&gt;0,SUM(BI11:BJ11,BL11:BN11,BP11)-SUM(BK11,BO11),"")</f>
        <v>63.6</v>
      </c>
      <c r="CB11" s="11">
        <f>IF(SUM(BR11,BV11)&gt;0,SUM(BR11,BV11),"")</f>
        <v>10.6</v>
      </c>
      <c r="CC11" s="11">
        <f>IF(SUM(BQ11:BR11,BT11:BV11,BX11)-SUM(BS11,BW11)&gt;0,SUM(BQ11:BR11,BT11:BV11,BX11)-SUM(BS11,BW11),"")</f>
        <v>64</v>
      </c>
      <c r="CD11" s="11">
        <f>IF(SUM(CA11,CC11)&gt;0,SUM(CA11,CC11),"")</f>
        <v>127.6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12.85</v>
      </c>
      <c r="LZ11" s="61">
        <f>IF($BY11="P",BJ11,(BJ11+AN11)/2)</f>
        <v>3</v>
      </c>
      <c r="MA11" s="61">
        <f>IF($BY11="P",BK11,(BK11+AO11)/2)</f>
        <v>0.9</v>
      </c>
      <c r="MB11" s="61">
        <f>IF($BY11="P",BL11,(BL11+AP11)/2)</f>
        <v>0</v>
      </c>
      <c r="MC11" s="61">
        <f>IF($BY11="P",BM11,(BM11+AQ11)/2)</f>
        <v>14</v>
      </c>
      <c r="MD11" s="61">
        <f>IF($BY11="P",BN11,(BN11+AR11)/2)</f>
        <v>3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13.6</v>
      </c>
      <c r="MH11" s="61">
        <f>IF($BY11="P",BR11,(BR11+AV11)/2)</f>
        <v>3</v>
      </c>
      <c r="MI11" s="61">
        <f>IF($BY11="P",BS11,(BS11+AW11)/2)</f>
        <v>0.15</v>
      </c>
      <c r="MJ11" s="61">
        <f>IF($BY11="P",BT11,(BT11+AX11)/2)</f>
        <v>0</v>
      </c>
      <c r="MK11" s="61">
        <f>IF($BY11="P",BU11,(BU11+AY11)/2)</f>
        <v>13.95</v>
      </c>
      <c r="ML11" s="61">
        <f>IF($BY11="P",BV11,(BV11+AZ11)/2)</f>
        <v>2.2999999999999998</v>
      </c>
      <c r="MM11" s="61">
        <f>IF($BY11="P",BW11,(BW11+BA11)/2)</f>
        <v>0.7</v>
      </c>
      <c r="MN11" s="61">
        <f>IF($BY11="P",BX11,(BX11+BB11)/2)</f>
        <v>0</v>
      </c>
      <c r="MO11" s="72" t="s">
        <v>52</v>
      </c>
      <c r="MP11" s="11">
        <f>IF(SUM(LZ11,MD11)&gt;0,SUM(LZ11,MD11),"")</f>
        <v>6</v>
      </c>
      <c r="MQ11" s="11">
        <f>IF(SUM(LY11:LZ11,MB11:MD11,MF11)-SUM(MA11,ME11)&gt;0,SUM(LY11:LZ11,MB11:MD11,MF11)-SUM(MA11,ME11),"")</f>
        <v>31.8</v>
      </c>
      <c r="MR11" s="11">
        <f>IF(SUM(MH11,ML11)&gt;0,SUM(MH11,ML11),"")</f>
        <v>5.3</v>
      </c>
      <c r="MS11" s="11">
        <f>IF(SUM(MG11:MH11,MJ11:ML11,MN11)-SUM(MI11,MM11)&gt;0,SUM(MG11:MH11,MJ11:ML11,MN11)-SUM(MI11,MM11),"")</f>
        <v>32</v>
      </c>
      <c r="MT11" s="11">
        <f>IF(SUM(MQ11,MS11)&gt;0,SUM(MQ11,MS11),"")</f>
        <v>63.8</v>
      </c>
    </row>
    <row r="12" spans="1:358" x14ac:dyDescent="0.2">
      <c r="A12" s="5" t="str">
        <f>IF(AND(F12="P",G12="P"),SUMPRODUCT((F$4:F$25="P")*(G$4:G$25="P")*(E$4:E$25&gt;E12))+1,IF(G12="P",SUMPRODUCT((F$4:F$25="")*(G$4:G$25="P")*(E$4:E$25&gt;E12))+1+SUMPRODUCT((F$4:F$25="P")*(G$4:G$25="P")),""))</f>
        <v/>
      </c>
      <c r="B12" s="8" t="s">
        <v>105</v>
      </c>
      <c r="C12" s="4" t="s">
        <v>4</v>
      </c>
      <c r="D12" s="5">
        <v>2004</v>
      </c>
      <c r="E12" s="15">
        <f>SUM(J12:N12)</f>
        <v>192</v>
      </c>
      <c r="F12" s="3" t="str">
        <f>IF(OR(AND(AH12&gt;=AL$27,AI12&gt;=AL$31,AI12&lt;&gt;"",AG12=""),AND(BD12&gt;=BH$27,BE12&gt;=BH$31,BE12&lt;&gt;"",BC12=""),AND(BZ12&gt;=CD$27,CA12&gt;=CD$31,CA12&lt;&gt;"",BY12=""),AND(CW12&gt;=DA$27,CX12&gt;=DA$31,CX12&lt;&gt;""),AND(DR12&gt;=DV$27,DS12&gt;=DV$31,DS12&lt;&gt;""),AND(EM12&gt;=EQ$27,EN12&gt;=EQ$31,EN12&lt;&gt;""),AND(FH12&gt;=FL$27,FI12&gt;=FL$31,FI12&lt;&gt;""),AND(GC12&gt;=GG$27,GD12&gt;=GG$31,GD12&lt;&gt;""),AND(GX12&gt;=HB$27,GY12&gt;=HB$31,GY12&lt;&gt;""),AND(HS12&gt;=HW$27,HT12&gt;=HW$31,HT12&lt;&gt;""),AND(IN12&gt;=IR$27,IO12&gt;=IR$31,IO12&lt;&gt;""),AND(JI12&gt;=JM$27,JJ12&gt;=JM$31,JJ12&lt;&gt;""),AND(KD12&gt;=KH$27,KE12&gt;=KH$31,KE12&lt;&gt;""),AND(KY12&gt;=LC$27,KZ12&gt;=LC$31,KZ12&lt;&gt;""),AND(LT12&gt;=LX$27,LU12&gt;=LX$31,LU12&lt;&gt;"")),"P","")</f>
        <v/>
      </c>
      <c r="G12" s="3" t="str">
        <f>IF(OR(AND(AI12&gt;=AL$31,AI12&lt;&gt;"",AG12=""),AND(BE12&gt;=BH$31,BE12&lt;&gt;"",BC12=""),AND(CA12&gt;=CD$31,CA12&lt;&gt;"",BY12=""),AND(CX12&gt;=DA$31,CX12&lt;&gt;""),AND(DS12&gt;=DV$31,DS12&lt;&gt;""),AND(EN12&gt;=EQ$31,EN12&lt;&gt;""),AND(FI12&gt;=FL$31,FI12&lt;&gt;""),AND(GD12&gt;=GG$31,GD12&lt;&gt;""),AND(GY12&gt;=HB$31,GY12&lt;&gt;""),AND(HT12&gt;=HW$31,HT12&lt;&gt;""),AND(IO12&gt;=IR$31,IO12&lt;&gt;""),AND(JJ12&gt;=JM$31,JJ12&lt;&gt;""),AND(KE12&gt;=KH$31,KE12&lt;&gt;""),AND(KZ12&gt;=LC$31,KZ12&lt;&gt;""),AND(LU12&gt;=LX$31,LU12&lt;&gt;"")),"P","")</f>
        <v/>
      </c>
      <c r="H12" s="116" t="str">
        <f>IF(AND(G12="P",F12=""),"No DD",IF(OR(AND(AH12&gt;=AL$30,AH12&lt;&gt;"",AI12&gt;=AL$34,AI12&lt;&gt;"",AG12=""),AND(BD12&gt;=BH$30,BD12&lt;&gt;"",BE12&gt;=BH$34,BE12&lt;&gt;"",BC12=""),AND(BZ12&gt;=CD$30,BZ12&lt;&gt;"",CA12&gt;=CD$34,CA12&lt;&gt;"",BY12=""),AND(CW12&gt;=DA$30,CW12&lt;&gt;"",CX12&gt;=DA$34,CX12&lt;&gt;""),AND(DR12&gt;=DV$30,DR12&lt;&gt;"",DS12&gt;=DV$34,DS12&lt;&gt;""),AND(EM12&gt;=EQ$30,EM12&lt;&gt;"",EN12&gt;=EQ$34,EN12&lt;&gt;""),AND(FH12&gt;=FL$30,FH12&lt;&gt;"",FI12&gt;=FL$34,FI12&lt;&gt;""),AND(GC12&gt;=GG$30,GC12&lt;&gt;"",GD12&gt;=GG$34,GD12&lt;&gt;""),AND(GX12&gt;=HB$30,GX12&lt;&gt;"",GY12&gt;=HB$34,GY12&lt;&gt;""),AND(HS12&gt;=HW$30,HS12&lt;&gt;"",HT12&gt;=HW$34,HT12&lt;&gt;""),AND(IN12&gt;=IR$30,IN12&lt;&gt;"",IO12&gt;=IR$34,IO12&lt;&gt;""),AND(JI12&gt;=JM$30,JI12&lt;&gt;"",JJ12&gt;=JM$34,JJ12&lt;&gt;""),AND(KD12&gt;=KH$30,KD12&lt;&gt;"",KE12&gt;=KH$34,KE12&lt;&gt;""),AND(KY12&gt;=LC$30,KY12&lt;&gt;"",KZ12&gt;=LC$34,KZ12&lt;&gt;""),AND(LT12&gt;=LX$30,LT12&lt;&gt;"",LU12&gt;=LX$34,LU12&lt;&gt;"")),"Merit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Excellence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Worlds Team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National Team","")))))</f>
        <v/>
      </c>
      <c r="I12" s="3" t="str">
        <f>IF(OR(H12="Worlds Team",H12="Excellence",H12="Merit"),"P","")</f>
        <v/>
      </c>
      <c r="J12" s="14">
        <f>MAX(AI12,BE12,CA12)</f>
        <v>68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124</v>
      </c>
      <c r="M12" s="14" t="str">
        <f>IF(L12=0,"",IF(AND(J12&lt;&gt;CA12,L12=CD12),$BI$1,IF(AND(J12&lt;&gt;BE12,L12=BH12),$AM$1,IF(L12=AL12,$Q$1,""))))</f>
        <v>2021 2nd Virtual Technical Trial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>
        <v>20.399999999999999</v>
      </c>
      <c r="R12" s="61">
        <v>2.4</v>
      </c>
      <c r="S12" s="61">
        <v>0</v>
      </c>
      <c r="T12" s="61">
        <v>0</v>
      </c>
      <c r="U12" s="61">
        <v>28.4</v>
      </c>
      <c r="V12" s="61">
        <v>6.4</v>
      </c>
      <c r="W12" s="61">
        <v>0</v>
      </c>
      <c r="X12" s="61">
        <v>0</v>
      </c>
      <c r="Y12" s="61">
        <v>28.2</v>
      </c>
      <c r="Z12" s="61">
        <v>5.2</v>
      </c>
      <c r="AA12" s="61">
        <v>0</v>
      </c>
      <c r="AB12" s="61">
        <v>0</v>
      </c>
      <c r="AC12" s="61">
        <v>27.8</v>
      </c>
      <c r="AD12" s="61">
        <v>5.2</v>
      </c>
      <c r="AE12" s="61">
        <v>0</v>
      </c>
      <c r="AF12" s="61">
        <v>0</v>
      </c>
      <c r="AG12" s="72"/>
      <c r="AH12" s="11">
        <f>IF(SUM(R12,V12)&gt;0,SUM(R12,V12),"")</f>
        <v>8.8000000000000007</v>
      </c>
      <c r="AI12" s="11">
        <f>IF(SUM(Q12:R12,T12:V12,X12)-SUM(S12,W12)&gt;0,SUM(Q12:R12,T12:V12,X12)-SUM(S12,W12),"")</f>
        <v>57.599999999999994</v>
      </c>
      <c r="AJ12" s="11">
        <f>IF(SUM(Z12,AD12)&gt;0,SUM(Z12,AD12),"")</f>
        <v>10.4</v>
      </c>
      <c r="AK12" s="11">
        <f>IF(SUM(Y12:Z12,AB12:AD12,AF12)-SUM(AA12,AE12)&gt;0,SUM(Y12:Z12,AB12:AD12,AF12)-SUM(AA12,AE12),"")</f>
        <v>66.400000000000006</v>
      </c>
      <c r="AL12" s="11">
        <f>IF(SUM(AI12,AK12)&gt;0,SUM(AI12,AK12),"")</f>
        <v>124</v>
      </c>
      <c r="AM12" s="36">
        <v>0</v>
      </c>
      <c r="AN12" s="36">
        <v>0</v>
      </c>
      <c r="AO12" s="36">
        <v>0</v>
      </c>
      <c r="AP12" s="36">
        <v>0</v>
      </c>
      <c r="AQ12" s="36">
        <v>28.3</v>
      </c>
      <c r="AR12" s="36">
        <v>6.4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6.4</v>
      </c>
      <c r="BE12" s="14">
        <f>IF(SUM(AM12:AN12,AP12:AR12,AT12)-SUM(AO12,AS12)&gt;0,SUM(AM12:AN12,AP12:AR12,AT12)-SUM(AO12,AS12),"")</f>
        <v>34.700000000000003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34.700000000000003</v>
      </c>
      <c r="BI12" s="61">
        <v>28</v>
      </c>
      <c r="BJ12" s="61">
        <v>6.8</v>
      </c>
      <c r="BK12" s="61">
        <v>1.2</v>
      </c>
      <c r="BL12" s="61">
        <v>0</v>
      </c>
      <c r="BM12" s="61">
        <v>28</v>
      </c>
      <c r="BN12" s="61">
        <v>6.4</v>
      </c>
      <c r="BO12" s="61">
        <v>0</v>
      </c>
      <c r="BP12" s="61">
        <v>0</v>
      </c>
      <c r="BQ12" s="61">
        <v>28.2</v>
      </c>
      <c r="BR12" s="61">
        <v>5.2</v>
      </c>
      <c r="BS12" s="61">
        <v>0</v>
      </c>
      <c r="BT12" s="61">
        <v>0</v>
      </c>
      <c r="BU12" s="61">
        <v>27.9</v>
      </c>
      <c r="BV12" s="61">
        <v>5.2</v>
      </c>
      <c r="BW12" s="61">
        <v>0.3</v>
      </c>
      <c r="BX12" s="61">
        <v>0</v>
      </c>
      <c r="BY12" s="72"/>
      <c r="BZ12" s="11">
        <f>IF(SUM(BJ12,BN12)&gt;0,SUM(BJ12,BN12),"")</f>
        <v>13.2</v>
      </c>
      <c r="CA12" s="11">
        <f>IF(SUM(BI12:BJ12,BL12:BN12,BP12)-SUM(BK12,BO12)&gt;0,SUM(BI12:BJ12,BL12:BN12,BP12)-SUM(BK12,BO12),"")</f>
        <v>68</v>
      </c>
      <c r="CB12" s="11">
        <f>IF(SUM(BR12,BV12)&gt;0,SUM(BR12,BV12),"")</f>
        <v>10.4</v>
      </c>
      <c r="CC12" s="11">
        <f>IF(SUM(BQ12:BR12,BT12:BV12,BX12)-SUM(BS12,BW12)&gt;0,SUM(BQ12:BR12,BT12:BV12,BX12)-SUM(BS12,BW12),"")</f>
        <v>66.2</v>
      </c>
      <c r="CD12" s="11">
        <f>IF(SUM(CA12,CC12)&gt;0,SUM(CA12,CC12),"")</f>
        <v>134.19999999999999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14</v>
      </c>
      <c r="LZ12" s="61">
        <f>IF($BY12="P",BJ12,(BJ12+AN12)/2)</f>
        <v>3.4</v>
      </c>
      <c r="MA12" s="61">
        <f>IF($BY12="P",BK12,(BK12+AO12)/2)</f>
        <v>0.6</v>
      </c>
      <c r="MB12" s="61">
        <f>IF($BY12="P",BL12,(BL12+AP12)/2)</f>
        <v>0</v>
      </c>
      <c r="MC12" s="61">
        <f>IF($BY12="P",BM12,(BM12+AQ12)/2)</f>
        <v>28.15</v>
      </c>
      <c r="MD12" s="61">
        <f>IF($BY12="P",BN12,(BN12+AR12)/2)</f>
        <v>6.4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14.1</v>
      </c>
      <c r="MH12" s="61">
        <f>IF($BY12="P",BR12,(BR12+AV12)/2)</f>
        <v>2.6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13.95</v>
      </c>
      <c r="ML12" s="61">
        <f>IF($BY12="P",BV12,(BV12+AZ12)/2)</f>
        <v>2.6</v>
      </c>
      <c r="MM12" s="61">
        <f>IF($BY12="P",BW12,(BW12+BA12)/2)</f>
        <v>0.15</v>
      </c>
      <c r="MN12" s="61">
        <f>IF($BY12="P",BX12,(BX12+BB12)/2)</f>
        <v>0</v>
      </c>
      <c r="MO12" s="72" t="s">
        <v>52</v>
      </c>
      <c r="MP12" s="11">
        <f>IF(SUM(LZ12,MD12)&gt;0,SUM(LZ12,MD12),"")</f>
        <v>9.8000000000000007</v>
      </c>
      <c r="MQ12" s="11">
        <f>IF(SUM(LY12:LZ12,MB12:MD12,MF12)-SUM(MA12,ME12)&gt;0,SUM(LY12:LZ12,MB12:MD12,MF12)-SUM(MA12,ME12),"")</f>
        <v>51.349999999999994</v>
      </c>
      <c r="MR12" s="11">
        <f>IF(SUM(MH12,ML12)&gt;0,SUM(MH12,ML12),"")</f>
        <v>5.2</v>
      </c>
      <c r="MS12" s="11">
        <f>IF(SUM(MG12:MH12,MJ12:ML12,MN12)-SUM(MI12,MM12)&gt;0,SUM(MG12:MH12,MJ12:ML12,MN12)-SUM(MI12,MM12),"")</f>
        <v>33.1</v>
      </c>
      <c r="MT12" s="11">
        <f>IF(SUM(MQ12,MS12)&gt;0,SUM(MQ12,MS12),"")</f>
        <v>84.449999999999989</v>
      </c>
    </row>
    <row r="13" spans="1:358" x14ac:dyDescent="0.2">
      <c r="A13" s="5" t="str">
        <f>IF(AND(F13="P",G13="P"),SUMPRODUCT((F$4:F$25="P")*(G$4:G$25="P")*(E$4:E$25&gt;E13))+1,IF(G13="P",SUMPRODUCT((F$4:F$25="")*(G$4:G$25="P")*(E$4:E$25&gt;E13))+1+SUMPRODUCT((F$4:F$25="P")*(G$4:G$25="P")),""))</f>
        <v/>
      </c>
      <c r="B13" s="8" t="s">
        <v>103</v>
      </c>
      <c r="C13" s="4" t="s">
        <v>4</v>
      </c>
      <c r="D13" s="5">
        <v>2004</v>
      </c>
      <c r="E13" s="15">
        <f>SUM(J13:N13)</f>
        <v>191.29999999999998</v>
      </c>
      <c r="F13" s="3" t="str">
        <f>IF(OR(AND(AH13&gt;=AL$27,AI13&gt;=AL$31,AI13&lt;&gt;"",AG13=""),AND(BD13&gt;=BH$27,BE13&gt;=BH$31,BE13&lt;&gt;"",BC13=""),AND(BZ13&gt;=CD$27,CA13&gt;=CD$31,CA13&lt;&gt;"",BY13=""),AND(CW13&gt;=DA$27,CX13&gt;=DA$31,CX13&lt;&gt;""),AND(DR13&gt;=DV$27,DS13&gt;=DV$31,DS13&lt;&gt;""),AND(EM13&gt;=EQ$27,EN13&gt;=EQ$31,EN13&lt;&gt;""),AND(FH13&gt;=FL$27,FI13&gt;=FL$31,FI13&lt;&gt;""),AND(GC13&gt;=GG$27,GD13&gt;=GG$31,GD13&lt;&gt;""),AND(GX13&gt;=HB$27,GY13&gt;=HB$31,GY13&lt;&gt;""),AND(HS13&gt;=HW$27,HT13&gt;=HW$31,HT13&lt;&gt;""),AND(IN13&gt;=IR$27,IO13&gt;=IR$31,IO13&lt;&gt;""),AND(JI13&gt;=JM$27,JJ13&gt;=JM$31,JJ13&lt;&gt;""),AND(KD13&gt;=KH$27,KE13&gt;=KH$31,KE13&lt;&gt;""),AND(KY13&gt;=LC$27,KZ13&gt;=LC$31,KZ13&lt;&gt;""),AND(LT13&gt;=LX$27,LU13&gt;=LX$31,LU13&lt;&gt;"")),"P","")</f>
        <v/>
      </c>
      <c r="G13" s="3" t="str">
        <f>IF(OR(AND(AI13&gt;=AL$31,AI13&lt;&gt;"",AG13=""),AND(BE13&gt;=BH$31,BE13&lt;&gt;"",BC13=""),AND(CA13&gt;=CD$31,CA13&lt;&gt;"",BY13=""),AND(CX13&gt;=DA$31,CX13&lt;&gt;""),AND(DS13&gt;=DV$31,DS13&lt;&gt;""),AND(EN13&gt;=EQ$31,EN13&lt;&gt;""),AND(FI13&gt;=FL$31,FI13&lt;&gt;""),AND(GD13&gt;=GG$31,GD13&lt;&gt;""),AND(GY13&gt;=HB$31,GY13&lt;&gt;""),AND(HT13&gt;=HW$31,HT13&lt;&gt;""),AND(IO13&gt;=IR$31,IO13&lt;&gt;""),AND(JJ13&gt;=JM$31,JJ13&lt;&gt;""),AND(KE13&gt;=KH$31,KE13&lt;&gt;""),AND(KZ13&gt;=LC$31,KZ13&lt;&gt;""),AND(LU13&gt;=LX$31,LU13&lt;&gt;"")),"P","")</f>
        <v/>
      </c>
      <c r="H13" s="116" t="str">
        <f>IF(AND(G13="P",F13=""),"No DD",IF(OR(AND(AH13&gt;=AL$30,AH13&lt;&gt;"",AI13&gt;=AL$34,AI13&lt;&gt;"",AG13=""),AND(BD13&gt;=BH$30,BD13&lt;&gt;"",BE13&gt;=BH$34,BE13&lt;&gt;"",BC13=""),AND(BZ13&gt;=CD$30,BZ13&lt;&gt;"",CA13&gt;=CD$34,CA13&lt;&gt;"",BY13=""),AND(CW13&gt;=DA$30,CW13&lt;&gt;"",CX13&gt;=DA$34,CX13&lt;&gt;""),AND(DR13&gt;=DV$30,DR13&lt;&gt;"",DS13&gt;=DV$34,DS13&lt;&gt;""),AND(EM13&gt;=EQ$30,EM13&lt;&gt;"",EN13&gt;=EQ$34,EN13&lt;&gt;""),AND(FH13&gt;=FL$30,FH13&lt;&gt;"",FI13&gt;=FL$34,FI13&lt;&gt;""),AND(GC13&gt;=GG$30,GC13&lt;&gt;"",GD13&gt;=GG$34,GD13&lt;&gt;""),AND(GX13&gt;=HB$30,GX13&lt;&gt;"",GY13&gt;=HB$34,GY13&lt;&gt;""),AND(HS13&gt;=HW$30,HS13&lt;&gt;"",HT13&gt;=HW$34,HT13&lt;&gt;""),AND(IN13&gt;=IR$30,IN13&lt;&gt;"",IO13&gt;=IR$34,IO13&lt;&gt;""),AND(JI13&gt;=JM$30,JI13&lt;&gt;"",JJ13&gt;=JM$34,JJ13&lt;&gt;""),AND(KD13&gt;=KH$30,KD13&lt;&gt;"",KE13&gt;=KH$34,KE13&lt;&gt;""),AND(KY13&gt;=LC$30,KY13&lt;&gt;"",KZ13&gt;=LC$34,KZ13&lt;&gt;""),AND(LT13&gt;=LX$30,LT13&lt;&gt;"",LU13&gt;=LX$34,LU13&lt;&gt;"")),"Merit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Excellence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Worlds Team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National Team","")))))</f>
        <v/>
      </c>
      <c r="I13" s="3" t="str">
        <f>IF(OR(H13="Worlds Team",H13="Excellence",H13="Merit"),"P","")</f>
        <v/>
      </c>
      <c r="J13" s="14">
        <f>MAX(AI13,BE13,CA13)</f>
        <v>64.599999999999994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126.69999999999999</v>
      </c>
      <c r="M13" s="14" t="str">
        <f>IF(L13=0,"",IF(AND(J13&lt;&gt;CA13,L13=CD13),$BI$1,IF(AND(J13&lt;&gt;BE13,L13=BH13),$AM$1,IF(L13=AL13,$Q$1,""))))</f>
        <v>2021 2nd Virtual Technical Trial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>
        <v>28</v>
      </c>
      <c r="R13" s="61">
        <v>5.2</v>
      </c>
      <c r="S13" s="61">
        <v>1.2</v>
      </c>
      <c r="T13" s="61">
        <v>0</v>
      </c>
      <c r="U13" s="61">
        <v>28.2</v>
      </c>
      <c r="V13" s="61">
        <v>3.5</v>
      </c>
      <c r="W13" s="61">
        <v>0.9</v>
      </c>
      <c r="X13" s="61">
        <v>0</v>
      </c>
      <c r="Y13" s="61">
        <v>27.6</v>
      </c>
      <c r="Z13" s="61">
        <v>4.8</v>
      </c>
      <c r="AA13" s="61">
        <v>1.2</v>
      </c>
      <c r="AB13" s="61">
        <v>0</v>
      </c>
      <c r="AC13" s="61">
        <v>29.1</v>
      </c>
      <c r="AD13" s="61">
        <v>3.6</v>
      </c>
      <c r="AE13" s="61">
        <v>0</v>
      </c>
      <c r="AF13" s="61">
        <v>0</v>
      </c>
      <c r="AG13" s="72"/>
      <c r="AH13" s="11">
        <f>IF(SUM(R13,V13)&gt;0,SUM(R13,V13),"")</f>
        <v>8.6999999999999993</v>
      </c>
      <c r="AI13" s="11">
        <f>IF(SUM(Q13:R13,T13:V13,X13)-SUM(S13,W13)&gt;0,SUM(Q13:R13,T13:V13,X13)-SUM(S13,W13),"")</f>
        <v>62.800000000000004</v>
      </c>
      <c r="AJ13" s="11">
        <f>IF(SUM(Z13,AD13)&gt;0,SUM(Z13,AD13),"")</f>
        <v>8.4</v>
      </c>
      <c r="AK13" s="11">
        <f>IF(SUM(Y13:Z13,AB13:AD13,AF13)-SUM(AA13,AE13)&gt;0,SUM(Y13:Z13,AB13:AD13,AF13)-SUM(AA13,AE13),"")</f>
        <v>63.899999999999991</v>
      </c>
      <c r="AL13" s="11">
        <f>IF(SUM(AI13,AK13)&gt;0,SUM(AI13,AK13),"")</f>
        <v>126.69999999999999</v>
      </c>
      <c r="AM13" s="36">
        <v>28.1</v>
      </c>
      <c r="AN13" s="36">
        <v>5.2</v>
      </c>
      <c r="AO13" s="36">
        <v>0.9</v>
      </c>
      <c r="AP13" s="36">
        <v>0</v>
      </c>
      <c r="AQ13" s="36">
        <v>28.4</v>
      </c>
      <c r="AR13" s="36">
        <v>3.6</v>
      </c>
      <c r="AS13" s="36">
        <v>0.9</v>
      </c>
      <c r="AT13" s="36">
        <v>0</v>
      </c>
      <c r="AU13" s="36">
        <v>27.4</v>
      </c>
      <c r="AV13" s="36">
        <v>4.8</v>
      </c>
      <c r="AW13" s="36">
        <v>1.2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73"/>
      <c r="BD13" s="14">
        <f>IF(SUM(AN13,AR13)&gt;0,SUM(AN13,AR13),"")</f>
        <v>8.8000000000000007</v>
      </c>
      <c r="BE13" s="14">
        <f>IF(SUM(AM13:AN13,AP13:AR13,AT13)-SUM(AO13,AS13)&gt;0,SUM(AM13:AN13,AP13:AR13,AT13)-SUM(AO13,AS13),"")</f>
        <v>63.5</v>
      </c>
      <c r="BF13" s="14">
        <f>IF(SUM(AV13,AZ13)&gt;0,SUM(AV13,AZ13),"")</f>
        <v>4.8</v>
      </c>
      <c r="BG13" s="14">
        <f>IF(SUM(AU13:AV13,AX13:AZ13,BB13)-SUM(AW13,BA13)&gt;0,SUM(AU13:AV13,AX13:AZ13,BB13)-SUM(AW13,BA13),"")</f>
        <v>30.999999999999996</v>
      </c>
      <c r="BH13" s="14">
        <f>IF(SUM(BE13,BG13)&gt;0,SUM(BE13,BG13),"")</f>
        <v>94.5</v>
      </c>
      <c r="BI13" s="61">
        <v>27.4</v>
      </c>
      <c r="BJ13" s="61">
        <v>5.2</v>
      </c>
      <c r="BK13" s="61">
        <v>0</v>
      </c>
      <c r="BL13" s="61">
        <v>0</v>
      </c>
      <c r="BM13" s="61">
        <v>28</v>
      </c>
      <c r="BN13" s="61">
        <v>5.2</v>
      </c>
      <c r="BO13" s="61">
        <v>1.2</v>
      </c>
      <c r="BP13" s="61">
        <v>0</v>
      </c>
      <c r="BQ13" s="61">
        <v>28.3</v>
      </c>
      <c r="BR13" s="61">
        <v>5.2</v>
      </c>
      <c r="BS13" s="61">
        <v>0</v>
      </c>
      <c r="BT13" s="61">
        <v>0</v>
      </c>
      <c r="BU13" s="61">
        <v>20.6</v>
      </c>
      <c r="BV13" s="61">
        <v>0.7</v>
      </c>
      <c r="BW13" s="61">
        <v>0</v>
      </c>
      <c r="BX13" s="61">
        <v>0</v>
      </c>
      <c r="BY13" s="72"/>
      <c r="BZ13" s="11">
        <f>IF(SUM(BJ13,BN13)&gt;0,SUM(BJ13,BN13),"")</f>
        <v>10.4</v>
      </c>
      <c r="CA13" s="11">
        <f>IF(SUM(BI13:BJ13,BL13:BN13,BP13)-SUM(BK13,BO13)&gt;0,SUM(BI13:BJ13,BL13:BN13,BP13)-SUM(BK13,BO13),"")</f>
        <v>64.599999999999994</v>
      </c>
      <c r="CB13" s="11">
        <f>IF(SUM(BR13,BV13)&gt;0,SUM(BR13,BV13),"")</f>
        <v>5.9</v>
      </c>
      <c r="CC13" s="11">
        <f>IF(SUM(BQ13:BR13,BT13:BV13,BX13)-SUM(BS13,BW13)&gt;0,SUM(BQ13:BR13,BT13:BV13,BX13)-SUM(BS13,BW13),"")</f>
        <v>54.800000000000004</v>
      </c>
      <c r="CD13" s="11">
        <f>IF(SUM(CA13,CC13)&gt;0,SUM(CA13,CC13),"")</f>
        <v>119.4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27.75</v>
      </c>
      <c r="LZ13" s="61">
        <f>IF($BY13="P",BJ13,(BJ13+AN13)/2)</f>
        <v>5.2</v>
      </c>
      <c r="MA13" s="61">
        <f>IF($BY13="P",BK13,(BK13+AO13)/2)</f>
        <v>0.45</v>
      </c>
      <c r="MB13" s="61">
        <f>IF($BY13="P",BL13,(BL13+AP13)/2)</f>
        <v>0</v>
      </c>
      <c r="MC13" s="61">
        <f>IF($BY13="P",BM13,(BM13+AQ13)/2)</f>
        <v>28.2</v>
      </c>
      <c r="MD13" s="61">
        <f>IF($BY13="P",BN13,(BN13+AR13)/2)</f>
        <v>4.4000000000000004</v>
      </c>
      <c r="ME13" s="61">
        <f>IF($BY13="P",BO13,(BO13+AS13)/2)</f>
        <v>1.05</v>
      </c>
      <c r="MF13" s="61">
        <f>IF($BY13="P",BP13,(BP13+AT13)/2)</f>
        <v>0</v>
      </c>
      <c r="MG13" s="61">
        <f>IF($BY13="P",BQ13,(BQ13+AU13)/2)</f>
        <v>27.85</v>
      </c>
      <c r="MH13" s="61">
        <f>IF($BY13="P",BR13,(BR13+AV13)/2)</f>
        <v>5</v>
      </c>
      <c r="MI13" s="61">
        <f>IF($BY13="P",BS13,(BS13+AW13)/2)</f>
        <v>0.6</v>
      </c>
      <c r="MJ13" s="61">
        <f>IF($BY13="P",BT13,(BT13+AX13)/2)</f>
        <v>0</v>
      </c>
      <c r="MK13" s="61">
        <f>IF($BY13="P",BU13,(BU13+AY13)/2)</f>
        <v>10.3</v>
      </c>
      <c r="ML13" s="61">
        <f>IF($BY13="P",BV13,(BV13+AZ13)/2)</f>
        <v>0.35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9.6000000000000014</v>
      </c>
      <c r="MQ13" s="11">
        <f>IF(SUM(LY13:LZ13,MB13:MD13,MF13)-SUM(MA13,ME13)&gt;0,SUM(LY13:LZ13,MB13:MD13,MF13)-SUM(MA13,ME13),"")</f>
        <v>64.050000000000011</v>
      </c>
      <c r="MR13" s="11">
        <f>IF(SUM(MH13,ML13)&gt;0,SUM(MH13,ML13),"")</f>
        <v>5.35</v>
      </c>
      <c r="MS13" s="11">
        <f>IF(SUM(MG13:MH13,MJ13:ML13,MN13)-SUM(MI13,MM13)&gt;0,SUM(MG13:MH13,MJ13:ML13,MN13)-SUM(MI13,MM13),"")</f>
        <v>42.900000000000006</v>
      </c>
      <c r="MT13" s="11">
        <f>IF(SUM(MQ13,MS13)&gt;0,SUM(MQ13,MS13),"")</f>
        <v>106.95000000000002</v>
      </c>
    </row>
    <row r="14" spans="1:358" x14ac:dyDescent="0.2">
      <c r="A14" s="5" t="str">
        <f>IF(AND(F14="P",G14="P"),SUMPRODUCT((F$4:F$25="P")*(G$4:G$25="P")*(E$4:E$25&gt;E14))+1,IF(G14="P",SUMPRODUCT((F$4:F$25="")*(G$4:G$25="P")*(E$4:E$25&gt;E14))+1+SUMPRODUCT((F$4:F$25="P")*(G$4:G$25="P")),""))</f>
        <v/>
      </c>
      <c r="B14" s="8" t="s">
        <v>150</v>
      </c>
      <c r="C14" s="4" t="s">
        <v>4</v>
      </c>
      <c r="D14" s="5">
        <v>2004</v>
      </c>
      <c r="E14" s="15">
        <f>SUM(J14:N14)</f>
        <v>187.7</v>
      </c>
      <c r="F14" s="3" t="str">
        <f>IF(OR(AND(AH14&gt;=AL$27,AI14&gt;=AL$31,AI14&lt;&gt;"",AG14=""),AND(BD14&gt;=BH$27,BE14&gt;=BH$31,BE14&lt;&gt;"",BC14=""),AND(BZ14&gt;=CD$27,CA14&gt;=CD$31,CA14&lt;&gt;"",BY14=""),AND(CW14&gt;=DA$27,CX14&gt;=DA$31,CX14&lt;&gt;""),AND(DR14&gt;=DV$27,DS14&gt;=DV$31,DS14&lt;&gt;""),AND(EM14&gt;=EQ$27,EN14&gt;=EQ$31,EN14&lt;&gt;""),AND(FH14&gt;=FL$27,FI14&gt;=FL$31,FI14&lt;&gt;""),AND(GC14&gt;=GG$27,GD14&gt;=GG$31,GD14&lt;&gt;""),AND(GX14&gt;=HB$27,GY14&gt;=HB$31,GY14&lt;&gt;""),AND(HS14&gt;=HW$27,HT14&gt;=HW$31,HT14&lt;&gt;""),AND(IN14&gt;=IR$27,IO14&gt;=IR$31,IO14&lt;&gt;""),AND(JI14&gt;=JM$27,JJ14&gt;=JM$31,JJ14&lt;&gt;""),AND(KD14&gt;=KH$27,KE14&gt;=KH$31,KE14&lt;&gt;""),AND(KY14&gt;=LC$27,KZ14&gt;=LC$31,KZ14&lt;&gt;""),AND(LT14&gt;=LX$27,LU14&gt;=LX$31,LU14&lt;&gt;"")),"P","")</f>
        <v/>
      </c>
      <c r="G14" s="3" t="str">
        <f>IF(OR(AND(AI14&gt;=AL$31,AI14&lt;&gt;"",AG14=""),AND(BE14&gt;=BH$31,BE14&lt;&gt;"",BC14=""),AND(CA14&gt;=CD$31,CA14&lt;&gt;"",BY14=""),AND(CX14&gt;=DA$31,CX14&lt;&gt;""),AND(DS14&gt;=DV$31,DS14&lt;&gt;""),AND(EN14&gt;=EQ$31,EN14&lt;&gt;""),AND(FI14&gt;=FL$31,FI14&lt;&gt;""),AND(GD14&gt;=GG$31,GD14&lt;&gt;""),AND(GY14&gt;=HB$31,GY14&lt;&gt;""),AND(HT14&gt;=HW$31,HT14&lt;&gt;""),AND(IO14&gt;=IR$31,IO14&lt;&gt;""),AND(JJ14&gt;=JM$31,JJ14&lt;&gt;""),AND(KE14&gt;=KH$31,KE14&lt;&gt;""),AND(KZ14&gt;=LC$31,KZ14&lt;&gt;""),AND(LU14&gt;=LX$31,LU14&lt;&gt;"")),"P","")</f>
        <v/>
      </c>
      <c r="H14" s="116" t="str">
        <f>IF(AND(G14="P",F14=""),"No DD",IF(OR(AND(AH14&gt;=AL$30,AH14&lt;&gt;"",AI14&gt;=AL$34,AI14&lt;&gt;"",AG14=""),AND(BD14&gt;=BH$30,BD14&lt;&gt;"",BE14&gt;=BH$34,BE14&lt;&gt;"",BC14=""),AND(BZ14&gt;=CD$30,BZ14&lt;&gt;"",CA14&gt;=CD$34,CA14&lt;&gt;"",BY14=""),AND(CW14&gt;=DA$30,CW14&lt;&gt;"",CX14&gt;=DA$34,CX14&lt;&gt;""),AND(DR14&gt;=DV$30,DR14&lt;&gt;"",DS14&gt;=DV$34,DS14&lt;&gt;""),AND(EM14&gt;=EQ$30,EM14&lt;&gt;"",EN14&gt;=EQ$34,EN14&lt;&gt;""),AND(FH14&gt;=FL$30,FH14&lt;&gt;"",FI14&gt;=FL$34,FI14&lt;&gt;""),AND(GC14&gt;=GG$30,GC14&lt;&gt;"",GD14&gt;=GG$34,GD14&lt;&gt;""),AND(GX14&gt;=HB$30,GX14&lt;&gt;"",GY14&gt;=HB$34,GY14&lt;&gt;""),AND(HS14&gt;=HW$30,HS14&lt;&gt;"",HT14&gt;=HW$34,HT14&lt;&gt;""),AND(IN14&gt;=IR$30,IN14&lt;&gt;"",IO14&gt;=IR$34,IO14&lt;&gt;""),AND(JI14&gt;=JM$30,JI14&lt;&gt;"",JJ14&gt;=JM$34,JJ14&lt;&gt;""),AND(KD14&gt;=KH$30,KD14&lt;&gt;"",KE14&gt;=KH$34,KE14&lt;&gt;""),AND(KY14&gt;=LC$30,KY14&lt;&gt;"",KZ14&gt;=LC$34,KZ14&lt;&gt;""),AND(LT14&gt;=LX$30,LT14&lt;&gt;"",LU14&gt;=LX$34,LU14&lt;&gt;"")),"Merit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Excellence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Worlds Team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National Team","")))))</f>
        <v/>
      </c>
      <c r="I14" s="3" t="str">
        <f>IF(OR(H14="Worlds Team",H14="Excellence",H14="Merit"),"P","")</f>
        <v/>
      </c>
      <c r="J14" s="14">
        <f>MAX(AI14,BE14,CA14)</f>
        <v>63.6</v>
      </c>
      <c r="K14" s="14" t="str">
        <f>IF(J14=0,"",IF(J14=CA14,$BI$1,IF(J14=BE14,$AM$1,IF(J14=AI14,$Q$1,""))))</f>
        <v>2021 Elite Canada</v>
      </c>
      <c r="L14" s="14">
        <f>IF(J14=AI14,MAX(BH14,CD14),IF(J14=BE14,MAX(AL14,CD14),MAX(AL14,BH14)))</f>
        <v>124.1</v>
      </c>
      <c r="M14" s="14" t="str">
        <f>IF(L14=0,"",IF(AND(J14&lt;&gt;CA14,L14=CD14),$BI$1,IF(AND(J14&lt;&gt;BE14,L14=BH14),$AM$1,IF(L14=AL14,$Q$1,""))))</f>
        <v>2021 Canadian Championships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28.2</v>
      </c>
      <c r="AN14" s="36">
        <v>3.6</v>
      </c>
      <c r="AO14" s="36">
        <v>0</v>
      </c>
      <c r="AP14" s="36">
        <v>0</v>
      </c>
      <c r="AQ14" s="36">
        <v>28.3</v>
      </c>
      <c r="AR14" s="36">
        <v>3.5</v>
      </c>
      <c r="AS14" s="36">
        <v>0</v>
      </c>
      <c r="AT14" s="36">
        <v>0</v>
      </c>
      <c r="AU14" s="36">
        <v>28.7</v>
      </c>
      <c r="AV14" s="36">
        <v>4.8</v>
      </c>
      <c r="AW14" s="36">
        <v>0</v>
      </c>
      <c r="AX14" s="36">
        <v>0</v>
      </c>
      <c r="AY14" s="36">
        <v>27.9</v>
      </c>
      <c r="AZ14" s="36">
        <v>6</v>
      </c>
      <c r="BA14" s="36">
        <v>0.9</v>
      </c>
      <c r="BB14" s="36">
        <v>0</v>
      </c>
      <c r="BC14" s="73"/>
      <c r="BD14" s="14">
        <f>IF(SUM(AN14,AR14)&gt;0,SUM(AN14,AR14),"")</f>
        <v>7.1</v>
      </c>
      <c r="BE14" s="14">
        <f>IF(SUM(AM14:AN14,AP14:AR14,AT14)-SUM(AO14,AS14)&gt;0,SUM(AM14:AN14,AP14:AR14,AT14)-SUM(AO14,AS14),"")</f>
        <v>63.6</v>
      </c>
      <c r="BF14" s="14">
        <f>IF(SUM(AV14,AZ14)&gt;0,SUM(AV14,AZ14),"")</f>
        <v>10.8</v>
      </c>
      <c r="BG14" s="14">
        <f>IF(SUM(AU14:AV14,AX14:AZ14,BB14)-SUM(AW14,BA14)&gt;0,SUM(AU14:AV14,AX14:AZ14,BB14)-SUM(AW14,BA14),"")</f>
        <v>66.5</v>
      </c>
      <c r="BH14" s="14">
        <f>IF(SUM(BE14,BG14)&gt;0,SUM(BE14,BG14),"")</f>
        <v>130.1</v>
      </c>
      <c r="BI14" s="61">
        <v>28.5</v>
      </c>
      <c r="BJ14" s="61">
        <v>3.6</v>
      </c>
      <c r="BK14" s="61">
        <v>0.9</v>
      </c>
      <c r="BL14" s="61">
        <v>0</v>
      </c>
      <c r="BM14" s="61">
        <v>28.1</v>
      </c>
      <c r="BN14" s="61">
        <v>3.5</v>
      </c>
      <c r="BO14" s="61">
        <v>1.2</v>
      </c>
      <c r="BP14" s="61">
        <v>0</v>
      </c>
      <c r="BQ14" s="61">
        <v>28.6</v>
      </c>
      <c r="BR14" s="61">
        <v>4.8</v>
      </c>
      <c r="BS14" s="61">
        <v>0</v>
      </c>
      <c r="BT14" s="61">
        <v>0</v>
      </c>
      <c r="BU14" s="61">
        <v>24.6</v>
      </c>
      <c r="BV14" s="61">
        <v>6</v>
      </c>
      <c r="BW14" s="61">
        <v>1.5</v>
      </c>
      <c r="BX14" s="61">
        <v>0</v>
      </c>
      <c r="BY14" s="72"/>
      <c r="BZ14" s="11">
        <f>IF(SUM(BJ14,BN14)&gt;0,SUM(BJ14,BN14),"")</f>
        <v>7.1</v>
      </c>
      <c r="CA14" s="11">
        <f>IF(SUM(BI14:BJ14,BL14:BN14,BP14)-SUM(BK14,BO14)&gt;0,SUM(BI14:BJ14,BL14:BN14,BP14)-SUM(BK14,BO14),"")</f>
        <v>61.6</v>
      </c>
      <c r="CB14" s="11">
        <f>IF(SUM(BR14,BV14)&gt;0,SUM(BR14,BV14),"")</f>
        <v>10.8</v>
      </c>
      <c r="CC14" s="11">
        <f>IF(SUM(BQ14:BR14,BT14:BV14,BX14)-SUM(BS14,BW14)&gt;0,SUM(BQ14:BR14,BT14:BV14,BX14)-SUM(BS14,BW14),"")</f>
        <v>62.5</v>
      </c>
      <c r="CD14" s="11">
        <f>IF(SUM(CA14,CC14)&gt;0,SUM(CA14,CC14),"")</f>
        <v>124.1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28.35</v>
      </c>
      <c r="LZ14" s="61">
        <f>IF($BY14="P",BJ14,(BJ14+AN14)/2)</f>
        <v>3.6</v>
      </c>
      <c r="MA14" s="61">
        <f>IF($BY14="P",BK14,(BK14+AO14)/2)</f>
        <v>0.45</v>
      </c>
      <c r="MB14" s="61">
        <f>IF($BY14="P",BL14,(BL14+AP14)/2)</f>
        <v>0</v>
      </c>
      <c r="MC14" s="61">
        <f>IF($BY14="P",BM14,(BM14+AQ14)/2)</f>
        <v>28.200000000000003</v>
      </c>
      <c r="MD14" s="61">
        <f>IF($BY14="P",BN14,(BN14+AR14)/2)</f>
        <v>3.5</v>
      </c>
      <c r="ME14" s="61">
        <f>IF($BY14="P",BO14,(BO14+AS14)/2)</f>
        <v>0.6</v>
      </c>
      <c r="MF14" s="61">
        <f>IF($BY14="P",BP14,(BP14+AT14)/2)</f>
        <v>0</v>
      </c>
      <c r="MG14" s="61">
        <f>IF($BY14="P",BQ14,(BQ14+AU14)/2)</f>
        <v>28.65</v>
      </c>
      <c r="MH14" s="61">
        <f>IF($BY14="P",BR14,(BR14+AV14)/2)</f>
        <v>4.8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26.25</v>
      </c>
      <c r="ML14" s="61">
        <f>IF($BY14="P",BV14,(BV14+AZ14)/2)</f>
        <v>6</v>
      </c>
      <c r="MM14" s="61">
        <f>IF($BY14="P",BW14,(BW14+BA14)/2)</f>
        <v>1.2</v>
      </c>
      <c r="MN14" s="61">
        <f>IF($BY14="P",BX14,(BX14+BB14)/2)</f>
        <v>0</v>
      </c>
      <c r="MO14" s="72" t="s">
        <v>52</v>
      </c>
      <c r="MP14" s="11">
        <f>IF(SUM(LZ14,MD14)&gt;0,SUM(LZ14,MD14),"")</f>
        <v>7.1</v>
      </c>
      <c r="MQ14" s="11">
        <f>IF(SUM(LY14:LZ14,MB14:MD14,MF14)-SUM(MA14,ME14)&gt;0,SUM(LY14:LZ14,MB14:MD14,MF14)-SUM(MA14,ME14),"")</f>
        <v>62.600000000000009</v>
      </c>
      <c r="MR14" s="11">
        <f>IF(SUM(MH14,ML14)&gt;0,SUM(MH14,ML14),"")</f>
        <v>10.8</v>
      </c>
      <c r="MS14" s="11">
        <f>IF(SUM(MG14:MH14,MJ14:ML14,MN14)-SUM(MI14,MM14)&gt;0,SUM(MG14:MH14,MJ14:ML14,MN14)-SUM(MI14,MM14),"")</f>
        <v>64.499999999999986</v>
      </c>
      <c r="MT14" s="11">
        <f>IF(SUM(MQ14,MS14)&gt;0,SUM(MQ14,MS14),"")</f>
        <v>127.1</v>
      </c>
    </row>
    <row r="15" spans="1:358" x14ac:dyDescent="0.2">
      <c r="A15" s="5" t="str">
        <f>IF(AND(F15="P",G15="P"),SUMPRODUCT((F$4:F$25="P")*(G$4:G$25="P")*(E$4:E$25&gt;E15))+1,IF(G15="P",SUMPRODUCT((F$4:F$25="")*(G$4:G$25="P")*(E$4:E$25&gt;E15))+1+SUMPRODUCT((F$4:F$25="P")*(G$4:G$25="P")),""))</f>
        <v/>
      </c>
      <c r="B15" s="8" t="s">
        <v>138</v>
      </c>
      <c r="C15" s="4" t="s">
        <v>4</v>
      </c>
      <c r="D15" s="5">
        <v>2001</v>
      </c>
      <c r="E15" s="15">
        <f>SUM(J15:N15)</f>
        <v>121.39999999999999</v>
      </c>
      <c r="F15" s="3" t="str">
        <f>IF(OR(AND(AH15&gt;=AL$27,AI15&gt;=AL$31,AI15&lt;&gt;"",AG15=""),AND(BD15&gt;=BH$27,BE15&gt;=BH$31,BE15&lt;&gt;"",BC15=""),AND(BZ15&gt;=CD$27,CA15&gt;=CD$31,CA15&lt;&gt;"",BY15=""),AND(CW15&gt;=DA$27,CX15&gt;=DA$31,CX15&lt;&gt;""),AND(DR15&gt;=DV$27,DS15&gt;=DV$31,DS15&lt;&gt;""),AND(EM15&gt;=EQ$27,EN15&gt;=EQ$31,EN15&lt;&gt;""),AND(FH15&gt;=FL$27,FI15&gt;=FL$31,FI15&lt;&gt;""),AND(GC15&gt;=GG$27,GD15&gt;=GG$31,GD15&lt;&gt;""),AND(GX15&gt;=HB$27,GY15&gt;=HB$31,GY15&lt;&gt;""),AND(HS15&gt;=HW$27,HT15&gt;=HW$31,HT15&lt;&gt;""),AND(IN15&gt;=IR$27,IO15&gt;=IR$31,IO15&lt;&gt;""),AND(JI15&gt;=JM$27,JJ15&gt;=JM$31,JJ15&lt;&gt;""),AND(KD15&gt;=KH$27,KE15&gt;=KH$31,KE15&lt;&gt;""),AND(KY15&gt;=LC$27,KZ15&gt;=LC$31,KZ15&lt;&gt;""),AND(LT15&gt;=LX$27,LU15&gt;=LX$31,LU15&lt;&gt;"")),"P","")</f>
        <v/>
      </c>
      <c r="G15" s="3" t="str">
        <f>IF(OR(AND(AI15&gt;=AL$31,AI15&lt;&gt;"",AG15=""),AND(BE15&gt;=BH$31,BE15&lt;&gt;"",BC15=""),AND(CA15&gt;=CD$31,CA15&lt;&gt;"",BY15=""),AND(CX15&gt;=DA$31,CX15&lt;&gt;""),AND(DS15&gt;=DV$31,DS15&lt;&gt;""),AND(EN15&gt;=EQ$31,EN15&lt;&gt;""),AND(FI15&gt;=FL$31,FI15&lt;&gt;""),AND(GD15&gt;=GG$31,GD15&lt;&gt;""),AND(GY15&gt;=HB$31,GY15&lt;&gt;""),AND(HT15&gt;=HW$31,HT15&lt;&gt;""),AND(IO15&gt;=IR$31,IO15&lt;&gt;""),AND(JJ15&gt;=JM$31,JJ15&lt;&gt;""),AND(KE15&gt;=KH$31,KE15&lt;&gt;""),AND(KZ15&gt;=LC$31,KZ15&lt;&gt;""),AND(LU15&gt;=LX$31,LU15&lt;&gt;"")),"P","")</f>
        <v/>
      </c>
      <c r="H15" s="116" t="str">
        <f>IF(AND(G15="P",F15=""),"No DD",IF(OR(AND(AH15&gt;=AL$30,AH15&lt;&gt;"",AI15&gt;=AL$34,AI15&lt;&gt;"",AG15=""),AND(BD15&gt;=BH$30,BD15&lt;&gt;"",BE15&gt;=BH$34,BE15&lt;&gt;"",BC15=""),AND(BZ15&gt;=CD$30,BZ15&lt;&gt;"",CA15&gt;=CD$34,CA15&lt;&gt;"",BY15=""),AND(CW15&gt;=DA$30,CW15&lt;&gt;"",CX15&gt;=DA$34,CX15&lt;&gt;""),AND(DR15&gt;=DV$30,DR15&lt;&gt;"",DS15&gt;=DV$34,DS15&lt;&gt;""),AND(EM15&gt;=EQ$30,EM15&lt;&gt;"",EN15&gt;=EQ$34,EN15&lt;&gt;""),AND(FH15&gt;=FL$30,FH15&lt;&gt;"",FI15&gt;=FL$34,FI15&lt;&gt;""),AND(GC15&gt;=GG$30,GC15&lt;&gt;"",GD15&gt;=GG$34,GD15&lt;&gt;""),AND(GX15&gt;=HB$30,GX15&lt;&gt;"",GY15&gt;=HB$34,GY15&lt;&gt;""),AND(HS15&gt;=HW$30,HS15&lt;&gt;"",HT15&gt;=HW$34,HT15&lt;&gt;""),AND(IN15&gt;=IR$30,IN15&lt;&gt;"",IO15&gt;=IR$34,IO15&lt;&gt;""),AND(JI15&gt;=JM$30,JI15&lt;&gt;"",JJ15&gt;=JM$34,JJ15&lt;&gt;""),AND(KD15&gt;=KH$30,KD15&lt;&gt;"",KE15&gt;=KH$34,KE15&lt;&gt;""),AND(KY15&gt;=LC$30,KY15&lt;&gt;"",KZ15&gt;=LC$34,KZ15&lt;&gt;""),AND(LT15&gt;=LX$30,LT15&lt;&gt;"",LU15&gt;=LX$34,LU15&lt;&gt;"")),"Merit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Excellence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Worlds Team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National Team","")))))</f>
        <v/>
      </c>
      <c r="I15" s="3" t="str">
        <f>IF(OR(H15="Worlds Team",H15="Excellence",H15="Merit"),"P","")</f>
        <v/>
      </c>
      <c r="J15" s="14">
        <f>MAX(AI15,BE15,CA15)</f>
        <v>66.899999999999991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54.5</v>
      </c>
      <c r="M15" s="14" t="str">
        <f>IF(L15=0,"",IF(AND(J15&lt;&gt;CA15,L15=CD15),$BI$1,IF(AND(J15&lt;&gt;BE15,L15=BH15),$AM$1,IF(L15=AL15,$Q$1,""))))</f>
        <v>2021 Canadian Championships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6">
        <v>27.9</v>
      </c>
      <c r="AN15" s="36">
        <v>6</v>
      </c>
      <c r="AO15" s="36">
        <v>0</v>
      </c>
      <c r="AP15" s="36">
        <v>0</v>
      </c>
      <c r="AQ15" s="36">
        <v>27.9</v>
      </c>
      <c r="AR15" s="36">
        <v>6</v>
      </c>
      <c r="AS15" s="36">
        <v>0.9</v>
      </c>
      <c r="AT15" s="36">
        <v>0</v>
      </c>
      <c r="AU15" s="36">
        <v>24.6</v>
      </c>
      <c r="AV15" s="36">
        <v>5.6</v>
      </c>
      <c r="AW15" s="36">
        <v>1.8</v>
      </c>
      <c r="AX15" s="36">
        <v>0</v>
      </c>
      <c r="AY15" s="36">
        <v>28.1</v>
      </c>
      <c r="AZ15" s="36">
        <v>5.2</v>
      </c>
      <c r="BA15" s="36">
        <v>0.9</v>
      </c>
      <c r="BB15" s="36">
        <v>0</v>
      </c>
      <c r="BC15" s="73"/>
      <c r="BD15" s="14">
        <f>IF(SUM(AN15,AR15)&gt;0,SUM(AN15,AR15),"")</f>
        <v>12</v>
      </c>
      <c r="BE15" s="14">
        <f>IF(SUM(AM15:AN15,AP15:AR15,AT15)-SUM(AO15,AS15)&gt;0,SUM(AM15:AN15,AP15:AR15,AT15)-SUM(AO15,AS15),"")</f>
        <v>66.899999999999991</v>
      </c>
      <c r="BF15" s="14">
        <f>IF(SUM(AV15,AZ15)&gt;0,SUM(AV15,AZ15),"")</f>
        <v>10.8</v>
      </c>
      <c r="BG15" s="14">
        <f>IF(SUM(AU15:AV15,AX15:AZ15,BB15)-SUM(AW15,BA15)&gt;0,SUM(AU15:AV15,AX15:AZ15,BB15)-SUM(AW15,BA15),"")</f>
        <v>60.800000000000004</v>
      </c>
      <c r="BH15" s="14">
        <f>IF(SUM(BE15,BG15)&gt;0,SUM(BE15,BG15),"")</f>
        <v>127.69999999999999</v>
      </c>
      <c r="BI15" s="61">
        <v>27.1</v>
      </c>
      <c r="BJ15" s="61">
        <v>6</v>
      </c>
      <c r="BK15" s="61">
        <v>1.2</v>
      </c>
      <c r="BL15" s="61">
        <v>0</v>
      </c>
      <c r="BM15" s="61">
        <v>19.8</v>
      </c>
      <c r="BN15" s="61">
        <v>2.8</v>
      </c>
      <c r="BO15" s="61">
        <v>0</v>
      </c>
      <c r="BP15" s="61">
        <v>0</v>
      </c>
      <c r="BQ15" s="61"/>
      <c r="BR15" s="61"/>
      <c r="BS15" s="61"/>
      <c r="BT15" s="61"/>
      <c r="BU15" s="61"/>
      <c r="BV15" s="61"/>
      <c r="BW15" s="61"/>
      <c r="BX15" s="61"/>
      <c r="BY15" s="72"/>
      <c r="BZ15" s="11">
        <f>IF(SUM(BJ15,BN15)&gt;0,SUM(BJ15,BN15),"")</f>
        <v>8.8000000000000007</v>
      </c>
      <c r="CA15" s="11">
        <f>IF(SUM(BI15:BJ15,BL15:BN15,BP15)-SUM(BK15,BO15)&gt;0,SUM(BI15:BJ15,BL15:BN15,BP15)-SUM(BK15,BO15),"")</f>
        <v>54.5</v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>
        <f>IF(SUM(CA15,CC15)&gt;0,SUM(CA15,CC15),"")</f>
        <v>54.5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27.5</v>
      </c>
      <c r="LZ15" s="61">
        <f>IF($BY15="P",BJ15,(BJ15+AN15)/2)</f>
        <v>6</v>
      </c>
      <c r="MA15" s="61">
        <f>IF($BY15="P",BK15,(BK15+AO15)/2)</f>
        <v>0.6</v>
      </c>
      <c r="MB15" s="61">
        <f>IF($BY15="P",BL15,(BL15+AP15)/2)</f>
        <v>0</v>
      </c>
      <c r="MC15" s="61">
        <f>IF($BY15="P",BM15,(BM15+AQ15)/2)</f>
        <v>23.85</v>
      </c>
      <c r="MD15" s="61">
        <f>IF($BY15="P",BN15,(BN15+AR15)/2)</f>
        <v>4.4000000000000004</v>
      </c>
      <c r="ME15" s="61">
        <f>IF($BY15="P",BO15,(BO15+AS15)/2)</f>
        <v>0.45</v>
      </c>
      <c r="MF15" s="61">
        <f>IF($BY15="P",BP15,(BP15+AT15)/2)</f>
        <v>0</v>
      </c>
      <c r="MG15" s="61">
        <f>IF($BY15="P",BQ15,(BQ15+AU15)/2)</f>
        <v>12.3</v>
      </c>
      <c r="MH15" s="61">
        <f>IF($BY15="P",BR15,(BR15+AV15)/2)</f>
        <v>2.8</v>
      </c>
      <c r="MI15" s="61">
        <f>IF($BY15="P",BS15,(BS15+AW15)/2)</f>
        <v>0.9</v>
      </c>
      <c r="MJ15" s="61">
        <f>IF($BY15="P",BT15,(BT15+AX15)/2)</f>
        <v>0</v>
      </c>
      <c r="MK15" s="61">
        <f>IF($BY15="P",BU15,(BU15+AY15)/2)</f>
        <v>14.05</v>
      </c>
      <c r="ML15" s="61">
        <f>IF($BY15="P",BV15,(BV15+AZ15)/2)</f>
        <v>2.6</v>
      </c>
      <c r="MM15" s="61">
        <f>IF($BY15="P",BW15,(BW15+BA15)/2)</f>
        <v>0.45</v>
      </c>
      <c r="MN15" s="61">
        <f>IF($BY15="P",BX15,(BX15+BB15)/2)</f>
        <v>0</v>
      </c>
      <c r="MO15" s="72" t="s">
        <v>52</v>
      </c>
      <c r="MP15" s="11">
        <f>IF(SUM(LZ15,MD15)&gt;0,SUM(LZ15,MD15),"")</f>
        <v>10.4</v>
      </c>
      <c r="MQ15" s="11">
        <f>IF(SUM(LY15:LZ15,MB15:MD15,MF15)-SUM(MA15,ME15)&gt;0,SUM(LY15:LZ15,MB15:MD15,MF15)-SUM(MA15,ME15),"")</f>
        <v>60.7</v>
      </c>
      <c r="MR15" s="11">
        <f>IF(SUM(MH15,ML15)&gt;0,SUM(MH15,ML15),"")</f>
        <v>5.4</v>
      </c>
      <c r="MS15" s="11">
        <f>IF(SUM(MG15:MH15,MJ15:ML15,MN15)-SUM(MI15,MM15)&gt;0,SUM(MG15:MH15,MJ15:ML15,MN15)-SUM(MI15,MM15),"")</f>
        <v>30.400000000000002</v>
      </c>
      <c r="MT15" s="11">
        <f>IF(SUM(MQ15,MS15)&gt;0,SUM(MQ15,MS15),"")</f>
        <v>91.100000000000009</v>
      </c>
    </row>
    <row r="16" spans="1:358" x14ac:dyDescent="0.2">
      <c r="A16" s="5" t="str">
        <f>IF(AND(F16="P",G16="P"),SUMPRODUCT((F$4:F$25="P")*(G$4:G$25="P")*(E$4:E$25&gt;E16))+1,IF(G16="P",SUMPRODUCT((F$4:F$25="")*(G$4:G$25="P")*(E$4:E$25&gt;E16))+1+SUMPRODUCT((F$4:F$25="P")*(G$4:G$25="P")),""))</f>
        <v/>
      </c>
      <c r="B16" s="8" t="s">
        <v>137</v>
      </c>
      <c r="C16" s="4" t="s">
        <v>5</v>
      </c>
      <c r="D16" s="5">
        <v>2004</v>
      </c>
      <c r="E16" s="15">
        <f>SUM(J16:N16)</f>
        <v>105.6</v>
      </c>
      <c r="F16" s="3" t="str">
        <f>IF(OR(AND(AH16&gt;=AL$27,AI16&gt;=AL$31,AI16&lt;&gt;"",AG16=""),AND(BD16&gt;=BH$27,BE16&gt;=BH$31,BE16&lt;&gt;"",BC16=""),AND(BZ16&gt;=CD$27,CA16&gt;=CD$31,CA16&lt;&gt;"",BY16=""),AND(CW16&gt;=DA$27,CX16&gt;=DA$31,CX16&lt;&gt;""),AND(DR16&gt;=DV$27,DS16&gt;=DV$31,DS16&lt;&gt;""),AND(EM16&gt;=EQ$27,EN16&gt;=EQ$31,EN16&lt;&gt;""),AND(FH16&gt;=FL$27,FI16&gt;=FL$31,FI16&lt;&gt;""),AND(GC16&gt;=GG$27,GD16&gt;=GG$31,GD16&lt;&gt;""),AND(GX16&gt;=HB$27,GY16&gt;=HB$31,GY16&lt;&gt;""),AND(HS16&gt;=HW$27,HT16&gt;=HW$31,HT16&lt;&gt;""),AND(IN16&gt;=IR$27,IO16&gt;=IR$31,IO16&lt;&gt;""),AND(JI16&gt;=JM$27,JJ16&gt;=JM$31,JJ16&lt;&gt;""),AND(KD16&gt;=KH$27,KE16&gt;=KH$31,KE16&lt;&gt;""),AND(KY16&gt;=LC$27,KZ16&gt;=LC$31,KZ16&lt;&gt;""),AND(LT16&gt;=LX$27,LU16&gt;=LX$31,LU16&lt;&gt;"")),"P","")</f>
        <v/>
      </c>
      <c r="G16" s="3" t="str">
        <f>IF(OR(AND(AI16&gt;=AL$31,AI16&lt;&gt;"",AG16=""),AND(BE16&gt;=BH$31,BE16&lt;&gt;"",BC16=""),AND(CA16&gt;=CD$31,CA16&lt;&gt;"",BY16=""),AND(CX16&gt;=DA$31,CX16&lt;&gt;""),AND(DS16&gt;=DV$31,DS16&lt;&gt;""),AND(EN16&gt;=EQ$31,EN16&lt;&gt;""),AND(FI16&gt;=FL$31,FI16&lt;&gt;""),AND(GD16&gt;=GG$31,GD16&lt;&gt;""),AND(GY16&gt;=HB$31,GY16&lt;&gt;""),AND(HT16&gt;=HW$31,HT16&lt;&gt;""),AND(IO16&gt;=IR$31,IO16&lt;&gt;""),AND(JJ16&gt;=JM$31,JJ16&lt;&gt;""),AND(KE16&gt;=KH$31,KE16&lt;&gt;""),AND(KZ16&gt;=LC$31,KZ16&lt;&gt;""),AND(LU16&gt;=LX$31,LU16&lt;&gt;"")),"P","")</f>
        <v/>
      </c>
      <c r="H16" s="116" t="str">
        <f>IF(AND(G16="P",F16=""),"No DD",IF(OR(AND(AH16&gt;=AL$30,AH16&lt;&gt;"",AI16&gt;=AL$34,AI16&lt;&gt;"",AG16=""),AND(BD16&gt;=BH$30,BD16&lt;&gt;"",BE16&gt;=BH$34,BE16&lt;&gt;"",BC16=""),AND(BZ16&gt;=CD$30,BZ16&lt;&gt;"",CA16&gt;=CD$34,CA16&lt;&gt;"",BY16=""),AND(CW16&gt;=DA$30,CW16&lt;&gt;"",CX16&gt;=DA$34,CX16&lt;&gt;""),AND(DR16&gt;=DV$30,DR16&lt;&gt;"",DS16&gt;=DV$34,DS16&lt;&gt;""),AND(EM16&gt;=EQ$30,EM16&lt;&gt;"",EN16&gt;=EQ$34,EN16&lt;&gt;""),AND(FH16&gt;=FL$30,FH16&lt;&gt;"",FI16&gt;=FL$34,FI16&lt;&gt;""),AND(GC16&gt;=GG$30,GC16&lt;&gt;"",GD16&gt;=GG$34,GD16&lt;&gt;""),AND(GX16&gt;=HB$30,GX16&lt;&gt;"",GY16&gt;=HB$34,GY16&lt;&gt;""),AND(HS16&gt;=HW$30,HS16&lt;&gt;"",HT16&gt;=HW$34,HT16&lt;&gt;""),AND(IN16&gt;=IR$30,IN16&lt;&gt;"",IO16&gt;=IR$34,IO16&lt;&gt;""),AND(JI16&gt;=JM$30,JI16&lt;&gt;"",JJ16&gt;=JM$34,JJ16&lt;&gt;""),AND(KD16&gt;=KH$30,KD16&lt;&gt;"",KE16&gt;=KH$34,KE16&lt;&gt;""),AND(KY16&gt;=LC$30,KY16&lt;&gt;"",KZ16&gt;=LC$34,KZ16&lt;&gt;""),AND(LT16&gt;=LX$30,LT16&lt;&gt;"",LU16&gt;=LX$34,LU16&lt;&gt;"")),"Merit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Excellence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Worlds Team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National Team","")))))</f>
        <v/>
      </c>
      <c r="I16" s="3" t="str">
        <f>IF(OR(H16="Worlds Team",H16="Excellence",H16="Merit"),"P","")</f>
        <v/>
      </c>
      <c r="J16" s="14">
        <f>MAX(AI16,BE16,CA16)</f>
        <v>55.6</v>
      </c>
      <c r="K16" s="14" t="str">
        <f>IF(J16=0,"",IF(J16=CA16,$BI$1,IF(J16=BE16,$AM$1,IF(J16=AI16,$Q$1,""))))</f>
        <v>2021 Elite Canada</v>
      </c>
      <c r="L16" s="14">
        <f>IF(J16=AI16,MAX(BH16,CD16),IF(J16=BE16,MAX(AL16,CD16),MAX(AL16,BH16)))</f>
        <v>50</v>
      </c>
      <c r="M16" s="14" t="str">
        <f>IF(L16=0,"",IF(AND(J16&lt;&gt;CA16,L16=CD16),$BI$1,IF(AND(J16&lt;&gt;BE16,L16=BH16),$AM$1,IF(L16=AL16,$Q$1,""))))</f>
        <v>2021 Canadian Championships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72"/>
      <c r="AH16" s="11" t="str">
        <f>IF(SUM(R16,V16)&gt;0,SUM(R16,V16),"")</f>
        <v/>
      </c>
      <c r="AI16" s="11" t="str">
        <f>IF(SUM(Q16:R16,T16:V16,X16)-SUM(S16,W16)&gt;0,SUM(Q16:R16,T16:V16,X16)-SUM(S16,W16),"")</f>
        <v/>
      </c>
      <c r="AJ16" s="11" t="str">
        <f>IF(SUM(Z16,AD16)&gt;0,SUM(Z16,AD16),"")</f>
        <v/>
      </c>
      <c r="AK16" s="11" t="str">
        <f>IF(SUM(Y16:Z16,AB16:AD16,AF16)-SUM(AA16,AE16)&gt;0,SUM(Y16:Z16,AB16:AD16,AF16)-SUM(AA16,AE16),"")</f>
        <v/>
      </c>
      <c r="AL16" s="11" t="str">
        <f>IF(SUM(AI16,AK16)&gt;0,SUM(AI16,AK16),"")</f>
        <v/>
      </c>
      <c r="AM16" s="36">
        <v>19.899999999999999</v>
      </c>
      <c r="AN16" s="36">
        <v>2.4</v>
      </c>
      <c r="AO16" s="36">
        <v>0</v>
      </c>
      <c r="AP16" s="36">
        <v>0</v>
      </c>
      <c r="AQ16" s="36">
        <v>27.7</v>
      </c>
      <c r="AR16" s="36">
        <v>5.6</v>
      </c>
      <c r="AS16" s="36">
        <v>0</v>
      </c>
      <c r="AT16" s="36">
        <v>0</v>
      </c>
      <c r="AU16" s="36">
        <v>19.600000000000001</v>
      </c>
      <c r="AV16" s="36">
        <v>2.4</v>
      </c>
      <c r="AW16" s="36">
        <v>0</v>
      </c>
      <c r="AX16" s="36">
        <v>0</v>
      </c>
      <c r="AY16" s="36">
        <v>27.3</v>
      </c>
      <c r="AZ16" s="36">
        <v>4.8</v>
      </c>
      <c r="BA16" s="36">
        <v>0.3</v>
      </c>
      <c r="BB16" s="36">
        <v>0</v>
      </c>
      <c r="BC16" s="73"/>
      <c r="BD16" s="14">
        <f>IF(SUM(AN16,AR16)&gt;0,SUM(AN16,AR16),"")</f>
        <v>8</v>
      </c>
      <c r="BE16" s="14">
        <f>IF(SUM(AM16:AN16,AP16:AR16,AT16)-SUM(AO16,AS16)&gt;0,SUM(AM16:AN16,AP16:AR16,AT16)-SUM(AO16,AS16),"")</f>
        <v>55.6</v>
      </c>
      <c r="BF16" s="14">
        <f>IF(SUM(AV16,AZ16)&gt;0,SUM(AV16,AZ16),"")</f>
        <v>7.1999999999999993</v>
      </c>
      <c r="BG16" s="14">
        <f>IF(SUM(AU16:AV16,AX16:AZ16,BB16)-SUM(AW16,BA16)&gt;0,SUM(AU16:AV16,AX16:AZ16,BB16)-SUM(AW16,BA16),"")</f>
        <v>53.8</v>
      </c>
      <c r="BH16" s="14">
        <f>IF(SUM(BE16,BG16)&gt;0,SUM(BE16,BG16),"")</f>
        <v>109.4</v>
      </c>
      <c r="BI16" s="61">
        <v>20</v>
      </c>
      <c r="BJ16" s="61">
        <v>2.4</v>
      </c>
      <c r="BK16" s="61">
        <v>0</v>
      </c>
      <c r="BL16" s="61">
        <v>0</v>
      </c>
      <c r="BM16" s="61">
        <v>24.3</v>
      </c>
      <c r="BN16" s="61">
        <v>4.8</v>
      </c>
      <c r="BO16" s="61">
        <v>1.5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>IF(SUM(BJ16,BN16)&gt;0,SUM(BJ16,BN16),"")</f>
        <v>7.1999999999999993</v>
      </c>
      <c r="CA16" s="11">
        <f>IF(SUM(BI16:BJ16,BL16:BN16,BP16)-SUM(BK16,BO16)&gt;0,SUM(BI16:BJ16,BL16:BN16,BP16)-SUM(BK16,BO16),"")</f>
        <v>50</v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>
        <f>IF(SUM(CA16,CC16)&gt;0,SUM(CA16,CC16),"")</f>
        <v>50</v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19.95</v>
      </c>
      <c r="LZ16" s="61">
        <f>IF($BY16="P",BJ16,(BJ16+AN16)/2)</f>
        <v>2.4</v>
      </c>
      <c r="MA16" s="61">
        <f>IF($BY16="P",BK16,(BK16+AO16)/2)</f>
        <v>0</v>
      </c>
      <c r="MB16" s="61">
        <f>IF($BY16="P",BL16,(BL16+AP16)/2)</f>
        <v>0</v>
      </c>
      <c r="MC16" s="61">
        <f>IF($BY16="P",BM16,(BM16+AQ16)/2)</f>
        <v>26</v>
      </c>
      <c r="MD16" s="61">
        <f>IF($BY16="P",BN16,(BN16+AR16)/2)</f>
        <v>5.1999999999999993</v>
      </c>
      <c r="ME16" s="61">
        <f>IF($BY16="P",BO16,(BO16+AS16)/2)</f>
        <v>0.75</v>
      </c>
      <c r="MF16" s="61">
        <f>IF($BY16="P",BP16,(BP16+AT16)/2)</f>
        <v>0</v>
      </c>
      <c r="MG16" s="61">
        <f>IF($BY16="P",BQ16,(BQ16+AU16)/2)</f>
        <v>9.8000000000000007</v>
      </c>
      <c r="MH16" s="61">
        <f>IF($BY16="P",BR16,(BR16+AV16)/2)</f>
        <v>1.2</v>
      </c>
      <c r="MI16" s="61">
        <f>IF($BY16="P",BS16,(BS16+AW16)/2)</f>
        <v>0</v>
      </c>
      <c r="MJ16" s="61">
        <f>IF($BY16="P",BT16,(BT16+AX16)/2)</f>
        <v>0</v>
      </c>
      <c r="MK16" s="61">
        <f>IF($BY16="P",BU16,(BU16+AY16)/2)</f>
        <v>13.65</v>
      </c>
      <c r="ML16" s="61">
        <f>IF($BY16="P",BV16,(BV16+AZ16)/2)</f>
        <v>2.4</v>
      </c>
      <c r="MM16" s="61">
        <f>IF($BY16="P",BW16,(BW16+BA16)/2)</f>
        <v>0.15</v>
      </c>
      <c r="MN16" s="61">
        <f>IF($BY16="P",BX16,(BX16+BB16)/2)</f>
        <v>0</v>
      </c>
      <c r="MO16" s="72" t="s">
        <v>52</v>
      </c>
      <c r="MP16" s="11">
        <f>IF(SUM(LZ16,MD16)&gt;0,SUM(LZ16,MD16),"")</f>
        <v>7.6</v>
      </c>
      <c r="MQ16" s="11">
        <f>IF(SUM(LY16:LZ16,MB16:MD16,MF16)-SUM(MA16,ME16)&gt;0,SUM(LY16:LZ16,MB16:MD16,MF16)-SUM(MA16,ME16),"")</f>
        <v>52.8</v>
      </c>
      <c r="MR16" s="11">
        <f>IF(SUM(MH16,ML16)&gt;0,SUM(MH16,ML16),"")</f>
        <v>3.5999999999999996</v>
      </c>
      <c r="MS16" s="11">
        <f>IF(SUM(MG16:MH16,MJ16:ML16,MN16)-SUM(MI16,MM16)&gt;0,SUM(MG16:MH16,MJ16:ML16,MN16)-SUM(MI16,MM16),"")</f>
        <v>26.9</v>
      </c>
      <c r="MT16" s="11">
        <f>IF(SUM(MQ16,MS16)&gt;0,SUM(MQ16,MS16),"")</f>
        <v>79.699999999999989</v>
      </c>
    </row>
    <row r="17" spans="1:358" x14ac:dyDescent="0.2">
      <c r="A17" s="5" t="str">
        <f>IF(AND(F17="P",G17="P"),SUMPRODUCT((F$4:F$25="P")*(G$4:G$25="P")*(E$4:E$25&gt;E17))+1,IF(G17="P",SUMPRODUCT((F$4:F$25="")*(G$4:G$25="P")*(E$4:E$25&gt;E17))+1+SUMPRODUCT((F$4:F$25="P")*(G$4:G$25="P")),""))</f>
        <v/>
      </c>
      <c r="B17" s="8" t="s">
        <v>92</v>
      </c>
      <c r="C17" s="4" t="s">
        <v>5</v>
      </c>
      <c r="D17" s="5">
        <v>2002</v>
      </c>
      <c r="E17" s="15">
        <f>SUM(J17:N17)</f>
        <v>67.2</v>
      </c>
      <c r="F17" s="3" t="str">
        <f>IF(OR(AND(AH17&gt;=AL$27,AI17&gt;=AL$31,AI17&lt;&gt;"",AG17=""),AND(BD17&gt;=BH$27,BE17&gt;=BH$31,BE17&lt;&gt;"",BC17=""),AND(BZ17&gt;=CD$27,CA17&gt;=CD$31,CA17&lt;&gt;"",BY17=""),AND(CW17&gt;=DA$27,CX17&gt;=DA$31,CX17&lt;&gt;""),AND(DR17&gt;=DV$27,DS17&gt;=DV$31,DS17&lt;&gt;""),AND(EM17&gt;=EQ$27,EN17&gt;=EQ$31,EN17&lt;&gt;""),AND(FH17&gt;=FL$27,FI17&gt;=FL$31,FI17&lt;&gt;""),AND(GC17&gt;=GG$27,GD17&gt;=GG$31,GD17&lt;&gt;""),AND(GX17&gt;=HB$27,GY17&gt;=HB$31,GY17&lt;&gt;""),AND(HS17&gt;=HW$27,HT17&gt;=HW$31,HT17&lt;&gt;""),AND(IN17&gt;=IR$27,IO17&gt;=IR$31,IO17&lt;&gt;""),AND(JI17&gt;=JM$27,JJ17&gt;=JM$31,JJ17&lt;&gt;""),AND(KD17&gt;=KH$27,KE17&gt;=KH$31,KE17&lt;&gt;""),AND(KY17&gt;=LC$27,KZ17&gt;=LC$31,KZ17&lt;&gt;""),AND(LT17&gt;=LX$27,LU17&gt;=LX$31,LU17&lt;&gt;"")),"P","")</f>
        <v/>
      </c>
      <c r="G17" s="3" t="str">
        <f>IF(OR(AND(AI17&gt;=AL$31,AI17&lt;&gt;"",AG17=""),AND(BE17&gt;=BH$31,BE17&lt;&gt;"",BC17=""),AND(CA17&gt;=CD$31,CA17&lt;&gt;"",BY17=""),AND(CX17&gt;=DA$31,CX17&lt;&gt;""),AND(DS17&gt;=DV$31,DS17&lt;&gt;""),AND(EN17&gt;=EQ$31,EN17&lt;&gt;""),AND(FI17&gt;=FL$31,FI17&lt;&gt;""),AND(GD17&gt;=GG$31,GD17&lt;&gt;""),AND(GY17&gt;=HB$31,GY17&lt;&gt;""),AND(HT17&gt;=HW$31,HT17&lt;&gt;""),AND(IO17&gt;=IR$31,IO17&lt;&gt;""),AND(JJ17&gt;=JM$31,JJ17&lt;&gt;""),AND(KE17&gt;=KH$31,KE17&lt;&gt;""),AND(KZ17&gt;=LC$31,KZ17&lt;&gt;""),AND(LU17&gt;=LX$31,LU17&lt;&gt;"")),"P","")</f>
        <v/>
      </c>
      <c r="H17" s="116" t="str">
        <f>IF(AND(G17="P",F17=""),"No DD",IF(OR(AND(AH17&gt;=AL$30,AH17&lt;&gt;"",AI17&gt;=AL$34,AI17&lt;&gt;"",AG17=""),AND(BD17&gt;=BH$30,BD17&lt;&gt;"",BE17&gt;=BH$34,BE17&lt;&gt;"",BC17=""),AND(BZ17&gt;=CD$30,BZ17&lt;&gt;"",CA17&gt;=CD$34,CA17&lt;&gt;"",BY17=""),AND(CW17&gt;=DA$30,CW17&lt;&gt;"",CX17&gt;=DA$34,CX17&lt;&gt;""),AND(DR17&gt;=DV$30,DR17&lt;&gt;"",DS17&gt;=DV$34,DS17&lt;&gt;""),AND(EM17&gt;=EQ$30,EM17&lt;&gt;"",EN17&gt;=EQ$34,EN17&lt;&gt;""),AND(FH17&gt;=FL$30,FH17&lt;&gt;"",FI17&gt;=FL$34,FI17&lt;&gt;""),AND(GC17&gt;=GG$30,GC17&lt;&gt;"",GD17&gt;=GG$34,GD17&lt;&gt;""),AND(GX17&gt;=HB$30,GX17&lt;&gt;"",GY17&gt;=HB$34,GY17&lt;&gt;""),AND(HS17&gt;=HW$30,HS17&lt;&gt;"",HT17&gt;=HW$34,HT17&lt;&gt;""),AND(IN17&gt;=IR$30,IN17&lt;&gt;"",IO17&gt;=IR$34,IO17&lt;&gt;""),AND(JI17&gt;=JM$30,JI17&lt;&gt;"",JJ17&gt;=JM$34,JJ17&lt;&gt;""),AND(KD17&gt;=KH$30,KD17&lt;&gt;"",KE17&gt;=KH$34,KE17&lt;&gt;""),AND(KY17&gt;=LC$30,KY17&lt;&gt;"",KZ17&gt;=LC$34,KZ17&lt;&gt;""),AND(LT17&gt;=LX$30,LT17&lt;&gt;"",LU17&gt;=LX$34,LU17&lt;&gt;"")),"Merit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Excellence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Worlds Team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National Team","")))))</f>
        <v/>
      </c>
      <c r="I17" s="3" t="str">
        <f>IF(OR(H17="Worlds Team",H17="Excellence",H17="Merit"),"P","")</f>
        <v/>
      </c>
      <c r="J17" s="14">
        <f>MAX(AI17,BE17,CA17)</f>
        <v>67.2</v>
      </c>
      <c r="K17" s="14" t="str">
        <f>IF(J17=0,"",IF(J17=CA17,$BI$1,IF(J17=BE17,$AM$1,IF(J17=AI17,$Q$1,""))))</f>
        <v>2021 Canadian Championships</v>
      </c>
      <c r="L17" s="14">
        <f>IF(J17=AI17,MAX(BH17,CD17),IF(J17=BE17,MAX(AL17,CD17),MAX(AL17,BH17)))</f>
        <v>0</v>
      </c>
      <c r="M17" s="14" t="str">
        <f>IF(L17=0,"",IF(AND(J17&lt;&gt;CA17,L17=CD17),$BI$1,IF(AND(J17&lt;&gt;BE17,L17=BH17),$AM$1,IF(L17=AL17,$Q$1,""))))</f>
        <v/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>IF(SUM(R17,V17)&gt;0,SUM(R17,V17),"")</f>
        <v/>
      </c>
      <c r="AI17" s="11" t="str">
        <f>IF(SUM(Q17:R17,T17:V17,X17)-SUM(S17,W17)&gt;0,SUM(Q17:R17,T17:V17,X17)-SUM(S17,W17),"")</f>
        <v/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 t="str">
        <f>IF(SUM(AI17,AK17)&gt;0,SUM(AI17,AK17),"")</f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>IF(SUM(AN17,AR17)&gt;0,SUM(AN17,AR17),"")</f>
        <v/>
      </c>
      <c r="BE17" s="14" t="str">
        <f>IF(SUM(AM17:AN17,AP17:AR17,AT17)-SUM(AO17,AS17)&gt;0,SUM(AM17:AN17,AP17:AR17,AT17)-SUM(AO17,AS17),"")</f>
        <v/>
      </c>
      <c r="BF17" s="14" t="str">
        <f>IF(SUM(AV17,AZ17)&gt;0,SUM(AV17,AZ17),"")</f>
        <v/>
      </c>
      <c r="BG17" s="14" t="str">
        <f>IF(SUM(AU17:AV17,AX17:AZ17,BB17)-SUM(AW17,BA17)&gt;0,SUM(AU17:AV17,AX17:AZ17,BB17)-SUM(AW17,BA17),"")</f>
        <v/>
      </c>
      <c r="BH17" s="14" t="str">
        <f>IF(SUM(BE17,BG17)&gt;0,SUM(BE17,BG17),"")</f>
        <v/>
      </c>
      <c r="BI17" s="61">
        <v>27.6</v>
      </c>
      <c r="BJ17" s="61">
        <v>6</v>
      </c>
      <c r="BK17" s="61">
        <v>0</v>
      </c>
      <c r="BL17" s="61">
        <v>0</v>
      </c>
      <c r="BM17" s="61">
        <v>27.9</v>
      </c>
      <c r="BN17" s="61">
        <v>6</v>
      </c>
      <c r="BO17" s="61">
        <v>0.3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>IF(SUM(BJ17,BN17)&gt;0,SUM(BJ17,BN17),"")</f>
        <v>12</v>
      </c>
      <c r="CA17" s="11">
        <f>IF(SUM(BI17:BJ17,BL17:BN17,BP17)-SUM(BK17,BO17)&gt;0,SUM(BI17:BJ17,BL17:BN17,BP17)-SUM(BK17,BO17),"")</f>
        <v>67.2</v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>
        <f>IF(SUM(CA17,CC17)&gt;0,SUM(CA17,CC17),"")</f>
        <v>67.2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13.8</v>
      </c>
      <c r="LZ17" s="61">
        <f>IF($BY17="P",BJ17,(BJ17+AN17)/2)</f>
        <v>3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13.95</v>
      </c>
      <c r="MD17" s="61">
        <f>IF($BY17="P",BN17,(BN17+AR17)/2)</f>
        <v>3</v>
      </c>
      <c r="ME17" s="61">
        <f>IF($BY17="P",BO17,(BO17+AS17)/2)</f>
        <v>0.15</v>
      </c>
      <c r="MF17" s="61">
        <f>IF($BY17="P",BP17,(BP17+AT17)/2)</f>
        <v>0</v>
      </c>
      <c r="MG17" s="61">
        <f>IF($BY17="P",BQ17,(BQ17+AU17)/2)</f>
        <v>0</v>
      </c>
      <c r="MH17" s="61">
        <f>IF($BY17="P",BR17,(BR17+AV17)/2)</f>
        <v>0</v>
      </c>
      <c r="MI17" s="61">
        <f>IF($BY17="P",BS17,(BS17+AW17)/2)</f>
        <v>0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>
        <f>IF(SUM(LZ17,MD17)&gt;0,SUM(LZ17,MD17),"")</f>
        <v>6</v>
      </c>
      <c r="MQ17" s="11">
        <f>IF(SUM(LY17:LZ17,MB17:MD17,MF17)-SUM(MA17,ME17)&gt;0,SUM(LY17:LZ17,MB17:MD17,MF17)-SUM(MA17,ME17),"")</f>
        <v>33.6</v>
      </c>
      <c r="MR17" s="11" t="str">
        <f>IF(SUM(MH17,ML17)&gt;0,SUM(MH17,ML17),"")</f>
        <v/>
      </c>
      <c r="MS17" s="11" t="str">
        <f>IF(SUM(MG17:MH17,MJ17:ML17,MN17)-SUM(MI17,MM17)&gt;0,SUM(MG17:MH17,MJ17:ML17,MN17)-SUM(MI17,MM17),"")</f>
        <v/>
      </c>
      <c r="MT17" s="11">
        <f>IF(SUM(MQ17,MS17)&gt;0,SUM(MQ17,MS17),"")</f>
        <v>33.6</v>
      </c>
    </row>
    <row r="18" spans="1:358" x14ac:dyDescent="0.2">
      <c r="A18" s="5" t="str">
        <f>IF(AND(F18="P",G18="P"),SUMPRODUCT((F$4:F$25="P")*(G$4:G$25="P")*(E$4:E$25&gt;E18))+1,IF(G18="P",SUMPRODUCT((F$4:F$25="")*(G$4:G$25="P")*(E$4:E$25&gt;E18))+1+SUMPRODUCT((F$4:F$25="P")*(G$4:G$25="P")),""))</f>
        <v/>
      </c>
      <c r="B18" s="8" t="s">
        <v>123</v>
      </c>
      <c r="C18" s="4" t="s">
        <v>4</v>
      </c>
      <c r="D18" s="5">
        <v>2004</v>
      </c>
      <c r="E18" s="15">
        <f>SUM(J18:N18)</f>
        <v>66.499999999999986</v>
      </c>
      <c r="F18" s="3" t="str">
        <f>IF(OR(AND(AH18&gt;=AL$27,AI18&gt;=AL$31,AI18&lt;&gt;"",AG18=""),AND(BD18&gt;=BH$27,BE18&gt;=BH$31,BE18&lt;&gt;"",BC18=""),AND(BZ18&gt;=CD$27,CA18&gt;=CD$31,CA18&lt;&gt;"",BY18=""),AND(CW18&gt;=DA$27,CX18&gt;=DA$31,CX18&lt;&gt;""),AND(DR18&gt;=DV$27,DS18&gt;=DV$31,DS18&lt;&gt;""),AND(EM18&gt;=EQ$27,EN18&gt;=EQ$31,EN18&lt;&gt;""),AND(FH18&gt;=FL$27,FI18&gt;=FL$31,FI18&lt;&gt;""),AND(GC18&gt;=GG$27,GD18&gt;=GG$31,GD18&lt;&gt;""),AND(GX18&gt;=HB$27,GY18&gt;=HB$31,GY18&lt;&gt;""),AND(HS18&gt;=HW$27,HT18&gt;=HW$31,HT18&lt;&gt;""),AND(IN18&gt;=IR$27,IO18&gt;=IR$31,IO18&lt;&gt;""),AND(JI18&gt;=JM$27,JJ18&gt;=JM$31,JJ18&lt;&gt;""),AND(KD18&gt;=KH$27,KE18&gt;=KH$31,KE18&lt;&gt;""),AND(KY18&gt;=LC$27,KZ18&gt;=LC$31,KZ18&lt;&gt;""),AND(LT18&gt;=LX$27,LU18&gt;=LX$31,LU18&lt;&gt;"")),"P","")</f>
        <v/>
      </c>
      <c r="G18" s="3" t="str">
        <f>IF(OR(AND(AI18&gt;=AL$31,AI18&lt;&gt;"",AG18=""),AND(BE18&gt;=BH$31,BE18&lt;&gt;"",BC18=""),AND(CA18&gt;=CD$31,CA18&lt;&gt;"",BY18=""),AND(CX18&gt;=DA$31,CX18&lt;&gt;""),AND(DS18&gt;=DV$31,DS18&lt;&gt;""),AND(EN18&gt;=EQ$31,EN18&lt;&gt;""),AND(FI18&gt;=FL$31,FI18&lt;&gt;""),AND(GD18&gt;=GG$31,GD18&lt;&gt;""),AND(GY18&gt;=HB$31,GY18&lt;&gt;""),AND(HT18&gt;=HW$31,HT18&lt;&gt;""),AND(IO18&gt;=IR$31,IO18&lt;&gt;""),AND(JJ18&gt;=JM$31,JJ18&lt;&gt;""),AND(KE18&gt;=KH$31,KE18&lt;&gt;""),AND(KZ18&gt;=LC$31,KZ18&lt;&gt;""),AND(LU18&gt;=LX$31,LU18&lt;&gt;"")),"P","")</f>
        <v/>
      </c>
      <c r="H18" s="116" t="str">
        <f>IF(AND(G18="P",F18=""),"No DD",IF(OR(AND(AH18&gt;=AL$30,AH18&lt;&gt;"",AI18&gt;=AL$34,AI18&lt;&gt;"",AG18=""),AND(BD18&gt;=BH$30,BD18&lt;&gt;"",BE18&gt;=BH$34,BE18&lt;&gt;"",BC18=""),AND(BZ18&gt;=CD$30,BZ18&lt;&gt;"",CA18&gt;=CD$34,CA18&lt;&gt;"",BY18=""),AND(CW18&gt;=DA$30,CW18&lt;&gt;"",CX18&gt;=DA$34,CX18&lt;&gt;""),AND(DR18&gt;=DV$30,DR18&lt;&gt;"",DS18&gt;=DV$34,DS18&lt;&gt;""),AND(EM18&gt;=EQ$30,EM18&lt;&gt;"",EN18&gt;=EQ$34,EN18&lt;&gt;""),AND(FH18&gt;=FL$30,FH18&lt;&gt;"",FI18&gt;=FL$34,FI18&lt;&gt;""),AND(GC18&gt;=GG$30,GC18&lt;&gt;"",GD18&gt;=GG$34,GD18&lt;&gt;""),AND(GX18&gt;=HB$30,GX18&lt;&gt;"",GY18&gt;=HB$34,GY18&lt;&gt;""),AND(HS18&gt;=HW$30,HS18&lt;&gt;"",HT18&gt;=HW$34,HT18&lt;&gt;""),AND(IN18&gt;=IR$30,IN18&lt;&gt;"",IO18&gt;=IR$34,IO18&lt;&gt;""),AND(JI18&gt;=JM$30,JI18&lt;&gt;"",JJ18&gt;=JM$34,JJ18&lt;&gt;""),AND(KD18&gt;=KH$30,KD18&lt;&gt;"",KE18&gt;=KH$34,KE18&lt;&gt;""),AND(KY18&gt;=LC$30,KY18&lt;&gt;"",KZ18&gt;=LC$34,KZ18&lt;&gt;""),AND(LT18&gt;=LX$30,LT18&lt;&gt;"",LU18&gt;=LX$34,LU18&lt;&gt;"")),"Merit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Excellence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Worlds Team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National Team","")))))</f>
        <v/>
      </c>
      <c r="I18" s="3" t="str">
        <f>IF(OR(H18="Worlds Team",H18="Excellence",H18="Merit"),"P","")</f>
        <v/>
      </c>
      <c r="J18" s="14">
        <f>MAX(AI18,BE18,CA18)</f>
        <v>66.499999999999986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0</v>
      </c>
      <c r="M18" s="14" t="str">
        <f>IF(L18=0,"",IF(AND(J18&lt;&gt;CA18,L18=CD18),$BI$1,IF(AND(J18&lt;&gt;BE18,L18=BH18),$AM$1,IF(L18=AL18,$Q$1,""))))</f>
        <v/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28.1</v>
      </c>
      <c r="R18" s="61">
        <v>6</v>
      </c>
      <c r="S18" s="61">
        <v>0.9</v>
      </c>
      <c r="T18" s="61">
        <v>0</v>
      </c>
      <c r="U18" s="61">
        <v>27.7</v>
      </c>
      <c r="V18" s="61">
        <v>5.6</v>
      </c>
      <c r="W18" s="61">
        <v>0</v>
      </c>
      <c r="X18" s="61">
        <v>0</v>
      </c>
      <c r="Y18" s="61">
        <v>28.2</v>
      </c>
      <c r="Z18" s="61">
        <v>6.4</v>
      </c>
      <c r="AA18" s="61">
        <v>0.9</v>
      </c>
      <c r="AB18" s="61">
        <v>0</v>
      </c>
      <c r="AC18" s="61">
        <v>27.8</v>
      </c>
      <c r="AD18" s="61">
        <v>6</v>
      </c>
      <c r="AE18" s="61">
        <v>0</v>
      </c>
      <c r="AF18" s="61">
        <v>0</v>
      </c>
      <c r="AG18" s="72"/>
      <c r="AH18" s="11">
        <f>IF(SUM(R18,V18)&gt;0,SUM(R18,V18),"")</f>
        <v>11.6</v>
      </c>
      <c r="AI18" s="11">
        <f>IF(SUM(Q18:R18,T18:V18,X18)-SUM(S18,W18)&gt;0,SUM(Q18:R18,T18:V18,X18)-SUM(S18,W18),"")</f>
        <v>66.499999999999986</v>
      </c>
      <c r="AJ18" s="11">
        <f>IF(SUM(Z18,AD18)&gt;0,SUM(Z18,AD18),"")</f>
        <v>12.4</v>
      </c>
      <c r="AK18" s="11">
        <f>IF(SUM(Y18:Z18,AB18:AD18,AF18)-SUM(AA18,AE18)&gt;0,SUM(Y18:Z18,AB18:AD18,AF18)-SUM(AA18,AE18),"")</f>
        <v>67.5</v>
      </c>
      <c r="AL18" s="11">
        <f>IF(SUM(AI18,AK18)&gt;0,SUM(AI18,AK18),"")</f>
        <v>134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>IF(SUM(AN18,AR18)&gt;0,SUM(AN18,AR18),"")</f>
        <v/>
      </c>
      <c r="BE18" s="14" t="str">
        <f>IF(SUM(AM18:AN18,AP18:AR18,AT18)-SUM(AO18,AS18)&gt;0,SUM(AM18:AN18,AP18:AR18,AT18)-SUM(AO18,AS18),"")</f>
        <v/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 t="str">
        <f>IF(SUM(BE18,BG18)&gt;0,SUM(BE18,BG18),"")</f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>IF(SUM(BJ18,BN18)&gt;0,SUM(BJ18,BN18),"")</f>
        <v/>
      </c>
      <c r="CA18" s="11" t="str">
        <f>IF(SUM(BI18:BJ18,BL18:BN18,BP18)-SUM(BK18,BO18)&gt;0,SUM(BI18:BJ18,BL18:BN18,BP18)-SUM(BK18,BO18),"")</f>
        <v/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 t="str">
        <f>IF(SUM(CA18,CC18)&gt;0,SUM(CA18,CC18),"")</f>
        <v/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0</v>
      </c>
      <c r="LZ18" s="61">
        <f>IF($BY18="P",BJ18,(BJ18+AN18)/2)</f>
        <v>0</v>
      </c>
      <c r="MA18" s="61">
        <f>IF($BY18="P",BK18,(BK18+AO18)/2)</f>
        <v>0</v>
      </c>
      <c r="MB18" s="61">
        <f>IF($BY18="P",BL18,(BL18+AP18)/2)</f>
        <v>0</v>
      </c>
      <c r="MC18" s="61">
        <f>IF($BY18="P",BM18,(BM18+AQ18)/2)</f>
        <v>0</v>
      </c>
      <c r="MD18" s="61">
        <f>IF($BY18="P",BN18,(BN18+AR18)/2)</f>
        <v>0</v>
      </c>
      <c r="ME18" s="61">
        <f>IF($BY18="P",BO18,(BO18+AS18)/2)</f>
        <v>0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 t="str">
        <f>IF(SUM(LZ18,MD18)&gt;0,SUM(LZ18,MD18),"")</f>
        <v/>
      </c>
      <c r="MQ18" s="11" t="str">
        <f>IF(SUM(LY18:LZ18,MB18:MD18,MF18)-SUM(MA18,ME18)&gt;0,SUM(LY18:LZ18,MB18:MD18,MF18)-SUM(MA18,ME18),"")</f>
        <v/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 t="str">
        <f>IF(SUM(MQ18,MS18)&gt;0,SUM(MQ18,MS18),"")</f>
        <v/>
      </c>
    </row>
    <row r="19" spans="1:358" x14ac:dyDescent="0.2">
      <c r="A19" s="5" t="str">
        <f>IF(AND(F19="P",G19="P"),SUMPRODUCT((F$4:F$25="P")*(G$4:G$25="P")*(E$4:E$25&gt;E19))+1,IF(G19="P",SUMPRODUCT((F$4:F$25="")*(G$4:G$25="P")*(E$4:E$25&gt;E19))+1+SUMPRODUCT((F$4:F$25="P")*(G$4:G$25="P")),""))</f>
        <v/>
      </c>
      <c r="B19" s="8" t="s">
        <v>154</v>
      </c>
      <c r="C19" s="4" t="s">
        <v>3</v>
      </c>
      <c r="D19" s="5">
        <v>2000</v>
      </c>
      <c r="E19" s="15">
        <f>SUM(J19:N19)</f>
        <v>65.899999999999991</v>
      </c>
      <c r="F19" s="3" t="str">
        <f>IF(OR(AND(AH19&gt;=AL$27,AI19&gt;=AL$31,AI19&lt;&gt;"",AG19=""),AND(BD19&gt;=BH$27,BE19&gt;=BH$31,BE19&lt;&gt;"",BC19=""),AND(BZ19&gt;=CD$27,CA19&gt;=CD$31,CA19&lt;&gt;"",BY19=""),AND(CW19&gt;=DA$27,CX19&gt;=DA$31,CX19&lt;&gt;""),AND(DR19&gt;=DV$27,DS19&gt;=DV$31,DS19&lt;&gt;""),AND(EM19&gt;=EQ$27,EN19&gt;=EQ$31,EN19&lt;&gt;""),AND(FH19&gt;=FL$27,FI19&gt;=FL$31,FI19&lt;&gt;""),AND(GC19&gt;=GG$27,GD19&gt;=GG$31,GD19&lt;&gt;""),AND(GX19&gt;=HB$27,GY19&gt;=HB$31,GY19&lt;&gt;""),AND(HS19&gt;=HW$27,HT19&gt;=HW$31,HT19&lt;&gt;""),AND(IN19&gt;=IR$27,IO19&gt;=IR$31,IO19&lt;&gt;""),AND(JI19&gt;=JM$27,JJ19&gt;=JM$31,JJ19&lt;&gt;""),AND(KD19&gt;=KH$27,KE19&gt;=KH$31,KE19&lt;&gt;""),AND(KY19&gt;=LC$27,KZ19&gt;=LC$31,KZ19&lt;&gt;""),AND(LT19&gt;=LX$27,LU19&gt;=LX$31,LU19&lt;&gt;"")),"P","")</f>
        <v/>
      </c>
      <c r="G19" s="3" t="str">
        <f>IF(OR(AND(AI19&gt;=AL$31,AI19&lt;&gt;"",AG19=""),AND(BE19&gt;=BH$31,BE19&lt;&gt;"",BC19=""),AND(CA19&gt;=CD$31,CA19&lt;&gt;"",BY19=""),AND(CX19&gt;=DA$31,CX19&lt;&gt;""),AND(DS19&gt;=DV$31,DS19&lt;&gt;""),AND(EN19&gt;=EQ$31,EN19&lt;&gt;""),AND(FI19&gt;=FL$31,FI19&lt;&gt;""),AND(GD19&gt;=GG$31,GD19&lt;&gt;""),AND(GY19&gt;=HB$31,GY19&lt;&gt;""),AND(HT19&gt;=HW$31,HT19&lt;&gt;""),AND(IO19&gt;=IR$31,IO19&lt;&gt;""),AND(JJ19&gt;=JM$31,JJ19&lt;&gt;""),AND(KE19&gt;=KH$31,KE19&lt;&gt;""),AND(KZ19&gt;=LC$31,KZ19&lt;&gt;""),AND(LU19&gt;=LX$31,LU19&lt;&gt;"")),"P","")</f>
        <v/>
      </c>
      <c r="H19" s="116" t="str">
        <f>IF(AND(G19="P",F19=""),"No DD",IF(OR(AND(AH19&gt;=AL$30,AH19&lt;&gt;"",AI19&gt;=AL$34,AI19&lt;&gt;"",AG19=""),AND(BD19&gt;=BH$30,BD19&lt;&gt;"",BE19&gt;=BH$34,BE19&lt;&gt;"",BC19=""),AND(BZ19&gt;=CD$30,BZ19&lt;&gt;"",CA19&gt;=CD$34,CA19&lt;&gt;"",BY19=""),AND(CW19&gt;=DA$30,CW19&lt;&gt;"",CX19&gt;=DA$34,CX19&lt;&gt;""),AND(DR19&gt;=DV$30,DR19&lt;&gt;"",DS19&gt;=DV$34,DS19&lt;&gt;""),AND(EM19&gt;=EQ$30,EM19&lt;&gt;"",EN19&gt;=EQ$34,EN19&lt;&gt;""),AND(FH19&gt;=FL$30,FH19&lt;&gt;"",FI19&gt;=FL$34,FI19&lt;&gt;""),AND(GC19&gt;=GG$30,GC19&lt;&gt;"",GD19&gt;=GG$34,GD19&lt;&gt;""),AND(GX19&gt;=HB$30,GX19&lt;&gt;"",GY19&gt;=HB$34,GY19&lt;&gt;""),AND(HS19&gt;=HW$30,HS19&lt;&gt;"",HT19&gt;=HW$34,HT19&lt;&gt;""),AND(IN19&gt;=IR$30,IN19&lt;&gt;"",IO19&gt;=IR$34,IO19&lt;&gt;""),AND(JI19&gt;=JM$30,JI19&lt;&gt;"",JJ19&gt;=JM$34,JJ19&lt;&gt;""),AND(KD19&gt;=KH$30,KD19&lt;&gt;"",KE19&gt;=KH$34,KE19&lt;&gt;""),AND(KY19&gt;=LC$30,KY19&lt;&gt;"",KZ19&gt;=LC$34,KZ19&lt;&gt;""),AND(LT19&gt;=LX$30,LT19&lt;&gt;"",LU19&gt;=LX$34,LU19&lt;&gt;"")),"Merit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Excellence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Worlds Team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National Team","")))))</f>
        <v/>
      </c>
      <c r="I19" s="3" t="str">
        <f>IF(OR(H19="Worlds Team",H19="Excellence",H19="Merit"),"P","")</f>
        <v/>
      </c>
      <c r="J19" s="14">
        <f>MAX(AI19,BE19,CA19)</f>
        <v>65.899999999999991</v>
      </c>
      <c r="K19" s="14" t="str">
        <f>IF(J19=0,"",IF(J19=CA19,$BI$1,IF(J19=BE19,$AM$1,IF(J19=AI19,$Q$1,""))))</f>
        <v>2021 Canadian Championships</v>
      </c>
      <c r="L19" s="14">
        <f>IF(J19=AI19,MAX(BH19,CD19),IF(J19=BE19,MAX(AL19,CD19),MAX(AL19,BH19)))</f>
        <v>0</v>
      </c>
      <c r="M19" s="14" t="str">
        <f>IF(L19=0,"",IF(AND(J19&lt;&gt;CA19,L19=CD19),$BI$1,IF(AND(J19&lt;&gt;BE19,L19=BH19),$AM$1,IF(L19=AL19,$Q$1,""))))</f>
        <v/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>IF(SUM(R19,V19)&gt;0,SUM(R19,V19),"")</f>
        <v/>
      </c>
      <c r="AI19" s="11" t="str">
        <f>IF(SUM(Q19:R19,T19:V19,X19)-SUM(S19,W19)&gt;0,SUM(Q19:R19,T19:V19,X19)-SUM(S19,W19),"")</f>
        <v/>
      </c>
      <c r="AJ19" s="11" t="str">
        <f>IF(SUM(Z19,AD19)&gt;0,SUM(Z19,AD19),"")</f>
        <v/>
      </c>
      <c r="AK19" s="11" t="str">
        <f>IF(SUM(Y19:Z19,AB19:AD19,AF19)-SUM(AA19,AE19)&gt;0,SUM(Y19:Z19,AB19:AD19,AF19)-SUM(AA19,AE19),"")</f>
        <v/>
      </c>
      <c r="AL19" s="11" t="str">
        <f>IF(SUM(AI19,AK19)&gt;0,SUM(AI19,AK19),"")</f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27.4</v>
      </c>
      <c r="BJ19" s="61">
        <v>6.8</v>
      </c>
      <c r="BK19" s="61">
        <v>0.3</v>
      </c>
      <c r="BL19" s="61">
        <v>0</v>
      </c>
      <c r="BM19" s="61">
        <v>27.2</v>
      </c>
      <c r="BN19" s="61">
        <v>6</v>
      </c>
      <c r="BO19" s="61">
        <v>1.2</v>
      </c>
      <c r="BP19" s="61">
        <v>0</v>
      </c>
      <c r="BQ19" s="61">
        <v>19.600000000000001</v>
      </c>
      <c r="BR19" s="61">
        <v>3.2</v>
      </c>
      <c r="BS19" s="61">
        <v>0</v>
      </c>
      <c r="BT19" s="61">
        <v>0</v>
      </c>
      <c r="BU19" s="61">
        <v>27.8</v>
      </c>
      <c r="BV19" s="61">
        <v>6.8</v>
      </c>
      <c r="BW19" s="61">
        <v>0.9</v>
      </c>
      <c r="BX19" s="61">
        <v>0</v>
      </c>
      <c r="BY19" s="72"/>
      <c r="BZ19" s="11">
        <f>IF(SUM(BJ19,BN19)&gt;0,SUM(BJ19,BN19),"")</f>
        <v>12.8</v>
      </c>
      <c r="CA19" s="11">
        <f>IF(SUM(BI19:BJ19,BL19:BN19,BP19)-SUM(BK19,BO19)&gt;0,SUM(BI19:BJ19,BL19:BN19,BP19)-SUM(BK19,BO19),"")</f>
        <v>65.899999999999991</v>
      </c>
      <c r="CB19" s="11">
        <f>IF(SUM(BR19,BV19)&gt;0,SUM(BR19,BV19),"")</f>
        <v>10</v>
      </c>
      <c r="CC19" s="11">
        <f>IF(SUM(BQ19:BR19,BT19:BV19,BX19)-SUM(BS19,BW19)&gt;0,SUM(BQ19:BR19,BT19:BV19,BX19)-SUM(BS19,BW19),"")</f>
        <v>56.5</v>
      </c>
      <c r="CD19" s="11">
        <f>IF(SUM(CA19,CC19)&gt;0,SUM(CA19,CC19),"")</f>
        <v>122.39999999999999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13.7</v>
      </c>
      <c r="LZ19" s="61">
        <f>IF($BY19="P",BJ19,(BJ19+AN19)/2)</f>
        <v>3.4</v>
      </c>
      <c r="MA19" s="61">
        <f>IF($BY19="P",BK19,(BK19+AO19)/2)</f>
        <v>0.15</v>
      </c>
      <c r="MB19" s="61">
        <f>IF($BY19="P",BL19,(BL19+AP19)/2)</f>
        <v>0</v>
      </c>
      <c r="MC19" s="61">
        <f>IF($BY19="P",BM19,(BM19+AQ19)/2)</f>
        <v>13.6</v>
      </c>
      <c r="MD19" s="61">
        <f>IF($BY19="P",BN19,(BN19+AR19)/2)</f>
        <v>3</v>
      </c>
      <c r="ME19" s="61">
        <f>IF($BY19="P",BO19,(BO19+AS19)/2)</f>
        <v>0.6</v>
      </c>
      <c r="MF19" s="61">
        <f>IF($BY19="P",BP19,(BP19+AT19)/2)</f>
        <v>0</v>
      </c>
      <c r="MG19" s="61">
        <f>IF($BY19="P",BQ19,(BQ19+AU19)/2)</f>
        <v>9.8000000000000007</v>
      </c>
      <c r="MH19" s="61">
        <f>IF($BY19="P",BR19,(BR19+AV19)/2)</f>
        <v>1.6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13.9</v>
      </c>
      <c r="ML19" s="61">
        <f>IF($BY19="P",BV19,(BV19+AZ19)/2)</f>
        <v>3.4</v>
      </c>
      <c r="MM19" s="61">
        <f>IF($BY19="P",BW19,(BW19+BA19)/2)</f>
        <v>0.45</v>
      </c>
      <c r="MN19" s="61">
        <f>IF($BY19="P",BX19,(BX19+BB19)/2)</f>
        <v>0</v>
      </c>
      <c r="MO19" s="72" t="s">
        <v>52</v>
      </c>
      <c r="MP19" s="11">
        <f>IF(SUM(LZ19,MD19)&gt;0,SUM(LZ19,MD19),"")</f>
        <v>6.4</v>
      </c>
      <c r="MQ19" s="11">
        <f>IF(SUM(LY19:LZ19,MB19:MD19,MF19)-SUM(MA19,ME19)&gt;0,SUM(LY19:LZ19,MB19:MD19,MF19)-SUM(MA19,ME19),"")</f>
        <v>32.949999999999996</v>
      </c>
      <c r="MR19" s="11">
        <f>IF(SUM(MH19,ML19)&gt;0,SUM(MH19,ML19),"")</f>
        <v>5</v>
      </c>
      <c r="MS19" s="11">
        <f>IF(SUM(MG19:MH19,MJ19:ML19,MN19)-SUM(MI19,MM19)&gt;0,SUM(MG19:MH19,MJ19:ML19,MN19)-SUM(MI19,MM19),"")</f>
        <v>28.25</v>
      </c>
      <c r="MT19" s="11">
        <f>IF(SUM(MQ19,MS19)&gt;0,SUM(MQ19,MS19),"")</f>
        <v>61.199999999999996</v>
      </c>
    </row>
    <row r="20" spans="1:358" x14ac:dyDescent="0.2">
      <c r="A20" s="5" t="str">
        <f>IF(AND(F20="P",G20="P"),SUMPRODUCT((F$4:F$25="P")*(G$4:G$25="P")*(E$4:E$25&gt;E20))+1,IF(G20="P",SUMPRODUCT((F$4:F$25="")*(G$4:G$25="P")*(E$4:E$25&gt;E20))+1+SUMPRODUCT((F$4:F$25="P")*(G$4:G$25="P")),""))</f>
        <v/>
      </c>
      <c r="B20" s="8" t="s">
        <v>86</v>
      </c>
      <c r="C20" s="4" t="s">
        <v>3</v>
      </c>
      <c r="D20" s="5">
        <v>2004</v>
      </c>
      <c r="E20" s="15">
        <f>SUM(J20:N20)</f>
        <v>65.8</v>
      </c>
      <c r="F20" s="3" t="str">
        <f>IF(OR(AND(AH20&gt;=AL$27,AI20&gt;=AL$31,AI20&lt;&gt;"",AG20=""),AND(BD20&gt;=BH$27,BE20&gt;=BH$31,BE20&lt;&gt;"",BC20=""),AND(BZ20&gt;=CD$27,CA20&gt;=CD$31,CA20&lt;&gt;"",BY20=""),AND(CW20&gt;=DA$27,CX20&gt;=DA$31,CX20&lt;&gt;""),AND(DR20&gt;=DV$27,DS20&gt;=DV$31,DS20&lt;&gt;""),AND(EM20&gt;=EQ$27,EN20&gt;=EQ$31,EN20&lt;&gt;""),AND(FH20&gt;=FL$27,FI20&gt;=FL$31,FI20&lt;&gt;""),AND(GC20&gt;=GG$27,GD20&gt;=GG$31,GD20&lt;&gt;""),AND(GX20&gt;=HB$27,GY20&gt;=HB$31,GY20&lt;&gt;""),AND(HS20&gt;=HW$27,HT20&gt;=HW$31,HT20&lt;&gt;""),AND(IN20&gt;=IR$27,IO20&gt;=IR$31,IO20&lt;&gt;""),AND(JI20&gt;=JM$27,JJ20&gt;=JM$31,JJ20&lt;&gt;""),AND(KD20&gt;=KH$27,KE20&gt;=KH$31,KE20&lt;&gt;""),AND(KY20&gt;=LC$27,KZ20&gt;=LC$31,KZ20&lt;&gt;""),AND(LT20&gt;=LX$27,LU20&gt;=LX$31,LU20&lt;&gt;"")),"P","")</f>
        <v/>
      </c>
      <c r="G20" s="3" t="str">
        <f>IF(OR(AND(AI20&gt;=AL$31,AI20&lt;&gt;"",AG20=""),AND(BE20&gt;=BH$31,BE20&lt;&gt;"",BC20=""),AND(CA20&gt;=CD$31,CA20&lt;&gt;"",BY20=""),AND(CX20&gt;=DA$31,CX20&lt;&gt;""),AND(DS20&gt;=DV$31,DS20&lt;&gt;""),AND(EN20&gt;=EQ$31,EN20&lt;&gt;""),AND(FI20&gt;=FL$31,FI20&lt;&gt;""),AND(GD20&gt;=GG$31,GD20&lt;&gt;""),AND(GY20&gt;=HB$31,GY20&lt;&gt;""),AND(HT20&gt;=HW$31,HT20&lt;&gt;""),AND(IO20&gt;=IR$31,IO20&lt;&gt;""),AND(JJ20&gt;=JM$31,JJ20&lt;&gt;""),AND(KE20&gt;=KH$31,KE20&lt;&gt;""),AND(KZ20&gt;=LC$31,KZ20&lt;&gt;""),AND(LU20&gt;=LX$31,LU20&lt;&gt;"")),"P","")</f>
        <v/>
      </c>
      <c r="H20" s="116" t="str">
        <f>IF(AND(G20="P",F20=""),"No DD",IF(OR(AND(AH20&gt;=AL$30,AH20&lt;&gt;"",AI20&gt;=AL$34,AI20&lt;&gt;"",AG20=""),AND(BD20&gt;=BH$30,BD20&lt;&gt;"",BE20&gt;=BH$34,BE20&lt;&gt;"",BC20=""),AND(BZ20&gt;=CD$30,BZ20&lt;&gt;"",CA20&gt;=CD$34,CA20&lt;&gt;"",BY20=""),AND(CW20&gt;=DA$30,CW20&lt;&gt;"",CX20&gt;=DA$34,CX20&lt;&gt;""),AND(DR20&gt;=DV$30,DR20&lt;&gt;"",DS20&gt;=DV$34,DS20&lt;&gt;""),AND(EM20&gt;=EQ$30,EM20&lt;&gt;"",EN20&gt;=EQ$34,EN20&lt;&gt;""),AND(FH20&gt;=FL$30,FH20&lt;&gt;"",FI20&gt;=FL$34,FI20&lt;&gt;""),AND(GC20&gt;=GG$30,GC20&lt;&gt;"",GD20&gt;=GG$34,GD20&lt;&gt;""),AND(GX20&gt;=HB$30,GX20&lt;&gt;"",GY20&gt;=HB$34,GY20&lt;&gt;""),AND(HS20&gt;=HW$30,HS20&lt;&gt;"",HT20&gt;=HW$34,HT20&lt;&gt;""),AND(IN20&gt;=IR$30,IN20&lt;&gt;"",IO20&gt;=IR$34,IO20&lt;&gt;""),AND(JI20&gt;=JM$30,JI20&lt;&gt;"",JJ20&gt;=JM$34,JJ20&lt;&gt;""),AND(KD20&gt;=KH$30,KD20&lt;&gt;"",KE20&gt;=KH$34,KE20&lt;&gt;""),AND(KY20&gt;=LC$30,KY20&lt;&gt;"",KZ20&gt;=LC$34,KZ20&lt;&gt;""),AND(LT20&gt;=LX$30,LT20&lt;&gt;"",LU20&gt;=LX$34,LU20&lt;&gt;"")),"Merit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Excellence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Worlds Team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National Team","")))))</f>
        <v/>
      </c>
      <c r="I20" s="3" t="str">
        <f>IF(OR(H20="Worlds Team",H20="Excellence",H20="Merit"),"P","")</f>
        <v/>
      </c>
      <c r="J20" s="14">
        <f>MAX(AI20,BE20,CA20)</f>
        <v>65.8</v>
      </c>
      <c r="K20" s="14" t="str">
        <f>IF(J20=0,"",IF(J20=CA20,$BI$1,IF(J20=BE20,$AM$1,IF(J20=AI20,$Q$1,""))))</f>
        <v>2021 Elite Canada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>IF(SUM(R20,V20)&gt;0,SUM(R20,V20),"")</f>
        <v/>
      </c>
      <c r="AI20" s="11" t="str">
        <f>IF(SUM(Q20:R20,T20:V20,X20)-SUM(S20,W20)&gt;0,SUM(Q20:R20,T20:V20,X20)-SUM(S20,W20),"")</f>
        <v/>
      </c>
      <c r="AJ20" s="11" t="str">
        <f>IF(SUM(Z20,AD20)&gt;0,SUM(Z20,AD20),"")</f>
        <v/>
      </c>
      <c r="AK20" s="11" t="str">
        <f>IF(SUM(Y20:Z20,AB20:AD20,AF20)-SUM(AA20,AE20)&gt;0,SUM(Y20:Z20,AB20:AD20,AF20)-SUM(AA20,AE20),"")</f>
        <v/>
      </c>
      <c r="AL20" s="11" t="str">
        <f>IF(SUM(AI20,AK20)&gt;0,SUM(AI20,AK20),"")</f>
        <v/>
      </c>
      <c r="AM20" s="36">
        <v>28.4</v>
      </c>
      <c r="AN20" s="36">
        <v>4.8</v>
      </c>
      <c r="AO20" s="36">
        <v>0</v>
      </c>
      <c r="AP20" s="36">
        <v>0</v>
      </c>
      <c r="AQ20" s="36">
        <v>27.8</v>
      </c>
      <c r="AR20" s="36">
        <v>4.8</v>
      </c>
      <c r="AS20" s="36">
        <v>0</v>
      </c>
      <c r="AT20" s="36">
        <v>0</v>
      </c>
      <c r="AU20" s="36"/>
      <c r="AV20" s="36"/>
      <c r="AW20" s="36"/>
      <c r="AX20" s="36"/>
      <c r="AY20" s="36"/>
      <c r="AZ20" s="36"/>
      <c r="BA20" s="36"/>
      <c r="BB20" s="36"/>
      <c r="BC20" s="73"/>
      <c r="BD20" s="14">
        <f>IF(SUM(AN20,AR20)&gt;0,SUM(AN20,AR20),"")</f>
        <v>9.6</v>
      </c>
      <c r="BE20" s="14">
        <f>IF(SUM(AM20:AN20,AP20:AR20,AT20)-SUM(AO20,AS20)&gt;0,SUM(AM20:AN20,AP20:AR20,AT20)-SUM(AO20,AS20),"")</f>
        <v>65.8</v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>
        <f>IF(SUM(BE20,BG20)&gt;0,SUM(BE20,BG20),"")</f>
        <v>65.8</v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14.2</v>
      </c>
      <c r="LZ20" s="61">
        <f>IF($BY20="P",BJ20,(BJ20+AN20)/2)</f>
        <v>2.4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13.9</v>
      </c>
      <c r="MD20" s="61">
        <f>IF($BY20="P",BN20,(BN20+AR20)/2)</f>
        <v>2.4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0</v>
      </c>
      <c r="MH20" s="61">
        <f>IF($BY20="P",BR20,(BR20+AV20)/2)</f>
        <v>0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0</v>
      </c>
      <c r="ML20" s="61">
        <f>IF($BY20="P",BV20,(BV20+AZ20)/2)</f>
        <v>0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>
        <f>IF(SUM(LZ20,MD20)&gt;0,SUM(LZ20,MD20),"")</f>
        <v>4.8</v>
      </c>
      <c r="MQ20" s="11">
        <f>IF(SUM(LY20:LZ20,MB20:MD20,MF20)-SUM(MA20,ME20)&gt;0,SUM(LY20:LZ20,MB20:MD20,MF20)-SUM(MA20,ME20),"")</f>
        <v>32.9</v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>
        <f>IF(SUM(MQ20,MS20)&gt;0,SUM(MQ20,MS20),"")</f>
        <v>32.9</v>
      </c>
    </row>
    <row r="21" spans="1:358" x14ac:dyDescent="0.2">
      <c r="A21" s="5" t="str">
        <f>IF(AND(F21="P",G21="P"),SUMPRODUCT((F$4:F$25="P")*(G$4:G$25="P")*(E$4:E$25&gt;E21))+1,IF(G21="P",SUMPRODUCT((F$4:F$25="")*(G$4:G$25="P")*(E$4:E$25&gt;E21))+1+SUMPRODUCT((F$4:F$25="P")*(G$4:G$25="P")),""))</f>
        <v/>
      </c>
      <c r="B21" s="8" t="s">
        <v>119</v>
      </c>
      <c r="C21" s="4" t="s">
        <v>113</v>
      </c>
      <c r="D21" s="5">
        <v>2000</v>
      </c>
      <c r="E21" s="15">
        <f>SUM(J21:N21)</f>
        <v>64.3</v>
      </c>
      <c r="F21" s="3" t="str">
        <f>IF(OR(AND(AH21&gt;=AL$27,AI21&gt;=AL$31,AI21&lt;&gt;"",AG21=""),AND(BD21&gt;=BH$27,BE21&gt;=BH$31,BE21&lt;&gt;"",BC21=""),AND(BZ21&gt;=CD$27,CA21&gt;=CD$31,CA21&lt;&gt;"",BY21=""),AND(CW21&gt;=DA$27,CX21&gt;=DA$31,CX21&lt;&gt;""),AND(DR21&gt;=DV$27,DS21&gt;=DV$31,DS21&lt;&gt;""),AND(EM21&gt;=EQ$27,EN21&gt;=EQ$31,EN21&lt;&gt;""),AND(FH21&gt;=FL$27,FI21&gt;=FL$31,FI21&lt;&gt;""),AND(GC21&gt;=GG$27,GD21&gt;=GG$31,GD21&lt;&gt;""),AND(GX21&gt;=HB$27,GY21&gt;=HB$31,GY21&lt;&gt;""),AND(HS21&gt;=HW$27,HT21&gt;=HW$31,HT21&lt;&gt;""),AND(IN21&gt;=IR$27,IO21&gt;=IR$31,IO21&lt;&gt;""),AND(JI21&gt;=JM$27,JJ21&gt;=JM$31,JJ21&lt;&gt;""),AND(KD21&gt;=KH$27,KE21&gt;=KH$31,KE21&lt;&gt;""),AND(KY21&gt;=LC$27,KZ21&gt;=LC$31,KZ21&lt;&gt;""),AND(LT21&gt;=LX$27,LU21&gt;=LX$31,LU21&lt;&gt;"")),"P","")</f>
        <v/>
      </c>
      <c r="G21" s="3" t="str">
        <f>IF(OR(AND(AI21&gt;=AL$31,AI21&lt;&gt;"",AG21=""),AND(BE21&gt;=BH$31,BE21&lt;&gt;"",BC21=""),AND(CA21&gt;=CD$31,CA21&lt;&gt;"",BY21=""),AND(CX21&gt;=DA$31,CX21&lt;&gt;""),AND(DS21&gt;=DV$31,DS21&lt;&gt;""),AND(EN21&gt;=EQ$31,EN21&lt;&gt;""),AND(FI21&gt;=FL$31,FI21&lt;&gt;""),AND(GD21&gt;=GG$31,GD21&lt;&gt;""),AND(GY21&gt;=HB$31,GY21&lt;&gt;""),AND(HT21&gt;=HW$31,HT21&lt;&gt;""),AND(IO21&gt;=IR$31,IO21&lt;&gt;""),AND(JJ21&gt;=JM$31,JJ21&lt;&gt;""),AND(KE21&gt;=KH$31,KE21&lt;&gt;""),AND(KZ21&gt;=LC$31,KZ21&lt;&gt;""),AND(LU21&gt;=LX$31,LU21&lt;&gt;"")),"P","")</f>
        <v/>
      </c>
      <c r="H21" s="116" t="str">
        <f>IF(AND(G21="P",F21=""),"No DD",IF(OR(AND(AH21&gt;=AL$30,AH21&lt;&gt;"",AI21&gt;=AL$34,AI21&lt;&gt;"",AG21=""),AND(BD21&gt;=BH$30,BD21&lt;&gt;"",BE21&gt;=BH$34,BE21&lt;&gt;"",BC21=""),AND(BZ21&gt;=CD$30,BZ21&lt;&gt;"",CA21&gt;=CD$34,CA21&lt;&gt;"",BY21=""),AND(CW21&gt;=DA$30,CW21&lt;&gt;"",CX21&gt;=DA$34,CX21&lt;&gt;""),AND(DR21&gt;=DV$30,DR21&lt;&gt;"",DS21&gt;=DV$34,DS21&lt;&gt;""),AND(EM21&gt;=EQ$30,EM21&lt;&gt;"",EN21&gt;=EQ$34,EN21&lt;&gt;""),AND(FH21&gt;=FL$30,FH21&lt;&gt;"",FI21&gt;=FL$34,FI21&lt;&gt;""),AND(GC21&gt;=GG$30,GC21&lt;&gt;"",GD21&gt;=GG$34,GD21&lt;&gt;""),AND(GX21&gt;=HB$30,GX21&lt;&gt;"",GY21&gt;=HB$34,GY21&lt;&gt;""),AND(HS21&gt;=HW$30,HS21&lt;&gt;"",HT21&gt;=HW$34,HT21&lt;&gt;""),AND(IN21&gt;=IR$30,IN21&lt;&gt;"",IO21&gt;=IR$34,IO21&lt;&gt;""),AND(JI21&gt;=JM$30,JI21&lt;&gt;"",JJ21&gt;=JM$34,JJ21&lt;&gt;""),AND(KD21&gt;=KH$30,KD21&lt;&gt;"",KE21&gt;=KH$34,KE21&lt;&gt;""),AND(KY21&gt;=LC$30,KY21&lt;&gt;"",KZ21&gt;=LC$34,KZ21&lt;&gt;""),AND(LT21&gt;=LX$30,LT21&lt;&gt;"",LU21&gt;=LX$34,LU21&lt;&gt;"")),"Merit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Excellence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Worlds Team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National Team","")))))</f>
        <v/>
      </c>
      <c r="I21" s="3" t="str">
        <f>IF(OR(H21="Worlds Team",H21="Excellence",H21="Merit"),"P","")</f>
        <v/>
      </c>
      <c r="J21" s="14">
        <f>MAX(AI21,BE21,CA21)</f>
        <v>64.3</v>
      </c>
      <c r="K21" s="14" t="str">
        <f>IF(J21=0,"",IF(J21=CA21,$BI$1,IF(J21=BE21,$AM$1,IF(J21=AI21,$Q$1,""))))</f>
        <v>2021 2nd Virtual Technical Trial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>
        <v>27</v>
      </c>
      <c r="R21" s="61">
        <v>5.6</v>
      </c>
      <c r="S21" s="61">
        <v>1.9</v>
      </c>
      <c r="T21" s="61">
        <v>0</v>
      </c>
      <c r="U21" s="61">
        <v>27.9</v>
      </c>
      <c r="V21" s="61">
        <v>6</v>
      </c>
      <c r="W21" s="61">
        <v>0.3</v>
      </c>
      <c r="X21" s="61">
        <v>0</v>
      </c>
      <c r="Y21" s="61">
        <v>28.4</v>
      </c>
      <c r="Z21" s="61">
        <v>7.2</v>
      </c>
      <c r="AA21" s="61">
        <v>0.3</v>
      </c>
      <c r="AB21" s="61">
        <v>0</v>
      </c>
      <c r="AC21" s="61">
        <v>24.5</v>
      </c>
      <c r="AD21" s="61">
        <v>7.2</v>
      </c>
      <c r="AE21" s="61">
        <v>1.2</v>
      </c>
      <c r="AF21" s="61">
        <v>0</v>
      </c>
      <c r="AG21" s="72"/>
      <c r="AH21" s="11">
        <f>IF(SUM(R21,V21)&gt;0,SUM(R21,V21),"")</f>
        <v>11.6</v>
      </c>
      <c r="AI21" s="11">
        <f>IF(SUM(Q21:R21,T21:V21,X21)-SUM(S21,W21)&gt;0,SUM(Q21:R21,T21:V21,X21)-SUM(S21,W21),"")</f>
        <v>64.3</v>
      </c>
      <c r="AJ21" s="11">
        <f>IF(SUM(Z21,AD21)&gt;0,SUM(Z21,AD21),"")</f>
        <v>14.4</v>
      </c>
      <c r="AK21" s="11">
        <f>IF(SUM(Y21:Z21,AB21:AD21,AF21)-SUM(AA21,AE21)&gt;0,SUM(Y21:Z21,AB21:AD21,AF21)-SUM(AA21,AE21),"")</f>
        <v>65.8</v>
      </c>
      <c r="AL21" s="11">
        <f>IF(SUM(AI21,AK21)&gt;0,SUM(AI21,AK21),"")</f>
        <v>130.1</v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72"/>
      <c r="BZ21" s="11" t="str">
        <f>IF(SUM(BJ21,BN21)&gt;0,SUM(BJ21,BN21),"")</f>
        <v/>
      </c>
      <c r="CA21" s="11" t="str">
        <f>IF(SUM(BI21:BJ21,BL21:BN21,BP21)-SUM(BK21,BO21)&gt;0,SUM(BI21:BJ21,BL21:BN21,BP21)-SUM(BK21,BO21),"")</f>
        <v/>
      </c>
      <c r="CB21" s="11" t="str">
        <f>IF(SUM(BR21,BV21)&gt;0,SUM(BR21,BV21),"")</f>
        <v/>
      </c>
      <c r="CC21" s="11" t="str">
        <f>IF(SUM(BQ21:BR21,BT21:BV21,BX21)-SUM(BS21,BW21)&gt;0,SUM(BQ21:BR21,BT21:BV21,BX21)-SUM(BS21,BW21),"")</f>
        <v/>
      </c>
      <c r="CD21" s="11" t="str">
        <f>IF(SUM(CA21,CC21)&gt;0,SUM(CA21,CC21),"")</f>
        <v/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0</v>
      </c>
      <c r="LZ21" s="61">
        <f>IF($BY21="P",BJ21,(BJ21+AN21)/2)</f>
        <v>0</v>
      </c>
      <c r="MA21" s="61">
        <f>IF($BY21="P",BK21,(BK21+AO21)/2)</f>
        <v>0</v>
      </c>
      <c r="MB21" s="61">
        <f>IF($BY21="P",BL21,(BL21+AP21)/2)</f>
        <v>0</v>
      </c>
      <c r="MC21" s="61">
        <f>IF($BY21="P",BM21,(BM21+AQ21)/2)</f>
        <v>0</v>
      </c>
      <c r="MD21" s="61">
        <f>IF($BY21="P",BN21,(BN21+AR21)/2)</f>
        <v>0</v>
      </c>
      <c r="ME21" s="61">
        <f>IF($BY21="P",BO21,(BO21+AS21)/2)</f>
        <v>0</v>
      </c>
      <c r="MF21" s="61">
        <f>IF($BY21="P",BP21,(BP21+AT21)/2)</f>
        <v>0</v>
      </c>
      <c r="MG21" s="61">
        <f>IF($BY21="P",BQ21,(BQ21+AU21)/2)</f>
        <v>0</v>
      </c>
      <c r="MH21" s="61">
        <f>IF($BY21="P",BR21,(BR21+AV21)/2)</f>
        <v>0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0</v>
      </c>
      <c r="ML21" s="61">
        <f>IF($BY21="P",BV21,(BV21+AZ21)/2)</f>
        <v>0</v>
      </c>
      <c r="MM21" s="61">
        <f>IF($BY21="P",BW21,(BW21+BA21)/2)</f>
        <v>0</v>
      </c>
      <c r="MN21" s="61">
        <f>IF($BY21="P",BX21,(BX21+BB21)/2)</f>
        <v>0</v>
      </c>
      <c r="MO21" s="72" t="s">
        <v>52</v>
      </c>
      <c r="MP21" s="11" t="str">
        <f>IF(SUM(LZ21,MD21)&gt;0,SUM(LZ21,MD21),"")</f>
        <v/>
      </c>
      <c r="MQ21" s="11" t="str">
        <f>IF(SUM(LY21:LZ21,MB21:MD21,MF21)-SUM(MA21,ME21)&gt;0,SUM(LY21:LZ21,MB21:MD21,MF21)-SUM(MA21,ME21),"")</f>
        <v/>
      </c>
      <c r="MR21" s="11" t="str">
        <f>IF(SUM(MH21,ML21)&gt;0,SUM(MH21,ML21),"")</f>
        <v/>
      </c>
      <c r="MS21" s="11" t="str">
        <f>IF(SUM(MG21:MH21,MJ21:ML21,MN21)-SUM(MI21,MM21)&gt;0,SUM(MG21:MH21,MJ21:ML21,MN21)-SUM(MI21,MM21),"")</f>
        <v/>
      </c>
      <c r="MT21" s="11" t="str">
        <f>IF(SUM(MQ21,MS21)&gt;0,SUM(MQ21,MS21),"")</f>
        <v/>
      </c>
    </row>
    <row r="22" spans="1:358" x14ac:dyDescent="0.2">
      <c r="A22" s="5" t="str">
        <f>IF(AND(F22="P",G22="P"),SUMPRODUCT((F$4:F$25="P")*(G$4:G$25="P")*(E$4:E$25&gt;E22))+1,IF(G22="P",SUMPRODUCT((F$4:F$25="")*(G$4:G$25="P")*(E$4:E$25&gt;E22))+1+SUMPRODUCT((F$4:F$25="P")*(G$4:G$25="P")),""))</f>
        <v/>
      </c>
      <c r="B22" s="8" t="s">
        <v>145</v>
      </c>
      <c r="C22" s="4" t="s">
        <v>4</v>
      </c>
      <c r="D22" s="5">
        <v>2004</v>
      </c>
      <c r="E22" s="15">
        <f>SUM(J22:N22)</f>
        <v>61.800000000000004</v>
      </c>
      <c r="F22" s="3" t="str">
        <f>IF(OR(AND(AH22&gt;=AL$27,AI22&gt;=AL$31,AI22&lt;&gt;"",AG22=""),AND(BD22&gt;=BH$27,BE22&gt;=BH$31,BE22&lt;&gt;"",BC22=""),AND(BZ22&gt;=CD$27,CA22&gt;=CD$31,CA22&lt;&gt;"",BY22=""),AND(CW22&gt;=DA$27,CX22&gt;=DA$31,CX22&lt;&gt;""),AND(DR22&gt;=DV$27,DS22&gt;=DV$31,DS22&lt;&gt;""),AND(EM22&gt;=EQ$27,EN22&gt;=EQ$31,EN22&lt;&gt;""),AND(FH22&gt;=FL$27,FI22&gt;=FL$31,FI22&lt;&gt;""),AND(GC22&gt;=GG$27,GD22&gt;=GG$31,GD22&lt;&gt;""),AND(GX22&gt;=HB$27,GY22&gt;=HB$31,GY22&lt;&gt;""),AND(HS22&gt;=HW$27,HT22&gt;=HW$31,HT22&lt;&gt;""),AND(IN22&gt;=IR$27,IO22&gt;=IR$31,IO22&lt;&gt;""),AND(JI22&gt;=JM$27,JJ22&gt;=JM$31,JJ22&lt;&gt;""),AND(KD22&gt;=KH$27,KE22&gt;=KH$31,KE22&lt;&gt;""),AND(KY22&gt;=LC$27,KZ22&gt;=LC$31,KZ22&lt;&gt;""),AND(LT22&gt;=LX$27,LU22&gt;=LX$31,LU22&lt;&gt;"")),"P","")</f>
        <v/>
      </c>
      <c r="G22" s="3" t="str">
        <f>IF(OR(AND(AI22&gt;=AL$31,AI22&lt;&gt;"",AG22=""),AND(BE22&gt;=BH$31,BE22&lt;&gt;"",BC22=""),AND(CA22&gt;=CD$31,CA22&lt;&gt;"",BY22=""),AND(CX22&gt;=DA$31,CX22&lt;&gt;""),AND(DS22&gt;=DV$31,DS22&lt;&gt;""),AND(EN22&gt;=EQ$31,EN22&lt;&gt;""),AND(FI22&gt;=FL$31,FI22&lt;&gt;""),AND(GD22&gt;=GG$31,GD22&lt;&gt;""),AND(GY22&gt;=HB$31,GY22&lt;&gt;""),AND(HT22&gt;=HW$31,HT22&lt;&gt;""),AND(IO22&gt;=IR$31,IO22&lt;&gt;""),AND(JJ22&gt;=JM$31,JJ22&lt;&gt;""),AND(KE22&gt;=KH$31,KE22&lt;&gt;""),AND(KZ22&gt;=LC$31,KZ22&lt;&gt;""),AND(LU22&gt;=LX$31,LU22&lt;&gt;"")),"P","")</f>
        <v/>
      </c>
      <c r="H22" s="116" t="str">
        <f>IF(AND(G22="P",F22=""),"No DD",IF(OR(AND(AH22&gt;=AL$30,AH22&lt;&gt;"",AI22&gt;=AL$34,AI22&lt;&gt;"",AG22=""),AND(BD22&gt;=BH$30,BD22&lt;&gt;"",BE22&gt;=BH$34,BE22&lt;&gt;"",BC22=""),AND(BZ22&gt;=CD$30,BZ22&lt;&gt;"",CA22&gt;=CD$34,CA22&lt;&gt;"",BY22=""),AND(CW22&gt;=DA$30,CW22&lt;&gt;"",CX22&gt;=DA$34,CX22&lt;&gt;""),AND(DR22&gt;=DV$30,DR22&lt;&gt;"",DS22&gt;=DV$34,DS22&lt;&gt;""),AND(EM22&gt;=EQ$30,EM22&lt;&gt;"",EN22&gt;=EQ$34,EN22&lt;&gt;""),AND(FH22&gt;=FL$30,FH22&lt;&gt;"",FI22&gt;=FL$34,FI22&lt;&gt;""),AND(GC22&gt;=GG$30,GC22&lt;&gt;"",GD22&gt;=GG$34,GD22&lt;&gt;""),AND(GX22&gt;=HB$30,GX22&lt;&gt;"",GY22&gt;=HB$34,GY22&lt;&gt;""),AND(HS22&gt;=HW$30,HS22&lt;&gt;"",HT22&gt;=HW$34,HT22&lt;&gt;""),AND(IN22&gt;=IR$30,IN22&lt;&gt;"",IO22&gt;=IR$34,IO22&lt;&gt;""),AND(JI22&gt;=JM$30,JI22&lt;&gt;"",JJ22&gt;=JM$34,JJ22&lt;&gt;""),AND(KD22&gt;=KH$30,KD22&lt;&gt;"",KE22&gt;=KH$34,KE22&lt;&gt;""),AND(KY22&gt;=LC$30,KY22&lt;&gt;"",KZ22&gt;=LC$34,KZ22&lt;&gt;""),AND(LT22&gt;=LX$30,LT22&lt;&gt;"",LU22&gt;=LX$34,LU22&lt;&gt;"")),"Merit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Excellence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Worlds Team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National Team","")))))</f>
        <v/>
      </c>
      <c r="I22" s="3" t="str">
        <f>IF(OR(H22="Worlds Team",H22="Excellence",H22="Merit"),"P","")</f>
        <v/>
      </c>
      <c r="J22" s="14">
        <f>MAX(AI22,BE22,CA22)</f>
        <v>61.800000000000004</v>
      </c>
      <c r="K22" s="14" t="str">
        <f>IF(J22=0,"",IF(J22=CA22,$BI$1,IF(J22=BE22,$AM$1,IF(J22=AI22,$Q$1,""))))</f>
        <v>2021 Canadian Championships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72"/>
      <c r="AH22" s="11" t="str">
        <f>IF(SUM(R22,V22)&gt;0,SUM(R22,V22),"")</f>
        <v/>
      </c>
      <c r="AI22" s="11" t="str">
        <f>IF(SUM(Q22:R22,T22:V22,X22)-SUM(S22,W22)&gt;0,SUM(Q22:R22,T22:V22,X22)-SUM(S22,W22),"")</f>
        <v/>
      </c>
      <c r="AJ22" s="11" t="str">
        <f>IF(SUM(Z22,AD22)&gt;0,SUM(Z22,AD22),"")</f>
        <v/>
      </c>
      <c r="AK22" s="11" t="str">
        <f>IF(SUM(Y22:Z22,AB22:AD22,AF22)-SUM(AA22,AE22)&gt;0,SUM(Y22:Z22,AB22:AD22,AF22)-SUM(AA22,AE22),"")</f>
        <v/>
      </c>
      <c r="AL22" s="11" t="str">
        <f>IF(SUM(AI22,AK22)&gt;0,SUM(AI22,AK22),"")</f>
        <v/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>
        <v>28.1</v>
      </c>
      <c r="BJ22" s="61">
        <v>3.5</v>
      </c>
      <c r="BK22" s="61">
        <v>1.2</v>
      </c>
      <c r="BL22" s="61">
        <v>0</v>
      </c>
      <c r="BM22" s="61">
        <v>28.2</v>
      </c>
      <c r="BN22" s="61">
        <v>4.4000000000000004</v>
      </c>
      <c r="BO22" s="61">
        <v>1.2</v>
      </c>
      <c r="BP22" s="61">
        <v>0</v>
      </c>
      <c r="BQ22" s="61">
        <v>27.8</v>
      </c>
      <c r="BR22" s="61">
        <v>3.6</v>
      </c>
      <c r="BS22" s="61">
        <v>0.9</v>
      </c>
      <c r="BT22" s="61">
        <v>0</v>
      </c>
      <c r="BU22" s="61">
        <v>27.9</v>
      </c>
      <c r="BV22" s="61">
        <v>3.5</v>
      </c>
      <c r="BW22" s="61">
        <v>1.2</v>
      </c>
      <c r="BX22" s="61">
        <v>0</v>
      </c>
      <c r="BY22" s="72"/>
      <c r="BZ22" s="11">
        <f>IF(SUM(BJ22,BN22)&gt;0,SUM(BJ22,BN22),"")</f>
        <v>7.9</v>
      </c>
      <c r="CA22" s="11">
        <f>IF(SUM(BI22:BJ22,BL22:BN22,BP22)-SUM(BK22,BO22)&gt;0,SUM(BI22:BJ22,BL22:BN22,BP22)-SUM(BK22,BO22),"")</f>
        <v>61.800000000000004</v>
      </c>
      <c r="CB22" s="11">
        <f>IF(SUM(BR22,BV22)&gt;0,SUM(BR22,BV22),"")</f>
        <v>7.1</v>
      </c>
      <c r="CC22" s="11">
        <f>IF(SUM(BQ22:BR22,BT22:BV22,BX22)-SUM(BS22,BW22)&gt;0,SUM(BQ22:BR22,BT22:BV22,BX22)-SUM(BS22,BW22),"")</f>
        <v>60.699999999999996</v>
      </c>
      <c r="CD22" s="11">
        <f>IF(SUM(CA22,CC22)&gt;0,SUM(CA22,CC22),"")</f>
        <v>122.5</v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14.05</v>
      </c>
      <c r="LZ22" s="61">
        <f>IF($BY22="P",BJ22,(BJ22+AN22)/2)</f>
        <v>1.75</v>
      </c>
      <c r="MA22" s="61">
        <f>IF($BY22="P",BK22,(BK22+AO22)/2)</f>
        <v>0.6</v>
      </c>
      <c r="MB22" s="61">
        <f>IF($BY22="P",BL22,(BL22+AP22)/2)</f>
        <v>0</v>
      </c>
      <c r="MC22" s="61">
        <f>IF($BY22="P",BM22,(BM22+AQ22)/2)</f>
        <v>14.1</v>
      </c>
      <c r="MD22" s="61">
        <f>IF($BY22="P",BN22,(BN22+AR22)/2)</f>
        <v>2.2000000000000002</v>
      </c>
      <c r="ME22" s="61">
        <f>IF($BY22="P",BO22,(BO22+AS22)/2)</f>
        <v>0.6</v>
      </c>
      <c r="MF22" s="61">
        <f>IF($BY22="P",BP22,(BP22+AT22)/2)</f>
        <v>0</v>
      </c>
      <c r="MG22" s="61">
        <f>IF($BY22="P",BQ22,(BQ22+AU22)/2)</f>
        <v>13.9</v>
      </c>
      <c r="MH22" s="61">
        <f>IF($BY22="P",BR22,(BR22+AV22)/2)</f>
        <v>1.8</v>
      </c>
      <c r="MI22" s="61">
        <f>IF($BY22="P",BS22,(BS22+AW22)/2)</f>
        <v>0.45</v>
      </c>
      <c r="MJ22" s="61">
        <f>IF($BY22="P",BT22,(BT22+AX22)/2)</f>
        <v>0</v>
      </c>
      <c r="MK22" s="61">
        <f>IF($BY22="P",BU22,(BU22+AY22)/2)</f>
        <v>13.95</v>
      </c>
      <c r="ML22" s="61">
        <f>IF($BY22="P",BV22,(BV22+AZ22)/2)</f>
        <v>1.75</v>
      </c>
      <c r="MM22" s="61">
        <f>IF($BY22="P",BW22,(BW22+BA22)/2)</f>
        <v>0.6</v>
      </c>
      <c r="MN22" s="61">
        <f>IF($BY22="P",BX22,(BX22+BB22)/2)</f>
        <v>0</v>
      </c>
      <c r="MO22" s="72" t="s">
        <v>52</v>
      </c>
      <c r="MP22" s="11">
        <f>IF(SUM(LZ22,MD22)&gt;0,SUM(LZ22,MD22),"")</f>
        <v>3.95</v>
      </c>
      <c r="MQ22" s="11">
        <f>IF(SUM(LY22:LZ22,MB22:MD22,MF22)-SUM(MA22,ME22)&gt;0,SUM(LY22:LZ22,MB22:MD22,MF22)-SUM(MA22,ME22),"")</f>
        <v>30.900000000000002</v>
      </c>
      <c r="MR22" s="11">
        <f>IF(SUM(MH22,ML22)&gt;0,SUM(MH22,ML22),"")</f>
        <v>3.55</v>
      </c>
      <c r="MS22" s="11">
        <f>IF(SUM(MG22:MH22,MJ22:ML22,MN22)-SUM(MI22,MM22)&gt;0,SUM(MG22:MH22,MJ22:ML22,MN22)-SUM(MI22,MM22),"")</f>
        <v>30.349999999999998</v>
      </c>
      <c r="MT22" s="11">
        <f>IF(SUM(MQ22,MS22)&gt;0,SUM(MQ22,MS22),"")</f>
        <v>61.25</v>
      </c>
    </row>
    <row r="23" spans="1:358" x14ac:dyDescent="0.2">
      <c r="A23" s="5" t="str">
        <f>IF(AND(F23="P",G23="P"),SUMPRODUCT((F$4:F$25="P")*(G$4:G$25="P")*(E$4:E$25&gt;E23))+1,IF(G23="P",SUMPRODUCT((F$4:F$25="")*(G$4:G$25="P")*(E$4:E$25&gt;E23))+1+SUMPRODUCT((F$4:F$25="P")*(G$4:G$25="P")),""))</f>
        <v/>
      </c>
      <c r="B23" s="8" t="s">
        <v>120</v>
      </c>
      <c r="C23" s="4" t="s">
        <v>5</v>
      </c>
      <c r="D23" s="5">
        <v>2001</v>
      </c>
      <c r="E23" s="15">
        <f>SUM(J23:N23)</f>
        <v>57.9</v>
      </c>
      <c r="F23" s="3" t="str">
        <f>IF(OR(AND(AH23&gt;=AL$27,AI23&gt;=AL$31,AI23&lt;&gt;"",AG23=""),AND(BD23&gt;=BH$27,BE23&gt;=BH$31,BE23&lt;&gt;"",BC23=""),AND(BZ23&gt;=CD$27,CA23&gt;=CD$31,CA23&lt;&gt;"",BY23=""),AND(CW23&gt;=DA$27,CX23&gt;=DA$31,CX23&lt;&gt;""),AND(DR23&gt;=DV$27,DS23&gt;=DV$31,DS23&lt;&gt;""),AND(EM23&gt;=EQ$27,EN23&gt;=EQ$31,EN23&lt;&gt;""),AND(FH23&gt;=FL$27,FI23&gt;=FL$31,FI23&lt;&gt;""),AND(GC23&gt;=GG$27,GD23&gt;=GG$31,GD23&lt;&gt;""),AND(GX23&gt;=HB$27,GY23&gt;=HB$31,GY23&lt;&gt;""),AND(HS23&gt;=HW$27,HT23&gt;=HW$31,HT23&lt;&gt;""),AND(IN23&gt;=IR$27,IO23&gt;=IR$31,IO23&lt;&gt;""),AND(JI23&gt;=JM$27,JJ23&gt;=JM$31,JJ23&lt;&gt;""),AND(KD23&gt;=KH$27,KE23&gt;=KH$31,KE23&lt;&gt;""),AND(KY23&gt;=LC$27,KZ23&gt;=LC$31,KZ23&lt;&gt;""),AND(LT23&gt;=LX$27,LU23&gt;=LX$31,LU23&lt;&gt;"")),"P","")</f>
        <v/>
      </c>
      <c r="G23" s="3" t="str">
        <f>IF(OR(AND(AI23&gt;=AL$31,AI23&lt;&gt;"",AG23=""),AND(BE23&gt;=BH$31,BE23&lt;&gt;"",BC23=""),AND(CA23&gt;=CD$31,CA23&lt;&gt;"",BY23=""),AND(CX23&gt;=DA$31,CX23&lt;&gt;""),AND(DS23&gt;=DV$31,DS23&lt;&gt;""),AND(EN23&gt;=EQ$31,EN23&lt;&gt;""),AND(FI23&gt;=FL$31,FI23&lt;&gt;""),AND(GD23&gt;=GG$31,GD23&lt;&gt;""),AND(GY23&gt;=HB$31,GY23&lt;&gt;""),AND(HT23&gt;=HW$31,HT23&lt;&gt;""),AND(IO23&gt;=IR$31,IO23&lt;&gt;""),AND(JJ23&gt;=JM$31,JJ23&lt;&gt;""),AND(KE23&gt;=KH$31,KE23&lt;&gt;""),AND(KZ23&gt;=LC$31,KZ23&lt;&gt;""),AND(LU23&gt;=LX$31,LU23&lt;&gt;"")),"P","")</f>
        <v/>
      </c>
      <c r="H23" s="116" t="str">
        <f>IF(AND(G23="P",F23=""),"No DD",IF(OR(AND(AH23&gt;=AL$30,AH23&lt;&gt;"",AI23&gt;=AL$34,AI23&lt;&gt;"",AG23=""),AND(BD23&gt;=BH$30,BD23&lt;&gt;"",BE23&gt;=BH$34,BE23&lt;&gt;"",BC23=""),AND(BZ23&gt;=CD$30,BZ23&lt;&gt;"",CA23&gt;=CD$34,CA23&lt;&gt;"",BY23=""),AND(CW23&gt;=DA$30,CW23&lt;&gt;"",CX23&gt;=DA$34,CX23&lt;&gt;""),AND(DR23&gt;=DV$30,DR23&lt;&gt;"",DS23&gt;=DV$34,DS23&lt;&gt;""),AND(EM23&gt;=EQ$30,EM23&lt;&gt;"",EN23&gt;=EQ$34,EN23&lt;&gt;""),AND(FH23&gt;=FL$30,FH23&lt;&gt;"",FI23&gt;=FL$34,FI23&lt;&gt;""),AND(GC23&gt;=GG$30,GC23&lt;&gt;"",GD23&gt;=GG$34,GD23&lt;&gt;""),AND(GX23&gt;=HB$30,GX23&lt;&gt;"",GY23&gt;=HB$34,GY23&lt;&gt;""),AND(HS23&gt;=HW$30,HS23&lt;&gt;"",HT23&gt;=HW$34,HT23&lt;&gt;""),AND(IN23&gt;=IR$30,IN23&lt;&gt;"",IO23&gt;=IR$34,IO23&lt;&gt;""),AND(JI23&gt;=JM$30,JI23&lt;&gt;"",JJ23&gt;=JM$34,JJ23&lt;&gt;""),AND(KD23&gt;=KH$30,KD23&lt;&gt;"",KE23&gt;=KH$34,KE23&lt;&gt;""),AND(KY23&gt;=LC$30,KY23&lt;&gt;"",KZ23&gt;=LC$34,KZ23&lt;&gt;""),AND(LT23&gt;=LX$30,LT23&lt;&gt;"",LU23&gt;=LX$34,LU23&lt;&gt;"")),"Merit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Excellence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Worlds Team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National Team","")))))</f>
        <v/>
      </c>
      <c r="I23" s="3" t="str">
        <f>IF(OR(H23="Worlds Team",H23="Excellence",H23="Merit"),"P","")</f>
        <v/>
      </c>
      <c r="J23" s="14">
        <f>MAX(AI23,BE23,CA23)</f>
        <v>57.9</v>
      </c>
      <c r="K23" s="14" t="str">
        <f>IF(J23=0,"",IF(J23=CA23,$BI$1,IF(J23=BE23,$AM$1,IF(J23=AI23,$Q$1,""))))</f>
        <v>2021 2nd Virtual Technical Trial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>
        <v>28.1</v>
      </c>
      <c r="R23" s="61">
        <v>4.8</v>
      </c>
      <c r="S23" s="61">
        <v>2.7</v>
      </c>
      <c r="T23" s="61">
        <v>0</v>
      </c>
      <c r="U23" s="61">
        <v>27.6</v>
      </c>
      <c r="V23" s="61">
        <v>3.8</v>
      </c>
      <c r="W23" s="61">
        <v>3.7</v>
      </c>
      <c r="X23" s="61">
        <v>0</v>
      </c>
      <c r="Y23" s="61">
        <v>20.399999999999999</v>
      </c>
      <c r="Z23" s="61">
        <v>2.4</v>
      </c>
      <c r="AA23" s="61">
        <v>0</v>
      </c>
      <c r="AB23" s="61">
        <v>0</v>
      </c>
      <c r="AC23" s="61">
        <v>20.2</v>
      </c>
      <c r="AD23" s="61">
        <v>4</v>
      </c>
      <c r="AE23" s="61">
        <v>0</v>
      </c>
      <c r="AF23" s="61">
        <v>0</v>
      </c>
      <c r="AG23" s="72"/>
      <c r="AH23" s="11">
        <f>IF(SUM(R23,V23)&gt;0,SUM(R23,V23),"")</f>
        <v>8.6</v>
      </c>
      <c r="AI23" s="11">
        <f>IF(SUM(Q23:R23,T23:V23,X23)-SUM(S23,W23)&gt;0,SUM(Q23:R23,T23:V23,X23)-SUM(S23,W23),"")</f>
        <v>57.9</v>
      </c>
      <c r="AJ23" s="11">
        <f>IF(SUM(Z23,AD23)&gt;0,SUM(Z23,AD23),"")</f>
        <v>6.4</v>
      </c>
      <c r="AK23" s="11">
        <f>IF(SUM(Y23:Z23,AB23:AD23,AF23)-SUM(AA23,AE23)&gt;0,SUM(Y23:Z23,AB23:AD23,AF23)-SUM(AA23,AE23),"")</f>
        <v>47</v>
      </c>
      <c r="AL23" s="11">
        <f>IF(SUM(AI23,AK23)&gt;0,SUM(AI23,AK23),"")</f>
        <v>104.9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>IF(SUM(AN23,AR23)&gt;0,SUM(AN23,AR23),"")</f>
        <v/>
      </c>
      <c r="BE23" s="14" t="str">
        <f>IF(SUM(AM23:AN23,AP23:AR23,AT23)-SUM(AO23,AS23)&gt;0,SUM(AM23:AN23,AP23:AR23,AT23)-SUM(AO23,AS23),"")</f>
        <v/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 t="str">
        <f>IF(SUM(BE23,BG23)&gt;0,SUM(BE23,BG23),"")</f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0</v>
      </c>
      <c r="LZ23" s="61">
        <f>IF($BY23="P",BJ23,(BJ23+AN23)/2)</f>
        <v>0</v>
      </c>
      <c r="MA23" s="61">
        <f>IF($BY23="P",BK23,(BK23+AO23)/2)</f>
        <v>0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 t="str">
        <f>IF(SUM(LZ23,MD23)&gt;0,SUM(LZ23,MD23),"")</f>
        <v/>
      </c>
      <c r="MQ23" s="11" t="str">
        <f>IF(SUM(LY23:LZ23,MB23:MD23,MF23)-SUM(MA23,ME23)&gt;0,SUM(LY23:LZ23,MB23:MD23,MF23)-SUM(MA23,ME23),"")</f>
        <v/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 t="str">
        <f>IF(SUM(MQ23,MS23)&gt;0,SUM(MQ23,MS23),"")</f>
        <v/>
      </c>
    </row>
    <row r="24" spans="1:358" x14ac:dyDescent="0.2">
      <c r="A24" s="5" t="str">
        <f>IF(AND(F24="P",G24="P"),SUMPRODUCT((F$4:F$25="P")*(G$4:G$25="P")*(E$4:E$25&gt;E24))+1,IF(G24="P",SUMPRODUCT((F$4:F$25="")*(G$4:G$25="P")*(E$4:E$25&gt;E24))+1+SUMPRODUCT((F$4:F$25="P")*(G$4:G$25="P")),""))</f>
        <v/>
      </c>
      <c r="B24" s="8" t="s">
        <v>114</v>
      </c>
      <c r="C24" s="4" t="s">
        <v>113</v>
      </c>
      <c r="D24" s="5">
        <v>2001</v>
      </c>
      <c r="E24" s="15">
        <f>SUM(J24:N24)</f>
        <v>53.1</v>
      </c>
      <c r="F24" s="3" t="str">
        <f>IF(OR(AND(AH24&gt;=AL$27,AI24&gt;=AL$31,AI24&lt;&gt;"",AG24=""),AND(BD24&gt;=BH$27,BE24&gt;=BH$31,BE24&lt;&gt;"",BC24=""),AND(BZ24&gt;=CD$27,CA24&gt;=CD$31,CA24&lt;&gt;"",BY24=""),AND(CW24&gt;=DA$27,CX24&gt;=DA$31,CX24&lt;&gt;""),AND(DR24&gt;=DV$27,DS24&gt;=DV$31,DS24&lt;&gt;""),AND(EM24&gt;=EQ$27,EN24&gt;=EQ$31,EN24&lt;&gt;""),AND(FH24&gt;=FL$27,FI24&gt;=FL$31,FI24&lt;&gt;""),AND(GC24&gt;=GG$27,GD24&gt;=GG$31,GD24&lt;&gt;""),AND(GX24&gt;=HB$27,GY24&gt;=HB$31,GY24&lt;&gt;""),AND(HS24&gt;=HW$27,HT24&gt;=HW$31,HT24&lt;&gt;""),AND(IN24&gt;=IR$27,IO24&gt;=IR$31,IO24&lt;&gt;""),AND(JI24&gt;=JM$27,JJ24&gt;=JM$31,JJ24&lt;&gt;""),AND(KD24&gt;=KH$27,KE24&gt;=KH$31,KE24&lt;&gt;""),AND(KY24&gt;=LC$27,KZ24&gt;=LC$31,KZ24&lt;&gt;""),AND(LT24&gt;=LX$27,LU24&gt;=LX$31,LU24&lt;&gt;"")),"P","")</f>
        <v/>
      </c>
      <c r="G24" s="3" t="str">
        <f>IF(OR(AND(AI24&gt;=AL$31,AI24&lt;&gt;"",AG24=""),AND(BE24&gt;=BH$31,BE24&lt;&gt;"",BC24=""),AND(CA24&gt;=CD$31,CA24&lt;&gt;"",BY24=""),AND(CX24&gt;=DA$31,CX24&lt;&gt;""),AND(DS24&gt;=DV$31,DS24&lt;&gt;""),AND(EN24&gt;=EQ$31,EN24&lt;&gt;""),AND(FI24&gt;=FL$31,FI24&lt;&gt;""),AND(GD24&gt;=GG$31,GD24&lt;&gt;""),AND(GY24&gt;=HB$31,GY24&lt;&gt;""),AND(HT24&gt;=HW$31,HT24&lt;&gt;""),AND(IO24&gt;=IR$31,IO24&lt;&gt;""),AND(JJ24&gt;=JM$31,JJ24&lt;&gt;""),AND(KE24&gt;=KH$31,KE24&lt;&gt;""),AND(KZ24&gt;=LC$31,KZ24&lt;&gt;""),AND(LU24&gt;=LX$31,LU24&lt;&gt;"")),"P","")</f>
        <v/>
      </c>
      <c r="H24" s="116" t="str">
        <f>IF(AND(G24="P",F24=""),"No DD",IF(OR(AND(AH24&gt;=AL$30,AH24&lt;&gt;"",AI24&gt;=AL$34,AI24&lt;&gt;"",AG24=""),AND(BD24&gt;=BH$30,BD24&lt;&gt;"",BE24&gt;=BH$34,BE24&lt;&gt;"",BC24=""),AND(BZ24&gt;=CD$30,BZ24&lt;&gt;"",CA24&gt;=CD$34,CA24&lt;&gt;"",BY24=""),AND(CW24&gt;=DA$30,CW24&lt;&gt;"",CX24&gt;=DA$34,CX24&lt;&gt;""),AND(DR24&gt;=DV$30,DR24&lt;&gt;"",DS24&gt;=DV$34,DS24&lt;&gt;""),AND(EM24&gt;=EQ$30,EM24&lt;&gt;"",EN24&gt;=EQ$34,EN24&lt;&gt;""),AND(FH24&gt;=FL$30,FH24&lt;&gt;"",FI24&gt;=FL$34,FI24&lt;&gt;""),AND(GC24&gt;=GG$30,GC24&lt;&gt;"",GD24&gt;=GG$34,GD24&lt;&gt;""),AND(GX24&gt;=HB$30,GX24&lt;&gt;"",GY24&gt;=HB$34,GY24&lt;&gt;""),AND(HS24&gt;=HW$30,HS24&lt;&gt;"",HT24&gt;=HW$34,HT24&lt;&gt;""),AND(IN24&gt;=IR$30,IN24&lt;&gt;"",IO24&gt;=IR$34,IO24&lt;&gt;""),AND(JI24&gt;=JM$30,JI24&lt;&gt;"",JJ24&gt;=JM$34,JJ24&lt;&gt;""),AND(KD24&gt;=KH$30,KD24&lt;&gt;"",KE24&gt;=KH$34,KE24&lt;&gt;""),AND(KY24&gt;=LC$30,KY24&lt;&gt;"",KZ24&gt;=LC$34,KZ24&lt;&gt;""),AND(LT24&gt;=LX$30,LT24&lt;&gt;"",LU24&gt;=LX$34,LU24&lt;&gt;"")),"Merit",IF(OR(AND(AH24&gt;=AL$29,AH24&lt;&gt;"",AI24&gt;=AL$33,AI24&lt;&gt;"",AG24=""),AND(BD24&gt;=BH$29,BD24&lt;&gt;"",BE24&gt;=BH$33,BE24&lt;&gt;"",BC24=""),AND(BZ24&gt;=CD$29,BZ24&lt;&gt;"",CA24&gt;=CD$33,CA24&lt;&gt;"",BY24=""),AND(CW24&gt;=DA$29,CW24&lt;&gt;"",CX24&gt;=DA$33,CX24&lt;&gt;""),AND(DR24&gt;=DV$29,DR24&lt;&gt;"",DS24&gt;=DV$33,DS24&lt;&gt;""),AND(EM24&gt;=EQ$29,EM24&lt;&gt;"",EN24&gt;=EQ$33,EN24&lt;&gt;""),AND(FH24&gt;=FL$29,FH24&lt;&gt;"",FI24&gt;=FL$33,FI24&lt;&gt;""),AND(GC24&gt;=GG$29,GC24&lt;&gt;"",GD24&gt;=GG$33,GD24&lt;&gt;""),AND(GX24&gt;=HB$29,GX24&lt;&gt;"",GY24&gt;=HB$33,GY24&lt;&gt;""),AND(HS24&gt;=HW$29,HS24&lt;&gt;"",HT24&gt;=HW$33,HT24&lt;&gt;""),AND(IN24&gt;=IR$29,IN24&lt;&gt;"",IO24&gt;=IR$33,IO24&lt;&gt;""),AND(JI24&gt;=JM$29,JI24&lt;&gt;"",JJ24&gt;=JM$33,JJ24&lt;&gt;""),AND(KD24&gt;=KH$29,KD24&lt;&gt;"",KE24&gt;=KH$33,KE24&lt;&gt;""),AND(KY24&gt;=LC$29,KY24&lt;&gt;"",KZ24&gt;=LC$33,KZ24&lt;&gt;""),AND(LT24&gt;=LX$29,LT24&lt;&gt;"",LU24&gt;=LX$33,LU24&lt;&gt;"")),"Excellence",IF(OR(AND(AH24&gt;=AL$28,AH24&lt;&gt;"",AI24&gt;=AL$32,AI24&lt;&gt;"",AG24=""),AND(BD24&gt;=BH$28,BD24&lt;&gt;"",BE24&gt;=BH$32,BE24&lt;&gt;"",BC24=""),AND(BZ24&gt;=CD$28,BZ24&lt;&gt;"",CA24&gt;=CD$32,CA24&lt;&gt;"",BY24=""),AND(CW24&gt;=DA$28,CW24&lt;&gt;"",CX24&gt;=DA$32,CX24&lt;&gt;""),AND(DR24&gt;=DV$28,DR24&lt;&gt;"",DS24&gt;=DV$32,DS24&lt;&gt;""),AND(EM24&gt;=EQ$28,EM24&lt;&gt;"",EN24&gt;=EQ$32,EN24&lt;&gt;""),AND(FH24&gt;=FL$28,FH24&lt;&gt;"",FI24&gt;=FL$32,FI24&lt;&gt;""),AND(GC24&gt;=GG$28,GC24&lt;&gt;"",GD24&gt;=GG$32,GD24&lt;&gt;""),AND(GX24&gt;=HB$28,GX24&lt;&gt;"",GY24&gt;=HB$32,GY24&lt;&gt;""),AND(HS24&gt;=HW$28,HS24&lt;&gt;"",HT24&gt;=HW$32,HT24&lt;&gt;""),AND(IN24&gt;=IR$28,IN24&lt;&gt;"",IO24&gt;=IR$32,IO24&lt;&gt;""),AND(JI24&gt;=JM$28,JI24&lt;&gt;"",JJ24&gt;=JM$32,JJ24&lt;&gt;""),AND(KD24&gt;=KH$28,KD24&lt;&gt;"",KE24&gt;=KH$32,KE24&lt;&gt;""),AND(KY24&gt;=LC$28,KY24&lt;&gt;"",KZ24&gt;=LC$32,KZ24&lt;&gt;""),AND(LT24&gt;=LX$28,LT24&lt;&gt;"",LU24&gt;=LX$32,LU24&lt;&gt;"")),"Worlds Team",IF(OR(AND(AH24&gt;=AL$27,AH24&lt;&gt;"",AI24&gt;=AL$31,AI24&lt;&gt;"",AG24=""),AND(BD24&gt;=BH$27,BD24&lt;&gt;"",BE24&gt;=BH$31,BE24&lt;&gt;"",BC24=""),AND(BZ24&gt;=CD$27,BZ24&lt;&gt;"",CA24&gt;=CD$31,CA24&lt;&gt;"",BY24=""),AND(CW24&gt;=DA$27,CW24&lt;&gt;"",CX24&gt;=DA$31,CX24&lt;&gt;""),AND(DR24&gt;=DV$27,DR24&lt;&gt;"",DS24&gt;=DV$31,DS24&lt;&gt;""),AND(EM24&gt;=EQ$27,EM24&lt;&gt;"",EN24&gt;=EQ$31,EN24&lt;&gt;""),AND(FH24&gt;=FL$27,FH24&lt;&gt;"",FI24&gt;=FL$31,FI24&lt;&gt;""),AND(GC24&gt;=GG$27,GC24&lt;&gt;"",GD24&gt;=GG$31,GD24&lt;&gt;""),AND(GX24&gt;=HB$27,GX24&lt;&gt;"",GY24&gt;=HB$31,GY24&lt;&gt;""),AND(HS24&gt;=HW$27,HS24&lt;&gt;"",HT24&gt;=HW$31,HT24&lt;&gt;""),AND(IN24&gt;=IR$27,IN24&lt;&gt;"",IO24&gt;=IR$31,IO24&lt;&gt;""),AND(JI24&gt;=JM$27,JI24&lt;&gt;"",JJ24&gt;=JM$31,JJ24&lt;&gt;""),AND(KD24&gt;=KH$27,KD24&lt;&gt;"",KE24&gt;=KH$31,KE24&lt;&gt;""),AND(KY24&gt;=LC$27,KY24&lt;&gt;"",KZ24&gt;=LC$31,KZ24&lt;&gt;""),AND(LT24&gt;=LX$27,LT24&lt;&gt;"",LU24&gt;=LX$31,LU24&lt;&gt;"")),"National Team","")))))</f>
        <v/>
      </c>
      <c r="I24" s="3" t="str">
        <f>IF(OR(H24="Worlds Team",H24="Excellence",H24="Merit"),"P","")</f>
        <v/>
      </c>
      <c r="J24" s="14">
        <f>MAX(AI24,BE24,CA24)</f>
        <v>53.1</v>
      </c>
      <c r="K24" s="14" t="str">
        <f>IF(J24=0,"",IF(J24=CA24,$BI$1,IF(J24=BE24,$AM$1,IF(J24=AI24,$Q$1,""))))</f>
        <v>2021 Canadian Championships</v>
      </c>
      <c r="L24" s="14">
        <f>IF(J24=AI24,MAX(BH24,CD24),IF(J24=BE24,MAX(AL24,CD24),MAX(AL24,BH24)))</f>
        <v>0</v>
      </c>
      <c r="M24" s="14" t="str">
        <f>IF(L24=0,"",IF(AND(J24&lt;&gt;CA24,L24=CD24),$BI$1,IF(AND(J24&lt;&gt;BE24,L24=BH24),$AM$1,IF(L24=AL24,$Q$1,""))))</f>
        <v/>
      </c>
      <c r="N24" s="14" t="str">
        <f>IF(MAX(CE24:CF24)&gt;0,MAX(CE24:CF24),"")</f>
        <v/>
      </c>
      <c r="O24" s="24" t="str">
        <f>IF(N24="","",IF(N24=CE24,"(Prelim)",IF(N24=CF24,"(4 Pass)")))</f>
        <v/>
      </c>
      <c r="P24" s="14" t="str">
        <f>IF(N24="","",IF(N24=CE24,IF(N24+IF(J24="",0,J24)=CX24,$CG$1,IF(N24+IF(J24="",0,J24)=DS24,$DB$1,IF(N24+IF(J24="",0,J24)=EN24,$DW$1,IF(N24+IF(J24="",0,J24)=FI24,$ER$1,IF(N24+IF(J24="",0,J24)=GD24,$FM$1,IF(N24+IF(J24="",0,J24)=GY24,$GH$1,IF(N24+IF(J24="",0,J24)=HT24,$HC$1,IF(N24+IF(J24="",0,J24)=IO24,$HX$1,IF(N24+IF(J24="",0,J24)=JJ24,$IS$1,IF(N24+IF(J24="",0,J24)=KE24,$JN$1,IF(N24+IF(J24="",0,J24)=KZ24,$KI$1,IF(N24+IF(J24="",0,J24)=LU24,$LD$1)))))))))))),IF(N24=CF24,IF(N24+IF(L24="",0,L24)=DA24,$CG$1,IF(N24+IF(L24="",0,L24)=DV24,$DB$1,IF(N24+IF(L24="",0,L24)=EQ24,$DW$1,IF(N24+IF(L24="",0,L24)=FL24,$ER$1,IF(N24+IF(L24="",0,L24)=GG24,$FM$1,IF(N24+IF(L24="",0,L24)=HB24,$GH$1,IF(N24+IF(L24="",0,L24)=HW24,$HC$1,IF(N24+IF(L24="",0,L24)=IR24,$HX$1,IF(N24+IF(L24="",0,L24)=JM24,$IS$1,IF(N24+IF(L24="",0,L24)=KH24,$JN$1,IF(N24+IF(L24="",0,L24)=LC24,$KI$1,IF(N24+IF(L24="",0,L24)=LX24,$LD$1)))))))))))))))</f>
        <v/>
      </c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72"/>
      <c r="AH24" s="11" t="str">
        <f>IF(SUM(R24,V24)&gt;0,SUM(R24,V24),"")</f>
        <v/>
      </c>
      <c r="AI24" s="11" t="str">
        <f>IF(SUM(Q24:R24,T24:V24,X24)-SUM(S24,W24)&gt;0,SUM(Q24:R24,T24:V24,X24)-SUM(S24,W24),"")</f>
        <v/>
      </c>
      <c r="AJ24" s="11" t="str">
        <f>IF(SUM(Z24,AD24)&gt;0,SUM(Z24,AD24),"")</f>
        <v/>
      </c>
      <c r="AK24" s="11" t="str">
        <f>IF(SUM(Y24:Z24,AB24:AD24,AF24)-SUM(AA24,AE24)&gt;0,SUM(Y24:Z24,AB24:AD24,AF24)-SUM(AA24,AE24),"")</f>
        <v/>
      </c>
      <c r="AL24" s="11" t="str">
        <f>IF(SUM(AI24,AK24)&gt;0,SUM(AI24,AK24),"")</f>
        <v/>
      </c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73"/>
      <c r="BD24" s="14" t="str">
        <f>IF(SUM(AN24,AR24)&gt;0,SUM(AN24,AR24),"")</f>
        <v/>
      </c>
      <c r="BE24" s="14" t="str">
        <f>IF(SUM(AM24:AN24,AP24:AR24,AT24)-SUM(AO24,AS24)&gt;0,SUM(AM24:AN24,AP24:AR24,AT24)-SUM(AO24,AS24),"")</f>
        <v/>
      </c>
      <c r="BF24" s="14" t="str">
        <f>IF(SUM(AV24,AZ24)&gt;0,SUM(AV24,AZ24),"")</f>
        <v/>
      </c>
      <c r="BG24" s="14" t="str">
        <f>IF(SUM(AU24:AV24,AX24:AZ24,BB24)-SUM(AW24,BA24)&gt;0,SUM(AU24:AV24,AX24:AZ24,BB24)-SUM(AW24,BA24),"")</f>
        <v/>
      </c>
      <c r="BH24" s="14" t="str">
        <f>IF(SUM(BE24,BG24)&gt;0,SUM(BE24,BG24),"")</f>
        <v/>
      </c>
      <c r="BI24" s="61">
        <v>20.399999999999999</v>
      </c>
      <c r="BJ24" s="61">
        <v>0.7</v>
      </c>
      <c r="BK24" s="61">
        <v>0</v>
      </c>
      <c r="BL24" s="61">
        <v>0</v>
      </c>
      <c r="BM24" s="61">
        <v>27.8</v>
      </c>
      <c r="BN24" s="61">
        <v>5.0999999999999996</v>
      </c>
      <c r="BO24" s="61">
        <v>0.9</v>
      </c>
      <c r="BP24" s="61">
        <v>0</v>
      </c>
      <c r="BQ24" s="61"/>
      <c r="BR24" s="61"/>
      <c r="BS24" s="61"/>
      <c r="BT24" s="61"/>
      <c r="BU24" s="61"/>
      <c r="BV24" s="61"/>
      <c r="BW24" s="61"/>
      <c r="BX24" s="61"/>
      <c r="BY24" s="72"/>
      <c r="BZ24" s="11">
        <f>IF(SUM(BJ24,BN24)&gt;0,SUM(BJ24,BN24),"")</f>
        <v>5.8</v>
      </c>
      <c r="CA24" s="11">
        <f>IF(SUM(BI24:BJ24,BL24:BN24,BP24)-SUM(BK24,BO24)&gt;0,SUM(BI24:BJ24,BL24:BN24,BP24)-SUM(BK24,BO24),"")</f>
        <v>53.1</v>
      </c>
      <c r="CB24" s="11" t="str">
        <f>IF(SUM(BR24,BV24)&gt;0,SUM(BR24,BV24),"")</f>
        <v/>
      </c>
      <c r="CC24" s="11" t="str">
        <f>IF(SUM(BQ24:BR24,BT24:BV24,BX24)-SUM(BS24,BW24)&gt;0,SUM(BQ24:BR24,BT24:BV24,BX24)-SUM(BS24,BW24),"")</f>
        <v/>
      </c>
      <c r="CD24" s="11">
        <f>IF(SUM(CA24,CC24)&gt;0,SUM(CA24,CC24),"")</f>
        <v>53.1</v>
      </c>
      <c r="CE24" s="23" t="str">
        <f>IF(MAX(CX24,DS24,EN24,FI24,GD24,GY24,HT24,IO24,JJ24,KE24,KZ24,LU24)-IF(J24="",0,J24)&gt;0.001,MAX(CX24,DS24,EN24,FI24,GD24,GY24,HT24,IO24,JJ24,KE24,KZ24,LU24)-IF(J24="",0,J24),"")</f>
        <v/>
      </c>
      <c r="CF24" s="23" t="str">
        <f>IF(MAX(DA24,DV24,EQ24,FL24,GG24,HB24,HW24,IR24,JM24,KH24,LC24,LX24)-IF(L24="",0,L24)&gt;0.001,MAX(DA24,DV24,EQ24,FL24,GG24,HB24,HW24,IR24,JM24,KH24,LC24,LX24)-IF(L24="",0,L24),"")</f>
        <v/>
      </c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11" t="str">
        <f>IF(SUM(CH24,CL24)&gt;0,SUM(CH24,CL24),"")</f>
        <v/>
      </c>
      <c r="CX24" s="11" t="str">
        <f>IF(SUM(CG24:CH24,CJ24:CL24,CN24)-SUM(CI24,CM24)&gt;0,SUM(CG24:CH24,CJ24:CL24,CN24)-SUM(CI24,CM24),"")</f>
        <v/>
      </c>
      <c r="CY24" s="11" t="str">
        <f>IF(SUM(CP24,CT24)&gt;0,SUM(CP24,CT24),"")</f>
        <v/>
      </c>
      <c r="CZ24" s="11" t="str">
        <f>IF(SUM(CO24:CP24,CR24:CT24,CV24)-SUM(CQ24,CU24)&gt;0,SUM(CO24:CP24,CR24:CT24,CV24)-SUM(CQ24,CU24),"")</f>
        <v/>
      </c>
      <c r="DA24" s="11" t="str">
        <f>IF(SUM(CX24,CZ24)&gt;0,SUM(CX24,CZ24),"")</f>
        <v/>
      </c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14" t="str">
        <f>IF(SUM(DC24,DG24)&gt;0,SUM(DC24,DG24),"")</f>
        <v/>
      </c>
      <c r="DS24" s="14" t="str">
        <f>IF(SUM(DB24:DC24,DE24:DG24,DI24)-SUM(DD24,DH24)&gt;0,SUM(DB24:DC24,DE24:DG24,DI24)-SUM(DD24,DH24),"")</f>
        <v/>
      </c>
      <c r="DT24" s="14" t="str">
        <f>IF(SUM(DK24,DO24)&gt;0,SUM(DK24,DO24),"")</f>
        <v/>
      </c>
      <c r="DU24" s="14" t="str">
        <f>IF(SUM(DJ24:DK24,DM24:DO24,DQ24)-SUM(DL24,DP24)&gt;0,SUM(DJ24:DK24,DM24:DO24,DQ24)-SUM(DL24,DP24),"")</f>
        <v/>
      </c>
      <c r="DV24" s="14" t="str">
        <f>IF(SUM(DS24,DU24)&gt;0,SUM(DS24,DU24),"")</f>
        <v/>
      </c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11" t="str">
        <f>IF(SUM(DX24,EB24)&gt;0,SUM(DX24,EB24),"")</f>
        <v/>
      </c>
      <c r="EN24" s="11" t="str">
        <f>IF(SUM(DW24:DX24,DZ24:EB24,ED24)-SUM(DY24,EC24)&gt;0,SUM(DW24:DX24,DZ24:EB24,ED24)-SUM(DY24,EC24),"")</f>
        <v/>
      </c>
      <c r="EO24" s="11" t="str">
        <f>IF(SUM(EF24,EJ24)&gt;0,SUM(EF24,EJ24),"")</f>
        <v/>
      </c>
      <c r="EP24" s="11" t="str">
        <f>IF(SUM(EE24:EF24,EH24:EJ24,EL24)-SUM(EG24,EK24)&gt;0,SUM(EE24:EF24,EH24:EJ24,EL24)-SUM(EG24,EK24),"")</f>
        <v/>
      </c>
      <c r="EQ24" s="11" t="str">
        <f>IF(SUM(EN24,EP24)&gt;0,SUM(EN24,EP24),"")</f>
        <v/>
      </c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14" t="str">
        <f>IF(SUM(ES24,EW24)&gt;0,SUM(ES24,EW24),"")</f>
        <v/>
      </c>
      <c r="FI24" s="14" t="str">
        <f>IF(SUM(ER24:ES24,EU24:EW24,EY24)-SUM(ET24,EX24)&gt;0,SUM(ER24:ES24,EU24:EW24,EY24)-SUM(ET24,EX24),"")</f>
        <v/>
      </c>
      <c r="FJ24" s="14" t="str">
        <f>IF(SUM(FA24,FE24)&gt;0,SUM(FA24,FE24),"")</f>
        <v/>
      </c>
      <c r="FK24" s="14" t="str">
        <f>IF(SUM(EZ24:FA24,FC24:FE24,FG24)-SUM(FB24,FF24)&gt;0,SUM(EZ24:FA24,FC24:FE24,FG24)-SUM(FB24,FF24),"")</f>
        <v/>
      </c>
      <c r="FL24" s="14" t="str">
        <f>IF(SUM(FI24,FK24)&gt;0,SUM(FI24,FK24),"")</f>
        <v/>
      </c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11" t="str">
        <f>IF(SUM(FN24,FR24)&gt;0,SUM(FN24,FR24),"")</f>
        <v/>
      </c>
      <c r="GD24" s="11" t="str">
        <f>IF(SUM(FM24:FN24,FP24:FR24,FT24)-SUM(FO24,FS24)&gt;0,SUM(FM24:FN24,FP24:FR24,FT24)-SUM(FO24,FS24),"")</f>
        <v/>
      </c>
      <c r="GE24" s="11" t="str">
        <f>IF(SUM(FV24,FZ24)&gt;0,SUM(FV24,FZ24),"")</f>
        <v/>
      </c>
      <c r="GF24" s="11" t="str">
        <f>IF(SUM(FU24:FV24,FX24:FZ24,GB24)-SUM(FW24,GA24)&gt;0,SUM(FU24:FV24,FX24:FZ24,GB24)-SUM(FW24,GA24),"")</f>
        <v/>
      </c>
      <c r="GG24" s="11" t="str">
        <f>IF(SUM(GD24,GF24)&gt;0,SUM(GD24,GF24),"")</f>
        <v/>
      </c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14" t="str">
        <f>IF(SUM(GI24,GM24)&gt;0,SUM(GI24,GM24),"")</f>
        <v/>
      </c>
      <c r="GY24" s="14" t="str">
        <f>IF(SUM(GH24:GI24,GK24:GM24,GO24)-SUM(GJ24,GN24)&gt;0,SUM(GH24:GI24,GK24:GM24,GO24)-SUM(GJ24,GN24),"")</f>
        <v/>
      </c>
      <c r="GZ24" s="14" t="str">
        <f>IF(SUM(GQ24,GU24)&gt;0,SUM(GQ24,GU24),"")</f>
        <v/>
      </c>
      <c r="HA24" s="14" t="str">
        <f>IF(SUM(GP24:GQ24,GS24:GU24,GW24)-SUM(GR24,GV24)&gt;0,SUM(GP24:GQ24,GS24:GU24,GW24)-SUM(GR24,GV24),"")</f>
        <v/>
      </c>
      <c r="HB24" s="14" t="str">
        <f>IF(SUM(GY24,HA24)&gt;0,SUM(GY24,HA24),"")</f>
        <v/>
      </c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11" t="str">
        <f>IF(SUM(HD24,HH24)&gt;0,SUM(HD24,HH24),"")</f>
        <v/>
      </c>
      <c r="HT24" s="11" t="str">
        <f>IF(SUM(HC24:HD24,HF24:HH24,HJ24)-SUM(HE24,HI24)&gt;0,SUM(HC24:HD24,HF24:HH24,HJ24)-SUM(HE24,HI24),"")</f>
        <v/>
      </c>
      <c r="HU24" s="11" t="str">
        <f>IF(SUM(HL24,HP24)&gt;0,SUM(HL24,HP24),"")</f>
        <v/>
      </c>
      <c r="HV24" s="11" t="str">
        <f>IF(SUM(HK24:HL24,HN24:HP24,HR24)-SUM(HM24,HQ24)&gt;0,SUM(HK24:HL24,HN24:HP24,HR24)-SUM(HM24,HQ24),"")</f>
        <v/>
      </c>
      <c r="HW24" s="11" t="str">
        <f>IF(SUM(HT24,HV24)&gt;0,SUM(HT24,HV24),"")</f>
        <v/>
      </c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14" t="str">
        <f>IF(SUM(HY24,IC24)&gt;0,SUM(HY24,IC24),"")</f>
        <v/>
      </c>
      <c r="IO24" s="14" t="str">
        <f>IF(SUM(HX24:HY24,IA24:IC24,IE24)-SUM(HZ24,ID24)&gt;0,SUM(HX24:HY24,IA24:IC24,IE24)-SUM(HZ24,ID24),"")</f>
        <v/>
      </c>
      <c r="IP24" s="14" t="str">
        <f>IF(SUM(IG24,IK24)&gt;0,SUM(IG24,IK24),"")</f>
        <v/>
      </c>
      <c r="IQ24" s="14" t="str">
        <f>IF(SUM(IF24:IG24,II24:IK24,IM24)-SUM(IH24,IL24)&gt;0,SUM(IF24:IG24,II24:IK24,IM24)-SUM(IH24,IL24),"")</f>
        <v/>
      </c>
      <c r="IR24" s="14" t="str">
        <f>IF(SUM(IO24,IQ24)&gt;0,SUM(IO24,IQ24),"")</f>
        <v/>
      </c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11" t="str">
        <f>IF(SUM(IT24,IX24)&gt;0,SUM(IT24,IX24),"")</f>
        <v/>
      </c>
      <c r="JJ24" s="11" t="str">
        <f>IF(SUM(IS24:IT24,IV24:IX24,IZ24)-SUM(IU24,IY24)&gt;0,SUM(IS24:IT24,IV24:IX24,IZ24)-SUM(IU24,IY24),"")</f>
        <v/>
      </c>
      <c r="JK24" s="11" t="str">
        <f>IF(SUM(JB24,JF24)&gt;0,SUM(JB24,JF24),"")</f>
        <v/>
      </c>
      <c r="JL24" s="11" t="str">
        <f>IF(SUM(JA24:JB24,JD24:JF24,JH24)-SUM(JC24,JG24)&gt;0,SUM(JA24:JB24,JD24:JF24,JH24)-SUM(JC24,JG24),"")</f>
        <v/>
      </c>
      <c r="JM24" s="11" t="str">
        <f>IF(SUM(JJ24,JL24)&gt;0,SUM(JJ24,JL24),"")</f>
        <v/>
      </c>
      <c r="JN24" s="39"/>
      <c r="JO24" s="39"/>
      <c r="JP24" s="39"/>
      <c r="JQ24" s="39"/>
      <c r="JR24" s="39"/>
      <c r="JS24" s="39"/>
      <c r="JT24" s="39"/>
      <c r="JU24" s="39"/>
      <c r="JV24" s="39"/>
      <c r="JW24" s="39"/>
      <c r="JX24" s="39"/>
      <c r="JY24" s="39"/>
      <c r="JZ24" s="39"/>
      <c r="KA24" s="39"/>
      <c r="KB24" s="39"/>
      <c r="KC24" s="39"/>
      <c r="KD24" s="14" t="str">
        <f>IF(SUM(JO24,JS24)&gt;0,SUM(JO24,JS24),"")</f>
        <v/>
      </c>
      <c r="KE24" s="14" t="str">
        <f>IF(SUM(JN24:JO24,JQ24:JS24,JU24)-SUM(JP24,JT24)&gt;0,SUM(JN24:JO24,JQ24:JS24,JU24)-SUM(JP24,JT24),"")</f>
        <v/>
      </c>
      <c r="KF24" s="14" t="str">
        <f>IF(SUM(JW24,KA24)&gt;0,SUM(JW24,KA24),"")</f>
        <v/>
      </c>
      <c r="KG24" s="14" t="str">
        <f>IF(SUM(JV24:JW24,JY24:KA24,KC24)-SUM(JX24,KB24)&gt;0,SUM(JV24:JW24,JY24:KA24,KC24)-SUM(JX24,KB24),"")</f>
        <v/>
      </c>
      <c r="KH24" s="14" t="str">
        <f>IF(SUM(KE24,KG24)&gt;0,SUM(KE24,KG24),"")</f>
        <v/>
      </c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11" t="str">
        <f>IF(SUM(KJ24,KN24)&gt;0,SUM(KJ24,KN24),"")</f>
        <v/>
      </c>
      <c r="KZ24" s="11" t="str">
        <f>IF(SUM(KI24:KJ24,KL24:KN24,KP24)-SUM(KK24,KO24)&gt;0,SUM(KI24:KJ24,KL24:KN24,KP24)-SUM(KK24,KO24),"")</f>
        <v/>
      </c>
      <c r="LA24" s="11" t="str">
        <f>IF(SUM(KR24,KV24)&gt;0,SUM(KR24,KV24),"")</f>
        <v/>
      </c>
      <c r="LB24" s="11" t="str">
        <f>IF(SUM(KQ24:KR24,KT24:KV24,KX24)-SUM(KS24,KW24)&gt;0,SUM(KQ24:KR24,KT24:KV24,KX24)-SUM(KS24,KW24),"")</f>
        <v/>
      </c>
      <c r="LC24" s="11" t="str">
        <f>IF(SUM(KZ24,LB24)&gt;0,SUM(KZ24,LB24),"")</f>
        <v/>
      </c>
      <c r="LD24" s="39"/>
      <c r="LE24" s="39"/>
      <c r="LF24" s="39"/>
      <c r="LG24" s="39"/>
      <c r="LH24" s="39"/>
      <c r="LI24" s="39"/>
      <c r="LJ24" s="39"/>
      <c r="LK24" s="39"/>
      <c r="LL24" s="39"/>
      <c r="LM24" s="39"/>
      <c r="LN24" s="39"/>
      <c r="LO24" s="39"/>
      <c r="LP24" s="39"/>
      <c r="LQ24" s="39"/>
      <c r="LR24" s="39"/>
      <c r="LS24" s="39"/>
      <c r="LT24" s="14" t="str">
        <f>IF(SUM(LE24,LI24)&gt;0,SUM(LE24,LI24),"")</f>
        <v/>
      </c>
      <c r="LU24" s="14" t="str">
        <f>IF(SUM(LD24:LE24,LG24:LI24,LK24)-SUM(LF24,LJ24)&gt;0,SUM(LD24:LE24,LG24:LI24,LK24)-SUM(LF24,LJ24),"")</f>
        <v/>
      </c>
      <c r="LV24" s="14" t="str">
        <f>IF(SUM(LM24,LQ24)&gt;0,SUM(LM24,LQ24),"")</f>
        <v/>
      </c>
      <c r="LW24" s="14" t="str">
        <f>IF(SUM(LL24:LM24,LO24:LQ24,LS24)-SUM(LN24,LR24)&gt;0,SUM(LL24:LM24,LO24:LQ24,LS24)-SUM(LN24,LR24),"")</f>
        <v/>
      </c>
      <c r="LX24" s="14" t="str">
        <f>IF(SUM(LU24,LW24)&gt;0,SUM(LU24,LW24),"")</f>
        <v/>
      </c>
      <c r="LY24" s="61">
        <f>IF($BY24="P",BI24,(BI24+AM24)/2)</f>
        <v>10.199999999999999</v>
      </c>
      <c r="LZ24" s="61">
        <f>IF($BY24="P",BJ24,(BJ24+AN24)/2)</f>
        <v>0.35</v>
      </c>
      <c r="MA24" s="61">
        <f>IF($BY24="P",BK24,(BK24+AO24)/2)</f>
        <v>0</v>
      </c>
      <c r="MB24" s="61">
        <f>IF($BY24="P",BL24,(BL24+AP24)/2)</f>
        <v>0</v>
      </c>
      <c r="MC24" s="61">
        <f>IF($BY24="P",BM24,(BM24+AQ24)/2)</f>
        <v>13.9</v>
      </c>
      <c r="MD24" s="61">
        <f>IF($BY24="P",BN24,(BN24+AR24)/2)</f>
        <v>2.5499999999999998</v>
      </c>
      <c r="ME24" s="61">
        <f>IF($BY24="P",BO24,(BO24+AS24)/2)</f>
        <v>0.45</v>
      </c>
      <c r="MF24" s="61">
        <f>IF($BY24="P",BP24,(BP24+AT24)/2)</f>
        <v>0</v>
      </c>
      <c r="MG24" s="61">
        <f>IF($BY24="P",BQ24,(BQ24+AU24)/2)</f>
        <v>0</v>
      </c>
      <c r="MH24" s="61">
        <f>IF($BY24="P",BR24,(BR24+AV24)/2)</f>
        <v>0</v>
      </c>
      <c r="MI24" s="61">
        <f>IF($BY24="P",BS24,(BS24+AW24)/2)</f>
        <v>0</v>
      </c>
      <c r="MJ24" s="61">
        <f>IF($BY24="P",BT24,(BT24+AX24)/2)</f>
        <v>0</v>
      </c>
      <c r="MK24" s="61">
        <f>IF($BY24="P",BU24,(BU24+AY24)/2)</f>
        <v>0</v>
      </c>
      <c r="ML24" s="61">
        <f>IF($BY24="P",BV24,(BV24+AZ24)/2)</f>
        <v>0</v>
      </c>
      <c r="MM24" s="61">
        <f>IF($BY24="P",BW24,(BW24+BA24)/2)</f>
        <v>0</v>
      </c>
      <c r="MN24" s="61">
        <f>IF($BY24="P",BX24,(BX24+BB24)/2)</f>
        <v>0</v>
      </c>
      <c r="MO24" s="72" t="s">
        <v>52</v>
      </c>
      <c r="MP24" s="11">
        <f>IF(SUM(LZ24,MD24)&gt;0,SUM(LZ24,MD24),"")</f>
        <v>2.9</v>
      </c>
      <c r="MQ24" s="11">
        <f>IF(SUM(LY24:LZ24,MB24:MD24,MF24)-SUM(MA24,ME24)&gt;0,SUM(LY24:LZ24,MB24:MD24,MF24)-SUM(MA24,ME24),"")</f>
        <v>26.55</v>
      </c>
      <c r="MR24" s="11" t="str">
        <f>IF(SUM(MH24,ML24)&gt;0,SUM(MH24,ML24),"")</f>
        <v/>
      </c>
      <c r="MS24" s="11" t="str">
        <f>IF(SUM(MG24:MH24,MJ24:ML24,MN24)-SUM(MI24,MM24)&gt;0,SUM(MG24:MH24,MJ24:ML24,MN24)-SUM(MI24,MM24),"")</f>
        <v/>
      </c>
      <c r="MT24" s="11">
        <f>IF(SUM(MQ24,MS24)&gt;0,SUM(MQ24,MS24),"")</f>
        <v>26.55</v>
      </c>
    </row>
    <row r="27" spans="1:358" x14ac:dyDescent="0.2">
      <c r="B27" s="62" t="s">
        <v>50</v>
      </c>
      <c r="AH27" s="49"/>
      <c r="AJ27" s="49"/>
      <c r="AL27" s="56">
        <v>12.8</v>
      </c>
      <c r="BD27" s="49"/>
      <c r="BF27" s="49"/>
      <c r="BH27" s="56">
        <v>12.8</v>
      </c>
      <c r="BZ27" s="49"/>
      <c r="CB27" s="49"/>
      <c r="CD27" s="56">
        <v>12.8</v>
      </c>
      <c r="CW27" s="49"/>
      <c r="CY27" s="49"/>
      <c r="DA27" s="56">
        <v>12.8</v>
      </c>
      <c r="DR27" s="49"/>
      <c r="DT27" s="49"/>
      <c r="DV27" s="56">
        <v>12.8</v>
      </c>
      <c r="EM27" s="49"/>
      <c r="EO27" s="49"/>
      <c r="EQ27" s="56">
        <v>12.8</v>
      </c>
      <c r="FH27" s="49"/>
      <c r="FJ27" s="49"/>
      <c r="FL27" s="56">
        <v>12.8</v>
      </c>
      <c r="GC27" s="49"/>
      <c r="GE27" s="49"/>
      <c r="GG27" s="56">
        <v>12.8</v>
      </c>
      <c r="GX27" s="49"/>
      <c r="GZ27" s="49"/>
      <c r="HB27" s="56">
        <v>12.8</v>
      </c>
      <c r="HS27" s="49"/>
      <c r="HU27" s="49"/>
      <c r="HW27" s="56">
        <v>12.8</v>
      </c>
      <c r="IN27" s="49"/>
      <c r="IP27" s="49"/>
      <c r="IR27" s="56">
        <v>12.8</v>
      </c>
      <c r="JI27" s="49"/>
      <c r="JK27" s="49"/>
      <c r="JM27" s="56">
        <v>12.8</v>
      </c>
      <c r="KD27" s="49"/>
      <c r="KF27" s="49"/>
      <c r="KH27" s="56">
        <v>12.8</v>
      </c>
      <c r="KY27" s="49"/>
      <c r="LA27" s="49"/>
      <c r="LC27" s="56">
        <v>12.8</v>
      </c>
      <c r="LT27" s="49"/>
      <c r="LV27" s="49"/>
      <c r="LX27" s="56">
        <v>12.8</v>
      </c>
    </row>
    <row r="28" spans="1:358" hidden="1" x14ac:dyDescent="0.2">
      <c r="B28" s="83" t="s">
        <v>49</v>
      </c>
      <c r="AH28" s="49"/>
      <c r="AJ28" s="49"/>
      <c r="AL28" s="96">
        <v>1000</v>
      </c>
      <c r="BD28" s="49"/>
      <c r="BF28" s="49"/>
      <c r="BH28" s="96">
        <v>1000</v>
      </c>
      <c r="BZ28" s="49"/>
      <c r="CB28" s="49"/>
      <c r="CD28" s="96">
        <v>1000</v>
      </c>
      <c r="CW28" s="49"/>
      <c r="CY28" s="49"/>
      <c r="DA28" s="96">
        <v>1000</v>
      </c>
      <c r="DR28" s="49"/>
      <c r="DT28" s="49"/>
      <c r="DV28" s="96">
        <v>1000</v>
      </c>
      <c r="EM28" s="49"/>
      <c r="EO28" s="49"/>
      <c r="EQ28" s="96">
        <v>1000</v>
      </c>
      <c r="FH28" s="49"/>
      <c r="FJ28" s="49"/>
      <c r="FL28" s="96">
        <v>1000</v>
      </c>
      <c r="GC28" s="49"/>
      <c r="GE28" s="49"/>
      <c r="GG28" s="96">
        <v>1000</v>
      </c>
      <c r="GX28" s="49"/>
      <c r="GZ28" s="49"/>
      <c r="HB28" s="96">
        <v>1000</v>
      </c>
      <c r="HS28" s="49"/>
      <c r="HU28" s="49"/>
      <c r="HW28" s="96">
        <v>1000</v>
      </c>
      <c r="IN28" s="49"/>
      <c r="IP28" s="49"/>
      <c r="IR28" s="96">
        <v>1000</v>
      </c>
      <c r="JI28" s="49"/>
      <c r="JK28" s="49"/>
      <c r="JM28" s="96">
        <v>1000</v>
      </c>
      <c r="KD28" s="49"/>
      <c r="KF28" s="49"/>
      <c r="KH28" s="96">
        <v>1000</v>
      </c>
      <c r="KY28" s="49"/>
      <c r="LA28" s="49"/>
      <c r="LC28" s="96">
        <v>1000</v>
      </c>
      <c r="LT28" s="49"/>
      <c r="LV28" s="49"/>
      <c r="LX28" s="96">
        <v>1000</v>
      </c>
    </row>
    <row r="29" spans="1:358" hidden="1" x14ac:dyDescent="0.2">
      <c r="A29" s="49"/>
      <c r="B29" s="84" t="s">
        <v>62</v>
      </c>
      <c r="C29" s="48"/>
      <c r="AH29" s="49"/>
      <c r="AJ29" s="49"/>
      <c r="AK29" s="117"/>
      <c r="AL29" s="97">
        <v>1000</v>
      </c>
      <c r="BD29" s="49"/>
      <c r="BF29" s="49"/>
      <c r="BG29" s="117"/>
      <c r="BH29" s="97">
        <v>1000</v>
      </c>
      <c r="BZ29" s="49"/>
      <c r="CB29" s="49"/>
      <c r="CD29" s="97">
        <v>1000</v>
      </c>
      <c r="CW29" s="49"/>
      <c r="CY29" s="49"/>
      <c r="CZ29" s="117"/>
      <c r="DA29" s="97">
        <v>1000</v>
      </c>
      <c r="DR29" s="49"/>
      <c r="DT29" s="49"/>
      <c r="DV29" s="97">
        <v>1000</v>
      </c>
      <c r="EM29" s="49"/>
      <c r="EO29" s="49"/>
      <c r="EQ29" s="97">
        <v>1000</v>
      </c>
      <c r="FH29" s="49"/>
      <c r="FJ29" s="49"/>
      <c r="FL29" s="97">
        <v>1000</v>
      </c>
      <c r="GC29" s="49"/>
      <c r="GE29" s="49"/>
      <c r="GG29" s="97">
        <v>1000</v>
      </c>
      <c r="GX29" s="49"/>
      <c r="GZ29" s="49"/>
      <c r="HB29" s="97">
        <v>1000</v>
      </c>
      <c r="HS29" s="49"/>
      <c r="HU29" s="49"/>
      <c r="HW29" s="97">
        <v>1000</v>
      </c>
      <c r="IN29" s="49"/>
      <c r="IP29" s="49"/>
      <c r="IR29" s="97">
        <v>1000</v>
      </c>
      <c r="JI29" s="49"/>
      <c r="JK29" s="49"/>
      <c r="JM29" s="97">
        <v>1000</v>
      </c>
      <c r="KD29" s="49"/>
      <c r="KF29" s="49"/>
      <c r="KH29" s="97">
        <v>1000</v>
      </c>
      <c r="KY29" s="49"/>
      <c r="LA29" s="49"/>
      <c r="LC29" s="97">
        <v>1000</v>
      </c>
      <c r="LT29" s="49"/>
      <c r="LV29" s="49"/>
      <c r="LX29" s="97">
        <v>1000</v>
      </c>
    </row>
    <row r="30" spans="1:358" hidden="1" x14ac:dyDescent="0.2">
      <c r="A30" s="49"/>
      <c r="B30" s="63" t="s">
        <v>69</v>
      </c>
      <c r="C30" s="48"/>
      <c r="AH30" s="49"/>
      <c r="AJ30" s="49"/>
      <c r="AL30" s="57">
        <v>1000</v>
      </c>
      <c r="BD30" s="49"/>
      <c r="BF30" s="49"/>
      <c r="BH30" s="57">
        <v>1000</v>
      </c>
      <c r="BZ30" s="49"/>
      <c r="CB30" s="49"/>
      <c r="CD30" s="57">
        <v>1000</v>
      </c>
      <c r="CW30" s="49"/>
      <c r="CY30" s="49"/>
      <c r="DA30" s="57">
        <v>1000</v>
      </c>
      <c r="DR30" s="49"/>
      <c r="DT30" s="49"/>
      <c r="DV30" s="57">
        <v>1000</v>
      </c>
      <c r="EM30" s="49"/>
      <c r="EO30" s="49"/>
      <c r="EP30" s="117"/>
      <c r="EQ30" s="57">
        <v>1000</v>
      </c>
      <c r="FH30" s="49"/>
      <c r="FJ30" s="49"/>
      <c r="FL30" s="57">
        <v>1000</v>
      </c>
      <c r="GC30" s="49"/>
      <c r="GE30" s="49"/>
      <c r="GG30" s="57">
        <v>1000</v>
      </c>
      <c r="GX30" s="49"/>
      <c r="GZ30" s="49"/>
      <c r="HB30" s="57">
        <v>1000</v>
      </c>
      <c r="HS30" s="49"/>
      <c r="HU30" s="49"/>
      <c r="HW30" s="57">
        <v>1000</v>
      </c>
      <c r="IN30" s="49"/>
      <c r="IP30" s="49"/>
      <c r="IR30" s="57">
        <v>1000</v>
      </c>
      <c r="JI30" s="49"/>
      <c r="JK30" s="49"/>
      <c r="JM30" s="57">
        <v>1000</v>
      </c>
      <c r="KD30" s="49"/>
      <c r="KF30" s="49"/>
      <c r="KH30" s="57">
        <v>1000</v>
      </c>
      <c r="KY30" s="49"/>
      <c r="LA30" s="49"/>
      <c r="LC30" s="57">
        <v>1000</v>
      </c>
      <c r="LT30" s="49"/>
      <c r="LV30" s="49"/>
      <c r="LX30" s="57">
        <v>1000</v>
      </c>
    </row>
    <row r="31" spans="1:358" x14ac:dyDescent="0.2">
      <c r="A31" s="49"/>
      <c r="B31" s="65" t="s">
        <v>47</v>
      </c>
      <c r="C31" s="48"/>
      <c r="AH31" s="49"/>
      <c r="AJ31" s="49"/>
      <c r="AL31" s="59">
        <v>68.599999999999994</v>
      </c>
      <c r="BD31" s="49"/>
      <c r="BF31" s="49"/>
      <c r="BH31" s="59">
        <v>68.599999999999994</v>
      </c>
      <c r="BZ31" s="49"/>
      <c r="CB31" s="49"/>
      <c r="CD31" s="59">
        <v>68.599999999999994</v>
      </c>
      <c r="CW31" s="49"/>
      <c r="CY31" s="49"/>
      <c r="DA31" s="59">
        <v>68.599999999999994</v>
      </c>
      <c r="DR31" s="49"/>
      <c r="DT31" s="49"/>
      <c r="DV31" s="59">
        <v>68.599999999999994</v>
      </c>
      <c r="EM31" s="49"/>
      <c r="EO31" s="49"/>
      <c r="EQ31" s="59">
        <v>68.599999999999994</v>
      </c>
      <c r="FH31" s="49"/>
      <c r="FJ31" s="49"/>
      <c r="FL31" s="59">
        <v>68.599999999999994</v>
      </c>
      <c r="GC31" s="49"/>
      <c r="GE31" s="49"/>
      <c r="GG31" s="59">
        <v>68.599999999999994</v>
      </c>
      <c r="GX31" s="49"/>
      <c r="GZ31" s="49"/>
      <c r="HB31" s="59">
        <v>68.599999999999994</v>
      </c>
      <c r="HS31" s="49"/>
      <c r="HU31" s="49"/>
      <c r="HW31" s="59">
        <v>68.599999999999994</v>
      </c>
      <c r="IN31" s="49"/>
      <c r="IP31" s="49"/>
      <c r="IR31" s="59">
        <v>68.599999999999994</v>
      </c>
      <c r="JI31" s="49"/>
      <c r="JK31" s="49"/>
      <c r="JM31" s="59">
        <v>68.599999999999994</v>
      </c>
      <c r="KD31" s="49"/>
      <c r="KF31" s="49"/>
      <c r="KH31" s="59">
        <v>68.599999999999994</v>
      </c>
      <c r="KY31" s="49"/>
      <c r="LA31" s="49"/>
      <c r="LC31" s="59">
        <v>68.599999999999994</v>
      </c>
      <c r="LT31" s="49"/>
      <c r="LV31" s="49"/>
      <c r="LX31" s="59">
        <v>68.599999999999994</v>
      </c>
    </row>
    <row r="32" spans="1:358" hidden="1" x14ac:dyDescent="0.2">
      <c r="A32" s="49"/>
      <c r="B32" s="64" t="s">
        <v>48</v>
      </c>
      <c r="C32" s="48"/>
      <c r="AH32" s="49"/>
      <c r="AJ32" s="49"/>
      <c r="AL32" s="58">
        <v>1000</v>
      </c>
      <c r="BD32" s="49"/>
      <c r="BF32" s="49"/>
      <c r="BH32" s="58">
        <v>1000</v>
      </c>
      <c r="BZ32" s="49"/>
      <c r="CB32" s="49"/>
      <c r="CD32" s="58">
        <v>1000</v>
      </c>
      <c r="CW32" s="49"/>
      <c r="CY32" s="49"/>
      <c r="DA32" s="58">
        <v>1000</v>
      </c>
      <c r="DR32" s="49"/>
      <c r="DT32" s="49"/>
      <c r="DV32" s="58">
        <v>1000</v>
      </c>
      <c r="EM32" s="49"/>
      <c r="EO32" s="49"/>
      <c r="EQ32" s="58">
        <v>1000</v>
      </c>
      <c r="FH32" s="49"/>
      <c r="FJ32" s="49"/>
      <c r="FL32" s="58">
        <v>1000</v>
      </c>
      <c r="GC32" s="49"/>
      <c r="GE32" s="49"/>
      <c r="GG32" s="58">
        <v>1000</v>
      </c>
      <c r="GX32" s="49"/>
      <c r="GZ32" s="49"/>
      <c r="HB32" s="58">
        <v>1000</v>
      </c>
      <c r="HS32" s="49"/>
      <c r="HU32" s="49"/>
      <c r="HW32" s="58">
        <v>1000</v>
      </c>
      <c r="IN32" s="49"/>
      <c r="IP32" s="49"/>
      <c r="IR32" s="58">
        <v>1000</v>
      </c>
      <c r="JI32" s="49"/>
      <c r="JK32" s="49"/>
      <c r="JM32" s="58">
        <v>1000</v>
      </c>
      <c r="KD32" s="49"/>
      <c r="KF32" s="49"/>
      <c r="KH32" s="58">
        <v>1000</v>
      </c>
      <c r="KY32" s="49"/>
      <c r="LA32" s="49"/>
      <c r="LC32" s="58">
        <v>1000</v>
      </c>
      <c r="LT32" s="49"/>
      <c r="LV32" s="49"/>
      <c r="LX32" s="58">
        <v>1000</v>
      </c>
    </row>
    <row r="33" spans="1:336" hidden="1" x14ac:dyDescent="0.2">
      <c r="A33" s="49"/>
      <c r="B33" s="106" t="s">
        <v>60</v>
      </c>
      <c r="C33" s="48"/>
      <c r="AH33" s="49"/>
      <c r="AJ33" s="49"/>
      <c r="AK33" s="117"/>
      <c r="AL33" s="107">
        <v>1000</v>
      </c>
      <c r="BD33" s="49"/>
      <c r="BF33" s="49"/>
      <c r="BG33" s="117"/>
      <c r="BH33" s="107">
        <v>1000</v>
      </c>
      <c r="BZ33" s="49"/>
      <c r="CB33" s="49"/>
      <c r="CD33" s="107">
        <v>1000</v>
      </c>
      <c r="CW33" s="49"/>
      <c r="CY33" s="49"/>
      <c r="CZ33" s="117"/>
      <c r="DA33" s="107">
        <v>1000</v>
      </c>
      <c r="DR33" s="49"/>
      <c r="DT33" s="49"/>
      <c r="DV33" s="107">
        <v>1000</v>
      </c>
      <c r="EM33" s="49"/>
      <c r="EO33" s="49"/>
      <c r="EQ33" s="107">
        <v>1000</v>
      </c>
      <c r="FH33" s="49"/>
      <c r="FJ33" s="49"/>
      <c r="FK33" s="117"/>
      <c r="FL33" s="107">
        <v>1000</v>
      </c>
      <c r="GC33" s="49"/>
      <c r="GE33" s="49"/>
      <c r="GG33" s="107">
        <v>1000</v>
      </c>
      <c r="GX33" s="49"/>
      <c r="GZ33" s="49"/>
      <c r="HB33" s="107">
        <v>1000</v>
      </c>
      <c r="HS33" s="49"/>
      <c r="HU33" s="49"/>
      <c r="HW33" s="107">
        <v>1000</v>
      </c>
      <c r="IN33" s="49"/>
      <c r="IP33" s="49"/>
      <c r="IR33" s="107">
        <v>1000</v>
      </c>
      <c r="JI33" s="49"/>
      <c r="JK33" s="49"/>
      <c r="JM33" s="107">
        <v>1000</v>
      </c>
      <c r="KD33" s="49"/>
      <c r="KF33" s="49"/>
      <c r="KH33" s="107">
        <v>1000</v>
      </c>
      <c r="KY33" s="49"/>
      <c r="LA33" s="49"/>
      <c r="LC33" s="107">
        <v>1000</v>
      </c>
      <c r="LT33" s="49"/>
      <c r="LV33" s="49"/>
      <c r="LX33" s="107">
        <v>1000</v>
      </c>
    </row>
    <row r="34" spans="1:336" hidden="1" x14ac:dyDescent="0.2">
      <c r="A34" s="49"/>
      <c r="B34" s="66" t="s">
        <v>34</v>
      </c>
      <c r="C34" s="48"/>
      <c r="AH34" s="49"/>
      <c r="AJ34" s="49"/>
      <c r="AL34" s="60">
        <v>1000</v>
      </c>
      <c r="BD34" s="49"/>
      <c r="BF34" s="49"/>
      <c r="BH34" s="60">
        <v>1000</v>
      </c>
      <c r="BZ34" s="49"/>
      <c r="CB34" s="49"/>
      <c r="CD34" s="60">
        <v>1000</v>
      </c>
      <c r="CW34" s="49"/>
      <c r="CY34" s="49"/>
      <c r="DA34" s="60">
        <v>1000</v>
      </c>
      <c r="DR34" s="49"/>
      <c r="DT34" s="49"/>
      <c r="DV34" s="60">
        <v>1000</v>
      </c>
      <c r="EM34" s="49"/>
      <c r="EO34" s="49"/>
      <c r="EP34" s="117"/>
      <c r="EQ34" s="60">
        <v>1000</v>
      </c>
      <c r="FH34" s="49"/>
      <c r="FJ34" s="49"/>
      <c r="FL34" s="60">
        <v>1000</v>
      </c>
      <c r="GC34" s="49"/>
      <c r="GE34" s="49"/>
      <c r="GG34" s="60">
        <v>1000</v>
      </c>
      <c r="GX34" s="49"/>
      <c r="GZ34" s="49"/>
      <c r="HB34" s="60">
        <v>1000</v>
      </c>
      <c r="HS34" s="49"/>
      <c r="HU34" s="49"/>
      <c r="HW34" s="60">
        <v>1000</v>
      </c>
      <c r="IN34" s="49"/>
      <c r="IP34" s="49"/>
      <c r="IR34" s="60">
        <v>1000</v>
      </c>
      <c r="JI34" s="49"/>
      <c r="JK34" s="49"/>
      <c r="JM34" s="60">
        <v>1000</v>
      </c>
      <c r="KD34" s="49"/>
      <c r="KF34" s="49"/>
      <c r="KH34" s="60">
        <v>1000</v>
      </c>
      <c r="KY34" s="49"/>
      <c r="LA34" s="49"/>
      <c r="LC34" s="60">
        <v>1000</v>
      </c>
      <c r="LT34" s="49"/>
      <c r="LV34" s="49"/>
      <c r="LX34" s="60">
        <v>1000</v>
      </c>
    </row>
    <row r="35" spans="1:336" x14ac:dyDescent="0.2">
      <c r="B35" s="74" t="s">
        <v>53</v>
      </c>
      <c r="C35" s="2"/>
      <c r="CX35" s="6"/>
      <c r="KE35" s="6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  <row r="38" spans="1:336" x14ac:dyDescent="0.2">
      <c r="A38" s="49"/>
      <c r="B38" s="49"/>
      <c r="C38" s="48"/>
    </row>
  </sheetData>
  <sheetProtection sheet="1" formatCells="0" formatColumns="0" formatRows="0"/>
  <autoFilter ref="A1:MT10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4">
      <sortCondition descending="1" ref="F1:F25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24">
    <cfRule type="expression" dxfId="39" priority="3" stopIfTrue="1">
      <formula>IF($BC4&lt;&gt;"",1,0)</formula>
    </cfRule>
  </conditionalFormatting>
  <conditionalFormatting sqref="Q4:AL2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5837" operator="between">
      <formula>AL$30</formula>
      <formula>1000</formula>
    </cfRule>
    <cfRule type="cellIs" dxfId="26" priority="45838" operator="between">
      <formula>AL$29</formula>
      <formula>AL$30</formula>
    </cfRule>
    <cfRule type="cellIs" dxfId="25" priority="45839" operator="between">
      <formula>AL$28</formula>
      <formula>AL$29</formula>
    </cfRule>
    <cfRule type="cellIs" dxfId="24" priority="45840" operator="between">
      <formula>AL$27</formula>
      <formula>AL$28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017" operator="between">
      <formula>AL$34</formula>
      <formula>1000</formula>
    </cfRule>
    <cfRule type="cellIs" dxfId="22" priority="46018" operator="between">
      <formula>AL$33</formula>
      <formula>AL$34</formula>
    </cfRule>
    <cfRule type="cellIs" dxfId="21" priority="46019" operator="between">
      <formula>AL$32</formula>
      <formula>AL$33</formula>
    </cfRule>
    <cfRule type="cellIs" dxfId="20" priority="46020" operator="between">
      <formula>AL$31</formula>
      <formula>AL$32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 t="s">
        <v>160</v>
      </c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8" t="s">
        <v>97</v>
      </c>
      <c r="C4" s="4" t="s">
        <v>95</v>
      </c>
      <c r="D4" s="5">
        <v>2002</v>
      </c>
      <c r="E4" s="15">
        <f>SUM(J4:N4)+0.0001</f>
        <v>199.0001</v>
      </c>
      <c r="F4" s="3" t="str">
        <f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67.3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131.69999999999999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27.2</v>
      </c>
      <c r="R4" s="61">
        <v>5.6</v>
      </c>
      <c r="S4" s="61">
        <v>0.3</v>
      </c>
      <c r="T4" s="61">
        <v>0</v>
      </c>
      <c r="U4" s="61">
        <v>27.9</v>
      </c>
      <c r="V4" s="61">
        <v>5.2</v>
      </c>
      <c r="W4" s="61">
        <v>0.3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28.5</v>
      </c>
      <c r="AD4" s="61">
        <v>4.3</v>
      </c>
      <c r="AE4" s="61">
        <v>0</v>
      </c>
      <c r="AF4" s="61">
        <v>0</v>
      </c>
      <c r="AG4" s="72"/>
      <c r="AH4" s="11">
        <f>IF(SUM(R4,V4)&gt;0,SUM(R4,V4),"")</f>
        <v>10.8</v>
      </c>
      <c r="AI4" s="11">
        <f>IF(SUM(Q4:R4,T4:V4,X4)-SUM(S4,W4)&gt;0,SUM(Q4:R4,T4:V4,X4)-SUM(S4,W4),"")</f>
        <v>65.3</v>
      </c>
      <c r="AJ4" s="11">
        <f>IF(SUM(Z4,AD4)&gt;0,SUM(Z4,AD4),"")</f>
        <v>4.3</v>
      </c>
      <c r="AK4" s="11">
        <f>IF(SUM(Y4:Z4,AB4:AD4,AF4)-SUM(AA4,AE4)&gt;0,SUM(Y4:Z4,AB4:AD4,AF4)-SUM(AA4,AE4),"")</f>
        <v>32.799999999999997</v>
      </c>
      <c r="AL4" s="11">
        <f>IF(SUM(AI4,AK4)&gt;0,SUM(AI4,AK4),"")</f>
        <v>98.1</v>
      </c>
      <c r="AM4" s="36">
        <v>28</v>
      </c>
      <c r="AN4" s="36">
        <v>5.6</v>
      </c>
      <c r="AO4" s="36">
        <v>0</v>
      </c>
      <c r="AP4" s="36">
        <v>0</v>
      </c>
      <c r="AQ4" s="36">
        <v>27.3</v>
      </c>
      <c r="AR4" s="36">
        <v>5.6</v>
      </c>
      <c r="AS4" s="36">
        <v>0</v>
      </c>
      <c r="AT4" s="36">
        <v>0</v>
      </c>
      <c r="AU4" s="36">
        <v>27.8</v>
      </c>
      <c r="AV4" s="36">
        <v>5.2</v>
      </c>
      <c r="AW4" s="36">
        <v>0.9</v>
      </c>
      <c r="AX4" s="36">
        <v>0</v>
      </c>
      <c r="AY4" s="36">
        <v>27.6</v>
      </c>
      <c r="AZ4" s="36">
        <v>5.2</v>
      </c>
      <c r="BA4" s="36">
        <v>0</v>
      </c>
      <c r="BB4" s="36">
        <v>0.3</v>
      </c>
      <c r="BC4" s="73"/>
      <c r="BD4" s="14">
        <f>IF(SUM(AN4,AR4)&gt;0,SUM(AN4,AR4),"")</f>
        <v>11.2</v>
      </c>
      <c r="BE4" s="14">
        <f>IF(SUM(AM4:AN4,AP4:AR4,AT4)-SUM(AO4,AS4)&gt;0,SUM(AM4:AN4,AP4:AR4,AT4)-SUM(AO4,AS4),"")</f>
        <v>66.5</v>
      </c>
      <c r="BF4" s="14">
        <f>IF(SUM(AV4,AZ4)&gt;0,SUM(AV4,AZ4),"")</f>
        <v>10.4</v>
      </c>
      <c r="BG4" s="14">
        <f>IF(SUM(AU4:AV4,AX4:AZ4,BB4)-SUM(AW4,BA4)&gt;0,SUM(AU4:AV4,AX4:AZ4,BB4)-SUM(AW4,BA4),"")</f>
        <v>65.199999999999989</v>
      </c>
      <c r="BH4" s="14">
        <f>IF(SUM(BE4,BG4)&gt;0,SUM(BE4,BG4),"")</f>
        <v>131.69999999999999</v>
      </c>
      <c r="BI4" s="61">
        <v>28.1</v>
      </c>
      <c r="BJ4" s="61">
        <v>5.6</v>
      </c>
      <c r="BK4" s="61">
        <v>0</v>
      </c>
      <c r="BL4" s="61">
        <v>0</v>
      </c>
      <c r="BM4" s="61">
        <v>28</v>
      </c>
      <c r="BN4" s="61">
        <v>5.6</v>
      </c>
      <c r="BO4" s="61">
        <v>0</v>
      </c>
      <c r="BP4" s="61">
        <v>0</v>
      </c>
      <c r="BQ4" s="61">
        <v>27.9</v>
      </c>
      <c r="BR4" s="61">
        <v>3</v>
      </c>
      <c r="BS4" s="61">
        <v>1.4</v>
      </c>
      <c r="BT4" s="61">
        <v>0</v>
      </c>
      <c r="BU4" s="61">
        <v>19.7</v>
      </c>
      <c r="BV4" s="61">
        <v>3.2</v>
      </c>
      <c r="BW4" s="61">
        <v>0</v>
      </c>
      <c r="BX4" s="61">
        <v>0.3</v>
      </c>
      <c r="BY4" s="72"/>
      <c r="BZ4" s="11">
        <f>IF(SUM(BJ4,BN4)&gt;0,SUM(BJ4,BN4),"")</f>
        <v>11.2</v>
      </c>
      <c r="CA4" s="11">
        <f>IF(SUM(BI4:BJ4,BL4:BN4,BP4)-SUM(BK4,BO4)&gt;0,SUM(BI4:BJ4,BL4:BN4,BP4)-SUM(BK4,BO4),"")</f>
        <v>67.3</v>
      </c>
      <c r="CB4" s="11">
        <f>IF(SUM(BR4,BV4)&gt;0,SUM(BR4,BV4),"")</f>
        <v>6.2</v>
      </c>
      <c r="CC4" s="11">
        <f>IF(SUM(BQ4:BR4,BT4:BV4,BX4)-SUM(BS4,BW4)&gt;0,SUM(BQ4:BR4,BT4:BV4,BX4)-SUM(BS4,BW4),"")</f>
        <v>52.699999999999996</v>
      </c>
      <c r="CD4" s="11">
        <f>IF(SUM(CA4,CC4)&gt;0,SUM(CA4,CC4),"")</f>
        <v>120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28.05</v>
      </c>
      <c r="LZ4" s="61">
        <f>IF($BY4="P",BJ4,(BJ4+AN4)/2)</f>
        <v>5.6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27.65</v>
      </c>
      <c r="MD4" s="61">
        <f>IF($BY4="P",BN4,(BN4+AR4)/2)</f>
        <v>5.6</v>
      </c>
      <c r="ME4" s="61">
        <f>IF($BY4="P",BO4,(BO4+AS4)/2)</f>
        <v>0</v>
      </c>
      <c r="MF4" s="61">
        <f>IF($BY4="P",BP4,(BP4+AT4)/2)</f>
        <v>0</v>
      </c>
      <c r="MG4" s="61">
        <f>IF($BY4="P",BQ4,(BQ4+AU4)/2)</f>
        <v>27.85</v>
      </c>
      <c r="MH4" s="61">
        <f>IF($BY4="P",BR4,(BR4+AV4)/2)</f>
        <v>4.0999999999999996</v>
      </c>
      <c r="MI4" s="61">
        <f>IF($BY4="P",BS4,(BS4+AW4)/2)</f>
        <v>1.1499999999999999</v>
      </c>
      <c r="MJ4" s="61">
        <f>IF($BY4="P",BT4,(BT4+AX4)/2)</f>
        <v>0</v>
      </c>
      <c r="MK4" s="61">
        <f>IF($BY4="P",BU4,(BU4+AY4)/2)</f>
        <v>23.65</v>
      </c>
      <c r="ML4" s="61">
        <f>IF($BY4="P",BV4,(BV4+AZ4)/2)</f>
        <v>4.2</v>
      </c>
      <c r="MM4" s="61">
        <f>IF($BY4="P",BW4,(BW4+BA4)/2)</f>
        <v>0</v>
      </c>
      <c r="MN4" s="61">
        <f>IF($BY4="P",BX4,(BX4+BB4)/2)</f>
        <v>0.3</v>
      </c>
      <c r="MO4" s="72" t="s">
        <v>52</v>
      </c>
      <c r="MP4" s="11">
        <f>IF(SUM(LZ4,MD4)&gt;0,SUM(LZ4,MD4),"")</f>
        <v>11.2</v>
      </c>
      <c r="MQ4" s="11">
        <f>IF(SUM(LY4:LZ4,MB4:MD4,MF4)-SUM(MA4,ME4)&gt;0,SUM(LY4:LZ4,MB4:MD4,MF4)-SUM(MA4,ME4),"")</f>
        <v>66.899999999999991</v>
      </c>
      <c r="MR4" s="11">
        <f>IF(SUM(MH4,ML4)&gt;0,SUM(MH4,ML4),"")</f>
        <v>8.3000000000000007</v>
      </c>
      <c r="MS4" s="11">
        <f>IF(SUM(MG4:MH4,MJ4:ML4,MN4)-SUM(MI4,MM4)&gt;0,SUM(MG4:MH4,MJ4:ML4,MN4)-SUM(MI4,MM4),"")</f>
        <v>58.95</v>
      </c>
      <c r="MT4" s="11">
        <f>IF(SUM(MQ4,MS4)&gt;0,SUM(MQ4,MS4),"")</f>
        <v>125.85</v>
      </c>
    </row>
    <row r="5" spans="1:358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8" t="s">
        <v>107</v>
      </c>
      <c r="C5" s="4" t="s">
        <v>5</v>
      </c>
      <c r="D5" s="5">
        <v>2004</v>
      </c>
      <c r="E5" s="15">
        <f>SUM(J5:N5)</f>
        <v>199</v>
      </c>
      <c r="F5" s="3" t="str">
        <f>IF(OR(AND(AH5&gt;=AL$26,AI5&gt;=AL$30,AI5&lt;&gt;"",AG5=""),AND(BD5&gt;=BH$26,BE5&gt;=BH$30,BE5&lt;&gt;"",BC5=""),AND(BZ5&gt;=CD$26,CA5&gt;=CD$30,CA5&lt;&gt;"",BY5=""),AND(CW5&gt;=DA$26,CX5&gt;=DA$30,CX5&lt;&gt;""),AND(DR5&gt;=DV$26,DS5&gt;=DV$30,DS5&lt;&gt;""),AND(EM5&gt;=EQ$26,EN5&gt;=EQ$30,EN5&lt;&gt;""),AND(FH5&gt;=FL$26,FI5&gt;=FL$30,FI5&lt;&gt;""),AND(GC5&gt;=GG$26,GD5&gt;=GG$30,GD5&lt;&gt;""),AND(GX5&gt;=HB$26,GY5&gt;=HB$30,GY5&lt;&gt;""),AND(HS5&gt;=HW$26,HT5&gt;=HW$30,HT5&lt;&gt;""),AND(IN5&gt;=IR$26,IO5&gt;=IR$30,IO5&lt;&gt;""),AND(JI5&gt;=JM$26,JJ5&gt;=JM$30,JJ5&lt;&gt;""),AND(KD5&gt;=KH$26,KE5&gt;=KH$30,KE5&lt;&gt;""),AND(KY5&gt;=LC$26,KZ5&gt;=LC$30,KZ5&lt;&gt;""),AND(LT5&gt;=LX$26,LU5&gt;=LX$30,LU5&lt;&gt;"")),"P","")</f>
        <v>P</v>
      </c>
      <c r="G5" s="3" t="str">
        <f>IF(OR(AND(AI5&gt;=AL$30,AI5&lt;&gt;"",AG5=""),AND(BE5&gt;=BH$30,BE5&lt;&gt;"",BC5=""),AND(CA5&gt;=CD$30,CA5&lt;&gt;"",BY5=""),AND(CX5&gt;=DA$30,CX5&lt;&gt;""),AND(DS5&gt;=DV$30,DS5&lt;&gt;""),AND(EN5&gt;=EQ$30,EN5&lt;&gt;""),AND(FI5&gt;=FL$30,FI5&lt;&gt;""),AND(GD5&gt;=GG$30,GD5&lt;&gt;""),AND(GY5&gt;=HB$30,GY5&lt;&gt;""),AND(HT5&gt;=HW$30,HT5&lt;&gt;""),AND(IO5&gt;=IR$30,IO5&lt;&gt;""),AND(JJ5&gt;=JM$30,JJ5&lt;&gt;""),AND(KE5&gt;=KH$30,KE5&lt;&gt;""),AND(KZ5&gt;=LC$30,KZ5&lt;&gt;""),AND(LU5&gt;=LX$30,LU5&lt;&gt;"")),"P","")</f>
        <v>P</v>
      </c>
      <c r="H5" s="116" t="str">
        <f>IF(AND(G5="P",F5=""),"No DD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Merit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Excellence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Worlds Team",IF(OR(AND(AH5&gt;=AL$26,AH5&lt;&gt;"",AI5&gt;=AL$30,AI5&lt;&gt;"",AG5=""),AND(BD5&gt;=BH$26,BD5&lt;&gt;"",BE5&gt;=BH$30,BE5&lt;&gt;"",BC5=""),AND(BZ5&gt;=CD$26,BZ5&lt;&gt;"",CA5&gt;=CD$30,CA5&lt;&gt;"",BY5=""),AND(CW5&gt;=DA$26,CW5&lt;&gt;"",CX5&gt;=DA$30,CX5&lt;&gt;""),AND(DR5&gt;=DV$26,DR5&lt;&gt;"",DS5&gt;=DV$30,DS5&lt;&gt;""),AND(EM5&gt;=EQ$26,EM5&lt;&gt;"",EN5&gt;=EQ$30,EN5&lt;&gt;""),AND(FH5&gt;=FL$26,FH5&lt;&gt;"",FI5&gt;=FL$30,FI5&lt;&gt;""),AND(GC5&gt;=GG$26,GC5&lt;&gt;"",GD5&gt;=GG$30,GD5&lt;&gt;""),AND(GX5&gt;=HB$26,GX5&lt;&gt;"",GY5&gt;=HB$30,GY5&lt;&gt;""),AND(HS5&gt;=HW$26,HS5&lt;&gt;"",HT5&gt;=HW$30,HT5&lt;&gt;""),AND(IN5&gt;=IR$26,IN5&lt;&gt;"",IO5&gt;=IR$30,IO5&lt;&gt;""),AND(JI5&gt;=JM$26,JI5&lt;&gt;"",JJ5&gt;=JM$30,JJ5&lt;&gt;""),AND(KD5&gt;=KH$26,KD5&lt;&gt;"",KE5&gt;=KH$30,KE5&lt;&gt;""),AND(KY5&gt;=LC$26,KY5&lt;&gt;"",KZ5&gt;=LC$30,KZ5&lt;&gt;""),AND(LT5&gt;=LX$26,LT5&lt;&gt;"",LU5&gt;=LX$30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131.70000000000002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28.5</v>
      </c>
      <c r="R5" s="61">
        <v>5.2</v>
      </c>
      <c r="S5" s="61">
        <v>0</v>
      </c>
      <c r="T5" s="61">
        <v>0</v>
      </c>
      <c r="U5" s="61">
        <v>28.5</v>
      </c>
      <c r="V5" s="61">
        <v>5.2</v>
      </c>
      <c r="W5" s="61">
        <v>0.3</v>
      </c>
      <c r="X5" s="61">
        <v>0</v>
      </c>
      <c r="Y5" s="61">
        <v>28</v>
      </c>
      <c r="Z5" s="61">
        <v>4.4000000000000004</v>
      </c>
      <c r="AA5" s="61">
        <v>0</v>
      </c>
      <c r="AB5" s="61">
        <v>0</v>
      </c>
      <c r="AC5" s="61">
        <v>28.8</v>
      </c>
      <c r="AD5" s="61">
        <v>3.7</v>
      </c>
      <c r="AE5" s="61">
        <v>0.3</v>
      </c>
      <c r="AF5" s="61">
        <v>0</v>
      </c>
      <c r="AG5" s="72"/>
      <c r="AH5" s="11">
        <f>IF(SUM(R5,V5)&gt;0,SUM(R5,V5),"")</f>
        <v>10.4</v>
      </c>
      <c r="AI5" s="11">
        <f>IF(SUM(Q5:R5,T5:V5,X5)-SUM(S5,W5)&gt;0,SUM(Q5:R5,T5:V5,X5)-SUM(S5,W5),"")</f>
        <v>67.100000000000009</v>
      </c>
      <c r="AJ5" s="11">
        <f>IF(SUM(Z5,AD5)&gt;0,SUM(Z5,AD5),"")</f>
        <v>8.1000000000000014</v>
      </c>
      <c r="AK5" s="11">
        <f>IF(SUM(Y5:Z5,AB5:AD5,AF5)-SUM(AA5,AE5)&gt;0,SUM(Y5:Z5,AB5:AD5,AF5)-SUM(AA5,AE5),"")</f>
        <v>64.600000000000009</v>
      </c>
      <c r="AL5" s="11">
        <f>IF(SUM(AI5,AK5)&gt;0,SUM(AI5,AK5),"")</f>
        <v>131.70000000000002</v>
      </c>
      <c r="AM5" s="36">
        <v>28.3</v>
      </c>
      <c r="AN5" s="36">
        <v>5.2</v>
      </c>
      <c r="AO5" s="36">
        <v>1.2</v>
      </c>
      <c r="AP5" s="36">
        <v>0</v>
      </c>
      <c r="AQ5" s="36">
        <v>28.2</v>
      </c>
      <c r="AR5" s="36">
        <v>5.6</v>
      </c>
      <c r="AS5" s="36">
        <v>0.9</v>
      </c>
      <c r="AT5" s="36">
        <v>0</v>
      </c>
      <c r="AU5" s="36">
        <v>27.7</v>
      </c>
      <c r="AV5" s="36">
        <v>4.8</v>
      </c>
      <c r="AW5" s="36">
        <v>0.9</v>
      </c>
      <c r="AX5" s="36">
        <v>0</v>
      </c>
      <c r="AY5" s="36">
        <v>27.6</v>
      </c>
      <c r="AZ5" s="36">
        <v>3.5</v>
      </c>
      <c r="BA5" s="36">
        <v>1.2</v>
      </c>
      <c r="BB5" s="36">
        <v>0</v>
      </c>
      <c r="BC5" s="73"/>
      <c r="BD5" s="14">
        <f>IF(SUM(AN5,AR5)&gt;0,SUM(AN5,AR5),"")</f>
        <v>10.8</v>
      </c>
      <c r="BE5" s="14">
        <f>IF(SUM(AM5:AN5,AP5:AR5,AT5)-SUM(AO5,AS5)&gt;0,SUM(AM5:AN5,AP5:AR5,AT5)-SUM(AO5,AS5),"")</f>
        <v>65.2</v>
      </c>
      <c r="BF5" s="14">
        <f>IF(SUM(AV5,AZ5)&gt;0,SUM(AV5,AZ5),"")</f>
        <v>8.3000000000000007</v>
      </c>
      <c r="BG5" s="14">
        <f>IF(SUM(AU5:AV5,AX5:AZ5,BB5)-SUM(AW5,BA5)&gt;0,SUM(AU5:AV5,AX5:AZ5,BB5)-SUM(AW5,BA5),"")</f>
        <v>61.5</v>
      </c>
      <c r="BH5" s="14">
        <f>IF(SUM(BE5,BG5)&gt;0,SUM(BE5,BG5),"")</f>
        <v>126.7</v>
      </c>
      <c r="BI5" s="61">
        <v>28.4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</v>
      </c>
      <c r="BP5" s="61">
        <v>0</v>
      </c>
      <c r="BQ5" s="61">
        <v>27.5</v>
      </c>
      <c r="BR5" s="61">
        <v>5.2</v>
      </c>
      <c r="BS5" s="61">
        <v>0</v>
      </c>
      <c r="BT5" s="61">
        <v>0</v>
      </c>
      <c r="BU5" s="61">
        <v>27.6</v>
      </c>
      <c r="BV5" s="61">
        <v>4.8</v>
      </c>
      <c r="BW5" s="61">
        <v>0</v>
      </c>
      <c r="BX5" s="61">
        <v>0</v>
      </c>
      <c r="BY5" s="72"/>
      <c r="BZ5" s="11">
        <f>IF(SUM(BJ5,BN5)&gt;0,SUM(BJ5,BN5),"")</f>
        <v>10.4</v>
      </c>
      <c r="CA5" s="11">
        <f>IF(SUM(BI5:BJ5,BL5:BN5,BP5)-SUM(BK5,BO5)&gt;0,SUM(BI5:BJ5,BL5:BN5,BP5)-SUM(BK5,BO5),"")</f>
        <v>67.3</v>
      </c>
      <c r="CB5" s="11">
        <f>IF(SUM(BR5,BV5)&gt;0,SUM(BR5,BV5),"")</f>
        <v>10</v>
      </c>
      <c r="CC5" s="11">
        <f>IF(SUM(BQ5:BR5,BT5:BV5,BX5)-SUM(BS5,BW5)&gt;0,SUM(BQ5:BR5,BT5:BV5,BX5)-SUM(BS5,BW5),"")</f>
        <v>65.100000000000009</v>
      </c>
      <c r="CD5" s="11">
        <f>IF(SUM(CA5,CC5)&gt;0,SUM(CA5,CC5),"")</f>
        <v>132.4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28.35</v>
      </c>
      <c r="LZ5" s="61">
        <f>IF($BY5="P",BJ5,(BJ5+AN5)/2)</f>
        <v>5.2</v>
      </c>
      <c r="MA5" s="61">
        <f>IF($BY5="P",BK5,(BK5+AO5)/2)</f>
        <v>0.6</v>
      </c>
      <c r="MB5" s="61">
        <f>IF($BY5="P",BL5,(BL5+AP5)/2)</f>
        <v>0</v>
      </c>
      <c r="MC5" s="61">
        <f>IF($BY5="P",BM5,(BM5+AQ5)/2)</f>
        <v>28.35</v>
      </c>
      <c r="MD5" s="61">
        <f>IF($BY5="P",BN5,(BN5+AR5)/2)</f>
        <v>5.4</v>
      </c>
      <c r="ME5" s="61">
        <f>IF($BY5="P",BO5,(BO5+AS5)/2)</f>
        <v>0.45</v>
      </c>
      <c r="MF5" s="61">
        <f>IF($BY5="P",BP5,(BP5+AT5)/2)</f>
        <v>0</v>
      </c>
      <c r="MG5" s="61">
        <f>IF($BY5="P",BQ5,(BQ5+AU5)/2)</f>
        <v>27.6</v>
      </c>
      <c r="MH5" s="61">
        <f>IF($BY5="P",BR5,(BR5+AV5)/2)</f>
        <v>5</v>
      </c>
      <c r="MI5" s="61">
        <f>IF($BY5="P",BS5,(BS5+AW5)/2)</f>
        <v>0.45</v>
      </c>
      <c r="MJ5" s="61">
        <f>IF($BY5="P",BT5,(BT5+AX5)/2)</f>
        <v>0</v>
      </c>
      <c r="MK5" s="61">
        <f>IF($BY5="P",BU5,(BU5+AY5)/2)</f>
        <v>27.6</v>
      </c>
      <c r="ML5" s="61">
        <f>IF($BY5="P",BV5,(BV5+AZ5)/2)</f>
        <v>4.1500000000000004</v>
      </c>
      <c r="MM5" s="61">
        <f>IF($BY5="P",BW5,(BW5+BA5)/2)</f>
        <v>0.6</v>
      </c>
      <c r="MN5" s="61">
        <f>IF($BY5="P",BX5,(BX5+BB5)/2)</f>
        <v>0</v>
      </c>
      <c r="MO5" s="72" t="s">
        <v>52</v>
      </c>
      <c r="MP5" s="11">
        <f>IF(SUM(LZ5,MD5)&gt;0,SUM(LZ5,MD5),"")</f>
        <v>10.600000000000001</v>
      </c>
      <c r="MQ5" s="11">
        <f>IF(SUM(LY5:LZ5,MB5:MD5,MF5)-SUM(MA5,ME5)&gt;0,SUM(LY5:LZ5,MB5:MD5,MF5)-SUM(MA5,ME5),"")</f>
        <v>66.250000000000014</v>
      </c>
      <c r="MR5" s="11">
        <f>IF(SUM(MH5,ML5)&gt;0,SUM(MH5,ML5),"")</f>
        <v>9.15</v>
      </c>
      <c r="MS5" s="11">
        <f>IF(SUM(MG5:MH5,MJ5:ML5,MN5)-SUM(MI5,MM5)&gt;0,SUM(MG5:MH5,MJ5:ML5,MN5)-SUM(MI5,MM5),"")</f>
        <v>63.300000000000011</v>
      </c>
      <c r="MT5" s="11">
        <f>IF(SUM(MQ5,MS5)&gt;0,SUM(MQ5,MS5),"")</f>
        <v>129.55000000000001</v>
      </c>
    </row>
    <row r="6" spans="1:358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8" t="s">
        <v>110</v>
      </c>
      <c r="C6" s="4" t="s">
        <v>5</v>
      </c>
      <c r="D6" s="5">
        <v>2001</v>
      </c>
      <c r="E6" s="15">
        <f>SUM(J6:N6)</f>
        <v>176.39999999999998</v>
      </c>
      <c r="F6" s="3" t="str">
        <f>IF(OR(AND(AH6&gt;=AL$26,AI6&gt;=AL$30,AI6&lt;&gt;"",AG6=""),AND(BD6&gt;=BH$26,BE6&gt;=BH$30,BE6&lt;&gt;"",BC6=""),AND(BZ6&gt;=CD$26,CA6&gt;=CD$30,CA6&lt;&gt;"",BY6=""),AND(CW6&gt;=DA$26,CX6&gt;=DA$30,CX6&lt;&gt;""),AND(DR6&gt;=DV$26,DS6&gt;=DV$30,DS6&lt;&gt;""),AND(EM6&gt;=EQ$26,EN6&gt;=EQ$30,EN6&lt;&gt;""),AND(FH6&gt;=FL$26,FI6&gt;=FL$30,FI6&lt;&gt;""),AND(GC6&gt;=GG$26,GD6&gt;=GG$30,GD6&lt;&gt;""),AND(GX6&gt;=HB$26,GY6&gt;=HB$30,GY6&lt;&gt;""),AND(HS6&gt;=HW$26,HT6&gt;=HW$30,HT6&lt;&gt;""),AND(IN6&gt;=IR$26,IO6&gt;=IR$30,IO6&lt;&gt;""),AND(JI6&gt;=JM$26,JJ6&gt;=JM$30,JJ6&lt;&gt;""),AND(KD6&gt;=KH$26,KE6&gt;=KH$30,KE6&lt;&gt;""),AND(KY6&gt;=LC$26,KZ6&gt;=LC$30,KZ6&lt;&gt;""),AND(LT6&gt;=LX$26,LU6&gt;=LX$30,LU6&lt;&gt;"")),"P","")</f>
        <v>P</v>
      </c>
      <c r="G6" s="3" t="str">
        <f>IF(OR(AND(AI6&gt;=AL$30,AI6&lt;&gt;"",AG6=""),AND(BE6&gt;=BH$30,BE6&lt;&gt;"",BC6=""),AND(CA6&gt;=CD$30,CA6&lt;&gt;"",BY6=""),AND(CX6&gt;=DA$30,CX6&lt;&gt;""),AND(DS6&gt;=DV$30,DS6&lt;&gt;""),AND(EN6&gt;=EQ$30,EN6&lt;&gt;""),AND(FI6&gt;=FL$30,FI6&lt;&gt;""),AND(GD6&gt;=GG$30,GD6&lt;&gt;""),AND(GY6&gt;=HB$30,GY6&lt;&gt;""),AND(HT6&gt;=HW$30,HT6&lt;&gt;""),AND(IO6&gt;=IR$30,IO6&lt;&gt;""),AND(JJ6&gt;=JM$30,JJ6&lt;&gt;""),AND(KE6&gt;=KH$30,KE6&lt;&gt;""),AND(KZ6&gt;=LC$30,KZ6&lt;&gt;""),AND(LU6&gt;=LX$30,LU6&lt;&gt;"")),"P","")</f>
        <v>P</v>
      </c>
      <c r="H6" s="116" t="str">
        <f>IF(AND(G6="P",F6=""),"No DD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Merit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Excellence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Worlds Team",IF(OR(AND(AH6&gt;=AL$26,AH6&lt;&gt;"",AI6&gt;=AL$30,AI6&lt;&gt;"",AG6=""),AND(BD6&gt;=BH$26,BD6&lt;&gt;"",BE6&gt;=BH$30,BE6&lt;&gt;"",BC6=""),AND(BZ6&gt;=CD$26,BZ6&lt;&gt;"",CA6&gt;=CD$30,CA6&lt;&gt;"",BY6=""),AND(CW6&gt;=DA$26,CW6&lt;&gt;"",CX6&gt;=DA$30,CX6&lt;&gt;""),AND(DR6&gt;=DV$26,DR6&lt;&gt;"",DS6&gt;=DV$30,DS6&lt;&gt;""),AND(EM6&gt;=EQ$26,EM6&lt;&gt;"",EN6&gt;=EQ$30,EN6&lt;&gt;""),AND(FH6&gt;=FL$26,FH6&lt;&gt;"",FI6&gt;=FL$30,FI6&lt;&gt;""),AND(GC6&gt;=GG$26,GC6&lt;&gt;"",GD6&gt;=GG$30,GD6&lt;&gt;""),AND(GX6&gt;=HB$26,GX6&lt;&gt;"",GY6&gt;=HB$30,GY6&lt;&gt;""),AND(HS6&gt;=HW$26,HS6&lt;&gt;"",HT6&gt;=HW$30,HT6&lt;&gt;""),AND(IN6&gt;=IR$26,IN6&lt;&gt;"",IO6&gt;=IR$30,IO6&lt;&gt;""),AND(JI6&gt;=JM$26,JI6&lt;&gt;"",JJ6&gt;=JM$30,JJ6&lt;&gt;""),AND(KD6&gt;=KH$26,KD6&lt;&gt;"",KE6&gt;=KH$30,KE6&lt;&gt;""),AND(KY6&gt;=LC$26,KY6&lt;&gt;"",KZ6&gt;=LC$30,KZ6&lt;&gt;""),AND(LT6&gt;=LX$26,LT6&lt;&gt;"",LU6&gt;=LX$30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19.8</v>
      </c>
      <c r="R6" s="61">
        <v>2.4</v>
      </c>
      <c r="S6" s="61">
        <v>0</v>
      </c>
      <c r="T6" s="61">
        <v>0</v>
      </c>
      <c r="U6" s="61">
        <v>19.600000000000001</v>
      </c>
      <c r="V6" s="61">
        <v>2.8</v>
      </c>
      <c r="W6" s="61">
        <v>0</v>
      </c>
      <c r="X6" s="61">
        <v>0</v>
      </c>
      <c r="Y6" s="61">
        <v>27.9</v>
      </c>
      <c r="Z6" s="61">
        <v>4.3</v>
      </c>
      <c r="AA6" s="61">
        <v>0.4</v>
      </c>
      <c r="AB6" s="61">
        <v>0.3</v>
      </c>
      <c r="AC6" s="61">
        <v>27.1</v>
      </c>
      <c r="AD6" s="61">
        <v>5.2</v>
      </c>
      <c r="AE6" s="61">
        <v>0.9</v>
      </c>
      <c r="AF6" s="61">
        <v>0.3</v>
      </c>
      <c r="AG6" s="72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6">
        <v>27.4</v>
      </c>
      <c r="AN6" s="36">
        <v>6.4</v>
      </c>
      <c r="AO6" s="36">
        <v>0</v>
      </c>
      <c r="AP6" s="36">
        <v>0</v>
      </c>
      <c r="AQ6" s="36">
        <v>19.7</v>
      </c>
      <c r="AR6" s="36">
        <v>2.4</v>
      </c>
      <c r="AS6" s="36">
        <v>0</v>
      </c>
      <c r="AT6" s="36">
        <v>0</v>
      </c>
      <c r="AU6" s="36"/>
      <c r="AV6" s="36"/>
      <c r="AW6" s="36"/>
      <c r="AX6" s="36"/>
      <c r="AY6" s="36"/>
      <c r="AZ6" s="36"/>
      <c r="BA6" s="36"/>
      <c r="BB6" s="36"/>
      <c r="BC6" s="73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1">
        <v>28.2</v>
      </c>
      <c r="BJ6" s="61">
        <v>6.4</v>
      </c>
      <c r="BK6" s="61">
        <v>0</v>
      </c>
      <c r="BL6" s="61">
        <v>0</v>
      </c>
      <c r="BM6" s="61">
        <v>28</v>
      </c>
      <c r="BN6" s="61">
        <v>6</v>
      </c>
      <c r="BO6" s="61">
        <v>0.9</v>
      </c>
      <c r="BP6" s="61">
        <v>0.3</v>
      </c>
      <c r="BQ6" s="61">
        <v>26.9</v>
      </c>
      <c r="BR6" s="61">
        <v>3.1</v>
      </c>
      <c r="BS6" s="61">
        <v>2.5</v>
      </c>
      <c r="BT6" s="61">
        <v>0</v>
      </c>
      <c r="BU6" s="61">
        <v>0</v>
      </c>
      <c r="BV6" s="61">
        <v>0</v>
      </c>
      <c r="BW6" s="61">
        <v>0</v>
      </c>
      <c r="BX6" s="61">
        <v>0</v>
      </c>
      <c r="BY6" s="72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>
        <v>27.2</v>
      </c>
      <c r="CH6" s="40">
        <v>6.4</v>
      </c>
      <c r="CI6" s="40">
        <v>0.9</v>
      </c>
      <c r="CJ6" s="40">
        <v>0</v>
      </c>
      <c r="CK6" s="40">
        <v>27.8</v>
      </c>
      <c r="CL6" s="40">
        <v>6.8</v>
      </c>
      <c r="CM6" s="40">
        <v>0</v>
      </c>
      <c r="CN6" s="40">
        <v>0</v>
      </c>
      <c r="CO6" s="40"/>
      <c r="CP6" s="40"/>
      <c r="CQ6" s="40"/>
      <c r="CR6" s="40"/>
      <c r="CS6" s="40"/>
      <c r="CT6" s="40"/>
      <c r="CU6" s="40"/>
      <c r="CV6" s="40"/>
      <c r="CW6" s="11">
        <f>IF(SUM(CH6,CL6)&gt;0,SUM(CH6,CL6),"")</f>
        <v>13.2</v>
      </c>
      <c r="CX6" s="11">
        <f>IF(SUM(CG6:CH6,CJ6:CL6,CN6)-SUM(CI6,CM6)&gt;0,SUM(CG6:CH6,CJ6:CL6,CN6)-SUM(CI6,CM6),"")</f>
        <v>67.3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67.3</v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27.799999999999997</v>
      </c>
      <c r="LZ6" s="61">
        <f>IF($BY6="P",BJ6,(BJ6+AN6)/2)</f>
        <v>6.4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23.85</v>
      </c>
      <c r="MD6" s="61">
        <f>IF($BY6="P",BN6,(BN6+AR6)/2)</f>
        <v>4.2</v>
      </c>
      <c r="ME6" s="61">
        <f>IF($BY6="P",BO6,(BO6+AS6)/2)</f>
        <v>0.45</v>
      </c>
      <c r="MF6" s="61">
        <f>IF($BY6="P",BP6,(BP6+AT6)/2)</f>
        <v>0.15</v>
      </c>
      <c r="MG6" s="61">
        <f>IF($BY6="P",BQ6,(BQ6+AU6)/2)</f>
        <v>13.45</v>
      </c>
      <c r="MH6" s="61">
        <f>IF($BY6="P",BR6,(BR6+AV6)/2)</f>
        <v>1.55</v>
      </c>
      <c r="MI6" s="61">
        <f>IF($BY6="P",BS6,(BS6+AW6)/2)</f>
        <v>1.25</v>
      </c>
      <c r="MJ6" s="61">
        <f>IF($BY6="P",BT6,(BT6+AX6)/2)</f>
        <v>0</v>
      </c>
      <c r="MK6" s="61">
        <f>IF($BY6="P",BU6,(BU6+AY6)/2)</f>
        <v>0</v>
      </c>
      <c r="ML6" s="61">
        <f>IF($BY6="P",BV6,(BV6+AZ6)/2)</f>
        <v>0</v>
      </c>
      <c r="MM6" s="61">
        <f>IF($BY6="P",BW6,(BW6+BA6)/2)</f>
        <v>0</v>
      </c>
      <c r="MN6" s="61">
        <f>IF($BY6="P",BX6,(BX6+BB6)/2)</f>
        <v>0</v>
      </c>
      <c r="MO6" s="72" t="s">
        <v>52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8" t="s">
        <v>88</v>
      </c>
      <c r="C7" s="4" t="s">
        <v>4</v>
      </c>
      <c r="D7" s="5">
        <v>2003</v>
      </c>
      <c r="E7" s="15">
        <f>SUM(J7:N7)</f>
        <v>161</v>
      </c>
      <c r="F7" s="3" t="str">
        <f>IF(OR(AND(AH7&gt;=AL$26,AI7&gt;=AL$30,AI7&lt;&gt;"",AG7=""),AND(BD7&gt;=BH$26,BE7&gt;=BH$30,BE7&lt;&gt;"",BC7=""),AND(BZ7&gt;=CD$26,CA7&gt;=CD$30,CA7&lt;&gt;"",BY7=""),AND(CW7&gt;=DA$26,CX7&gt;=DA$30,CX7&lt;&gt;""),AND(DR7&gt;=DV$26,DS7&gt;=DV$30,DS7&lt;&gt;""),AND(EM7&gt;=EQ$26,EN7&gt;=EQ$30,EN7&lt;&gt;""),AND(FH7&gt;=FL$26,FI7&gt;=FL$30,FI7&lt;&gt;""),AND(GC7&gt;=GG$26,GD7&gt;=GG$30,GD7&lt;&gt;""),AND(GX7&gt;=HB$26,GY7&gt;=HB$30,GY7&lt;&gt;""),AND(HS7&gt;=HW$26,HT7&gt;=HW$30,HT7&lt;&gt;""),AND(IN7&gt;=IR$26,IO7&gt;=IR$30,IO7&lt;&gt;""),AND(JI7&gt;=JM$26,JJ7&gt;=JM$30,JJ7&lt;&gt;""),AND(KD7&gt;=KH$26,KE7&gt;=KH$30,KE7&lt;&gt;""),AND(KY7&gt;=LC$26,KZ7&gt;=LC$30,KZ7&lt;&gt;""),AND(LT7&gt;=LX$26,LU7&gt;=LX$30,LU7&lt;&gt;"")),"P","")</f>
        <v>P</v>
      </c>
      <c r="G7" s="3" t="str">
        <f>IF(OR(AND(AI7&gt;=AL$30,AI7&lt;&gt;"",AG7=""),AND(BE7&gt;=BH$30,BE7&lt;&gt;"",BC7=""),AND(CA7&gt;=CD$30,CA7&lt;&gt;"",BY7=""),AND(CX7&gt;=DA$30,CX7&lt;&gt;""),AND(DS7&gt;=DV$30,DS7&lt;&gt;""),AND(EN7&gt;=EQ$30,EN7&lt;&gt;""),AND(FI7&gt;=FL$30,FI7&lt;&gt;""),AND(GD7&gt;=GG$30,GD7&lt;&gt;""),AND(GY7&gt;=HB$30,GY7&lt;&gt;""),AND(HT7&gt;=HW$30,HT7&lt;&gt;""),AND(IO7&gt;=IR$30,IO7&lt;&gt;""),AND(JJ7&gt;=JM$30,JJ7&lt;&gt;""),AND(KE7&gt;=KH$30,KE7&lt;&gt;""),AND(KZ7&gt;=LC$30,KZ7&lt;&gt;""),AND(LU7&gt;=LX$30,LU7&lt;&gt;"")),"P","")</f>
        <v>P</v>
      </c>
      <c r="H7" s="116" t="str">
        <f>IF(AND(G7="P",F7=""),"No DD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Merit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Excellence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Worlds Team",IF(OR(AND(AH7&gt;=AL$26,AH7&lt;&gt;"",AI7&gt;=AL$30,AI7&lt;&gt;"",AG7=""),AND(BD7&gt;=BH$26,BD7&lt;&gt;"",BE7&gt;=BH$30,BE7&lt;&gt;"",BC7=""),AND(BZ7&gt;=CD$26,BZ7&lt;&gt;"",CA7&gt;=CD$30,CA7&lt;&gt;"",BY7=""),AND(CW7&gt;=DA$26,CW7&lt;&gt;"",CX7&gt;=DA$30,CX7&lt;&gt;""),AND(DR7&gt;=DV$26,DR7&lt;&gt;"",DS7&gt;=DV$30,DS7&lt;&gt;""),AND(EM7&gt;=EQ$26,EM7&lt;&gt;"",EN7&gt;=EQ$30,EN7&lt;&gt;""),AND(FH7&gt;=FL$26,FH7&lt;&gt;"",FI7&gt;=FL$30,FI7&lt;&gt;""),AND(GC7&gt;=GG$26,GC7&lt;&gt;"",GD7&gt;=GG$30,GD7&lt;&gt;""),AND(GX7&gt;=HB$26,GX7&lt;&gt;"",GY7&gt;=HB$30,GY7&lt;&gt;""),AND(HS7&gt;=HW$26,HS7&lt;&gt;"",HT7&gt;=HW$30,HT7&lt;&gt;""),AND(IN7&gt;=IR$26,IN7&lt;&gt;"",IO7&gt;=IR$30,IO7&lt;&gt;""),AND(JI7&gt;=JM$26,JI7&lt;&gt;"",JJ7&gt;=JM$30,JJ7&lt;&gt;""),AND(KD7&gt;=KH$26,KD7&lt;&gt;"",KE7&gt;=KH$30,KE7&lt;&gt;""),AND(KY7&gt;=LC$26,KY7&lt;&gt;"",KZ7&gt;=LC$30,KZ7&lt;&gt;""),AND(LT7&gt;=LX$26,LT7&lt;&gt;"",LU7&gt;=LX$30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28.1</v>
      </c>
      <c r="R7" s="61">
        <v>5.6</v>
      </c>
      <c r="S7" s="61">
        <v>0</v>
      </c>
      <c r="T7" s="61">
        <v>0</v>
      </c>
      <c r="U7" s="61">
        <v>27.5</v>
      </c>
      <c r="V7" s="61">
        <v>6</v>
      </c>
      <c r="W7" s="61">
        <v>0.3</v>
      </c>
      <c r="X7" s="61">
        <v>0</v>
      </c>
      <c r="Y7" s="61">
        <v>27</v>
      </c>
      <c r="Z7" s="61">
        <v>5.6</v>
      </c>
      <c r="AA7" s="61">
        <v>0.9</v>
      </c>
      <c r="AB7" s="61">
        <v>0</v>
      </c>
      <c r="AC7" s="61">
        <v>26.5</v>
      </c>
      <c r="AD7" s="61">
        <v>4.4000000000000004</v>
      </c>
      <c r="AE7" s="61">
        <v>0</v>
      </c>
      <c r="AF7" s="61">
        <v>0</v>
      </c>
      <c r="AG7" s="72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6">
        <v>27.3</v>
      </c>
      <c r="AN7" s="36">
        <v>6</v>
      </c>
      <c r="AO7" s="36">
        <v>0.3</v>
      </c>
      <c r="AP7" s="36">
        <v>0</v>
      </c>
      <c r="AQ7" s="36">
        <v>27.1</v>
      </c>
      <c r="AR7" s="36">
        <v>3.6</v>
      </c>
      <c r="AS7" s="36">
        <v>1.7</v>
      </c>
      <c r="AT7" s="36">
        <v>0.3</v>
      </c>
      <c r="AU7" s="36">
        <v>27.7</v>
      </c>
      <c r="AV7" s="36">
        <v>4.4000000000000004</v>
      </c>
      <c r="AW7" s="36">
        <v>0.3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73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1">
        <v>27.9</v>
      </c>
      <c r="BJ7" s="61">
        <v>5.6</v>
      </c>
      <c r="BK7" s="61">
        <v>0</v>
      </c>
      <c r="BL7" s="61">
        <v>0</v>
      </c>
      <c r="BM7" s="61">
        <v>19.8</v>
      </c>
      <c r="BN7" s="61">
        <v>2.4</v>
      </c>
      <c r="BO7" s="61">
        <v>0</v>
      </c>
      <c r="BP7" s="61">
        <v>0</v>
      </c>
      <c r="BQ7" s="61"/>
      <c r="BR7" s="61"/>
      <c r="BS7" s="61"/>
      <c r="BT7" s="61"/>
      <c r="BU7" s="61"/>
      <c r="BV7" s="61"/>
      <c r="BW7" s="61"/>
      <c r="BX7" s="61"/>
      <c r="BY7" s="72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>
        <v>27.7</v>
      </c>
      <c r="CH7" s="40">
        <v>6.4</v>
      </c>
      <c r="CI7" s="40">
        <v>0</v>
      </c>
      <c r="CJ7" s="40">
        <v>0</v>
      </c>
      <c r="CK7" s="40">
        <v>27</v>
      </c>
      <c r="CL7" s="40">
        <v>6</v>
      </c>
      <c r="CM7" s="40">
        <v>0.9</v>
      </c>
      <c r="CN7" s="40">
        <v>0</v>
      </c>
      <c r="CO7" s="40"/>
      <c r="CP7" s="40"/>
      <c r="CQ7" s="40"/>
      <c r="CR7" s="40"/>
      <c r="CS7" s="40"/>
      <c r="CT7" s="40"/>
      <c r="CU7" s="40"/>
      <c r="CV7" s="40"/>
      <c r="CW7" s="11">
        <f>IF(SUM(CH7,CL7)&gt;0,SUM(CH7,CL7),"")</f>
        <v>12.4</v>
      </c>
      <c r="CX7" s="11">
        <f>IF(SUM(CG7:CH7,CJ7:CL7,CN7)-SUM(CI7,CM7)&gt;0,SUM(CG7:CH7,CJ7:CL7,CN7)-SUM(CI7,CM7),"")</f>
        <v>66.199999999999989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66.199999999999989</v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27.6</v>
      </c>
      <c r="LZ7" s="61">
        <f>IF($BY7="P",BJ7,(BJ7+AN7)/2)</f>
        <v>5.8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23.450000000000003</v>
      </c>
      <c r="MD7" s="61">
        <f>IF($BY7="P",BN7,(BN7+AR7)/2)</f>
        <v>3</v>
      </c>
      <c r="ME7" s="61">
        <f>IF($BY7="P",BO7,(BO7+AS7)/2)</f>
        <v>0.85</v>
      </c>
      <c r="MF7" s="61">
        <f>IF($BY7="P",BP7,(BP7+AT7)/2)</f>
        <v>0.15</v>
      </c>
      <c r="MG7" s="61">
        <f>IF($BY7="P",BQ7,(BQ7+AU7)/2)</f>
        <v>13.85</v>
      </c>
      <c r="MH7" s="61">
        <f>IF($BY7="P",BR7,(BR7+AV7)/2)</f>
        <v>2.2000000000000002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0</v>
      </c>
      <c r="ML7" s="61">
        <f>IF($BY7="P",BV7,(BV7+AZ7)/2)</f>
        <v>0</v>
      </c>
      <c r="MM7" s="61">
        <f>IF($BY7="P",BW7,(BW7+BA7)/2)</f>
        <v>0</v>
      </c>
      <c r="MN7" s="61">
        <f>IF($BY7="P",BX7,(BX7+BB7)/2)</f>
        <v>0</v>
      </c>
      <c r="MO7" s="72" t="s">
        <v>52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8" t="s">
        <v>116</v>
      </c>
      <c r="C8" s="4" t="s">
        <v>4</v>
      </c>
      <c r="D8" s="5">
        <v>2000</v>
      </c>
      <c r="E8" s="15">
        <f>SUM(J8:N8)</f>
        <v>66.399999999999991</v>
      </c>
      <c r="F8" s="3" t="str">
        <f>IF(OR(AND(AH8&gt;=AL$26,AI8&gt;=AL$30,AI8&lt;&gt;"",AG8=""),AND(BD8&gt;=BH$26,BE8&gt;=BH$30,BE8&lt;&gt;"",BC8=""),AND(BZ8&gt;=CD$26,CA8&gt;=CD$30,CA8&lt;&gt;"",BY8=""),AND(CW8&gt;=DA$26,CX8&gt;=DA$30,CX8&lt;&gt;""),AND(DR8&gt;=DV$26,DS8&gt;=DV$30,DS8&lt;&gt;""),AND(EM8&gt;=EQ$26,EN8&gt;=EQ$30,EN8&lt;&gt;""),AND(FH8&gt;=FL$26,FI8&gt;=FL$30,FI8&lt;&gt;""),AND(GC8&gt;=GG$26,GD8&gt;=GG$30,GD8&lt;&gt;""),AND(GX8&gt;=HB$26,GY8&gt;=HB$30,GY8&lt;&gt;""),AND(HS8&gt;=HW$26,HT8&gt;=HW$30,HT8&lt;&gt;""),AND(IN8&gt;=IR$26,IO8&gt;=IR$30,IO8&lt;&gt;""),AND(JI8&gt;=JM$26,JJ8&gt;=JM$30,JJ8&lt;&gt;""),AND(KD8&gt;=KH$26,KE8&gt;=KH$30,KE8&lt;&gt;""),AND(KY8&gt;=LC$26,KZ8&gt;=LC$30,KZ8&lt;&gt;""),AND(LT8&gt;=LX$26,LU8&gt;=LX$30,LU8&lt;&gt;"")),"P","")</f>
        <v>P</v>
      </c>
      <c r="G8" s="3" t="str">
        <f>IF(OR(AND(AI8&gt;=AL$30,AI8&lt;&gt;"",AG8=""),AND(BE8&gt;=BH$30,BE8&lt;&gt;"",BC8=""),AND(CA8&gt;=CD$30,CA8&lt;&gt;"",BY8=""),AND(CX8&gt;=DA$30,CX8&lt;&gt;""),AND(DS8&gt;=DV$30,DS8&lt;&gt;""),AND(EN8&gt;=EQ$30,EN8&lt;&gt;""),AND(FI8&gt;=FL$30,FI8&lt;&gt;""),AND(GD8&gt;=GG$30,GD8&lt;&gt;""),AND(GY8&gt;=HB$30,GY8&lt;&gt;""),AND(HT8&gt;=HW$30,HT8&lt;&gt;""),AND(IO8&gt;=IR$30,IO8&lt;&gt;""),AND(JJ8&gt;=JM$30,JJ8&lt;&gt;""),AND(KE8&gt;=KH$30,KE8&lt;&gt;""),AND(KZ8&gt;=LC$30,KZ8&lt;&gt;""),AND(LU8&gt;=LX$30,LU8&lt;&gt;"")),"P","")</f>
        <v>P</v>
      </c>
      <c r="H8" s="116" t="str">
        <f>IF(AND(G8="P",F8=""),"No DD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Merit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Excellence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Worlds Team",IF(OR(AND(AH8&gt;=AL$26,AH8&lt;&gt;"",AI8&gt;=AL$30,AI8&lt;&gt;"",AG8=""),AND(BD8&gt;=BH$26,BD8&lt;&gt;"",BE8&gt;=BH$30,BE8&lt;&gt;"",BC8=""),AND(BZ8&gt;=CD$26,BZ8&lt;&gt;"",CA8&gt;=CD$30,CA8&lt;&gt;"",BY8=""),AND(CW8&gt;=DA$26,CW8&lt;&gt;"",CX8&gt;=DA$30,CX8&lt;&gt;""),AND(DR8&gt;=DV$26,DR8&lt;&gt;"",DS8&gt;=DV$30,DS8&lt;&gt;""),AND(EM8&gt;=EQ$26,EM8&lt;&gt;"",EN8&gt;=EQ$30,EN8&lt;&gt;""),AND(FH8&gt;=FL$26,FH8&lt;&gt;"",FI8&gt;=FL$30,FI8&lt;&gt;""),AND(GC8&gt;=GG$26,GC8&lt;&gt;"",GD8&gt;=GG$30,GD8&lt;&gt;""),AND(GX8&gt;=HB$26,GX8&lt;&gt;"",GY8&gt;=HB$30,GY8&lt;&gt;""),AND(HS8&gt;=HW$26,HS8&lt;&gt;"",HT8&gt;=HW$30,HT8&lt;&gt;""),AND(IN8&gt;=IR$26,IN8&lt;&gt;"",IO8&gt;=IR$30,IO8&lt;&gt;""),AND(JI8&gt;=JM$26,JI8&lt;&gt;"",JJ8&gt;=JM$30,JJ8&lt;&gt;""),AND(KD8&gt;=KH$26,KD8&lt;&gt;"",KE8&gt;=KH$30,KE8&lt;&gt;""),AND(KY8&gt;=LC$26,KY8&lt;&gt;"",KZ8&gt;=LC$30,KZ8&lt;&gt;""),AND(LT8&gt;=LX$26,LT8&lt;&gt;"",LU8&gt;=LX$30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66.399999999999991</v>
      </c>
      <c r="K8" s="14" t="str">
        <f>IF(J8=0,"",IF(J8=CA8,$BI$1,IF(J8=BE8,$AM$1,IF(J8=AI8,$Q$1,""))))</f>
        <v>2021 2nd Virtual Technical Trial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27.3</v>
      </c>
      <c r="R8" s="61">
        <v>6</v>
      </c>
      <c r="S8" s="61">
        <v>0.3</v>
      </c>
      <c r="T8" s="61">
        <v>0</v>
      </c>
      <c r="U8" s="61">
        <v>27.8</v>
      </c>
      <c r="V8" s="61">
        <v>5.6</v>
      </c>
      <c r="W8" s="61">
        <v>0</v>
      </c>
      <c r="X8" s="61">
        <v>0</v>
      </c>
      <c r="Y8" s="61">
        <v>28</v>
      </c>
      <c r="Z8" s="61">
        <v>5.2</v>
      </c>
      <c r="AA8" s="61">
        <v>0</v>
      </c>
      <c r="AB8" s="61">
        <v>0</v>
      </c>
      <c r="AC8" s="61">
        <v>27.5</v>
      </c>
      <c r="AD8" s="61">
        <v>2</v>
      </c>
      <c r="AE8" s="61">
        <v>2.4</v>
      </c>
      <c r="AF8" s="61">
        <v>0</v>
      </c>
      <c r="AG8" s="72"/>
      <c r="AH8" s="11">
        <f>IF(SUM(R8,V8)&gt;0,SUM(R8,V8),"")</f>
        <v>11.6</v>
      </c>
      <c r="AI8" s="11">
        <f>IF(SUM(Q8:R8,T8:V8,X8)-SUM(S8,W8)&gt;0,SUM(Q8:R8,T8:V8,X8)-SUM(S8,W8),"")</f>
        <v>66.399999999999991</v>
      </c>
      <c r="AJ8" s="11">
        <f>IF(SUM(Z8,AD8)&gt;0,SUM(Z8,AD8),"")</f>
        <v>7.2</v>
      </c>
      <c r="AK8" s="11">
        <f>IF(SUM(Y8:Z8,AB8:AD8,AF8)-SUM(AA8,AE8)&gt;0,SUM(Y8:Z8,AB8:AD8,AF8)-SUM(AA8,AE8),"")</f>
        <v>60.300000000000004</v>
      </c>
      <c r="AL8" s="11">
        <f>IF(SUM(AI8,AK8)&gt;0,SUM(AI8,AK8),"")</f>
        <v>126.69999999999999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>IF(SUM(AN8,AR8)&gt;0,SUM(AN8,AR8),"")</f>
        <v/>
      </c>
      <c r="BE8" s="14" t="str">
        <f>IF(SUM(AM8:AN8,AP8:AR8,AT8)-SUM(AO8,AS8)&gt;0,SUM(AM8:AN8,AP8:AR8,AT8)-SUM(AO8,AS8),"")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0</v>
      </c>
      <c r="LZ8" s="61">
        <f>IF($BY8="P",BJ8,(BJ8+AN8)/2)</f>
        <v>0</v>
      </c>
      <c r="MA8" s="61">
        <f>IF($BY8="P",BK8,(BK8+AO8)/2)</f>
        <v>0</v>
      </c>
      <c r="MB8" s="61">
        <f>IF($BY8="P",BL8,(BL8+AP8)/2)</f>
        <v>0</v>
      </c>
      <c r="MC8" s="61">
        <f>IF($BY8="P",BM8,(BM8+AQ8)/2)</f>
        <v>0</v>
      </c>
      <c r="MD8" s="61">
        <f>IF($BY8="P",BN8,(BN8+AR8)/2)</f>
        <v>0</v>
      </c>
      <c r="ME8" s="61">
        <f>IF($BY8="P",BO8,(BO8+AS8)/2)</f>
        <v>0</v>
      </c>
      <c r="MF8" s="61">
        <f>IF($BY8="P",BP8,(BP8+AT8)/2)</f>
        <v>0</v>
      </c>
      <c r="MG8" s="61">
        <f>IF($BY8="P",BQ8,(BQ8+AU8)/2)</f>
        <v>0</v>
      </c>
      <c r="MH8" s="61">
        <f>IF($BY8="P",BR8,(BR8+AV8)/2)</f>
        <v>0</v>
      </c>
      <c r="MI8" s="61">
        <f>IF($BY8="P",BS8,(BS8+AW8)/2)</f>
        <v>0</v>
      </c>
      <c r="MJ8" s="61">
        <f>IF($BY8="P",BT8,(BT8+AX8)/2)</f>
        <v>0</v>
      </c>
      <c r="MK8" s="61">
        <f>IF($BY8="P",BU8,(BU8+AY8)/2)</f>
        <v>0</v>
      </c>
      <c r="ML8" s="61">
        <f>IF($BY8="P",BV8,(BV8+AZ8)/2)</f>
        <v>0</v>
      </c>
      <c r="MM8" s="61">
        <f>IF($BY8="P",BW8,(BW8+BA8)/2)</f>
        <v>0</v>
      </c>
      <c r="MN8" s="61">
        <f>IF($BY8="P",BX8,(BX8+BB8)/2)</f>
        <v>0</v>
      </c>
      <c r="MO8" s="72" t="s">
        <v>52</v>
      </c>
      <c r="MP8" s="11" t="str">
        <f>IF(SUM(LZ8,MD8)&gt;0,SUM(LZ8,MD8),"")</f>
        <v/>
      </c>
      <c r="MQ8" s="11" t="str">
        <f>IF(SUM(LY8:LZ8,MB8:MD8,MF8)-SUM(MA8,ME8)&gt;0,SUM(LY8:LZ8,MB8:MD8,MF8)-SUM(MA8,ME8),"")</f>
        <v/>
      </c>
      <c r="MR8" s="11" t="str">
        <f>IF(SUM(MH8,ML8)&gt;0,SUM(MH8,ML8),"")</f>
        <v/>
      </c>
      <c r="MS8" s="11" t="str">
        <f>IF(SUM(MG8:MH8,MJ8:ML8,MN8)-SUM(MI8,MM8)&gt;0,SUM(MG8:MH8,MJ8:ML8,MN8)-SUM(MI8,MM8),"")</f>
        <v/>
      </c>
      <c r="MT8" s="11" t="str">
        <f>IF(SUM(MQ8,MS8)&gt;0,SUM(MQ8,MS8),"")</f>
        <v/>
      </c>
    </row>
    <row r="9" spans="1:358" x14ac:dyDescent="0.2">
      <c r="A9" s="5" t="str">
        <f>IF(AND(F9="P",G9="P"),SUMPRODUCT((F$4:F$24="P")*(G$4:G$24="P")*(E$4:E$24&gt;E9))+1,IF(G9="P",SUMPRODUCT((F$4:F$24="")*(G$4:G$24="P")*(E$4:E$24&gt;E9))+1+SUMPRODUCT((F$4:F$24="P")*(G$4:G$24="P")),""))</f>
        <v/>
      </c>
      <c r="B9" s="8" t="s">
        <v>115</v>
      </c>
      <c r="C9" s="4" t="s">
        <v>5</v>
      </c>
      <c r="D9" s="5">
        <v>2001</v>
      </c>
      <c r="E9" s="15">
        <f>SUM(J9:N9)</f>
        <v>192.89999999999998</v>
      </c>
      <c r="F9" s="3" t="str">
        <f>IF(OR(AND(AH9&gt;=AL$26,AI9&gt;=AL$30,AI9&lt;&gt;"",AG9=""),AND(BD9&gt;=BH$26,BE9&gt;=BH$30,BE9&lt;&gt;"",BC9=""),AND(BZ9&gt;=CD$26,CA9&gt;=CD$30,CA9&lt;&gt;"",BY9=""),AND(CW9&gt;=DA$26,CX9&gt;=DA$30,CX9&lt;&gt;""),AND(DR9&gt;=DV$26,DS9&gt;=DV$30,DS9&lt;&gt;""),AND(EM9&gt;=EQ$26,EN9&gt;=EQ$30,EN9&lt;&gt;""),AND(FH9&gt;=FL$26,FI9&gt;=FL$30,FI9&lt;&gt;""),AND(GC9&gt;=GG$26,GD9&gt;=GG$30,GD9&lt;&gt;""),AND(GX9&gt;=HB$26,GY9&gt;=HB$30,GY9&lt;&gt;""),AND(HS9&gt;=HW$26,HT9&gt;=HW$30,HT9&lt;&gt;""),AND(IN9&gt;=IR$26,IO9&gt;=IR$30,IO9&lt;&gt;""),AND(JI9&gt;=JM$26,JJ9&gt;=JM$30,JJ9&lt;&gt;""),AND(KD9&gt;=KH$26,KE9&gt;=KH$30,KE9&lt;&gt;""),AND(KY9&gt;=LC$26,KZ9&gt;=LC$30,KZ9&lt;&gt;""),AND(LT9&gt;=LX$26,LU9&gt;=LX$30,LU9&lt;&gt;"")),"P","")</f>
        <v/>
      </c>
      <c r="G9" s="3" t="str">
        <f>IF(OR(AND(AI9&gt;=AL$30,AI9&lt;&gt;"",AG9=""),AND(BE9&gt;=BH$30,BE9&lt;&gt;"",BC9=""),AND(CA9&gt;=CD$30,CA9&lt;&gt;"",BY9=""),AND(CX9&gt;=DA$30,CX9&lt;&gt;""),AND(DS9&gt;=DV$30,DS9&lt;&gt;""),AND(EN9&gt;=EQ$30,EN9&lt;&gt;""),AND(FI9&gt;=FL$30,FI9&lt;&gt;""),AND(GD9&gt;=GG$30,GD9&lt;&gt;""),AND(GY9&gt;=HB$30,GY9&lt;&gt;""),AND(HT9&gt;=HW$30,HT9&lt;&gt;""),AND(IO9&gt;=IR$30,IO9&lt;&gt;""),AND(JJ9&gt;=JM$30,JJ9&lt;&gt;""),AND(KE9&gt;=KH$30,KE9&lt;&gt;""),AND(KZ9&gt;=LC$30,KZ9&lt;&gt;""),AND(LU9&gt;=LX$30,LU9&lt;&gt;"")),"P","")</f>
        <v/>
      </c>
      <c r="H9" s="116" t="str">
        <f>IF(AND(G9="P",F9=""),"No DD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Merit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Excellence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Worlds Team",IF(OR(AND(AH9&gt;=AL$26,AH9&lt;&gt;"",AI9&gt;=AL$30,AI9&lt;&gt;"",AG9=""),AND(BD9&gt;=BH$26,BD9&lt;&gt;"",BE9&gt;=BH$30,BE9&lt;&gt;"",BC9=""),AND(BZ9&gt;=CD$26,BZ9&lt;&gt;"",CA9&gt;=CD$30,CA9&lt;&gt;"",BY9=""),AND(CW9&gt;=DA$26,CW9&lt;&gt;"",CX9&gt;=DA$30,CX9&lt;&gt;""),AND(DR9&gt;=DV$26,DR9&lt;&gt;"",DS9&gt;=DV$30,DS9&lt;&gt;""),AND(EM9&gt;=EQ$26,EM9&lt;&gt;"",EN9&gt;=EQ$30,EN9&lt;&gt;""),AND(FH9&gt;=FL$26,FH9&lt;&gt;"",FI9&gt;=FL$30,FI9&lt;&gt;""),AND(GC9&gt;=GG$26,GC9&lt;&gt;"",GD9&gt;=GG$30,GD9&lt;&gt;""),AND(GX9&gt;=HB$26,GX9&lt;&gt;"",GY9&gt;=HB$30,GY9&lt;&gt;""),AND(HS9&gt;=HW$26,HS9&lt;&gt;"",HT9&gt;=HW$30,HT9&lt;&gt;""),AND(IN9&gt;=IR$26,IN9&lt;&gt;"",IO9&gt;=IR$30,IO9&lt;&gt;""),AND(JI9&gt;=JM$26,JI9&lt;&gt;"",JJ9&gt;=JM$30,JJ9&lt;&gt;""),AND(KD9&gt;=KH$26,KD9&lt;&gt;"",KE9&gt;=KH$30,KE9&lt;&gt;""),AND(KY9&gt;=LC$26,KY9&lt;&gt;"",KZ9&gt;=LC$30,KZ9&lt;&gt;""),AND(LT9&gt;=LX$26,LT9&lt;&gt;"",LU9&gt;=LX$30,LU9&lt;&gt;"")),"National Team","")))))</f>
        <v/>
      </c>
      <c r="I9" s="3" t="str">
        <f>IF(OR(H9="Worlds Team",H9="Excellence",H9="Merit"),"P","")</f>
        <v/>
      </c>
      <c r="J9" s="14">
        <f>MAX(AI9,BE9,CA9)</f>
        <v>64.3</v>
      </c>
      <c r="K9" s="14" t="str">
        <f>IF(J9=0,"",IF(J9=CA9,$BI$1,IF(J9=BE9,$AM$1,IF(J9=AI9,$Q$1,""))))</f>
        <v>2021 2nd Virtual Technical Trial</v>
      </c>
      <c r="L9" s="14">
        <f>IF(J9=AI9,MAX(BH9,CD9),IF(J9=BE9,MAX(AL9,CD9),MAX(AL9,BH9)))</f>
        <v>128.6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>
        <v>27.9</v>
      </c>
      <c r="R9" s="61">
        <v>5.6</v>
      </c>
      <c r="S9" s="61">
        <v>0.9</v>
      </c>
      <c r="T9" s="61">
        <v>0</v>
      </c>
      <c r="U9" s="61">
        <v>27.4</v>
      </c>
      <c r="V9" s="61">
        <v>5.2</v>
      </c>
      <c r="W9" s="61">
        <v>0.9</v>
      </c>
      <c r="X9" s="61">
        <v>0</v>
      </c>
      <c r="Y9" s="61">
        <v>27.8</v>
      </c>
      <c r="Z9" s="61">
        <v>4.8</v>
      </c>
      <c r="AA9" s="61">
        <v>0.9</v>
      </c>
      <c r="AB9" s="61">
        <v>0</v>
      </c>
      <c r="AC9" s="61">
        <v>27.9</v>
      </c>
      <c r="AD9" s="61">
        <v>4.8</v>
      </c>
      <c r="AE9" s="61">
        <v>0</v>
      </c>
      <c r="AF9" s="61">
        <v>0</v>
      </c>
      <c r="AG9" s="72"/>
      <c r="AH9" s="11">
        <f>IF(SUM(R9,V9)&gt;0,SUM(R9,V9),"")</f>
        <v>10.8</v>
      </c>
      <c r="AI9" s="11">
        <f>IF(SUM(Q9:R9,T9:V9,X9)-SUM(S9,W9)&gt;0,SUM(Q9:R9,T9:V9,X9)-SUM(S9,W9),"")</f>
        <v>64.3</v>
      </c>
      <c r="AJ9" s="11">
        <f>IF(SUM(Z9,AD9)&gt;0,SUM(Z9,AD9),"")</f>
        <v>9.6</v>
      </c>
      <c r="AK9" s="11">
        <f>IF(SUM(Y9:Z9,AB9:AD9,AF9)-SUM(AA9,AE9)&gt;0,SUM(Y9:Z9,AB9:AD9,AF9)-SUM(AA9,AE9),"")</f>
        <v>64.399999999999991</v>
      </c>
      <c r="AL9" s="11">
        <f>IF(SUM(AI9,AK9)&gt;0,SUM(AI9,AK9),"")</f>
        <v>128.69999999999999</v>
      </c>
      <c r="AM9" s="36">
        <v>27.2</v>
      </c>
      <c r="AN9" s="36">
        <v>5.6</v>
      </c>
      <c r="AO9" s="36">
        <v>0.9</v>
      </c>
      <c r="AP9" s="36">
        <v>0</v>
      </c>
      <c r="AQ9" s="36">
        <v>27.1</v>
      </c>
      <c r="AR9" s="36">
        <v>5.2</v>
      </c>
      <c r="AS9" s="36">
        <v>0</v>
      </c>
      <c r="AT9" s="36">
        <v>0</v>
      </c>
      <c r="AU9" s="36">
        <v>27.3</v>
      </c>
      <c r="AV9" s="36">
        <v>5.6</v>
      </c>
      <c r="AW9" s="36">
        <v>0.3</v>
      </c>
      <c r="AX9" s="36">
        <v>0</v>
      </c>
      <c r="AY9" s="36">
        <v>26.6</v>
      </c>
      <c r="AZ9" s="36">
        <v>5.2</v>
      </c>
      <c r="BA9" s="36">
        <v>0</v>
      </c>
      <c r="BB9" s="36">
        <v>0</v>
      </c>
      <c r="BC9" s="73"/>
      <c r="BD9" s="14">
        <f>IF(SUM(AN9,AR9)&gt;0,SUM(AN9,AR9),"")</f>
        <v>10.8</v>
      </c>
      <c r="BE9" s="14">
        <f>IF(SUM(AM9:AN9,AP9:AR9,AT9)-SUM(AO9,AS9)&gt;0,SUM(AM9:AN9,AP9:AR9,AT9)-SUM(AO9,AS9),"")</f>
        <v>64.199999999999989</v>
      </c>
      <c r="BF9" s="14">
        <f>IF(SUM(AV9,AZ9)&gt;0,SUM(AV9,AZ9),"")</f>
        <v>10.8</v>
      </c>
      <c r="BG9" s="14">
        <f>IF(SUM(AU9:AV9,AX9:AZ9,BB9)-SUM(AW9,BA9)&gt;0,SUM(AU9:AV9,AX9:AZ9,BB9)-SUM(AW9,BA9),"")</f>
        <v>64.400000000000006</v>
      </c>
      <c r="BH9" s="14">
        <f>IF(SUM(BE9,BG9)&gt;0,SUM(BE9,BG9),"")</f>
        <v>128.6</v>
      </c>
      <c r="BI9" s="61">
        <v>27.9</v>
      </c>
      <c r="BJ9" s="61">
        <v>5.6</v>
      </c>
      <c r="BK9" s="61">
        <v>0</v>
      </c>
      <c r="BL9" s="61">
        <v>0</v>
      </c>
      <c r="BM9" s="61">
        <v>24.7</v>
      </c>
      <c r="BN9" s="61">
        <v>5.6</v>
      </c>
      <c r="BO9" s="61">
        <v>0.3</v>
      </c>
      <c r="BP9" s="61">
        <v>0</v>
      </c>
      <c r="BQ9" s="61">
        <v>26.4</v>
      </c>
      <c r="BR9" s="61">
        <v>5.2</v>
      </c>
      <c r="BS9" s="61">
        <v>1.2</v>
      </c>
      <c r="BT9" s="61">
        <v>0</v>
      </c>
      <c r="BU9" s="61">
        <v>27.7</v>
      </c>
      <c r="BV9" s="61">
        <v>5.2</v>
      </c>
      <c r="BW9" s="61">
        <v>0.9</v>
      </c>
      <c r="BX9" s="61">
        <v>0</v>
      </c>
      <c r="BY9" s="72"/>
      <c r="BZ9" s="11">
        <f>IF(SUM(BJ9,BN9)&gt;0,SUM(BJ9,BN9),"")</f>
        <v>11.2</v>
      </c>
      <c r="CA9" s="11">
        <f>IF(SUM(BI9:BJ9,BL9:BN9,BP9)-SUM(BK9,BO9)&gt;0,SUM(BI9:BJ9,BL9:BN9,BP9)-SUM(BK9,BO9),"")</f>
        <v>63.500000000000007</v>
      </c>
      <c r="CB9" s="11">
        <f>IF(SUM(BR9,BV9)&gt;0,SUM(BR9,BV9),"")</f>
        <v>10.4</v>
      </c>
      <c r="CC9" s="11">
        <f>IF(SUM(BQ9:BR9,BT9:BV9,BX9)-SUM(BS9,BW9)&gt;0,SUM(BQ9:BR9,BT9:BV9,BX9)-SUM(BS9,BW9),"")</f>
        <v>62.4</v>
      </c>
      <c r="CD9" s="11">
        <f>IF(SUM(CA9,CC9)&gt;0,SUM(CA9,CC9),"")</f>
        <v>125.9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27.549999999999997</v>
      </c>
      <c r="LZ9" s="61">
        <f>IF($BY9="P",BJ9,(BJ9+AN9)/2)</f>
        <v>5.6</v>
      </c>
      <c r="MA9" s="61">
        <f>IF($BY9="P",BK9,(BK9+AO9)/2)</f>
        <v>0.45</v>
      </c>
      <c r="MB9" s="61">
        <f>IF($BY9="P",BL9,(BL9+AP9)/2)</f>
        <v>0</v>
      </c>
      <c r="MC9" s="61">
        <f>IF($BY9="P",BM9,(BM9+AQ9)/2)</f>
        <v>25.9</v>
      </c>
      <c r="MD9" s="61">
        <f>IF($BY9="P",BN9,(BN9+AR9)/2)</f>
        <v>5.4</v>
      </c>
      <c r="ME9" s="61">
        <f>IF($BY9="P",BO9,(BO9+AS9)/2)</f>
        <v>0.15</v>
      </c>
      <c r="MF9" s="61">
        <f>IF($BY9="P",BP9,(BP9+AT9)/2)</f>
        <v>0</v>
      </c>
      <c r="MG9" s="61">
        <f>IF($BY9="P",BQ9,(BQ9+AU9)/2)</f>
        <v>26.85</v>
      </c>
      <c r="MH9" s="61">
        <f>IF($BY9="P",BR9,(BR9+AV9)/2)</f>
        <v>5.4</v>
      </c>
      <c r="MI9" s="61">
        <f>IF($BY9="P",BS9,(BS9+AW9)/2)</f>
        <v>0.75</v>
      </c>
      <c r="MJ9" s="61">
        <f>IF($BY9="P",BT9,(BT9+AX9)/2)</f>
        <v>0</v>
      </c>
      <c r="MK9" s="61">
        <f>IF($BY9="P",BU9,(BU9+AY9)/2)</f>
        <v>27.15</v>
      </c>
      <c r="ML9" s="61">
        <f>IF($BY9="P",BV9,(BV9+AZ9)/2)</f>
        <v>5.2</v>
      </c>
      <c r="MM9" s="61">
        <f>IF($BY9="P",BW9,(BW9+BA9)/2)</f>
        <v>0.45</v>
      </c>
      <c r="MN9" s="61">
        <f>IF($BY9="P",BX9,(BX9+BB9)/2)</f>
        <v>0</v>
      </c>
      <c r="MO9" s="72" t="s">
        <v>52</v>
      </c>
      <c r="MP9" s="11">
        <f>IF(SUM(LZ9,MD9)&gt;0,SUM(LZ9,MD9),"")</f>
        <v>11</v>
      </c>
      <c r="MQ9" s="11">
        <f>IF(SUM(LY9:LZ9,MB9:MD9,MF9)-SUM(MA9,ME9)&gt;0,SUM(LY9:LZ9,MB9:MD9,MF9)-SUM(MA9,ME9),"")</f>
        <v>63.85</v>
      </c>
      <c r="MR9" s="11">
        <f>IF(SUM(MH9,ML9)&gt;0,SUM(MH9,ML9),"")</f>
        <v>10.600000000000001</v>
      </c>
      <c r="MS9" s="11">
        <f>IF(SUM(MG9:MH9,MJ9:ML9,MN9)-SUM(MI9,MM9)&gt;0,SUM(MG9:MH9,MJ9:ML9,MN9)-SUM(MI9,MM9),"")</f>
        <v>63.399999999999991</v>
      </c>
      <c r="MT9" s="11">
        <f>IF(SUM(MQ9,MS9)&gt;0,SUM(MQ9,MS9),"")</f>
        <v>127.25</v>
      </c>
    </row>
    <row r="10" spans="1:358" x14ac:dyDescent="0.2">
      <c r="A10" s="5" t="str">
        <f>IF(AND(F10="P",G10="P"),SUMPRODUCT((F$4:F$24="P")*(G$4:G$24="P")*(E$4:E$24&gt;E10))+1,IF(G10="P",SUMPRODUCT((F$4:F$24="")*(G$4:G$24="P")*(E$4:E$24&gt;E10))+1+SUMPRODUCT((F$4:F$24="P")*(G$4:G$24="P")),""))</f>
        <v/>
      </c>
      <c r="B10" s="8" t="s">
        <v>140</v>
      </c>
      <c r="C10" s="4" t="s">
        <v>95</v>
      </c>
      <c r="D10" s="5">
        <v>2000</v>
      </c>
      <c r="E10" s="15">
        <f>SUM(J10:N10)</f>
        <v>191.5</v>
      </c>
      <c r="F10" s="3" t="str">
        <f>IF(OR(AND(AH10&gt;=AL$26,AI10&gt;=AL$30,AI10&lt;&gt;"",AG10=""),AND(BD10&gt;=BH$26,BE10&gt;=BH$30,BE10&lt;&gt;"",BC10=""),AND(BZ10&gt;=CD$26,CA10&gt;=CD$30,CA10&lt;&gt;"",BY10=""),AND(CW10&gt;=DA$26,CX10&gt;=DA$30,CX10&lt;&gt;""),AND(DR10&gt;=DV$26,DS10&gt;=DV$30,DS10&lt;&gt;""),AND(EM10&gt;=EQ$26,EN10&gt;=EQ$30,EN10&lt;&gt;""),AND(FH10&gt;=FL$26,FI10&gt;=FL$30,FI10&lt;&gt;""),AND(GC10&gt;=GG$26,GD10&gt;=GG$30,GD10&lt;&gt;""),AND(GX10&gt;=HB$26,GY10&gt;=HB$30,GY10&lt;&gt;""),AND(HS10&gt;=HW$26,HT10&gt;=HW$30,HT10&lt;&gt;""),AND(IN10&gt;=IR$26,IO10&gt;=IR$30,IO10&lt;&gt;""),AND(JI10&gt;=JM$26,JJ10&gt;=JM$30,JJ10&lt;&gt;""),AND(KD10&gt;=KH$26,KE10&gt;=KH$30,KE10&lt;&gt;""),AND(KY10&gt;=LC$26,KZ10&gt;=LC$30,KZ10&lt;&gt;""),AND(LT10&gt;=LX$26,LU10&gt;=LX$30,LU10&lt;&gt;"")),"P","")</f>
        <v/>
      </c>
      <c r="G10" s="3" t="str">
        <f>IF(OR(AND(AI10&gt;=AL$30,AI10&lt;&gt;"",AG10=""),AND(BE10&gt;=BH$30,BE10&lt;&gt;"",BC10=""),AND(CA10&gt;=CD$30,CA10&lt;&gt;"",BY10=""),AND(CX10&gt;=DA$30,CX10&lt;&gt;""),AND(DS10&gt;=DV$30,DS10&lt;&gt;""),AND(EN10&gt;=EQ$30,EN10&lt;&gt;""),AND(FI10&gt;=FL$30,FI10&lt;&gt;""),AND(GD10&gt;=GG$30,GD10&lt;&gt;""),AND(GY10&gt;=HB$30,GY10&lt;&gt;""),AND(HT10&gt;=HW$30,HT10&lt;&gt;""),AND(IO10&gt;=IR$30,IO10&lt;&gt;""),AND(JJ10&gt;=JM$30,JJ10&lt;&gt;""),AND(KE10&gt;=KH$30,KE10&lt;&gt;""),AND(KZ10&gt;=LC$30,KZ10&lt;&gt;""),AND(LU10&gt;=LX$30,LU10&lt;&gt;"")),"P","")</f>
        <v/>
      </c>
      <c r="H10" s="116" t="str">
        <f>IF(AND(G10="P",F10=""),"No DD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Merit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Excellence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Worlds Team",IF(OR(AND(AH10&gt;=AL$26,AH10&lt;&gt;"",AI10&gt;=AL$30,AI10&lt;&gt;"",AG10=""),AND(BD10&gt;=BH$26,BD10&lt;&gt;"",BE10&gt;=BH$30,BE10&lt;&gt;"",BC10=""),AND(BZ10&gt;=CD$26,BZ10&lt;&gt;"",CA10&gt;=CD$30,CA10&lt;&gt;"",BY10=""),AND(CW10&gt;=DA$26,CW10&lt;&gt;"",CX10&gt;=DA$30,CX10&lt;&gt;""),AND(DR10&gt;=DV$26,DR10&lt;&gt;"",DS10&gt;=DV$30,DS10&lt;&gt;""),AND(EM10&gt;=EQ$26,EM10&lt;&gt;"",EN10&gt;=EQ$30,EN10&lt;&gt;""),AND(FH10&gt;=FL$26,FH10&lt;&gt;"",FI10&gt;=FL$30,FI10&lt;&gt;""),AND(GC10&gt;=GG$26,GC10&lt;&gt;"",GD10&gt;=GG$30,GD10&lt;&gt;""),AND(GX10&gt;=HB$26,GX10&lt;&gt;"",GY10&gt;=HB$30,GY10&lt;&gt;""),AND(HS10&gt;=HW$26,HS10&lt;&gt;"",HT10&gt;=HW$30,HT10&lt;&gt;""),AND(IN10&gt;=IR$26,IN10&lt;&gt;"",IO10&gt;=IR$30,IO10&lt;&gt;""),AND(JI10&gt;=JM$26,JI10&lt;&gt;"",JJ10&gt;=JM$30,JJ10&lt;&gt;""),AND(KD10&gt;=KH$26,KD10&lt;&gt;"",KE10&gt;=KH$30,KE10&lt;&gt;""),AND(KY10&gt;=LC$26,KY10&lt;&gt;"",KZ10&gt;=LC$30,KZ10&lt;&gt;""),AND(LT10&gt;=LX$26,LT10&lt;&gt;"",LU10&gt;=LX$30,LU10&lt;&gt;"")),"National Team","")))))</f>
        <v/>
      </c>
      <c r="I10" s="3" t="str">
        <f>IF(OR(H10="Worlds Team",H10="Excellence",H10="Merit"),"P","")</f>
        <v/>
      </c>
      <c r="J10" s="14">
        <f>MAX(AI10,BE10,CA10)</f>
        <v>64.5</v>
      </c>
      <c r="K10" s="14" t="str">
        <f>IF(J10=0,"",IF(J10=CA10,$BI$1,IF(J10=BE10,$AM$1,IF(J10=AI10,$Q$1,""))))</f>
        <v>2021 Canadian Championships</v>
      </c>
      <c r="L10" s="14">
        <f>IF(J10=AI10,MAX(BH10,CD10),IF(J10=BE10,MAX(AL10,CD10),MAX(AL10,BH10)))</f>
        <v>127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>IF(SUM(R10,V10)&gt;0,SUM(R10,V10),"")</f>
        <v/>
      </c>
      <c r="AI10" s="11" t="str">
        <f>IF(SUM(Q10:R10,T10:V10,X10)-SUM(S10,W10)&gt;0,SUM(Q10:R10,T10:V10,X10)-SUM(S10,W10),"")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>
        <v>28.7</v>
      </c>
      <c r="AN10" s="36">
        <v>3.5</v>
      </c>
      <c r="AO10" s="36">
        <v>0.3</v>
      </c>
      <c r="AP10" s="36">
        <v>0</v>
      </c>
      <c r="AQ10" s="36">
        <v>28.5</v>
      </c>
      <c r="AR10" s="36">
        <v>3.6</v>
      </c>
      <c r="AS10" s="36">
        <v>0.9</v>
      </c>
      <c r="AT10" s="36">
        <v>0</v>
      </c>
      <c r="AU10" s="36">
        <v>27.7</v>
      </c>
      <c r="AV10" s="36">
        <v>5.2</v>
      </c>
      <c r="AW10" s="36">
        <v>0</v>
      </c>
      <c r="AX10" s="36">
        <v>0</v>
      </c>
      <c r="AY10" s="36">
        <v>28.2</v>
      </c>
      <c r="AZ10" s="36">
        <v>3.7</v>
      </c>
      <c r="BA10" s="36">
        <v>0.9</v>
      </c>
      <c r="BB10" s="36">
        <v>0</v>
      </c>
      <c r="BC10" s="73"/>
      <c r="BD10" s="14">
        <f>IF(SUM(AN10,AR10)&gt;0,SUM(AN10,AR10),"")</f>
        <v>7.1</v>
      </c>
      <c r="BE10" s="14">
        <f>IF(SUM(AM10:AN10,AP10:AR10,AT10)-SUM(AO10,AS10)&gt;0,SUM(AM10:AN10,AP10:AR10,AT10)-SUM(AO10,AS10),"")</f>
        <v>63.099999999999994</v>
      </c>
      <c r="BF10" s="14">
        <f>IF(SUM(AV10,AZ10)&gt;0,SUM(AV10,AZ10),"")</f>
        <v>8.9</v>
      </c>
      <c r="BG10" s="14">
        <f>IF(SUM(AU10:AV10,AX10:AZ10,BB10)-SUM(AW10,BA10)&gt;0,SUM(AU10:AV10,AX10:AZ10,BB10)-SUM(AW10,BA10),"")</f>
        <v>63.9</v>
      </c>
      <c r="BH10" s="14">
        <f>IF(SUM(BE10,BG10)&gt;0,SUM(BE10,BG10),"")</f>
        <v>127</v>
      </c>
      <c r="BI10" s="61">
        <v>28.9</v>
      </c>
      <c r="BJ10" s="61">
        <v>3.5</v>
      </c>
      <c r="BK10" s="61">
        <v>0</v>
      </c>
      <c r="BL10" s="61">
        <v>0</v>
      </c>
      <c r="BM10" s="61">
        <v>28.5</v>
      </c>
      <c r="BN10" s="61">
        <v>3.6</v>
      </c>
      <c r="BO10" s="61">
        <v>0</v>
      </c>
      <c r="BP10" s="61">
        <v>0</v>
      </c>
      <c r="BQ10" s="61">
        <v>27.8</v>
      </c>
      <c r="BR10" s="61">
        <v>5.2</v>
      </c>
      <c r="BS10" s="61">
        <v>0</v>
      </c>
      <c r="BT10" s="61">
        <v>0</v>
      </c>
      <c r="BU10" s="61">
        <v>27.8</v>
      </c>
      <c r="BV10" s="61">
        <v>4.4000000000000004</v>
      </c>
      <c r="BW10" s="61">
        <v>0.9</v>
      </c>
      <c r="BX10" s="61">
        <v>0</v>
      </c>
      <c r="BY10" s="72"/>
      <c r="BZ10" s="11">
        <f>IF(SUM(BJ10,BN10)&gt;0,SUM(BJ10,BN10),"")</f>
        <v>7.1</v>
      </c>
      <c r="CA10" s="11">
        <f>IF(SUM(BI10:BJ10,BL10:BN10,BP10)-SUM(BK10,BO10)&gt;0,SUM(BI10:BJ10,BL10:BN10,BP10)-SUM(BK10,BO10),"")</f>
        <v>64.5</v>
      </c>
      <c r="CB10" s="11">
        <f>IF(SUM(BR10,BV10)&gt;0,SUM(BR10,BV10),"")</f>
        <v>9.6000000000000014</v>
      </c>
      <c r="CC10" s="11">
        <f>IF(SUM(BQ10:BR10,BT10:BV10,BX10)-SUM(BS10,BW10)&gt;0,SUM(BQ10:BR10,BT10:BV10,BX10)-SUM(BS10,BW10),"")</f>
        <v>64.3</v>
      </c>
      <c r="CD10" s="11">
        <f>IF(SUM(CA10,CC10)&gt;0,SUM(CA10,CC10),"")</f>
        <v>128.80000000000001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28.799999999999997</v>
      </c>
      <c r="LZ10" s="61">
        <f>IF($BY10="P",BJ10,(BJ10+AN10)/2)</f>
        <v>3.5</v>
      </c>
      <c r="MA10" s="61">
        <f>IF($BY10="P",BK10,(BK10+AO10)/2)</f>
        <v>0.15</v>
      </c>
      <c r="MB10" s="61">
        <f>IF($BY10="P",BL10,(BL10+AP10)/2)</f>
        <v>0</v>
      </c>
      <c r="MC10" s="61">
        <f>IF($BY10="P",BM10,(BM10+AQ10)/2)</f>
        <v>28.5</v>
      </c>
      <c r="MD10" s="61">
        <f>IF($BY10="P",BN10,(BN10+AR10)/2)</f>
        <v>3.6</v>
      </c>
      <c r="ME10" s="61">
        <f>IF($BY10="P",BO10,(BO10+AS10)/2)</f>
        <v>0.45</v>
      </c>
      <c r="MF10" s="61">
        <f>IF($BY10="P",BP10,(BP10+AT10)/2)</f>
        <v>0</v>
      </c>
      <c r="MG10" s="61">
        <f>IF($BY10="P",BQ10,(BQ10+AU10)/2)</f>
        <v>27.75</v>
      </c>
      <c r="MH10" s="61">
        <f>IF($BY10="P",BR10,(BR10+AV10)/2)</f>
        <v>5.2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28</v>
      </c>
      <c r="ML10" s="61">
        <f>IF($BY10="P",BV10,(BV10+AZ10)/2)</f>
        <v>4.0500000000000007</v>
      </c>
      <c r="MM10" s="61">
        <f>IF($BY10="P",BW10,(BW10+BA10)/2)</f>
        <v>0.9</v>
      </c>
      <c r="MN10" s="61">
        <f>IF($BY10="P",BX10,(BX10+BB10)/2)</f>
        <v>0</v>
      </c>
      <c r="MO10" s="72" t="s">
        <v>52</v>
      </c>
      <c r="MP10" s="11">
        <f>IF(SUM(LZ10,MD10)&gt;0,SUM(LZ10,MD10),"")</f>
        <v>7.1</v>
      </c>
      <c r="MQ10" s="11">
        <f>IF(SUM(LY10:LZ10,MB10:MD10,MF10)-SUM(MA10,ME10)&gt;0,SUM(LY10:LZ10,MB10:MD10,MF10)-SUM(MA10,ME10),"")</f>
        <v>63.79999999999999</v>
      </c>
      <c r="MR10" s="11">
        <f>IF(SUM(MH10,ML10)&gt;0,SUM(MH10,ML10),"")</f>
        <v>9.25</v>
      </c>
      <c r="MS10" s="11">
        <f>IF(SUM(MG10:MH10,MJ10:ML10,MN10)-SUM(MI10,MM10)&gt;0,SUM(MG10:MH10,MJ10:ML10,MN10)-SUM(MI10,MM10),"")</f>
        <v>64.099999999999994</v>
      </c>
      <c r="MT10" s="11">
        <f>IF(SUM(MQ10,MS10)&gt;0,SUM(MQ10,MS10),"")</f>
        <v>127.89999999999998</v>
      </c>
    </row>
    <row r="11" spans="1:358" x14ac:dyDescent="0.2">
      <c r="A11" s="5" t="str">
        <f>IF(AND(F11="P",G11="P"),SUMPRODUCT((F$4:F$24="P")*(G$4:G$24="P")*(E$4:E$24&gt;E11))+1,IF(G11="P",SUMPRODUCT((F$4:F$24="")*(G$4:G$24="P")*(E$4:E$24&gt;E11))+1+SUMPRODUCT((F$4:F$24="P")*(G$4:G$24="P")),""))</f>
        <v/>
      </c>
      <c r="B11" s="8" t="s">
        <v>124</v>
      </c>
      <c r="C11" s="4" t="s">
        <v>4</v>
      </c>
      <c r="D11" s="5">
        <v>2001</v>
      </c>
      <c r="E11" s="15">
        <f>SUM(J11:N11)</f>
        <v>190.10000000000002</v>
      </c>
      <c r="F11" s="3" t="str">
        <f>IF(OR(AND(AH11&gt;=AL$26,AI11&gt;=AL$30,AI11&lt;&gt;"",AG11=""),AND(BD11&gt;=BH$26,BE11&gt;=BH$30,BE11&lt;&gt;"",BC11=""),AND(BZ11&gt;=CD$26,CA11&gt;=CD$30,CA11&lt;&gt;"",BY11=""),AND(CW11&gt;=DA$26,CX11&gt;=DA$30,CX11&lt;&gt;""),AND(DR11&gt;=DV$26,DS11&gt;=DV$30,DS11&lt;&gt;""),AND(EM11&gt;=EQ$26,EN11&gt;=EQ$30,EN11&lt;&gt;""),AND(FH11&gt;=FL$26,FI11&gt;=FL$30,FI11&lt;&gt;""),AND(GC11&gt;=GG$26,GD11&gt;=GG$30,GD11&lt;&gt;""),AND(GX11&gt;=HB$26,GY11&gt;=HB$30,GY11&lt;&gt;""),AND(HS11&gt;=HW$26,HT11&gt;=HW$30,HT11&lt;&gt;""),AND(IN11&gt;=IR$26,IO11&gt;=IR$30,IO11&lt;&gt;""),AND(JI11&gt;=JM$26,JJ11&gt;=JM$30,JJ11&lt;&gt;""),AND(KD11&gt;=KH$26,KE11&gt;=KH$30,KE11&lt;&gt;""),AND(KY11&gt;=LC$26,KZ11&gt;=LC$30,KZ11&lt;&gt;""),AND(LT11&gt;=LX$26,LU11&gt;=LX$30,LU11&lt;&gt;"")),"P","")</f>
        <v/>
      </c>
      <c r="G11" s="3" t="str">
        <f>IF(OR(AND(AI11&gt;=AL$30,AI11&lt;&gt;"",AG11=""),AND(BE11&gt;=BH$30,BE11&lt;&gt;"",BC11=""),AND(CA11&gt;=CD$30,CA11&lt;&gt;"",BY11=""),AND(CX11&gt;=DA$30,CX11&lt;&gt;""),AND(DS11&gt;=DV$30,DS11&lt;&gt;""),AND(EN11&gt;=EQ$30,EN11&lt;&gt;""),AND(FI11&gt;=FL$30,FI11&lt;&gt;""),AND(GD11&gt;=GG$30,GD11&lt;&gt;""),AND(GY11&gt;=HB$30,GY11&lt;&gt;""),AND(HT11&gt;=HW$30,HT11&lt;&gt;""),AND(IO11&gt;=IR$30,IO11&lt;&gt;""),AND(JJ11&gt;=JM$30,JJ11&lt;&gt;""),AND(KE11&gt;=KH$30,KE11&lt;&gt;""),AND(KZ11&gt;=LC$30,KZ11&lt;&gt;""),AND(LU11&gt;=LX$30,LU11&lt;&gt;"")),"P","")</f>
        <v/>
      </c>
      <c r="H11" s="116" t="str">
        <f>IF(AND(G11="P",F11=""),"No DD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Merit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Excellence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Worlds Team",IF(OR(AND(AH11&gt;=AL$26,AH11&lt;&gt;"",AI11&gt;=AL$30,AI11&lt;&gt;"",AG11=""),AND(BD11&gt;=BH$26,BD11&lt;&gt;"",BE11&gt;=BH$30,BE11&lt;&gt;"",BC11=""),AND(BZ11&gt;=CD$26,BZ11&lt;&gt;"",CA11&gt;=CD$30,CA11&lt;&gt;"",BY11=""),AND(CW11&gt;=DA$26,CW11&lt;&gt;"",CX11&gt;=DA$30,CX11&lt;&gt;""),AND(DR11&gt;=DV$26,DR11&lt;&gt;"",DS11&gt;=DV$30,DS11&lt;&gt;""),AND(EM11&gt;=EQ$26,EM11&lt;&gt;"",EN11&gt;=EQ$30,EN11&lt;&gt;""),AND(FH11&gt;=FL$26,FH11&lt;&gt;"",FI11&gt;=FL$30,FI11&lt;&gt;""),AND(GC11&gt;=GG$26,GC11&lt;&gt;"",GD11&gt;=GG$30,GD11&lt;&gt;""),AND(GX11&gt;=HB$26,GX11&lt;&gt;"",GY11&gt;=HB$30,GY11&lt;&gt;""),AND(HS11&gt;=HW$26,HS11&lt;&gt;"",HT11&gt;=HW$30,HT11&lt;&gt;""),AND(IN11&gt;=IR$26,IN11&lt;&gt;"",IO11&gt;=IR$30,IO11&lt;&gt;""),AND(JI11&gt;=JM$26,JI11&lt;&gt;"",JJ11&gt;=JM$30,JJ11&lt;&gt;""),AND(KD11&gt;=KH$26,KD11&lt;&gt;"",KE11&gt;=KH$30,KE11&lt;&gt;""),AND(KY11&gt;=LC$26,KY11&lt;&gt;"",KZ11&gt;=LC$30,KZ11&lt;&gt;""),AND(LT11&gt;=LX$26,LT11&lt;&gt;"",LU11&gt;=LX$30,LU11&lt;&gt;"")),"National Team","")))))</f>
        <v/>
      </c>
      <c r="I11" s="3" t="str">
        <f>IF(OR(H11="Worlds Team",H11="Excellence",H11="Merit"),"P","")</f>
        <v/>
      </c>
      <c r="J11" s="14">
        <f>MAX(AI11,BE11,CA11)</f>
        <v>64.300000000000011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125.80000000000001</v>
      </c>
      <c r="M11" s="14" t="str">
        <f>IF(L11=0,"",IF(AND(J11&lt;&gt;CA11,L11=CD11),$BI$1,IF(AND(J11&lt;&gt;BE11,L11=BH11),$AM$1,IF(L11=AL11,$Q$1,""))))</f>
        <v>2021 2nd Virtual Technical Trial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26.9</v>
      </c>
      <c r="R11" s="61">
        <v>5.2</v>
      </c>
      <c r="S11" s="61">
        <v>0.3</v>
      </c>
      <c r="T11" s="61">
        <v>0</v>
      </c>
      <c r="U11" s="61">
        <v>26.5</v>
      </c>
      <c r="V11" s="61">
        <v>5.2</v>
      </c>
      <c r="W11" s="61">
        <v>0.9</v>
      </c>
      <c r="X11" s="61">
        <v>0</v>
      </c>
      <c r="Y11" s="61">
        <v>27.6</v>
      </c>
      <c r="Z11" s="61">
        <v>4.4000000000000004</v>
      </c>
      <c r="AA11" s="61">
        <v>0.3</v>
      </c>
      <c r="AB11" s="61">
        <v>0</v>
      </c>
      <c r="AC11" s="61">
        <v>27.6</v>
      </c>
      <c r="AD11" s="61">
        <v>3.9</v>
      </c>
      <c r="AE11" s="61">
        <v>0</v>
      </c>
      <c r="AF11" s="61">
        <v>0</v>
      </c>
      <c r="AG11" s="72"/>
      <c r="AH11" s="11">
        <f>IF(SUM(R11,V11)&gt;0,SUM(R11,V11),"")</f>
        <v>10.4</v>
      </c>
      <c r="AI11" s="11">
        <f>IF(SUM(Q11:R11,T11:V11,X11)-SUM(S11,W11)&gt;0,SUM(Q11:R11,T11:V11,X11)-SUM(S11,W11),"")</f>
        <v>62.6</v>
      </c>
      <c r="AJ11" s="11">
        <f>IF(SUM(Z11,AD11)&gt;0,SUM(Z11,AD11),"")</f>
        <v>8.3000000000000007</v>
      </c>
      <c r="AK11" s="11">
        <f>IF(SUM(Y11:Z11,AB11:AD11,AF11)-SUM(AA11,AE11)&gt;0,SUM(Y11:Z11,AB11:AD11,AF11)-SUM(AA11,AE11),"")</f>
        <v>63.2</v>
      </c>
      <c r="AL11" s="11">
        <f>IF(SUM(AI11,AK11)&gt;0,SUM(AI11,AK11),"")</f>
        <v>125.80000000000001</v>
      </c>
      <c r="AM11" s="36">
        <v>27.3</v>
      </c>
      <c r="AN11" s="36">
        <v>5.2</v>
      </c>
      <c r="AO11" s="36">
        <v>0.3</v>
      </c>
      <c r="AP11" s="36">
        <v>0</v>
      </c>
      <c r="AQ11" s="36">
        <v>28.2</v>
      </c>
      <c r="AR11" s="36">
        <v>3.9</v>
      </c>
      <c r="AS11" s="36">
        <v>0</v>
      </c>
      <c r="AT11" s="36">
        <v>0</v>
      </c>
      <c r="AU11" s="36">
        <v>27.2</v>
      </c>
      <c r="AV11" s="36">
        <v>2</v>
      </c>
      <c r="AW11" s="36">
        <v>1</v>
      </c>
      <c r="AX11" s="36">
        <v>0</v>
      </c>
      <c r="AY11" s="36">
        <v>27.9</v>
      </c>
      <c r="AZ11" s="36">
        <v>3.6</v>
      </c>
      <c r="BA11" s="36">
        <v>0</v>
      </c>
      <c r="BB11" s="36">
        <v>0</v>
      </c>
      <c r="BC11" s="73"/>
      <c r="BD11" s="14">
        <f>IF(SUM(AN11,AR11)&gt;0,SUM(AN11,AR11),"")</f>
        <v>9.1</v>
      </c>
      <c r="BE11" s="14">
        <f>IF(SUM(AM11:AN11,AP11:AR11,AT11)-SUM(AO11,AS11)&gt;0,SUM(AM11:AN11,AP11:AR11,AT11)-SUM(AO11,AS11),"")</f>
        <v>64.300000000000011</v>
      </c>
      <c r="BF11" s="14">
        <f>IF(SUM(AV11,AZ11)&gt;0,SUM(AV11,AZ11),"")</f>
        <v>5.6</v>
      </c>
      <c r="BG11" s="14">
        <f>IF(SUM(AU11:AV11,AX11:AZ11,BB11)-SUM(AW11,BA11)&gt;0,SUM(AU11:AV11,AX11:AZ11,BB11)-SUM(AW11,BA11),"")</f>
        <v>59.699999999999996</v>
      </c>
      <c r="BH11" s="14">
        <f>IF(SUM(BE11,BG11)&gt;0,SUM(BE11,BG11),"")</f>
        <v>124</v>
      </c>
      <c r="BI11" s="61">
        <v>27.2</v>
      </c>
      <c r="BJ11" s="61">
        <v>4.4000000000000004</v>
      </c>
      <c r="BK11" s="61">
        <v>0</v>
      </c>
      <c r="BL11" s="61">
        <v>0</v>
      </c>
      <c r="BM11" s="61">
        <v>27.4</v>
      </c>
      <c r="BN11" s="61">
        <v>4</v>
      </c>
      <c r="BO11" s="61">
        <v>0.3</v>
      </c>
      <c r="BP11" s="61">
        <v>0</v>
      </c>
      <c r="BQ11" s="61">
        <v>27.1</v>
      </c>
      <c r="BR11" s="61">
        <v>2.4</v>
      </c>
      <c r="BS11" s="61">
        <v>0.9</v>
      </c>
      <c r="BT11" s="61">
        <v>0</v>
      </c>
      <c r="BU11" s="61">
        <v>27.6</v>
      </c>
      <c r="BV11" s="61">
        <v>3.9</v>
      </c>
      <c r="BW11" s="61">
        <v>0.3</v>
      </c>
      <c r="BX11" s="61">
        <v>0</v>
      </c>
      <c r="BY11" s="72"/>
      <c r="BZ11" s="11">
        <f>IF(SUM(BJ11,BN11)&gt;0,SUM(BJ11,BN11),"")</f>
        <v>8.4</v>
      </c>
      <c r="CA11" s="11">
        <f>IF(SUM(BI11:BJ11,BL11:BN11,BP11)-SUM(BK11,BO11)&gt;0,SUM(BI11:BJ11,BL11:BN11,BP11)-SUM(BK11,BO11),"")</f>
        <v>62.7</v>
      </c>
      <c r="CB11" s="11">
        <f>IF(SUM(BR11,BV11)&gt;0,SUM(BR11,BV11),"")</f>
        <v>6.3</v>
      </c>
      <c r="CC11" s="11">
        <f>IF(SUM(BQ11:BR11,BT11:BV11,BX11)-SUM(BS11,BW11)&gt;0,SUM(BQ11:BR11,BT11:BV11,BX11)-SUM(BS11,BW11),"")</f>
        <v>59.8</v>
      </c>
      <c r="CD11" s="11">
        <f>IF(SUM(CA11,CC11)&gt;0,SUM(CA11,CC11),"")</f>
        <v>122.5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27.25</v>
      </c>
      <c r="LZ11" s="61">
        <f>IF($BY11="P",BJ11,(BJ11+AN11)/2)</f>
        <v>4.8000000000000007</v>
      </c>
      <c r="MA11" s="61">
        <f>IF($BY11="P",BK11,(BK11+AO11)/2)</f>
        <v>0.15</v>
      </c>
      <c r="MB11" s="61">
        <f>IF($BY11="P",BL11,(BL11+AP11)/2)</f>
        <v>0</v>
      </c>
      <c r="MC11" s="61">
        <f>IF($BY11="P",BM11,(BM11+AQ11)/2)</f>
        <v>27.799999999999997</v>
      </c>
      <c r="MD11" s="61">
        <f>IF($BY11="P",BN11,(BN11+AR11)/2)</f>
        <v>3.95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27.15</v>
      </c>
      <c r="MH11" s="61">
        <f>IF($BY11="P",BR11,(BR11+AV11)/2)</f>
        <v>2.2000000000000002</v>
      </c>
      <c r="MI11" s="61">
        <f>IF($BY11="P",BS11,(BS11+AW11)/2)</f>
        <v>0.95</v>
      </c>
      <c r="MJ11" s="61">
        <f>IF($BY11="P",BT11,(BT11+AX11)/2)</f>
        <v>0</v>
      </c>
      <c r="MK11" s="61">
        <f>IF($BY11="P",BU11,(BU11+AY11)/2)</f>
        <v>27.75</v>
      </c>
      <c r="ML11" s="61">
        <f>IF($BY11="P",BV11,(BV11+AZ11)/2)</f>
        <v>3.75</v>
      </c>
      <c r="MM11" s="61">
        <f>IF($BY11="P",BW11,(BW11+BA11)/2)</f>
        <v>0.15</v>
      </c>
      <c r="MN11" s="61">
        <f>IF($BY11="P",BX11,(BX11+BB11)/2)</f>
        <v>0</v>
      </c>
      <c r="MO11" s="72" t="s">
        <v>52</v>
      </c>
      <c r="MP11" s="11">
        <f>IF(SUM(LZ11,MD11)&gt;0,SUM(LZ11,MD11),"")</f>
        <v>8.75</v>
      </c>
      <c r="MQ11" s="11">
        <f>IF(SUM(LY11:LZ11,MB11:MD11,MF11)-SUM(MA11,ME11)&gt;0,SUM(LY11:LZ11,MB11:MD11,MF11)-SUM(MA11,ME11),"")</f>
        <v>63.5</v>
      </c>
      <c r="MR11" s="11">
        <f>IF(SUM(MH11,ML11)&gt;0,SUM(MH11,ML11),"")</f>
        <v>5.95</v>
      </c>
      <c r="MS11" s="11">
        <f>IF(SUM(MG11:MH11,MJ11:ML11,MN11)-SUM(MI11,MM11)&gt;0,SUM(MG11:MH11,MJ11:ML11,MN11)-SUM(MI11,MM11),"")</f>
        <v>59.749999999999993</v>
      </c>
      <c r="MT11" s="11">
        <f>IF(SUM(MQ11,MS11)&gt;0,SUM(MQ11,MS11),"")</f>
        <v>123.25</v>
      </c>
    </row>
    <row r="12" spans="1:358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8" t="s">
        <v>128</v>
      </c>
      <c r="C12" s="4" t="s">
        <v>6</v>
      </c>
      <c r="D12" s="5">
        <v>2004</v>
      </c>
      <c r="E12" s="15">
        <f>SUM(J12:N12)</f>
        <v>189.3</v>
      </c>
      <c r="F12" s="3" t="str">
        <f>IF(OR(AND(AH12&gt;=AL$26,AI12&gt;=AL$30,AI12&lt;&gt;"",AG12=""),AND(BD12&gt;=BH$26,BE12&gt;=BH$30,BE12&lt;&gt;"",BC12=""),AND(BZ12&gt;=CD$26,CA12&gt;=CD$30,CA12&lt;&gt;"",BY12=""),AND(CW12&gt;=DA$26,CX12&gt;=DA$30,CX12&lt;&gt;""),AND(DR12&gt;=DV$26,DS12&gt;=DV$30,DS12&lt;&gt;""),AND(EM12&gt;=EQ$26,EN12&gt;=EQ$30,EN12&lt;&gt;""),AND(FH12&gt;=FL$26,FI12&gt;=FL$30,FI12&lt;&gt;""),AND(GC12&gt;=GG$26,GD12&gt;=GG$30,GD12&lt;&gt;""),AND(GX12&gt;=HB$26,GY12&gt;=HB$30,GY12&lt;&gt;""),AND(HS12&gt;=HW$26,HT12&gt;=HW$30,HT12&lt;&gt;""),AND(IN12&gt;=IR$26,IO12&gt;=IR$30,IO12&lt;&gt;""),AND(JI12&gt;=JM$26,JJ12&gt;=JM$30,JJ12&lt;&gt;""),AND(KD12&gt;=KH$26,KE12&gt;=KH$30,KE12&lt;&gt;""),AND(KY12&gt;=LC$26,KZ12&gt;=LC$30,KZ12&lt;&gt;""),AND(LT12&gt;=LX$26,LU12&gt;=LX$30,LU12&lt;&gt;"")),"P","")</f>
        <v/>
      </c>
      <c r="G12" s="3" t="str">
        <f>IF(OR(AND(AI12&gt;=AL$30,AI12&lt;&gt;"",AG12=""),AND(BE12&gt;=BH$30,BE12&lt;&gt;"",BC12=""),AND(CA12&gt;=CD$30,CA12&lt;&gt;"",BY12=""),AND(CX12&gt;=DA$30,CX12&lt;&gt;""),AND(DS12&gt;=DV$30,DS12&lt;&gt;""),AND(EN12&gt;=EQ$30,EN12&lt;&gt;""),AND(FI12&gt;=FL$30,FI12&lt;&gt;""),AND(GD12&gt;=GG$30,GD12&lt;&gt;""),AND(GY12&gt;=HB$30,GY12&lt;&gt;""),AND(HT12&gt;=HW$30,HT12&lt;&gt;""),AND(IO12&gt;=IR$30,IO12&lt;&gt;""),AND(JJ12&gt;=JM$30,JJ12&lt;&gt;""),AND(KE12&gt;=KH$30,KE12&lt;&gt;""),AND(KZ12&gt;=LC$30,KZ12&lt;&gt;""),AND(LU12&gt;=LX$30,LU12&lt;&gt;"")),"P","")</f>
        <v/>
      </c>
      <c r="H12" s="116" t="str">
        <f>IF(AND(G12="P",F12=""),"No DD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Merit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Excellence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Worlds Team",IF(OR(AND(AH12&gt;=AL$26,AH12&lt;&gt;"",AI12&gt;=AL$30,AI12&lt;&gt;"",AG12=""),AND(BD12&gt;=BH$26,BD12&lt;&gt;"",BE12&gt;=BH$30,BE12&lt;&gt;"",BC12=""),AND(BZ12&gt;=CD$26,BZ12&lt;&gt;"",CA12&gt;=CD$30,CA12&lt;&gt;"",BY12=""),AND(CW12&gt;=DA$26,CW12&lt;&gt;"",CX12&gt;=DA$30,CX12&lt;&gt;""),AND(DR12&gt;=DV$26,DR12&lt;&gt;"",DS12&gt;=DV$30,DS12&lt;&gt;""),AND(EM12&gt;=EQ$26,EM12&lt;&gt;"",EN12&gt;=EQ$30,EN12&lt;&gt;""),AND(FH12&gt;=FL$26,FH12&lt;&gt;"",FI12&gt;=FL$30,FI12&lt;&gt;""),AND(GC12&gt;=GG$26,GC12&lt;&gt;"",GD12&gt;=GG$30,GD12&lt;&gt;""),AND(GX12&gt;=HB$26,GX12&lt;&gt;"",GY12&gt;=HB$30,GY12&lt;&gt;""),AND(HS12&gt;=HW$26,HS12&lt;&gt;"",HT12&gt;=HW$30,HT12&lt;&gt;""),AND(IN12&gt;=IR$26,IN12&lt;&gt;"",IO12&gt;=IR$30,IO12&lt;&gt;""),AND(JI12&gt;=JM$26,JI12&lt;&gt;"",JJ12&gt;=JM$30,JJ12&lt;&gt;""),AND(KD12&gt;=KH$26,KD12&lt;&gt;"",KE12&gt;=KH$30,KE12&lt;&gt;""),AND(KY12&gt;=LC$26,KY12&lt;&gt;"",KZ12&gt;=LC$30,KZ12&lt;&gt;""),AND(LT12&gt;=LX$26,LT12&lt;&gt;"",LU12&gt;=LX$30,LU12&lt;&gt;"")),"National Team","")))))</f>
        <v/>
      </c>
      <c r="I12" s="3" t="str">
        <f>IF(OR(H12="Worlds Team",H12="Excellence",H12="Merit"),"P","")</f>
        <v/>
      </c>
      <c r="J12" s="14">
        <f>MAX(AI12,BE12,CA12)</f>
        <v>63.400000000000006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125.9</v>
      </c>
      <c r="M12" s="14" t="str">
        <f>IF(L12=0,"",IF(AND(J12&lt;&gt;CA12,L12=CD12),$BI$1,IF(AND(J12&lt;&gt;BE12,L12=BH12),$AM$1,IF(L12=AL12,$Q$1,""))))</f>
        <v>2021 Elite Canada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72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6">
        <v>27.6</v>
      </c>
      <c r="AN12" s="36">
        <v>3.2</v>
      </c>
      <c r="AO12" s="36">
        <v>0</v>
      </c>
      <c r="AP12" s="36">
        <v>0</v>
      </c>
      <c r="AQ12" s="36">
        <v>28.7</v>
      </c>
      <c r="AR12" s="36">
        <v>3.5</v>
      </c>
      <c r="AS12" s="36">
        <v>0</v>
      </c>
      <c r="AT12" s="36">
        <v>0</v>
      </c>
      <c r="AU12" s="36">
        <v>28.1</v>
      </c>
      <c r="AV12" s="36">
        <v>3.1</v>
      </c>
      <c r="AW12" s="36">
        <v>0</v>
      </c>
      <c r="AX12" s="36">
        <v>0</v>
      </c>
      <c r="AY12" s="36">
        <v>28.3</v>
      </c>
      <c r="AZ12" s="36">
        <v>3.4</v>
      </c>
      <c r="BA12" s="36">
        <v>0</v>
      </c>
      <c r="BB12" s="36">
        <v>0</v>
      </c>
      <c r="BC12" s="73"/>
      <c r="BD12" s="14">
        <f>IF(SUM(AN12,AR12)&gt;0,SUM(AN12,AR12),"")</f>
        <v>6.7</v>
      </c>
      <c r="BE12" s="14">
        <f>IF(SUM(AM12:AN12,AP12:AR12,AT12)-SUM(AO12,AS12)&gt;0,SUM(AM12:AN12,AP12:AR12,AT12)-SUM(AO12,AS12),"")</f>
        <v>63</v>
      </c>
      <c r="BF12" s="14">
        <f>IF(SUM(AV12,AZ12)&gt;0,SUM(AV12,AZ12),"")</f>
        <v>6.5</v>
      </c>
      <c r="BG12" s="14">
        <f>IF(SUM(AU12:AV12,AX12:AZ12,BB12)-SUM(AW12,BA12)&gt;0,SUM(AU12:AV12,AX12:AZ12,BB12)-SUM(AW12,BA12),"")</f>
        <v>62.9</v>
      </c>
      <c r="BH12" s="14">
        <f>IF(SUM(BE12,BG12)&gt;0,SUM(BE12,BG12),"")</f>
        <v>125.9</v>
      </c>
      <c r="BI12" s="61">
        <v>28.1</v>
      </c>
      <c r="BJ12" s="61">
        <v>3.5</v>
      </c>
      <c r="BK12" s="61">
        <v>0</v>
      </c>
      <c r="BL12" s="61">
        <v>0</v>
      </c>
      <c r="BM12" s="61">
        <v>28.1</v>
      </c>
      <c r="BN12" s="61">
        <v>3.7</v>
      </c>
      <c r="BO12" s="61">
        <v>0</v>
      </c>
      <c r="BP12" s="61">
        <v>0</v>
      </c>
      <c r="BQ12" s="61">
        <v>27.7</v>
      </c>
      <c r="BR12" s="61">
        <v>3.6</v>
      </c>
      <c r="BS12" s="61">
        <v>0</v>
      </c>
      <c r="BT12" s="61">
        <v>0</v>
      </c>
      <c r="BU12" s="61">
        <v>19.8</v>
      </c>
      <c r="BV12" s="61">
        <v>2.4</v>
      </c>
      <c r="BW12" s="61">
        <v>0</v>
      </c>
      <c r="BX12" s="61">
        <v>0</v>
      </c>
      <c r="BY12" s="72"/>
      <c r="BZ12" s="11">
        <f>IF(SUM(BJ12,BN12)&gt;0,SUM(BJ12,BN12),"")</f>
        <v>7.2</v>
      </c>
      <c r="CA12" s="11">
        <f>IF(SUM(BI12:BJ12,BL12:BN12,BP12)-SUM(BK12,BO12)&gt;0,SUM(BI12:BJ12,BL12:BN12,BP12)-SUM(BK12,BO12),"")</f>
        <v>63.400000000000006</v>
      </c>
      <c r="CB12" s="11">
        <f>IF(SUM(BR12,BV12)&gt;0,SUM(BR12,BV12),"")</f>
        <v>6</v>
      </c>
      <c r="CC12" s="11">
        <f>IF(SUM(BQ12:BR12,BT12:BV12,BX12)-SUM(BS12,BW12)&gt;0,SUM(BQ12:BR12,BT12:BV12,BX12)-SUM(BS12,BW12),"")</f>
        <v>53.5</v>
      </c>
      <c r="CD12" s="11">
        <f>IF(SUM(CA12,CC12)&gt;0,SUM(CA12,CC12),"")</f>
        <v>116.9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27.85</v>
      </c>
      <c r="LZ12" s="61">
        <f>IF($BY12="P",BJ12,(BJ12+AN12)/2)</f>
        <v>3.35</v>
      </c>
      <c r="MA12" s="61">
        <f>IF($BY12="P",BK12,(BK12+AO12)/2)</f>
        <v>0</v>
      </c>
      <c r="MB12" s="61">
        <f>IF($BY12="P",BL12,(BL12+AP12)/2)</f>
        <v>0</v>
      </c>
      <c r="MC12" s="61">
        <f>IF($BY12="P",BM12,(BM12+AQ12)/2)</f>
        <v>28.4</v>
      </c>
      <c r="MD12" s="61">
        <f>IF($BY12="P",BN12,(BN12+AR12)/2)</f>
        <v>3.6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27.9</v>
      </c>
      <c r="MH12" s="61">
        <f>IF($BY12="P",BR12,(BR12+AV12)/2)</f>
        <v>3.35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24.05</v>
      </c>
      <c r="ML12" s="61">
        <f>IF($BY12="P",BV12,(BV12+AZ12)/2)</f>
        <v>2.9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6.95</v>
      </c>
      <c r="MQ12" s="11">
        <f>IF(SUM(LY12:LZ12,MB12:MD12,MF12)-SUM(MA12,ME12)&gt;0,SUM(LY12:LZ12,MB12:MD12,MF12)-SUM(MA12,ME12),"")</f>
        <v>63.2</v>
      </c>
      <c r="MR12" s="11">
        <f>IF(SUM(MH12,ML12)&gt;0,SUM(MH12,ML12),"")</f>
        <v>6.25</v>
      </c>
      <c r="MS12" s="11">
        <f>IF(SUM(MG12:MH12,MJ12:ML12,MN12)-SUM(MI12,MM12)&gt;0,SUM(MG12:MH12,MJ12:ML12,MN12)-SUM(MI12,MM12),"")</f>
        <v>58.199999999999996</v>
      </c>
      <c r="MT12" s="11">
        <f>IF(SUM(MQ12,MS12)&gt;0,SUM(MQ12,MS12),"")</f>
        <v>121.4</v>
      </c>
    </row>
    <row r="13" spans="1:358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8" t="s">
        <v>144</v>
      </c>
      <c r="C13" s="4" t="s">
        <v>6</v>
      </c>
      <c r="D13" s="5">
        <v>2003</v>
      </c>
      <c r="E13" s="15">
        <f>SUM(J13:N13)</f>
        <v>186.9</v>
      </c>
      <c r="F13" s="3" t="str">
        <f>IF(OR(AND(AH13&gt;=AL$26,AI13&gt;=AL$30,AI13&lt;&gt;"",AG13=""),AND(BD13&gt;=BH$26,BE13&gt;=BH$30,BE13&lt;&gt;"",BC13=""),AND(BZ13&gt;=CD$26,CA13&gt;=CD$30,CA13&lt;&gt;"",BY13=""),AND(CW13&gt;=DA$26,CX13&gt;=DA$30,CX13&lt;&gt;""),AND(DR13&gt;=DV$26,DS13&gt;=DV$30,DS13&lt;&gt;""),AND(EM13&gt;=EQ$26,EN13&gt;=EQ$30,EN13&lt;&gt;""),AND(FH13&gt;=FL$26,FI13&gt;=FL$30,FI13&lt;&gt;""),AND(GC13&gt;=GG$26,GD13&gt;=GG$30,GD13&lt;&gt;""),AND(GX13&gt;=HB$26,GY13&gt;=HB$30,GY13&lt;&gt;""),AND(HS13&gt;=HW$26,HT13&gt;=HW$30,HT13&lt;&gt;""),AND(IN13&gt;=IR$26,IO13&gt;=IR$30,IO13&lt;&gt;""),AND(JI13&gt;=JM$26,JJ13&gt;=JM$30,JJ13&lt;&gt;""),AND(KD13&gt;=KH$26,KE13&gt;=KH$30,KE13&lt;&gt;""),AND(KY13&gt;=LC$26,KZ13&gt;=LC$30,KZ13&lt;&gt;""),AND(LT13&gt;=LX$26,LU13&gt;=LX$30,LU13&lt;&gt;"")),"P","")</f>
        <v/>
      </c>
      <c r="G13" s="3" t="str">
        <f>IF(OR(AND(AI13&gt;=AL$30,AI13&lt;&gt;"",AG13=""),AND(BE13&gt;=BH$30,BE13&lt;&gt;"",BC13=""),AND(CA13&gt;=CD$30,CA13&lt;&gt;"",BY13=""),AND(CX13&gt;=DA$30,CX13&lt;&gt;""),AND(DS13&gt;=DV$30,DS13&lt;&gt;""),AND(EN13&gt;=EQ$30,EN13&lt;&gt;""),AND(FI13&gt;=FL$30,FI13&lt;&gt;""),AND(GD13&gt;=GG$30,GD13&lt;&gt;""),AND(GY13&gt;=HB$30,GY13&lt;&gt;""),AND(HT13&gt;=HW$30,HT13&lt;&gt;""),AND(IO13&gt;=IR$30,IO13&lt;&gt;""),AND(JJ13&gt;=JM$30,JJ13&lt;&gt;""),AND(KE13&gt;=KH$30,KE13&lt;&gt;""),AND(KZ13&gt;=LC$30,KZ13&lt;&gt;""),AND(LU13&gt;=LX$30,LU13&lt;&gt;"")),"P","")</f>
        <v/>
      </c>
      <c r="H13" s="116" t="str">
        <f>IF(AND(G13="P",F13=""),"No DD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Merit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Excellence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Worlds Team",IF(OR(AND(AH13&gt;=AL$26,AH13&lt;&gt;"",AI13&gt;=AL$30,AI13&lt;&gt;"",AG13=""),AND(BD13&gt;=BH$26,BD13&lt;&gt;"",BE13&gt;=BH$30,BE13&lt;&gt;"",BC13=""),AND(BZ13&gt;=CD$26,BZ13&lt;&gt;"",CA13&gt;=CD$30,CA13&lt;&gt;"",BY13=""),AND(CW13&gt;=DA$26,CW13&lt;&gt;"",CX13&gt;=DA$30,CX13&lt;&gt;""),AND(DR13&gt;=DV$26,DR13&lt;&gt;"",DS13&gt;=DV$30,DS13&lt;&gt;""),AND(EM13&gt;=EQ$26,EM13&lt;&gt;"",EN13&gt;=EQ$30,EN13&lt;&gt;""),AND(FH13&gt;=FL$26,FH13&lt;&gt;"",FI13&gt;=FL$30,FI13&lt;&gt;""),AND(GC13&gt;=GG$26,GC13&lt;&gt;"",GD13&gt;=GG$30,GD13&lt;&gt;""),AND(GX13&gt;=HB$26,GX13&lt;&gt;"",GY13&gt;=HB$30,GY13&lt;&gt;""),AND(HS13&gt;=HW$26,HS13&lt;&gt;"",HT13&gt;=HW$30,HT13&lt;&gt;""),AND(IN13&gt;=IR$26,IN13&lt;&gt;"",IO13&gt;=IR$30,IO13&lt;&gt;""),AND(JI13&gt;=JM$26,JI13&lt;&gt;"",JJ13&gt;=JM$30,JJ13&lt;&gt;""),AND(KD13&gt;=KH$26,KD13&lt;&gt;"",KE13&gt;=KH$30,KE13&lt;&gt;""),AND(KY13&gt;=LC$26,KY13&lt;&gt;"",KZ13&gt;=LC$30,KZ13&lt;&gt;""),AND(LT13&gt;=LX$26,LT13&lt;&gt;"",LU13&gt;=LX$30,LU13&lt;&gt;"")),"National Team","")))))</f>
        <v/>
      </c>
      <c r="I13" s="3" t="str">
        <f>IF(OR(H13="Worlds Team",H13="Excellence",H13="Merit"),"P","")</f>
        <v/>
      </c>
      <c r="J13" s="14">
        <f>MAX(AI13,BE13,CA13)</f>
        <v>62.4</v>
      </c>
      <c r="K13" s="14" t="str">
        <f>IF(J13=0,"",IF(J13=CA13,$BI$1,IF(J13=BE13,$AM$1,IF(J13=AI13,$Q$1,""))))</f>
        <v>2021 Elite Canada</v>
      </c>
      <c r="L13" s="14">
        <f>IF(J13=AI13,MAX(BH13,CD13),IF(J13=BE13,MAX(AL13,CD13),MAX(AL13,BH13)))</f>
        <v>124.50000000000001</v>
      </c>
      <c r="M13" s="14" t="str">
        <f>IF(L13=0,"",IF(AND(J13&lt;&gt;CA13,L13=CD13),$BI$1,IF(AND(J13&lt;&gt;BE13,L13=BH13),$AM$1,IF(L13=AL13,$Q$1,""))))</f>
        <v>2021 Canadian Championships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>
        <v>28</v>
      </c>
      <c r="AN13" s="36">
        <v>3.2</v>
      </c>
      <c r="AO13" s="36">
        <v>0.3</v>
      </c>
      <c r="AP13" s="36">
        <v>0</v>
      </c>
      <c r="AQ13" s="36">
        <v>28.1</v>
      </c>
      <c r="AR13" s="36">
        <v>3.4</v>
      </c>
      <c r="AS13" s="36">
        <v>0</v>
      </c>
      <c r="AT13" s="36">
        <v>0</v>
      </c>
      <c r="AU13" s="36">
        <v>28.2</v>
      </c>
      <c r="AV13" s="36">
        <v>3.5</v>
      </c>
      <c r="AW13" s="36">
        <v>0.3</v>
      </c>
      <c r="AX13" s="36">
        <v>0</v>
      </c>
      <c r="AY13" s="36">
        <v>20.100000000000001</v>
      </c>
      <c r="AZ13" s="36">
        <v>0.9</v>
      </c>
      <c r="BA13" s="36">
        <v>0</v>
      </c>
      <c r="BB13" s="36">
        <v>0</v>
      </c>
      <c r="BC13" s="73"/>
      <c r="BD13" s="14">
        <f>IF(SUM(AN13,AR13)&gt;0,SUM(AN13,AR13),"")</f>
        <v>6.6</v>
      </c>
      <c r="BE13" s="14">
        <f>IF(SUM(AM13:AN13,AP13:AR13,AT13)-SUM(AO13,AS13)&gt;0,SUM(AM13:AN13,AP13:AR13,AT13)-SUM(AO13,AS13),"")</f>
        <v>62.4</v>
      </c>
      <c r="BF13" s="14">
        <f>IF(SUM(AV13,AZ13)&gt;0,SUM(AV13,AZ13),"")</f>
        <v>4.4000000000000004</v>
      </c>
      <c r="BG13" s="14">
        <f>IF(SUM(AU13:AV13,AX13:AZ13,BB13)-SUM(AW13,BA13)&gt;0,SUM(AU13:AV13,AX13:AZ13,BB13)-SUM(AW13,BA13),"")</f>
        <v>52.4</v>
      </c>
      <c r="BH13" s="14">
        <f>IF(SUM(BE13,BG13)&gt;0,SUM(BE13,BG13),"")</f>
        <v>114.8</v>
      </c>
      <c r="BI13" s="61">
        <v>28.3</v>
      </c>
      <c r="BJ13" s="61">
        <v>3.4</v>
      </c>
      <c r="BK13" s="61">
        <v>0.9</v>
      </c>
      <c r="BL13" s="61">
        <v>0</v>
      </c>
      <c r="BM13" s="61">
        <v>28</v>
      </c>
      <c r="BN13" s="61">
        <v>3.2</v>
      </c>
      <c r="BO13" s="61">
        <v>0.9</v>
      </c>
      <c r="BP13" s="61">
        <v>0</v>
      </c>
      <c r="BQ13" s="61">
        <v>28.4</v>
      </c>
      <c r="BR13" s="61">
        <v>3.5</v>
      </c>
      <c r="BS13" s="61">
        <v>0</v>
      </c>
      <c r="BT13" s="61">
        <v>0</v>
      </c>
      <c r="BU13" s="61">
        <v>28.3</v>
      </c>
      <c r="BV13" s="61">
        <v>3.5</v>
      </c>
      <c r="BW13" s="61">
        <v>0.3</v>
      </c>
      <c r="BX13" s="61">
        <v>0</v>
      </c>
      <c r="BY13" s="72"/>
      <c r="BZ13" s="11">
        <f>IF(SUM(BJ13,BN13)&gt;0,SUM(BJ13,BN13),"")</f>
        <v>6.6</v>
      </c>
      <c r="CA13" s="11">
        <f>IF(SUM(BI13:BJ13,BL13:BN13,BP13)-SUM(BK13,BO13)&gt;0,SUM(BI13:BJ13,BL13:BN13,BP13)-SUM(BK13,BO13),"")</f>
        <v>61.100000000000009</v>
      </c>
      <c r="CB13" s="11">
        <f>IF(SUM(BR13,BV13)&gt;0,SUM(BR13,BV13),"")</f>
        <v>7</v>
      </c>
      <c r="CC13" s="11">
        <f>IF(SUM(BQ13:BR13,BT13:BV13,BX13)-SUM(BS13,BW13)&gt;0,SUM(BQ13:BR13,BT13:BV13,BX13)-SUM(BS13,BW13),"")</f>
        <v>63.400000000000006</v>
      </c>
      <c r="CD13" s="11">
        <f>IF(SUM(CA13,CC13)&gt;0,SUM(CA13,CC13),"")</f>
        <v>124.50000000000001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28.15</v>
      </c>
      <c r="LZ13" s="61">
        <f>IF($BY13="P",BJ13,(BJ13+AN13)/2)</f>
        <v>3.3</v>
      </c>
      <c r="MA13" s="61">
        <f>IF($BY13="P",BK13,(BK13+AO13)/2)</f>
        <v>0.6</v>
      </c>
      <c r="MB13" s="61">
        <f>IF($BY13="P",BL13,(BL13+AP13)/2)</f>
        <v>0</v>
      </c>
      <c r="MC13" s="61">
        <f>IF($BY13="P",BM13,(BM13+AQ13)/2)</f>
        <v>28.05</v>
      </c>
      <c r="MD13" s="61">
        <f>IF($BY13="P",BN13,(BN13+AR13)/2)</f>
        <v>3.3</v>
      </c>
      <c r="ME13" s="61">
        <f>IF($BY13="P",BO13,(BO13+AS13)/2)</f>
        <v>0.45</v>
      </c>
      <c r="MF13" s="61">
        <f>IF($BY13="P",BP13,(BP13+AT13)/2)</f>
        <v>0</v>
      </c>
      <c r="MG13" s="61">
        <f>IF($BY13="P",BQ13,(BQ13+AU13)/2)</f>
        <v>28.299999999999997</v>
      </c>
      <c r="MH13" s="61">
        <f>IF($BY13="P",BR13,(BR13+AV13)/2)</f>
        <v>3.5</v>
      </c>
      <c r="MI13" s="61">
        <f>IF($BY13="P",BS13,(BS13+AW13)/2)</f>
        <v>0.15</v>
      </c>
      <c r="MJ13" s="61">
        <f>IF($BY13="P",BT13,(BT13+AX13)/2)</f>
        <v>0</v>
      </c>
      <c r="MK13" s="61">
        <f>IF($BY13="P",BU13,(BU13+AY13)/2)</f>
        <v>24.200000000000003</v>
      </c>
      <c r="ML13" s="61">
        <f>IF($BY13="P",BV13,(BV13+AZ13)/2)</f>
        <v>2.2000000000000002</v>
      </c>
      <c r="MM13" s="61">
        <f>IF($BY13="P",BW13,(BW13+BA13)/2)</f>
        <v>0.15</v>
      </c>
      <c r="MN13" s="61">
        <f>IF($BY13="P",BX13,(BX13+BB13)/2)</f>
        <v>0</v>
      </c>
      <c r="MO13" s="72" t="s">
        <v>52</v>
      </c>
      <c r="MP13" s="11">
        <f>IF(SUM(LZ13,MD13)&gt;0,SUM(LZ13,MD13),"")</f>
        <v>6.6</v>
      </c>
      <c r="MQ13" s="11">
        <f>IF(SUM(LY13:LZ13,MB13:MD13,MF13)-SUM(MA13,ME13)&gt;0,SUM(LY13:LZ13,MB13:MD13,MF13)-SUM(MA13,ME13),"")</f>
        <v>61.75</v>
      </c>
      <c r="MR13" s="11">
        <f>IF(SUM(MH13,ML13)&gt;0,SUM(MH13,ML13),"")</f>
        <v>5.7</v>
      </c>
      <c r="MS13" s="11">
        <f>IF(SUM(MG13:MH13,MJ13:ML13,MN13)-SUM(MI13,MM13)&gt;0,SUM(MG13:MH13,MJ13:ML13,MN13)-SUM(MI13,MM13),"")</f>
        <v>57.900000000000006</v>
      </c>
      <c r="MT13" s="11">
        <f>IF(SUM(MQ13,MS13)&gt;0,SUM(MQ13,MS13),"")</f>
        <v>119.65</v>
      </c>
    </row>
    <row r="14" spans="1:358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8" t="s">
        <v>151</v>
      </c>
      <c r="C14" s="4" t="s">
        <v>95</v>
      </c>
      <c r="D14" s="5">
        <v>2003</v>
      </c>
      <c r="E14" s="15">
        <f>SUM(J14:N14)</f>
        <v>182.9</v>
      </c>
      <c r="F14" s="3" t="str">
        <f>IF(OR(AND(AH14&gt;=AL$26,AI14&gt;=AL$30,AI14&lt;&gt;"",AG14=""),AND(BD14&gt;=BH$26,BE14&gt;=BH$30,BE14&lt;&gt;"",BC14=""),AND(BZ14&gt;=CD$26,CA14&gt;=CD$30,CA14&lt;&gt;"",BY14=""),AND(CW14&gt;=DA$26,CX14&gt;=DA$30,CX14&lt;&gt;""),AND(DR14&gt;=DV$26,DS14&gt;=DV$30,DS14&lt;&gt;""),AND(EM14&gt;=EQ$26,EN14&gt;=EQ$30,EN14&lt;&gt;""),AND(FH14&gt;=FL$26,FI14&gt;=FL$30,FI14&lt;&gt;""),AND(GC14&gt;=GG$26,GD14&gt;=GG$30,GD14&lt;&gt;""),AND(GX14&gt;=HB$26,GY14&gt;=HB$30,GY14&lt;&gt;""),AND(HS14&gt;=HW$26,HT14&gt;=HW$30,HT14&lt;&gt;""),AND(IN14&gt;=IR$26,IO14&gt;=IR$30,IO14&lt;&gt;""),AND(JI14&gt;=JM$26,JJ14&gt;=JM$30,JJ14&lt;&gt;""),AND(KD14&gt;=KH$26,KE14&gt;=KH$30,KE14&lt;&gt;""),AND(KY14&gt;=LC$26,KZ14&gt;=LC$30,KZ14&lt;&gt;""),AND(LT14&gt;=LX$26,LU14&gt;=LX$30,LU14&lt;&gt;"")),"P","")</f>
        <v/>
      </c>
      <c r="G14" s="3" t="str">
        <f>IF(OR(AND(AI14&gt;=AL$30,AI14&lt;&gt;"",AG14=""),AND(BE14&gt;=BH$30,BE14&lt;&gt;"",BC14=""),AND(CA14&gt;=CD$30,CA14&lt;&gt;"",BY14=""),AND(CX14&gt;=DA$30,CX14&lt;&gt;""),AND(DS14&gt;=DV$30,DS14&lt;&gt;""),AND(EN14&gt;=EQ$30,EN14&lt;&gt;""),AND(FI14&gt;=FL$30,FI14&lt;&gt;""),AND(GD14&gt;=GG$30,GD14&lt;&gt;""),AND(GY14&gt;=HB$30,GY14&lt;&gt;""),AND(HT14&gt;=HW$30,HT14&lt;&gt;""),AND(IO14&gt;=IR$30,IO14&lt;&gt;""),AND(JJ14&gt;=JM$30,JJ14&lt;&gt;""),AND(KE14&gt;=KH$30,KE14&lt;&gt;""),AND(KZ14&gt;=LC$30,KZ14&lt;&gt;""),AND(LU14&gt;=LX$30,LU14&lt;&gt;"")),"P","")</f>
        <v/>
      </c>
      <c r="H14" s="116" t="str">
        <f>IF(AND(G14="P",F14=""),"No DD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Merit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Excellence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Worlds Team",IF(OR(AND(AH14&gt;=AL$26,AH14&lt;&gt;"",AI14&gt;=AL$30,AI14&lt;&gt;"",AG14=""),AND(BD14&gt;=BH$26,BD14&lt;&gt;"",BE14&gt;=BH$30,BE14&lt;&gt;"",BC14=""),AND(BZ14&gt;=CD$26,BZ14&lt;&gt;"",CA14&gt;=CD$30,CA14&lt;&gt;"",BY14=""),AND(CW14&gt;=DA$26,CW14&lt;&gt;"",CX14&gt;=DA$30,CX14&lt;&gt;""),AND(DR14&gt;=DV$26,DR14&lt;&gt;"",DS14&gt;=DV$30,DS14&lt;&gt;""),AND(EM14&gt;=EQ$26,EM14&lt;&gt;"",EN14&gt;=EQ$30,EN14&lt;&gt;""),AND(FH14&gt;=FL$26,FH14&lt;&gt;"",FI14&gt;=FL$30,FI14&lt;&gt;""),AND(GC14&gt;=GG$26,GC14&lt;&gt;"",GD14&gt;=GG$30,GD14&lt;&gt;""),AND(GX14&gt;=HB$26,GX14&lt;&gt;"",GY14&gt;=HB$30,GY14&lt;&gt;""),AND(HS14&gt;=HW$26,HS14&lt;&gt;"",HT14&gt;=HW$30,HT14&lt;&gt;""),AND(IN14&gt;=IR$26,IN14&lt;&gt;"",IO14&gt;=IR$30,IO14&lt;&gt;""),AND(JI14&gt;=JM$26,JI14&lt;&gt;"",JJ14&gt;=JM$30,JJ14&lt;&gt;""),AND(KD14&gt;=KH$26,KD14&lt;&gt;"",KE14&gt;=KH$30,KE14&lt;&gt;""),AND(KY14&gt;=LC$26,KY14&lt;&gt;"",KZ14&gt;=LC$30,KZ14&lt;&gt;""),AND(LT14&gt;=LX$26,LT14&lt;&gt;"",LU14&gt;=LX$30,LU14&lt;&gt;"")),"National Team","")))))</f>
        <v/>
      </c>
      <c r="I14" s="3" t="str">
        <f>IF(OR(H14="Worlds Team",H14="Excellence",H14="Merit"),"P","")</f>
        <v/>
      </c>
      <c r="J14" s="14">
        <f>MAX(AI14,BE14,CA14)</f>
        <v>61.9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121</v>
      </c>
      <c r="M14" s="14" t="str">
        <f>IF(L14=0,"",IF(AND(J14&lt;&gt;CA14,L14=CD14),$BI$1,IF(AND(J14&lt;&gt;BE14,L14=BH14),$AM$1,IF(L14=AL14,$Q$1,""))))</f>
        <v>2021 Elite Canada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25.2</v>
      </c>
      <c r="AN14" s="36">
        <v>3.2</v>
      </c>
      <c r="AO14" s="36">
        <v>0.3</v>
      </c>
      <c r="AP14" s="36">
        <v>0</v>
      </c>
      <c r="AQ14" s="36">
        <v>28</v>
      </c>
      <c r="AR14" s="36">
        <v>3.1</v>
      </c>
      <c r="AS14" s="36">
        <v>0</v>
      </c>
      <c r="AT14" s="36">
        <v>0</v>
      </c>
      <c r="AU14" s="36">
        <v>27.5</v>
      </c>
      <c r="AV14" s="36">
        <v>3.3</v>
      </c>
      <c r="AW14" s="36">
        <v>0</v>
      </c>
      <c r="AX14" s="36">
        <v>0</v>
      </c>
      <c r="AY14" s="36">
        <v>27.6</v>
      </c>
      <c r="AZ14" s="36">
        <v>3.4</v>
      </c>
      <c r="BA14" s="36">
        <v>0</v>
      </c>
      <c r="BB14" s="36">
        <v>0</v>
      </c>
      <c r="BC14" s="73"/>
      <c r="BD14" s="14">
        <f>IF(SUM(AN14,AR14)&gt;0,SUM(AN14,AR14),"")</f>
        <v>6.3000000000000007</v>
      </c>
      <c r="BE14" s="14">
        <f>IF(SUM(AM14:AN14,AP14:AR14,AT14)-SUM(AO14,AS14)&gt;0,SUM(AM14:AN14,AP14:AR14,AT14)-SUM(AO14,AS14),"")</f>
        <v>59.2</v>
      </c>
      <c r="BF14" s="14">
        <f>IF(SUM(AV14,AZ14)&gt;0,SUM(AV14,AZ14),"")</f>
        <v>6.6999999999999993</v>
      </c>
      <c r="BG14" s="14">
        <f>IF(SUM(AU14:AV14,AX14:AZ14,BB14)-SUM(AW14,BA14)&gt;0,SUM(AU14:AV14,AX14:AZ14,BB14)-SUM(AW14,BA14),"")</f>
        <v>61.800000000000004</v>
      </c>
      <c r="BH14" s="14">
        <f>IF(SUM(BE14,BG14)&gt;0,SUM(BE14,BG14),"")</f>
        <v>121</v>
      </c>
      <c r="BI14" s="61">
        <v>27.9</v>
      </c>
      <c r="BJ14" s="61">
        <v>3.6</v>
      </c>
      <c r="BK14" s="61">
        <v>0</v>
      </c>
      <c r="BL14" s="61">
        <v>0</v>
      </c>
      <c r="BM14" s="61">
        <v>28</v>
      </c>
      <c r="BN14" s="61">
        <v>3.3</v>
      </c>
      <c r="BO14" s="61">
        <v>0.9</v>
      </c>
      <c r="BP14" s="61">
        <v>0</v>
      </c>
      <c r="BQ14" s="61">
        <v>27.9</v>
      </c>
      <c r="BR14" s="61">
        <v>3.4</v>
      </c>
      <c r="BS14" s="61">
        <v>0</v>
      </c>
      <c r="BT14" s="61">
        <v>0</v>
      </c>
      <c r="BU14" s="61">
        <v>27.5</v>
      </c>
      <c r="BV14" s="61">
        <v>4.4000000000000004</v>
      </c>
      <c r="BW14" s="61">
        <v>0.3</v>
      </c>
      <c r="BX14" s="61">
        <v>0</v>
      </c>
      <c r="BY14" s="72"/>
      <c r="BZ14" s="11">
        <f>IF(SUM(BJ14,BN14)&gt;0,SUM(BJ14,BN14),"")</f>
        <v>6.9</v>
      </c>
      <c r="CA14" s="11">
        <f>IF(SUM(BI14:BJ14,BL14:BN14,BP14)-SUM(BK14,BO14)&gt;0,SUM(BI14:BJ14,BL14:BN14,BP14)-SUM(BK14,BO14),"")</f>
        <v>61.9</v>
      </c>
      <c r="CB14" s="11">
        <f>IF(SUM(BR14,BV14)&gt;0,SUM(BR14,BV14),"")</f>
        <v>7.8000000000000007</v>
      </c>
      <c r="CC14" s="11">
        <f>IF(SUM(BQ14:BR14,BT14:BV14,BX14)-SUM(BS14,BW14)&gt;0,SUM(BQ14:BR14,BT14:BV14,BX14)-SUM(BS14,BW14),"")</f>
        <v>62.9</v>
      </c>
      <c r="CD14" s="11">
        <f>IF(SUM(CA14,CC14)&gt;0,SUM(CA14,CC14),"")</f>
        <v>124.8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26.549999999999997</v>
      </c>
      <c r="LZ14" s="61">
        <f>IF($BY14="P",BJ14,(BJ14+AN14)/2)</f>
        <v>3.4000000000000004</v>
      </c>
      <c r="MA14" s="61">
        <f>IF($BY14="P",BK14,(BK14+AO14)/2)</f>
        <v>0.15</v>
      </c>
      <c r="MB14" s="61">
        <f>IF($BY14="P",BL14,(BL14+AP14)/2)</f>
        <v>0</v>
      </c>
      <c r="MC14" s="61">
        <f>IF($BY14="P",BM14,(BM14+AQ14)/2)</f>
        <v>28</v>
      </c>
      <c r="MD14" s="61">
        <f>IF($BY14="P",BN14,(BN14+AR14)/2)</f>
        <v>3.2</v>
      </c>
      <c r="ME14" s="61">
        <f>IF($BY14="P",BO14,(BO14+AS14)/2)</f>
        <v>0.45</v>
      </c>
      <c r="MF14" s="61">
        <f>IF($BY14="P",BP14,(BP14+AT14)/2)</f>
        <v>0</v>
      </c>
      <c r="MG14" s="61">
        <f>IF($BY14="P",BQ14,(BQ14+AU14)/2)</f>
        <v>27.7</v>
      </c>
      <c r="MH14" s="61">
        <f>IF($BY14="P",BR14,(BR14+AV14)/2)</f>
        <v>3.3499999999999996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27.55</v>
      </c>
      <c r="ML14" s="61">
        <f>IF($BY14="P",BV14,(BV14+AZ14)/2)</f>
        <v>3.9000000000000004</v>
      </c>
      <c r="MM14" s="61">
        <f>IF($BY14="P",BW14,(BW14+BA14)/2)</f>
        <v>0.15</v>
      </c>
      <c r="MN14" s="61">
        <f>IF($BY14="P",BX14,(BX14+BB14)/2)</f>
        <v>0</v>
      </c>
      <c r="MO14" s="72" t="s">
        <v>52</v>
      </c>
      <c r="MP14" s="11">
        <f>IF(SUM(LZ14,MD14)&gt;0,SUM(LZ14,MD14),"")</f>
        <v>6.6000000000000005</v>
      </c>
      <c r="MQ14" s="11">
        <f>IF(SUM(LY14:LZ14,MB14:MD14,MF14)-SUM(MA14,ME14)&gt;0,SUM(LY14:LZ14,MB14:MD14,MF14)-SUM(MA14,ME14),"")</f>
        <v>60.55</v>
      </c>
      <c r="MR14" s="11">
        <f>IF(SUM(MH14,ML14)&gt;0,SUM(MH14,ML14),"")</f>
        <v>7.25</v>
      </c>
      <c r="MS14" s="11">
        <f>IF(SUM(MG14:MH14,MJ14:ML14,MN14)-SUM(MI14,MM14)&gt;0,SUM(MG14:MH14,MJ14:ML14,MN14)-SUM(MI14,MM14),"")</f>
        <v>62.349999999999994</v>
      </c>
      <c r="MT14" s="11">
        <f>IF(SUM(MQ14,MS14)&gt;0,SUM(MQ14,MS14),"")</f>
        <v>122.89999999999999</v>
      </c>
    </row>
    <row r="15" spans="1:358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8" t="s">
        <v>109</v>
      </c>
      <c r="C15" s="4" t="s">
        <v>5</v>
      </c>
      <c r="D15" s="5">
        <v>2001</v>
      </c>
      <c r="E15" s="15">
        <f>SUM(J15:N15)</f>
        <v>182.7</v>
      </c>
      <c r="F15" s="3" t="str">
        <f>IF(OR(AND(AH15&gt;=AL$26,AI15&gt;=AL$30,AI15&lt;&gt;"",AG15=""),AND(BD15&gt;=BH$26,BE15&gt;=BH$30,BE15&lt;&gt;"",BC15=""),AND(BZ15&gt;=CD$26,CA15&gt;=CD$30,CA15&lt;&gt;"",BY15=""),AND(CW15&gt;=DA$26,CX15&gt;=DA$30,CX15&lt;&gt;""),AND(DR15&gt;=DV$26,DS15&gt;=DV$30,DS15&lt;&gt;""),AND(EM15&gt;=EQ$26,EN15&gt;=EQ$30,EN15&lt;&gt;""),AND(FH15&gt;=FL$26,FI15&gt;=FL$30,FI15&lt;&gt;""),AND(GC15&gt;=GG$26,GD15&gt;=GG$30,GD15&lt;&gt;""),AND(GX15&gt;=HB$26,GY15&gt;=HB$30,GY15&lt;&gt;""),AND(HS15&gt;=HW$26,HT15&gt;=HW$30,HT15&lt;&gt;""),AND(IN15&gt;=IR$26,IO15&gt;=IR$30,IO15&lt;&gt;""),AND(JI15&gt;=JM$26,JJ15&gt;=JM$30,JJ15&lt;&gt;""),AND(KD15&gt;=KH$26,KE15&gt;=KH$30,KE15&lt;&gt;""),AND(KY15&gt;=LC$26,KZ15&gt;=LC$30,KZ15&lt;&gt;""),AND(LT15&gt;=LX$26,LU15&gt;=LX$30,LU15&lt;&gt;"")),"P","")</f>
        <v/>
      </c>
      <c r="G15" s="3" t="str">
        <f>IF(OR(AND(AI15&gt;=AL$30,AI15&lt;&gt;"",AG15=""),AND(BE15&gt;=BH$30,BE15&lt;&gt;"",BC15=""),AND(CA15&gt;=CD$30,CA15&lt;&gt;"",BY15=""),AND(CX15&gt;=DA$30,CX15&lt;&gt;""),AND(DS15&gt;=DV$30,DS15&lt;&gt;""),AND(EN15&gt;=EQ$30,EN15&lt;&gt;""),AND(FI15&gt;=FL$30,FI15&lt;&gt;""),AND(GD15&gt;=GG$30,GD15&lt;&gt;""),AND(GY15&gt;=HB$30,GY15&lt;&gt;""),AND(HT15&gt;=HW$30,HT15&lt;&gt;""),AND(IO15&gt;=IR$30,IO15&lt;&gt;""),AND(JJ15&gt;=JM$30,JJ15&lt;&gt;""),AND(KE15&gt;=KH$30,KE15&lt;&gt;""),AND(KZ15&gt;=LC$30,KZ15&lt;&gt;""),AND(LU15&gt;=LX$30,LU15&lt;&gt;"")),"P","")</f>
        <v/>
      </c>
      <c r="H15" s="116" t="str">
        <f>IF(AND(G15="P",F15=""),"No DD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Merit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Excellence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Worlds Team",IF(OR(AND(AH15&gt;=AL$26,AH15&lt;&gt;"",AI15&gt;=AL$30,AI15&lt;&gt;"",AG15=""),AND(BD15&gt;=BH$26,BD15&lt;&gt;"",BE15&gt;=BH$30,BE15&lt;&gt;"",BC15=""),AND(BZ15&gt;=CD$26,BZ15&lt;&gt;"",CA15&gt;=CD$30,CA15&lt;&gt;"",BY15=""),AND(CW15&gt;=DA$26,CW15&lt;&gt;"",CX15&gt;=DA$30,CX15&lt;&gt;""),AND(DR15&gt;=DV$26,DR15&lt;&gt;"",DS15&gt;=DV$30,DS15&lt;&gt;""),AND(EM15&gt;=EQ$26,EM15&lt;&gt;"",EN15&gt;=EQ$30,EN15&lt;&gt;""),AND(FH15&gt;=FL$26,FH15&lt;&gt;"",FI15&gt;=FL$30,FI15&lt;&gt;""),AND(GC15&gt;=GG$26,GC15&lt;&gt;"",GD15&gt;=GG$30,GD15&lt;&gt;""),AND(GX15&gt;=HB$26,GX15&lt;&gt;"",GY15&gt;=HB$30,GY15&lt;&gt;""),AND(HS15&gt;=HW$26,HS15&lt;&gt;"",HT15&gt;=HW$30,HT15&lt;&gt;""),AND(IN15&gt;=IR$26,IN15&lt;&gt;"",IO15&gt;=IR$30,IO15&lt;&gt;""),AND(JI15&gt;=JM$26,JI15&lt;&gt;"",JJ15&gt;=JM$30,JJ15&lt;&gt;""),AND(KD15&gt;=KH$26,KD15&lt;&gt;"",KE15&gt;=KH$30,KE15&lt;&gt;""),AND(KY15&gt;=LC$26,KY15&lt;&gt;"",KZ15&gt;=LC$30,KZ15&lt;&gt;""),AND(LT15&gt;=LX$26,LT15&lt;&gt;"",LU15&gt;=LX$30,LU15&lt;&gt;"")),"National Team","")))))</f>
        <v/>
      </c>
      <c r="I15" s="3" t="str">
        <f>IF(OR(H15="Worlds Team",H15="Excellence",H15="Merit"),"P","")</f>
        <v/>
      </c>
      <c r="J15" s="14">
        <f>MAX(AI15,BE15,CA15)</f>
        <v>62.6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120.1</v>
      </c>
      <c r="M15" s="14" t="str">
        <f>IF(L15=0,"",IF(AND(J15&lt;&gt;CA15,L15=CD15),$BI$1,IF(AND(J15&lt;&gt;BE15,L15=BH15),$AM$1,IF(L15=AL15,$Q$1,""))))</f>
        <v>2021 2nd Virtual Technical Trial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>
        <v>27.3</v>
      </c>
      <c r="R15" s="61">
        <v>4.4000000000000004</v>
      </c>
      <c r="S15" s="61">
        <v>1.2</v>
      </c>
      <c r="T15" s="61">
        <v>0</v>
      </c>
      <c r="U15" s="61">
        <v>28.2</v>
      </c>
      <c r="V15" s="61">
        <v>3.5</v>
      </c>
      <c r="W15" s="61">
        <v>0</v>
      </c>
      <c r="X15" s="61">
        <v>0</v>
      </c>
      <c r="Y15" s="61">
        <v>27.3</v>
      </c>
      <c r="Z15" s="61">
        <v>4.8</v>
      </c>
      <c r="AA15" s="61">
        <v>0</v>
      </c>
      <c r="AB15" s="61">
        <v>0</v>
      </c>
      <c r="AC15" s="61">
        <v>28.2</v>
      </c>
      <c r="AD15" s="61">
        <v>1.8</v>
      </c>
      <c r="AE15" s="61">
        <v>4.2</v>
      </c>
      <c r="AF15" s="61">
        <v>0</v>
      </c>
      <c r="AG15" s="72"/>
      <c r="AH15" s="11">
        <f>IF(SUM(R15,V15)&gt;0,SUM(R15,V15),"")</f>
        <v>7.9</v>
      </c>
      <c r="AI15" s="11">
        <f>IF(SUM(Q15:R15,T15:V15,X15)-SUM(S15,W15)&gt;0,SUM(Q15:R15,T15:V15,X15)-SUM(S15,W15),"")</f>
        <v>62.2</v>
      </c>
      <c r="AJ15" s="11">
        <f>IF(SUM(Z15,AD15)&gt;0,SUM(Z15,AD15),"")</f>
        <v>6.6</v>
      </c>
      <c r="AK15" s="11">
        <f>IF(SUM(Y15:Z15,AB15:AD15,AF15)-SUM(AA15,AE15)&gt;0,SUM(Y15:Z15,AB15:AD15,AF15)-SUM(AA15,AE15),"")</f>
        <v>57.899999999999991</v>
      </c>
      <c r="AL15" s="11">
        <f>IF(SUM(AI15,AK15)&gt;0,SUM(AI15,AK15),"")</f>
        <v>120.1</v>
      </c>
      <c r="AM15" s="36">
        <v>27.1</v>
      </c>
      <c r="AN15" s="36">
        <v>4.8</v>
      </c>
      <c r="AO15" s="36">
        <v>0.3</v>
      </c>
      <c r="AP15" s="36">
        <v>0</v>
      </c>
      <c r="AQ15" s="36">
        <v>27.3</v>
      </c>
      <c r="AR15" s="36">
        <v>4</v>
      </c>
      <c r="AS15" s="36">
        <v>0.3</v>
      </c>
      <c r="AT15" s="36">
        <v>0</v>
      </c>
      <c r="AU15" s="36">
        <v>19.7</v>
      </c>
      <c r="AV15" s="36">
        <v>2</v>
      </c>
      <c r="AW15" s="36">
        <v>0</v>
      </c>
      <c r="AX15" s="36">
        <v>0</v>
      </c>
      <c r="AY15" s="36">
        <v>19.600000000000001</v>
      </c>
      <c r="AZ15" s="36">
        <v>2.4</v>
      </c>
      <c r="BA15" s="36">
        <v>0</v>
      </c>
      <c r="BB15" s="36">
        <v>0</v>
      </c>
      <c r="BC15" s="73"/>
      <c r="BD15" s="14">
        <f>IF(SUM(AN15,AR15)&gt;0,SUM(AN15,AR15),"")</f>
        <v>8.8000000000000007</v>
      </c>
      <c r="BE15" s="14">
        <f>IF(SUM(AM15:AN15,AP15:AR15,AT15)-SUM(AO15,AS15)&gt;0,SUM(AM15:AN15,AP15:AR15,AT15)-SUM(AO15,AS15),"")</f>
        <v>62.6</v>
      </c>
      <c r="BF15" s="14">
        <f>IF(SUM(AV15,AZ15)&gt;0,SUM(AV15,AZ15),"")</f>
        <v>4.4000000000000004</v>
      </c>
      <c r="BG15" s="14">
        <f>IF(SUM(AU15:AV15,AX15:AZ15,BB15)-SUM(AW15,BA15)&gt;0,SUM(AU15:AV15,AX15:AZ15,BB15)-SUM(AW15,BA15),"")</f>
        <v>43.699999999999996</v>
      </c>
      <c r="BH15" s="14">
        <f>IF(SUM(BE15,BG15)&gt;0,SUM(BE15,BG15),"")</f>
        <v>106.3</v>
      </c>
      <c r="BI15" s="61">
        <v>26.7</v>
      </c>
      <c r="BJ15" s="61">
        <v>4.4000000000000004</v>
      </c>
      <c r="BK15" s="61">
        <v>1.2</v>
      </c>
      <c r="BL15" s="61">
        <v>0</v>
      </c>
      <c r="BM15" s="61">
        <v>27.9</v>
      </c>
      <c r="BN15" s="61">
        <v>3.1</v>
      </c>
      <c r="BO15" s="61">
        <v>0</v>
      </c>
      <c r="BP15" s="61">
        <v>0</v>
      </c>
      <c r="BQ15" s="61">
        <v>19.8</v>
      </c>
      <c r="BR15" s="61">
        <v>2.4</v>
      </c>
      <c r="BS15" s="61">
        <v>0</v>
      </c>
      <c r="BT15" s="61">
        <v>0</v>
      </c>
      <c r="BU15" s="61">
        <v>27.9</v>
      </c>
      <c r="BV15" s="61">
        <v>1.2</v>
      </c>
      <c r="BW15" s="61">
        <v>2.1</v>
      </c>
      <c r="BX15" s="61">
        <v>0</v>
      </c>
      <c r="BY15" s="72"/>
      <c r="BZ15" s="11">
        <f>IF(SUM(BJ15,BN15)&gt;0,SUM(BJ15,BN15),"")</f>
        <v>7.5</v>
      </c>
      <c r="CA15" s="11">
        <f>IF(SUM(BI15:BJ15,BL15:BN15,BP15)-SUM(BK15,BO15)&gt;0,SUM(BI15:BJ15,BL15:BN15,BP15)-SUM(BK15,BO15),"")</f>
        <v>60.9</v>
      </c>
      <c r="CB15" s="11">
        <f>IF(SUM(BR15,BV15)&gt;0,SUM(BR15,BV15),"")</f>
        <v>3.5999999999999996</v>
      </c>
      <c r="CC15" s="11">
        <f>IF(SUM(BQ15:BR15,BT15:BV15,BX15)-SUM(BS15,BW15)&gt;0,SUM(BQ15:BR15,BT15:BV15,BX15)-SUM(BS15,BW15),"")</f>
        <v>49.199999999999996</v>
      </c>
      <c r="CD15" s="11">
        <f>IF(SUM(CA15,CC15)&gt;0,SUM(CA15,CC15),"")</f>
        <v>110.1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26.9</v>
      </c>
      <c r="LZ15" s="61">
        <f>IF($BY15="P",BJ15,(BJ15+AN15)/2)</f>
        <v>4.5999999999999996</v>
      </c>
      <c r="MA15" s="61">
        <f>IF($BY15="P",BK15,(BK15+AO15)/2)</f>
        <v>0.75</v>
      </c>
      <c r="MB15" s="61">
        <f>IF($BY15="P",BL15,(BL15+AP15)/2)</f>
        <v>0</v>
      </c>
      <c r="MC15" s="61">
        <f>IF($BY15="P",BM15,(BM15+AQ15)/2)</f>
        <v>27.6</v>
      </c>
      <c r="MD15" s="61">
        <f>IF($BY15="P",BN15,(BN15+AR15)/2)</f>
        <v>3.55</v>
      </c>
      <c r="ME15" s="61">
        <f>IF($BY15="P",BO15,(BO15+AS15)/2)</f>
        <v>0.15</v>
      </c>
      <c r="MF15" s="61">
        <f>IF($BY15="P",BP15,(BP15+AT15)/2)</f>
        <v>0</v>
      </c>
      <c r="MG15" s="61">
        <f>IF($BY15="P",BQ15,(BQ15+AU15)/2)</f>
        <v>19.75</v>
      </c>
      <c r="MH15" s="61">
        <f>IF($BY15="P",BR15,(BR15+AV15)/2)</f>
        <v>2.2000000000000002</v>
      </c>
      <c r="MI15" s="61">
        <f>IF($BY15="P",BS15,(BS15+AW15)/2)</f>
        <v>0</v>
      </c>
      <c r="MJ15" s="61">
        <f>IF($BY15="P",BT15,(BT15+AX15)/2)</f>
        <v>0</v>
      </c>
      <c r="MK15" s="61">
        <f>IF($BY15="P",BU15,(BU15+AY15)/2)</f>
        <v>23.75</v>
      </c>
      <c r="ML15" s="61">
        <f>IF($BY15="P",BV15,(BV15+AZ15)/2)</f>
        <v>1.7999999999999998</v>
      </c>
      <c r="MM15" s="61">
        <f>IF($BY15="P",BW15,(BW15+BA15)/2)</f>
        <v>1.05</v>
      </c>
      <c r="MN15" s="61">
        <f>IF($BY15="P",BX15,(BX15+BB15)/2)</f>
        <v>0</v>
      </c>
      <c r="MO15" s="72" t="s">
        <v>52</v>
      </c>
      <c r="MP15" s="11">
        <f>IF(SUM(LZ15,MD15)&gt;0,SUM(LZ15,MD15),"")</f>
        <v>8.1499999999999986</v>
      </c>
      <c r="MQ15" s="11">
        <f>IF(SUM(LY15:LZ15,MB15:MD15,MF15)-SUM(MA15,ME15)&gt;0,SUM(LY15:LZ15,MB15:MD15,MF15)-SUM(MA15,ME15),"")</f>
        <v>61.75</v>
      </c>
      <c r="MR15" s="11">
        <f>IF(SUM(MH15,ML15)&gt;0,SUM(MH15,ML15),"")</f>
        <v>4</v>
      </c>
      <c r="MS15" s="11">
        <f>IF(SUM(MG15:MH15,MJ15:ML15,MN15)-SUM(MI15,MM15)&gt;0,SUM(MG15:MH15,MJ15:ML15,MN15)-SUM(MI15,MM15),"")</f>
        <v>46.45</v>
      </c>
      <c r="MT15" s="11">
        <f>IF(SUM(MQ15,MS15)&gt;0,SUM(MQ15,MS15),"")</f>
        <v>108.2</v>
      </c>
    </row>
    <row r="16" spans="1:358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8" t="s">
        <v>125</v>
      </c>
      <c r="C16" s="4" t="s">
        <v>5</v>
      </c>
      <c r="D16" s="5">
        <v>2001</v>
      </c>
      <c r="E16" s="15">
        <f>SUM(J16:N16)</f>
        <v>156.60000000000002</v>
      </c>
      <c r="F16" s="3" t="str">
        <f>IF(OR(AND(AH16&gt;=AL$26,AI16&gt;=AL$30,AI16&lt;&gt;"",AG16=""),AND(BD16&gt;=BH$26,BE16&gt;=BH$30,BE16&lt;&gt;"",BC16=""),AND(BZ16&gt;=CD$26,CA16&gt;=CD$30,CA16&lt;&gt;"",BY16=""),AND(CW16&gt;=DA$26,CX16&gt;=DA$30,CX16&lt;&gt;""),AND(DR16&gt;=DV$26,DS16&gt;=DV$30,DS16&lt;&gt;""),AND(EM16&gt;=EQ$26,EN16&gt;=EQ$30,EN16&lt;&gt;""),AND(FH16&gt;=FL$26,FI16&gt;=FL$30,FI16&lt;&gt;""),AND(GC16&gt;=GG$26,GD16&gt;=GG$30,GD16&lt;&gt;""),AND(GX16&gt;=HB$26,GY16&gt;=HB$30,GY16&lt;&gt;""),AND(HS16&gt;=HW$26,HT16&gt;=HW$30,HT16&lt;&gt;""),AND(IN16&gt;=IR$26,IO16&gt;=IR$30,IO16&lt;&gt;""),AND(JI16&gt;=JM$26,JJ16&gt;=JM$30,JJ16&lt;&gt;""),AND(KD16&gt;=KH$26,KE16&gt;=KH$30,KE16&lt;&gt;""),AND(KY16&gt;=LC$26,KZ16&gt;=LC$30,KZ16&lt;&gt;""),AND(LT16&gt;=LX$26,LU16&gt;=LX$30,LU16&lt;&gt;"")),"P","")</f>
        <v/>
      </c>
      <c r="G16" s="3" t="str">
        <f>IF(OR(AND(AI16&gt;=AL$30,AI16&lt;&gt;"",AG16=""),AND(BE16&gt;=BH$30,BE16&lt;&gt;"",BC16=""),AND(CA16&gt;=CD$30,CA16&lt;&gt;"",BY16=""),AND(CX16&gt;=DA$30,CX16&lt;&gt;""),AND(DS16&gt;=DV$30,DS16&lt;&gt;""),AND(EN16&gt;=EQ$30,EN16&lt;&gt;""),AND(FI16&gt;=FL$30,FI16&lt;&gt;""),AND(GD16&gt;=GG$30,GD16&lt;&gt;""),AND(GY16&gt;=HB$30,GY16&lt;&gt;""),AND(HT16&gt;=HW$30,HT16&lt;&gt;""),AND(IO16&gt;=IR$30,IO16&lt;&gt;""),AND(JJ16&gt;=JM$30,JJ16&lt;&gt;""),AND(KE16&gt;=KH$30,KE16&lt;&gt;""),AND(KZ16&gt;=LC$30,KZ16&lt;&gt;""),AND(LU16&gt;=LX$30,LU16&lt;&gt;"")),"P","")</f>
        <v/>
      </c>
      <c r="H16" s="116" t="str">
        <f>IF(AND(G16="P",F16=""),"No DD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Merit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Excellence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Worlds Team",IF(OR(AND(AH16&gt;=AL$26,AH16&lt;&gt;"",AI16&gt;=AL$30,AI16&lt;&gt;"",AG16=""),AND(BD16&gt;=BH$26,BD16&lt;&gt;"",BE16&gt;=BH$30,BE16&lt;&gt;"",BC16=""),AND(BZ16&gt;=CD$26,BZ16&lt;&gt;"",CA16&gt;=CD$30,CA16&lt;&gt;"",BY16=""),AND(CW16&gt;=DA$26,CW16&lt;&gt;"",CX16&gt;=DA$30,CX16&lt;&gt;""),AND(DR16&gt;=DV$26,DR16&lt;&gt;"",DS16&gt;=DV$30,DS16&lt;&gt;""),AND(EM16&gt;=EQ$26,EM16&lt;&gt;"",EN16&gt;=EQ$30,EN16&lt;&gt;""),AND(FH16&gt;=FL$26,FH16&lt;&gt;"",FI16&gt;=FL$30,FI16&lt;&gt;""),AND(GC16&gt;=GG$26,GC16&lt;&gt;"",GD16&gt;=GG$30,GD16&lt;&gt;""),AND(GX16&gt;=HB$26,GX16&lt;&gt;"",GY16&gt;=HB$30,GY16&lt;&gt;""),AND(HS16&gt;=HW$26,HS16&lt;&gt;"",HT16&gt;=HW$30,HT16&lt;&gt;""),AND(IN16&gt;=IR$26,IN16&lt;&gt;"",IO16&gt;=IR$30,IO16&lt;&gt;""),AND(JI16&gt;=JM$26,JI16&lt;&gt;"",JJ16&gt;=JM$30,JJ16&lt;&gt;""),AND(KD16&gt;=KH$26,KD16&lt;&gt;"",KE16&gt;=KH$30,KE16&lt;&gt;""),AND(KY16&gt;=LC$26,KY16&lt;&gt;"",KZ16&gt;=LC$30,KZ16&lt;&gt;""),AND(LT16&gt;=LX$26,LT16&lt;&gt;"",LU16&gt;=LX$30,LU16&lt;&gt;"")),"National Team","")))))</f>
        <v/>
      </c>
      <c r="I16" s="3" t="str">
        <f>IF(OR(H16="Worlds Team",H16="Excellence",H16="Merit"),"P","")</f>
        <v/>
      </c>
      <c r="J16" s="14">
        <f>MAX(AI16,BE16,CA16)</f>
        <v>65.2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91.4</v>
      </c>
      <c r="M16" s="14" t="str">
        <f>IF(L16=0,"",IF(AND(J16&lt;&gt;CA16,L16=CD16),$BI$1,IF(AND(J16&lt;&gt;BE16,L16=BH16),$AM$1,IF(L16=AL16,$Q$1,""))))</f>
        <v>2021 Elite Canada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>
        <v>27.5</v>
      </c>
      <c r="R16" s="61">
        <v>5.2</v>
      </c>
      <c r="S16" s="61">
        <v>0.3</v>
      </c>
      <c r="T16" s="61">
        <v>0</v>
      </c>
      <c r="U16" s="61">
        <v>27.6</v>
      </c>
      <c r="V16" s="61">
        <v>5.2</v>
      </c>
      <c r="W16" s="61">
        <v>0</v>
      </c>
      <c r="X16" s="61">
        <v>0</v>
      </c>
      <c r="Y16" s="61">
        <v>28.8</v>
      </c>
      <c r="Z16" s="61">
        <v>3.4</v>
      </c>
      <c r="AA16" s="61">
        <v>0</v>
      </c>
      <c r="AB16" s="61">
        <v>0</v>
      </c>
      <c r="AC16" s="61">
        <v>27.5</v>
      </c>
      <c r="AD16" s="61">
        <v>3.6</v>
      </c>
      <c r="AE16" s="61">
        <v>3</v>
      </c>
      <c r="AF16" s="61">
        <v>0</v>
      </c>
      <c r="AG16" s="72"/>
      <c r="AH16" s="11">
        <f>IF(SUM(R16,V16)&gt;0,SUM(R16,V16),"")</f>
        <v>10.4</v>
      </c>
      <c r="AI16" s="11">
        <f>IF(SUM(Q16:R16,T16:V16,X16)-SUM(S16,W16)&gt;0,SUM(Q16:R16,T16:V16,X16)-SUM(S16,W16),"")</f>
        <v>65.2</v>
      </c>
      <c r="AJ16" s="11">
        <f>IF(SUM(Z16,AD16)&gt;0,SUM(Z16,AD16),"")</f>
        <v>7</v>
      </c>
      <c r="AK16" s="11">
        <f>IF(SUM(Y16:Z16,AB16:AD16,AF16)-SUM(AA16,AE16)&gt;0,SUM(Y16:Z16,AB16:AD16,AF16)-SUM(AA16,AE16),"")</f>
        <v>60.300000000000004</v>
      </c>
      <c r="AL16" s="11">
        <f>IF(SUM(AI16,AK16)&gt;0,SUM(AI16,AK16),"")</f>
        <v>125.5</v>
      </c>
      <c r="AM16" s="36">
        <v>25</v>
      </c>
      <c r="AN16" s="36">
        <v>5.2</v>
      </c>
      <c r="AO16" s="36">
        <v>1.2</v>
      </c>
      <c r="AP16" s="36">
        <v>0</v>
      </c>
      <c r="AQ16" s="36">
        <v>26.7</v>
      </c>
      <c r="AR16" s="36">
        <v>5.2</v>
      </c>
      <c r="AS16" s="36">
        <v>0.3</v>
      </c>
      <c r="AT16" s="36">
        <v>0</v>
      </c>
      <c r="AU16" s="36">
        <v>27.8</v>
      </c>
      <c r="AV16" s="36">
        <v>3.9</v>
      </c>
      <c r="AW16" s="36">
        <v>0.9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73"/>
      <c r="BD16" s="14">
        <f>IF(SUM(AN16,AR16)&gt;0,SUM(AN16,AR16),"")</f>
        <v>10.4</v>
      </c>
      <c r="BE16" s="14">
        <f>IF(SUM(AM16:AN16,AP16:AR16,AT16)-SUM(AO16,AS16)&gt;0,SUM(AM16:AN16,AP16:AR16,AT16)-SUM(AO16,AS16),"")</f>
        <v>60.6</v>
      </c>
      <c r="BF16" s="14">
        <f>IF(SUM(AV16,AZ16)&gt;0,SUM(AV16,AZ16),"")</f>
        <v>3.9</v>
      </c>
      <c r="BG16" s="14">
        <f>IF(SUM(AU16:AV16,AX16:AZ16,BB16)-SUM(AW16,BA16)&gt;0,SUM(AU16:AV16,AX16:AZ16,BB16)-SUM(AW16,BA16),"")</f>
        <v>30.8</v>
      </c>
      <c r="BH16" s="14">
        <f>IF(SUM(BE16,BG16)&gt;0,SUM(BE16,BG16),"")</f>
        <v>91.4</v>
      </c>
      <c r="BI16" s="61">
        <v>28</v>
      </c>
      <c r="BJ16" s="61">
        <v>5.2</v>
      </c>
      <c r="BK16" s="61">
        <v>0</v>
      </c>
      <c r="BL16" s="61">
        <v>0</v>
      </c>
      <c r="BM16" s="61">
        <v>0</v>
      </c>
      <c r="BN16" s="61">
        <v>0</v>
      </c>
      <c r="BO16" s="61">
        <v>0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>IF(SUM(BJ16,BN16)&gt;0,SUM(BJ16,BN16),"")</f>
        <v>5.2</v>
      </c>
      <c r="CA16" s="11">
        <f>IF(SUM(BI16:BJ16,BL16:BN16,BP16)-SUM(BK16,BO16)&gt;0,SUM(BI16:BJ16,BL16:BN16,BP16)-SUM(BK16,BO16),"")</f>
        <v>33.200000000000003</v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>
        <f>IF(SUM(CA16,CC16)&gt;0,SUM(CA16,CC16),"")</f>
        <v>33.200000000000003</v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26.5</v>
      </c>
      <c r="LZ16" s="61">
        <f>IF($BY16="P",BJ16,(BJ16+AN16)/2)</f>
        <v>5.2</v>
      </c>
      <c r="MA16" s="61">
        <f>IF($BY16="P",BK16,(BK16+AO16)/2)</f>
        <v>0.6</v>
      </c>
      <c r="MB16" s="61">
        <f>IF($BY16="P",BL16,(BL16+AP16)/2)</f>
        <v>0</v>
      </c>
      <c r="MC16" s="61">
        <f>IF($BY16="P",BM16,(BM16+AQ16)/2)</f>
        <v>13.35</v>
      </c>
      <c r="MD16" s="61">
        <f>IF($BY16="P",BN16,(BN16+AR16)/2)</f>
        <v>2.6</v>
      </c>
      <c r="ME16" s="61">
        <f>IF($BY16="P",BO16,(BO16+AS16)/2)</f>
        <v>0.15</v>
      </c>
      <c r="MF16" s="61">
        <f>IF($BY16="P",BP16,(BP16+AT16)/2)</f>
        <v>0</v>
      </c>
      <c r="MG16" s="61">
        <f>IF($BY16="P",BQ16,(BQ16+AU16)/2)</f>
        <v>13.9</v>
      </c>
      <c r="MH16" s="61">
        <f>IF($BY16="P",BR16,(BR16+AV16)/2)</f>
        <v>1.95</v>
      </c>
      <c r="MI16" s="61">
        <f>IF($BY16="P",BS16,(BS16+AW16)/2)</f>
        <v>0.45</v>
      </c>
      <c r="MJ16" s="61">
        <f>IF($BY16="P",BT16,(BT16+AX16)/2)</f>
        <v>0</v>
      </c>
      <c r="MK16" s="61">
        <f>IF($BY16="P",BU16,(BU16+AY16)/2)</f>
        <v>0</v>
      </c>
      <c r="ML16" s="61">
        <f>IF($BY16="P",BV16,(BV16+AZ16)/2)</f>
        <v>0</v>
      </c>
      <c r="MM16" s="61">
        <f>IF($BY16="P",BW16,(BW16+BA16)/2)</f>
        <v>0</v>
      </c>
      <c r="MN16" s="61">
        <f>IF($BY16="P",BX16,(BX16+BB16)/2)</f>
        <v>0</v>
      </c>
      <c r="MO16" s="72" t="s">
        <v>52</v>
      </c>
      <c r="MP16" s="11">
        <f>IF(SUM(LZ16,MD16)&gt;0,SUM(LZ16,MD16),"")</f>
        <v>7.8000000000000007</v>
      </c>
      <c r="MQ16" s="11">
        <f>IF(SUM(LY16:LZ16,MB16:MD16,MF16)-SUM(MA16,ME16)&gt;0,SUM(LY16:LZ16,MB16:MD16,MF16)-SUM(MA16,ME16),"")</f>
        <v>46.9</v>
      </c>
      <c r="MR16" s="11">
        <f>IF(SUM(MH16,ML16)&gt;0,SUM(MH16,ML16),"")</f>
        <v>1.95</v>
      </c>
      <c r="MS16" s="11">
        <f>IF(SUM(MG16:MH16,MJ16:ML16,MN16)-SUM(MI16,MM16)&gt;0,SUM(MG16:MH16,MJ16:ML16,MN16)-SUM(MI16,MM16),"")</f>
        <v>15.4</v>
      </c>
      <c r="MT16" s="11">
        <f>IF(SUM(MQ16,MS16)&gt;0,SUM(MQ16,MS16),"")</f>
        <v>62.3</v>
      </c>
    </row>
    <row r="17" spans="1:358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8" t="s">
        <v>126</v>
      </c>
      <c r="C17" s="4" t="s">
        <v>5</v>
      </c>
      <c r="D17" s="5">
        <v>2003</v>
      </c>
      <c r="E17" s="15">
        <f>SUM(J17:N17)</f>
        <v>150.1</v>
      </c>
      <c r="F17" s="3" t="str">
        <f>IF(OR(AND(AH17&gt;=AL$26,AI17&gt;=AL$30,AI17&lt;&gt;"",AG17=""),AND(BD17&gt;=BH$26,BE17&gt;=BH$30,BE17&lt;&gt;"",BC17=""),AND(BZ17&gt;=CD$26,CA17&gt;=CD$30,CA17&lt;&gt;"",BY17=""),AND(CW17&gt;=DA$26,CX17&gt;=DA$30,CX17&lt;&gt;""),AND(DR17&gt;=DV$26,DS17&gt;=DV$30,DS17&lt;&gt;""),AND(EM17&gt;=EQ$26,EN17&gt;=EQ$30,EN17&lt;&gt;""),AND(FH17&gt;=FL$26,FI17&gt;=FL$30,FI17&lt;&gt;""),AND(GC17&gt;=GG$26,GD17&gt;=GG$30,GD17&lt;&gt;""),AND(GX17&gt;=HB$26,GY17&gt;=HB$30,GY17&lt;&gt;""),AND(HS17&gt;=HW$26,HT17&gt;=HW$30,HT17&lt;&gt;""),AND(IN17&gt;=IR$26,IO17&gt;=IR$30,IO17&lt;&gt;""),AND(JI17&gt;=JM$26,JJ17&gt;=JM$30,JJ17&lt;&gt;""),AND(KD17&gt;=KH$26,KE17&gt;=KH$30,KE17&lt;&gt;""),AND(KY17&gt;=LC$26,KZ17&gt;=LC$30,KZ17&lt;&gt;""),AND(LT17&gt;=LX$26,LU17&gt;=LX$30,LU17&lt;&gt;"")),"P","")</f>
        <v/>
      </c>
      <c r="G17" s="3" t="str">
        <f>IF(OR(AND(AI17&gt;=AL$30,AI17&lt;&gt;"",AG17=""),AND(BE17&gt;=BH$30,BE17&lt;&gt;"",BC17=""),AND(CA17&gt;=CD$30,CA17&lt;&gt;"",BY17=""),AND(CX17&gt;=DA$30,CX17&lt;&gt;""),AND(DS17&gt;=DV$30,DS17&lt;&gt;""),AND(EN17&gt;=EQ$30,EN17&lt;&gt;""),AND(FI17&gt;=FL$30,FI17&lt;&gt;""),AND(GD17&gt;=GG$30,GD17&lt;&gt;""),AND(GY17&gt;=HB$30,GY17&lt;&gt;""),AND(HT17&gt;=HW$30,HT17&lt;&gt;""),AND(IO17&gt;=IR$30,IO17&lt;&gt;""),AND(JJ17&gt;=JM$30,JJ17&lt;&gt;""),AND(KE17&gt;=KH$30,KE17&lt;&gt;""),AND(KZ17&gt;=LC$30,KZ17&lt;&gt;""),AND(LU17&gt;=LX$30,LU17&lt;&gt;"")),"P","")</f>
        <v/>
      </c>
      <c r="H17" s="116" t="str">
        <f>IF(AND(G17="P",F17=""),"No DD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Merit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Excellence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Worlds Team",IF(OR(AND(AH17&gt;=AL$26,AH17&lt;&gt;"",AI17&gt;=AL$30,AI17&lt;&gt;"",AG17=""),AND(BD17&gt;=BH$26,BD17&lt;&gt;"",BE17&gt;=BH$30,BE17&lt;&gt;"",BC17=""),AND(BZ17&gt;=CD$26,BZ17&lt;&gt;"",CA17&gt;=CD$30,CA17&lt;&gt;"",BY17=""),AND(CW17&gt;=DA$26,CW17&lt;&gt;"",CX17&gt;=DA$30,CX17&lt;&gt;""),AND(DR17&gt;=DV$26,DR17&lt;&gt;"",DS17&gt;=DV$30,DS17&lt;&gt;""),AND(EM17&gt;=EQ$26,EM17&lt;&gt;"",EN17&gt;=EQ$30,EN17&lt;&gt;""),AND(FH17&gt;=FL$26,FH17&lt;&gt;"",FI17&gt;=FL$30,FI17&lt;&gt;""),AND(GC17&gt;=GG$26,GC17&lt;&gt;"",GD17&gt;=GG$30,GD17&lt;&gt;""),AND(GX17&gt;=HB$26,GX17&lt;&gt;"",GY17&gt;=HB$30,GY17&lt;&gt;""),AND(HS17&gt;=HW$26,HS17&lt;&gt;"",HT17&gt;=HW$30,HT17&lt;&gt;""),AND(IN17&gt;=IR$26,IN17&lt;&gt;"",IO17&gt;=IR$30,IO17&lt;&gt;""),AND(JI17&gt;=JM$26,JI17&lt;&gt;"",JJ17&gt;=JM$30,JJ17&lt;&gt;""),AND(KD17&gt;=KH$26,KD17&lt;&gt;"",KE17&gt;=KH$30,KE17&lt;&gt;""),AND(KY17&gt;=LC$26,KY17&lt;&gt;"",KZ17&gt;=LC$30,KZ17&lt;&gt;""),AND(LT17&gt;=LX$26,LT17&lt;&gt;"",LU17&gt;=LX$30,LU17&lt;&gt;"")),"National Team","")))))</f>
        <v/>
      </c>
      <c r="I17" s="3" t="str">
        <f>IF(OR(H17="Worlds Team",H17="Excellence",H17="Merit"),"P","")</f>
        <v/>
      </c>
      <c r="J17" s="14">
        <f>MAX(AI17,BE17,CA17)</f>
        <v>62.699999999999996</v>
      </c>
      <c r="K17" s="14" t="str">
        <f>IF(J17=0,"",IF(J17=CA17,$BI$1,IF(J17=BE17,$AM$1,IF(J17=AI17,$Q$1,""))))</f>
        <v>2021 2nd Virtual Technical Trial</v>
      </c>
      <c r="L17" s="14">
        <f>IF(J17=AI17,MAX(BH17,CD17),IF(J17=BE17,MAX(AL17,CD17),MAX(AL17,BH17)))</f>
        <v>87.4</v>
      </c>
      <c r="M17" s="14" t="str">
        <f>IF(L17=0,"",IF(AND(J17&lt;&gt;CA17,L17=CD17),$BI$1,IF(AND(J17&lt;&gt;BE17,L17=BH17),$AM$1,IF(L17=AL17,$Q$1,""))))</f>
        <v>2021 Elite Canada</v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>
        <v>27.5</v>
      </c>
      <c r="R17" s="61">
        <v>4.4000000000000004</v>
      </c>
      <c r="S17" s="61">
        <v>0</v>
      </c>
      <c r="T17" s="61">
        <v>0</v>
      </c>
      <c r="U17" s="61">
        <v>27.7</v>
      </c>
      <c r="V17" s="61">
        <v>3.1</v>
      </c>
      <c r="W17" s="61">
        <v>0</v>
      </c>
      <c r="X17" s="61">
        <v>0</v>
      </c>
      <c r="Y17" s="61">
        <v>27.9</v>
      </c>
      <c r="Z17" s="61">
        <v>2.7</v>
      </c>
      <c r="AA17" s="61">
        <v>0.3</v>
      </c>
      <c r="AB17" s="61">
        <v>0</v>
      </c>
      <c r="AC17" s="61">
        <v>27.8</v>
      </c>
      <c r="AD17" s="61">
        <v>3.4</v>
      </c>
      <c r="AE17" s="61">
        <v>0</v>
      </c>
      <c r="AF17" s="61">
        <v>0</v>
      </c>
      <c r="AG17" s="72"/>
      <c r="AH17" s="11">
        <f>IF(SUM(R17,V17)&gt;0,SUM(R17,V17),"")</f>
        <v>7.5</v>
      </c>
      <c r="AI17" s="11">
        <f>IF(SUM(Q17:R17,T17:V17,X17)-SUM(S17,W17)&gt;0,SUM(Q17:R17,T17:V17,X17)-SUM(S17,W17),"")</f>
        <v>62.699999999999996</v>
      </c>
      <c r="AJ17" s="11">
        <f>IF(SUM(Z17,AD17)&gt;0,SUM(Z17,AD17),"")</f>
        <v>6.1</v>
      </c>
      <c r="AK17" s="11">
        <f>IF(SUM(Y17:Z17,AB17:AD17,AF17)-SUM(AA17,AE17)&gt;0,SUM(Y17:Z17,AB17:AD17,AF17)-SUM(AA17,AE17),"")</f>
        <v>61.5</v>
      </c>
      <c r="AL17" s="11">
        <f>IF(SUM(AI17,AK17)&gt;0,SUM(AI17,AK17),"")</f>
        <v>124.19999999999999</v>
      </c>
      <c r="AM17" s="36">
        <v>27.4</v>
      </c>
      <c r="AN17" s="36">
        <v>3.3</v>
      </c>
      <c r="AO17" s="36">
        <v>0</v>
      </c>
      <c r="AP17" s="36">
        <v>0</v>
      </c>
      <c r="AQ17" s="36">
        <v>25</v>
      </c>
      <c r="AR17" s="36">
        <v>3.1</v>
      </c>
      <c r="AS17" s="36">
        <v>0.3</v>
      </c>
      <c r="AT17" s="36">
        <v>0</v>
      </c>
      <c r="AU17" s="36">
        <v>26.5</v>
      </c>
      <c r="AV17" s="36">
        <v>2.7</v>
      </c>
      <c r="AW17" s="36">
        <v>0.3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73"/>
      <c r="BD17" s="14">
        <f>IF(SUM(AN17,AR17)&gt;0,SUM(AN17,AR17),"")</f>
        <v>6.4</v>
      </c>
      <c r="BE17" s="14">
        <f>IF(SUM(AM17:AN17,AP17:AR17,AT17)-SUM(AO17,AS17)&gt;0,SUM(AM17:AN17,AP17:AR17,AT17)-SUM(AO17,AS17),"")</f>
        <v>58.500000000000007</v>
      </c>
      <c r="BF17" s="14">
        <f>IF(SUM(AV17,AZ17)&gt;0,SUM(AV17,AZ17),"")</f>
        <v>2.7</v>
      </c>
      <c r="BG17" s="14">
        <f>IF(SUM(AU17:AV17,AX17:AZ17,BB17)-SUM(AW17,BA17)&gt;0,SUM(AU17:AV17,AX17:AZ17,BB17)-SUM(AW17,BA17),"")</f>
        <v>28.9</v>
      </c>
      <c r="BH17" s="14">
        <f>IF(SUM(BE17,BG17)&gt;0,SUM(BE17,BG17),"")</f>
        <v>87.4</v>
      </c>
      <c r="BI17" s="61">
        <v>20.6</v>
      </c>
      <c r="BJ17" s="61">
        <v>0.7</v>
      </c>
      <c r="BK17" s="61">
        <v>0</v>
      </c>
      <c r="BL17" s="61">
        <v>0</v>
      </c>
      <c r="BM17" s="61">
        <v>27.4</v>
      </c>
      <c r="BN17" s="61">
        <v>3.3</v>
      </c>
      <c r="BO17" s="61">
        <v>0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>IF(SUM(BJ17,BN17)&gt;0,SUM(BJ17,BN17),"")</f>
        <v>4</v>
      </c>
      <c r="CA17" s="11">
        <f>IF(SUM(BI17:BJ17,BL17:BN17,BP17)-SUM(BK17,BO17)&gt;0,SUM(BI17:BJ17,BL17:BN17,BP17)-SUM(BK17,BO17),"")</f>
        <v>52</v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>
        <f>IF(SUM(CA17,CC17)&gt;0,SUM(CA17,CC17),"")</f>
        <v>52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24</v>
      </c>
      <c r="LZ17" s="61">
        <f>IF($BY17="P",BJ17,(BJ17+AN17)/2)</f>
        <v>2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26.2</v>
      </c>
      <c r="MD17" s="61">
        <f>IF($BY17="P",BN17,(BN17+AR17)/2)</f>
        <v>3.2</v>
      </c>
      <c r="ME17" s="61">
        <f>IF($BY17="P",BO17,(BO17+AS17)/2)</f>
        <v>0.15</v>
      </c>
      <c r="MF17" s="61">
        <f>IF($BY17="P",BP17,(BP17+AT17)/2)</f>
        <v>0</v>
      </c>
      <c r="MG17" s="61">
        <f>IF($BY17="P",BQ17,(BQ17+AU17)/2)</f>
        <v>13.25</v>
      </c>
      <c r="MH17" s="61">
        <f>IF($BY17="P",BR17,(BR17+AV17)/2)</f>
        <v>1.35</v>
      </c>
      <c r="MI17" s="61">
        <f>IF($BY17="P",BS17,(BS17+AW17)/2)</f>
        <v>0.15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>
        <f>IF(SUM(LZ17,MD17)&gt;0,SUM(LZ17,MD17),"")</f>
        <v>5.2</v>
      </c>
      <c r="MQ17" s="11">
        <f>IF(SUM(LY17:LZ17,MB17:MD17,MF17)-SUM(MA17,ME17)&gt;0,SUM(LY17:LZ17,MB17:MD17,MF17)-SUM(MA17,ME17),"")</f>
        <v>55.250000000000007</v>
      </c>
      <c r="MR17" s="11">
        <f>IF(SUM(MH17,ML17)&gt;0,SUM(MH17,ML17),"")</f>
        <v>1.35</v>
      </c>
      <c r="MS17" s="11">
        <f>IF(SUM(MG17:MH17,MJ17:ML17,MN17)-SUM(MI17,MM17)&gt;0,SUM(MG17:MH17,MJ17:ML17,MN17)-SUM(MI17,MM17),"")</f>
        <v>14.45</v>
      </c>
      <c r="MT17" s="11">
        <f>IF(SUM(MQ17,MS17)&gt;0,SUM(MQ17,MS17),"")</f>
        <v>69.7</v>
      </c>
    </row>
    <row r="18" spans="1:358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8" t="s">
        <v>106</v>
      </c>
      <c r="C18" s="4" t="s">
        <v>5</v>
      </c>
      <c r="D18" s="5">
        <v>2003</v>
      </c>
      <c r="E18" s="15">
        <f>SUM(J18:N18)</f>
        <v>119.1</v>
      </c>
      <c r="F18" s="3" t="str">
        <f>IF(OR(AND(AH18&gt;=AL$26,AI18&gt;=AL$30,AI18&lt;&gt;"",AG18=""),AND(BD18&gt;=BH$26,BE18&gt;=BH$30,BE18&lt;&gt;"",BC18=""),AND(BZ18&gt;=CD$26,CA18&gt;=CD$30,CA18&lt;&gt;"",BY18=""),AND(CW18&gt;=DA$26,CX18&gt;=DA$30,CX18&lt;&gt;""),AND(DR18&gt;=DV$26,DS18&gt;=DV$30,DS18&lt;&gt;""),AND(EM18&gt;=EQ$26,EN18&gt;=EQ$30,EN18&lt;&gt;""),AND(FH18&gt;=FL$26,FI18&gt;=FL$30,FI18&lt;&gt;""),AND(GC18&gt;=GG$26,GD18&gt;=GG$30,GD18&lt;&gt;""),AND(GX18&gt;=HB$26,GY18&gt;=HB$30,GY18&lt;&gt;""),AND(HS18&gt;=HW$26,HT18&gt;=HW$30,HT18&lt;&gt;""),AND(IN18&gt;=IR$26,IO18&gt;=IR$30,IO18&lt;&gt;""),AND(JI18&gt;=JM$26,JJ18&gt;=JM$30,JJ18&lt;&gt;""),AND(KD18&gt;=KH$26,KE18&gt;=KH$30,KE18&lt;&gt;""),AND(KY18&gt;=LC$26,KZ18&gt;=LC$30,KZ18&lt;&gt;""),AND(LT18&gt;=LX$26,LU18&gt;=LX$30,LU18&lt;&gt;"")),"P","")</f>
        <v/>
      </c>
      <c r="G18" s="3" t="str">
        <f>IF(OR(AND(AI18&gt;=AL$30,AI18&lt;&gt;"",AG18=""),AND(BE18&gt;=BH$30,BE18&lt;&gt;"",BC18=""),AND(CA18&gt;=CD$30,CA18&lt;&gt;"",BY18=""),AND(CX18&gt;=DA$30,CX18&lt;&gt;""),AND(DS18&gt;=DV$30,DS18&lt;&gt;""),AND(EN18&gt;=EQ$30,EN18&lt;&gt;""),AND(FI18&gt;=FL$30,FI18&lt;&gt;""),AND(GD18&gt;=GG$30,GD18&lt;&gt;""),AND(GY18&gt;=HB$30,GY18&lt;&gt;""),AND(HT18&gt;=HW$30,HT18&lt;&gt;""),AND(IO18&gt;=IR$30,IO18&lt;&gt;""),AND(JJ18&gt;=JM$30,JJ18&lt;&gt;""),AND(KE18&gt;=KH$30,KE18&lt;&gt;""),AND(KZ18&gt;=LC$30,KZ18&lt;&gt;""),AND(LU18&gt;=LX$30,LU18&lt;&gt;"")),"P","")</f>
        <v/>
      </c>
      <c r="H18" s="116" t="str">
        <f>IF(AND(G18="P",F18=""),"No DD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Merit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Excellence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Worlds Team",IF(OR(AND(AH18&gt;=AL$26,AH18&lt;&gt;"",AI18&gt;=AL$30,AI18&lt;&gt;"",AG18=""),AND(BD18&gt;=BH$26,BD18&lt;&gt;"",BE18&gt;=BH$30,BE18&lt;&gt;"",BC18=""),AND(BZ18&gt;=CD$26,BZ18&lt;&gt;"",CA18&gt;=CD$30,CA18&lt;&gt;"",BY18=""),AND(CW18&gt;=DA$26,CW18&lt;&gt;"",CX18&gt;=DA$30,CX18&lt;&gt;""),AND(DR18&gt;=DV$26,DR18&lt;&gt;"",DS18&gt;=DV$30,DS18&lt;&gt;""),AND(EM18&gt;=EQ$26,EM18&lt;&gt;"",EN18&gt;=EQ$30,EN18&lt;&gt;""),AND(FH18&gt;=FL$26,FH18&lt;&gt;"",FI18&gt;=FL$30,FI18&lt;&gt;""),AND(GC18&gt;=GG$26,GC18&lt;&gt;"",GD18&gt;=GG$30,GD18&lt;&gt;""),AND(GX18&gt;=HB$26,GX18&lt;&gt;"",GY18&gt;=HB$30,GY18&lt;&gt;""),AND(HS18&gt;=HW$26,HS18&lt;&gt;"",HT18&gt;=HW$30,HT18&lt;&gt;""),AND(IN18&gt;=IR$26,IN18&lt;&gt;"",IO18&gt;=IR$30,IO18&lt;&gt;""),AND(JI18&gt;=JM$26,JI18&lt;&gt;"",JJ18&gt;=JM$30,JJ18&lt;&gt;""),AND(KD18&gt;=KH$26,KD18&lt;&gt;"",KE18&gt;=KH$30,KE18&lt;&gt;""),AND(KY18&gt;=LC$26,KY18&lt;&gt;"",KZ18&gt;=LC$30,KZ18&lt;&gt;""),AND(LT18&gt;=LX$26,LT18&lt;&gt;"",LU18&gt;=LX$30,LU18&lt;&gt;"")),"National Team","")))))</f>
        <v/>
      </c>
      <c r="I18" s="3" t="str">
        <f>IF(OR(H18="Worlds Team",H18="Excellence",H18="Merit"),"P","")</f>
        <v/>
      </c>
      <c r="J18" s="14">
        <f>MAX(AI18,BE18,CA18)</f>
        <v>62.899999999999991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56.199999999999996</v>
      </c>
      <c r="M18" s="14" t="str">
        <f>IF(L18=0,"",IF(AND(J18&lt;&gt;CA18,L18=CD18),$BI$1,IF(AND(J18&lt;&gt;BE18,L18=BH18),$AM$1,IF(L18=AL18,$Q$1,""))))</f>
        <v>2021 Elite Canada</v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27.3</v>
      </c>
      <c r="R18" s="61">
        <v>6</v>
      </c>
      <c r="S18" s="61">
        <v>0.9</v>
      </c>
      <c r="T18" s="61">
        <v>0</v>
      </c>
      <c r="U18" s="61">
        <v>25.2</v>
      </c>
      <c r="V18" s="61">
        <v>5.6</v>
      </c>
      <c r="W18" s="61">
        <v>0.3</v>
      </c>
      <c r="X18" s="61">
        <v>0</v>
      </c>
      <c r="Y18" s="61">
        <v>27.1</v>
      </c>
      <c r="Z18" s="61">
        <v>4.8</v>
      </c>
      <c r="AA18" s="61">
        <v>0.3</v>
      </c>
      <c r="AB18" s="61">
        <v>0</v>
      </c>
      <c r="AC18" s="61">
        <v>27.4</v>
      </c>
      <c r="AD18" s="61">
        <v>4.8</v>
      </c>
      <c r="AE18" s="61">
        <v>0</v>
      </c>
      <c r="AF18" s="61">
        <v>0</v>
      </c>
      <c r="AG18" s="72"/>
      <c r="AH18" s="11">
        <f>IF(SUM(R18,V18)&gt;0,SUM(R18,V18),"")</f>
        <v>11.6</v>
      </c>
      <c r="AI18" s="11">
        <f>IF(SUM(Q18:R18,T18:V18,X18)-SUM(S18,W18)&gt;0,SUM(Q18:R18,T18:V18,X18)-SUM(S18,W18),"")</f>
        <v>62.899999999999991</v>
      </c>
      <c r="AJ18" s="11">
        <f>IF(SUM(Z18,AD18)&gt;0,SUM(Z18,AD18),"")</f>
        <v>9.6</v>
      </c>
      <c r="AK18" s="11">
        <f>IF(SUM(Y18:Z18,AB18:AD18,AF18)-SUM(AA18,AE18)&gt;0,SUM(Y18:Z18,AB18:AD18,AF18)-SUM(AA18,AE18),"")</f>
        <v>63.8</v>
      </c>
      <c r="AL18" s="11">
        <f>IF(SUM(AI18,AK18)&gt;0,SUM(AI18,AK18),"")</f>
        <v>126.69999999999999</v>
      </c>
      <c r="AM18" s="36">
        <v>24.8</v>
      </c>
      <c r="AN18" s="36">
        <v>6</v>
      </c>
      <c r="AO18" s="36">
        <v>0.3</v>
      </c>
      <c r="AP18" s="36">
        <v>0</v>
      </c>
      <c r="AQ18" s="36">
        <v>24.8</v>
      </c>
      <c r="AR18" s="36">
        <v>2.8</v>
      </c>
      <c r="AS18" s="36">
        <v>1.9</v>
      </c>
      <c r="AT18" s="36">
        <v>0</v>
      </c>
      <c r="AU18" s="36"/>
      <c r="AV18" s="36"/>
      <c r="AW18" s="36"/>
      <c r="AX18" s="36"/>
      <c r="AY18" s="36"/>
      <c r="AZ18" s="36"/>
      <c r="BA18" s="36"/>
      <c r="BB18" s="36"/>
      <c r="BC18" s="73"/>
      <c r="BD18" s="14">
        <f>IF(SUM(AN18,AR18)&gt;0,SUM(AN18,AR18),"")</f>
        <v>8.8000000000000007</v>
      </c>
      <c r="BE18" s="14">
        <f>IF(SUM(AM18:AN18,AP18:AR18,AT18)-SUM(AO18,AS18)&gt;0,SUM(AM18:AN18,AP18:AR18,AT18)-SUM(AO18,AS18),"")</f>
        <v>56.199999999999996</v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>
        <f>IF(SUM(BE18,BG18)&gt;0,SUM(BE18,BG18),"")</f>
        <v>56.199999999999996</v>
      </c>
      <c r="BI18" s="61">
        <v>19.8</v>
      </c>
      <c r="BJ18" s="61">
        <v>2.4</v>
      </c>
      <c r="BK18" s="61">
        <v>0</v>
      </c>
      <c r="BL18" s="61">
        <v>0</v>
      </c>
      <c r="BM18" s="61">
        <v>0</v>
      </c>
      <c r="BN18" s="61">
        <v>0</v>
      </c>
      <c r="BO18" s="61">
        <v>0</v>
      </c>
      <c r="BP18" s="61">
        <v>0</v>
      </c>
      <c r="BQ18" s="61"/>
      <c r="BR18" s="61"/>
      <c r="BS18" s="61"/>
      <c r="BT18" s="61"/>
      <c r="BU18" s="61"/>
      <c r="BV18" s="61"/>
      <c r="BW18" s="61"/>
      <c r="BX18" s="61"/>
      <c r="BY18" s="72"/>
      <c r="BZ18" s="11">
        <f>IF(SUM(BJ18,BN18)&gt;0,SUM(BJ18,BN18),"")</f>
        <v>2.4</v>
      </c>
      <c r="CA18" s="11">
        <f>IF(SUM(BI18:BJ18,BL18:BN18,BP18)-SUM(BK18,BO18)&gt;0,SUM(BI18:BJ18,BL18:BN18,BP18)-SUM(BK18,BO18),"")</f>
        <v>22.2</v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>
        <f>IF(SUM(CA18,CC18)&gt;0,SUM(CA18,CC18),"")</f>
        <v>22.2</v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22.3</v>
      </c>
      <c r="LZ18" s="61">
        <f>IF($BY18="P",BJ18,(BJ18+AN18)/2)</f>
        <v>4.2</v>
      </c>
      <c r="MA18" s="61">
        <f>IF($BY18="P",BK18,(BK18+AO18)/2)</f>
        <v>0.15</v>
      </c>
      <c r="MB18" s="61">
        <f>IF($BY18="P",BL18,(BL18+AP18)/2)</f>
        <v>0</v>
      </c>
      <c r="MC18" s="61">
        <f>IF($BY18="P",BM18,(BM18+AQ18)/2)</f>
        <v>12.4</v>
      </c>
      <c r="MD18" s="61">
        <f>IF($BY18="P",BN18,(BN18+AR18)/2)</f>
        <v>1.4</v>
      </c>
      <c r="ME18" s="61">
        <f>IF($BY18="P",BO18,(BO18+AS18)/2)</f>
        <v>0.95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>
        <f>IF(SUM(LZ18,MD18)&gt;0,SUM(LZ18,MD18),"")</f>
        <v>5.6</v>
      </c>
      <c r="MQ18" s="11">
        <f>IF(SUM(LY18:LZ18,MB18:MD18,MF18)-SUM(MA18,ME18)&gt;0,SUM(LY18:LZ18,MB18:MD18,MF18)-SUM(MA18,ME18),"")</f>
        <v>39.199999999999996</v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>
        <f>IF(SUM(MQ18,MS18)&gt;0,SUM(MQ18,MS18),"")</f>
        <v>39.199999999999996</v>
      </c>
    </row>
    <row r="19" spans="1:358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8" t="s">
        <v>121</v>
      </c>
      <c r="C19" s="4" t="s">
        <v>5</v>
      </c>
      <c r="D19" s="5">
        <v>2003</v>
      </c>
      <c r="E19" s="15">
        <f>SUM(J19:N19)</f>
        <v>117.79999999999998</v>
      </c>
      <c r="F19" s="3" t="str">
        <f>IF(OR(AND(AH19&gt;=AL$26,AI19&gt;=AL$30,AI19&lt;&gt;"",AG19=""),AND(BD19&gt;=BH$26,BE19&gt;=BH$30,BE19&lt;&gt;"",BC19=""),AND(BZ19&gt;=CD$26,CA19&gt;=CD$30,CA19&lt;&gt;"",BY19=""),AND(CW19&gt;=DA$26,CX19&gt;=DA$30,CX19&lt;&gt;""),AND(DR19&gt;=DV$26,DS19&gt;=DV$30,DS19&lt;&gt;""),AND(EM19&gt;=EQ$26,EN19&gt;=EQ$30,EN19&lt;&gt;""),AND(FH19&gt;=FL$26,FI19&gt;=FL$30,FI19&lt;&gt;""),AND(GC19&gt;=GG$26,GD19&gt;=GG$30,GD19&lt;&gt;""),AND(GX19&gt;=HB$26,GY19&gt;=HB$30,GY19&lt;&gt;""),AND(HS19&gt;=HW$26,HT19&gt;=HW$30,HT19&lt;&gt;""),AND(IN19&gt;=IR$26,IO19&gt;=IR$30,IO19&lt;&gt;""),AND(JI19&gt;=JM$26,JJ19&gt;=JM$30,JJ19&lt;&gt;""),AND(KD19&gt;=KH$26,KE19&gt;=KH$30,KE19&lt;&gt;""),AND(KY19&gt;=LC$26,KZ19&gt;=LC$30,KZ19&lt;&gt;""),AND(LT19&gt;=LX$26,LU19&gt;=LX$30,LU19&lt;&gt;"")),"P","")</f>
        <v/>
      </c>
      <c r="G19" s="3" t="str">
        <f>IF(OR(AND(AI19&gt;=AL$30,AI19&lt;&gt;"",AG19=""),AND(BE19&gt;=BH$30,BE19&lt;&gt;"",BC19=""),AND(CA19&gt;=CD$30,CA19&lt;&gt;"",BY19=""),AND(CX19&gt;=DA$30,CX19&lt;&gt;""),AND(DS19&gt;=DV$30,DS19&lt;&gt;""),AND(EN19&gt;=EQ$30,EN19&lt;&gt;""),AND(FI19&gt;=FL$30,FI19&lt;&gt;""),AND(GD19&gt;=GG$30,GD19&lt;&gt;""),AND(GY19&gt;=HB$30,GY19&lt;&gt;""),AND(HT19&gt;=HW$30,HT19&lt;&gt;""),AND(IO19&gt;=IR$30,IO19&lt;&gt;""),AND(JJ19&gt;=JM$30,JJ19&lt;&gt;""),AND(KE19&gt;=KH$30,KE19&lt;&gt;""),AND(KZ19&gt;=LC$30,KZ19&lt;&gt;""),AND(LU19&gt;=LX$30,LU19&lt;&gt;"")),"P","")</f>
        <v/>
      </c>
      <c r="H19" s="116" t="str">
        <f>IF(AND(G19="P",F19=""),"No DD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Merit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Excellence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Worlds Team",IF(OR(AND(AH19&gt;=AL$26,AH19&lt;&gt;"",AI19&gt;=AL$30,AI19&lt;&gt;"",AG19=""),AND(BD19&gt;=BH$26,BD19&lt;&gt;"",BE19&gt;=BH$30,BE19&lt;&gt;"",BC19=""),AND(BZ19&gt;=CD$26,BZ19&lt;&gt;"",CA19&gt;=CD$30,CA19&lt;&gt;"",BY19=""),AND(CW19&gt;=DA$26,CW19&lt;&gt;"",CX19&gt;=DA$30,CX19&lt;&gt;""),AND(DR19&gt;=DV$26,DR19&lt;&gt;"",DS19&gt;=DV$30,DS19&lt;&gt;""),AND(EM19&gt;=EQ$26,EM19&lt;&gt;"",EN19&gt;=EQ$30,EN19&lt;&gt;""),AND(FH19&gt;=FL$26,FH19&lt;&gt;"",FI19&gt;=FL$30,FI19&lt;&gt;""),AND(GC19&gt;=GG$26,GC19&lt;&gt;"",GD19&gt;=GG$30,GD19&lt;&gt;""),AND(GX19&gt;=HB$26,GX19&lt;&gt;"",GY19&gt;=HB$30,GY19&lt;&gt;""),AND(HS19&gt;=HW$26,HS19&lt;&gt;"",HT19&gt;=HW$30,HT19&lt;&gt;""),AND(IN19&gt;=IR$26,IN19&lt;&gt;"",IO19&gt;=IR$30,IO19&lt;&gt;""),AND(JI19&gt;=JM$26,JI19&lt;&gt;"",JJ19&gt;=JM$30,JJ19&lt;&gt;""),AND(KD19&gt;=KH$26,KD19&lt;&gt;"",KE19&gt;=KH$30,KE19&lt;&gt;""),AND(KY19&gt;=LC$26,KY19&lt;&gt;"",KZ19&gt;=LC$30,KZ19&lt;&gt;""),AND(LT19&gt;=LX$26,LT19&lt;&gt;"",LU19&gt;=LX$30,LU19&lt;&gt;"")),"National Team","")))))</f>
        <v/>
      </c>
      <c r="I19" s="3" t="str">
        <f>IF(OR(H19="Worlds Team",H19="Excellence",H19="Merit"),"P","")</f>
        <v/>
      </c>
      <c r="J19" s="14">
        <f>MAX(AI19,BE19,CA19)</f>
        <v>62.599999999999994</v>
      </c>
      <c r="K19" s="14" t="str">
        <f>IF(J19=0,"",IF(J19=CA19,$BI$1,IF(J19=BE19,$AM$1,IF(J19=AI19,$Q$1,""))))</f>
        <v>2021 2nd Virtual Technical Trial</v>
      </c>
      <c r="L19" s="14">
        <f>IF(J19=AI19,MAX(BH19,CD19),IF(J19=BE19,MAX(AL19,CD19),MAX(AL19,BH19)))</f>
        <v>55.199999999999996</v>
      </c>
      <c r="M19" s="14" t="str">
        <f>IF(L19=0,"",IF(AND(J19&lt;&gt;CA19,L19=CD19),$BI$1,IF(AND(J19&lt;&gt;BE19,L19=BH19),$AM$1,IF(L19=AL19,$Q$1,""))))</f>
        <v>2021 Canadian Championships</v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>
        <v>24.9</v>
      </c>
      <c r="R19" s="61">
        <v>6</v>
      </c>
      <c r="S19" s="61">
        <v>1.8</v>
      </c>
      <c r="T19" s="61">
        <v>0</v>
      </c>
      <c r="U19" s="61">
        <v>27.9</v>
      </c>
      <c r="V19" s="61">
        <v>5.6</v>
      </c>
      <c r="W19" s="61">
        <v>0</v>
      </c>
      <c r="X19" s="61">
        <v>0</v>
      </c>
      <c r="Y19" s="61">
        <v>19.8</v>
      </c>
      <c r="Z19" s="61">
        <v>2.4</v>
      </c>
      <c r="AA19" s="61">
        <v>0</v>
      </c>
      <c r="AB19" s="61">
        <v>0</v>
      </c>
      <c r="AC19" s="61">
        <v>27.7</v>
      </c>
      <c r="AD19" s="61">
        <v>5.2</v>
      </c>
      <c r="AE19" s="61">
        <v>0</v>
      </c>
      <c r="AF19" s="61">
        <v>0</v>
      </c>
      <c r="AG19" s="72"/>
      <c r="AH19" s="11">
        <f>IF(SUM(R19,V19)&gt;0,SUM(R19,V19),"")</f>
        <v>11.6</v>
      </c>
      <c r="AI19" s="11">
        <f>IF(SUM(Q19:R19,T19:V19,X19)-SUM(S19,W19)&gt;0,SUM(Q19:R19,T19:V19,X19)-SUM(S19,W19),"")</f>
        <v>62.599999999999994</v>
      </c>
      <c r="AJ19" s="11">
        <f>IF(SUM(Z19,AD19)&gt;0,SUM(Z19,AD19),"")</f>
        <v>7.6</v>
      </c>
      <c r="AK19" s="11">
        <f>IF(SUM(Y19:Z19,AB19:AD19,AF19)-SUM(AA19,AE19)&gt;0,SUM(Y19:Z19,AB19:AD19,AF19)-SUM(AA19,AE19),"")</f>
        <v>55.1</v>
      </c>
      <c r="AL19" s="11">
        <f>IF(SUM(AI19,AK19)&gt;0,SUM(AI19,AK19),"")</f>
        <v>117.69999999999999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20</v>
      </c>
      <c r="BJ19" s="61">
        <v>2.4</v>
      </c>
      <c r="BK19" s="61">
        <v>0</v>
      </c>
      <c r="BL19" s="61">
        <v>0</v>
      </c>
      <c r="BM19" s="61">
        <v>27.2</v>
      </c>
      <c r="BN19" s="61">
        <v>5.6</v>
      </c>
      <c r="BO19" s="61">
        <v>0</v>
      </c>
      <c r="BP19" s="61">
        <v>0</v>
      </c>
      <c r="BQ19" s="61"/>
      <c r="BR19" s="61"/>
      <c r="BS19" s="61"/>
      <c r="BT19" s="61"/>
      <c r="BU19" s="61"/>
      <c r="BV19" s="61"/>
      <c r="BW19" s="61"/>
      <c r="BX19" s="61"/>
      <c r="BY19" s="72"/>
      <c r="BZ19" s="11">
        <f>IF(SUM(BJ19,BN19)&gt;0,SUM(BJ19,BN19),"")</f>
        <v>8</v>
      </c>
      <c r="CA19" s="11">
        <f>IF(SUM(BI19:BJ19,BL19:BN19,BP19)-SUM(BK19,BO19)&gt;0,SUM(BI19:BJ19,BL19:BN19,BP19)-SUM(BK19,BO19),"")</f>
        <v>55.199999999999996</v>
      </c>
      <c r="CB19" s="11" t="str">
        <f>IF(SUM(BR19,BV19)&gt;0,SUM(BR19,BV19),"")</f>
        <v/>
      </c>
      <c r="CC19" s="11" t="str">
        <f>IF(SUM(BQ19:BR19,BT19:BV19,BX19)-SUM(BS19,BW19)&gt;0,SUM(BQ19:BR19,BT19:BV19,BX19)-SUM(BS19,BW19),"")</f>
        <v/>
      </c>
      <c r="CD19" s="11">
        <f>IF(SUM(CA19,CC19)&gt;0,SUM(CA19,CC19),"")</f>
        <v>55.199999999999996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10</v>
      </c>
      <c r="LZ19" s="61">
        <f>IF($BY19="P",BJ19,(BJ19+AN19)/2)</f>
        <v>1.2</v>
      </c>
      <c r="MA19" s="61">
        <f>IF($BY19="P",BK19,(BK19+AO19)/2)</f>
        <v>0</v>
      </c>
      <c r="MB19" s="61">
        <f>IF($BY19="P",BL19,(BL19+AP19)/2)</f>
        <v>0</v>
      </c>
      <c r="MC19" s="61">
        <f>IF($BY19="P",BM19,(BM19+AQ19)/2)</f>
        <v>13.6</v>
      </c>
      <c r="MD19" s="61">
        <f>IF($BY19="P",BN19,(BN19+AR19)/2)</f>
        <v>2.8</v>
      </c>
      <c r="ME19" s="61">
        <f>IF($BY19="P",BO19,(BO19+AS19)/2)</f>
        <v>0</v>
      </c>
      <c r="MF19" s="61">
        <f>IF($BY19="P",BP19,(BP19+AT19)/2)</f>
        <v>0</v>
      </c>
      <c r="MG19" s="61">
        <f>IF($BY19="P",BQ19,(BQ19+AU19)/2)</f>
        <v>0</v>
      </c>
      <c r="MH19" s="61">
        <f>IF($BY19="P",BR19,(BR19+AV19)/2)</f>
        <v>0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0</v>
      </c>
      <c r="ML19" s="61">
        <f>IF($BY19="P",BV19,(BV19+AZ19)/2)</f>
        <v>0</v>
      </c>
      <c r="MM19" s="61">
        <f>IF($BY19="P",BW19,(BW19+BA19)/2)</f>
        <v>0</v>
      </c>
      <c r="MN19" s="61">
        <f>IF($BY19="P",BX19,(BX19+BB19)/2)</f>
        <v>0</v>
      </c>
      <c r="MO19" s="72" t="s">
        <v>52</v>
      </c>
      <c r="MP19" s="11">
        <f>IF(SUM(LZ19,MD19)&gt;0,SUM(LZ19,MD19),"")</f>
        <v>4</v>
      </c>
      <c r="MQ19" s="11">
        <f>IF(SUM(LY19:LZ19,MB19:MD19,MF19)-SUM(MA19,ME19)&gt;0,SUM(LY19:LZ19,MB19:MD19,MF19)-SUM(MA19,ME19),"")</f>
        <v>27.599999999999998</v>
      </c>
      <c r="MR19" s="11" t="str">
        <f>IF(SUM(MH19,ML19)&gt;0,SUM(MH19,ML19),"")</f>
        <v/>
      </c>
      <c r="MS19" s="11" t="str">
        <f>IF(SUM(MG19:MH19,MJ19:ML19,MN19)-SUM(MI19,MM19)&gt;0,SUM(MG19:MH19,MJ19:ML19,MN19)-SUM(MI19,MM19),"")</f>
        <v/>
      </c>
      <c r="MT19" s="11">
        <f>IF(SUM(MQ19,MS19)&gt;0,SUM(MQ19,MS19),"")</f>
        <v>27.599999999999998</v>
      </c>
    </row>
    <row r="20" spans="1:358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8" t="s">
        <v>108</v>
      </c>
      <c r="C20" s="4" t="s">
        <v>4</v>
      </c>
      <c r="D20" s="5">
        <v>2003</v>
      </c>
      <c r="E20" s="15">
        <f>SUM(J20:N20)</f>
        <v>65.475000000000009</v>
      </c>
      <c r="F20" s="3" t="str">
        <f>IF(OR(AND(AH20&gt;=AL$26,AI20&gt;=AL$30,AI20&lt;&gt;"",AG20=""),AND(BD20&gt;=BH$26,BE20&gt;=BH$30,BE20&lt;&gt;"",BC20=""),AND(BZ20&gt;=CD$26,CA20&gt;=CD$30,CA20&lt;&gt;"",BY20=""),AND(CW20&gt;=DA$26,CX20&gt;=DA$30,CX20&lt;&gt;""),AND(DR20&gt;=DV$26,DS20&gt;=DV$30,DS20&lt;&gt;""),AND(EM20&gt;=EQ$26,EN20&gt;=EQ$30,EN20&lt;&gt;""),AND(FH20&gt;=FL$26,FI20&gt;=FL$30,FI20&lt;&gt;""),AND(GC20&gt;=GG$26,GD20&gt;=GG$30,GD20&lt;&gt;""),AND(GX20&gt;=HB$26,GY20&gt;=HB$30,GY20&lt;&gt;""),AND(HS20&gt;=HW$26,HT20&gt;=HW$30,HT20&lt;&gt;""),AND(IN20&gt;=IR$26,IO20&gt;=IR$30,IO20&lt;&gt;""),AND(JI20&gt;=JM$26,JJ20&gt;=JM$30,JJ20&lt;&gt;""),AND(KD20&gt;=KH$26,KE20&gt;=KH$30,KE20&lt;&gt;""),AND(KY20&gt;=LC$26,KZ20&gt;=LC$30,KZ20&lt;&gt;""),AND(LT20&gt;=LX$26,LU20&gt;=LX$30,LU20&lt;&gt;"")),"P","")</f>
        <v/>
      </c>
      <c r="G20" s="3" t="str">
        <f>IF(OR(AND(AI20&gt;=AL$30,AI20&lt;&gt;"",AG20=""),AND(BE20&gt;=BH$30,BE20&lt;&gt;"",BC20=""),AND(CA20&gt;=CD$30,CA20&lt;&gt;"",BY20=""),AND(CX20&gt;=DA$30,CX20&lt;&gt;""),AND(DS20&gt;=DV$30,DS20&lt;&gt;""),AND(EN20&gt;=EQ$30,EN20&lt;&gt;""),AND(FI20&gt;=FL$30,FI20&lt;&gt;""),AND(GD20&gt;=GG$30,GD20&lt;&gt;""),AND(GY20&gt;=HB$30,GY20&lt;&gt;""),AND(HT20&gt;=HW$30,HT20&lt;&gt;""),AND(IO20&gt;=IR$30,IO20&lt;&gt;""),AND(JJ20&gt;=JM$30,JJ20&lt;&gt;""),AND(KE20&gt;=KH$30,KE20&lt;&gt;""),AND(KZ20&gt;=LC$30,KZ20&lt;&gt;""),AND(LU20&gt;=LX$30,LU20&lt;&gt;"")),"P","")</f>
        <v/>
      </c>
      <c r="H20" s="116" t="str">
        <f>IF(AND(G20="P",F20=""),"No DD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Merit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Excellence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Worlds Team",IF(OR(AND(AH20&gt;=AL$26,AH20&lt;&gt;"",AI20&gt;=AL$30,AI20&lt;&gt;"",AG20=""),AND(BD20&gt;=BH$26,BD20&lt;&gt;"",BE20&gt;=BH$30,BE20&lt;&gt;"",BC20=""),AND(BZ20&gt;=CD$26,BZ20&lt;&gt;"",CA20&gt;=CD$30,CA20&lt;&gt;"",BY20=""),AND(CW20&gt;=DA$26,CW20&lt;&gt;"",CX20&gt;=DA$30,CX20&lt;&gt;""),AND(DR20&gt;=DV$26,DR20&lt;&gt;"",DS20&gt;=DV$30,DS20&lt;&gt;""),AND(EM20&gt;=EQ$26,EM20&lt;&gt;"",EN20&gt;=EQ$30,EN20&lt;&gt;""),AND(FH20&gt;=FL$26,FH20&lt;&gt;"",FI20&gt;=FL$30,FI20&lt;&gt;""),AND(GC20&gt;=GG$26,GC20&lt;&gt;"",GD20&gt;=GG$30,GD20&lt;&gt;""),AND(GX20&gt;=HB$26,GX20&lt;&gt;"",GY20&gt;=HB$30,GY20&lt;&gt;""),AND(HS20&gt;=HW$26,HS20&lt;&gt;"",HT20&gt;=HW$30,HT20&lt;&gt;""),AND(IN20&gt;=IR$26,IN20&lt;&gt;"",IO20&gt;=IR$30,IO20&lt;&gt;""),AND(JI20&gt;=JM$26,JI20&lt;&gt;"",JJ20&gt;=JM$30,JJ20&lt;&gt;""),AND(KD20&gt;=KH$26,KD20&lt;&gt;"",KE20&gt;=KH$30,KE20&lt;&gt;""),AND(KY20&gt;=LC$26,KY20&lt;&gt;"",KZ20&gt;=LC$30,KZ20&lt;&gt;""),AND(LT20&gt;=LX$26,LT20&lt;&gt;"",LU20&gt;=LX$30,LU20&lt;&gt;"")),"National Team","")))))</f>
        <v/>
      </c>
      <c r="I20" s="3" t="str">
        <f>IF(OR(H20="Worlds Team",H20="Excellence",H20="Merit"),"P","")</f>
        <v/>
      </c>
      <c r="J20" s="14">
        <f>MAX(AI20,BE20,CA20)</f>
        <v>65.475000000000009</v>
      </c>
      <c r="K20" s="14" t="str">
        <f>IF(J20=0,"",IF(J20=CA20,$BI$1,IF(J20=BE20,$AM$1,IF(J20=AI20,$Q$1,""))))</f>
        <v>2021 2nd Virtual Technical Trial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>
        <v>27.375</v>
      </c>
      <c r="R20" s="61">
        <v>5.6</v>
      </c>
      <c r="S20" s="61">
        <v>0</v>
      </c>
      <c r="T20" s="61">
        <v>0</v>
      </c>
      <c r="U20" s="61">
        <v>27.5</v>
      </c>
      <c r="V20" s="61">
        <v>5.1999999999999993</v>
      </c>
      <c r="W20" s="61">
        <v>0.6</v>
      </c>
      <c r="X20" s="61">
        <v>0.4</v>
      </c>
      <c r="Y20" s="61">
        <v>27.8</v>
      </c>
      <c r="Z20" s="61">
        <v>3.9</v>
      </c>
      <c r="AA20" s="61">
        <v>0</v>
      </c>
      <c r="AB20" s="61">
        <v>0</v>
      </c>
      <c r="AC20" s="61">
        <v>28.15</v>
      </c>
      <c r="AD20" s="61">
        <v>3.75</v>
      </c>
      <c r="AE20" s="61">
        <v>0.45</v>
      </c>
      <c r="AF20" s="61">
        <v>0</v>
      </c>
      <c r="AG20" s="72" t="s">
        <v>52</v>
      </c>
      <c r="AH20" s="11">
        <f>IF(SUM(R20,V20)&gt;0,SUM(R20,V20),"")</f>
        <v>10.799999999999999</v>
      </c>
      <c r="AI20" s="11">
        <f>IF(SUM(Q20:R20,T20:V20,X20)-SUM(S20,W20)&gt;0,SUM(Q20:R20,T20:V20,X20)-SUM(S20,W20),"")</f>
        <v>65.475000000000009</v>
      </c>
      <c r="AJ20" s="11">
        <f>IF(SUM(Z20,AD20)&gt;0,SUM(Z20,AD20),"")</f>
        <v>7.65</v>
      </c>
      <c r="AK20" s="11">
        <f>IF(SUM(Y20:Z20,AB20:AD20,AF20)-SUM(AA20,AE20)&gt;0,SUM(Y20:Z20,AB20:AD20,AF20)-SUM(AA20,AE20),"")</f>
        <v>63.149999999999991</v>
      </c>
      <c r="AL20" s="11">
        <f>IF(SUM(AI20,AK20)&gt;0,SUM(AI20,AK20),"")</f>
        <v>128.625</v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>IF(SUM(AN20,AR20)&gt;0,SUM(AN20,AR20),"")</f>
        <v/>
      </c>
      <c r="BE20" s="14" t="str">
        <f>IF(SUM(AM20:AN20,AP20:AR20,AT20)-SUM(AO20,AS20)&gt;0,SUM(AM20:AN20,AP20:AR20,AT20)-SUM(AO20,AS20),"")</f>
        <v/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 t="str">
        <f>IF(SUM(BE20,BG20)&gt;0,SUM(BE20,BG20),"")</f>
        <v/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0</v>
      </c>
      <c r="LZ20" s="61">
        <f>IF($BY20="P",BJ20,(BJ20+AN20)/2)</f>
        <v>0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0</v>
      </c>
      <c r="MD20" s="61">
        <f>IF($BY20="P",BN20,(BN20+AR20)/2)</f>
        <v>0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0</v>
      </c>
      <c r="MH20" s="61">
        <f>IF($BY20="P",BR20,(BR20+AV20)/2)</f>
        <v>0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0</v>
      </c>
      <c r="ML20" s="61">
        <f>IF($BY20="P",BV20,(BV20+AZ20)/2)</f>
        <v>0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 t="str">
        <f>IF(SUM(LZ20,MD20)&gt;0,SUM(LZ20,MD20),"")</f>
        <v/>
      </c>
      <c r="MQ20" s="11" t="str">
        <f>IF(SUM(LY20:LZ20,MB20:MD20,MF20)-SUM(MA20,ME20)&gt;0,SUM(LY20:LZ20,MB20:MD20,MF20)-SUM(MA20,ME20),"")</f>
        <v/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 t="str">
        <f>IF(SUM(MQ20,MS20)&gt;0,SUM(MQ20,MS20),"")</f>
        <v/>
      </c>
    </row>
    <row r="21" spans="1:358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8" t="s">
        <v>158</v>
      </c>
      <c r="C21" s="4" t="s">
        <v>5</v>
      </c>
      <c r="D21" s="5">
        <v>2004</v>
      </c>
      <c r="E21" s="15">
        <f>SUM(J21:N21)</f>
        <v>62.800000000000004</v>
      </c>
      <c r="F21" s="3" t="str">
        <f>IF(OR(AND(AH21&gt;=AL$26,AI21&gt;=AL$30,AI21&lt;&gt;"",AG21=""),AND(BD21&gt;=BH$26,BE21&gt;=BH$30,BE21&lt;&gt;"",BC21=""),AND(BZ21&gt;=CD$26,CA21&gt;=CD$30,CA21&lt;&gt;"",BY21=""),AND(CW21&gt;=DA$26,CX21&gt;=DA$30,CX21&lt;&gt;""),AND(DR21&gt;=DV$26,DS21&gt;=DV$30,DS21&lt;&gt;""),AND(EM21&gt;=EQ$26,EN21&gt;=EQ$30,EN21&lt;&gt;""),AND(FH21&gt;=FL$26,FI21&gt;=FL$30,FI21&lt;&gt;""),AND(GC21&gt;=GG$26,GD21&gt;=GG$30,GD21&lt;&gt;""),AND(GX21&gt;=HB$26,GY21&gt;=HB$30,GY21&lt;&gt;""),AND(HS21&gt;=HW$26,HT21&gt;=HW$30,HT21&lt;&gt;""),AND(IN21&gt;=IR$26,IO21&gt;=IR$30,IO21&lt;&gt;""),AND(JI21&gt;=JM$26,JJ21&gt;=JM$30,JJ21&lt;&gt;""),AND(KD21&gt;=KH$26,KE21&gt;=KH$30,KE21&lt;&gt;""),AND(KY21&gt;=LC$26,KZ21&gt;=LC$30,KZ21&lt;&gt;""),AND(LT21&gt;=LX$26,LU21&gt;=LX$30,LU21&lt;&gt;"")),"P","")</f>
        <v/>
      </c>
      <c r="G21" s="3" t="str">
        <f>IF(OR(AND(AI21&gt;=AL$30,AI21&lt;&gt;"",AG21=""),AND(BE21&gt;=BH$30,BE21&lt;&gt;"",BC21=""),AND(CA21&gt;=CD$30,CA21&lt;&gt;"",BY21=""),AND(CX21&gt;=DA$30,CX21&lt;&gt;""),AND(DS21&gt;=DV$30,DS21&lt;&gt;""),AND(EN21&gt;=EQ$30,EN21&lt;&gt;""),AND(FI21&gt;=FL$30,FI21&lt;&gt;""),AND(GD21&gt;=GG$30,GD21&lt;&gt;""),AND(GY21&gt;=HB$30,GY21&lt;&gt;""),AND(HT21&gt;=HW$30,HT21&lt;&gt;""),AND(IO21&gt;=IR$30,IO21&lt;&gt;""),AND(JJ21&gt;=JM$30,JJ21&lt;&gt;""),AND(KE21&gt;=KH$30,KE21&lt;&gt;""),AND(KZ21&gt;=LC$30,KZ21&lt;&gt;""),AND(LU21&gt;=LX$30,LU21&lt;&gt;"")),"P","")</f>
        <v/>
      </c>
      <c r="H21" s="116" t="str">
        <f>IF(AND(G21="P",F21=""),"No DD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Merit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Excellence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Worlds Team",IF(OR(AND(AH21&gt;=AL$26,AH21&lt;&gt;"",AI21&gt;=AL$30,AI21&lt;&gt;"",AG21=""),AND(BD21&gt;=BH$26,BD21&lt;&gt;"",BE21&gt;=BH$30,BE21&lt;&gt;"",BC21=""),AND(BZ21&gt;=CD$26,BZ21&lt;&gt;"",CA21&gt;=CD$30,CA21&lt;&gt;"",BY21=""),AND(CW21&gt;=DA$26,CW21&lt;&gt;"",CX21&gt;=DA$30,CX21&lt;&gt;""),AND(DR21&gt;=DV$26,DR21&lt;&gt;"",DS21&gt;=DV$30,DS21&lt;&gt;""),AND(EM21&gt;=EQ$26,EM21&lt;&gt;"",EN21&gt;=EQ$30,EN21&lt;&gt;""),AND(FH21&gt;=FL$26,FH21&lt;&gt;"",FI21&gt;=FL$30,FI21&lt;&gt;""),AND(GC21&gt;=GG$26,GC21&lt;&gt;"",GD21&gt;=GG$30,GD21&lt;&gt;""),AND(GX21&gt;=HB$26,GX21&lt;&gt;"",GY21&gt;=HB$30,GY21&lt;&gt;""),AND(HS21&gt;=HW$26,HS21&lt;&gt;"",HT21&gt;=HW$30,HT21&lt;&gt;""),AND(IN21&gt;=IR$26,IN21&lt;&gt;"",IO21&gt;=IR$30,IO21&lt;&gt;""),AND(JI21&gt;=JM$26,JI21&lt;&gt;"",JJ21&gt;=JM$30,JJ21&lt;&gt;""),AND(KD21&gt;=KH$26,KD21&lt;&gt;"",KE21&gt;=KH$30,KE21&lt;&gt;""),AND(KY21&gt;=LC$26,KY21&lt;&gt;"",KZ21&gt;=LC$30,KZ21&lt;&gt;""),AND(LT21&gt;=LX$26,LT21&lt;&gt;"",LU21&gt;=LX$30,LU21&lt;&gt;"")),"National Team","")))))</f>
        <v/>
      </c>
      <c r="I21" s="3" t="str">
        <f>IF(OR(H21="Worlds Team",H21="Excellence",H21="Merit"),"P","")</f>
        <v/>
      </c>
      <c r="J21" s="14">
        <f>MAX(AI21,BE21,CA21)</f>
        <v>62.800000000000004</v>
      </c>
      <c r="K21" s="14" t="str">
        <f>IF(J21=0,"",IF(J21=CA21,$BI$1,IF(J21=BE21,$AM$1,IF(J21=AI21,$Q$1,""))))</f>
        <v>2021 Canadian Championships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>IF(SUM(R21,V21)&gt;0,SUM(R21,V21),"")</f>
        <v/>
      </c>
      <c r="AI21" s="11" t="str">
        <f>IF(SUM(Q21:R21,T21:V21,X21)-SUM(S21,W21)&gt;0,SUM(Q21:R21,T21:V21,X21)-SUM(S21,W21),"")</f>
        <v/>
      </c>
      <c r="AJ21" s="11" t="str">
        <f>IF(SUM(Z21,AD21)&gt;0,SUM(Z21,AD21),"")</f>
        <v/>
      </c>
      <c r="AK21" s="11" t="str">
        <f>IF(SUM(Y21:Z21,AB21:AD21,AF21)-SUM(AA21,AE21)&gt;0,SUM(Y21:Z21,AB21:AD21,AF21)-SUM(AA21,AE21),"")</f>
        <v/>
      </c>
      <c r="AL21" s="11" t="str">
        <f>IF(SUM(AI21,AK21)&gt;0,SUM(AI21,AK21),"")</f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>
        <v>28.1</v>
      </c>
      <c r="BJ21" s="61">
        <v>3.1</v>
      </c>
      <c r="BK21" s="61">
        <v>0</v>
      </c>
      <c r="BL21" s="61">
        <v>0</v>
      </c>
      <c r="BM21" s="61">
        <v>28.4</v>
      </c>
      <c r="BN21" s="61">
        <v>3.2</v>
      </c>
      <c r="BO21" s="61">
        <v>0</v>
      </c>
      <c r="BP21" s="61">
        <v>0</v>
      </c>
      <c r="BQ21" s="61">
        <v>19.899999999999999</v>
      </c>
      <c r="BR21" s="61">
        <v>2</v>
      </c>
      <c r="BS21" s="61">
        <v>0</v>
      </c>
      <c r="BT21" s="61">
        <v>0</v>
      </c>
      <c r="BU21" s="61">
        <v>28.1</v>
      </c>
      <c r="BV21" s="61">
        <v>3</v>
      </c>
      <c r="BW21" s="61">
        <v>0.9</v>
      </c>
      <c r="BX21" s="61">
        <v>0</v>
      </c>
      <c r="BY21" s="72"/>
      <c r="BZ21" s="11">
        <f>IF(SUM(BJ21,BN21)&gt;0,SUM(BJ21,BN21),"")</f>
        <v>6.3000000000000007</v>
      </c>
      <c r="CA21" s="11">
        <f>IF(SUM(BI21:BJ21,BL21:BN21,BP21)-SUM(BK21,BO21)&gt;0,SUM(BI21:BJ21,BL21:BN21,BP21)-SUM(BK21,BO21),"")</f>
        <v>62.800000000000004</v>
      </c>
      <c r="CB21" s="11">
        <f>IF(SUM(BR21,BV21)&gt;0,SUM(BR21,BV21),"")</f>
        <v>5</v>
      </c>
      <c r="CC21" s="11">
        <f>IF(SUM(BQ21:BR21,BT21:BV21,BX21)-SUM(BS21,BW21)&gt;0,SUM(BQ21:BR21,BT21:BV21,BX21)-SUM(BS21,BW21),"")</f>
        <v>52.1</v>
      </c>
      <c r="CD21" s="11">
        <f>IF(SUM(CA21,CC21)&gt;0,SUM(CA21,CC21),"")</f>
        <v>114.9</v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14.05</v>
      </c>
      <c r="LZ21" s="61">
        <f>IF($BY21="P",BJ21,(BJ21+AN21)/2)</f>
        <v>1.55</v>
      </c>
      <c r="MA21" s="61">
        <f>IF($BY21="P",BK21,(BK21+AO21)/2)</f>
        <v>0</v>
      </c>
      <c r="MB21" s="61">
        <f>IF($BY21="P",BL21,(BL21+AP21)/2)</f>
        <v>0</v>
      </c>
      <c r="MC21" s="61">
        <f>IF($BY21="P",BM21,(BM21+AQ21)/2)</f>
        <v>14.2</v>
      </c>
      <c r="MD21" s="61">
        <f>IF($BY21="P",BN21,(BN21+AR21)/2)</f>
        <v>1.6</v>
      </c>
      <c r="ME21" s="61">
        <f>IF($BY21="P",BO21,(BO21+AS21)/2)</f>
        <v>0</v>
      </c>
      <c r="MF21" s="61">
        <f>IF($BY21="P",BP21,(BP21+AT21)/2)</f>
        <v>0</v>
      </c>
      <c r="MG21" s="61">
        <f>IF($BY21="P",BQ21,(BQ21+AU21)/2)</f>
        <v>9.9499999999999993</v>
      </c>
      <c r="MH21" s="61">
        <f>IF($BY21="P",BR21,(BR21+AV21)/2)</f>
        <v>1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14.05</v>
      </c>
      <c r="ML21" s="61">
        <f>IF($BY21="P",BV21,(BV21+AZ21)/2)</f>
        <v>1.5</v>
      </c>
      <c r="MM21" s="61">
        <f>IF($BY21="P",BW21,(BW21+BA21)/2)</f>
        <v>0.45</v>
      </c>
      <c r="MN21" s="61">
        <f>IF($BY21="P",BX21,(BX21+BB21)/2)</f>
        <v>0</v>
      </c>
      <c r="MO21" s="72" t="s">
        <v>52</v>
      </c>
      <c r="MP21" s="11">
        <f>IF(SUM(LZ21,MD21)&gt;0,SUM(LZ21,MD21),"")</f>
        <v>3.1500000000000004</v>
      </c>
      <c r="MQ21" s="11">
        <f>IF(SUM(LY21:LZ21,MB21:MD21,MF21)-SUM(MA21,ME21)&gt;0,SUM(LY21:LZ21,MB21:MD21,MF21)-SUM(MA21,ME21),"")</f>
        <v>31.400000000000002</v>
      </c>
      <c r="MR21" s="11">
        <f>IF(SUM(MH21,ML21)&gt;0,SUM(MH21,ML21),"")</f>
        <v>2.5</v>
      </c>
      <c r="MS21" s="11">
        <f>IF(SUM(MG21:MH21,MJ21:ML21,MN21)-SUM(MI21,MM21)&gt;0,SUM(MG21:MH21,MJ21:ML21,MN21)-SUM(MI21,MM21),"")</f>
        <v>26.05</v>
      </c>
      <c r="MT21" s="11">
        <f>IF(SUM(MQ21,MS21)&gt;0,SUM(MQ21,MS21),"")</f>
        <v>57.45</v>
      </c>
    </row>
    <row r="22" spans="1:358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8" t="s">
        <v>127</v>
      </c>
      <c r="C22" s="4" t="s">
        <v>4</v>
      </c>
      <c r="D22" s="5">
        <v>2004</v>
      </c>
      <c r="E22" s="15">
        <f>SUM(J22:N22)</f>
        <v>52.900000000000006</v>
      </c>
      <c r="F22" s="3" t="str">
        <f>IF(OR(AND(AH22&gt;=AL$26,AI22&gt;=AL$30,AI22&lt;&gt;"",AG22=""),AND(BD22&gt;=BH$26,BE22&gt;=BH$30,BE22&lt;&gt;"",BC22=""),AND(BZ22&gt;=CD$26,CA22&gt;=CD$30,CA22&lt;&gt;"",BY22=""),AND(CW22&gt;=DA$26,CX22&gt;=DA$30,CX22&lt;&gt;""),AND(DR22&gt;=DV$26,DS22&gt;=DV$30,DS22&lt;&gt;""),AND(EM22&gt;=EQ$26,EN22&gt;=EQ$30,EN22&lt;&gt;""),AND(FH22&gt;=FL$26,FI22&gt;=FL$30,FI22&lt;&gt;""),AND(GC22&gt;=GG$26,GD22&gt;=GG$30,GD22&lt;&gt;""),AND(GX22&gt;=HB$26,GY22&gt;=HB$30,GY22&lt;&gt;""),AND(HS22&gt;=HW$26,HT22&gt;=HW$30,HT22&lt;&gt;""),AND(IN22&gt;=IR$26,IO22&gt;=IR$30,IO22&lt;&gt;""),AND(JI22&gt;=JM$26,JJ22&gt;=JM$30,JJ22&lt;&gt;""),AND(KD22&gt;=KH$26,KE22&gt;=KH$30,KE22&lt;&gt;""),AND(KY22&gt;=LC$26,KZ22&gt;=LC$30,KZ22&lt;&gt;""),AND(LT22&gt;=LX$26,LU22&gt;=LX$30,LU22&lt;&gt;"")),"P","")</f>
        <v/>
      </c>
      <c r="G22" s="3" t="str">
        <f>IF(OR(AND(AI22&gt;=AL$30,AI22&lt;&gt;"",AG22=""),AND(BE22&gt;=BH$30,BE22&lt;&gt;"",BC22=""),AND(CA22&gt;=CD$30,CA22&lt;&gt;"",BY22=""),AND(CX22&gt;=DA$30,CX22&lt;&gt;""),AND(DS22&gt;=DV$30,DS22&lt;&gt;""),AND(EN22&gt;=EQ$30,EN22&lt;&gt;""),AND(FI22&gt;=FL$30,FI22&lt;&gt;""),AND(GD22&gt;=GG$30,GD22&lt;&gt;""),AND(GY22&gt;=HB$30,GY22&lt;&gt;""),AND(HT22&gt;=HW$30,HT22&lt;&gt;""),AND(IO22&gt;=IR$30,IO22&lt;&gt;""),AND(JJ22&gt;=JM$30,JJ22&lt;&gt;""),AND(KE22&gt;=KH$30,KE22&lt;&gt;""),AND(KZ22&gt;=LC$30,KZ22&lt;&gt;""),AND(LU22&gt;=LX$30,LU22&lt;&gt;"")),"P","")</f>
        <v/>
      </c>
      <c r="H22" s="116" t="str">
        <f>IF(AND(G22="P",F22=""),"No DD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Merit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Excellence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Worlds Team",IF(OR(AND(AH22&gt;=AL$26,AH22&lt;&gt;"",AI22&gt;=AL$30,AI22&lt;&gt;"",AG22=""),AND(BD22&gt;=BH$26,BD22&lt;&gt;"",BE22&gt;=BH$30,BE22&lt;&gt;"",BC22=""),AND(BZ22&gt;=CD$26,BZ22&lt;&gt;"",CA22&gt;=CD$30,CA22&lt;&gt;"",BY22=""),AND(CW22&gt;=DA$26,CW22&lt;&gt;"",CX22&gt;=DA$30,CX22&lt;&gt;""),AND(DR22&gt;=DV$26,DR22&lt;&gt;"",DS22&gt;=DV$30,DS22&lt;&gt;""),AND(EM22&gt;=EQ$26,EM22&lt;&gt;"",EN22&gt;=EQ$30,EN22&lt;&gt;""),AND(FH22&gt;=FL$26,FH22&lt;&gt;"",FI22&gt;=FL$30,FI22&lt;&gt;""),AND(GC22&gt;=GG$26,GC22&lt;&gt;"",GD22&gt;=GG$30,GD22&lt;&gt;""),AND(GX22&gt;=HB$26,GX22&lt;&gt;"",GY22&gt;=HB$30,GY22&lt;&gt;""),AND(HS22&gt;=HW$26,HS22&lt;&gt;"",HT22&gt;=HW$30,HT22&lt;&gt;""),AND(IN22&gt;=IR$26,IN22&lt;&gt;"",IO22&gt;=IR$30,IO22&lt;&gt;""),AND(JI22&gt;=JM$26,JI22&lt;&gt;"",JJ22&gt;=JM$30,JJ22&lt;&gt;""),AND(KD22&gt;=KH$26,KD22&lt;&gt;"",KE22&gt;=KH$30,KE22&lt;&gt;""),AND(KY22&gt;=LC$26,KY22&lt;&gt;"",KZ22&gt;=LC$30,KZ22&lt;&gt;""),AND(LT22&gt;=LX$26,LT22&lt;&gt;"",LU22&gt;=LX$30,LU22&lt;&gt;"")),"National Team","")))))</f>
        <v/>
      </c>
      <c r="I22" s="3" t="str">
        <f>IF(OR(H22="Worlds Team",H22="Excellence",H22="Merit"),"P","")</f>
        <v/>
      </c>
      <c r="J22" s="14">
        <f>MAX(AI22,BE22,CA22)</f>
        <v>52.900000000000006</v>
      </c>
      <c r="K22" s="14" t="str">
        <f>IF(J22=0,"",IF(J22=CA22,$BI$1,IF(J22=BE22,$AM$1,IF(J22=AI22,$Q$1,""))))</f>
        <v>2021 2nd Virtual Technical Trial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>
        <v>27.8</v>
      </c>
      <c r="R22" s="61">
        <v>3.7</v>
      </c>
      <c r="S22" s="61">
        <v>0</v>
      </c>
      <c r="T22" s="61">
        <v>0</v>
      </c>
      <c r="U22" s="61">
        <v>20.2</v>
      </c>
      <c r="V22" s="61">
        <v>1.2</v>
      </c>
      <c r="W22" s="61">
        <v>0</v>
      </c>
      <c r="X22" s="61">
        <v>0</v>
      </c>
      <c r="Y22" s="61">
        <v>27.6</v>
      </c>
      <c r="Z22" s="61">
        <v>3.5</v>
      </c>
      <c r="AA22" s="61">
        <v>0</v>
      </c>
      <c r="AB22" s="61">
        <v>0</v>
      </c>
      <c r="AC22" s="61">
        <v>24.6</v>
      </c>
      <c r="AD22" s="61">
        <v>3.8</v>
      </c>
      <c r="AE22" s="61">
        <v>0.3</v>
      </c>
      <c r="AF22" s="61">
        <v>0</v>
      </c>
      <c r="AG22" s="72"/>
      <c r="AH22" s="11">
        <f>IF(SUM(R22,V22)&gt;0,SUM(R22,V22),"")</f>
        <v>4.9000000000000004</v>
      </c>
      <c r="AI22" s="11">
        <f>IF(SUM(Q22:R22,T22:V22,X22)-SUM(S22,W22)&gt;0,SUM(Q22:R22,T22:V22,X22)-SUM(S22,W22),"")</f>
        <v>52.900000000000006</v>
      </c>
      <c r="AJ22" s="11">
        <f>IF(SUM(Z22,AD22)&gt;0,SUM(Z22,AD22),"")</f>
        <v>7.3</v>
      </c>
      <c r="AK22" s="11">
        <f>IF(SUM(Y22:Z22,AB22:AD22,AF22)-SUM(AA22,AE22)&gt;0,SUM(Y22:Z22,AB22:AD22,AF22)-SUM(AA22,AE22),"")</f>
        <v>59.2</v>
      </c>
      <c r="AL22" s="11">
        <f>IF(SUM(AI22,AK22)&gt;0,SUM(AI22,AK22),"")</f>
        <v>112.10000000000001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>IF(SUM(BJ22,BN22)&gt;0,SUM(BJ22,BN22),"")</f>
        <v/>
      </c>
      <c r="CA22" s="11" t="str">
        <f>IF(SUM(BI22:BJ22,BL22:BN22,BP22)-SUM(BK22,BO22)&gt;0,SUM(BI22:BJ22,BL22:BN22,BP22)-SUM(BK22,BO22),"")</f>
        <v/>
      </c>
      <c r="CB22" s="11" t="str">
        <f>IF(SUM(BR22,BV22)&gt;0,SUM(BR22,BV22),"")</f>
        <v/>
      </c>
      <c r="CC22" s="11" t="str">
        <f>IF(SUM(BQ22:BR22,BT22:BV22,BX22)-SUM(BS22,BW22)&gt;0,SUM(BQ22:BR22,BT22:BV22,BX22)-SUM(BS22,BW22),"")</f>
        <v/>
      </c>
      <c r="CD22" s="11" t="str">
        <f>IF(SUM(CA22,CC22)&gt;0,SUM(CA22,CC22),"")</f>
        <v/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0</v>
      </c>
      <c r="LZ22" s="61">
        <f>IF($BY22="P",BJ22,(BJ22+AN22)/2)</f>
        <v>0</v>
      </c>
      <c r="MA22" s="61">
        <f>IF($BY22="P",BK22,(BK22+AO22)/2)</f>
        <v>0</v>
      </c>
      <c r="MB22" s="61">
        <f>IF($BY22="P",BL22,(BL22+AP22)/2)</f>
        <v>0</v>
      </c>
      <c r="MC22" s="61">
        <f>IF($BY22="P",BM22,(BM22+AQ22)/2)</f>
        <v>0</v>
      </c>
      <c r="MD22" s="61">
        <f>IF($BY22="P",BN22,(BN22+AR22)/2)</f>
        <v>0</v>
      </c>
      <c r="ME22" s="61">
        <f>IF($BY22="P",BO22,(BO22+AS22)/2)</f>
        <v>0</v>
      </c>
      <c r="MF22" s="61">
        <f>IF($BY22="P",BP22,(BP22+AT22)/2)</f>
        <v>0</v>
      </c>
      <c r="MG22" s="61">
        <f>IF($BY22="P",BQ22,(BQ22+AU22)/2)</f>
        <v>0</v>
      </c>
      <c r="MH22" s="61">
        <f>IF($BY22="P",BR22,(BR22+AV22)/2)</f>
        <v>0</v>
      </c>
      <c r="MI22" s="61">
        <f>IF($BY22="P",BS22,(BS22+AW22)/2)</f>
        <v>0</v>
      </c>
      <c r="MJ22" s="61">
        <f>IF($BY22="P",BT22,(BT22+AX22)/2)</f>
        <v>0</v>
      </c>
      <c r="MK22" s="61">
        <f>IF($BY22="P",BU22,(BU22+AY22)/2)</f>
        <v>0</v>
      </c>
      <c r="ML22" s="61">
        <f>IF($BY22="P",BV22,(BV22+AZ22)/2)</f>
        <v>0</v>
      </c>
      <c r="MM22" s="61">
        <f>IF($BY22="P",BW22,(BW22+BA22)/2)</f>
        <v>0</v>
      </c>
      <c r="MN22" s="61">
        <f>IF($BY22="P",BX22,(BX22+BB22)/2)</f>
        <v>0</v>
      </c>
      <c r="MO22" s="72" t="s">
        <v>52</v>
      </c>
      <c r="MP22" s="11" t="str">
        <f>IF(SUM(LZ22,MD22)&gt;0,SUM(LZ22,MD22),"")</f>
        <v/>
      </c>
      <c r="MQ22" s="11" t="str">
        <f>IF(SUM(LY22:LZ22,MB22:MD22,MF22)-SUM(MA22,ME22)&gt;0,SUM(LY22:LZ22,MB22:MD22,MF22)-SUM(MA22,ME22),"")</f>
        <v/>
      </c>
      <c r="MR22" s="11" t="str">
        <f>IF(SUM(MH22,ML22)&gt;0,SUM(MH22,ML22),"")</f>
        <v/>
      </c>
      <c r="MS22" s="11" t="str">
        <f>IF(SUM(MG22:MH22,MJ22:ML22,MN22)-SUM(MI22,MM22)&gt;0,SUM(MG22:MH22,MJ22:ML22,MN22)-SUM(MI22,MM22),"")</f>
        <v/>
      </c>
      <c r="MT22" s="11" t="str">
        <f>IF(SUM(MQ22,MS22)&gt;0,SUM(MQ22,MS22),"")</f>
        <v/>
      </c>
    </row>
    <row r="23" spans="1:358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8" t="s">
        <v>101</v>
      </c>
      <c r="C23" s="4" t="s">
        <v>5</v>
      </c>
      <c r="D23" s="5">
        <v>2004</v>
      </c>
      <c r="E23" s="15">
        <f>SUM(J23:N23)</f>
        <v>31</v>
      </c>
      <c r="F23" s="3" t="str">
        <f>IF(OR(AND(AH23&gt;=AL$26,AI23&gt;=AL$30,AI23&lt;&gt;"",AG23=""),AND(BD23&gt;=BH$26,BE23&gt;=BH$30,BE23&lt;&gt;"",BC23=""),AND(BZ23&gt;=CD$26,CA23&gt;=CD$30,CA23&lt;&gt;"",BY23=""),AND(CW23&gt;=DA$26,CX23&gt;=DA$30,CX23&lt;&gt;""),AND(DR23&gt;=DV$26,DS23&gt;=DV$30,DS23&lt;&gt;""),AND(EM23&gt;=EQ$26,EN23&gt;=EQ$30,EN23&lt;&gt;""),AND(FH23&gt;=FL$26,FI23&gt;=FL$30,FI23&lt;&gt;""),AND(GC23&gt;=GG$26,GD23&gt;=GG$30,GD23&lt;&gt;""),AND(GX23&gt;=HB$26,GY23&gt;=HB$30,GY23&lt;&gt;""),AND(HS23&gt;=HW$26,HT23&gt;=HW$30,HT23&lt;&gt;""),AND(IN23&gt;=IR$26,IO23&gt;=IR$30,IO23&lt;&gt;""),AND(JI23&gt;=JM$26,JJ23&gt;=JM$30,JJ23&lt;&gt;""),AND(KD23&gt;=KH$26,KE23&gt;=KH$30,KE23&lt;&gt;""),AND(KY23&gt;=LC$26,KZ23&gt;=LC$30,KZ23&lt;&gt;""),AND(LT23&gt;=LX$26,LU23&gt;=LX$30,LU23&lt;&gt;"")),"P","")</f>
        <v/>
      </c>
      <c r="G23" s="3" t="str">
        <f>IF(OR(AND(AI23&gt;=AL$30,AI23&lt;&gt;"",AG23=""),AND(BE23&gt;=BH$30,BE23&lt;&gt;"",BC23=""),AND(CA23&gt;=CD$30,CA23&lt;&gt;"",BY23=""),AND(CX23&gt;=DA$30,CX23&lt;&gt;""),AND(DS23&gt;=DV$30,DS23&lt;&gt;""),AND(EN23&gt;=EQ$30,EN23&lt;&gt;""),AND(FI23&gt;=FL$30,FI23&lt;&gt;""),AND(GD23&gt;=GG$30,GD23&lt;&gt;""),AND(GY23&gt;=HB$30,GY23&lt;&gt;""),AND(HT23&gt;=HW$30,HT23&lt;&gt;""),AND(IO23&gt;=IR$30,IO23&lt;&gt;""),AND(JJ23&gt;=JM$30,JJ23&lt;&gt;""),AND(KE23&gt;=KH$30,KE23&lt;&gt;""),AND(KZ23&gt;=LC$30,KZ23&lt;&gt;""),AND(LU23&gt;=LX$30,LU23&lt;&gt;"")),"P","")</f>
        <v/>
      </c>
      <c r="H23" s="116" t="str">
        <f>IF(AND(G23="P",F23=""),"No DD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Merit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Excellence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Worlds Team",IF(OR(AND(AH23&gt;=AL$26,AH23&lt;&gt;"",AI23&gt;=AL$30,AI23&lt;&gt;"",AG23=""),AND(BD23&gt;=BH$26,BD23&lt;&gt;"",BE23&gt;=BH$30,BE23&lt;&gt;"",BC23=""),AND(BZ23&gt;=CD$26,BZ23&lt;&gt;"",CA23&gt;=CD$30,CA23&lt;&gt;"",BY23=""),AND(CW23&gt;=DA$26,CW23&lt;&gt;"",CX23&gt;=DA$30,CX23&lt;&gt;""),AND(DR23&gt;=DV$26,DR23&lt;&gt;"",DS23&gt;=DV$30,DS23&lt;&gt;""),AND(EM23&gt;=EQ$26,EM23&lt;&gt;"",EN23&gt;=EQ$30,EN23&lt;&gt;""),AND(FH23&gt;=FL$26,FH23&lt;&gt;"",FI23&gt;=FL$30,FI23&lt;&gt;""),AND(GC23&gt;=GG$26,GC23&lt;&gt;"",GD23&gt;=GG$30,GD23&lt;&gt;""),AND(GX23&gt;=HB$26,GX23&lt;&gt;"",GY23&gt;=HB$30,GY23&lt;&gt;""),AND(HS23&gt;=HW$26,HS23&lt;&gt;"",HT23&gt;=HW$30,HT23&lt;&gt;""),AND(IN23&gt;=IR$26,IN23&lt;&gt;"",IO23&gt;=IR$30,IO23&lt;&gt;""),AND(JI23&gt;=JM$26,JI23&lt;&gt;"",JJ23&gt;=JM$30,JJ23&lt;&gt;""),AND(KD23&gt;=KH$26,KD23&lt;&gt;"",KE23&gt;=KH$30,KE23&lt;&gt;""),AND(KY23&gt;=LC$26,KY23&lt;&gt;"",KZ23&gt;=LC$30,KZ23&lt;&gt;""),AND(LT23&gt;=LX$26,LT23&lt;&gt;"",LU23&gt;=LX$30,LU23&lt;&gt;"")),"National Team","")))))</f>
        <v/>
      </c>
      <c r="I23" s="3" t="str">
        <f>IF(OR(H23="Worlds Team",H23="Excellence",H23="Merit"),"P","")</f>
        <v/>
      </c>
      <c r="J23" s="14">
        <f>MAX(AI23,BE23,CA23)</f>
        <v>31</v>
      </c>
      <c r="K23" s="14" t="str">
        <f>IF(J23=0,"",IF(J23=CA23,$BI$1,IF(J23=BE23,$AM$1,IF(J23=AI23,$Q$1,""))))</f>
        <v>2021 Elite Canada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72"/>
      <c r="AH23" s="11" t="str">
        <f>IF(SUM(R23,V23)&gt;0,SUM(R23,V23),"")</f>
        <v/>
      </c>
      <c r="AI23" s="11" t="str">
        <f>IF(SUM(Q23:R23,T23:V23,X23)-SUM(S23,W23)&gt;0,SUM(Q23:R23,T23:V23,X23)-SUM(S23,W23),"")</f>
        <v/>
      </c>
      <c r="AJ23" s="11" t="str">
        <f>IF(SUM(Z23,AD23)&gt;0,SUM(Z23,AD23),"")</f>
        <v/>
      </c>
      <c r="AK23" s="11" t="str">
        <f>IF(SUM(Y23:Z23,AB23:AD23,AF23)-SUM(AA23,AE23)&gt;0,SUM(Y23:Z23,AB23:AD23,AF23)-SUM(AA23,AE23),"")</f>
        <v/>
      </c>
      <c r="AL23" s="11" t="str">
        <f>IF(SUM(AI23,AK23)&gt;0,SUM(AI23,AK23),"")</f>
        <v/>
      </c>
      <c r="AM23" s="36">
        <v>28.2</v>
      </c>
      <c r="AN23" s="36">
        <v>3.1</v>
      </c>
      <c r="AO23" s="36">
        <v>0.3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/>
      <c r="AV23" s="36"/>
      <c r="AW23" s="36"/>
      <c r="AX23" s="36"/>
      <c r="AY23" s="36"/>
      <c r="AZ23" s="36"/>
      <c r="BA23" s="36"/>
      <c r="BB23" s="36"/>
      <c r="BC23" s="73"/>
      <c r="BD23" s="14">
        <f>IF(SUM(AN23,AR23)&gt;0,SUM(AN23,AR23),"")</f>
        <v>3.1</v>
      </c>
      <c r="BE23" s="14">
        <f>IF(SUM(AM23:AN23,AP23:AR23,AT23)-SUM(AO23,AS23)&gt;0,SUM(AM23:AN23,AP23:AR23,AT23)-SUM(AO23,AS23),"")</f>
        <v>31</v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>
        <f>IF(SUM(BE23,BG23)&gt;0,SUM(BE23,BG23),"")</f>
        <v>31</v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14.1</v>
      </c>
      <c r="LZ23" s="61">
        <f>IF($BY23="P",BJ23,(BJ23+AN23)/2)</f>
        <v>1.55</v>
      </c>
      <c r="MA23" s="61">
        <f>IF($BY23="P",BK23,(BK23+AO23)/2)</f>
        <v>0.15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>
        <f>IF(SUM(LZ23,MD23)&gt;0,SUM(LZ23,MD23),"")</f>
        <v>1.55</v>
      </c>
      <c r="MQ23" s="11">
        <f>IF(SUM(LY23:LZ23,MB23:MD23,MF23)-SUM(MA23,ME23)&gt;0,SUM(LY23:LZ23,MB23:MD23,MF23)-SUM(MA23,ME23),"")</f>
        <v>15.5</v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>
        <f>IF(SUM(MQ23,MS23)&gt;0,SUM(MQ23,MS23),"")</f>
        <v>15.5</v>
      </c>
    </row>
    <row r="24" spans="1:358" s="46" customFormat="1" x14ac:dyDescent="0.2">
      <c r="A24" s="7"/>
      <c r="B24" s="8"/>
      <c r="C24" s="4"/>
      <c r="D24" s="7"/>
      <c r="E24" s="87"/>
      <c r="F24" s="88"/>
      <c r="G24" s="88"/>
      <c r="H24" s="118"/>
      <c r="I24" s="88"/>
      <c r="J24" s="47"/>
      <c r="K24" s="47"/>
      <c r="L24" s="47"/>
      <c r="M24" s="47"/>
      <c r="N24" s="47"/>
      <c r="O24" s="89"/>
      <c r="P24" s="47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1"/>
      <c r="AH24" s="47"/>
      <c r="AI24" s="47"/>
      <c r="AJ24" s="47"/>
      <c r="AK24" s="47"/>
      <c r="AL24" s="47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1"/>
      <c r="BD24" s="47"/>
      <c r="BE24" s="47"/>
      <c r="BF24" s="47"/>
      <c r="BG24" s="47"/>
      <c r="BH24" s="47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1"/>
      <c r="BZ24" s="47"/>
      <c r="CA24" s="47"/>
      <c r="CB24" s="47"/>
      <c r="CC24" s="47"/>
      <c r="CD24" s="47"/>
      <c r="CE24" s="47"/>
      <c r="CF24" s="47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47"/>
      <c r="CX24" s="47"/>
      <c r="CY24" s="47"/>
      <c r="CZ24" s="47"/>
      <c r="DA24" s="47"/>
      <c r="DB24" s="93"/>
      <c r="DC24" s="93"/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47"/>
      <c r="DS24" s="47"/>
      <c r="DT24" s="47"/>
      <c r="DU24" s="47"/>
      <c r="DV24" s="47"/>
      <c r="DW24" s="93"/>
      <c r="DX24" s="93"/>
      <c r="DY24" s="93"/>
      <c r="DZ24" s="93"/>
      <c r="EA24" s="93"/>
      <c r="EB24" s="93"/>
      <c r="EC24" s="93"/>
      <c r="ED24" s="93"/>
      <c r="EE24" s="93"/>
      <c r="EF24" s="93"/>
      <c r="EG24" s="93"/>
      <c r="EH24" s="93"/>
      <c r="EI24" s="93"/>
      <c r="EJ24" s="93"/>
      <c r="EK24" s="93"/>
      <c r="EL24" s="93"/>
      <c r="EM24" s="47"/>
      <c r="EN24" s="47"/>
      <c r="EO24" s="47"/>
      <c r="EP24" s="47"/>
      <c r="EQ24" s="47"/>
      <c r="ER24" s="93"/>
      <c r="ES24" s="93"/>
      <c r="ET24" s="93"/>
      <c r="EU24" s="93"/>
      <c r="EV24" s="93"/>
      <c r="EW24" s="93"/>
      <c r="EX24" s="93"/>
      <c r="EY24" s="93"/>
      <c r="EZ24" s="93"/>
      <c r="FA24" s="93"/>
      <c r="FB24" s="93"/>
      <c r="FC24" s="93"/>
      <c r="FD24" s="93"/>
      <c r="FE24" s="93"/>
      <c r="FF24" s="93"/>
      <c r="FG24" s="93"/>
      <c r="FH24" s="47"/>
      <c r="FI24" s="47"/>
      <c r="FJ24" s="47"/>
      <c r="FK24" s="47"/>
      <c r="FL24" s="47"/>
      <c r="FM24" s="93"/>
      <c r="FN24" s="93"/>
      <c r="FO24" s="93"/>
      <c r="FP24" s="93"/>
      <c r="FQ24" s="93"/>
      <c r="FR24" s="93"/>
      <c r="FS24" s="93"/>
      <c r="FT24" s="93"/>
      <c r="FU24" s="93"/>
      <c r="FV24" s="93"/>
      <c r="FW24" s="93"/>
      <c r="FX24" s="93"/>
      <c r="FY24" s="93"/>
      <c r="FZ24" s="93"/>
      <c r="GA24" s="93"/>
      <c r="GB24" s="93"/>
      <c r="GC24" s="47"/>
      <c r="GD24" s="47"/>
      <c r="GE24" s="47"/>
      <c r="GF24" s="47"/>
      <c r="GG24" s="47"/>
      <c r="GH24" s="93"/>
      <c r="GI24" s="93"/>
      <c r="GJ24" s="93"/>
      <c r="GK24" s="93"/>
      <c r="GL24" s="93"/>
      <c r="GM24" s="93"/>
      <c r="GN24" s="93"/>
      <c r="GO24" s="93"/>
      <c r="GP24" s="93"/>
      <c r="GQ24" s="93"/>
      <c r="GR24" s="93"/>
      <c r="GS24" s="93"/>
      <c r="GT24" s="93"/>
      <c r="GU24" s="93"/>
      <c r="GV24" s="93"/>
      <c r="GW24" s="93"/>
      <c r="GX24" s="47"/>
      <c r="GY24" s="47"/>
      <c r="GZ24" s="47"/>
      <c r="HA24" s="47"/>
      <c r="HB24" s="47"/>
      <c r="HC24" s="93"/>
      <c r="HD24" s="93"/>
      <c r="HE24" s="93"/>
      <c r="HF24" s="93"/>
      <c r="HG24" s="93"/>
      <c r="HH24" s="93"/>
      <c r="HI24" s="93"/>
      <c r="HJ24" s="93"/>
      <c r="HK24" s="93"/>
      <c r="HL24" s="93"/>
      <c r="HM24" s="93"/>
      <c r="HN24" s="93"/>
      <c r="HO24" s="93"/>
      <c r="HP24" s="93"/>
      <c r="HQ24" s="93"/>
      <c r="HR24" s="93"/>
      <c r="HS24" s="47"/>
      <c r="HT24" s="47"/>
      <c r="HU24" s="47"/>
      <c r="HV24" s="47"/>
      <c r="HW24" s="47"/>
      <c r="HX24" s="93"/>
      <c r="HY24" s="93"/>
      <c r="HZ24" s="93"/>
      <c r="IA24" s="93"/>
      <c r="IB24" s="93"/>
      <c r="IC24" s="93"/>
      <c r="ID24" s="93"/>
      <c r="IE24" s="93"/>
      <c r="IF24" s="93"/>
      <c r="IG24" s="93"/>
      <c r="IH24" s="93"/>
      <c r="II24" s="93"/>
      <c r="IJ24" s="93"/>
      <c r="IK24" s="93"/>
      <c r="IL24" s="93"/>
      <c r="IM24" s="93"/>
      <c r="IN24" s="47"/>
      <c r="IO24" s="47"/>
      <c r="IP24" s="47"/>
      <c r="IQ24" s="47"/>
      <c r="IR24" s="47"/>
      <c r="IS24" s="93"/>
      <c r="IT24" s="93"/>
      <c r="IU24" s="93"/>
      <c r="IV24" s="93"/>
      <c r="IW24" s="93"/>
      <c r="IX24" s="93"/>
      <c r="IY24" s="93"/>
      <c r="IZ24" s="93"/>
      <c r="JA24" s="93"/>
      <c r="JB24" s="93"/>
      <c r="JC24" s="93"/>
      <c r="JD24" s="93"/>
      <c r="JE24" s="93"/>
      <c r="JF24" s="93"/>
      <c r="JG24" s="93"/>
      <c r="JH24" s="93"/>
      <c r="JI24" s="47"/>
      <c r="JJ24" s="47"/>
      <c r="JK24" s="47"/>
      <c r="JL24" s="47"/>
      <c r="JM24" s="47"/>
      <c r="JN24" s="93"/>
      <c r="JO24" s="93"/>
      <c r="JP24" s="93"/>
      <c r="JQ24" s="93"/>
      <c r="JR24" s="93"/>
      <c r="JS24" s="93"/>
      <c r="JT24" s="93"/>
      <c r="JU24" s="93"/>
      <c r="JV24" s="93"/>
      <c r="JW24" s="93"/>
      <c r="JX24" s="93"/>
      <c r="JY24" s="93"/>
      <c r="JZ24" s="93"/>
      <c r="KA24" s="93"/>
      <c r="KB24" s="93"/>
      <c r="KC24" s="93"/>
      <c r="KD24" s="47"/>
      <c r="KE24" s="47"/>
      <c r="KF24" s="47"/>
      <c r="KG24" s="47"/>
      <c r="KH24" s="47"/>
      <c r="KI24" s="93"/>
      <c r="KJ24" s="93"/>
      <c r="KK24" s="93"/>
      <c r="KL24" s="93"/>
      <c r="KM24" s="93"/>
      <c r="KN24" s="93"/>
      <c r="KO24" s="93"/>
      <c r="KP24" s="93"/>
      <c r="KQ24" s="93"/>
      <c r="KR24" s="93"/>
      <c r="KS24" s="93"/>
      <c r="KT24" s="93"/>
      <c r="KU24" s="93"/>
      <c r="KV24" s="93"/>
      <c r="KW24" s="93"/>
      <c r="KX24" s="93"/>
      <c r="KY24" s="47"/>
      <c r="KZ24" s="47"/>
      <c r="LA24" s="47"/>
      <c r="LB24" s="47"/>
      <c r="LC24" s="47"/>
      <c r="LD24" s="93"/>
      <c r="LE24" s="93"/>
      <c r="LF24" s="93"/>
      <c r="LG24" s="93"/>
      <c r="LH24" s="93"/>
      <c r="LI24" s="93"/>
      <c r="LJ24" s="93"/>
      <c r="LK24" s="93"/>
      <c r="LL24" s="93"/>
      <c r="LM24" s="93"/>
      <c r="LN24" s="93"/>
      <c r="LO24" s="93"/>
      <c r="LP24" s="93"/>
      <c r="LQ24" s="93"/>
      <c r="LR24" s="93"/>
      <c r="LS24" s="93"/>
      <c r="LT24" s="47"/>
      <c r="LU24" s="47"/>
      <c r="LV24" s="47"/>
      <c r="LW24" s="47"/>
      <c r="LX24" s="47"/>
    </row>
    <row r="25" spans="1:358" x14ac:dyDescent="0.2">
      <c r="AH25" s="47"/>
      <c r="AJ25" s="47"/>
      <c r="BD25" s="47"/>
      <c r="BF25" s="47"/>
      <c r="BZ25" s="47"/>
      <c r="CB25" s="47"/>
      <c r="CW25" s="47"/>
      <c r="CY25" s="47"/>
      <c r="DR25" s="47"/>
      <c r="DT25" s="47"/>
      <c r="EM25" s="47"/>
      <c r="EO25" s="47"/>
      <c r="FH25" s="47"/>
      <c r="FJ25" s="47"/>
      <c r="GC25" s="47"/>
      <c r="GE25" s="47"/>
      <c r="GX25" s="47"/>
      <c r="GZ25" s="47"/>
      <c r="HS25" s="47"/>
      <c r="HU25" s="47"/>
      <c r="IN25" s="47"/>
      <c r="IP25" s="47"/>
      <c r="JI25" s="47"/>
      <c r="JK25" s="47"/>
      <c r="KD25" s="47"/>
      <c r="KF25" s="47"/>
      <c r="KY25" s="47"/>
      <c r="LA25" s="47"/>
      <c r="LT25" s="47"/>
      <c r="LV25" s="47"/>
    </row>
    <row r="26" spans="1:358" x14ac:dyDescent="0.2">
      <c r="B26" s="62" t="s">
        <v>50</v>
      </c>
      <c r="AH26" s="47"/>
      <c r="AJ26" s="47"/>
      <c r="AL26" s="56">
        <v>10.4</v>
      </c>
      <c r="BD26" s="47"/>
      <c r="BF26" s="47"/>
      <c r="BH26" s="56">
        <v>10.4</v>
      </c>
      <c r="BZ26" s="47"/>
      <c r="CB26" s="47"/>
      <c r="CD26" s="56">
        <v>10.4</v>
      </c>
      <c r="CW26" s="47"/>
      <c r="CY26" s="47"/>
      <c r="DA26" s="56">
        <v>10.4</v>
      </c>
      <c r="DR26" s="47"/>
      <c r="DT26" s="47"/>
      <c r="DV26" s="56">
        <v>10.4</v>
      </c>
      <c r="EM26" s="47"/>
      <c r="EO26" s="47"/>
      <c r="EQ26" s="56">
        <v>10.4</v>
      </c>
      <c r="FH26" s="47"/>
      <c r="FJ26" s="47"/>
      <c r="FL26" s="56">
        <v>10.4</v>
      </c>
      <c r="GC26" s="47"/>
      <c r="GE26" s="47"/>
      <c r="GG26" s="56">
        <v>10.4</v>
      </c>
      <c r="GX26" s="47"/>
      <c r="GZ26" s="47"/>
      <c r="HB26" s="56">
        <v>10.4</v>
      </c>
      <c r="HS26" s="47"/>
      <c r="HU26" s="47"/>
      <c r="HW26" s="56">
        <v>10.4</v>
      </c>
      <c r="IN26" s="47"/>
      <c r="IP26" s="47"/>
      <c r="IR26" s="56">
        <v>10.4</v>
      </c>
      <c r="JI26" s="47"/>
      <c r="JK26" s="47"/>
      <c r="JM26" s="56">
        <v>10.4</v>
      </c>
      <c r="KD26" s="47"/>
      <c r="KF26" s="47"/>
      <c r="KH26" s="56">
        <v>10.4</v>
      </c>
      <c r="KY26" s="47"/>
      <c r="LA26" s="47"/>
      <c r="LC26" s="56">
        <v>10.4</v>
      </c>
      <c r="LT26" s="47"/>
      <c r="LV26" s="47"/>
      <c r="LX26" s="56">
        <v>10.4</v>
      </c>
    </row>
    <row r="27" spans="1:358" hidden="1" x14ac:dyDescent="0.2">
      <c r="B27" s="83" t="s">
        <v>49</v>
      </c>
      <c r="AH27" s="47"/>
      <c r="AJ27" s="47"/>
      <c r="AL27" s="85">
        <v>1000</v>
      </c>
      <c r="BD27" s="47"/>
      <c r="BF27" s="47"/>
      <c r="BH27" s="85">
        <v>1000</v>
      </c>
      <c r="BZ27" s="47"/>
      <c r="CB27" s="47"/>
      <c r="CD27" s="85">
        <v>1000</v>
      </c>
      <c r="CW27" s="47"/>
      <c r="CY27" s="47"/>
      <c r="DA27" s="85">
        <v>1000</v>
      </c>
      <c r="DR27" s="47"/>
      <c r="DT27" s="47"/>
      <c r="DV27" s="85">
        <v>1000</v>
      </c>
      <c r="EM27" s="47"/>
      <c r="EO27" s="47"/>
      <c r="EQ27" s="85">
        <v>1000</v>
      </c>
      <c r="FH27" s="47"/>
      <c r="FJ27" s="47"/>
      <c r="FL27" s="85">
        <v>1000</v>
      </c>
      <c r="GC27" s="47"/>
      <c r="GE27" s="47"/>
      <c r="GG27" s="85">
        <v>1000</v>
      </c>
      <c r="GX27" s="47"/>
      <c r="GZ27" s="47"/>
      <c r="HB27" s="85">
        <v>1000</v>
      </c>
      <c r="HS27" s="47"/>
      <c r="HU27" s="47"/>
      <c r="HW27" s="85">
        <v>1000</v>
      </c>
      <c r="IN27" s="47"/>
      <c r="IP27" s="47"/>
      <c r="IR27" s="85">
        <v>1000</v>
      </c>
      <c r="JI27" s="47"/>
      <c r="JK27" s="47"/>
      <c r="JM27" s="85">
        <v>1000</v>
      </c>
      <c r="KD27" s="47"/>
      <c r="KF27" s="47"/>
      <c r="KH27" s="85">
        <v>1000</v>
      </c>
      <c r="KY27" s="47"/>
      <c r="LA27" s="47"/>
      <c r="LC27" s="85">
        <v>1000</v>
      </c>
      <c r="LT27" s="47"/>
      <c r="LV27" s="47"/>
      <c r="LX27" s="85">
        <v>1000</v>
      </c>
    </row>
    <row r="28" spans="1:358" hidden="1" x14ac:dyDescent="0.2">
      <c r="A28" s="49"/>
      <c r="B28" s="84" t="s">
        <v>62</v>
      </c>
      <c r="C28" s="48"/>
      <c r="AL28" s="86">
        <v>1000</v>
      </c>
      <c r="BG28" s="117"/>
      <c r="BH28" s="86">
        <v>1000</v>
      </c>
      <c r="CD28" s="86">
        <v>1000</v>
      </c>
      <c r="DA28" s="86">
        <v>1000</v>
      </c>
      <c r="DU28" s="117"/>
      <c r="DV28" s="86">
        <v>1000</v>
      </c>
      <c r="EQ28" s="86">
        <v>1000</v>
      </c>
      <c r="FL28" s="86">
        <v>1000</v>
      </c>
      <c r="GG28" s="86">
        <v>1000</v>
      </c>
      <c r="HB28" s="86">
        <v>1000</v>
      </c>
      <c r="HW28" s="86">
        <v>1000</v>
      </c>
      <c r="IR28" s="86">
        <v>1000</v>
      </c>
      <c r="JM28" s="86">
        <v>1000</v>
      </c>
      <c r="KH28" s="86">
        <v>1000</v>
      </c>
      <c r="LC28" s="86">
        <v>1000</v>
      </c>
      <c r="LX28" s="86">
        <v>1000</v>
      </c>
    </row>
    <row r="29" spans="1:358" hidden="1" x14ac:dyDescent="0.2">
      <c r="A29" s="49"/>
      <c r="B29" s="63" t="s">
        <v>69</v>
      </c>
      <c r="C29" s="48"/>
      <c r="AK29" s="117"/>
      <c r="AL29" s="57">
        <v>1000</v>
      </c>
      <c r="BG29" s="117"/>
      <c r="BH29" s="57">
        <v>1000</v>
      </c>
      <c r="CD29" s="57">
        <v>1000</v>
      </c>
      <c r="DA29" s="57">
        <v>1000</v>
      </c>
      <c r="DV29" s="57">
        <v>1000</v>
      </c>
      <c r="EQ29" s="57">
        <v>1000</v>
      </c>
      <c r="FL29" s="57">
        <v>1000</v>
      </c>
      <c r="GG29" s="57">
        <v>1000</v>
      </c>
      <c r="HB29" s="57">
        <v>1000</v>
      </c>
      <c r="HW29" s="57">
        <v>1000</v>
      </c>
      <c r="IR29" s="57">
        <v>1000</v>
      </c>
      <c r="JM29" s="57">
        <v>1000</v>
      </c>
      <c r="KH29" s="57">
        <v>1000</v>
      </c>
      <c r="LC29" s="57">
        <v>1000</v>
      </c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66.2</v>
      </c>
      <c r="BD30" s="49"/>
      <c r="BF30" s="49"/>
      <c r="BH30" s="59">
        <v>66.2</v>
      </c>
      <c r="BZ30" s="49"/>
      <c r="CB30" s="49"/>
      <c r="CD30" s="59">
        <v>66.2</v>
      </c>
      <c r="CW30" s="49"/>
      <c r="CY30" s="49"/>
      <c r="DA30" s="59">
        <v>66.2</v>
      </c>
      <c r="DR30" s="49"/>
      <c r="DT30" s="49"/>
      <c r="DV30" s="59">
        <v>66.2</v>
      </c>
      <c r="EM30" s="49"/>
      <c r="EO30" s="49"/>
      <c r="EQ30" s="59">
        <v>66.2</v>
      </c>
      <c r="FH30" s="49"/>
      <c r="FJ30" s="49"/>
      <c r="FL30" s="59">
        <v>66.2</v>
      </c>
      <c r="GC30" s="49"/>
      <c r="GE30" s="49"/>
      <c r="GG30" s="59">
        <v>66.2</v>
      </c>
      <c r="GX30" s="49"/>
      <c r="GZ30" s="49"/>
      <c r="HB30" s="59">
        <v>66.2</v>
      </c>
      <c r="HS30" s="49"/>
      <c r="HU30" s="49"/>
      <c r="HW30" s="59">
        <v>66.2</v>
      </c>
      <c r="IN30" s="49"/>
      <c r="IP30" s="49"/>
      <c r="IR30" s="59">
        <v>66.2</v>
      </c>
      <c r="JI30" s="49"/>
      <c r="JK30" s="49"/>
      <c r="JM30" s="59">
        <v>66.2</v>
      </c>
      <c r="KD30" s="49"/>
      <c r="KF30" s="49"/>
      <c r="KH30" s="59">
        <v>66.2</v>
      </c>
      <c r="KY30" s="49"/>
      <c r="LA30" s="49"/>
      <c r="LC30" s="59">
        <v>66.2</v>
      </c>
      <c r="LT30" s="49"/>
      <c r="LV30" s="49"/>
      <c r="LX30" s="59">
        <v>66.2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DA32" s="107">
        <v>1000</v>
      </c>
      <c r="DR32" s="49"/>
      <c r="DT32" s="49"/>
      <c r="DU32" s="117"/>
      <c r="DV32" s="107">
        <v>1000</v>
      </c>
      <c r="EM32" s="49"/>
      <c r="EO32" s="49"/>
      <c r="EQ32" s="107">
        <v>1000</v>
      </c>
      <c r="FH32" s="49"/>
      <c r="FJ32" s="49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K33" s="117"/>
      <c r="AL33" s="60">
        <v>1000</v>
      </c>
      <c r="BD33" s="49"/>
      <c r="BF33" s="49"/>
      <c r="BG33" s="117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AH34" s="49"/>
      <c r="AJ34" s="49"/>
      <c r="BD34" s="49"/>
      <c r="BF34" s="49"/>
      <c r="BZ34" s="49"/>
      <c r="CB34" s="49"/>
      <c r="CW34" s="49"/>
      <c r="CX34" s="6"/>
      <c r="CY34" s="49"/>
      <c r="DR34" s="49"/>
      <c r="DT34" s="49"/>
      <c r="EM34" s="49"/>
      <c r="EO34" s="49"/>
      <c r="FH34" s="49"/>
      <c r="FJ34" s="49"/>
      <c r="GC34" s="49"/>
      <c r="GE34" s="49"/>
      <c r="GX34" s="49"/>
      <c r="GZ34" s="49"/>
      <c r="HS34" s="49"/>
      <c r="HU34" s="49"/>
      <c r="IN34" s="49"/>
      <c r="IP34" s="49"/>
      <c r="JI34" s="49"/>
      <c r="JK34" s="49"/>
      <c r="KD34" s="49"/>
      <c r="KE34" s="6"/>
      <c r="KF34" s="49"/>
      <c r="KY34" s="49"/>
      <c r="LA34" s="49"/>
      <c r="LT34" s="49"/>
      <c r="LV34" s="49"/>
    </row>
    <row r="35" spans="1:336" x14ac:dyDescent="0.2">
      <c r="A35" s="49"/>
      <c r="B35" s="49"/>
      <c r="C35" s="48"/>
      <c r="AH35" s="49"/>
      <c r="AJ35" s="49"/>
      <c r="BD35" s="49"/>
      <c r="BF35" s="49"/>
      <c r="BZ35" s="49"/>
      <c r="CB35" s="49"/>
      <c r="CW35" s="49"/>
      <c r="CY35" s="49"/>
      <c r="DR35" s="49"/>
      <c r="DT35" s="49"/>
      <c r="EM35" s="49"/>
      <c r="EO35" s="49"/>
      <c r="FH35" s="49"/>
      <c r="FJ35" s="49"/>
      <c r="GC35" s="49"/>
      <c r="GE35" s="49"/>
      <c r="GX35" s="49"/>
      <c r="GZ35" s="49"/>
      <c r="HS35" s="49"/>
      <c r="HU35" s="49"/>
      <c r="IN35" s="49"/>
      <c r="IP35" s="49"/>
      <c r="JI35" s="49"/>
      <c r="JK35" s="49"/>
      <c r="KD35" s="49"/>
      <c r="KF35" s="49"/>
      <c r="KY35" s="49"/>
      <c r="LA35" s="49"/>
      <c r="LT35" s="49"/>
      <c r="LV35" s="49"/>
    </row>
    <row r="36" spans="1:336" x14ac:dyDescent="0.2">
      <c r="A36" s="49"/>
      <c r="B36" s="49"/>
      <c r="C36" s="48"/>
      <c r="AH36" s="49"/>
      <c r="AJ36" s="49"/>
      <c r="BD36" s="49"/>
      <c r="BF36" s="49"/>
      <c r="BZ36" s="49"/>
      <c r="CB36" s="49"/>
      <c r="CW36" s="49"/>
      <c r="CY36" s="49"/>
      <c r="DR36" s="49"/>
      <c r="DT36" s="49"/>
      <c r="EM36" s="49"/>
      <c r="EO36" s="49"/>
      <c r="FH36" s="49"/>
      <c r="FJ36" s="49"/>
      <c r="GC36" s="49"/>
      <c r="GE36" s="49"/>
      <c r="GX36" s="49"/>
      <c r="GZ36" s="49"/>
      <c r="HS36" s="49"/>
      <c r="HU36" s="49"/>
      <c r="IN36" s="49"/>
      <c r="IP36" s="49"/>
      <c r="JI36" s="49"/>
      <c r="JK36" s="49"/>
      <c r="KD36" s="49"/>
      <c r="KF36" s="49"/>
      <c r="KY36" s="49"/>
      <c r="LA36" s="49"/>
      <c r="LT36" s="49"/>
      <c r="LV36" s="49"/>
    </row>
    <row r="37" spans="1:336" x14ac:dyDescent="0.2">
      <c r="A37" s="49"/>
      <c r="B37" s="49"/>
      <c r="C37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3">
      <sortCondition descending="1" ref="F1:F24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23">
    <cfRule type="expression" dxfId="19" priority="2" stopIfTrue="1">
      <formula>IF($BC4&lt;&gt;"",1,0)</formula>
    </cfRule>
  </conditionalFormatting>
  <conditionalFormatting sqref="Q4:AL23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3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6289" operator="between">
      <formula>AL$29</formula>
      <formula>1000</formula>
    </cfRule>
    <cfRule type="cellIs" dxfId="6" priority="46290" operator="between">
      <formula>AL$28</formula>
      <formula>AL$29</formula>
    </cfRule>
    <cfRule type="cellIs" dxfId="5" priority="46291" operator="between">
      <formula>AL$27</formula>
      <formula>AL$28</formula>
    </cfRule>
    <cfRule type="cellIs" dxfId="4" priority="46292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6469" operator="between">
      <formula>AL$33</formula>
      <formula>1000</formula>
    </cfRule>
    <cfRule type="cellIs" dxfId="2" priority="46470" operator="between">
      <formula>AL$32</formula>
      <formula>AL$33</formula>
    </cfRule>
    <cfRule type="cellIs" dxfId="1" priority="46471" operator="between">
      <formula>AL$31</formula>
      <formula>AL$32</formula>
    </cfRule>
    <cfRule type="cellIs" dxfId="0" priority="46472" operator="between">
      <formula>AL$30</formula>
      <formula>AL$31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2021-11-24T03:43:50Z</dcterms:modified>
</cp:coreProperties>
</file>