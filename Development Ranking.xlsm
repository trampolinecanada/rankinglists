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578E11C-FC4F-844A-B4A1-010E9C55D48C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'DMT-M'!$A$1:$RF$4</definedName>
    <definedName name="_xlnm._FilterDatabase" localSheetId="6" hidden="1">'DMT-W'!$A$1:$RF$7</definedName>
    <definedName name="_xlnm._FilterDatabase" localSheetId="1" hidden="1">'TRA-M'!$A$1:$TV$30</definedName>
    <definedName name="_xlnm._FilterDatabase" localSheetId="2" hidden="1">'TRA-W'!$A$1:$TV$24</definedName>
    <definedName name="_xlnm._FilterDatabase" localSheetId="3" hidden="1">'TUM-M'!$A$1:$RF$9</definedName>
    <definedName name="_xlnm._FilterDatabase" localSheetId="4" hidden="1">'TUM-W'!$A$1:$RF$12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0" i="19" l="1"/>
  <c r="T30" i="19"/>
  <c r="S31" i="19"/>
  <c r="T31" i="19"/>
  <c r="S32" i="19"/>
  <c r="T32" i="19"/>
  <c r="S33" i="19"/>
  <c r="T33" i="19"/>
  <c r="S34" i="19"/>
  <c r="T34" i="19"/>
  <c r="S35" i="19"/>
  <c r="T35" i="19"/>
  <c r="S36" i="19"/>
  <c r="T36" i="19"/>
  <c r="S37" i="19"/>
  <c r="T37" i="19"/>
  <c r="S38" i="19"/>
  <c r="T38" i="19"/>
  <c r="S39" i="19"/>
  <c r="T39" i="19"/>
  <c r="S40" i="19"/>
  <c r="T40" i="19"/>
  <c r="S41" i="19"/>
  <c r="T41" i="19"/>
  <c r="S5" i="19"/>
  <c r="T5" i="19"/>
  <c r="S6" i="19"/>
  <c r="T6" i="19"/>
  <c r="S7" i="19"/>
  <c r="T7" i="19"/>
  <c r="S8" i="19"/>
  <c r="T8" i="19"/>
  <c r="S9" i="19"/>
  <c r="T9" i="19"/>
  <c r="S10" i="19"/>
  <c r="T10" i="19"/>
  <c r="S11" i="19"/>
  <c r="T11" i="19"/>
  <c r="S12" i="19"/>
  <c r="T12" i="19"/>
  <c r="S13" i="19"/>
  <c r="T13" i="19"/>
  <c r="S14" i="19"/>
  <c r="T14" i="19"/>
  <c r="S15" i="19"/>
  <c r="T15" i="19"/>
  <c r="S16" i="19"/>
  <c r="T16" i="19"/>
  <c r="S17" i="19"/>
  <c r="T17" i="19"/>
  <c r="S18" i="19"/>
  <c r="T18" i="19"/>
  <c r="S19" i="19"/>
  <c r="T19" i="19"/>
  <c r="S20" i="19"/>
  <c r="T20" i="19"/>
  <c r="S21" i="19"/>
  <c r="T21" i="19"/>
  <c r="S22" i="19"/>
  <c r="T22" i="19"/>
  <c r="S23" i="19"/>
  <c r="T23" i="19"/>
  <c r="S24" i="19"/>
  <c r="T24" i="19"/>
  <c r="S25" i="19"/>
  <c r="T25" i="19"/>
  <c r="S26" i="19"/>
  <c r="T26" i="19"/>
  <c r="S27" i="19"/>
  <c r="T27" i="19"/>
  <c r="S28" i="19"/>
  <c r="T28" i="19"/>
  <c r="S29" i="19"/>
  <c r="T29" i="19"/>
  <c r="T4" i="19"/>
  <c r="S4" i="19"/>
  <c r="S5" i="27"/>
  <c r="T5" i="27"/>
  <c r="S6" i="27"/>
  <c r="T6" i="27"/>
  <c r="S7" i="27"/>
  <c r="T7" i="27"/>
  <c r="S8" i="27"/>
  <c r="T8" i="27"/>
  <c r="S9" i="27"/>
  <c r="T9" i="27"/>
  <c r="S10" i="27"/>
  <c r="T10" i="27"/>
  <c r="S11" i="27"/>
  <c r="T11" i="27"/>
  <c r="S12" i="27"/>
  <c r="T12" i="27"/>
  <c r="S13" i="27"/>
  <c r="T13" i="27"/>
  <c r="S14" i="27"/>
  <c r="T14" i="27"/>
  <c r="S15" i="27"/>
  <c r="T15" i="27"/>
  <c r="S16" i="27"/>
  <c r="T16" i="27"/>
  <c r="S17" i="27"/>
  <c r="T17" i="27"/>
  <c r="S18" i="27"/>
  <c r="T18" i="27"/>
  <c r="S19" i="27"/>
  <c r="T19" i="27"/>
  <c r="S20" i="27"/>
  <c r="T20" i="27"/>
  <c r="T4" i="27"/>
  <c r="S4" i="27"/>
  <c r="S5" i="26"/>
  <c r="T5" i="26"/>
  <c r="S6" i="26"/>
  <c r="T6" i="26"/>
  <c r="S7" i="26"/>
  <c r="T7" i="26"/>
  <c r="S8" i="26"/>
  <c r="T8" i="26"/>
  <c r="S9" i="26"/>
  <c r="T9" i="26"/>
  <c r="S10" i="26"/>
  <c r="T10" i="26"/>
  <c r="S11" i="26"/>
  <c r="T11" i="26"/>
  <c r="S12" i="26"/>
  <c r="T12" i="26"/>
  <c r="S13" i="26"/>
  <c r="T13" i="26"/>
  <c r="S14" i="26"/>
  <c r="T14" i="26"/>
  <c r="S15" i="26"/>
  <c r="T15" i="26"/>
  <c r="S16" i="26"/>
  <c r="T16" i="26"/>
  <c r="S17" i="26"/>
  <c r="T17" i="26"/>
  <c r="S18" i="26"/>
  <c r="T18" i="26"/>
  <c r="S19" i="26"/>
  <c r="T19" i="26"/>
  <c r="S20" i="26"/>
  <c r="T20" i="26"/>
  <c r="S21" i="26"/>
  <c r="T21" i="26"/>
  <c r="T4" i="26"/>
  <c r="S4" i="26"/>
  <c r="S5" i="21"/>
  <c r="T5" i="21"/>
  <c r="S6" i="21"/>
  <c r="T6" i="21"/>
  <c r="S7" i="21"/>
  <c r="T7" i="21"/>
  <c r="S8" i="21"/>
  <c r="T8" i="21"/>
  <c r="S9" i="21"/>
  <c r="T9" i="21"/>
  <c r="S10" i="21"/>
  <c r="T10" i="21"/>
  <c r="S11" i="21"/>
  <c r="T11" i="21"/>
  <c r="S12" i="21"/>
  <c r="T12" i="21"/>
  <c r="S13" i="21"/>
  <c r="T13" i="21"/>
  <c r="S14" i="21"/>
  <c r="T14" i="21"/>
  <c r="S15" i="21"/>
  <c r="T15" i="21"/>
  <c r="S16" i="21"/>
  <c r="T16" i="21"/>
  <c r="S17" i="21"/>
  <c r="T17" i="21"/>
  <c r="S18" i="21"/>
  <c r="T18" i="21"/>
  <c r="S19" i="21"/>
  <c r="T19" i="21"/>
  <c r="S20" i="21"/>
  <c r="T20" i="21"/>
  <c r="S21" i="21"/>
  <c r="T21" i="21"/>
  <c r="S22" i="21"/>
  <c r="T22" i="21"/>
  <c r="S23" i="21"/>
  <c r="T23" i="21"/>
  <c r="S24" i="21"/>
  <c r="T24" i="21"/>
  <c r="S25" i="21"/>
  <c r="T25" i="21"/>
  <c r="S26" i="21"/>
  <c r="T26" i="21"/>
  <c r="S27" i="21"/>
  <c r="T27" i="21"/>
  <c r="S28" i="21"/>
  <c r="T28" i="21"/>
  <c r="S29" i="21"/>
  <c r="T29" i="21"/>
  <c r="S30" i="21"/>
  <c r="T30" i="21"/>
  <c r="S31" i="21"/>
  <c r="T31" i="21"/>
  <c r="S32" i="21"/>
  <c r="T32" i="21"/>
  <c r="S33" i="21"/>
  <c r="T33" i="21"/>
  <c r="S34" i="21"/>
  <c r="T34" i="21"/>
  <c r="S35" i="21"/>
  <c r="T35" i="21"/>
  <c r="T4" i="21"/>
  <c r="S4" i="21"/>
  <c r="AP20" i="21"/>
  <c r="AQ20" i="21"/>
  <c r="AR20" i="21"/>
  <c r="AS20" i="21"/>
  <c r="AT20" i="21"/>
  <c r="AU20" i="21"/>
  <c r="AV20" i="21"/>
  <c r="AW20" i="21" s="1"/>
  <c r="BS20" i="21"/>
  <c r="BT20" i="21"/>
  <c r="BU20" i="21"/>
  <c r="BV20" i="21"/>
  <c r="BW20" i="21"/>
  <c r="BX20" i="21"/>
  <c r="BY20" i="21"/>
  <c r="CV20" i="21"/>
  <c r="CW20" i="21"/>
  <c r="CX20" i="21"/>
  <c r="CY20" i="21"/>
  <c r="DA20" i="21"/>
  <c r="DB20" i="21"/>
  <c r="DZ20" i="21"/>
  <c r="EA20" i="21"/>
  <c r="EB20" i="21"/>
  <c r="EC20" i="21"/>
  <c r="ED20" i="21"/>
  <c r="EE20" i="21"/>
  <c r="EF20" i="21"/>
  <c r="FB20" i="21"/>
  <c r="FC20" i="21"/>
  <c r="FD20" i="21"/>
  <c r="FE20" i="21"/>
  <c r="FF20" i="21"/>
  <c r="FG20" i="21"/>
  <c r="FH20" i="21"/>
  <c r="FI20" i="21" s="1"/>
  <c r="GD20" i="21"/>
  <c r="GE20" i="21"/>
  <c r="GF20" i="21"/>
  <c r="GG20" i="21"/>
  <c r="GI20" i="21"/>
  <c r="GJ20" i="21"/>
  <c r="HF20" i="21"/>
  <c r="HG20" i="21"/>
  <c r="HH20" i="21"/>
  <c r="HI20" i="21"/>
  <c r="HK20" i="21"/>
  <c r="HL20" i="21"/>
  <c r="IH20" i="21"/>
  <c r="II20" i="21"/>
  <c r="IJ20" i="21"/>
  <c r="IK20" i="21"/>
  <c r="IM20" i="21"/>
  <c r="IN20" i="21"/>
  <c r="JJ20" i="21"/>
  <c r="JK20" i="21"/>
  <c r="JL20" i="21"/>
  <c r="JM20" i="21"/>
  <c r="JO20" i="21"/>
  <c r="JP20" i="21"/>
  <c r="KL20" i="21"/>
  <c r="KM20" i="21"/>
  <c r="KN20" i="21"/>
  <c r="KO20" i="21"/>
  <c r="KQ20" i="21"/>
  <c r="KR20" i="21"/>
  <c r="LN20" i="21"/>
  <c r="LO20" i="21"/>
  <c r="LP20" i="21"/>
  <c r="LQ20" i="21"/>
  <c r="LS20" i="21"/>
  <c r="LT20" i="21"/>
  <c r="MP20" i="21"/>
  <c r="MQ20" i="21"/>
  <c r="MR20" i="21"/>
  <c r="MS20" i="21"/>
  <c r="MU20" i="21"/>
  <c r="MV20" i="21"/>
  <c r="NR20" i="21"/>
  <c r="NS20" i="21"/>
  <c r="NT20" i="21"/>
  <c r="NU20" i="21"/>
  <c r="NW20" i="21"/>
  <c r="NX20" i="21"/>
  <c r="OT20" i="21"/>
  <c r="OU20" i="21"/>
  <c r="OV20" i="21"/>
  <c r="OW20" i="21"/>
  <c r="OY20" i="21"/>
  <c r="OZ20" i="21"/>
  <c r="PV20" i="21"/>
  <c r="PW20" i="21"/>
  <c r="PX20" i="21"/>
  <c r="PY20" i="21"/>
  <c r="QA20" i="21"/>
  <c r="QB20" i="21"/>
  <c r="QD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AP27" i="21"/>
  <c r="AQ27" i="21"/>
  <c r="AR27" i="21"/>
  <c r="AS27" i="21"/>
  <c r="AU27" i="21"/>
  <c r="AV27" i="21"/>
  <c r="BS27" i="21"/>
  <c r="BT27" i="21"/>
  <c r="BU27" i="21"/>
  <c r="BV27" i="21"/>
  <c r="BX27" i="21"/>
  <c r="BY27" i="21"/>
  <c r="CV27" i="21"/>
  <c r="CW27" i="21"/>
  <c r="CX27" i="21"/>
  <c r="CY27" i="21"/>
  <c r="DA27" i="21"/>
  <c r="DB27" i="21"/>
  <c r="DZ27" i="21"/>
  <c r="EA27" i="21"/>
  <c r="EB27" i="21"/>
  <c r="EC27" i="21"/>
  <c r="ED27" i="21"/>
  <c r="EE27" i="21"/>
  <c r="EF27" i="21"/>
  <c r="FB27" i="21"/>
  <c r="FC27" i="21"/>
  <c r="FD27" i="21"/>
  <c r="FE27" i="21"/>
  <c r="FG27" i="21"/>
  <c r="FH27" i="21"/>
  <c r="GD27" i="21"/>
  <c r="GE27" i="21"/>
  <c r="GF27" i="21"/>
  <c r="GG27" i="21"/>
  <c r="GI27" i="21"/>
  <c r="GJ27" i="21"/>
  <c r="HF27" i="21"/>
  <c r="HG27" i="21"/>
  <c r="HH27" i="21"/>
  <c r="HI27" i="21"/>
  <c r="HK27" i="21"/>
  <c r="HL27" i="21"/>
  <c r="IH27" i="21"/>
  <c r="II27" i="21"/>
  <c r="IJ27" i="21"/>
  <c r="IK27" i="21"/>
  <c r="IM27" i="21"/>
  <c r="IN27" i="21"/>
  <c r="JJ27" i="21"/>
  <c r="JK27" i="21"/>
  <c r="JL27" i="21"/>
  <c r="JM27" i="21"/>
  <c r="JO27" i="21"/>
  <c r="JP27" i="21"/>
  <c r="KL27" i="21"/>
  <c r="KM27" i="21"/>
  <c r="KN27" i="21"/>
  <c r="KO27" i="21"/>
  <c r="KQ27" i="21"/>
  <c r="KR27" i="21"/>
  <c r="LN27" i="21"/>
  <c r="LO27" i="21"/>
  <c r="LP27" i="21"/>
  <c r="LQ27" i="21"/>
  <c r="LS27" i="21"/>
  <c r="LT27" i="21"/>
  <c r="MP27" i="21"/>
  <c r="MQ27" i="21"/>
  <c r="MR27" i="21"/>
  <c r="MS27" i="21"/>
  <c r="MT27" i="21"/>
  <c r="MU27" i="21"/>
  <c r="MV27" i="21"/>
  <c r="NR27" i="21"/>
  <c r="NS27" i="21"/>
  <c r="NT27" i="21"/>
  <c r="NU27" i="21"/>
  <c r="NW27" i="21"/>
  <c r="NX27" i="21"/>
  <c r="OT27" i="21"/>
  <c r="OU27" i="21"/>
  <c r="OV27" i="21"/>
  <c r="OW27" i="21"/>
  <c r="OY27" i="21"/>
  <c r="OZ27" i="21"/>
  <c r="PV27" i="21"/>
  <c r="PW27" i="21"/>
  <c r="PX27" i="21"/>
  <c r="PY27" i="21"/>
  <c r="QA27" i="21"/>
  <c r="QB27" i="21"/>
  <c r="QD27" i="21"/>
  <c r="QE27" i="21"/>
  <c r="QF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AP21" i="21"/>
  <c r="AQ21" i="21"/>
  <c r="AR21" i="21"/>
  <c r="AS21" i="21"/>
  <c r="AU21" i="21"/>
  <c r="AV21" i="21"/>
  <c r="BS21" i="21"/>
  <c r="BT21" i="21"/>
  <c r="BU21" i="21"/>
  <c r="BV21" i="21"/>
  <c r="BX21" i="21"/>
  <c r="BY21" i="21"/>
  <c r="CV21" i="21"/>
  <c r="CW21" i="21"/>
  <c r="CX21" i="21"/>
  <c r="CY21" i="21"/>
  <c r="DA21" i="21"/>
  <c r="DB21" i="21"/>
  <c r="DZ21" i="21"/>
  <c r="EA21" i="21"/>
  <c r="EB21" i="21"/>
  <c r="EC21" i="21"/>
  <c r="EE21" i="21"/>
  <c r="EF21" i="21"/>
  <c r="FB21" i="21"/>
  <c r="FC21" i="21"/>
  <c r="FD21" i="21"/>
  <c r="FE21" i="21"/>
  <c r="FG21" i="21"/>
  <c r="FH21" i="21"/>
  <c r="GD21" i="21"/>
  <c r="GE21" i="21"/>
  <c r="GF21" i="21"/>
  <c r="GG21" i="21"/>
  <c r="GI21" i="21"/>
  <c r="GJ21" i="21"/>
  <c r="HF21" i="21"/>
  <c r="HG21" i="21"/>
  <c r="HH21" i="21"/>
  <c r="HJ21" i="21" s="1"/>
  <c r="HI21" i="21"/>
  <c r="HK21" i="21"/>
  <c r="HL21" i="21"/>
  <c r="IH21" i="21"/>
  <c r="II21" i="21"/>
  <c r="IJ21" i="21"/>
  <c r="IK21" i="21"/>
  <c r="IM21" i="21"/>
  <c r="IN21" i="21"/>
  <c r="JJ21" i="21"/>
  <c r="JK21" i="21"/>
  <c r="JL21" i="21"/>
  <c r="JM21" i="21"/>
  <c r="JN21" i="21"/>
  <c r="JO21" i="21"/>
  <c r="JP21" i="21"/>
  <c r="KL21" i="21"/>
  <c r="KM21" i="21"/>
  <c r="KN21" i="21"/>
  <c r="KO21" i="21"/>
  <c r="KQ21" i="21"/>
  <c r="KR21" i="21"/>
  <c r="LN21" i="21"/>
  <c r="LO21" i="21"/>
  <c r="LP21" i="21"/>
  <c r="LQ21" i="21"/>
  <c r="LS21" i="21"/>
  <c r="LT21" i="21"/>
  <c r="MP21" i="21"/>
  <c r="MQ21" i="21"/>
  <c r="MR21" i="21"/>
  <c r="MS21" i="21"/>
  <c r="MU21" i="21"/>
  <c r="MV21" i="21"/>
  <c r="NR21" i="21"/>
  <c r="NS21" i="21"/>
  <c r="NT21" i="21"/>
  <c r="NU21" i="21"/>
  <c r="NW21" i="21"/>
  <c r="NX21" i="21"/>
  <c r="OT21" i="21"/>
  <c r="OU21" i="21"/>
  <c r="OV21" i="21"/>
  <c r="OW21" i="21"/>
  <c r="OY21" i="21"/>
  <c r="OZ21" i="21"/>
  <c r="PV21" i="21"/>
  <c r="PW21" i="21"/>
  <c r="PX21" i="21"/>
  <c r="PY21" i="21"/>
  <c r="QA21" i="21"/>
  <c r="QB21" i="21"/>
  <c r="QD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AP24" i="21"/>
  <c r="AQ24" i="21"/>
  <c r="AR24" i="21"/>
  <c r="AS24" i="21"/>
  <c r="AU24" i="21"/>
  <c r="AV24" i="21"/>
  <c r="BS24" i="21"/>
  <c r="BT24" i="21"/>
  <c r="BU24" i="21"/>
  <c r="BV24" i="21"/>
  <c r="BX24" i="21"/>
  <c r="BY24" i="21"/>
  <c r="CV24" i="21"/>
  <c r="CW24" i="21"/>
  <c r="CX24" i="21"/>
  <c r="CY24" i="21"/>
  <c r="DA24" i="21"/>
  <c r="DB24" i="21"/>
  <c r="DZ24" i="21"/>
  <c r="EA24" i="21"/>
  <c r="EB24" i="21"/>
  <c r="EC24" i="21"/>
  <c r="EE24" i="21"/>
  <c r="EF24" i="21"/>
  <c r="FB24" i="21"/>
  <c r="FC24" i="21"/>
  <c r="FD24" i="21"/>
  <c r="FE24" i="21"/>
  <c r="FG24" i="21"/>
  <c r="FH24" i="21"/>
  <c r="GD24" i="21"/>
  <c r="GE24" i="21"/>
  <c r="GF24" i="21"/>
  <c r="GG24" i="21"/>
  <c r="GI24" i="21"/>
  <c r="GJ24" i="21"/>
  <c r="HF24" i="21"/>
  <c r="HG24" i="21"/>
  <c r="HH24" i="21"/>
  <c r="HI24" i="21"/>
  <c r="HK24" i="21"/>
  <c r="HL24" i="21"/>
  <c r="IH24" i="21"/>
  <c r="II24" i="21"/>
  <c r="IJ24" i="21"/>
  <c r="IK24" i="21"/>
  <c r="IM24" i="21"/>
  <c r="IN24" i="21"/>
  <c r="JJ24" i="21"/>
  <c r="JK24" i="21"/>
  <c r="JL24" i="21"/>
  <c r="JM24" i="21"/>
  <c r="JO24" i="21"/>
  <c r="JP24" i="21"/>
  <c r="KL24" i="21"/>
  <c r="KM24" i="21"/>
  <c r="KN24" i="21"/>
  <c r="KO24" i="21"/>
  <c r="KQ24" i="21"/>
  <c r="KR24" i="21"/>
  <c r="LN24" i="21"/>
  <c r="LO24" i="21"/>
  <c r="LP24" i="21"/>
  <c r="LQ24" i="21"/>
  <c r="LS24" i="21"/>
  <c r="LT24" i="21"/>
  <c r="MP24" i="21"/>
  <c r="MQ24" i="21"/>
  <c r="MR24" i="21"/>
  <c r="MS24" i="21"/>
  <c r="MU24" i="21"/>
  <c r="MV24" i="21"/>
  <c r="NR24" i="21"/>
  <c r="NS24" i="21"/>
  <c r="NT24" i="21"/>
  <c r="NU24" i="21"/>
  <c r="NW24" i="21"/>
  <c r="NX24" i="21"/>
  <c r="OT24" i="21"/>
  <c r="OU24" i="21"/>
  <c r="OV24" i="21"/>
  <c r="OW24" i="21"/>
  <c r="OY24" i="21"/>
  <c r="OZ24" i="21"/>
  <c r="PV24" i="21"/>
  <c r="PW24" i="21"/>
  <c r="PX24" i="21"/>
  <c r="PY24" i="21"/>
  <c r="QA24" i="21"/>
  <c r="QB24" i="21"/>
  <c r="QD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AP35" i="21"/>
  <c r="AQ35" i="21"/>
  <c r="AR35" i="21"/>
  <c r="AS35" i="21"/>
  <c r="AU35" i="21"/>
  <c r="AV35" i="21"/>
  <c r="AW35" i="21" s="1"/>
  <c r="BS35" i="21"/>
  <c r="BT35" i="21"/>
  <c r="BU35" i="21"/>
  <c r="BV35" i="21"/>
  <c r="BX35" i="21"/>
  <c r="BY35" i="21"/>
  <c r="CV35" i="21"/>
  <c r="CW35" i="21"/>
  <c r="CX35" i="21"/>
  <c r="CY35" i="21"/>
  <c r="DA35" i="21"/>
  <c r="DB35" i="21"/>
  <c r="DZ35" i="21"/>
  <c r="EA35" i="21"/>
  <c r="EB35" i="21"/>
  <c r="EC35" i="21"/>
  <c r="EE35" i="21"/>
  <c r="EF35" i="21"/>
  <c r="FB35" i="21"/>
  <c r="FC35" i="21"/>
  <c r="FD35" i="21"/>
  <c r="FE35" i="21"/>
  <c r="FG35" i="21"/>
  <c r="FH35" i="21"/>
  <c r="GD35" i="21"/>
  <c r="GE35" i="21"/>
  <c r="GF35" i="21"/>
  <c r="GG35" i="21"/>
  <c r="GI35" i="21"/>
  <c r="GJ35" i="21"/>
  <c r="HF35" i="21"/>
  <c r="HG35" i="21"/>
  <c r="HH35" i="21"/>
  <c r="HI35" i="21"/>
  <c r="HK35" i="21"/>
  <c r="HL35" i="21"/>
  <c r="IH35" i="21"/>
  <c r="II35" i="21"/>
  <c r="IJ35" i="21"/>
  <c r="IK35" i="21"/>
  <c r="IM35" i="21"/>
  <c r="IN35" i="21"/>
  <c r="JJ35" i="21"/>
  <c r="JK35" i="21"/>
  <c r="JL35" i="21"/>
  <c r="JM35" i="21"/>
  <c r="JO35" i="21"/>
  <c r="JP35" i="21"/>
  <c r="KL35" i="21"/>
  <c r="KM35" i="21"/>
  <c r="KN35" i="21"/>
  <c r="KO35" i="21"/>
  <c r="KQ35" i="21"/>
  <c r="KR35" i="21"/>
  <c r="LN35" i="21"/>
  <c r="LO35" i="21"/>
  <c r="LP35" i="21"/>
  <c r="LQ35" i="21"/>
  <c r="LS35" i="21"/>
  <c r="LT35" i="21"/>
  <c r="MP35" i="21"/>
  <c r="MQ35" i="21"/>
  <c r="MR35" i="21"/>
  <c r="MS35" i="21"/>
  <c r="MU35" i="21"/>
  <c r="MV35" i="21"/>
  <c r="NR35" i="21"/>
  <c r="NS35" i="21"/>
  <c r="NT35" i="21"/>
  <c r="NU35" i="21"/>
  <c r="NW35" i="21"/>
  <c r="NX35" i="21"/>
  <c r="OT35" i="21"/>
  <c r="OU35" i="21"/>
  <c r="OV35" i="21"/>
  <c r="OW35" i="21"/>
  <c r="OY35" i="21"/>
  <c r="OZ35" i="21"/>
  <c r="PV35" i="21"/>
  <c r="PW35" i="21"/>
  <c r="PX35" i="21"/>
  <c r="PY35" i="21"/>
  <c r="QA35" i="21"/>
  <c r="QB35" i="21"/>
  <c r="QD35" i="21"/>
  <c r="QE35" i="21"/>
  <c r="QF35" i="21"/>
  <c r="QG35" i="21"/>
  <c r="QH35" i="21"/>
  <c r="QI35" i="21"/>
  <c r="QJ35" i="21"/>
  <c r="QK35" i="21"/>
  <c r="QL35" i="21"/>
  <c r="QM35" i="21"/>
  <c r="QN35" i="21"/>
  <c r="QO35" i="21"/>
  <c r="QP35" i="21"/>
  <c r="QQ35" i="21"/>
  <c r="QR35" i="21"/>
  <c r="QS35" i="21"/>
  <c r="QT35" i="21"/>
  <c r="QU35" i="21"/>
  <c r="QV35" i="21"/>
  <c r="QW35" i="21"/>
  <c r="AP11" i="21"/>
  <c r="AQ11" i="21"/>
  <c r="AR11" i="21"/>
  <c r="AS11" i="21"/>
  <c r="AU11" i="21"/>
  <c r="AV11" i="21"/>
  <c r="BS11" i="21"/>
  <c r="BT11" i="21"/>
  <c r="BU11" i="21"/>
  <c r="BV11" i="21"/>
  <c r="BX11" i="21"/>
  <c r="BY11" i="21"/>
  <c r="CV11" i="21"/>
  <c r="CW11" i="21"/>
  <c r="CX11" i="21"/>
  <c r="CY11" i="21"/>
  <c r="DA11" i="21"/>
  <c r="DB11" i="21"/>
  <c r="DZ11" i="21"/>
  <c r="EA11" i="21"/>
  <c r="EB11" i="21"/>
  <c r="EC11" i="21"/>
  <c r="EE11" i="21"/>
  <c r="EF11" i="21"/>
  <c r="FB11" i="21"/>
  <c r="FC11" i="21"/>
  <c r="FD11" i="21"/>
  <c r="FE11" i="21"/>
  <c r="FG11" i="21"/>
  <c r="FH11" i="21"/>
  <c r="GD11" i="21"/>
  <c r="GE11" i="21"/>
  <c r="GF11" i="21"/>
  <c r="GG11" i="21"/>
  <c r="GI11" i="21"/>
  <c r="GJ11" i="21"/>
  <c r="HF11" i="21"/>
  <c r="HG11" i="21"/>
  <c r="HH11" i="21"/>
  <c r="HI11" i="21"/>
  <c r="HK11" i="21"/>
  <c r="HL11" i="21"/>
  <c r="IH11" i="21"/>
  <c r="II11" i="21"/>
  <c r="IJ11" i="21"/>
  <c r="IK11" i="21"/>
  <c r="IM11" i="21"/>
  <c r="IN11" i="21"/>
  <c r="JJ11" i="21"/>
  <c r="JK11" i="21"/>
  <c r="JL11" i="21"/>
  <c r="JM11" i="21"/>
  <c r="JO11" i="21"/>
  <c r="JP11" i="21"/>
  <c r="KL11" i="21"/>
  <c r="KM11" i="21"/>
  <c r="KN11" i="21"/>
  <c r="KO11" i="21"/>
  <c r="KQ11" i="21"/>
  <c r="KR11" i="21"/>
  <c r="LN11" i="21"/>
  <c r="LO11" i="21"/>
  <c r="LP11" i="21"/>
  <c r="LQ11" i="21"/>
  <c r="LS11" i="21"/>
  <c r="LT11" i="21"/>
  <c r="MP11" i="21"/>
  <c r="MQ11" i="21"/>
  <c r="MR11" i="21"/>
  <c r="MS11" i="21"/>
  <c r="MU11" i="21"/>
  <c r="MV11" i="21"/>
  <c r="NR11" i="21"/>
  <c r="NS11" i="21"/>
  <c r="NT11" i="21"/>
  <c r="NU11" i="21"/>
  <c r="NW11" i="21"/>
  <c r="NX11" i="21"/>
  <c r="OT11" i="21"/>
  <c r="OU11" i="21"/>
  <c r="OV11" i="21"/>
  <c r="OW11" i="21"/>
  <c r="OY11" i="21"/>
  <c r="OZ11" i="21"/>
  <c r="PV11" i="21"/>
  <c r="PW11" i="21"/>
  <c r="PX11" i="21"/>
  <c r="PY11" i="21"/>
  <c r="QA11" i="21"/>
  <c r="QB11" i="21"/>
  <c r="QD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AP27" i="19"/>
  <c r="AQ27" i="19"/>
  <c r="AR27" i="19"/>
  <c r="AS27" i="19"/>
  <c r="AU27" i="19"/>
  <c r="AV27" i="19"/>
  <c r="BS27" i="19"/>
  <c r="BT27" i="19"/>
  <c r="BU27" i="19"/>
  <c r="BV27" i="19"/>
  <c r="BX27" i="19"/>
  <c r="BY27" i="19"/>
  <c r="CV27" i="19"/>
  <c r="CW27" i="19"/>
  <c r="CX27" i="19"/>
  <c r="CY27" i="19"/>
  <c r="CZ27" i="19"/>
  <c r="DA27" i="19"/>
  <c r="DB27" i="19"/>
  <c r="DZ27" i="19"/>
  <c r="EA27" i="19"/>
  <c r="EB27" i="19"/>
  <c r="EC27" i="19"/>
  <c r="EE27" i="19"/>
  <c r="EF27" i="19"/>
  <c r="FB27" i="19"/>
  <c r="FC27" i="19"/>
  <c r="FD27" i="19"/>
  <c r="FE27" i="19"/>
  <c r="FG27" i="19"/>
  <c r="FH27" i="19"/>
  <c r="GD27" i="19"/>
  <c r="GE27" i="19"/>
  <c r="GF27" i="19"/>
  <c r="GG27" i="19"/>
  <c r="GI27" i="19"/>
  <c r="GJ27" i="19"/>
  <c r="HF27" i="19"/>
  <c r="HG27" i="19"/>
  <c r="HH27" i="19"/>
  <c r="HI27" i="19"/>
  <c r="HJ27" i="19"/>
  <c r="HK27" i="19"/>
  <c r="HL27" i="19"/>
  <c r="IH27" i="19"/>
  <c r="II27" i="19"/>
  <c r="IJ27" i="19"/>
  <c r="IK27" i="19"/>
  <c r="IM27" i="19"/>
  <c r="IN27" i="19"/>
  <c r="JJ27" i="19"/>
  <c r="JK27" i="19"/>
  <c r="JL27" i="19"/>
  <c r="JM27" i="19"/>
  <c r="JN27" i="19"/>
  <c r="JO27" i="19"/>
  <c r="JP27" i="19"/>
  <c r="JQ27" i="19" s="1"/>
  <c r="KL27" i="19"/>
  <c r="KM27" i="19"/>
  <c r="KN27" i="19"/>
  <c r="KO27" i="19"/>
  <c r="KQ27" i="19"/>
  <c r="KR27" i="19"/>
  <c r="LN27" i="19"/>
  <c r="LO27" i="19"/>
  <c r="LP27" i="19"/>
  <c r="LQ27" i="19"/>
  <c r="LR27" i="19"/>
  <c r="LS27" i="19"/>
  <c r="LT27" i="19"/>
  <c r="LU27" i="19" s="1"/>
  <c r="MP27" i="19"/>
  <c r="MQ27" i="19"/>
  <c r="MR27" i="19"/>
  <c r="MS27" i="19"/>
  <c r="MU27" i="19"/>
  <c r="MV27" i="19"/>
  <c r="NR27" i="19"/>
  <c r="NS27" i="19"/>
  <c r="NT27" i="19"/>
  <c r="NU27" i="19"/>
  <c r="NV27" i="19"/>
  <c r="NW27" i="19"/>
  <c r="NX27" i="19"/>
  <c r="OT27" i="19"/>
  <c r="OU27" i="19"/>
  <c r="OV27" i="19"/>
  <c r="OW27" i="19"/>
  <c r="OY27" i="19"/>
  <c r="OZ27" i="19"/>
  <c r="PV27" i="19"/>
  <c r="PW27" i="19"/>
  <c r="PX27" i="19"/>
  <c r="PY27" i="19"/>
  <c r="PZ27" i="19"/>
  <c r="QA27" i="19"/>
  <c r="QB27" i="19"/>
  <c r="QD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AP28" i="19"/>
  <c r="AQ28" i="19"/>
  <c r="AR28" i="19"/>
  <c r="AS28" i="19"/>
  <c r="AT28" i="19"/>
  <c r="AU28" i="19"/>
  <c r="AV28" i="19"/>
  <c r="AW28" i="19" s="1"/>
  <c r="BS28" i="19"/>
  <c r="BT28" i="19"/>
  <c r="BU28" i="19"/>
  <c r="BV28" i="19"/>
  <c r="BX28" i="19"/>
  <c r="BY28" i="19"/>
  <c r="CV28" i="19"/>
  <c r="CW28" i="19"/>
  <c r="CZ28" i="19" s="1"/>
  <c r="CX28" i="19"/>
  <c r="CY28" i="19"/>
  <c r="DA28" i="19"/>
  <c r="DB28" i="19"/>
  <c r="DZ28" i="19"/>
  <c r="EA28" i="19"/>
  <c r="EB28" i="19"/>
  <c r="EC28" i="19"/>
  <c r="EE28" i="19"/>
  <c r="EF28" i="19"/>
  <c r="FB28" i="19"/>
  <c r="FC28" i="19"/>
  <c r="FD28" i="19"/>
  <c r="FE28" i="19"/>
  <c r="FG28" i="19"/>
  <c r="FH28" i="19"/>
  <c r="GD28" i="19"/>
  <c r="GE28" i="19"/>
  <c r="GF28" i="19"/>
  <c r="GG28" i="19"/>
  <c r="GI28" i="19"/>
  <c r="GJ28" i="19"/>
  <c r="HF28" i="19"/>
  <c r="HG28" i="19"/>
  <c r="HH28" i="19"/>
  <c r="HI28" i="19"/>
  <c r="HK28" i="19"/>
  <c r="HL28" i="19"/>
  <c r="IH28" i="19"/>
  <c r="II28" i="19"/>
  <c r="IJ28" i="19"/>
  <c r="IK28" i="19"/>
  <c r="IM28" i="19"/>
  <c r="IN28" i="19"/>
  <c r="JJ28" i="19"/>
  <c r="JK28" i="19"/>
  <c r="JL28" i="19"/>
  <c r="JM28" i="19"/>
  <c r="JO28" i="19"/>
  <c r="JP28" i="19"/>
  <c r="KL28" i="19"/>
  <c r="KM28" i="19"/>
  <c r="KN28" i="19"/>
  <c r="KO28" i="19"/>
  <c r="KQ28" i="19"/>
  <c r="KR28" i="19"/>
  <c r="LN28" i="19"/>
  <c r="LO28" i="19"/>
  <c r="LP28" i="19"/>
  <c r="LQ28" i="19"/>
  <c r="LS28" i="19"/>
  <c r="LT28" i="19"/>
  <c r="MP28" i="19"/>
  <c r="MQ28" i="19"/>
  <c r="MR28" i="19"/>
  <c r="MS28" i="19"/>
  <c r="MU28" i="19"/>
  <c r="MV28" i="19"/>
  <c r="NR28" i="19"/>
  <c r="NS28" i="19"/>
  <c r="NT28" i="19"/>
  <c r="NU28" i="19"/>
  <c r="NW28" i="19"/>
  <c r="NX28" i="19"/>
  <c r="OT28" i="19"/>
  <c r="OU28" i="19"/>
  <c r="OV28" i="19"/>
  <c r="OW28" i="19"/>
  <c r="OY28" i="19"/>
  <c r="OZ28" i="19"/>
  <c r="PV28" i="19"/>
  <c r="PW28" i="19"/>
  <c r="PX28" i="19"/>
  <c r="PY28" i="19"/>
  <c r="QA28" i="19"/>
  <c r="QB28" i="19"/>
  <c r="QD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AP29" i="19"/>
  <c r="AQ29" i="19"/>
  <c r="AR29" i="19"/>
  <c r="AS29" i="19"/>
  <c r="AU29" i="19"/>
  <c r="AV29" i="19"/>
  <c r="BS29" i="19"/>
  <c r="BT29" i="19"/>
  <c r="BU29" i="19"/>
  <c r="BV29" i="19"/>
  <c r="BW29" i="19"/>
  <c r="BX29" i="19"/>
  <c r="BY29" i="19"/>
  <c r="CV29" i="19"/>
  <c r="CW29" i="19"/>
  <c r="CX29" i="19"/>
  <c r="CY29" i="19"/>
  <c r="DA29" i="19"/>
  <c r="DB29" i="19"/>
  <c r="DZ29" i="19"/>
  <c r="EA29" i="19"/>
  <c r="EB29" i="19"/>
  <c r="EC29" i="19"/>
  <c r="EE29" i="19"/>
  <c r="EF29" i="19"/>
  <c r="FB29" i="19"/>
  <c r="FC29" i="19"/>
  <c r="FD29" i="19"/>
  <c r="FE29" i="19"/>
  <c r="FG29" i="19"/>
  <c r="FH29" i="19"/>
  <c r="GD29" i="19"/>
  <c r="GE29" i="19"/>
  <c r="GF29" i="19"/>
  <c r="GG29" i="19"/>
  <c r="GI29" i="19"/>
  <c r="GJ29" i="19"/>
  <c r="HF29" i="19"/>
  <c r="HG29" i="19"/>
  <c r="HH29" i="19"/>
  <c r="HI29" i="19"/>
  <c r="HK29" i="19"/>
  <c r="HL29" i="19"/>
  <c r="IH29" i="19"/>
  <c r="II29" i="19"/>
  <c r="IJ29" i="19"/>
  <c r="IK29" i="19"/>
  <c r="IM29" i="19"/>
  <c r="IN29" i="19"/>
  <c r="JJ29" i="19"/>
  <c r="JK29" i="19"/>
  <c r="JL29" i="19"/>
  <c r="JM29" i="19"/>
  <c r="JO29" i="19"/>
  <c r="JP29" i="19"/>
  <c r="KL29" i="19"/>
  <c r="KM29" i="19"/>
  <c r="KN29" i="19"/>
  <c r="KO29" i="19"/>
  <c r="KQ29" i="19"/>
  <c r="KR29" i="19"/>
  <c r="LN29" i="19"/>
  <c r="LO29" i="19"/>
  <c r="LP29" i="19"/>
  <c r="LQ29" i="19"/>
  <c r="LS29" i="19"/>
  <c r="LT29" i="19"/>
  <c r="MP29" i="19"/>
  <c r="MQ29" i="19"/>
  <c r="MR29" i="19"/>
  <c r="MS29" i="19"/>
  <c r="MU29" i="19"/>
  <c r="MV29" i="19"/>
  <c r="NR29" i="19"/>
  <c r="NS29" i="19"/>
  <c r="NT29" i="19"/>
  <c r="NU29" i="19"/>
  <c r="NW29" i="19"/>
  <c r="NX29" i="19"/>
  <c r="OT29" i="19"/>
  <c r="OU29" i="19"/>
  <c r="OV29" i="19"/>
  <c r="OW29" i="19"/>
  <c r="OY29" i="19"/>
  <c r="OZ29" i="19"/>
  <c r="PV29" i="19"/>
  <c r="PW29" i="19"/>
  <c r="PX29" i="19"/>
  <c r="PY29" i="19"/>
  <c r="QA29" i="19"/>
  <c r="QB29" i="19"/>
  <c r="QD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AP33" i="19"/>
  <c r="AQ33" i="19"/>
  <c r="AR33" i="19"/>
  <c r="AS33" i="19"/>
  <c r="AU33" i="19"/>
  <c r="AV33" i="19"/>
  <c r="BS33" i="19"/>
  <c r="BT33" i="19"/>
  <c r="BU33" i="19"/>
  <c r="BV33" i="19"/>
  <c r="BX33" i="19"/>
  <c r="BY33" i="19"/>
  <c r="CV33" i="19"/>
  <c r="CW33" i="19"/>
  <c r="CX33" i="19"/>
  <c r="CY33" i="19"/>
  <c r="DA33" i="19"/>
  <c r="DB33" i="19"/>
  <c r="DZ33" i="19"/>
  <c r="EA33" i="19"/>
  <c r="EB33" i="19"/>
  <c r="ED33" i="19" s="1"/>
  <c r="EC33" i="19"/>
  <c r="EE33" i="19"/>
  <c r="EF33" i="19"/>
  <c r="FB33" i="19"/>
  <c r="FC33" i="19"/>
  <c r="FD33" i="19"/>
  <c r="FE33" i="19"/>
  <c r="FG33" i="19"/>
  <c r="FH33" i="19"/>
  <c r="GD33" i="19"/>
  <c r="GE33" i="19"/>
  <c r="GF33" i="19"/>
  <c r="GH33" i="19" s="1"/>
  <c r="GG33" i="19"/>
  <c r="GI33" i="19"/>
  <c r="GJ33" i="19"/>
  <c r="HF33" i="19"/>
  <c r="HG33" i="19"/>
  <c r="HH33" i="19"/>
  <c r="HI33" i="19"/>
  <c r="HK33" i="19"/>
  <c r="HL33" i="19"/>
  <c r="IH33" i="19"/>
  <c r="II33" i="19"/>
  <c r="IJ33" i="19"/>
  <c r="IK33" i="19"/>
  <c r="IM33" i="19"/>
  <c r="IN33" i="19"/>
  <c r="JJ33" i="19"/>
  <c r="JK33" i="19"/>
  <c r="JL33" i="19"/>
  <c r="JM33" i="19"/>
  <c r="JN33" i="19"/>
  <c r="JO33" i="19"/>
  <c r="JP33" i="19"/>
  <c r="KL33" i="19"/>
  <c r="KM33" i="19"/>
  <c r="KN33" i="19"/>
  <c r="KO33" i="19"/>
  <c r="KQ33" i="19"/>
  <c r="KR33" i="19"/>
  <c r="LN33" i="19"/>
  <c r="LO33" i="19"/>
  <c r="LP33" i="19"/>
  <c r="LQ33" i="19"/>
  <c r="LR33" i="19"/>
  <c r="LS33" i="19"/>
  <c r="LT33" i="19"/>
  <c r="MP33" i="19"/>
  <c r="MQ33" i="19"/>
  <c r="MR33" i="19"/>
  <c r="MS33" i="19"/>
  <c r="MU33" i="19"/>
  <c r="MV33" i="19"/>
  <c r="NR33" i="19"/>
  <c r="NS33" i="19"/>
  <c r="NT33" i="19"/>
  <c r="NU33" i="19"/>
  <c r="NW33" i="19"/>
  <c r="NX33" i="19"/>
  <c r="OT33" i="19"/>
  <c r="OU33" i="19"/>
  <c r="OV33" i="19"/>
  <c r="OW33" i="19"/>
  <c r="OY33" i="19"/>
  <c r="OZ33" i="19"/>
  <c r="PV33" i="19"/>
  <c r="PW33" i="19"/>
  <c r="PX33" i="19"/>
  <c r="PY33" i="19"/>
  <c r="QA33" i="19"/>
  <c r="QB33" i="19"/>
  <c r="QD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AP16" i="27"/>
  <c r="AQ16" i="27"/>
  <c r="AR16" i="27"/>
  <c r="AS16" i="27"/>
  <c r="AU16" i="27"/>
  <c r="AV16" i="27"/>
  <c r="BS16" i="27"/>
  <c r="BT16" i="27"/>
  <c r="BU16" i="27"/>
  <c r="BV16" i="27"/>
  <c r="BX16" i="27"/>
  <c r="BY16" i="27"/>
  <c r="CV16" i="27"/>
  <c r="CW16" i="27"/>
  <c r="CX16" i="27"/>
  <c r="CY16" i="27"/>
  <c r="DA16" i="27"/>
  <c r="DB16" i="27"/>
  <c r="DZ16" i="27"/>
  <c r="EA16" i="27"/>
  <c r="EB16" i="27"/>
  <c r="EC16" i="27"/>
  <c r="EE16" i="27"/>
  <c r="EF16" i="27"/>
  <c r="FB16" i="27"/>
  <c r="FC16" i="27"/>
  <c r="FD16" i="27"/>
  <c r="FE16" i="27"/>
  <c r="FF16" i="27"/>
  <c r="FG16" i="27"/>
  <c r="FH16" i="27"/>
  <c r="GD16" i="27"/>
  <c r="GE16" i="27"/>
  <c r="GF16" i="27"/>
  <c r="GG16" i="27"/>
  <c r="GI16" i="27"/>
  <c r="GJ16" i="27"/>
  <c r="HF16" i="27"/>
  <c r="HG16" i="27"/>
  <c r="HH16" i="27"/>
  <c r="HI16" i="27"/>
  <c r="HJ16" i="27"/>
  <c r="HK16" i="27"/>
  <c r="HL16" i="27"/>
  <c r="IH16" i="27"/>
  <c r="II16" i="27"/>
  <c r="IJ16" i="27"/>
  <c r="IK16" i="27"/>
  <c r="IM16" i="27"/>
  <c r="IN16" i="27"/>
  <c r="JJ16" i="27"/>
  <c r="JK16" i="27"/>
  <c r="JL16" i="27"/>
  <c r="JM16" i="27"/>
  <c r="JN16" i="27"/>
  <c r="JO16" i="27"/>
  <c r="JP16" i="27"/>
  <c r="KL16" i="27"/>
  <c r="KM16" i="27"/>
  <c r="KN16" i="27"/>
  <c r="KO16" i="27"/>
  <c r="KQ16" i="27"/>
  <c r="KR16" i="27"/>
  <c r="LN16" i="27"/>
  <c r="LO16" i="27"/>
  <c r="LP16" i="27"/>
  <c r="LQ16" i="27"/>
  <c r="LS16" i="27"/>
  <c r="LT16" i="27"/>
  <c r="MP16" i="27"/>
  <c r="MQ16" i="27"/>
  <c r="MR16" i="27"/>
  <c r="MS16" i="27"/>
  <c r="MU16" i="27"/>
  <c r="MV16" i="27"/>
  <c r="NR16" i="27"/>
  <c r="NS16" i="27"/>
  <c r="NT16" i="27"/>
  <c r="NU16" i="27"/>
  <c r="NW16" i="27"/>
  <c r="NX16" i="27"/>
  <c r="OT16" i="27"/>
  <c r="OU16" i="27"/>
  <c r="OV16" i="27"/>
  <c r="OW16" i="27"/>
  <c r="OY16" i="27"/>
  <c r="OZ16" i="27"/>
  <c r="PV16" i="27"/>
  <c r="PW16" i="27"/>
  <c r="PX16" i="27"/>
  <c r="PY16" i="27"/>
  <c r="QA16" i="27"/>
  <c r="QB16" i="27"/>
  <c r="QD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AP19" i="27"/>
  <c r="AQ19" i="27"/>
  <c r="AR19" i="27"/>
  <c r="AS19" i="27"/>
  <c r="AU19" i="27"/>
  <c r="AV19" i="27"/>
  <c r="BS19" i="27"/>
  <c r="BT19" i="27"/>
  <c r="BU19" i="27"/>
  <c r="BV19" i="27"/>
  <c r="BX19" i="27"/>
  <c r="BY19" i="27"/>
  <c r="CV19" i="27"/>
  <c r="CW19" i="27"/>
  <c r="CX19" i="27"/>
  <c r="CY19" i="27"/>
  <c r="DA19" i="27"/>
  <c r="DB19" i="27"/>
  <c r="DZ19" i="27"/>
  <c r="EA19" i="27"/>
  <c r="EB19" i="27"/>
  <c r="EC19" i="27"/>
  <c r="EE19" i="27"/>
  <c r="EF19" i="27"/>
  <c r="FB19" i="27"/>
  <c r="FC19" i="27"/>
  <c r="FD19" i="27"/>
  <c r="FE19" i="27"/>
  <c r="FG19" i="27"/>
  <c r="FH19" i="27"/>
  <c r="GD19" i="27"/>
  <c r="GE19" i="27"/>
  <c r="GF19" i="27"/>
  <c r="GG19" i="27"/>
  <c r="GI19" i="27"/>
  <c r="GJ19" i="27"/>
  <c r="HF19" i="27"/>
  <c r="HG19" i="27"/>
  <c r="HH19" i="27"/>
  <c r="HI19" i="27"/>
  <c r="HJ19" i="27"/>
  <c r="HK19" i="27"/>
  <c r="HL19" i="27"/>
  <c r="IH19" i="27"/>
  <c r="II19" i="27"/>
  <c r="IJ19" i="27"/>
  <c r="IK19" i="27"/>
  <c r="IM19" i="27"/>
  <c r="IN19" i="27"/>
  <c r="JJ19" i="27"/>
  <c r="JK19" i="27"/>
  <c r="JL19" i="27"/>
  <c r="JM19" i="27"/>
  <c r="JN19" i="27"/>
  <c r="JO19" i="27"/>
  <c r="JP19" i="27"/>
  <c r="KL19" i="27"/>
  <c r="KM19" i="27"/>
  <c r="KN19" i="27"/>
  <c r="KO19" i="27"/>
  <c r="KQ19" i="27"/>
  <c r="KR19" i="27"/>
  <c r="LN19" i="27"/>
  <c r="LO19" i="27"/>
  <c r="LP19" i="27"/>
  <c r="LQ19" i="27"/>
  <c r="LR19" i="27"/>
  <c r="LS19" i="27"/>
  <c r="LT19" i="27"/>
  <c r="MP19" i="27"/>
  <c r="MQ19" i="27"/>
  <c r="MR19" i="27"/>
  <c r="MS19" i="27"/>
  <c r="MU19" i="27"/>
  <c r="MV19" i="27"/>
  <c r="NR19" i="27"/>
  <c r="NS19" i="27"/>
  <c r="NT19" i="27"/>
  <c r="NU19" i="27"/>
  <c r="NV19" i="27"/>
  <c r="NW19" i="27"/>
  <c r="NX19" i="27"/>
  <c r="OT19" i="27"/>
  <c r="OU19" i="27"/>
  <c r="OV19" i="27"/>
  <c r="OW19" i="27"/>
  <c r="OY19" i="27"/>
  <c r="OZ19" i="27"/>
  <c r="PV19" i="27"/>
  <c r="PW19" i="27"/>
  <c r="PX19" i="27"/>
  <c r="PY19" i="27"/>
  <c r="QA19" i="27"/>
  <c r="QB19" i="27"/>
  <c r="QD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AP20" i="26"/>
  <c r="AQ20" i="26"/>
  <c r="AR20" i="26"/>
  <c r="AS20" i="26"/>
  <c r="AU20" i="26"/>
  <c r="AV20" i="26"/>
  <c r="BS20" i="26"/>
  <c r="BT20" i="26"/>
  <c r="BU20" i="26"/>
  <c r="BV20" i="26"/>
  <c r="BX20" i="26"/>
  <c r="BY20" i="26"/>
  <c r="CV20" i="26"/>
  <c r="CW20" i="26"/>
  <c r="CX20" i="26"/>
  <c r="CY20" i="26"/>
  <c r="DA20" i="26"/>
  <c r="DB20" i="26"/>
  <c r="DZ20" i="26"/>
  <c r="EA20" i="26"/>
  <c r="EB20" i="26"/>
  <c r="ED20" i="26" s="1"/>
  <c r="EC20" i="26"/>
  <c r="EE20" i="26"/>
  <c r="EF20" i="26"/>
  <c r="FB20" i="26"/>
  <c r="FC20" i="26"/>
  <c r="FD20" i="26"/>
  <c r="FE20" i="26"/>
  <c r="FG20" i="26"/>
  <c r="FH20" i="26"/>
  <c r="GD20" i="26"/>
  <c r="GE20" i="26"/>
  <c r="GF20" i="26"/>
  <c r="GG20" i="26"/>
  <c r="GI20" i="26"/>
  <c r="GJ20" i="26"/>
  <c r="HF20" i="26"/>
  <c r="HG20" i="26"/>
  <c r="HH20" i="26"/>
  <c r="HJ20" i="26" s="1"/>
  <c r="HI20" i="26"/>
  <c r="HK20" i="26"/>
  <c r="HL20" i="26"/>
  <c r="IH20" i="26"/>
  <c r="II20" i="26"/>
  <c r="IJ20" i="26"/>
  <c r="IK20" i="26"/>
  <c r="IM20" i="26"/>
  <c r="IN20" i="26"/>
  <c r="JJ20" i="26"/>
  <c r="JK20" i="26"/>
  <c r="JL20" i="26"/>
  <c r="JN20" i="26" s="1"/>
  <c r="JM20" i="26"/>
  <c r="JO20" i="26"/>
  <c r="JP20" i="26"/>
  <c r="KL20" i="26"/>
  <c r="KM20" i="26"/>
  <c r="KN20" i="26"/>
  <c r="KO20" i="26"/>
  <c r="KQ20" i="26"/>
  <c r="KR20" i="26"/>
  <c r="LN20" i="26"/>
  <c r="LO20" i="26"/>
  <c r="LP20" i="26"/>
  <c r="LQ20" i="26"/>
  <c r="LR20" i="26"/>
  <c r="LS20" i="26"/>
  <c r="LT20" i="26"/>
  <c r="MP20" i="26"/>
  <c r="MQ20" i="26"/>
  <c r="MR20" i="26"/>
  <c r="MS20" i="26"/>
  <c r="MU20" i="26"/>
  <c r="MV20" i="26"/>
  <c r="NR20" i="26"/>
  <c r="NS20" i="26"/>
  <c r="NT20" i="26"/>
  <c r="NV20" i="26" s="1"/>
  <c r="NU20" i="26"/>
  <c r="NW20" i="26"/>
  <c r="NX20" i="26"/>
  <c r="OT20" i="26"/>
  <c r="OU20" i="26"/>
  <c r="OV20" i="26"/>
  <c r="OW20" i="26"/>
  <c r="OY20" i="26"/>
  <c r="OZ20" i="26"/>
  <c r="PV20" i="26"/>
  <c r="PW20" i="26"/>
  <c r="PX20" i="26"/>
  <c r="PY20" i="26"/>
  <c r="QA20" i="26"/>
  <c r="QB20" i="26"/>
  <c r="QD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AP19" i="26"/>
  <c r="AQ19" i="26"/>
  <c r="AR19" i="26"/>
  <c r="AS19" i="26"/>
  <c r="AT19" i="26"/>
  <c r="AU19" i="26"/>
  <c r="AV19" i="26"/>
  <c r="BS19" i="26"/>
  <c r="BT19" i="26"/>
  <c r="BU19" i="26"/>
  <c r="BV19" i="26"/>
  <c r="BX19" i="26"/>
  <c r="BY19" i="26"/>
  <c r="CV19" i="26"/>
  <c r="CW19" i="26"/>
  <c r="CZ19" i="26" s="1"/>
  <c r="CX19" i="26"/>
  <c r="CY19" i="26"/>
  <c r="DA19" i="26"/>
  <c r="DB19" i="26"/>
  <c r="DZ19" i="26"/>
  <c r="EA19" i="26"/>
  <c r="EB19" i="26"/>
  <c r="EC19" i="26"/>
  <c r="EE19" i="26"/>
  <c r="EF19" i="26"/>
  <c r="FB19" i="26"/>
  <c r="FC19" i="26"/>
  <c r="FD19" i="26"/>
  <c r="FE19" i="26"/>
  <c r="FG19" i="26"/>
  <c r="FH19" i="26"/>
  <c r="GD19" i="26"/>
  <c r="GE19" i="26"/>
  <c r="GF19" i="26"/>
  <c r="GG19" i="26"/>
  <c r="GI19" i="26"/>
  <c r="GJ19" i="26"/>
  <c r="HF19" i="26"/>
  <c r="HG19" i="26"/>
  <c r="HH19" i="26"/>
  <c r="HI19" i="26"/>
  <c r="HK19" i="26"/>
  <c r="HL19" i="26"/>
  <c r="IH19" i="26"/>
  <c r="II19" i="26"/>
  <c r="IJ19" i="26"/>
  <c r="IK19" i="26"/>
  <c r="IM19" i="26"/>
  <c r="IN19" i="26"/>
  <c r="JJ19" i="26"/>
  <c r="JK19" i="26"/>
  <c r="JL19" i="26"/>
  <c r="JM19" i="26"/>
  <c r="JO19" i="26"/>
  <c r="JP19" i="26"/>
  <c r="KL19" i="26"/>
  <c r="KM19" i="26"/>
  <c r="KN19" i="26"/>
  <c r="KO19" i="26"/>
  <c r="KQ19" i="26"/>
  <c r="KR19" i="26"/>
  <c r="LN19" i="26"/>
  <c r="LO19" i="26"/>
  <c r="LP19" i="26"/>
  <c r="LQ19" i="26"/>
  <c r="LS19" i="26"/>
  <c r="LT19" i="26"/>
  <c r="MP19" i="26"/>
  <c r="MQ19" i="26"/>
  <c r="MR19" i="26"/>
  <c r="MS19" i="26"/>
  <c r="MU19" i="26"/>
  <c r="MV19" i="26"/>
  <c r="NR19" i="26"/>
  <c r="NS19" i="26"/>
  <c r="NT19" i="26"/>
  <c r="NU19" i="26"/>
  <c r="NW19" i="26"/>
  <c r="NX19" i="26"/>
  <c r="OT19" i="26"/>
  <c r="OU19" i="26"/>
  <c r="OV19" i="26"/>
  <c r="OW19" i="26"/>
  <c r="OY19" i="26"/>
  <c r="OZ19" i="26"/>
  <c r="PV19" i="26"/>
  <c r="PW19" i="26"/>
  <c r="PX19" i="26"/>
  <c r="PY19" i="26"/>
  <c r="QA19" i="26"/>
  <c r="QB19" i="26"/>
  <c r="QD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GH28" i="19" l="1"/>
  <c r="FF19" i="26"/>
  <c r="HJ19" i="26"/>
  <c r="AT16" i="27"/>
  <c r="CZ16" i="27"/>
  <c r="FF19" i="27"/>
  <c r="LR16" i="27"/>
  <c r="CZ35" i="21"/>
  <c r="CZ33" i="19"/>
  <c r="HJ33" i="19"/>
  <c r="FF33" i="19"/>
  <c r="HJ28" i="19"/>
  <c r="FF28" i="19"/>
  <c r="FF27" i="19"/>
  <c r="PZ28" i="19"/>
  <c r="OX27" i="19"/>
  <c r="NV28" i="19"/>
  <c r="IL29" i="19"/>
  <c r="AT33" i="19"/>
  <c r="JN28" i="19"/>
  <c r="MT27" i="19"/>
  <c r="LR28" i="19"/>
  <c r="FI28" i="19"/>
  <c r="HM33" i="19"/>
  <c r="HM28" i="19"/>
  <c r="JQ33" i="19"/>
  <c r="LU33" i="19"/>
  <c r="PZ16" i="27"/>
  <c r="AT19" i="27"/>
  <c r="JQ19" i="27"/>
  <c r="LU19" i="27"/>
  <c r="NV16" i="27"/>
  <c r="CZ19" i="27"/>
  <c r="HM19" i="27"/>
  <c r="AW19" i="27"/>
  <c r="PZ19" i="27"/>
  <c r="FI19" i="27"/>
  <c r="GH20" i="26"/>
  <c r="AW19" i="26"/>
  <c r="CZ11" i="21"/>
  <c r="PZ35" i="21"/>
  <c r="AT35" i="21"/>
  <c r="HJ11" i="21"/>
  <c r="LR35" i="21"/>
  <c r="FF11" i="21"/>
  <c r="FF21" i="21"/>
  <c r="HJ20" i="21"/>
  <c r="BW28" i="19"/>
  <c r="FI27" i="19"/>
  <c r="OX28" i="19"/>
  <c r="BW33" i="19"/>
  <c r="IL28" i="19"/>
  <c r="JQ28" i="19"/>
  <c r="HM27" i="19"/>
  <c r="PZ33" i="19"/>
  <c r="AT27" i="19"/>
  <c r="OX29" i="19"/>
  <c r="NV33" i="19"/>
  <c r="LU28" i="19"/>
  <c r="JN29" i="19"/>
  <c r="BW27" i="19"/>
  <c r="HJ29" i="19"/>
  <c r="NV29" i="19"/>
  <c r="PZ29" i="19"/>
  <c r="IL27" i="19"/>
  <c r="AW27" i="19"/>
  <c r="AT29" i="19"/>
  <c r="CZ29" i="19"/>
  <c r="LR29" i="19"/>
  <c r="FF29" i="19"/>
  <c r="ED28" i="19"/>
  <c r="OX19" i="27"/>
  <c r="AW16" i="27"/>
  <c r="FF20" i="26"/>
  <c r="OX20" i="26"/>
  <c r="BW20" i="26"/>
  <c r="CZ20" i="26"/>
  <c r="PZ20" i="26"/>
  <c r="AW20" i="26"/>
  <c r="LR19" i="26"/>
  <c r="ED19" i="26"/>
  <c r="FI20" i="26"/>
  <c r="AT20" i="26"/>
  <c r="GH19" i="26"/>
  <c r="NV19" i="26"/>
  <c r="BW19" i="26"/>
  <c r="PZ19" i="26"/>
  <c r="BW27" i="21"/>
  <c r="LR27" i="21"/>
  <c r="LR24" i="21"/>
  <c r="NV35" i="21"/>
  <c r="DC35" i="21"/>
  <c r="PZ24" i="21"/>
  <c r="HM11" i="21"/>
  <c r="FI11" i="21"/>
  <c r="PA27" i="21"/>
  <c r="JN20" i="21"/>
  <c r="JN27" i="21"/>
  <c r="NV24" i="21"/>
  <c r="PZ20" i="21"/>
  <c r="JQ11" i="21"/>
  <c r="OX27" i="21"/>
  <c r="LR20" i="21"/>
  <c r="NV20" i="21"/>
  <c r="LR11" i="21"/>
  <c r="FF24" i="21"/>
  <c r="FI21" i="21"/>
  <c r="HM20" i="21"/>
  <c r="HJ35" i="21"/>
  <c r="LU24" i="21"/>
  <c r="MT20" i="21"/>
  <c r="JQ20" i="21"/>
  <c r="CZ21" i="21"/>
  <c r="AT27" i="21"/>
  <c r="NV11" i="21"/>
  <c r="NY24" i="21"/>
  <c r="BZ27" i="21"/>
  <c r="L35" i="21"/>
  <c r="M35" i="21" s="1"/>
  <c r="QC24" i="21"/>
  <c r="OX21" i="21"/>
  <c r="ED11" i="21"/>
  <c r="LU35" i="21"/>
  <c r="ED35" i="21"/>
  <c r="HJ27" i="21"/>
  <c r="NY35" i="21"/>
  <c r="LU11" i="21"/>
  <c r="JQ27" i="21"/>
  <c r="LU20" i="21"/>
  <c r="PZ21" i="21"/>
  <c r="JN35" i="21"/>
  <c r="FF27" i="21"/>
  <c r="NY21" i="21"/>
  <c r="BW21" i="21"/>
  <c r="AT24" i="21"/>
  <c r="MW27" i="21"/>
  <c r="GK11" i="21"/>
  <c r="GH19" i="27"/>
  <c r="HM16" i="27"/>
  <c r="LU16" i="27"/>
  <c r="JQ16" i="27"/>
  <c r="FI16" i="27"/>
  <c r="MW24" i="21"/>
  <c r="KP24" i="21"/>
  <c r="GH21" i="21"/>
  <c r="OX11" i="21"/>
  <c r="IL21" i="21"/>
  <c r="KP21" i="21"/>
  <c r="BZ20" i="21"/>
  <c r="EG20" i="21"/>
  <c r="MT11" i="21"/>
  <c r="MT21" i="21"/>
  <c r="OX20" i="21"/>
  <c r="QY11" i="21"/>
  <c r="RD11" i="21"/>
  <c r="JN11" i="21"/>
  <c r="GH35" i="21"/>
  <c r="QY20" i="21"/>
  <c r="BZ24" i="21"/>
  <c r="RD24" i="21"/>
  <c r="OX35" i="21"/>
  <c r="MT35" i="21"/>
  <c r="QC21" i="21"/>
  <c r="KP27" i="21"/>
  <c r="IL27" i="21"/>
  <c r="FI27" i="21"/>
  <c r="HM35" i="21"/>
  <c r="ED24" i="21"/>
  <c r="AW24" i="21"/>
  <c r="JQ35" i="21"/>
  <c r="GH24" i="21"/>
  <c r="NV21" i="21"/>
  <c r="HM27" i="21"/>
  <c r="IO35" i="21"/>
  <c r="QZ20" i="21"/>
  <c r="QY27" i="21"/>
  <c r="BW11" i="21"/>
  <c r="RD35" i="21"/>
  <c r="IO20" i="21"/>
  <c r="GK20" i="21"/>
  <c r="ED21" i="21"/>
  <c r="RE35" i="21"/>
  <c r="P35" i="21"/>
  <c r="Q35" i="21" s="1"/>
  <c r="NV27" i="21"/>
  <c r="PZ11" i="21"/>
  <c r="QC35" i="21"/>
  <c r="HJ24" i="21"/>
  <c r="LU27" i="21"/>
  <c r="RB20" i="21"/>
  <c r="NY11" i="21"/>
  <c r="FI24" i="21"/>
  <c r="I24" i="21"/>
  <c r="LR21" i="21"/>
  <c r="HM21" i="21"/>
  <c r="PZ27" i="21"/>
  <c r="QC20" i="21"/>
  <c r="NY20" i="21"/>
  <c r="PA11" i="21"/>
  <c r="AW11" i="21"/>
  <c r="PA35" i="21"/>
  <c r="FF35" i="21"/>
  <c r="JN24" i="21"/>
  <c r="GK24" i="21"/>
  <c r="JQ21" i="21"/>
  <c r="DC21" i="21"/>
  <c r="L21" i="21"/>
  <c r="M21" i="21" s="1"/>
  <c r="KS27" i="21"/>
  <c r="P27" i="21"/>
  <c r="DE27" i="21" s="1"/>
  <c r="MW11" i="21"/>
  <c r="EG24" i="21"/>
  <c r="P24" i="21"/>
  <c r="Q24" i="21" s="1"/>
  <c r="MW21" i="21"/>
  <c r="KS21" i="21"/>
  <c r="GK21" i="21"/>
  <c r="QZ27" i="21"/>
  <c r="PA20" i="21"/>
  <c r="MW20" i="21"/>
  <c r="CZ20" i="21"/>
  <c r="KS35" i="21"/>
  <c r="KP20" i="21"/>
  <c r="EG11" i="21"/>
  <c r="KS24" i="21"/>
  <c r="IO24" i="21"/>
  <c r="IO21" i="21"/>
  <c r="GK35" i="21"/>
  <c r="BZ21" i="21"/>
  <c r="GH11" i="21"/>
  <c r="BZ11" i="21"/>
  <c r="MT24" i="21"/>
  <c r="BW24" i="21"/>
  <c r="P21" i="21"/>
  <c r="Q21" i="21" s="1"/>
  <c r="KP11" i="21"/>
  <c r="KP35" i="21"/>
  <c r="RD21" i="21"/>
  <c r="GH27" i="21"/>
  <c r="EG35" i="21"/>
  <c r="IL11" i="21"/>
  <c r="IL35" i="21"/>
  <c r="OX24" i="21"/>
  <c r="IL24" i="21"/>
  <c r="PA21" i="21"/>
  <c r="EG27" i="21"/>
  <c r="IL20" i="21"/>
  <c r="GH20" i="21"/>
  <c r="GH29" i="19"/>
  <c r="AW29" i="19"/>
  <c r="LU29" i="19"/>
  <c r="JQ29" i="19"/>
  <c r="FI29" i="19"/>
  <c r="HM29" i="19"/>
  <c r="AW33" i="19"/>
  <c r="FI33" i="19"/>
  <c r="ED27" i="19"/>
  <c r="PA27" i="19"/>
  <c r="MW27" i="19"/>
  <c r="KP27" i="19"/>
  <c r="GH27" i="19"/>
  <c r="EG27" i="19"/>
  <c r="BZ27" i="19"/>
  <c r="ED19" i="27"/>
  <c r="GH16" i="27"/>
  <c r="PA16" i="27"/>
  <c r="BW19" i="27"/>
  <c r="QY16" i="27"/>
  <c r="EG16" i="27"/>
  <c r="BZ16" i="27"/>
  <c r="OX16" i="27"/>
  <c r="ED16" i="27"/>
  <c r="BW16" i="27"/>
  <c r="QY19" i="27"/>
  <c r="MT16" i="27"/>
  <c r="OX19" i="26"/>
  <c r="HM20" i="26"/>
  <c r="JQ20" i="26"/>
  <c r="LU20" i="26"/>
  <c r="HM19" i="26"/>
  <c r="FI19" i="26"/>
  <c r="JQ19" i="26"/>
  <c r="LU19" i="26"/>
  <c r="JN19" i="26"/>
  <c r="MT20" i="26"/>
  <c r="IO20" i="26"/>
  <c r="QY19" i="26"/>
  <c r="QY20" i="26"/>
  <c r="PA20" i="26"/>
  <c r="EG20" i="26"/>
  <c r="BZ20" i="26"/>
  <c r="CZ24" i="21"/>
  <c r="QY35" i="21"/>
  <c r="H27" i="21"/>
  <c r="P11" i="21"/>
  <c r="Q11" i="21" s="1"/>
  <c r="RA11" i="21"/>
  <c r="RA20" i="21"/>
  <c r="H24" i="21"/>
  <c r="QZ11" i="21"/>
  <c r="DC24" i="21"/>
  <c r="I20" i="21"/>
  <c r="QZ24" i="21"/>
  <c r="QZ21" i="21"/>
  <c r="RB35" i="21"/>
  <c r="QY21" i="21"/>
  <c r="I35" i="21"/>
  <c r="H20" i="21"/>
  <c r="RA27" i="21"/>
  <c r="N27" i="21"/>
  <c r="O27" i="21" s="1"/>
  <c r="RB11" i="21"/>
  <c r="P20" i="21"/>
  <c r="Q20" i="21" s="1"/>
  <c r="DC11" i="21"/>
  <c r="QY24" i="21"/>
  <c r="L11" i="21"/>
  <c r="M11" i="21" s="1"/>
  <c r="RE21" i="21"/>
  <c r="QZ35" i="21"/>
  <c r="H35" i="21"/>
  <c r="RB27" i="21"/>
  <c r="CZ27" i="21"/>
  <c r="H11" i="21"/>
  <c r="RE24" i="21"/>
  <c r="N11" i="21"/>
  <c r="DC20" i="21"/>
  <c r="RA24" i="21"/>
  <c r="H21" i="21"/>
  <c r="RA21" i="21"/>
  <c r="RD27" i="21"/>
  <c r="RD20" i="21"/>
  <c r="N20" i="21"/>
  <c r="I21" i="21"/>
  <c r="L27" i="21"/>
  <c r="AT11" i="21"/>
  <c r="I27" i="21"/>
  <c r="L20" i="21"/>
  <c r="RA35" i="21"/>
  <c r="N35" i="21"/>
  <c r="I11" i="21"/>
  <c r="RB24" i="21"/>
  <c r="KS11" i="21"/>
  <c r="BZ35" i="21"/>
  <c r="JQ24" i="21"/>
  <c r="AW21" i="21"/>
  <c r="QC27" i="21"/>
  <c r="IO27" i="21"/>
  <c r="L24" i="21"/>
  <c r="RB21" i="21"/>
  <c r="LU21" i="21"/>
  <c r="EG21" i="21"/>
  <c r="RE27" i="21"/>
  <c r="DC27" i="21"/>
  <c r="KS20" i="21"/>
  <c r="MW35" i="21"/>
  <c r="FI35" i="21"/>
  <c r="QC11" i="21"/>
  <c r="IO11" i="21"/>
  <c r="PA24" i="21"/>
  <c r="HM24" i="21"/>
  <c r="N21" i="21"/>
  <c r="NY27" i="21"/>
  <c r="GK27" i="21"/>
  <c r="N24" i="21"/>
  <c r="RE11" i="21"/>
  <c r="BW35" i="21"/>
  <c r="AT21" i="21"/>
  <c r="AW27" i="21"/>
  <c r="RE20" i="21"/>
  <c r="QY27" i="19"/>
  <c r="RB27" i="19"/>
  <c r="QC27" i="19"/>
  <c r="NY27" i="19"/>
  <c r="IO27" i="19"/>
  <c r="GK27" i="19"/>
  <c r="RA27" i="19"/>
  <c r="P27" i="19"/>
  <c r="Q27" i="19" s="1"/>
  <c r="DC27" i="19"/>
  <c r="QZ27" i="19"/>
  <c r="RD27" i="19"/>
  <c r="I27" i="19"/>
  <c r="H27" i="19"/>
  <c r="N27" i="19"/>
  <c r="KS27" i="19"/>
  <c r="L27" i="19"/>
  <c r="RE27" i="19"/>
  <c r="KP28" i="19"/>
  <c r="IL33" i="19"/>
  <c r="MT28" i="19"/>
  <c r="PA28" i="19"/>
  <c r="OX33" i="19"/>
  <c r="RB28" i="19"/>
  <c r="QZ28" i="19"/>
  <c r="BZ28" i="19"/>
  <c r="QY33" i="19"/>
  <c r="EG28" i="19"/>
  <c r="QY28" i="19"/>
  <c r="QC28" i="19"/>
  <c r="NY28" i="19"/>
  <c r="MW28" i="19"/>
  <c r="IO28" i="19"/>
  <c r="GK28" i="19"/>
  <c r="P28" i="19"/>
  <c r="Q28" i="19" s="1"/>
  <c r="RA28" i="19"/>
  <c r="L28" i="19"/>
  <c r="M28" i="19" s="1"/>
  <c r="RD28" i="19"/>
  <c r="I28" i="19"/>
  <c r="H28" i="19"/>
  <c r="N28" i="19"/>
  <c r="KS28" i="19"/>
  <c r="RE28" i="19"/>
  <c r="DC28" i="19"/>
  <c r="QZ33" i="19"/>
  <c r="EG33" i="19"/>
  <c r="PA29" i="19"/>
  <c r="RB29" i="19"/>
  <c r="QZ29" i="19"/>
  <c r="BZ29" i="19"/>
  <c r="MT29" i="19"/>
  <c r="EG29" i="19"/>
  <c r="QY29" i="19"/>
  <c r="QC29" i="19"/>
  <c r="NY29" i="19"/>
  <c r="MW29" i="19"/>
  <c r="KP29" i="19"/>
  <c r="IO29" i="19"/>
  <c r="GK29" i="19"/>
  <c r="ED29" i="19"/>
  <c r="P29" i="19"/>
  <c r="Q29" i="19" s="1"/>
  <c r="DC29" i="19"/>
  <c r="RA29" i="19"/>
  <c r="H29" i="19"/>
  <c r="RD29" i="19"/>
  <c r="I29" i="19"/>
  <c r="N29" i="19"/>
  <c r="KS29" i="19"/>
  <c r="L29" i="19"/>
  <c r="RE29" i="19"/>
  <c r="MT33" i="19"/>
  <c r="PA33" i="19"/>
  <c r="RB33" i="19"/>
  <c r="BZ33" i="19"/>
  <c r="QC33" i="19"/>
  <c r="NY33" i="19"/>
  <c r="MW33" i="19"/>
  <c r="KP33" i="19"/>
  <c r="IO33" i="19"/>
  <c r="GK33" i="19"/>
  <c r="P33" i="19"/>
  <c r="Q33" i="19" s="1"/>
  <c r="DC33" i="19"/>
  <c r="RA33" i="19"/>
  <c r="RD33" i="19"/>
  <c r="H33" i="19"/>
  <c r="I33" i="19"/>
  <c r="N33" i="19"/>
  <c r="L33" i="19"/>
  <c r="KS33" i="19"/>
  <c r="RE33" i="19"/>
  <c r="QZ16" i="27"/>
  <c r="RB16" i="27"/>
  <c r="QC16" i="27"/>
  <c r="NY16" i="27"/>
  <c r="MW16" i="27"/>
  <c r="KP16" i="27"/>
  <c r="IO16" i="27"/>
  <c r="IL16" i="27"/>
  <c r="GK16" i="27"/>
  <c r="P16" i="27"/>
  <c r="Q16" i="27" s="1"/>
  <c r="DC16" i="27"/>
  <c r="RA16" i="27"/>
  <c r="RD16" i="27"/>
  <c r="H16" i="27"/>
  <c r="I16" i="27"/>
  <c r="N16" i="27"/>
  <c r="L16" i="27"/>
  <c r="KS16" i="27"/>
  <c r="RE16" i="27"/>
  <c r="PA19" i="27"/>
  <c r="RB19" i="27"/>
  <c r="MT19" i="27"/>
  <c r="EG19" i="27"/>
  <c r="QZ19" i="27"/>
  <c r="BZ19" i="27"/>
  <c r="QC19" i="27"/>
  <c r="NY19" i="27"/>
  <c r="MW19" i="27"/>
  <c r="KP19" i="27"/>
  <c r="IO19" i="27"/>
  <c r="IL19" i="27"/>
  <c r="GK19" i="27"/>
  <c r="P19" i="27"/>
  <c r="Q19" i="27" s="1"/>
  <c r="L19" i="27"/>
  <c r="M19" i="27" s="1"/>
  <c r="RA19" i="27"/>
  <c r="RD19" i="27"/>
  <c r="I19" i="27"/>
  <c r="H19" i="27"/>
  <c r="N19" i="27"/>
  <c r="KS19" i="27"/>
  <c r="RE19" i="27"/>
  <c r="DC19" i="27"/>
  <c r="RB20" i="26"/>
  <c r="QZ19" i="26"/>
  <c r="QZ20" i="26"/>
  <c r="P20" i="26"/>
  <c r="Q20" i="26" s="1"/>
  <c r="QC20" i="26"/>
  <c r="NY20" i="26"/>
  <c r="MW20" i="26"/>
  <c r="KP20" i="26"/>
  <c r="IL20" i="26"/>
  <c r="GK20" i="26"/>
  <c r="DC20" i="26"/>
  <c r="RA20" i="26"/>
  <c r="RD20" i="26"/>
  <c r="I20" i="26"/>
  <c r="H20" i="26"/>
  <c r="N20" i="26"/>
  <c r="L20" i="26"/>
  <c r="KS20" i="26"/>
  <c r="RE20" i="26"/>
  <c r="EG19" i="26"/>
  <c r="MT19" i="26"/>
  <c r="PA19" i="26"/>
  <c r="BZ19" i="26"/>
  <c r="RB19" i="26"/>
  <c r="QC19" i="26"/>
  <c r="NY19" i="26"/>
  <c r="MW19" i="26"/>
  <c r="KP19" i="26"/>
  <c r="IO19" i="26"/>
  <c r="IL19" i="26"/>
  <c r="GK19" i="26"/>
  <c r="P19" i="26"/>
  <c r="DE19" i="26" s="1"/>
  <c r="DC19" i="26"/>
  <c r="RA19" i="26"/>
  <c r="N19" i="26"/>
  <c r="DD19" i="26" s="1"/>
  <c r="RD19" i="26"/>
  <c r="H19" i="26"/>
  <c r="I19" i="26"/>
  <c r="L19" i="26"/>
  <c r="M19" i="26" s="1"/>
  <c r="KS19" i="26"/>
  <c r="RE19" i="26"/>
  <c r="BY33" i="21"/>
  <c r="BX33" i="21"/>
  <c r="BV33" i="21"/>
  <c r="BU33" i="21"/>
  <c r="BT33" i="21"/>
  <c r="BS33" i="21"/>
  <c r="BY30" i="21"/>
  <c r="BX30" i="21"/>
  <c r="BV30" i="21"/>
  <c r="BU30" i="21"/>
  <c r="BT30" i="21"/>
  <c r="BS30" i="21"/>
  <c r="BY31" i="21"/>
  <c r="BX31" i="21"/>
  <c r="BV31" i="21"/>
  <c r="BU31" i="21"/>
  <c r="BT31" i="21"/>
  <c r="BS31" i="21"/>
  <c r="BY34" i="21"/>
  <c r="BX34" i="21"/>
  <c r="BV34" i="21"/>
  <c r="BU34" i="21"/>
  <c r="BT34" i="21"/>
  <c r="BS34" i="21"/>
  <c r="BY32" i="21"/>
  <c r="BX32" i="21"/>
  <c r="BV32" i="21"/>
  <c r="BU32" i="21"/>
  <c r="BT32" i="21"/>
  <c r="BS32" i="21"/>
  <c r="BY25" i="21"/>
  <c r="BX25" i="21"/>
  <c r="BV25" i="21"/>
  <c r="BU25" i="21"/>
  <c r="BT25" i="21"/>
  <c r="BS25" i="21"/>
  <c r="BY26" i="21"/>
  <c r="BX26" i="21"/>
  <c r="BV26" i="21"/>
  <c r="BU26" i="21"/>
  <c r="BT26" i="21"/>
  <c r="BS26" i="21"/>
  <c r="BY18" i="21"/>
  <c r="BX18" i="21"/>
  <c r="BV18" i="21"/>
  <c r="BU18" i="21"/>
  <c r="BT18" i="21"/>
  <c r="BS18" i="21"/>
  <c r="BY22" i="21"/>
  <c r="BX22" i="21"/>
  <c r="BV22" i="21"/>
  <c r="BU22" i="21"/>
  <c r="BT22" i="21"/>
  <c r="BS22" i="21"/>
  <c r="BY19" i="21"/>
  <c r="BX19" i="21"/>
  <c r="BV19" i="21"/>
  <c r="BU19" i="21"/>
  <c r="BT19" i="21"/>
  <c r="BS19" i="21"/>
  <c r="BY12" i="21"/>
  <c r="BX12" i="21"/>
  <c r="BV12" i="21"/>
  <c r="BU12" i="21"/>
  <c r="BT12" i="21"/>
  <c r="BS12" i="21"/>
  <c r="BY17" i="21"/>
  <c r="BX17" i="21"/>
  <c r="BV17" i="21"/>
  <c r="BU17" i="21"/>
  <c r="BT17" i="21"/>
  <c r="BS17" i="21"/>
  <c r="BY29" i="21"/>
  <c r="BX29" i="21"/>
  <c r="BV29" i="21"/>
  <c r="BU29" i="21"/>
  <c r="BT29" i="21"/>
  <c r="BS29" i="21"/>
  <c r="BY28" i="21"/>
  <c r="BX28" i="21"/>
  <c r="BV28" i="21"/>
  <c r="BU28" i="21"/>
  <c r="BT28" i="21"/>
  <c r="BS28" i="21"/>
  <c r="BY23" i="21"/>
  <c r="BX23" i="21"/>
  <c r="BV23" i="21"/>
  <c r="BU23" i="21"/>
  <c r="BT23" i="21"/>
  <c r="BS23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0" i="21"/>
  <c r="BX10" i="21"/>
  <c r="BV10" i="21"/>
  <c r="BU10" i="21"/>
  <c r="BT10" i="21"/>
  <c r="BS10" i="21"/>
  <c r="BY9" i="21"/>
  <c r="BX9" i="21"/>
  <c r="BV9" i="21"/>
  <c r="BU9" i="21"/>
  <c r="BT9" i="21"/>
  <c r="BS9" i="21"/>
  <c r="BY5" i="21"/>
  <c r="BX5" i="21"/>
  <c r="BV5" i="21"/>
  <c r="BU5" i="21"/>
  <c r="BT5" i="21"/>
  <c r="BS5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33" i="21"/>
  <c r="AU33" i="21"/>
  <c r="AS33" i="21"/>
  <c r="AR33" i="21"/>
  <c r="AQ33" i="21"/>
  <c r="AP33" i="21"/>
  <c r="AV30" i="21"/>
  <c r="AU30" i="21"/>
  <c r="AS30" i="21"/>
  <c r="AR30" i="21"/>
  <c r="AQ30" i="21"/>
  <c r="AP30" i="21"/>
  <c r="AV31" i="21"/>
  <c r="AU31" i="21"/>
  <c r="AS31" i="21"/>
  <c r="AR31" i="21"/>
  <c r="AQ31" i="21"/>
  <c r="AP31" i="21"/>
  <c r="AV34" i="21"/>
  <c r="AU34" i="21"/>
  <c r="AS34" i="21"/>
  <c r="AR34" i="21"/>
  <c r="AQ34" i="21"/>
  <c r="AP34" i="21"/>
  <c r="AV32" i="21"/>
  <c r="AU32" i="21"/>
  <c r="AS32" i="21"/>
  <c r="AR32" i="21"/>
  <c r="AQ32" i="21"/>
  <c r="AP32" i="21"/>
  <c r="AV25" i="21"/>
  <c r="AU25" i="21"/>
  <c r="AS25" i="21"/>
  <c r="AR25" i="21"/>
  <c r="AQ25" i="21"/>
  <c r="AP25" i="21"/>
  <c r="AV26" i="21"/>
  <c r="AU26" i="21"/>
  <c r="AS26" i="21"/>
  <c r="AR26" i="21"/>
  <c r="AQ26" i="21"/>
  <c r="AP26" i="21"/>
  <c r="AV18" i="21"/>
  <c r="AU18" i="21"/>
  <c r="AS18" i="21"/>
  <c r="AR18" i="21"/>
  <c r="AQ18" i="21"/>
  <c r="AP18" i="21"/>
  <c r="AV22" i="21"/>
  <c r="AU22" i="21"/>
  <c r="AS22" i="21"/>
  <c r="AR22" i="21"/>
  <c r="AQ22" i="21"/>
  <c r="AP22" i="21"/>
  <c r="AV19" i="21"/>
  <c r="AU19" i="21"/>
  <c r="AS19" i="21"/>
  <c r="AR19" i="21"/>
  <c r="AQ19" i="21"/>
  <c r="AP19" i="21"/>
  <c r="AV12" i="21"/>
  <c r="AU12" i="21"/>
  <c r="AS12" i="21"/>
  <c r="AR12" i="21"/>
  <c r="AQ12" i="21"/>
  <c r="AP12" i="21"/>
  <c r="AV17" i="21"/>
  <c r="AU17" i="21"/>
  <c r="AS17" i="21"/>
  <c r="AR17" i="21"/>
  <c r="AQ17" i="21"/>
  <c r="AP17" i="21"/>
  <c r="AV29" i="21"/>
  <c r="AU29" i="21"/>
  <c r="AS29" i="21"/>
  <c r="AR29" i="21"/>
  <c r="AQ29" i="21"/>
  <c r="AP29" i="21"/>
  <c r="AV28" i="21"/>
  <c r="AU28" i="21"/>
  <c r="AS28" i="21"/>
  <c r="AR28" i="21"/>
  <c r="AQ28" i="21"/>
  <c r="AP28" i="21"/>
  <c r="AV23" i="21"/>
  <c r="AU23" i="21"/>
  <c r="AS23" i="21"/>
  <c r="AR23" i="21"/>
  <c r="AQ23" i="21"/>
  <c r="AP23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0" i="21"/>
  <c r="AU10" i="21"/>
  <c r="AS10" i="21"/>
  <c r="AR10" i="21"/>
  <c r="AQ10" i="21"/>
  <c r="AP10" i="21"/>
  <c r="AV9" i="21"/>
  <c r="AU9" i="21"/>
  <c r="AS9" i="21"/>
  <c r="AR9" i="21"/>
  <c r="AQ9" i="21"/>
  <c r="AP9" i="21"/>
  <c r="AV5" i="21"/>
  <c r="AU5" i="21"/>
  <c r="AS5" i="21"/>
  <c r="AR5" i="21"/>
  <c r="AQ5" i="21"/>
  <c r="AP5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40" i="19"/>
  <c r="BX40" i="19"/>
  <c r="BV40" i="19"/>
  <c r="BU40" i="19"/>
  <c r="BT40" i="19"/>
  <c r="BS40" i="19"/>
  <c r="BY37" i="19"/>
  <c r="BX37" i="19"/>
  <c r="BV37" i="19"/>
  <c r="BU37" i="19"/>
  <c r="BT37" i="19"/>
  <c r="BS37" i="19"/>
  <c r="BY39" i="19"/>
  <c r="BX39" i="19"/>
  <c r="BV39" i="19"/>
  <c r="BU39" i="19"/>
  <c r="BT39" i="19"/>
  <c r="BS39" i="19"/>
  <c r="BY25" i="19"/>
  <c r="BX25" i="19"/>
  <c r="BV25" i="19"/>
  <c r="BU25" i="19"/>
  <c r="BT25" i="19"/>
  <c r="BS25" i="19"/>
  <c r="BY35" i="19"/>
  <c r="BX35" i="19"/>
  <c r="BV35" i="19"/>
  <c r="BU35" i="19"/>
  <c r="BT35" i="19"/>
  <c r="BS35" i="19"/>
  <c r="BY34" i="19"/>
  <c r="BX34" i="19"/>
  <c r="BV34" i="19"/>
  <c r="BU34" i="19"/>
  <c r="BT34" i="19"/>
  <c r="BS34" i="19"/>
  <c r="BY31" i="19"/>
  <c r="BX31" i="19"/>
  <c r="BV31" i="19"/>
  <c r="BU31" i="19"/>
  <c r="BT31" i="19"/>
  <c r="BS31" i="19"/>
  <c r="BY36" i="19"/>
  <c r="BX36" i="19"/>
  <c r="BV36" i="19"/>
  <c r="BU36" i="19"/>
  <c r="BT36" i="19"/>
  <c r="BS36" i="19"/>
  <c r="BY32" i="19"/>
  <c r="BX32" i="19"/>
  <c r="BV32" i="19"/>
  <c r="BU32" i="19"/>
  <c r="BT32" i="19"/>
  <c r="BS32" i="19"/>
  <c r="BY26" i="19"/>
  <c r="BX26" i="19"/>
  <c r="BV26" i="19"/>
  <c r="BU26" i="19"/>
  <c r="BT26" i="19"/>
  <c r="BS26" i="19"/>
  <c r="BY30" i="19"/>
  <c r="BX30" i="19"/>
  <c r="BV30" i="19"/>
  <c r="BU30" i="19"/>
  <c r="BT30" i="19"/>
  <c r="BS30" i="19"/>
  <c r="BY24" i="19"/>
  <c r="BX24" i="19"/>
  <c r="BV24" i="19"/>
  <c r="BU24" i="19"/>
  <c r="BT24" i="19"/>
  <c r="BS24" i="19"/>
  <c r="BY22" i="19"/>
  <c r="BX22" i="19"/>
  <c r="BV22" i="19"/>
  <c r="BU22" i="19"/>
  <c r="BT22" i="19"/>
  <c r="BS22" i="19"/>
  <c r="BY23" i="19"/>
  <c r="BX23" i="19"/>
  <c r="BV23" i="19"/>
  <c r="BU23" i="19"/>
  <c r="BT23" i="19"/>
  <c r="BS23" i="19"/>
  <c r="BY15" i="19"/>
  <c r="BX15" i="19"/>
  <c r="BV15" i="19"/>
  <c r="BU15" i="19"/>
  <c r="BT15" i="19"/>
  <c r="BS15" i="19"/>
  <c r="BY41" i="19"/>
  <c r="BX41" i="19"/>
  <c r="BV41" i="19"/>
  <c r="BU41" i="19"/>
  <c r="BT41" i="19"/>
  <c r="BS41" i="19"/>
  <c r="BY13" i="19"/>
  <c r="BX13" i="19"/>
  <c r="BV13" i="19"/>
  <c r="BU13" i="19"/>
  <c r="BT13" i="19"/>
  <c r="BS13" i="19"/>
  <c r="BY21" i="19"/>
  <c r="BX21" i="19"/>
  <c r="BV21" i="19"/>
  <c r="BU21" i="19"/>
  <c r="BT21" i="19"/>
  <c r="BS21" i="19"/>
  <c r="BY17" i="19"/>
  <c r="BX17" i="19"/>
  <c r="BV17" i="19"/>
  <c r="BU17" i="19"/>
  <c r="BT17" i="19"/>
  <c r="BS17" i="19"/>
  <c r="BY38" i="19"/>
  <c r="BX38" i="19"/>
  <c r="BV38" i="19"/>
  <c r="BU38" i="19"/>
  <c r="BT38" i="19"/>
  <c r="BS38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11" i="19"/>
  <c r="BX11" i="19"/>
  <c r="BV11" i="19"/>
  <c r="BU11" i="19"/>
  <c r="BT11" i="19"/>
  <c r="BS11" i="19"/>
  <c r="BY8" i="19"/>
  <c r="BX8" i="19"/>
  <c r="BV8" i="19"/>
  <c r="BU8" i="19"/>
  <c r="BT8" i="19"/>
  <c r="BS8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40" i="19"/>
  <c r="AU40" i="19"/>
  <c r="AS40" i="19"/>
  <c r="AR40" i="19"/>
  <c r="AQ40" i="19"/>
  <c r="AP40" i="19"/>
  <c r="AV37" i="19"/>
  <c r="AU37" i="19"/>
  <c r="AS37" i="19"/>
  <c r="AR37" i="19"/>
  <c r="AQ37" i="19"/>
  <c r="AP37" i="19"/>
  <c r="AV39" i="19"/>
  <c r="AU39" i="19"/>
  <c r="AS39" i="19"/>
  <c r="AR39" i="19"/>
  <c r="AQ39" i="19"/>
  <c r="AP39" i="19"/>
  <c r="AV25" i="19"/>
  <c r="AU25" i="19"/>
  <c r="AS25" i="19"/>
  <c r="AR25" i="19"/>
  <c r="AQ25" i="19"/>
  <c r="AP25" i="19"/>
  <c r="AV35" i="19"/>
  <c r="AU35" i="19"/>
  <c r="AS35" i="19"/>
  <c r="AR35" i="19"/>
  <c r="AQ35" i="19"/>
  <c r="AP35" i="19"/>
  <c r="AV34" i="19"/>
  <c r="AU34" i="19"/>
  <c r="AS34" i="19"/>
  <c r="AR34" i="19"/>
  <c r="AQ34" i="19"/>
  <c r="AP34" i="19"/>
  <c r="AV31" i="19"/>
  <c r="AU31" i="19"/>
  <c r="AS31" i="19"/>
  <c r="AR31" i="19"/>
  <c r="AQ31" i="19"/>
  <c r="AP31" i="19"/>
  <c r="AV36" i="19"/>
  <c r="AU36" i="19"/>
  <c r="AS36" i="19"/>
  <c r="AR36" i="19"/>
  <c r="AQ36" i="19"/>
  <c r="AP36" i="19"/>
  <c r="AV32" i="19"/>
  <c r="AU32" i="19"/>
  <c r="AS32" i="19"/>
  <c r="AR32" i="19"/>
  <c r="AQ32" i="19"/>
  <c r="AP32" i="19"/>
  <c r="AV26" i="19"/>
  <c r="AU26" i="19"/>
  <c r="AS26" i="19"/>
  <c r="AR26" i="19"/>
  <c r="AQ26" i="19"/>
  <c r="AP26" i="19"/>
  <c r="AV30" i="19"/>
  <c r="AU30" i="19"/>
  <c r="AS30" i="19"/>
  <c r="AR30" i="19"/>
  <c r="AQ30" i="19"/>
  <c r="AP30" i="19"/>
  <c r="AV24" i="19"/>
  <c r="AU24" i="19"/>
  <c r="AS24" i="19"/>
  <c r="AR24" i="19"/>
  <c r="AQ24" i="19"/>
  <c r="AP24" i="19"/>
  <c r="AV22" i="19"/>
  <c r="AU22" i="19"/>
  <c r="AS22" i="19"/>
  <c r="AR22" i="19"/>
  <c r="AQ22" i="19"/>
  <c r="AP22" i="19"/>
  <c r="AV23" i="19"/>
  <c r="AU23" i="19"/>
  <c r="AS23" i="19"/>
  <c r="AR23" i="19"/>
  <c r="AQ23" i="19"/>
  <c r="AP23" i="19"/>
  <c r="AV15" i="19"/>
  <c r="AU15" i="19"/>
  <c r="AS15" i="19"/>
  <c r="AR15" i="19"/>
  <c r="AQ15" i="19"/>
  <c r="AP15" i="19"/>
  <c r="AV41" i="19"/>
  <c r="AU41" i="19"/>
  <c r="AS41" i="19"/>
  <c r="AR41" i="19"/>
  <c r="AQ41" i="19"/>
  <c r="AP41" i="19"/>
  <c r="AV13" i="19"/>
  <c r="AU13" i="19"/>
  <c r="AS13" i="19"/>
  <c r="AR13" i="19"/>
  <c r="AQ13" i="19"/>
  <c r="AP13" i="19"/>
  <c r="AV21" i="19"/>
  <c r="AU21" i="19"/>
  <c r="AS21" i="19"/>
  <c r="AR21" i="19"/>
  <c r="AQ21" i="19"/>
  <c r="AP21" i="19"/>
  <c r="AV17" i="19"/>
  <c r="AU17" i="19"/>
  <c r="AS17" i="19"/>
  <c r="AR17" i="19"/>
  <c r="AQ17" i="19"/>
  <c r="AP17" i="19"/>
  <c r="AV38" i="19"/>
  <c r="AU38" i="19"/>
  <c r="AS38" i="19"/>
  <c r="AR38" i="19"/>
  <c r="AQ38" i="19"/>
  <c r="AP38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11" i="19"/>
  <c r="AU11" i="19"/>
  <c r="AS11" i="19"/>
  <c r="AR11" i="19"/>
  <c r="AQ11" i="19"/>
  <c r="AP11" i="19"/>
  <c r="AV8" i="19"/>
  <c r="AU8" i="19"/>
  <c r="AS8" i="19"/>
  <c r="AR8" i="19"/>
  <c r="AQ8" i="19"/>
  <c r="AP8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Y13" i="27"/>
  <c r="BX13" i="27"/>
  <c r="BV13" i="27"/>
  <c r="BU13" i="27"/>
  <c r="BT13" i="27"/>
  <c r="BS13" i="27"/>
  <c r="BY20" i="27"/>
  <c r="BX20" i="27"/>
  <c r="BV20" i="27"/>
  <c r="BU20" i="27"/>
  <c r="BT20" i="27"/>
  <c r="BS20" i="27"/>
  <c r="BY17" i="27"/>
  <c r="BX17" i="27"/>
  <c r="BV17" i="27"/>
  <c r="BU17" i="27"/>
  <c r="BT17" i="27"/>
  <c r="BS17" i="27"/>
  <c r="BY18" i="27"/>
  <c r="BX18" i="27"/>
  <c r="BV18" i="27"/>
  <c r="BU18" i="27"/>
  <c r="BT18" i="27"/>
  <c r="BS18" i="27"/>
  <c r="BY9" i="27"/>
  <c r="BX9" i="27"/>
  <c r="BV9" i="27"/>
  <c r="BU9" i="27"/>
  <c r="BT9" i="27"/>
  <c r="BS9" i="27"/>
  <c r="BY12" i="27"/>
  <c r="BX12" i="27"/>
  <c r="BV12" i="27"/>
  <c r="BU12" i="27"/>
  <c r="BT12" i="27"/>
  <c r="BS12" i="27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8" i="27"/>
  <c r="BX8" i="27"/>
  <c r="BV8" i="27"/>
  <c r="BU8" i="27"/>
  <c r="BT8" i="27"/>
  <c r="BS8" i="27"/>
  <c r="BY11" i="27"/>
  <c r="BX11" i="27"/>
  <c r="BV11" i="27"/>
  <c r="BU11" i="27"/>
  <c r="BT11" i="27"/>
  <c r="BS11" i="27"/>
  <c r="BY5" i="27"/>
  <c r="BX5" i="27"/>
  <c r="BV5" i="27"/>
  <c r="BU5" i="27"/>
  <c r="BT5" i="27"/>
  <c r="BS5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3" i="27"/>
  <c r="AU13" i="27"/>
  <c r="AS13" i="27"/>
  <c r="AR13" i="27"/>
  <c r="AQ13" i="27"/>
  <c r="AP13" i="27"/>
  <c r="AV20" i="27"/>
  <c r="AU20" i="27"/>
  <c r="AS20" i="27"/>
  <c r="AR20" i="27"/>
  <c r="AQ20" i="27"/>
  <c r="AP20" i="27"/>
  <c r="AV17" i="27"/>
  <c r="AU17" i="27"/>
  <c r="AS17" i="27"/>
  <c r="AR17" i="27"/>
  <c r="AQ17" i="27"/>
  <c r="AP17" i="27"/>
  <c r="AV18" i="27"/>
  <c r="AU18" i="27"/>
  <c r="AS18" i="27"/>
  <c r="AR18" i="27"/>
  <c r="AQ18" i="27"/>
  <c r="AP18" i="27"/>
  <c r="AV9" i="27"/>
  <c r="AU9" i="27"/>
  <c r="AS9" i="27"/>
  <c r="AR9" i="27"/>
  <c r="AQ9" i="27"/>
  <c r="AP9" i="27"/>
  <c r="AV12" i="27"/>
  <c r="AU12" i="27"/>
  <c r="AS12" i="27"/>
  <c r="AR12" i="27"/>
  <c r="AQ12" i="27"/>
  <c r="AP12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8" i="27"/>
  <c r="AU8" i="27"/>
  <c r="AS8" i="27"/>
  <c r="AR8" i="27"/>
  <c r="AQ8" i="27"/>
  <c r="AP8" i="27"/>
  <c r="AV11" i="27"/>
  <c r="AU11" i="27"/>
  <c r="AS11" i="27"/>
  <c r="AR11" i="27"/>
  <c r="AQ11" i="27"/>
  <c r="AP11" i="27"/>
  <c r="AV5" i="27"/>
  <c r="AU5" i="27"/>
  <c r="AS5" i="27"/>
  <c r="AR5" i="27"/>
  <c r="AQ5" i="27"/>
  <c r="AP5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21" i="26"/>
  <c r="BX21" i="26"/>
  <c r="BV21" i="26"/>
  <c r="BU21" i="26"/>
  <c r="BT21" i="26"/>
  <c r="BS21" i="26"/>
  <c r="BY17" i="26"/>
  <c r="BX17" i="26"/>
  <c r="BV17" i="26"/>
  <c r="BU17" i="26"/>
  <c r="BT17" i="26"/>
  <c r="BS17" i="26"/>
  <c r="BY18" i="26"/>
  <c r="BX18" i="26"/>
  <c r="BV18" i="26"/>
  <c r="BU18" i="26"/>
  <c r="BT18" i="26"/>
  <c r="BS18" i="26"/>
  <c r="BY14" i="26"/>
  <c r="BX14" i="26"/>
  <c r="BV14" i="26"/>
  <c r="BU14" i="26"/>
  <c r="BT14" i="26"/>
  <c r="BS14" i="26"/>
  <c r="BY15" i="26"/>
  <c r="BX15" i="26"/>
  <c r="BV15" i="26"/>
  <c r="BU15" i="26"/>
  <c r="BT15" i="26"/>
  <c r="BS15" i="26"/>
  <c r="BY16" i="26"/>
  <c r="BX16" i="26"/>
  <c r="BV16" i="26"/>
  <c r="BU16" i="26"/>
  <c r="BT16" i="26"/>
  <c r="BS16" i="26"/>
  <c r="BY12" i="26"/>
  <c r="BX12" i="26"/>
  <c r="BV12" i="26"/>
  <c r="BU12" i="26"/>
  <c r="BT12" i="26"/>
  <c r="BS12" i="26"/>
  <c r="BY11" i="26"/>
  <c r="BX11" i="26"/>
  <c r="BV11" i="26"/>
  <c r="BU11" i="26"/>
  <c r="BT11" i="26"/>
  <c r="BS11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13" i="26"/>
  <c r="BX13" i="26"/>
  <c r="BV13" i="26"/>
  <c r="BU13" i="26"/>
  <c r="BT13" i="26"/>
  <c r="BS13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21" i="26"/>
  <c r="AU21" i="26"/>
  <c r="AS21" i="26"/>
  <c r="AR21" i="26"/>
  <c r="AQ21" i="26"/>
  <c r="AP21" i="26"/>
  <c r="AV17" i="26"/>
  <c r="AU17" i="26"/>
  <c r="AS17" i="26"/>
  <c r="AR17" i="26"/>
  <c r="AQ17" i="26"/>
  <c r="AP17" i="26"/>
  <c r="AV18" i="26"/>
  <c r="AU18" i="26"/>
  <c r="AS18" i="26"/>
  <c r="AR18" i="26"/>
  <c r="AQ18" i="26"/>
  <c r="AP18" i="26"/>
  <c r="AV14" i="26"/>
  <c r="AU14" i="26"/>
  <c r="AS14" i="26"/>
  <c r="AR14" i="26"/>
  <c r="AQ14" i="26"/>
  <c r="AP14" i="26"/>
  <c r="AV15" i="26"/>
  <c r="AU15" i="26"/>
  <c r="AS15" i="26"/>
  <c r="AR15" i="26"/>
  <c r="AQ15" i="26"/>
  <c r="AP15" i="26"/>
  <c r="AV16" i="26"/>
  <c r="AU16" i="26"/>
  <c r="AS16" i="26"/>
  <c r="AR16" i="26"/>
  <c r="AQ16" i="26"/>
  <c r="AP16" i="26"/>
  <c r="AV12" i="26"/>
  <c r="AU12" i="26"/>
  <c r="AS12" i="26"/>
  <c r="AR12" i="26"/>
  <c r="AQ12" i="26"/>
  <c r="AP12" i="26"/>
  <c r="AV11" i="26"/>
  <c r="AU11" i="26"/>
  <c r="AS11" i="26"/>
  <c r="AR11" i="26"/>
  <c r="AQ11" i="26"/>
  <c r="AP11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13" i="26"/>
  <c r="AU13" i="26"/>
  <c r="AS13" i="26"/>
  <c r="AR13" i="26"/>
  <c r="AQ13" i="26"/>
  <c r="AP13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Y35" i="22"/>
  <c r="BX35" i="22"/>
  <c r="BW35" i="22"/>
  <c r="BU35" i="22"/>
  <c r="BT35" i="22"/>
  <c r="BS35" i="22"/>
  <c r="BR35" i="22"/>
  <c r="BV35" i="22" s="1"/>
  <c r="BQ35" i="22"/>
  <c r="BP35" i="22"/>
  <c r="BY33" i="22"/>
  <c r="BX33" i="22"/>
  <c r="BW33" i="22"/>
  <c r="BU33" i="22"/>
  <c r="BT33" i="22"/>
  <c r="BS33" i="22"/>
  <c r="BR33" i="22"/>
  <c r="BV33" i="22" s="1"/>
  <c r="BQ33" i="22"/>
  <c r="BP33" i="22"/>
  <c r="BY32" i="22"/>
  <c r="BX32" i="22"/>
  <c r="BW32" i="22"/>
  <c r="BU32" i="22"/>
  <c r="BT32" i="22"/>
  <c r="BS32" i="22"/>
  <c r="BR32" i="22"/>
  <c r="BV32" i="22" s="1"/>
  <c r="BQ32" i="22"/>
  <c r="BP32" i="22"/>
  <c r="BY34" i="22"/>
  <c r="BX34" i="22"/>
  <c r="BW34" i="22"/>
  <c r="BU34" i="22"/>
  <c r="BT34" i="22"/>
  <c r="BS34" i="22"/>
  <c r="BR34" i="22"/>
  <c r="BV34" i="22" s="1"/>
  <c r="BQ34" i="22"/>
  <c r="BP34" i="22"/>
  <c r="BY29" i="22"/>
  <c r="BX29" i="22"/>
  <c r="BW29" i="22"/>
  <c r="BU29" i="22"/>
  <c r="BT29" i="22"/>
  <c r="BS29" i="22"/>
  <c r="BR29" i="22"/>
  <c r="BV29" i="22" s="1"/>
  <c r="BQ29" i="22"/>
  <c r="BP29" i="22"/>
  <c r="BY27" i="22"/>
  <c r="BX27" i="22"/>
  <c r="BW27" i="22"/>
  <c r="BU27" i="22"/>
  <c r="BT27" i="22"/>
  <c r="BS27" i="22"/>
  <c r="BR27" i="22"/>
  <c r="BV27" i="22" s="1"/>
  <c r="BQ27" i="22"/>
  <c r="BP27" i="22"/>
  <c r="BY31" i="22"/>
  <c r="BX31" i="22"/>
  <c r="BW31" i="22"/>
  <c r="BU31" i="22"/>
  <c r="BT31" i="22"/>
  <c r="BS31" i="22"/>
  <c r="BR31" i="22"/>
  <c r="BV31" i="22" s="1"/>
  <c r="BQ31" i="22"/>
  <c r="BP31" i="22"/>
  <c r="BY26" i="22"/>
  <c r="BX26" i="22"/>
  <c r="BW26" i="22"/>
  <c r="BU26" i="22"/>
  <c r="BT26" i="22"/>
  <c r="BS26" i="22"/>
  <c r="BR26" i="22"/>
  <c r="BV26" i="22" s="1"/>
  <c r="BQ26" i="22"/>
  <c r="BP26" i="22"/>
  <c r="BY28" i="22"/>
  <c r="BX28" i="22"/>
  <c r="BW28" i="22"/>
  <c r="BU28" i="22"/>
  <c r="BT28" i="22"/>
  <c r="BS28" i="22"/>
  <c r="BR28" i="22"/>
  <c r="BV28" i="22" s="1"/>
  <c r="BQ28" i="22"/>
  <c r="BP28" i="22"/>
  <c r="BY25" i="22"/>
  <c r="BX25" i="22"/>
  <c r="BW25" i="22"/>
  <c r="BU25" i="22"/>
  <c r="BT25" i="22"/>
  <c r="BS25" i="22"/>
  <c r="BR25" i="22"/>
  <c r="BV25" i="22" s="1"/>
  <c r="BQ25" i="22"/>
  <c r="BP25" i="22"/>
  <c r="BY23" i="22"/>
  <c r="BX23" i="22"/>
  <c r="BW23" i="22"/>
  <c r="BU23" i="22"/>
  <c r="BT23" i="22"/>
  <c r="BS23" i="22"/>
  <c r="BR23" i="22"/>
  <c r="BQ23" i="22"/>
  <c r="BP23" i="22"/>
  <c r="BY21" i="22"/>
  <c r="BX21" i="22"/>
  <c r="BW21" i="22"/>
  <c r="BU21" i="22"/>
  <c r="BT21" i="22"/>
  <c r="BS21" i="22"/>
  <c r="BR21" i="22"/>
  <c r="BV21" i="22" s="1"/>
  <c r="BQ21" i="22"/>
  <c r="BP21" i="22"/>
  <c r="BY30" i="22"/>
  <c r="BX30" i="22"/>
  <c r="BW30" i="22"/>
  <c r="BU30" i="22"/>
  <c r="BT30" i="22"/>
  <c r="BS30" i="22"/>
  <c r="BR30" i="22"/>
  <c r="BV30" i="22" s="1"/>
  <c r="BQ30" i="22"/>
  <c r="BP30" i="22"/>
  <c r="BY22" i="22"/>
  <c r="BX22" i="22"/>
  <c r="BW22" i="22"/>
  <c r="BU22" i="22"/>
  <c r="BT22" i="22"/>
  <c r="BS22" i="22"/>
  <c r="BR22" i="22"/>
  <c r="BV22" i="22" s="1"/>
  <c r="BQ22" i="22"/>
  <c r="BP22" i="22"/>
  <c r="BY20" i="22"/>
  <c r="BX20" i="22"/>
  <c r="BW20" i="22"/>
  <c r="BU20" i="22"/>
  <c r="BT20" i="22"/>
  <c r="BS20" i="22"/>
  <c r="BR20" i="22"/>
  <c r="BV20" i="22" s="1"/>
  <c r="BQ20" i="22"/>
  <c r="BP20" i="22"/>
  <c r="BY16" i="22"/>
  <c r="BX16" i="22"/>
  <c r="BW16" i="22"/>
  <c r="BU16" i="22"/>
  <c r="BT16" i="22"/>
  <c r="BS16" i="22"/>
  <c r="BR16" i="22"/>
  <c r="BV16" i="22" s="1"/>
  <c r="BQ16" i="22"/>
  <c r="BP16" i="22"/>
  <c r="BY24" i="22"/>
  <c r="BX24" i="22"/>
  <c r="BW24" i="22"/>
  <c r="BU24" i="22"/>
  <c r="BT24" i="22"/>
  <c r="BS24" i="22"/>
  <c r="BR24" i="22"/>
  <c r="BV24" i="22" s="1"/>
  <c r="BQ24" i="22"/>
  <c r="BP24" i="22"/>
  <c r="BY17" i="22"/>
  <c r="BX17" i="22"/>
  <c r="BW17" i="22"/>
  <c r="BU17" i="22"/>
  <c r="BT17" i="22"/>
  <c r="BS17" i="22"/>
  <c r="BR17" i="22"/>
  <c r="BQ17" i="22"/>
  <c r="BP17" i="22"/>
  <c r="BY19" i="22"/>
  <c r="BX19" i="22"/>
  <c r="BW19" i="22"/>
  <c r="BU19" i="22"/>
  <c r="BT19" i="22"/>
  <c r="BS19" i="22"/>
  <c r="BR19" i="22"/>
  <c r="BV19" i="22" s="1"/>
  <c r="BQ19" i="22"/>
  <c r="BP19" i="22"/>
  <c r="BY14" i="22"/>
  <c r="BX14" i="22"/>
  <c r="BW14" i="22"/>
  <c r="BU14" i="22"/>
  <c r="BT14" i="22"/>
  <c r="BS14" i="22"/>
  <c r="BR14" i="22"/>
  <c r="BV14" i="22" s="1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V12" i="22" s="1"/>
  <c r="BQ12" i="22"/>
  <c r="BP12" i="22"/>
  <c r="BY18" i="22"/>
  <c r="BX18" i="22"/>
  <c r="BW18" i="22"/>
  <c r="BU18" i="22"/>
  <c r="BT18" i="22"/>
  <c r="BS18" i="22"/>
  <c r="BR18" i="22"/>
  <c r="BQ18" i="22"/>
  <c r="BP18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V9" i="22" s="1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35" i="22"/>
  <c r="AW35" i="22"/>
  <c r="AV35" i="22"/>
  <c r="AT35" i="22"/>
  <c r="AS35" i="22"/>
  <c r="AR35" i="22"/>
  <c r="AQ35" i="22"/>
  <c r="AP35" i="22"/>
  <c r="AO35" i="22"/>
  <c r="AX33" i="22"/>
  <c r="AW33" i="22"/>
  <c r="AV33" i="22"/>
  <c r="AT33" i="22"/>
  <c r="AS33" i="22"/>
  <c r="AR33" i="22"/>
  <c r="AQ33" i="22"/>
  <c r="AP33" i="22"/>
  <c r="AO33" i="22"/>
  <c r="AX32" i="22"/>
  <c r="AW32" i="22"/>
  <c r="AV32" i="22"/>
  <c r="AT32" i="22"/>
  <c r="AS32" i="22"/>
  <c r="AR32" i="22"/>
  <c r="AQ32" i="22"/>
  <c r="AP32" i="22"/>
  <c r="AO32" i="22"/>
  <c r="AX34" i="22"/>
  <c r="AW34" i="22"/>
  <c r="AV34" i="22"/>
  <c r="AT34" i="22"/>
  <c r="AS34" i="22"/>
  <c r="AR34" i="22"/>
  <c r="AQ34" i="22"/>
  <c r="AP34" i="22"/>
  <c r="AO34" i="22"/>
  <c r="AX29" i="22"/>
  <c r="AW29" i="22"/>
  <c r="AV29" i="22"/>
  <c r="AT29" i="22"/>
  <c r="AS29" i="22"/>
  <c r="AR29" i="22"/>
  <c r="AQ29" i="22"/>
  <c r="AP29" i="22"/>
  <c r="AO29" i="22"/>
  <c r="AX27" i="22"/>
  <c r="AW27" i="22"/>
  <c r="AV27" i="22"/>
  <c r="AT27" i="22"/>
  <c r="AS27" i="22"/>
  <c r="AR27" i="22"/>
  <c r="AQ27" i="22"/>
  <c r="AP27" i="22"/>
  <c r="AO27" i="22"/>
  <c r="AX31" i="22"/>
  <c r="AW31" i="22"/>
  <c r="AV31" i="22"/>
  <c r="AT31" i="22"/>
  <c r="AS31" i="22"/>
  <c r="AR31" i="22"/>
  <c r="AQ31" i="22"/>
  <c r="AP31" i="22"/>
  <c r="AO31" i="22"/>
  <c r="AX26" i="22"/>
  <c r="AW26" i="22"/>
  <c r="AV26" i="22"/>
  <c r="AT26" i="22"/>
  <c r="AS26" i="22"/>
  <c r="AR26" i="22"/>
  <c r="AQ26" i="22"/>
  <c r="AP26" i="22"/>
  <c r="AO26" i="22"/>
  <c r="AX28" i="22"/>
  <c r="AW28" i="22"/>
  <c r="AV28" i="22"/>
  <c r="AT28" i="22"/>
  <c r="AS28" i="22"/>
  <c r="AR28" i="22"/>
  <c r="AQ28" i="22"/>
  <c r="AP28" i="22"/>
  <c r="AO28" i="22"/>
  <c r="AX25" i="22"/>
  <c r="AW25" i="22"/>
  <c r="AV25" i="22"/>
  <c r="AT25" i="22"/>
  <c r="AS25" i="22"/>
  <c r="AR25" i="22"/>
  <c r="AQ25" i="22"/>
  <c r="AP25" i="22"/>
  <c r="AO25" i="22"/>
  <c r="AX23" i="22"/>
  <c r="AW23" i="22"/>
  <c r="AV23" i="22"/>
  <c r="AT23" i="22"/>
  <c r="AS23" i="22"/>
  <c r="AR23" i="22"/>
  <c r="AQ23" i="22"/>
  <c r="AP23" i="22"/>
  <c r="AO23" i="22"/>
  <c r="AX21" i="22"/>
  <c r="AW21" i="22"/>
  <c r="AV21" i="22"/>
  <c r="AT21" i="22"/>
  <c r="AS21" i="22"/>
  <c r="AR21" i="22"/>
  <c r="AQ21" i="22"/>
  <c r="AP21" i="22"/>
  <c r="AO21" i="22"/>
  <c r="AX30" i="22"/>
  <c r="AW30" i="22"/>
  <c r="AV30" i="22"/>
  <c r="AT30" i="22"/>
  <c r="AS30" i="22"/>
  <c r="AR30" i="22"/>
  <c r="AQ30" i="22"/>
  <c r="AP30" i="22"/>
  <c r="AO30" i="22"/>
  <c r="AX22" i="22"/>
  <c r="AW22" i="22"/>
  <c r="AV22" i="22"/>
  <c r="AT22" i="22"/>
  <c r="AS22" i="22"/>
  <c r="AR22" i="22"/>
  <c r="AQ22" i="22"/>
  <c r="AP22" i="22"/>
  <c r="AO22" i="22"/>
  <c r="AX20" i="22"/>
  <c r="AW20" i="22"/>
  <c r="AV20" i="22"/>
  <c r="AT20" i="22"/>
  <c r="AS20" i="22"/>
  <c r="AR20" i="22"/>
  <c r="AQ20" i="22"/>
  <c r="AP20" i="22"/>
  <c r="AO20" i="22"/>
  <c r="AX16" i="22"/>
  <c r="AW16" i="22"/>
  <c r="AV16" i="22"/>
  <c r="AT16" i="22"/>
  <c r="AS16" i="22"/>
  <c r="AR16" i="22"/>
  <c r="AQ16" i="22"/>
  <c r="AP16" i="22"/>
  <c r="AO16" i="22"/>
  <c r="AX24" i="22"/>
  <c r="AW24" i="22"/>
  <c r="AV24" i="22"/>
  <c r="AT24" i="22"/>
  <c r="AS24" i="22"/>
  <c r="AR24" i="22"/>
  <c r="AQ24" i="22"/>
  <c r="AP24" i="22"/>
  <c r="AO24" i="22"/>
  <c r="AX17" i="22"/>
  <c r="AW17" i="22"/>
  <c r="AV17" i="22"/>
  <c r="AT17" i="22"/>
  <c r="AS17" i="22"/>
  <c r="AR17" i="22"/>
  <c r="AQ17" i="22"/>
  <c r="AP17" i="22"/>
  <c r="AO17" i="22"/>
  <c r="AX19" i="22"/>
  <c r="AW19" i="22"/>
  <c r="AV19" i="22"/>
  <c r="AT19" i="22"/>
  <c r="AS19" i="22"/>
  <c r="AR19" i="22"/>
  <c r="AQ19" i="22"/>
  <c r="AP19" i="22"/>
  <c r="AO19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8" i="22"/>
  <c r="AW18" i="22"/>
  <c r="AV18" i="22"/>
  <c r="AT18" i="22"/>
  <c r="AS18" i="22"/>
  <c r="AR18" i="22"/>
  <c r="AQ18" i="22"/>
  <c r="AP18" i="22"/>
  <c r="AO18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6" i="4"/>
  <c r="BX26" i="4"/>
  <c r="BW26" i="4"/>
  <c r="BU26" i="4"/>
  <c r="BT26" i="4"/>
  <c r="BS26" i="4"/>
  <c r="BR26" i="4"/>
  <c r="BV26" i="4" s="1"/>
  <c r="BQ26" i="4"/>
  <c r="BP26" i="4"/>
  <c r="BY36" i="4"/>
  <c r="BX36" i="4"/>
  <c r="BW36" i="4"/>
  <c r="BU36" i="4"/>
  <c r="BT36" i="4"/>
  <c r="BS36" i="4"/>
  <c r="BR36" i="4"/>
  <c r="BV36" i="4" s="1"/>
  <c r="BQ36" i="4"/>
  <c r="BP36" i="4"/>
  <c r="BY35" i="4"/>
  <c r="BX35" i="4"/>
  <c r="BW35" i="4"/>
  <c r="BU35" i="4"/>
  <c r="BT35" i="4"/>
  <c r="BS35" i="4"/>
  <c r="BR35" i="4"/>
  <c r="BV35" i="4" s="1"/>
  <c r="BQ35" i="4"/>
  <c r="BP35" i="4"/>
  <c r="BY33" i="4"/>
  <c r="BX33" i="4"/>
  <c r="BW33" i="4"/>
  <c r="BU33" i="4"/>
  <c r="BT33" i="4"/>
  <c r="BS33" i="4"/>
  <c r="BR33" i="4"/>
  <c r="BV33" i="4" s="1"/>
  <c r="BQ33" i="4"/>
  <c r="BP33" i="4"/>
  <c r="BY32" i="4"/>
  <c r="BX32" i="4"/>
  <c r="BW32" i="4"/>
  <c r="BU32" i="4"/>
  <c r="BT32" i="4"/>
  <c r="BS32" i="4"/>
  <c r="BR32" i="4"/>
  <c r="BV32" i="4" s="1"/>
  <c r="BQ32" i="4"/>
  <c r="BP32" i="4"/>
  <c r="BY31" i="4"/>
  <c r="BX31" i="4"/>
  <c r="BW31" i="4"/>
  <c r="BU31" i="4"/>
  <c r="BT31" i="4"/>
  <c r="BS31" i="4"/>
  <c r="BR31" i="4"/>
  <c r="BV31" i="4" s="1"/>
  <c r="BQ31" i="4"/>
  <c r="BP31" i="4"/>
  <c r="BY29" i="4"/>
  <c r="BX29" i="4"/>
  <c r="BW29" i="4"/>
  <c r="BU29" i="4"/>
  <c r="BT29" i="4"/>
  <c r="BS29" i="4"/>
  <c r="BR29" i="4"/>
  <c r="BV29" i="4" s="1"/>
  <c r="BQ29" i="4"/>
  <c r="BP29" i="4"/>
  <c r="BY28" i="4"/>
  <c r="BX28" i="4"/>
  <c r="BW28" i="4"/>
  <c r="BU28" i="4"/>
  <c r="BT28" i="4"/>
  <c r="BS28" i="4"/>
  <c r="BR28" i="4"/>
  <c r="BV28" i="4" s="1"/>
  <c r="BQ28" i="4"/>
  <c r="BP28" i="4"/>
  <c r="BY34" i="4"/>
  <c r="BX34" i="4"/>
  <c r="BW34" i="4"/>
  <c r="BU34" i="4"/>
  <c r="BT34" i="4"/>
  <c r="BS34" i="4"/>
  <c r="BR34" i="4"/>
  <c r="BV34" i="4" s="1"/>
  <c r="BQ34" i="4"/>
  <c r="BP34" i="4"/>
  <c r="BY38" i="4"/>
  <c r="BX38" i="4"/>
  <c r="BW38" i="4"/>
  <c r="BU38" i="4"/>
  <c r="BT38" i="4"/>
  <c r="BS38" i="4"/>
  <c r="BR38" i="4"/>
  <c r="BV38" i="4" s="1"/>
  <c r="BQ38" i="4"/>
  <c r="BP38" i="4"/>
  <c r="BY15" i="4"/>
  <c r="BX15" i="4"/>
  <c r="BW15" i="4"/>
  <c r="BU15" i="4"/>
  <c r="BT15" i="4"/>
  <c r="BS15" i="4"/>
  <c r="BR15" i="4"/>
  <c r="BQ15" i="4"/>
  <c r="BP15" i="4"/>
  <c r="BY23" i="4"/>
  <c r="BX23" i="4"/>
  <c r="BW23" i="4"/>
  <c r="BU23" i="4"/>
  <c r="BT23" i="4"/>
  <c r="BS23" i="4"/>
  <c r="BR23" i="4"/>
  <c r="BQ23" i="4"/>
  <c r="BP23" i="4"/>
  <c r="BY30" i="4"/>
  <c r="BX30" i="4"/>
  <c r="BW30" i="4"/>
  <c r="BU30" i="4"/>
  <c r="BT30" i="4"/>
  <c r="BS30" i="4"/>
  <c r="BR30" i="4"/>
  <c r="BV30" i="4" s="1"/>
  <c r="BQ30" i="4"/>
  <c r="BP30" i="4"/>
  <c r="BY22" i="4"/>
  <c r="BX22" i="4"/>
  <c r="BW22" i="4"/>
  <c r="BU22" i="4"/>
  <c r="BT22" i="4"/>
  <c r="BS22" i="4"/>
  <c r="BR22" i="4"/>
  <c r="BQ22" i="4"/>
  <c r="BP22" i="4"/>
  <c r="BY24" i="4"/>
  <c r="BX24" i="4"/>
  <c r="BW24" i="4"/>
  <c r="BU24" i="4"/>
  <c r="BT24" i="4"/>
  <c r="BS24" i="4"/>
  <c r="BR24" i="4"/>
  <c r="BQ24" i="4"/>
  <c r="BP24" i="4"/>
  <c r="BY21" i="4"/>
  <c r="BX21" i="4"/>
  <c r="BW21" i="4"/>
  <c r="BU21" i="4"/>
  <c r="BT21" i="4"/>
  <c r="BS21" i="4"/>
  <c r="BR21" i="4"/>
  <c r="BQ21" i="4"/>
  <c r="BP21" i="4"/>
  <c r="BY20" i="4"/>
  <c r="BX20" i="4"/>
  <c r="BW20" i="4"/>
  <c r="BU20" i="4"/>
  <c r="BT20" i="4"/>
  <c r="BS20" i="4"/>
  <c r="BR20" i="4"/>
  <c r="BQ20" i="4"/>
  <c r="BP20" i="4"/>
  <c r="BY27" i="4"/>
  <c r="BX27" i="4"/>
  <c r="BW27" i="4"/>
  <c r="BU27" i="4"/>
  <c r="BT27" i="4"/>
  <c r="BS27" i="4"/>
  <c r="BR27" i="4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19" i="4"/>
  <c r="BX19" i="4"/>
  <c r="BW19" i="4"/>
  <c r="BU19" i="4"/>
  <c r="BT19" i="4"/>
  <c r="BS19" i="4"/>
  <c r="BR19" i="4"/>
  <c r="BQ19" i="4"/>
  <c r="BP19" i="4"/>
  <c r="BY18" i="4"/>
  <c r="BX18" i="4"/>
  <c r="BW18" i="4"/>
  <c r="BU18" i="4"/>
  <c r="BT18" i="4"/>
  <c r="BS18" i="4"/>
  <c r="BR18" i="4"/>
  <c r="BV18" i="4" s="1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13" i="4"/>
  <c r="BX13" i="4"/>
  <c r="BW13" i="4"/>
  <c r="BU13" i="4"/>
  <c r="BT13" i="4"/>
  <c r="BS13" i="4"/>
  <c r="BR13" i="4"/>
  <c r="BV13" i="4" s="1"/>
  <c r="BQ13" i="4"/>
  <c r="BP13" i="4"/>
  <c r="BY37" i="4"/>
  <c r="BX37" i="4"/>
  <c r="BW37" i="4"/>
  <c r="BU37" i="4"/>
  <c r="BT37" i="4"/>
  <c r="BS37" i="4"/>
  <c r="BR37" i="4"/>
  <c r="BV37" i="4" s="1"/>
  <c r="BQ37" i="4"/>
  <c r="BP37" i="4"/>
  <c r="BY10" i="4"/>
  <c r="BX10" i="4"/>
  <c r="BW10" i="4"/>
  <c r="BU10" i="4"/>
  <c r="BT10" i="4"/>
  <c r="BS10" i="4"/>
  <c r="BR10" i="4"/>
  <c r="BQ10" i="4"/>
  <c r="BP10" i="4"/>
  <c r="BY12" i="4"/>
  <c r="BX12" i="4"/>
  <c r="BW12" i="4"/>
  <c r="BU12" i="4"/>
  <c r="BT12" i="4"/>
  <c r="BS12" i="4"/>
  <c r="BR12" i="4"/>
  <c r="BV12" i="4" s="1"/>
  <c r="BQ12" i="4"/>
  <c r="BP12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6" i="4"/>
  <c r="AW26" i="4"/>
  <c r="AV26" i="4"/>
  <c r="AT26" i="4"/>
  <c r="AS26" i="4"/>
  <c r="AR26" i="4"/>
  <c r="AQ26" i="4"/>
  <c r="AU26" i="4" s="1"/>
  <c r="AP26" i="4"/>
  <c r="AO26" i="4"/>
  <c r="AX36" i="4"/>
  <c r="AW36" i="4"/>
  <c r="AV36" i="4"/>
  <c r="AT36" i="4"/>
  <c r="AS36" i="4"/>
  <c r="AR36" i="4"/>
  <c r="AQ36" i="4"/>
  <c r="AP36" i="4"/>
  <c r="AO36" i="4"/>
  <c r="AX35" i="4"/>
  <c r="AW35" i="4"/>
  <c r="AV35" i="4"/>
  <c r="AT35" i="4"/>
  <c r="AS35" i="4"/>
  <c r="AR35" i="4"/>
  <c r="AQ35" i="4"/>
  <c r="AP35" i="4"/>
  <c r="AO35" i="4"/>
  <c r="AX33" i="4"/>
  <c r="AW33" i="4"/>
  <c r="AV33" i="4"/>
  <c r="AT33" i="4"/>
  <c r="AS33" i="4"/>
  <c r="AR33" i="4"/>
  <c r="AQ33" i="4"/>
  <c r="AP33" i="4"/>
  <c r="AO33" i="4"/>
  <c r="AX32" i="4"/>
  <c r="AW32" i="4"/>
  <c r="AV32" i="4"/>
  <c r="AT32" i="4"/>
  <c r="AS32" i="4"/>
  <c r="AR32" i="4"/>
  <c r="AQ32" i="4"/>
  <c r="AP32" i="4"/>
  <c r="AO32" i="4"/>
  <c r="AX31" i="4"/>
  <c r="AW31" i="4"/>
  <c r="AV31" i="4"/>
  <c r="AT31" i="4"/>
  <c r="AS31" i="4"/>
  <c r="AR31" i="4"/>
  <c r="AQ31" i="4"/>
  <c r="AP31" i="4"/>
  <c r="AO31" i="4"/>
  <c r="AX29" i="4"/>
  <c r="AW29" i="4"/>
  <c r="AV29" i="4"/>
  <c r="AT29" i="4"/>
  <c r="AS29" i="4"/>
  <c r="AR29" i="4"/>
  <c r="AQ29" i="4"/>
  <c r="AP29" i="4"/>
  <c r="AO29" i="4"/>
  <c r="AX28" i="4"/>
  <c r="AW28" i="4"/>
  <c r="AV28" i="4"/>
  <c r="AT28" i="4"/>
  <c r="AS28" i="4"/>
  <c r="AR28" i="4"/>
  <c r="AQ28" i="4"/>
  <c r="AP28" i="4"/>
  <c r="AO28" i="4"/>
  <c r="AX34" i="4"/>
  <c r="AW34" i="4"/>
  <c r="AV34" i="4"/>
  <c r="AT34" i="4"/>
  <c r="AS34" i="4"/>
  <c r="AR34" i="4"/>
  <c r="AQ34" i="4"/>
  <c r="AP34" i="4"/>
  <c r="AO34" i="4"/>
  <c r="AX38" i="4"/>
  <c r="AW38" i="4"/>
  <c r="AV38" i="4"/>
  <c r="AT38" i="4"/>
  <c r="AS38" i="4"/>
  <c r="AR38" i="4"/>
  <c r="AQ38" i="4"/>
  <c r="AP38" i="4"/>
  <c r="AO38" i="4"/>
  <c r="AX15" i="4"/>
  <c r="AW15" i="4"/>
  <c r="AV15" i="4"/>
  <c r="AT15" i="4"/>
  <c r="AS15" i="4"/>
  <c r="AR15" i="4"/>
  <c r="AQ15" i="4"/>
  <c r="AP15" i="4"/>
  <c r="AO15" i="4"/>
  <c r="AX23" i="4"/>
  <c r="AW23" i="4"/>
  <c r="AV23" i="4"/>
  <c r="AT23" i="4"/>
  <c r="AS23" i="4"/>
  <c r="AR23" i="4"/>
  <c r="AQ23" i="4"/>
  <c r="AP23" i="4"/>
  <c r="AO23" i="4"/>
  <c r="AX30" i="4"/>
  <c r="AW30" i="4"/>
  <c r="AV30" i="4"/>
  <c r="AT30" i="4"/>
  <c r="AS30" i="4"/>
  <c r="AR30" i="4"/>
  <c r="AQ30" i="4"/>
  <c r="AP30" i="4"/>
  <c r="AO30" i="4"/>
  <c r="AX22" i="4"/>
  <c r="AW22" i="4"/>
  <c r="AV22" i="4"/>
  <c r="AT22" i="4"/>
  <c r="AS22" i="4"/>
  <c r="AR22" i="4"/>
  <c r="AQ22" i="4"/>
  <c r="AU22" i="4" s="1"/>
  <c r="AP22" i="4"/>
  <c r="AO22" i="4"/>
  <c r="AX24" i="4"/>
  <c r="AW24" i="4"/>
  <c r="AV24" i="4"/>
  <c r="AT24" i="4"/>
  <c r="AS24" i="4"/>
  <c r="AR24" i="4"/>
  <c r="AQ24" i="4"/>
  <c r="AP24" i="4"/>
  <c r="AO24" i="4"/>
  <c r="AX21" i="4"/>
  <c r="AW21" i="4"/>
  <c r="AV21" i="4"/>
  <c r="AT21" i="4"/>
  <c r="AS21" i="4"/>
  <c r="AR21" i="4"/>
  <c r="AQ21" i="4"/>
  <c r="AP21" i="4"/>
  <c r="AO21" i="4"/>
  <c r="AX20" i="4"/>
  <c r="AW20" i="4"/>
  <c r="AV20" i="4"/>
  <c r="AT20" i="4"/>
  <c r="AS20" i="4"/>
  <c r="AR20" i="4"/>
  <c r="AQ20" i="4"/>
  <c r="AP20" i="4"/>
  <c r="AO20" i="4"/>
  <c r="AX27" i="4"/>
  <c r="AW27" i="4"/>
  <c r="AV27" i="4"/>
  <c r="AT27" i="4"/>
  <c r="AS27" i="4"/>
  <c r="AR27" i="4"/>
  <c r="AQ27" i="4"/>
  <c r="AP27" i="4"/>
  <c r="AO27" i="4"/>
  <c r="AX25" i="4"/>
  <c r="AW25" i="4"/>
  <c r="AV25" i="4"/>
  <c r="AT25" i="4"/>
  <c r="AS25" i="4"/>
  <c r="AR25" i="4"/>
  <c r="AQ25" i="4"/>
  <c r="AP25" i="4"/>
  <c r="AO25" i="4"/>
  <c r="AX19" i="4"/>
  <c r="AW19" i="4"/>
  <c r="AV19" i="4"/>
  <c r="AT19" i="4"/>
  <c r="AS19" i="4"/>
  <c r="AR19" i="4"/>
  <c r="AQ19" i="4"/>
  <c r="AP19" i="4"/>
  <c r="AO19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P17" i="4"/>
  <c r="AO17" i="4"/>
  <c r="AX13" i="4"/>
  <c r="AW13" i="4"/>
  <c r="AV13" i="4"/>
  <c r="AT13" i="4"/>
  <c r="AS13" i="4"/>
  <c r="AR13" i="4"/>
  <c r="AQ13" i="4"/>
  <c r="AP13" i="4"/>
  <c r="AO13" i="4"/>
  <c r="AX37" i="4"/>
  <c r="AW37" i="4"/>
  <c r="AV37" i="4"/>
  <c r="AT37" i="4"/>
  <c r="AS37" i="4"/>
  <c r="AR37" i="4"/>
  <c r="AQ37" i="4"/>
  <c r="AU37" i="4" s="1"/>
  <c r="AP37" i="4"/>
  <c r="AO37" i="4"/>
  <c r="AX10" i="4"/>
  <c r="AW10" i="4"/>
  <c r="AV10" i="4"/>
  <c r="AT10" i="4"/>
  <c r="AS10" i="4"/>
  <c r="AR10" i="4"/>
  <c r="AQ10" i="4"/>
  <c r="AP10" i="4"/>
  <c r="AO10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V16" i="21"/>
  <c r="CW16" i="21"/>
  <c r="CX16" i="21"/>
  <c r="CY16" i="21"/>
  <c r="DA16" i="21"/>
  <c r="DB16" i="21"/>
  <c r="DZ16" i="21"/>
  <c r="EA16" i="21"/>
  <c r="EB16" i="21"/>
  <c r="EC16" i="21"/>
  <c r="EE16" i="21"/>
  <c r="EF16" i="21"/>
  <c r="FB16" i="21"/>
  <c r="FC16" i="21"/>
  <c r="FD16" i="21"/>
  <c r="FE16" i="21"/>
  <c r="FG16" i="21"/>
  <c r="FH16" i="21"/>
  <c r="GD16" i="21"/>
  <c r="GE16" i="21"/>
  <c r="GF16" i="21"/>
  <c r="GG16" i="21"/>
  <c r="GI16" i="21"/>
  <c r="GJ16" i="21"/>
  <c r="HF16" i="21"/>
  <c r="HG16" i="21"/>
  <c r="HH16" i="21"/>
  <c r="HI16" i="21"/>
  <c r="HK16" i="21"/>
  <c r="HL16" i="21"/>
  <c r="IH16" i="21"/>
  <c r="II16" i="21"/>
  <c r="IJ16" i="21"/>
  <c r="IK16" i="21"/>
  <c r="IM16" i="21"/>
  <c r="IN16" i="21"/>
  <c r="JJ16" i="21"/>
  <c r="JK16" i="21"/>
  <c r="JL16" i="21"/>
  <c r="JM16" i="21"/>
  <c r="JO16" i="21"/>
  <c r="JP16" i="21"/>
  <c r="KL16" i="21"/>
  <c r="KM16" i="21"/>
  <c r="KN16" i="21"/>
  <c r="KO16" i="21"/>
  <c r="KQ16" i="21"/>
  <c r="KR16" i="21"/>
  <c r="LN16" i="21"/>
  <c r="LO16" i="21"/>
  <c r="LP16" i="21"/>
  <c r="LQ16" i="21"/>
  <c r="LS16" i="21"/>
  <c r="LT16" i="21"/>
  <c r="MP16" i="21"/>
  <c r="MQ16" i="21"/>
  <c r="MR16" i="21"/>
  <c r="MS16" i="21"/>
  <c r="MU16" i="21"/>
  <c r="MV16" i="21"/>
  <c r="NR16" i="21"/>
  <c r="NS16" i="21"/>
  <c r="NT16" i="21"/>
  <c r="NU16" i="21"/>
  <c r="NW16" i="21"/>
  <c r="NX16" i="21"/>
  <c r="OT16" i="21"/>
  <c r="OU16" i="21"/>
  <c r="OV16" i="21"/>
  <c r="OW16" i="21"/>
  <c r="OY16" i="21"/>
  <c r="OZ16" i="21"/>
  <c r="PV16" i="21"/>
  <c r="PW16" i="21"/>
  <c r="PX16" i="21"/>
  <c r="PY16" i="21"/>
  <c r="QA16" i="21"/>
  <c r="QB16" i="21"/>
  <c r="QD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CV9" i="21"/>
  <c r="CW9" i="21"/>
  <c r="CX9" i="21"/>
  <c r="CY9" i="21"/>
  <c r="DA9" i="21"/>
  <c r="DB9" i="21"/>
  <c r="DZ9" i="21"/>
  <c r="EA9" i="21"/>
  <c r="EB9" i="21"/>
  <c r="EC9" i="21"/>
  <c r="EE9" i="21"/>
  <c r="EF9" i="21"/>
  <c r="FB9" i="21"/>
  <c r="FC9" i="21"/>
  <c r="FD9" i="21"/>
  <c r="FE9" i="21"/>
  <c r="FG9" i="21"/>
  <c r="FH9" i="21"/>
  <c r="GD9" i="21"/>
  <c r="GE9" i="21"/>
  <c r="GF9" i="21"/>
  <c r="GG9" i="21"/>
  <c r="GI9" i="21"/>
  <c r="GJ9" i="21"/>
  <c r="HF9" i="21"/>
  <c r="HG9" i="21"/>
  <c r="HH9" i="21"/>
  <c r="HI9" i="21"/>
  <c r="HK9" i="21"/>
  <c r="HL9" i="21"/>
  <c r="IH9" i="21"/>
  <c r="II9" i="21"/>
  <c r="IJ9" i="21"/>
  <c r="IK9" i="21"/>
  <c r="IM9" i="21"/>
  <c r="IN9" i="21"/>
  <c r="JJ9" i="21"/>
  <c r="JK9" i="21"/>
  <c r="JL9" i="21"/>
  <c r="JM9" i="21"/>
  <c r="JO9" i="21"/>
  <c r="JP9" i="21"/>
  <c r="KL9" i="21"/>
  <c r="KM9" i="21"/>
  <c r="KN9" i="21"/>
  <c r="KO9" i="21"/>
  <c r="KQ9" i="21"/>
  <c r="KR9" i="21"/>
  <c r="LN9" i="21"/>
  <c r="LO9" i="21"/>
  <c r="LP9" i="21"/>
  <c r="LQ9" i="21"/>
  <c r="LS9" i="21"/>
  <c r="LT9" i="21"/>
  <c r="MP9" i="21"/>
  <c r="MQ9" i="21"/>
  <c r="MR9" i="21"/>
  <c r="MS9" i="21"/>
  <c r="MU9" i="21"/>
  <c r="MV9" i="21"/>
  <c r="NR9" i="21"/>
  <c r="NS9" i="21"/>
  <c r="NT9" i="21"/>
  <c r="NU9" i="21"/>
  <c r="NW9" i="21"/>
  <c r="NX9" i="21"/>
  <c r="OT9" i="21"/>
  <c r="OU9" i="21"/>
  <c r="OV9" i="21"/>
  <c r="OW9" i="21"/>
  <c r="OY9" i="21"/>
  <c r="OZ9" i="21"/>
  <c r="PV9" i="21"/>
  <c r="PW9" i="21"/>
  <c r="PX9" i="21"/>
  <c r="PY9" i="21"/>
  <c r="QA9" i="21"/>
  <c r="QB9" i="21"/>
  <c r="QD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CV7" i="21"/>
  <c r="CW7" i="21"/>
  <c r="CX7" i="21"/>
  <c r="CY7" i="21"/>
  <c r="DA7" i="21"/>
  <c r="DB7" i="21"/>
  <c r="DZ7" i="21"/>
  <c r="EA7" i="21"/>
  <c r="EB7" i="21"/>
  <c r="EC7" i="21"/>
  <c r="EE7" i="21"/>
  <c r="EF7" i="21"/>
  <c r="FB7" i="21"/>
  <c r="FC7" i="21"/>
  <c r="FD7" i="21"/>
  <c r="FE7" i="21"/>
  <c r="FG7" i="21"/>
  <c r="FH7" i="21"/>
  <c r="GD7" i="21"/>
  <c r="GE7" i="21"/>
  <c r="GF7" i="21"/>
  <c r="GG7" i="21"/>
  <c r="GI7" i="21"/>
  <c r="GJ7" i="21"/>
  <c r="HF7" i="21"/>
  <c r="HG7" i="21"/>
  <c r="HH7" i="21"/>
  <c r="HI7" i="21"/>
  <c r="HK7" i="21"/>
  <c r="HL7" i="21"/>
  <c r="IH7" i="21"/>
  <c r="II7" i="21"/>
  <c r="IJ7" i="21"/>
  <c r="IK7" i="21"/>
  <c r="IM7" i="21"/>
  <c r="IN7" i="21"/>
  <c r="JJ7" i="21"/>
  <c r="JK7" i="21"/>
  <c r="JL7" i="21"/>
  <c r="JM7" i="21"/>
  <c r="JO7" i="21"/>
  <c r="JP7" i="21"/>
  <c r="KL7" i="21"/>
  <c r="KM7" i="21"/>
  <c r="KN7" i="21"/>
  <c r="KO7" i="21"/>
  <c r="KQ7" i="21"/>
  <c r="KR7" i="21"/>
  <c r="LN7" i="21"/>
  <c r="LO7" i="21"/>
  <c r="LP7" i="21"/>
  <c r="LQ7" i="21"/>
  <c r="LS7" i="21"/>
  <c r="LT7" i="21"/>
  <c r="MP7" i="21"/>
  <c r="MQ7" i="21"/>
  <c r="MR7" i="21"/>
  <c r="MS7" i="21"/>
  <c r="MU7" i="21"/>
  <c r="MV7" i="21"/>
  <c r="NR7" i="21"/>
  <c r="NS7" i="21"/>
  <c r="NT7" i="21"/>
  <c r="NU7" i="21"/>
  <c r="NW7" i="21"/>
  <c r="NX7" i="21"/>
  <c r="OT7" i="21"/>
  <c r="OU7" i="21"/>
  <c r="OV7" i="21"/>
  <c r="OW7" i="21"/>
  <c r="OY7" i="21"/>
  <c r="OZ7" i="21"/>
  <c r="PV7" i="21"/>
  <c r="PW7" i="21"/>
  <c r="PX7" i="21"/>
  <c r="PY7" i="21"/>
  <c r="QA7" i="21"/>
  <c r="QB7" i="21"/>
  <c r="QD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CV22" i="19"/>
  <c r="CW22" i="19"/>
  <c r="CX22" i="19"/>
  <c r="CY22" i="19"/>
  <c r="DA22" i="19"/>
  <c r="DB22" i="19"/>
  <c r="DZ22" i="19"/>
  <c r="EA22" i="19"/>
  <c r="EB22" i="19"/>
  <c r="EC22" i="19"/>
  <c r="EE22" i="19"/>
  <c r="EF22" i="19"/>
  <c r="FB22" i="19"/>
  <c r="FC22" i="19"/>
  <c r="FD22" i="19"/>
  <c r="FE22" i="19"/>
  <c r="FG22" i="19"/>
  <c r="FH22" i="19"/>
  <c r="GD22" i="19"/>
  <c r="GE22" i="19"/>
  <c r="GF22" i="19"/>
  <c r="GG22" i="19"/>
  <c r="GI22" i="19"/>
  <c r="GJ22" i="19"/>
  <c r="HF22" i="19"/>
  <c r="HG22" i="19"/>
  <c r="HH22" i="19"/>
  <c r="HI22" i="19"/>
  <c r="HK22" i="19"/>
  <c r="HL22" i="19"/>
  <c r="IH22" i="19"/>
  <c r="II22" i="19"/>
  <c r="IJ22" i="19"/>
  <c r="IK22" i="19"/>
  <c r="IM22" i="19"/>
  <c r="IN22" i="19"/>
  <c r="JJ22" i="19"/>
  <c r="JK22" i="19"/>
  <c r="JL22" i="19"/>
  <c r="JM22" i="19"/>
  <c r="JO22" i="19"/>
  <c r="JP22" i="19"/>
  <c r="KL22" i="19"/>
  <c r="KM22" i="19"/>
  <c r="KN22" i="19"/>
  <c r="KO22" i="19"/>
  <c r="KQ22" i="19"/>
  <c r="KR22" i="19"/>
  <c r="LN22" i="19"/>
  <c r="LO22" i="19"/>
  <c r="LP22" i="19"/>
  <c r="LQ22" i="19"/>
  <c r="LS22" i="19"/>
  <c r="LT22" i="19"/>
  <c r="MP22" i="19"/>
  <c r="MQ22" i="19"/>
  <c r="MR22" i="19"/>
  <c r="MS22" i="19"/>
  <c r="MU22" i="19"/>
  <c r="MV22" i="19"/>
  <c r="NR22" i="19"/>
  <c r="NS22" i="19"/>
  <c r="NT22" i="19"/>
  <c r="NU22" i="19"/>
  <c r="NW22" i="19"/>
  <c r="NX22" i="19"/>
  <c r="OT22" i="19"/>
  <c r="OU22" i="19"/>
  <c r="OV22" i="19"/>
  <c r="OW22" i="19"/>
  <c r="OY22" i="19"/>
  <c r="OZ22" i="19"/>
  <c r="PV22" i="19"/>
  <c r="PW22" i="19"/>
  <c r="PX22" i="19"/>
  <c r="PY22" i="19"/>
  <c r="QA22" i="19"/>
  <c r="QB22" i="19"/>
  <c r="QD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CV13" i="19"/>
  <c r="CW13" i="19"/>
  <c r="CX13" i="19"/>
  <c r="CY13" i="19"/>
  <c r="DA13" i="19"/>
  <c r="DB13" i="19"/>
  <c r="DZ13" i="19"/>
  <c r="EA13" i="19"/>
  <c r="EB13" i="19"/>
  <c r="EC13" i="19"/>
  <c r="EE13" i="19"/>
  <c r="EF13" i="19"/>
  <c r="FB13" i="19"/>
  <c r="FC13" i="19"/>
  <c r="FD13" i="19"/>
  <c r="FE13" i="19"/>
  <c r="FG13" i="19"/>
  <c r="FH13" i="19"/>
  <c r="GD13" i="19"/>
  <c r="GE13" i="19"/>
  <c r="GF13" i="19"/>
  <c r="GG13" i="19"/>
  <c r="GI13" i="19"/>
  <c r="GJ13" i="19"/>
  <c r="HF13" i="19"/>
  <c r="HG13" i="19"/>
  <c r="HH13" i="19"/>
  <c r="HI13" i="19"/>
  <c r="HK13" i="19"/>
  <c r="HL13" i="19"/>
  <c r="IH13" i="19"/>
  <c r="II13" i="19"/>
  <c r="IJ13" i="19"/>
  <c r="IK13" i="19"/>
  <c r="IM13" i="19"/>
  <c r="IN13" i="19"/>
  <c r="JJ13" i="19"/>
  <c r="JK13" i="19"/>
  <c r="JL13" i="19"/>
  <c r="JM13" i="19"/>
  <c r="JO13" i="19"/>
  <c r="JP13" i="19"/>
  <c r="KL13" i="19"/>
  <c r="KM13" i="19"/>
  <c r="KN13" i="19"/>
  <c r="KO13" i="19"/>
  <c r="KQ13" i="19"/>
  <c r="KR13" i="19"/>
  <c r="LN13" i="19"/>
  <c r="LO13" i="19"/>
  <c r="LP13" i="19"/>
  <c r="LQ13" i="19"/>
  <c r="LS13" i="19"/>
  <c r="LT13" i="19"/>
  <c r="MP13" i="19"/>
  <c r="MQ13" i="19"/>
  <c r="MR13" i="19"/>
  <c r="MS13" i="19"/>
  <c r="MU13" i="19"/>
  <c r="MV13" i="19"/>
  <c r="NR13" i="19"/>
  <c r="NS13" i="19"/>
  <c r="NT13" i="19"/>
  <c r="NU13" i="19"/>
  <c r="NW13" i="19"/>
  <c r="NX13" i="19"/>
  <c r="OT13" i="19"/>
  <c r="OU13" i="19"/>
  <c r="OV13" i="19"/>
  <c r="OW13" i="19"/>
  <c r="OY13" i="19"/>
  <c r="OZ13" i="19"/>
  <c r="PV13" i="19"/>
  <c r="PW13" i="19"/>
  <c r="PX13" i="19"/>
  <c r="PY13" i="19"/>
  <c r="QA13" i="19"/>
  <c r="QB13" i="19"/>
  <c r="QD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CV12" i="19"/>
  <c r="CW12" i="19"/>
  <c r="CX12" i="19"/>
  <c r="CY12" i="19"/>
  <c r="DA12" i="19"/>
  <c r="DB12" i="19"/>
  <c r="DZ12" i="19"/>
  <c r="EA12" i="19"/>
  <c r="EB12" i="19"/>
  <c r="EC12" i="19"/>
  <c r="EE12" i="19"/>
  <c r="EF12" i="19"/>
  <c r="FB12" i="19"/>
  <c r="FC12" i="19"/>
  <c r="FD12" i="19"/>
  <c r="FE12" i="19"/>
  <c r="FG12" i="19"/>
  <c r="FH12" i="19"/>
  <c r="GD12" i="19"/>
  <c r="GE12" i="19"/>
  <c r="GF12" i="19"/>
  <c r="GG12" i="19"/>
  <c r="GI12" i="19"/>
  <c r="GJ12" i="19"/>
  <c r="HF12" i="19"/>
  <c r="HG12" i="19"/>
  <c r="HH12" i="19"/>
  <c r="HI12" i="19"/>
  <c r="HK12" i="19"/>
  <c r="HL12" i="19"/>
  <c r="IH12" i="19"/>
  <c r="II12" i="19"/>
  <c r="IJ12" i="19"/>
  <c r="IK12" i="19"/>
  <c r="IM12" i="19"/>
  <c r="IN12" i="19"/>
  <c r="JJ12" i="19"/>
  <c r="JK12" i="19"/>
  <c r="JL12" i="19"/>
  <c r="JM12" i="19"/>
  <c r="JO12" i="19"/>
  <c r="JP12" i="19"/>
  <c r="KL12" i="19"/>
  <c r="KM12" i="19"/>
  <c r="KN12" i="19"/>
  <c r="KO12" i="19"/>
  <c r="KQ12" i="19"/>
  <c r="KR12" i="19"/>
  <c r="LN12" i="19"/>
  <c r="LO12" i="19"/>
  <c r="LP12" i="19"/>
  <c r="LQ12" i="19"/>
  <c r="LS12" i="19"/>
  <c r="LT12" i="19"/>
  <c r="MP12" i="19"/>
  <c r="MQ12" i="19"/>
  <c r="MR12" i="19"/>
  <c r="MS12" i="19"/>
  <c r="MU12" i="19"/>
  <c r="MV12" i="19"/>
  <c r="NR12" i="19"/>
  <c r="NS12" i="19"/>
  <c r="NT12" i="19"/>
  <c r="NU12" i="19"/>
  <c r="NW12" i="19"/>
  <c r="NX12" i="19"/>
  <c r="OT12" i="19"/>
  <c r="OU12" i="19"/>
  <c r="OV12" i="19"/>
  <c r="OW12" i="19"/>
  <c r="OY12" i="19"/>
  <c r="OZ12" i="19"/>
  <c r="PV12" i="19"/>
  <c r="PW12" i="19"/>
  <c r="PX12" i="19"/>
  <c r="PY12" i="19"/>
  <c r="QA12" i="19"/>
  <c r="QB12" i="19"/>
  <c r="QD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CV14" i="19"/>
  <c r="CW14" i="19"/>
  <c r="CX14" i="19"/>
  <c r="CY14" i="19"/>
  <c r="DA14" i="19"/>
  <c r="DB14" i="19"/>
  <c r="DZ14" i="19"/>
  <c r="EA14" i="19"/>
  <c r="EB14" i="19"/>
  <c r="EC14" i="19"/>
  <c r="EE14" i="19"/>
  <c r="EF14" i="19"/>
  <c r="FB14" i="19"/>
  <c r="FC14" i="19"/>
  <c r="FD14" i="19"/>
  <c r="FE14" i="19"/>
  <c r="FG14" i="19"/>
  <c r="FH14" i="19"/>
  <c r="GD14" i="19"/>
  <c r="GE14" i="19"/>
  <c r="GF14" i="19"/>
  <c r="GG14" i="19"/>
  <c r="GI14" i="19"/>
  <c r="GJ14" i="19"/>
  <c r="HF14" i="19"/>
  <c r="HG14" i="19"/>
  <c r="HH14" i="19"/>
  <c r="HI14" i="19"/>
  <c r="HK14" i="19"/>
  <c r="HL14" i="19"/>
  <c r="IH14" i="19"/>
  <c r="II14" i="19"/>
  <c r="IJ14" i="19"/>
  <c r="IK14" i="19"/>
  <c r="IM14" i="19"/>
  <c r="IN14" i="19"/>
  <c r="JJ14" i="19"/>
  <c r="JK14" i="19"/>
  <c r="JL14" i="19"/>
  <c r="JM14" i="19"/>
  <c r="JO14" i="19"/>
  <c r="JP14" i="19"/>
  <c r="KL14" i="19"/>
  <c r="KM14" i="19"/>
  <c r="KN14" i="19"/>
  <c r="KO14" i="19"/>
  <c r="KQ14" i="19"/>
  <c r="KR14" i="19"/>
  <c r="LN14" i="19"/>
  <c r="LO14" i="19"/>
  <c r="LP14" i="19"/>
  <c r="LQ14" i="19"/>
  <c r="LS14" i="19"/>
  <c r="LT14" i="19"/>
  <c r="MP14" i="19"/>
  <c r="MQ14" i="19"/>
  <c r="MR14" i="19"/>
  <c r="MS14" i="19"/>
  <c r="MU14" i="19"/>
  <c r="MV14" i="19"/>
  <c r="NR14" i="19"/>
  <c r="NS14" i="19"/>
  <c r="NT14" i="19"/>
  <c r="NU14" i="19"/>
  <c r="NW14" i="19"/>
  <c r="NX14" i="19"/>
  <c r="OT14" i="19"/>
  <c r="OU14" i="19"/>
  <c r="OV14" i="19"/>
  <c r="OW14" i="19"/>
  <c r="OY14" i="19"/>
  <c r="OZ14" i="19"/>
  <c r="PV14" i="19"/>
  <c r="PW14" i="19"/>
  <c r="PX14" i="19"/>
  <c r="PY14" i="19"/>
  <c r="QA14" i="19"/>
  <c r="QB14" i="19"/>
  <c r="QD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CV4" i="19"/>
  <c r="CW4" i="19"/>
  <c r="CX4" i="19"/>
  <c r="CY4" i="19"/>
  <c r="DA4" i="19"/>
  <c r="DB4" i="19"/>
  <c r="DZ4" i="19"/>
  <c r="EA4" i="19"/>
  <c r="EB4" i="19"/>
  <c r="EC4" i="19"/>
  <c r="EE4" i="19"/>
  <c r="EF4" i="19"/>
  <c r="FB4" i="19"/>
  <c r="FC4" i="19"/>
  <c r="FD4" i="19"/>
  <c r="FE4" i="19"/>
  <c r="FG4" i="19"/>
  <c r="FH4" i="19"/>
  <c r="GD4" i="19"/>
  <c r="GE4" i="19"/>
  <c r="GF4" i="19"/>
  <c r="GG4" i="19"/>
  <c r="GI4" i="19"/>
  <c r="GJ4" i="19"/>
  <c r="HF4" i="19"/>
  <c r="HG4" i="19"/>
  <c r="HH4" i="19"/>
  <c r="HI4" i="19"/>
  <c r="HK4" i="19"/>
  <c r="HL4" i="19"/>
  <c r="IH4" i="19"/>
  <c r="II4" i="19"/>
  <c r="IJ4" i="19"/>
  <c r="IK4" i="19"/>
  <c r="IM4" i="19"/>
  <c r="IN4" i="19"/>
  <c r="JJ4" i="19"/>
  <c r="JK4" i="19"/>
  <c r="JL4" i="19"/>
  <c r="JM4" i="19"/>
  <c r="JO4" i="19"/>
  <c r="JP4" i="19"/>
  <c r="KL4" i="19"/>
  <c r="KM4" i="19"/>
  <c r="KN4" i="19"/>
  <c r="KO4" i="19"/>
  <c r="KQ4" i="19"/>
  <c r="KR4" i="19"/>
  <c r="LN4" i="19"/>
  <c r="LO4" i="19"/>
  <c r="LP4" i="19"/>
  <c r="LQ4" i="19"/>
  <c r="LS4" i="19"/>
  <c r="LT4" i="19"/>
  <c r="MP4" i="19"/>
  <c r="MQ4" i="19"/>
  <c r="MR4" i="19"/>
  <c r="MS4" i="19"/>
  <c r="MU4" i="19"/>
  <c r="MV4" i="19"/>
  <c r="NR4" i="19"/>
  <c r="NS4" i="19"/>
  <c r="NT4" i="19"/>
  <c r="NU4" i="19"/>
  <c r="NW4" i="19"/>
  <c r="NX4" i="19"/>
  <c r="OT4" i="19"/>
  <c r="OU4" i="19"/>
  <c r="OV4" i="19"/>
  <c r="OW4" i="19"/>
  <c r="OY4" i="19"/>
  <c r="OZ4" i="19"/>
  <c r="PV4" i="19"/>
  <c r="PW4" i="19"/>
  <c r="PX4" i="19"/>
  <c r="PY4" i="19"/>
  <c r="QA4" i="19"/>
  <c r="QB4" i="19"/>
  <c r="QD4" i="19"/>
  <c r="QE4" i="19"/>
  <c r="QF4" i="19"/>
  <c r="QG4" i="19"/>
  <c r="QH4" i="19"/>
  <c r="QI4" i="19"/>
  <c r="QJ4" i="19"/>
  <c r="QK4" i="19"/>
  <c r="QL4" i="19"/>
  <c r="QM4" i="19"/>
  <c r="QN4" i="19"/>
  <c r="QO4" i="19"/>
  <c r="QP4" i="19"/>
  <c r="QQ4" i="19"/>
  <c r="QR4" i="19"/>
  <c r="QS4" i="19"/>
  <c r="QT4" i="19"/>
  <c r="QU4" i="19"/>
  <c r="QV4" i="19"/>
  <c r="QW4" i="19"/>
  <c r="CV17" i="27"/>
  <c r="CW17" i="27"/>
  <c r="CX17" i="27"/>
  <c r="CY17" i="27"/>
  <c r="DA17" i="27"/>
  <c r="DB17" i="27"/>
  <c r="DZ17" i="27"/>
  <c r="EA17" i="27"/>
  <c r="EB17" i="27"/>
  <c r="EC17" i="27"/>
  <c r="EE17" i="27"/>
  <c r="EF17" i="27"/>
  <c r="FB17" i="27"/>
  <c r="FC17" i="27"/>
  <c r="FD17" i="27"/>
  <c r="FE17" i="27"/>
  <c r="FG17" i="27"/>
  <c r="FH17" i="27"/>
  <c r="GD17" i="27"/>
  <c r="GE17" i="27"/>
  <c r="GF17" i="27"/>
  <c r="GG17" i="27"/>
  <c r="GI17" i="27"/>
  <c r="GJ17" i="27"/>
  <c r="HF17" i="27"/>
  <c r="HG17" i="27"/>
  <c r="HH17" i="27"/>
  <c r="HI17" i="27"/>
  <c r="HK17" i="27"/>
  <c r="HL17" i="27"/>
  <c r="IH17" i="27"/>
  <c r="II17" i="27"/>
  <c r="IJ17" i="27"/>
  <c r="IK17" i="27"/>
  <c r="IM17" i="27"/>
  <c r="IN17" i="27"/>
  <c r="JJ17" i="27"/>
  <c r="JK17" i="27"/>
  <c r="JL17" i="27"/>
  <c r="JM17" i="27"/>
  <c r="JO17" i="27"/>
  <c r="JP17" i="27"/>
  <c r="KL17" i="27"/>
  <c r="KM17" i="27"/>
  <c r="KN17" i="27"/>
  <c r="KO17" i="27"/>
  <c r="KQ17" i="27"/>
  <c r="KR17" i="27"/>
  <c r="LN17" i="27"/>
  <c r="LO17" i="27"/>
  <c r="LP17" i="27"/>
  <c r="LQ17" i="27"/>
  <c r="LS17" i="27"/>
  <c r="LT17" i="27"/>
  <c r="MP17" i="27"/>
  <c r="MQ17" i="27"/>
  <c r="MR17" i="27"/>
  <c r="MS17" i="27"/>
  <c r="MU17" i="27"/>
  <c r="MV17" i="27"/>
  <c r="NR17" i="27"/>
  <c r="NS17" i="27"/>
  <c r="NT17" i="27"/>
  <c r="NU17" i="27"/>
  <c r="NW17" i="27"/>
  <c r="NX17" i="27"/>
  <c r="OT17" i="27"/>
  <c r="OU17" i="27"/>
  <c r="OV17" i="27"/>
  <c r="OW17" i="27"/>
  <c r="OY17" i="27"/>
  <c r="OZ17" i="27"/>
  <c r="PV17" i="27"/>
  <c r="PW17" i="27"/>
  <c r="PX17" i="27"/>
  <c r="PY17" i="27"/>
  <c r="QA17" i="27"/>
  <c r="QB17" i="27"/>
  <c r="QD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CV9" i="27"/>
  <c r="CW9" i="27"/>
  <c r="CX9" i="27"/>
  <c r="CY9" i="27"/>
  <c r="DA9" i="27"/>
  <c r="DB9" i="27"/>
  <c r="DZ9" i="27"/>
  <c r="EA9" i="27"/>
  <c r="EB9" i="27"/>
  <c r="EC9" i="27"/>
  <c r="EE9" i="27"/>
  <c r="EF9" i="27"/>
  <c r="FB9" i="27"/>
  <c r="FC9" i="27"/>
  <c r="FD9" i="27"/>
  <c r="FE9" i="27"/>
  <c r="FG9" i="27"/>
  <c r="FH9" i="27"/>
  <c r="GD9" i="27"/>
  <c r="GE9" i="27"/>
  <c r="GF9" i="27"/>
  <c r="GG9" i="27"/>
  <c r="GI9" i="27"/>
  <c r="GJ9" i="27"/>
  <c r="HF9" i="27"/>
  <c r="HG9" i="27"/>
  <c r="HH9" i="27"/>
  <c r="HI9" i="27"/>
  <c r="HK9" i="27"/>
  <c r="HL9" i="27"/>
  <c r="IH9" i="27"/>
  <c r="II9" i="27"/>
  <c r="IJ9" i="27"/>
  <c r="IK9" i="27"/>
  <c r="IM9" i="27"/>
  <c r="IN9" i="27"/>
  <c r="JJ9" i="27"/>
  <c r="JK9" i="27"/>
  <c r="JL9" i="27"/>
  <c r="JM9" i="27"/>
  <c r="JO9" i="27"/>
  <c r="JP9" i="27"/>
  <c r="KL9" i="27"/>
  <c r="KM9" i="27"/>
  <c r="KN9" i="27"/>
  <c r="KO9" i="27"/>
  <c r="KQ9" i="27"/>
  <c r="KR9" i="27"/>
  <c r="LN9" i="27"/>
  <c r="LO9" i="27"/>
  <c r="LP9" i="27"/>
  <c r="LQ9" i="27"/>
  <c r="LS9" i="27"/>
  <c r="LT9" i="27"/>
  <c r="MP9" i="27"/>
  <c r="MQ9" i="27"/>
  <c r="MR9" i="27"/>
  <c r="MS9" i="27"/>
  <c r="MU9" i="27"/>
  <c r="MV9" i="27"/>
  <c r="NR9" i="27"/>
  <c r="NS9" i="27"/>
  <c r="NT9" i="27"/>
  <c r="NU9" i="27"/>
  <c r="NW9" i="27"/>
  <c r="NX9" i="27"/>
  <c r="OT9" i="27"/>
  <c r="OU9" i="27"/>
  <c r="OV9" i="27"/>
  <c r="OW9" i="27"/>
  <c r="OY9" i="27"/>
  <c r="OZ9" i="27"/>
  <c r="PV9" i="27"/>
  <c r="PW9" i="27"/>
  <c r="PX9" i="27"/>
  <c r="PY9" i="27"/>
  <c r="QA9" i="27"/>
  <c r="QB9" i="27"/>
  <c r="QD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CV8" i="26"/>
  <c r="CW8" i="26"/>
  <c r="CX8" i="26"/>
  <c r="CY8" i="26"/>
  <c r="DA8" i="26"/>
  <c r="DB8" i="26"/>
  <c r="DZ8" i="26"/>
  <c r="EA8" i="26"/>
  <c r="EB8" i="26"/>
  <c r="EC8" i="26"/>
  <c r="EE8" i="26"/>
  <c r="EF8" i="26"/>
  <c r="FB8" i="26"/>
  <c r="FC8" i="26"/>
  <c r="FD8" i="26"/>
  <c r="FE8" i="26"/>
  <c r="FG8" i="26"/>
  <c r="FH8" i="26"/>
  <c r="GD8" i="26"/>
  <c r="GE8" i="26"/>
  <c r="GF8" i="26"/>
  <c r="GG8" i="26"/>
  <c r="GI8" i="26"/>
  <c r="GJ8" i="26"/>
  <c r="HF8" i="26"/>
  <c r="HG8" i="26"/>
  <c r="HH8" i="26"/>
  <c r="HI8" i="26"/>
  <c r="HK8" i="26"/>
  <c r="HL8" i="26"/>
  <c r="IH8" i="26"/>
  <c r="II8" i="26"/>
  <c r="IJ8" i="26"/>
  <c r="IK8" i="26"/>
  <c r="IM8" i="26"/>
  <c r="IN8" i="26"/>
  <c r="JJ8" i="26"/>
  <c r="JK8" i="26"/>
  <c r="JL8" i="26"/>
  <c r="JM8" i="26"/>
  <c r="JO8" i="26"/>
  <c r="JP8" i="26"/>
  <c r="KL8" i="26"/>
  <c r="KM8" i="26"/>
  <c r="KN8" i="26"/>
  <c r="KO8" i="26"/>
  <c r="KQ8" i="26"/>
  <c r="KR8" i="26"/>
  <c r="LN8" i="26"/>
  <c r="LO8" i="26"/>
  <c r="LP8" i="26"/>
  <c r="LQ8" i="26"/>
  <c r="LS8" i="26"/>
  <c r="LT8" i="26"/>
  <c r="MP8" i="26"/>
  <c r="MQ8" i="26"/>
  <c r="MR8" i="26"/>
  <c r="MS8" i="26"/>
  <c r="MU8" i="26"/>
  <c r="MV8" i="26"/>
  <c r="NR8" i="26"/>
  <c r="NS8" i="26"/>
  <c r="NT8" i="26"/>
  <c r="NU8" i="26"/>
  <c r="NW8" i="26"/>
  <c r="NX8" i="26"/>
  <c r="OT8" i="26"/>
  <c r="OU8" i="26"/>
  <c r="OV8" i="26"/>
  <c r="OW8" i="26"/>
  <c r="OY8" i="26"/>
  <c r="OZ8" i="26"/>
  <c r="PV8" i="26"/>
  <c r="PW8" i="26"/>
  <c r="PX8" i="26"/>
  <c r="PY8" i="26"/>
  <c r="QA8" i="26"/>
  <c r="QB8" i="26"/>
  <c r="QD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CV10" i="26"/>
  <c r="CW10" i="26"/>
  <c r="CX10" i="26"/>
  <c r="CY10" i="26"/>
  <c r="DA10" i="26"/>
  <c r="DB10" i="26"/>
  <c r="DZ10" i="26"/>
  <c r="EA10" i="26"/>
  <c r="EB10" i="26"/>
  <c r="EC10" i="26"/>
  <c r="EE10" i="26"/>
  <c r="EF10" i="26"/>
  <c r="FB10" i="26"/>
  <c r="FC10" i="26"/>
  <c r="FD10" i="26"/>
  <c r="FE10" i="26"/>
  <c r="FG10" i="26"/>
  <c r="FH10" i="26"/>
  <c r="GD10" i="26"/>
  <c r="GE10" i="26"/>
  <c r="GF10" i="26"/>
  <c r="GG10" i="26"/>
  <c r="GI10" i="26"/>
  <c r="GJ10" i="26"/>
  <c r="HF10" i="26"/>
  <c r="HG10" i="26"/>
  <c r="HH10" i="26"/>
  <c r="HI10" i="26"/>
  <c r="HK10" i="26"/>
  <c r="HL10" i="26"/>
  <c r="IH10" i="26"/>
  <c r="II10" i="26"/>
  <c r="IJ10" i="26"/>
  <c r="IK10" i="26"/>
  <c r="IM10" i="26"/>
  <c r="IN10" i="26"/>
  <c r="JJ10" i="26"/>
  <c r="JK10" i="26"/>
  <c r="JL10" i="26"/>
  <c r="JM10" i="26"/>
  <c r="JO10" i="26"/>
  <c r="JP10" i="26"/>
  <c r="KL10" i="26"/>
  <c r="KM10" i="26"/>
  <c r="KN10" i="26"/>
  <c r="KO10" i="26"/>
  <c r="KQ10" i="26"/>
  <c r="KR10" i="26"/>
  <c r="LN10" i="26"/>
  <c r="LO10" i="26"/>
  <c r="LP10" i="26"/>
  <c r="LQ10" i="26"/>
  <c r="LS10" i="26"/>
  <c r="LT10" i="26"/>
  <c r="MP10" i="26"/>
  <c r="MQ10" i="26"/>
  <c r="MR10" i="26"/>
  <c r="MS10" i="26"/>
  <c r="MU10" i="26"/>
  <c r="MV10" i="26"/>
  <c r="NR10" i="26"/>
  <c r="NS10" i="26"/>
  <c r="NT10" i="26"/>
  <c r="NU10" i="26"/>
  <c r="NW10" i="26"/>
  <c r="NX10" i="26"/>
  <c r="OT10" i="26"/>
  <c r="OU10" i="26"/>
  <c r="OV10" i="26"/>
  <c r="OW10" i="26"/>
  <c r="OY10" i="26"/>
  <c r="OZ10" i="26"/>
  <c r="PV10" i="26"/>
  <c r="PW10" i="26"/>
  <c r="PX10" i="26"/>
  <c r="PY10" i="26"/>
  <c r="QA10" i="26"/>
  <c r="QB10" i="26"/>
  <c r="QD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CV9" i="26"/>
  <c r="CW9" i="26"/>
  <c r="CX9" i="26"/>
  <c r="CY9" i="26"/>
  <c r="DA9" i="26"/>
  <c r="DB9" i="26"/>
  <c r="DZ9" i="26"/>
  <c r="EA9" i="26"/>
  <c r="EB9" i="26"/>
  <c r="EC9" i="26"/>
  <c r="EE9" i="26"/>
  <c r="EF9" i="26"/>
  <c r="FB9" i="26"/>
  <c r="FC9" i="26"/>
  <c r="FD9" i="26"/>
  <c r="FE9" i="26"/>
  <c r="FG9" i="26"/>
  <c r="FH9" i="26"/>
  <c r="GD9" i="26"/>
  <c r="GE9" i="26"/>
  <c r="GF9" i="26"/>
  <c r="GG9" i="26"/>
  <c r="GI9" i="26"/>
  <c r="GJ9" i="26"/>
  <c r="HF9" i="26"/>
  <c r="HG9" i="26"/>
  <c r="HH9" i="26"/>
  <c r="HI9" i="26"/>
  <c r="HK9" i="26"/>
  <c r="HL9" i="26"/>
  <c r="IH9" i="26"/>
  <c r="II9" i="26"/>
  <c r="IJ9" i="26"/>
  <c r="IK9" i="26"/>
  <c r="IM9" i="26"/>
  <c r="IN9" i="26"/>
  <c r="JJ9" i="26"/>
  <c r="JK9" i="26"/>
  <c r="JL9" i="26"/>
  <c r="JM9" i="26"/>
  <c r="JO9" i="26"/>
  <c r="JP9" i="26"/>
  <c r="KL9" i="26"/>
  <c r="KM9" i="26"/>
  <c r="KN9" i="26"/>
  <c r="KO9" i="26"/>
  <c r="KQ9" i="26"/>
  <c r="KR9" i="26"/>
  <c r="LN9" i="26"/>
  <c r="LO9" i="26"/>
  <c r="LP9" i="26"/>
  <c r="LQ9" i="26"/>
  <c r="LS9" i="26"/>
  <c r="LT9" i="26"/>
  <c r="MP9" i="26"/>
  <c r="MQ9" i="26"/>
  <c r="MR9" i="26"/>
  <c r="MS9" i="26"/>
  <c r="MU9" i="26"/>
  <c r="MV9" i="26"/>
  <c r="NR9" i="26"/>
  <c r="NS9" i="26"/>
  <c r="NT9" i="26"/>
  <c r="NU9" i="26"/>
  <c r="NW9" i="26"/>
  <c r="NX9" i="26"/>
  <c r="OT9" i="26"/>
  <c r="OU9" i="26"/>
  <c r="OV9" i="26"/>
  <c r="OW9" i="26"/>
  <c r="OY9" i="26"/>
  <c r="OZ9" i="26"/>
  <c r="PV9" i="26"/>
  <c r="PW9" i="26"/>
  <c r="PX9" i="26"/>
  <c r="PY9" i="26"/>
  <c r="QA9" i="26"/>
  <c r="QB9" i="26"/>
  <c r="QD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CQ14" i="22"/>
  <c r="CR14" i="22"/>
  <c r="CS14" i="22"/>
  <c r="CW14" i="22" s="1"/>
  <c r="CT14" i="22"/>
  <c r="CU14" i="22"/>
  <c r="CV14" i="22"/>
  <c r="CX14" i="22"/>
  <c r="CY14" i="22"/>
  <c r="CZ14" i="22"/>
  <c r="DX14" i="22"/>
  <c r="DY14" i="22"/>
  <c r="DZ14" i="22"/>
  <c r="EA14" i="22"/>
  <c r="EB14" i="22"/>
  <c r="EC14" i="22"/>
  <c r="EE14" i="22"/>
  <c r="EF14" i="22"/>
  <c r="EG14" i="22"/>
  <c r="EH14" i="22"/>
  <c r="EI14" i="22"/>
  <c r="EJ14" i="22"/>
  <c r="FF14" i="22"/>
  <c r="FG14" i="22"/>
  <c r="FH14" i="22"/>
  <c r="FI14" i="22"/>
  <c r="FJ14" i="22"/>
  <c r="FK14" i="22"/>
  <c r="FM14" i="22"/>
  <c r="FN14" i="22"/>
  <c r="FO14" i="22"/>
  <c r="FP14" i="22"/>
  <c r="FQ14" i="22"/>
  <c r="FR14" i="22"/>
  <c r="GN14" i="22"/>
  <c r="GO14" i="22"/>
  <c r="GP14" i="22"/>
  <c r="GQ14" i="22"/>
  <c r="GR14" i="22"/>
  <c r="GS14" i="22"/>
  <c r="GU14" i="22"/>
  <c r="GV14" i="22"/>
  <c r="GW14" i="22"/>
  <c r="GX14" i="22"/>
  <c r="GY14" i="22"/>
  <c r="GZ14" i="22"/>
  <c r="HV14" i="22"/>
  <c r="HW14" i="22"/>
  <c r="HX14" i="22"/>
  <c r="HY14" i="22"/>
  <c r="HZ14" i="22"/>
  <c r="IA14" i="22"/>
  <c r="IC14" i="22"/>
  <c r="ID14" i="22"/>
  <c r="IE14" i="22"/>
  <c r="IF14" i="22"/>
  <c r="IG14" i="22"/>
  <c r="IH14" i="22"/>
  <c r="JD14" i="22"/>
  <c r="JE14" i="22"/>
  <c r="JF14" i="22"/>
  <c r="JG14" i="22"/>
  <c r="JH14" i="22"/>
  <c r="JI14" i="22"/>
  <c r="JK14" i="22"/>
  <c r="JL14" i="22"/>
  <c r="JM14" i="22"/>
  <c r="JN14" i="22"/>
  <c r="JO14" i="22"/>
  <c r="JP14" i="22"/>
  <c r="KL14" i="22"/>
  <c r="KM14" i="22"/>
  <c r="KN14" i="22"/>
  <c r="KO14" i="22"/>
  <c r="KP14" i="22"/>
  <c r="KQ14" i="22"/>
  <c r="KS14" i="22"/>
  <c r="KT14" i="22"/>
  <c r="KU14" i="22"/>
  <c r="KV14" i="22"/>
  <c r="KW14" i="22"/>
  <c r="KX14" i="22"/>
  <c r="LT14" i="22"/>
  <c r="LU14" i="22"/>
  <c r="LV14" i="22"/>
  <c r="LW14" i="22"/>
  <c r="LX14" i="22"/>
  <c r="LY14" i="22"/>
  <c r="MA14" i="22"/>
  <c r="MB14" i="22"/>
  <c r="MC14" i="22"/>
  <c r="MD14" i="22"/>
  <c r="ME14" i="22"/>
  <c r="MF14" i="22"/>
  <c r="NB14" i="22"/>
  <c r="NC14" i="22"/>
  <c r="ND14" i="22"/>
  <c r="NE14" i="22"/>
  <c r="NF14" i="22"/>
  <c r="NG14" i="22"/>
  <c r="NI14" i="22"/>
  <c r="NJ14" i="22"/>
  <c r="NK14" i="22"/>
  <c r="NL14" i="22"/>
  <c r="NM14" i="22"/>
  <c r="NN14" i="22"/>
  <c r="OJ14" i="22"/>
  <c r="OK14" i="22"/>
  <c r="OL14" i="22"/>
  <c r="OM14" i="22"/>
  <c r="ON14" i="22"/>
  <c r="OO14" i="22"/>
  <c r="OQ14" i="22"/>
  <c r="OR14" i="22"/>
  <c r="OS14" i="22"/>
  <c r="OT14" i="22"/>
  <c r="OU14" i="22"/>
  <c r="OV14" i="22"/>
  <c r="PR14" i="22"/>
  <c r="PS14" i="22"/>
  <c r="PT14" i="22"/>
  <c r="PU14" i="22"/>
  <c r="PV14" i="22"/>
  <c r="PW14" i="22"/>
  <c r="PY14" i="22"/>
  <c r="PZ14" i="22"/>
  <c r="QA14" i="22"/>
  <c r="QB14" i="22"/>
  <c r="QC14" i="22"/>
  <c r="QD14" i="22"/>
  <c r="QZ14" i="22"/>
  <c r="RA14" i="22"/>
  <c r="RB14" i="22"/>
  <c r="RC14" i="22"/>
  <c r="RD14" i="22"/>
  <c r="RE14" i="22"/>
  <c r="RG14" i="22"/>
  <c r="RH14" i="22"/>
  <c r="RI14" i="22"/>
  <c r="RJ14" i="22"/>
  <c r="RK14" i="22"/>
  <c r="RL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0" i="22"/>
  <c r="CR10" i="22"/>
  <c r="CS10" i="22"/>
  <c r="CT10" i="22"/>
  <c r="CU10" i="22"/>
  <c r="CV10" i="22"/>
  <c r="CX10" i="22"/>
  <c r="CY10" i="22"/>
  <c r="CZ10" i="22"/>
  <c r="DX10" i="22"/>
  <c r="DY10" i="22"/>
  <c r="DZ10" i="22"/>
  <c r="EA10" i="22"/>
  <c r="EB10" i="22"/>
  <c r="EC10" i="22"/>
  <c r="EE10" i="22"/>
  <c r="EF10" i="22"/>
  <c r="EG10" i="22"/>
  <c r="EH10" i="22"/>
  <c r="EI10" i="22"/>
  <c r="EJ10" i="22"/>
  <c r="FF10" i="22"/>
  <c r="FG10" i="22"/>
  <c r="FH10" i="22"/>
  <c r="FI10" i="22"/>
  <c r="FJ10" i="22"/>
  <c r="FK10" i="22"/>
  <c r="FM10" i="22"/>
  <c r="FN10" i="22"/>
  <c r="FO10" i="22"/>
  <c r="FP10" i="22"/>
  <c r="FQ10" i="22"/>
  <c r="FR10" i="22"/>
  <c r="GN10" i="22"/>
  <c r="GO10" i="22"/>
  <c r="GP10" i="22"/>
  <c r="GQ10" i="22"/>
  <c r="GR10" i="22"/>
  <c r="GS10" i="22"/>
  <c r="GU10" i="22"/>
  <c r="GV10" i="22"/>
  <c r="GW10" i="22"/>
  <c r="GX10" i="22"/>
  <c r="GY10" i="22"/>
  <c r="GZ10" i="22"/>
  <c r="HV10" i="22"/>
  <c r="HW10" i="22"/>
  <c r="HX10" i="22"/>
  <c r="HY10" i="22"/>
  <c r="HZ10" i="22"/>
  <c r="IA10" i="22"/>
  <c r="IC10" i="22"/>
  <c r="ID10" i="22"/>
  <c r="IE10" i="22"/>
  <c r="IF10" i="22"/>
  <c r="IG10" i="22"/>
  <c r="IH10" i="22"/>
  <c r="JD10" i="22"/>
  <c r="JE10" i="22"/>
  <c r="JF10" i="22"/>
  <c r="JG10" i="22"/>
  <c r="JH10" i="22"/>
  <c r="JI10" i="22"/>
  <c r="JK10" i="22"/>
  <c r="JL10" i="22"/>
  <c r="JM10" i="22"/>
  <c r="JN10" i="22"/>
  <c r="JO10" i="22"/>
  <c r="JP10" i="22"/>
  <c r="KL10" i="22"/>
  <c r="KM10" i="22"/>
  <c r="KN10" i="22"/>
  <c r="KO10" i="22"/>
  <c r="KP10" i="22"/>
  <c r="KQ10" i="22"/>
  <c r="KS10" i="22"/>
  <c r="KT10" i="22"/>
  <c r="KU10" i="22"/>
  <c r="KV10" i="22"/>
  <c r="KW10" i="22"/>
  <c r="KX10" i="22"/>
  <c r="LT10" i="22"/>
  <c r="LU10" i="22"/>
  <c r="LV10" i="22"/>
  <c r="LW10" i="22"/>
  <c r="LX10" i="22"/>
  <c r="LY10" i="22"/>
  <c r="MA10" i="22"/>
  <c r="MB10" i="22"/>
  <c r="MC10" i="22"/>
  <c r="MD10" i="22"/>
  <c r="ME10" i="22"/>
  <c r="MF10" i="22"/>
  <c r="NB10" i="22"/>
  <c r="NC10" i="22"/>
  <c r="ND10" i="22"/>
  <c r="NE10" i="22"/>
  <c r="NF10" i="22"/>
  <c r="NG10" i="22"/>
  <c r="NI10" i="22"/>
  <c r="NJ10" i="22"/>
  <c r="NK10" i="22"/>
  <c r="NL10" i="22"/>
  <c r="NM10" i="22"/>
  <c r="NN10" i="22"/>
  <c r="OJ10" i="22"/>
  <c r="OK10" i="22"/>
  <c r="OL10" i="22"/>
  <c r="OM10" i="22"/>
  <c r="ON10" i="22"/>
  <c r="OO10" i="22"/>
  <c r="OQ10" i="22"/>
  <c r="OR10" i="22"/>
  <c r="OS10" i="22"/>
  <c r="OT10" i="22"/>
  <c r="OU10" i="22"/>
  <c r="OV10" i="22"/>
  <c r="PR10" i="22"/>
  <c r="PS10" i="22"/>
  <c r="PT10" i="22"/>
  <c r="PU10" i="22"/>
  <c r="PV10" i="22"/>
  <c r="PW10" i="22"/>
  <c r="PY10" i="22"/>
  <c r="PZ10" i="22"/>
  <c r="QA10" i="22"/>
  <c r="QB10" i="22"/>
  <c r="QC10" i="22"/>
  <c r="QD10" i="22"/>
  <c r="QZ10" i="22"/>
  <c r="RA10" i="22"/>
  <c r="RB10" i="22"/>
  <c r="RC10" i="22"/>
  <c r="RD10" i="22"/>
  <c r="RE10" i="22"/>
  <c r="RG10" i="22"/>
  <c r="RH10" i="22"/>
  <c r="RI10" i="22"/>
  <c r="RJ10" i="22"/>
  <c r="RK10" i="22"/>
  <c r="RL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6" i="4"/>
  <c r="CR16" i="4"/>
  <c r="CS16" i="4"/>
  <c r="CT16" i="4"/>
  <c r="CU16" i="4"/>
  <c r="CV16" i="4"/>
  <c r="CX16" i="4"/>
  <c r="CY16" i="4"/>
  <c r="CZ16" i="4"/>
  <c r="DX16" i="4"/>
  <c r="DY16" i="4"/>
  <c r="DZ16" i="4"/>
  <c r="EA16" i="4"/>
  <c r="EB16" i="4"/>
  <c r="EC16" i="4"/>
  <c r="EE16" i="4"/>
  <c r="EF16" i="4"/>
  <c r="EG16" i="4"/>
  <c r="EH16" i="4"/>
  <c r="EI16" i="4"/>
  <c r="EJ16" i="4"/>
  <c r="FF16" i="4"/>
  <c r="FG16" i="4"/>
  <c r="FH16" i="4"/>
  <c r="FI16" i="4"/>
  <c r="FJ16" i="4"/>
  <c r="FK16" i="4"/>
  <c r="FM16" i="4"/>
  <c r="FN16" i="4"/>
  <c r="FO16" i="4"/>
  <c r="FP16" i="4"/>
  <c r="FQ16" i="4"/>
  <c r="FR16" i="4"/>
  <c r="GN16" i="4"/>
  <c r="GO16" i="4"/>
  <c r="GP16" i="4"/>
  <c r="GQ16" i="4"/>
  <c r="GR16" i="4"/>
  <c r="GS16" i="4"/>
  <c r="GU16" i="4"/>
  <c r="GV16" i="4"/>
  <c r="GW16" i="4"/>
  <c r="GX16" i="4"/>
  <c r="GY16" i="4"/>
  <c r="GZ16" i="4"/>
  <c r="HV16" i="4"/>
  <c r="HW16" i="4"/>
  <c r="HX16" i="4"/>
  <c r="HY16" i="4"/>
  <c r="HZ16" i="4"/>
  <c r="IA16" i="4"/>
  <c r="IC16" i="4"/>
  <c r="ID16" i="4"/>
  <c r="IE16" i="4"/>
  <c r="IF16" i="4"/>
  <c r="IG16" i="4"/>
  <c r="IH16" i="4"/>
  <c r="JD16" i="4"/>
  <c r="JE16" i="4"/>
  <c r="JF16" i="4"/>
  <c r="JG16" i="4"/>
  <c r="JH16" i="4"/>
  <c r="JI16" i="4"/>
  <c r="JK16" i="4"/>
  <c r="JL16" i="4"/>
  <c r="JM16" i="4"/>
  <c r="JN16" i="4"/>
  <c r="JO16" i="4"/>
  <c r="JP16" i="4"/>
  <c r="KL16" i="4"/>
  <c r="KM16" i="4"/>
  <c r="KN16" i="4"/>
  <c r="KO16" i="4"/>
  <c r="KP16" i="4"/>
  <c r="KQ16" i="4"/>
  <c r="KS16" i="4"/>
  <c r="KT16" i="4"/>
  <c r="KU16" i="4"/>
  <c r="KV16" i="4"/>
  <c r="KW16" i="4"/>
  <c r="KX16" i="4"/>
  <c r="LT16" i="4"/>
  <c r="LU16" i="4"/>
  <c r="LV16" i="4"/>
  <c r="LW16" i="4"/>
  <c r="LX16" i="4"/>
  <c r="LY16" i="4"/>
  <c r="MA16" i="4"/>
  <c r="MB16" i="4"/>
  <c r="MC16" i="4"/>
  <c r="MD16" i="4"/>
  <c r="ME16" i="4"/>
  <c r="MF16" i="4"/>
  <c r="NB16" i="4"/>
  <c r="NC16" i="4"/>
  <c r="ND16" i="4"/>
  <c r="NE16" i="4"/>
  <c r="NF16" i="4"/>
  <c r="NG16" i="4"/>
  <c r="NI16" i="4"/>
  <c r="NJ16" i="4"/>
  <c r="NK16" i="4"/>
  <c r="NL16" i="4"/>
  <c r="NM16" i="4"/>
  <c r="NN16" i="4"/>
  <c r="OJ16" i="4"/>
  <c r="OK16" i="4"/>
  <c r="OL16" i="4"/>
  <c r="OM16" i="4"/>
  <c r="ON16" i="4"/>
  <c r="OO16" i="4"/>
  <c r="OQ16" i="4"/>
  <c r="OR16" i="4"/>
  <c r="OS16" i="4"/>
  <c r="OT16" i="4"/>
  <c r="OU16" i="4"/>
  <c r="OV16" i="4"/>
  <c r="PR16" i="4"/>
  <c r="PS16" i="4"/>
  <c r="PT16" i="4"/>
  <c r="PU16" i="4"/>
  <c r="PV16" i="4"/>
  <c r="PW16" i="4"/>
  <c r="PY16" i="4"/>
  <c r="PZ16" i="4"/>
  <c r="QA16" i="4"/>
  <c r="QB16" i="4"/>
  <c r="QC16" i="4"/>
  <c r="QD16" i="4"/>
  <c r="QZ16" i="4"/>
  <c r="RA16" i="4"/>
  <c r="RB16" i="4"/>
  <c r="RC16" i="4"/>
  <c r="RD16" i="4"/>
  <c r="RE16" i="4"/>
  <c r="RG16" i="4"/>
  <c r="RH16" i="4"/>
  <c r="RI16" i="4"/>
  <c r="RJ16" i="4"/>
  <c r="RK16" i="4"/>
  <c r="RL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1" i="4"/>
  <c r="CR11" i="4"/>
  <c r="CS11" i="4"/>
  <c r="CT11" i="4"/>
  <c r="CU11" i="4"/>
  <c r="CV11" i="4"/>
  <c r="CX11" i="4"/>
  <c r="CY11" i="4"/>
  <c r="CZ11" i="4"/>
  <c r="DX11" i="4"/>
  <c r="DY11" i="4"/>
  <c r="DZ11" i="4"/>
  <c r="EA11" i="4"/>
  <c r="EB11" i="4"/>
  <c r="EC11" i="4"/>
  <c r="EE11" i="4"/>
  <c r="EF11" i="4"/>
  <c r="EG11" i="4"/>
  <c r="EH11" i="4"/>
  <c r="EI11" i="4"/>
  <c r="EJ11" i="4"/>
  <c r="FF11" i="4"/>
  <c r="FG11" i="4"/>
  <c r="FH11" i="4"/>
  <c r="FI11" i="4"/>
  <c r="FJ11" i="4"/>
  <c r="FK11" i="4"/>
  <c r="FM11" i="4"/>
  <c r="FN11" i="4"/>
  <c r="FO11" i="4"/>
  <c r="FP11" i="4"/>
  <c r="FQ11" i="4"/>
  <c r="FR11" i="4"/>
  <c r="GN11" i="4"/>
  <c r="GO11" i="4"/>
  <c r="GP11" i="4"/>
  <c r="GQ11" i="4"/>
  <c r="GR11" i="4"/>
  <c r="GS11" i="4"/>
  <c r="GU11" i="4"/>
  <c r="GV11" i="4"/>
  <c r="GW11" i="4"/>
  <c r="GX11" i="4"/>
  <c r="GY11" i="4"/>
  <c r="GZ11" i="4"/>
  <c r="HV11" i="4"/>
  <c r="HW11" i="4"/>
  <c r="HX11" i="4"/>
  <c r="HY11" i="4"/>
  <c r="HZ11" i="4"/>
  <c r="IA11" i="4"/>
  <c r="IC11" i="4"/>
  <c r="ID11" i="4"/>
  <c r="IE11" i="4"/>
  <c r="IF11" i="4"/>
  <c r="IG11" i="4"/>
  <c r="IH11" i="4"/>
  <c r="JD11" i="4"/>
  <c r="JE11" i="4"/>
  <c r="JF11" i="4"/>
  <c r="JG11" i="4"/>
  <c r="JH11" i="4"/>
  <c r="JI11" i="4"/>
  <c r="JK11" i="4"/>
  <c r="JL11" i="4"/>
  <c r="JM11" i="4"/>
  <c r="JN11" i="4"/>
  <c r="JO11" i="4"/>
  <c r="JP11" i="4"/>
  <c r="KL11" i="4"/>
  <c r="KM11" i="4"/>
  <c r="KN11" i="4"/>
  <c r="KO11" i="4"/>
  <c r="KP11" i="4"/>
  <c r="KQ11" i="4"/>
  <c r="KS11" i="4"/>
  <c r="KT11" i="4"/>
  <c r="KU11" i="4"/>
  <c r="KV11" i="4"/>
  <c r="KW11" i="4"/>
  <c r="KX11" i="4"/>
  <c r="LT11" i="4"/>
  <c r="LU11" i="4"/>
  <c r="LV11" i="4"/>
  <c r="LW11" i="4"/>
  <c r="LX11" i="4"/>
  <c r="LY11" i="4"/>
  <c r="MA11" i="4"/>
  <c r="MB11" i="4"/>
  <c r="MC11" i="4"/>
  <c r="MD11" i="4"/>
  <c r="ME11" i="4"/>
  <c r="MF11" i="4"/>
  <c r="NB11" i="4"/>
  <c r="NC11" i="4"/>
  <c r="ND11" i="4"/>
  <c r="NE11" i="4"/>
  <c r="NF11" i="4"/>
  <c r="NG11" i="4"/>
  <c r="NI11" i="4"/>
  <c r="NJ11" i="4"/>
  <c r="NK11" i="4"/>
  <c r="NL11" i="4"/>
  <c r="NM11" i="4"/>
  <c r="NN11" i="4"/>
  <c r="OJ11" i="4"/>
  <c r="OK11" i="4"/>
  <c r="OL11" i="4"/>
  <c r="OM11" i="4"/>
  <c r="ON11" i="4"/>
  <c r="OO11" i="4"/>
  <c r="OQ11" i="4"/>
  <c r="OR11" i="4"/>
  <c r="OS11" i="4"/>
  <c r="OT11" i="4"/>
  <c r="OU11" i="4"/>
  <c r="OV11" i="4"/>
  <c r="PR11" i="4"/>
  <c r="PS11" i="4"/>
  <c r="PT11" i="4"/>
  <c r="PU11" i="4"/>
  <c r="PV11" i="4"/>
  <c r="PW11" i="4"/>
  <c r="PY11" i="4"/>
  <c r="PZ11" i="4"/>
  <c r="QA11" i="4"/>
  <c r="QB11" i="4"/>
  <c r="QC11" i="4"/>
  <c r="QD11" i="4"/>
  <c r="QZ11" i="4"/>
  <c r="RA11" i="4"/>
  <c r="RB11" i="4"/>
  <c r="RC11" i="4"/>
  <c r="RD11" i="4"/>
  <c r="RE11" i="4"/>
  <c r="RG11" i="4"/>
  <c r="RH11" i="4"/>
  <c r="RI11" i="4"/>
  <c r="RJ11" i="4"/>
  <c r="RK11" i="4"/>
  <c r="RL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AT38" i="19" l="1"/>
  <c r="AT34" i="19"/>
  <c r="BW5" i="27"/>
  <c r="AT14" i="26"/>
  <c r="JJ14" i="22"/>
  <c r="AU10" i="4"/>
  <c r="NH10" i="22"/>
  <c r="AU19" i="22"/>
  <c r="BZ25" i="4"/>
  <c r="BZ32" i="4"/>
  <c r="AY26" i="4"/>
  <c r="BV15" i="4"/>
  <c r="BZ15" i="4" s="1"/>
  <c r="AU17" i="4"/>
  <c r="AY17" i="4" s="1"/>
  <c r="BV27" i="4"/>
  <c r="BZ27" i="4" s="1"/>
  <c r="BV23" i="4"/>
  <c r="BZ23" i="4" s="1"/>
  <c r="ED22" i="19"/>
  <c r="DE20" i="26"/>
  <c r="BZ20" i="22"/>
  <c r="AU16" i="22"/>
  <c r="AY16" i="22" s="1"/>
  <c r="BZ27" i="22"/>
  <c r="BZ33" i="4"/>
  <c r="AU8" i="4"/>
  <c r="AY8" i="4" s="1"/>
  <c r="BZ18" i="4"/>
  <c r="AU23" i="4"/>
  <c r="AY23" i="4" s="1"/>
  <c r="BV6" i="4"/>
  <c r="BZ6" i="4" s="1"/>
  <c r="BV21" i="4"/>
  <c r="BZ21" i="4" s="1"/>
  <c r="BZ36" i="4"/>
  <c r="GH7" i="21"/>
  <c r="Q27" i="21"/>
  <c r="DE24" i="21"/>
  <c r="K27" i="19"/>
  <c r="J27" i="19" s="1"/>
  <c r="K28" i="19"/>
  <c r="J28" i="19" s="1"/>
  <c r="A28" i="19" s="1" a="1"/>
  <c r="A28" i="19" s="1"/>
  <c r="JN12" i="19"/>
  <c r="LR10" i="26"/>
  <c r="PZ9" i="26"/>
  <c r="PZ10" i="26"/>
  <c r="BW14" i="21"/>
  <c r="BW32" i="21"/>
  <c r="DD27" i="21"/>
  <c r="R27" i="21" s="1"/>
  <c r="ED7" i="21"/>
  <c r="K11" i="21"/>
  <c r="J11" i="21" s="1"/>
  <c r="GH9" i="21"/>
  <c r="PZ16" i="21"/>
  <c r="IL16" i="21"/>
  <c r="AT7" i="21"/>
  <c r="AT15" i="21"/>
  <c r="AT19" i="21"/>
  <c r="AT32" i="21"/>
  <c r="RC20" i="21"/>
  <c r="K24" i="21"/>
  <c r="J24" i="21" s="1"/>
  <c r="A24" i="21" s="1" a="1"/>
  <c r="A24" i="21" s="1"/>
  <c r="NV9" i="21"/>
  <c r="OX7" i="21"/>
  <c r="HJ7" i="21"/>
  <c r="RC19" i="27"/>
  <c r="AT8" i="27"/>
  <c r="BZ11" i="27"/>
  <c r="FF17" i="27"/>
  <c r="AT13" i="27"/>
  <c r="BW8" i="27"/>
  <c r="BW20" i="27"/>
  <c r="AW12" i="27"/>
  <c r="K16" i="27"/>
  <c r="J16" i="27" s="1"/>
  <c r="AU32" i="22"/>
  <c r="AY32" i="22" s="1"/>
  <c r="BZ26" i="22"/>
  <c r="BZ33" i="22"/>
  <c r="AU15" i="22"/>
  <c r="AY15" i="22" s="1"/>
  <c r="AY19" i="22"/>
  <c r="AU25" i="22"/>
  <c r="AY25" i="22" s="1"/>
  <c r="BZ31" i="22"/>
  <c r="BZ29" i="22"/>
  <c r="AU12" i="22"/>
  <c r="AY12" i="22" s="1"/>
  <c r="BZ25" i="22"/>
  <c r="BV15" i="22"/>
  <c r="BZ15" i="22" s="1"/>
  <c r="AU5" i="4"/>
  <c r="AY5" i="4" s="1"/>
  <c r="AU20" i="4"/>
  <c r="AY20" i="4" s="1"/>
  <c r="BZ37" i="4"/>
  <c r="BV10" i="4"/>
  <c r="BZ10" i="4" s="1"/>
  <c r="BV17" i="4"/>
  <c r="BZ17" i="4" s="1"/>
  <c r="BZ29" i="4"/>
  <c r="BZ30" i="4"/>
  <c r="BZ38" i="4"/>
  <c r="AU24" i="4"/>
  <c r="AY24" i="4" s="1"/>
  <c r="AU29" i="4"/>
  <c r="AY29" i="4" s="1"/>
  <c r="BZ28" i="4"/>
  <c r="AT25" i="21"/>
  <c r="DE11" i="21"/>
  <c r="K20" i="21"/>
  <c r="J20" i="21" s="1"/>
  <c r="K21" i="21"/>
  <c r="J21" i="21" s="1"/>
  <c r="ED9" i="21"/>
  <c r="FI7" i="21"/>
  <c r="BW5" i="21"/>
  <c r="BW23" i="21"/>
  <c r="DE35" i="21"/>
  <c r="DE21" i="21"/>
  <c r="BW31" i="21"/>
  <c r="RF11" i="21"/>
  <c r="RF27" i="21"/>
  <c r="RC11" i="21"/>
  <c r="MT9" i="21"/>
  <c r="K35" i="21"/>
  <c r="J35" i="21" s="1"/>
  <c r="BW33" i="21"/>
  <c r="LR7" i="21"/>
  <c r="BZ5" i="21"/>
  <c r="BZ23" i="21"/>
  <c r="LU16" i="21"/>
  <c r="BZ31" i="21"/>
  <c r="BZ22" i="21"/>
  <c r="RC27" i="21"/>
  <c r="AT5" i="21"/>
  <c r="K27" i="21"/>
  <c r="J27" i="21" s="1"/>
  <c r="BZ12" i="21"/>
  <c r="RF20" i="21"/>
  <c r="AW26" i="21"/>
  <c r="IL22" i="19"/>
  <c r="BW6" i="19"/>
  <c r="BW12" i="19"/>
  <c r="BW21" i="19"/>
  <c r="BW30" i="19"/>
  <c r="BW25" i="19"/>
  <c r="BW9" i="19"/>
  <c r="K33" i="19"/>
  <c r="J33" i="19" s="1"/>
  <c r="A33" i="19" s="1" a="1"/>
  <c r="A33" i="19" s="1"/>
  <c r="DE33" i="19"/>
  <c r="GH13" i="19"/>
  <c r="GH22" i="19"/>
  <c r="K29" i="19"/>
  <c r="J29" i="19" s="1"/>
  <c r="A29" i="19" s="1" a="1"/>
  <c r="A29" i="19" s="1"/>
  <c r="RC16" i="27"/>
  <c r="AT10" i="27"/>
  <c r="BZ18" i="27"/>
  <c r="BZ13" i="27"/>
  <c r="K19" i="27"/>
  <c r="J19" i="27" s="1"/>
  <c r="BW6" i="27"/>
  <c r="RC20" i="26"/>
  <c r="RC19" i="26"/>
  <c r="K20" i="26"/>
  <c r="J20" i="26" s="1"/>
  <c r="BW8" i="26"/>
  <c r="BW14" i="26"/>
  <c r="BW4" i="26"/>
  <c r="BW7" i="26"/>
  <c r="BW17" i="26"/>
  <c r="ED10" i="26"/>
  <c r="AT7" i="26"/>
  <c r="BW16" i="26"/>
  <c r="BZ8" i="26"/>
  <c r="BZ11" i="26"/>
  <c r="BZ14" i="26"/>
  <c r="BZ21" i="26"/>
  <c r="AW11" i="26"/>
  <c r="K19" i="26"/>
  <c r="J19" i="26" s="1"/>
  <c r="AU10" i="22"/>
  <c r="AY10" i="22" s="1"/>
  <c r="AU21" i="22"/>
  <c r="AY21" i="22" s="1"/>
  <c r="BV4" i="22"/>
  <c r="BZ4" i="22" s="1"/>
  <c r="AU4" i="22"/>
  <c r="AY4" i="22" s="1"/>
  <c r="AU17" i="22"/>
  <c r="AY17" i="22" s="1"/>
  <c r="BZ24" i="22"/>
  <c r="BZ22" i="22"/>
  <c r="BV11" i="22"/>
  <c r="BZ11" i="22" s="1"/>
  <c r="BZ14" i="22"/>
  <c r="AU34" i="22"/>
  <c r="AY34" i="22" s="1"/>
  <c r="BV18" i="22"/>
  <c r="BZ18" i="22" s="1"/>
  <c r="AU23" i="22"/>
  <c r="AY23" i="22" s="1"/>
  <c r="BV10" i="22"/>
  <c r="BZ10" i="22" s="1"/>
  <c r="BZ28" i="22"/>
  <c r="AU18" i="22"/>
  <c r="AY18" i="22" s="1"/>
  <c r="AU28" i="22"/>
  <c r="AY28" i="22" s="1"/>
  <c r="BZ7" i="22"/>
  <c r="BZ21" i="22"/>
  <c r="BZ16" i="22"/>
  <c r="BZ30" i="22"/>
  <c r="AU8" i="22"/>
  <c r="AY8" i="22" s="1"/>
  <c r="AU26" i="22"/>
  <c r="AY26" i="22" s="1"/>
  <c r="BZ12" i="22"/>
  <c r="BZ19" i="22"/>
  <c r="AU5" i="22"/>
  <c r="AY5" i="22" s="1"/>
  <c r="AU22" i="22"/>
  <c r="AY22" i="22" s="1"/>
  <c r="BV5" i="22"/>
  <c r="BZ5" i="22" s="1"/>
  <c r="BV8" i="22"/>
  <c r="BZ8" i="22" s="1"/>
  <c r="AU11" i="22"/>
  <c r="AY11" i="22" s="1"/>
  <c r="AU24" i="22"/>
  <c r="AY24" i="22" s="1"/>
  <c r="AU35" i="22"/>
  <c r="AY35" i="22" s="1"/>
  <c r="BZ32" i="22"/>
  <c r="AU14" i="22"/>
  <c r="AY14" i="22" s="1"/>
  <c r="BV23" i="22"/>
  <c r="BZ23" i="22" s="1"/>
  <c r="AU27" i="22"/>
  <c r="AY27" i="22" s="1"/>
  <c r="BZ34" i="22"/>
  <c r="BZ35" i="22"/>
  <c r="AU9" i="22"/>
  <c r="AY9" i="22" s="1"/>
  <c r="AU20" i="22"/>
  <c r="AY20" i="22" s="1"/>
  <c r="AU31" i="22"/>
  <c r="AY31" i="22" s="1"/>
  <c r="BV13" i="22"/>
  <c r="BZ13" i="22" s="1"/>
  <c r="BV17" i="22"/>
  <c r="BZ17" i="22" s="1"/>
  <c r="AU7" i="22"/>
  <c r="AY7" i="22" s="1"/>
  <c r="AU13" i="22"/>
  <c r="AY13" i="22" s="1"/>
  <c r="AU29" i="22"/>
  <c r="AY29" i="22" s="1"/>
  <c r="AU6" i="22"/>
  <c r="AY6" i="22" s="1"/>
  <c r="AU30" i="22"/>
  <c r="AY30" i="22" s="1"/>
  <c r="AU33" i="22"/>
  <c r="AY33" i="22" s="1"/>
  <c r="BV6" i="22"/>
  <c r="BZ6" i="22" s="1"/>
  <c r="BZ9" i="22"/>
  <c r="AY37" i="4"/>
  <c r="AU32" i="4"/>
  <c r="AY32" i="4" s="1"/>
  <c r="BZ26" i="4"/>
  <c r="AU16" i="4"/>
  <c r="AY16" i="4" s="1"/>
  <c r="AU31" i="4"/>
  <c r="AY31" i="4" s="1"/>
  <c r="AU28" i="4"/>
  <c r="AY28" i="4" s="1"/>
  <c r="FL11" i="4"/>
  <c r="FS11" i="4" s="1"/>
  <c r="AU12" i="4"/>
  <c r="AY12" i="4" s="1"/>
  <c r="AU13" i="4"/>
  <c r="AY13" i="4" s="1"/>
  <c r="AU34" i="4"/>
  <c r="AY34" i="4" s="1"/>
  <c r="BV4" i="4"/>
  <c r="BZ4" i="4" s="1"/>
  <c r="BZ16" i="4"/>
  <c r="BZ12" i="4"/>
  <c r="BZ13" i="4"/>
  <c r="BZ35" i="4"/>
  <c r="AU38" i="4"/>
  <c r="AY38" i="4" s="1"/>
  <c r="BV8" i="4"/>
  <c r="BZ8" i="4" s="1"/>
  <c r="AU7" i="4"/>
  <c r="AY7" i="4" s="1"/>
  <c r="BV5" i="4"/>
  <c r="BZ5" i="4" s="1"/>
  <c r="BV20" i="4"/>
  <c r="BV24" i="4"/>
  <c r="BZ24" i="4" s="1"/>
  <c r="AU27" i="4"/>
  <c r="AY27" i="4" s="1"/>
  <c r="AU21" i="4"/>
  <c r="AY21" i="4" s="1"/>
  <c r="AU36" i="4"/>
  <c r="AY36" i="4" s="1"/>
  <c r="AU35" i="4"/>
  <c r="AY35" i="4" s="1"/>
  <c r="AU19" i="4"/>
  <c r="AY19" i="4" s="1"/>
  <c r="AU11" i="4"/>
  <c r="AY11" i="4" s="1"/>
  <c r="AU14" i="4"/>
  <c r="AY14" i="4" s="1"/>
  <c r="AU33" i="4"/>
  <c r="AY33" i="4" s="1"/>
  <c r="BV9" i="4"/>
  <c r="BZ9" i="4" s="1"/>
  <c r="BV22" i="4"/>
  <c r="BZ22" i="4" s="1"/>
  <c r="AU4" i="4"/>
  <c r="AY4" i="4" s="1"/>
  <c r="AU30" i="4"/>
  <c r="AY30" i="4" s="1"/>
  <c r="BZ20" i="4"/>
  <c r="BZ34" i="4"/>
  <c r="BZ31" i="4"/>
  <c r="AU6" i="4"/>
  <c r="AY6" i="4" s="1"/>
  <c r="BV11" i="4"/>
  <c r="BZ11" i="4" s="1"/>
  <c r="BV14" i="4"/>
  <c r="BZ14" i="4" s="1"/>
  <c r="BV19" i="4"/>
  <c r="BZ19" i="4" s="1"/>
  <c r="AY10" i="4"/>
  <c r="AU18" i="4"/>
  <c r="AY18" i="4" s="1"/>
  <c r="AY22" i="4"/>
  <c r="AU15" i="4"/>
  <c r="AY15" i="4" s="1"/>
  <c r="BV7" i="4"/>
  <c r="BZ7" i="4" s="1"/>
  <c r="AU9" i="4"/>
  <c r="AY9" i="4" s="1"/>
  <c r="AU25" i="4"/>
  <c r="AY25" i="4" s="1"/>
  <c r="RC21" i="21"/>
  <c r="RC24" i="21"/>
  <c r="RF21" i="21"/>
  <c r="DD11" i="21"/>
  <c r="O11" i="21"/>
  <c r="RF35" i="21"/>
  <c r="DE20" i="21"/>
  <c r="RF24" i="21"/>
  <c r="DD20" i="21"/>
  <c r="O20" i="21"/>
  <c r="RC35" i="21"/>
  <c r="DD35" i="21"/>
  <c r="O35" i="21"/>
  <c r="O24" i="21"/>
  <c r="DD24" i="21"/>
  <c r="M20" i="21"/>
  <c r="M24" i="21"/>
  <c r="O21" i="21"/>
  <c r="DD21" i="21"/>
  <c r="M27" i="21"/>
  <c r="AT6" i="21"/>
  <c r="AT14" i="21"/>
  <c r="BZ13" i="21"/>
  <c r="BZ17" i="21"/>
  <c r="FF7" i="21"/>
  <c r="PZ9" i="21"/>
  <c r="IL9" i="21"/>
  <c r="NV16" i="21"/>
  <c r="GH16" i="21"/>
  <c r="BZ7" i="21"/>
  <c r="BZ15" i="21"/>
  <c r="AW29" i="21"/>
  <c r="AT23" i="21"/>
  <c r="AT31" i="21"/>
  <c r="BZ16" i="21"/>
  <c r="BZ34" i="21"/>
  <c r="JN7" i="21"/>
  <c r="FI9" i="21"/>
  <c r="OX9" i="21"/>
  <c r="HJ9" i="21"/>
  <c r="MT16" i="21"/>
  <c r="FF16" i="21"/>
  <c r="BW25" i="21"/>
  <c r="JQ9" i="21"/>
  <c r="OX16" i="21"/>
  <c r="HJ16" i="21"/>
  <c r="BW10" i="21"/>
  <c r="NV7" i="21"/>
  <c r="AW9" i="21"/>
  <c r="AW15" i="21"/>
  <c r="AW28" i="21"/>
  <c r="AW19" i="21"/>
  <c r="AW22" i="21"/>
  <c r="AW32" i="21"/>
  <c r="AW30" i="21"/>
  <c r="PZ7" i="21"/>
  <c r="LU9" i="21"/>
  <c r="JQ16" i="21"/>
  <c r="AW8" i="21"/>
  <c r="AW16" i="21"/>
  <c r="BW7" i="21"/>
  <c r="BW15" i="21"/>
  <c r="AW4" i="21"/>
  <c r="BZ8" i="21"/>
  <c r="BZ28" i="21"/>
  <c r="BZ19" i="21"/>
  <c r="AW5" i="21"/>
  <c r="AW13" i="21"/>
  <c r="BZ32" i="21"/>
  <c r="AW18" i="21"/>
  <c r="AT33" i="21"/>
  <c r="BZ9" i="21"/>
  <c r="BZ26" i="21"/>
  <c r="AW7" i="21"/>
  <c r="AW23" i="21"/>
  <c r="AW17" i="21"/>
  <c r="BW6" i="21"/>
  <c r="BZ30" i="21"/>
  <c r="LU7" i="21"/>
  <c r="JQ7" i="21"/>
  <c r="HM7" i="21"/>
  <c r="HM9" i="21"/>
  <c r="HM16" i="21"/>
  <c r="FI16" i="21"/>
  <c r="AW34" i="21"/>
  <c r="BW29" i="21"/>
  <c r="AW31" i="21"/>
  <c r="AW12" i="21"/>
  <c r="BW18" i="21"/>
  <c r="LR9" i="21"/>
  <c r="JN9" i="21"/>
  <c r="LR16" i="21"/>
  <c r="JN16" i="21"/>
  <c r="AW10" i="21"/>
  <c r="BZ4" i="21"/>
  <c r="BW19" i="21"/>
  <c r="RC27" i="19"/>
  <c r="DE27" i="19"/>
  <c r="RF27" i="19"/>
  <c r="DE28" i="19"/>
  <c r="RC29" i="19"/>
  <c r="DD27" i="19"/>
  <c r="O27" i="19"/>
  <c r="M27" i="19"/>
  <c r="AT6" i="19"/>
  <c r="AT12" i="19"/>
  <c r="AT21" i="19"/>
  <c r="AT30" i="19"/>
  <c r="AT25" i="19"/>
  <c r="BW31" i="19"/>
  <c r="RC28" i="19"/>
  <c r="RC33" i="19"/>
  <c r="RF28" i="19"/>
  <c r="AT16" i="19"/>
  <c r="DD28" i="19"/>
  <c r="O28" i="19"/>
  <c r="BW39" i="19"/>
  <c r="BW41" i="19"/>
  <c r="BW32" i="19"/>
  <c r="BZ37" i="19"/>
  <c r="LR12" i="19"/>
  <c r="LR22" i="19"/>
  <c r="NV12" i="19"/>
  <c r="RF29" i="19"/>
  <c r="DE29" i="19"/>
  <c r="DD29" i="19"/>
  <c r="O29" i="19"/>
  <c r="M29" i="19"/>
  <c r="AW4" i="19"/>
  <c r="AW14" i="19"/>
  <c r="AW36" i="19"/>
  <c r="AW40" i="19"/>
  <c r="BZ17" i="19"/>
  <c r="BZ26" i="19"/>
  <c r="ED13" i="19"/>
  <c r="LU22" i="19"/>
  <c r="AW11" i="19"/>
  <c r="AW13" i="19"/>
  <c r="AW39" i="19"/>
  <c r="BW18" i="19"/>
  <c r="BZ35" i="19"/>
  <c r="AW20" i="19"/>
  <c r="AW24" i="19"/>
  <c r="PZ13" i="19"/>
  <c r="BZ6" i="19"/>
  <c r="AT5" i="19"/>
  <c r="OX22" i="19"/>
  <c r="CZ22" i="19"/>
  <c r="BZ5" i="19"/>
  <c r="BZ12" i="19"/>
  <c r="FI22" i="19"/>
  <c r="AW6" i="19"/>
  <c r="BZ7" i="19"/>
  <c r="BZ8" i="19"/>
  <c r="BZ21" i="19"/>
  <c r="BZ15" i="19"/>
  <c r="HM22" i="19"/>
  <c r="AW5" i="19"/>
  <c r="AW12" i="19"/>
  <c r="AW19" i="19"/>
  <c r="BZ4" i="19"/>
  <c r="BZ14" i="19"/>
  <c r="BZ38" i="19"/>
  <c r="BZ30" i="19"/>
  <c r="AT32" i="19"/>
  <c r="AT37" i="19"/>
  <c r="JQ22" i="19"/>
  <c r="AW7" i="19"/>
  <c r="AW8" i="19"/>
  <c r="AW21" i="19"/>
  <c r="AW15" i="19"/>
  <c r="BZ11" i="19"/>
  <c r="BZ13" i="19"/>
  <c r="BZ25" i="19"/>
  <c r="BZ40" i="19"/>
  <c r="RF33" i="19"/>
  <c r="DD33" i="19"/>
  <c r="O33" i="19"/>
  <c r="M33" i="19"/>
  <c r="AW23" i="19"/>
  <c r="NV13" i="19"/>
  <c r="HJ22" i="19"/>
  <c r="AT9" i="19"/>
  <c r="AW31" i="19"/>
  <c r="BW16" i="19"/>
  <c r="FF22" i="19"/>
  <c r="BW5" i="19"/>
  <c r="AW41" i="19"/>
  <c r="BW8" i="19"/>
  <c r="AT8" i="19"/>
  <c r="BW38" i="19"/>
  <c r="HJ4" i="19"/>
  <c r="PZ22" i="19"/>
  <c r="BZ10" i="19"/>
  <c r="BW22" i="19"/>
  <c r="AW10" i="19"/>
  <c r="AT22" i="19"/>
  <c r="BZ19" i="19"/>
  <c r="BW34" i="19"/>
  <c r="BZ36" i="19"/>
  <c r="AW30" i="19"/>
  <c r="BZ22" i="19"/>
  <c r="AW22" i="19"/>
  <c r="AW25" i="19"/>
  <c r="BZ34" i="19"/>
  <c r="AW38" i="19"/>
  <c r="JN13" i="19"/>
  <c r="AW17" i="19"/>
  <c r="AW26" i="19"/>
  <c r="AW34" i="19"/>
  <c r="BW20" i="19"/>
  <c r="BZ24" i="19"/>
  <c r="BZ39" i="19"/>
  <c r="LR13" i="19"/>
  <c r="AW18" i="19"/>
  <c r="AW35" i="19"/>
  <c r="BZ23" i="19"/>
  <c r="RF16" i="27"/>
  <c r="DE16" i="27"/>
  <c r="RF19" i="27"/>
  <c r="DE19" i="27"/>
  <c r="DD16" i="27"/>
  <c r="O16" i="27"/>
  <c r="M16" i="27"/>
  <c r="AT20" i="27"/>
  <c r="AT6" i="27"/>
  <c r="AT15" i="27"/>
  <c r="HJ17" i="27"/>
  <c r="AT5" i="27"/>
  <c r="AT18" i="27"/>
  <c r="AW4" i="27"/>
  <c r="AW5" i="27"/>
  <c r="AW14" i="27"/>
  <c r="AW18" i="27"/>
  <c r="AW11" i="27"/>
  <c r="DD19" i="27"/>
  <c r="O19" i="27"/>
  <c r="BZ4" i="27"/>
  <c r="BZ5" i="27"/>
  <c r="BZ20" i="27"/>
  <c r="BW14" i="27"/>
  <c r="BZ17" i="27"/>
  <c r="BZ10" i="27"/>
  <c r="BZ9" i="27"/>
  <c r="JN17" i="27"/>
  <c r="AW7" i="27"/>
  <c r="AW8" i="27"/>
  <c r="AW20" i="27"/>
  <c r="BW15" i="27"/>
  <c r="AW17" i="27"/>
  <c r="BW18" i="27"/>
  <c r="BZ7" i="27"/>
  <c r="AT9" i="27"/>
  <c r="BZ8" i="27"/>
  <c r="BZ12" i="27"/>
  <c r="RF20" i="26"/>
  <c r="R19" i="26"/>
  <c r="RF19" i="26"/>
  <c r="DD20" i="26"/>
  <c r="O20" i="26"/>
  <c r="M20" i="26"/>
  <c r="NV10" i="26"/>
  <c r="AT8" i="26"/>
  <c r="AW8" i="26"/>
  <c r="OX8" i="26"/>
  <c r="AW9" i="26"/>
  <c r="AW6" i="26"/>
  <c r="AW16" i="26"/>
  <c r="BZ18" i="26"/>
  <c r="JN10" i="26"/>
  <c r="AW18" i="26"/>
  <c r="BZ10" i="26"/>
  <c r="BZ15" i="26"/>
  <c r="AW10" i="26"/>
  <c r="AW15" i="26"/>
  <c r="FF8" i="26"/>
  <c r="AW14" i="26"/>
  <c r="BZ9" i="26"/>
  <c r="BZ16" i="26"/>
  <c r="Q19" i="26"/>
  <c r="O19" i="26"/>
  <c r="AT17" i="26"/>
  <c r="AT9" i="26"/>
  <c r="BW9" i="26"/>
  <c r="AT16" i="26"/>
  <c r="AW5" i="26"/>
  <c r="BZ5" i="26"/>
  <c r="AW21" i="26"/>
  <c r="BZ6" i="26"/>
  <c r="AW13" i="26"/>
  <c r="BZ13" i="26"/>
  <c r="AW12" i="26"/>
  <c r="BZ12" i="26"/>
  <c r="AW4" i="26"/>
  <c r="CW16" i="4"/>
  <c r="DA16" i="4" s="1"/>
  <c r="CZ16" i="21"/>
  <c r="CZ7" i="21"/>
  <c r="CZ9" i="21"/>
  <c r="BZ10" i="21"/>
  <c r="BZ29" i="21"/>
  <c r="BZ18" i="21"/>
  <c r="BZ33" i="21"/>
  <c r="BW12" i="21"/>
  <c r="BW8" i="21"/>
  <c r="BW16" i="21"/>
  <c r="BW34" i="21"/>
  <c r="BZ6" i="21"/>
  <c r="BZ14" i="21"/>
  <c r="BZ25" i="21"/>
  <c r="BW9" i="21"/>
  <c r="BW28" i="21"/>
  <c r="BW22" i="21"/>
  <c r="BW30" i="21"/>
  <c r="QY7" i="21"/>
  <c r="QY16" i="21"/>
  <c r="BW4" i="21"/>
  <c r="BW13" i="21"/>
  <c r="BW17" i="21"/>
  <c r="BW26" i="21"/>
  <c r="AT8" i="21"/>
  <c r="AT16" i="21"/>
  <c r="AT34" i="21"/>
  <c r="AT12" i="21"/>
  <c r="AW6" i="21"/>
  <c r="AW14" i="21"/>
  <c r="AW25" i="21"/>
  <c r="AT10" i="21"/>
  <c r="AT29" i="21"/>
  <c r="AT30" i="21"/>
  <c r="AT18" i="21"/>
  <c r="AT9" i="21"/>
  <c r="AT28" i="21"/>
  <c r="AT4" i="21"/>
  <c r="AT13" i="21"/>
  <c r="AT17" i="21"/>
  <c r="AT26" i="21"/>
  <c r="AT22" i="21"/>
  <c r="AW33" i="21"/>
  <c r="BW37" i="19"/>
  <c r="BW23" i="19"/>
  <c r="BZ9" i="19"/>
  <c r="BZ16" i="19"/>
  <c r="BZ41" i="19"/>
  <c r="BZ32" i="19"/>
  <c r="BW4" i="19"/>
  <c r="BW11" i="19"/>
  <c r="BW17" i="19"/>
  <c r="BW24" i="19"/>
  <c r="BW35" i="19"/>
  <c r="BZ20" i="19"/>
  <c r="BZ18" i="19"/>
  <c r="BZ31" i="19"/>
  <c r="BW7" i="19"/>
  <c r="BW14" i="19"/>
  <c r="BW13" i="19"/>
  <c r="BW26" i="19"/>
  <c r="BW10" i="19"/>
  <c r="BW19" i="19"/>
  <c r="BW15" i="19"/>
  <c r="BW36" i="19"/>
  <c r="BW40" i="19"/>
  <c r="AT20" i="19"/>
  <c r="AT18" i="19"/>
  <c r="AT23" i="19"/>
  <c r="AT31" i="19"/>
  <c r="AT41" i="19"/>
  <c r="AW9" i="19"/>
  <c r="AW16" i="19"/>
  <c r="AW32" i="19"/>
  <c r="AW37" i="19"/>
  <c r="AT4" i="19"/>
  <c r="AT11" i="19"/>
  <c r="AT17" i="19"/>
  <c r="AT24" i="19"/>
  <c r="AT35" i="19"/>
  <c r="AT7" i="19"/>
  <c r="AT14" i="19"/>
  <c r="AT13" i="19"/>
  <c r="AT26" i="19"/>
  <c r="AT39" i="19"/>
  <c r="AT10" i="19"/>
  <c r="AT19" i="19"/>
  <c r="AT15" i="19"/>
  <c r="AT36" i="19"/>
  <c r="AT40" i="19"/>
  <c r="BW10" i="27"/>
  <c r="BW9" i="27"/>
  <c r="BZ6" i="27"/>
  <c r="BZ15" i="27"/>
  <c r="BW11" i="27"/>
  <c r="BW17" i="27"/>
  <c r="BW4" i="27"/>
  <c r="BW13" i="27"/>
  <c r="BW7" i="27"/>
  <c r="BW12" i="27"/>
  <c r="BZ14" i="27"/>
  <c r="AT11" i="27"/>
  <c r="AT17" i="27"/>
  <c r="AW6" i="27"/>
  <c r="AW10" i="27"/>
  <c r="AW9" i="27"/>
  <c r="AT14" i="27"/>
  <c r="AT7" i="27"/>
  <c r="AT12" i="27"/>
  <c r="AT4" i="27"/>
  <c r="AW13" i="27"/>
  <c r="AW15" i="27"/>
  <c r="QY8" i="26"/>
  <c r="BW13" i="26"/>
  <c r="BW12" i="26"/>
  <c r="BZ4" i="26"/>
  <c r="BZ7" i="26"/>
  <c r="BZ17" i="26"/>
  <c r="BW10" i="26"/>
  <c r="BW15" i="26"/>
  <c r="BW6" i="26"/>
  <c r="BW18" i="26"/>
  <c r="BW5" i="26"/>
  <c r="BW11" i="26"/>
  <c r="BW21" i="26"/>
  <c r="AT4" i="26"/>
  <c r="AT13" i="26"/>
  <c r="AT12" i="26"/>
  <c r="AW7" i="26"/>
  <c r="AW17" i="26"/>
  <c r="AT10" i="26"/>
  <c r="AT15" i="26"/>
  <c r="AT18" i="26"/>
  <c r="AT6" i="26"/>
  <c r="AT5" i="26"/>
  <c r="AT11" i="26"/>
  <c r="AT21" i="26"/>
  <c r="FF12" i="19"/>
  <c r="FF4" i="19"/>
  <c r="CZ12" i="19"/>
  <c r="JN22" i="19"/>
  <c r="HJ12" i="19"/>
  <c r="FF13" i="19"/>
  <c r="CZ13" i="19"/>
  <c r="JQ13" i="19"/>
  <c r="LU13" i="19"/>
  <c r="HM13" i="19"/>
  <c r="FI12" i="19"/>
  <c r="HM12" i="19"/>
  <c r="NV22" i="19"/>
  <c r="JQ12" i="19"/>
  <c r="LU12" i="19"/>
  <c r="ED17" i="27"/>
  <c r="NV9" i="27"/>
  <c r="GH9" i="27"/>
  <c r="GH10" i="26"/>
  <c r="IL10" i="26"/>
  <c r="FL10" i="22"/>
  <c r="FS10" i="22" s="1"/>
  <c r="OP14" i="22"/>
  <c r="OW14" i="22" s="1"/>
  <c r="GT11" i="4"/>
  <c r="HA11" i="4" s="1"/>
  <c r="LZ16" i="4"/>
  <c r="MG16" i="4" s="1"/>
  <c r="FL16" i="4"/>
  <c r="FS16" i="4" s="1"/>
  <c r="GT16" i="4"/>
  <c r="HA16" i="4" s="1"/>
  <c r="KR16" i="4"/>
  <c r="KY16" i="4" s="1"/>
  <c r="LZ11" i="4"/>
  <c r="MG11" i="4" s="1"/>
  <c r="TN16" i="4"/>
  <c r="FI13" i="19"/>
  <c r="PZ12" i="19"/>
  <c r="QY22" i="19"/>
  <c r="HJ13" i="19"/>
  <c r="CZ14" i="19"/>
  <c r="PZ17" i="27"/>
  <c r="GH17" i="27"/>
  <c r="FF9" i="27"/>
  <c r="JN9" i="27"/>
  <c r="LR17" i="27"/>
  <c r="JQ17" i="27"/>
  <c r="LU17" i="27"/>
  <c r="FI17" i="27"/>
  <c r="OX17" i="27"/>
  <c r="HM17" i="27"/>
  <c r="OX9" i="27"/>
  <c r="IL8" i="26"/>
  <c r="GH8" i="26"/>
  <c r="OX10" i="26"/>
  <c r="JQ10" i="26"/>
  <c r="LR9" i="26"/>
  <c r="LU10" i="26"/>
  <c r="CZ10" i="26"/>
  <c r="LZ10" i="22"/>
  <c r="MG10" i="22" s="1"/>
  <c r="KR10" i="22"/>
  <c r="KY10" i="22" s="1"/>
  <c r="PX14" i="22"/>
  <c r="QE14" i="22" s="1"/>
  <c r="NH14" i="22"/>
  <c r="NO14" i="22" s="1"/>
  <c r="KR14" i="22"/>
  <c r="KY14" i="22" s="1"/>
  <c r="LZ14" i="22"/>
  <c r="MG14" i="22" s="1"/>
  <c r="OP11" i="4"/>
  <c r="OW11" i="4" s="1"/>
  <c r="NH11" i="4"/>
  <c r="NO11" i="4" s="1"/>
  <c r="NH16" i="4"/>
  <c r="NO16" i="4" s="1"/>
  <c r="OP16" i="4"/>
  <c r="OW16" i="4" s="1"/>
  <c r="KR11" i="4"/>
  <c r="KY11" i="4" s="1"/>
  <c r="PA16" i="21"/>
  <c r="MW16" i="21"/>
  <c r="EG16" i="21"/>
  <c r="HJ14" i="19"/>
  <c r="FI14" i="19"/>
  <c r="JQ14" i="19"/>
  <c r="NV14" i="19"/>
  <c r="FI4" i="19"/>
  <c r="IL13" i="19"/>
  <c r="PZ14" i="19"/>
  <c r="OX13" i="19"/>
  <c r="LR14" i="19"/>
  <c r="CZ4" i="19"/>
  <c r="ED12" i="19"/>
  <c r="IO22" i="19"/>
  <c r="LU14" i="19"/>
  <c r="NV4" i="19"/>
  <c r="MT22" i="19"/>
  <c r="PA22" i="19"/>
  <c r="EG22" i="19"/>
  <c r="HM14" i="19"/>
  <c r="PZ4" i="19"/>
  <c r="JN14" i="19"/>
  <c r="FF14" i="19"/>
  <c r="JQ4" i="19"/>
  <c r="LU4" i="19"/>
  <c r="OX12" i="19"/>
  <c r="QY12" i="19"/>
  <c r="RD22" i="19"/>
  <c r="HM4" i="19"/>
  <c r="LR9" i="27"/>
  <c r="NV17" i="27"/>
  <c r="PZ9" i="27"/>
  <c r="CZ9" i="27"/>
  <c r="HJ9" i="27"/>
  <c r="CZ17" i="27"/>
  <c r="EG17" i="27"/>
  <c r="ED9" i="27"/>
  <c r="LU9" i="27"/>
  <c r="JQ9" i="27"/>
  <c r="FI9" i="27"/>
  <c r="PA17" i="27"/>
  <c r="HM9" i="27"/>
  <c r="MT17" i="27"/>
  <c r="HM10" i="26"/>
  <c r="FI8" i="26"/>
  <c r="HJ9" i="26"/>
  <c r="NV8" i="26"/>
  <c r="FF10" i="26"/>
  <c r="HJ8" i="26"/>
  <c r="JN8" i="26"/>
  <c r="RB8" i="26"/>
  <c r="PZ8" i="26"/>
  <c r="CZ9" i="26"/>
  <c r="LR8" i="26"/>
  <c r="JN9" i="26"/>
  <c r="NV9" i="26"/>
  <c r="CZ8" i="26"/>
  <c r="FF9" i="26"/>
  <c r="MT8" i="26"/>
  <c r="PA8" i="26"/>
  <c r="OX9" i="26"/>
  <c r="JQ9" i="26"/>
  <c r="HM9" i="26"/>
  <c r="FI9" i="26"/>
  <c r="FI10" i="26"/>
  <c r="LU8" i="26"/>
  <c r="JQ8" i="26"/>
  <c r="QY9" i="26"/>
  <c r="LU9" i="26"/>
  <c r="RD8" i="26"/>
  <c r="HM8" i="26"/>
  <c r="GH9" i="26"/>
  <c r="HJ10" i="26"/>
  <c r="RF14" i="22"/>
  <c r="RM14" i="22" s="1"/>
  <c r="FL14" i="22"/>
  <c r="FS14" i="22" s="1"/>
  <c r="PX10" i="22"/>
  <c r="QE10" i="22" s="1"/>
  <c r="OP10" i="22"/>
  <c r="OW10" i="22" s="1"/>
  <c r="SN14" i="22"/>
  <c r="SU14" i="22" s="1"/>
  <c r="RF10" i="22"/>
  <c r="RM10" i="22" s="1"/>
  <c r="SN10" i="22"/>
  <c r="SU10" i="22" s="1"/>
  <c r="JJ10" i="22"/>
  <c r="JQ10" i="22" s="1"/>
  <c r="IB10" i="22"/>
  <c r="II10" i="22" s="1"/>
  <c r="TQ10" i="22"/>
  <c r="CW10" i="22"/>
  <c r="DA10" i="22" s="1"/>
  <c r="JQ14" i="22"/>
  <c r="IB14" i="22"/>
  <c r="II14" i="22" s="1"/>
  <c r="ED14" i="22"/>
  <c r="EK14" i="22" s="1"/>
  <c r="ED10" i="22"/>
  <c r="EK10" i="22" s="1"/>
  <c r="ED16" i="4"/>
  <c r="EK16" i="4" s="1"/>
  <c r="PX16" i="4"/>
  <c r="QE16" i="4" s="1"/>
  <c r="TN11" i="4"/>
  <c r="SN11" i="4"/>
  <c r="SU11" i="4" s="1"/>
  <c r="RF16" i="4"/>
  <c r="RM16" i="4" s="1"/>
  <c r="ED11" i="4"/>
  <c r="EK11" i="4" s="1"/>
  <c r="PX11" i="4"/>
  <c r="QE11" i="4" s="1"/>
  <c r="SN16" i="4"/>
  <c r="SU16" i="4" s="1"/>
  <c r="RF11" i="4"/>
  <c r="RM11" i="4" s="1"/>
  <c r="TQ16" i="4"/>
  <c r="JJ11" i="4"/>
  <c r="JQ11" i="4" s="1"/>
  <c r="JJ16" i="4"/>
  <c r="JQ16" i="4" s="1"/>
  <c r="CW11" i="4"/>
  <c r="DA11" i="4" s="1"/>
  <c r="QZ16" i="21"/>
  <c r="RD16" i="21"/>
  <c r="RB16" i="21"/>
  <c r="GH12" i="19"/>
  <c r="RB22" i="19"/>
  <c r="QY13" i="19"/>
  <c r="QZ9" i="27"/>
  <c r="RB17" i="27"/>
  <c r="QY17" i="27"/>
  <c r="QZ17" i="27"/>
  <c r="QY9" i="27"/>
  <c r="EG8" i="26"/>
  <c r="ED8" i="26"/>
  <c r="QY10" i="26"/>
  <c r="QZ8" i="26"/>
  <c r="GT14" i="22"/>
  <c r="HA14" i="22" s="1"/>
  <c r="TQ14" i="22"/>
  <c r="IB11" i="4"/>
  <c r="II11" i="4" s="1"/>
  <c r="IB16" i="4"/>
  <c r="II16" i="4" s="1"/>
  <c r="TQ11" i="4"/>
  <c r="QC16" i="21"/>
  <c r="NY16" i="21"/>
  <c r="KP16" i="21"/>
  <c r="IO16" i="21"/>
  <c r="GK16" i="21"/>
  <c r="ED16" i="21"/>
  <c r="P16" i="21"/>
  <c r="Q16" i="21" s="1"/>
  <c r="DC16" i="21"/>
  <c r="RA16" i="21"/>
  <c r="I16" i="21"/>
  <c r="H16" i="21"/>
  <c r="N16" i="21"/>
  <c r="L16" i="21"/>
  <c r="KS16" i="21"/>
  <c r="RE16" i="21"/>
  <c r="MW9" i="21"/>
  <c r="EG9" i="21"/>
  <c r="RD9" i="21"/>
  <c r="QY9" i="21"/>
  <c r="FF9" i="21"/>
  <c r="PA9" i="21"/>
  <c r="QC9" i="21"/>
  <c r="NY9" i="21"/>
  <c r="KP9" i="21"/>
  <c r="IO9" i="21"/>
  <c r="GK9" i="21"/>
  <c r="RE9" i="21"/>
  <c r="QZ9" i="21"/>
  <c r="DC9" i="21"/>
  <c r="RA9" i="21"/>
  <c r="RB9" i="21"/>
  <c r="P9" i="21"/>
  <c r="DE9" i="21" s="1"/>
  <c r="I9" i="21"/>
  <c r="H9" i="21"/>
  <c r="N9" i="21"/>
  <c r="KS9" i="21"/>
  <c r="L9" i="21"/>
  <c r="MT7" i="21"/>
  <c r="RB7" i="21"/>
  <c r="EG7" i="21"/>
  <c r="QZ7" i="21"/>
  <c r="PA7" i="21"/>
  <c r="QC7" i="21"/>
  <c r="NY7" i="21"/>
  <c r="MW7" i="21"/>
  <c r="KP7" i="21"/>
  <c r="IO7" i="21"/>
  <c r="IL7" i="21"/>
  <c r="GK7" i="21"/>
  <c r="P7" i="21"/>
  <c r="Q7" i="21" s="1"/>
  <c r="DC7" i="21"/>
  <c r="RA7" i="21"/>
  <c r="RD7" i="21"/>
  <c r="I7" i="21"/>
  <c r="H7" i="21"/>
  <c r="N7" i="21"/>
  <c r="KS7" i="21"/>
  <c r="L7" i="21"/>
  <c r="RE7" i="21"/>
  <c r="QC22" i="19"/>
  <c r="NY22" i="19"/>
  <c r="MW22" i="19"/>
  <c r="KP22" i="19"/>
  <c r="GK22" i="19"/>
  <c r="QZ22" i="19"/>
  <c r="DC22" i="19"/>
  <c r="RA22" i="19"/>
  <c r="P22" i="19"/>
  <c r="Q22" i="19" s="1"/>
  <c r="I22" i="19"/>
  <c r="H22" i="19"/>
  <c r="N22" i="19"/>
  <c r="KS22" i="19"/>
  <c r="L22" i="19"/>
  <c r="RE22" i="19"/>
  <c r="ED14" i="19"/>
  <c r="QZ13" i="19"/>
  <c r="GH14" i="19"/>
  <c r="LR4" i="19"/>
  <c r="JN4" i="19"/>
  <c r="QZ12" i="19"/>
  <c r="MT13" i="19"/>
  <c r="PA13" i="19"/>
  <c r="OX14" i="19"/>
  <c r="QY14" i="19"/>
  <c r="EG13" i="19"/>
  <c r="RB13" i="19"/>
  <c r="QC13" i="19"/>
  <c r="NY13" i="19"/>
  <c r="MW13" i="19"/>
  <c r="KP13" i="19"/>
  <c r="IO13" i="19"/>
  <c r="GK13" i="19"/>
  <c r="P13" i="19"/>
  <c r="Q13" i="19" s="1"/>
  <c r="DC13" i="19"/>
  <c r="RA13" i="19"/>
  <c r="RD13" i="19"/>
  <c r="I13" i="19"/>
  <c r="H13" i="19"/>
  <c r="N13" i="19"/>
  <c r="L13" i="19"/>
  <c r="KS13" i="19"/>
  <c r="RE13" i="19"/>
  <c r="QZ14" i="19"/>
  <c r="MT12" i="19"/>
  <c r="ED4" i="19"/>
  <c r="PA12" i="19"/>
  <c r="RB12" i="19"/>
  <c r="OX4" i="19"/>
  <c r="GK12" i="19"/>
  <c r="QY4" i="19"/>
  <c r="GH4" i="19"/>
  <c r="EG12" i="19"/>
  <c r="QC12" i="19"/>
  <c r="NY12" i="19"/>
  <c r="MW12" i="19"/>
  <c r="KP12" i="19"/>
  <c r="IO12" i="19"/>
  <c r="IL12" i="19"/>
  <c r="P12" i="19"/>
  <c r="Q12" i="19" s="1"/>
  <c r="DC12" i="19"/>
  <c r="RA12" i="19"/>
  <c r="RD12" i="19"/>
  <c r="I12" i="19"/>
  <c r="H12" i="19"/>
  <c r="N12" i="19"/>
  <c r="KS12" i="19"/>
  <c r="L12" i="19"/>
  <c r="RE12" i="19"/>
  <c r="PA14" i="19"/>
  <c r="QZ4" i="19"/>
  <c r="RB14" i="19"/>
  <c r="MT14" i="19"/>
  <c r="EG14" i="19"/>
  <c r="QC14" i="19"/>
  <c r="NY14" i="19"/>
  <c r="MW14" i="19"/>
  <c r="KP14" i="19"/>
  <c r="IO14" i="19"/>
  <c r="IL14" i="19"/>
  <c r="GK14" i="19"/>
  <c r="DC14" i="19"/>
  <c r="P14" i="19"/>
  <c r="Q14" i="19" s="1"/>
  <c r="RA14" i="19"/>
  <c r="RD14" i="19"/>
  <c r="I14" i="19"/>
  <c r="H14" i="19"/>
  <c r="N14" i="19"/>
  <c r="L14" i="19"/>
  <c r="KS14" i="19"/>
  <c r="RE14" i="19"/>
  <c r="MT4" i="19"/>
  <c r="RB4" i="19"/>
  <c r="PA4" i="19"/>
  <c r="EG4" i="19"/>
  <c r="QC4" i="19"/>
  <c r="NY4" i="19"/>
  <c r="MW4" i="19"/>
  <c r="KP4" i="19"/>
  <c r="IO4" i="19"/>
  <c r="IL4" i="19"/>
  <c r="GK4" i="19"/>
  <c r="P4" i="19"/>
  <c r="Q4" i="19" s="1"/>
  <c r="DC4" i="19"/>
  <c r="RA4" i="19"/>
  <c r="RD4" i="19"/>
  <c r="I4" i="19"/>
  <c r="H4" i="19"/>
  <c r="N4" i="19"/>
  <c r="KS4" i="19"/>
  <c r="L4" i="19"/>
  <c r="RE4" i="19"/>
  <c r="QC17" i="27"/>
  <c r="NY17" i="27"/>
  <c r="MW17" i="27"/>
  <c r="KP17" i="27"/>
  <c r="IO17" i="27"/>
  <c r="IL17" i="27"/>
  <c r="GK17" i="27"/>
  <c r="P17" i="27"/>
  <c r="Q17" i="27" s="1"/>
  <c r="DC17" i="27"/>
  <c r="RA17" i="27"/>
  <c r="RD17" i="27"/>
  <c r="I17" i="27"/>
  <c r="H17" i="27"/>
  <c r="N17" i="27"/>
  <c r="KS17" i="27"/>
  <c r="L17" i="27"/>
  <c r="RE17" i="27"/>
  <c r="PA9" i="27"/>
  <c r="MT9" i="27"/>
  <c r="RB9" i="27"/>
  <c r="EG9" i="27"/>
  <c r="QC9" i="27"/>
  <c r="NY9" i="27"/>
  <c r="MW9" i="27"/>
  <c r="KP9" i="27"/>
  <c r="IO9" i="27"/>
  <c r="IL9" i="27"/>
  <c r="GK9" i="27"/>
  <c r="P9" i="27"/>
  <c r="Q9" i="27" s="1"/>
  <c r="DC9" i="27"/>
  <c r="RA9" i="27"/>
  <c r="RD9" i="27"/>
  <c r="I9" i="27"/>
  <c r="H9" i="27"/>
  <c r="N9" i="27"/>
  <c r="KS9" i="27"/>
  <c r="L9" i="27"/>
  <c r="RE9" i="27"/>
  <c r="QC8" i="26"/>
  <c r="NY8" i="26"/>
  <c r="MW8" i="26"/>
  <c r="KP8" i="26"/>
  <c r="IO8" i="26"/>
  <c r="GK8" i="26"/>
  <c r="DC8" i="26"/>
  <c r="RA8" i="26"/>
  <c r="P8" i="26"/>
  <c r="DE8" i="26" s="1"/>
  <c r="I8" i="26"/>
  <c r="H8" i="26"/>
  <c r="N8" i="26"/>
  <c r="KS8" i="26"/>
  <c r="L8" i="26"/>
  <c r="RE8" i="26"/>
  <c r="MT10" i="26"/>
  <c r="PA10" i="26"/>
  <c r="RB10" i="26"/>
  <c r="QZ9" i="26"/>
  <c r="QZ10" i="26"/>
  <c r="EG9" i="26"/>
  <c r="EG10" i="26"/>
  <c r="ED9" i="26"/>
  <c r="QC10" i="26"/>
  <c r="NY10" i="26"/>
  <c r="MW10" i="26"/>
  <c r="KP10" i="26"/>
  <c r="IO10" i="26"/>
  <c r="GK10" i="26"/>
  <c r="P10" i="26"/>
  <c r="Q10" i="26" s="1"/>
  <c r="RA10" i="26"/>
  <c r="L10" i="26"/>
  <c r="M10" i="26" s="1"/>
  <c r="RD10" i="26"/>
  <c r="I10" i="26"/>
  <c r="H10" i="26"/>
  <c r="N10" i="26"/>
  <c r="KS10" i="26"/>
  <c r="RE10" i="26"/>
  <c r="DC10" i="26"/>
  <c r="MT9" i="26"/>
  <c r="RB9" i="26"/>
  <c r="PA9" i="26"/>
  <c r="QC9" i="26"/>
  <c r="NY9" i="26"/>
  <c r="MW9" i="26"/>
  <c r="KS9" i="26"/>
  <c r="IO9" i="26"/>
  <c r="IL9" i="26"/>
  <c r="GK9" i="26"/>
  <c r="P9" i="26"/>
  <c r="Q9" i="26" s="1"/>
  <c r="DC9" i="26"/>
  <c r="RA9" i="26"/>
  <c r="RD9" i="26"/>
  <c r="I9" i="26"/>
  <c r="H9" i="26"/>
  <c r="N9" i="26"/>
  <c r="L9" i="26"/>
  <c r="RE9" i="26"/>
  <c r="KP9" i="26"/>
  <c r="TN14" i="22"/>
  <c r="DA14" i="22"/>
  <c r="GT10" i="22"/>
  <c r="HA10" i="22" s="1"/>
  <c r="TU14" i="22"/>
  <c r="P14" i="22"/>
  <c r="Q14" i="22" s="1"/>
  <c r="H14" i="22"/>
  <c r="N14" i="22"/>
  <c r="T14" i="22"/>
  <c r="U14" i="22" s="1"/>
  <c r="R14" i="22"/>
  <c r="S14" i="22" s="1"/>
  <c r="L14" i="22"/>
  <c r="K14" i="22"/>
  <c r="I14" i="22"/>
  <c r="TN10" i="22"/>
  <c r="NO10" i="22"/>
  <c r="TU10" i="22"/>
  <c r="N10" i="22"/>
  <c r="O10" i="22" s="1"/>
  <c r="H10" i="22"/>
  <c r="K10" i="22"/>
  <c r="I10" i="22"/>
  <c r="T10" i="22"/>
  <c r="U10" i="22" s="1"/>
  <c r="R10" i="22"/>
  <c r="S10" i="22" s="1"/>
  <c r="P10" i="22"/>
  <c r="L10" i="22"/>
  <c r="N16" i="4"/>
  <c r="O16" i="4" s="1"/>
  <c r="TU16" i="4"/>
  <c r="R16" i="4"/>
  <c r="S16" i="4" s="1"/>
  <c r="H16" i="4"/>
  <c r="K16" i="4"/>
  <c r="T16" i="4"/>
  <c r="U16" i="4" s="1"/>
  <c r="P16" i="4"/>
  <c r="L16" i="4"/>
  <c r="I16" i="4"/>
  <c r="N11" i="4"/>
  <c r="O11" i="4" s="1"/>
  <c r="TU11" i="4"/>
  <c r="R11" i="4"/>
  <c r="S11" i="4" s="1"/>
  <c r="I11" i="4"/>
  <c r="H11" i="4"/>
  <c r="T11" i="4"/>
  <c r="U11" i="4" s="1"/>
  <c r="P11" i="4"/>
  <c r="K11" i="4"/>
  <c r="L11" i="4"/>
  <c r="R20" i="26" l="1"/>
  <c r="R11" i="21"/>
  <c r="R20" i="21"/>
  <c r="R21" i="21"/>
  <c r="R35" i="21"/>
  <c r="A27" i="21" a="1"/>
  <c r="A27" i="21" s="1"/>
  <c r="B27" i="21" a="1"/>
  <c r="B27" i="21" s="1"/>
  <c r="F27" i="21"/>
  <c r="R16" i="27"/>
  <c r="K16" i="21"/>
  <c r="J16" i="21" s="1"/>
  <c r="B16" i="21" s="1" a="1"/>
  <c r="B16" i="21" s="1"/>
  <c r="F21" i="21"/>
  <c r="F11" i="21"/>
  <c r="F35" i="21"/>
  <c r="B20" i="21" a="1"/>
  <c r="B20" i="21" s="1"/>
  <c r="A20" i="21" a="1"/>
  <c r="A20" i="21" s="1"/>
  <c r="B24" i="21" a="1"/>
  <c r="B24" i="21" s="1"/>
  <c r="R24" i="21"/>
  <c r="F24" i="21" s="1"/>
  <c r="B35" i="21" a="1"/>
  <c r="B35" i="21" s="1"/>
  <c r="A35" i="21" a="1"/>
  <c r="A35" i="21" s="1"/>
  <c r="A21" i="21" a="1"/>
  <c r="A21" i="21" s="1"/>
  <c r="B21" i="21" a="1"/>
  <c r="B21" i="21" s="1"/>
  <c r="K7" i="21"/>
  <c r="J7" i="21" s="1"/>
  <c r="R33" i="19"/>
  <c r="R27" i="19"/>
  <c r="A27" i="19" a="1"/>
  <c r="A27" i="19" s="1"/>
  <c r="B27" i="19" a="1"/>
  <c r="B27" i="19" s="1"/>
  <c r="B28" i="19" a="1"/>
  <c r="B28" i="19" s="1"/>
  <c r="R28" i="19"/>
  <c r="R29" i="19"/>
  <c r="F29" i="19" s="1"/>
  <c r="B29" i="19" a="1"/>
  <c r="B29" i="19" s="1"/>
  <c r="B33" i="19" a="1"/>
  <c r="B33" i="19" s="1"/>
  <c r="R19" i="27"/>
  <c r="F16" i="27"/>
  <c r="A16" i="27" a="1"/>
  <c r="A16" i="27" s="1"/>
  <c r="B16" i="27" a="1"/>
  <c r="B16" i="27" s="1"/>
  <c r="A19" i="27" a="1"/>
  <c r="A19" i="27" s="1"/>
  <c r="B19" i="27" a="1"/>
  <c r="B19" i="27" s="1"/>
  <c r="F20" i="26"/>
  <c r="F19" i="26"/>
  <c r="K9" i="21"/>
  <c r="J9" i="21" s="1"/>
  <c r="Q9" i="21"/>
  <c r="TR14" i="22"/>
  <c r="TV14" i="22" s="1"/>
  <c r="TR16" i="4"/>
  <c r="TV16" i="4" s="1"/>
  <c r="RC16" i="21"/>
  <c r="K13" i="19"/>
  <c r="J13" i="19" s="1"/>
  <c r="RC9" i="27"/>
  <c r="K17" i="27"/>
  <c r="TR11" i="4"/>
  <c r="TV11" i="4" s="1"/>
  <c r="K12" i="19"/>
  <c r="J12" i="19" s="1"/>
  <c r="RC14" i="19"/>
  <c r="K22" i="19"/>
  <c r="J22" i="19" s="1"/>
  <c r="RC17" i="27"/>
  <c r="K9" i="27"/>
  <c r="J9" i="27" s="1"/>
  <c r="K8" i="26"/>
  <c r="J8" i="26" s="1"/>
  <c r="DE10" i="26"/>
  <c r="Q8" i="26"/>
  <c r="TR10" i="22"/>
  <c r="TV10" i="22" s="1"/>
  <c r="DE16" i="21"/>
  <c r="RF9" i="21"/>
  <c r="RC22" i="19"/>
  <c r="RC13" i="19"/>
  <c r="DE22" i="19"/>
  <c r="RF22" i="19"/>
  <c r="RC12" i="19"/>
  <c r="DE17" i="27"/>
  <c r="RC8" i="26"/>
  <c r="RF8" i="26"/>
  <c r="K10" i="26"/>
  <c r="J10" i="26" s="1"/>
  <c r="RF16" i="21"/>
  <c r="DD16" i="21"/>
  <c r="O16" i="21"/>
  <c r="M16" i="21"/>
  <c r="RC9" i="21"/>
  <c r="DD9" i="21"/>
  <c r="R9" i="21" s="1"/>
  <c r="O9" i="21"/>
  <c r="M9" i="21"/>
  <c r="DE7" i="21"/>
  <c r="RC7" i="21"/>
  <c r="RF7" i="21"/>
  <c r="DD7" i="21"/>
  <c r="O7" i="21"/>
  <c r="M7" i="21"/>
  <c r="DD22" i="19"/>
  <c r="O22" i="19"/>
  <c r="M22" i="19"/>
  <c r="DE12" i="19"/>
  <c r="DE14" i="19"/>
  <c r="DE13" i="19"/>
  <c r="RF13" i="19"/>
  <c r="DD13" i="19"/>
  <c r="O13" i="19"/>
  <c r="M13" i="19"/>
  <c r="RC4" i="19"/>
  <c r="RF12" i="19"/>
  <c r="K14" i="19"/>
  <c r="J14" i="19" s="1"/>
  <c r="DD12" i="19"/>
  <c r="O12" i="19"/>
  <c r="M12" i="19"/>
  <c r="K4" i="19"/>
  <c r="J4" i="19" s="1"/>
  <c r="RF14" i="19"/>
  <c r="DD14" i="19"/>
  <c r="O14" i="19"/>
  <c r="M14" i="19"/>
  <c r="DE4" i="19"/>
  <c r="RF4" i="19"/>
  <c r="DD4" i="19"/>
  <c r="O4" i="19"/>
  <c r="M4" i="19"/>
  <c r="J17" i="27"/>
  <c r="RF17" i="27"/>
  <c r="DD17" i="27"/>
  <c r="O17" i="27"/>
  <c r="M17" i="27"/>
  <c r="DE9" i="27"/>
  <c r="RF9" i="27"/>
  <c r="DD9" i="27"/>
  <c r="O9" i="27"/>
  <c r="M9" i="27"/>
  <c r="DD8" i="26"/>
  <c r="O8" i="26"/>
  <c r="M8" i="26"/>
  <c r="RC10" i="26"/>
  <c r="RC9" i="26"/>
  <c r="RF10" i="26"/>
  <c r="DD10" i="26"/>
  <c r="O10" i="26"/>
  <c r="RF9" i="26"/>
  <c r="DE9" i="26"/>
  <c r="DD9" i="26"/>
  <c r="O9" i="26"/>
  <c r="M9" i="26"/>
  <c r="K9" i="26"/>
  <c r="J9" i="26" s="1"/>
  <c r="DC14" i="22"/>
  <c r="J14" i="22"/>
  <c r="A14" i="22" s="1" a="1"/>
  <c r="A14" i="22" s="1"/>
  <c r="M14" i="22"/>
  <c r="DB14" i="22"/>
  <c r="O14" i="22"/>
  <c r="J10" i="22"/>
  <c r="B10" i="22" s="1" a="1"/>
  <c r="B10" i="22" s="1"/>
  <c r="M10" i="22"/>
  <c r="Q10" i="22"/>
  <c r="DC10" i="22"/>
  <c r="DB10" i="22"/>
  <c r="J16" i="4"/>
  <c r="A16" i="4" s="1" a="1"/>
  <c r="A16" i="4" s="1"/>
  <c r="M16" i="4"/>
  <c r="Q16" i="4"/>
  <c r="DC16" i="4"/>
  <c r="DB16" i="4"/>
  <c r="M11" i="4"/>
  <c r="J11" i="4"/>
  <c r="Q11" i="4"/>
  <c r="DC11" i="4"/>
  <c r="DB11" i="4"/>
  <c r="F20" i="21" l="1"/>
  <c r="F27" i="19"/>
  <c r="F33" i="19"/>
  <c r="F19" i="27"/>
  <c r="F28" i="19"/>
  <c r="A16" i="21" a="1"/>
  <c r="A16" i="21" s="1"/>
  <c r="R16" i="21"/>
  <c r="R22" i="19"/>
  <c r="V14" i="22"/>
  <c r="W14" i="22" s="1"/>
  <c r="R17" i="27"/>
  <c r="R8" i="26"/>
  <c r="R9" i="26"/>
  <c r="R7" i="21"/>
  <c r="F7" i="21" s="1"/>
  <c r="R12" i="19"/>
  <c r="R9" i="27"/>
  <c r="V10" i="22"/>
  <c r="X10" i="22" s="1"/>
  <c r="V11" i="4"/>
  <c r="W11" i="4" s="1"/>
  <c r="F9" i="21"/>
  <c r="R13" i="19"/>
  <c r="R14" i="19"/>
  <c r="R4" i="19"/>
  <c r="F4" i="19" s="1"/>
  <c r="R10" i="26"/>
  <c r="B14" i="22" a="1"/>
  <c r="B14" i="22" s="1"/>
  <c r="A10" i="22" a="1"/>
  <c r="A10" i="22" s="1"/>
  <c r="V16" i="4"/>
  <c r="X16" i="4" s="1"/>
  <c r="B16" i="4" a="1"/>
  <c r="B16" i="4" s="1"/>
  <c r="F16" i="4"/>
  <c r="W16" i="4"/>
  <c r="F17" i="27" l="1"/>
  <c r="F14" i="22"/>
  <c r="X14" i="22"/>
  <c r="F22" i="19"/>
  <c r="F8" i="26"/>
  <c r="F11" i="4"/>
  <c r="F16" i="21"/>
  <c r="F10" i="22"/>
  <c r="F12" i="19"/>
  <c r="F13" i="19"/>
  <c r="F9" i="26"/>
  <c r="W10" i="22"/>
  <c r="F9" i="27"/>
  <c r="X11" i="4"/>
  <c r="F10" i="26"/>
  <c r="F14" i="19"/>
  <c r="OZ17" i="21" l="1"/>
  <c r="OY17" i="21"/>
  <c r="OW17" i="21"/>
  <c r="OV17" i="21"/>
  <c r="OU17" i="21"/>
  <c r="OT17" i="21"/>
  <c r="OZ33" i="21"/>
  <c r="OY33" i="21"/>
  <c r="OW33" i="21"/>
  <c r="OV33" i="21"/>
  <c r="OU33" i="21"/>
  <c r="OT33" i="21"/>
  <c r="OZ30" i="21"/>
  <c r="OY30" i="21"/>
  <c r="OW30" i="21"/>
  <c r="OV30" i="21"/>
  <c r="OU30" i="21"/>
  <c r="OT30" i="21"/>
  <c r="OZ31" i="21"/>
  <c r="OY31" i="21"/>
  <c r="OW31" i="21"/>
  <c r="OV31" i="21"/>
  <c r="OU31" i="21"/>
  <c r="OT31" i="21"/>
  <c r="OZ34" i="21"/>
  <c r="OY34" i="21"/>
  <c r="OW34" i="21"/>
  <c r="OV34" i="21"/>
  <c r="OU34" i="21"/>
  <c r="OT34" i="21"/>
  <c r="OZ32" i="21"/>
  <c r="OY32" i="21"/>
  <c r="OW32" i="21"/>
  <c r="OV32" i="21"/>
  <c r="OU32" i="21"/>
  <c r="OT32" i="21"/>
  <c r="OZ13" i="21"/>
  <c r="OY13" i="21"/>
  <c r="OW13" i="21"/>
  <c r="OV13" i="21"/>
  <c r="OU13" i="21"/>
  <c r="OT13" i="21"/>
  <c r="OZ25" i="21"/>
  <c r="OY25" i="21"/>
  <c r="OW25" i="21"/>
  <c r="OV25" i="21"/>
  <c r="OU25" i="21"/>
  <c r="OT25" i="21"/>
  <c r="OZ26" i="21"/>
  <c r="OY26" i="21"/>
  <c r="OW26" i="21"/>
  <c r="OV26" i="21"/>
  <c r="OU26" i="21"/>
  <c r="OT26" i="21"/>
  <c r="OZ18" i="21"/>
  <c r="OY18" i="21"/>
  <c r="OW18" i="21"/>
  <c r="OV18" i="21"/>
  <c r="OU18" i="21"/>
  <c r="OT18" i="21"/>
  <c r="OZ22" i="21"/>
  <c r="OY22" i="21"/>
  <c r="OW22" i="21"/>
  <c r="OV22" i="21"/>
  <c r="OU22" i="21"/>
  <c r="OT22" i="21"/>
  <c r="OZ19" i="21"/>
  <c r="OY19" i="21"/>
  <c r="OW19" i="21"/>
  <c r="OV19" i="21"/>
  <c r="OU19" i="21"/>
  <c r="OT19" i="21"/>
  <c r="OZ29" i="21"/>
  <c r="OY29" i="21"/>
  <c r="OW29" i="21"/>
  <c r="OV29" i="21"/>
  <c r="OU29" i="21"/>
  <c r="OT29" i="21"/>
  <c r="OZ12" i="21"/>
  <c r="OY12" i="21"/>
  <c r="OW12" i="21"/>
  <c r="OV12" i="21"/>
  <c r="OU12" i="21"/>
  <c r="OT12" i="21"/>
  <c r="OZ28" i="21"/>
  <c r="OY28" i="21"/>
  <c r="OW28" i="21"/>
  <c r="OV28" i="21"/>
  <c r="OU28" i="21"/>
  <c r="OT28" i="21"/>
  <c r="OZ15" i="21"/>
  <c r="OY15" i="21"/>
  <c r="OW15" i="21"/>
  <c r="OV15" i="21"/>
  <c r="OU15" i="21"/>
  <c r="OT15" i="21"/>
  <c r="OZ23" i="21"/>
  <c r="OY23" i="21"/>
  <c r="OW23" i="21"/>
  <c r="OV23" i="21"/>
  <c r="OU23" i="21"/>
  <c r="OT23" i="21"/>
  <c r="OZ14" i="21"/>
  <c r="OY14" i="21"/>
  <c r="OW14" i="21"/>
  <c r="OV14" i="21"/>
  <c r="OU14" i="21"/>
  <c r="OT14" i="21"/>
  <c r="OZ10" i="21"/>
  <c r="OY10" i="21"/>
  <c r="OW10" i="21"/>
  <c r="OV10" i="21"/>
  <c r="OU10" i="21"/>
  <c r="OT10" i="21"/>
  <c r="OZ5" i="21"/>
  <c r="OY5" i="21"/>
  <c r="OW5" i="21"/>
  <c r="OV5" i="21"/>
  <c r="OU5" i="21"/>
  <c r="OT5" i="21"/>
  <c r="OZ8" i="21"/>
  <c r="OY8" i="21"/>
  <c r="OW8" i="21"/>
  <c r="OV8" i="21"/>
  <c r="OU8" i="21"/>
  <c r="OT8" i="21"/>
  <c r="OZ6" i="21"/>
  <c r="OY6" i="21"/>
  <c r="OW6" i="21"/>
  <c r="OV6" i="21"/>
  <c r="OU6" i="21"/>
  <c r="OT6" i="21"/>
  <c r="OZ4" i="21"/>
  <c r="OY4" i="21"/>
  <c r="OW4" i="21"/>
  <c r="OV4" i="21"/>
  <c r="OU4" i="21"/>
  <c r="OT4" i="21"/>
  <c r="NX17" i="21"/>
  <c r="NW17" i="21"/>
  <c r="NU17" i="21"/>
  <c r="NT17" i="21"/>
  <c r="NS17" i="21"/>
  <c r="NR17" i="21"/>
  <c r="NX33" i="21"/>
  <c r="NW33" i="21"/>
  <c r="NU33" i="21"/>
  <c r="NT33" i="21"/>
  <c r="NS33" i="21"/>
  <c r="NR33" i="21"/>
  <c r="NX30" i="21"/>
  <c r="NW30" i="21"/>
  <c r="NU30" i="21"/>
  <c r="NT30" i="21"/>
  <c r="NS30" i="21"/>
  <c r="NR30" i="21"/>
  <c r="NX31" i="21"/>
  <c r="NW31" i="21"/>
  <c r="NU31" i="21"/>
  <c r="NT31" i="21"/>
  <c r="NS31" i="21"/>
  <c r="NR31" i="21"/>
  <c r="NX34" i="21"/>
  <c r="NW34" i="21"/>
  <c r="NU34" i="21"/>
  <c r="NT34" i="21"/>
  <c r="NS34" i="21"/>
  <c r="NR34" i="21"/>
  <c r="NX32" i="21"/>
  <c r="NW32" i="21"/>
  <c r="NU32" i="21"/>
  <c r="NT32" i="21"/>
  <c r="NS32" i="21"/>
  <c r="NR32" i="21"/>
  <c r="NX13" i="21"/>
  <c r="NW13" i="21"/>
  <c r="NU13" i="21"/>
  <c r="NT13" i="21"/>
  <c r="NS13" i="21"/>
  <c r="NR13" i="21"/>
  <c r="NX25" i="21"/>
  <c r="NW25" i="21"/>
  <c r="NU25" i="21"/>
  <c r="NT25" i="21"/>
  <c r="NS25" i="21"/>
  <c r="NR25" i="21"/>
  <c r="NX26" i="21"/>
  <c r="NW26" i="21"/>
  <c r="NU26" i="21"/>
  <c r="NT26" i="21"/>
  <c r="NS26" i="21"/>
  <c r="NR26" i="21"/>
  <c r="NX18" i="21"/>
  <c r="NW18" i="21"/>
  <c r="NU18" i="21"/>
  <c r="NT18" i="21"/>
  <c r="NS18" i="21"/>
  <c r="NR18" i="21"/>
  <c r="NX22" i="21"/>
  <c r="NW22" i="21"/>
  <c r="NU22" i="21"/>
  <c r="NT22" i="21"/>
  <c r="NS22" i="21"/>
  <c r="NR22" i="21"/>
  <c r="NX19" i="21"/>
  <c r="NW19" i="21"/>
  <c r="NU19" i="21"/>
  <c r="NT19" i="21"/>
  <c r="NS19" i="21"/>
  <c r="NR19" i="21"/>
  <c r="NX29" i="21"/>
  <c r="NW29" i="21"/>
  <c r="NU29" i="21"/>
  <c r="NT29" i="21"/>
  <c r="NS29" i="21"/>
  <c r="NR29" i="21"/>
  <c r="NX12" i="21"/>
  <c r="NW12" i="21"/>
  <c r="NU12" i="21"/>
  <c r="NT12" i="21"/>
  <c r="NS12" i="21"/>
  <c r="NR12" i="21"/>
  <c r="NX28" i="21"/>
  <c r="NW28" i="21"/>
  <c r="NU28" i="21"/>
  <c r="NT28" i="21"/>
  <c r="NS28" i="21"/>
  <c r="NR28" i="21"/>
  <c r="NX15" i="21"/>
  <c r="NW15" i="21"/>
  <c r="NU15" i="21"/>
  <c r="NT15" i="21"/>
  <c r="NS15" i="21"/>
  <c r="NR15" i="21"/>
  <c r="NX23" i="21"/>
  <c r="NW23" i="21"/>
  <c r="NU23" i="21"/>
  <c r="NT23" i="21"/>
  <c r="NS23" i="21"/>
  <c r="NR23" i="21"/>
  <c r="NX14" i="21"/>
  <c r="NW14" i="21"/>
  <c r="NU14" i="21"/>
  <c r="NT14" i="21"/>
  <c r="NS14" i="21"/>
  <c r="NR14" i="21"/>
  <c r="NX10" i="21"/>
  <c r="NW10" i="21"/>
  <c r="NU10" i="21"/>
  <c r="NT10" i="21"/>
  <c r="NS10" i="21"/>
  <c r="NR10" i="21"/>
  <c r="NX5" i="21"/>
  <c r="NW5" i="21"/>
  <c r="NU5" i="21"/>
  <c r="NT5" i="21"/>
  <c r="NS5" i="21"/>
  <c r="NR5" i="21"/>
  <c r="NX8" i="21"/>
  <c r="NW8" i="21"/>
  <c r="NU8" i="21"/>
  <c r="NT8" i="21"/>
  <c r="NS8" i="21"/>
  <c r="NR8" i="21"/>
  <c r="NX6" i="21"/>
  <c r="NW6" i="21"/>
  <c r="NU6" i="21"/>
  <c r="NT6" i="21"/>
  <c r="NS6" i="21"/>
  <c r="NR6" i="21"/>
  <c r="NX4" i="21"/>
  <c r="NW4" i="21"/>
  <c r="NU4" i="21"/>
  <c r="NT4" i="21"/>
  <c r="NS4" i="21"/>
  <c r="NR4" i="21"/>
  <c r="MV17" i="21"/>
  <c r="MU17" i="21"/>
  <c r="MS17" i="21"/>
  <c r="MR17" i="21"/>
  <c r="MQ17" i="21"/>
  <c r="MP17" i="21"/>
  <c r="MV33" i="21"/>
  <c r="MU33" i="21"/>
  <c r="MS33" i="21"/>
  <c r="MR33" i="21"/>
  <c r="MQ33" i="21"/>
  <c r="MP33" i="21"/>
  <c r="MV30" i="21"/>
  <c r="MU30" i="21"/>
  <c r="MS30" i="21"/>
  <c r="MR30" i="21"/>
  <c r="MQ30" i="21"/>
  <c r="MP30" i="21"/>
  <c r="MV31" i="21"/>
  <c r="MU31" i="21"/>
  <c r="MS31" i="21"/>
  <c r="MR31" i="21"/>
  <c r="MQ31" i="21"/>
  <c r="MP31" i="21"/>
  <c r="MV34" i="21"/>
  <c r="MU34" i="21"/>
  <c r="MS34" i="21"/>
  <c r="MR34" i="21"/>
  <c r="MQ34" i="21"/>
  <c r="MP34" i="21"/>
  <c r="MV32" i="21"/>
  <c r="MU32" i="21"/>
  <c r="MS32" i="21"/>
  <c r="MR32" i="21"/>
  <c r="MQ32" i="21"/>
  <c r="MP32" i="21"/>
  <c r="MV13" i="21"/>
  <c r="MU13" i="21"/>
  <c r="MS13" i="21"/>
  <c r="MR13" i="21"/>
  <c r="MQ13" i="21"/>
  <c r="MP13" i="21"/>
  <c r="MV25" i="21"/>
  <c r="MU25" i="21"/>
  <c r="MS25" i="21"/>
  <c r="MR25" i="21"/>
  <c r="MQ25" i="21"/>
  <c r="MP25" i="21"/>
  <c r="MV26" i="21"/>
  <c r="MU26" i="21"/>
  <c r="MS26" i="21"/>
  <c r="MR26" i="21"/>
  <c r="MQ26" i="21"/>
  <c r="MP26" i="21"/>
  <c r="MV18" i="21"/>
  <c r="MU18" i="21"/>
  <c r="MS18" i="21"/>
  <c r="MR18" i="21"/>
  <c r="MQ18" i="21"/>
  <c r="MP18" i="21"/>
  <c r="MV22" i="21"/>
  <c r="MU22" i="21"/>
  <c r="MS22" i="21"/>
  <c r="MR22" i="21"/>
  <c r="MQ22" i="21"/>
  <c r="MP22" i="21"/>
  <c r="MV19" i="21"/>
  <c r="MU19" i="21"/>
  <c r="MS19" i="21"/>
  <c r="MR19" i="21"/>
  <c r="MQ19" i="21"/>
  <c r="MP19" i="21"/>
  <c r="MV29" i="21"/>
  <c r="MU29" i="21"/>
  <c r="MS29" i="21"/>
  <c r="MR29" i="21"/>
  <c r="MQ29" i="21"/>
  <c r="MP29" i="21"/>
  <c r="MV12" i="21"/>
  <c r="MU12" i="21"/>
  <c r="MS12" i="21"/>
  <c r="MR12" i="21"/>
  <c r="MQ12" i="21"/>
  <c r="MP12" i="21"/>
  <c r="MV28" i="21"/>
  <c r="MU28" i="21"/>
  <c r="MS28" i="21"/>
  <c r="MR28" i="21"/>
  <c r="MQ28" i="21"/>
  <c r="MP28" i="21"/>
  <c r="MV15" i="21"/>
  <c r="MU15" i="21"/>
  <c r="MS15" i="21"/>
  <c r="MR15" i="21"/>
  <c r="MQ15" i="21"/>
  <c r="MP15" i="21"/>
  <c r="MV23" i="21"/>
  <c r="MU23" i="21"/>
  <c r="MS23" i="21"/>
  <c r="MR23" i="21"/>
  <c r="MQ23" i="21"/>
  <c r="MP23" i="21"/>
  <c r="MV14" i="21"/>
  <c r="MU14" i="21"/>
  <c r="MS14" i="21"/>
  <c r="MR14" i="21"/>
  <c r="MQ14" i="21"/>
  <c r="MP14" i="21"/>
  <c r="MV10" i="21"/>
  <c r="MU10" i="21"/>
  <c r="MS10" i="21"/>
  <c r="MR10" i="21"/>
  <c r="MQ10" i="21"/>
  <c r="MP10" i="21"/>
  <c r="MV5" i="21"/>
  <c r="MU5" i="21"/>
  <c r="MS5" i="21"/>
  <c r="MR5" i="21"/>
  <c r="MQ5" i="21"/>
  <c r="MP5" i="21"/>
  <c r="MV8" i="21"/>
  <c r="MU8" i="21"/>
  <c r="MS8" i="21"/>
  <c r="MR8" i="21"/>
  <c r="MQ8" i="21"/>
  <c r="MP8" i="21"/>
  <c r="MV6" i="21"/>
  <c r="MU6" i="21"/>
  <c r="MS6" i="21"/>
  <c r="MR6" i="21"/>
  <c r="MQ6" i="21"/>
  <c r="MP6" i="21"/>
  <c r="MV4" i="21"/>
  <c r="MU4" i="21"/>
  <c r="MS4" i="21"/>
  <c r="MR4" i="21"/>
  <c r="MQ4" i="21"/>
  <c r="MP4" i="21"/>
  <c r="LT17" i="21"/>
  <c r="LS17" i="21"/>
  <c r="LQ17" i="21"/>
  <c r="LP17" i="21"/>
  <c r="LO17" i="21"/>
  <c r="LN17" i="21"/>
  <c r="LT33" i="21"/>
  <c r="LS33" i="21"/>
  <c r="LQ33" i="21"/>
  <c r="LP33" i="21"/>
  <c r="LO33" i="21"/>
  <c r="LN33" i="21"/>
  <c r="LT30" i="21"/>
  <c r="LS30" i="21"/>
  <c r="LQ30" i="21"/>
  <c r="LP30" i="21"/>
  <c r="LO30" i="21"/>
  <c r="LN30" i="21"/>
  <c r="LT31" i="21"/>
  <c r="LS31" i="21"/>
  <c r="LQ31" i="21"/>
  <c r="LP31" i="21"/>
  <c r="LO31" i="21"/>
  <c r="LN31" i="21"/>
  <c r="LT34" i="21"/>
  <c r="LS34" i="21"/>
  <c r="LQ34" i="21"/>
  <c r="LP34" i="21"/>
  <c r="LO34" i="21"/>
  <c r="LN34" i="21"/>
  <c r="LT32" i="21"/>
  <c r="LS32" i="21"/>
  <c r="LQ32" i="21"/>
  <c r="LP32" i="21"/>
  <c r="LO32" i="21"/>
  <c r="LN32" i="21"/>
  <c r="LT13" i="21"/>
  <c r="LS13" i="21"/>
  <c r="LQ13" i="21"/>
  <c r="LP13" i="21"/>
  <c r="LO13" i="21"/>
  <c r="LN13" i="21"/>
  <c r="LT25" i="21"/>
  <c r="LS25" i="21"/>
  <c r="LQ25" i="21"/>
  <c r="LP25" i="21"/>
  <c r="LO25" i="21"/>
  <c r="LN25" i="21"/>
  <c r="LT26" i="21"/>
  <c r="LS26" i="21"/>
  <c r="LQ26" i="21"/>
  <c r="LP26" i="21"/>
  <c r="LO26" i="21"/>
  <c r="LN26" i="21"/>
  <c r="LT18" i="21"/>
  <c r="LS18" i="21"/>
  <c r="LQ18" i="21"/>
  <c r="LP18" i="21"/>
  <c r="LO18" i="21"/>
  <c r="LN18" i="21"/>
  <c r="LT22" i="21"/>
  <c r="LS22" i="21"/>
  <c r="LQ22" i="21"/>
  <c r="LP22" i="21"/>
  <c r="LO22" i="21"/>
  <c r="LN22" i="21"/>
  <c r="LT19" i="21"/>
  <c r="LS19" i="21"/>
  <c r="LQ19" i="21"/>
  <c r="LP19" i="21"/>
  <c r="LO19" i="21"/>
  <c r="LN19" i="21"/>
  <c r="LT29" i="21"/>
  <c r="LS29" i="21"/>
  <c r="LQ29" i="21"/>
  <c r="LP29" i="21"/>
  <c r="LO29" i="21"/>
  <c r="LN29" i="21"/>
  <c r="LT12" i="21"/>
  <c r="LS12" i="21"/>
  <c r="LQ12" i="21"/>
  <c r="LP12" i="21"/>
  <c r="LO12" i="21"/>
  <c r="LN12" i="21"/>
  <c r="LT28" i="21"/>
  <c r="LS28" i="21"/>
  <c r="LQ28" i="21"/>
  <c r="LP28" i="21"/>
  <c r="LO28" i="21"/>
  <c r="LN28" i="21"/>
  <c r="LT15" i="21"/>
  <c r="LS15" i="21"/>
  <c r="LQ15" i="21"/>
  <c r="LP15" i="21"/>
  <c r="LO15" i="21"/>
  <c r="LN15" i="21"/>
  <c r="LT23" i="21"/>
  <c r="LS23" i="21"/>
  <c r="LQ23" i="21"/>
  <c r="LP23" i="21"/>
  <c r="LO23" i="21"/>
  <c r="LN23" i="21"/>
  <c r="LT14" i="21"/>
  <c r="LS14" i="21"/>
  <c r="LQ14" i="21"/>
  <c r="LP14" i="21"/>
  <c r="LO14" i="21"/>
  <c r="LN14" i="21"/>
  <c r="LT10" i="21"/>
  <c r="LS10" i="21"/>
  <c r="LQ10" i="21"/>
  <c r="LP10" i="21"/>
  <c r="LO10" i="21"/>
  <c r="LN10" i="21"/>
  <c r="LT5" i="21"/>
  <c r="LS5" i="21"/>
  <c r="LQ5" i="21"/>
  <c r="LP5" i="21"/>
  <c r="LO5" i="21"/>
  <c r="LN5" i="21"/>
  <c r="LT8" i="21"/>
  <c r="LS8" i="21"/>
  <c r="LQ8" i="21"/>
  <c r="LP8" i="21"/>
  <c r="LO8" i="21"/>
  <c r="LN8" i="21"/>
  <c r="LT6" i="21"/>
  <c r="LS6" i="21"/>
  <c r="LQ6" i="21"/>
  <c r="LP6" i="21"/>
  <c r="LO6" i="21"/>
  <c r="LN6" i="21"/>
  <c r="LT4" i="21"/>
  <c r="LS4" i="21"/>
  <c r="LQ4" i="21"/>
  <c r="LP4" i="21"/>
  <c r="LO4" i="21"/>
  <c r="LN4" i="21"/>
  <c r="KR17" i="21"/>
  <c r="KQ17" i="21"/>
  <c r="KO17" i="21"/>
  <c r="KN17" i="21"/>
  <c r="KM17" i="21"/>
  <c r="KL17" i="21"/>
  <c r="KR33" i="21"/>
  <c r="KQ33" i="21"/>
  <c r="KO33" i="21"/>
  <c r="KN33" i="21"/>
  <c r="KM33" i="21"/>
  <c r="KL33" i="21"/>
  <c r="KR30" i="21"/>
  <c r="KQ30" i="21"/>
  <c r="KO30" i="21"/>
  <c r="KN30" i="21"/>
  <c r="KM30" i="21"/>
  <c r="KL30" i="21"/>
  <c r="KR31" i="21"/>
  <c r="KQ31" i="21"/>
  <c r="KO31" i="21"/>
  <c r="KN31" i="21"/>
  <c r="KM31" i="21"/>
  <c r="KL31" i="21"/>
  <c r="KR34" i="21"/>
  <c r="KQ34" i="21"/>
  <c r="KO34" i="21"/>
  <c r="KN34" i="21"/>
  <c r="KM34" i="21"/>
  <c r="KL34" i="21"/>
  <c r="KR32" i="21"/>
  <c r="KQ32" i="21"/>
  <c r="KO32" i="21"/>
  <c r="KN32" i="21"/>
  <c r="KM32" i="21"/>
  <c r="KL32" i="21"/>
  <c r="KR13" i="21"/>
  <c r="KQ13" i="21"/>
  <c r="KO13" i="21"/>
  <c r="KN13" i="21"/>
  <c r="KM13" i="21"/>
  <c r="KL13" i="21"/>
  <c r="KR25" i="21"/>
  <c r="KQ25" i="21"/>
  <c r="KO25" i="21"/>
  <c r="KN25" i="21"/>
  <c r="KM25" i="21"/>
  <c r="KL25" i="21"/>
  <c r="KR26" i="21"/>
  <c r="KQ26" i="21"/>
  <c r="KO26" i="21"/>
  <c r="KN26" i="21"/>
  <c r="KM26" i="21"/>
  <c r="KL26" i="21"/>
  <c r="KR18" i="21"/>
  <c r="KQ18" i="21"/>
  <c r="KO18" i="21"/>
  <c r="KN18" i="21"/>
  <c r="KM18" i="21"/>
  <c r="KL18" i="21"/>
  <c r="KR22" i="21"/>
  <c r="KQ22" i="21"/>
  <c r="KO22" i="21"/>
  <c r="KN22" i="21"/>
  <c r="KM22" i="21"/>
  <c r="KL22" i="21"/>
  <c r="KR19" i="21"/>
  <c r="KQ19" i="21"/>
  <c r="KO19" i="21"/>
  <c r="KN19" i="21"/>
  <c r="KM19" i="21"/>
  <c r="KL19" i="21"/>
  <c r="KR29" i="21"/>
  <c r="KQ29" i="21"/>
  <c r="KO29" i="21"/>
  <c r="KN29" i="21"/>
  <c r="KM29" i="21"/>
  <c r="KL29" i="21"/>
  <c r="KR12" i="21"/>
  <c r="KQ12" i="21"/>
  <c r="KO12" i="21"/>
  <c r="KN12" i="21"/>
  <c r="KM12" i="21"/>
  <c r="KL12" i="21"/>
  <c r="KR28" i="21"/>
  <c r="KQ28" i="21"/>
  <c r="KO28" i="21"/>
  <c r="KN28" i="21"/>
  <c r="KM28" i="21"/>
  <c r="KL28" i="21"/>
  <c r="KR15" i="21"/>
  <c r="KQ15" i="21"/>
  <c r="KO15" i="21"/>
  <c r="KN15" i="21"/>
  <c r="KM15" i="21"/>
  <c r="KL15" i="21"/>
  <c r="KR23" i="21"/>
  <c r="KQ23" i="21"/>
  <c r="KO23" i="21"/>
  <c r="KN23" i="21"/>
  <c r="KM23" i="21"/>
  <c r="KL23" i="21"/>
  <c r="KR14" i="21"/>
  <c r="KQ14" i="21"/>
  <c r="KO14" i="21"/>
  <c r="KN14" i="21"/>
  <c r="KM14" i="21"/>
  <c r="KL14" i="21"/>
  <c r="KR10" i="21"/>
  <c r="KQ10" i="21"/>
  <c r="KO10" i="21"/>
  <c r="KN10" i="21"/>
  <c r="KM10" i="21"/>
  <c r="KL10" i="21"/>
  <c r="KR5" i="21"/>
  <c r="KQ5" i="21"/>
  <c r="KO5" i="21"/>
  <c r="KN5" i="21"/>
  <c r="KM5" i="21"/>
  <c r="KL5" i="21"/>
  <c r="KR8" i="21"/>
  <c r="KQ8" i="21"/>
  <c r="KO8" i="21"/>
  <c r="KN8" i="21"/>
  <c r="KM8" i="21"/>
  <c r="KL8" i="21"/>
  <c r="KR6" i="21"/>
  <c r="KQ6" i="21"/>
  <c r="KO6" i="21"/>
  <c r="KN6" i="21"/>
  <c r="KM6" i="21"/>
  <c r="KL6" i="21"/>
  <c r="KR4" i="21"/>
  <c r="KQ4" i="21"/>
  <c r="KO4" i="21"/>
  <c r="KN4" i="21"/>
  <c r="KM4" i="21"/>
  <c r="KL4" i="21"/>
  <c r="JP17" i="21"/>
  <c r="JO17" i="21"/>
  <c r="JM17" i="21"/>
  <c r="JL17" i="21"/>
  <c r="JK17" i="21"/>
  <c r="JJ17" i="21"/>
  <c r="JP33" i="21"/>
  <c r="JO33" i="21"/>
  <c r="JM33" i="21"/>
  <c r="JL33" i="21"/>
  <c r="JK33" i="21"/>
  <c r="JJ33" i="21"/>
  <c r="JP30" i="21"/>
  <c r="JO30" i="21"/>
  <c r="JM30" i="21"/>
  <c r="JL30" i="21"/>
  <c r="JK30" i="21"/>
  <c r="JJ30" i="21"/>
  <c r="JP31" i="21"/>
  <c r="JO31" i="21"/>
  <c r="JM31" i="21"/>
  <c r="JL31" i="21"/>
  <c r="JK31" i="21"/>
  <c r="JJ31" i="21"/>
  <c r="JP34" i="21"/>
  <c r="JO34" i="21"/>
  <c r="JM34" i="21"/>
  <c r="JL34" i="21"/>
  <c r="JK34" i="21"/>
  <c r="JJ34" i="21"/>
  <c r="JP32" i="21"/>
  <c r="JO32" i="21"/>
  <c r="JM32" i="21"/>
  <c r="JL32" i="21"/>
  <c r="JK32" i="21"/>
  <c r="JJ32" i="21"/>
  <c r="JP13" i="21"/>
  <c r="JO13" i="21"/>
  <c r="JM13" i="21"/>
  <c r="JL13" i="21"/>
  <c r="JK13" i="21"/>
  <c r="JJ13" i="21"/>
  <c r="JP25" i="21"/>
  <c r="JO25" i="21"/>
  <c r="JM25" i="21"/>
  <c r="JL25" i="21"/>
  <c r="JK25" i="21"/>
  <c r="JJ25" i="21"/>
  <c r="JP26" i="21"/>
  <c r="JO26" i="21"/>
  <c r="JM26" i="21"/>
  <c r="JL26" i="21"/>
  <c r="JK26" i="21"/>
  <c r="JJ26" i="21"/>
  <c r="JP18" i="21"/>
  <c r="JO18" i="21"/>
  <c r="JM18" i="21"/>
  <c r="JL18" i="21"/>
  <c r="JK18" i="21"/>
  <c r="JJ18" i="21"/>
  <c r="JP22" i="21"/>
  <c r="JO22" i="21"/>
  <c r="JM22" i="21"/>
  <c r="JL22" i="21"/>
  <c r="JK22" i="21"/>
  <c r="JJ22" i="21"/>
  <c r="JP19" i="21"/>
  <c r="JO19" i="21"/>
  <c r="JM19" i="21"/>
  <c r="JL19" i="21"/>
  <c r="JK19" i="21"/>
  <c r="JJ19" i="21"/>
  <c r="JP29" i="21"/>
  <c r="JO29" i="21"/>
  <c r="JM29" i="21"/>
  <c r="JL29" i="21"/>
  <c r="JK29" i="21"/>
  <c r="JJ29" i="21"/>
  <c r="JP12" i="21"/>
  <c r="JO12" i="21"/>
  <c r="JM12" i="21"/>
  <c r="JL12" i="21"/>
  <c r="JK12" i="21"/>
  <c r="JJ12" i="21"/>
  <c r="JP28" i="21"/>
  <c r="JO28" i="21"/>
  <c r="JM28" i="21"/>
  <c r="JL28" i="21"/>
  <c r="JK28" i="21"/>
  <c r="JJ28" i="21"/>
  <c r="JP15" i="21"/>
  <c r="JO15" i="21"/>
  <c r="JM15" i="21"/>
  <c r="JL15" i="21"/>
  <c r="JK15" i="21"/>
  <c r="JJ15" i="21"/>
  <c r="JP23" i="21"/>
  <c r="JO23" i="21"/>
  <c r="JM23" i="21"/>
  <c r="JL23" i="21"/>
  <c r="JK23" i="21"/>
  <c r="JJ23" i="21"/>
  <c r="JP14" i="21"/>
  <c r="JO14" i="21"/>
  <c r="JM14" i="21"/>
  <c r="JL14" i="21"/>
  <c r="JK14" i="21"/>
  <c r="JJ14" i="21"/>
  <c r="JP10" i="21"/>
  <c r="JO10" i="21"/>
  <c r="JM10" i="21"/>
  <c r="JL10" i="21"/>
  <c r="JK10" i="21"/>
  <c r="JJ10" i="21"/>
  <c r="JP5" i="21"/>
  <c r="JO5" i="21"/>
  <c r="JM5" i="21"/>
  <c r="JL5" i="21"/>
  <c r="JK5" i="21"/>
  <c r="JJ5" i="21"/>
  <c r="JP8" i="21"/>
  <c r="JO8" i="21"/>
  <c r="JM8" i="21"/>
  <c r="JL8" i="21"/>
  <c r="JK8" i="21"/>
  <c r="JJ8" i="21"/>
  <c r="JP6" i="21"/>
  <c r="JO6" i="21"/>
  <c r="JM6" i="21"/>
  <c r="JL6" i="21"/>
  <c r="JK6" i="21"/>
  <c r="JJ6" i="21"/>
  <c r="JP4" i="21"/>
  <c r="JO4" i="21"/>
  <c r="JM4" i="21"/>
  <c r="JL4" i="21"/>
  <c r="JK4" i="21"/>
  <c r="JJ4" i="21"/>
  <c r="IN17" i="21"/>
  <c r="IM17" i="21"/>
  <c r="IK17" i="21"/>
  <c r="IJ17" i="21"/>
  <c r="II17" i="21"/>
  <c r="IH17" i="21"/>
  <c r="IN33" i="21"/>
  <c r="IM33" i="21"/>
  <c r="IK33" i="21"/>
  <c r="IJ33" i="21"/>
  <c r="II33" i="21"/>
  <c r="IH33" i="21"/>
  <c r="IN30" i="21"/>
  <c r="IM30" i="21"/>
  <c r="IK30" i="21"/>
  <c r="IJ30" i="21"/>
  <c r="II30" i="21"/>
  <c r="IH30" i="21"/>
  <c r="IN31" i="21"/>
  <c r="IM31" i="21"/>
  <c r="IK31" i="21"/>
  <c r="IJ31" i="21"/>
  <c r="II31" i="21"/>
  <c r="IH31" i="21"/>
  <c r="IN34" i="21"/>
  <c r="IM34" i="21"/>
  <c r="IK34" i="21"/>
  <c r="IJ34" i="21"/>
  <c r="II34" i="21"/>
  <c r="IH34" i="21"/>
  <c r="IN32" i="21"/>
  <c r="IM32" i="21"/>
  <c r="IK32" i="21"/>
  <c r="IJ32" i="21"/>
  <c r="II32" i="21"/>
  <c r="IH32" i="21"/>
  <c r="IN13" i="21"/>
  <c r="IM13" i="21"/>
  <c r="IK13" i="21"/>
  <c r="IJ13" i="21"/>
  <c r="II13" i="21"/>
  <c r="IH13" i="21"/>
  <c r="IN25" i="21"/>
  <c r="IM25" i="21"/>
  <c r="IK25" i="21"/>
  <c r="IJ25" i="21"/>
  <c r="II25" i="21"/>
  <c r="IH25" i="21"/>
  <c r="IN26" i="21"/>
  <c r="IM26" i="21"/>
  <c r="IK26" i="21"/>
  <c r="IJ26" i="21"/>
  <c r="II26" i="21"/>
  <c r="IH26" i="21"/>
  <c r="IN18" i="21"/>
  <c r="IM18" i="21"/>
  <c r="IK18" i="21"/>
  <c r="IJ18" i="21"/>
  <c r="II18" i="21"/>
  <c r="IH18" i="21"/>
  <c r="IN22" i="21"/>
  <c r="IM22" i="21"/>
  <c r="IK22" i="21"/>
  <c r="IJ22" i="21"/>
  <c r="II22" i="21"/>
  <c r="IH22" i="21"/>
  <c r="IN19" i="21"/>
  <c r="IM19" i="21"/>
  <c r="IK19" i="21"/>
  <c r="IJ19" i="21"/>
  <c r="II19" i="21"/>
  <c r="IH19" i="21"/>
  <c r="IN29" i="21"/>
  <c r="IM29" i="21"/>
  <c r="IK29" i="21"/>
  <c r="IJ29" i="21"/>
  <c r="II29" i="21"/>
  <c r="IH29" i="21"/>
  <c r="IN12" i="21"/>
  <c r="IM12" i="21"/>
  <c r="IK12" i="21"/>
  <c r="IJ12" i="21"/>
  <c r="II12" i="21"/>
  <c r="IH12" i="21"/>
  <c r="IN28" i="21"/>
  <c r="IM28" i="21"/>
  <c r="IK28" i="21"/>
  <c r="IJ28" i="21"/>
  <c r="II28" i="21"/>
  <c r="IH28" i="21"/>
  <c r="IN15" i="21"/>
  <c r="IM15" i="21"/>
  <c r="IK15" i="21"/>
  <c r="IJ15" i="21"/>
  <c r="II15" i="21"/>
  <c r="IH15" i="21"/>
  <c r="IN23" i="21"/>
  <c r="IM23" i="21"/>
  <c r="IK23" i="21"/>
  <c r="IJ23" i="21"/>
  <c r="II23" i="21"/>
  <c r="IH23" i="21"/>
  <c r="IN14" i="21"/>
  <c r="IM14" i="21"/>
  <c r="IK14" i="21"/>
  <c r="IJ14" i="21"/>
  <c r="II14" i="21"/>
  <c r="IH14" i="21"/>
  <c r="IN10" i="21"/>
  <c r="IM10" i="21"/>
  <c r="IK10" i="21"/>
  <c r="IJ10" i="21"/>
  <c r="II10" i="21"/>
  <c r="IH10" i="21"/>
  <c r="IN5" i="21"/>
  <c r="IM5" i="21"/>
  <c r="IK5" i="21"/>
  <c r="IJ5" i="21"/>
  <c r="II5" i="21"/>
  <c r="IH5" i="21"/>
  <c r="IN8" i="21"/>
  <c r="IM8" i="21"/>
  <c r="IK8" i="21"/>
  <c r="IJ8" i="21"/>
  <c r="II8" i="21"/>
  <c r="IH8" i="21"/>
  <c r="IN6" i="21"/>
  <c r="IM6" i="21"/>
  <c r="IK6" i="21"/>
  <c r="IJ6" i="21"/>
  <c r="II6" i="21"/>
  <c r="IH6" i="21"/>
  <c r="IN4" i="21"/>
  <c r="IM4" i="21"/>
  <c r="IK4" i="21"/>
  <c r="IJ4" i="21"/>
  <c r="II4" i="21"/>
  <c r="IH4" i="21"/>
  <c r="HL17" i="21"/>
  <c r="HK17" i="21"/>
  <c r="HI17" i="21"/>
  <c r="HH17" i="21"/>
  <c r="HG17" i="21"/>
  <c r="HF17" i="21"/>
  <c r="HL33" i="21"/>
  <c r="HK33" i="21"/>
  <c r="HI33" i="21"/>
  <c r="HH33" i="21"/>
  <c r="HG33" i="21"/>
  <c r="HF33" i="21"/>
  <c r="HL30" i="21"/>
  <c r="HK30" i="21"/>
  <c r="HI30" i="21"/>
  <c r="HH30" i="21"/>
  <c r="HG30" i="21"/>
  <c r="HF30" i="21"/>
  <c r="HL31" i="21"/>
  <c r="HK31" i="21"/>
  <c r="HI31" i="21"/>
  <c r="HH31" i="21"/>
  <c r="HG31" i="21"/>
  <c r="HF31" i="21"/>
  <c r="HL34" i="21"/>
  <c r="HK34" i="21"/>
  <c r="HI34" i="21"/>
  <c r="HH34" i="21"/>
  <c r="HG34" i="21"/>
  <c r="HF34" i="21"/>
  <c r="HL32" i="21"/>
  <c r="HK32" i="21"/>
  <c r="HI32" i="21"/>
  <c r="HH32" i="21"/>
  <c r="HG32" i="21"/>
  <c r="HF32" i="21"/>
  <c r="HL13" i="21"/>
  <c r="HK13" i="21"/>
  <c r="HI13" i="21"/>
  <c r="HH13" i="21"/>
  <c r="HG13" i="21"/>
  <c r="HF13" i="21"/>
  <c r="HL25" i="21"/>
  <c r="HK25" i="21"/>
  <c r="HI25" i="21"/>
  <c r="HH25" i="21"/>
  <c r="HG25" i="21"/>
  <c r="HF25" i="21"/>
  <c r="HL26" i="21"/>
  <c r="HK26" i="21"/>
  <c r="HI26" i="21"/>
  <c r="HH26" i="21"/>
  <c r="HG26" i="21"/>
  <c r="HF26" i="21"/>
  <c r="HL18" i="21"/>
  <c r="HK18" i="21"/>
  <c r="HI18" i="21"/>
  <c r="HH18" i="21"/>
  <c r="HG18" i="21"/>
  <c r="HF18" i="21"/>
  <c r="HL22" i="21"/>
  <c r="HK22" i="21"/>
  <c r="HI22" i="21"/>
  <c r="HH22" i="21"/>
  <c r="HG22" i="21"/>
  <c r="HF22" i="21"/>
  <c r="HL19" i="21"/>
  <c r="HK19" i="21"/>
  <c r="HI19" i="21"/>
  <c r="HH19" i="21"/>
  <c r="HG19" i="21"/>
  <c r="HF19" i="21"/>
  <c r="HL29" i="21"/>
  <c r="HK29" i="21"/>
  <c r="HI29" i="21"/>
  <c r="HH29" i="21"/>
  <c r="HG29" i="21"/>
  <c r="HF29" i="21"/>
  <c r="HL12" i="21"/>
  <c r="HK12" i="21"/>
  <c r="HI12" i="21"/>
  <c r="HH12" i="21"/>
  <c r="HG12" i="21"/>
  <c r="HF12" i="21"/>
  <c r="HL28" i="21"/>
  <c r="HK28" i="21"/>
  <c r="HI28" i="21"/>
  <c r="HH28" i="21"/>
  <c r="HG28" i="21"/>
  <c r="HF28" i="21"/>
  <c r="HL15" i="21"/>
  <c r="HK15" i="21"/>
  <c r="HI15" i="21"/>
  <c r="HH15" i="21"/>
  <c r="HG15" i="21"/>
  <c r="HF15" i="21"/>
  <c r="HL23" i="21"/>
  <c r="HK23" i="21"/>
  <c r="HI23" i="21"/>
  <c r="HH23" i="21"/>
  <c r="HG23" i="21"/>
  <c r="HF23" i="21"/>
  <c r="HL14" i="21"/>
  <c r="HK14" i="21"/>
  <c r="HI14" i="21"/>
  <c r="HH14" i="21"/>
  <c r="HG14" i="21"/>
  <c r="HF14" i="21"/>
  <c r="HL10" i="21"/>
  <c r="HK10" i="21"/>
  <c r="HI10" i="21"/>
  <c r="HH10" i="21"/>
  <c r="HG10" i="21"/>
  <c r="HF10" i="21"/>
  <c r="HL5" i="21"/>
  <c r="HK5" i="21"/>
  <c r="HI5" i="21"/>
  <c r="HH5" i="21"/>
  <c r="HG5" i="21"/>
  <c r="HF5" i="21"/>
  <c r="HL8" i="21"/>
  <c r="HK8" i="21"/>
  <c r="HI8" i="21"/>
  <c r="HH8" i="21"/>
  <c r="HG8" i="21"/>
  <c r="HF8" i="21"/>
  <c r="HL6" i="21"/>
  <c r="HK6" i="21"/>
  <c r="HI6" i="21"/>
  <c r="HH6" i="21"/>
  <c r="HG6" i="21"/>
  <c r="HF6" i="21"/>
  <c r="HL4" i="21"/>
  <c r="HK4" i="21"/>
  <c r="HI4" i="21"/>
  <c r="HH4" i="21"/>
  <c r="HG4" i="21"/>
  <c r="HF4" i="21"/>
  <c r="GJ17" i="21"/>
  <c r="GI17" i="21"/>
  <c r="GG17" i="21"/>
  <c r="GF17" i="21"/>
  <c r="GE17" i="21"/>
  <c r="GD17" i="21"/>
  <c r="GJ33" i="21"/>
  <c r="GI33" i="21"/>
  <c r="GG33" i="21"/>
  <c r="GF33" i="21"/>
  <c r="GE33" i="21"/>
  <c r="GD33" i="21"/>
  <c r="GJ30" i="21"/>
  <c r="GI30" i="21"/>
  <c r="GG30" i="21"/>
  <c r="GF30" i="21"/>
  <c r="GE30" i="21"/>
  <c r="GD30" i="21"/>
  <c r="GJ31" i="21"/>
  <c r="GI31" i="21"/>
  <c r="GG31" i="21"/>
  <c r="GF31" i="21"/>
  <c r="GE31" i="21"/>
  <c r="GD31" i="21"/>
  <c r="GJ34" i="21"/>
  <c r="GI34" i="21"/>
  <c r="GG34" i="21"/>
  <c r="GF34" i="21"/>
  <c r="GE34" i="21"/>
  <c r="GD34" i="21"/>
  <c r="GJ32" i="21"/>
  <c r="GI32" i="21"/>
  <c r="GG32" i="21"/>
  <c r="GF32" i="21"/>
  <c r="GE32" i="21"/>
  <c r="GD32" i="21"/>
  <c r="GJ13" i="21"/>
  <c r="GI13" i="21"/>
  <c r="GG13" i="21"/>
  <c r="GF13" i="21"/>
  <c r="GE13" i="21"/>
  <c r="GD13" i="21"/>
  <c r="GJ25" i="21"/>
  <c r="GI25" i="21"/>
  <c r="GG25" i="21"/>
  <c r="GF25" i="21"/>
  <c r="GE25" i="21"/>
  <c r="GD25" i="21"/>
  <c r="GJ26" i="21"/>
  <c r="GI26" i="21"/>
  <c r="GG26" i="21"/>
  <c r="GF26" i="21"/>
  <c r="GE26" i="21"/>
  <c r="GD26" i="21"/>
  <c r="GJ18" i="21"/>
  <c r="GI18" i="21"/>
  <c r="GG18" i="21"/>
  <c r="GF18" i="21"/>
  <c r="GE18" i="21"/>
  <c r="GD18" i="21"/>
  <c r="GJ22" i="21"/>
  <c r="GI22" i="21"/>
  <c r="GG22" i="21"/>
  <c r="GF22" i="21"/>
  <c r="GE22" i="21"/>
  <c r="GD22" i="21"/>
  <c r="GJ19" i="21"/>
  <c r="GI19" i="21"/>
  <c r="GG19" i="21"/>
  <c r="GF19" i="21"/>
  <c r="GE19" i="21"/>
  <c r="GD19" i="21"/>
  <c r="GJ29" i="21"/>
  <c r="GI29" i="21"/>
  <c r="GG29" i="21"/>
  <c r="GF29" i="21"/>
  <c r="GE29" i="21"/>
  <c r="GD29" i="21"/>
  <c r="GJ12" i="21"/>
  <c r="GI12" i="21"/>
  <c r="GG12" i="21"/>
  <c r="GF12" i="21"/>
  <c r="GE12" i="21"/>
  <c r="GD12" i="21"/>
  <c r="GJ28" i="21"/>
  <c r="GI28" i="21"/>
  <c r="GG28" i="21"/>
  <c r="GF28" i="21"/>
  <c r="GE28" i="21"/>
  <c r="GD28" i="21"/>
  <c r="GJ15" i="21"/>
  <c r="GI15" i="21"/>
  <c r="GG15" i="21"/>
  <c r="GF15" i="21"/>
  <c r="GE15" i="21"/>
  <c r="GD15" i="21"/>
  <c r="GJ23" i="21"/>
  <c r="GI23" i="21"/>
  <c r="GG23" i="21"/>
  <c r="GF23" i="21"/>
  <c r="GE23" i="21"/>
  <c r="GD23" i="21"/>
  <c r="GJ14" i="21"/>
  <c r="GI14" i="21"/>
  <c r="GG14" i="21"/>
  <c r="GF14" i="21"/>
  <c r="GE14" i="21"/>
  <c r="GD14" i="21"/>
  <c r="GJ10" i="21"/>
  <c r="GI10" i="21"/>
  <c r="GG10" i="21"/>
  <c r="GF10" i="21"/>
  <c r="GE10" i="21"/>
  <c r="GD10" i="21"/>
  <c r="GJ5" i="21"/>
  <c r="GI5" i="21"/>
  <c r="GG5" i="21"/>
  <c r="GF5" i="21"/>
  <c r="GE5" i="21"/>
  <c r="GD5" i="21"/>
  <c r="GJ8" i="21"/>
  <c r="GI8" i="21"/>
  <c r="GG8" i="21"/>
  <c r="GF8" i="21"/>
  <c r="GE8" i="21"/>
  <c r="GD8" i="21"/>
  <c r="GJ6" i="21"/>
  <c r="GI6" i="21"/>
  <c r="GG6" i="21"/>
  <c r="GF6" i="21"/>
  <c r="GE6" i="21"/>
  <c r="GD6" i="21"/>
  <c r="GJ4" i="21"/>
  <c r="GI4" i="21"/>
  <c r="GG4" i="21"/>
  <c r="GF4" i="21"/>
  <c r="GE4" i="21"/>
  <c r="GD4" i="21"/>
  <c r="FH17" i="21"/>
  <c r="FG17" i="21"/>
  <c r="FE17" i="21"/>
  <c r="FD17" i="21"/>
  <c r="FC17" i="21"/>
  <c r="FB17" i="21"/>
  <c r="FH33" i="21"/>
  <c r="FG33" i="21"/>
  <c r="FE33" i="21"/>
  <c r="FD33" i="21"/>
  <c r="FC33" i="21"/>
  <c r="FB33" i="21"/>
  <c r="FH30" i="21"/>
  <c r="FG30" i="21"/>
  <c r="FE30" i="21"/>
  <c r="FD30" i="21"/>
  <c r="FC30" i="21"/>
  <c r="FB30" i="21"/>
  <c r="FH31" i="21"/>
  <c r="FG31" i="21"/>
  <c r="FE31" i="21"/>
  <c r="FD31" i="21"/>
  <c r="FC31" i="21"/>
  <c r="FB31" i="21"/>
  <c r="FH34" i="21"/>
  <c r="FG34" i="21"/>
  <c r="FE34" i="21"/>
  <c r="FD34" i="21"/>
  <c r="FC34" i="21"/>
  <c r="FB34" i="21"/>
  <c r="FH32" i="21"/>
  <c r="FG32" i="21"/>
  <c r="FE32" i="21"/>
  <c r="FD32" i="21"/>
  <c r="FC32" i="21"/>
  <c r="FB32" i="21"/>
  <c r="FH13" i="21"/>
  <c r="FG13" i="21"/>
  <c r="FE13" i="21"/>
  <c r="FD13" i="21"/>
  <c r="FC13" i="21"/>
  <c r="FB13" i="21"/>
  <c r="FH25" i="21"/>
  <c r="FG25" i="21"/>
  <c r="FE25" i="21"/>
  <c r="FD25" i="21"/>
  <c r="FC25" i="21"/>
  <c r="FB25" i="21"/>
  <c r="FH26" i="21"/>
  <c r="FG26" i="21"/>
  <c r="FE26" i="21"/>
  <c r="FD26" i="21"/>
  <c r="FC26" i="21"/>
  <c r="FB26" i="21"/>
  <c r="FH18" i="21"/>
  <c r="FG18" i="21"/>
  <c r="FE18" i="21"/>
  <c r="FD18" i="21"/>
  <c r="FC18" i="21"/>
  <c r="FB18" i="21"/>
  <c r="FH22" i="21"/>
  <c r="FG22" i="21"/>
  <c r="FE22" i="21"/>
  <c r="FD22" i="21"/>
  <c r="FC22" i="21"/>
  <c r="FB22" i="21"/>
  <c r="FH19" i="21"/>
  <c r="FG19" i="21"/>
  <c r="FE19" i="21"/>
  <c r="FD19" i="21"/>
  <c r="FC19" i="21"/>
  <c r="FB19" i="21"/>
  <c r="FH29" i="21"/>
  <c r="FG29" i="21"/>
  <c r="FE29" i="21"/>
  <c r="FD29" i="21"/>
  <c r="FC29" i="21"/>
  <c r="FB29" i="21"/>
  <c r="FH12" i="21"/>
  <c r="FG12" i="21"/>
  <c r="FE12" i="21"/>
  <c r="FD12" i="21"/>
  <c r="FC12" i="21"/>
  <c r="FB12" i="21"/>
  <c r="FH28" i="21"/>
  <c r="FG28" i="21"/>
  <c r="FE28" i="21"/>
  <c r="FD28" i="21"/>
  <c r="FC28" i="21"/>
  <c r="FB28" i="21"/>
  <c r="FH15" i="21"/>
  <c r="FG15" i="21"/>
  <c r="FE15" i="21"/>
  <c r="FD15" i="21"/>
  <c r="FC15" i="21"/>
  <c r="FB15" i="21"/>
  <c r="FH23" i="21"/>
  <c r="FG23" i="21"/>
  <c r="FE23" i="21"/>
  <c r="FD23" i="21"/>
  <c r="FC23" i="21"/>
  <c r="FB23" i="21"/>
  <c r="FH14" i="21"/>
  <c r="FG14" i="21"/>
  <c r="FE14" i="21"/>
  <c r="FD14" i="21"/>
  <c r="FC14" i="21"/>
  <c r="FB14" i="21"/>
  <c r="FH10" i="21"/>
  <c r="FG10" i="21"/>
  <c r="FE10" i="21"/>
  <c r="FD10" i="21"/>
  <c r="FC10" i="21"/>
  <c r="FB10" i="21"/>
  <c r="FH5" i="21"/>
  <c r="FG5" i="21"/>
  <c r="FE5" i="21"/>
  <c r="FD5" i="21"/>
  <c r="FC5" i="21"/>
  <c r="FB5" i="21"/>
  <c r="FH8" i="21"/>
  <c r="FG8" i="21"/>
  <c r="FE8" i="21"/>
  <c r="FD8" i="21"/>
  <c r="FC8" i="21"/>
  <c r="FB8" i="21"/>
  <c r="FH6" i="21"/>
  <c r="FG6" i="21"/>
  <c r="FE6" i="21"/>
  <c r="FD6" i="21"/>
  <c r="FC6" i="21"/>
  <c r="FB6" i="21"/>
  <c r="FH4" i="21"/>
  <c r="FG4" i="21"/>
  <c r="FE4" i="21"/>
  <c r="FD4" i="21"/>
  <c r="FC4" i="21"/>
  <c r="FB4" i="21"/>
  <c r="EF17" i="21"/>
  <c r="EE17" i="21"/>
  <c r="EC17" i="21"/>
  <c r="EB17" i="21"/>
  <c r="EA17" i="21"/>
  <c r="DZ17" i="21"/>
  <c r="EF33" i="21"/>
  <c r="EE33" i="21"/>
  <c r="EC33" i="21"/>
  <c r="EB33" i="21"/>
  <c r="EA33" i="21"/>
  <c r="DZ33" i="21"/>
  <c r="EF30" i="21"/>
  <c r="EE30" i="21"/>
  <c r="EC30" i="21"/>
  <c r="EB30" i="21"/>
  <c r="EA30" i="21"/>
  <c r="DZ30" i="21"/>
  <c r="EF31" i="21"/>
  <c r="EE31" i="21"/>
  <c r="EC31" i="21"/>
  <c r="EB31" i="21"/>
  <c r="EA31" i="21"/>
  <c r="DZ31" i="21"/>
  <c r="EF34" i="21"/>
  <c r="EE34" i="21"/>
  <c r="EC34" i="21"/>
  <c r="EB34" i="21"/>
  <c r="EA34" i="21"/>
  <c r="DZ34" i="21"/>
  <c r="EF32" i="21"/>
  <c r="EE32" i="21"/>
  <c r="EC32" i="21"/>
  <c r="EB32" i="21"/>
  <c r="EA32" i="21"/>
  <c r="DZ32" i="21"/>
  <c r="EF13" i="21"/>
  <c r="EE13" i="21"/>
  <c r="EC13" i="21"/>
  <c r="EB13" i="21"/>
  <c r="EA13" i="21"/>
  <c r="DZ13" i="21"/>
  <c r="EF25" i="21"/>
  <c r="EE25" i="21"/>
  <c r="EC25" i="21"/>
  <c r="EB25" i="21"/>
  <c r="EA25" i="21"/>
  <c r="DZ25" i="21"/>
  <c r="EF26" i="21"/>
  <c r="EE26" i="21"/>
  <c r="EC26" i="21"/>
  <c r="EB26" i="21"/>
  <c r="EA26" i="21"/>
  <c r="DZ26" i="21"/>
  <c r="EF18" i="21"/>
  <c r="EE18" i="21"/>
  <c r="EC18" i="21"/>
  <c r="EB18" i="21"/>
  <c r="EA18" i="21"/>
  <c r="DZ18" i="21"/>
  <c r="EF22" i="21"/>
  <c r="EE22" i="21"/>
  <c r="EC22" i="21"/>
  <c r="EB22" i="21"/>
  <c r="EA22" i="21"/>
  <c r="DZ22" i="21"/>
  <c r="EF19" i="21"/>
  <c r="EE19" i="21"/>
  <c r="EC19" i="21"/>
  <c r="EB19" i="21"/>
  <c r="EA19" i="21"/>
  <c r="DZ19" i="21"/>
  <c r="EF29" i="21"/>
  <c r="EE29" i="21"/>
  <c r="EC29" i="21"/>
  <c r="EB29" i="21"/>
  <c r="EA29" i="21"/>
  <c r="DZ29" i="21"/>
  <c r="EF12" i="21"/>
  <c r="EE12" i="21"/>
  <c r="EC12" i="21"/>
  <c r="EB12" i="21"/>
  <c r="EA12" i="21"/>
  <c r="DZ12" i="21"/>
  <c r="EF28" i="21"/>
  <c r="EE28" i="21"/>
  <c r="EC28" i="21"/>
  <c r="EB28" i="21"/>
  <c r="EA28" i="21"/>
  <c r="DZ28" i="21"/>
  <c r="EF15" i="21"/>
  <c r="EE15" i="21"/>
  <c r="EC15" i="21"/>
  <c r="EB15" i="21"/>
  <c r="EA15" i="21"/>
  <c r="DZ15" i="21"/>
  <c r="EF23" i="21"/>
  <c r="EE23" i="21"/>
  <c r="EC23" i="21"/>
  <c r="EB23" i="21"/>
  <c r="EA23" i="21"/>
  <c r="DZ23" i="21"/>
  <c r="EF14" i="21"/>
  <c r="EE14" i="21"/>
  <c r="EC14" i="21"/>
  <c r="EB14" i="21"/>
  <c r="EA14" i="21"/>
  <c r="DZ14" i="21"/>
  <c r="EF10" i="21"/>
  <c r="EE10" i="21"/>
  <c r="EC10" i="21"/>
  <c r="EB10" i="21"/>
  <c r="EA10" i="21"/>
  <c r="DZ10" i="21"/>
  <c r="EF5" i="21"/>
  <c r="EE5" i="21"/>
  <c r="EC5" i="21"/>
  <c r="EB5" i="21"/>
  <c r="EA5" i="21"/>
  <c r="DZ5" i="21"/>
  <c r="EF8" i="21"/>
  <c r="EE8" i="21"/>
  <c r="EC8" i="21"/>
  <c r="EB8" i="21"/>
  <c r="EA8" i="21"/>
  <c r="DZ8" i="21"/>
  <c r="EF6" i="21"/>
  <c r="EE6" i="21"/>
  <c r="EC6" i="21"/>
  <c r="EB6" i="21"/>
  <c r="EA6" i="21"/>
  <c r="DZ6" i="21"/>
  <c r="EF4" i="21"/>
  <c r="EE4" i="21"/>
  <c r="EC4" i="21"/>
  <c r="EB4" i="21"/>
  <c r="EA4" i="21"/>
  <c r="DZ4" i="21"/>
  <c r="OZ40" i="19"/>
  <c r="OY40" i="19"/>
  <c r="OW40" i="19"/>
  <c r="OV40" i="19"/>
  <c r="OU40" i="19"/>
  <c r="OT40" i="19"/>
  <c r="OZ37" i="19"/>
  <c r="OY37" i="19"/>
  <c r="OW37" i="19"/>
  <c r="OV37" i="19"/>
  <c r="OU37" i="19"/>
  <c r="OT37" i="19"/>
  <c r="OZ39" i="19"/>
  <c r="OY39" i="19"/>
  <c r="OW39" i="19"/>
  <c r="OV39" i="19"/>
  <c r="OU39" i="19"/>
  <c r="OT39" i="19"/>
  <c r="OZ34" i="19"/>
  <c r="OY34" i="19"/>
  <c r="OW34" i="19"/>
  <c r="OV34" i="19"/>
  <c r="OU34" i="19"/>
  <c r="OT34" i="19"/>
  <c r="OZ15" i="19"/>
  <c r="OY15" i="19"/>
  <c r="OW15" i="19"/>
  <c r="OV15" i="19"/>
  <c r="OU15" i="19"/>
  <c r="OT15" i="19"/>
  <c r="OZ31" i="19"/>
  <c r="OY31" i="19"/>
  <c r="OW31" i="19"/>
  <c r="OV31" i="19"/>
  <c r="OU31" i="19"/>
  <c r="OT31" i="19"/>
  <c r="OZ36" i="19"/>
  <c r="OY36" i="19"/>
  <c r="OW36" i="19"/>
  <c r="OV36" i="19"/>
  <c r="OU36" i="19"/>
  <c r="OT36" i="19"/>
  <c r="OZ35" i="19"/>
  <c r="OY35" i="19"/>
  <c r="OW35" i="19"/>
  <c r="OV35" i="19"/>
  <c r="OU35" i="19"/>
  <c r="OT35" i="19"/>
  <c r="OZ32" i="19"/>
  <c r="OY32" i="19"/>
  <c r="OW32" i="19"/>
  <c r="OV32" i="19"/>
  <c r="OU32" i="19"/>
  <c r="OT32" i="19"/>
  <c r="OZ26" i="19"/>
  <c r="OY26" i="19"/>
  <c r="OW26" i="19"/>
  <c r="OV26" i="19"/>
  <c r="OU26" i="19"/>
  <c r="OT26" i="19"/>
  <c r="OZ23" i="19"/>
  <c r="OY23" i="19"/>
  <c r="OW23" i="19"/>
  <c r="OV23" i="19"/>
  <c r="OU23" i="19"/>
  <c r="OT23" i="19"/>
  <c r="OZ6" i="19"/>
  <c r="OY6" i="19"/>
  <c r="OW6" i="19"/>
  <c r="OV6" i="19"/>
  <c r="OU6" i="19"/>
  <c r="OT6" i="19"/>
  <c r="OZ25" i="19"/>
  <c r="OY25" i="19"/>
  <c r="OW25" i="19"/>
  <c r="OV25" i="19"/>
  <c r="OU25" i="19"/>
  <c r="OT25" i="19"/>
  <c r="OZ20" i="19"/>
  <c r="OY20" i="19"/>
  <c r="OW20" i="19"/>
  <c r="OV20" i="19"/>
  <c r="OU20" i="19"/>
  <c r="OT20" i="19"/>
  <c r="OZ18" i="19"/>
  <c r="OY18" i="19"/>
  <c r="OW18" i="19"/>
  <c r="OV18" i="19"/>
  <c r="OU18" i="19"/>
  <c r="OT18" i="19"/>
  <c r="OZ24" i="19"/>
  <c r="OY24" i="19"/>
  <c r="OW24" i="19"/>
  <c r="OV24" i="19"/>
  <c r="OU24" i="19"/>
  <c r="OT24" i="19"/>
  <c r="OZ19" i="19"/>
  <c r="OY19" i="19"/>
  <c r="OW19" i="19"/>
  <c r="OV19" i="19"/>
  <c r="OU19" i="19"/>
  <c r="OT19" i="19"/>
  <c r="OZ16" i="19"/>
  <c r="OY16" i="19"/>
  <c r="OW16" i="19"/>
  <c r="OV16" i="19"/>
  <c r="OU16" i="19"/>
  <c r="OT16" i="19"/>
  <c r="OZ21" i="19"/>
  <c r="OY21" i="19"/>
  <c r="OW21" i="19"/>
  <c r="OV21" i="19"/>
  <c r="OU21" i="19"/>
  <c r="OT21" i="19"/>
  <c r="OZ17" i="19"/>
  <c r="OY17" i="19"/>
  <c r="OW17" i="19"/>
  <c r="OV17" i="19"/>
  <c r="OU17" i="19"/>
  <c r="OT17" i="19"/>
  <c r="OZ30" i="19"/>
  <c r="OY30" i="19"/>
  <c r="OW30" i="19"/>
  <c r="OV30" i="19"/>
  <c r="OU30" i="19"/>
  <c r="OT30" i="19"/>
  <c r="OZ8" i="19"/>
  <c r="OY8" i="19"/>
  <c r="OW8" i="19"/>
  <c r="OV8" i="19"/>
  <c r="OU8" i="19"/>
  <c r="OT8" i="19"/>
  <c r="OZ41" i="19"/>
  <c r="OY41" i="19"/>
  <c r="OW41" i="19"/>
  <c r="OV41" i="19"/>
  <c r="OU41" i="19"/>
  <c r="OT41" i="19"/>
  <c r="OZ38" i="19"/>
  <c r="OY38" i="19"/>
  <c r="OW38" i="19"/>
  <c r="OV38" i="19"/>
  <c r="OU38" i="19"/>
  <c r="OT38" i="19"/>
  <c r="OZ11" i="19"/>
  <c r="OY11" i="19"/>
  <c r="OW11" i="19"/>
  <c r="OV11" i="19"/>
  <c r="OU11" i="19"/>
  <c r="OT11" i="19"/>
  <c r="OZ7" i="19"/>
  <c r="OY7" i="19"/>
  <c r="OW7" i="19"/>
  <c r="OV7" i="19"/>
  <c r="OU7" i="19"/>
  <c r="OT7" i="19"/>
  <c r="OZ10" i="19"/>
  <c r="OY10" i="19"/>
  <c r="OW10" i="19"/>
  <c r="OV10" i="19"/>
  <c r="OU10" i="19"/>
  <c r="OT10" i="19"/>
  <c r="OZ9" i="19"/>
  <c r="OY9" i="19"/>
  <c r="OW9" i="19"/>
  <c r="OV9" i="19"/>
  <c r="OU9" i="19"/>
  <c r="OT9" i="19"/>
  <c r="OZ5" i="19"/>
  <c r="OY5" i="19"/>
  <c r="OW5" i="19"/>
  <c r="OV5" i="19"/>
  <c r="OU5" i="19"/>
  <c r="OT5" i="19"/>
  <c r="NX40" i="19"/>
  <c r="NW40" i="19"/>
  <c r="NU40" i="19"/>
  <c r="NT40" i="19"/>
  <c r="NS40" i="19"/>
  <c r="NR40" i="19"/>
  <c r="NX37" i="19"/>
  <c r="NW37" i="19"/>
  <c r="NU37" i="19"/>
  <c r="NT37" i="19"/>
  <c r="NS37" i="19"/>
  <c r="NR37" i="19"/>
  <c r="NX39" i="19"/>
  <c r="NW39" i="19"/>
  <c r="NU39" i="19"/>
  <c r="NT39" i="19"/>
  <c r="NS39" i="19"/>
  <c r="NR39" i="19"/>
  <c r="NX34" i="19"/>
  <c r="NW34" i="19"/>
  <c r="NU34" i="19"/>
  <c r="NT34" i="19"/>
  <c r="NS34" i="19"/>
  <c r="NR34" i="19"/>
  <c r="NX15" i="19"/>
  <c r="NW15" i="19"/>
  <c r="NU15" i="19"/>
  <c r="NT15" i="19"/>
  <c r="NS15" i="19"/>
  <c r="NR15" i="19"/>
  <c r="NX31" i="19"/>
  <c r="NW31" i="19"/>
  <c r="NU31" i="19"/>
  <c r="NT31" i="19"/>
  <c r="NS31" i="19"/>
  <c r="NR31" i="19"/>
  <c r="NX36" i="19"/>
  <c r="NW36" i="19"/>
  <c r="NU36" i="19"/>
  <c r="NT36" i="19"/>
  <c r="NS36" i="19"/>
  <c r="NR36" i="19"/>
  <c r="NX35" i="19"/>
  <c r="NW35" i="19"/>
  <c r="NU35" i="19"/>
  <c r="NT35" i="19"/>
  <c r="NS35" i="19"/>
  <c r="NR35" i="19"/>
  <c r="NX32" i="19"/>
  <c r="NW32" i="19"/>
  <c r="NU32" i="19"/>
  <c r="NT32" i="19"/>
  <c r="NS32" i="19"/>
  <c r="NR32" i="19"/>
  <c r="NX26" i="19"/>
  <c r="NW26" i="19"/>
  <c r="NU26" i="19"/>
  <c r="NT26" i="19"/>
  <c r="NS26" i="19"/>
  <c r="NR26" i="19"/>
  <c r="NX23" i="19"/>
  <c r="NW23" i="19"/>
  <c r="NU23" i="19"/>
  <c r="NT23" i="19"/>
  <c r="NS23" i="19"/>
  <c r="NR23" i="19"/>
  <c r="NX6" i="19"/>
  <c r="NW6" i="19"/>
  <c r="NU6" i="19"/>
  <c r="NT6" i="19"/>
  <c r="NS6" i="19"/>
  <c r="NR6" i="19"/>
  <c r="NX25" i="19"/>
  <c r="NW25" i="19"/>
  <c r="NU25" i="19"/>
  <c r="NT25" i="19"/>
  <c r="NS25" i="19"/>
  <c r="NR25" i="19"/>
  <c r="NX20" i="19"/>
  <c r="NW20" i="19"/>
  <c r="NU20" i="19"/>
  <c r="NT20" i="19"/>
  <c r="NS20" i="19"/>
  <c r="NR20" i="19"/>
  <c r="NX18" i="19"/>
  <c r="NW18" i="19"/>
  <c r="NU18" i="19"/>
  <c r="NT18" i="19"/>
  <c r="NS18" i="19"/>
  <c r="NR18" i="19"/>
  <c r="NX24" i="19"/>
  <c r="NW24" i="19"/>
  <c r="NU24" i="19"/>
  <c r="NT24" i="19"/>
  <c r="NS24" i="19"/>
  <c r="NR24" i="19"/>
  <c r="NX19" i="19"/>
  <c r="NW19" i="19"/>
  <c r="NU19" i="19"/>
  <c r="NT19" i="19"/>
  <c r="NS19" i="19"/>
  <c r="NR19" i="19"/>
  <c r="NX16" i="19"/>
  <c r="NW16" i="19"/>
  <c r="NU16" i="19"/>
  <c r="NT16" i="19"/>
  <c r="NS16" i="19"/>
  <c r="NR16" i="19"/>
  <c r="NX21" i="19"/>
  <c r="NW21" i="19"/>
  <c r="NU21" i="19"/>
  <c r="NT21" i="19"/>
  <c r="NS21" i="19"/>
  <c r="NR21" i="19"/>
  <c r="NX17" i="19"/>
  <c r="NW17" i="19"/>
  <c r="NU17" i="19"/>
  <c r="NT17" i="19"/>
  <c r="NS17" i="19"/>
  <c r="NR17" i="19"/>
  <c r="NX30" i="19"/>
  <c r="NW30" i="19"/>
  <c r="NU30" i="19"/>
  <c r="NT30" i="19"/>
  <c r="NS30" i="19"/>
  <c r="NR30" i="19"/>
  <c r="NX8" i="19"/>
  <c r="NW8" i="19"/>
  <c r="NU8" i="19"/>
  <c r="NT8" i="19"/>
  <c r="NS8" i="19"/>
  <c r="NR8" i="19"/>
  <c r="NX41" i="19"/>
  <c r="NW41" i="19"/>
  <c r="NU41" i="19"/>
  <c r="NT41" i="19"/>
  <c r="NS41" i="19"/>
  <c r="NR41" i="19"/>
  <c r="NX38" i="19"/>
  <c r="NW38" i="19"/>
  <c r="NU38" i="19"/>
  <c r="NT38" i="19"/>
  <c r="NS38" i="19"/>
  <c r="NR38" i="19"/>
  <c r="NX11" i="19"/>
  <c r="NW11" i="19"/>
  <c r="NU11" i="19"/>
  <c r="NT11" i="19"/>
  <c r="NS11" i="19"/>
  <c r="NR11" i="19"/>
  <c r="NX7" i="19"/>
  <c r="NW7" i="19"/>
  <c r="NU7" i="19"/>
  <c r="NT7" i="19"/>
  <c r="NS7" i="19"/>
  <c r="NR7" i="19"/>
  <c r="NX10" i="19"/>
  <c r="NW10" i="19"/>
  <c r="NU10" i="19"/>
  <c r="NT10" i="19"/>
  <c r="NS10" i="19"/>
  <c r="NR10" i="19"/>
  <c r="NX9" i="19"/>
  <c r="NW9" i="19"/>
  <c r="NU9" i="19"/>
  <c r="NT9" i="19"/>
  <c r="NS9" i="19"/>
  <c r="NR9" i="19"/>
  <c r="NX5" i="19"/>
  <c r="NW5" i="19"/>
  <c r="NU5" i="19"/>
  <c r="NT5" i="19"/>
  <c r="NS5" i="19"/>
  <c r="NR5" i="19"/>
  <c r="MV40" i="19"/>
  <c r="MU40" i="19"/>
  <c r="MS40" i="19"/>
  <c r="MR40" i="19"/>
  <c r="MQ40" i="19"/>
  <c r="MP40" i="19"/>
  <c r="MV37" i="19"/>
  <c r="MU37" i="19"/>
  <c r="MS37" i="19"/>
  <c r="MR37" i="19"/>
  <c r="MQ37" i="19"/>
  <c r="MP37" i="19"/>
  <c r="MV39" i="19"/>
  <c r="MU39" i="19"/>
  <c r="MS39" i="19"/>
  <c r="MR39" i="19"/>
  <c r="MQ39" i="19"/>
  <c r="MP39" i="19"/>
  <c r="MV34" i="19"/>
  <c r="MU34" i="19"/>
  <c r="MS34" i="19"/>
  <c r="MR34" i="19"/>
  <c r="MQ34" i="19"/>
  <c r="MP34" i="19"/>
  <c r="MV15" i="19"/>
  <c r="MU15" i="19"/>
  <c r="MS15" i="19"/>
  <c r="MR15" i="19"/>
  <c r="MQ15" i="19"/>
  <c r="MP15" i="19"/>
  <c r="MV31" i="19"/>
  <c r="MU31" i="19"/>
  <c r="MS31" i="19"/>
  <c r="MR31" i="19"/>
  <c r="MQ31" i="19"/>
  <c r="MP31" i="19"/>
  <c r="MV36" i="19"/>
  <c r="MU36" i="19"/>
  <c r="MS36" i="19"/>
  <c r="MR36" i="19"/>
  <c r="MQ36" i="19"/>
  <c r="MP36" i="19"/>
  <c r="MV35" i="19"/>
  <c r="MU35" i="19"/>
  <c r="MS35" i="19"/>
  <c r="MR35" i="19"/>
  <c r="MQ35" i="19"/>
  <c r="MP35" i="19"/>
  <c r="MV32" i="19"/>
  <c r="MU32" i="19"/>
  <c r="MS32" i="19"/>
  <c r="MR32" i="19"/>
  <c r="MQ32" i="19"/>
  <c r="MP32" i="19"/>
  <c r="MV26" i="19"/>
  <c r="MU26" i="19"/>
  <c r="MS26" i="19"/>
  <c r="MR26" i="19"/>
  <c r="MQ26" i="19"/>
  <c r="MP26" i="19"/>
  <c r="MV23" i="19"/>
  <c r="MU23" i="19"/>
  <c r="MS23" i="19"/>
  <c r="MR23" i="19"/>
  <c r="MQ23" i="19"/>
  <c r="MP23" i="19"/>
  <c r="MV6" i="19"/>
  <c r="MU6" i="19"/>
  <c r="MS6" i="19"/>
  <c r="MR6" i="19"/>
  <c r="MQ6" i="19"/>
  <c r="MP6" i="19"/>
  <c r="MV25" i="19"/>
  <c r="MU25" i="19"/>
  <c r="MS25" i="19"/>
  <c r="MR25" i="19"/>
  <c r="MQ25" i="19"/>
  <c r="MP25" i="19"/>
  <c r="MV20" i="19"/>
  <c r="MU20" i="19"/>
  <c r="MS20" i="19"/>
  <c r="MR20" i="19"/>
  <c r="MQ20" i="19"/>
  <c r="MP20" i="19"/>
  <c r="MV18" i="19"/>
  <c r="MU18" i="19"/>
  <c r="MS18" i="19"/>
  <c r="MR18" i="19"/>
  <c r="MQ18" i="19"/>
  <c r="MP18" i="19"/>
  <c r="MV24" i="19"/>
  <c r="MU24" i="19"/>
  <c r="MS24" i="19"/>
  <c r="MR24" i="19"/>
  <c r="MQ24" i="19"/>
  <c r="MP24" i="19"/>
  <c r="MV19" i="19"/>
  <c r="MU19" i="19"/>
  <c r="MS19" i="19"/>
  <c r="MR19" i="19"/>
  <c r="MQ19" i="19"/>
  <c r="MP19" i="19"/>
  <c r="MV16" i="19"/>
  <c r="MU16" i="19"/>
  <c r="MS16" i="19"/>
  <c r="MR16" i="19"/>
  <c r="MQ16" i="19"/>
  <c r="MP16" i="19"/>
  <c r="MV21" i="19"/>
  <c r="MU21" i="19"/>
  <c r="MS21" i="19"/>
  <c r="MR21" i="19"/>
  <c r="MQ21" i="19"/>
  <c r="MP21" i="19"/>
  <c r="MV17" i="19"/>
  <c r="MU17" i="19"/>
  <c r="MS17" i="19"/>
  <c r="MR17" i="19"/>
  <c r="MQ17" i="19"/>
  <c r="MP17" i="19"/>
  <c r="MV30" i="19"/>
  <c r="MU30" i="19"/>
  <c r="MS30" i="19"/>
  <c r="MR30" i="19"/>
  <c r="MQ30" i="19"/>
  <c r="MP30" i="19"/>
  <c r="MV8" i="19"/>
  <c r="MU8" i="19"/>
  <c r="MS8" i="19"/>
  <c r="MR8" i="19"/>
  <c r="MQ8" i="19"/>
  <c r="MP8" i="19"/>
  <c r="MV41" i="19"/>
  <c r="MU41" i="19"/>
  <c r="MS41" i="19"/>
  <c r="MR41" i="19"/>
  <c r="MQ41" i="19"/>
  <c r="MP41" i="19"/>
  <c r="MV38" i="19"/>
  <c r="MU38" i="19"/>
  <c r="MS38" i="19"/>
  <c r="MR38" i="19"/>
  <c r="MQ38" i="19"/>
  <c r="MP38" i="19"/>
  <c r="MV11" i="19"/>
  <c r="MU11" i="19"/>
  <c r="MS11" i="19"/>
  <c r="MR11" i="19"/>
  <c r="MQ11" i="19"/>
  <c r="MP11" i="19"/>
  <c r="MV7" i="19"/>
  <c r="MU7" i="19"/>
  <c r="MS7" i="19"/>
  <c r="MR7" i="19"/>
  <c r="MQ7" i="19"/>
  <c r="MP7" i="19"/>
  <c r="MV10" i="19"/>
  <c r="MU10" i="19"/>
  <c r="MS10" i="19"/>
  <c r="MR10" i="19"/>
  <c r="MQ10" i="19"/>
  <c r="MP10" i="19"/>
  <c r="MV9" i="19"/>
  <c r="MU9" i="19"/>
  <c r="MS9" i="19"/>
  <c r="MR9" i="19"/>
  <c r="MQ9" i="19"/>
  <c r="MP9" i="19"/>
  <c r="MV5" i="19"/>
  <c r="MU5" i="19"/>
  <c r="MS5" i="19"/>
  <c r="MR5" i="19"/>
  <c r="MQ5" i="19"/>
  <c r="MP5" i="19"/>
  <c r="LT40" i="19"/>
  <c r="LS40" i="19"/>
  <c r="LQ40" i="19"/>
  <c r="LP40" i="19"/>
  <c r="LO40" i="19"/>
  <c r="LN40" i="19"/>
  <c r="LT37" i="19"/>
  <c r="LS37" i="19"/>
  <c r="LQ37" i="19"/>
  <c r="LP37" i="19"/>
  <c r="LO37" i="19"/>
  <c r="LN37" i="19"/>
  <c r="LT39" i="19"/>
  <c r="LS39" i="19"/>
  <c r="LQ39" i="19"/>
  <c r="LP39" i="19"/>
  <c r="LO39" i="19"/>
  <c r="LN39" i="19"/>
  <c r="LT34" i="19"/>
  <c r="LS34" i="19"/>
  <c r="LQ34" i="19"/>
  <c r="LP34" i="19"/>
  <c r="LO34" i="19"/>
  <c r="LN34" i="19"/>
  <c r="LT15" i="19"/>
  <c r="LS15" i="19"/>
  <c r="LQ15" i="19"/>
  <c r="LP15" i="19"/>
  <c r="LO15" i="19"/>
  <c r="LN15" i="19"/>
  <c r="LT31" i="19"/>
  <c r="LS31" i="19"/>
  <c r="LQ31" i="19"/>
  <c r="LP31" i="19"/>
  <c r="LO31" i="19"/>
  <c r="LN31" i="19"/>
  <c r="LT36" i="19"/>
  <c r="LS36" i="19"/>
  <c r="LQ36" i="19"/>
  <c r="LP36" i="19"/>
  <c r="LO36" i="19"/>
  <c r="LN36" i="19"/>
  <c r="LT35" i="19"/>
  <c r="LS35" i="19"/>
  <c r="LQ35" i="19"/>
  <c r="LP35" i="19"/>
  <c r="LO35" i="19"/>
  <c r="LN35" i="19"/>
  <c r="LT32" i="19"/>
  <c r="LS32" i="19"/>
  <c r="LQ32" i="19"/>
  <c r="LP32" i="19"/>
  <c r="LO32" i="19"/>
  <c r="LN32" i="19"/>
  <c r="LT26" i="19"/>
  <c r="LS26" i="19"/>
  <c r="LQ26" i="19"/>
  <c r="LP26" i="19"/>
  <c r="LO26" i="19"/>
  <c r="LN26" i="19"/>
  <c r="LT23" i="19"/>
  <c r="LS23" i="19"/>
  <c r="LQ23" i="19"/>
  <c r="LP23" i="19"/>
  <c r="LO23" i="19"/>
  <c r="LN23" i="19"/>
  <c r="LT6" i="19"/>
  <c r="LS6" i="19"/>
  <c r="LQ6" i="19"/>
  <c r="LP6" i="19"/>
  <c r="LO6" i="19"/>
  <c r="LN6" i="19"/>
  <c r="LT25" i="19"/>
  <c r="LS25" i="19"/>
  <c r="LQ25" i="19"/>
  <c r="LP25" i="19"/>
  <c r="LO25" i="19"/>
  <c r="LN25" i="19"/>
  <c r="LT20" i="19"/>
  <c r="LS20" i="19"/>
  <c r="LQ20" i="19"/>
  <c r="LP20" i="19"/>
  <c r="LO20" i="19"/>
  <c r="LN20" i="19"/>
  <c r="LT18" i="19"/>
  <c r="LS18" i="19"/>
  <c r="LQ18" i="19"/>
  <c r="LP18" i="19"/>
  <c r="LO18" i="19"/>
  <c r="LN18" i="19"/>
  <c r="LT24" i="19"/>
  <c r="LS24" i="19"/>
  <c r="LQ24" i="19"/>
  <c r="LP24" i="19"/>
  <c r="LO24" i="19"/>
  <c r="LN24" i="19"/>
  <c r="LT19" i="19"/>
  <c r="LS19" i="19"/>
  <c r="LQ19" i="19"/>
  <c r="LP19" i="19"/>
  <c r="LO19" i="19"/>
  <c r="LN19" i="19"/>
  <c r="LT16" i="19"/>
  <c r="LS16" i="19"/>
  <c r="LQ16" i="19"/>
  <c r="LP16" i="19"/>
  <c r="LO16" i="19"/>
  <c r="LN16" i="19"/>
  <c r="LT21" i="19"/>
  <c r="LS21" i="19"/>
  <c r="LQ21" i="19"/>
  <c r="LP21" i="19"/>
  <c r="LO21" i="19"/>
  <c r="LN21" i="19"/>
  <c r="LT17" i="19"/>
  <c r="LS17" i="19"/>
  <c r="LQ17" i="19"/>
  <c r="LP17" i="19"/>
  <c r="LO17" i="19"/>
  <c r="LN17" i="19"/>
  <c r="LT30" i="19"/>
  <c r="LS30" i="19"/>
  <c r="LQ30" i="19"/>
  <c r="LP30" i="19"/>
  <c r="LO30" i="19"/>
  <c r="LN30" i="19"/>
  <c r="LT8" i="19"/>
  <c r="LS8" i="19"/>
  <c r="LQ8" i="19"/>
  <c r="LP8" i="19"/>
  <c r="LO8" i="19"/>
  <c r="LN8" i="19"/>
  <c r="LT41" i="19"/>
  <c r="LS41" i="19"/>
  <c r="LQ41" i="19"/>
  <c r="LP41" i="19"/>
  <c r="LO41" i="19"/>
  <c r="LN41" i="19"/>
  <c r="LT38" i="19"/>
  <c r="LS38" i="19"/>
  <c r="LQ38" i="19"/>
  <c r="LP38" i="19"/>
  <c r="LO38" i="19"/>
  <c r="LN38" i="19"/>
  <c r="LT11" i="19"/>
  <c r="LS11" i="19"/>
  <c r="LQ11" i="19"/>
  <c r="LP11" i="19"/>
  <c r="LO11" i="19"/>
  <c r="LN11" i="19"/>
  <c r="LT7" i="19"/>
  <c r="LS7" i="19"/>
  <c r="LQ7" i="19"/>
  <c r="LP7" i="19"/>
  <c r="LO7" i="19"/>
  <c r="LN7" i="19"/>
  <c r="LT10" i="19"/>
  <c r="LS10" i="19"/>
  <c r="LQ10" i="19"/>
  <c r="LP10" i="19"/>
  <c r="LO10" i="19"/>
  <c r="LN10" i="19"/>
  <c r="LT9" i="19"/>
  <c r="LS9" i="19"/>
  <c r="LQ9" i="19"/>
  <c r="LP9" i="19"/>
  <c r="LO9" i="19"/>
  <c r="LN9" i="19"/>
  <c r="LT5" i="19"/>
  <c r="LS5" i="19"/>
  <c r="LQ5" i="19"/>
  <c r="LP5" i="19"/>
  <c r="LO5" i="19"/>
  <c r="LN5" i="19"/>
  <c r="KR40" i="19"/>
  <c r="KQ40" i="19"/>
  <c r="KO40" i="19"/>
  <c r="KN40" i="19"/>
  <c r="KM40" i="19"/>
  <c r="KL40" i="19"/>
  <c r="KR37" i="19"/>
  <c r="KQ37" i="19"/>
  <c r="KO37" i="19"/>
  <c r="KN37" i="19"/>
  <c r="KM37" i="19"/>
  <c r="KL37" i="19"/>
  <c r="KR39" i="19"/>
  <c r="KQ39" i="19"/>
  <c r="KO39" i="19"/>
  <c r="KN39" i="19"/>
  <c r="KM39" i="19"/>
  <c r="KL39" i="19"/>
  <c r="KR34" i="19"/>
  <c r="KQ34" i="19"/>
  <c r="KO34" i="19"/>
  <c r="KN34" i="19"/>
  <c r="KM34" i="19"/>
  <c r="KL34" i="19"/>
  <c r="KR15" i="19"/>
  <c r="KQ15" i="19"/>
  <c r="KO15" i="19"/>
  <c r="KN15" i="19"/>
  <c r="KM15" i="19"/>
  <c r="KL15" i="19"/>
  <c r="KR31" i="19"/>
  <c r="KQ31" i="19"/>
  <c r="KO31" i="19"/>
  <c r="KN31" i="19"/>
  <c r="KM31" i="19"/>
  <c r="KL31" i="19"/>
  <c r="KR36" i="19"/>
  <c r="KQ36" i="19"/>
  <c r="KO36" i="19"/>
  <c r="KN36" i="19"/>
  <c r="KM36" i="19"/>
  <c r="KL36" i="19"/>
  <c r="KR35" i="19"/>
  <c r="KQ35" i="19"/>
  <c r="KO35" i="19"/>
  <c r="KN35" i="19"/>
  <c r="KM35" i="19"/>
  <c r="KL35" i="19"/>
  <c r="KR32" i="19"/>
  <c r="KQ32" i="19"/>
  <c r="KO32" i="19"/>
  <c r="KN32" i="19"/>
  <c r="KM32" i="19"/>
  <c r="KL32" i="19"/>
  <c r="KR26" i="19"/>
  <c r="KQ26" i="19"/>
  <c r="KO26" i="19"/>
  <c r="KN26" i="19"/>
  <c r="KM26" i="19"/>
  <c r="KL26" i="19"/>
  <c r="KR23" i="19"/>
  <c r="KQ23" i="19"/>
  <c r="KO23" i="19"/>
  <c r="KN23" i="19"/>
  <c r="KM23" i="19"/>
  <c r="KL23" i="19"/>
  <c r="KR6" i="19"/>
  <c r="KQ6" i="19"/>
  <c r="KO6" i="19"/>
  <c r="KN6" i="19"/>
  <c r="KM6" i="19"/>
  <c r="KL6" i="19"/>
  <c r="KR25" i="19"/>
  <c r="KQ25" i="19"/>
  <c r="KO25" i="19"/>
  <c r="KN25" i="19"/>
  <c r="KM25" i="19"/>
  <c r="KL25" i="19"/>
  <c r="KR20" i="19"/>
  <c r="KQ20" i="19"/>
  <c r="KO20" i="19"/>
  <c r="KN20" i="19"/>
  <c r="KM20" i="19"/>
  <c r="KL20" i="19"/>
  <c r="KR18" i="19"/>
  <c r="KQ18" i="19"/>
  <c r="KO18" i="19"/>
  <c r="KN18" i="19"/>
  <c r="KM18" i="19"/>
  <c r="KL18" i="19"/>
  <c r="KR24" i="19"/>
  <c r="KQ24" i="19"/>
  <c r="KO24" i="19"/>
  <c r="KN24" i="19"/>
  <c r="KM24" i="19"/>
  <c r="KL24" i="19"/>
  <c r="KR19" i="19"/>
  <c r="KQ19" i="19"/>
  <c r="KO19" i="19"/>
  <c r="KN19" i="19"/>
  <c r="KM19" i="19"/>
  <c r="KL19" i="19"/>
  <c r="KR16" i="19"/>
  <c r="KQ16" i="19"/>
  <c r="KO16" i="19"/>
  <c r="KN16" i="19"/>
  <c r="KM16" i="19"/>
  <c r="KL16" i="19"/>
  <c r="KR21" i="19"/>
  <c r="KQ21" i="19"/>
  <c r="KO21" i="19"/>
  <c r="KN21" i="19"/>
  <c r="KM21" i="19"/>
  <c r="KL21" i="19"/>
  <c r="KR17" i="19"/>
  <c r="KQ17" i="19"/>
  <c r="KO17" i="19"/>
  <c r="KN17" i="19"/>
  <c r="KM17" i="19"/>
  <c r="KL17" i="19"/>
  <c r="KR30" i="19"/>
  <c r="KQ30" i="19"/>
  <c r="KO30" i="19"/>
  <c r="KN30" i="19"/>
  <c r="KM30" i="19"/>
  <c r="KL30" i="19"/>
  <c r="KR8" i="19"/>
  <c r="KQ8" i="19"/>
  <c r="KO8" i="19"/>
  <c r="KN8" i="19"/>
  <c r="KM8" i="19"/>
  <c r="KL8" i="19"/>
  <c r="KR41" i="19"/>
  <c r="KQ41" i="19"/>
  <c r="KO41" i="19"/>
  <c r="KN41" i="19"/>
  <c r="KM41" i="19"/>
  <c r="KL41" i="19"/>
  <c r="KR38" i="19"/>
  <c r="KQ38" i="19"/>
  <c r="KO38" i="19"/>
  <c r="KN38" i="19"/>
  <c r="KM38" i="19"/>
  <c r="KL38" i="19"/>
  <c r="KR11" i="19"/>
  <c r="KQ11" i="19"/>
  <c r="KO11" i="19"/>
  <c r="KN11" i="19"/>
  <c r="KM11" i="19"/>
  <c r="KL11" i="19"/>
  <c r="KR7" i="19"/>
  <c r="KQ7" i="19"/>
  <c r="KO7" i="19"/>
  <c r="KN7" i="19"/>
  <c r="KM7" i="19"/>
  <c r="KL7" i="19"/>
  <c r="KR10" i="19"/>
  <c r="KQ10" i="19"/>
  <c r="KO10" i="19"/>
  <c r="KN10" i="19"/>
  <c r="KM10" i="19"/>
  <c r="KL10" i="19"/>
  <c r="KR9" i="19"/>
  <c r="KQ9" i="19"/>
  <c r="KO9" i="19"/>
  <c r="KN9" i="19"/>
  <c r="KM9" i="19"/>
  <c r="KL9" i="19"/>
  <c r="KR5" i="19"/>
  <c r="KQ5" i="19"/>
  <c r="KO5" i="19"/>
  <c r="KN5" i="19"/>
  <c r="KM5" i="19"/>
  <c r="KL5" i="19"/>
  <c r="JP40" i="19"/>
  <c r="JO40" i="19"/>
  <c r="JM40" i="19"/>
  <c r="JL40" i="19"/>
  <c r="JK40" i="19"/>
  <c r="JJ40" i="19"/>
  <c r="JP37" i="19"/>
  <c r="JO37" i="19"/>
  <c r="JM37" i="19"/>
  <c r="JL37" i="19"/>
  <c r="JK37" i="19"/>
  <c r="JJ37" i="19"/>
  <c r="JP39" i="19"/>
  <c r="JO39" i="19"/>
  <c r="JM39" i="19"/>
  <c r="JL39" i="19"/>
  <c r="JK39" i="19"/>
  <c r="JJ39" i="19"/>
  <c r="JP34" i="19"/>
  <c r="JO34" i="19"/>
  <c r="JM34" i="19"/>
  <c r="JL34" i="19"/>
  <c r="JK34" i="19"/>
  <c r="JJ34" i="19"/>
  <c r="JP15" i="19"/>
  <c r="JO15" i="19"/>
  <c r="JM15" i="19"/>
  <c r="JL15" i="19"/>
  <c r="JK15" i="19"/>
  <c r="JJ15" i="19"/>
  <c r="JP31" i="19"/>
  <c r="JO31" i="19"/>
  <c r="JM31" i="19"/>
  <c r="JL31" i="19"/>
  <c r="JK31" i="19"/>
  <c r="JJ31" i="19"/>
  <c r="JP36" i="19"/>
  <c r="JO36" i="19"/>
  <c r="JM36" i="19"/>
  <c r="JL36" i="19"/>
  <c r="JK36" i="19"/>
  <c r="JJ36" i="19"/>
  <c r="JP35" i="19"/>
  <c r="JO35" i="19"/>
  <c r="JM35" i="19"/>
  <c r="JL35" i="19"/>
  <c r="JK35" i="19"/>
  <c r="JJ35" i="19"/>
  <c r="JP32" i="19"/>
  <c r="JO32" i="19"/>
  <c r="JM32" i="19"/>
  <c r="JL32" i="19"/>
  <c r="JK32" i="19"/>
  <c r="JJ32" i="19"/>
  <c r="JP26" i="19"/>
  <c r="JO26" i="19"/>
  <c r="JM26" i="19"/>
  <c r="JL26" i="19"/>
  <c r="JK26" i="19"/>
  <c r="JJ26" i="19"/>
  <c r="JP23" i="19"/>
  <c r="JO23" i="19"/>
  <c r="JM23" i="19"/>
  <c r="JL23" i="19"/>
  <c r="JK23" i="19"/>
  <c r="JJ23" i="19"/>
  <c r="JP6" i="19"/>
  <c r="JO6" i="19"/>
  <c r="JM6" i="19"/>
  <c r="JL6" i="19"/>
  <c r="JK6" i="19"/>
  <c r="JJ6" i="19"/>
  <c r="JP25" i="19"/>
  <c r="JO25" i="19"/>
  <c r="JM25" i="19"/>
  <c r="JL25" i="19"/>
  <c r="JK25" i="19"/>
  <c r="JJ25" i="19"/>
  <c r="JP20" i="19"/>
  <c r="JO20" i="19"/>
  <c r="JM20" i="19"/>
  <c r="JL20" i="19"/>
  <c r="JK20" i="19"/>
  <c r="JJ20" i="19"/>
  <c r="JP18" i="19"/>
  <c r="JO18" i="19"/>
  <c r="JM18" i="19"/>
  <c r="JL18" i="19"/>
  <c r="JK18" i="19"/>
  <c r="JJ18" i="19"/>
  <c r="JP24" i="19"/>
  <c r="JO24" i="19"/>
  <c r="JM24" i="19"/>
  <c r="JL24" i="19"/>
  <c r="JK24" i="19"/>
  <c r="JJ24" i="19"/>
  <c r="JP19" i="19"/>
  <c r="JO19" i="19"/>
  <c r="JM19" i="19"/>
  <c r="JL19" i="19"/>
  <c r="JK19" i="19"/>
  <c r="JJ19" i="19"/>
  <c r="JP16" i="19"/>
  <c r="JO16" i="19"/>
  <c r="JM16" i="19"/>
  <c r="JL16" i="19"/>
  <c r="JK16" i="19"/>
  <c r="JJ16" i="19"/>
  <c r="JP21" i="19"/>
  <c r="JO21" i="19"/>
  <c r="JM21" i="19"/>
  <c r="JL21" i="19"/>
  <c r="JK21" i="19"/>
  <c r="JJ21" i="19"/>
  <c r="JP17" i="19"/>
  <c r="JO17" i="19"/>
  <c r="JM17" i="19"/>
  <c r="JL17" i="19"/>
  <c r="JK17" i="19"/>
  <c r="JJ17" i="19"/>
  <c r="JP30" i="19"/>
  <c r="JO30" i="19"/>
  <c r="JM30" i="19"/>
  <c r="JL30" i="19"/>
  <c r="JK30" i="19"/>
  <c r="JJ30" i="19"/>
  <c r="JP8" i="19"/>
  <c r="JO8" i="19"/>
  <c r="JM8" i="19"/>
  <c r="JL8" i="19"/>
  <c r="JK8" i="19"/>
  <c r="JJ8" i="19"/>
  <c r="JP41" i="19"/>
  <c r="JO41" i="19"/>
  <c r="JM41" i="19"/>
  <c r="JL41" i="19"/>
  <c r="JK41" i="19"/>
  <c r="JJ41" i="19"/>
  <c r="JP38" i="19"/>
  <c r="JO38" i="19"/>
  <c r="JM38" i="19"/>
  <c r="JL38" i="19"/>
  <c r="JK38" i="19"/>
  <c r="JJ38" i="19"/>
  <c r="JP11" i="19"/>
  <c r="JO11" i="19"/>
  <c r="JM11" i="19"/>
  <c r="JL11" i="19"/>
  <c r="JK11" i="19"/>
  <c r="JJ11" i="19"/>
  <c r="JP7" i="19"/>
  <c r="JO7" i="19"/>
  <c r="JM7" i="19"/>
  <c r="JL7" i="19"/>
  <c r="JK7" i="19"/>
  <c r="JJ7" i="19"/>
  <c r="JP10" i="19"/>
  <c r="JO10" i="19"/>
  <c r="JM10" i="19"/>
  <c r="JL10" i="19"/>
  <c r="JK10" i="19"/>
  <c r="JJ10" i="19"/>
  <c r="JP9" i="19"/>
  <c r="JO9" i="19"/>
  <c r="JM9" i="19"/>
  <c r="JL9" i="19"/>
  <c r="JK9" i="19"/>
  <c r="JJ9" i="19"/>
  <c r="JP5" i="19"/>
  <c r="JO5" i="19"/>
  <c r="JM5" i="19"/>
  <c r="JL5" i="19"/>
  <c r="JK5" i="19"/>
  <c r="JJ5" i="19"/>
  <c r="IN40" i="19"/>
  <c r="IM40" i="19"/>
  <c r="IK40" i="19"/>
  <c r="IJ40" i="19"/>
  <c r="II40" i="19"/>
  <c r="IH40" i="19"/>
  <c r="IN37" i="19"/>
  <c r="IM37" i="19"/>
  <c r="IK37" i="19"/>
  <c r="IJ37" i="19"/>
  <c r="II37" i="19"/>
  <c r="IH37" i="19"/>
  <c r="IN39" i="19"/>
  <c r="IM39" i="19"/>
  <c r="IK39" i="19"/>
  <c r="IJ39" i="19"/>
  <c r="II39" i="19"/>
  <c r="IH39" i="19"/>
  <c r="IN34" i="19"/>
  <c r="IM34" i="19"/>
  <c r="IK34" i="19"/>
  <c r="IJ34" i="19"/>
  <c r="II34" i="19"/>
  <c r="IH34" i="19"/>
  <c r="IN15" i="19"/>
  <c r="IM15" i="19"/>
  <c r="IK15" i="19"/>
  <c r="IJ15" i="19"/>
  <c r="II15" i="19"/>
  <c r="IH15" i="19"/>
  <c r="IN31" i="19"/>
  <c r="IM31" i="19"/>
  <c r="IK31" i="19"/>
  <c r="IJ31" i="19"/>
  <c r="II31" i="19"/>
  <c r="IH31" i="19"/>
  <c r="IN36" i="19"/>
  <c r="IM36" i="19"/>
  <c r="IK36" i="19"/>
  <c r="IJ36" i="19"/>
  <c r="II36" i="19"/>
  <c r="IH36" i="19"/>
  <c r="IN35" i="19"/>
  <c r="IM35" i="19"/>
  <c r="IK35" i="19"/>
  <c r="IJ35" i="19"/>
  <c r="II35" i="19"/>
  <c r="IH35" i="19"/>
  <c r="IN32" i="19"/>
  <c r="IM32" i="19"/>
  <c r="IK32" i="19"/>
  <c r="IJ32" i="19"/>
  <c r="II32" i="19"/>
  <c r="IH32" i="19"/>
  <c r="IN26" i="19"/>
  <c r="IM26" i="19"/>
  <c r="IK26" i="19"/>
  <c r="IJ26" i="19"/>
  <c r="II26" i="19"/>
  <c r="IH26" i="19"/>
  <c r="IN23" i="19"/>
  <c r="IM23" i="19"/>
  <c r="IK23" i="19"/>
  <c r="IJ23" i="19"/>
  <c r="II23" i="19"/>
  <c r="IH23" i="19"/>
  <c r="IN6" i="19"/>
  <c r="IM6" i="19"/>
  <c r="IK6" i="19"/>
  <c r="IJ6" i="19"/>
  <c r="II6" i="19"/>
  <c r="IH6" i="19"/>
  <c r="IN25" i="19"/>
  <c r="IM25" i="19"/>
  <c r="IK25" i="19"/>
  <c r="IJ25" i="19"/>
  <c r="II25" i="19"/>
  <c r="IH25" i="19"/>
  <c r="IN20" i="19"/>
  <c r="IM20" i="19"/>
  <c r="IK20" i="19"/>
  <c r="IJ20" i="19"/>
  <c r="II20" i="19"/>
  <c r="IH20" i="19"/>
  <c r="IN18" i="19"/>
  <c r="IM18" i="19"/>
  <c r="IK18" i="19"/>
  <c r="IJ18" i="19"/>
  <c r="II18" i="19"/>
  <c r="IH18" i="19"/>
  <c r="IN24" i="19"/>
  <c r="IM24" i="19"/>
  <c r="IK24" i="19"/>
  <c r="IJ24" i="19"/>
  <c r="II24" i="19"/>
  <c r="IH24" i="19"/>
  <c r="IN19" i="19"/>
  <c r="IM19" i="19"/>
  <c r="IK19" i="19"/>
  <c r="IJ19" i="19"/>
  <c r="II19" i="19"/>
  <c r="IH19" i="19"/>
  <c r="IN16" i="19"/>
  <c r="IM16" i="19"/>
  <c r="IK16" i="19"/>
  <c r="IJ16" i="19"/>
  <c r="II16" i="19"/>
  <c r="IH16" i="19"/>
  <c r="IN21" i="19"/>
  <c r="IM21" i="19"/>
  <c r="IK21" i="19"/>
  <c r="IJ21" i="19"/>
  <c r="II21" i="19"/>
  <c r="IH21" i="19"/>
  <c r="IN17" i="19"/>
  <c r="IM17" i="19"/>
  <c r="IK17" i="19"/>
  <c r="IJ17" i="19"/>
  <c r="II17" i="19"/>
  <c r="IH17" i="19"/>
  <c r="IN30" i="19"/>
  <c r="IM30" i="19"/>
  <c r="IK30" i="19"/>
  <c r="IJ30" i="19"/>
  <c r="II30" i="19"/>
  <c r="IH30" i="19"/>
  <c r="IN8" i="19"/>
  <c r="IM8" i="19"/>
  <c r="IK8" i="19"/>
  <c r="IJ8" i="19"/>
  <c r="II8" i="19"/>
  <c r="IH8" i="19"/>
  <c r="IN41" i="19"/>
  <c r="IM41" i="19"/>
  <c r="IK41" i="19"/>
  <c r="IJ41" i="19"/>
  <c r="II41" i="19"/>
  <c r="IH41" i="19"/>
  <c r="IN38" i="19"/>
  <c r="IM38" i="19"/>
  <c r="IK38" i="19"/>
  <c r="IJ38" i="19"/>
  <c r="II38" i="19"/>
  <c r="IH38" i="19"/>
  <c r="IN11" i="19"/>
  <c r="IM11" i="19"/>
  <c r="IK11" i="19"/>
  <c r="IJ11" i="19"/>
  <c r="II11" i="19"/>
  <c r="IH11" i="19"/>
  <c r="IN7" i="19"/>
  <c r="IM7" i="19"/>
  <c r="IK7" i="19"/>
  <c r="IJ7" i="19"/>
  <c r="II7" i="19"/>
  <c r="IH7" i="19"/>
  <c r="IN10" i="19"/>
  <c r="IM10" i="19"/>
  <c r="IK10" i="19"/>
  <c r="IJ10" i="19"/>
  <c r="II10" i="19"/>
  <c r="IH10" i="19"/>
  <c r="IN9" i="19"/>
  <c r="IM9" i="19"/>
  <c r="IK9" i="19"/>
  <c r="IJ9" i="19"/>
  <c r="II9" i="19"/>
  <c r="IH9" i="19"/>
  <c r="IN5" i="19"/>
  <c r="IM5" i="19"/>
  <c r="IK5" i="19"/>
  <c r="IJ5" i="19"/>
  <c r="II5" i="19"/>
  <c r="IH5" i="19"/>
  <c r="HL40" i="19"/>
  <c r="HK40" i="19"/>
  <c r="HI40" i="19"/>
  <c r="HH40" i="19"/>
  <c r="HG40" i="19"/>
  <c r="HF40" i="19"/>
  <c r="HL37" i="19"/>
  <c r="HK37" i="19"/>
  <c r="HI37" i="19"/>
  <c r="HH37" i="19"/>
  <c r="HG37" i="19"/>
  <c r="HF37" i="19"/>
  <c r="HL39" i="19"/>
  <c r="HK39" i="19"/>
  <c r="HI39" i="19"/>
  <c r="HH39" i="19"/>
  <c r="HG39" i="19"/>
  <c r="HF39" i="19"/>
  <c r="HL34" i="19"/>
  <c r="HK34" i="19"/>
  <c r="HI34" i="19"/>
  <c r="HH34" i="19"/>
  <c r="HG34" i="19"/>
  <c r="HF34" i="19"/>
  <c r="HL15" i="19"/>
  <c r="HK15" i="19"/>
  <c r="HI15" i="19"/>
  <c r="HH15" i="19"/>
  <c r="HG15" i="19"/>
  <c r="HF15" i="19"/>
  <c r="HL31" i="19"/>
  <c r="HK31" i="19"/>
  <c r="HI31" i="19"/>
  <c r="HH31" i="19"/>
  <c r="HG31" i="19"/>
  <c r="HF31" i="19"/>
  <c r="HL36" i="19"/>
  <c r="HK36" i="19"/>
  <c r="HI36" i="19"/>
  <c r="HH36" i="19"/>
  <c r="HG36" i="19"/>
  <c r="HF36" i="19"/>
  <c r="HL35" i="19"/>
  <c r="HK35" i="19"/>
  <c r="HI35" i="19"/>
  <c r="HH35" i="19"/>
  <c r="HG35" i="19"/>
  <c r="HF35" i="19"/>
  <c r="HL32" i="19"/>
  <c r="HK32" i="19"/>
  <c r="HI32" i="19"/>
  <c r="HH32" i="19"/>
  <c r="HG32" i="19"/>
  <c r="HF32" i="19"/>
  <c r="HL26" i="19"/>
  <c r="HK26" i="19"/>
  <c r="HI26" i="19"/>
  <c r="HH26" i="19"/>
  <c r="HG26" i="19"/>
  <c r="HF26" i="19"/>
  <c r="HL23" i="19"/>
  <c r="HK23" i="19"/>
  <c r="HI23" i="19"/>
  <c r="HH23" i="19"/>
  <c r="HG23" i="19"/>
  <c r="HF23" i="19"/>
  <c r="HL6" i="19"/>
  <c r="HK6" i="19"/>
  <c r="HI6" i="19"/>
  <c r="HH6" i="19"/>
  <c r="HG6" i="19"/>
  <c r="HF6" i="19"/>
  <c r="HL25" i="19"/>
  <c r="HK25" i="19"/>
  <c r="HI25" i="19"/>
  <c r="HH25" i="19"/>
  <c r="HG25" i="19"/>
  <c r="HF25" i="19"/>
  <c r="HL20" i="19"/>
  <c r="HK20" i="19"/>
  <c r="HI20" i="19"/>
  <c r="HH20" i="19"/>
  <c r="HG20" i="19"/>
  <c r="HF20" i="19"/>
  <c r="HL18" i="19"/>
  <c r="HK18" i="19"/>
  <c r="HI18" i="19"/>
  <c r="HH18" i="19"/>
  <c r="HG18" i="19"/>
  <c r="HF18" i="19"/>
  <c r="HL24" i="19"/>
  <c r="HK24" i="19"/>
  <c r="HI24" i="19"/>
  <c r="HH24" i="19"/>
  <c r="HG24" i="19"/>
  <c r="HF24" i="19"/>
  <c r="HL19" i="19"/>
  <c r="HK19" i="19"/>
  <c r="HI19" i="19"/>
  <c r="HH19" i="19"/>
  <c r="HG19" i="19"/>
  <c r="HF19" i="19"/>
  <c r="HL16" i="19"/>
  <c r="HK16" i="19"/>
  <c r="HI16" i="19"/>
  <c r="HH16" i="19"/>
  <c r="HG16" i="19"/>
  <c r="HF16" i="19"/>
  <c r="HL21" i="19"/>
  <c r="HK21" i="19"/>
  <c r="HI21" i="19"/>
  <c r="HH21" i="19"/>
  <c r="HG21" i="19"/>
  <c r="HF21" i="19"/>
  <c r="HL17" i="19"/>
  <c r="HK17" i="19"/>
  <c r="HI17" i="19"/>
  <c r="HH17" i="19"/>
  <c r="HG17" i="19"/>
  <c r="HF17" i="19"/>
  <c r="HL30" i="19"/>
  <c r="HK30" i="19"/>
  <c r="HI30" i="19"/>
  <c r="HH30" i="19"/>
  <c r="HG30" i="19"/>
  <c r="HF30" i="19"/>
  <c r="HL8" i="19"/>
  <c r="HK8" i="19"/>
  <c r="HI8" i="19"/>
  <c r="HH8" i="19"/>
  <c r="HG8" i="19"/>
  <c r="HF8" i="19"/>
  <c r="HL41" i="19"/>
  <c r="HK41" i="19"/>
  <c r="HI41" i="19"/>
  <c r="HH41" i="19"/>
  <c r="HG41" i="19"/>
  <c r="HF41" i="19"/>
  <c r="HL38" i="19"/>
  <c r="HK38" i="19"/>
  <c r="HI38" i="19"/>
  <c r="HH38" i="19"/>
  <c r="HG38" i="19"/>
  <c r="HF38" i="19"/>
  <c r="HL11" i="19"/>
  <c r="HK11" i="19"/>
  <c r="HI11" i="19"/>
  <c r="HH11" i="19"/>
  <c r="HG11" i="19"/>
  <c r="HF11" i="19"/>
  <c r="HL7" i="19"/>
  <c r="HK7" i="19"/>
  <c r="HI7" i="19"/>
  <c r="HH7" i="19"/>
  <c r="HG7" i="19"/>
  <c r="HF7" i="19"/>
  <c r="HL10" i="19"/>
  <c r="HK10" i="19"/>
  <c r="HI10" i="19"/>
  <c r="HH10" i="19"/>
  <c r="HG10" i="19"/>
  <c r="HF10" i="19"/>
  <c r="HL9" i="19"/>
  <c r="HK9" i="19"/>
  <c r="HI9" i="19"/>
  <c r="HH9" i="19"/>
  <c r="HG9" i="19"/>
  <c r="HF9" i="19"/>
  <c r="HL5" i="19"/>
  <c r="HK5" i="19"/>
  <c r="HI5" i="19"/>
  <c r="HH5" i="19"/>
  <c r="HG5" i="19"/>
  <c r="HF5" i="19"/>
  <c r="GJ40" i="19"/>
  <c r="GI40" i="19"/>
  <c r="GG40" i="19"/>
  <c r="GF40" i="19"/>
  <c r="GE40" i="19"/>
  <c r="GD40" i="19"/>
  <c r="GJ37" i="19"/>
  <c r="GI37" i="19"/>
  <c r="GG37" i="19"/>
  <c r="GF37" i="19"/>
  <c r="GE37" i="19"/>
  <c r="GD37" i="19"/>
  <c r="GJ39" i="19"/>
  <c r="GI39" i="19"/>
  <c r="GG39" i="19"/>
  <c r="GF39" i="19"/>
  <c r="GE39" i="19"/>
  <c r="GD39" i="19"/>
  <c r="GJ34" i="19"/>
  <c r="GI34" i="19"/>
  <c r="GG34" i="19"/>
  <c r="GF34" i="19"/>
  <c r="GE34" i="19"/>
  <c r="GD34" i="19"/>
  <c r="GJ15" i="19"/>
  <c r="GI15" i="19"/>
  <c r="GG15" i="19"/>
  <c r="GF15" i="19"/>
  <c r="GE15" i="19"/>
  <c r="GD15" i="19"/>
  <c r="GJ31" i="19"/>
  <c r="GI31" i="19"/>
  <c r="GG31" i="19"/>
  <c r="GF31" i="19"/>
  <c r="GE31" i="19"/>
  <c r="GD31" i="19"/>
  <c r="GJ36" i="19"/>
  <c r="GI36" i="19"/>
  <c r="GG36" i="19"/>
  <c r="GF36" i="19"/>
  <c r="GE36" i="19"/>
  <c r="GD36" i="19"/>
  <c r="GJ35" i="19"/>
  <c r="GI35" i="19"/>
  <c r="GG35" i="19"/>
  <c r="GF35" i="19"/>
  <c r="GE35" i="19"/>
  <c r="GD35" i="19"/>
  <c r="GJ32" i="19"/>
  <c r="GI32" i="19"/>
  <c r="GG32" i="19"/>
  <c r="GF32" i="19"/>
  <c r="GE32" i="19"/>
  <c r="GD32" i="19"/>
  <c r="GJ26" i="19"/>
  <c r="GI26" i="19"/>
  <c r="GG26" i="19"/>
  <c r="GF26" i="19"/>
  <c r="GE26" i="19"/>
  <c r="GD26" i="19"/>
  <c r="GJ23" i="19"/>
  <c r="GI23" i="19"/>
  <c r="GG23" i="19"/>
  <c r="GF23" i="19"/>
  <c r="GE23" i="19"/>
  <c r="GD23" i="19"/>
  <c r="GJ6" i="19"/>
  <c r="GI6" i="19"/>
  <c r="GG6" i="19"/>
  <c r="GF6" i="19"/>
  <c r="GE6" i="19"/>
  <c r="GD6" i="19"/>
  <c r="GJ25" i="19"/>
  <c r="GI25" i="19"/>
  <c r="GG25" i="19"/>
  <c r="GF25" i="19"/>
  <c r="GE25" i="19"/>
  <c r="GD25" i="19"/>
  <c r="GJ20" i="19"/>
  <c r="GI20" i="19"/>
  <c r="GG20" i="19"/>
  <c r="GF20" i="19"/>
  <c r="GE20" i="19"/>
  <c r="GD20" i="19"/>
  <c r="GJ18" i="19"/>
  <c r="GI18" i="19"/>
  <c r="GG18" i="19"/>
  <c r="GF18" i="19"/>
  <c r="GE18" i="19"/>
  <c r="GD18" i="19"/>
  <c r="GJ24" i="19"/>
  <c r="GI24" i="19"/>
  <c r="GG24" i="19"/>
  <c r="GF24" i="19"/>
  <c r="GE24" i="19"/>
  <c r="GD24" i="19"/>
  <c r="GJ19" i="19"/>
  <c r="GI19" i="19"/>
  <c r="GG19" i="19"/>
  <c r="GF19" i="19"/>
  <c r="GE19" i="19"/>
  <c r="GD19" i="19"/>
  <c r="GJ16" i="19"/>
  <c r="GI16" i="19"/>
  <c r="GG16" i="19"/>
  <c r="GF16" i="19"/>
  <c r="GE16" i="19"/>
  <c r="GD16" i="19"/>
  <c r="GJ21" i="19"/>
  <c r="GI21" i="19"/>
  <c r="GG21" i="19"/>
  <c r="GF21" i="19"/>
  <c r="GE21" i="19"/>
  <c r="GD21" i="19"/>
  <c r="GJ17" i="19"/>
  <c r="GI17" i="19"/>
  <c r="GG17" i="19"/>
  <c r="GF17" i="19"/>
  <c r="GE17" i="19"/>
  <c r="GD17" i="19"/>
  <c r="GJ30" i="19"/>
  <c r="GI30" i="19"/>
  <c r="GG30" i="19"/>
  <c r="GF30" i="19"/>
  <c r="GE30" i="19"/>
  <c r="GD30" i="19"/>
  <c r="GJ8" i="19"/>
  <c r="GI8" i="19"/>
  <c r="GG8" i="19"/>
  <c r="GF8" i="19"/>
  <c r="GE8" i="19"/>
  <c r="GD8" i="19"/>
  <c r="GJ41" i="19"/>
  <c r="GI41" i="19"/>
  <c r="GG41" i="19"/>
  <c r="GF41" i="19"/>
  <c r="GE41" i="19"/>
  <c r="GD41" i="19"/>
  <c r="GJ38" i="19"/>
  <c r="GI38" i="19"/>
  <c r="GG38" i="19"/>
  <c r="GF38" i="19"/>
  <c r="GE38" i="19"/>
  <c r="GD38" i="19"/>
  <c r="GJ11" i="19"/>
  <c r="GI11" i="19"/>
  <c r="GG11" i="19"/>
  <c r="GF11" i="19"/>
  <c r="GE11" i="19"/>
  <c r="GD11" i="19"/>
  <c r="GJ7" i="19"/>
  <c r="GI7" i="19"/>
  <c r="GG7" i="19"/>
  <c r="GF7" i="19"/>
  <c r="GE7" i="19"/>
  <c r="GD7" i="19"/>
  <c r="GJ10" i="19"/>
  <c r="GI10" i="19"/>
  <c r="GG10" i="19"/>
  <c r="GF10" i="19"/>
  <c r="GE10" i="19"/>
  <c r="GD10" i="19"/>
  <c r="GJ9" i="19"/>
  <c r="GI9" i="19"/>
  <c r="GG9" i="19"/>
  <c r="GF9" i="19"/>
  <c r="GE9" i="19"/>
  <c r="GD9" i="19"/>
  <c r="GJ5" i="19"/>
  <c r="GI5" i="19"/>
  <c r="GG5" i="19"/>
  <c r="GF5" i="19"/>
  <c r="GE5" i="19"/>
  <c r="GD5" i="19"/>
  <c r="FH40" i="19"/>
  <c r="FG40" i="19"/>
  <c r="FE40" i="19"/>
  <c r="FD40" i="19"/>
  <c r="FC40" i="19"/>
  <c r="FB40" i="19"/>
  <c r="FH37" i="19"/>
  <c r="FG37" i="19"/>
  <c r="FE37" i="19"/>
  <c r="FD37" i="19"/>
  <c r="FC37" i="19"/>
  <c r="FB37" i="19"/>
  <c r="FH39" i="19"/>
  <c r="FG39" i="19"/>
  <c r="FE39" i="19"/>
  <c r="FD39" i="19"/>
  <c r="FC39" i="19"/>
  <c r="FB39" i="19"/>
  <c r="FH34" i="19"/>
  <c r="FG34" i="19"/>
  <c r="FE34" i="19"/>
  <c r="FD34" i="19"/>
  <c r="FC34" i="19"/>
  <c r="FB34" i="19"/>
  <c r="FH15" i="19"/>
  <c r="FG15" i="19"/>
  <c r="FE15" i="19"/>
  <c r="FD15" i="19"/>
  <c r="FC15" i="19"/>
  <c r="FB15" i="19"/>
  <c r="FH31" i="19"/>
  <c r="FG31" i="19"/>
  <c r="FE31" i="19"/>
  <c r="FD31" i="19"/>
  <c r="FC31" i="19"/>
  <c r="FB31" i="19"/>
  <c r="FH36" i="19"/>
  <c r="FG36" i="19"/>
  <c r="FE36" i="19"/>
  <c r="FD36" i="19"/>
  <c r="FC36" i="19"/>
  <c r="FB36" i="19"/>
  <c r="FH35" i="19"/>
  <c r="FG35" i="19"/>
  <c r="FE35" i="19"/>
  <c r="FD35" i="19"/>
  <c r="FC35" i="19"/>
  <c r="FB35" i="19"/>
  <c r="FH32" i="19"/>
  <c r="FG32" i="19"/>
  <c r="FE32" i="19"/>
  <c r="FD32" i="19"/>
  <c r="FC32" i="19"/>
  <c r="FB32" i="19"/>
  <c r="FH26" i="19"/>
  <c r="FG26" i="19"/>
  <c r="FE26" i="19"/>
  <c r="FD26" i="19"/>
  <c r="FC26" i="19"/>
  <c r="FB26" i="19"/>
  <c r="FH23" i="19"/>
  <c r="FG23" i="19"/>
  <c r="FE23" i="19"/>
  <c r="FD23" i="19"/>
  <c r="FC23" i="19"/>
  <c r="FB23" i="19"/>
  <c r="FH6" i="19"/>
  <c r="FG6" i="19"/>
  <c r="FE6" i="19"/>
  <c r="FD6" i="19"/>
  <c r="FC6" i="19"/>
  <c r="FB6" i="19"/>
  <c r="FH25" i="19"/>
  <c r="FG25" i="19"/>
  <c r="FE25" i="19"/>
  <c r="FD25" i="19"/>
  <c r="FC25" i="19"/>
  <c r="FB25" i="19"/>
  <c r="FH20" i="19"/>
  <c r="FG20" i="19"/>
  <c r="FE20" i="19"/>
  <c r="FD20" i="19"/>
  <c r="FC20" i="19"/>
  <c r="FB20" i="19"/>
  <c r="FH18" i="19"/>
  <c r="FG18" i="19"/>
  <c r="FE18" i="19"/>
  <c r="FD18" i="19"/>
  <c r="FC18" i="19"/>
  <c r="FB18" i="19"/>
  <c r="FH24" i="19"/>
  <c r="FG24" i="19"/>
  <c r="FE24" i="19"/>
  <c r="FD24" i="19"/>
  <c r="FC24" i="19"/>
  <c r="FB24" i="19"/>
  <c r="FH19" i="19"/>
  <c r="FG19" i="19"/>
  <c r="FE19" i="19"/>
  <c r="FD19" i="19"/>
  <c r="FC19" i="19"/>
  <c r="FB19" i="19"/>
  <c r="FH16" i="19"/>
  <c r="FG16" i="19"/>
  <c r="FE16" i="19"/>
  <c r="FD16" i="19"/>
  <c r="FC16" i="19"/>
  <c r="FB16" i="19"/>
  <c r="FH21" i="19"/>
  <c r="FG21" i="19"/>
  <c r="FE21" i="19"/>
  <c r="FD21" i="19"/>
  <c r="FC21" i="19"/>
  <c r="FB21" i="19"/>
  <c r="FH17" i="19"/>
  <c r="FG17" i="19"/>
  <c r="FE17" i="19"/>
  <c r="FD17" i="19"/>
  <c r="FC17" i="19"/>
  <c r="FB17" i="19"/>
  <c r="FH30" i="19"/>
  <c r="FG30" i="19"/>
  <c r="FE30" i="19"/>
  <c r="FD30" i="19"/>
  <c r="FC30" i="19"/>
  <c r="FB30" i="19"/>
  <c r="FH8" i="19"/>
  <c r="FG8" i="19"/>
  <c r="FE8" i="19"/>
  <c r="FD8" i="19"/>
  <c r="FC8" i="19"/>
  <c r="FB8" i="19"/>
  <c r="FH41" i="19"/>
  <c r="FG41" i="19"/>
  <c r="FE41" i="19"/>
  <c r="FD41" i="19"/>
  <c r="FC41" i="19"/>
  <c r="FB41" i="19"/>
  <c r="FH38" i="19"/>
  <c r="FG38" i="19"/>
  <c r="FE38" i="19"/>
  <c r="FD38" i="19"/>
  <c r="FC38" i="19"/>
  <c r="FB38" i="19"/>
  <c r="FH11" i="19"/>
  <c r="FG11" i="19"/>
  <c r="FE11" i="19"/>
  <c r="FD11" i="19"/>
  <c r="FC11" i="19"/>
  <c r="FB11" i="19"/>
  <c r="FH7" i="19"/>
  <c r="FG7" i="19"/>
  <c r="FE7" i="19"/>
  <c r="FD7" i="19"/>
  <c r="FC7" i="19"/>
  <c r="FB7" i="19"/>
  <c r="FH10" i="19"/>
  <c r="FG10" i="19"/>
  <c r="FE10" i="19"/>
  <c r="FD10" i="19"/>
  <c r="FC10" i="19"/>
  <c r="FB10" i="19"/>
  <c r="FH9" i="19"/>
  <c r="FG9" i="19"/>
  <c r="FE9" i="19"/>
  <c r="FD9" i="19"/>
  <c r="FC9" i="19"/>
  <c r="FB9" i="19"/>
  <c r="FH5" i="19"/>
  <c r="FG5" i="19"/>
  <c r="FE5" i="19"/>
  <c r="FD5" i="19"/>
  <c r="FC5" i="19"/>
  <c r="FB5" i="19"/>
  <c r="EF40" i="19"/>
  <c r="EE40" i="19"/>
  <c r="EC40" i="19"/>
  <c r="EB40" i="19"/>
  <c r="EA40" i="19"/>
  <c r="DZ40" i="19"/>
  <c r="EF37" i="19"/>
  <c r="EE37" i="19"/>
  <c r="EC37" i="19"/>
  <c r="EB37" i="19"/>
  <c r="EA37" i="19"/>
  <c r="DZ37" i="19"/>
  <c r="EF39" i="19"/>
  <c r="EE39" i="19"/>
  <c r="EC39" i="19"/>
  <c r="EB39" i="19"/>
  <c r="EA39" i="19"/>
  <c r="DZ39" i="19"/>
  <c r="EF34" i="19"/>
  <c r="EE34" i="19"/>
  <c r="EC34" i="19"/>
  <c r="EB34" i="19"/>
  <c r="EA34" i="19"/>
  <c r="DZ34" i="19"/>
  <c r="EF15" i="19"/>
  <c r="EE15" i="19"/>
  <c r="EC15" i="19"/>
  <c r="EB15" i="19"/>
  <c r="EA15" i="19"/>
  <c r="DZ15" i="19"/>
  <c r="EF31" i="19"/>
  <c r="EE31" i="19"/>
  <c r="EC31" i="19"/>
  <c r="EB31" i="19"/>
  <c r="EA31" i="19"/>
  <c r="DZ31" i="19"/>
  <c r="EF36" i="19"/>
  <c r="EE36" i="19"/>
  <c r="EC36" i="19"/>
  <c r="EB36" i="19"/>
  <c r="EA36" i="19"/>
  <c r="DZ36" i="19"/>
  <c r="EF35" i="19"/>
  <c r="EE35" i="19"/>
  <c r="EC35" i="19"/>
  <c r="EB35" i="19"/>
  <c r="EA35" i="19"/>
  <c r="DZ35" i="19"/>
  <c r="EF32" i="19"/>
  <c r="EE32" i="19"/>
  <c r="EC32" i="19"/>
  <c r="EB32" i="19"/>
  <c r="EA32" i="19"/>
  <c r="DZ32" i="19"/>
  <c r="EF26" i="19"/>
  <c r="EE26" i="19"/>
  <c r="EC26" i="19"/>
  <c r="EB26" i="19"/>
  <c r="EA26" i="19"/>
  <c r="DZ26" i="19"/>
  <c r="EF23" i="19"/>
  <c r="EE23" i="19"/>
  <c r="EC23" i="19"/>
  <c r="EB23" i="19"/>
  <c r="EA23" i="19"/>
  <c r="DZ23" i="19"/>
  <c r="EF6" i="19"/>
  <c r="EE6" i="19"/>
  <c r="EC6" i="19"/>
  <c r="EB6" i="19"/>
  <c r="EA6" i="19"/>
  <c r="DZ6" i="19"/>
  <c r="EF25" i="19"/>
  <c r="EE25" i="19"/>
  <c r="EC25" i="19"/>
  <c r="EB25" i="19"/>
  <c r="EA25" i="19"/>
  <c r="DZ25" i="19"/>
  <c r="EF20" i="19"/>
  <c r="EE20" i="19"/>
  <c r="EC20" i="19"/>
  <c r="EB20" i="19"/>
  <c r="EA20" i="19"/>
  <c r="DZ20" i="19"/>
  <c r="EF18" i="19"/>
  <c r="EE18" i="19"/>
  <c r="EC18" i="19"/>
  <c r="EB18" i="19"/>
  <c r="EA18" i="19"/>
  <c r="DZ18" i="19"/>
  <c r="EF24" i="19"/>
  <c r="EE24" i="19"/>
  <c r="EC24" i="19"/>
  <c r="EB24" i="19"/>
  <c r="EA24" i="19"/>
  <c r="DZ24" i="19"/>
  <c r="EF19" i="19"/>
  <c r="EE19" i="19"/>
  <c r="EC19" i="19"/>
  <c r="EB19" i="19"/>
  <c r="EA19" i="19"/>
  <c r="DZ19" i="19"/>
  <c r="EF16" i="19"/>
  <c r="EE16" i="19"/>
  <c r="EC16" i="19"/>
  <c r="EB16" i="19"/>
  <c r="EA16" i="19"/>
  <c r="DZ16" i="19"/>
  <c r="EF21" i="19"/>
  <c r="EE21" i="19"/>
  <c r="EC21" i="19"/>
  <c r="EB21" i="19"/>
  <c r="EA21" i="19"/>
  <c r="DZ21" i="19"/>
  <c r="EF17" i="19"/>
  <c r="EE17" i="19"/>
  <c r="EC17" i="19"/>
  <c r="EB17" i="19"/>
  <c r="EA17" i="19"/>
  <c r="DZ17" i="19"/>
  <c r="EF30" i="19"/>
  <c r="EE30" i="19"/>
  <c r="EC30" i="19"/>
  <c r="EB30" i="19"/>
  <c r="EA30" i="19"/>
  <c r="DZ30" i="19"/>
  <c r="EF8" i="19"/>
  <c r="EE8" i="19"/>
  <c r="EC8" i="19"/>
  <c r="EB8" i="19"/>
  <c r="EA8" i="19"/>
  <c r="DZ8" i="19"/>
  <c r="EF41" i="19"/>
  <c r="EE41" i="19"/>
  <c r="EC41" i="19"/>
  <c r="EB41" i="19"/>
  <c r="EA41" i="19"/>
  <c r="DZ41" i="19"/>
  <c r="EF38" i="19"/>
  <c r="EE38" i="19"/>
  <c r="EC38" i="19"/>
  <c r="EB38" i="19"/>
  <c r="EA38" i="19"/>
  <c r="DZ38" i="19"/>
  <c r="EF11" i="19"/>
  <c r="EE11" i="19"/>
  <c r="EC11" i="19"/>
  <c r="EB11" i="19"/>
  <c r="EA11" i="19"/>
  <c r="DZ11" i="19"/>
  <c r="EF7" i="19"/>
  <c r="EE7" i="19"/>
  <c r="EC7" i="19"/>
  <c r="EB7" i="19"/>
  <c r="EA7" i="19"/>
  <c r="DZ7" i="19"/>
  <c r="EF10" i="19"/>
  <c r="EE10" i="19"/>
  <c r="EC10" i="19"/>
  <c r="EB10" i="19"/>
  <c r="EA10" i="19"/>
  <c r="DZ10" i="19"/>
  <c r="EF9" i="19"/>
  <c r="EE9" i="19"/>
  <c r="EC9" i="19"/>
  <c r="EB9" i="19"/>
  <c r="EA9" i="19"/>
  <c r="DZ9" i="19"/>
  <c r="EF5" i="19"/>
  <c r="EE5" i="19"/>
  <c r="EC5" i="19"/>
  <c r="EB5" i="19"/>
  <c r="EA5" i="19"/>
  <c r="DZ5" i="19"/>
  <c r="OZ8" i="27"/>
  <c r="OY8" i="27"/>
  <c r="OW8" i="27"/>
  <c r="OV8" i="27"/>
  <c r="OU8" i="27"/>
  <c r="OT8" i="27"/>
  <c r="OZ13" i="27"/>
  <c r="OY13" i="27"/>
  <c r="OW13" i="27"/>
  <c r="OV13" i="27"/>
  <c r="OU13" i="27"/>
  <c r="OT13" i="27"/>
  <c r="OZ20" i="27"/>
  <c r="OY20" i="27"/>
  <c r="OW20" i="27"/>
  <c r="OV20" i="27"/>
  <c r="OU20" i="27"/>
  <c r="OT20" i="27"/>
  <c r="OZ18" i="27"/>
  <c r="OY18" i="27"/>
  <c r="OW18" i="27"/>
  <c r="OV18" i="27"/>
  <c r="OU18" i="27"/>
  <c r="OT18" i="27"/>
  <c r="OZ14" i="27"/>
  <c r="OY14" i="27"/>
  <c r="OW14" i="27"/>
  <c r="OV14" i="27"/>
  <c r="OU14" i="27"/>
  <c r="OT14" i="27"/>
  <c r="OZ12" i="27"/>
  <c r="OY12" i="27"/>
  <c r="OW12" i="27"/>
  <c r="OV12" i="27"/>
  <c r="OU12" i="27"/>
  <c r="OT12" i="27"/>
  <c r="OZ5" i="27"/>
  <c r="OY5" i="27"/>
  <c r="OW5" i="27"/>
  <c r="OV5" i="27"/>
  <c r="OU5" i="27"/>
  <c r="OT5" i="27"/>
  <c r="OZ11" i="27"/>
  <c r="OY11" i="27"/>
  <c r="OW11" i="27"/>
  <c r="OV11" i="27"/>
  <c r="OU11" i="27"/>
  <c r="OT11" i="27"/>
  <c r="OZ10" i="27"/>
  <c r="OY10" i="27"/>
  <c r="OW10" i="27"/>
  <c r="OV10" i="27"/>
  <c r="OU10" i="27"/>
  <c r="OT10" i="27"/>
  <c r="OZ7" i="27"/>
  <c r="OY7" i="27"/>
  <c r="OW7" i="27"/>
  <c r="OV7" i="27"/>
  <c r="OU7" i="27"/>
  <c r="OT7" i="27"/>
  <c r="OZ15" i="27"/>
  <c r="OY15" i="27"/>
  <c r="OW15" i="27"/>
  <c r="OV15" i="27"/>
  <c r="OU15" i="27"/>
  <c r="OT15" i="27"/>
  <c r="OZ6" i="27"/>
  <c r="OY6" i="27"/>
  <c r="OW6" i="27"/>
  <c r="OV6" i="27"/>
  <c r="OU6" i="27"/>
  <c r="OT6" i="27"/>
  <c r="OZ4" i="27"/>
  <c r="OY4" i="27"/>
  <c r="OW4" i="27"/>
  <c r="OV4" i="27"/>
  <c r="OU4" i="27"/>
  <c r="OT4" i="27"/>
  <c r="NX8" i="27"/>
  <c r="NW8" i="27"/>
  <c r="NU8" i="27"/>
  <c r="NT8" i="27"/>
  <c r="NS8" i="27"/>
  <c r="NR8" i="27"/>
  <c r="NX13" i="27"/>
  <c r="NW13" i="27"/>
  <c r="NU13" i="27"/>
  <c r="NT13" i="27"/>
  <c r="NS13" i="27"/>
  <c r="NR13" i="27"/>
  <c r="NX20" i="27"/>
  <c r="NW20" i="27"/>
  <c r="NU20" i="27"/>
  <c r="NT20" i="27"/>
  <c r="NS20" i="27"/>
  <c r="NR20" i="27"/>
  <c r="NX18" i="27"/>
  <c r="NW18" i="27"/>
  <c r="NU18" i="27"/>
  <c r="NT18" i="27"/>
  <c r="NS18" i="27"/>
  <c r="NR18" i="27"/>
  <c r="NX14" i="27"/>
  <c r="NW14" i="27"/>
  <c r="NU14" i="27"/>
  <c r="NT14" i="27"/>
  <c r="NS14" i="27"/>
  <c r="NR14" i="27"/>
  <c r="NX12" i="27"/>
  <c r="NW12" i="27"/>
  <c r="NU12" i="27"/>
  <c r="NT12" i="27"/>
  <c r="NS12" i="27"/>
  <c r="NR12" i="27"/>
  <c r="NX5" i="27"/>
  <c r="NW5" i="27"/>
  <c r="NU5" i="27"/>
  <c r="NT5" i="27"/>
  <c r="NS5" i="27"/>
  <c r="NR5" i="27"/>
  <c r="NX11" i="27"/>
  <c r="NW11" i="27"/>
  <c r="NU11" i="27"/>
  <c r="NT11" i="27"/>
  <c r="NS11" i="27"/>
  <c r="NR11" i="27"/>
  <c r="NX10" i="27"/>
  <c r="NW10" i="27"/>
  <c r="NU10" i="27"/>
  <c r="NT10" i="27"/>
  <c r="NS10" i="27"/>
  <c r="NR10" i="27"/>
  <c r="NX7" i="27"/>
  <c r="NW7" i="27"/>
  <c r="NU7" i="27"/>
  <c r="NT7" i="27"/>
  <c r="NS7" i="27"/>
  <c r="NR7" i="27"/>
  <c r="NX15" i="27"/>
  <c r="NW15" i="27"/>
  <c r="NU15" i="27"/>
  <c r="NT15" i="27"/>
  <c r="NS15" i="27"/>
  <c r="NR15" i="27"/>
  <c r="NX6" i="27"/>
  <c r="NW6" i="27"/>
  <c r="NU6" i="27"/>
  <c r="NT6" i="27"/>
  <c r="NS6" i="27"/>
  <c r="NR6" i="27"/>
  <c r="NX4" i="27"/>
  <c r="NW4" i="27"/>
  <c r="NU4" i="27"/>
  <c r="NT4" i="27"/>
  <c r="NS4" i="27"/>
  <c r="NR4" i="27"/>
  <c r="MV8" i="27"/>
  <c r="MU8" i="27"/>
  <c r="MS8" i="27"/>
  <c r="MR8" i="27"/>
  <c r="MQ8" i="27"/>
  <c r="MP8" i="27"/>
  <c r="MV13" i="27"/>
  <c r="MU13" i="27"/>
  <c r="MS13" i="27"/>
  <c r="MR13" i="27"/>
  <c r="MQ13" i="27"/>
  <c r="MP13" i="27"/>
  <c r="MV20" i="27"/>
  <c r="MU20" i="27"/>
  <c r="MS20" i="27"/>
  <c r="MR20" i="27"/>
  <c r="MQ20" i="27"/>
  <c r="MP20" i="27"/>
  <c r="MV18" i="27"/>
  <c r="MU18" i="27"/>
  <c r="MS18" i="27"/>
  <c r="MR18" i="27"/>
  <c r="MQ18" i="27"/>
  <c r="MP18" i="27"/>
  <c r="MV14" i="27"/>
  <c r="MU14" i="27"/>
  <c r="MS14" i="27"/>
  <c r="MR14" i="27"/>
  <c r="MQ14" i="27"/>
  <c r="MP14" i="27"/>
  <c r="MV12" i="27"/>
  <c r="MU12" i="27"/>
  <c r="MS12" i="27"/>
  <c r="MR12" i="27"/>
  <c r="MQ12" i="27"/>
  <c r="MP12" i="27"/>
  <c r="MV5" i="27"/>
  <c r="MU5" i="27"/>
  <c r="MS5" i="27"/>
  <c r="MR5" i="27"/>
  <c r="MQ5" i="27"/>
  <c r="MP5" i="27"/>
  <c r="MV11" i="27"/>
  <c r="MU11" i="27"/>
  <c r="MS11" i="27"/>
  <c r="MR11" i="27"/>
  <c r="MQ11" i="27"/>
  <c r="MP11" i="27"/>
  <c r="MV10" i="27"/>
  <c r="MU10" i="27"/>
  <c r="MS10" i="27"/>
  <c r="MR10" i="27"/>
  <c r="MQ10" i="27"/>
  <c r="MP10" i="27"/>
  <c r="MV7" i="27"/>
  <c r="MU7" i="27"/>
  <c r="MS7" i="27"/>
  <c r="MR7" i="27"/>
  <c r="MQ7" i="27"/>
  <c r="MP7" i="27"/>
  <c r="MV15" i="27"/>
  <c r="MU15" i="27"/>
  <c r="MS15" i="27"/>
  <c r="MR15" i="27"/>
  <c r="MQ15" i="27"/>
  <c r="MP15" i="27"/>
  <c r="MV6" i="27"/>
  <c r="MU6" i="27"/>
  <c r="MS6" i="27"/>
  <c r="MR6" i="27"/>
  <c r="MQ6" i="27"/>
  <c r="MP6" i="27"/>
  <c r="MV4" i="27"/>
  <c r="MU4" i="27"/>
  <c r="MS4" i="27"/>
  <c r="MR4" i="27"/>
  <c r="MQ4" i="27"/>
  <c r="MP4" i="27"/>
  <c r="LT8" i="27"/>
  <c r="LS8" i="27"/>
  <c r="LQ8" i="27"/>
  <c r="LP8" i="27"/>
  <c r="LO8" i="27"/>
  <c r="LN8" i="27"/>
  <c r="LT13" i="27"/>
  <c r="LS13" i="27"/>
  <c r="LQ13" i="27"/>
  <c r="LP13" i="27"/>
  <c r="LO13" i="27"/>
  <c r="LN13" i="27"/>
  <c r="LT20" i="27"/>
  <c r="LS20" i="27"/>
  <c r="LQ20" i="27"/>
  <c r="LP20" i="27"/>
  <c r="LO20" i="27"/>
  <c r="LN20" i="27"/>
  <c r="LT18" i="27"/>
  <c r="LS18" i="27"/>
  <c r="LQ18" i="27"/>
  <c r="LP18" i="27"/>
  <c r="LO18" i="27"/>
  <c r="LN18" i="27"/>
  <c r="LT14" i="27"/>
  <c r="LS14" i="27"/>
  <c r="LQ14" i="27"/>
  <c r="LP14" i="27"/>
  <c r="LO14" i="27"/>
  <c r="LN14" i="27"/>
  <c r="LT12" i="27"/>
  <c r="LS12" i="27"/>
  <c r="LQ12" i="27"/>
  <c r="LP12" i="27"/>
  <c r="LO12" i="27"/>
  <c r="LN12" i="27"/>
  <c r="LT5" i="27"/>
  <c r="LS5" i="27"/>
  <c r="LQ5" i="27"/>
  <c r="LP5" i="27"/>
  <c r="LO5" i="27"/>
  <c r="LN5" i="27"/>
  <c r="LT11" i="27"/>
  <c r="LS11" i="27"/>
  <c r="LQ11" i="27"/>
  <c r="LP11" i="27"/>
  <c r="LO11" i="27"/>
  <c r="LN11" i="27"/>
  <c r="LT10" i="27"/>
  <c r="LS10" i="27"/>
  <c r="LQ10" i="27"/>
  <c r="LP10" i="27"/>
  <c r="LO10" i="27"/>
  <c r="LN10" i="27"/>
  <c r="LT7" i="27"/>
  <c r="LS7" i="27"/>
  <c r="LQ7" i="27"/>
  <c r="LP7" i="27"/>
  <c r="LO7" i="27"/>
  <c r="LN7" i="27"/>
  <c r="LT15" i="27"/>
  <c r="LS15" i="27"/>
  <c r="LQ15" i="27"/>
  <c r="LP15" i="27"/>
  <c r="LO15" i="27"/>
  <c r="LN15" i="27"/>
  <c r="LT6" i="27"/>
  <c r="LS6" i="27"/>
  <c r="LQ6" i="27"/>
  <c r="LP6" i="27"/>
  <c r="LO6" i="27"/>
  <c r="LN6" i="27"/>
  <c r="LT4" i="27"/>
  <c r="LS4" i="27"/>
  <c r="LQ4" i="27"/>
  <c r="LP4" i="27"/>
  <c r="LO4" i="27"/>
  <c r="LN4" i="27"/>
  <c r="KR8" i="27"/>
  <c r="KQ8" i="27"/>
  <c r="KO8" i="27"/>
  <c r="KN8" i="27"/>
  <c r="KM8" i="27"/>
  <c r="KL8" i="27"/>
  <c r="KR13" i="27"/>
  <c r="KQ13" i="27"/>
  <c r="KO13" i="27"/>
  <c r="KN13" i="27"/>
  <c r="KM13" i="27"/>
  <c r="KL13" i="27"/>
  <c r="KR20" i="27"/>
  <c r="KQ20" i="27"/>
  <c r="KO20" i="27"/>
  <c r="KN20" i="27"/>
  <c r="KM20" i="27"/>
  <c r="KL20" i="27"/>
  <c r="KR18" i="27"/>
  <c r="KQ18" i="27"/>
  <c r="KO18" i="27"/>
  <c r="KN18" i="27"/>
  <c r="KM18" i="27"/>
  <c r="KL18" i="27"/>
  <c r="KR14" i="27"/>
  <c r="KQ14" i="27"/>
  <c r="KO14" i="27"/>
  <c r="KN14" i="27"/>
  <c r="KM14" i="27"/>
  <c r="KL14" i="27"/>
  <c r="KR12" i="27"/>
  <c r="KQ12" i="27"/>
  <c r="KO12" i="27"/>
  <c r="KN12" i="27"/>
  <c r="KM12" i="27"/>
  <c r="KL12" i="27"/>
  <c r="KR5" i="27"/>
  <c r="KQ5" i="27"/>
  <c r="KO5" i="27"/>
  <c r="KN5" i="27"/>
  <c r="KM5" i="27"/>
  <c r="KL5" i="27"/>
  <c r="KR11" i="27"/>
  <c r="KQ11" i="27"/>
  <c r="KO11" i="27"/>
  <c r="KN11" i="27"/>
  <c r="KM11" i="27"/>
  <c r="KL11" i="27"/>
  <c r="KR10" i="27"/>
  <c r="KQ10" i="27"/>
  <c r="KO10" i="27"/>
  <c r="KN10" i="27"/>
  <c r="KM10" i="27"/>
  <c r="KL10" i="27"/>
  <c r="KR7" i="27"/>
  <c r="KQ7" i="27"/>
  <c r="KO7" i="27"/>
  <c r="KN7" i="27"/>
  <c r="KM7" i="27"/>
  <c r="KL7" i="27"/>
  <c r="KR15" i="27"/>
  <c r="KQ15" i="27"/>
  <c r="KO15" i="27"/>
  <c r="KN15" i="27"/>
  <c r="KM15" i="27"/>
  <c r="KL15" i="27"/>
  <c r="KR6" i="27"/>
  <c r="KQ6" i="27"/>
  <c r="KO6" i="27"/>
  <c r="KN6" i="27"/>
  <c r="KM6" i="27"/>
  <c r="KL6" i="27"/>
  <c r="KR4" i="27"/>
  <c r="KQ4" i="27"/>
  <c r="KO4" i="27"/>
  <c r="KN4" i="27"/>
  <c r="KM4" i="27"/>
  <c r="KL4" i="27"/>
  <c r="JP8" i="27"/>
  <c r="JO8" i="27"/>
  <c r="JM8" i="27"/>
  <c r="JL8" i="27"/>
  <c r="JK8" i="27"/>
  <c r="JJ8" i="27"/>
  <c r="JP13" i="27"/>
  <c r="JO13" i="27"/>
  <c r="JM13" i="27"/>
  <c r="JL13" i="27"/>
  <c r="JK13" i="27"/>
  <c r="JJ13" i="27"/>
  <c r="JP20" i="27"/>
  <c r="JO20" i="27"/>
  <c r="JM20" i="27"/>
  <c r="JL20" i="27"/>
  <c r="JK20" i="27"/>
  <c r="JJ20" i="27"/>
  <c r="JP18" i="27"/>
  <c r="JO18" i="27"/>
  <c r="JM18" i="27"/>
  <c r="JL18" i="27"/>
  <c r="JK18" i="27"/>
  <c r="JJ18" i="27"/>
  <c r="JP14" i="27"/>
  <c r="JO14" i="27"/>
  <c r="JM14" i="27"/>
  <c r="JL14" i="27"/>
  <c r="JK14" i="27"/>
  <c r="JJ14" i="27"/>
  <c r="JP12" i="27"/>
  <c r="JO12" i="27"/>
  <c r="JM12" i="27"/>
  <c r="JL12" i="27"/>
  <c r="JK12" i="27"/>
  <c r="JJ12" i="27"/>
  <c r="JP5" i="27"/>
  <c r="JO5" i="27"/>
  <c r="JM5" i="27"/>
  <c r="JL5" i="27"/>
  <c r="JK5" i="27"/>
  <c r="JJ5" i="27"/>
  <c r="JP11" i="27"/>
  <c r="JO11" i="27"/>
  <c r="JM11" i="27"/>
  <c r="JL11" i="27"/>
  <c r="JK11" i="27"/>
  <c r="JJ11" i="27"/>
  <c r="JP10" i="27"/>
  <c r="JO10" i="27"/>
  <c r="JM10" i="27"/>
  <c r="JL10" i="27"/>
  <c r="JK10" i="27"/>
  <c r="JJ10" i="27"/>
  <c r="JP7" i="27"/>
  <c r="JO7" i="27"/>
  <c r="JM7" i="27"/>
  <c r="JL7" i="27"/>
  <c r="JK7" i="27"/>
  <c r="JJ7" i="27"/>
  <c r="JP15" i="27"/>
  <c r="JO15" i="27"/>
  <c r="JM15" i="27"/>
  <c r="JL15" i="27"/>
  <c r="JK15" i="27"/>
  <c r="JJ15" i="27"/>
  <c r="JP6" i="27"/>
  <c r="JO6" i="27"/>
  <c r="JM6" i="27"/>
  <c r="JL6" i="27"/>
  <c r="JK6" i="27"/>
  <c r="JJ6" i="27"/>
  <c r="JP4" i="27"/>
  <c r="JO4" i="27"/>
  <c r="JM4" i="27"/>
  <c r="JL4" i="27"/>
  <c r="JK4" i="27"/>
  <c r="JJ4" i="27"/>
  <c r="IN8" i="27"/>
  <c r="IM8" i="27"/>
  <c r="IK8" i="27"/>
  <c r="IJ8" i="27"/>
  <c r="II8" i="27"/>
  <c r="IH8" i="27"/>
  <c r="IN13" i="27"/>
  <c r="IM13" i="27"/>
  <c r="IK13" i="27"/>
  <c r="IJ13" i="27"/>
  <c r="II13" i="27"/>
  <c r="IH13" i="27"/>
  <c r="IN20" i="27"/>
  <c r="IM20" i="27"/>
  <c r="IK20" i="27"/>
  <c r="IJ20" i="27"/>
  <c r="II20" i="27"/>
  <c r="IH20" i="27"/>
  <c r="IN18" i="27"/>
  <c r="IM18" i="27"/>
  <c r="IK18" i="27"/>
  <c r="IJ18" i="27"/>
  <c r="II18" i="27"/>
  <c r="IH18" i="27"/>
  <c r="IN14" i="27"/>
  <c r="IM14" i="27"/>
  <c r="IK14" i="27"/>
  <c r="IJ14" i="27"/>
  <c r="II14" i="27"/>
  <c r="IH14" i="27"/>
  <c r="IN12" i="27"/>
  <c r="IM12" i="27"/>
  <c r="IK12" i="27"/>
  <c r="IJ12" i="27"/>
  <c r="II12" i="27"/>
  <c r="IH12" i="27"/>
  <c r="IN5" i="27"/>
  <c r="IM5" i="27"/>
  <c r="IK5" i="27"/>
  <c r="IJ5" i="27"/>
  <c r="II5" i="27"/>
  <c r="IH5" i="27"/>
  <c r="IN11" i="27"/>
  <c r="IM11" i="27"/>
  <c r="IK11" i="27"/>
  <c r="IJ11" i="27"/>
  <c r="II11" i="27"/>
  <c r="IH11" i="27"/>
  <c r="IN10" i="27"/>
  <c r="IM10" i="27"/>
  <c r="IK10" i="27"/>
  <c r="IJ10" i="27"/>
  <c r="II10" i="27"/>
  <c r="IH10" i="27"/>
  <c r="IN7" i="27"/>
  <c r="IM7" i="27"/>
  <c r="IK7" i="27"/>
  <c r="IJ7" i="27"/>
  <c r="II7" i="27"/>
  <c r="IH7" i="27"/>
  <c r="IN15" i="27"/>
  <c r="IM15" i="27"/>
  <c r="IK15" i="27"/>
  <c r="IJ15" i="27"/>
  <c r="II15" i="27"/>
  <c r="IH15" i="27"/>
  <c r="IN6" i="27"/>
  <c r="IM6" i="27"/>
  <c r="IK6" i="27"/>
  <c r="IJ6" i="27"/>
  <c r="II6" i="27"/>
  <c r="IH6" i="27"/>
  <c r="IN4" i="27"/>
  <c r="IM4" i="27"/>
  <c r="IK4" i="27"/>
  <c r="IJ4" i="27"/>
  <c r="II4" i="27"/>
  <c r="IH4" i="27"/>
  <c r="HL8" i="27"/>
  <c r="HK8" i="27"/>
  <c r="HI8" i="27"/>
  <c r="HH8" i="27"/>
  <c r="HG8" i="27"/>
  <c r="HF8" i="27"/>
  <c r="HL13" i="27"/>
  <c r="HK13" i="27"/>
  <c r="HI13" i="27"/>
  <c r="HH13" i="27"/>
  <c r="HG13" i="27"/>
  <c r="HF13" i="27"/>
  <c r="HL20" i="27"/>
  <c r="HK20" i="27"/>
  <c r="HI20" i="27"/>
  <c r="HH20" i="27"/>
  <c r="HG20" i="27"/>
  <c r="HF20" i="27"/>
  <c r="HL18" i="27"/>
  <c r="HK18" i="27"/>
  <c r="HI18" i="27"/>
  <c r="HH18" i="27"/>
  <c r="HG18" i="27"/>
  <c r="HF18" i="27"/>
  <c r="HL14" i="27"/>
  <c r="HK14" i="27"/>
  <c r="HI14" i="27"/>
  <c r="HH14" i="27"/>
  <c r="HG14" i="27"/>
  <c r="HF14" i="27"/>
  <c r="HL12" i="27"/>
  <c r="HK12" i="27"/>
  <c r="HI12" i="27"/>
  <c r="HH12" i="27"/>
  <c r="HG12" i="27"/>
  <c r="HF12" i="27"/>
  <c r="HL5" i="27"/>
  <c r="HK5" i="27"/>
  <c r="HI5" i="27"/>
  <c r="HH5" i="27"/>
  <c r="HG5" i="27"/>
  <c r="HF5" i="27"/>
  <c r="HL11" i="27"/>
  <c r="HK11" i="27"/>
  <c r="HI11" i="27"/>
  <c r="HH11" i="27"/>
  <c r="HG11" i="27"/>
  <c r="HF11" i="27"/>
  <c r="HL10" i="27"/>
  <c r="HK10" i="27"/>
  <c r="HI10" i="27"/>
  <c r="HH10" i="27"/>
  <c r="HG10" i="27"/>
  <c r="HF10" i="27"/>
  <c r="HL7" i="27"/>
  <c r="HK7" i="27"/>
  <c r="HI7" i="27"/>
  <c r="HH7" i="27"/>
  <c r="HG7" i="27"/>
  <c r="HF7" i="27"/>
  <c r="HL15" i="27"/>
  <c r="HK15" i="27"/>
  <c r="HI15" i="27"/>
  <c r="HH15" i="27"/>
  <c r="HG15" i="27"/>
  <c r="HF15" i="27"/>
  <c r="HL6" i="27"/>
  <c r="HK6" i="27"/>
  <c r="HI6" i="27"/>
  <c r="HH6" i="27"/>
  <c r="HG6" i="27"/>
  <c r="HF6" i="27"/>
  <c r="HL4" i="27"/>
  <c r="HK4" i="27"/>
  <c r="HI4" i="27"/>
  <c r="HH4" i="27"/>
  <c r="HG4" i="27"/>
  <c r="HF4" i="27"/>
  <c r="GJ8" i="27"/>
  <c r="GI8" i="27"/>
  <c r="GG8" i="27"/>
  <c r="GF8" i="27"/>
  <c r="GE8" i="27"/>
  <c r="GD8" i="27"/>
  <c r="GJ13" i="27"/>
  <c r="GI13" i="27"/>
  <c r="GG13" i="27"/>
  <c r="GF13" i="27"/>
  <c r="GE13" i="27"/>
  <c r="GD13" i="27"/>
  <c r="GJ20" i="27"/>
  <c r="GI20" i="27"/>
  <c r="GG20" i="27"/>
  <c r="GF20" i="27"/>
  <c r="GE20" i="27"/>
  <c r="GD20" i="27"/>
  <c r="GJ18" i="27"/>
  <c r="GI18" i="27"/>
  <c r="GG18" i="27"/>
  <c r="GF18" i="27"/>
  <c r="GE18" i="27"/>
  <c r="GD18" i="27"/>
  <c r="GJ14" i="27"/>
  <c r="GI14" i="27"/>
  <c r="GG14" i="27"/>
  <c r="GF14" i="27"/>
  <c r="GE14" i="27"/>
  <c r="GD14" i="27"/>
  <c r="GJ12" i="27"/>
  <c r="GI12" i="27"/>
  <c r="GG12" i="27"/>
  <c r="GF12" i="27"/>
  <c r="GE12" i="27"/>
  <c r="GD12" i="27"/>
  <c r="GJ5" i="27"/>
  <c r="GI5" i="27"/>
  <c r="GG5" i="27"/>
  <c r="GF5" i="27"/>
  <c r="GE5" i="27"/>
  <c r="GD5" i="27"/>
  <c r="GJ11" i="27"/>
  <c r="GI11" i="27"/>
  <c r="GG11" i="27"/>
  <c r="GF11" i="27"/>
  <c r="GE11" i="27"/>
  <c r="GD11" i="27"/>
  <c r="GJ10" i="27"/>
  <c r="GI10" i="27"/>
  <c r="GG10" i="27"/>
  <c r="GF10" i="27"/>
  <c r="GE10" i="27"/>
  <c r="GD10" i="27"/>
  <c r="GJ7" i="27"/>
  <c r="GI7" i="27"/>
  <c r="GG7" i="27"/>
  <c r="GF7" i="27"/>
  <c r="GE7" i="27"/>
  <c r="GD7" i="27"/>
  <c r="GJ15" i="27"/>
  <c r="GI15" i="27"/>
  <c r="GG15" i="27"/>
  <c r="GF15" i="27"/>
  <c r="GE15" i="27"/>
  <c r="GD15" i="27"/>
  <c r="GJ6" i="27"/>
  <c r="GI6" i="27"/>
  <c r="GG6" i="27"/>
  <c r="GF6" i="27"/>
  <c r="GE6" i="27"/>
  <c r="GD6" i="27"/>
  <c r="GJ4" i="27"/>
  <c r="GI4" i="27"/>
  <c r="GG4" i="27"/>
  <c r="GF4" i="27"/>
  <c r="GE4" i="27"/>
  <c r="GD4" i="27"/>
  <c r="FH8" i="27"/>
  <c r="FG8" i="27"/>
  <c r="FE8" i="27"/>
  <c r="FD8" i="27"/>
  <c r="FC8" i="27"/>
  <c r="FB8" i="27"/>
  <c r="FH13" i="27"/>
  <c r="FG13" i="27"/>
  <c r="FE13" i="27"/>
  <c r="FD13" i="27"/>
  <c r="FC13" i="27"/>
  <c r="FB13" i="27"/>
  <c r="FH20" i="27"/>
  <c r="FG20" i="27"/>
  <c r="FE20" i="27"/>
  <c r="FD20" i="27"/>
  <c r="FC20" i="27"/>
  <c r="FB20" i="27"/>
  <c r="FH18" i="27"/>
  <c r="FG18" i="27"/>
  <c r="FE18" i="27"/>
  <c r="FD18" i="27"/>
  <c r="FC18" i="27"/>
  <c r="FB18" i="27"/>
  <c r="FH14" i="27"/>
  <c r="FG14" i="27"/>
  <c r="FE14" i="27"/>
  <c r="FD14" i="27"/>
  <c r="FC14" i="27"/>
  <c r="FB14" i="27"/>
  <c r="FH12" i="27"/>
  <c r="FG12" i="27"/>
  <c r="FE12" i="27"/>
  <c r="FD12" i="27"/>
  <c r="FC12" i="27"/>
  <c r="FB12" i="27"/>
  <c r="FH5" i="27"/>
  <c r="FG5" i="27"/>
  <c r="FE5" i="27"/>
  <c r="FD5" i="27"/>
  <c r="FC5" i="27"/>
  <c r="FB5" i="27"/>
  <c r="FH11" i="27"/>
  <c r="FG11" i="27"/>
  <c r="FE11" i="27"/>
  <c r="FD11" i="27"/>
  <c r="FC11" i="27"/>
  <c r="FB11" i="27"/>
  <c r="FH10" i="27"/>
  <c r="FG10" i="27"/>
  <c r="FE10" i="27"/>
  <c r="FD10" i="27"/>
  <c r="FC10" i="27"/>
  <c r="FB10" i="27"/>
  <c r="FH7" i="27"/>
  <c r="FG7" i="27"/>
  <c r="FE7" i="27"/>
  <c r="FD7" i="27"/>
  <c r="FC7" i="27"/>
  <c r="FB7" i="27"/>
  <c r="FH15" i="27"/>
  <c r="FG15" i="27"/>
  <c r="FE15" i="27"/>
  <c r="FD15" i="27"/>
  <c r="FC15" i="27"/>
  <c r="FB15" i="27"/>
  <c r="FH6" i="27"/>
  <c r="FG6" i="27"/>
  <c r="FE6" i="27"/>
  <c r="FD6" i="27"/>
  <c r="FC6" i="27"/>
  <c r="FB6" i="27"/>
  <c r="FH4" i="27"/>
  <c r="FG4" i="27"/>
  <c r="FE4" i="27"/>
  <c r="FD4" i="27"/>
  <c r="FC4" i="27"/>
  <c r="FB4" i="27"/>
  <c r="EF8" i="27"/>
  <c r="EE8" i="27"/>
  <c r="EC8" i="27"/>
  <c r="EB8" i="27"/>
  <c r="EA8" i="27"/>
  <c r="DZ8" i="27"/>
  <c r="EF13" i="27"/>
  <c r="EE13" i="27"/>
  <c r="EC13" i="27"/>
  <c r="EB13" i="27"/>
  <c r="EA13" i="27"/>
  <c r="DZ13" i="27"/>
  <c r="EF20" i="27"/>
  <c r="EE20" i="27"/>
  <c r="EC20" i="27"/>
  <c r="EB20" i="27"/>
  <c r="EA20" i="27"/>
  <c r="DZ20" i="27"/>
  <c r="EF18" i="27"/>
  <c r="EE18" i="27"/>
  <c r="EC18" i="27"/>
  <c r="EB18" i="27"/>
  <c r="EA18" i="27"/>
  <c r="DZ18" i="27"/>
  <c r="EF14" i="27"/>
  <c r="EE14" i="27"/>
  <c r="EC14" i="27"/>
  <c r="EB14" i="27"/>
  <c r="EA14" i="27"/>
  <c r="DZ14" i="27"/>
  <c r="EF12" i="27"/>
  <c r="EE12" i="27"/>
  <c r="EC12" i="27"/>
  <c r="EB12" i="27"/>
  <c r="EA12" i="27"/>
  <c r="DZ12" i="27"/>
  <c r="EF5" i="27"/>
  <c r="EE5" i="27"/>
  <c r="EC5" i="27"/>
  <c r="EB5" i="27"/>
  <c r="EA5" i="27"/>
  <c r="DZ5" i="27"/>
  <c r="EF11" i="27"/>
  <c r="EE11" i="27"/>
  <c r="EC11" i="27"/>
  <c r="EB11" i="27"/>
  <c r="EA11" i="27"/>
  <c r="DZ11" i="27"/>
  <c r="EF10" i="27"/>
  <c r="EE10" i="27"/>
  <c r="EC10" i="27"/>
  <c r="EB10" i="27"/>
  <c r="EA10" i="27"/>
  <c r="DZ10" i="27"/>
  <c r="EF7" i="27"/>
  <c r="EE7" i="27"/>
  <c r="EC7" i="27"/>
  <c r="EB7" i="27"/>
  <c r="EA7" i="27"/>
  <c r="DZ7" i="27"/>
  <c r="EF15" i="27"/>
  <c r="EE15" i="27"/>
  <c r="EC15" i="27"/>
  <c r="EB15" i="27"/>
  <c r="EA15" i="27"/>
  <c r="DZ15" i="27"/>
  <c r="EF6" i="27"/>
  <c r="EE6" i="27"/>
  <c r="EC6" i="27"/>
  <c r="EB6" i="27"/>
  <c r="EA6" i="27"/>
  <c r="DZ6" i="27"/>
  <c r="EF4" i="27"/>
  <c r="EE4" i="27"/>
  <c r="EC4" i="27"/>
  <c r="EB4" i="27"/>
  <c r="EA4" i="27"/>
  <c r="DZ4" i="27"/>
  <c r="OZ21" i="26"/>
  <c r="OY21" i="26"/>
  <c r="OW21" i="26"/>
  <c r="OV21" i="26"/>
  <c r="OU21" i="26"/>
  <c r="OT21" i="26"/>
  <c r="OZ17" i="26"/>
  <c r="OY17" i="26"/>
  <c r="OW17" i="26"/>
  <c r="OV17" i="26"/>
  <c r="OU17" i="26"/>
  <c r="OT17" i="26"/>
  <c r="OZ18" i="26"/>
  <c r="OY18" i="26"/>
  <c r="OW18" i="26"/>
  <c r="OV18" i="26"/>
  <c r="OU18" i="26"/>
  <c r="OT18" i="26"/>
  <c r="OZ16" i="26"/>
  <c r="OY16" i="26"/>
  <c r="OW16" i="26"/>
  <c r="OV16" i="26"/>
  <c r="OU16" i="26"/>
  <c r="OT16" i="26"/>
  <c r="OZ15" i="26"/>
  <c r="OY15" i="26"/>
  <c r="OW15" i="26"/>
  <c r="OV15" i="26"/>
  <c r="OU15" i="26"/>
  <c r="OT15" i="26"/>
  <c r="OZ14" i="26"/>
  <c r="OY14" i="26"/>
  <c r="OW14" i="26"/>
  <c r="OV14" i="26"/>
  <c r="OU14" i="26"/>
  <c r="OT14" i="26"/>
  <c r="OZ12" i="26"/>
  <c r="OY12" i="26"/>
  <c r="OW12" i="26"/>
  <c r="OV12" i="26"/>
  <c r="OU12" i="26"/>
  <c r="OT12" i="26"/>
  <c r="OZ6" i="26"/>
  <c r="OY6" i="26"/>
  <c r="OW6" i="26"/>
  <c r="OV6" i="26"/>
  <c r="OU6" i="26"/>
  <c r="OT6" i="26"/>
  <c r="OZ11" i="26"/>
  <c r="OY11" i="26"/>
  <c r="OW11" i="26"/>
  <c r="OV11" i="26"/>
  <c r="OU11" i="26"/>
  <c r="OT11" i="26"/>
  <c r="OZ7" i="26"/>
  <c r="OY7" i="26"/>
  <c r="OW7" i="26"/>
  <c r="OV7" i="26"/>
  <c r="OU7" i="26"/>
  <c r="OT7" i="26"/>
  <c r="OZ13" i="26"/>
  <c r="OY13" i="26"/>
  <c r="OW13" i="26"/>
  <c r="OV13" i="26"/>
  <c r="OU13" i="26"/>
  <c r="OT13" i="26"/>
  <c r="OZ5" i="26"/>
  <c r="OY5" i="26"/>
  <c r="OW5" i="26"/>
  <c r="OV5" i="26"/>
  <c r="OU5" i="26"/>
  <c r="OT5" i="26"/>
  <c r="OZ4" i="26"/>
  <c r="OY4" i="26"/>
  <c r="OW4" i="26"/>
  <c r="OV4" i="26"/>
  <c r="OU4" i="26"/>
  <c r="OT4" i="26"/>
  <c r="NX21" i="26"/>
  <c r="NW21" i="26"/>
  <c r="NU21" i="26"/>
  <c r="NT21" i="26"/>
  <c r="NS21" i="26"/>
  <c r="NR21" i="26"/>
  <c r="NX17" i="26"/>
  <c r="NW17" i="26"/>
  <c r="NU17" i="26"/>
  <c r="NT17" i="26"/>
  <c r="NS17" i="26"/>
  <c r="NR17" i="26"/>
  <c r="NX18" i="26"/>
  <c r="NW18" i="26"/>
  <c r="NU18" i="26"/>
  <c r="NT18" i="26"/>
  <c r="NS18" i="26"/>
  <c r="NR18" i="26"/>
  <c r="NX16" i="26"/>
  <c r="NW16" i="26"/>
  <c r="NU16" i="26"/>
  <c r="NT16" i="26"/>
  <c r="NS16" i="26"/>
  <c r="NR16" i="26"/>
  <c r="NX15" i="26"/>
  <c r="NW15" i="26"/>
  <c r="NU15" i="26"/>
  <c r="NT15" i="26"/>
  <c r="NS15" i="26"/>
  <c r="NR15" i="26"/>
  <c r="NX14" i="26"/>
  <c r="NW14" i="26"/>
  <c r="NU14" i="26"/>
  <c r="NT14" i="26"/>
  <c r="NS14" i="26"/>
  <c r="NR14" i="26"/>
  <c r="NX12" i="26"/>
  <c r="NW12" i="26"/>
  <c r="NU12" i="26"/>
  <c r="NT12" i="26"/>
  <c r="NS12" i="26"/>
  <c r="NR12" i="26"/>
  <c r="NX6" i="26"/>
  <c r="NW6" i="26"/>
  <c r="NU6" i="26"/>
  <c r="NT6" i="26"/>
  <c r="NS6" i="26"/>
  <c r="NR6" i="26"/>
  <c r="NX11" i="26"/>
  <c r="NW11" i="26"/>
  <c r="NU11" i="26"/>
  <c r="NT11" i="26"/>
  <c r="NS11" i="26"/>
  <c r="NR11" i="26"/>
  <c r="NX7" i="26"/>
  <c r="NW7" i="26"/>
  <c r="NU7" i="26"/>
  <c r="NT7" i="26"/>
  <c r="NS7" i="26"/>
  <c r="NR7" i="26"/>
  <c r="NX13" i="26"/>
  <c r="NW13" i="26"/>
  <c r="NU13" i="26"/>
  <c r="NT13" i="26"/>
  <c r="NS13" i="26"/>
  <c r="NR13" i="26"/>
  <c r="NX5" i="26"/>
  <c r="NW5" i="26"/>
  <c r="NU5" i="26"/>
  <c r="NT5" i="26"/>
  <c r="NS5" i="26"/>
  <c r="NR5" i="26"/>
  <c r="NX4" i="26"/>
  <c r="NW4" i="26"/>
  <c r="NU4" i="26"/>
  <c r="NT4" i="26"/>
  <c r="NS4" i="26"/>
  <c r="NR4" i="26"/>
  <c r="MV21" i="26"/>
  <c r="MU21" i="26"/>
  <c r="MS21" i="26"/>
  <c r="MR21" i="26"/>
  <c r="MQ21" i="26"/>
  <c r="MP21" i="26"/>
  <c r="MV17" i="26"/>
  <c r="MU17" i="26"/>
  <c r="MS17" i="26"/>
  <c r="MR17" i="26"/>
  <c r="MQ17" i="26"/>
  <c r="MP17" i="26"/>
  <c r="MV18" i="26"/>
  <c r="MU18" i="26"/>
  <c r="MS18" i="26"/>
  <c r="MR18" i="26"/>
  <c r="MQ18" i="26"/>
  <c r="MP18" i="26"/>
  <c r="MV16" i="26"/>
  <c r="MU16" i="26"/>
  <c r="MS16" i="26"/>
  <c r="MR16" i="26"/>
  <c r="MQ16" i="26"/>
  <c r="MP16" i="26"/>
  <c r="MV15" i="26"/>
  <c r="MU15" i="26"/>
  <c r="MS15" i="26"/>
  <c r="MR15" i="26"/>
  <c r="MQ15" i="26"/>
  <c r="MP15" i="26"/>
  <c r="MV14" i="26"/>
  <c r="MU14" i="26"/>
  <c r="MS14" i="26"/>
  <c r="MR14" i="26"/>
  <c r="MQ14" i="26"/>
  <c r="MP14" i="26"/>
  <c r="MV12" i="26"/>
  <c r="MU12" i="26"/>
  <c r="MS12" i="26"/>
  <c r="MR12" i="26"/>
  <c r="MQ12" i="26"/>
  <c r="MP12" i="26"/>
  <c r="MV6" i="26"/>
  <c r="MU6" i="26"/>
  <c r="MS6" i="26"/>
  <c r="MR6" i="26"/>
  <c r="MQ6" i="26"/>
  <c r="MP6" i="26"/>
  <c r="MV11" i="26"/>
  <c r="MU11" i="26"/>
  <c r="MS11" i="26"/>
  <c r="MR11" i="26"/>
  <c r="MQ11" i="26"/>
  <c r="MP11" i="26"/>
  <c r="MV7" i="26"/>
  <c r="MU7" i="26"/>
  <c r="MS7" i="26"/>
  <c r="MR7" i="26"/>
  <c r="MQ7" i="26"/>
  <c r="MP7" i="26"/>
  <c r="MV13" i="26"/>
  <c r="MU13" i="26"/>
  <c r="MS13" i="26"/>
  <c r="MR13" i="26"/>
  <c r="MQ13" i="26"/>
  <c r="MP13" i="26"/>
  <c r="MV5" i="26"/>
  <c r="MU5" i="26"/>
  <c r="MS5" i="26"/>
  <c r="MR5" i="26"/>
  <c r="MQ5" i="26"/>
  <c r="MP5" i="26"/>
  <c r="MV4" i="26"/>
  <c r="MU4" i="26"/>
  <c r="MS4" i="26"/>
  <c r="MR4" i="26"/>
  <c r="MQ4" i="26"/>
  <c r="MP4" i="26"/>
  <c r="LT21" i="26"/>
  <c r="LS21" i="26"/>
  <c r="LQ21" i="26"/>
  <c r="LP21" i="26"/>
  <c r="LO21" i="26"/>
  <c r="LN21" i="26"/>
  <c r="LT17" i="26"/>
  <c r="LS17" i="26"/>
  <c r="LQ17" i="26"/>
  <c r="LP17" i="26"/>
  <c r="LO17" i="26"/>
  <c r="LN17" i="26"/>
  <c r="LT18" i="26"/>
  <c r="LS18" i="26"/>
  <c r="LQ18" i="26"/>
  <c r="LP18" i="26"/>
  <c r="LO18" i="26"/>
  <c r="LN18" i="26"/>
  <c r="LT16" i="26"/>
  <c r="LS16" i="26"/>
  <c r="LQ16" i="26"/>
  <c r="LP16" i="26"/>
  <c r="LO16" i="26"/>
  <c r="LN16" i="26"/>
  <c r="LT15" i="26"/>
  <c r="LS15" i="26"/>
  <c r="LQ15" i="26"/>
  <c r="LP15" i="26"/>
  <c r="LO15" i="26"/>
  <c r="LN15" i="26"/>
  <c r="LT14" i="26"/>
  <c r="LS14" i="26"/>
  <c r="LQ14" i="26"/>
  <c r="LP14" i="26"/>
  <c r="LO14" i="26"/>
  <c r="LN14" i="26"/>
  <c r="LT12" i="26"/>
  <c r="LS12" i="26"/>
  <c r="LQ12" i="26"/>
  <c r="LP12" i="26"/>
  <c r="LO12" i="26"/>
  <c r="LN12" i="26"/>
  <c r="LT6" i="26"/>
  <c r="LS6" i="26"/>
  <c r="LQ6" i="26"/>
  <c r="LP6" i="26"/>
  <c r="LO6" i="26"/>
  <c r="LN6" i="26"/>
  <c r="LT11" i="26"/>
  <c r="LS11" i="26"/>
  <c r="LQ11" i="26"/>
  <c r="LP11" i="26"/>
  <c r="LO11" i="26"/>
  <c r="LN11" i="26"/>
  <c r="LT7" i="26"/>
  <c r="LS7" i="26"/>
  <c r="LQ7" i="26"/>
  <c r="LP7" i="26"/>
  <c r="LO7" i="26"/>
  <c r="LN7" i="26"/>
  <c r="LT13" i="26"/>
  <c r="LS13" i="26"/>
  <c r="LQ13" i="26"/>
  <c r="LP13" i="26"/>
  <c r="LO13" i="26"/>
  <c r="LN13" i="26"/>
  <c r="LT5" i="26"/>
  <c r="LS5" i="26"/>
  <c r="LQ5" i="26"/>
  <c r="LP5" i="26"/>
  <c r="LO5" i="26"/>
  <c r="LN5" i="26"/>
  <c r="LT4" i="26"/>
  <c r="LS4" i="26"/>
  <c r="LQ4" i="26"/>
  <c r="LP4" i="26"/>
  <c r="LO4" i="26"/>
  <c r="LN4" i="26"/>
  <c r="KR21" i="26"/>
  <c r="KQ21" i="26"/>
  <c r="KO21" i="26"/>
  <c r="KN21" i="26"/>
  <c r="KM21" i="26"/>
  <c r="KL21" i="26"/>
  <c r="KR17" i="26"/>
  <c r="KQ17" i="26"/>
  <c r="KO17" i="26"/>
  <c r="KN17" i="26"/>
  <c r="KM17" i="26"/>
  <c r="KL17" i="26"/>
  <c r="KR18" i="26"/>
  <c r="KQ18" i="26"/>
  <c r="KO18" i="26"/>
  <c r="KN18" i="26"/>
  <c r="KM18" i="26"/>
  <c r="KL18" i="26"/>
  <c r="KR16" i="26"/>
  <c r="KQ16" i="26"/>
  <c r="KO16" i="26"/>
  <c r="KN16" i="26"/>
  <c r="KM16" i="26"/>
  <c r="KL16" i="26"/>
  <c r="KR15" i="26"/>
  <c r="KQ15" i="26"/>
  <c r="KO15" i="26"/>
  <c r="KN15" i="26"/>
  <c r="KM15" i="26"/>
  <c r="KL15" i="26"/>
  <c r="KR14" i="26"/>
  <c r="KQ14" i="26"/>
  <c r="KO14" i="26"/>
  <c r="KN14" i="26"/>
  <c r="KM14" i="26"/>
  <c r="KL14" i="26"/>
  <c r="KR12" i="26"/>
  <c r="KQ12" i="26"/>
  <c r="KO12" i="26"/>
  <c r="KN12" i="26"/>
  <c r="KM12" i="26"/>
  <c r="KL12" i="26"/>
  <c r="KR6" i="26"/>
  <c r="KQ6" i="26"/>
  <c r="KO6" i="26"/>
  <c r="KN6" i="26"/>
  <c r="KM6" i="26"/>
  <c r="KL6" i="26"/>
  <c r="KR11" i="26"/>
  <c r="KQ11" i="26"/>
  <c r="KO11" i="26"/>
  <c r="KN11" i="26"/>
  <c r="KM11" i="26"/>
  <c r="KL11" i="26"/>
  <c r="KR7" i="26"/>
  <c r="KQ7" i="26"/>
  <c r="KO7" i="26"/>
  <c r="KN7" i="26"/>
  <c r="KM7" i="26"/>
  <c r="KL7" i="26"/>
  <c r="KR13" i="26"/>
  <c r="KQ13" i="26"/>
  <c r="KO13" i="26"/>
  <c r="KN13" i="26"/>
  <c r="KM13" i="26"/>
  <c r="KL13" i="26"/>
  <c r="KR5" i="26"/>
  <c r="KQ5" i="26"/>
  <c r="KO5" i="26"/>
  <c r="KN5" i="26"/>
  <c r="KM5" i="26"/>
  <c r="KL5" i="26"/>
  <c r="KR4" i="26"/>
  <c r="KQ4" i="26"/>
  <c r="KO4" i="26"/>
  <c r="KN4" i="26"/>
  <c r="KM4" i="26"/>
  <c r="KL4" i="26"/>
  <c r="JP21" i="26"/>
  <c r="JO21" i="26"/>
  <c r="JM21" i="26"/>
  <c r="JL21" i="26"/>
  <c r="JK21" i="26"/>
  <c r="JJ21" i="26"/>
  <c r="JP17" i="26"/>
  <c r="JO17" i="26"/>
  <c r="JM17" i="26"/>
  <c r="JL17" i="26"/>
  <c r="JK17" i="26"/>
  <c r="JJ17" i="26"/>
  <c r="JP18" i="26"/>
  <c r="JO18" i="26"/>
  <c r="JM18" i="26"/>
  <c r="JL18" i="26"/>
  <c r="JK18" i="26"/>
  <c r="JJ18" i="26"/>
  <c r="JP16" i="26"/>
  <c r="JO16" i="26"/>
  <c r="JM16" i="26"/>
  <c r="JL16" i="26"/>
  <c r="JK16" i="26"/>
  <c r="JJ16" i="26"/>
  <c r="JP15" i="26"/>
  <c r="JO15" i="26"/>
  <c r="JM15" i="26"/>
  <c r="JL15" i="26"/>
  <c r="JK15" i="26"/>
  <c r="JJ15" i="26"/>
  <c r="JP14" i="26"/>
  <c r="JO14" i="26"/>
  <c r="JM14" i="26"/>
  <c r="JL14" i="26"/>
  <c r="JK14" i="26"/>
  <c r="JJ14" i="26"/>
  <c r="JP12" i="26"/>
  <c r="JO12" i="26"/>
  <c r="JM12" i="26"/>
  <c r="JL12" i="26"/>
  <c r="JK12" i="26"/>
  <c r="JJ12" i="26"/>
  <c r="JP6" i="26"/>
  <c r="JO6" i="26"/>
  <c r="JM6" i="26"/>
  <c r="JL6" i="26"/>
  <c r="JK6" i="26"/>
  <c r="JJ6" i="26"/>
  <c r="JP11" i="26"/>
  <c r="JO11" i="26"/>
  <c r="JM11" i="26"/>
  <c r="JL11" i="26"/>
  <c r="JK11" i="26"/>
  <c r="JJ11" i="26"/>
  <c r="JP7" i="26"/>
  <c r="JO7" i="26"/>
  <c r="JM7" i="26"/>
  <c r="JL7" i="26"/>
  <c r="JK7" i="26"/>
  <c r="JJ7" i="26"/>
  <c r="JP13" i="26"/>
  <c r="JO13" i="26"/>
  <c r="JM13" i="26"/>
  <c r="JL13" i="26"/>
  <c r="JK13" i="26"/>
  <c r="JJ13" i="26"/>
  <c r="JP5" i="26"/>
  <c r="JO5" i="26"/>
  <c r="JM5" i="26"/>
  <c r="JL5" i="26"/>
  <c r="JK5" i="26"/>
  <c r="JJ5" i="26"/>
  <c r="JP4" i="26"/>
  <c r="JO4" i="26"/>
  <c r="JM4" i="26"/>
  <c r="JL4" i="26"/>
  <c r="JK4" i="26"/>
  <c r="JJ4" i="26"/>
  <c r="IN21" i="26"/>
  <c r="IM21" i="26"/>
  <c r="IK21" i="26"/>
  <c r="IJ21" i="26"/>
  <c r="II21" i="26"/>
  <c r="IH21" i="26"/>
  <c r="IN17" i="26"/>
  <c r="IM17" i="26"/>
  <c r="IK17" i="26"/>
  <c r="IJ17" i="26"/>
  <c r="II17" i="26"/>
  <c r="IH17" i="26"/>
  <c r="IN18" i="26"/>
  <c r="IM18" i="26"/>
  <c r="IK18" i="26"/>
  <c r="IJ18" i="26"/>
  <c r="II18" i="26"/>
  <c r="IH18" i="26"/>
  <c r="IN16" i="26"/>
  <c r="IM16" i="26"/>
  <c r="IK16" i="26"/>
  <c r="IJ16" i="26"/>
  <c r="II16" i="26"/>
  <c r="IH16" i="26"/>
  <c r="IN15" i="26"/>
  <c r="IM15" i="26"/>
  <c r="IK15" i="26"/>
  <c r="IJ15" i="26"/>
  <c r="II15" i="26"/>
  <c r="IH15" i="26"/>
  <c r="IN14" i="26"/>
  <c r="IM14" i="26"/>
  <c r="IK14" i="26"/>
  <c r="IJ14" i="26"/>
  <c r="II14" i="26"/>
  <c r="IH14" i="26"/>
  <c r="IN12" i="26"/>
  <c r="IM12" i="26"/>
  <c r="IK12" i="26"/>
  <c r="IJ12" i="26"/>
  <c r="II12" i="26"/>
  <c r="IH12" i="26"/>
  <c r="IN6" i="26"/>
  <c r="IM6" i="26"/>
  <c r="IK6" i="26"/>
  <c r="IJ6" i="26"/>
  <c r="II6" i="26"/>
  <c r="IH6" i="26"/>
  <c r="IN11" i="26"/>
  <c r="IM11" i="26"/>
  <c r="IK11" i="26"/>
  <c r="IJ11" i="26"/>
  <c r="II11" i="26"/>
  <c r="IH11" i="26"/>
  <c r="IN7" i="26"/>
  <c r="IM7" i="26"/>
  <c r="IK7" i="26"/>
  <c r="IJ7" i="26"/>
  <c r="II7" i="26"/>
  <c r="IH7" i="26"/>
  <c r="IN13" i="26"/>
  <c r="IM13" i="26"/>
  <c r="IK13" i="26"/>
  <c r="IJ13" i="26"/>
  <c r="II13" i="26"/>
  <c r="IH13" i="26"/>
  <c r="IN5" i="26"/>
  <c r="IM5" i="26"/>
  <c r="IK5" i="26"/>
  <c r="IJ5" i="26"/>
  <c r="II5" i="26"/>
  <c r="IH5" i="26"/>
  <c r="IN4" i="26"/>
  <c r="IM4" i="26"/>
  <c r="IK4" i="26"/>
  <c r="IJ4" i="26"/>
  <c r="II4" i="26"/>
  <c r="IH4" i="26"/>
  <c r="HL21" i="26"/>
  <c r="HK21" i="26"/>
  <c r="HI21" i="26"/>
  <c r="HH21" i="26"/>
  <c r="HG21" i="26"/>
  <c r="HF21" i="26"/>
  <c r="HL17" i="26"/>
  <c r="HK17" i="26"/>
  <c r="HI17" i="26"/>
  <c r="HH17" i="26"/>
  <c r="HG17" i="26"/>
  <c r="HF17" i="26"/>
  <c r="HL18" i="26"/>
  <c r="HK18" i="26"/>
  <c r="HI18" i="26"/>
  <c r="HH18" i="26"/>
  <c r="HG18" i="26"/>
  <c r="HF18" i="26"/>
  <c r="HL16" i="26"/>
  <c r="HK16" i="26"/>
  <c r="HI16" i="26"/>
  <c r="HH16" i="26"/>
  <c r="HG16" i="26"/>
  <c r="HF16" i="26"/>
  <c r="HL15" i="26"/>
  <c r="HK15" i="26"/>
  <c r="HI15" i="26"/>
  <c r="HH15" i="26"/>
  <c r="HG15" i="26"/>
  <c r="HF15" i="26"/>
  <c r="HL14" i="26"/>
  <c r="HK14" i="26"/>
  <c r="HI14" i="26"/>
  <c r="HH14" i="26"/>
  <c r="HG14" i="26"/>
  <c r="HF14" i="26"/>
  <c r="HL12" i="26"/>
  <c r="HK12" i="26"/>
  <c r="HI12" i="26"/>
  <c r="HH12" i="26"/>
  <c r="HG12" i="26"/>
  <c r="HF12" i="26"/>
  <c r="HL6" i="26"/>
  <c r="HK6" i="26"/>
  <c r="HI6" i="26"/>
  <c r="HH6" i="26"/>
  <c r="HG6" i="26"/>
  <c r="HF6" i="26"/>
  <c r="HL11" i="26"/>
  <c r="HK11" i="26"/>
  <c r="HI11" i="26"/>
  <c r="HH11" i="26"/>
  <c r="HG11" i="26"/>
  <c r="HF11" i="26"/>
  <c r="HL7" i="26"/>
  <c r="HK7" i="26"/>
  <c r="HI7" i="26"/>
  <c r="HH7" i="26"/>
  <c r="HG7" i="26"/>
  <c r="HF7" i="26"/>
  <c r="HL13" i="26"/>
  <c r="HK13" i="26"/>
  <c r="HI13" i="26"/>
  <c r="HH13" i="26"/>
  <c r="HG13" i="26"/>
  <c r="HF13" i="26"/>
  <c r="HL5" i="26"/>
  <c r="HK5" i="26"/>
  <c r="HI5" i="26"/>
  <c r="HH5" i="26"/>
  <c r="HG5" i="26"/>
  <c r="HF5" i="26"/>
  <c r="HL4" i="26"/>
  <c r="HK4" i="26"/>
  <c r="HI4" i="26"/>
  <c r="HH4" i="26"/>
  <c r="HG4" i="26"/>
  <c r="HF4" i="26"/>
  <c r="GJ21" i="26"/>
  <c r="GI21" i="26"/>
  <c r="GG21" i="26"/>
  <c r="GF21" i="26"/>
  <c r="GE21" i="26"/>
  <c r="GD21" i="26"/>
  <c r="GJ17" i="26"/>
  <c r="GI17" i="26"/>
  <c r="GG17" i="26"/>
  <c r="GF17" i="26"/>
  <c r="GE17" i="26"/>
  <c r="GD17" i="26"/>
  <c r="GJ18" i="26"/>
  <c r="GI18" i="26"/>
  <c r="GG18" i="26"/>
  <c r="GF18" i="26"/>
  <c r="GE18" i="26"/>
  <c r="GD18" i="26"/>
  <c r="GJ16" i="26"/>
  <c r="GI16" i="26"/>
  <c r="GG16" i="26"/>
  <c r="GF16" i="26"/>
  <c r="GE16" i="26"/>
  <c r="GD16" i="26"/>
  <c r="GJ15" i="26"/>
  <c r="GI15" i="26"/>
  <c r="GG15" i="26"/>
  <c r="GF15" i="26"/>
  <c r="GE15" i="26"/>
  <c r="GD15" i="26"/>
  <c r="GJ14" i="26"/>
  <c r="GI14" i="26"/>
  <c r="GG14" i="26"/>
  <c r="GF14" i="26"/>
  <c r="GE14" i="26"/>
  <c r="GD14" i="26"/>
  <c r="GJ12" i="26"/>
  <c r="GI12" i="26"/>
  <c r="GG12" i="26"/>
  <c r="GF12" i="26"/>
  <c r="GE12" i="26"/>
  <c r="GD12" i="26"/>
  <c r="GJ6" i="26"/>
  <c r="GI6" i="26"/>
  <c r="GG6" i="26"/>
  <c r="GF6" i="26"/>
  <c r="GE6" i="26"/>
  <c r="GD6" i="26"/>
  <c r="GJ11" i="26"/>
  <c r="GI11" i="26"/>
  <c r="GG11" i="26"/>
  <c r="GF11" i="26"/>
  <c r="GE11" i="26"/>
  <c r="GD11" i="26"/>
  <c r="GJ7" i="26"/>
  <c r="GI7" i="26"/>
  <c r="GG7" i="26"/>
  <c r="GF7" i="26"/>
  <c r="GE7" i="26"/>
  <c r="GD7" i="26"/>
  <c r="GJ13" i="26"/>
  <c r="GI13" i="26"/>
  <c r="GG13" i="26"/>
  <c r="GF13" i="26"/>
  <c r="GE13" i="26"/>
  <c r="GD13" i="26"/>
  <c r="GJ5" i="26"/>
  <c r="GI5" i="26"/>
  <c r="GG5" i="26"/>
  <c r="GF5" i="26"/>
  <c r="GE5" i="26"/>
  <c r="GD5" i="26"/>
  <c r="GJ4" i="26"/>
  <c r="GI4" i="26"/>
  <c r="GG4" i="26"/>
  <c r="GF4" i="26"/>
  <c r="GE4" i="26"/>
  <c r="GD4" i="26"/>
  <c r="FH21" i="26"/>
  <c r="FG21" i="26"/>
  <c r="FE21" i="26"/>
  <c r="FD21" i="26"/>
  <c r="FC21" i="26"/>
  <c r="FB21" i="26"/>
  <c r="FH17" i="26"/>
  <c r="FG17" i="26"/>
  <c r="FE17" i="26"/>
  <c r="FD17" i="26"/>
  <c r="FC17" i="26"/>
  <c r="FB17" i="26"/>
  <c r="FH18" i="26"/>
  <c r="FG18" i="26"/>
  <c r="FE18" i="26"/>
  <c r="FD18" i="26"/>
  <c r="FC18" i="26"/>
  <c r="FB18" i="26"/>
  <c r="FH16" i="26"/>
  <c r="FG16" i="26"/>
  <c r="FE16" i="26"/>
  <c r="FD16" i="26"/>
  <c r="FC16" i="26"/>
  <c r="FB16" i="26"/>
  <c r="FH15" i="26"/>
  <c r="FG15" i="26"/>
  <c r="FE15" i="26"/>
  <c r="FD15" i="26"/>
  <c r="FC15" i="26"/>
  <c r="FB15" i="26"/>
  <c r="FH14" i="26"/>
  <c r="FG14" i="26"/>
  <c r="FE14" i="26"/>
  <c r="FD14" i="26"/>
  <c r="FC14" i="26"/>
  <c r="FB14" i="26"/>
  <c r="FH12" i="26"/>
  <c r="FG12" i="26"/>
  <c r="FE12" i="26"/>
  <c r="FD12" i="26"/>
  <c r="FC12" i="26"/>
  <c r="FB12" i="26"/>
  <c r="FH6" i="26"/>
  <c r="FG6" i="26"/>
  <c r="FE6" i="26"/>
  <c r="FD6" i="26"/>
  <c r="FC6" i="26"/>
  <c r="FB6" i="26"/>
  <c r="FH11" i="26"/>
  <c r="FG11" i="26"/>
  <c r="FE11" i="26"/>
  <c r="FD11" i="26"/>
  <c r="FC11" i="26"/>
  <c r="FB11" i="26"/>
  <c r="FH7" i="26"/>
  <c r="FG7" i="26"/>
  <c r="FE7" i="26"/>
  <c r="FD7" i="26"/>
  <c r="FC7" i="26"/>
  <c r="FB7" i="26"/>
  <c r="FH13" i="26"/>
  <c r="FG13" i="26"/>
  <c r="FE13" i="26"/>
  <c r="FD13" i="26"/>
  <c r="FC13" i="26"/>
  <c r="FB13" i="26"/>
  <c r="FH5" i="26"/>
  <c r="FG5" i="26"/>
  <c r="FE5" i="26"/>
  <c r="FD5" i="26"/>
  <c r="FC5" i="26"/>
  <c r="FB5" i="26"/>
  <c r="FH4" i="26"/>
  <c r="FG4" i="26"/>
  <c r="FE4" i="26"/>
  <c r="FD4" i="26"/>
  <c r="FC4" i="26"/>
  <c r="FB4" i="26"/>
  <c r="EF21" i="26"/>
  <c r="EE21" i="26"/>
  <c r="EC21" i="26"/>
  <c r="EB21" i="26"/>
  <c r="EA21" i="26"/>
  <c r="DZ21" i="26"/>
  <c r="EF17" i="26"/>
  <c r="EE17" i="26"/>
  <c r="EC17" i="26"/>
  <c r="EB17" i="26"/>
  <c r="EA17" i="26"/>
  <c r="DZ17" i="26"/>
  <c r="EF18" i="26"/>
  <c r="EE18" i="26"/>
  <c r="EC18" i="26"/>
  <c r="EB18" i="26"/>
  <c r="EA18" i="26"/>
  <c r="DZ18" i="26"/>
  <c r="EF16" i="26"/>
  <c r="EE16" i="26"/>
  <c r="EC16" i="26"/>
  <c r="EB16" i="26"/>
  <c r="EA16" i="26"/>
  <c r="DZ16" i="26"/>
  <c r="EF15" i="26"/>
  <c r="EE15" i="26"/>
  <c r="EC15" i="26"/>
  <c r="EB15" i="26"/>
  <c r="EA15" i="26"/>
  <c r="DZ15" i="26"/>
  <c r="EF14" i="26"/>
  <c r="EE14" i="26"/>
  <c r="EC14" i="26"/>
  <c r="EB14" i="26"/>
  <c r="EA14" i="26"/>
  <c r="DZ14" i="26"/>
  <c r="EF12" i="26"/>
  <c r="EE12" i="26"/>
  <c r="EC12" i="26"/>
  <c r="EB12" i="26"/>
  <c r="EA12" i="26"/>
  <c r="DZ12" i="26"/>
  <c r="EF6" i="26"/>
  <c r="EE6" i="26"/>
  <c r="EC6" i="26"/>
  <c r="EB6" i="26"/>
  <c r="EA6" i="26"/>
  <c r="DZ6" i="26"/>
  <c r="EF11" i="26"/>
  <c r="EE11" i="26"/>
  <c r="EC11" i="26"/>
  <c r="EB11" i="26"/>
  <c r="EA11" i="26"/>
  <c r="DZ11" i="26"/>
  <c r="EF7" i="26"/>
  <c r="EE7" i="26"/>
  <c r="EC7" i="26"/>
  <c r="EB7" i="26"/>
  <c r="EA7" i="26"/>
  <c r="DZ7" i="26"/>
  <c r="EF13" i="26"/>
  <c r="EE13" i="26"/>
  <c r="EC13" i="26"/>
  <c r="EB13" i="26"/>
  <c r="EA13" i="26"/>
  <c r="DZ13" i="26"/>
  <c r="EF5" i="26"/>
  <c r="EE5" i="26"/>
  <c r="EC5" i="26"/>
  <c r="EB5" i="26"/>
  <c r="EA5" i="26"/>
  <c r="DZ5" i="26"/>
  <c r="EF4" i="26"/>
  <c r="EE4" i="26"/>
  <c r="EC4" i="26"/>
  <c r="EB4" i="26"/>
  <c r="EA4" i="26"/>
  <c r="DZ4" i="26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28" i="22"/>
  <c r="RK28" i="22"/>
  <c r="RJ28" i="22"/>
  <c r="RI28" i="22"/>
  <c r="RH28" i="22"/>
  <c r="RG28" i="22"/>
  <c r="RE28" i="22"/>
  <c r="RD28" i="22"/>
  <c r="RC28" i="22"/>
  <c r="RB28" i="22"/>
  <c r="RA28" i="22"/>
  <c r="QZ28" i="22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19" i="22"/>
  <c r="RK19" i="22"/>
  <c r="RJ19" i="22"/>
  <c r="RI19" i="22"/>
  <c r="RH19" i="22"/>
  <c r="RG19" i="22"/>
  <c r="RE19" i="22"/>
  <c r="RD19" i="22"/>
  <c r="RC19" i="22"/>
  <c r="RB19" i="22"/>
  <c r="RA19" i="22"/>
  <c r="QZ1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28" i="22"/>
  <c r="QC28" i="22"/>
  <c r="QB28" i="22"/>
  <c r="QA28" i="22"/>
  <c r="PZ28" i="22"/>
  <c r="PY28" i="22"/>
  <c r="PW28" i="22"/>
  <c r="PV28" i="22"/>
  <c r="PU28" i="22"/>
  <c r="PT28" i="22"/>
  <c r="PS28" i="22"/>
  <c r="PR28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19" i="22"/>
  <c r="QC19" i="22"/>
  <c r="QB19" i="22"/>
  <c r="QA19" i="22"/>
  <c r="PZ19" i="22"/>
  <c r="PY19" i="22"/>
  <c r="PW19" i="22"/>
  <c r="PV19" i="22"/>
  <c r="PU19" i="22"/>
  <c r="PT19" i="22"/>
  <c r="PS19" i="22"/>
  <c r="PR1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28" i="22"/>
  <c r="OU28" i="22"/>
  <c r="OT28" i="22"/>
  <c r="OS28" i="22"/>
  <c r="OR28" i="22"/>
  <c r="OQ28" i="22"/>
  <c r="OO28" i="22"/>
  <c r="ON28" i="22"/>
  <c r="OM28" i="22"/>
  <c r="OL28" i="22"/>
  <c r="OK28" i="22"/>
  <c r="OJ28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19" i="22"/>
  <c r="OU19" i="22"/>
  <c r="OT19" i="22"/>
  <c r="OS19" i="22"/>
  <c r="OR19" i="22"/>
  <c r="OQ19" i="22"/>
  <c r="OO19" i="22"/>
  <c r="ON19" i="22"/>
  <c r="OM19" i="22"/>
  <c r="OL19" i="22"/>
  <c r="OK19" i="22"/>
  <c r="OJ1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28" i="22"/>
  <c r="NM28" i="22"/>
  <c r="NL28" i="22"/>
  <c r="NK28" i="22"/>
  <c r="NJ28" i="22"/>
  <c r="NI28" i="22"/>
  <c r="NG28" i="22"/>
  <c r="NF28" i="22"/>
  <c r="NE28" i="22"/>
  <c r="ND28" i="22"/>
  <c r="NC28" i="22"/>
  <c r="NB28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19" i="22"/>
  <c r="NM19" i="22"/>
  <c r="NL19" i="22"/>
  <c r="NK19" i="22"/>
  <c r="NJ19" i="22"/>
  <c r="NI19" i="22"/>
  <c r="NG19" i="22"/>
  <c r="NF19" i="22"/>
  <c r="NE19" i="22"/>
  <c r="ND19" i="22"/>
  <c r="NC19" i="22"/>
  <c r="NB1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28" i="22"/>
  <c r="ME28" i="22"/>
  <c r="MD28" i="22"/>
  <c r="MC28" i="22"/>
  <c r="MB28" i="22"/>
  <c r="MA28" i="22"/>
  <c r="LY28" i="22"/>
  <c r="LX28" i="22"/>
  <c r="LW28" i="22"/>
  <c r="LV28" i="22"/>
  <c r="LU28" i="22"/>
  <c r="LT28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19" i="22"/>
  <c r="ME19" i="22"/>
  <c r="MD19" i="22"/>
  <c r="MC19" i="22"/>
  <c r="MB19" i="22"/>
  <c r="MA19" i="22"/>
  <c r="LY19" i="22"/>
  <c r="LX19" i="22"/>
  <c r="LW19" i="22"/>
  <c r="LV19" i="22"/>
  <c r="LU19" i="22"/>
  <c r="LT1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28" i="22"/>
  <c r="KW28" i="22"/>
  <c r="KV28" i="22"/>
  <c r="KU28" i="22"/>
  <c r="KT28" i="22"/>
  <c r="KS28" i="22"/>
  <c r="KQ28" i="22"/>
  <c r="KP28" i="22"/>
  <c r="KO28" i="22"/>
  <c r="KN28" i="22"/>
  <c r="KM28" i="22"/>
  <c r="KL28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19" i="22"/>
  <c r="KW19" i="22"/>
  <c r="KV19" i="22"/>
  <c r="KU19" i="22"/>
  <c r="KT19" i="22"/>
  <c r="KS19" i="22"/>
  <c r="KQ19" i="22"/>
  <c r="KP19" i="22"/>
  <c r="KO19" i="22"/>
  <c r="KN19" i="22"/>
  <c r="KM19" i="22"/>
  <c r="KL1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28" i="22"/>
  <c r="JO28" i="22"/>
  <c r="JN28" i="22"/>
  <c r="JM28" i="22"/>
  <c r="JL28" i="22"/>
  <c r="JK28" i="22"/>
  <c r="JI28" i="22"/>
  <c r="JH28" i="22"/>
  <c r="JG28" i="22"/>
  <c r="JF28" i="22"/>
  <c r="JE28" i="22"/>
  <c r="JD28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19" i="22"/>
  <c r="JO19" i="22"/>
  <c r="JN19" i="22"/>
  <c r="JM19" i="22"/>
  <c r="JL19" i="22"/>
  <c r="JK19" i="22"/>
  <c r="JI19" i="22"/>
  <c r="JH19" i="22"/>
  <c r="JG19" i="22"/>
  <c r="JF19" i="22"/>
  <c r="JE19" i="22"/>
  <c r="JD1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28" i="22"/>
  <c r="IG28" i="22"/>
  <c r="IF28" i="22"/>
  <c r="IE28" i="22"/>
  <c r="ID28" i="22"/>
  <c r="IC28" i="22"/>
  <c r="IA28" i="22"/>
  <c r="HZ28" i="22"/>
  <c r="HY28" i="22"/>
  <c r="HX28" i="22"/>
  <c r="HW28" i="22"/>
  <c r="HV28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19" i="22"/>
  <c r="IG19" i="22"/>
  <c r="IF19" i="22"/>
  <c r="IE19" i="22"/>
  <c r="ID19" i="22"/>
  <c r="IC19" i="22"/>
  <c r="IA19" i="22"/>
  <c r="HZ19" i="22"/>
  <c r="HY19" i="22"/>
  <c r="HX19" i="22"/>
  <c r="HW19" i="22"/>
  <c r="HV1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28" i="22"/>
  <c r="GY28" i="22"/>
  <c r="GX28" i="22"/>
  <c r="GW28" i="22"/>
  <c r="GV28" i="22"/>
  <c r="GU28" i="22"/>
  <c r="GS28" i="22"/>
  <c r="GR28" i="22"/>
  <c r="GQ28" i="22"/>
  <c r="GP28" i="22"/>
  <c r="GO28" i="22"/>
  <c r="GN28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19" i="22"/>
  <c r="GY19" i="22"/>
  <c r="GX19" i="22"/>
  <c r="GW19" i="22"/>
  <c r="GV19" i="22"/>
  <c r="GU19" i="22"/>
  <c r="GS19" i="22"/>
  <c r="GR19" i="22"/>
  <c r="GQ19" i="22"/>
  <c r="GP19" i="22"/>
  <c r="GO19" i="22"/>
  <c r="GN1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28" i="22"/>
  <c r="FQ28" i="22"/>
  <c r="FP28" i="22"/>
  <c r="FO28" i="22"/>
  <c r="FN28" i="22"/>
  <c r="FM28" i="22"/>
  <c r="FK28" i="22"/>
  <c r="FJ28" i="22"/>
  <c r="FI28" i="22"/>
  <c r="FH28" i="22"/>
  <c r="FG28" i="22"/>
  <c r="FF28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19" i="22"/>
  <c r="FQ19" i="22"/>
  <c r="FP19" i="22"/>
  <c r="FO19" i="22"/>
  <c r="FN19" i="22"/>
  <c r="FM19" i="22"/>
  <c r="FK19" i="22"/>
  <c r="FJ19" i="22"/>
  <c r="FI19" i="22"/>
  <c r="FH19" i="22"/>
  <c r="FG19" i="22"/>
  <c r="FF1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28" i="22"/>
  <c r="EI28" i="22"/>
  <c r="EH28" i="22"/>
  <c r="EG28" i="22"/>
  <c r="EF28" i="22"/>
  <c r="EE28" i="22"/>
  <c r="EC28" i="22"/>
  <c r="EB28" i="22"/>
  <c r="EA28" i="22"/>
  <c r="DZ28" i="22"/>
  <c r="DY28" i="22"/>
  <c r="DX28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19" i="22"/>
  <c r="EI19" i="22"/>
  <c r="EH19" i="22"/>
  <c r="EG19" i="22"/>
  <c r="EF19" i="22"/>
  <c r="EE19" i="22"/>
  <c r="EC19" i="22"/>
  <c r="EB19" i="22"/>
  <c r="EA19" i="22"/>
  <c r="DZ19" i="22"/>
  <c r="DY19" i="22"/>
  <c r="DX1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2" i="4"/>
  <c r="RK22" i="4"/>
  <c r="RJ22" i="4"/>
  <c r="RI22" i="4"/>
  <c r="RH22" i="4"/>
  <c r="RG22" i="4"/>
  <c r="RE22" i="4"/>
  <c r="RD22" i="4"/>
  <c r="RC22" i="4"/>
  <c r="RB22" i="4"/>
  <c r="RA22" i="4"/>
  <c r="QZ22" i="4"/>
  <c r="RL36" i="4"/>
  <c r="RK36" i="4"/>
  <c r="RJ36" i="4"/>
  <c r="RI36" i="4"/>
  <c r="RH36" i="4"/>
  <c r="RG36" i="4"/>
  <c r="RE36" i="4"/>
  <c r="RD36" i="4"/>
  <c r="RC36" i="4"/>
  <c r="RB36" i="4"/>
  <c r="RA36" i="4"/>
  <c r="QZ36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33" i="4"/>
  <c r="RK33" i="4"/>
  <c r="RJ33" i="4"/>
  <c r="RI33" i="4"/>
  <c r="RH33" i="4"/>
  <c r="RG33" i="4"/>
  <c r="RE33" i="4"/>
  <c r="RD33" i="4"/>
  <c r="RC33" i="4"/>
  <c r="RB33" i="4"/>
  <c r="RA33" i="4"/>
  <c r="QZ33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38" i="4"/>
  <c r="RK38" i="4"/>
  <c r="RJ38" i="4"/>
  <c r="RI38" i="4"/>
  <c r="RH38" i="4"/>
  <c r="RG38" i="4"/>
  <c r="RE38" i="4"/>
  <c r="RD38" i="4"/>
  <c r="RC38" i="4"/>
  <c r="RB38" i="4"/>
  <c r="RA38" i="4"/>
  <c r="QZ38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31" i="4"/>
  <c r="RK31" i="4"/>
  <c r="RJ31" i="4"/>
  <c r="RI31" i="4"/>
  <c r="RH31" i="4"/>
  <c r="RG31" i="4"/>
  <c r="RE31" i="4"/>
  <c r="RD31" i="4"/>
  <c r="RC31" i="4"/>
  <c r="RB31" i="4"/>
  <c r="RA31" i="4"/>
  <c r="QZ31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8" i="4"/>
  <c r="RK8" i="4"/>
  <c r="RJ8" i="4"/>
  <c r="RI8" i="4"/>
  <c r="RH8" i="4"/>
  <c r="RG8" i="4"/>
  <c r="RE8" i="4"/>
  <c r="RD8" i="4"/>
  <c r="RC8" i="4"/>
  <c r="RB8" i="4"/>
  <c r="RA8" i="4"/>
  <c r="QZ8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9" i="4"/>
  <c r="RK9" i="4"/>
  <c r="RJ9" i="4"/>
  <c r="RI9" i="4"/>
  <c r="RH9" i="4"/>
  <c r="RG9" i="4"/>
  <c r="RE9" i="4"/>
  <c r="RD9" i="4"/>
  <c r="RC9" i="4"/>
  <c r="RB9" i="4"/>
  <c r="RA9" i="4"/>
  <c r="QZ9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7" i="4"/>
  <c r="RK7" i="4"/>
  <c r="RJ7" i="4"/>
  <c r="RI7" i="4"/>
  <c r="RH7" i="4"/>
  <c r="RG7" i="4"/>
  <c r="RE7" i="4"/>
  <c r="RD7" i="4"/>
  <c r="RC7" i="4"/>
  <c r="RB7" i="4"/>
  <c r="RA7" i="4"/>
  <c r="QZ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36" i="4"/>
  <c r="QC36" i="4"/>
  <c r="QB36" i="4"/>
  <c r="QA36" i="4"/>
  <c r="PZ36" i="4"/>
  <c r="PY36" i="4"/>
  <c r="PW36" i="4"/>
  <c r="PV36" i="4"/>
  <c r="PU36" i="4"/>
  <c r="PT36" i="4"/>
  <c r="PS36" i="4"/>
  <c r="PR36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33" i="4"/>
  <c r="QC33" i="4"/>
  <c r="QB33" i="4"/>
  <c r="QA33" i="4"/>
  <c r="PZ33" i="4"/>
  <c r="PY33" i="4"/>
  <c r="PW33" i="4"/>
  <c r="PV33" i="4"/>
  <c r="PU33" i="4"/>
  <c r="PT33" i="4"/>
  <c r="PS33" i="4"/>
  <c r="PR33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38" i="4"/>
  <c r="QC38" i="4"/>
  <c r="QB38" i="4"/>
  <c r="QA38" i="4"/>
  <c r="PZ38" i="4"/>
  <c r="PY38" i="4"/>
  <c r="PW38" i="4"/>
  <c r="PV38" i="4"/>
  <c r="PU38" i="4"/>
  <c r="PT38" i="4"/>
  <c r="PS38" i="4"/>
  <c r="PR38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8" i="4"/>
  <c r="QC8" i="4"/>
  <c r="QB8" i="4"/>
  <c r="QA8" i="4"/>
  <c r="PZ8" i="4"/>
  <c r="PY8" i="4"/>
  <c r="PW8" i="4"/>
  <c r="PV8" i="4"/>
  <c r="PU8" i="4"/>
  <c r="PT8" i="4"/>
  <c r="PS8" i="4"/>
  <c r="PR8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9" i="4"/>
  <c r="QC9" i="4"/>
  <c r="QB9" i="4"/>
  <c r="QA9" i="4"/>
  <c r="PZ9" i="4"/>
  <c r="PY9" i="4"/>
  <c r="PW9" i="4"/>
  <c r="PV9" i="4"/>
  <c r="PU9" i="4"/>
  <c r="PT9" i="4"/>
  <c r="PS9" i="4"/>
  <c r="PR9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7" i="4"/>
  <c r="QC7" i="4"/>
  <c r="QB7" i="4"/>
  <c r="QA7" i="4"/>
  <c r="PZ7" i="4"/>
  <c r="PY7" i="4"/>
  <c r="PW7" i="4"/>
  <c r="PV7" i="4"/>
  <c r="PU7" i="4"/>
  <c r="PT7" i="4"/>
  <c r="PS7" i="4"/>
  <c r="PR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36" i="4"/>
  <c r="OU36" i="4"/>
  <c r="OT36" i="4"/>
  <c r="OS36" i="4"/>
  <c r="OR36" i="4"/>
  <c r="OQ36" i="4"/>
  <c r="OO36" i="4"/>
  <c r="ON36" i="4"/>
  <c r="OM36" i="4"/>
  <c r="OL36" i="4"/>
  <c r="OK36" i="4"/>
  <c r="OJ36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33" i="4"/>
  <c r="OU33" i="4"/>
  <c r="OT33" i="4"/>
  <c r="OS33" i="4"/>
  <c r="OR33" i="4"/>
  <c r="OQ33" i="4"/>
  <c r="OO33" i="4"/>
  <c r="ON33" i="4"/>
  <c r="OM33" i="4"/>
  <c r="OL33" i="4"/>
  <c r="OK33" i="4"/>
  <c r="OJ33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38" i="4"/>
  <c r="OU38" i="4"/>
  <c r="OT38" i="4"/>
  <c r="OS38" i="4"/>
  <c r="OR38" i="4"/>
  <c r="OQ38" i="4"/>
  <c r="OO38" i="4"/>
  <c r="ON38" i="4"/>
  <c r="OM38" i="4"/>
  <c r="OL38" i="4"/>
  <c r="OK38" i="4"/>
  <c r="OJ38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8" i="4"/>
  <c r="OU8" i="4"/>
  <c r="OT8" i="4"/>
  <c r="OS8" i="4"/>
  <c r="OR8" i="4"/>
  <c r="OQ8" i="4"/>
  <c r="OO8" i="4"/>
  <c r="ON8" i="4"/>
  <c r="OM8" i="4"/>
  <c r="OL8" i="4"/>
  <c r="OK8" i="4"/>
  <c r="OJ8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9" i="4"/>
  <c r="OU9" i="4"/>
  <c r="OT9" i="4"/>
  <c r="OS9" i="4"/>
  <c r="OR9" i="4"/>
  <c r="OQ9" i="4"/>
  <c r="OO9" i="4"/>
  <c r="ON9" i="4"/>
  <c r="OM9" i="4"/>
  <c r="OL9" i="4"/>
  <c r="OK9" i="4"/>
  <c r="OJ9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7" i="4"/>
  <c r="OU7" i="4"/>
  <c r="OT7" i="4"/>
  <c r="OS7" i="4"/>
  <c r="OR7" i="4"/>
  <c r="OQ7" i="4"/>
  <c r="OO7" i="4"/>
  <c r="ON7" i="4"/>
  <c r="OM7" i="4"/>
  <c r="OL7" i="4"/>
  <c r="OK7" i="4"/>
  <c r="OJ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36" i="4"/>
  <c r="NM36" i="4"/>
  <c r="NL36" i="4"/>
  <c r="NK36" i="4"/>
  <c r="NJ36" i="4"/>
  <c r="NI36" i="4"/>
  <c r="NG36" i="4"/>
  <c r="NF36" i="4"/>
  <c r="NE36" i="4"/>
  <c r="ND36" i="4"/>
  <c r="NC36" i="4"/>
  <c r="NB36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33" i="4"/>
  <c r="NM33" i="4"/>
  <c r="NL33" i="4"/>
  <c r="NK33" i="4"/>
  <c r="NJ33" i="4"/>
  <c r="NI33" i="4"/>
  <c r="NG33" i="4"/>
  <c r="NF33" i="4"/>
  <c r="NE33" i="4"/>
  <c r="ND33" i="4"/>
  <c r="NC33" i="4"/>
  <c r="NB33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38" i="4"/>
  <c r="NM38" i="4"/>
  <c r="NL38" i="4"/>
  <c r="NK38" i="4"/>
  <c r="NJ38" i="4"/>
  <c r="NI38" i="4"/>
  <c r="NG38" i="4"/>
  <c r="NF38" i="4"/>
  <c r="NE38" i="4"/>
  <c r="ND38" i="4"/>
  <c r="NC38" i="4"/>
  <c r="NB38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8" i="4"/>
  <c r="NM8" i="4"/>
  <c r="NL8" i="4"/>
  <c r="NK8" i="4"/>
  <c r="NJ8" i="4"/>
  <c r="NI8" i="4"/>
  <c r="NG8" i="4"/>
  <c r="NF8" i="4"/>
  <c r="NE8" i="4"/>
  <c r="ND8" i="4"/>
  <c r="NC8" i="4"/>
  <c r="NB8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9" i="4"/>
  <c r="NM9" i="4"/>
  <c r="NL9" i="4"/>
  <c r="NK9" i="4"/>
  <c r="NJ9" i="4"/>
  <c r="NI9" i="4"/>
  <c r="NG9" i="4"/>
  <c r="NF9" i="4"/>
  <c r="NE9" i="4"/>
  <c r="ND9" i="4"/>
  <c r="NC9" i="4"/>
  <c r="NB9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7" i="4"/>
  <c r="NM7" i="4"/>
  <c r="NL7" i="4"/>
  <c r="NK7" i="4"/>
  <c r="NJ7" i="4"/>
  <c r="NI7" i="4"/>
  <c r="NG7" i="4"/>
  <c r="NF7" i="4"/>
  <c r="NE7" i="4"/>
  <c r="ND7" i="4"/>
  <c r="NC7" i="4"/>
  <c r="NB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36" i="4"/>
  <c r="ME36" i="4"/>
  <c r="MD36" i="4"/>
  <c r="MC36" i="4"/>
  <c r="MB36" i="4"/>
  <c r="MA36" i="4"/>
  <c r="LY36" i="4"/>
  <c r="LX36" i="4"/>
  <c r="LW36" i="4"/>
  <c r="LV36" i="4"/>
  <c r="LU36" i="4"/>
  <c r="LT36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33" i="4"/>
  <c r="ME33" i="4"/>
  <c r="MD33" i="4"/>
  <c r="MC33" i="4"/>
  <c r="MB33" i="4"/>
  <c r="MA33" i="4"/>
  <c r="LY33" i="4"/>
  <c r="LX33" i="4"/>
  <c r="LW33" i="4"/>
  <c r="LV33" i="4"/>
  <c r="LU33" i="4"/>
  <c r="LT33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38" i="4"/>
  <c r="ME38" i="4"/>
  <c r="MD38" i="4"/>
  <c r="MC38" i="4"/>
  <c r="MB38" i="4"/>
  <c r="MA38" i="4"/>
  <c r="LY38" i="4"/>
  <c r="LX38" i="4"/>
  <c r="LW38" i="4"/>
  <c r="LV38" i="4"/>
  <c r="LU38" i="4"/>
  <c r="LT38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8" i="4"/>
  <c r="ME8" i="4"/>
  <c r="MD8" i="4"/>
  <c r="MC8" i="4"/>
  <c r="MB8" i="4"/>
  <c r="MA8" i="4"/>
  <c r="LY8" i="4"/>
  <c r="LX8" i="4"/>
  <c r="LW8" i="4"/>
  <c r="LV8" i="4"/>
  <c r="LU8" i="4"/>
  <c r="LT8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9" i="4"/>
  <c r="ME9" i="4"/>
  <c r="MD9" i="4"/>
  <c r="MC9" i="4"/>
  <c r="MB9" i="4"/>
  <c r="MA9" i="4"/>
  <c r="LY9" i="4"/>
  <c r="LX9" i="4"/>
  <c r="LW9" i="4"/>
  <c r="LV9" i="4"/>
  <c r="LU9" i="4"/>
  <c r="LT9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7" i="4"/>
  <c r="ME7" i="4"/>
  <c r="MD7" i="4"/>
  <c r="MC7" i="4"/>
  <c r="MB7" i="4"/>
  <c r="MA7" i="4"/>
  <c r="LY7" i="4"/>
  <c r="LX7" i="4"/>
  <c r="LW7" i="4"/>
  <c r="LV7" i="4"/>
  <c r="LU7" i="4"/>
  <c r="LT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36" i="4"/>
  <c r="KW36" i="4"/>
  <c r="KV36" i="4"/>
  <c r="KU36" i="4"/>
  <c r="KT36" i="4"/>
  <c r="KS36" i="4"/>
  <c r="KQ36" i="4"/>
  <c r="KP36" i="4"/>
  <c r="KO36" i="4"/>
  <c r="KN36" i="4"/>
  <c r="KM36" i="4"/>
  <c r="KL36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33" i="4"/>
  <c r="KW33" i="4"/>
  <c r="KV33" i="4"/>
  <c r="KU33" i="4"/>
  <c r="KT33" i="4"/>
  <c r="KS33" i="4"/>
  <c r="KQ33" i="4"/>
  <c r="KP33" i="4"/>
  <c r="KO33" i="4"/>
  <c r="KN33" i="4"/>
  <c r="KM33" i="4"/>
  <c r="KL33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38" i="4"/>
  <c r="KW38" i="4"/>
  <c r="KV38" i="4"/>
  <c r="KU38" i="4"/>
  <c r="KT38" i="4"/>
  <c r="KS38" i="4"/>
  <c r="KQ38" i="4"/>
  <c r="KP38" i="4"/>
  <c r="KO38" i="4"/>
  <c r="KN38" i="4"/>
  <c r="KM38" i="4"/>
  <c r="KL38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8" i="4"/>
  <c r="KW8" i="4"/>
  <c r="KV8" i="4"/>
  <c r="KU8" i="4"/>
  <c r="KT8" i="4"/>
  <c r="KS8" i="4"/>
  <c r="KQ8" i="4"/>
  <c r="KP8" i="4"/>
  <c r="KO8" i="4"/>
  <c r="KN8" i="4"/>
  <c r="KM8" i="4"/>
  <c r="KL8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9" i="4"/>
  <c r="KW9" i="4"/>
  <c r="KV9" i="4"/>
  <c r="KU9" i="4"/>
  <c r="KT9" i="4"/>
  <c r="KS9" i="4"/>
  <c r="KQ9" i="4"/>
  <c r="KP9" i="4"/>
  <c r="KO9" i="4"/>
  <c r="KN9" i="4"/>
  <c r="KM9" i="4"/>
  <c r="KL9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7" i="4"/>
  <c r="KW7" i="4"/>
  <c r="KV7" i="4"/>
  <c r="KU7" i="4"/>
  <c r="KT7" i="4"/>
  <c r="KS7" i="4"/>
  <c r="KQ7" i="4"/>
  <c r="KP7" i="4"/>
  <c r="KO7" i="4"/>
  <c r="KN7" i="4"/>
  <c r="KM7" i="4"/>
  <c r="KL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36" i="4"/>
  <c r="JO36" i="4"/>
  <c r="JN36" i="4"/>
  <c r="JM36" i="4"/>
  <c r="JL36" i="4"/>
  <c r="JK36" i="4"/>
  <c r="JI36" i="4"/>
  <c r="JH36" i="4"/>
  <c r="JG36" i="4"/>
  <c r="JF36" i="4"/>
  <c r="JE36" i="4"/>
  <c r="JD36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33" i="4"/>
  <c r="JO33" i="4"/>
  <c r="JN33" i="4"/>
  <c r="JM33" i="4"/>
  <c r="JL33" i="4"/>
  <c r="JK33" i="4"/>
  <c r="JI33" i="4"/>
  <c r="JH33" i="4"/>
  <c r="JG33" i="4"/>
  <c r="JF33" i="4"/>
  <c r="JE33" i="4"/>
  <c r="JD33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38" i="4"/>
  <c r="JO38" i="4"/>
  <c r="JN38" i="4"/>
  <c r="JM38" i="4"/>
  <c r="JL38" i="4"/>
  <c r="JK38" i="4"/>
  <c r="JI38" i="4"/>
  <c r="JH38" i="4"/>
  <c r="JG38" i="4"/>
  <c r="JF38" i="4"/>
  <c r="JE38" i="4"/>
  <c r="JD38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8" i="4"/>
  <c r="JO8" i="4"/>
  <c r="JN8" i="4"/>
  <c r="JM8" i="4"/>
  <c r="JL8" i="4"/>
  <c r="JK8" i="4"/>
  <c r="JI8" i="4"/>
  <c r="JH8" i="4"/>
  <c r="JG8" i="4"/>
  <c r="JF8" i="4"/>
  <c r="JE8" i="4"/>
  <c r="JD8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9" i="4"/>
  <c r="JO9" i="4"/>
  <c r="JN9" i="4"/>
  <c r="JM9" i="4"/>
  <c r="JL9" i="4"/>
  <c r="JK9" i="4"/>
  <c r="JI9" i="4"/>
  <c r="JH9" i="4"/>
  <c r="JG9" i="4"/>
  <c r="JF9" i="4"/>
  <c r="JE9" i="4"/>
  <c r="JD9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7" i="4"/>
  <c r="JO7" i="4"/>
  <c r="JN7" i="4"/>
  <c r="JM7" i="4"/>
  <c r="JL7" i="4"/>
  <c r="JK7" i="4"/>
  <c r="JI7" i="4"/>
  <c r="JH7" i="4"/>
  <c r="JG7" i="4"/>
  <c r="JF7" i="4"/>
  <c r="JE7" i="4"/>
  <c r="JD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6" i="4"/>
  <c r="JO6" i="4"/>
  <c r="JN6" i="4"/>
  <c r="JM6" i="4"/>
  <c r="JL6" i="4"/>
  <c r="JK6" i="4"/>
  <c r="JI6" i="4"/>
  <c r="JH6" i="4"/>
  <c r="JG6" i="4"/>
  <c r="JF6" i="4"/>
  <c r="JJ6" i="4" s="1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36" i="4"/>
  <c r="IG36" i="4"/>
  <c r="IF36" i="4"/>
  <c r="IE36" i="4"/>
  <c r="ID36" i="4"/>
  <c r="IC36" i="4"/>
  <c r="IA36" i="4"/>
  <c r="HZ36" i="4"/>
  <c r="HY36" i="4"/>
  <c r="HX36" i="4"/>
  <c r="HW36" i="4"/>
  <c r="HV36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33" i="4"/>
  <c r="IG33" i="4"/>
  <c r="IF33" i="4"/>
  <c r="IE33" i="4"/>
  <c r="ID33" i="4"/>
  <c r="IC33" i="4"/>
  <c r="IA33" i="4"/>
  <c r="HZ33" i="4"/>
  <c r="HY33" i="4"/>
  <c r="HX33" i="4"/>
  <c r="HW33" i="4"/>
  <c r="HV33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38" i="4"/>
  <c r="IG38" i="4"/>
  <c r="IF38" i="4"/>
  <c r="IE38" i="4"/>
  <c r="ID38" i="4"/>
  <c r="IC38" i="4"/>
  <c r="IA38" i="4"/>
  <c r="HZ38" i="4"/>
  <c r="HY38" i="4"/>
  <c r="HX38" i="4"/>
  <c r="HW38" i="4"/>
  <c r="HV38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8" i="4"/>
  <c r="IG8" i="4"/>
  <c r="IF8" i="4"/>
  <c r="IE8" i="4"/>
  <c r="ID8" i="4"/>
  <c r="IC8" i="4"/>
  <c r="IA8" i="4"/>
  <c r="HZ8" i="4"/>
  <c r="HY8" i="4"/>
  <c r="HX8" i="4"/>
  <c r="HW8" i="4"/>
  <c r="HV8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9" i="4"/>
  <c r="IG9" i="4"/>
  <c r="IF9" i="4"/>
  <c r="IE9" i="4"/>
  <c r="ID9" i="4"/>
  <c r="IC9" i="4"/>
  <c r="IA9" i="4"/>
  <c r="HZ9" i="4"/>
  <c r="HY9" i="4"/>
  <c r="HX9" i="4"/>
  <c r="HW9" i="4"/>
  <c r="HV9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7" i="4"/>
  <c r="IG7" i="4"/>
  <c r="IF7" i="4"/>
  <c r="IE7" i="4"/>
  <c r="ID7" i="4"/>
  <c r="IC7" i="4"/>
  <c r="IA7" i="4"/>
  <c r="HZ7" i="4"/>
  <c r="HY7" i="4"/>
  <c r="HX7" i="4"/>
  <c r="HW7" i="4"/>
  <c r="HV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36" i="4"/>
  <c r="GY36" i="4"/>
  <c r="GX36" i="4"/>
  <c r="GW36" i="4"/>
  <c r="GV36" i="4"/>
  <c r="GU36" i="4"/>
  <c r="GS36" i="4"/>
  <c r="GR36" i="4"/>
  <c r="GQ36" i="4"/>
  <c r="GP36" i="4"/>
  <c r="GO36" i="4"/>
  <c r="GN36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33" i="4"/>
  <c r="GY33" i="4"/>
  <c r="GX33" i="4"/>
  <c r="GW33" i="4"/>
  <c r="GV33" i="4"/>
  <c r="GU33" i="4"/>
  <c r="GS33" i="4"/>
  <c r="GR33" i="4"/>
  <c r="GQ33" i="4"/>
  <c r="GP33" i="4"/>
  <c r="GO33" i="4"/>
  <c r="GN33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38" i="4"/>
  <c r="GY38" i="4"/>
  <c r="GX38" i="4"/>
  <c r="GW38" i="4"/>
  <c r="GV38" i="4"/>
  <c r="GU38" i="4"/>
  <c r="GS38" i="4"/>
  <c r="GR38" i="4"/>
  <c r="GQ38" i="4"/>
  <c r="GP38" i="4"/>
  <c r="GO38" i="4"/>
  <c r="GN38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8" i="4"/>
  <c r="GY8" i="4"/>
  <c r="GX8" i="4"/>
  <c r="GW8" i="4"/>
  <c r="GV8" i="4"/>
  <c r="GU8" i="4"/>
  <c r="GS8" i="4"/>
  <c r="GR8" i="4"/>
  <c r="GQ8" i="4"/>
  <c r="GP8" i="4"/>
  <c r="GO8" i="4"/>
  <c r="GN8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9" i="4"/>
  <c r="GY9" i="4"/>
  <c r="GX9" i="4"/>
  <c r="GW9" i="4"/>
  <c r="GV9" i="4"/>
  <c r="GU9" i="4"/>
  <c r="GS9" i="4"/>
  <c r="GR9" i="4"/>
  <c r="GQ9" i="4"/>
  <c r="GP9" i="4"/>
  <c r="GO9" i="4"/>
  <c r="GN9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7" i="4"/>
  <c r="GY7" i="4"/>
  <c r="GX7" i="4"/>
  <c r="GW7" i="4"/>
  <c r="GV7" i="4"/>
  <c r="GU7" i="4"/>
  <c r="GS7" i="4"/>
  <c r="GR7" i="4"/>
  <c r="GQ7" i="4"/>
  <c r="GP7" i="4"/>
  <c r="GO7" i="4"/>
  <c r="GN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36" i="4"/>
  <c r="FQ36" i="4"/>
  <c r="FP36" i="4"/>
  <c r="FO36" i="4"/>
  <c r="FN36" i="4"/>
  <c r="FM36" i="4"/>
  <c r="FK36" i="4"/>
  <c r="FJ36" i="4"/>
  <c r="FI36" i="4"/>
  <c r="FH36" i="4"/>
  <c r="FG36" i="4"/>
  <c r="FF36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33" i="4"/>
  <c r="FQ33" i="4"/>
  <c r="FP33" i="4"/>
  <c r="FO33" i="4"/>
  <c r="FN33" i="4"/>
  <c r="FM33" i="4"/>
  <c r="FK33" i="4"/>
  <c r="FJ33" i="4"/>
  <c r="FI33" i="4"/>
  <c r="FH33" i="4"/>
  <c r="FG33" i="4"/>
  <c r="FF33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38" i="4"/>
  <c r="FQ38" i="4"/>
  <c r="FP38" i="4"/>
  <c r="FO38" i="4"/>
  <c r="FN38" i="4"/>
  <c r="FM38" i="4"/>
  <c r="FK38" i="4"/>
  <c r="FJ38" i="4"/>
  <c r="FI38" i="4"/>
  <c r="FH38" i="4"/>
  <c r="FG38" i="4"/>
  <c r="FF38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8" i="4"/>
  <c r="FQ8" i="4"/>
  <c r="FP8" i="4"/>
  <c r="FO8" i="4"/>
  <c r="FN8" i="4"/>
  <c r="FM8" i="4"/>
  <c r="FK8" i="4"/>
  <c r="FJ8" i="4"/>
  <c r="FI8" i="4"/>
  <c r="FH8" i="4"/>
  <c r="FG8" i="4"/>
  <c r="FF8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9" i="4"/>
  <c r="FQ9" i="4"/>
  <c r="FP9" i="4"/>
  <c r="FO9" i="4"/>
  <c r="FN9" i="4"/>
  <c r="FM9" i="4"/>
  <c r="FK9" i="4"/>
  <c r="FJ9" i="4"/>
  <c r="FI9" i="4"/>
  <c r="FH9" i="4"/>
  <c r="FG9" i="4"/>
  <c r="FF9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7" i="4"/>
  <c r="FQ7" i="4"/>
  <c r="FP7" i="4"/>
  <c r="FO7" i="4"/>
  <c r="FN7" i="4"/>
  <c r="FM7" i="4"/>
  <c r="FK7" i="4"/>
  <c r="FJ7" i="4"/>
  <c r="FI7" i="4"/>
  <c r="FH7" i="4"/>
  <c r="FG7" i="4"/>
  <c r="FF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36" i="4"/>
  <c r="EI36" i="4"/>
  <c r="EH36" i="4"/>
  <c r="EG36" i="4"/>
  <c r="EF36" i="4"/>
  <c r="EE36" i="4"/>
  <c r="EC36" i="4"/>
  <c r="EB36" i="4"/>
  <c r="EA36" i="4"/>
  <c r="DZ36" i="4"/>
  <c r="DY36" i="4"/>
  <c r="DX36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33" i="4"/>
  <c r="EI33" i="4"/>
  <c r="EH33" i="4"/>
  <c r="EG33" i="4"/>
  <c r="EF33" i="4"/>
  <c r="EE33" i="4"/>
  <c r="EC33" i="4"/>
  <c r="EB33" i="4"/>
  <c r="EA33" i="4"/>
  <c r="DZ33" i="4"/>
  <c r="DY33" i="4"/>
  <c r="DX33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38" i="4"/>
  <c r="EI38" i="4"/>
  <c r="EH38" i="4"/>
  <c r="EG38" i="4"/>
  <c r="EF38" i="4"/>
  <c r="EE38" i="4"/>
  <c r="EC38" i="4"/>
  <c r="EB38" i="4"/>
  <c r="EA38" i="4"/>
  <c r="DZ38" i="4"/>
  <c r="DY38" i="4"/>
  <c r="DX38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8" i="4"/>
  <c r="EI8" i="4"/>
  <c r="EH8" i="4"/>
  <c r="EG8" i="4"/>
  <c r="EF8" i="4"/>
  <c r="EE8" i="4"/>
  <c r="EC8" i="4"/>
  <c r="EB8" i="4"/>
  <c r="EA8" i="4"/>
  <c r="DZ8" i="4"/>
  <c r="DY8" i="4"/>
  <c r="DX8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9" i="4"/>
  <c r="EI9" i="4"/>
  <c r="EH9" i="4"/>
  <c r="EG9" i="4"/>
  <c r="EF9" i="4"/>
  <c r="EE9" i="4"/>
  <c r="EC9" i="4"/>
  <c r="EB9" i="4"/>
  <c r="EA9" i="4"/>
  <c r="DZ9" i="4"/>
  <c r="DY9" i="4"/>
  <c r="DX9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7" i="4"/>
  <c r="EI7" i="4"/>
  <c r="EH7" i="4"/>
  <c r="EG7" i="4"/>
  <c r="EF7" i="4"/>
  <c r="EE7" i="4"/>
  <c r="EC7" i="4"/>
  <c r="EB7" i="4"/>
  <c r="EA7" i="4"/>
  <c r="DZ7" i="4"/>
  <c r="DY7" i="4"/>
  <c r="DX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V8" i="27"/>
  <c r="CW8" i="27"/>
  <c r="CX8" i="27"/>
  <c r="CY8" i="27"/>
  <c r="DA8" i="27"/>
  <c r="DB8" i="27"/>
  <c r="PV8" i="27"/>
  <c r="PW8" i="27"/>
  <c r="PX8" i="27"/>
  <c r="PY8" i="27"/>
  <c r="QA8" i="27"/>
  <c r="QB8" i="27"/>
  <c r="QD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CV17" i="21"/>
  <c r="CW17" i="21"/>
  <c r="CX17" i="21"/>
  <c r="CY17" i="21"/>
  <c r="DA17" i="21"/>
  <c r="DB17" i="21"/>
  <c r="PV17" i="21"/>
  <c r="PW17" i="21"/>
  <c r="PX17" i="21"/>
  <c r="PY17" i="21"/>
  <c r="QA17" i="21"/>
  <c r="QB17" i="21"/>
  <c r="QD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CV30" i="21"/>
  <c r="CW30" i="21"/>
  <c r="CX30" i="21"/>
  <c r="CY30" i="21"/>
  <c r="DA30" i="21"/>
  <c r="DB30" i="21"/>
  <c r="PV30" i="21"/>
  <c r="PW30" i="21"/>
  <c r="PX30" i="21"/>
  <c r="PY30" i="21"/>
  <c r="QA30" i="21"/>
  <c r="QB30" i="21"/>
  <c r="QD30" i="21"/>
  <c r="QE30" i="21"/>
  <c r="QF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CV31" i="21"/>
  <c r="CW31" i="21"/>
  <c r="CX31" i="21"/>
  <c r="CY31" i="21"/>
  <c r="DA31" i="21"/>
  <c r="DB31" i="21"/>
  <c r="PV31" i="21"/>
  <c r="PW31" i="21"/>
  <c r="PX31" i="21"/>
  <c r="PY31" i="21"/>
  <c r="QA31" i="21"/>
  <c r="QB31" i="21"/>
  <c r="QD31" i="21"/>
  <c r="QE31" i="21"/>
  <c r="QF31" i="21"/>
  <c r="QG31" i="21"/>
  <c r="QH31" i="21"/>
  <c r="QI31" i="21"/>
  <c r="QJ31" i="21"/>
  <c r="QK31" i="21"/>
  <c r="QL31" i="21"/>
  <c r="QM31" i="21"/>
  <c r="QN31" i="21"/>
  <c r="QO31" i="21"/>
  <c r="QP31" i="21"/>
  <c r="QQ31" i="21"/>
  <c r="QR31" i="21"/>
  <c r="QS31" i="21"/>
  <c r="QT31" i="21"/>
  <c r="QU31" i="21"/>
  <c r="QV31" i="21"/>
  <c r="QW31" i="21"/>
  <c r="CV25" i="21"/>
  <c r="CW25" i="21"/>
  <c r="CX25" i="21"/>
  <c r="CY25" i="21"/>
  <c r="DA25" i="21"/>
  <c r="DB25" i="21"/>
  <c r="PV25" i="21"/>
  <c r="PW25" i="21"/>
  <c r="PX25" i="21"/>
  <c r="PY25" i="21"/>
  <c r="QA25" i="21"/>
  <c r="QB25" i="21"/>
  <c r="QD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CV15" i="21"/>
  <c r="CW15" i="21"/>
  <c r="CX15" i="21"/>
  <c r="CY15" i="21"/>
  <c r="DA15" i="21"/>
  <c r="DB15" i="21"/>
  <c r="PV15" i="21"/>
  <c r="PW15" i="21"/>
  <c r="PX15" i="21"/>
  <c r="PY15" i="21"/>
  <c r="QA15" i="21"/>
  <c r="QB15" i="21"/>
  <c r="QD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CV40" i="19"/>
  <c r="CW40" i="19"/>
  <c r="CX40" i="19"/>
  <c r="CY40" i="19"/>
  <c r="DA40" i="19"/>
  <c r="DB40" i="19"/>
  <c r="PV40" i="19"/>
  <c r="PW40" i="19"/>
  <c r="PX40" i="19"/>
  <c r="PY40" i="19"/>
  <c r="QA40" i="19"/>
  <c r="QB40" i="19"/>
  <c r="QD40" i="19"/>
  <c r="QE40" i="19"/>
  <c r="QF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CV37" i="19"/>
  <c r="CW37" i="19"/>
  <c r="CX37" i="19"/>
  <c r="CY37" i="19"/>
  <c r="DA37" i="19"/>
  <c r="DB37" i="19"/>
  <c r="PV37" i="19"/>
  <c r="PW37" i="19"/>
  <c r="PX37" i="19"/>
  <c r="PY37" i="19"/>
  <c r="QA37" i="19"/>
  <c r="QB37" i="19"/>
  <c r="QD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CV39" i="19"/>
  <c r="CW39" i="19"/>
  <c r="CX39" i="19"/>
  <c r="CY39" i="19"/>
  <c r="DA39" i="19"/>
  <c r="DB39" i="19"/>
  <c r="PV39" i="19"/>
  <c r="PW39" i="19"/>
  <c r="PX39" i="19"/>
  <c r="PY39" i="19"/>
  <c r="QA39" i="19"/>
  <c r="QB39" i="19"/>
  <c r="QD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CV22" i="21"/>
  <c r="CW22" i="21"/>
  <c r="CX22" i="21"/>
  <c r="CY22" i="21"/>
  <c r="DA22" i="21"/>
  <c r="DB22" i="21"/>
  <c r="PV22" i="21"/>
  <c r="PW22" i="21"/>
  <c r="PX22" i="21"/>
  <c r="PY22" i="21"/>
  <c r="QA22" i="21"/>
  <c r="QB22" i="21"/>
  <c r="QD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CV34" i="19"/>
  <c r="CW34" i="19"/>
  <c r="CX34" i="19"/>
  <c r="CY34" i="19"/>
  <c r="DA34" i="19"/>
  <c r="DB34" i="19"/>
  <c r="PV34" i="19"/>
  <c r="PW34" i="19"/>
  <c r="PX34" i="19"/>
  <c r="PY34" i="19"/>
  <c r="QA34" i="19"/>
  <c r="QB34" i="19"/>
  <c r="QD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CV31" i="19"/>
  <c r="CW31" i="19"/>
  <c r="CX31" i="19"/>
  <c r="CY31" i="19"/>
  <c r="DA31" i="19"/>
  <c r="DB31" i="19"/>
  <c r="PV31" i="19"/>
  <c r="PW31" i="19"/>
  <c r="PX31" i="19"/>
  <c r="PY31" i="19"/>
  <c r="QA31" i="19"/>
  <c r="QB31" i="19"/>
  <c r="QD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CV21" i="26"/>
  <c r="CW21" i="26"/>
  <c r="CX21" i="26"/>
  <c r="CY21" i="26"/>
  <c r="DA21" i="26"/>
  <c r="DB21" i="26"/>
  <c r="PV21" i="26"/>
  <c r="PW21" i="26"/>
  <c r="PX21" i="26"/>
  <c r="PY21" i="26"/>
  <c r="QA21" i="26"/>
  <c r="QB21" i="26"/>
  <c r="QD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33" i="4"/>
  <c r="CR33" i="4"/>
  <c r="CS33" i="4"/>
  <c r="CT33" i="4"/>
  <c r="CU33" i="4"/>
  <c r="CV33" i="4"/>
  <c r="CX33" i="4"/>
  <c r="CY33" i="4"/>
  <c r="CZ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CQ36" i="4"/>
  <c r="CR36" i="4"/>
  <c r="CS36" i="4"/>
  <c r="CT36" i="4"/>
  <c r="CU36" i="4"/>
  <c r="CV36" i="4"/>
  <c r="CX36" i="4"/>
  <c r="CY36" i="4"/>
  <c r="CZ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29" i="4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LZ30" i="4" l="1"/>
  <c r="IB22" i="4"/>
  <c r="PX12" i="4"/>
  <c r="NY12" i="21"/>
  <c r="NH20" i="4"/>
  <c r="PX4" i="4"/>
  <c r="PX9" i="4"/>
  <c r="HM10" i="21"/>
  <c r="HM19" i="21"/>
  <c r="HM32" i="21"/>
  <c r="KS5" i="21"/>
  <c r="KS29" i="21"/>
  <c r="GT9" i="22"/>
  <c r="HA9" i="22" s="1"/>
  <c r="JJ24" i="22"/>
  <c r="JQ24" i="22" s="1"/>
  <c r="RF18" i="22"/>
  <c r="RM18" i="22" s="1"/>
  <c r="JJ20" i="4"/>
  <c r="LZ10" i="4"/>
  <c r="MG10" i="4" s="1"/>
  <c r="FL14" i="4"/>
  <c r="FS14" i="4" s="1"/>
  <c r="JJ12" i="4"/>
  <c r="JQ12" i="4" s="1"/>
  <c r="NH9" i="4"/>
  <c r="NO9" i="4" s="1"/>
  <c r="NH21" i="4"/>
  <c r="NO21" i="4" s="1"/>
  <c r="GK17" i="21"/>
  <c r="JQ12" i="21"/>
  <c r="JJ22" i="22"/>
  <c r="JQ22" i="22" s="1"/>
  <c r="JJ26" i="22"/>
  <c r="JQ26" i="22" s="1"/>
  <c r="JJ35" i="22"/>
  <c r="JQ35" i="22" s="1"/>
  <c r="FL8" i="22"/>
  <c r="FS8" i="22" s="1"/>
  <c r="IB29" i="22"/>
  <c r="II29" i="22" s="1"/>
  <c r="RF34" i="22"/>
  <c r="PX6" i="4"/>
  <c r="QE6" i="4" s="1"/>
  <c r="JJ18" i="4"/>
  <c r="JQ18" i="4" s="1"/>
  <c r="LZ25" i="4"/>
  <c r="MG25" i="4" s="1"/>
  <c r="LZ29" i="4"/>
  <c r="MG29" i="4" s="1"/>
  <c r="OP4" i="4"/>
  <c r="OP9" i="4"/>
  <c r="OP26" i="4"/>
  <c r="FL21" i="4"/>
  <c r="FS21" i="4" s="1"/>
  <c r="OP22" i="4"/>
  <c r="OW22" i="4" s="1"/>
  <c r="NH10" i="4"/>
  <c r="NO10" i="4" s="1"/>
  <c r="LU8" i="21"/>
  <c r="PA30" i="21"/>
  <c r="RF4" i="22"/>
  <c r="RM4" i="22" s="1"/>
  <c r="RF25" i="22"/>
  <c r="RM25" i="22" s="1"/>
  <c r="RF32" i="22"/>
  <c r="RM32" i="22" s="1"/>
  <c r="PA13" i="21"/>
  <c r="JJ9" i="22"/>
  <c r="JQ9" i="22" s="1"/>
  <c r="IB21" i="22"/>
  <c r="II21" i="22" s="1"/>
  <c r="IB31" i="22"/>
  <c r="II31" i="22" s="1"/>
  <c r="JJ4" i="22"/>
  <c r="JQ4" i="22" s="1"/>
  <c r="JJ17" i="22"/>
  <c r="JQ17" i="22" s="1"/>
  <c r="OP22" i="22"/>
  <c r="OW22" i="22" s="1"/>
  <c r="RF19" i="22"/>
  <c r="RM19" i="22" s="1"/>
  <c r="RF31" i="22"/>
  <c r="RM31" i="22" s="1"/>
  <c r="II22" i="4"/>
  <c r="ED27" i="4"/>
  <c r="EK27" i="4" s="1"/>
  <c r="IB10" i="4"/>
  <c r="II10" i="4" s="1"/>
  <c r="NH30" i="4"/>
  <c r="NO30" i="4" s="1"/>
  <c r="PX34" i="4"/>
  <c r="QE34" i="4" s="1"/>
  <c r="PX17" i="4"/>
  <c r="QE17" i="4" s="1"/>
  <c r="KS15" i="21"/>
  <c r="KS30" i="21"/>
  <c r="LU18" i="21"/>
  <c r="KS25" i="21"/>
  <c r="NY14" i="21"/>
  <c r="NY34" i="21"/>
  <c r="JQ26" i="21"/>
  <c r="LU28" i="21"/>
  <c r="LU33" i="21"/>
  <c r="GK23" i="21"/>
  <c r="GK31" i="21"/>
  <c r="KS22" i="21"/>
  <c r="KS31" i="21"/>
  <c r="HM28" i="21"/>
  <c r="HM18" i="21"/>
  <c r="JQ34" i="21"/>
  <c r="LU4" i="21"/>
  <c r="LU10" i="21"/>
  <c r="LU19" i="21"/>
  <c r="NY26" i="21"/>
  <c r="GK29" i="21"/>
  <c r="GK25" i="21"/>
  <c r="HM33" i="21"/>
  <c r="KS6" i="21"/>
  <c r="KS23" i="21"/>
  <c r="LU32" i="21"/>
  <c r="HM8" i="21"/>
  <c r="JQ14" i="21"/>
  <c r="KS13" i="21"/>
  <c r="KS17" i="21"/>
  <c r="PA15" i="21"/>
  <c r="PA22" i="21"/>
  <c r="JJ11" i="22"/>
  <c r="JQ11" i="22" s="1"/>
  <c r="RF7" i="22"/>
  <c r="RM7" i="22" s="1"/>
  <c r="RF26" i="22"/>
  <c r="RM26" i="22" s="1"/>
  <c r="RF35" i="22"/>
  <c r="RM35" i="22" s="1"/>
  <c r="RF9" i="22"/>
  <c r="RM9" i="22" s="1"/>
  <c r="RF13" i="22"/>
  <c r="RM13" i="22" s="1"/>
  <c r="ED35" i="22"/>
  <c r="EK35" i="22" s="1"/>
  <c r="FL16" i="22"/>
  <c r="FS16" i="22" s="1"/>
  <c r="JJ18" i="22"/>
  <c r="JQ18" i="22" s="1"/>
  <c r="JJ25" i="22"/>
  <c r="JQ25" i="22" s="1"/>
  <c r="JJ32" i="22"/>
  <c r="JQ32" i="22" s="1"/>
  <c r="PX33" i="22"/>
  <c r="QE33" i="22" s="1"/>
  <c r="RF24" i="22"/>
  <c r="RM24" i="22" s="1"/>
  <c r="RF27" i="22"/>
  <c r="RM27" i="22" s="1"/>
  <c r="IB17" i="4"/>
  <c r="II17" i="4" s="1"/>
  <c r="FL8" i="4"/>
  <c r="FS8" i="4" s="1"/>
  <c r="JJ4" i="4"/>
  <c r="JQ4" i="4" s="1"/>
  <c r="JJ9" i="4"/>
  <c r="JQ9" i="4" s="1"/>
  <c r="LZ19" i="4"/>
  <c r="MG19" i="4" s="1"/>
  <c r="NH18" i="4"/>
  <c r="NO18" i="4" s="1"/>
  <c r="OP12" i="4"/>
  <c r="OW12" i="4" s="1"/>
  <c r="PX29" i="4"/>
  <c r="QE29" i="4" s="1"/>
  <c r="PX22" i="4"/>
  <c r="QE22" i="4" s="1"/>
  <c r="ED23" i="4"/>
  <c r="EK23" i="4" s="1"/>
  <c r="LZ31" i="4"/>
  <c r="MG31" i="4" s="1"/>
  <c r="NH31" i="4"/>
  <c r="NO31" i="4" s="1"/>
  <c r="PX31" i="4"/>
  <c r="QE31" i="4" s="1"/>
  <c r="ED38" i="4"/>
  <c r="EK38" i="4" s="1"/>
  <c r="LZ18" i="4"/>
  <c r="MG18" i="4" s="1"/>
  <c r="LZ34" i="4"/>
  <c r="MG34" i="4" s="1"/>
  <c r="NH19" i="4"/>
  <c r="NO19" i="4" s="1"/>
  <c r="OP6" i="4"/>
  <c r="OW6" i="4" s="1"/>
  <c r="PX26" i="4"/>
  <c r="QE26" i="4" s="1"/>
  <c r="RF4" i="4"/>
  <c r="RM4" i="4" s="1"/>
  <c r="ED35" i="4"/>
  <c r="EK35" i="4" s="1"/>
  <c r="FL7" i="4"/>
  <c r="FS7" i="4" s="1"/>
  <c r="LZ6" i="4"/>
  <c r="MG6" i="4" s="1"/>
  <c r="LZ21" i="4"/>
  <c r="MG21" i="4" s="1"/>
  <c r="LZ26" i="4"/>
  <c r="MG26" i="4" s="1"/>
  <c r="NH25" i="4"/>
  <c r="NO25" i="4" s="1"/>
  <c r="OP17" i="4"/>
  <c r="OW17" i="4" s="1"/>
  <c r="PX30" i="4"/>
  <c r="QE30" i="4" s="1"/>
  <c r="KS5" i="27"/>
  <c r="KS18" i="27"/>
  <c r="KS13" i="27"/>
  <c r="LU4" i="27"/>
  <c r="LU6" i="27"/>
  <c r="LU11" i="27"/>
  <c r="LU8" i="27"/>
  <c r="HM5" i="26"/>
  <c r="HM14" i="26"/>
  <c r="HM17" i="26"/>
  <c r="LU5" i="26"/>
  <c r="LU14" i="26"/>
  <c r="LU17" i="26"/>
  <c r="IB34" i="22"/>
  <c r="II34" i="22" s="1"/>
  <c r="IB26" i="22"/>
  <c r="II26" i="22" s="1"/>
  <c r="JJ6" i="22"/>
  <c r="JQ6" i="22" s="1"/>
  <c r="JJ30" i="22"/>
  <c r="JQ30" i="22" s="1"/>
  <c r="JJ23" i="22"/>
  <c r="JQ23" i="22" s="1"/>
  <c r="NH4" i="22"/>
  <c r="NO4" i="22" s="1"/>
  <c r="NH9" i="22"/>
  <c r="NO9" i="22" s="1"/>
  <c r="NH18" i="22"/>
  <c r="NO18" i="22" s="1"/>
  <c r="NH35" i="22"/>
  <c r="NO35" i="22" s="1"/>
  <c r="OP6" i="22"/>
  <c r="OW6" i="22" s="1"/>
  <c r="OP15" i="22"/>
  <c r="OW15" i="22" s="1"/>
  <c r="PX35" i="22"/>
  <c r="QE35" i="22" s="1"/>
  <c r="NO20" i="4"/>
  <c r="GT15" i="4"/>
  <c r="HA15" i="4" s="1"/>
  <c r="GT24" i="4"/>
  <c r="HA24" i="4" s="1"/>
  <c r="KR24" i="4"/>
  <c r="KY24" i="4" s="1"/>
  <c r="KR28" i="4"/>
  <c r="KY28" i="4" s="1"/>
  <c r="KR32" i="4"/>
  <c r="KY32" i="4" s="1"/>
  <c r="NH15" i="4"/>
  <c r="NO15" i="4" s="1"/>
  <c r="OP37" i="4"/>
  <c r="OW37" i="4" s="1"/>
  <c r="OP13" i="4"/>
  <c r="OW13" i="4" s="1"/>
  <c r="FI14" i="21"/>
  <c r="FI12" i="21"/>
  <c r="FI26" i="21"/>
  <c r="FI34" i="21"/>
  <c r="GK6" i="21"/>
  <c r="GK5" i="21"/>
  <c r="GK15" i="21"/>
  <c r="GK22" i="21"/>
  <c r="GK13" i="21"/>
  <c r="GK30" i="21"/>
  <c r="HM4" i="21"/>
  <c r="GK35" i="19"/>
  <c r="GK34" i="19"/>
  <c r="HM9" i="19"/>
  <c r="HM11" i="19"/>
  <c r="HM30" i="19"/>
  <c r="KS35" i="19"/>
  <c r="KS34" i="19"/>
  <c r="GK5" i="27"/>
  <c r="GK18" i="27"/>
  <c r="GK13" i="27"/>
  <c r="HM4" i="27"/>
  <c r="HM6" i="27"/>
  <c r="HM11" i="27"/>
  <c r="HM8" i="27"/>
  <c r="EG7" i="27"/>
  <c r="EG12" i="27"/>
  <c r="FI15" i="27"/>
  <c r="HM10" i="27"/>
  <c r="HM14" i="27"/>
  <c r="HM20" i="27"/>
  <c r="IO7" i="27"/>
  <c r="IO12" i="27"/>
  <c r="JQ15" i="27"/>
  <c r="LU10" i="27"/>
  <c r="LU14" i="27"/>
  <c r="LU20" i="27"/>
  <c r="MW7" i="27"/>
  <c r="MW12" i="27"/>
  <c r="NY15" i="27"/>
  <c r="HM13" i="26"/>
  <c r="LU12" i="26"/>
  <c r="LU18" i="26"/>
  <c r="LZ25" i="22"/>
  <c r="MG25" i="22" s="1"/>
  <c r="LZ26" i="22"/>
  <c r="MG26" i="22" s="1"/>
  <c r="LZ32" i="22"/>
  <c r="MG32" i="22" s="1"/>
  <c r="LZ35" i="22"/>
  <c r="MG35" i="22" s="1"/>
  <c r="NH5" i="22"/>
  <c r="NO5" i="22" s="1"/>
  <c r="NH12" i="22"/>
  <c r="NO12" i="22" s="1"/>
  <c r="NH21" i="22"/>
  <c r="NO21" i="22" s="1"/>
  <c r="NH31" i="22"/>
  <c r="NO31" i="22" s="1"/>
  <c r="NH29" i="22"/>
  <c r="NO29" i="22" s="1"/>
  <c r="OP4" i="22"/>
  <c r="OW4" i="22" s="1"/>
  <c r="OP7" i="22"/>
  <c r="OW7" i="22" s="1"/>
  <c r="OP9" i="22"/>
  <c r="OW9" i="22" s="1"/>
  <c r="OP18" i="22"/>
  <c r="OW18" i="22" s="1"/>
  <c r="OP19" i="22"/>
  <c r="OW19" i="22" s="1"/>
  <c r="OP24" i="22"/>
  <c r="OW24" i="22" s="1"/>
  <c r="FL25" i="22"/>
  <c r="FS25" i="22" s="1"/>
  <c r="FL26" i="22"/>
  <c r="FS26" i="22" s="1"/>
  <c r="FL32" i="22"/>
  <c r="FS32" i="22" s="1"/>
  <c r="FL35" i="22"/>
  <c r="FS35" i="22" s="1"/>
  <c r="GT5" i="22"/>
  <c r="HA5" i="22" s="1"/>
  <c r="OP26" i="22"/>
  <c r="OW26" i="22" s="1"/>
  <c r="OP35" i="22"/>
  <c r="OW35" i="22" s="1"/>
  <c r="PX12" i="22"/>
  <c r="QE12" i="22" s="1"/>
  <c r="OP21" i="22"/>
  <c r="OW21" i="22" s="1"/>
  <c r="OP31" i="22"/>
  <c r="OW31" i="22" s="1"/>
  <c r="PX4" i="22"/>
  <c r="QE4" i="22" s="1"/>
  <c r="PX7" i="22"/>
  <c r="QE7" i="22" s="1"/>
  <c r="PX9" i="22"/>
  <c r="QE9" i="22" s="1"/>
  <c r="PX11" i="22"/>
  <c r="QE11" i="22" s="1"/>
  <c r="PX18" i="22"/>
  <c r="QE18" i="22" s="1"/>
  <c r="PX19" i="22"/>
  <c r="QE19" i="22" s="1"/>
  <c r="PX24" i="22"/>
  <c r="QE24" i="22" s="1"/>
  <c r="GT4" i="22"/>
  <c r="HA4" i="22" s="1"/>
  <c r="GT26" i="22"/>
  <c r="HA26" i="22" s="1"/>
  <c r="GT35" i="22"/>
  <c r="HA35" i="22" s="1"/>
  <c r="IB16" i="22"/>
  <c r="II16" i="22" s="1"/>
  <c r="RF15" i="22"/>
  <c r="RM15" i="22" s="1"/>
  <c r="RF28" i="22"/>
  <c r="RM28" i="22" s="1"/>
  <c r="GT12" i="22"/>
  <c r="HA12" i="22" s="1"/>
  <c r="GT21" i="22"/>
  <c r="HA21" i="22" s="1"/>
  <c r="GT31" i="22"/>
  <c r="HA31" i="22" s="1"/>
  <c r="IB4" i="22"/>
  <c r="II4" i="22" s="1"/>
  <c r="IB24" i="22"/>
  <c r="II24" i="22" s="1"/>
  <c r="IB22" i="22"/>
  <c r="II22" i="22" s="1"/>
  <c r="JJ29" i="22"/>
  <c r="JQ29" i="22" s="1"/>
  <c r="KR15" i="22"/>
  <c r="KY15" i="22" s="1"/>
  <c r="KR20" i="22"/>
  <c r="KY20" i="22" s="1"/>
  <c r="KR28" i="22"/>
  <c r="KY28" i="22" s="1"/>
  <c r="KR33" i="22"/>
  <c r="KY33" i="22" s="1"/>
  <c r="LZ22" i="22"/>
  <c r="MG22" i="22" s="1"/>
  <c r="KR4" i="22"/>
  <c r="KY4" i="22" s="1"/>
  <c r="KR7" i="22"/>
  <c r="KY7" i="22" s="1"/>
  <c r="KR9" i="22"/>
  <c r="KY9" i="22" s="1"/>
  <c r="KR19" i="22"/>
  <c r="KY19" i="22" s="1"/>
  <c r="KR24" i="22"/>
  <c r="KY24" i="22" s="1"/>
  <c r="KR13" i="22"/>
  <c r="KY13" i="22" s="1"/>
  <c r="KR34" i="22"/>
  <c r="KY34" i="22" s="1"/>
  <c r="KR26" i="22"/>
  <c r="KY26" i="22" s="1"/>
  <c r="KR27" i="22"/>
  <c r="KY27" i="22" s="1"/>
  <c r="KR35" i="22"/>
  <c r="KY35" i="22" s="1"/>
  <c r="LZ8" i="22"/>
  <c r="MG8" i="22" s="1"/>
  <c r="LZ16" i="22"/>
  <c r="MG16" i="22" s="1"/>
  <c r="ED15" i="22"/>
  <c r="EK15" i="22" s="1"/>
  <c r="ED20" i="22"/>
  <c r="EK20" i="22" s="1"/>
  <c r="ED28" i="22"/>
  <c r="EK28" i="22" s="1"/>
  <c r="ED33" i="22"/>
  <c r="EK33" i="22" s="1"/>
  <c r="FL24" i="22"/>
  <c r="FS24" i="22" s="1"/>
  <c r="FL22" i="22"/>
  <c r="FS22" i="22" s="1"/>
  <c r="OP16" i="22"/>
  <c r="OW16" i="22" s="1"/>
  <c r="PX16" i="22"/>
  <c r="QE16" i="22" s="1"/>
  <c r="PX31" i="22"/>
  <c r="QE31" i="22" s="1"/>
  <c r="ED4" i="22"/>
  <c r="EK4" i="22" s="1"/>
  <c r="ED7" i="22"/>
  <c r="EK7" i="22" s="1"/>
  <c r="ED9" i="22"/>
  <c r="EK9" i="22" s="1"/>
  <c r="ED19" i="22"/>
  <c r="EK19" i="22" s="1"/>
  <c r="ED24" i="22"/>
  <c r="EK24" i="22" s="1"/>
  <c r="ED13" i="22"/>
  <c r="EK13" i="22" s="1"/>
  <c r="ED34" i="22"/>
  <c r="EK34" i="22" s="1"/>
  <c r="ED26" i="22"/>
  <c r="EK26" i="22" s="1"/>
  <c r="ED27" i="22"/>
  <c r="EK27" i="22" s="1"/>
  <c r="PX17" i="22"/>
  <c r="QE17" i="22" s="1"/>
  <c r="PX22" i="22"/>
  <c r="QE22" i="22" s="1"/>
  <c r="PX13" i="22"/>
  <c r="QE13" i="22" s="1"/>
  <c r="PX34" i="22"/>
  <c r="QE34" i="22" s="1"/>
  <c r="PX25" i="22"/>
  <c r="QE25" i="22" s="1"/>
  <c r="PX26" i="22"/>
  <c r="QE26" i="22" s="1"/>
  <c r="PX27" i="22"/>
  <c r="QE27" i="22" s="1"/>
  <c r="PX32" i="22"/>
  <c r="QE32" i="22" s="1"/>
  <c r="ED10" i="4"/>
  <c r="EK10" i="4" s="1"/>
  <c r="FL18" i="4"/>
  <c r="FS18" i="4" s="1"/>
  <c r="ED29" i="4"/>
  <c r="EK29" i="4" s="1"/>
  <c r="PX14" i="4"/>
  <c r="QE14" i="4" s="1"/>
  <c r="PX8" i="4"/>
  <c r="QE8" i="4" s="1"/>
  <c r="PX27" i="4"/>
  <c r="QE27" i="4" s="1"/>
  <c r="PX35" i="4"/>
  <c r="QE35" i="4" s="1"/>
  <c r="RF12" i="4"/>
  <c r="RM12" i="4" s="1"/>
  <c r="RF9" i="4"/>
  <c r="RM9" i="4" s="1"/>
  <c r="RF18" i="4"/>
  <c r="RM18" i="4" s="1"/>
  <c r="RF22" i="4"/>
  <c r="RM22" i="4" s="1"/>
  <c r="ED30" i="4"/>
  <c r="EK30" i="4" s="1"/>
  <c r="FL9" i="4"/>
  <c r="FS9" i="4" s="1"/>
  <c r="RF5" i="4"/>
  <c r="RM5" i="4" s="1"/>
  <c r="RF7" i="4"/>
  <c r="RM7" i="4" s="1"/>
  <c r="RF14" i="4"/>
  <c r="RM14" i="4" s="1"/>
  <c r="RF8" i="4"/>
  <c r="RM8" i="4" s="1"/>
  <c r="RF23" i="4"/>
  <c r="RM23" i="4" s="1"/>
  <c r="FL27" i="4"/>
  <c r="FS27" i="4" s="1"/>
  <c r="FL35" i="4"/>
  <c r="FS35" i="4" s="1"/>
  <c r="GT33" i="4"/>
  <c r="HA33" i="4" s="1"/>
  <c r="IB5" i="4"/>
  <c r="II5" i="4" s="1"/>
  <c r="IB27" i="4"/>
  <c r="II27" i="4" s="1"/>
  <c r="ED37" i="4"/>
  <c r="EK37" i="4" s="1"/>
  <c r="ED13" i="4"/>
  <c r="EK13" i="4" s="1"/>
  <c r="IB35" i="4"/>
  <c r="II35" i="4" s="1"/>
  <c r="IB38" i="4"/>
  <c r="II38" i="4" s="1"/>
  <c r="IB23" i="4"/>
  <c r="II23" i="4" s="1"/>
  <c r="IB33" i="4"/>
  <c r="II33" i="4" s="1"/>
  <c r="JJ14" i="4"/>
  <c r="JQ14" i="4" s="1"/>
  <c r="JJ21" i="4"/>
  <c r="JQ21" i="4" s="1"/>
  <c r="JJ10" i="4"/>
  <c r="JQ10" i="4" s="1"/>
  <c r="JJ30" i="4"/>
  <c r="JQ30" i="4" s="1"/>
  <c r="KR12" i="4"/>
  <c r="KY12" i="4" s="1"/>
  <c r="KR9" i="4"/>
  <c r="KY9" i="4" s="1"/>
  <c r="KR18" i="4"/>
  <c r="KY18" i="4" s="1"/>
  <c r="KR21" i="4"/>
  <c r="KY21" i="4" s="1"/>
  <c r="KR22" i="4"/>
  <c r="KY22" i="4" s="1"/>
  <c r="OP21" i="4"/>
  <c r="OW21" i="4" s="1"/>
  <c r="ED4" i="4"/>
  <c r="EK4" i="4" s="1"/>
  <c r="ED6" i="4"/>
  <c r="EK6" i="4" s="1"/>
  <c r="ED12" i="4"/>
  <c r="EK12" i="4" s="1"/>
  <c r="ED9" i="4"/>
  <c r="EK9" i="4" s="1"/>
  <c r="ED20" i="4"/>
  <c r="EK20" i="4" s="1"/>
  <c r="ED18" i="4"/>
  <c r="EK18" i="4" s="1"/>
  <c r="ED25" i="4"/>
  <c r="EK25" i="4" s="1"/>
  <c r="ED21" i="4"/>
  <c r="EK21" i="4" s="1"/>
  <c r="JJ8" i="4"/>
  <c r="JQ8" i="4" s="1"/>
  <c r="JJ27" i="4"/>
  <c r="JQ27" i="4" s="1"/>
  <c r="JJ35" i="4"/>
  <c r="JQ35" i="4" s="1"/>
  <c r="JJ38" i="4"/>
  <c r="JQ38" i="4" s="1"/>
  <c r="KR5" i="4"/>
  <c r="KY5" i="4" s="1"/>
  <c r="LZ5" i="4"/>
  <c r="MG5" i="4" s="1"/>
  <c r="LZ7" i="4"/>
  <c r="MG7" i="4" s="1"/>
  <c r="LZ14" i="4"/>
  <c r="MG14" i="4" s="1"/>
  <c r="LZ8" i="4"/>
  <c r="MG8" i="4" s="1"/>
  <c r="LZ23" i="4"/>
  <c r="MG23" i="4" s="1"/>
  <c r="OP27" i="4"/>
  <c r="OW27" i="4" s="1"/>
  <c r="OP35" i="4"/>
  <c r="OW35" i="4" s="1"/>
  <c r="OP38" i="4"/>
  <c r="OW38" i="4" s="1"/>
  <c r="OP23" i="4"/>
  <c r="OW23" i="4" s="1"/>
  <c r="PX7" i="4"/>
  <c r="QE7" i="4" s="1"/>
  <c r="FL31" i="4"/>
  <c r="FS31" i="4" s="1"/>
  <c r="FL30" i="4"/>
  <c r="FS30" i="4" s="1"/>
  <c r="FL34" i="4"/>
  <c r="FS34" i="4" s="1"/>
  <c r="FL29" i="4"/>
  <c r="FS29" i="4" s="1"/>
  <c r="FL26" i="4"/>
  <c r="FS26" i="4" s="1"/>
  <c r="FL17" i="4"/>
  <c r="FS17" i="4" s="1"/>
  <c r="FL22" i="4"/>
  <c r="FS22" i="4" s="1"/>
  <c r="GT4" i="4"/>
  <c r="HA4" i="4" s="1"/>
  <c r="GT18" i="4"/>
  <c r="HA18" i="4" s="1"/>
  <c r="GT25" i="4"/>
  <c r="HA25" i="4" s="1"/>
  <c r="GT21" i="4"/>
  <c r="HA21" i="4" s="1"/>
  <c r="GT19" i="4"/>
  <c r="HA19" i="4" s="1"/>
  <c r="GT10" i="4"/>
  <c r="HA10" i="4" s="1"/>
  <c r="GT31" i="4"/>
  <c r="HA31" i="4" s="1"/>
  <c r="GT30" i="4"/>
  <c r="HA30" i="4" s="1"/>
  <c r="GT34" i="4"/>
  <c r="HA34" i="4" s="1"/>
  <c r="GT29" i="4"/>
  <c r="HA29" i="4" s="1"/>
  <c r="IB6" i="4"/>
  <c r="II6" i="4" s="1"/>
  <c r="IB12" i="4"/>
  <c r="II12" i="4" s="1"/>
  <c r="IB9" i="4"/>
  <c r="II9" i="4" s="1"/>
  <c r="IB20" i="4"/>
  <c r="II20" i="4" s="1"/>
  <c r="RF33" i="4"/>
  <c r="RM33" i="4" s="1"/>
  <c r="EG4" i="21"/>
  <c r="EG14" i="21"/>
  <c r="EG12" i="21"/>
  <c r="EG26" i="21"/>
  <c r="EG34" i="21"/>
  <c r="FI6" i="21"/>
  <c r="FI5" i="21"/>
  <c r="HM15" i="21"/>
  <c r="HM22" i="21"/>
  <c r="HM13" i="21"/>
  <c r="HM30" i="21"/>
  <c r="IO4" i="21"/>
  <c r="IO14" i="21"/>
  <c r="IO12" i="21"/>
  <c r="IO26" i="21"/>
  <c r="IO34" i="21"/>
  <c r="JQ6" i="21"/>
  <c r="JQ5" i="21"/>
  <c r="LU15" i="21"/>
  <c r="LU22" i="21"/>
  <c r="LU13" i="21"/>
  <c r="LU30" i="21"/>
  <c r="MW4" i="21"/>
  <c r="MW14" i="21"/>
  <c r="MW12" i="21"/>
  <c r="MW26" i="21"/>
  <c r="MW34" i="21"/>
  <c r="NY6" i="21"/>
  <c r="NY5" i="21"/>
  <c r="EG10" i="21"/>
  <c r="EG28" i="21"/>
  <c r="EG19" i="21"/>
  <c r="EG18" i="21"/>
  <c r="EG32" i="21"/>
  <c r="EG33" i="21"/>
  <c r="FI23" i="21"/>
  <c r="FI29" i="21"/>
  <c r="FI25" i="21"/>
  <c r="FI31" i="21"/>
  <c r="FI17" i="21"/>
  <c r="GK8" i="21"/>
  <c r="IO10" i="21"/>
  <c r="IO28" i="21"/>
  <c r="IO19" i="21"/>
  <c r="IO18" i="21"/>
  <c r="IO32" i="21"/>
  <c r="IO33" i="21"/>
  <c r="JQ23" i="21"/>
  <c r="JQ29" i="21"/>
  <c r="JQ25" i="21"/>
  <c r="JQ31" i="21"/>
  <c r="JQ17" i="21"/>
  <c r="KS8" i="21"/>
  <c r="MW10" i="21"/>
  <c r="MW28" i="21"/>
  <c r="MW19" i="21"/>
  <c r="MW18" i="21"/>
  <c r="MW32" i="21"/>
  <c r="MW33" i="21"/>
  <c r="NY23" i="21"/>
  <c r="NY29" i="21"/>
  <c r="NY25" i="21"/>
  <c r="NY31" i="21"/>
  <c r="NY17" i="21"/>
  <c r="PA8" i="21"/>
  <c r="EG35" i="19"/>
  <c r="EG34" i="19"/>
  <c r="FI9" i="19"/>
  <c r="FI11" i="19"/>
  <c r="FI30" i="19"/>
  <c r="FI19" i="19"/>
  <c r="FI25" i="19"/>
  <c r="IO35" i="19"/>
  <c r="IO34" i="19"/>
  <c r="JQ9" i="19"/>
  <c r="JQ11" i="19"/>
  <c r="JQ30" i="19"/>
  <c r="JQ19" i="19"/>
  <c r="JQ25" i="19"/>
  <c r="MW35" i="19"/>
  <c r="MW34" i="19"/>
  <c r="NY9" i="19"/>
  <c r="NY11" i="19"/>
  <c r="NY30" i="19"/>
  <c r="NY19" i="19"/>
  <c r="NY25" i="19"/>
  <c r="FI36" i="19"/>
  <c r="FI39" i="19"/>
  <c r="GK5" i="19"/>
  <c r="GK10" i="19"/>
  <c r="GK38" i="19"/>
  <c r="GK17" i="19"/>
  <c r="JQ36" i="19"/>
  <c r="JQ39" i="19"/>
  <c r="KS5" i="19"/>
  <c r="KS10" i="19"/>
  <c r="KS38" i="19"/>
  <c r="KS17" i="19"/>
  <c r="HM35" i="19"/>
  <c r="HM34" i="19"/>
  <c r="IO9" i="19"/>
  <c r="LU35" i="19"/>
  <c r="LU34" i="19"/>
  <c r="FI35" i="19"/>
  <c r="FI34" i="19"/>
  <c r="GK9" i="19"/>
  <c r="GK11" i="19"/>
  <c r="GK30" i="19"/>
  <c r="GK19" i="19"/>
  <c r="GK25" i="19"/>
  <c r="GK36" i="19"/>
  <c r="GK39" i="19"/>
  <c r="HM5" i="19"/>
  <c r="HM10" i="19"/>
  <c r="HM38" i="19"/>
  <c r="HM17" i="19"/>
  <c r="HM24" i="19"/>
  <c r="HM6" i="19"/>
  <c r="JQ35" i="19"/>
  <c r="JQ34" i="19"/>
  <c r="KS9" i="19"/>
  <c r="KS11" i="19"/>
  <c r="KS30" i="19"/>
  <c r="KS19" i="19"/>
  <c r="KS25" i="19"/>
  <c r="KS36" i="19"/>
  <c r="KS39" i="19"/>
  <c r="LU5" i="19"/>
  <c r="LU10" i="19"/>
  <c r="LU38" i="19"/>
  <c r="LU17" i="19"/>
  <c r="LU24" i="19"/>
  <c r="LU6" i="19"/>
  <c r="NY35" i="19"/>
  <c r="NY34" i="19"/>
  <c r="PA9" i="19"/>
  <c r="PA11" i="19"/>
  <c r="PA30" i="19"/>
  <c r="PA19" i="19"/>
  <c r="PA25" i="19"/>
  <c r="PA36" i="19"/>
  <c r="PA39" i="19"/>
  <c r="EG5" i="19"/>
  <c r="EG10" i="19"/>
  <c r="EG38" i="19"/>
  <c r="EG17" i="19"/>
  <c r="EG24" i="19"/>
  <c r="EG6" i="19"/>
  <c r="HM19" i="19"/>
  <c r="HM25" i="19"/>
  <c r="HM36" i="19"/>
  <c r="HM39" i="19"/>
  <c r="IO5" i="19"/>
  <c r="IO10" i="19"/>
  <c r="IO38" i="19"/>
  <c r="IO17" i="19"/>
  <c r="IO24" i="19"/>
  <c r="IO6" i="19"/>
  <c r="LU9" i="19"/>
  <c r="LU11" i="19"/>
  <c r="LU30" i="19"/>
  <c r="LU19" i="19"/>
  <c r="LU25" i="19"/>
  <c r="LU36" i="19"/>
  <c r="LU39" i="19"/>
  <c r="MW5" i="19"/>
  <c r="MW10" i="19"/>
  <c r="MW38" i="19"/>
  <c r="MW17" i="19"/>
  <c r="MW24" i="19"/>
  <c r="MW6" i="19"/>
  <c r="PA35" i="19"/>
  <c r="PA34" i="19"/>
  <c r="EG9" i="19"/>
  <c r="EG11" i="19"/>
  <c r="EG30" i="19"/>
  <c r="EG19" i="19"/>
  <c r="EG25" i="19"/>
  <c r="EG36" i="19"/>
  <c r="EG39" i="19"/>
  <c r="FI5" i="19"/>
  <c r="FI10" i="19"/>
  <c r="FI38" i="19"/>
  <c r="FI17" i="19"/>
  <c r="FI24" i="19"/>
  <c r="FI6" i="19"/>
  <c r="IO11" i="19"/>
  <c r="IO30" i="19"/>
  <c r="IO19" i="19"/>
  <c r="IO25" i="19"/>
  <c r="IO36" i="19"/>
  <c r="IO39" i="19"/>
  <c r="JQ5" i="19"/>
  <c r="JQ10" i="19"/>
  <c r="JQ38" i="19"/>
  <c r="JQ17" i="19"/>
  <c r="JQ24" i="19"/>
  <c r="JQ6" i="19"/>
  <c r="MW9" i="19"/>
  <c r="MW11" i="19"/>
  <c r="MW30" i="19"/>
  <c r="MW19" i="19"/>
  <c r="MW25" i="19"/>
  <c r="MW36" i="19"/>
  <c r="MW39" i="19"/>
  <c r="NY5" i="19"/>
  <c r="NY10" i="19"/>
  <c r="NY38" i="19"/>
  <c r="NY17" i="19"/>
  <c r="NY24" i="19"/>
  <c r="NY6" i="19"/>
  <c r="GK24" i="19"/>
  <c r="GK6" i="19"/>
  <c r="KS24" i="19"/>
  <c r="KS6" i="19"/>
  <c r="NY36" i="19"/>
  <c r="NY39" i="19"/>
  <c r="PA5" i="19"/>
  <c r="PA10" i="19"/>
  <c r="PA38" i="19"/>
  <c r="PA17" i="19"/>
  <c r="PA24" i="19"/>
  <c r="PA6" i="19"/>
  <c r="FI10" i="27"/>
  <c r="FI14" i="27"/>
  <c r="FI20" i="27"/>
  <c r="GK7" i="27"/>
  <c r="GK12" i="27"/>
  <c r="HM15" i="27"/>
  <c r="JQ10" i="27"/>
  <c r="JQ14" i="27"/>
  <c r="JQ20" i="27"/>
  <c r="KS7" i="27"/>
  <c r="KS12" i="27"/>
  <c r="LU15" i="27"/>
  <c r="NY10" i="27"/>
  <c r="NY14" i="27"/>
  <c r="NY20" i="27"/>
  <c r="P8" i="27"/>
  <c r="Q8" i="27" s="1"/>
  <c r="EG5" i="27"/>
  <c r="EG18" i="27"/>
  <c r="EG13" i="27"/>
  <c r="FI4" i="27"/>
  <c r="FI6" i="27"/>
  <c r="FI11" i="27"/>
  <c r="FI8" i="27"/>
  <c r="IO5" i="27"/>
  <c r="IO18" i="27"/>
  <c r="IO13" i="27"/>
  <c r="JQ4" i="27"/>
  <c r="JQ6" i="27"/>
  <c r="JQ11" i="27"/>
  <c r="JQ8" i="27"/>
  <c r="MW5" i="27"/>
  <c r="MW18" i="27"/>
  <c r="MW13" i="27"/>
  <c r="NY4" i="27"/>
  <c r="NY6" i="27"/>
  <c r="NY11" i="27"/>
  <c r="NY8" i="27"/>
  <c r="LU13" i="26"/>
  <c r="HM12" i="26"/>
  <c r="HM18" i="26"/>
  <c r="EG13" i="26"/>
  <c r="EG14" i="26"/>
  <c r="EG17" i="26"/>
  <c r="IO13" i="26"/>
  <c r="IO14" i="26"/>
  <c r="IO17" i="26"/>
  <c r="MW13" i="26"/>
  <c r="MW14" i="26"/>
  <c r="MW17" i="26"/>
  <c r="GK5" i="26"/>
  <c r="GK12" i="26"/>
  <c r="GK18" i="26"/>
  <c r="KS5" i="26"/>
  <c r="KS12" i="26"/>
  <c r="KS18" i="26"/>
  <c r="PA5" i="26"/>
  <c r="PA12" i="26"/>
  <c r="PA18" i="26"/>
  <c r="EG5" i="26"/>
  <c r="EG12" i="26"/>
  <c r="EG18" i="26"/>
  <c r="FI13" i="26"/>
  <c r="FI14" i="26"/>
  <c r="FI17" i="26"/>
  <c r="IO5" i="26"/>
  <c r="IO12" i="26"/>
  <c r="IO18" i="26"/>
  <c r="JQ13" i="26"/>
  <c r="JQ14" i="26"/>
  <c r="JQ17" i="26"/>
  <c r="MW5" i="26"/>
  <c r="MW12" i="26"/>
  <c r="MW18" i="26"/>
  <c r="NY13" i="26"/>
  <c r="NY14" i="26"/>
  <c r="NY17" i="26"/>
  <c r="FI5" i="26"/>
  <c r="FI12" i="26"/>
  <c r="FI18" i="26"/>
  <c r="GK13" i="26"/>
  <c r="GK14" i="26"/>
  <c r="GK17" i="26"/>
  <c r="JQ5" i="26"/>
  <c r="JQ12" i="26"/>
  <c r="JQ18" i="26"/>
  <c r="KS13" i="26"/>
  <c r="KS14" i="26"/>
  <c r="KS17" i="26"/>
  <c r="NY5" i="26"/>
  <c r="NY12" i="26"/>
  <c r="NY18" i="26"/>
  <c r="PA13" i="26"/>
  <c r="PA14" i="26"/>
  <c r="PA17" i="26"/>
  <c r="P17" i="21"/>
  <c r="Q17" i="21" s="1"/>
  <c r="PA6" i="21"/>
  <c r="PA5" i="21"/>
  <c r="PA23" i="21"/>
  <c r="PA29" i="21"/>
  <c r="PA25" i="21"/>
  <c r="PA31" i="21"/>
  <c r="PA17" i="21"/>
  <c r="EG8" i="21"/>
  <c r="EG15" i="21"/>
  <c r="EG22" i="21"/>
  <c r="EG13" i="21"/>
  <c r="EG30" i="21"/>
  <c r="FI4" i="21"/>
  <c r="FI10" i="21"/>
  <c r="FI28" i="21"/>
  <c r="FI19" i="21"/>
  <c r="FI18" i="21"/>
  <c r="FI32" i="21"/>
  <c r="FI33" i="21"/>
  <c r="GK14" i="21"/>
  <c r="GK12" i="21"/>
  <c r="GK26" i="21"/>
  <c r="GK34" i="21"/>
  <c r="HM6" i="21"/>
  <c r="HM5" i="21"/>
  <c r="HM23" i="21"/>
  <c r="HM29" i="21"/>
  <c r="HM25" i="21"/>
  <c r="HM31" i="21"/>
  <c r="HM17" i="21"/>
  <c r="IO8" i="21"/>
  <c r="IO15" i="21"/>
  <c r="IO22" i="21"/>
  <c r="IO13" i="21"/>
  <c r="IO30" i="21"/>
  <c r="JQ4" i="21"/>
  <c r="JQ10" i="21"/>
  <c r="JQ28" i="21"/>
  <c r="JQ19" i="21"/>
  <c r="JQ18" i="21"/>
  <c r="JQ32" i="21"/>
  <c r="JQ33" i="21"/>
  <c r="KS14" i="21"/>
  <c r="KS12" i="21"/>
  <c r="KS26" i="21"/>
  <c r="KS34" i="21"/>
  <c r="LU6" i="21"/>
  <c r="LU5" i="21"/>
  <c r="LU23" i="21"/>
  <c r="LU29" i="21"/>
  <c r="LU25" i="21"/>
  <c r="LU31" i="21"/>
  <c r="LU17" i="21"/>
  <c r="MW8" i="21"/>
  <c r="MW15" i="21"/>
  <c r="MW22" i="21"/>
  <c r="MW13" i="21"/>
  <c r="MW30" i="21"/>
  <c r="NY4" i="21"/>
  <c r="NY10" i="21"/>
  <c r="NY28" i="21"/>
  <c r="NY19" i="21"/>
  <c r="NY18" i="21"/>
  <c r="NY32" i="21"/>
  <c r="NY33" i="21"/>
  <c r="PA14" i="21"/>
  <c r="PA12" i="21"/>
  <c r="PA26" i="21"/>
  <c r="PA34" i="21"/>
  <c r="EG6" i="21"/>
  <c r="EG5" i="21"/>
  <c r="EG23" i="21"/>
  <c r="EG29" i="21"/>
  <c r="EG25" i="21"/>
  <c r="EG31" i="21"/>
  <c r="EG17" i="21"/>
  <c r="FI8" i="21"/>
  <c r="FI15" i="21"/>
  <c r="FI22" i="21"/>
  <c r="FI13" i="21"/>
  <c r="FI30" i="21"/>
  <c r="GK4" i="21"/>
  <c r="GK10" i="21"/>
  <c r="GK28" i="21"/>
  <c r="GK19" i="21"/>
  <c r="GK18" i="21"/>
  <c r="GK32" i="21"/>
  <c r="GK33" i="21"/>
  <c r="HM14" i="21"/>
  <c r="HM12" i="21"/>
  <c r="HM26" i="21"/>
  <c r="HM34" i="21"/>
  <c r="IO6" i="21"/>
  <c r="IO5" i="21"/>
  <c r="IO23" i="21"/>
  <c r="IO29" i="21"/>
  <c r="IO25" i="21"/>
  <c r="IO31" i="21"/>
  <c r="IO17" i="21"/>
  <c r="JQ8" i="21"/>
  <c r="JQ15" i="21"/>
  <c r="JQ22" i="21"/>
  <c r="JQ13" i="21"/>
  <c r="JQ30" i="21"/>
  <c r="KS4" i="21"/>
  <c r="KS10" i="21"/>
  <c r="KS28" i="21"/>
  <c r="KS19" i="21"/>
  <c r="KS18" i="21"/>
  <c r="KS32" i="21"/>
  <c r="KS33" i="21"/>
  <c r="LU14" i="21"/>
  <c r="LU12" i="21"/>
  <c r="LU26" i="21"/>
  <c r="LU34" i="21"/>
  <c r="MW6" i="21"/>
  <c r="MW5" i="21"/>
  <c r="MW23" i="21"/>
  <c r="MW29" i="21"/>
  <c r="MW25" i="21"/>
  <c r="MW31" i="21"/>
  <c r="MW17" i="21"/>
  <c r="NY8" i="21"/>
  <c r="NY15" i="21"/>
  <c r="NY22" i="21"/>
  <c r="NY13" i="21"/>
  <c r="NY30" i="21"/>
  <c r="PA4" i="21"/>
  <c r="PA10" i="21"/>
  <c r="PA28" i="21"/>
  <c r="PA19" i="21"/>
  <c r="PA18" i="21"/>
  <c r="PA32" i="21"/>
  <c r="PA33" i="21"/>
  <c r="EG8" i="19"/>
  <c r="EG16" i="19"/>
  <c r="EG20" i="19"/>
  <c r="EG32" i="19"/>
  <c r="EG15" i="19"/>
  <c r="EG40" i="19"/>
  <c r="FI8" i="19"/>
  <c r="FI16" i="19"/>
  <c r="FI20" i="19"/>
  <c r="EG7" i="19"/>
  <c r="EG41" i="19"/>
  <c r="EG21" i="19"/>
  <c r="EG18" i="19"/>
  <c r="EG23" i="19"/>
  <c r="EG26" i="19"/>
  <c r="EG31" i="19"/>
  <c r="EG37" i="19"/>
  <c r="FI7" i="19"/>
  <c r="FI41" i="19"/>
  <c r="FI21" i="19"/>
  <c r="FI18" i="19"/>
  <c r="FI23" i="19"/>
  <c r="FI32" i="19"/>
  <c r="FI15" i="19"/>
  <c r="FI40" i="19"/>
  <c r="GK8" i="19"/>
  <c r="GK16" i="19"/>
  <c r="GK20" i="19"/>
  <c r="GK32" i="19"/>
  <c r="GK15" i="19"/>
  <c r="GK40" i="19"/>
  <c r="HM8" i="19"/>
  <c r="HM16" i="19"/>
  <c r="HM20" i="19"/>
  <c r="HM32" i="19"/>
  <c r="HM15" i="19"/>
  <c r="HM40" i="19"/>
  <c r="IO8" i="19"/>
  <c r="IO16" i="19"/>
  <c r="IO20" i="19"/>
  <c r="IO32" i="19"/>
  <c r="IO15" i="19"/>
  <c r="IO40" i="19"/>
  <c r="JQ8" i="19"/>
  <c r="JQ16" i="19"/>
  <c r="JQ20" i="19"/>
  <c r="JQ32" i="19"/>
  <c r="JQ15" i="19"/>
  <c r="JQ40" i="19"/>
  <c r="KS8" i="19"/>
  <c r="KS16" i="19"/>
  <c r="KS20" i="19"/>
  <c r="KS32" i="19"/>
  <c r="KS15" i="19"/>
  <c r="KS40" i="19"/>
  <c r="LU8" i="19"/>
  <c r="LU16" i="19"/>
  <c r="LU20" i="19"/>
  <c r="LU32" i="19"/>
  <c r="LU15" i="19"/>
  <c r="LU40" i="19"/>
  <c r="MW8" i="19"/>
  <c r="MW16" i="19"/>
  <c r="MW20" i="19"/>
  <c r="MW32" i="19"/>
  <c r="MW15" i="19"/>
  <c r="MW40" i="19"/>
  <c r="NY8" i="19"/>
  <c r="NY16" i="19"/>
  <c r="NY20" i="19"/>
  <c r="NY32" i="19"/>
  <c r="NY15" i="19"/>
  <c r="NY40" i="19"/>
  <c r="PA8" i="19"/>
  <c r="PA16" i="19"/>
  <c r="PA20" i="19"/>
  <c r="PA32" i="19"/>
  <c r="PA15" i="19"/>
  <c r="PA40" i="19"/>
  <c r="FI26" i="19"/>
  <c r="FI31" i="19"/>
  <c r="FI37" i="19"/>
  <c r="GK7" i="19"/>
  <c r="GK41" i="19"/>
  <c r="GK21" i="19"/>
  <c r="GK18" i="19"/>
  <c r="GK23" i="19"/>
  <c r="GK26" i="19"/>
  <c r="GK31" i="19"/>
  <c r="GK37" i="19"/>
  <c r="HM7" i="19"/>
  <c r="HM41" i="19"/>
  <c r="HM21" i="19"/>
  <c r="HM18" i="19"/>
  <c r="HM23" i="19"/>
  <c r="HM26" i="19"/>
  <c r="HM31" i="19"/>
  <c r="HM37" i="19"/>
  <c r="IO7" i="19"/>
  <c r="IO41" i="19"/>
  <c r="IO21" i="19"/>
  <c r="IO18" i="19"/>
  <c r="IO23" i="19"/>
  <c r="IO26" i="19"/>
  <c r="IO31" i="19"/>
  <c r="IO37" i="19"/>
  <c r="JQ7" i="19"/>
  <c r="JQ41" i="19"/>
  <c r="JQ21" i="19"/>
  <c r="JQ18" i="19"/>
  <c r="JQ23" i="19"/>
  <c r="JQ26" i="19"/>
  <c r="JQ31" i="19"/>
  <c r="JQ37" i="19"/>
  <c r="KS7" i="19"/>
  <c r="KS41" i="19"/>
  <c r="KS21" i="19"/>
  <c r="KS18" i="19"/>
  <c r="KS23" i="19"/>
  <c r="KS26" i="19"/>
  <c r="KS31" i="19"/>
  <c r="KS37" i="19"/>
  <c r="LU7" i="19"/>
  <c r="LU41" i="19"/>
  <c r="LU21" i="19"/>
  <c r="LU18" i="19"/>
  <c r="LU23" i="19"/>
  <c r="LU26" i="19"/>
  <c r="LU31" i="19"/>
  <c r="LU37" i="19"/>
  <c r="MW7" i="19"/>
  <c r="MW41" i="19"/>
  <c r="MW21" i="19"/>
  <c r="MW18" i="19"/>
  <c r="MW23" i="19"/>
  <c r="MW26" i="19"/>
  <c r="MW31" i="19"/>
  <c r="MW37" i="19"/>
  <c r="NY7" i="19"/>
  <c r="NY41" i="19"/>
  <c r="NY21" i="19"/>
  <c r="NY18" i="19"/>
  <c r="NY23" i="19"/>
  <c r="NY26" i="19"/>
  <c r="NY31" i="19"/>
  <c r="NY37" i="19"/>
  <c r="PA7" i="19"/>
  <c r="PA41" i="19"/>
  <c r="PA21" i="19"/>
  <c r="PA18" i="19"/>
  <c r="PA23" i="19"/>
  <c r="PA26" i="19"/>
  <c r="PA31" i="19"/>
  <c r="PA37" i="19"/>
  <c r="PA7" i="27"/>
  <c r="PA12" i="27"/>
  <c r="DC8" i="27"/>
  <c r="PA5" i="27"/>
  <c r="PA18" i="27"/>
  <c r="PA13" i="27"/>
  <c r="EG15" i="27"/>
  <c r="EG11" i="27"/>
  <c r="EG8" i="27"/>
  <c r="FI7" i="27"/>
  <c r="FI12" i="27"/>
  <c r="GK15" i="27"/>
  <c r="GK11" i="27"/>
  <c r="GK8" i="27"/>
  <c r="HM7" i="27"/>
  <c r="HM12" i="27"/>
  <c r="IO15" i="27"/>
  <c r="IO11" i="27"/>
  <c r="IO8" i="27"/>
  <c r="JQ7" i="27"/>
  <c r="JQ12" i="27"/>
  <c r="KS15" i="27"/>
  <c r="KS11" i="27"/>
  <c r="KS8" i="27"/>
  <c r="LU7" i="27"/>
  <c r="LU12" i="27"/>
  <c r="MW15" i="27"/>
  <c r="MW11" i="27"/>
  <c r="MW8" i="27"/>
  <c r="NY7" i="27"/>
  <c r="NY12" i="27"/>
  <c r="PA15" i="27"/>
  <c r="PA11" i="27"/>
  <c r="PA8" i="27"/>
  <c r="EG4" i="27"/>
  <c r="EG6" i="27"/>
  <c r="EG10" i="27"/>
  <c r="EG14" i="27"/>
  <c r="EG20" i="27"/>
  <c r="FI5" i="27"/>
  <c r="FI18" i="27"/>
  <c r="FI13" i="27"/>
  <c r="GK4" i="27"/>
  <c r="GK6" i="27"/>
  <c r="GK10" i="27"/>
  <c r="GK14" i="27"/>
  <c r="GK20" i="27"/>
  <c r="HM5" i="27"/>
  <c r="HM18" i="27"/>
  <c r="HM13" i="27"/>
  <c r="IO4" i="27"/>
  <c r="IO6" i="27"/>
  <c r="IO10" i="27"/>
  <c r="IO14" i="27"/>
  <c r="IO20" i="27"/>
  <c r="JQ5" i="27"/>
  <c r="JQ18" i="27"/>
  <c r="JQ13" i="27"/>
  <c r="KS4" i="27"/>
  <c r="KS6" i="27"/>
  <c r="KS10" i="27"/>
  <c r="KS14" i="27"/>
  <c r="KS20" i="27"/>
  <c r="LU5" i="27"/>
  <c r="LU18" i="27"/>
  <c r="LU13" i="27"/>
  <c r="MW4" i="27"/>
  <c r="MW6" i="27"/>
  <c r="MW10" i="27"/>
  <c r="MW14" i="27"/>
  <c r="MW20" i="27"/>
  <c r="NY5" i="27"/>
  <c r="NY18" i="27"/>
  <c r="NY13" i="27"/>
  <c r="PA4" i="27"/>
  <c r="PA6" i="27"/>
  <c r="PA10" i="27"/>
  <c r="PA14" i="27"/>
  <c r="PA20" i="27"/>
  <c r="EG7" i="26"/>
  <c r="EG6" i="26"/>
  <c r="EG16" i="26"/>
  <c r="EG21" i="26"/>
  <c r="FI7" i="26"/>
  <c r="FI6" i="26"/>
  <c r="FI16" i="26"/>
  <c r="FI21" i="26"/>
  <c r="GK7" i="26"/>
  <c r="GK6" i="26"/>
  <c r="GK16" i="26"/>
  <c r="GK21" i="26"/>
  <c r="HM7" i="26"/>
  <c r="HM6" i="26"/>
  <c r="HM16" i="26"/>
  <c r="HM21" i="26"/>
  <c r="IO7" i="26"/>
  <c r="IO6" i="26"/>
  <c r="IO16" i="26"/>
  <c r="IO21" i="26"/>
  <c r="JQ7" i="26"/>
  <c r="JQ6" i="26"/>
  <c r="JQ16" i="26"/>
  <c r="JQ21" i="26"/>
  <c r="KS7" i="26"/>
  <c r="KS6" i="26"/>
  <c r="KS16" i="26"/>
  <c r="KS21" i="26"/>
  <c r="LU7" i="26"/>
  <c r="LU6" i="26"/>
  <c r="LU16" i="26"/>
  <c r="LU21" i="26"/>
  <c r="MW7" i="26"/>
  <c r="MW6" i="26"/>
  <c r="MW16" i="26"/>
  <c r="MW21" i="26"/>
  <c r="NY7" i="26"/>
  <c r="NY6" i="26"/>
  <c r="NY16" i="26"/>
  <c r="NY21" i="26"/>
  <c r="PA7" i="26"/>
  <c r="PA6" i="26"/>
  <c r="PA16" i="26"/>
  <c r="PA21" i="26"/>
  <c r="EG4" i="26"/>
  <c r="EG11" i="26"/>
  <c r="EG15" i="26"/>
  <c r="FI4" i="26"/>
  <c r="FI11" i="26"/>
  <c r="FI15" i="26"/>
  <c r="GK4" i="26"/>
  <c r="GK11" i="26"/>
  <c r="GK15" i="26"/>
  <c r="HM4" i="26"/>
  <c r="HM11" i="26"/>
  <c r="HM15" i="26"/>
  <c r="IO4" i="26"/>
  <c r="IO11" i="26"/>
  <c r="IO15" i="26"/>
  <c r="JQ4" i="26"/>
  <c r="JQ11" i="26"/>
  <c r="JQ15" i="26"/>
  <c r="KS4" i="26"/>
  <c r="KS11" i="26"/>
  <c r="KS15" i="26"/>
  <c r="LU4" i="26"/>
  <c r="LU11" i="26"/>
  <c r="LU15" i="26"/>
  <c r="MW4" i="26"/>
  <c r="MW11" i="26"/>
  <c r="MW15" i="26"/>
  <c r="NY4" i="26"/>
  <c r="NY11" i="26"/>
  <c r="NY15" i="26"/>
  <c r="PA4" i="26"/>
  <c r="PA11" i="26"/>
  <c r="PA15" i="26"/>
  <c r="FL34" i="22"/>
  <c r="FS34" i="22" s="1"/>
  <c r="LZ34" i="22"/>
  <c r="MG34" i="22" s="1"/>
  <c r="PX29" i="22"/>
  <c r="QE29" i="22" s="1"/>
  <c r="RM34" i="22"/>
  <c r="RF33" i="22"/>
  <c r="RM33" i="22" s="1"/>
  <c r="OP28" i="22"/>
  <c r="OW28" i="22" s="1"/>
  <c r="OP33" i="22"/>
  <c r="OW33" i="22" s="1"/>
  <c r="ED5" i="22"/>
  <c r="EK5" i="22" s="1"/>
  <c r="ED18" i="22"/>
  <c r="EK18" i="22" s="1"/>
  <c r="FL29" i="22"/>
  <c r="FS29" i="22" s="1"/>
  <c r="GT7" i="22"/>
  <c r="HA7" i="22" s="1"/>
  <c r="GT15" i="22"/>
  <c r="HA15" i="22" s="1"/>
  <c r="GT20" i="22"/>
  <c r="HA20" i="22" s="1"/>
  <c r="GT28" i="22"/>
  <c r="HA28" i="22" s="1"/>
  <c r="KR5" i="22"/>
  <c r="KY5" i="22" s="1"/>
  <c r="KR18" i="22"/>
  <c r="KY18" i="22" s="1"/>
  <c r="LZ29" i="22"/>
  <c r="MG29" i="22" s="1"/>
  <c r="NH7" i="22"/>
  <c r="NO7" i="22" s="1"/>
  <c r="NH15" i="22"/>
  <c r="NO15" i="22" s="1"/>
  <c r="NH20" i="22"/>
  <c r="NO20" i="22" s="1"/>
  <c r="NH28" i="22"/>
  <c r="NO28" i="22" s="1"/>
  <c r="OP34" i="22"/>
  <c r="OW34" i="22" s="1"/>
  <c r="OP27" i="22"/>
  <c r="OW27" i="22" s="1"/>
  <c r="OP32" i="22"/>
  <c r="OW32" i="22" s="1"/>
  <c r="PX5" i="22"/>
  <c r="QE5" i="22" s="1"/>
  <c r="PX6" i="22"/>
  <c r="QE6" i="22" s="1"/>
  <c r="PX8" i="22"/>
  <c r="QE8" i="22" s="1"/>
  <c r="PX15" i="22"/>
  <c r="QE15" i="22" s="1"/>
  <c r="PX30" i="22"/>
  <c r="QE30" i="22" s="1"/>
  <c r="RF5" i="22"/>
  <c r="RM5" i="22" s="1"/>
  <c r="ED12" i="22"/>
  <c r="EK12" i="22" s="1"/>
  <c r="ED22" i="22"/>
  <c r="EK22" i="22" s="1"/>
  <c r="FL6" i="22"/>
  <c r="FS6" i="22" s="1"/>
  <c r="FL30" i="22"/>
  <c r="FS30" i="22" s="1"/>
  <c r="GT18" i="22"/>
  <c r="HA18" i="22" s="1"/>
  <c r="GT19" i="22"/>
  <c r="HA19" i="22" s="1"/>
  <c r="GT24" i="22"/>
  <c r="HA24" i="22" s="1"/>
  <c r="GT22" i="22"/>
  <c r="HA22" i="22" s="1"/>
  <c r="GT13" i="22"/>
  <c r="HA13" i="22" s="1"/>
  <c r="GT34" i="22"/>
  <c r="HA34" i="22" s="1"/>
  <c r="GT27" i="22"/>
  <c r="HA27" i="22" s="1"/>
  <c r="GT33" i="22"/>
  <c r="HA33" i="22" s="1"/>
  <c r="IB9" i="22"/>
  <c r="II9" i="22" s="1"/>
  <c r="IB18" i="22"/>
  <c r="II18" i="22" s="1"/>
  <c r="IB35" i="22"/>
  <c r="II35" i="22" s="1"/>
  <c r="JJ34" i="22"/>
  <c r="JQ34" i="22" s="1"/>
  <c r="KR12" i="22"/>
  <c r="KY12" i="22" s="1"/>
  <c r="KR22" i="22"/>
  <c r="KY22" i="22" s="1"/>
  <c r="LZ6" i="22"/>
  <c r="MG6" i="22" s="1"/>
  <c r="LZ30" i="22"/>
  <c r="MG30" i="22" s="1"/>
  <c r="NH19" i="22"/>
  <c r="NO19" i="22" s="1"/>
  <c r="NH24" i="22"/>
  <c r="NO24" i="22" s="1"/>
  <c r="NH17" i="22"/>
  <c r="NO17" i="22" s="1"/>
  <c r="NH22" i="22"/>
  <c r="NO22" i="22" s="1"/>
  <c r="NH13" i="22"/>
  <c r="NO13" i="22" s="1"/>
  <c r="NH34" i="22"/>
  <c r="NO34" i="22" s="1"/>
  <c r="NH26" i="22"/>
  <c r="NO26" i="22" s="1"/>
  <c r="PX20" i="22"/>
  <c r="QE20" i="22" s="1"/>
  <c r="RF12" i="22"/>
  <c r="RM12" i="22" s="1"/>
  <c r="RF22" i="22"/>
  <c r="RM22" i="22" s="1"/>
  <c r="ED21" i="22"/>
  <c r="EK21" i="22" s="1"/>
  <c r="ED31" i="22"/>
  <c r="EK31" i="22" s="1"/>
  <c r="FL4" i="22"/>
  <c r="FS4" i="22" s="1"/>
  <c r="FL9" i="22"/>
  <c r="FS9" i="22" s="1"/>
  <c r="FL11" i="22"/>
  <c r="FS11" i="22" s="1"/>
  <c r="FL18" i="22"/>
  <c r="FS18" i="22" s="1"/>
  <c r="FL17" i="22"/>
  <c r="FS17" i="22" s="1"/>
  <c r="FL23" i="22"/>
  <c r="FS23" i="22" s="1"/>
  <c r="IB8" i="22"/>
  <c r="II8" i="22" s="1"/>
  <c r="IB12" i="22"/>
  <c r="II12" i="22" s="1"/>
  <c r="JJ8" i="22"/>
  <c r="JQ8" i="22" s="1"/>
  <c r="JJ16" i="22"/>
  <c r="JQ16" i="22" s="1"/>
  <c r="KR21" i="22"/>
  <c r="KY21" i="22" s="1"/>
  <c r="KR31" i="22"/>
  <c r="KY31" i="22" s="1"/>
  <c r="LZ4" i="22"/>
  <c r="MG4" i="22" s="1"/>
  <c r="LZ9" i="22"/>
  <c r="MG9" i="22" s="1"/>
  <c r="LZ11" i="22"/>
  <c r="MG11" i="22" s="1"/>
  <c r="LZ18" i="22"/>
  <c r="MG18" i="22" s="1"/>
  <c r="LZ24" i="22"/>
  <c r="MG24" i="22" s="1"/>
  <c r="LZ17" i="22"/>
  <c r="MG17" i="22" s="1"/>
  <c r="LZ23" i="22"/>
  <c r="MG23" i="22" s="1"/>
  <c r="OP8" i="22"/>
  <c r="OW8" i="22" s="1"/>
  <c r="OP12" i="22"/>
  <c r="OW12" i="22" s="1"/>
  <c r="PX21" i="22"/>
  <c r="QE21" i="22" s="1"/>
  <c r="PX23" i="22"/>
  <c r="QE23" i="22" s="1"/>
  <c r="PX28" i="22"/>
  <c r="QE28" i="22" s="1"/>
  <c r="RF16" i="22"/>
  <c r="RM16" i="22" s="1"/>
  <c r="RF21" i="22"/>
  <c r="RM21" i="22" s="1"/>
  <c r="ED8" i="22"/>
  <c r="EK8" i="22" s="1"/>
  <c r="ED25" i="22"/>
  <c r="EK25" i="22" s="1"/>
  <c r="FL7" i="22"/>
  <c r="FS7" i="22" s="1"/>
  <c r="FL15" i="22"/>
  <c r="FS15" i="22" s="1"/>
  <c r="FL21" i="22"/>
  <c r="FS21" i="22" s="1"/>
  <c r="GT17" i="22"/>
  <c r="HA17" i="22" s="1"/>
  <c r="GT23" i="22"/>
  <c r="HA23" i="22" s="1"/>
  <c r="GT29" i="22"/>
  <c r="HA29" i="22" s="1"/>
  <c r="IB15" i="22"/>
  <c r="II15" i="22" s="1"/>
  <c r="IB17" i="22"/>
  <c r="II17" i="22" s="1"/>
  <c r="IB28" i="22"/>
  <c r="II28" i="22" s="1"/>
  <c r="IB32" i="22"/>
  <c r="II32" i="22" s="1"/>
  <c r="JJ19" i="22"/>
  <c r="JQ19" i="22" s="1"/>
  <c r="JJ20" i="22"/>
  <c r="JQ20" i="22" s="1"/>
  <c r="JJ31" i="22"/>
  <c r="JQ31" i="22" s="1"/>
  <c r="KR8" i="22"/>
  <c r="KY8" i="22" s="1"/>
  <c r="KR25" i="22"/>
  <c r="KY25" i="22" s="1"/>
  <c r="LZ7" i="22"/>
  <c r="MG7" i="22" s="1"/>
  <c r="LZ15" i="22"/>
  <c r="MG15" i="22" s="1"/>
  <c r="LZ21" i="22"/>
  <c r="MG21" i="22" s="1"/>
  <c r="NH23" i="22"/>
  <c r="NO23" i="22" s="1"/>
  <c r="RF8" i="22"/>
  <c r="RM8" i="22" s="1"/>
  <c r="ED6" i="22"/>
  <c r="EK6" i="22" s="1"/>
  <c r="ED16" i="22"/>
  <c r="EK16" i="22" s="1"/>
  <c r="ED32" i="22"/>
  <c r="EK32" i="22" s="1"/>
  <c r="FL19" i="22"/>
  <c r="FS19" i="22" s="1"/>
  <c r="FL20" i="22"/>
  <c r="FS20" i="22" s="1"/>
  <c r="FL31" i="22"/>
  <c r="FS31" i="22" s="1"/>
  <c r="GT8" i="22"/>
  <c r="HA8" i="22" s="1"/>
  <c r="GT25" i="22"/>
  <c r="HA25" i="22" s="1"/>
  <c r="IB7" i="22"/>
  <c r="II7" i="22" s="1"/>
  <c r="IB30" i="22"/>
  <c r="II30" i="22" s="1"/>
  <c r="IB13" i="22"/>
  <c r="II13" i="22" s="1"/>
  <c r="JJ5" i="22"/>
  <c r="JQ5" i="22" s="1"/>
  <c r="JJ13" i="22"/>
  <c r="JQ13" i="22" s="1"/>
  <c r="JJ28" i="22"/>
  <c r="JQ28" i="22" s="1"/>
  <c r="KR6" i="22"/>
  <c r="KY6" i="22" s="1"/>
  <c r="KR16" i="22"/>
  <c r="KY16" i="22" s="1"/>
  <c r="KR32" i="22"/>
  <c r="KY32" i="22" s="1"/>
  <c r="LZ19" i="22"/>
  <c r="MG19" i="22" s="1"/>
  <c r="LZ20" i="22"/>
  <c r="MG20" i="22" s="1"/>
  <c r="LZ31" i="22"/>
  <c r="MG31" i="22" s="1"/>
  <c r="NH8" i="22"/>
  <c r="NO8" i="22" s="1"/>
  <c r="NH25" i="22"/>
  <c r="NO25" i="22" s="1"/>
  <c r="NH27" i="22"/>
  <c r="NO27" i="22" s="1"/>
  <c r="NH33" i="22"/>
  <c r="NO33" i="22" s="1"/>
  <c r="OP11" i="22"/>
  <c r="OW11" i="22" s="1"/>
  <c r="OP30" i="22"/>
  <c r="OW30" i="22" s="1"/>
  <c r="RF6" i="22"/>
  <c r="RM6" i="22" s="1"/>
  <c r="ED11" i="22"/>
  <c r="EK11" i="22" s="1"/>
  <c r="ED30" i="22"/>
  <c r="EK30" i="22" s="1"/>
  <c r="FL5" i="22"/>
  <c r="FS5" i="22" s="1"/>
  <c r="FL13" i="22"/>
  <c r="FS13" i="22" s="1"/>
  <c r="FL28" i="22"/>
  <c r="FS28" i="22" s="1"/>
  <c r="GT6" i="22"/>
  <c r="HA6" i="22" s="1"/>
  <c r="GT16" i="22"/>
  <c r="HA16" i="22" s="1"/>
  <c r="GT32" i="22"/>
  <c r="HA32" i="22" s="1"/>
  <c r="IB11" i="22"/>
  <c r="II11" i="22" s="1"/>
  <c r="IB20" i="22"/>
  <c r="II20" i="22" s="1"/>
  <c r="IB25" i="22"/>
  <c r="II25" i="22" s="1"/>
  <c r="IB33" i="22"/>
  <c r="II33" i="22" s="1"/>
  <c r="JJ12" i="22"/>
  <c r="JQ12" i="22" s="1"/>
  <c r="JJ27" i="22"/>
  <c r="JQ27" i="22" s="1"/>
  <c r="JJ33" i="22"/>
  <c r="JQ33" i="22" s="1"/>
  <c r="KR11" i="22"/>
  <c r="KY11" i="22" s="1"/>
  <c r="KR30" i="22"/>
  <c r="KY30" i="22" s="1"/>
  <c r="LZ5" i="22"/>
  <c r="MG5" i="22" s="1"/>
  <c r="LZ13" i="22"/>
  <c r="MG13" i="22" s="1"/>
  <c r="LZ28" i="22"/>
  <c r="MG28" i="22" s="1"/>
  <c r="NH6" i="22"/>
  <c r="NO6" i="22" s="1"/>
  <c r="NH16" i="22"/>
  <c r="NO16" i="22" s="1"/>
  <c r="NH32" i="22"/>
  <c r="NO32" i="22" s="1"/>
  <c r="OP20" i="22"/>
  <c r="OW20" i="22" s="1"/>
  <c r="OP17" i="22"/>
  <c r="OW17" i="22" s="1"/>
  <c r="OP23" i="22"/>
  <c r="OW23" i="22" s="1"/>
  <c r="OP29" i="22"/>
  <c r="OW29" i="22" s="1"/>
  <c r="RF11" i="22"/>
  <c r="RM11" i="22" s="1"/>
  <c r="RF30" i="22"/>
  <c r="RM30" i="22" s="1"/>
  <c r="ED17" i="22"/>
  <c r="EK17" i="22" s="1"/>
  <c r="ED23" i="22"/>
  <c r="EK23" i="22" s="1"/>
  <c r="ED29" i="22"/>
  <c r="EK29" i="22" s="1"/>
  <c r="FL12" i="22"/>
  <c r="FS12" i="22" s="1"/>
  <c r="FL27" i="22"/>
  <c r="FS27" i="22" s="1"/>
  <c r="FL33" i="22"/>
  <c r="FS33" i="22" s="1"/>
  <c r="GT11" i="22"/>
  <c r="HA11" i="22" s="1"/>
  <c r="GT30" i="22"/>
  <c r="HA30" i="22" s="1"/>
  <c r="IB5" i="22"/>
  <c r="II5" i="22" s="1"/>
  <c r="IB6" i="22"/>
  <c r="II6" i="22" s="1"/>
  <c r="IB19" i="22"/>
  <c r="II19" i="22" s="1"/>
  <c r="IB23" i="22"/>
  <c r="II23" i="22" s="1"/>
  <c r="IB27" i="22"/>
  <c r="II27" i="22" s="1"/>
  <c r="JJ7" i="22"/>
  <c r="JQ7" i="22" s="1"/>
  <c r="JJ15" i="22"/>
  <c r="JQ15" i="22" s="1"/>
  <c r="JJ21" i="22"/>
  <c r="JQ21" i="22" s="1"/>
  <c r="KR17" i="22"/>
  <c r="KY17" i="22" s="1"/>
  <c r="KR23" i="22"/>
  <c r="KY23" i="22" s="1"/>
  <c r="KR29" i="22"/>
  <c r="KY29" i="22" s="1"/>
  <c r="LZ12" i="22"/>
  <c r="MG12" i="22" s="1"/>
  <c r="LZ27" i="22"/>
  <c r="MG27" i="22" s="1"/>
  <c r="LZ33" i="22"/>
  <c r="MG33" i="22" s="1"/>
  <c r="NH11" i="22"/>
  <c r="NO11" i="22" s="1"/>
  <c r="NH30" i="22"/>
  <c r="NO30" i="22" s="1"/>
  <c r="OP5" i="22"/>
  <c r="OW5" i="22" s="1"/>
  <c r="OP13" i="22"/>
  <c r="OW13" i="22" s="1"/>
  <c r="RF20" i="22"/>
  <c r="RM20" i="22" s="1"/>
  <c r="OP25" i="22"/>
  <c r="OW25" i="22" s="1"/>
  <c r="RF17" i="22"/>
  <c r="RM17" i="22" s="1"/>
  <c r="RF23" i="22"/>
  <c r="RM23" i="22" s="1"/>
  <c r="RF29" i="22"/>
  <c r="RM29" i="22" s="1"/>
  <c r="IB13" i="4"/>
  <c r="II13" i="4" s="1"/>
  <c r="KR7" i="4"/>
  <c r="KY7" i="4" s="1"/>
  <c r="KR14" i="4"/>
  <c r="KY14" i="4" s="1"/>
  <c r="KR8" i="4"/>
  <c r="KY8" i="4" s="1"/>
  <c r="KR27" i="4"/>
  <c r="KY27" i="4" s="1"/>
  <c r="KR33" i="4"/>
  <c r="KY33" i="4" s="1"/>
  <c r="OW4" i="4"/>
  <c r="OP20" i="4"/>
  <c r="OW20" i="4" s="1"/>
  <c r="OP18" i="4"/>
  <c r="OW18" i="4" s="1"/>
  <c r="OP25" i="4"/>
  <c r="OW25" i="4" s="1"/>
  <c r="OP36" i="4"/>
  <c r="OW36" i="4" s="1"/>
  <c r="PX37" i="4"/>
  <c r="QE37" i="4" s="1"/>
  <c r="FL10" i="4"/>
  <c r="FS10" i="4" s="1"/>
  <c r="IB18" i="4"/>
  <c r="II18" i="4" s="1"/>
  <c r="IB25" i="4"/>
  <c r="II25" i="4" s="1"/>
  <c r="IB21" i="4"/>
  <c r="II21" i="4" s="1"/>
  <c r="IB19" i="4"/>
  <c r="II19" i="4" s="1"/>
  <c r="JJ37" i="4"/>
  <c r="JQ37" i="4" s="1"/>
  <c r="JJ13" i="4"/>
  <c r="JQ13" i="4" s="1"/>
  <c r="LZ20" i="4"/>
  <c r="MG20" i="4" s="1"/>
  <c r="OW26" i="4"/>
  <c r="QE4" i="4"/>
  <c r="QE12" i="4"/>
  <c r="PX28" i="4"/>
  <c r="QE28" i="4" s="1"/>
  <c r="PX32" i="4"/>
  <c r="QE32" i="4" s="1"/>
  <c r="PX36" i="4"/>
  <c r="QE36" i="4" s="1"/>
  <c r="GT12" i="4"/>
  <c r="HA12" i="4" s="1"/>
  <c r="GT9" i="4"/>
  <c r="HA9" i="4" s="1"/>
  <c r="JJ32" i="4"/>
  <c r="JQ32" i="4" s="1"/>
  <c r="JJ36" i="4"/>
  <c r="JQ36" i="4" s="1"/>
  <c r="LZ17" i="4"/>
  <c r="MG17" i="4" s="1"/>
  <c r="NH4" i="4"/>
  <c r="NO4" i="4" s="1"/>
  <c r="NH12" i="4"/>
  <c r="NO12" i="4" s="1"/>
  <c r="RF15" i="4"/>
  <c r="RM15" i="4" s="1"/>
  <c r="RF24" i="4"/>
  <c r="RM24" i="4" s="1"/>
  <c r="RF28" i="4"/>
  <c r="RM28" i="4" s="1"/>
  <c r="ED36" i="4"/>
  <c r="EK36" i="4" s="1"/>
  <c r="FL37" i="4"/>
  <c r="FS37" i="4" s="1"/>
  <c r="GT5" i="4"/>
  <c r="HA5" i="4" s="1"/>
  <c r="GT7" i="4"/>
  <c r="HA7" i="4" s="1"/>
  <c r="GT14" i="4"/>
  <c r="HA14" i="4" s="1"/>
  <c r="GT38" i="4"/>
  <c r="HA38" i="4" s="1"/>
  <c r="JJ34" i="4"/>
  <c r="JQ34" i="4" s="1"/>
  <c r="JJ29" i="4"/>
  <c r="JQ29" i="4" s="1"/>
  <c r="JJ26" i="4"/>
  <c r="JQ26" i="4" s="1"/>
  <c r="JJ17" i="4"/>
  <c r="JQ17" i="4" s="1"/>
  <c r="JJ22" i="4"/>
  <c r="JQ22" i="4" s="1"/>
  <c r="KR4" i="4"/>
  <c r="KY4" i="4" s="1"/>
  <c r="KR6" i="4"/>
  <c r="KY6" i="4" s="1"/>
  <c r="LZ33" i="4"/>
  <c r="MG33" i="4" s="1"/>
  <c r="NH5" i="4"/>
  <c r="NO5" i="4" s="1"/>
  <c r="NH7" i="4"/>
  <c r="NO7" i="4" s="1"/>
  <c r="NH35" i="4"/>
  <c r="NO35" i="4" s="1"/>
  <c r="NH29" i="4"/>
  <c r="NO29" i="4" s="1"/>
  <c r="NH22" i="4"/>
  <c r="NO22" i="4" s="1"/>
  <c r="RF25" i="4"/>
  <c r="RM25" i="4" s="1"/>
  <c r="RF21" i="4"/>
  <c r="RM21" i="4" s="1"/>
  <c r="RF19" i="4"/>
  <c r="RM19" i="4" s="1"/>
  <c r="RF10" i="4"/>
  <c r="RM10" i="4" s="1"/>
  <c r="RF31" i="4"/>
  <c r="RM31" i="4" s="1"/>
  <c r="RF30" i="4"/>
  <c r="RM30" i="4" s="1"/>
  <c r="RF34" i="4"/>
  <c r="RM34" i="4" s="1"/>
  <c r="RF29" i="4"/>
  <c r="RM29" i="4" s="1"/>
  <c r="RF26" i="4"/>
  <c r="RM26" i="4" s="1"/>
  <c r="ED26" i="4"/>
  <c r="EK26" i="4" s="1"/>
  <c r="ED17" i="4"/>
  <c r="EK17" i="4" s="1"/>
  <c r="ED22" i="4"/>
  <c r="EK22" i="4" s="1"/>
  <c r="FL4" i="4"/>
  <c r="FS4" i="4" s="1"/>
  <c r="FL6" i="4"/>
  <c r="FS6" i="4" s="1"/>
  <c r="FL12" i="4"/>
  <c r="FS12" i="4" s="1"/>
  <c r="GT23" i="4"/>
  <c r="HA23" i="4" s="1"/>
  <c r="GT22" i="4"/>
  <c r="HA22" i="4" s="1"/>
  <c r="IB4" i="4"/>
  <c r="II4" i="4" s="1"/>
  <c r="KR19" i="4"/>
  <c r="KY19" i="4" s="1"/>
  <c r="KR10" i="4"/>
  <c r="KY10" i="4" s="1"/>
  <c r="KR31" i="4"/>
  <c r="KY31" i="4" s="1"/>
  <c r="KR30" i="4"/>
  <c r="KY30" i="4" s="1"/>
  <c r="KR34" i="4"/>
  <c r="KY34" i="4" s="1"/>
  <c r="KR29" i="4"/>
  <c r="KY29" i="4" s="1"/>
  <c r="KR26" i="4"/>
  <c r="KY26" i="4" s="1"/>
  <c r="KR17" i="4"/>
  <c r="KY17" i="4" s="1"/>
  <c r="NH38" i="4"/>
  <c r="NO38" i="4" s="1"/>
  <c r="NH23" i="4"/>
  <c r="NO23" i="4" s="1"/>
  <c r="NH33" i="4"/>
  <c r="NO33" i="4" s="1"/>
  <c r="OP8" i="4"/>
  <c r="OW8" i="4" s="1"/>
  <c r="OP10" i="4"/>
  <c r="OW10" i="4" s="1"/>
  <c r="OP30" i="4"/>
  <c r="OW30" i="4" s="1"/>
  <c r="OP29" i="4"/>
  <c r="OW29" i="4" s="1"/>
  <c r="ED8" i="4"/>
  <c r="EK8" i="4" s="1"/>
  <c r="FL28" i="4"/>
  <c r="FS28" i="4" s="1"/>
  <c r="FL32" i="4"/>
  <c r="FS32" i="4" s="1"/>
  <c r="FL36" i="4"/>
  <c r="FS36" i="4" s="1"/>
  <c r="IB30" i="4"/>
  <c r="II30" i="4" s="1"/>
  <c r="IB29" i="4"/>
  <c r="II29" i="4" s="1"/>
  <c r="LZ15" i="4"/>
  <c r="MG15" i="4" s="1"/>
  <c r="LZ24" i="4"/>
  <c r="MG24" i="4" s="1"/>
  <c r="QE9" i="4"/>
  <c r="PX18" i="4"/>
  <c r="QE18" i="4" s="1"/>
  <c r="PX21" i="4"/>
  <c r="QE21" i="4" s="1"/>
  <c r="PX10" i="4"/>
  <c r="QE10" i="4" s="1"/>
  <c r="OW9" i="4"/>
  <c r="GT28" i="4"/>
  <c r="HA28" i="4" s="1"/>
  <c r="MG30" i="4"/>
  <c r="LZ28" i="4"/>
  <c r="MG28" i="4" s="1"/>
  <c r="NH24" i="4"/>
  <c r="NO24" i="4" s="1"/>
  <c r="PX13" i="4"/>
  <c r="QE13" i="4" s="1"/>
  <c r="RF32" i="4"/>
  <c r="RM32" i="4" s="1"/>
  <c r="KR36" i="4"/>
  <c r="KY36" i="4" s="1"/>
  <c r="CW22" i="4"/>
  <c r="DA22" i="4" s="1"/>
  <c r="ED15" i="4"/>
  <c r="EK15" i="4" s="1"/>
  <c r="GT37" i="4"/>
  <c r="HA37" i="4" s="1"/>
  <c r="GT32" i="4"/>
  <c r="HA32" i="4" s="1"/>
  <c r="IB24" i="4"/>
  <c r="II24" i="4" s="1"/>
  <c r="JQ20" i="4"/>
  <c r="KR13" i="4"/>
  <c r="KY13" i="4" s="1"/>
  <c r="LZ32" i="4"/>
  <c r="MG32" i="4" s="1"/>
  <c r="NH28" i="4"/>
  <c r="NO28" i="4" s="1"/>
  <c r="OP15" i="4"/>
  <c r="OW15" i="4" s="1"/>
  <c r="RF37" i="4"/>
  <c r="RM37" i="4" s="1"/>
  <c r="RF36" i="4"/>
  <c r="RM36" i="4" s="1"/>
  <c r="KR37" i="4"/>
  <c r="KY37" i="4" s="1"/>
  <c r="ED5" i="4"/>
  <c r="EK5" i="4" s="1"/>
  <c r="ED19" i="4"/>
  <c r="EK19" i="4" s="1"/>
  <c r="ED24" i="4"/>
  <c r="EK24" i="4" s="1"/>
  <c r="ED33" i="4"/>
  <c r="EK33" i="4" s="1"/>
  <c r="FL20" i="4"/>
  <c r="FS20" i="4" s="1"/>
  <c r="FL38" i="4"/>
  <c r="FS38" i="4" s="1"/>
  <c r="GT6" i="4"/>
  <c r="HA6" i="4" s="1"/>
  <c r="GT13" i="4"/>
  <c r="HA13" i="4" s="1"/>
  <c r="GT8" i="4"/>
  <c r="HA8" i="4" s="1"/>
  <c r="GT26" i="4"/>
  <c r="HA26" i="4" s="1"/>
  <c r="GT36" i="4"/>
  <c r="HA36" i="4" s="1"/>
  <c r="IB7" i="4"/>
  <c r="II7" i="4" s="1"/>
  <c r="IB31" i="4"/>
  <c r="II31" i="4" s="1"/>
  <c r="IB28" i="4"/>
  <c r="II28" i="4" s="1"/>
  <c r="JJ25" i="4"/>
  <c r="JQ25" i="4" s="1"/>
  <c r="JJ15" i="4"/>
  <c r="JQ15" i="4" s="1"/>
  <c r="JJ23" i="4"/>
  <c r="JQ23" i="4" s="1"/>
  <c r="KR35" i="4"/>
  <c r="KY35" i="4" s="1"/>
  <c r="LZ4" i="4"/>
  <c r="MG4" i="4" s="1"/>
  <c r="LZ37" i="4"/>
  <c r="MG37" i="4" s="1"/>
  <c r="LZ27" i="4"/>
  <c r="MG27" i="4" s="1"/>
  <c r="LZ36" i="4"/>
  <c r="MG36" i="4" s="1"/>
  <c r="NH14" i="4"/>
  <c r="NO14" i="4" s="1"/>
  <c r="NH34" i="4"/>
  <c r="NO34" i="4" s="1"/>
  <c r="NH32" i="4"/>
  <c r="NO32" i="4" s="1"/>
  <c r="OP5" i="4"/>
  <c r="OW5" i="4" s="1"/>
  <c r="OP19" i="4"/>
  <c r="OW19" i="4" s="1"/>
  <c r="OP24" i="4"/>
  <c r="OW24" i="4" s="1"/>
  <c r="OP33" i="4"/>
  <c r="OW33" i="4" s="1"/>
  <c r="PX20" i="4"/>
  <c r="QE20" i="4" s="1"/>
  <c r="PX38" i="4"/>
  <c r="QE38" i="4" s="1"/>
  <c r="RF6" i="4"/>
  <c r="RM6" i="4" s="1"/>
  <c r="RF13" i="4"/>
  <c r="RM13" i="4" s="1"/>
  <c r="RF27" i="4"/>
  <c r="RM27" i="4" s="1"/>
  <c r="RF17" i="4"/>
  <c r="RM17" i="4" s="1"/>
  <c r="IB15" i="4"/>
  <c r="II15" i="4" s="1"/>
  <c r="ED7" i="4"/>
  <c r="EK7" i="4" s="1"/>
  <c r="ED31" i="4"/>
  <c r="EK31" i="4" s="1"/>
  <c r="ED28" i="4"/>
  <c r="EK28" i="4" s="1"/>
  <c r="FL25" i="4"/>
  <c r="FS25" i="4" s="1"/>
  <c r="FL15" i="4"/>
  <c r="FS15" i="4" s="1"/>
  <c r="FL23" i="4"/>
  <c r="FS23" i="4" s="1"/>
  <c r="GT27" i="4"/>
  <c r="HA27" i="4" s="1"/>
  <c r="GT17" i="4"/>
  <c r="HA17" i="4" s="1"/>
  <c r="IB14" i="4"/>
  <c r="II14" i="4" s="1"/>
  <c r="IB34" i="4"/>
  <c r="II34" i="4" s="1"/>
  <c r="IB32" i="4"/>
  <c r="II32" i="4" s="1"/>
  <c r="JJ5" i="4"/>
  <c r="JQ5" i="4" s="1"/>
  <c r="JJ19" i="4"/>
  <c r="JQ19" i="4" s="1"/>
  <c r="JJ24" i="4"/>
  <c r="JQ24" i="4" s="1"/>
  <c r="JJ33" i="4"/>
  <c r="JQ33" i="4" s="1"/>
  <c r="KR20" i="4"/>
  <c r="KY20" i="4" s="1"/>
  <c r="KR38" i="4"/>
  <c r="KY38" i="4" s="1"/>
  <c r="LZ12" i="4"/>
  <c r="MG12" i="4" s="1"/>
  <c r="LZ13" i="4"/>
  <c r="MG13" i="4" s="1"/>
  <c r="LZ35" i="4"/>
  <c r="MG35" i="4" s="1"/>
  <c r="LZ22" i="4"/>
  <c r="MG22" i="4" s="1"/>
  <c r="NH37" i="4"/>
  <c r="NO37" i="4" s="1"/>
  <c r="NH8" i="4"/>
  <c r="NO8" i="4" s="1"/>
  <c r="NH26" i="4"/>
  <c r="NO26" i="4" s="1"/>
  <c r="NH36" i="4"/>
  <c r="NO36" i="4" s="1"/>
  <c r="OP7" i="4"/>
  <c r="OW7" i="4" s="1"/>
  <c r="OP31" i="4"/>
  <c r="OW31" i="4" s="1"/>
  <c r="OP28" i="4"/>
  <c r="OW28" i="4" s="1"/>
  <c r="PX25" i="4"/>
  <c r="QE25" i="4" s="1"/>
  <c r="PX15" i="4"/>
  <c r="QE15" i="4" s="1"/>
  <c r="PX23" i="4"/>
  <c r="QE23" i="4" s="1"/>
  <c r="RF35" i="4"/>
  <c r="RM35" i="4" s="1"/>
  <c r="JQ6" i="4"/>
  <c r="FL13" i="4"/>
  <c r="FS13" i="4" s="1"/>
  <c r="ED14" i="4"/>
  <c r="EK14" i="4" s="1"/>
  <c r="ED34" i="4"/>
  <c r="EK34" i="4" s="1"/>
  <c r="ED32" i="4"/>
  <c r="EK32" i="4" s="1"/>
  <c r="FL5" i="4"/>
  <c r="FS5" i="4" s="1"/>
  <c r="FL19" i="4"/>
  <c r="FS19" i="4" s="1"/>
  <c r="FL24" i="4"/>
  <c r="FS24" i="4" s="1"/>
  <c r="FL33" i="4"/>
  <c r="FS33" i="4" s="1"/>
  <c r="GT20" i="4"/>
  <c r="HA20" i="4" s="1"/>
  <c r="GT35" i="4"/>
  <c r="HA35" i="4" s="1"/>
  <c r="IB37" i="4"/>
  <c r="II37" i="4" s="1"/>
  <c r="IB8" i="4"/>
  <c r="II8" i="4" s="1"/>
  <c r="IB26" i="4"/>
  <c r="II26" i="4" s="1"/>
  <c r="IB36" i="4"/>
  <c r="II36" i="4" s="1"/>
  <c r="JJ7" i="4"/>
  <c r="JQ7" i="4" s="1"/>
  <c r="JJ31" i="4"/>
  <c r="JQ31" i="4" s="1"/>
  <c r="JJ28" i="4"/>
  <c r="JQ28" i="4" s="1"/>
  <c r="KR25" i="4"/>
  <c r="KY25" i="4" s="1"/>
  <c r="KR15" i="4"/>
  <c r="KY15" i="4" s="1"/>
  <c r="KR23" i="4"/>
  <c r="KY23" i="4" s="1"/>
  <c r="LZ9" i="4"/>
  <c r="MG9" i="4" s="1"/>
  <c r="LZ38" i="4"/>
  <c r="MG38" i="4" s="1"/>
  <c r="NH6" i="4"/>
  <c r="NO6" i="4" s="1"/>
  <c r="NH13" i="4"/>
  <c r="NO13" i="4" s="1"/>
  <c r="NH27" i="4"/>
  <c r="NO27" i="4" s="1"/>
  <c r="NH17" i="4"/>
  <c r="NO17" i="4" s="1"/>
  <c r="OP14" i="4"/>
  <c r="OW14" i="4" s="1"/>
  <c r="OP34" i="4"/>
  <c r="OW34" i="4" s="1"/>
  <c r="OP32" i="4"/>
  <c r="OW32" i="4" s="1"/>
  <c r="PX5" i="4"/>
  <c r="QE5" i="4" s="1"/>
  <c r="PX19" i="4"/>
  <c r="QE19" i="4" s="1"/>
  <c r="PX24" i="4"/>
  <c r="QE24" i="4" s="1"/>
  <c r="PX33" i="4"/>
  <c r="QE33" i="4" s="1"/>
  <c r="RF20" i="4"/>
  <c r="RM20" i="4" s="1"/>
  <c r="RF38" i="4"/>
  <c r="RM38" i="4" s="1"/>
  <c r="OX4" i="21"/>
  <c r="OX6" i="21"/>
  <c r="OX8" i="21"/>
  <c r="OX5" i="21"/>
  <c r="OX10" i="21"/>
  <c r="OX14" i="21"/>
  <c r="OX23" i="21"/>
  <c r="OX15" i="21"/>
  <c r="OX28" i="21"/>
  <c r="OX12" i="21"/>
  <c r="OX29" i="21"/>
  <c r="OX19" i="21"/>
  <c r="OX22" i="21"/>
  <c r="OX18" i="21"/>
  <c r="OX26" i="21"/>
  <c r="OX25" i="21"/>
  <c r="OX13" i="21"/>
  <c r="OX32" i="21"/>
  <c r="OX34" i="21"/>
  <c r="OX31" i="21"/>
  <c r="OX30" i="21"/>
  <c r="OX33" i="21"/>
  <c r="OX17" i="21"/>
  <c r="NV4" i="21"/>
  <c r="NV6" i="21"/>
  <c r="NV8" i="21"/>
  <c r="NV5" i="21"/>
  <c r="NV10" i="21"/>
  <c r="NV14" i="21"/>
  <c r="NV23" i="21"/>
  <c r="NV15" i="21"/>
  <c r="NV28" i="21"/>
  <c r="NV12" i="21"/>
  <c r="NV29" i="21"/>
  <c r="NV19" i="21"/>
  <c r="NV22" i="21"/>
  <c r="NV18" i="21"/>
  <c r="NV26" i="21"/>
  <c r="NV25" i="21"/>
  <c r="NV13" i="21"/>
  <c r="NV32" i="21"/>
  <c r="NV34" i="21"/>
  <c r="NV31" i="21"/>
  <c r="NV30" i="21"/>
  <c r="NV33" i="21"/>
  <c r="NV17" i="21"/>
  <c r="MT4" i="21"/>
  <c r="MT6" i="21"/>
  <c r="MT8" i="21"/>
  <c r="MT5" i="21"/>
  <c r="MT10" i="21"/>
  <c r="MT14" i="21"/>
  <c r="MT23" i="21"/>
  <c r="MT15" i="21"/>
  <c r="MT28" i="21"/>
  <c r="MT12" i="21"/>
  <c r="MT29" i="21"/>
  <c r="MT19" i="21"/>
  <c r="MT22" i="21"/>
  <c r="MT18" i="21"/>
  <c r="MT26" i="21"/>
  <c r="MT25" i="21"/>
  <c r="MT13" i="21"/>
  <c r="MT32" i="21"/>
  <c r="MT34" i="21"/>
  <c r="MT31" i="21"/>
  <c r="MT30" i="21"/>
  <c r="MT33" i="21"/>
  <c r="MT17" i="21"/>
  <c r="LR4" i="21"/>
  <c r="LR6" i="21"/>
  <c r="LR8" i="21"/>
  <c r="LR5" i="21"/>
  <c r="LR10" i="21"/>
  <c r="LR14" i="21"/>
  <c r="LR23" i="21"/>
  <c r="LR15" i="21"/>
  <c r="LR28" i="21"/>
  <c r="LR12" i="21"/>
  <c r="LR29" i="21"/>
  <c r="LR19" i="21"/>
  <c r="LR22" i="21"/>
  <c r="LR18" i="21"/>
  <c r="LR26" i="21"/>
  <c r="LR25" i="21"/>
  <c r="LR13" i="21"/>
  <c r="LR32" i="21"/>
  <c r="LR34" i="21"/>
  <c r="LR31" i="21"/>
  <c r="LR30" i="21"/>
  <c r="LR33" i="21"/>
  <c r="LR17" i="21"/>
  <c r="KP4" i="21"/>
  <c r="KP6" i="21"/>
  <c r="KP8" i="21"/>
  <c r="KP5" i="21"/>
  <c r="KP10" i="21"/>
  <c r="KP14" i="21"/>
  <c r="KP23" i="21"/>
  <c r="KP15" i="21"/>
  <c r="KP28" i="21"/>
  <c r="KP12" i="21"/>
  <c r="KP29" i="21"/>
  <c r="KP19" i="21"/>
  <c r="KP22" i="21"/>
  <c r="KP18" i="21"/>
  <c r="KP26" i="21"/>
  <c r="KP25" i="21"/>
  <c r="KP13" i="21"/>
  <c r="KP32" i="21"/>
  <c r="KP34" i="21"/>
  <c r="KP31" i="21"/>
  <c r="KP30" i="21"/>
  <c r="KP33" i="21"/>
  <c r="KP17" i="21"/>
  <c r="JN4" i="21"/>
  <c r="JN6" i="21"/>
  <c r="JN8" i="21"/>
  <c r="JN5" i="21"/>
  <c r="JN10" i="21"/>
  <c r="JN14" i="21"/>
  <c r="JN23" i="21"/>
  <c r="JN15" i="21"/>
  <c r="JN28" i="21"/>
  <c r="JN12" i="21"/>
  <c r="JN29" i="21"/>
  <c r="JN19" i="21"/>
  <c r="JN22" i="21"/>
  <c r="JN18" i="21"/>
  <c r="JN26" i="21"/>
  <c r="JN25" i="21"/>
  <c r="JN13" i="21"/>
  <c r="JN32" i="21"/>
  <c r="JN34" i="21"/>
  <c r="JN31" i="21"/>
  <c r="JN30" i="21"/>
  <c r="JN33" i="21"/>
  <c r="JN17" i="21"/>
  <c r="IL4" i="21"/>
  <c r="IL6" i="21"/>
  <c r="IL8" i="21"/>
  <c r="IL5" i="21"/>
  <c r="IL10" i="21"/>
  <c r="IL14" i="21"/>
  <c r="IL23" i="21"/>
  <c r="IL15" i="21"/>
  <c r="IL28" i="21"/>
  <c r="IL12" i="21"/>
  <c r="IL29" i="21"/>
  <c r="IL19" i="21"/>
  <c r="IL22" i="21"/>
  <c r="IL18" i="21"/>
  <c r="IL26" i="21"/>
  <c r="IL25" i="21"/>
  <c r="IL13" i="21"/>
  <c r="IL32" i="21"/>
  <c r="IL34" i="21"/>
  <c r="IL31" i="21"/>
  <c r="IL30" i="21"/>
  <c r="IL33" i="21"/>
  <c r="IL17" i="21"/>
  <c r="HJ4" i="21"/>
  <c r="HJ6" i="21"/>
  <c r="HJ8" i="21"/>
  <c r="HJ5" i="21"/>
  <c r="HJ10" i="21"/>
  <c r="HJ14" i="21"/>
  <c r="HJ23" i="21"/>
  <c r="HJ15" i="21"/>
  <c r="HJ28" i="21"/>
  <c r="HJ12" i="21"/>
  <c r="HJ29" i="21"/>
  <c r="HJ19" i="21"/>
  <c r="HJ22" i="21"/>
  <c r="HJ18" i="21"/>
  <c r="HJ26" i="21"/>
  <c r="HJ25" i="21"/>
  <c r="HJ13" i="21"/>
  <c r="HJ32" i="21"/>
  <c r="HJ34" i="21"/>
  <c r="HJ31" i="21"/>
  <c r="HJ30" i="21"/>
  <c r="HJ33" i="21"/>
  <c r="HJ17" i="21"/>
  <c r="GH4" i="21"/>
  <c r="GH6" i="21"/>
  <c r="GH8" i="21"/>
  <c r="GH5" i="21"/>
  <c r="GH10" i="21"/>
  <c r="GH14" i="21"/>
  <c r="GH23" i="21"/>
  <c r="GH15" i="21"/>
  <c r="GH28" i="21"/>
  <c r="GH12" i="21"/>
  <c r="GH29" i="21"/>
  <c r="GH19" i="21"/>
  <c r="GH22" i="21"/>
  <c r="GH18" i="21"/>
  <c r="GH26" i="21"/>
  <c r="GH25" i="21"/>
  <c r="GH13" i="21"/>
  <c r="GH32" i="21"/>
  <c r="GH34" i="21"/>
  <c r="GH31" i="21"/>
  <c r="GH30" i="21"/>
  <c r="GH33" i="21"/>
  <c r="GH17" i="21"/>
  <c r="FF4" i="21"/>
  <c r="FF6" i="21"/>
  <c r="FF8" i="21"/>
  <c r="FF5" i="21"/>
  <c r="FF10" i="21"/>
  <c r="FF14" i="21"/>
  <c r="FF23" i="21"/>
  <c r="FF15" i="21"/>
  <c r="FF28" i="21"/>
  <c r="FF12" i="21"/>
  <c r="FF29" i="21"/>
  <c r="FF19" i="21"/>
  <c r="FF22" i="21"/>
  <c r="FF18" i="21"/>
  <c r="FF26" i="21"/>
  <c r="FF25" i="21"/>
  <c r="FF13" i="21"/>
  <c r="FF32" i="21"/>
  <c r="FF34" i="21"/>
  <c r="FF31" i="21"/>
  <c r="FF30" i="21"/>
  <c r="FF33" i="21"/>
  <c r="FF17" i="21"/>
  <c r="ED4" i="21"/>
  <c r="ED6" i="21"/>
  <c r="ED8" i="21"/>
  <c r="ED5" i="21"/>
  <c r="ED10" i="21"/>
  <c r="ED14" i="21"/>
  <c r="ED23" i="21"/>
  <c r="ED15" i="21"/>
  <c r="ED28" i="21"/>
  <c r="ED12" i="21"/>
  <c r="ED29" i="21"/>
  <c r="ED19" i="21"/>
  <c r="ED22" i="21"/>
  <c r="ED18" i="21"/>
  <c r="ED26" i="21"/>
  <c r="ED25" i="21"/>
  <c r="ED13" i="21"/>
  <c r="ED32" i="21"/>
  <c r="ED34" i="21"/>
  <c r="ED31" i="21"/>
  <c r="ED30" i="21"/>
  <c r="ED33" i="21"/>
  <c r="ED17" i="21"/>
  <c r="OX5" i="19"/>
  <c r="OX9" i="19"/>
  <c r="OX10" i="19"/>
  <c r="OX7" i="19"/>
  <c r="OX11" i="19"/>
  <c r="OX38" i="19"/>
  <c r="OX41" i="19"/>
  <c r="OX8" i="19"/>
  <c r="OX30" i="19"/>
  <c r="OX17" i="19"/>
  <c r="OX21" i="19"/>
  <c r="OX16" i="19"/>
  <c r="OX19" i="19"/>
  <c r="OX24" i="19"/>
  <c r="OX18" i="19"/>
  <c r="OX20" i="19"/>
  <c r="OX25" i="19"/>
  <c r="OX6" i="19"/>
  <c r="OX23" i="19"/>
  <c r="OX26" i="19"/>
  <c r="OX32" i="19"/>
  <c r="OX35" i="19"/>
  <c r="OX36" i="19"/>
  <c r="OX31" i="19"/>
  <c r="OX15" i="19"/>
  <c r="OX34" i="19"/>
  <c r="OX39" i="19"/>
  <c r="OX37" i="19"/>
  <c r="OX40" i="19"/>
  <c r="NV5" i="19"/>
  <c r="NV9" i="19"/>
  <c r="NV10" i="19"/>
  <c r="NV7" i="19"/>
  <c r="NV11" i="19"/>
  <c r="NV38" i="19"/>
  <c r="NV41" i="19"/>
  <c r="NV8" i="19"/>
  <c r="NV30" i="19"/>
  <c r="NV17" i="19"/>
  <c r="NV21" i="19"/>
  <c r="NV16" i="19"/>
  <c r="NV19" i="19"/>
  <c r="NV24" i="19"/>
  <c r="NV18" i="19"/>
  <c r="NV20" i="19"/>
  <c r="NV25" i="19"/>
  <c r="NV6" i="19"/>
  <c r="NV23" i="19"/>
  <c r="NV26" i="19"/>
  <c r="NV32" i="19"/>
  <c r="NV35" i="19"/>
  <c r="NV36" i="19"/>
  <c r="NV31" i="19"/>
  <c r="NV15" i="19"/>
  <c r="NV34" i="19"/>
  <c r="NV39" i="19"/>
  <c r="NV37" i="19"/>
  <c r="NV40" i="19"/>
  <c r="MT5" i="19"/>
  <c r="MT9" i="19"/>
  <c r="MT10" i="19"/>
  <c r="MT7" i="19"/>
  <c r="MT11" i="19"/>
  <c r="MT38" i="19"/>
  <c r="MT41" i="19"/>
  <c r="MT8" i="19"/>
  <c r="MT30" i="19"/>
  <c r="MT17" i="19"/>
  <c r="MT21" i="19"/>
  <c r="MT16" i="19"/>
  <c r="MT19" i="19"/>
  <c r="MT24" i="19"/>
  <c r="MT18" i="19"/>
  <c r="MT20" i="19"/>
  <c r="MT25" i="19"/>
  <c r="MT6" i="19"/>
  <c r="MT23" i="19"/>
  <c r="MT26" i="19"/>
  <c r="MT32" i="19"/>
  <c r="MT35" i="19"/>
  <c r="MT36" i="19"/>
  <c r="MT31" i="19"/>
  <c r="MT15" i="19"/>
  <c r="MT34" i="19"/>
  <c r="MT39" i="19"/>
  <c r="MT37" i="19"/>
  <c r="MT40" i="19"/>
  <c r="LR5" i="19"/>
  <c r="LR9" i="19"/>
  <c r="LR10" i="19"/>
  <c r="LR7" i="19"/>
  <c r="LR11" i="19"/>
  <c r="LR38" i="19"/>
  <c r="LR41" i="19"/>
  <c r="LR8" i="19"/>
  <c r="LR30" i="19"/>
  <c r="LR17" i="19"/>
  <c r="LR21" i="19"/>
  <c r="LR16" i="19"/>
  <c r="LR19" i="19"/>
  <c r="LR24" i="19"/>
  <c r="LR18" i="19"/>
  <c r="LR20" i="19"/>
  <c r="LR25" i="19"/>
  <c r="LR6" i="19"/>
  <c r="LR23" i="19"/>
  <c r="LR26" i="19"/>
  <c r="LR32" i="19"/>
  <c r="LR35" i="19"/>
  <c r="LR36" i="19"/>
  <c r="LR31" i="19"/>
  <c r="LR15" i="19"/>
  <c r="LR34" i="19"/>
  <c r="LR39" i="19"/>
  <c r="LR37" i="19"/>
  <c r="LR40" i="19"/>
  <c r="KP5" i="19"/>
  <c r="KP9" i="19"/>
  <c r="KP10" i="19"/>
  <c r="KP7" i="19"/>
  <c r="KP11" i="19"/>
  <c r="KP38" i="19"/>
  <c r="KP41" i="19"/>
  <c r="KP8" i="19"/>
  <c r="KP30" i="19"/>
  <c r="KP17" i="19"/>
  <c r="KP21" i="19"/>
  <c r="KP16" i="19"/>
  <c r="KP19" i="19"/>
  <c r="KP24" i="19"/>
  <c r="KP18" i="19"/>
  <c r="KP20" i="19"/>
  <c r="KP25" i="19"/>
  <c r="KP6" i="19"/>
  <c r="KP23" i="19"/>
  <c r="KP26" i="19"/>
  <c r="KP32" i="19"/>
  <c r="KP35" i="19"/>
  <c r="KP36" i="19"/>
  <c r="KP31" i="19"/>
  <c r="KP15" i="19"/>
  <c r="KP34" i="19"/>
  <c r="KP39" i="19"/>
  <c r="KP37" i="19"/>
  <c r="KP40" i="19"/>
  <c r="JN5" i="19"/>
  <c r="JN9" i="19"/>
  <c r="JN10" i="19"/>
  <c r="JN7" i="19"/>
  <c r="JN11" i="19"/>
  <c r="JN38" i="19"/>
  <c r="JN41" i="19"/>
  <c r="JN8" i="19"/>
  <c r="JN30" i="19"/>
  <c r="JN17" i="19"/>
  <c r="JN21" i="19"/>
  <c r="JN16" i="19"/>
  <c r="JN19" i="19"/>
  <c r="JN24" i="19"/>
  <c r="JN18" i="19"/>
  <c r="JN20" i="19"/>
  <c r="JN25" i="19"/>
  <c r="JN6" i="19"/>
  <c r="JN23" i="19"/>
  <c r="JN26" i="19"/>
  <c r="JN32" i="19"/>
  <c r="JN35" i="19"/>
  <c r="JN36" i="19"/>
  <c r="JN31" i="19"/>
  <c r="JN15" i="19"/>
  <c r="JN34" i="19"/>
  <c r="JN39" i="19"/>
  <c r="JN37" i="19"/>
  <c r="JN40" i="19"/>
  <c r="IL5" i="19"/>
  <c r="IL9" i="19"/>
  <c r="IL10" i="19"/>
  <c r="IL7" i="19"/>
  <c r="IL11" i="19"/>
  <c r="IL38" i="19"/>
  <c r="IL41" i="19"/>
  <c r="IL8" i="19"/>
  <c r="IL30" i="19"/>
  <c r="IL17" i="19"/>
  <c r="IL21" i="19"/>
  <c r="IL16" i="19"/>
  <c r="IL19" i="19"/>
  <c r="IL24" i="19"/>
  <c r="IL18" i="19"/>
  <c r="IL20" i="19"/>
  <c r="IL25" i="19"/>
  <c r="IL6" i="19"/>
  <c r="IL23" i="19"/>
  <c r="IL26" i="19"/>
  <c r="IL32" i="19"/>
  <c r="IL35" i="19"/>
  <c r="IL36" i="19"/>
  <c r="IL31" i="19"/>
  <c r="IL15" i="19"/>
  <c r="IL34" i="19"/>
  <c r="IL39" i="19"/>
  <c r="IL37" i="19"/>
  <c r="IL40" i="19"/>
  <c r="HJ5" i="19"/>
  <c r="HJ9" i="19"/>
  <c r="HJ10" i="19"/>
  <c r="HJ7" i="19"/>
  <c r="HJ11" i="19"/>
  <c r="HJ38" i="19"/>
  <c r="HJ41" i="19"/>
  <c r="HJ8" i="19"/>
  <c r="HJ30" i="19"/>
  <c r="HJ17" i="19"/>
  <c r="HJ21" i="19"/>
  <c r="HJ16" i="19"/>
  <c r="HJ19" i="19"/>
  <c r="HJ24" i="19"/>
  <c r="HJ18" i="19"/>
  <c r="HJ20" i="19"/>
  <c r="HJ25" i="19"/>
  <c r="HJ6" i="19"/>
  <c r="HJ23" i="19"/>
  <c r="HJ26" i="19"/>
  <c r="HJ32" i="19"/>
  <c r="HJ35" i="19"/>
  <c r="HJ36" i="19"/>
  <c r="HJ31" i="19"/>
  <c r="HJ15" i="19"/>
  <c r="HJ34" i="19"/>
  <c r="HJ39" i="19"/>
  <c r="HJ37" i="19"/>
  <c r="HJ40" i="19"/>
  <c r="GH5" i="19"/>
  <c r="GH9" i="19"/>
  <c r="GH10" i="19"/>
  <c r="GH7" i="19"/>
  <c r="GH11" i="19"/>
  <c r="GH38" i="19"/>
  <c r="GH41" i="19"/>
  <c r="GH8" i="19"/>
  <c r="GH30" i="19"/>
  <c r="GH17" i="19"/>
  <c r="GH21" i="19"/>
  <c r="GH16" i="19"/>
  <c r="GH19" i="19"/>
  <c r="GH24" i="19"/>
  <c r="GH18" i="19"/>
  <c r="GH20" i="19"/>
  <c r="GH25" i="19"/>
  <c r="GH6" i="19"/>
  <c r="GH23" i="19"/>
  <c r="GH26" i="19"/>
  <c r="GH32" i="19"/>
  <c r="GH35" i="19"/>
  <c r="GH36" i="19"/>
  <c r="GH31" i="19"/>
  <c r="GH15" i="19"/>
  <c r="GH34" i="19"/>
  <c r="GH39" i="19"/>
  <c r="GH37" i="19"/>
  <c r="GH40" i="19"/>
  <c r="FF5" i="19"/>
  <c r="FF9" i="19"/>
  <c r="FF10" i="19"/>
  <c r="FF7" i="19"/>
  <c r="FF11" i="19"/>
  <c r="FF38" i="19"/>
  <c r="FF41" i="19"/>
  <c r="FF8" i="19"/>
  <c r="FF30" i="19"/>
  <c r="FF17" i="19"/>
  <c r="FF21" i="19"/>
  <c r="FF16" i="19"/>
  <c r="FF19" i="19"/>
  <c r="FF24" i="19"/>
  <c r="FF18" i="19"/>
  <c r="FF20" i="19"/>
  <c r="FF25" i="19"/>
  <c r="FF6" i="19"/>
  <c r="FF23" i="19"/>
  <c r="FF26" i="19"/>
  <c r="FF32" i="19"/>
  <c r="FF35" i="19"/>
  <c r="FF36" i="19"/>
  <c r="FF31" i="19"/>
  <c r="FF15" i="19"/>
  <c r="FF34" i="19"/>
  <c r="FF39" i="19"/>
  <c r="FF37" i="19"/>
  <c r="FF40" i="19"/>
  <c r="ED5" i="19"/>
  <c r="ED9" i="19"/>
  <c r="ED10" i="19"/>
  <c r="ED7" i="19"/>
  <c r="ED11" i="19"/>
  <c r="ED38" i="19"/>
  <c r="ED41" i="19"/>
  <c r="ED8" i="19"/>
  <c r="ED30" i="19"/>
  <c r="ED17" i="19"/>
  <c r="ED21" i="19"/>
  <c r="ED16" i="19"/>
  <c r="ED19" i="19"/>
  <c r="ED24" i="19"/>
  <c r="ED18" i="19"/>
  <c r="ED20" i="19"/>
  <c r="ED25" i="19"/>
  <c r="ED6" i="19"/>
  <c r="ED23" i="19"/>
  <c r="ED26" i="19"/>
  <c r="ED32" i="19"/>
  <c r="ED35" i="19"/>
  <c r="ED36" i="19"/>
  <c r="ED31" i="19"/>
  <c r="ED15" i="19"/>
  <c r="ED34" i="19"/>
  <c r="ED39" i="19"/>
  <c r="ED37" i="19"/>
  <c r="ED40" i="19"/>
  <c r="OX4" i="27"/>
  <c r="OX6" i="27"/>
  <c r="OX15" i="27"/>
  <c r="OX7" i="27"/>
  <c r="OX10" i="27"/>
  <c r="OX11" i="27"/>
  <c r="OX5" i="27"/>
  <c r="OX12" i="27"/>
  <c r="OX14" i="27"/>
  <c r="OX18" i="27"/>
  <c r="OX20" i="27"/>
  <c r="OX13" i="27"/>
  <c r="OX8" i="27"/>
  <c r="NV6" i="27"/>
  <c r="NV8" i="27"/>
  <c r="NV10" i="27"/>
  <c r="NV5" i="27"/>
  <c r="NV14" i="27"/>
  <c r="NV18" i="27"/>
  <c r="NV20" i="27"/>
  <c r="NV4" i="27"/>
  <c r="NV15" i="27"/>
  <c r="NV7" i="27"/>
  <c r="NV11" i="27"/>
  <c r="NV12" i="27"/>
  <c r="NV13" i="27"/>
  <c r="MT4" i="27"/>
  <c r="MT6" i="27"/>
  <c r="MT15" i="27"/>
  <c r="MT7" i="27"/>
  <c r="MT10" i="27"/>
  <c r="MT11" i="27"/>
  <c r="MT5" i="27"/>
  <c r="MT12" i="27"/>
  <c r="MT14" i="27"/>
  <c r="MT18" i="27"/>
  <c r="MT20" i="27"/>
  <c r="MT13" i="27"/>
  <c r="MT8" i="27"/>
  <c r="LR4" i="27"/>
  <c r="LR6" i="27"/>
  <c r="LR15" i="27"/>
  <c r="LR7" i="27"/>
  <c r="LR10" i="27"/>
  <c r="LR11" i="27"/>
  <c r="LR5" i="27"/>
  <c r="LR12" i="27"/>
  <c r="LR14" i="27"/>
  <c r="LR18" i="27"/>
  <c r="LR20" i="27"/>
  <c r="LR13" i="27"/>
  <c r="LR8" i="27"/>
  <c r="KP4" i="27"/>
  <c r="KP6" i="27"/>
  <c r="KP15" i="27"/>
  <c r="KP7" i="27"/>
  <c r="KP10" i="27"/>
  <c r="KP11" i="27"/>
  <c r="KP5" i="27"/>
  <c r="KP12" i="27"/>
  <c r="KP14" i="27"/>
  <c r="KP18" i="27"/>
  <c r="KP20" i="27"/>
  <c r="KP13" i="27"/>
  <c r="KP8" i="27"/>
  <c r="JN4" i="27"/>
  <c r="JN6" i="27"/>
  <c r="JN15" i="27"/>
  <c r="JN7" i="27"/>
  <c r="JN10" i="27"/>
  <c r="JN11" i="27"/>
  <c r="JN5" i="27"/>
  <c r="JN12" i="27"/>
  <c r="JN14" i="27"/>
  <c r="JN18" i="27"/>
  <c r="JN20" i="27"/>
  <c r="JN13" i="27"/>
  <c r="JN8" i="27"/>
  <c r="IL4" i="27"/>
  <c r="IL6" i="27"/>
  <c r="IL15" i="27"/>
  <c r="IL7" i="27"/>
  <c r="IL10" i="27"/>
  <c r="IL11" i="27"/>
  <c r="IL5" i="27"/>
  <c r="IL12" i="27"/>
  <c r="IL14" i="27"/>
  <c r="IL18" i="27"/>
  <c r="IL20" i="27"/>
  <c r="IL13" i="27"/>
  <c r="IL8" i="27"/>
  <c r="HJ4" i="27"/>
  <c r="HJ6" i="27"/>
  <c r="HJ15" i="27"/>
  <c r="HJ7" i="27"/>
  <c r="HJ10" i="27"/>
  <c r="HJ11" i="27"/>
  <c r="HJ5" i="27"/>
  <c r="HJ12" i="27"/>
  <c r="HJ14" i="27"/>
  <c r="HJ18" i="27"/>
  <c r="HJ20" i="27"/>
  <c r="HJ13" i="27"/>
  <c r="HJ8" i="27"/>
  <c r="GH4" i="27"/>
  <c r="GH6" i="27"/>
  <c r="GH15" i="27"/>
  <c r="GH7" i="27"/>
  <c r="GH10" i="27"/>
  <c r="GH11" i="27"/>
  <c r="GH5" i="27"/>
  <c r="GH12" i="27"/>
  <c r="GH14" i="27"/>
  <c r="GH18" i="27"/>
  <c r="GH20" i="27"/>
  <c r="GH13" i="27"/>
  <c r="GH8" i="27"/>
  <c r="FF4" i="27"/>
  <c r="FF6" i="27"/>
  <c r="FF15" i="27"/>
  <c r="FF7" i="27"/>
  <c r="FF10" i="27"/>
  <c r="FF11" i="27"/>
  <c r="FF5" i="27"/>
  <c r="FF12" i="27"/>
  <c r="FF14" i="27"/>
  <c r="FF18" i="27"/>
  <c r="FF20" i="27"/>
  <c r="FF13" i="27"/>
  <c r="FF8" i="27"/>
  <c r="ED4" i="27"/>
  <c r="ED6" i="27"/>
  <c r="ED15" i="27"/>
  <c r="ED7" i="27"/>
  <c r="ED10" i="27"/>
  <c r="ED11" i="27"/>
  <c r="ED5" i="27"/>
  <c r="ED12" i="27"/>
  <c r="ED14" i="27"/>
  <c r="ED18" i="27"/>
  <c r="ED20" i="27"/>
  <c r="ED13" i="27"/>
  <c r="ED8" i="27"/>
  <c r="PZ8" i="27"/>
  <c r="OX4" i="26"/>
  <c r="OX5" i="26"/>
  <c r="OX13" i="26"/>
  <c r="OX7" i="26"/>
  <c r="OX11" i="26"/>
  <c r="OX6" i="26"/>
  <c r="OX12" i="26"/>
  <c r="OX14" i="26"/>
  <c r="OX15" i="26"/>
  <c r="OX16" i="26"/>
  <c r="OX18" i="26"/>
  <c r="OX17" i="26"/>
  <c r="OX21" i="26"/>
  <c r="NV4" i="26"/>
  <c r="NV5" i="26"/>
  <c r="NV13" i="26"/>
  <c r="NV7" i="26"/>
  <c r="NV11" i="26"/>
  <c r="NV6" i="26"/>
  <c r="NV12" i="26"/>
  <c r="NV14" i="26"/>
  <c r="NV15" i="26"/>
  <c r="NV16" i="26"/>
  <c r="NV18" i="26"/>
  <c r="NV17" i="26"/>
  <c r="NV21" i="26"/>
  <c r="MT4" i="26"/>
  <c r="MT5" i="26"/>
  <c r="MT13" i="26"/>
  <c r="MT7" i="26"/>
  <c r="MT11" i="26"/>
  <c r="MT6" i="26"/>
  <c r="MT12" i="26"/>
  <c r="MT14" i="26"/>
  <c r="MT15" i="26"/>
  <c r="MT16" i="26"/>
  <c r="MT18" i="26"/>
  <c r="MT17" i="26"/>
  <c r="MT21" i="26"/>
  <c r="LR4" i="26"/>
  <c r="LR5" i="26"/>
  <c r="LR13" i="26"/>
  <c r="LR7" i="26"/>
  <c r="LR11" i="26"/>
  <c r="LR6" i="26"/>
  <c r="LR12" i="26"/>
  <c r="LR14" i="26"/>
  <c r="LR15" i="26"/>
  <c r="LR16" i="26"/>
  <c r="LR18" i="26"/>
  <c r="LR17" i="26"/>
  <c r="LR21" i="26"/>
  <c r="KP4" i="26"/>
  <c r="KP5" i="26"/>
  <c r="KP13" i="26"/>
  <c r="KP7" i="26"/>
  <c r="KP11" i="26"/>
  <c r="KP6" i="26"/>
  <c r="KP12" i="26"/>
  <c r="KP14" i="26"/>
  <c r="KP15" i="26"/>
  <c r="KP16" i="26"/>
  <c r="KP18" i="26"/>
  <c r="KP17" i="26"/>
  <c r="KP21" i="26"/>
  <c r="JN4" i="26"/>
  <c r="JN5" i="26"/>
  <c r="JN13" i="26"/>
  <c r="JN7" i="26"/>
  <c r="JN11" i="26"/>
  <c r="JN6" i="26"/>
  <c r="JN12" i="26"/>
  <c r="JN14" i="26"/>
  <c r="JN15" i="26"/>
  <c r="JN16" i="26"/>
  <c r="JN18" i="26"/>
  <c r="JN17" i="26"/>
  <c r="JN21" i="26"/>
  <c r="IL4" i="26"/>
  <c r="IL5" i="26"/>
  <c r="IL13" i="26"/>
  <c r="IL7" i="26"/>
  <c r="IL11" i="26"/>
  <c r="IL6" i="26"/>
  <c r="IL12" i="26"/>
  <c r="IL14" i="26"/>
  <c r="IL15" i="26"/>
  <c r="IL16" i="26"/>
  <c r="IL18" i="26"/>
  <c r="IL17" i="26"/>
  <c r="IL21" i="26"/>
  <c r="HJ4" i="26"/>
  <c r="HJ5" i="26"/>
  <c r="HJ13" i="26"/>
  <c r="HJ7" i="26"/>
  <c r="HJ11" i="26"/>
  <c r="HJ6" i="26"/>
  <c r="HJ12" i="26"/>
  <c r="HJ14" i="26"/>
  <c r="HJ15" i="26"/>
  <c r="HJ16" i="26"/>
  <c r="HJ18" i="26"/>
  <c r="HJ17" i="26"/>
  <c r="HJ21" i="26"/>
  <c r="GH4" i="26"/>
  <c r="GH5" i="26"/>
  <c r="GH13" i="26"/>
  <c r="GH7" i="26"/>
  <c r="GH11" i="26"/>
  <c r="GH6" i="26"/>
  <c r="GH12" i="26"/>
  <c r="GH14" i="26"/>
  <c r="GH15" i="26"/>
  <c r="GH16" i="26"/>
  <c r="GH18" i="26"/>
  <c r="GH17" i="26"/>
  <c r="GH21" i="26"/>
  <c r="FF4" i="26"/>
  <c r="FF5" i="26"/>
  <c r="FF13" i="26"/>
  <c r="FF7" i="26"/>
  <c r="FF11" i="26"/>
  <c r="FF6" i="26"/>
  <c r="FF12" i="26"/>
  <c r="FF14" i="26"/>
  <c r="FF15" i="26"/>
  <c r="FF16" i="26"/>
  <c r="FF18" i="26"/>
  <c r="FF17" i="26"/>
  <c r="FF21" i="26"/>
  <c r="ED4" i="26"/>
  <c r="ED5" i="26"/>
  <c r="ED13" i="26"/>
  <c r="ED7" i="26"/>
  <c r="ED11" i="26"/>
  <c r="ED6" i="26"/>
  <c r="ED12" i="26"/>
  <c r="ED14" i="26"/>
  <c r="ED15" i="26"/>
  <c r="ED16" i="26"/>
  <c r="ED18" i="26"/>
  <c r="ED17" i="26"/>
  <c r="ED21" i="26"/>
  <c r="SN22" i="4"/>
  <c r="SU22" i="4" s="1"/>
  <c r="TU22" i="4"/>
  <c r="TQ22" i="4"/>
  <c r="TN22" i="4"/>
  <c r="L22" i="4"/>
  <c r="M22" i="4" s="1"/>
  <c r="T22" i="4"/>
  <c r="U22" i="4" s="1"/>
  <c r="K22" i="4"/>
  <c r="R22" i="4"/>
  <c r="S22" i="4" s="1"/>
  <c r="I22" i="4"/>
  <c r="P22" i="4"/>
  <c r="H22" i="4"/>
  <c r="N22" i="4"/>
  <c r="RD8" i="27"/>
  <c r="QY8" i="27"/>
  <c r="QC8" i="27"/>
  <c r="RB8" i="27"/>
  <c r="CZ8" i="27"/>
  <c r="RA8" i="27"/>
  <c r="RE8" i="27"/>
  <c r="QZ8" i="27"/>
  <c r="H8" i="27"/>
  <c r="N8" i="27"/>
  <c r="I8" i="27"/>
  <c r="L8" i="27"/>
  <c r="PZ17" i="21"/>
  <c r="QC17" i="21"/>
  <c r="RD17" i="21"/>
  <c r="RB17" i="21"/>
  <c r="CZ17" i="21"/>
  <c r="QZ17" i="21"/>
  <c r="QY17" i="21"/>
  <c r="RA17" i="21"/>
  <c r="RE17" i="21"/>
  <c r="I17" i="21"/>
  <c r="H17" i="21"/>
  <c r="DC17" i="21"/>
  <c r="N17" i="21"/>
  <c r="L17" i="21"/>
  <c r="PZ30" i="21"/>
  <c r="QC30" i="21"/>
  <c r="RD25" i="21"/>
  <c r="N31" i="21"/>
  <c r="QY30" i="21"/>
  <c r="RD37" i="19"/>
  <c r="QY37" i="19"/>
  <c r="PZ37" i="19"/>
  <c r="P40" i="19"/>
  <c r="Q40" i="19" s="1"/>
  <c r="P39" i="19"/>
  <c r="Q39" i="19" s="1"/>
  <c r="PZ39" i="19"/>
  <c r="PZ21" i="26"/>
  <c r="CW26" i="22"/>
  <c r="DA26" i="22" s="1"/>
  <c r="QY25" i="21"/>
  <c r="PZ25" i="21"/>
  <c r="QC31" i="21"/>
  <c r="PZ15" i="21"/>
  <c r="QC34" i="19"/>
  <c r="QC21" i="26"/>
  <c r="RD21" i="26"/>
  <c r="QY21" i="26"/>
  <c r="P21" i="26"/>
  <c r="Q21" i="26" s="1"/>
  <c r="CW20" i="22"/>
  <c r="DA20" i="22" s="1"/>
  <c r="SN20" i="22"/>
  <c r="SU20" i="22" s="1"/>
  <c r="CW32" i="4"/>
  <c r="DA32" i="4" s="1"/>
  <c r="CW33" i="4"/>
  <c r="DA33" i="4" s="1"/>
  <c r="RD30" i="21"/>
  <c r="DC31" i="21"/>
  <c r="CZ30" i="21"/>
  <c r="RB30" i="21"/>
  <c r="RE30" i="21"/>
  <c r="P30" i="21"/>
  <c r="Q30" i="21" s="1"/>
  <c r="RA30" i="21"/>
  <c r="QZ30" i="21"/>
  <c r="I30" i="21"/>
  <c r="DC30" i="21"/>
  <c r="N30" i="21"/>
  <c r="L30" i="21"/>
  <c r="H30" i="21"/>
  <c r="P31" i="21"/>
  <c r="Q31" i="21" s="1"/>
  <c r="QY31" i="21"/>
  <c r="PZ31" i="21"/>
  <c r="DC25" i="21"/>
  <c r="P25" i="21"/>
  <c r="Q25" i="21" s="1"/>
  <c r="CZ31" i="21"/>
  <c r="RD31" i="21"/>
  <c r="RB31" i="21"/>
  <c r="RA31" i="21"/>
  <c r="QZ31" i="21"/>
  <c r="RE31" i="21"/>
  <c r="H31" i="21"/>
  <c r="I31" i="21"/>
  <c r="L31" i="21"/>
  <c r="CZ25" i="21"/>
  <c r="N25" i="21"/>
  <c r="RA25" i="21"/>
  <c r="QZ25" i="21"/>
  <c r="RE25" i="21"/>
  <c r="H25" i="21"/>
  <c r="L25" i="21"/>
  <c r="M25" i="21" s="1"/>
  <c r="RB25" i="21"/>
  <c r="QC25" i="21"/>
  <c r="I25" i="21"/>
  <c r="P15" i="21"/>
  <c r="Q15" i="21" s="1"/>
  <c r="QC15" i="21"/>
  <c r="RA15" i="21"/>
  <c r="CZ15" i="21"/>
  <c r="QZ15" i="21"/>
  <c r="QY15" i="21"/>
  <c r="RB15" i="21"/>
  <c r="RD15" i="21"/>
  <c r="RE15" i="21"/>
  <c r="H15" i="21"/>
  <c r="I15" i="21"/>
  <c r="DC15" i="21"/>
  <c r="N15" i="21"/>
  <c r="L15" i="21"/>
  <c r="PZ22" i="21"/>
  <c r="P22" i="21"/>
  <c r="Q22" i="21" s="1"/>
  <c r="DC40" i="19"/>
  <c r="DC37" i="19"/>
  <c r="RA40" i="19"/>
  <c r="QY40" i="19"/>
  <c r="PZ40" i="19"/>
  <c r="CZ40" i="19"/>
  <c r="RD40" i="19"/>
  <c r="N40" i="19"/>
  <c r="QZ40" i="19"/>
  <c r="L40" i="19"/>
  <c r="M40" i="19" s="1"/>
  <c r="H40" i="19"/>
  <c r="RB40" i="19"/>
  <c r="QC40" i="19"/>
  <c r="I40" i="19"/>
  <c r="RE40" i="19"/>
  <c r="P37" i="19"/>
  <c r="Q37" i="19" s="1"/>
  <c r="QC37" i="19"/>
  <c r="CZ37" i="19"/>
  <c r="H37" i="19"/>
  <c r="RB37" i="19"/>
  <c r="RA37" i="19"/>
  <c r="QZ37" i="19"/>
  <c r="RE37" i="19"/>
  <c r="N37" i="19"/>
  <c r="I37" i="19"/>
  <c r="L37" i="19"/>
  <c r="CZ39" i="19"/>
  <c r="RA39" i="19"/>
  <c r="PZ34" i="19"/>
  <c r="QC39" i="19"/>
  <c r="QY39" i="19"/>
  <c r="QZ39" i="19"/>
  <c r="RD39" i="19"/>
  <c r="RB39" i="19"/>
  <c r="H39" i="19"/>
  <c r="I39" i="19"/>
  <c r="DC39" i="19"/>
  <c r="N39" i="19"/>
  <c r="RE39" i="19"/>
  <c r="L39" i="19"/>
  <c r="QC31" i="19"/>
  <c r="RD31" i="19"/>
  <c r="QY31" i="19"/>
  <c r="P31" i="19"/>
  <c r="Q31" i="19" s="1"/>
  <c r="RD34" i="19"/>
  <c r="QY34" i="19"/>
  <c r="QC22" i="21"/>
  <c r="CZ22" i="21"/>
  <c r="RD22" i="21"/>
  <c r="RB22" i="21"/>
  <c r="RA22" i="21"/>
  <c r="QZ22" i="21"/>
  <c r="QY22" i="21"/>
  <c r="I22" i="21"/>
  <c r="H22" i="21"/>
  <c r="DC22" i="21"/>
  <c r="N22" i="21"/>
  <c r="RE22" i="21"/>
  <c r="L22" i="21"/>
  <c r="CZ34" i="19"/>
  <c r="RE34" i="19"/>
  <c r="P34" i="19"/>
  <c r="Q34" i="19" s="1"/>
  <c r="RA34" i="19"/>
  <c r="RB34" i="19"/>
  <c r="QZ34" i="19"/>
  <c r="H34" i="19"/>
  <c r="I34" i="19"/>
  <c r="DC34" i="19"/>
  <c r="N34" i="19"/>
  <c r="L34" i="19"/>
  <c r="PZ31" i="19"/>
  <c r="CZ31" i="19"/>
  <c r="RE31" i="19"/>
  <c r="RB31" i="19"/>
  <c r="RA31" i="19"/>
  <c r="QZ31" i="19"/>
  <c r="I31" i="19"/>
  <c r="H31" i="19"/>
  <c r="DC31" i="19"/>
  <c r="N31" i="19"/>
  <c r="L31" i="19"/>
  <c r="CZ21" i="26"/>
  <c r="RB21" i="26"/>
  <c r="RE21" i="26"/>
  <c r="RA21" i="26"/>
  <c r="QZ21" i="26"/>
  <c r="H21" i="26"/>
  <c r="I21" i="26"/>
  <c r="DC21" i="26"/>
  <c r="N21" i="26"/>
  <c r="L21" i="26"/>
  <c r="SN26" i="22"/>
  <c r="SU26" i="22" s="1"/>
  <c r="L26" i="22"/>
  <c r="M26" i="22" s="1"/>
  <c r="TN26" i="22"/>
  <c r="TU26" i="22"/>
  <c r="I26" i="22"/>
  <c r="TQ26" i="22"/>
  <c r="K26" i="22"/>
  <c r="P26" i="22"/>
  <c r="R26" i="22"/>
  <c r="S26" i="22" s="1"/>
  <c r="H26" i="22"/>
  <c r="N26" i="22"/>
  <c r="T26" i="22"/>
  <c r="U26" i="22" s="1"/>
  <c r="P20" i="22"/>
  <c r="TN20" i="22"/>
  <c r="N20" i="22"/>
  <c r="O20" i="22" s="1"/>
  <c r="L20" i="22"/>
  <c r="M20" i="22" s="1"/>
  <c r="TU20" i="22"/>
  <c r="I20" i="22"/>
  <c r="TQ20" i="22"/>
  <c r="R20" i="22"/>
  <c r="S20" i="22" s="1"/>
  <c r="K20" i="22"/>
  <c r="H20" i="22"/>
  <c r="T20" i="22"/>
  <c r="U20" i="22" s="1"/>
  <c r="CW9" i="4"/>
  <c r="DA9" i="4" s="1"/>
  <c r="CW36" i="4"/>
  <c r="DA36" i="4" s="1"/>
  <c r="P33" i="4"/>
  <c r="CW29" i="4"/>
  <c r="DA29" i="4" s="1"/>
  <c r="SN33" i="4"/>
  <c r="SU33" i="4" s="1"/>
  <c r="TQ33" i="4"/>
  <c r="TN33" i="4"/>
  <c r="L33" i="4"/>
  <c r="M33" i="4" s="1"/>
  <c r="TU33" i="4"/>
  <c r="R33" i="4"/>
  <c r="S33" i="4" s="1"/>
  <c r="I33" i="4"/>
  <c r="K33" i="4"/>
  <c r="N33" i="4"/>
  <c r="T33" i="4"/>
  <c r="U33" i="4" s="1"/>
  <c r="H33" i="4"/>
  <c r="SN36" i="4"/>
  <c r="SU36" i="4" s="1"/>
  <c r="TQ36" i="4"/>
  <c r="TN36" i="4"/>
  <c r="R36" i="4"/>
  <c r="S36" i="4" s="1"/>
  <c r="N36" i="4"/>
  <c r="O36" i="4" s="1"/>
  <c r="P36" i="4"/>
  <c r="L36" i="4"/>
  <c r="M36" i="4" s="1"/>
  <c r="TU36" i="4"/>
  <c r="I36" i="4"/>
  <c r="K36" i="4"/>
  <c r="H36" i="4"/>
  <c r="T36" i="4"/>
  <c r="U36" i="4" s="1"/>
  <c r="SN32" i="4"/>
  <c r="SU32" i="4" s="1"/>
  <c r="SN29" i="4"/>
  <c r="SU29" i="4" s="1"/>
  <c r="TN32" i="4"/>
  <c r="L32" i="4"/>
  <c r="M32" i="4" s="1"/>
  <c r="TU32" i="4"/>
  <c r="TQ32" i="4"/>
  <c r="K32" i="4"/>
  <c r="R32" i="4"/>
  <c r="S32" i="4" s="1"/>
  <c r="I32" i="4"/>
  <c r="P32" i="4"/>
  <c r="Q32" i="4" s="1"/>
  <c r="H32" i="4"/>
  <c r="N32" i="4"/>
  <c r="T32" i="4"/>
  <c r="U32" i="4" s="1"/>
  <c r="SN9" i="4"/>
  <c r="SU9" i="4" s="1"/>
  <c r="R29" i="4"/>
  <c r="S29" i="4" s="1"/>
  <c r="TN29" i="4"/>
  <c r="TQ29" i="4"/>
  <c r="TU29" i="4"/>
  <c r="L29" i="4"/>
  <c r="M29" i="4" s="1"/>
  <c r="I29" i="4"/>
  <c r="K29" i="4"/>
  <c r="P29" i="4"/>
  <c r="Q29" i="4" s="1"/>
  <c r="H29" i="4"/>
  <c r="N29" i="4"/>
  <c r="T29" i="4"/>
  <c r="U29" i="4" s="1"/>
  <c r="TU9" i="4"/>
  <c r="TQ9" i="4"/>
  <c r="TN9" i="4"/>
  <c r="L9" i="4"/>
  <c r="M9" i="4" s="1"/>
  <c r="K9" i="4"/>
  <c r="P9" i="4"/>
  <c r="Q9" i="4" s="1"/>
  <c r="R9" i="4"/>
  <c r="S9" i="4" s="1"/>
  <c r="I9" i="4"/>
  <c r="H9" i="4"/>
  <c r="N9" i="4"/>
  <c r="T9" i="4"/>
  <c r="U9" i="4" s="1"/>
  <c r="CV13" i="21"/>
  <c r="CW13" i="21"/>
  <c r="CX13" i="21"/>
  <c r="CY13" i="21"/>
  <c r="DA13" i="21"/>
  <c r="DB13" i="21"/>
  <c r="PV13" i="21"/>
  <c r="PW13" i="21"/>
  <c r="PX13" i="21"/>
  <c r="PY13" i="21"/>
  <c r="QA13" i="21"/>
  <c r="QB13" i="21"/>
  <c r="QD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CV29" i="21"/>
  <c r="CW29" i="21"/>
  <c r="CX29" i="21"/>
  <c r="CY29" i="21"/>
  <c r="DA29" i="21"/>
  <c r="DB29" i="21"/>
  <c r="PV29" i="21"/>
  <c r="PW29" i="21"/>
  <c r="PX29" i="21"/>
  <c r="PY29" i="21"/>
  <c r="QA29" i="21"/>
  <c r="QB29" i="21"/>
  <c r="QD29" i="21"/>
  <c r="QE29" i="21"/>
  <c r="QF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CV14" i="21"/>
  <c r="CW14" i="21"/>
  <c r="CX14" i="21"/>
  <c r="CY14" i="21"/>
  <c r="DA14" i="21"/>
  <c r="DB14" i="21"/>
  <c r="PV14" i="21"/>
  <c r="PW14" i="21"/>
  <c r="PX14" i="21"/>
  <c r="PY14" i="21"/>
  <c r="QA14" i="21"/>
  <c r="QB14" i="21"/>
  <c r="QD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CV28" i="21"/>
  <c r="CW28" i="21"/>
  <c r="CX28" i="21"/>
  <c r="CY28" i="21"/>
  <c r="DA28" i="21"/>
  <c r="DB28" i="21"/>
  <c r="PV28" i="21"/>
  <c r="PW28" i="21"/>
  <c r="PX28" i="21"/>
  <c r="PY28" i="21"/>
  <c r="QA28" i="21"/>
  <c r="QB28" i="21"/>
  <c r="QD28" i="21"/>
  <c r="QE28" i="21"/>
  <c r="QF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CV23" i="21"/>
  <c r="CW23" i="21"/>
  <c r="CX23" i="21"/>
  <c r="CY23" i="21"/>
  <c r="DA23" i="21"/>
  <c r="DB23" i="21"/>
  <c r="PV23" i="21"/>
  <c r="PW23" i="21"/>
  <c r="PX23" i="21"/>
  <c r="PY23" i="21"/>
  <c r="QA23" i="21"/>
  <c r="QB23" i="21"/>
  <c r="QD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CV32" i="21"/>
  <c r="CW32" i="21"/>
  <c r="CX32" i="21"/>
  <c r="CY32" i="21"/>
  <c r="DA32" i="21"/>
  <c r="DB32" i="21"/>
  <c r="PV32" i="21"/>
  <c r="PW32" i="21"/>
  <c r="PX32" i="21"/>
  <c r="PY32" i="21"/>
  <c r="QA32" i="21"/>
  <c r="QB32" i="21"/>
  <c r="QD32" i="21"/>
  <c r="QE32" i="21"/>
  <c r="QF32" i="21"/>
  <c r="QG32" i="21"/>
  <c r="QH32" i="21"/>
  <c r="QI32" i="21"/>
  <c r="QJ32" i="21"/>
  <c r="QK32" i="21"/>
  <c r="QL32" i="21"/>
  <c r="QM32" i="21"/>
  <c r="QN32" i="21"/>
  <c r="QO32" i="21"/>
  <c r="QP32" i="21"/>
  <c r="QQ32" i="21"/>
  <c r="QR32" i="21"/>
  <c r="QS32" i="21"/>
  <c r="QT32" i="21"/>
  <c r="QU32" i="21"/>
  <c r="QV32" i="21"/>
  <c r="QW32" i="21"/>
  <c r="CV34" i="21"/>
  <c r="CW34" i="21"/>
  <c r="CX34" i="21"/>
  <c r="CY34" i="21"/>
  <c r="DA34" i="21"/>
  <c r="DB34" i="21"/>
  <c r="PV34" i="21"/>
  <c r="PW34" i="21"/>
  <c r="PX34" i="21"/>
  <c r="PY34" i="21"/>
  <c r="QA34" i="21"/>
  <c r="QB34" i="21"/>
  <c r="QD34" i="21"/>
  <c r="QE34" i="21"/>
  <c r="QF34" i="21"/>
  <c r="QG34" i="21"/>
  <c r="QH34" i="21"/>
  <c r="QI34" i="21"/>
  <c r="QJ34" i="21"/>
  <c r="QK34" i="21"/>
  <c r="QL34" i="21"/>
  <c r="QM34" i="21"/>
  <c r="QN34" i="21"/>
  <c r="QO34" i="21"/>
  <c r="QP34" i="21"/>
  <c r="QQ34" i="21"/>
  <c r="QR34" i="21"/>
  <c r="QS34" i="21"/>
  <c r="QT34" i="21"/>
  <c r="QU34" i="21"/>
  <c r="QV34" i="21"/>
  <c r="QW34" i="21"/>
  <c r="CV26" i="21"/>
  <c r="CW26" i="21"/>
  <c r="CX26" i="21"/>
  <c r="CY26" i="21"/>
  <c r="DA26" i="21"/>
  <c r="DB26" i="21"/>
  <c r="PV26" i="21"/>
  <c r="PW26" i="21"/>
  <c r="PX26" i="21"/>
  <c r="PY26" i="21"/>
  <c r="QA26" i="21"/>
  <c r="QB26" i="21"/>
  <c r="QD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CV17" i="19"/>
  <c r="CW17" i="19"/>
  <c r="CX17" i="19"/>
  <c r="CY17" i="19"/>
  <c r="DA17" i="19"/>
  <c r="DB17" i="19"/>
  <c r="PV17" i="19"/>
  <c r="PW17" i="19"/>
  <c r="PX17" i="19"/>
  <c r="PY17" i="19"/>
  <c r="QA17" i="19"/>
  <c r="QB17" i="19"/>
  <c r="QD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CV32" i="19"/>
  <c r="CW32" i="19"/>
  <c r="CX32" i="19"/>
  <c r="CY32" i="19"/>
  <c r="DA32" i="19"/>
  <c r="DB32" i="19"/>
  <c r="PV32" i="19"/>
  <c r="PW32" i="19"/>
  <c r="PX32" i="19"/>
  <c r="PY32" i="19"/>
  <c r="QA32" i="19"/>
  <c r="QB32" i="19"/>
  <c r="QD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CV36" i="19"/>
  <c r="CW36" i="19"/>
  <c r="CX36" i="19"/>
  <c r="CY36" i="19"/>
  <c r="DA36" i="19"/>
  <c r="DB36" i="19"/>
  <c r="PV36" i="19"/>
  <c r="PW36" i="19"/>
  <c r="PX36" i="19"/>
  <c r="PY36" i="19"/>
  <c r="QA36" i="19"/>
  <c r="QB36" i="19"/>
  <c r="QD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CV14" i="27"/>
  <c r="CW14" i="27"/>
  <c r="CX14" i="27"/>
  <c r="CY14" i="27"/>
  <c r="DA14" i="27"/>
  <c r="DB14" i="27"/>
  <c r="PV14" i="27"/>
  <c r="PW14" i="27"/>
  <c r="PX14" i="27"/>
  <c r="PY14" i="27"/>
  <c r="QA14" i="27"/>
  <c r="QB14" i="27"/>
  <c r="QD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CV10" i="27"/>
  <c r="CW10" i="27"/>
  <c r="CX10" i="27"/>
  <c r="CY10" i="27"/>
  <c r="DA10" i="27"/>
  <c r="DB10" i="27"/>
  <c r="PV10" i="27"/>
  <c r="PW10" i="27"/>
  <c r="PX10" i="27"/>
  <c r="PY10" i="27"/>
  <c r="QA10" i="27"/>
  <c r="QB10" i="27"/>
  <c r="QD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CV12" i="27"/>
  <c r="CW12" i="27"/>
  <c r="CX12" i="27"/>
  <c r="CY12" i="27"/>
  <c r="DA12" i="27"/>
  <c r="DB12" i="27"/>
  <c r="PV12" i="27"/>
  <c r="PW12" i="27"/>
  <c r="PX12" i="27"/>
  <c r="PY12" i="27"/>
  <c r="QA12" i="27"/>
  <c r="QB12" i="27"/>
  <c r="QD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CV18" i="27"/>
  <c r="CW18" i="27"/>
  <c r="CX18" i="27"/>
  <c r="CY18" i="27"/>
  <c r="DA18" i="27"/>
  <c r="DB18" i="27"/>
  <c r="PV18" i="27"/>
  <c r="PW18" i="27"/>
  <c r="PX18" i="27"/>
  <c r="PY18" i="27"/>
  <c r="QA18" i="27"/>
  <c r="QB18" i="27"/>
  <c r="QD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CV20" i="27"/>
  <c r="CW20" i="27"/>
  <c r="CX20" i="27"/>
  <c r="CY20" i="27"/>
  <c r="DA20" i="27"/>
  <c r="DB20" i="27"/>
  <c r="PV20" i="27"/>
  <c r="PW20" i="27"/>
  <c r="PX20" i="27"/>
  <c r="PY20" i="27"/>
  <c r="QA20" i="27"/>
  <c r="QB20" i="27"/>
  <c r="QD20" i="27"/>
  <c r="QE20" i="27"/>
  <c r="QF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CV11" i="26"/>
  <c r="CW11" i="26"/>
  <c r="CX11" i="26"/>
  <c r="CY11" i="26"/>
  <c r="DA11" i="26"/>
  <c r="DB11" i="26"/>
  <c r="PV11" i="26"/>
  <c r="PW11" i="26"/>
  <c r="PX11" i="26"/>
  <c r="PY11" i="26"/>
  <c r="QA11" i="26"/>
  <c r="QB11" i="26"/>
  <c r="QD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CV17" i="26"/>
  <c r="CW17" i="26"/>
  <c r="CX17" i="26"/>
  <c r="CY17" i="26"/>
  <c r="DA17" i="26"/>
  <c r="DB17" i="26"/>
  <c r="PV17" i="26"/>
  <c r="PW17" i="26"/>
  <c r="PX17" i="26"/>
  <c r="PY17" i="26"/>
  <c r="QA17" i="26"/>
  <c r="QB17" i="26"/>
  <c r="QD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CV18" i="26"/>
  <c r="CW18" i="26"/>
  <c r="CX18" i="26"/>
  <c r="CY18" i="26"/>
  <c r="DA18" i="26"/>
  <c r="DB18" i="26"/>
  <c r="PV18" i="26"/>
  <c r="PW18" i="26"/>
  <c r="PX18" i="26"/>
  <c r="PY18" i="26"/>
  <c r="QA18" i="26"/>
  <c r="QB18" i="26"/>
  <c r="QD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CV15" i="26"/>
  <c r="CW15" i="26"/>
  <c r="CX15" i="26"/>
  <c r="CY15" i="26"/>
  <c r="DA15" i="26"/>
  <c r="DB15" i="26"/>
  <c r="PV15" i="26"/>
  <c r="PW15" i="26"/>
  <c r="PX15" i="26"/>
  <c r="PY15" i="26"/>
  <c r="QA15" i="26"/>
  <c r="QB15" i="26"/>
  <c r="QD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O25" i="22" s="1"/>
  <c r="TD25" i="22"/>
  <c r="TP25" i="22" s="1"/>
  <c r="TE25" i="22"/>
  <c r="TF25" i="22"/>
  <c r="TG25" i="22"/>
  <c r="TH25" i="22"/>
  <c r="TS25" i="22" s="1"/>
  <c r="TI25" i="22"/>
  <c r="TT25" i="22" s="1"/>
  <c r="TJ25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8" i="22"/>
  <c r="CR28" i="22"/>
  <c r="CS28" i="22"/>
  <c r="CT28" i="22"/>
  <c r="CU28" i="22"/>
  <c r="CV28" i="22"/>
  <c r="CX28" i="22"/>
  <c r="CY28" i="22"/>
  <c r="CZ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D28" i="22"/>
  <c r="TP28" i="22" s="1"/>
  <c r="TE28" i="22"/>
  <c r="TF28" i="22"/>
  <c r="TG28" i="22"/>
  <c r="TH28" i="22"/>
  <c r="TS28" i="22" s="1"/>
  <c r="TI28" i="22"/>
  <c r="TT28" i="22" s="1"/>
  <c r="TJ28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S34" i="4" s="1"/>
  <c r="TI34" i="4"/>
  <c r="TT34" i="4" s="1"/>
  <c r="TJ34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38" i="4"/>
  <c r="CR38" i="4"/>
  <c r="CS38" i="4"/>
  <c r="CT38" i="4"/>
  <c r="CU38" i="4"/>
  <c r="CV38" i="4"/>
  <c r="CX38" i="4"/>
  <c r="CY38" i="4"/>
  <c r="CZ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O37" i="19" l="1"/>
  <c r="O8" i="27"/>
  <c r="O22" i="21"/>
  <c r="O25" i="21"/>
  <c r="O30" i="21"/>
  <c r="O40" i="19"/>
  <c r="O34" i="19"/>
  <c r="O39" i="19"/>
  <c r="DE8" i="27"/>
  <c r="TR22" i="4"/>
  <c r="TV22" i="4" s="1"/>
  <c r="DE17" i="21"/>
  <c r="K8" i="27"/>
  <c r="J8" i="27" s="1"/>
  <c r="O22" i="4"/>
  <c r="DB22" i="4"/>
  <c r="DC22" i="4"/>
  <c r="Q22" i="4"/>
  <c r="J22" i="4"/>
  <c r="RC8" i="27"/>
  <c r="RF8" i="27"/>
  <c r="DD8" i="27"/>
  <c r="M8" i="27"/>
  <c r="DD25" i="21"/>
  <c r="O15" i="21"/>
  <c r="RC17" i="21"/>
  <c r="O31" i="21"/>
  <c r="K17" i="21"/>
  <c r="J17" i="21" s="1"/>
  <c r="O31" i="19"/>
  <c r="O21" i="26"/>
  <c r="RF17" i="21"/>
  <c r="M17" i="21"/>
  <c r="O17" i="21"/>
  <c r="DD17" i="21"/>
  <c r="RC30" i="21"/>
  <c r="DC20" i="22"/>
  <c r="Q20" i="22"/>
  <c r="DC26" i="22"/>
  <c r="Q26" i="22"/>
  <c r="DC36" i="4"/>
  <c r="Q36" i="4"/>
  <c r="DC33" i="4"/>
  <c r="Q33" i="4"/>
  <c r="DD31" i="21"/>
  <c r="DE39" i="19"/>
  <c r="DE40" i="19"/>
  <c r="DE31" i="21"/>
  <c r="DE30" i="21"/>
  <c r="K30" i="21"/>
  <c r="J30" i="21" s="1"/>
  <c r="A30" i="21" s="1" a="1"/>
  <c r="A30" i="21" s="1"/>
  <c r="RC37" i="19"/>
  <c r="TR33" i="4"/>
  <c r="TV33" i="4" s="1"/>
  <c r="RF25" i="21"/>
  <c r="RC31" i="21"/>
  <c r="RC40" i="19"/>
  <c r="RF40" i="19"/>
  <c r="PZ18" i="27"/>
  <c r="DE21" i="26"/>
  <c r="K21" i="26"/>
  <c r="J21" i="26" s="1"/>
  <c r="A21" i="26" s="1" a="1"/>
  <c r="A21" i="26" s="1"/>
  <c r="DE25" i="21"/>
  <c r="RC15" i="21"/>
  <c r="RF30" i="21"/>
  <c r="M30" i="21"/>
  <c r="DD30" i="21"/>
  <c r="K31" i="21"/>
  <c r="J31" i="21" s="1"/>
  <c r="RF31" i="21"/>
  <c r="M31" i="21"/>
  <c r="K25" i="21"/>
  <c r="J25" i="21" s="1"/>
  <c r="A25" i="21" s="1" a="1"/>
  <c r="A25" i="21" s="1"/>
  <c r="K15" i="21"/>
  <c r="J15" i="21" s="1"/>
  <c r="A15" i="21" s="1" a="1"/>
  <c r="A15" i="21" s="1"/>
  <c r="RC25" i="21"/>
  <c r="DE22" i="21"/>
  <c r="RF15" i="21"/>
  <c r="DE15" i="21"/>
  <c r="RC22" i="21"/>
  <c r="M15" i="21"/>
  <c r="DD15" i="21"/>
  <c r="K22" i="21"/>
  <c r="J22" i="21" s="1"/>
  <c r="A22" i="21" s="1" a="1"/>
  <c r="A22" i="21" s="1"/>
  <c r="RC39" i="19"/>
  <c r="DD40" i="19"/>
  <c r="RC34" i="19"/>
  <c r="DE31" i="19"/>
  <c r="K40" i="19"/>
  <c r="J40" i="19" s="1"/>
  <c r="A40" i="19" s="1" a="1"/>
  <c r="A40" i="19" s="1"/>
  <c r="DE34" i="19"/>
  <c r="K39" i="19"/>
  <c r="J39" i="19" s="1"/>
  <c r="A39" i="19" s="1" a="1"/>
  <c r="A39" i="19" s="1"/>
  <c r="DE37" i="19"/>
  <c r="DD37" i="19"/>
  <c r="RF37" i="19"/>
  <c r="K37" i="19"/>
  <c r="J37" i="19" s="1"/>
  <c r="M37" i="19"/>
  <c r="K34" i="19"/>
  <c r="J34" i="19" s="1"/>
  <c r="A34" i="19" s="1" a="1"/>
  <c r="A34" i="19" s="1"/>
  <c r="RF39" i="19"/>
  <c r="M39" i="19"/>
  <c r="DD39" i="19"/>
  <c r="RF34" i="19"/>
  <c r="K31" i="19"/>
  <c r="RF22" i="21"/>
  <c r="DD22" i="21"/>
  <c r="M22" i="21"/>
  <c r="M34" i="19"/>
  <c r="DD34" i="19"/>
  <c r="RF31" i="19"/>
  <c r="J31" i="19"/>
  <c r="RC31" i="19"/>
  <c r="M31" i="19"/>
  <c r="DD31" i="19"/>
  <c r="RF21" i="26"/>
  <c r="RC21" i="26"/>
  <c r="M21" i="26"/>
  <c r="DD21" i="26"/>
  <c r="DB20" i="22"/>
  <c r="J26" i="22"/>
  <c r="A26" i="22" s="1" a="1"/>
  <c r="A26" i="22" s="1"/>
  <c r="TR26" i="22"/>
  <c r="TV26" i="22" s="1"/>
  <c r="O26" i="22"/>
  <c r="DB26" i="22"/>
  <c r="TR20" i="22"/>
  <c r="TV20" i="22" s="1"/>
  <c r="J20" i="22"/>
  <c r="A20" i="22" s="1" a="1"/>
  <c r="A20" i="22" s="1"/>
  <c r="TR36" i="4"/>
  <c r="TV36" i="4" s="1"/>
  <c r="J33" i="4"/>
  <c r="A33" i="4" s="1" a="1"/>
  <c r="A33" i="4" s="1"/>
  <c r="O33" i="4"/>
  <c r="DB33" i="4"/>
  <c r="TR32" i="4"/>
  <c r="TV32" i="4" s="1"/>
  <c r="DB36" i="4"/>
  <c r="J36" i="4"/>
  <c r="A36" i="4" s="1" a="1"/>
  <c r="A36" i="4" s="1"/>
  <c r="TR29" i="4"/>
  <c r="TV29" i="4" s="1"/>
  <c r="DB32" i="4"/>
  <c r="O32" i="4"/>
  <c r="DC32" i="4"/>
  <c r="J32" i="4"/>
  <c r="TR9" i="4"/>
  <c r="TV9" i="4" s="1"/>
  <c r="J29" i="4"/>
  <c r="A29" i="4" s="1" a="1"/>
  <c r="A29" i="4" s="1"/>
  <c r="DB29" i="4"/>
  <c r="O29" i="4"/>
  <c r="DC29" i="4"/>
  <c r="DC9" i="4"/>
  <c r="DB9" i="4"/>
  <c r="O9" i="4"/>
  <c r="J9" i="4"/>
  <c r="PZ13" i="21"/>
  <c r="PZ20" i="27"/>
  <c r="SN34" i="4"/>
  <c r="SU34" i="4" s="1"/>
  <c r="PZ29" i="21"/>
  <c r="RD32" i="19"/>
  <c r="QC17" i="19"/>
  <c r="RD17" i="19"/>
  <c r="QY17" i="19"/>
  <c r="PZ10" i="27"/>
  <c r="QC12" i="27"/>
  <c r="SN27" i="4"/>
  <c r="SU27" i="4" s="1"/>
  <c r="CW28" i="22"/>
  <c r="DA28" i="22" s="1"/>
  <c r="CW17" i="22"/>
  <c r="DA17" i="22" s="1"/>
  <c r="PZ34" i="21"/>
  <c r="RD13" i="21"/>
  <c r="P23" i="21"/>
  <c r="DE23" i="21" s="1"/>
  <c r="QY26" i="21"/>
  <c r="PZ23" i="21"/>
  <c r="PZ36" i="19"/>
  <c r="P17" i="19"/>
  <c r="Q17" i="19" s="1"/>
  <c r="CZ32" i="19"/>
  <c r="RD36" i="19"/>
  <c r="QY36" i="19"/>
  <c r="P14" i="27"/>
  <c r="Q14" i="27" s="1"/>
  <c r="QC14" i="27"/>
  <c r="QC10" i="27"/>
  <c r="QY18" i="27"/>
  <c r="PZ11" i="26"/>
  <c r="RD18" i="26"/>
  <c r="RD15" i="26"/>
  <c r="RB15" i="26"/>
  <c r="DC17" i="26"/>
  <c r="CW24" i="4"/>
  <c r="DA24" i="4" s="1"/>
  <c r="SN19" i="4"/>
  <c r="SU19" i="4" s="1"/>
  <c r="SN10" i="4"/>
  <c r="SU10" i="4" s="1"/>
  <c r="QC14" i="21"/>
  <c r="N14" i="21"/>
  <c r="RA28" i="21"/>
  <c r="PZ28" i="21"/>
  <c r="P28" i="21"/>
  <c r="DE28" i="21" s="1"/>
  <c r="RA34" i="21"/>
  <c r="RD23" i="21"/>
  <c r="QY23" i="21"/>
  <c r="QC29" i="21"/>
  <c r="QC26" i="21"/>
  <c r="RD29" i="21"/>
  <c r="QY29" i="21"/>
  <c r="RA13" i="21"/>
  <c r="QC36" i="19"/>
  <c r="RE32" i="19"/>
  <c r="L32" i="19"/>
  <c r="M32" i="19" s="1"/>
  <c r="P32" i="19"/>
  <c r="DE32" i="19" s="1"/>
  <c r="RD14" i="27"/>
  <c r="QY14" i="27"/>
  <c r="RA12" i="27"/>
  <c r="PZ14" i="27"/>
  <c r="RD20" i="27"/>
  <c r="RB12" i="27"/>
  <c r="RA18" i="27"/>
  <c r="N10" i="27"/>
  <c r="L18" i="27"/>
  <c r="M18" i="27" s="1"/>
  <c r="QZ12" i="27"/>
  <c r="RD12" i="27"/>
  <c r="P18" i="27"/>
  <c r="DE18" i="27" s="1"/>
  <c r="QZ10" i="27"/>
  <c r="QY20" i="27"/>
  <c r="RE18" i="27"/>
  <c r="I12" i="27"/>
  <c r="QC18" i="27"/>
  <c r="DC18" i="27"/>
  <c r="PZ12" i="27"/>
  <c r="RB18" i="27"/>
  <c r="CZ14" i="27"/>
  <c r="RA15" i="26"/>
  <c r="CZ15" i="26"/>
  <c r="RA18" i="26"/>
  <c r="P17" i="26"/>
  <c r="DE17" i="26" s="1"/>
  <c r="QC11" i="26"/>
  <c r="DC11" i="26"/>
  <c r="RD17" i="26"/>
  <c r="CW11" i="22"/>
  <c r="DA11" i="22" s="1"/>
  <c r="CW16" i="22"/>
  <c r="DA16" i="22" s="1"/>
  <c r="CW21" i="22"/>
  <c r="DA21" i="22" s="1"/>
  <c r="CW31" i="22"/>
  <c r="DA31" i="22" s="1"/>
  <c r="TQ14" i="4"/>
  <c r="TQ27" i="4"/>
  <c r="CW14" i="4"/>
  <c r="DA14" i="4" s="1"/>
  <c r="TQ10" i="4"/>
  <c r="TU27" i="4"/>
  <c r="I27" i="4"/>
  <c r="TU38" i="4"/>
  <c r="SN38" i="4"/>
  <c r="SU38" i="4" s="1"/>
  <c r="TN24" i="4"/>
  <c r="TN38" i="4"/>
  <c r="CW38" i="4"/>
  <c r="DA38" i="4" s="1"/>
  <c r="SN14" i="4"/>
  <c r="SU14" i="4" s="1"/>
  <c r="SN24" i="4"/>
  <c r="SU24" i="4" s="1"/>
  <c r="TQ38" i="4"/>
  <c r="CW34" i="4"/>
  <c r="DA34" i="4" s="1"/>
  <c r="N10" i="4"/>
  <c r="O10" i="4" s="1"/>
  <c r="SN17" i="22"/>
  <c r="SU17" i="22" s="1"/>
  <c r="SN11" i="22"/>
  <c r="SU11" i="22" s="1"/>
  <c r="SN25" i="22"/>
  <c r="SU25" i="22" s="1"/>
  <c r="SN31" i="22"/>
  <c r="SU31" i="22" s="1"/>
  <c r="SN16" i="22"/>
  <c r="SU16" i="22" s="1"/>
  <c r="R16" i="22"/>
  <c r="S16" i="22" s="1"/>
  <c r="N26" i="21"/>
  <c r="CZ13" i="21"/>
  <c r="P13" i="21"/>
  <c r="Q13" i="21" s="1"/>
  <c r="P32" i="21"/>
  <c r="Q32" i="21" s="1"/>
  <c r="L14" i="21"/>
  <c r="M14" i="21" s="1"/>
  <c r="DC32" i="21"/>
  <c r="DC14" i="21"/>
  <c r="RD26" i="21"/>
  <c r="RD14" i="21"/>
  <c r="RD32" i="21"/>
  <c r="QY32" i="21"/>
  <c r="RA23" i="21"/>
  <c r="CZ14" i="21"/>
  <c r="P29" i="21"/>
  <c r="Q29" i="21" s="1"/>
  <c r="QZ13" i="21"/>
  <c r="I14" i="21"/>
  <c r="CZ23" i="21"/>
  <c r="RB28" i="21"/>
  <c r="CZ26" i="21"/>
  <c r="QZ14" i="21"/>
  <c r="QY13" i="21"/>
  <c r="CZ28" i="21"/>
  <c r="RB29" i="21"/>
  <c r="RE13" i="21"/>
  <c r="QY34" i="21"/>
  <c r="RA29" i="21"/>
  <c r="H13" i="21"/>
  <c r="RB13" i="21"/>
  <c r="QC13" i="21"/>
  <c r="I13" i="21"/>
  <c r="DC13" i="21"/>
  <c r="N13" i="21"/>
  <c r="L13" i="21"/>
  <c r="H26" i="21"/>
  <c r="I34" i="21"/>
  <c r="H23" i="21"/>
  <c r="QZ29" i="21"/>
  <c r="QZ26" i="21"/>
  <c r="L26" i="21"/>
  <c r="M26" i="21" s="1"/>
  <c r="RE34" i="21"/>
  <c r="RE23" i="21"/>
  <c r="RE26" i="21"/>
  <c r="DC26" i="21"/>
  <c r="I26" i="21"/>
  <c r="RD34" i="21"/>
  <c r="DC23" i="21"/>
  <c r="QZ28" i="21"/>
  <c r="QC28" i="21"/>
  <c r="RA14" i="21"/>
  <c r="RE29" i="21"/>
  <c r="PZ26" i="21"/>
  <c r="RA32" i="21"/>
  <c r="CZ29" i="21"/>
  <c r="RE32" i="21"/>
  <c r="CZ32" i="21"/>
  <c r="QZ23" i="21"/>
  <c r="QC23" i="21"/>
  <c r="N23" i="21"/>
  <c r="H28" i="21"/>
  <c r="RB14" i="21"/>
  <c r="RB34" i="21"/>
  <c r="QC34" i="21"/>
  <c r="CZ34" i="21"/>
  <c r="P34" i="21"/>
  <c r="DE34" i="21" s="1"/>
  <c r="PZ32" i="21"/>
  <c r="L32" i="21"/>
  <c r="M32" i="21" s="1"/>
  <c r="RB23" i="21"/>
  <c r="L23" i="21"/>
  <c r="M23" i="21" s="1"/>
  <c r="RD28" i="21"/>
  <c r="QY28" i="21"/>
  <c r="I28" i="21"/>
  <c r="H14" i="21"/>
  <c r="H29" i="21"/>
  <c r="RA26" i="21"/>
  <c r="RB26" i="21"/>
  <c r="QZ34" i="21"/>
  <c r="H32" i="21"/>
  <c r="RE28" i="21"/>
  <c r="QY14" i="21"/>
  <c r="PZ14" i="21"/>
  <c r="I29" i="21"/>
  <c r="DC34" i="21"/>
  <c r="N34" i="21"/>
  <c r="RB32" i="21"/>
  <c r="QC32" i="21"/>
  <c r="I32" i="21"/>
  <c r="P26" i="21"/>
  <c r="DC28" i="21"/>
  <c r="N28" i="21"/>
  <c r="RE14" i="21"/>
  <c r="L34" i="21"/>
  <c r="QZ32" i="21"/>
  <c r="DC29" i="21"/>
  <c r="N29" i="21"/>
  <c r="N32" i="21"/>
  <c r="I23" i="21"/>
  <c r="L28" i="21"/>
  <c r="P14" i="21"/>
  <c r="H34" i="21"/>
  <c r="L29" i="21"/>
  <c r="CZ36" i="19"/>
  <c r="CZ17" i="19"/>
  <c r="RB36" i="19"/>
  <c r="RB17" i="19"/>
  <c r="RA36" i="19"/>
  <c r="N32" i="19"/>
  <c r="RE17" i="19"/>
  <c r="PZ17" i="19"/>
  <c r="QZ36" i="19"/>
  <c r="I36" i="19"/>
  <c r="P36" i="19"/>
  <c r="Q36" i="19" s="1"/>
  <c r="PZ32" i="19"/>
  <c r="RA17" i="19"/>
  <c r="RA32" i="19"/>
  <c r="QZ32" i="19"/>
  <c r="DC32" i="19"/>
  <c r="QY32" i="19"/>
  <c r="QZ17" i="19"/>
  <c r="I17" i="19"/>
  <c r="H17" i="19"/>
  <c r="H36" i="19"/>
  <c r="DC36" i="19"/>
  <c r="N36" i="19"/>
  <c r="RB32" i="19"/>
  <c r="QC32" i="19"/>
  <c r="I32" i="19"/>
  <c r="H32" i="19"/>
  <c r="DC17" i="19"/>
  <c r="N17" i="19"/>
  <c r="RE36" i="19"/>
  <c r="L36" i="19"/>
  <c r="L17" i="19"/>
  <c r="CZ20" i="27"/>
  <c r="H10" i="27"/>
  <c r="RE14" i="27"/>
  <c r="CZ10" i="27"/>
  <c r="I10" i="27"/>
  <c r="RB14" i="27"/>
  <c r="N20" i="27"/>
  <c r="I18" i="27"/>
  <c r="DC10" i="27"/>
  <c r="QZ18" i="27"/>
  <c r="RE20" i="27"/>
  <c r="H20" i="27"/>
  <c r="H18" i="27"/>
  <c r="QY12" i="27"/>
  <c r="RD10" i="27"/>
  <c r="RB10" i="27"/>
  <c r="QZ14" i="27"/>
  <c r="RA20" i="27"/>
  <c r="QZ20" i="27"/>
  <c r="DC20" i="27"/>
  <c r="CZ18" i="27"/>
  <c r="N18" i="27"/>
  <c r="RE10" i="27"/>
  <c r="I20" i="27"/>
  <c r="L20" i="27"/>
  <c r="M20" i="27" s="1"/>
  <c r="RD18" i="27"/>
  <c r="CZ12" i="27"/>
  <c r="P12" i="27"/>
  <c r="DE12" i="27" s="1"/>
  <c r="RA10" i="27"/>
  <c r="RA14" i="27"/>
  <c r="I14" i="27"/>
  <c r="H12" i="27"/>
  <c r="QY10" i="27"/>
  <c r="H14" i="27"/>
  <c r="P20" i="27"/>
  <c r="DC12" i="27"/>
  <c r="N12" i="27"/>
  <c r="L10" i="27"/>
  <c r="RB20" i="27"/>
  <c r="QC20" i="27"/>
  <c r="DC14" i="27"/>
  <c r="N14" i="27"/>
  <c r="RE12" i="27"/>
  <c r="L12" i="27"/>
  <c r="P10" i="27"/>
  <c r="L14" i="27"/>
  <c r="QY15" i="26"/>
  <c r="CZ17" i="26"/>
  <c r="N17" i="26"/>
  <c r="RE15" i="26"/>
  <c r="P15" i="26"/>
  <c r="DE15" i="26" s="1"/>
  <c r="P18" i="26"/>
  <c r="Q18" i="26" s="1"/>
  <c r="QY11" i="26"/>
  <c r="QZ18" i="26"/>
  <c r="N18" i="26"/>
  <c r="RE17" i="26"/>
  <c r="RB17" i="26"/>
  <c r="PZ15" i="26"/>
  <c r="RE18" i="26"/>
  <c r="H17" i="26"/>
  <c r="P11" i="26"/>
  <c r="Q11" i="26" s="1"/>
  <c r="QZ15" i="26"/>
  <c r="PZ18" i="26"/>
  <c r="I17" i="26"/>
  <c r="L17" i="26"/>
  <c r="M17" i="26" s="1"/>
  <c r="DC18" i="26"/>
  <c r="RB11" i="26"/>
  <c r="RD11" i="26"/>
  <c r="QY18" i="26"/>
  <c r="RE11" i="26"/>
  <c r="QZ11" i="26"/>
  <c r="QC17" i="26"/>
  <c r="RA11" i="26"/>
  <c r="H11" i="26"/>
  <c r="RA17" i="26"/>
  <c r="QZ17" i="26"/>
  <c r="CZ11" i="26"/>
  <c r="N11" i="26"/>
  <c r="QC15" i="26"/>
  <c r="I15" i="26"/>
  <c r="L18" i="26"/>
  <c r="H15" i="26"/>
  <c r="CZ18" i="26"/>
  <c r="QY17" i="26"/>
  <c r="PZ17" i="26"/>
  <c r="I11" i="26"/>
  <c r="DC15" i="26"/>
  <c r="N15" i="26"/>
  <c r="RB18" i="26"/>
  <c r="QC18" i="26"/>
  <c r="I18" i="26"/>
  <c r="H18" i="26"/>
  <c r="L15" i="26"/>
  <c r="L11" i="26"/>
  <c r="TU31" i="22"/>
  <c r="TQ16" i="22"/>
  <c r="L16" i="22"/>
  <c r="M16" i="22" s="1"/>
  <c r="CW25" i="22"/>
  <c r="DA25" i="22" s="1"/>
  <c r="TN25" i="22"/>
  <c r="TU16" i="22"/>
  <c r="I16" i="22"/>
  <c r="K16" i="22"/>
  <c r="TN11" i="22"/>
  <c r="P16" i="22"/>
  <c r="Q16" i="22" s="1"/>
  <c r="H16" i="22"/>
  <c r="N25" i="22"/>
  <c r="O25" i="22" s="1"/>
  <c r="R31" i="22"/>
  <c r="S31" i="22" s="1"/>
  <c r="N16" i="22"/>
  <c r="O16" i="22" s="1"/>
  <c r="TN16" i="22"/>
  <c r="TQ28" i="22"/>
  <c r="R11" i="22"/>
  <c r="S11" i="22" s="1"/>
  <c r="T16" i="22"/>
  <c r="U16" i="22" s="1"/>
  <c r="SN28" i="22"/>
  <c r="SU28" i="22" s="1"/>
  <c r="N11" i="22"/>
  <c r="O11" i="22" s="1"/>
  <c r="TN31" i="22"/>
  <c r="L25" i="22"/>
  <c r="M25" i="22" s="1"/>
  <c r="TO28" i="22"/>
  <c r="P28" i="22"/>
  <c r="Q28" i="22" s="1"/>
  <c r="TU25" i="22"/>
  <c r="SN21" i="22"/>
  <c r="SU21" i="22" s="1"/>
  <c r="TQ17" i="22"/>
  <c r="TQ25" i="22"/>
  <c r="TQ21" i="22"/>
  <c r="L11" i="22"/>
  <c r="M11" i="22" s="1"/>
  <c r="H28" i="22"/>
  <c r="K31" i="22"/>
  <c r="TN21" i="22"/>
  <c r="TU11" i="22"/>
  <c r="P21" i="22"/>
  <c r="Q21" i="22" s="1"/>
  <c r="T17" i="22"/>
  <c r="U17" i="22" s="1"/>
  <c r="TQ11" i="22"/>
  <c r="P17" i="22"/>
  <c r="Q17" i="22" s="1"/>
  <c r="N17" i="22"/>
  <c r="H21" i="22"/>
  <c r="TN28" i="22"/>
  <c r="I28" i="22"/>
  <c r="T25" i="22"/>
  <c r="U25" i="22" s="1"/>
  <c r="L21" i="22"/>
  <c r="TU17" i="22"/>
  <c r="TN17" i="22"/>
  <c r="TL17" i="22"/>
  <c r="L31" i="22"/>
  <c r="P31" i="22"/>
  <c r="Q31" i="22" s="1"/>
  <c r="I31" i="22"/>
  <c r="N31" i="22"/>
  <c r="H17" i="22"/>
  <c r="I11" i="22"/>
  <c r="TU28" i="22"/>
  <c r="TU21" i="22"/>
  <c r="R21" i="22"/>
  <c r="S21" i="22" s="1"/>
  <c r="K21" i="22"/>
  <c r="T21" i="22"/>
  <c r="U21" i="22" s="1"/>
  <c r="K11" i="22"/>
  <c r="TQ31" i="22"/>
  <c r="R28" i="22"/>
  <c r="S28" i="22" s="1"/>
  <c r="T31" i="22"/>
  <c r="U31" i="22" s="1"/>
  <c r="H25" i="22"/>
  <c r="P11" i="22"/>
  <c r="Q11" i="22" s="1"/>
  <c r="N21" i="22"/>
  <c r="I21" i="22"/>
  <c r="L17" i="22"/>
  <c r="N28" i="22"/>
  <c r="T28" i="22"/>
  <c r="U28" i="22" s="1"/>
  <c r="L28" i="22"/>
  <c r="R25" i="22"/>
  <c r="S25" i="22" s="1"/>
  <c r="K17" i="22"/>
  <c r="H31" i="22"/>
  <c r="K28" i="22"/>
  <c r="I25" i="22"/>
  <c r="R17" i="22"/>
  <c r="S17" i="22" s="1"/>
  <c r="K25" i="22"/>
  <c r="P25" i="22"/>
  <c r="Q25" i="22" s="1"/>
  <c r="I17" i="22"/>
  <c r="T11" i="22"/>
  <c r="U11" i="22" s="1"/>
  <c r="H11" i="22"/>
  <c r="TU34" i="4"/>
  <c r="TU25" i="4"/>
  <c r="R27" i="4"/>
  <c r="S27" i="4" s="1"/>
  <c r="L14" i="4"/>
  <c r="M14" i="4" s="1"/>
  <c r="TU10" i="4"/>
  <c r="L38" i="4"/>
  <c r="M38" i="4" s="1"/>
  <c r="R14" i="4"/>
  <c r="S14" i="4" s="1"/>
  <c r="CW25" i="4"/>
  <c r="DA25" i="4" s="1"/>
  <c r="T10" i="4"/>
  <c r="U10" i="4" s="1"/>
  <c r="TU19" i="4"/>
  <c r="R19" i="4"/>
  <c r="S19" i="4" s="1"/>
  <c r="T38" i="4"/>
  <c r="U38" i="4" s="1"/>
  <c r="TN25" i="4"/>
  <c r="CW10" i="4"/>
  <c r="DA10" i="4" s="1"/>
  <c r="I14" i="4"/>
  <c r="L24" i="4"/>
  <c r="M24" i="4" s="1"/>
  <c r="P14" i="4"/>
  <c r="Q14" i="4" s="1"/>
  <c r="I25" i="4"/>
  <c r="TQ25" i="4"/>
  <c r="TQ34" i="4"/>
  <c r="TQ24" i="4"/>
  <c r="TU14" i="4"/>
  <c r="I19" i="4"/>
  <c r="TQ19" i="4"/>
  <c r="R34" i="4"/>
  <c r="S34" i="4" s="1"/>
  <c r="L10" i="4"/>
  <c r="M10" i="4" s="1"/>
  <c r="TN14" i="4"/>
  <c r="T34" i="4"/>
  <c r="U34" i="4" s="1"/>
  <c r="CW27" i="4"/>
  <c r="DA27" i="4" s="1"/>
  <c r="TN19" i="4"/>
  <c r="CW19" i="4"/>
  <c r="DA19" i="4" s="1"/>
  <c r="H19" i="4"/>
  <c r="N14" i="4"/>
  <c r="O14" i="4" s="1"/>
  <c r="T25" i="4"/>
  <c r="U25" i="4" s="1"/>
  <c r="H24" i="4"/>
  <c r="I38" i="4"/>
  <c r="P38" i="4"/>
  <c r="Q38" i="4" s="1"/>
  <c r="P34" i="4"/>
  <c r="Q34" i="4" s="1"/>
  <c r="I34" i="4"/>
  <c r="N34" i="4"/>
  <c r="T27" i="4"/>
  <c r="U27" i="4" s="1"/>
  <c r="H10" i="4"/>
  <c r="K27" i="4"/>
  <c r="SN25" i="4"/>
  <c r="SU25" i="4" s="1"/>
  <c r="H25" i="4"/>
  <c r="TN34" i="4"/>
  <c r="P24" i="4"/>
  <c r="Q24" i="4" s="1"/>
  <c r="H27" i="4"/>
  <c r="K25" i="4"/>
  <c r="L19" i="4"/>
  <c r="N38" i="4"/>
  <c r="R25" i="4"/>
  <c r="S25" i="4" s="1"/>
  <c r="H34" i="4"/>
  <c r="L34" i="4"/>
  <c r="TN10" i="4"/>
  <c r="P19" i="4"/>
  <c r="Q19" i="4" s="1"/>
  <c r="K34" i="4"/>
  <c r="TU24" i="4"/>
  <c r="R24" i="4"/>
  <c r="S24" i="4" s="1"/>
  <c r="K24" i="4"/>
  <c r="T24" i="4"/>
  <c r="U24" i="4" s="1"/>
  <c r="N24" i="4"/>
  <c r="TN27" i="4"/>
  <c r="K14" i="4"/>
  <c r="T14" i="4"/>
  <c r="U14" i="4" s="1"/>
  <c r="P10" i="4"/>
  <c r="Q10" i="4" s="1"/>
  <c r="R38" i="4"/>
  <c r="S38" i="4" s="1"/>
  <c r="L25" i="4"/>
  <c r="N25" i="4"/>
  <c r="P25" i="4"/>
  <c r="Q25" i="4" s="1"/>
  <c r="N27" i="4"/>
  <c r="P27" i="4"/>
  <c r="Q27" i="4" s="1"/>
  <c r="H14" i="4"/>
  <c r="K19" i="4"/>
  <c r="T19" i="4"/>
  <c r="U19" i="4" s="1"/>
  <c r="N19" i="4"/>
  <c r="H38" i="4"/>
  <c r="I24" i="4"/>
  <c r="L27" i="4"/>
  <c r="R10" i="4"/>
  <c r="S10" i="4" s="1"/>
  <c r="K38" i="4"/>
  <c r="K10" i="4"/>
  <c r="I10" i="4"/>
  <c r="CV4" i="21"/>
  <c r="CW4" i="21"/>
  <c r="CX4" i="21"/>
  <c r="CY4" i="21"/>
  <c r="DA4" i="21"/>
  <c r="DB4" i="21"/>
  <c r="PV4" i="21"/>
  <c r="PW4" i="21"/>
  <c r="PX4" i="21"/>
  <c r="PY4" i="21"/>
  <c r="QA4" i="21"/>
  <c r="QB4" i="21"/>
  <c r="QD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CV19" i="19"/>
  <c r="CW19" i="19"/>
  <c r="CX19" i="19"/>
  <c r="CY19" i="19"/>
  <c r="DA19" i="19"/>
  <c r="DB19" i="19"/>
  <c r="PV19" i="19"/>
  <c r="PW19" i="19"/>
  <c r="PX19" i="19"/>
  <c r="PY19" i="19"/>
  <c r="QA19" i="19"/>
  <c r="QB19" i="19"/>
  <c r="QD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CV18" i="19"/>
  <c r="CW18" i="19"/>
  <c r="CX18" i="19"/>
  <c r="CY18" i="19"/>
  <c r="DA18" i="19"/>
  <c r="DB18" i="19"/>
  <c r="PV18" i="19"/>
  <c r="PW18" i="19"/>
  <c r="PX18" i="19"/>
  <c r="PY18" i="19"/>
  <c r="QA18" i="19"/>
  <c r="QB18" i="19"/>
  <c r="QD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CV38" i="19"/>
  <c r="CW38" i="19"/>
  <c r="CX38" i="19"/>
  <c r="CY38" i="19"/>
  <c r="DA38" i="19"/>
  <c r="DB38" i="19"/>
  <c r="PV38" i="19"/>
  <c r="PW38" i="19"/>
  <c r="PX38" i="19"/>
  <c r="PY38" i="19"/>
  <c r="QA38" i="19"/>
  <c r="QB38" i="19"/>
  <c r="QD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CV21" i="19"/>
  <c r="CW21" i="19"/>
  <c r="CX21" i="19"/>
  <c r="CY21" i="19"/>
  <c r="DA21" i="19"/>
  <c r="DB21" i="19"/>
  <c r="PV21" i="19"/>
  <c r="PW21" i="19"/>
  <c r="PX21" i="19"/>
  <c r="PY21" i="19"/>
  <c r="QA21" i="19"/>
  <c r="QB21" i="19"/>
  <c r="QD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CV7" i="19"/>
  <c r="CW7" i="19"/>
  <c r="CX7" i="19"/>
  <c r="CY7" i="19"/>
  <c r="DA7" i="19"/>
  <c r="DB7" i="19"/>
  <c r="PV7" i="19"/>
  <c r="PW7" i="19"/>
  <c r="PX7" i="19"/>
  <c r="PY7" i="19"/>
  <c r="QA7" i="19"/>
  <c r="QB7" i="19"/>
  <c r="QD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CV9" i="19"/>
  <c r="CW9" i="19"/>
  <c r="CX9" i="19"/>
  <c r="CY9" i="19"/>
  <c r="DA9" i="19"/>
  <c r="DB9" i="19"/>
  <c r="PV9" i="19"/>
  <c r="PW9" i="19"/>
  <c r="PX9" i="19"/>
  <c r="PY9" i="19"/>
  <c r="QA9" i="19"/>
  <c r="QB9" i="19"/>
  <c r="QD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CV6" i="27"/>
  <c r="CW6" i="27"/>
  <c r="CX6" i="27"/>
  <c r="CY6" i="27"/>
  <c r="DA6" i="27"/>
  <c r="DB6" i="27"/>
  <c r="PV6" i="27"/>
  <c r="PW6" i="27"/>
  <c r="PX6" i="27"/>
  <c r="PY6" i="27"/>
  <c r="QA6" i="27"/>
  <c r="QB6" i="27"/>
  <c r="QD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CV14" i="26"/>
  <c r="CW14" i="26"/>
  <c r="CX14" i="26"/>
  <c r="CY14" i="26"/>
  <c r="DA14" i="26"/>
  <c r="DB14" i="26"/>
  <c r="PV14" i="26"/>
  <c r="PW14" i="26"/>
  <c r="PX14" i="26"/>
  <c r="PY14" i="26"/>
  <c r="QA14" i="26"/>
  <c r="QB14" i="26"/>
  <c r="QD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O26" i="21" l="1"/>
  <c r="R17" i="21"/>
  <c r="F17" i="21" s="1"/>
  <c r="R34" i="19"/>
  <c r="R8" i="27"/>
  <c r="V26" i="22"/>
  <c r="W26" i="22" s="1"/>
  <c r="V36" i="4"/>
  <c r="W36" i="4" s="1"/>
  <c r="V22" i="4"/>
  <c r="F22" i="4" s="1"/>
  <c r="A22" i="4" a="1"/>
  <c r="A22" i="4" s="1"/>
  <c r="B22" i="4" a="1"/>
  <c r="B22" i="4" s="1"/>
  <c r="R25" i="21"/>
  <c r="O13" i="21"/>
  <c r="O32" i="21"/>
  <c r="O34" i="21"/>
  <c r="R40" i="19"/>
  <c r="V20" i="22"/>
  <c r="X20" i="22" s="1"/>
  <c r="A17" i="21" a="1"/>
  <c r="A17" i="21" s="1"/>
  <c r="B17" i="21" a="1"/>
  <c r="B17" i="21" s="1"/>
  <c r="O32" i="19"/>
  <c r="RC12" i="27"/>
  <c r="V33" i="4"/>
  <c r="F33" i="4" s="1"/>
  <c r="O14" i="21"/>
  <c r="O20" i="27"/>
  <c r="O14" i="27"/>
  <c r="O29" i="21"/>
  <c r="O28" i="21"/>
  <c r="O12" i="27"/>
  <c r="O17" i="26"/>
  <c r="O23" i="21"/>
  <c r="O17" i="19"/>
  <c r="O36" i="19"/>
  <c r="O18" i="27"/>
  <c r="DD10" i="27"/>
  <c r="O10" i="27"/>
  <c r="O18" i="26"/>
  <c r="O15" i="26"/>
  <c r="O11" i="26"/>
  <c r="R30" i="21"/>
  <c r="F30" i="21" s="1"/>
  <c r="R31" i="21"/>
  <c r="R21" i="26"/>
  <c r="TR19" i="4"/>
  <c r="TV19" i="4" s="1"/>
  <c r="B30" i="21" a="1"/>
  <c r="B30" i="21" s="1"/>
  <c r="R15" i="21"/>
  <c r="F15" i="21" s="1"/>
  <c r="B31" i="21" a="1"/>
  <c r="B31" i="21" s="1"/>
  <c r="A31" i="21" a="1"/>
  <c r="A31" i="21" s="1"/>
  <c r="R22" i="21"/>
  <c r="F22" i="21" s="1"/>
  <c r="B25" i="21" a="1"/>
  <c r="B25" i="21" s="1"/>
  <c r="B15" i="21" a="1"/>
  <c r="B15" i="21" s="1"/>
  <c r="R31" i="19"/>
  <c r="R37" i="19"/>
  <c r="B40" i="19" a="1"/>
  <c r="B40" i="19" s="1"/>
  <c r="A37" i="19" a="1"/>
  <c r="A37" i="19" s="1"/>
  <c r="B37" i="19" a="1"/>
  <c r="B37" i="19" s="1"/>
  <c r="R39" i="19"/>
  <c r="B39" i="19" a="1"/>
  <c r="B39" i="19" s="1"/>
  <c r="B22" i="21" a="1"/>
  <c r="B22" i="21" s="1"/>
  <c r="B34" i="19" a="1"/>
  <c r="B34" i="19" s="1"/>
  <c r="F34" i="19"/>
  <c r="B21" i="26" a="1"/>
  <c r="B21" i="26" s="1"/>
  <c r="B26" i="22" a="1"/>
  <c r="B26" i="22" s="1"/>
  <c r="X26" i="22"/>
  <c r="B20" i="22" a="1"/>
  <c r="B20" i="22" s="1"/>
  <c r="B33" i="4" a="1"/>
  <c r="B33" i="4" s="1"/>
  <c r="B36" i="4" a="1"/>
  <c r="B36" i="4" s="1"/>
  <c r="V32" i="4"/>
  <c r="F32" i="4" s="1"/>
  <c r="A32" i="4" a="1"/>
  <c r="A32" i="4" s="1"/>
  <c r="B32" i="4" a="1"/>
  <c r="B32" i="4" s="1"/>
  <c r="B29" i="4" a="1"/>
  <c r="B29" i="4" s="1"/>
  <c r="V29" i="4"/>
  <c r="V9" i="4"/>
  <c r="F9" i="4" s="1"/>
  <c r="DE17" i="19"/>
  <c r="DD11" i="26"/>
  <c r="TR27" i="4"/>
  <c r="TV27" i="4" s="1"/>
  <c r="Q28" i="21"/>
  <c r="Q23" i="21"/>
  <c r="DE29" i="21"/>
  <c r="RC34" i="21"/>
  <c r="DD18" i="27"/>
  <c r="RC10" i="27"/>
  <c r="RC18" i="26"/>
  <c r="DB25" i="22"/>
  <c r="TR14" i="4"/>
  <c r="TV14" i="4" s="1"/>
  <c r="TR10" i="4"/>
  <c r="TV10" i="4" s="1"/>
  <c r="DE13" i="21"/>
  <c r="K20" i="27"/>
  <c r="J20" i="27" s="1"/>
  <c r="A20" i="27" s="1" a="1"/>
  <c r="A20" i="27" s="1"/>
  <c r="DD14" i="21"/>
  <c r="DE32" i="21"/>
  <c r="RF36" i="19"/>
  <c r="RC18" i="27"/>
  <c r="RF12" i="27"/>
  <c r="K10" i="27"/>
  <c r="J10" i="27" s="1"/>
  <c r="RC15" i="26"/>
  <c r="TR34" i="4"/>
  <c r="TV34" i="4" s="1"/>
  <c r="TR25" i="4"/>
  <c r="TV25" i="4" s="1"/>
  <c r="TR17" i="22"/>
  <c r="TV17" i="22" s="1"/>
  <c r="RF13" i="21"/>
  <c r="RC17" i="19"/>
  <c r="DE14" i="27"/>
  <c r="RF14" i="27"/>
  <c r="Q12" i="27"/>
  <c r="Q34" i="21"/>
  <c r="K13" i="21"/>
  <c r="J13" i="21" s="1"/>
  <c r="A13" i="21" s="1" a="1"/>
  <c r="A13" i="21" s="1"/>
  <c r="DD26" i="21"/>
  <c r="K32" i="21"/>
  <c r="J32" i="21" s="1"/>
  <c r="A32" i="21" s="1" a="1"/>
  <c r="A32" i="21" s="1"/>
  <c r="K28" i="21"/>
  <c r="J28" i="21" s="1"/>
  <c r="B28" i="21" s="1" a="1"/>
  <c r="B28" i="21" s="1"/>
  <c r="RC13" i="21"/>
  <c r="K34" i="21"/>
  <c r="J34" i="21" s="1"/>
  <c r="K23" i="21"/>
  <c r="J23" i="21" s="1"/>
  <c r="A23" i="21" s="1" a="1"/>
  <c r="A23" i="21" s="1"/>
  <c r="RC14" i="21"/>
  <c r="RC28" i="21"/>
  <c r="RF26" i="21"/>
  <c r="DD23" i="21"/>
  <c r="RF34" i="21"/>
  <c r="RF29" i="21"/>
  <c r="K36" i="19"/>
  <c r="J36" i="19" s="1"/>
  <c r="B36" i="19" s="1" a="1"/>
  <c r="B36" i="19" s="1"/>
  <c r="Q32" i="19"/>
  <c r="K32" i="19"/>
  <c r="J32" i="19" s="1"/>
  <c r="RC36" i="19"/>
  <c r="DD32" i="19"/>
  <c r="K17" i="19"/>
  <c r="J17" i="19" s="1"/>
  <c r="RC32" i="19"/>
  <c r="K12" i="27"/>
  <c r="Q18" i="27"/>
  <c r="DD20" i="27"/>
  <c r="RC14" i="27"/>
  <c r="J12" i="27"/>
  <c r="RF10" i="27"/>
  <c r="K14" i="27"/>
  <c r="RC20" i="27"/>
  <c r="RF18" i="26"/>
  <c r="K11" i="26"/>
  <c r="J11" i="26" s="1"/>
  <c r="DE18" i="26"/>
  <c r="Q17" i="26"/>
  <c r="K17" i="26"/>
  <c r="J17" i="26" s="1"/>
  <c r="DD17" i="26"/>
  <c r="R17" i="26" s="1"/>
  <c r="Q15" i="26"/>
  <c r="RF11" i="26"/>
  <c r="K15" i="26"/>
  <c r="J15" i="26" s="1"/>
  <c r="B15" i="26" s="1" a="1"/>
  <c r="B15" i="26" s="1"/>
  <c r="TR28" i="22"/>
  <c r="TV28" i="22" s="1"/>
  <c r="TR16" i="22"/>
  <c r="TV16" i="22" s="1"/>
  <c r="TR25" i="22"/>
  <c r="TV25" i="22" s="1"/>
  <c r="TR11" i="22"/>
  <c r="TV11" i="22" s="1"/>
  <c r="TR21" i="22"/>
  <c r="TV21" i="22" s="1"/>
  <c r="DB14" i="4"/>
  <c r="TR38" i="4"/>
  <c r="TV38" i="4" s="1"/>
  <c r="J27" i="4"/>
  <c r="A27" i="4" s="1" a="1"/>
  <c r="A27" i="4" s="1"/>
  <c r="TR24" i="4"/>
  <c r="TV24" i="4" s="1"/>
  <c r="DB10" i="4"/>
  <c r="RF23" i="21"/>
  <c r="RF14" i="21"/>
  <c r="K29" i="21"/>
  <c r="J29" i="21" s="1"/>
  <c r="B29" i="21" s="1" a="1"/>
  <c r="B29" i="21" s="1"/>
  <c r="RC23" i="21"/>
  <c r="RF28" i="21"/>
  <c r="M13" i="21"/>
  <c r="DD13" i="21"/>
  <c r="RC26" i="21"/>
  <c r="K26" i="21"/>
  <c r="J26" i="21" s="1"/>
  <c r="B26" i="21" s="1" a="1"/>
  <c r="B26" i="21" s="1"/>
  <c r="RC29" i="21"/>
  <c r="M29" i="21"/>
  <c r="DD32" i="21"/>
  <c r="RF32" i="21"/>
  <c r="RC32" i="21"/>
  <c r="DE26" i="21"/>
  <c r="Q26" i="21"/>
  <c r="M34" i="21"/>
  <c r="DD34" i="21"/>
  <c r="DD29" i="21"/>
  <c r="DD28" i="21"/>
  <c r="DE14" i="21"/>
  <c r="Q14" i="21"/>
  <c r="K14" i="21"/>
  <c r="J14" i="21" s="1"/>
  <c r="M28" i="21"/>
  <c r="DE36" i="19"/>
  <c r="RF17" i="19"/>
  <c r="RF32" i="19"/>
  <c r="DD36" i="19"/>
  <c r="M36" i="19"/>
  <c r="DD17" i="19"/>
  <c r="M17" i="19"/>
  <c r="RF20" i="27"/>
  <c r="RF18" i="27"/>
  <c r="J14" i="27"/>
  <c r="DE20" i="27"/>
  <c r="Q20" i="27"/>
  <c r="M14" i="27"/>
  <c r="DD14" i="27"/>
  <c r="DD12" i="27"/>
  <c r="DE10" i="27"/>
  <c r="Q10" i="27"/>
  <c r="M10" i="27"/>
  <c r="K18" i="27"/>
  <c r="J18" i="27" s="1"/>
  <c r="M12" i="27"/>
  <c r="RC17" i="26"/>
  <c r="RF17" i="26"/>
  <c r="K18" i="26"/>
  <c r="J18" i="26" s="1"/>
  <c r="RC11" i="26"/>
  <c r="DE11" i="26"/>
  <c r="RF15" i="26"/>
  <c r="DD18" i="26"/>
  <c r="DD15" i="26"/>
  <c r="M11" i="26"/>
  <c r="M18" i="26"/>
  <c r="M15" i="26"/>
  <c r="J16" i="22"/>
  <c r="A16" i="22" s="1" a="1"/>
  <c r="A16" i="22" s="1"/>
  <c r="DB16" i="22"/>
  <c r="TR31" i="22"/>
  <c r="TV31" i="22" s="1"/>
  <c r="DC16" i="22"/>
  <c r="J21" i="22"/>
  <c r="A21" i="22" s="1" a="1"/>
  <c r="A21" i="22" s="1"/>
  <c r="DB11" i="22"/>
  <c r="DC28" i="22"/>
  <c r="J17" i="22"/>
  <c r="B17" i="22" s="1" a="1"/>
  <c r="B17" i="22" s="1"/>
  <c r="DB28" i="22"/>
  <c r="O28" i="22"/>
  <c r="M31" i="22"/>
  <c r="M21" i="22"/>
  <c r="DB17" i="22"/>
  <c r="O17" i="22"/>
  <c r="J25" i="22"/>
  <c r="DB21" i="22"/>
  <c r="O21" i="22"/>
  <c r="J11" i="22"/>
  <c r="DC17" i="22"/>
  <c r="DC11" i="22"/>
  <c r="M17" i="22"/>
  <c r="J28" i="22"/>
  <c r="O31" i="22"/>
  <c r="DB31" i="22"/>
  <c r="DC21" i="22"/>
  <c r="DC25" i="22"/>
  <c r="M28" i="22"/>
  <c r="J31" i="22"/>
  <c r="DC31" i="22"/>
  <c r="J25" i="4"/>
  <c r="B25" i="4" s="1" a="1"/>
  <c r="B25" i="4" s="1"/>
  <c r="J19" i="4"/>
  <c r="A19" i="4" s="1" a="1"/>
  <c r="A19" i="4" s="1"/>
  <c r="DC14" i="4"/>
  <c r="J10" i="4"/>
  <c r="J14" i="4"/>
  <c r="A14" i="4" s="1" a="1"/>
  <c r="A14" i="4" s="1"/>
  <c r="DC25" i="4"/>
  <c r="DC24" i="4"/>
  <c r="DC34" i="4"/>
  <c r="DB38" i="4"/>
  <c r="O38" i="4"/>
  <c r="O25" i="4"/>
  <c r="DB25" i="4"/>
  <c r="M25" i="4"/>
  <c r="M27" i="4"/>
  <c r="O19" i="4"/>
  <c r="DB19" i="4"/>
  <c r="DC27" i="4"/>
  <c r="DC10" i="4"/>
  <c r="M19" i="4"/>
  <c r="DC38" i="4"/>
  <c r="J24" i="4"/>
  <c r="J38" i="4"/>
  <c r="O27" i="4"/>
  <c r="DB27" i="4"/>
  <c r="M34" i="4"/>
  <c r="DC19" i="4"/>
  <c r="O34" i="4"/>
  <c r="DB34" i="4"/>
  <c r="DB24" i="4"/>
  <c r="O24" i="4"/>
  <c r="J34" i="4"/>
  <c r="RD14" i="26"/>
  <c r="DC4" i="21"/>
  <c r="PZ18" i="19"/>
  <c r="QY14" i="26"/>
  <c r="CW8" i="22"/>
  <c r="DA8" i="22" s="1"/>
  <c r="PZ4" i="21"/>
  <c r="QC4" i="21"/>
  <c r="PZ19" i="19"/>
  <c r="QC19" i="19"/>
  <c r="RD6" i="27"/>
  <c r="QY6" i="27"/>
  <c r="PZ6" i="27"/>
  <c r="QC6" i="27"/>
  <c r="QC14" i="26"/>
  <c r="SN5" i="22"/>
  <c r="SU5" i="22" s="1"/>
  <c r="CW20" i="4"/>
  <c r="DA20" i="4" s="1"/>
  <c r="P18" i="19"/>
  <c r="Q18" i="19" s="1"/>
  <c r="QY19" i="19"/>
  <c r="P19" i="19"/>
  <c r="Q19" i="19" s="1"/>
  <c r="P6" i="27"/>
  <c r="Q6" i="27" s="1"/>
  <c r="CZ14" i="26"/>
  <c r="P14" i="26"/>
  <c r="Q14" i="26" s="1"/>
  <c r="P5" i="22"/>
  <c r="CW5" i="22"/>
  <c r="DA5" i="22" s="1"/>
  <c r="TN8" i="22"/>
  <c r="P21" i="4"/>
  <c r="CW21" i="4"/>
  <c r="DA21" i="4" s="1"/>
  <c r="CW6" i="4"/>
  <c r="DA6" i="4" s="1"/>
  <c r="TQ20" i="4"/>
  <c r="TN21" i="4"/>
  <c r="CZ4" i="21"/>
  <c r="RD4" i="21"/>
  <c r="RB4" i="21"/>
  <c r="P4" i="21"/>
  <c r="Q4" i="21" s="1"/>
  <c r="QY4" i="21"/>
  <c r="RE4" i="21"/>
  <c r="QZ4" i="21"/>
  <c r="RA4" i="21"/>
  <c r="H4" i="21"/>
  <c r="N4" i="21"/>
  <c r="I4" i="21"/>
  <c r="L4" i="21"/>
  <c r="CZ19" i="19"/>
  <c r="QZ19" i="19"/>
  <c r="RB19" i="19"/>
  <c r="RD19" i="19"/>
  <c r="RA19" i="19"/>
  <c r="RE19" i="19"/>
  <c r="H19" i="19"/>
  <c r="I19" i="19"/>
  <c r="DC19" i="19"/>
  <c r="N19" i="19"/>
  <c r="L19" i="19"/>
  <c r="PZ38" i="19"/>
  <c r="P38" i="19"/>
  <c r="Q38" i="19" s="1"/>
  <c r="CZ18" i="19"/>
  <c r="QC38" i="19"/>
  <c r="QC18" i="19"/>
  <c r="RA18" i="19"/>
  <c r="QZ18" i="19"/>
  <c r="RD18" i="19"/>
  <c r="QY18" i="19"/>
  <c r="RE18" i="19"/>
  <c r="H18" i="19"/>
  <c r="RB18" i="19"/>
  <c r="I18" i="19"/>
  <c r="DC18" i="19"/>
  <c r="N18" i="19"/>
  <c r="L18" i="19"/>
  <c r="PZ7" i="19"/>
  <c r="PZ9" i="19"/>
  <c r="PZ21" i="19"/>
  <c r="RD38" i="19"/>
  <c r="QY38" i="19"/>
  <c r="CZ38" i="19"/>
  <c r="RA38" i="19"/>
  <c r="RE38" i="19"/>
  <c r="RB38" i="19"/>
  <c r="QZ38" i="19"/>
  <c r="I38" i="19"/>
  <c r="H38" i="19"/>
  <c r="DC38" i="19"/>
  <c r="N38" i="19"/>
  <c r="L38" i="19"/>
  <c r="P7" i="19"/>
  <c r="Q7" i="19" s="1"/>
  <c r="RB21" i="19"/>
  <c r="RD7" i="19"/>
  <c r="QY7" i="19"/>
  <c r="QC21" i="19"/>
  <c r="CZ21" i="19"/>
  <c r="P21" i="19"/>
  <c r="Q21" i="19" s="1"/>
  <c r="RA21" i="19"/>
  <c r="DC21" i="19"/>
  <c r="RE21" i="19"/>
  <c r="RD21" i="19"/>
  <c r="QY21" i="19"/>
  <c r="QZ21" i="19"/>
  <c r="H21" i="19"/>
  <c r="I21" i="19"/>
  <c r="N21" i="19"/>
  <c r="L21" i="19"/>
  <c r="QC7" i="19"/>
  <c r="RD9" i="19"/>
  <c r="QY9" i="19"/>
  <c r="P9" i="19"/>
  <c r="Q9" i="19" s="1"/>
  <c r="CZ7" i="19"/>
  <c r="RB7" i="19"/>
  <c r="RA7" i="19"/>
  <c r="RE7" i="19"/>
  <c r="QZ7" i="19"/>
  <c r="I7" i="19"/>
  <c r="DC7" i="19"/>
  <c r="N7" i="19"/>
  <c r="H7" i="19"/>
  <c r="L7" i="19"/>
  <c r="RB9" i="19"/>
  <c r="QC9" i="19"/>
  <c r="CZ9" i="19"/>
  <c r="RE9" i="19"/>
  <c r="QZ9" i="19"/>
  <c r="RA9" i="19"/>
  <c r="I9" i="19"/>
  <c r="H9" i="19"/>
  <c r="DC9" i="19"/>
  <c r="N9" i="19"/>
  <c r="L9" i="19"/>
  <c r="CZ6" i="27"/>
  <c r="RE6" i="27"/>
  <c r="QZ6" i="27"/>
  <c r="RA6" i="27"/>
  <c r="RB6" i="27"/>
  <c r="H6" i="27"/>
  <c r="I6" i="27"/>
  <c r="DC6" i="27"/>
  <c r="N6" i="27"/>
  <c r="L6" i="27"/>
  <c r="PZ14" i="26"/>
  <c r="RB14" i="26"/>
  <c r="RA14" i="26"/>
  <c r="RE14" i="26"/>
  <c r="QZ14" i="26"/>
  <c r="I14" i="26"/>
  <c r="H14" i="26"/>
  <c r="DC14" i="26"/>
  <c r="N14" i="26"/>
  <c r="L14" i="26"/>
  <c r="SN8" i="22"/>
  <c r="SU8" i="22" s="1"/>
  <c r="TU8" i="22"/>
  <c r="TQ8" i="22"/>
  <c r="I8" i="22"/>
  <c r="K8" i="22"/>
  <c r="P8" i="22"/>
  <c r="L8" i="22"/>
  <c r="M8" i="22" s="1"/>
  <c r="R8" i="22"/>
  <c r="S8" i="22" s="1"/>
  <c r="H8" i="22"/>
  <c r="N8" i="22"/>
  <c r="T8" i="22"/>
  <c r="U8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1" i="4"/>
  <c r="SU21" i="4" s="1"/>
  <c r="L21" i="4"/>
  <c r="M21" i="4" s="1"/>
  <c r="TU21" i="4"/>
  <c r="TQ21" i="4"/>
  <c r="R21" i="4"/>
  <c r="S21" i="4" s="1"/>
  <c r="I21" i="4"/>
  <c r="K21" i="4"/>
  <c r="H21" i="4"/>
  <c r="N21" i="4"/>
  <c r="T21" i="4"/>
  <c r="U21" i="4" s="1"/>
  <c r="P6" i="4"/>
  <c r="TN6" i="4"/>
  <c r="SN20" i="4"/>
  <c r="SU20" i="4" s="1"/>
  <c r="TN20" i="4"/>
  <c r="TU20" i="4"/>
  <c r="R20" i="4"/>
  <c r="S20" i="4" s="1"/>
  <c r="L20" i="4"/>
  <c r="M20" i="4" s="1"/>
  <c r="K20" i="4"/>
  <c r="I20" i="4"/>
  <c r="P20" i="4"/>
  <c r="Q20" i="4" s="1"/>
  <c r="H20" i="4"/>
  <c r="N20" i="4"/>
  <c r="T20" i="4"/>
  <c r="U20" i="4" s="1"/>
  <c r="TU6" i="4"/>
  <c r="SN6" i="4"/>
  <c r="SU6" i="4" s="1"/>
  <c r="R6" i="4"/>
  <c r="S6" i="4" s="1"/>
  <c r="TQ6" i="4"/>
  <c r="L6" i="4"/>
  <c r="M6" i="4" s="1"/>
  <c r="I6" i="4"/>
  <c r="K6" i="4"/>
  <c r="H6" i="4"/>
  <c r="N6" i="4"/>
  <c r="T6" i="4"/>
  <c r="U6" i="4" s="1"/>
  <c r="F26" i="22" l="1"/>
  <c r="F8" i="27"/>
  <c r="F36" i="4"/>
  <c r="F25" i="21"/>
  <c r="F40" i="19"/>
  <c r="X22" i="4"/>
  <c r="W22" i="4"/>
  <c r="X36" i="4"/>
  <c r="F20" i="22"/>
  <c r="W20" i="22"/>
  <c r="X33" i="4"/>
  <c r="W33" i="4"/>
  <c r="DC8" i="22"/>
  <c r="Q8" i="22"/>
  <c r="DC5" i="22"/>
  <c r="Q5" i="22"/>
  <c r="DC6" i="4"/>
  <c r="Q6" i="4"/>
  <c r="DC21" i="4"/>
  <c r="Q21" i="4"/>
  <c r="O14" i="26"/>
  <c r="F31" i="21"/>
  <c r="O4" i="21"/>
  <c r="R10" i="27"/>
  <c r="F10" i="27" s="1"/>
  <c r="O7" i="19"/>
  <c r="O38" i="19"/>
  <c r="O18" i="19"/>
  <c r="O19" i="19"/>
  <c r="O21" i="19"/>
  <c r="O9" i="19"/>
  <c r="O6" i="27"/>
  <c r="F21" i="26"/>
  <c r="R11" i="26"/>
  <c r="V25" i="22"/>
  <c r="W25" i="22" s="1"/>
  <c r="F37" i="19"/>
  <c r="F31" i="19"/>
  <c r="F39" i="19"/>
  <c r="R12" i="27"/>
  <c r="F12" i="27" s="1"/>
  <c r="R18" i="27"/>
  <c r="F18" i="27" s="1"/>
  <c r="X32" i="4"/>
  <c r="W32" i="4"/>
  <c r="W29" i="4"/>
  <c r="X29" i="4"/>
  <c r="F29" i="4"/>
  <c r="W9" i="4"/>
  <c r="X9" i="4"/>
  <c r="R29" i="21"/>
  <c r="F29" i="21" s="1"/>
  <c r="R15" i="26"/>
  <c r="F15" i="26" s="1"/>
  <c r="R28" i="21"/>
  <c r="F28" i="21" s="1"/>
  <c r="R13" i="21"/>
  <c r="F13" i="21" s="1"/>
  <c r="R14" i="21"/>
  <c r="R26" i="21"/>
  <c r="R32" i="21"/>
  <c r="F32" i="21" s="1"/>
  <c r="R34" i="21"/>
  <c r="F34" i="21" s="1"/>
  <c r="V14" i="4"/>
  <c r="X14" i="4" s="1"/>
  <c r="B34" i="21" a="1"/>
  <c r="B34" i="21" s="1"/>
  <c r="A34" i="21" a="1"/>
  <c r="A34" i="21" s="1"/>
  <c r="R18" i="26"/>
  <c r="R14" i="27"/>
  <c r="F14" i="27" s="1"/>
  <c r="A29" i="21" a="1"/>
  <c r="A29" i="21" s="1"/>
  <c r="R17" i="19"/>
  <c r="F17" i="19" s="1"/>
  <c r="R20" i="27"/>
  <c r="B27" i="4" a="1"/>
  <c r="B27" i="4" s="1"/>
  <c r="B13" i="21" a="1"/>
  <c r="B13" i="21" s="1"/>
  <c r="R23" i="21"/>
  <c r="A28" i="21" a="1"/>
  <c r="A28" i="21" s="1"/>
  <c r="A36" i="19" a="1"/>
  <c r="A36" i="19" s="1"/>
  <c r="R32" i="19"/>
  <c r="R36" i="19"/>
  <c r="B20" i="27" a="1"/>
  <c r="B20" i="27" s="1"/>
  <c r="V10" i="4"/>
  <c r="F10" i="4" s="1"/>
  <c r="V11" i="22"/>
  <c r="F11" i="22" s="1"/>
  <c r="B32" i="21" a="1"/>
  <c r="B32" i="21" s="1"/>
  <c r="B23" i="21" a="1"/>
  <c r="B23" i="21" s="1"/>
  <c r="A26" i="21" a="1"/>
  <c r="A26" i="21" s="1"/>
  <c r="A14" i="21" a="1"/>
  <c r="A14" i="21" s="1"/>
  <c r="B14" i="21" a="1"/>
  <c r="B14" i="21" s="1"/>
  <c r="B32" i="19" a="1"/>
  <c r="B32" i="19" s="1"/>
  <c r="A32" i="19" a="1"/>
  <c r="A32" i="19" s="1"/>
  <c r="A18" i="27" a="1"/>
  <c r="A18" i="27" s="1"/>
  <c r="B18" i="27" a="1"/>
  <c r="B18" i="27" s="1"/>
  <c r="F17" i="26"/>
  <c r="A15" i="26" a="1"/>
  <c r="A15" i="26" s="1"/>
  <c r="B18" i="26" a="1"/>
  <c r="B18" i="26" s="1"/>
  <c r="A18" i="26" a="1"/>
  <c r="A18" i="26" s="1"/>
  <c r="A17" i="26" a="1"/>
  <c r="A17" i="26" s="1"/>
  <c r="B17" i="26" a="1"/>
  <c r="B17" i="26" s="1"/>
  <c r="B16" i="22" a="1"/>
  <c r="B16" i="22" s="1"/>
  <c r="V16" i="22"/>
  <c r="F16" i="22" s="1"/>
  <c r="A17" i="22" a="1"/>
  <c r="A17" i="22" s="1"/>
  <c r="B21" i="22" a="1"/>
  <c r="B21" i="22" s="1"/>
  <c r="V28" i="22"/>
  <c r="F28" i="22" s="1"/>
  <c r="V21" i="22"/>
  <c r="W21" i="22" s="1"/>
  <c r="V31" i="22"/>
  <c r="F31" i="22" s="1"/>
  <c r="B31" i="22" a="1"/>
  <c r="B31" i="22" s="1"/>
  <c r="A31" i="22" a="1"/>
  <c r="A31" i="22" s="1"/>
  <c r="A25" i="22" a="1"/>
  <c r="A25" i="22" s="1"/>
  <c r="B25" i="22" a="1"/>
  <c r="B25" i="22" s="1"/>
  <c r="B28" i="22" a="1"/>
  <c r="B28" i="22" s="1"/>
  <c r="A28" i="22" a="1"/>
  <c r="A28" i="22" s="1"/>
  <c r="V17" i="22"/>
  <c r="A25" i="4" a="1"/>
  <c r="A25" i="4" s="1"/>
  <c r="B19" i="4" a="1"/>
  <c r="B19" i="4" s="1"/>
  <c r="V34" i="4"/>
  <c r="F34" i="4" s="1"/>
  <c r="V25" i="4"/>
  <c r="W25" i="4" s="1"/>
  <c r="V19" i="4"/>
  <c r="F19" i="4" s="1"/>
  <c r="B14" i="4" a="1"/>
  <c r="B14" i="4" s="1"/>
  <c r="V27" i="4"/>
  <c r="W27" i="4" s="1"/>
  <c r="V38" i="4"/>
  <c r="B34" i="4" a="1"/>
  <c r="B34" i="4" s="1"/>
  <c r="A34" i="4" a="1"/>
  <c r="A34" i="4" s="1"/>
  <c r="A38" i="4" a="1"/>
  <c r="A38" i="4" s="1"/>
  <c r="B38" i="4" a="1"/>
  <c r="B38" i="4" s="1"/>
  <c r="V24" i="4"/>
  <c r="A24" i="4" a="1"/>
  <c r="A24" i="4" s="1"/>
  <c r="B24" i="4" a="1"/>
  <c r="B24" i="4" s="1"/>
  <c r="DE18" i="19"/>
  <c r="DE6" i="27"/>
  <c r="DB5" i="22"/>
  <c r="K14" i="26"/>
  <c r="J14" i="26" s="1"/>
  <c r="B14" i="26" s="1" a="1"/>
  <c r="B14" i="26" s="1"/>
  <c r="K4" i="21"/>
  <c r="J4" i="21" s="1"/>
  <c r="RF4" i="21"/>
  <c r="K19" i="19"/>
  <c r="J19" i="19" s="1"/>
  <c r="K18" i="19"/>
  <c r="J18" i="19" s="1"/>
  <c r="K6" i="27"/>
  <c r="J6" i="27" s="1"/>
  <c r="DE14" i="26"/>
  <c r="TR8" i="22"/>
  <c r="TV8" i="22" s="1"/>
  <c r="O5" i="22"/>
  <c r="DE4" i="21"/>
  <c r="DE19" i="19"/>
  <c r="RF19" i="19"/>
  <c r="RC19" i="19"/>
  <c r="DE21" i="19"/>
  <c r="RC6" i="27"/>
  <c r="RF6" i="27"/>
  <c r="RC14" i="26"/>
  <c r="RF14" i="26"/>
  <c r="TR20" i="4"/>
  <c r="TV20" i="4" s="1"/>
  <c r="TR21" i="4"/>
  <c r="TV21" i="4" s="1"/>
  <c r="TR6" i="4"/>
  <c r="TV6" i="4" s="1"/>
  <c r="RC4" i="21"/>
  <c r="DD4" i="21"/>
  <c r="M4" i="21"/>
  <c r="M19" i="19"/>
  <c r="DD19" i="19"/>
  <c r="DE9" i="19"/>
  <c r="K38" i="19"/>
  <c r="J38" i="19" s="1"/>
  <c r="DE38" i="19"/>
  <c r="RF18" i="19"/>
  <c r="RC18" i="19"/>
  <c r="DD18" i="19"/>
  <c r="M18" i="19"/>
  <c r="K7" i="19"/>
  <c r="J7" i="19" s="1"/>
  <c r="RF21" i="19"/>
  <c r="K21" i="19"/>
  <c r="J21" i="19" s="1"/>
  <c r="DE7" i="19"/>
  <c r="RF38" i="19"/>
  <c r="RC38" i="19"/>
  <c r="M38" i="19"/>
  <c r="DD38" i="19"/>
  <c r="RC21" i="19"/>
  <c r="DD21" i="19"/>
  <c r="M21" i="19"/>
  <c r="RF9" i="19"/>
  <c r="K9" i="19"/>
  <c r="J9" i="19" s="1"/>
  <c r="RC7" i="19"/>
  <c r="RF7" i="19"/>
  <c r="M7" i="19"/>
  <c r="DD7" i="19"/>
  <c r="RC9" i="19"/>
  <c r="M9" i="19"/>
  <c r="DD9" i="19"/>
  <c r="M6" i="27"/>
  <c r="DD6" i="27"/>
  <c r="M14" i="26"/>
  <c r="DD14" i="26"/>
  <c r="J8" i="22"/>
  <c r="DB8" i="22"/>
  <c r="V8" i="22" s="1"/>
  <c r="X8" i="22" s="1"/>
  <c r="O8" i="22"/>
  <c r="J5" i="22"/>
  <c r="TR5" i="22"/>
  <c r="TV5" i="22" s="1"/>
  <c r="J21" i="4"/>
  <c r="A21" i="4" s="1" a="1"/>
  <c r="A21" i="4" s="1"/>
  <c r="DB21" i="4"/>
  <c r="O21" i="4"/>
  <c r="DC20" i="4"/>
  <c r="J20" i="4"/>
  <c r="O20" i="4"/>
  <c r="DB20" i="4"/>
  <c r="J6" i="4"/>
  <c r="O6" i="4"/>
  <c r="DB6" i="4"/>
  <c r="V21" i="4" l="1"/>
  <c r="F21" i="4" s="1"/>
  <c r="V5" i="22"/>
  <c r="X5" i="22" s="1"/>
  <c r="V6" i="4"/>
  <c r="X6" i="4" s="1"/>
  <c r="F11" i="26"/>
  <c r="X25" i="22"/>
  <c r="F25" i="22"/>
  <c r="F14" i="21"/>
  <c r="F26" i="21"/>
  <c r="W14" i="4"/>
  <c r="F14" i="4"/>
  <c r="F18" i="26"/>
  <c r="F32" i="19"/>
  <c r="F36" i="19"/>
  <c r="F20" i="27"/>
  <c r="F23" i="21"/>
  <c r="X34" i="4"/>
  <c r="W34" i="4"/>
  <c r="W10" i="4"/>
  <c r="X10" i="4"/>
  <c r="W11" i="22"/>
  <c r="X11" i="22"/>
  <c r="W28" i="22"/>
  <c r="X16" i="22"/>
  <c r="W16" i="22"/>
  <c r="R18" i="19"/>
  <c r="F18" i="19" s="1"/>
  <c r="X28" i="22"/>
  <c r="X21" i="22"/>
  <c r="F21" i="22"/>
  <c r="W31" i="22"/>
  <c r="X31" i="22"/>
  <c r="X17" i="22"/>
  <c r="W17" i="22"/>
  <c r="F17" i="22"/>
  <c r="F27" i="4"/>
  <c r="X27" i="4"/>
  <c r="X25" i="4"/>
  <c r="F25" i="4"/>
  <c r="W19" i="4"/>
  <c r="X19" i="4"/>
  <c r="W24" i="4"/>
  <c r="X24" i="4"/>
  <c r="F24" i="4"/>
  <c r="W38" i="4"/>
  <c r="X38" i="4"/>
  <c r="F38" i="4"/>
  <c r="R6" i="27"/>
  <c r="R14" i="26"/>
  <c r="F14" i="26" s="1"/>
  <c r="R19" i="19"/>
  <c r="R38" i="19"/>
  <c r="F38" i="19" s="1"/>
  <c r="V20" i="4"/>
  <c r="W20" i="4" s="1"/>
  <c r="R4" i="21"/>
  <c r="R7" i="19"/>
  <c r="R21" i="19"/>
  <c r="R9" i="19"/>
  <c r="F9" i="19" s="1"/>
  <c r="A14" i="26" a="1"/>
  <c r="A14" i="26" s="1"/>
  <c r="F8" i="22"/>
  <c r="W8" i="22"/>
  <c r="B21" i="4" a="1"/>
  <c r="B21" i="4" s="1"/>
  <c r="W21" i="4"/>
  <c r="X21" i="4"/>
  <c r="A20" i="4" a="1"/>
  <c r="A20" i="4" s="1"/>
  <c r="B20" i="4" a="1"/>
  <c r="B20" i="4" s="1"/>
  <c r="W5" i="22" l="1"/>
  <c r="F5" i="22"/>
  <c r="W6" i="4"/>
  <c r="F6" i="4"/>
  <c r="F6" i="27"/>
  <c r="X20" i="4"/>
  <c r="F19" i="19"/>
  <c r="F20" i="4"/>
  <c r="F7" i="19"/>
  <c r="F4" i="21"/>
  <c r="F21" i="19"/>
  <c r="CV15" i="19" l="1"/>
  <c r="CW15" i="19"/>
  <c r="CX15" i="19"/>
  <c r="CY15" i="19"/>
  <c r="DA15" i="19"/>
  <c r="DB15" i="19"/>
  <c r="PV15" i="19"/>
  <c r="PW15" i="19"/>
  <c r="PX15" i="19"/>
  <c r="PY15" i="19"/>
  <c r="QA15" i="19"/>
  <c r="QB15" i="19"/>
  <c r="QD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CV12" i="26"/>
  <c r="CW12" i="26"/>
  <c r="CX12" i="26"/>
  <c r="CY12" i="26"/>
  <c r="DA12" i="26"/>
  <c r="DB12" i="26"/>
  <c r="PV12" i="26"/>
  <c r="PW12" i="26"/>
  <c r="PX12" i="26"/>
  <c r="PY12" i="26"/>
  <c r="QA12" i="26"/>
  <c r="QB12" i="26"/>
  <c r="QD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C15" i="19" l="1"/>
  <c r="QC12" i="26"/>
  <c r="DC12" i="26"/>
  <c r="DC15" i="19"/>
  <c r="P12" i="26"/>
  <c r="Q12" i="26" s="1"/>
  <c r="RD15" i="19"/>
  <c r="QY15" i="19"/>
  <c r="P15" i="19"/>
  <c r="DE15" i="19" s="1"/>
  <c r="PZ15" i="19"/>
  <c r="RE15" i="19"/>
  <c r="CZ15" i="19"/>
  <c r="N15" i="19"/>
  <c r="O15" i="19" s="1"/>
  <c r="H15" i="19"/>
  <c r="RA15" i="19"/>
  <c r="QZ15" i="19"/>
  <c r="L15" i="19"/>
  <c r="M15" i="19" s="1"/>
  <c r="RB15" i="19"/>
  <c r="I15" i="19"/>
  <c r="QY12" i="26"/>
  <c r="PZ12" i="26"/>
  <c r="RE12" i="26"/>
  <c r="RD12" i="26"/>
  <c r="CZ12" i="26"/>
  <c r="RA12" i="26"/>
  <c r="N12" i="26"/>
  <c r="QZ12" i="26"/>
  <c r="H12" i="26"/>
  <c r="L12" i="26"/>
  <c r="M12" i="26" s="1"/>
  <c r="RB12" i="26"/>
  <c r="I12" i="26"/>
  <c r="O12" i="26" l="1"/>
  <c r="RF15" i="19"/>
  <c r="RF12" i="26"/>
  <c r="DE12" i="26"/>
  <c r="K15" i="19"/>
  <c r="J15" i="19" s="1"/>
  <c r="DD15" i="19"/>
  <c r="Q15" i="19"/>
  <c r="K12" i="26"/>
  <c r="J12" i="26" s="1"/>
  <c r="DD12" i="26"/>
  <c r="RC15" i="19"/>
  <c r="RC12" i="26"/>
  <c r="R12" i="26" l="1"/>
  <c r="F12" i="26" s="1"/>
  <c r="R15" i="19"/>
  <c r="F15" i="19" s="1"/>
  <c r="CQ35" i="4" l="1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I35" i="22"/>
  <c r="TT35" i="22" s="1"/>
  <c r="TJ35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I24" i="22"/>
  <c r="TT24" i="22" s="1"/>
  <c r="TJ24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I27" i="22"/>
  <c r="TT27" i="22" s="1"/>
  <c r="TJ27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I23" i="4"/>
  <c r="TT23" i="4" s="1"/>
  <c r="TJ23" i="4"/>
  <c r="CV13" i="27"/>
  <c r="CW13" i="27"/>
  <c r="CX13" i="27"/>
  <c r="CY13" i="27"/>
  <c r="DA13" i="27"/>
  <c r="DB13" i="27"/>
  <c r="PV13" i="27"/>
  <c r="PW13" i="27"/>
  <c r="PX13" i="27"/>
  <c r="PY13" i="27"/>
  <c r="QA13" i="27"/>
  <c r="QB13" i="27"/>
  <c r="QD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CV5" i="26"/>
  <c r="CW5" i="26"/>
  <c r="CX5" i="26"/>
  <c r="CY5" i="26"/>
  <c r="DA5" i="26"/>
  <c r="DB5" i="26"/>
  <c r="PV5" i="26"/>
  <c r="PW5" i="26"/>
  <c r="PX5" i="26"/>
  <c r="PY5" i="26"/>
  <c r="QA5" i="26"/>
  <c r="QB5" i="26"/>
  <c r="QD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DC5" i="26" l="1"/>
  <c r="QC13" i="27"/>
  <c r="QC5" i="26"/>
  <c r="SN31" i="4"/>
  <c r="SU31" i="4" s="1"/>
  <c r="CW35" i="4"/>
  <c r="DA35" i="4" s="1"/>
  <c r="DC13" i="27"/>
  <c r="L35" i="4"/>
  <c r="M35" i="4" s="1"/>
  <c r="CW31" i="4"/>
  <c r="DA31" i="4" s="1"/>
  <c r="SN35" i="4"/>
  <c r="SU35" i="4" s="1"/>
  <c r="TQ35" i="4"/>
  <c r="TN35" i="4"/>
  <c r="N35" i="4"/>
  <c r="O35" i="4" s="1"/>
  <c r="R35" i="4"/>
  <c r="S35" i="4" s="1"/>
  <c r="H35" i="4"/>
  <c r="P35" i="4"/>
  <c r="T35" i="4"/>
  <c r="U35" i="4" s="1"/>
  <c r="TU35" i="4"/>
  <c r="K35" i="4"/>
  <c r="I35" i="4"/>
  <c r="TQ31" i="4"/>
  <c r="TU31" i="4"/>
  <c r="TN31" i="4"/>
  <c r="N31" i="4"/>
  <c r="O31" i="4" s="1"/>
  <c r="L31" i="4"/>
  <c r="M31" i="4" s="1"/>
  <c r="T31" i="4"/>
  <c r="U31" i="4" s="1"/>
  <c r="H31" i="4"/>
  <c r="K31" i="4"/>
  <c r="R31" i="4"/>
  <c r="S31" i="4" s="1"/>
  <c r="I31" i="4"/>
  <c r="P31" i="4"/>
  <c r="Q31" i="4" s="1"/>
  <c r="I13" i="27"/>
  <c r="H13" i="27"/>
  <c r="I5" i="26"/>
  <c r="H5" i="26"/>
  <c r="H23" i="22"/>
  <c r="I12" i="22"/>
  <c r="H13" i="22"/>
  <c r="I33" i="22"/>
  <c r="H35" i="22"/>
  <c r="H12" i="22"/>
  <c r="H33" i="22"/>
  <c r="I27" i="22"/>
  <c r="H27" i="22"/>
  <c r="I24" i="22"/>
  <c r="I23" i="22"/>
  <c r="I13" i="22"/>
  <c r="H24" i="22"/>
  <c r="I35" i="22"/>
  <c r="I23" i="4"/>
  <c r="I17" i="4"/>
  <c r="H23" i="4"/>
  <c r="H17" i="4"/>
  <c r="PZ5" i="26"/>
  <c r="PZ13" i="27"/>
  <c r="P13" i="27"/>
  <c r="DE13" i="27" s="1"/>
  <c r="RD13" i="27"/>
  <c r="QY13" i="27"/>
  <c r="QY5" i="26"/>
  <c r="SN33" i="22"/>
  <c r="SU33" i="22" s="1"/>
  <c r="CW27" i="22"/>
  <c r="DA27" i="22" s="1"/>
  <c r="SN13" i="22"/>
  <c r="SU13" i="22" s="1"/>
  <c r="CW23" i="22"/>
  <c r="DA23" i="22" s="1"/>
  <c r="CW13" i="22"/>
  <c r="DA13" i="22" s="1"/>
  <c r="CW24" i="22"/>
  <c r="DA24" i="22" s="1"/>
  <c r="SN35" i="22"/>
  <c r="SU35" i="22" s="1"/>
  <c r="SN17" i="4"/>
  <c r="SU17" i="4" s="1"/>
  <c r="CW12" i="22"/>
  <c r="DA12" i="22" s="1"/>
  <c r="CW33" i="22"/>
  <c r="DA33" i="22" s="1"/>
  <c r="CW35" i="22"/>
  <c r="DA35" i="22" s="1"/>
  <c r="SN24" i="22"/>
  <c r="SU24" i="22" s="1"/>
  <c r="TU35" i="22"/>
  <c r="TN35" i="22"/>
  <c r="TS35" i="22"/>
  <c r="TQ35" i="22"/>
  <c r="R35" i="22"/>
  <c r="S35" i="22" s="1"/>
  <c r="N35" i="22"/>
  <c r="O35" i="22" s="1"/>
  <c r="L35" i="22"/>
  <c r="M35" i="22" s="1"/>
  <c r="P35" i="22"/>
  <c r="Q35" i="22" s="1"/>
  <c r="T35" i="22"/>
  <c r="U35" i="22" s="1"/>
  <c r="K35" i="22"/>
  <c r="TN24" i="22"/>
  <c r="TQ24" i="22"/>
  <c r="TU24" i="22"/>
  <c r="TS24" i="22"/>
  <c r="T24" i="22"/>
  <c r="U24" i="22" s="1"/>
  <c r="N24" i="22"/>
  <c r="O24" i="22" s="1"/>
  <c r="L24" i="22"/>
  <c r="M24" i="22" s="1"/>
  <c r="R24" i="22"/>
  <c r="S24" i="22" s="1"/>
  <c r="K24" i="22"/>
  <c r="P24" i="22"/>
  <c r="Q24" i="22" s="1"/>
  <c r="SN27" i="22"/>
  <c r="SU27" i="22" s="1"/>
  <c r="TU27" i="22"/>
  <c r="TN27" i="22"/>
  <c r="TS27" i="22"/>
  <c r="TQ27" i="22"/>
  <c r="N27" i="22"/>
  <c r="O27" i="22" s="1"/>
  <c r="K27" i="22"/>
  <c r="L27" i="22"/>
  <c r="M27" i="22" s="1"/>
  <c r="R27" i="22"/>
  <c r="S27" i="22" s="1"/>
  <c r="P27" i="22"/>
  <c r="Q27" i="22" s="1"/>
  <c r="T27" i="22"/>
  <c r="U27" i="22" s="1"/>
  <c r="TU33" i="22"/>
  <c r="TQ33" i="22"/>
  <c r="TN33" i="22"/>
  <c r="N33" i="22"/>
  <c r="O33" i="22" s="1"/>
  <c r="R33" i="22"/>
  <c r="S33" i="22" s="1"/>
  <c r="L33" i="22"/>
  <c r="M33" i="22" s="1"/>
  <c r="T33" i="22"/>
  <c r="U33" i="22" s="1"/>
  <c r="K33" i="22"/>
  <c r="P33" i="22"/>
  <c r="Q33" i="22" s="1"/>
  <c r="N13" i="22"/>
  <c r="O13" i="22" s="1"/>
  <c r="TU13" i="22"/>
  <c r="TN13" i="22"/>
  <c r="T13" i="22"/>
  <c r="U13" i="22" s="1"/>
  <c r="TQ13" i="22"/>
  <c r="L13" i="22"/>
  <c r="M13" i="22" s="1"/>
  <c r="R13" i="22"/>
  <c r="S13" i="22" s="1"/>
  <c r="K13" i="22"/>
  <c r="P13" i="22"/>
  <c r="Q13" i="22" s="1"/>
  <c r="SN12" i="22"/>
  <c r="SU12" i="22" s="1"/>
  <c r="SN23" i="22"/>
  <c r="SU23" i="22" s="1"/>
  <c r="TN12" i="22"/>
  <c r="TU12" i="22"/>
  <c r="N12" i="22"/>
  <c r="O12" i="22" s="1"/>
  <c r="TQ12" i="22"/>
  <c r="L12" i="22"/>
  <c r="K12" i="22"/>
  <c r="R12" i="22"/>
  <c r="S12" i="22" s="1"/>
  <c r="T12" i="22"/>
  <c r="U12" i="22" s="1"/>
  <c r="P12" i="22"/>
  <c r="Q12" i="22" s="1"/>
  <c r="TU23" i="22"/>
  <c r="TQ23" i="22"/>
  <c r="TN23" i="22"/>
  <c r="T23" i="22"/>
  <c r="U23" i="22" s="1"/>
  <c r="N23" i="22"/>
  <c r="O23" i="22" s="1"/>
  <c r="L23" i="22"/>
  <c r="M23" i="22" s="1"/>
  <c r="K23" i="22"/>
  <c r="R23" i="22"/>
  <c r="S23" i="22" s="1"/>
  <c r="P23" i="22"/>
  <c r="Q23" i="22" s="1"/>
  <c r="CW17" i="4"/>
  <c r="DA17" i="4" s="1"/>
  <c r="CW23" i="4"/>
  <c r="DA23" i="4" s="1"/>
  <c r="SN23" i="4"/>
  <c r="SU23" i="4" s="1"/>
  <c r="TN17" i="4"/>
  <c r="TU17" i="4"/>
  <c r="TQ17" i="4"/>
  <c r="R17" i="4"/>
  <c r="S17" i="4" s="1"/>
  <c r="N17" i="4"/>
  <c r="O17" i="4" s="1"/>
  <c r="T17" i="4"/>
  <c r="U17" i="4" s="1"/>
  <c r="L17" i="4"/>
  <c r="M17" i="4" s="1"/>
  <c r="K17" i="4"/>
  <c r="P17" i="4"/>
  <c r="Q17" i="4" s="1"/>
  <c r="TQ23" i="4"/>
  <c r="TN23" i="4"/>
  <c r="TU23" i="4"/>
  <c r="TS23" i="4"/>
  <c r="T23" i="4"/>
  <c r="U23" i="4" s="1"/>
  <c r="L23" i="4"/>
  <c r="M23" i="4" s="1"/>
  <c r="R23" i="4"/>
  <c r="S23" i="4" s="1"/>
  <c r="P23" i="4"/>
  <c r="Q23" i="4" s="1"/>
  <c r="N23" i="4"/>
  <c r="K23" i="4"/>
  <c r="RE13" i="27"/>
  <c r="RA13" i="27"/>
  <c r="QZ13" i="27"/>
  <c r="RB13" i="27"/>
  <c r="N13" i="27"/>
  <c r="L13" i="27"/>
  <c r="M13" i="27" s="1"/>
  <c r="CZ13" i="27"/>
  <c r="QZ5" i="26"/>
  <c r="RA5" i="26"/>
  <c r="RD5" i="26"/>
  <c r="CZ5" i="26"/>
  <c r="P5" i="26"/>
  <c r="DE5" i="26" s="1"/>
  <c r="N5" i="26"/>
  <c r="RE5" i="26"/>
  <c r="L5" i="26"/>
  <c r="M5" i="26" s="1"/>
  <c r="RB5" i="26"/>
  <c r="CV18" i="21"/>
  <c r="CW18" i="21"/>
  <c r="CX18" i="21"/>
  <c r="CY18" i="21"/>
  <c r="DA18" i="21"/>
  <c r="DB18" i="21"/>
  <c r="PV18" i="21"/>
  <c r="PW18" i="21"/>
  <c r="PX18" i="21"/>
  <c r="PY18" i="21"/>
  <c r="QA18" i="21"/>
  <c r="QB18" i="21"/>
  <c r="QD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O13" i="27" l="1"/>
  <c r="DC35" i="4"/>
  <c r="Q35" i="4"/>
  <c r="O5" i="26"/>
  <c r="M12" i="22"/>
  <c r="RF13" i="27"/>
  <c r="QC18" i="21"/>
  <c r="RF5" i="26"/>
  <c r="DC18" i="21"/>
  <c r="TR35" i="4"/>
  <c r="TV35" i="4" s="1"/>
  <c r="TR31" i="4"/>
  <c r="TV31" i="4" s="1"/>
  <c r="J35" i="4"/>
  <c r="DB35" i="4"/>
  <c r="DB31" i="4"/>
  <c r="J31" i="4"/>
  <c r="DC31" i="4"/>
  <c r="DB12" i="22"/>
  <c r="I18" i="21"/>
  <c r="H18" i="21"/>
  <c r="RD18" i="21"/>
  <c r="J33" i="22"/>
  <c r="J13" i="22"/>
  <c r="J35" i="22"/>
  <c r="J23" i="4"/>
  <c r="TR23" i="4"/>
  <c r="TV23" i="4" s="1"/>
  <c r="Q13" i="27"/>
  <c r="DD13" i="27"/>
  <c r="RC5" i="26"/>
  <c r="DB24" i="22"/>
  <c r="TR24" i="22"/>
  <c r="TV24" i="22" s="1"/>
  <c r="TR35" i="22"/>
  <c r="TV35" i="22" s="1"/>
  <c r="DC35" i="22"/>
  <c r="DB35" i="22"/>
  <c r="DB33" i="22"/>
  <c r="TR33" i="22"/>
  <c r="TV33" i="22" s="1"/>
  <c r="DC24" i="22"/>
  <c r="TR27" i="22"/>
  <c r="TV27" i="22" s="1"/>
  <c r="J27" i="22"/>
  <c r="DC27" i="22"/>
  <c r="DB27" i="22"/>
  <c r="DC33" i="22"/>
  <c r="TR13" i="22"/>
  <c r="TV13" i="22" s="1"/>
  <c r="TR12" i="22"/>
  <c r="TV12" i="22" s="1"/>
  <c r="DC13" i="22"/>
  <c r="DB13" i="22"/>
  <c r="TR23" i="22"/>
  <c r="TV23" i="22" s="1"/>
  <c r="J12" i="22"/>
  <c r="DC12" i="22"/>
  <c r="DC23" i="22"/>
  <c r="DB23" i="22"/>
  <c r="J23" i="22"/>
  <c r="TR17" i="4"/>
  <c r="TV17" i="4" s="1"/>
  <c r="J17" i="4"/>
  <c r="DC17" i="4"/>
  <c r="DB17" i="4"/>
  <c r="DC23" i="4"/>
  <c r="O23" i="4"/>
  <c r="DB23" i="4"/>
  <c r="RC13" i="27"/>
  <c r="K13" i="27"/>
  <c r="DD5" i="26"/>
  <c r="R5" i="26" s="1"/>
  <c r="K5" i="26"/>
  <c r="Q5" i="26"/>
  <c r="PZ18" i="21"/>
  <c r="RE18" i="21"/>
  <c r="P18" i="21"/>
  <c r="Q18" i="21" s="1"/>
  <c r="RA18" i="21"/>
  <c r="QZ18" i="21"/>
  <c r="RB18" i="21"/>
  <c r="QY18" i="21"/>
  <c r="N18" i="21"/>
  <c r="L18" i="21"/>
  <c r="M18" i="21" s="1"/>
  <c r="CZ18" i="21"/>
  <c r="CV8" i="21"/>
  <c r="CW8" i="21"/>
  <c r="CX8" i="21"/>
  <c r="CY8" i="21"/>
  <c r="DA8" i="21"/>
  <c r="DB8" i="21"/>
  <c r="PV8" i="21"/>
  <c r="PW8" i="21"/>
  <c r="PX8" i="21"/>
  <c r="PY8" i="21"/>
  <c r="QA8" i="21"/>
  <c r="QB8" i="21"/>
  <c r="QD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CV19" i="21"/>
  <c r="CW19" i="21"/>
  <c r="CX19" i="21"/>
  <c r="CY19" i="21"/>
  <c r="DA19" i="21"/>
  <c r="DB19" i="21"/>
  <c r="PV19" i="21"/>
  <c r="PW19" i="21"/>
  <c r="PX19" i="21"/>
  <c r="PY19" i="21"/>
  <c r="QA19" i="21"/>
  <c r="QB19" i="21"/>
  <c r="QD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CV5" i="21"/>
  <c r="CW5" i="21"/>
  <c r="CX5" i="21"/>
  <c r="CY5" i="21"/>
  <c r="DA5" i="21"/>
  <c r="DB5" i="21"/>
  <c r="PV5" i="21"/>
  <c r="PW5" i="21"/>
  <c r="PX5" i="21"/>
  <c r="PY5" i="21"/>
  <c r="QA5" i="21"/>
  <c r="QB5" i="21"/>
  <c r="QD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CV24" i="19"/>
  <c r="CW24" i="19"/>
  <c r="CX24" i="19"/>
  <c r="CY24" i="19"/>
  <c r="DA24" i="19"/>
  <c r="DB24" i="19"/>
  <c r="PV24" i="19"/>
  <c r="PW24" i="19"/>
  <c r="PX24" i="19"/>
  <c r="PY24" i="19"/>
  <c r="QA24" i="19"/>
  <c r="QB24" i="19"/>
  <c r="QD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CV41" i="19"/>
  <c r="CW41" i="19"/>
  <c r="CX41" i="19"/>
  <c r="CY41" i="19"/>
  <c r="DA41" i="19"/>
  <c r="DB41" i="19"/>
  <c r="PV41" i="19"/>
  <c r="PW41" i="19"/>
  <c r="PX41" i="19"/>
  <c r="PY41" i="19"/>
  <c r="QA41" i="19"/>
  <c r="QB41" i="19"/>
  <c r="QD41" i="19"/>
  <c r="QE41" i="19"/>
  <c r="QF41" i="19"/>
  <c r="QG41" i="19"/>
  <c r="QH41" i="19"/>
  <c r="QI41" i="19"/>
  <c r="QJ41" i="19"/>
  <c r="QK41" i="19"/>
  <c r="QL41" i="19"/>
  <c r="QM41" i="19"/>
  <c r="QN41" i="19"/>
  <c r="QO41" i="19"/>
  <c r="QP41" i="19"/>
  <c r="QQ41" i="19"/>
  <c r="QR41" i="19"/>
  <c r="QS41" i="19"/>
  <c r="QT41" i="19"/>
  <c r="QU41" i="19"/>
  <c r="QV41" i="19"/>
  <c r="QW41" i="19"/>
  <c r="CV4" i="26"/>
  <c r="CW4" i="26"/>
  <c r="CX4" i="26"/>
  <c r="CY4" i="26"/>
  <c r="DA4" i="26"/>
  <c r="DB4" i="26"/>
  <c r="PV4" i="26"/>
  <c r="PW4" i="26"/>
  <c r="PX4" i="26"/>
  <c r="PY4" i="26"/>
  <c r="QA4" i="26"/>
  <c r="QB4" i="26"/>
  <c r="QD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V35" i="4" l="1"/>
  <c r="F35" i="4" s="1"/>
  <c r="DD18" i="21"/>
  <c r="O18" i="21"/>
  <c r="A23" i="22" a="1"/>
  <c r="A23" i="22" s="1"/>
  <c r="B23" i="22" a="1"/>
  <c r="B23" i="22" s="1"/>
  <c r="A35" i="22" a="1"/>
  <c r="A35" i="22" s="1"/>
  <c r="B35" i="22" a="1"/>
  <c r="B35" i="22" s="1"/>
  <c r="A13" i="22" a="1"/>
  <c r="A13" i="22" s="1"/>
  <c r="B13" i="22" a="1"/>
  <c r="B13" i="22" s="1"/>
  <c r="A27" i="22" a="1"/>
  <c r="A27" i="22" s="1"/>
  <c r="B27" i="22" a="1"/>
  <c r="B27" i="22" s="1"/>
  <c r="A33" i="22" a="1"/>
  <c r="A33" i="22" s="1"/>
  <c r="B33" i="22" a="1"/>
  <c r="B33" i="22" s="1"/>
  <c r="A35" i="4" a="1"/>
  <c r="A35" i="4" s="1"/>
  <c r="B35" i="4" a="1"/>
  <c r="B35" i="4" s="1"/>
  <c r="A23" i="4" a="1"/>
  <c r="A23" i="4" s="1"/>
  <c r="B23" i="4" a="1"/>
  <c r="B23" i="4" s="1"/>
  <c r="A17" i="4" a="1"/>
  <c r="A17" i="4" s="1"/>
  <c r="B17" i="4" a="1"/>
  <c r="B17" i="4" s="1"/>
  <c r="A31" i="4" a="1"/>
  <c r="A31" i="4" s="1"/>
  <c r="B31" i="4" a="1"/>
  <c r="B31" i="4" s="1"/>
  <c r="QC5" i="21"/>
  <c r="QC19" i="21"/>
  <c r="QC8" i="21"/>
  <c r="RF18" i="21"/>
  <c r="QC41" i="19"/>
  <c r="QC24" i="19"/>
  <c r="QC4" i="26"/>
  <c r="DC4" i="26"/>
  <c r="DC5" i="21"/>
  <c r="DC19" i="21"/>
  <c r="DC8" i="21"/>
  <c r="DC24" i="19"/>
  <c r="DC41" i="19"/>
  <c r="V31" i="4"/>
  <c r="W31" i="4" s="1"/>
  <c r="V12" i="22"/>
  <c r="X12" i="22" s="1"/>
  <c r="H24" i="19"/>
  <c r="H8" i="21"/>
  <c r="I5" i="21"/>
  <c r="H5" i="21"/>
  <c r="I19" i="21"/>
  <c r="H19" i="21"/>
  <c r="I8" i="21"/>
  <c r="RC18" i="21"/>
  <c r="I24" i="19"/>
  <c r="H41" i="19"/>
  <c r="I41" i="19"/>
  <c r="I4" i="26"/>
  <c r="H4" i="26"/>
  <c r="J5" i="26"/>
  <c r="B5" i="26" s="1" a="1"/>
  <c r="B5" i="26" s="1"/>
  <c r="J24" i="22"/>
  <c r="R13" i="27"/>
  <c r="F13" i="27" s="1"/>
  <c r="K18" i="21"/>
  <c r="V24" i="22"/>
  <c r="V33" i="22"/>
  <c r="V35" i="22"/>
  <c r="V27" i="22"/>
  <c r="V13" i="22"/>
  <c r="V23" i="22"/>
  <c r="X23" i="22" s="1"/>
  <c r="V17" i="4"/>
  <c r="W17" i="4" s="1"/>
  <c r="V23" i="4"/>
  <c r="W23" i="4" s="1"/>
  <c r="F5" i="26"/>
  <c r="DE18" i="21"/>
  <c r="RD24" i="19"/>
  <c r="P24" i="19"/>
  <c r="DE24" i="19" s="1"/>
  <c r="QY24" i="19"/>
  <c r="PZ24" i="19"/>
  <c r="PZ8" i="21"/>
  <c r="P8" i="21"/>
  <c r="DE8" i="21" s="1"/>
  <c r="PZ4" i="26"/>
  <c r="QZ8" i="21"/>
  <c r="RD8" i="21"/>
  <c r="QY8" i="21"/>
  <c r="RA8" i="21"/>
  <c r="CZ8" i="21"/>
  <c r="N8" i="21"/>
  <c r="RE8" i="21"/>
  <c r="L8" i="21"/>
  <c r="M8" i="21" s="1"/>
  <c r="RB8" i="21"/>
  <c r="PZ19" i="21"/>
  <c r="PZ5" i="21"/>
  <c r="P5" i="21"/>
  <c r="Q5" i="21" s="1"/>
  <c r="P19" i="21"/>
  <c r="DE19" i="21" s="1"/>
  <c r="QY5" i="21"/>
  <c r="QY19" i="21"/>
  <c r="RA19" i="21"/>
  <c r="QZ19" i="21"/>
  <c r="RD19" i="21"/>
  <c r="CZ19" i="21"/>
  <c r="N19" i="21"/>
  <c r="RE19" i="21"/>
  <c r="L19" i="21"/>
  <c r="M19" i="21" s="1"/>
  <c r="RB19" i="21"/>
  <c r="QZ5" i="21"/>
  <c r="RA5" i="21"/>
  <c r="CZ5" i="21"/>
  <c r="N5" i="21"/>
  <c r="RD5" i="21"/>
  <c r="RE5" i="21"/>
  <c r="L5" i="21"/>
  <c r="M5" i="21" s="1"/>
  <c r="RB5" i="21"/>
  <c r="RE24" i="19"/>
  <c r="RB24" i="19"/>
  <c r="RA24" i="19"/>
  <c r="N24" i="19"/>
  <c r="QZ24" i="19"/>
  <c r="L24" i="19"/>
  <c r="CZ24" i="19"/>
  <c r="PZ41" i="19"/>
  <c r="RA41" i="19"/>
  <c r="QZ41" i="19"/>
  <c r="RD41" i="19"/>
  <c r="QY41" i="19"/>
  <c r="CZ41" i="19"/>
  <c r="N41" i="19"/>
  <c r="RE41" i="19"/>
  <c r="L41" i="19"/>
  <c r="M41" i="19" s="1"/>
  <c r="P41" i="19"/>
  <c r="RB41" i="19"/>
  <c r="QY4" i="26"/>
  <c r="RD4" i="26"/>
  <c r="RE4" i="26"/>
  <c r="CZ4" i="26"/>
  <c r="RA4" i="26"/>
  <c r="P4" i="26"/>
  <c r="DE4" i="26" s="1"/>
  <c r="N4" i="26"/>
  <c r="QZ4" i="26"/>
  <c r="L4" i="26"/>
  <c r="M4" i="26" s="1"/>
  <c r="RB4" i="26"/>
  <c r="W35" i="4" l="1"/>
  <c r="X35" i="4"/>
  <c r="DD8" i="21"/>
  <c r="R8" i="21" s="1"/>
  <c r="O8" i="21"/>
  <c r="O19" i="21"/>
  <c r="O5" i="21"/>
  <c r="O41" i="19"/>
  <c r="O24" i="19"/>
  <c r="O4" i="26"/>
  <c r="F35" i="22"/>
  <c r="X35" i="22"/>
  <c r="F27" i="22"/>
  <c r="X27" i="22"/>
  <c r="W33" i="22"/>
  <c r="X33" i="22"/>
  <c r="F24" i="22"/>
  <c r="X24" i="22"/>
  <c r="F13" i="22"/>
  <c r="X13" i="22"/>
  <c r="A24" i="22" a="1"/>
  <c r="A24" i="22" s="1"/>
  <c r="B24" i="22" a="1"/>
  <c r="B24" i="22" s="1"/>
  <c r="F12" i="22"/>
  <c r="RF8" i="21"/>
  <c r="RF19" i="21"/>
  <c r="RF5" i="21"/>
  <c r="RF41" i="19"/>
  <c r="RF24" i="19"/>
  <c r="RF4" i="26"/>
  <c r="F31" i="4"/>
  <c r="X31" i="4"/>
  <c r="W12" i="22"/>
  <c r="J18" i="21"/>
  <c r="J13" i="27"/>
  <c r="F33" i="22"/>
  <c r="W24" i="22"/>
  <c r="R18" i="21"/>
  <c r="F18" i="21" s="1"/>
  <c r="W35" i="22"/>
  <c r="W27" i="22"/>
  <c r="W13" i="22"/>
  <c r="W23" i="22"/>
  <c r="F23" i="22"/>
  <c r="F17" i="4"/>
  <c r="X17" i="4"/>
  <c r="F23" i="4"/>
  <c r="X23" i="4"/>
  <c r="Q8" i="21"/>
  <c r="RC41" i="19"/>
  <c r="Q24" i="19"/>
  <c r="RC8" i="21"/>
  <c r="K19" i="21"/>
  <c r="K8" i="21"/>
  <c r="DE5" i="21"/>
  <c r="DD5" i="21"/>
  <c r="RC5" i="21"/>
  <c r="RC19" i="21"/>
  <c r="Q19" i="21"/>
  <c r="K5" i="21"/>
  <c r="DD19" i="21"/>
  <c r="DD24" i="19"/>
  <c r="R24" i="19" s="1"/>
  <c r="RC24" i="19"/>
  <c r="K24" i="19"/>
  <c r="M24" i="19"/>
  <c r="K41" i="19"/>
  <c r="DD41" i="19"/>
  <c r="Q41" i="19"/>
  <c r="DE41" i="19"/>
  <c r="K4" i="26"/>
  <c r="RC4" i="26"/>
  <c r="DD4" i="26"/>
  <c r="R4" i="26" s="1"/>
  <c r="Q4" i="26"/>
  <c r="A18" i="21" l="1" a="1"/>
  <c r="A18" i="21" s="1"/>
  <c r="B18" i="21" a="1"/>
  <c r="B18" i="21" s="1"/>
  <c r="A13" i="27" a="1"/>
  <c r="A13" i="27" s="1"/>
  <c r="B13" i="27" a="1"/>
  <c r="B13" i="27" s="1"/>
  <c r="J19" i="21"/>
  <c r="J5" i="21"/>
  <c r="J41" i="19"/>
  <c r="J4" i="26"/>
  <c r="R5" i="21"/>
  <c r="R19" i="21"/>
  <c r="F19" i="21" s="1"/>
  <c r="F8" i="21"/>
  <c r="F24" i="19"/>
  <c r="R41" i="19"/>
  <c r="F4" i="26"/>
  <c r="B4" i="26" l="1" a="1"/>
  <c r="B4" i="26" s="1"/>
  <c r="A19" i="21" a="1"/>
  <c r="A19" i="21" s="1"/>
  <c r="B19" i="21" a="1"/>
  <c r="B19" i="21" s="1"/>
  <c r="J8" i="21"/>
  <c r="J24" i="19"/>
  <c r="F5" i="21"/>
  <c r="F41" i="19"/>
  <c r="CQ9" i="22" l="1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I7" i="22" l="1"/>
  <c r="H7" i="22"/>
  <c r="I9" i="22"/>
  <c r="H9" i="22"/>
  <c r="I4" i="4"/>
  <c r="H4" i="4"/>
  <c r="P7" i="22"/>
  <c r="Q7" i="22" s="1"/>
  <c r="P9" i="22"/>
  <c r="Q9" i="22" s="1"/>
  <c r="CW4" i="4"/>
  <c r="DA4" i="4" s="1"/>
  <c r="SN9" i="22"/>
  <c r="SU9" i="22" s="1"/>
  <c r="CW9" i="22"/>
  <c r="DA9" i="22" s="1"/>
  <c r="CW7" i="22"/>
  <c r="DA7" i="22" s="1"/>
  <c r="SN7" i="22"/>
  <c r="SU7" i="22" s="1"/>
  <c r="SN4" i="4"/>
  <c r="SU4" i="4" s="1"/>
  <c r="TQ9" i="22"/>
  <c r="TN9" i="22"/>
  <c r="TU9" i="22"/>
  <c r="K9" i="22"/>
  <c r="N9" i="22"/>
  <c r="O9" i="22" s="1"/>
  <c r="T9" i="22"/>
  <c r="U9" i="22" s="1"/>
  <c r="L9" i="22"/>
  <c r="R9" i="22"/>
  <c r="S9" i="22" s="1"/>
  <c r="TN7" i="22"/>
  <c r="TU7" i="22"/>
  <c r="TQ7" i="22"/>
  <c r="N7" i="22"/>
  <c r="O7" i="22" s="1"/>
  <c r="T7" i="22"/>
  <c r="U7" i="22" s="1"/>
  <c r="L7" i="22"/>
  <c r="K7" i="22"/>
  <c r="R7" i="22"/>
  <c r="S7" i="22" s="1"/>
  <c r="TQ4" i="4"/>
  <c r="TN4" i="4"/>
  <c r="TU4" i="4"/>
  <c r="N4" i="4"/>
  <c r="O4" i="4" s="1"/>
  <c r="T4" i="4"/>
  <c r="U4" i="4" s="1"/>
  <c r="L4" i="4"/>
  <c r="K4" i="4"/>
  <c r="R4" i="4"/>
  <c r="S4" i="4" s="1"/>
  <c r="P4" i="4"/>
  <c r="Q4" i="4" s="1"/>
  <c r="J7" i="22" l="1"/>
  <c r="J9" i="22"/>
  <c r="J4" i="4"/>
  <c r="M7" i="22"/>
  <c r="M9" i="22"/>
  <c r="TR4" i="4"/>
  <c r="TV4" i="4" s="1"/>
  <c r="M4" i="4"/>
  <c r="TR9" i="22"/>
  <c r="TV9" i="22" s="1"/>
  <c r="TR7" i="22"/>
  <c r="TV7" i="22" s="1"/>
  <c r="DC9" i="22"/>
  <c r="DB9" i="22"/>
  <c r="DC7" i="22"/>
  <c r="DB7" i="22"/>
  <c r="DB4" i="4"/>
  <c r="DC4" i="4"/>
  <c r="V4" i="4" l="1"/>
  <c r="F4" i="4" s="1"/>
  <c r="V9" i="22"/>
  <c r="V7" i="22"/>
  <c r="F7" i="22" l="1"/>
  <c r="X7" i="22"/>
  <c r="W9" i="22"/>
  <c r="X9" i="22"/>
  <c r="F9" i="22"/>
  <c r="W7" i="22"/>
  <c r="W4" i="4"/>
  <c r="X4" i="4"/>
  <c r="CV11" i="27"/>
  <c r="CW11" i="27"/>
  <c r="CX11" i="27"/>
  <c r="CY11" i="27"/>
  <c r="DA11" i="27"/>
  <c r="DB11" i="27"/>
  <c r="PV11" i="27"/>
  <c r="PW11" i="27"/>
  <c r="PX11" i="27"/>
  <c r="PY11" i="27"/>
  <c r="QA11" i="27"/>
  <c r="QB11" i="27"/>
  <c r="QD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CV4" i="27"/>
  <c r="CW4" i="27"/>
  <c r="CX4" i="27"/>
  <c r="CY4" i="27"/>
  <c r="DA4" i="27"/>
  <c r="DB4" i="27"/>
  <c r="PV4" i="27"/>
  <c r="PW4" i="27"/>
  <c r="PX4" i="27"/>
  <c r="PY4" i="27"/>
  <c r="QA4" i="27"/>
  <c r="QB4" i="27"/>
  <c r="QD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DC4" i="27" l="1"/>
  <c r="QC4" i="27"/>
  <c r="QC11" i="27"/>
  <c r="I11" i="27"/>
  <c r="DC11" i="27"/>
  <c r="I4" i="27"/>
  <c r="H4" i="27"/>
  <c r="H11" i="27"/>
  <c r="PZ11" i="27"/>
  <c r="QY11" i="27"/>
  <c r="RD4" i="27"/>
  <c r="QY4" i="27"/>
  <c r="PZ4" i="27"/>
  <c r="RA11" i="27"/>
  <c r="QZ11" i="27"/>
  <c r="P11" i="27"/>
  <c r="DE11" i="27" s="1"/>
  <c r="RD11" i="27"/>
  <c r="CZ11" i="27"/>
  <c r="N11" i="27"/>
  <c r="RE11" i="27"/>
  <c r="L11" i="27"/>
  <c r="M11" i="27" s="1"/>
  <c r="RB11" i="27"/>
  <c r="P4" i="27"/>
  <c r="Q4" i="27" s="1"/>
  <c r="QZ4" i="27"/>
  <c r="RA4" i="27"/>
  <c r="CZ4" i="27"/>
  <c r="N4" i="27"/>
  <c r="RE4" i="27"/>
  <c r="L4" i="27"/>
  <c r="RB4" i="27"/>
  <c r="M4" i="27" l="1"/>
  <c r="O4" i="27"/>
  <c r="DD11" i="27"/>
  <c r="R11" i="27" s="1"/>
  <c r="O11" i="27"/>
  <c r="RF11" i="27"/>
  <c r="RF4" i="27"/>
  <c r="RC11" i="27"/>
  <c r="DE4" i="27"/>
  <c r="RC4" i="27"/>
  <c r="Q11" i="27"/>
  <c r="K11" i="27"/>
  <c r="DD4" i="27"/>
  <c r="K4" i="27"/>
  <c r="J11" i="27" l="1"/>
  <c r="R4" i="27"/>
  <c r="F11" i="27"/>
  <c r="F4" i="27" l="1"/>
  <c r="J4" i="27"/>
  <c r="CV7" i="26"/>
  <c r="CW7" i="26"/>
  <c r="CX7" i="26"/>
  <c r="CY7" i="26"/>
  <c r="DA7" i="26"/>
  <c r="DB7" i="26"/>
  <c r="PV7" i="26"/>
  <c r="PW7" i="26"/>
  <c r="PX7" i="26"/>
  <c r="PY7" i="26"/>
  <c r="QA7" i="26"/>
  <c r="QB7" i="26"/>
  <c r="QD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CV6" i="26"/>
  <c r="CW6" i="26"/>
  <c r="CX6" i="26"/>
  <c r="CY6" i="26"/>
  <c r="DA6" i="26"/>
  <c r="DB6" i="26"/>
  <c r="PV6" i="26"/>
  <c r="PW6" i="26"/>
  <c r="PX6" i="26"/>
  <c r="PY6" i="26"/>
  <c r="QA6" i="26"/>
  <c r="QB6" i="26"/>
  <c r="QD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V26" i="19"/>
  <c r="CW26" i="19"/>
  <c r="CX26" i="19"/>
  <c r="CY26" i="19"/>
  <c r="DA26" i="19"/>
  <c r="DB26" i="19"/>
  <c r="PV26" i="19"/>
  <c r="PW26" i="19"/>
  <c r="PX26" i="19"/>
  <c r="PY26" i="19"/>
  <c r="QA26" i="19"/>
  <c r="QB26" i="19"/>
  <c r="QD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I30" i="4"/>
  <c r="TT30" i="4" s="1"/>
  <c r="TJ30" i="4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V8" i="19"/>
  <c r="CW8" i="19"/>
  <c r="CX8" i="19"/>
  <c r="CY8" i="19"/>
  <c r="DA8" i="19"/>
  <c r="DB8" i="19"/>
  <c r="PV8" i="19"/>
  <c r="PW8" i="19"/>
  <c r="PX8" i="19"/>
  <c r="PY8" i="19"/>
  <c r="QA8" i="19"/>
  <c r="QB8" i="19"/>
  <c r="QD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CV6" i="21"/>
  <c r="CW6" i="21"/>
  <c r="CX6" i="21"/>
  <c r="CY6" i="21"/>
  <c r="DA6" i="21"/>
  <c r="DB6" i="21"/>
  <c r="PV6" i="21"/>
  <c r="PW6" i="21"/>
  <c r="PX6" i="21"/>
  <c r="PY6" i="21"/>
  <c r="QA6" i="21"/>
  <c r="QB6" i="21"/>
  <c r="QD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CV12" i="21"/>
  <c r="CW12" i="21"/>
  <c r="CX12" i="21"/>
  <c r="CY12" i="21"/>
  <c r="DA12" i="21"/>
  <c r="DB12" i="21"/>
  <c r="PV12" i="21"/>
  <c r="PW12" i="21"/>
  <c r="PX12" i="21"/>
  <c r="PY12" i="21"/>
  <c r="QA12" i="21"/>
  <c r="QB12" i="21"/>
  <c r="QD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CV5" i="19"/>
  <c r="CW5" i="19"/>
  <c r="CX5" i="19"/>
  <c r="CY5" i="19"/>
  <c r="DA5" i="19"/>
  <c r="DB5" i="19"/>
  <c r="PV5" i="19"/>
  <c r="PW5" i="19"/>
  <c r="PX5" i="19"/>
  <c r="PY5" i="19"/>
  <c r="QA5" i="19"/>
  <c r="QB5" i="19"/>
  <c r="QD5" i="19"/>
  <c r="QE5" i="19"/>
  <c r="QF5" i="19"/>
  <c r="QG5" i="19"/>
  <c r="QH5" i="19"/>
  <c r="QI5" i="19"/>
  <c r="QJ5" i="19"/>
  <c r="QK5" i="19"/>
  <c r="QL5" i="19"/>
  <c r="QM5" i="19"/>
  <c r="QN5" i="19"/>
  <c r="QO5" i="19"/>
  <c r="QP5" i="19"/>
  <c r="QQ5" i="19"/>
  <c r="QR5" i="19"/>
  <c r="QS5" i="19"/>
  <c r="QT5" i="19"/>
  <c r="QU5" i="19"/>
  <c r="QV5" i="19"/>
  <c r="QW5" i="19"/>
  <c r="CV16" i="19"/>
  <c r="CW16" i="19"/>
  <c r="CX16" i="19"/>
  <c r="CY16" i="19"/>
  <c r="DA16" i="19"/>
  <c r="DB16" i="19"/>
  <c r="PV16" i="19"/>
  <c r="PW16" i="19"/>
  <c r="PX16" i="19"/>
  <c r="PY16" i="19"/>
  <c r="QA16" i="19"/>
  <c r="QB16" i="19"/>
  <c r="QD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CV15" i="27"/>
  <c r="CW15" i="27"/>
  <c r="CX15" i="27"/>
  <c r="CY15" i="27"/>
  <c r="DA15" i="27"/>
  <c r="DB15" i="27"/>
  <c r="PV15" i="27"/>
  <c r="PW15" i="27"/>
  <c r="PX15" i="27"/>
  <c r="PY15" i="27"/>
  <c r="QA15" i="27"/>
  <c r="QB15" i="27"/>
  <c r="QD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CV13" i="26"/>
  <c r="CW13" i="26"/>
  <c r="CX13" i="26"/>
  <c r="CY13" i="26"/>
  <c r="DA13" i="26"/>
  <c r="DB13" i="26"/>
  <c r="PV13" i="26"/>
  <c r="PW13" i="26"/>
  <c r="PX13" i="26"/>
  <c r="PY13" i="26"/>
  <c r="QA13" i="26"/>
  <c r="QB13" i="26"/>
  <c r="QD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S30" i="22" s="1"/>
  <c r="TI30" i="22"/>
  <c r="TT30" i="22" s="1"/>
  <c r="TJ30" i="22"/>
  <c r="CQ19" i="22"/>
  <c r="CR19" i="22"/>
  <c r="CS19" i="22"/>
  <c r="CT19" i="22"/>
  <c r="CU19" i="22"/>
  <c r="CV19" i="22"/>
  <c r="CX19" i="22"/>
  <c r="CY19" i="22"/>
  <c r="CZ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D37" i="4"/>
  <c r="TP37" i="4" s="1"/>
  <c r="TE37" i="4"/>
  <c r="TF37" i="4"/>
  <c r="TG37" i="4"/>
  <c r="TH37" i="4"/>
  <c r="TS37" i="4" s="1"/>
  <c r="TI37" i="4"/>
  <c r="TT37" i="4" s="1"/>
  <c r="TJ37" i="4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D13" i="4"/>
  <c r="TP13" i="4" s="1"/>
  <c r="TE13" i="4"/>
  <c r="TF13" i="4"/>
  <c r="TG13" i="4"/>
  <c r="TH13" i="4"/>
  <c r="TS13" i="4" s="1"/>
  <c r="TI13" i="4"/>
  <c r="TT13" i="4" s="1"/>
  <c r="TJ13" i="4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S28" i="4" s="1"/>
  <c r="TI28" i="4"/>
  <c r="TT28" i="4" s="1"/>
  <c r="TJ28" i="4"/>
  <c r="B4" i="27" l="1" a="1"/>
  <c r="B4" i="27" s="1"/>
  <c r="H15" i="27"/>
  <c r="QC12" i="21"/>
  <c r="QC6" i="21"/>
  <c r="H16" i="19"/>
  <c r="QC5" i="19"/>
  <c r="QC8" i="19"/>
  <c r="QC16" i="19"/>
  <c r="QC26" i="19"/>
  <c r="QC15" i="27"/>
  <c r="DC6" i="26"/>
  <c r="DC7" i="26"/>
  <c r="QC6" i="26"/>
  <c r="QC7" i="26"/>
  <c r="QC13" i="26"/>
  <c r="DC13" i="26"/>
  <c r="H12" i="21"/>
  <c r="H6" i="21"/>
  <c r="DC12" i="21"/>
  <c r="DC6" i="21"/>
  <c r="DC16" i="19"/>
  <c r="DC8" i="19"/>
  <c r="DC26" i="19"/>
  <c r="DC5" i="19"/>
  <c r="DC15" i="27"/>
  <c r="H8" i="19"/>
  <c r="H5" i="19"/>
  <c r="I12" i="21"/>
  <c r="I6" i="21"/>
  <c r="I16" i="19"/>
  <c r="I5" i="19"/>
  <c r="I26" i="19"/>
  <c r="H26" i="19"/>
  <c r="I8" i="19"/>
  <c r="I15" i="27"/>
  <c r="I6" i="26"/>
  <c r="I7" i="26"/>
  <c r="H13" i="26"/>
  <c r="H6" i="26"/>
  <c r="H7" i="26"/>
  <c r="I13" i="26"/>
  <c r="H29" i="22"/>
  <c r="H34" i="22"/>
  <c r="H4" i="22"/>
  <c r="H22" i="22"/>
  <c r="I19" i="22"/>
  <c r="I30" i="22"/>
  <c r="I18" i="22"/>
  <c r="I6" i="22"/>
  <c r="I15" i="22"/>
  <c r="I32" i="22"/>
  <c r="H19" i="22"/>
  <c r="H30" i="22"/>
  <c r="H18" i="22"/>
  <c r="H6" i="22"/>
  <c r="H15" i="22"/>
  <c r="H32" i="22"/>
  <c r="I29" i="22"/>
  <c r="I34" i="22"/>
  <c r="I4" i="22"/>
  <c r="I22" i="22"/>
  <c r="I5" i="4"/>
  <c r="H18" i="4"/>
  <c r="H12" i="4"/>
  <c r="H5" i="4"/>
  <c r="H37" i="4"/>
  <c r="H30" i="4"/>
  <c r="H26" i="4"/>
  <c r="H7" i="4"/>
  <c r="I18" i="4"/>
  <c r="I13" i="4"/>
  <c r="I12" i="4"/>
  <c r="I26" i="4"/>
  <c r="H28" i="4"/>
  <c r="I28" i="4"/>
  <c r="I37" i="4"/>
  <c r="I30" i="4"/>
  <c r="I7" i="4"/>
  <c r="H13" i="4"/>
  <c r="CW6" i="22"/>
  <c r="DA6" i="22" s="1"/>
  <c r="P34" i="22"/>
  <c r="Q34" i="22" s="1"/>
  <c r="P30" i="22"/>
  <c r="Q30" i="22" s="1"/>
  <c r="P32" i="22"/>
  <c r="Q32" i="22" s="1"/>
  <c r="P6" i="22"/>
  <c r="Q6" i="22" s="1"/>
  <c r="P18" i="22"/>
  <c r="Q18" i="22" s="1"/>
  <c r="P19" i="22"/>
  <c r="Q19" i="22" s="1"/>
  <c r="P29" i="22"/>
  <c r="Q29" i="22" s="1"/>
  <c r="P15" i="22"/>
  <c r="Q15" i="22" s="1"/>
  <c r="P4" i="22"/>
  <c r="Q4" i="22" s="1"/>
  <c r="P22" i="22"/>
  <c r="Q22" i="22" s="1"/>
  <c r="CW22" i="22"/>
  <c r="DA22" i="22" s="1"/>
  <c r="PZ6" i="26"/>
  <c r="CW32" i="22"/>
  <c r="DA32" i="22" s="1"/>
  <c r="CW30" i="4"/>
  <c r="DA30" i="4" s="1"/>
  <c r="CW26" i="4"/>
  <c r="DA26" i="4" s="1"/>
  <c r="PZ7" i="26"/>
  <c r="QY7" i="26"/>
  <c r="CW15" i="22"/>
  <c r="DA15" i="22" s="1"/>
  <c r="CW7" i="4"/>
  <c r="DA7" i="4" s="1"/>
  <c r="RA7" i="26"/>
  <c r="CZ7" i="26"/>
  <c r="QZ7" i="26"/>
  <c r="CW30" i="22"/>
  <c r="DA30" i="22" s="1"/>
  <c r="CW34" i="22"/>
  <c r="DA34" i="22" s="1"/>
  <c r="CW28" i="4"/>
  <c r="DA28" i="4" s="1"/>
  <c r="CW18" i="4"/>
  <c r="DA18" i="4" s="1"/>
  <c r="CW19" i="22"/>
  <c r="DA19" i="22" s="1"/>
  <c r="CW13" i="4"/>
  <c r="DA13" i="4" s="1"/>
  <c r="RD7" i="26"/>
  <c r="N7" i="26"/>
  <c r="RE7" i="26"/>
  <c r="L7" i="26"/>
  <c r="M7" i="26" s="1"/>
  <c r="P7" i="26"/>
  <c r="RB7" i="26"/>
  <c r="RD6" i="26"/>
  <c r="QY6" i="26"/>
  <c r="RA6" i="26"/>
  <c r="QZ6" i="26"/>
  <c r="CZ6" i="26"/>
  <c r="N6" i="26"/>
  <c r="RE6" i="26"/>
  <c r="L6" i="26"/>
  <c r="M6" i="26" s="1"/>
  <c r="P6" i="26"/>
  <c r="RB6" i="26"/>
  <c r="RD26" i="19"/>
  <c r="QY26" i="19"/>
  <c r="PZ26" i="19"/>
  <c r="SN22" i="22"/>
  <c r="SU22" i="22" s="1"/>
  <c r="SN7" i="4"/>
  <c r="SU7" i="4" s="1"/>
  <c r="TQ7" i="4"/>
  <c r="SN26" i="4"/>
  <c r="SU26" i="4" s="1"/>
  <c r="TN7" i="4"/>
  <c r="TU7" i="4"/>
  <c r="R7" i="4"/>
  <c r="S7" i="4" s="1"/>
  <c r="N7" i="4"/>
  <c r="O7" i="4" s="1"/>
  <c r="L7" i="4"/>
  <c r="P7" i="4"/>
  <c r="Q7" i="4" s="1"/>
  <c r="T7" i="4"/>
  <c r="U7" i="4" s="1"/>
  <c r="K7" i="4"/>
  <c r="TN30" i="4"/>
  <c r="TQ26" i="4"/>
  <c r="TN26" i="4"/>
  <c r="TU26" i="4"/>
  <c r="T26" i="4"/>
  <c r="U26" i="4" s="1"/>
  <c r="N26" i="4"/>
  <c r="O26" i="4" s="1"/>
  <c r="L26" i="4"/>
  <c r="K26" i="4"/>
  <c r="R26" i="4"/>
  <c r="S26" i="4" s="1"/>
  <c r="P26" i="4"/>
  <c r="Q26" i="4" s="1"/>
  <c r="TQ30" i="4"/>
  <c r="SN30" i="4"/>
  <c r="SU30" i="4" s="1"/>
  <c r="RA26" i="19"/>
  <c r="RE26" i="19"/>
  <c r="P26" i="19"/>
  <c r="DE26" i="19" s="1"/>
  <c r="QZ26" i="19"/>
  <c r="RB26" i="19"/>
  <c r="N26" i="19"/>
  <c r="L26" i="19"/>
  <c r="CZ26" i="19"/>
  <c r="TU30" i="4"/>
  <c r="TS30" i="4"/>
  <c r="R30" i="4"/>
  <c r="S30" i="4" s="1"/>
  <c r="L30" i="4"/>
  <c r="T30" i="4"/>
  <c r="U30" i="4" s="1"/>
  <c r="P30" i="4"/>
  <c r="Q30" i="4" s="1"/>
  <c r="N30" i="4"/>
  <c r="K30" i="4"/>
  <c r="SN32" i="22"/>
  <c r="SU32" i="22" s="1"/>
  <c r="TQ32" i="22"/>
  <c r="TN32" i="22"/>
  <c r="TU32" i="22"/>
  <c r="R32" i="22"/>
  <c r="S32" i="22" s="1"/>
  <c r="N32" i="22"/>
  <c r="O32" i="22" s="1"/>
  <c r="T32" i="22"/>
  <c r="U32" i="22" s="1"/>
  <c r="L32" i="22"/>
  <c r="K32" i="22"/>
  <c r="SN15" i="22"/>
  <c r="SU15" i="22" s="1"/>
  <c r="TN22" i="22"/>
  <c r="TU22" i="22"/>
  <c r="R22" i="22"/>
  <c r="S22" i="22" s="1"/>
  <c r="TQ22" i="22"/>
  <c r="N22" i="22"/>
  <c r="O22" i="22" s="1"/>
  <c r="T22" i="22"/>
  <c r="U22" i="22" s="1"/>
  <c r="L22" i="22"/>
  <c r="K22" i="22"/>
  <c r="TN15" i="22"/>
  <c r="TU15" i="22"/>
  <c r="R15" i="22"/>
  <c r="S15" i="22" s="1"/>
  <c r="TQ15" i="22"/>
  <c r="N15" i="22"/>
  <c r="O15" i="22" s="1"/>
  <c r="L15" i="22"/>
  <c r="K15" i="22"/>
  <c r="T15" i="22"/>
  <c r="U15" i="22" s="1"/>
  <c r="T19" i="22"/>
  <c r="U19" i="22" s="1"/>
  <c r="T34" i="22"/>
  <c r="U34" i="22" s="1"/>
  <c r="T18" i="22"/>
  <c r="U18" i="22" s="1"/>
  <c r="T30" i="22"/>
  <c r="U30" i="22" s="1"/>
  <c r="T4" i="22"/>
  <c r="U4" i="22" s="1"/>
  <c r="T29" i="22"/>
  <c r="U29" i="22" s="1"/>
  <c r="T6" i="22"/>
  <c r="U6" i="22" s="1"/>
  <c r="T13" i="4"/>
  <c r="U13" i="4" s="1"/>
  <c r="T12" i="4"/>
  <c r="U12" i="4" s="1"/>
  <c r="T28" i="4"/>
  <c r="U28" i="4" s="1"/>
  <c r="T5" i="4"/>
  <c r="U5" i="4" s="1"/>
  <c r="T37" i="4"/>
  <c r="U37" i="4" s="1"/>
  <c r="T18" i="4"/>
  <c r="U18" i="4" s="1"/>
  <c r="P8" i="19"/>
  <c r="DE8" i="19" s="1"/>
  <c r="QY8" i="19"/>
  <c r="PZ8" i="19"/>
  <c r="RA8" i="19"/>
  <c r="QZ8" i="19"/>
  <c r="RD8" i="19"/>
  <c r="CZ8" i="19"/>
  <c r="N8" i="19"/>
  <c r="RE8" i="19"/>
  <c r="L8" i="19"/>
  <c r="M8" i="19" s="1"/>
  <c r="RB8" i="19"/>
  <c r="CZ16" i="19"/>
  <c r="RA5" i="19"/>
  <c r="CZ5" i="19"/>
  <c r="RD13" i="26"/>
  <c r="QY13" i="26"/>
  <c r="SN4" i="22"/>
  <c r="SU4" i="22" s="1"/>
  <c r="SN34" i="22"/>
  <c r="SU34" i="22" s="1"/>
  <c r="N4" i="22"/>
  <c r="O4" i="22" s="1"/>
  <c r="RD5" i="19"/>
  <c r="CZ13" i="26"/>
  <c r="SN6" i="22"/>
  <c r="SU6" i="22" s="1"/>
  <c r="CW37" i="4"/>
  <c r="DA37" i="4" s="1"/>
  <c r="TQ34" i="22"/>
  <c r="SN18" i="22"/>
  <c r="SU18" i="22" s="1"/>
  <c r="SN18" i="4"/>
  <c r="SU18" i="4" s="1"/>
  <c r="P5" i="4"/>
  <c r="SN12" i="4"/>
  <c r="SU12" i="4" s="1"/>
  <c r="P13" i="4"/>
  <c r="P12" i="4"/>
  <c r="P37" i="4"/>
  <c r="Q37" i="4" s="1"/>
  <c r="SN28" i="4"/>
  <c r="SU28" i="4" s="1"/>
  <c r="P28" i="4"/>
  <c r="TN37" i="4"/>
  <c r="SN13" i="4"/>
  <c r="SU13" i="4" s="1"/>
  <c r="SN37" i="4"/>
  <c r="SU37" i="4" s="1"/>
  <c r="P18" i="4"/>
  <c r="Q18" i="4" s="1"/>
  <c r="SN5" i="4"/>
  <c r="SU5" i="4" s="1"/>
  <c r="CZ6" i="21"/>
  <c r="P12" i="21"/>
  <c r="Q12" i="21" s="1"/>
  <c r="QY12" i="21"/>
  <c r="RD6" i="21"/>
  <c r="RA12" i="21"/>
  <c r="RD12" i="21"/>
  <c r="RE12" i="21"/>
  <c r="RE6" i="21"/>
  <c r="QZ12" i="21"/>
  <c r="L5" i="19"/>
  <c r="M5" i="19" s="1"/>
  <c r="RA16" i="19"/>
  <c r="RD16" i="19"/>
  <c r="RE5" i="19"/>
  <c r="N5" i="19"/>
  <c r="P16" i="19"/>
  <c r="DE16" i="19" s="1"/>
  <c r="L16" i="19"/>
  <c r="M16" i="19" s="1"/>
  <c r="CZ15" i="27"/>
  <c r="RA15" i="27"/>
  <c r="RD15" i="27"/>
  <c r="QY15" i="27"/>
  <c r="PZ15" i="27"/>
  <c r="RA13" i="26"/>
  <c r="SN29" i="22"/>
  <c r="SU29" i="22" s="1"/>
  <c r="TQ19" i="22"/>
  <c r="SN19" i="22"/>
  <c r="SU19" i="22" s="1"/>
  <c r="SN30" i="22"/>
  <c r="SU30" i="22" s="1"/>
  <c r="CW18" i="22"/>
  <c r="DA18" i="22" s="1"/>
  <c r="TN18" i="22"/>
  <c r="TU30" i="22"/>
  <c r="TQ29" i="22"/>
  <c r="TU4" i="22"/>
  <c r="TQ30" i="22"/>
  <c r="TU18" i="22"/>
  <c r="TN34" i="22"/>
  <c r="CW29" i="22"/>
  <c r="DA29" i="22" s="1"/>
  <c r="TU29" i="22"/>
  <c r="TU6" i="22"/>
  <c r="TN30" i="22"/>
  <c r="N18" i="22"/>
  <c r="TU34" i="22"/>
  <c r="L34" i="22"/>
  <c r="K30" i="22"/>
  <c r="TQ28" i="4"/>
  <c r="TN28" i="4"/>
  <c r="TN18" i="4"/>
  <c r="TQ13" i="4"/>
  <c r="CW5" i="4"/>
  <c r="DA5" i="4" s="1"/>
  <c r="TN13" i="4"/>
  <c r="TU12" i="4"/>
  <c r="TQ5" i="4"/>
  <c r="TO13" i="4"/>
  <c r="TU28" i="4"/>
  <c r="TQ18" i="4"/>
  <c r="TQ12" i="4"/>
  <c r="TU5" i="4"/>
  <c r="TU37" i="4"/>
  <c r="TN12" i="4"/>
  <c r="TN5" i="4"/>
  <c r="TU18" i="4"/>
  <c r="N12" i="4"/>
  <c r="TQ37" i="4"/>
  <c r="L37" i="4"/>
  <c r="L12" i="4"/>
  <c r="K37" i="4"/>
  <c r="R28" i="4"/>
  <c r="S28" i="4" s="1"/>
  <c r="K28" i="4"/>
  <c r="R37" i="4"/>
  <c r="S37" i="4" s="1"/>
  <c r="L28" i="4"/>
  <c r="N13" i="4"/>
  <c r="N28" i="4"/>
  <c r="K12" i="4"/>
  <c r="PZ12" i="21"/>
  <c r="CZ12" i="21"/>
  <c r="L12" i="21"/>
  <c r="N12" i="21"/>
  <c r="P6" i="21"/>
  <c r="QY6" i="21"/>
  <c r="RB6" i="21"/>
  <c r="RA6" i="21"/>
  <c r="RB12" i="21"/>
  <c r="QZ6" i="21"/>
  <c r="N6" i="21"/>
  <c r="L6" i="21"/>
  <c r="PZ6" i="21"/>
  <c r="RB16" i="19"/>
  <c r="RE16" i="19"/>
  <c r="QZ16" i="19"/>
  <c r="PZ16" i="19"/>
  <c r="QY16" i="19"/>
  <c r="N16" i="19"/>
  <c r="PZ5" i="19"/>
  <c r="QZ5" i="19"/>
  <c r="QY5" i="19"/>
  <c r="RB5" i="19"/>
  <c r="P5" i="19"/>
  <c r="L15" i="27"/>
  <c r="N15" i="27"/>
  <c r="RE15" i="27"/>
  <c r="RB15" i="27"/>
  <c r="P15" i="27"/>
  <c r="QZ15" i="27"/>
  <c r="PZ13" i="26"/>
  <c r="RE13" i="26"/>
  <c r="P13" i="26"/>
  <c r="QZ13" i="26"/>
  <c r="N13" i="26"/>
  <c r="RB13" i="26"/>
  <c r="L13" i="26"/>
  <c r="R29" i="22"/>
  <c r="S29" i="22" s="1"/>
  <c r="K19" i="22"/>
  <c r="L30" i="22"/>
  <c r="TN29" i="22"/>
  <c r="L29" i="22"/>
  <c r="N29" i="22"/>
  <c r="R19" i="22"/>
  <c r="S19" i="22" s="1"/>
  <c r="TU19" i="22"/>
  <c r="TN19" i="22"/>
  <c r="N30" i="22"/>
  <c r="L19" i="22"/>
  <c r="R30" i="22"/>
  <c r="S30" i="22" s="1"/>
  <c r="R18" i="22"/>
  <c r="S18" i="22" s="1"/>
  <c r="K29" i="22"/>
  <c r="N19" i="22"/>
  <c r="K6" i="22"/>
  <c r="R6" i="22"/>
  <c r="S6" i="22" s="1"/>
  <c r="K34" i="22"/>
  <c r="R34" i="22"/>
  <c r="S34" i="22" s="1"/>
  <c r="TQ4" i="22"/>
  <c r="L6" i="22"/>
  <c r="L18" i="22"/>
  <c r="N34" i="22"/>
  <c r="K18" i="22"/>
  <c r="TQ18" i="22"/>
  <c r="TQ6" i="22"/>
  <c r="R4" i="22"/>
  <c r="S4" i="22" s="1"/>
  <c r="N6" i="22"/>
  <c r="TN4" i="22"/>
  <c r="TN6" i="22"/>
  <c r="CW4" i="22"/>
  <c r="DA4" i="22" s="1"/>
  <c r="L4" i="22"/>
  <c r="K4" i="22"/>
  <c r="R13" i="4"/>
  <c r="S13" i="4" s="1"/>
  <c r="TU13" i="4"/>
  <c r="L13" i="4"/>
  <c r="N5" i="4"/>
  <c r="K13" i="4"/>
  <c r="N18" i="4"/>
  <c r="TO37" i="4"/>
  <c r="R5" i="4"/>
  <c r="S5" i="4" s="1"/>
  <c r="L5" i="4"/>
  <c r="R18" i="4"/>
  <c r="S18" i="4" s="1"/>
  <c r="L18" i="4"/>
  <c r="CW12" i="4"/>
  <c r="DA12" i="4" s="1"/>
  <c r="K5" i="4"/>
  <c r="N37" i="4"/>
  <c r="K18" i="4"/>
  <c r="R12" i="4"/>
  <c r="S12" i="4" s="1"/>
  <c r="O6" i="26" l="1"/>
  <c r="O12" i="21"/>
  <c r="DC13" i="4"/>
  <c r="Q13" i="4"/>
  <c r="DC28" i="4"/>
  <c r="Q28" i="4"/>
  <c r="DC5" i="4"/>
  <c r="Q5" i="4"/>
  <c r="DC12" i="4"/>
  <c r="Q12" i="4"/>
  <c r="O6" i="21"/>
  <c r="O5" i="19"/>
  <c r="O13" i="26"/>
  <c r="O7" i="26"/>
  <c r="DD26" i="19"/>
  <c r="R26" i="19" s="1"/>
  <c r="O26" i="19"/>
  <c r="O8" i="19"/>
  <c r="O16" i="19"/>
  <c r="O15" i="27"/>
  <c r="RF12" i="21"/>
  <c r="RF16" i="19"/>
  <c r="RF6" i="26"/>
  <c r="RF7" i="26"/>
  <c r="RF6" i="21"/>
  <c r="RF5" i="19"/>
  <c r="RF8" i="19"/>
  <c r="RF26" i="19"/>
  <c r="RF15" i="27"/>
  <c r="RF13" i="26"/>
  <c r="J30" i="22"/>
  <c r="J34" i="22"/>
  <c r="J18" i="22"/>
  <c r="DC34" i="22"/>
  <c r="J29" i="22"/>
  <c r="J19" i="22"/>
  <c r="J37" i="4"/>
  <c r="J13" i="4"/>
  <c r="J12" i="4"/>
  <c r="J26" i="4"/>
  <c r="DC18" i="22"/>
  <c r="DC19" i="22"/>
  <c r="DC6" i="22"/>
  <c r="DC4" i="22"/>
  <c r="DC30" i="22"/>
  <c r="DC29" i="22"/>
  <c r="M34" i="22"/>
  <c r="M15" i="22"/>
  <c r="M22" i="22"/>
  <c r="M28" i="4"/>
  <c r="M37" i="4"/>
  <c r="M26" i="4"/>
  <c r="M12" i="4"/>
  <c r="M7" i="4"/>
  <c r="M30" i="4"/>
  <c r="RC8" i="19"/>
  <c r="Q26" i="19"/>
  <c r="DD7" i="26"/>
  <c r="K7" i="26"/>
  <c r="RC7" i="26"/>
  <c r="DD6" i="26"/>
  <c r="TR7" i="4"/>
  <c r="TV7" i="4" s="1"/>
  <c r="DE7" i="26"/>
  <c r="Q7" i="26"/>
  <c r="RC6" i="26"/>
  <c r="K6" i="26"/>
  <c r="DE6" i="26"/>
  <c r="Q6" i="26"/>
  <c r="RC26" i="19"/>
  <c r="Q8" i="19"/>
  <c r="TR22" i="22"/>
  <c r="TV22" i="22" s="1"/>
  <c r="DB32" i="22"/>
  <c r="TR32" i="22"/>
  <c r="TV32" i="22" s="1"/>
  <c r="DB26" i="4"/>
  <c r="TR30" i="4"/>
  <c r="TV30" i="4" s="1"/>
  <c r="TR26" i="4"/>
  <c r="TV26" i="4" s="1"/>
  <c r="J7" i="4"/>
  <c r="DC7" i="4"/>
  <c r="DB7" i="4"/>
  <c r="DC26" i="4"/>
  <c r="DB18" i="4"/>
  <c r="M26" i="19"/>
  <c r="K26" i="19"/>
  <c r="K8" i="19"/>
  <c r="J30" i="4"/>
  <c r="DB30" i="4"/>
  <c r="O30" i="4"/>
  <c r="DC30" i="4"/>
  <c r="DB28" i="4"/>
  <c r="J32" i="22"/>
  <c r="DC32" i="22"/>
  <c r="M32" i="22"/>
  <c r="J22" i="22"/>
  <c r="DC22" i="22"/>
  <c r="DB22" i="22"/>
  <c r="TR15" i="22"/>
  <c r="TV15" i="22" s="1"/>
  <c r="DB15" i="22"/>
  <c r="DC15" i="22"/>
  <c r="DD5" i="19"/>
  <c r="DD8" i="19"/>
  <c r="DB13" i="4"/>
  <c r="DB5" i="4"/>
  <c r="TR37" i="4"/>
  <c r="TV37" i="4" s="1"/>
  <c r="DE12" i="21"/>
  <c r="Q16" i="19"/>
  <c r="DB34" i="22"/>
  <c r="DB29" i="22"/>
  <c r="DB4" i="22"/>
  <c r="DB6" i="22"/>
  <c r="DB19" i="22"/>
  <c r="DB30" i="22"/>
  <c r="TR19" i="22"/>
  <c r="TV19" i="22" s="1"/>
  <c r="DB18" i="22"/>
  <c r="TR34" i="22"/>
  <c r="TV34" i="22" s="1"/>
  <c r="DB12" i="4"/>
  <c r="DB37" i="4"/>
  <c r="TR13" i="4"/>
  <c r="TV13" i="4" s="1"/>
  <c r="O34" i="22"/>
  <c r="O29" i="22"/>
  <c r="TR30" i="22"/>
  <c r="TV30" i="22" s="1"/>
  <c r="O18" i="22"/>
  <c r="O30" i="22"/>
  <c r="O6" i="22"/>
  <c r="O19" i="22"/>
  <c r="TR28" i="4"/>
  <c r="TV28" i="4" s="1"/>
  <c r="TR5" i="4"/>
  <c r="TV5" i="4" s="1"/>
  <c r="TR12" i="4"/>
  <c r="TV12" i="4" s="1"/>
  <c r="TR18" i="4"/>
  <c r="TV18" i="4" s="1"/>
  <c r="DC37" i="4"/>
  <c r="O5" i="4"/>
  <c r="DC18" i="4"/>
  <c r="O12" i="4"/>
  <c r="O28" i="4"/>
  <c r="O13" i="4"/>
  <c r="O37" i="4"/>
  <c r="O18" i="4"/>
  <c r="RC12" i="21"/>
  <c r="K12" i="21"/>
  <c r="K6" i="21"/>
  <c r="K16" i="19"/>
  <c r="K5" i="19"/>
  <c r="TR18" i="22"/>
  <c r="TV18" i="22" s="1"/>
  <c r="TR4" i="22"/>
  <c r="TV4" i="22" s="1"/>
  <c r="TR29" i="22"/>
  <c r="TV29" i="22" s="1"/>
  <c r="TR6" i="22"/>
  <c r="TV6" i="22" s="1"/>
  <c r="J6" i="22"/>
  <c r="J18" i="4"/>
  <c r="J5" i="4"/>
  <c r="DD6" i="21"/>
  <c r="DE6" i="21"/>
  <c r="Q6" i="21"/>
  <c r="DD12" i="21"/>
  <c r="M6" i="21"/>
  <c r="M12" i="21"/>
  <c r="RC6" i="21"/>
  <c r="DD16" i="19"/>
  <c r="RC5" i="19"/>
  <c r="DE5" i="19"/>
  <c r="Q5" i="19"/>
  <c r="RC16" i="19"/>
  <c r="K15" i="27"/>
  <c r="RC15" i="27"/>
  <c r="DE15" i="27"/>
  <c r="Q15" i="27"/>
  <c r="DD15" i="27"/>
  <c r="M15" i="27"/>
  <c r="RC13" i="26"/>
  <c r="K13" i="26"/>
  <c r="Q13" i="26"/>
  <c r="DE13" i="26"/>
  <c r="DD13" i="26"/>
  <c r="M13" i="26"/>
  <c r="M29" i="22"/>
  <c r="M19" i="22"/>
  <c r="M6" i="22"/>
  <c r="M18" i="22"/>
  <c r="J4" i="22"/>
  <c r="M4" i="22"/>
  <c r="M30" i="22"/>
  <c r="J28" i="4"/>
  <c r="M5" i="4"/>
  <c r="M18" i="4"/>
  <c r="M13" i="4"/>
  <c r="V13" i="4" l="1"/>
  <c r="X13" i="4" s="1"/>
  <c r="V28" i="4"/>
  <c r="F28" i="4" s="1"/>
  <c r="V5" i="4"/>
  <c r="X5" i="4" s="1"/>
  <c r="A34" i="22" a="1"/>
  <c r="A34" i="22" s="1"/>
  <c r="B34" i="22" a="1"/>
  <c r="B34" i="22" s="1"/>
  <c r="A22" i="22" a="1"/>
  <c r="A22" i="22" s="1"/>
  <c r="B22" i="22" a="1"/>
  <c r="B22" i="22" s="1"/>
  <c r="A30" i="22" a="1"/>
  <c r="A30" i="22" s="1"/>
  <c r="B30" i="22" a="1"/>
  <c r="B30" i="22" s="1"/>
  <c r="B4" i="22" a="1"/>
  <c r="B4" i="22" s="1"/>
  <c r="A32" i="22" a="1"/>
  <c r="A32" i="22" s="1"/>
  <c r="B32" i="22" a="1"/>
  <c r="B32" i="22" s="1"/>
  <c r="A18" i="22" a="1"/>
  <c r="A18" i="22" s="1"/>
  <c r="B18" i="22" a="1"/>
  <c r="B18" i="22" s="1"/>
  <c r="A29" i="22" a="1"/>
  <c r="A29" i="22" s="1"/>
  <c r="B29" i="22" a="1"/>
  <c r="B29" i="22" s="1"/>
  <c r="A13" i="4" a="1"/>
  <c r="A13" i="4" s="1"/>
  <c r="B13" i="4" a="1"/>
  <c r="B13" i="4" s="1"/>
  <c r="A30" i="4" a="1"/>
  <c r="A30" i="4" s="1"/>
  <c r="B30" i="4" a="1"/>
  <c r="B30" i="4" s="1"/>
  <c r="A18" i="4" a="1"/>
  <c r="A18" i="4" s="1"/>
  <c r="B18" i="4" a="1"/>
  <c r="B18" i="4" s="1"/>
  <c r="A28" i="4" a="1"/>
  <c r="A28" i="4" s="1"/>
  <c r="B28" i="4" a="1"/>
  <c r="B28" i="4" s="1"/>
  <c r="A26" i="4" a="1"/>
  <c r="A26" i="4" s="1"/>
  <c r="B26" i="4" a="1"/>
  <c r="B26" i="4" s="1"/>
  <c r="J12" i="21"/>
  <c r="B12" i="21" s="1" a="1"/>
  <c r="B12" i="21" s="1"/>
  <c r="J26" i="19"/>
  <c r="J16" i="19"/>
  <c r="J5" i="19"/>
  <c r="J8" i="19"/>
  <c r="J13" i="26"/>
  <c r="J6" i="26"/>
  <c r="J7" i="26"/>
  <c r="V34" i="22"/>
  <c r="J15" i="22"/>
  <c r="V4" i="22"/>
  <c r="V6" i="22"/>
  <c r="F5" i="4"/>
  <c r="F13" i="4"/>
  <c r="R6" i="26"/>
  <c r="F6" i="26" s="1"/>
  <c r="R7" i="26"/>
  <c r="F7" i="26" s="1"/>
  <c r="V26" i="4"/>
  <c r="F26" i="4" s="1"/>
  <c r="R8" i="19"/>
  <c r="F8" i="19" s="1"/>
  <c r="V32" i="22"/>
  <c r="X32" i="22" s="1"/>
  <c r="R5" i="19"/>
  <c r="V7" i="4"/>
  <c r="F7" i="4" s="1"/>
  <c r="F26" i="19"/>
  <c r="V30" i="4"/>
  <c r="F30" i="4" s="1"/>
  <c r="V22" i="22"/>
  <c r="V15" i="22"/>
  <c r="R16" i="19"/>
  <c r="F16" i="19" s="1"/>
  <c r="R12" i="21"/>
  <c r="V37" i="4"/>
  <c r="X37" i="4" s="1"/>
  <c r="V18" i="4"/>
  <c r="X18" i="4" s="1"/>
  <c r="R13" i="26"/>
  <c r="F13" i="26" s="1"/>
  <c r="V19" i="22"/>
  <c r="V29" i="22"/>
  <c r="V30" i="22"/>
  <c r="V12" i="4"/>
  <c r="F12" i="4" s="1"/>
  <c r="R6" i="21"/>
  <c r="R15" i="27"/>
  <c r="V18" i="22"/>
  <c r="W13" i="4"/>
  <c r="X28" i="4" l="1"/>
  <c r="W5" i="4"/>
  <c r="B5" i="19" a="1"/>
  <c r="B5" i="19" s="1"/>
  <c r="B13" i="26" a="1"/>
  <c r="B13" i="26" s="1"/>
  <c r="W28" i="4"/>
  <c r="F19" i="22"/>
  <c r="X19" i="22"/>
  <c r="F30" i="22"/>
  <c r="X30" i="22"/>
  <c r="F18" i="22"/>
  <c r="X18" i="22"/>
  <c r="W34" i="22"/>
  <c r="X34" i="22"/>
  <c r="F15" i="22"/>
  <c r="X15" i="22"/>
  <c r="W6" i="22"/>
  <c r="X6" i="22"/>
  <c r="F29" i="22"/>
  <c r="X29" i="22"/>
  <c r="F22" i="22"/>
  <c r="X22" i="22"/>
  <c r="F4" i="22"/>
  <c r="X4" i="22"/>
  <c r="A26" i="19" a="1"/>
  <c r="A26" i="19" s="1"/>
  <c r="B26" i="19" a="1"/>
  <c r="B26" i="19" s="1"/>
  <c r="A15" i="22" a="1"/>
  <c r="A15" i="22" s="1"/>
  <c r="B15" i="22" a="1"/>
  <c r="B15" i="22" s="1"/>
  <c r="F6" i="22"/>
  <c r="F34" i="22"/>
  <c r="A12" i="21" a="1"/>
  <c r="A12" i="21" s="1"/>
  <c r="J6" i="21"/>
  <c r="J15" i="27"/>
  <c r="W4" i="22"/>
  <c r="X26" i="4"/>
  <c r="W26" i="4"/>
  <c r="F32" i="22"/>
  <c r="F18" i="4"/>
  <c r="F37" i="4"/>
  <c r="W32" i="22"/>
  <c r="X7" i="4"/>
  <c r="F5" i="19"/>
  <c r="W7" i="4"/>
  <c r="W15" i="22"/>
  <c r="W30" i="4"/>
  <c r="X30" i="4"/>
  <c r="W18" i="4"/>
  <c r="W22" i="22"/>
  <c r="F12" i="21"/>
  <c r="W37" i="4"/>
  <c r="W19" i="22"/>
  <c r="F6" i="21"/>
  <c r="W29" i="22"/>
  <c r="X12" i="4"/>
  <c r="W12" i="4"/>
  <c r="W30" i="22"/>
  <c r="F15" i="27"/>
  <c r="W18" i="22"/>
  <c r="A8" i="22" l="1" a="1"/>
  <c r="A8" i="22" s="1"/>
  <c r="B8" i="22" a="1"/>
  <c r="B8" i="22" s="1"/>
  <c r="B7" i="22" a="1"/>
  <c r="B7" i="22" s="1"/>
  <c r="B11" i="22" a="1"/>
  <c r="B11" i="22" s="1"/>
  <c r="A11" i="22" a="1"/>
  <c r="A11" i="22" s="1"/>
  <c r="A19" i="22" a="1"/>
  <c r="A19" i="22" s="1"/>
  <c r="B19" i="22" a="1"/>
  <c r="B19" i="22" s="1"/>
  <c r="A5" i="22" a="1"/>
  <c r="A5" i="22" s="1"/>
  <c r="B5" i="22" a="1"/>
  <c r="B5" i="22" s="1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D5" i="27"/>
  <c r="QB5" i="27"/>
  <c r="QA5" i="27"/>
  <c r="PY5" i="27"/>
  <c r="PX5" i="27"/>
  <c r="PW5" i="27"/>
  <c r="PV5" i="27"/>
  <c r="DB5" i="27"/>
  <c r="DA5" i="27"/>
  <c r="CY5" i="27"/>
  <c r="CX5" i="27"/>
  <c r="CW5" i="27"/>
  <c r="CV5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D7" i="27"/>
  <c r="QB7" i="27"/>
  <c r="QA7" i="27"/>
  <c r="PY7" i="27"/>
  <c r="PX7" i="27"/>
  <c r="PW7" i="27"/>
  <c r="PV7" i="27"/>
  <c r="DB7" i="27"/>
  <c r="DA7" i="27"/>
  <c r="CY7" i="27"/>
  <c r="CX7" i="27"/>
  <c r="CW7" i="27"/>
  <c r="CV7" i="27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D16" i="26"/>
  <c r="QB16" i="26"/>
  <c r="QA16" i="26"/>
  <c r="PY16" i="26"/>
  <c r="PX16" i="26"/>
  <c r="PW16" i="26"/>
  <c r="PV16" i="26"/>
  <c r="DB16" i="26"/>
  <c r="DA16" i="26"/>
  <c r="CY16" i="26"/>
  <c r="CX16" i="26"/>
  <c r="CW16" i="26"/>
  <c r="CV16" i="26"/>
  <c r="DC16" i="26" l="1"/>
  <c r="H7" i="27"/>
  <c r="H5" i="27"/>
  <c r="QC7" i="27"/>
  <c r="QC5" i="27"/>
  <c r="QC16" i="26"/>
  <c r="I7" i="27"/>
  <c r="DC7" i="27"/>
  <c r="I5" i="27"/>
  <c r="DC5" i="27"/>
  <c r="H16" i="26"/>
  <c r="I16" i="26"/>
  <c r="PZ5" i="27"/>
  <c r="QY16" i="26"/>
  <c r="CZ16" i="26"/>
  <c r="PZ16" i="26"/>
  <c r="P7" i="27"/>
  <c r="Q7" i="27" s="1"/>
  <c r="QY5" i="27"/>
  <c r="RD5" i="27"/>
  <c r="P5" i="27"/>
  <c r="Q5" i="27" s="1"/>
  <c r="RA5" i="27"/>
  <c r="L7" i="27"/>
  <c r="M7" i="27" s="1"/>
  <c r="QZ7" i="27"/>
  <c r="RA7" i="27"/>
  <c r="L5" i="27"/>
  <c r="M5" i="27" s="1"/>
  <c r="RB7" i="27"/>
  <c r="RD7" i="27"/>
  <c r="RA16" i="26"/>
  <c r="P16" i="26"/>
  <c r="Q16" i="26" s="1"/>
  <c r="QZ16" i="26"/>
  <c r="RE16" i="26"/>
  <c r="RB16" i="26"/>
  <c r="RD16" i="26"/>
  <c r="CZ7" i="27"/>
  <c r="QZ5" i="27"/>
  <c r="N5" i="27"/>
  <c r="RB5" i="27"/>
  <c r="CZ5" i="27"/>
  <c r="N7" i="27"/>
  <c r="RE7" i="27"/>
  <c r="QY7" i="27"/>
  <c r="PZ7" i="27"/>
  <c r="RE5" i="27"/>
  <c r="L16" i="26"/>
  <c r="N16" i="26"/>
  <c r="O16" i="26" l="1"/>
  <c r="O7" i="27"/>
  <c r="O5" i="27"/>
  <c r="RF7" i="27"/>
  <c r="RF5" i="27"/>
  <c r="RF16" i="26"/>
  <c r="DE5" i="27"/>
  <c r="RC7" i="27"/>
  <c r="DE7" i="27"/>
  <c r="K5" i="27"/>
  <c r="K7" i="27"/>
  <c r="RC16" i="26"/>
  <c r="DE16" i="26"/>
  <c r="DD5" i="27"/>
  <c r="RC5" i="27"/>
  <c r="DD7" i="27"/>
  <c r="DD16" i="26"/>
  <c r="M16" i="26"/>
  <c r="K16" i="26"/>
  <c r="J7" i="27" l="1"/>
  <c r="J5" i="27"/>
  <c r="R7" i="27"/>
  <c r="R5" i="27"/>
  <c r="R16" i="26"/>
  <c r="J16" i="26" l="1"/>
  <c r="F7" i="27"/>
  <c r="F5" i="27"/>
  <c r="A9" i="27" s="1" a="1"/>
  <c r="A9" i="27" s="1"/>
  <c r="F16" i="26"/>
  <c r="CV30" i="19"/>
  <c r="CW30" i="19"/>
  <c r="CX30" i="19"/>
  <c r="CY30" i="19"/>
  <c r="DA30" i="19"/>
  <c r="DB30" i="19"/>
  <c r="PV30" i="19"/>
  <c r="PW30" i="19"/>
  <c r="PX30" i="19"/>
  <c r="PY30" i="19"/>
  <c r="QA30" i="19"/>
  <c r="QB30" i="19"/>
  <c r="QD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B9" i="27" l="1" a="1"/>
  <c r="B9" i="27" s="1"/>
  <c r="B20" i="26" a="1"/>
  <c r="B20" i="26" s="1"/>
  <c r="B19" i="26" a="1"/>
  <c r="B19" i="26" s="1"/>
  <c r="A19" i="26" a="1"/>
  <c r="A19" i="26" s="1"/>
  <c r="A20" i="26" a="1"/>
  <c r="A20" i="26" s="1"/>
  <c r="B17" i="27" a="1"/>
  <c r="B17" i="27" s="1"/>
  <c r="A17" i="27" a="1"/>
  <c r="A17" i="27" s="1"/>
  <c r="B8" i="26" a="1"/>
  <c r="B8" i="26" s="1"/>
  <c r="A8" i="26" a="1"/>
  <c r="A8" i="26" s="1"/>
  <c r="B10" i="26" a="1"/>
  <c r="B10" i="26" s="1"/>
  <c r="A10" i="26" a="1"/>
  <c r="A10" i="26" s="1"/>
  <c r="B9" i="26" a="1"/>
  <c r="B9" i="26" s="1"/>
  <c r="A9" i="26" a="1"/>
  <c r="A9" i="26" s="1"/>
  <c r="B8" i="27" a="1"/>
  <c r="B8" i="27" s="1"/>
  <c r="B5" i="27" a="1"/>
  <c r="B5" i="27" s="1"/>
  <c r="A8" i="27" a="1"/>
  <c r="A8" i="27" s="1"/>
  <c r="A12" i="27" a="1"/>
  <c r="A12" i="27" s="1"/>
  <c r="B10" i="27" a="1"/>
  <c r="B10" i="27" s="1"/>
  <c r="A12" i="26" a="1"/>
  <c r="A12" i="26" s="1"/>
  <c r="B12" i="26" a="1"/>
  <c r="B12" i="26" s="1"/>
  <c r="A6" i="26" a="1"/>
  <c r="A6" i="26" s="1"/>
  <c r="B6" i="26" a="1"/>
  <c r="B6" i="26" s="1"/>
  <c r="B12" i="27" a="1"/>
  <c r="B12" i="27" s="1"/>
  <c r="A10" i="27" a="1"/>
  <c r="A10" i="27" s="1"/>
  <c r="B14" i="27" a="1"/>
  <c r="B14" i="27" s="1"/>
  <c r="A14" i="27" a="1"/>
  <c r="A14" i="27" s="1"/>
  <c r="A11" i="26" a="1"/>
  <c r="A11" i="26" s="1"/>
  <c r="B11" i="26" a="1"/>
  <c r="B11" i="26" s="1"/>
  <c r="B6" i="27" a="1"/>
  <c r="B6" i="27" s="1"/>
  <c r="A6" i="27" a="1"/>
  <c r="A6" i="27" s="1"/>
  <c r="B15" i="27" a="1"/>
  <c r="B15" i="27" s="1"/>
  <c r="B11" i="27" a="1"/>
  <c r="B11" i="27" s="1"/>
  <c r="B7" i="27" a="1"/>
  <c r="B7" i="27" s="1"/>
  <c r="A16" i="26" a="1"/>
  <c r="A16" i="26" s="1"/>
  <c r="B16" i="26" a="1"/>
  <c r="B16" i="26" s="1"/>
  <c r="B7" i="26" a="1"/>
  <c r="B7" i="26" s="1"/>
  <c r="QC30" i="19"/>
  <c r="DC30" i="19"/>
  <c r="A15" i="27" a="1"/>
  <c r="A15" i="27" s="1"/>
  <c r="A7" i="27" a="1"/>
  <c r="A7" i="27" s="1"/>
  <c r="I30" i="19"/>
  <c r="H30" i="19"/>
  <c r="A11" i="27" a="1"/>
  <c r="A11" i="27" s="1"/>
  <c r="A4" i="27" a="1"/>
  <c r="A4" i="27" s="1"/>
  <c r="A5" i="27" a="1"/>
  <c r="A5" i="27" s="1"/>
  <c r="A5" i="26" a="1"/>
  <c r="A5" i="26" s="1"/>
  <c r="A4" i="26" a="1"/>
  <c r="A4" i="26" s="1"/>
  <c r="A13" i="26" a="1"/>
  <c r="A13" i="26" s="1"/>
  <c r="A7" i="26" a="1"/>
  <c r="A7" i="26" s="1"/>
  <c r="PZ30" i="19"/>
  <c r="QY30" i="19"/>
  <c r="P30" i="19"/>
  <c r="RD30" i="19"/>
  <c r="CZ30" i="19"/>
  <c r="RA30" i="19"/>
  <c r="RE30" i="19"/>
  <c r="QZ30" i="19"/>
  <c r="N30" i="19"/>
  <c r="L30" i="19"/>
  <c r="RB30" i="19"/>
  <c r="O30" i="19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F30" i="19"/>
  <c r="DD30" i="19"/>
  <c r="Q30" i="19"/>
  <c r="DE30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K30" i="19"/>
  <c r="RC30" i="19"/>
  <c r="M30" i="19"/>
  <c r="J30" i="19" l="1"/>
  <c r="R30" i="19"/>
  <c r="F30" i="19" l="1"/>
  <c r="CV20" i="19" l="1"/>
  <c r="CW20" i="19"/>
  <c r="CX20" i="19"/>
  <c r="CY20" i="19"/>
  <c r="DA20" i="19"/>
  <c r="DB20" i="19"/>
  <c r="PV20" i="19"/>
  <c r="PW20" i="19"/>
  <c r="PX20" i="19"/>
  <c r="PY20" i="19"/>
  <c r="QA20" i="19"/>
  <c r="QB20" i="19"/>
  <c r="QD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CV11" i="19"/>
  <c r="CW11" i="19"/>
  <c r="CX11" i="19"/>
  <c r="CY11" i="19"/>
  <c r="DA11" i="19"/>
  <c r="DB11" i="19"/>
  <c r="PV11" i="19"/>
  <c r="PW11" i="19"/>
  <c r="PX11" i="19"/>
  <c r="PY11" i="19"/>
  <c r="QA11" i="19"/>
  <c r="QB11" i="19"/>
  <c r="QD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CV23" i="19"/>
  <c r="CW23" i="19"/>
  <c r="CX23" i="19"/>
  <c r="CY23" i="19"/>
  <c r="DA23" i="19"/>
  <c r="DB23" i="19"/>
  <c r="PV23" i="19"/>
  <c r="PW23" i="19"/>
  <c r="PX23" i="19"/>
  <c r="PY23" i="19"/>
  <c r="QA23" i="19"/>
  <c r="QB23" i="19"/>
  <c r="QD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C23" i="19" l="1"/>
  <c r="QC11" i="19"/>
  <c r="QC20" i="19"/>
  <c r="DC23" i="19"/>
  <c r="DC11" i="19"/>
  <c r="DC20" i="19"/>
  <c r="I23" i="19"/>
  <c r="I11" i="19"/>
  <c r="I20" i="19"/>
  <c r="H23" i="19"/>
  <c r="H11" i="19"/>
  <c r="H20" i="19"/>
  <c r="RD20" i="19"/>
  <c r="QY20" i="19"/>
  <c r="P20" i="19"/>
  <c r="PZ20" i="19"/>
  <c r="CZ20" i="19"/>
  <c r="RA20" i="19"/>
  <c r="QZ20" i="19"/>
  <c r="RE20" i="19"/>
  <c r="N20" i="19"/>
  <c r="L20" i="19"/>
  <c r="RB20" i="19"/>
  <c r="RD11" i="19"/>
  <c r="QY11" i="19"/>
  <c r="PZ11" i="19"/>
  <c r="P11" i="19"/>
  <c r="DE11" i="19" s="1"/>
  <c r="CZ11" i="19"/>
  <c r="QZ11" i="19"/>
  <c r="RA11" i="19"/>
  <c r="RE11" i="19"/>
  <c r="N11" i="19"/>
  <c r="L11" i="19"/>
  <c r="M11" i="19" s="1"/>
  <c r="RB11" i="19"/>
  <c r="RD23" i="19"/>
  <c r="PZ23" i="19"/>
  <c r="QZ23" i="19"/>
  <c r="CZ23" i="19"/>
  <c r="QY23" i="19"/>
  <c r="P23" i="19"/>
  <c r="DE23" i="19" s="1"/>
  <c r="RA23" i="19"/>
  <c r="RE23" i="19"/>
  <c r="N23" i="19"/>
  <c r="L23" i="19"/>
  <c r="RB23" i="19"/>
  <c r="DD23" i="19" l="1"/>
  <c r="R23" i="19" s="1"/>
  <c r="O23" i="19"/>
  <c r="O20" i="19"/>
  <c r="DD11" i="19"/>
  <c r="R11" i="19" s="1"/>
  <c r="O11" i="19"/>
  <c r="RF20" i="19"/>
  <c r="RF23" i="19"/>
  <c r="RF11" i="19"/>
  <c r="Q20" i="19"/>
  <c r="DE20" i="19"/>
  <c r="DD20" i="19"/>
  <c r="K20" i="19"/>
  <c r="Q11" i="19"/>
  <c r="RC23" i="19"/>
  <c r="RC20" i="19"/>
  <c r="M20" i="19"/>
  <c r="Q23" i="19"/>
  <c r="K11" i="19"/>
  <c r="RC11" i="19"/>
  <c r="K23" i="19"/>
  <c r="M23" i="19"/>
  <c r="J23" i="19" l="1"/>
  <c r="R20" i="19"/>
  <c r="F11" i="19"/>
  <c r="F23" i="19"/>
  <c r="J11" i="19" l="1"/>
  <c r="J20" i="19"/>
  <c r="F20" i="19"/>
  <c r="CV10" i="21" l="1"/>
  <c r="CW10" i="21"/>
  <c r="CX10" i="21"/>
  <c r="CY10" i="21"/>
  <c r="DA10" i="21"/>
  <c r="DB10" i="21"/>
  <c r="PV10" i="21"/>
  <c r="PW10" i="21"/>
  <c r="PX10" i="21"/>
  <c r="PY10" i="21"/>
  <c r="QA10" i="21"/>
  <c r="QB10" i="21"/>
  <c r="QD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C10" i="21" l="1"/>
  <c r="DC10" i="21"/>
  <c r="I10" i="21"/>
  <c r="H10" i="21"/>
  <c r="P10" i="21"/>
  <c r="DE10" i="21" s="1"/>
  <c r="RD10" i="21"/>
  <c r="QY10" i="21"/>
  <c r="PZ10" i="21"/>
  <c r="CZ10" i="21"/>
  <c r="RA10" i="21"/>
  <c r="QZ10" i="21"/>
  <c r="RE10" i="21"/>
  <c r="N10" i="21"/>
  <c r="L10" i="21"/>
  <c r="RB10" i="21"/>
  <c r="O10" i="21" l="1"/>
  <c r="RF10" i="21"/>
  <c r="DD10" i="21"/>
  <c r="M10" i="21"/>
  <c r="K10" i="21"/>
  <c r="Q10" i="21"/>
  <c r="RC10" i="21"/>
  <c r="R10" i="21" l="1"/>
  <c r="J10" i="21" l="1"/>
  <c r="F10" i="21"/>
  <c r="CV35" i="19" l="1"/>
  <c r="CW35" i="19"/>
  <c r="CX35" i="19"/>
  <c r="CY35" i="19"/>
  <c r="DA35" i="19"/>
  <c r="DB35" i="19"/>
  <c r="PV35" i="19"/>
  <c r="PW35" i="19"/>
  <c r="PX35" i="19"/>
  <c r="PY35" i="19"/>
  <c r="QA35" i="19"/>
  <c r="QB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C35" i="19" l="1"/>
  <c r="DC35" i="19"/>
  <c r="H35" i="19"/>
  <c r="I35" i="19"/>
  <c r="PZ35" i="19"/>
  <c r="CZ35" i="19"/>
  <c r="P35" i="19"/>
  <c r="DE35" i="19" s="1"/>
  <c r="RA35" i="19"/>
  <c r="RE35" i="19"/>
  <c r="RD35" i="19"/>
  <c r="N35" i="19"/>
  <c r="QZ35" i="19"/>
  <c r="QY35" i="19"/>
  <c r="L35" i="19"/>
  <c r="M35" i="19" s="1"/>
  <c r="RB35" i="19"/>
  <c r="DD35" i="19" l="1"/>
  <c r="O35" i="19"/>
  <c r="RF35" i="19"/>
  <c r="Q35" i="19"/>
  <c r="RC35" i="19"/>
  <c r="K35" i="19"/>
  <c r="R35" i="19" l="1"/>
  <c r="A4" i="22" l="1" a="1"/>
  <c r="A4" i="22" s="1"/>
  <c r="B9" i="22" a="1"/>
  <c r="B9" i="22" s="1"/>
  <c r="B12" i="22" a="1"/>
  <c r="B12" i="22" s="1"/>
  <c r="B6" i="22" a="1"/>
  <c r="B6" i="22" s="1"/>
  <c r="A12" i="22" a="1"/>
  <c r="A12" i="22" s="1"/>
  <c r="A7" i="22" a="1"/>
  <c r="A7" i="22" s="1"/>
  <c r="A9" i="22" a="1"/>
  <c r="A9" i="22" s="1"/>
  <c r="A6" i="22" a="1"/>
  <c r="A6" i="22" s="1"/>
  <c r="J35" i="19"/>
  <c r="F35" i="19"/>
  <c r="A35" i="19" l="1" a="1"/>
  <c r="A35" i="19" s="1"/>
  <c r="B35" i="19" a="1"/>
  <c r="B35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15" i="4" l="1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I15" i="4" l="1"/>
  <c r="H15" i="4"/>
  <c r="T15" i="4"/>
  <c r="U15" i="4" s="1"/>
  <c r="P15" i="4"/>
  <c r="Q15" i="4" s="1"/>
  <c r="R15" i="4"/>
  <c r="S15" i="4" s="1"/>
  <c r="SN15" i="4"/>
  <c r="SU15" i="4" s="1"/>
  <c r="CW15" i="4"/>
  <c r="DA15" i="4" s="1"/>
  <c r="TQ15" i="4"/>
  <c r="TU15" i="4"/>
  <c r="N15" i="4"/>
  <c r="L15" i="4"/>
  <c r="K15" i="4"/>
  <c r="TN15" i="4"/>
  <c r="DB15" i="4" l="1"/>
  <c r="DC15" i="4"/>
  <c r="O15" i="4"/>
  <c r="TR15" i="4"/>
  <c r="TV15" i="4" s="1"/>
  <c r="M15" i="4"/>
  <c r="J15" i="4" l="1"/>
  <c r="V15" i="4"/>
  <c r="X15" i="4" s="1"/>
  <c r="A15" i="4" l="1" a="1"/>
  <c r="A15" i="4" s="1"/>
  <c r="B15" i="4" a="1"/>
  <c r="B15" i="4" s="1"/>
  <c r="F15" i="4"/>
  <c r="W15" i="4"/>
  <c r="QW33" i="21"/>
  <c r="QV33" i="21"/>
  <c r="QU33" i="21"/>
  <c r="QT33" i="21"/>
  <c r="QS33" i="21"/>
  <c r="QR33" i="21"/>
  <c r="QQ33" i="21"/>
  <c r="QP33" i="21"/>
  <c r="QO33" i="21"/>
  <c r="QN33" i="21"/>
  <c r="QM33" i="21"/>
  <c r="QL33" i="21"/>
  <c r="QK33" i="21"/>
  <c r="QJ33" i="21"/>
  <c r="QI33" i="21"/>
  <c r="QH33" i="21"/>
  <c r="QG33" i="21"/>
  <c r="QF33" i="21"/>
  <c r="QE33" i="21"/>
  <c r="QD33" i="21"/>
  <c r="QB33" i="21"/>
  <c r="QA33" i="21"/>
  <c r="PY33" i="21"/>
  <c r="PX33" i="21"/>
  <c r="PW33" i="21"/>
  <c r="PV33" i="21"/>
  <c r="DB33" i="21"/>
  <c r="DA33" i="21"/>
  <c r="CY33" i="21"/>
  <c r="CX33" i="21"/>
  <c r="CW33" i="21"/>
  <c r="CV33" i="21"/>
  <c r="PY6" i="19"/>
  <c r="PY25" i="19"/>
  <c r="PY10" i="19"/>
  <c r="CY6" i="19"/>
  <c r="CY25" i="19"/>
  <c r="CY10" i="19"/>
  <c r="PX10" i="19"/>
  <c r="PX25" i="19"/>
  <c r="PX6" i="19"/>
  <c r="CX10" i="19"/>
  <c r="CX25" i="19"/>
  <c r="CX6" i="19"/>
  <c r="CV25" i="19"/>
  <c r="CW25" i="19"/>
  <c r="DA25" i="19"/>
  <c r="DB25" i="19"/>
  <c r="PV25" i="19"/>
  <c r="PW25" i="19"/>
  <c r="QA25" i="19"/>
  <c r="QB25" i="19"/>
  <c r="QD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CV6" i="19"/>
  <c r="CW6" i="19"/>
  <c r="DA6" i="19"/>
  <c r="DB6" i="19"/>
  <c r="PV6" i="19"/>
  <c r="PW6" i="19"/>
  <c r="QA6" i="19"/>
  <c r="QB6" i="19"/>
  <c r="QD6" i="19"/>
  <c r="QE6" i="19"/>
  <c r="QF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D10" i="19"/>
  <c r="QB10" i="19"/>
  <c r="QA10" i="19"/>
  <c r="PW10" i="19"/>
  <c r="PV10" i="19"/>
  <c r="DB10" i="19"/>
  <c r="DA10" i="19"/>
  <c r="CW10" i="19"/>
  <c r="CV10" i="19"/>
  <c r="QC6" i="19" l="1"/>
  <c r="QC33" i="21"/>
  <c r="QC10" i="19"/>
  <c r="QC25" i="19"/>
  <c r="DC33" i="21"/>
  <c r="I6" i="19"/>
  <c r="DC6" i="19"/>
  <c r="DC25" i="19"/>
  <c r="DC10" i="19"/>
  <c r="I25" i="19"/>
  <c r="H33" i="21"/>
  <c r="I33" i="21"/>
  <c r="H6" i="19"/>
  <c r="H25" i="19"/>
  <c r="H10" i="19"/>
  <c r="I10" i="19"/>
  <c r="CZ25" i="19"/>
  <c r="PZ25" i="19"/>
  <c r="CZ6" i="19"/>
  <c r="PZ10" i="19"/>
  <c r="PZ6" i="19"/>
  <c r="CZ10" i="19"/>
  <c r="P33" i="21"/>
  <c r="DE33" i="21" s="1"/>
  <c r="CZ33" i="21"/>
  <c r="N33" i="21"/>
  <c r="RB33" i="21"/>
  <c r="RD33" i="21"/>
  <c r="RA33" i="21"/>
  <c r="RE33" i="21"/>
  <c r="RB25" i="19"/>
  <c r="RB6" i="19"/>
  <c r="RB10" i="19"/>
  <c r="QZ33" i="21"/>
  <c r="L33" i="21"/>
  <c r="PZ33" i="21"/>
  <c r="QY33" i="21"/>
  <c r="RD6" i="19"/>
  <c r="RA6" i="19"/>
  <c r="QY6" i="19"/>
  <c r="P6" i="19"/>
  <c r="DE6" i="19" s="1"/>
  <c r="QZ6" i="19"/>
  <c r="P25" i="19"/>
  <c r="DE25" i="19" s="1"/>
  <c r="RE6" i="19"/>
  <c r="L6" i="19"/>
  <c r="RA25" i="19"/>
  <c r="QZ25" i="19"/>
  <c r="RD25" i="19"/>
  <c r="QY25" i="19"/>
  <c r="N25" i="19"/>
  <c r="L25" i="19"/>
  <c r="RE25" i="19"/>
  <c r="N6" i="19"/>
  <c r="P10" i="19"/>
  <c r="DE10" i="19" s="1"/>
  <c r="QY10" i="19"/>
  <c r="QZ10" i="19"/>
  <c r="RE10" i="19"/>
  <c r="RD10" i="19"/>
  <c r="L10" i="19"/>
  <c r="RA10" i="19"/>
  <c r="N10" i="19"/>
  <c r="DD33" i="21" l="1"/>
  <c r="R33" i="21" s="1"/>
  <c r="O33" i="21"/>
  <c r="DD25" i="19"/>
  <c r="R25" i="19" s="1"/>
  <c r="O25" i="19"/>
  <c r="DD6" i="19"/>
  <c r="O6" i="19"/>
  <c r="DD10" i="19"/>
  <c r="O10" i="19"/>
  <c r="RF6" i="19"/>
  <c r="RF33" i="21"/>
  <c r="RF25" i="19"/>
  <c r="RF10" i="19"/>
  <c r="M33" i="21"/>
  <c r="Q33" i="21"/>
  <c r="Q10" i="19"/>
  <c r="Q6" i="19"/>
  <c r="RC33" i="21"/>
  <c r="K6" i="19"/>
  <c r="K25" i="19"/>
  <c r="M10" i="19"/>
  <c r="M6" i="19"/>
  <c r="RC25" i="19"/>
  <c r="K10" i="19"/>
  <c r="K33" i="21"/>
  <c r="RC10" i="19"/>
  <c r="RC6" i="19"/>
  <c r="Q25" i="19"/>
  <c r="M25" i="19"/>
  <c r="F33" i="21" l="1"/>
  <c r="F25" i="19"/>
  <c r="R6" i="19"/>
  <c r="R10" i="19"/>
  <c r="J33" i="21" l="1"/>
  <c r="J10" i="19"/>
  <c r="J25" i="19"/>
  <c r="J6" i="19"/>
  <c r="F6" i="19"/>
  <c r="F10" i="19"/>
  <c r="A11" i="21" l="1" a="1"/>
  <c r="A11" i="21" s="1"/>
  <c r="B11" i="21" a="1"/>
  <c r="B11" i="21" s="1"/>
  <c r="B9" i="21" a="1"/>
  <c r="B9" i="21" s="1"/>
  <c r="A10" i="21" a="1"/>
  <c r="A10" i="21" s="1"/>
  <c r="B10" i="21" a="1"/>
  <c r="B10" i="21" s="1"/>
  <c r="A7" i="21" a="1"/>
  <c r="A7" i="21" s="1"/>
  <c r="A9" i="21" a="1"/>
  <c r="A9" i="21" s="1"/>
  <c r="B7" i="21" a="1"/>
  <c r="B7" i="21" s="1"/>
  <c r="B22" i="19" a="1"/>
  <c r="B22" i="19" s="1"/>
  <c r="A22" i="19" a="1"/>
  <c r="A22" i="19" s="1"/>
  <c r="B13" i="19" a="1"/>
  <c r="B13" i="19" s="1"/>
  <c r="A4" i="19" a="1"/>
  <c r="A4" i="19" s="1"/>
  <c r="A12" i="19" a="1"/>
  <c r="A12" i="19" s="1"/>
  <c r="A13" i="19" a="1"/>
  <c r="A13" i="19" s="1"/>
  <c r="A14" i="19" a="1"/>
  <c r="A14" i="19" s="1"/>
  <c r="B4" i="19" a="1"/>
  <c r="B4" i="19" s="1"/>
  <c r="B12" i="19" a="1"/>
  <c r="B12" i="19" s="1"/>
  <c r="B14" i="19" a="1"/>
  <c r="B14" i="19" s="1"/>
  <c r="B15" i="19" a="1"/>
  <c r="B15" i="19" s="1"/>
  <c r="A15" i="19" a="1"/>
  <c r="A15" i="19" s="1"/>
  <c r="A8" i="21" a="1"/>
  <c r="A8" i="21" s="1"/>
  <c r="B8" i="21" a="1"/>
  <c r="B8" i="21" s="1"/>
  <c r="A31" i="19" a="1"/>
  <c r="A31" i="19" s="1"/>
  <c r="B31" i="19" a="1"/>
  <c r="B31" i="19" s="1"/>
  <c r="A17" i="19" a="1"/>
  <c r="A17" i="19" s="1"/>
  <c r="B17" i="19" a="1"/>
  <c r="B17" i="19" s="1"/>
  <c r="B6" i="21" a="1"/>
  <c r="B6" i="21" s="1"/>
  <c r="A4" i="21" a="1"/>
  <c r="A4" i="21" s="1"/>
  <c r="B4" i="21" a="1"/>
  <c r="B4" i="21" s="1"/>
  <c r="B9" i="19" a="1"/>
  <c r="B9" i="19" s="1"/>
  <c r="A9" i="19" a="1"/>
  <c r="A9" i="19" s="1"/>
  <c r="A7" i="19" a="1"/>
  <c r="A7" i="19" s="1"/>
  <c r="A38" i="19" a="1"/>
  <c r="A38" i="19" s="1"/>
  <c r="B19" i="19" a="1"/>
  <c r="B19" i="19" s="1"/>
  <c r="B7" i="19" a="1"/>
  <c r="B7" i="19" s="1"/>
  <c r="B38" i="19" a="1"/>
  <c r="B38" i="19" s="1"/>
  <c r="A21" i="19" a="1"/>
  <c r="A21" i="19" s="1"/>
  <c r="B21" i="19" a="1"/>
  <c r="B21" i="19" s="1"/>
  <c r="A19" i="19" a="1"/>
  <c r="A19" i="19" s="1"/>
  <c r="B18" i="19" a="1"/>
  <c r="B18" i="19" s="1"/>
  <c r="A18" i="19" a="1"/>
  <c r="A18" i="19" s="1"/>
  <c r="A33" i="21" a="1"/>
  <c r="A33" i="21" s="1"/>
  <c r="B33" i="21" a="1"/>
  <c r="B33" i="21" s="1"/>
  <c r="B5" i="21" a="1"/>
  <c r="B5" i="21" s="1"/>
  <c r="B10" i="19" a="1"/>
  <c r="B10" i="19" s="1"/>
  <c r="B25" i="19" a="1"/>
  <c r="B25" i="19" s="1"/>
  <c r="B8" i="19" a="1"/>
  <c r="B8" i="19" s="1"/>
  <c r="B16" i="19" a="1"/>
  <c r="B16" i="19" s="1"/>
  <c r="B11" i="19" a="1"/>
  <c r="B11" i="19" s="1"/>
  <c r="B24" i="19" a="1"/>
  <c r="B24" i="19" s="1"/>
  <c r="B20" i="19" a="1"/>
  <c r="B20" i="19" s="1"/>
  <c r="B41" i="19" a="1"/>
  <c r="B41" i="19" s="1"/>
  <c r="B23" i="19" a="1"/>
  <c r="B23" i="19" s="1"/>
  <c r="B30" i="19" a="1"/>
  <c r="B30" i="19" s="1"/>
  <c r="B6" i="19" a="1"/>
  <c r="B6" i="19" s="1"/>
  <c r="A6" i="19" a="1"/>
  <c r="A6" i="19" s="1"/>
  <c r="A25" i="19" a="1"/>
  <c r="A25" i="19" s="1"/>
  <c r="A10" i="19" a="1"/>
  <c r="A10" i="19" s="1"/>
  <c r="A6" i="21" a="1"/>
  <c r="A6" i="21" s="1"/>
  <c r="A5" i="21" a="1"/>
  <c r="A5" i="21" s="1"/>
  <c r="A24" i="19" a="1"/>
  <c r="A24" i="19" s="1"/>
  <c r="A16" i="19" a="1"/>
  <c r="A16" i="19" s="1"/>
  <c r="A30" i="19" a="1"/>
  <c r="A30" i="19" s="1"/>
  <c r="A41" i="19" a="1"/>
  <c r="A41" i="19" s="1"/>
  <c r="A23" i="19" a="1"/>
  <c r="A23" i="19" s="1"/>
  <c r="A5" i="19" a="1"/>
  <c r="A5" i="19" s="1"/>
  <c r="A11" i="19" a="1"/>
  <c r="A11" i="19" s="1"/>
  <c r="A8" i="19" a="1"/>
  <c r="A8" i="19" s="1"/>
  <c r="A20" i="19" a="1"/>
  <c r="A20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8" i="4"/>
  <c r="SS8" i="4"/>
  <c r="SR8" i="4"/>
  <c r="SQ8" i="4"/>
  <c r="SP8" i="4"/>
  <c r="SO8" i="4"/>
  <c r="SM8" i="4"/>
  <c r="SL8" i="4"/>
  <c r="SK8" i="4"/>
  <c r="SJ8" i="4"/>
  <c r="SI8" i="4"/>
  <c r="SH8" i="4"/>
  <c r="CY8" i="4"/>
  <c r="CU8" i="4"/>
  <c r="CR8" i="4"/>
  <c r="CQ8" i="4"/>
  <c r="SN8" i="4" l="1"/>
  <c r="SU8" i="4" s="1"/>
  <c r="SZ8" i="4" l="1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S8" i="4"/>
  <c r="CT8" i="4"/>
  <c r="CV8" i="4"/>
  <c r="CX8" i="4"/>
  <c r="CZ8" i="4"/>
  <c r="I8" i="4" l="1"/>
  <c r="H8" i="4"/>
  <c r="T8" i="4"/>
  <c r="U8" i="4" s="1"/>
  <c r="P8" i="4"/>
  <c r="Q8" i="4" s="1"/>
  <c r="R8" i="4"/>
  <c r="S8" i="4" s="1"/>
  <c r="L8" i="4"/>
  <c r="N8" i="4"/>
  <c r="K8" i="4"/>
  <c r="TQ8" i="4"/>
  <c r="TU8" i="4"/>
  <c r="CW8" i="4"/>
  <c r="DA8" i="4" s="1"/>
  <c r="SW8" i="4"/>
  <c r="SX8" i="4"/>
  <c r="TL8" i="4" s="1"/>
  <c r="SY8" i="4"/>
  <c r="TM8" i="4" s="1"/>
  <c r="SV8" i="4"/>
  <c r="J8" i="4" l="1"/>
  <c r="M8" i="4"/>
  <c r="DB8" i="4"/>
  <c r="DC8" i="4"/>
  <c r="TN8" i="4"/>
  <c r="TR8" i="4" s="1"/>
  <c r="TV8" i="4" s="1"/>
  <c r="O8" i="4"/>
  <c r="V8" i="4" l="1"/>
  <c r="X8" i="4" s="1"/>
  <c r="B6" i="4" l="1" a="1"/>
  <c r="B6" i="4" s="1"/>
  <c r="F8" i="4"/>
  <c r="W8" i="4"/>
  <c r="B11" i="4" l="1" a="1"/>
  <c r="B11" i="4" s="1"/>
  <c r="A11" i="4" a="1"/>
  <c r="A11" i="4" s="1"/>
  <c r="B9" i="4" a="1"/>
  <c r="B9" i="4" s="1"/>
  <c r="B10" i="4" a="1"/>
  <c r="B10" i="4" s="1"/>
  <c r="A10" i="4" a="1"/>
  <c r="A10" i="4" s="1"/>
  <c r="A9" i="4" a="1"/>
  <c r="A9" i="4" s="1"/>
  <c r="A6" i="4" a="1"/>
  <c r="A6" i="4" s="1"/>
  <c r="B8" i="4" a="1"/>
  <c r="B8" i="4" s="1"/>
  <c r="A8" i="4" a="1"/>
  <c r="A8" i="4" s="1"/>
  <c r="B7" i="4" a="1"/>
  <c r="B7" i="4" s="1"/>
  <c r="A7" i="4" a="1"/>
  <c r="A7" i="4" s="1"/>
  <c r="B4" i="4" a="1"/>
  <c r="B4" i="4" s="1"/>
  <c r="B5" i="4" a="1"/>
  <c r="B5" i="4" s="1"/>
  <c r="B37" i="4" a="1"/>
  <c r="B37" i="4" s="1"/>
  <c r="B12" i="4" a="1"/>
  <c r="B12" i="4" s="1"/>
  <c r="A5" i="4" a="1"/>
  <c r="A5" i="4" s="1"/>
  <c r="A4" i="4" a="1"/>
  <c r="A4" i="4" s="1"/>
  <c r="A37" i="4" a="1"/>
  <c r="A37" i="4" s="1"/>
  <c r="A12" i="4" a="1"/>
  <c r="A12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<sst xmlns="http://schemas.openxmlformats.org/spreadsheetml/2006/main" count="4091" uniqueCount="231">
  <si>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</si>
  <si>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</si>
  <si>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</si>
  <si>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</si>
  <si>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</si>
  <si>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</si>
  <si>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</si>
  <si>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</si>
  <si>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</si>
  <si>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</si>
  <si>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</si>
  <si>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</si>
  <si>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</si>
  <si>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</si>
  <si>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</si>
  <si>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</si>
  <si>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</si>
  <si>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</si>
  <si>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</si>
  <si>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</si>
  <si>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</si>
  <si>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</si>
  <si>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</si>
  <si>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</si>
  <si>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</si>
  <si>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</si>
  <si>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</si>
  <si>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</si>
  <si>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</si>
  <si>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</si>
  <si>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</si>
  <si>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</si>
  <si>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</si>
  <si>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</si>
  <si>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</si>
  <si>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</si>
  <si>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</si>
  <si>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</si>
  <si>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</si>
  <si>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</si>
  <si>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</si>
  <si>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</si>
  <si>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</si>
  <si>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</si>
  <si>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</si>
  <si>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</si>
  <si>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</si>
  <si>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</si>
  <si>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</si>
  <si>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</si>
  <si>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</si>
  <si>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</si>
  <si>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</si>
  <si>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</si>
  <si>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</si>
  <si>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</si>
  <si>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</si>
  <si>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</si>
  <si>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</si>
  <si>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</si>
  <si>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</si>
  <si>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</si>
  <si>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Worlds Eligible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</si>
  <si>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</si>
  <si>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</si>
  <si>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</si>
  <si>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</si>
  <si>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</si>
  <si>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</si>
  <si>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</si>
  <si>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</si>
  <si>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</si>
  <si>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</si>
  <si>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</si>
  <si>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</si>
  <si>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</si>
  <si>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</si>
  <si>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</si>
  <si>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</si>
  <si>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</si>
  <si>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</si>
  <si>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</si>
  <si>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</si>
  <si>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</si>
  <si>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</si>
  <si>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</si>
  <si>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</si>
  <si>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NEUFELD, Simon</t>
  </si>
  <si>
    <t>CLOUTIER, Étienne</t>
  </si>
  <si>
    <t>MEYER, Jeremy</t>
  </si>
  <si>
    <t>NL</t>
  </si>
  <si>
    <t>EVSTIGNEEV, Gleb</t>
  </si>
  <si>
    <t>BONNE, Rielle</t>
  </si>
  <si>
    <t>BOWDITCH, Courtney</t>
  </si>
  <si>
    <t>MB</t>
  </si>
  <si>
    <t>COLLINSON, Brody</t>
  </si>
  <si>
    <t>GORDENKO-SADEVICH, Dennis</t>
  </si>
  <si>
    <t>THOMPSON, Derek</t>
  </si>
  <si>
    <t>MALLAIS, Rylan</t>
  </si>
  <si>
    <t>PINNOCK, Liana</t>
  </si>
  <si>
    <t>KOTKAS, Katarina</t>
  </si>
  <si>
    <t>BECKETT, Lindsey</t>
  </si>
  <si>
    <t>BECKETT, Aleisha</t>
  </si>
  <si>
    <t>COUTURE, Joey</t>
  </si>
  <si>
    <t>BASTIEN, Rose</t>
  </si>
  <si>
    <t>MATHIEU, Jean</t>
  </si>
  <si>
    <t>PINSK, Benjamin</t>
  </si>
  <si>
    <t>ANGST, Caelyn</t>
  </si>
  <si>
    <t>GROVES, Chelsea</t>
  </si>
  <si>
    <t>PEPPER, Emily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</si>
  <si>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</si>
  <si>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</si>
  <si>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</si>
  <si>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</si>
  <si>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</si>
  <si>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</si>
  <si>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</si>
  <si>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</si>
  <si>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</si>
  <si>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</si>
  <si>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</si>
  <si>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</si>
  <si>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</si>
  <si>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</si>
  <si>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</si>
  <si>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</si>
  <si>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</si>
  <si>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BERKENBOSCH, Bence</t>
  </si>
  <si>
    <t>PIPKO, Halle</t>
  </si>
  <si>
    <t>RYGA, Ruby</t>
  </si>
  <si>
    <t>BAIR, Xavier</t>
  </si>
  <si>
    <t>CANUEL, Victor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</si>
  <si>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</si>
  <si>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</si>
  <si>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</si>
  <si>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</si>
  <si>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</si>
  <si>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</si>
  <si>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</si>
  <si>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</si>
  <si>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</si>
  <si>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</si>
  <si>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BOURDAGES, Noémie</t>
  </si>
  <si>
    <t>BENJAMIN, Jai</t>
  </si>
  <si>
    <t>LADEROUTE, Sam</t>
  </si>
  <si>
    <t>Rank (Everyone)</t>
  </si>
  <si>
    <t>Rank (Excluding Sr Team)</t>
  </si>
  <si>
    <t>On Senior Team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</si>
  <si>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</si>
  <si>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</si>
  <si>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</si>
  <si>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</si>
  <si>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</si>
  <si>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</si>
  <si>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</si>
  <si>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</si>
  <si>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</si>
  <si>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</si>
  <si>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BOURGAULT-FOURNIER, Alexis</t>
  </si>
  <si>
    <t>CANN, Jackson</t>
  </si>
  <si>
    <t>BURELLE-DUBOIS, Josué</t>
  </si>
  <si>
    <t>GLOWACKI, Oskar</t>
  </si>
  <si>
    <t>ALBERT, Audrey</t>
  </si>
  <si>
    <t>WILLIMOTT, Amy</t>
  </si>
  <si>
    <t>JANEVSKI, Léa</t>
  </si>
  <si>
    <t>RESCHKE, Jami</t>
  </si>
  <si>
    <t>HANNAH, Ashley</t>
  </si>
  <si>
    <t>NELSON, Mackenzie</t>
  </si>
  <si>
    <t>NATH, Zander</t>
  </si>
  <si>
    <t>BURKHART, Sofia</t>
  </si>
  <si>
    <t>SARTISON, Torrance</t>
  </si>
  <si>
    <t>DUNKLEY, Olivia</t>
  </si>
  <si>
    <t>BROOKER, Aubree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</si>
  <si>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</si>
  <si>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</si>
  <si>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</si>
  <si>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</si>
  <si>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</si>
  <si>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</si>
  <si>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</si>
  <si>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</si>
  <si>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</si>
  <si>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</si>
  <si>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</si>
  <si>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</si>
  <si>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</si>
  <si>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</si>
  <si>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</si>
  <si>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</si>
  <si>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</si>
  <si>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</si>
  <si>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</si>
  <si>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</si>
  <si>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</si>
  <si>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</si>
  <si>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</si>
  <si>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</si>
  <si>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</si>
  <si>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</si>
  <si>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 (Jun 29)</t>
  </si>
  <si>
    <t>2024 Coimbra Gym Fest (July 7)</t>
  </si>
  <si>
    <t>2024 World Cup POR (July 7)</t>
  </si>
  <si>
    <t>FRIESEN, Declyn</t>
  </si>
  <si>
    <t>2024 3rd Domestic Trial</t>
  </si>
  <si>
    <t>WEHAGE, Connor</t>
  </si>
  <si>
    <t>BEAULIEU, Alex</t>
  </si>
  <si>
    <t>BLOOM, Tristan</t>
  </si>
  <si>
    <t>SCHMIDT, Jordyn</t>
  </si>
  <si>
    <t>SCHMIDT, Makena</t>
  </si>
  <si>
    <t>GIBBS, Gavin</t>
  </si>
  <si>
    <t>LOISELLE, Hector</t>
  </si>
  <si>
    <t>NEWMAN, Olivia</t>
  </si>
  <si>
    <t>STIMERS, Natalie</t>
  </si>
  <si>
    <t>KOCAK, Jonas</t>
  </si>
  <si>
    <t>BISHOP, Brody</t>
  </si>
  <si>
    <t>BING-L'HEUREUX, Noah</t>
  </si>
  <si>
    <t>BESSADI, Kella</t>
  </si>
  <si>
    <t>2025 Elite Canada</t>
  </si>
  <si>
    <t>BISSONNETTE, Emeric</t>
  </si>
  <si>
    <t>MOORE, Riley</t>
  </si>
  <si>
    <t>BILODEAU, Lee-Ann</t>
  </si>
  <si>
    <t>KAUFMANN, Vivian</t>
  </si>
  <si>
    <t>KOCHYLEMA, Jacob</t>
  </si>
  <si>
    <t>MICHALSKI, Rylan</t>
  </si>
  <si>
    <t>VAN ESSEN, Oliver</t>
  </si>
  <si>
    <t>VANDEN HOVEN, Tristan</t>
  </si>
  <si>
    <t>DEOBALD, Addis</t>
  </si>
  <si>
    <t>GRIFFITHS, Ella</t>
  </si>
  <si>
    <t>CHEW, Makena</t>
  </si>
  <si>
    <t>GRANT, Sienna</t>
  </si>
  <si>
    <t>KWASNIAK, Alicja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</si>
</sst>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ADJEMIAN, Alexan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VIAU, Nathan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CLOUTIER, Étienne</v>
      </c>
      <c r="G3" s="14" t="str">
        <f>IF(B3&gt;MAX('TRA-M'!A:A),"",INDEX('TRA-M'!J:J,MATCH(B3,'TRA-M'!A:A,0)))</f>
        <v>National Team</v>
      </c>
    </row>
    <row r="4" spans="1:7" x14ac:dyDescent="0.2">
      <c r="A4" s="6"/>
      <c r="B4" s="6">
        <v>3</v>
      </c>
      <c r="C4" s="6" t="str">
        <f>IF(B4&gt;MAX('TRA-M'!B:B),"",INDEX('TRA-M'!C:C,MATCH(B4,'TRA-M'!B:B,0)))</f>
        <v>THOMPSON, Derek</v>
      </c>
      <c r="D4" s="14" t="str">
        <f>IF(B4&gt;MAX('TRA-M'!B:B),"",INDEX('TRA-M'!J:J,MATCH(B4,'TRA-M'!B:B,0)))</f>
        <v>National Team</v>
      </c>
      <c r="E4" s="12"/>
      <c r="F4" s="6" t="str">
        <f>IF(B4&gt;MAX('TRA-M'!A:A),"",INDEX('TRA-M'!C:C,MATCH(B4,'TRA-M'!A:A,0)))</f>
        <v>CYMAN, Cody</v>
      </c>
      <c r="G4" s="14" t="str">
        <f>IF(B4&gt;MAX('TRA-M'!A:A),"",INDEX('TRA-M'!J:J,MATCH(B4,'TRA-M'!A:A,0)))</f>
        <v>National Team</v>
      </c>
    </row>
    <row r="5" spans="1:7" x14ac:dyDescent="0.2">
      <c r="A5" s="6"/>
      <c r="B5" s="6">
        <v>4</v>
      </c>
      <c r="C5" s="6" t="str">
        <f>IF(B5&gt;MAX('TRA-M'!B:B),"",INDEX('TRA-M'!C:C,MATCH(B5,'TRA-M'!B:B,0)))</f>
        <v>COOK, Mason</v>
      </c>
      <c r="D5" s="14" t="str">
        <f>IF(B5&gt;MAX('TRA-M'!B:B),"",INDEX('TRA-M'!J:J,MATCH(B5,'TRA-M'!B:B,0)))</f>
        <v>National Team</v>
      </c>
      <c r="F5" s="6" t="str">
        <f>IF(B5&gt;MAX('TRA-M'!A:A),"",INDEX('TRA-M'!C:C,MATCH(B5,'TRA-M'!A:A,0)))</f>
        <v>VIAU, Nathan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PINNOCK, Liana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ROY, Anne-Jolie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KUZNAK, Sienna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PINNOCK, Liana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JAMES, Roshni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ROY, Anne-Jolie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BLOOM, Tristan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LOISELLE, Hector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CANUEL, Victor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NATH, Zander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PINSK, Benjamin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LADEROUTE, Sam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VIAU, Nathan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BASTIEN, Rose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BERGERON, Ella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BOWDITCH, Courtney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SARTISON, Torrance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PECK, Rachel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OLSEN, Brooklyn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BASTIEN, Rose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HARBO, Owen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BLOOM, Tristan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MEYER, Jeremy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NEUFELD, Simon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PINSK, Benjamin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MALLAIS, Rylan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KOCAK, Jonas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ROBERTSON, Griffyn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SCHMIDT, Jordyn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RYGA, Ruby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OLSEN, Brooklyn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SCHMIDT, Makena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PEPPER, Emily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SCHMIDT, Jordyn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6">
        <v>45735</v>
      </c>
      <c r="C34" s="66"/>
    </row>
    <row r="35" spans="1:3" x14ac:dyDescent="0.2">
      <c r="B35" t="s">
        <v>217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49" priority="6" operator="containsText" text="No DD">
      <formula>NOT(ISERROR(SEARCH("No DD",G2)))</formula>
    </cfRule>
    <cfRule type="containsText" dxfId="448" priority="9" operator="containsText" text="Merit">
      <formula>NOT(ISERROR(SEARCH("Merit",G2)))</formula>
    </cfRule>
    <cfRule type="containsText" dxfId="447" priority="10" operator="containsText" text="Excellence">
      <formula>NOT(ISERROR(SEARCH("Excellence",G2)))</formula>
    </cfRule>
    <cfRule type="containsText" dxfId="446" priority="11" operator="containsText" text="Worlds Team">
      <formula>NOT(ISERROR(SEARCH("Worlds Team",G2)))</formula>
    </cfRule>
    <cfRule type="containsText" dxfId="445" priority="12" operator="containsText" text="National Team">
      <formula>NOT(ISERROR(SEARCH("National Team",G2)))</formula>
    </cfRule>
  </conditionalFormatting>
  <conditionalFormatting sqref="D2:D25">
    <cfRule type="containsText" dxfId="444" priority="1" operator="containsText" text="No DD">
      <formula>NOT(ISERROR(SEARCH("No DD",D2)))</formula>
    </cfRule>
    <cfRule type="containsText" dxfId="443" priority="2" operator="containsText" text="Merit">
      <formula>NOT(ISERROR(SEARCH("Merit",D2)))</formula>
    </cfRule>
    <cfRule type="containsText" dxfId="442" priority="3" operator="containsText" text="Excellence">
      <formula>NOT(ISERROR(SEARCH("Excellence",D2)))</formula>
    </cfRule>
    <cfRule type="containsText" dxfId="441" priority="4" operator="containsText" text="Worlds Team">
      <formula>NOT(ISERROR(SEARCH("Worlds Team",D2)))</formula>
    </cfRule>
    <cfRule type="containsText" dxfId="440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0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</cols>
  <sheetData>
    <row r="1" spans="1:542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111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186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203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183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184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199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200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 t="s">
        <v>201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112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DD"),SUMPRODUCT((J$4:J$39&lt;&gt;"")*(J$4:J$39&lt;&gt;"No DD")*(F$4:F$39&gt;F4))+1,IF(J4="No DD",SUMPRODUCT((J$4:J$39="No DD")*(F$4:F$39&gt;F4))+1+SUMPRODUCT((J$4:J$39&lt;&gt;"")*(J$4:J$39&lt;&gt;"No DD")),""))</f>
        <v>1</v>
      </c>
      <c r="B4" s="4" t="str" cm="1">
        <f t="array" ref="B4">IF(AND(J4&lt;&gt;"",J4&lt;&gt;"No DD",G4=""),SUMPRODUCT((J$4:J$39&lt;&gt;"")*(J$4:J$39&lt;&gt;"No DD")*(G$4:G$39="")*(F$4:F$39&gt;F4))+1,IF(J4="No DD",SUMPRODUCT((J$4:J$39="No DD")*(F$4:F$39&gt;F4)*(G$4:G$39=""))+1+SUMPRODUCT((J$4:J$39&lt;&gt;"")*(G$4:G$39="")*(J$4:J$39&lt;&gt;"No DD")),""))</f>
        <v/>
      </c>
      <c r="C4" s="5" t="s">
        <v>123</v>
      </c>
      <c r="D4" s="4" t="s">
        <v>6</v>
      </c>
      <c r="E4" s="4">
        <v>2006</v>
      </c>
      <c r="F4" s="9">
        <f t="shared" ref="F4:F38" si="0">SUM(L4:V4)+SUM(L4:T4)*0.0000001+SUM(L4)*0.0000000000001</f>
        <v>202.2700202270056</v>
      </c>
      <c r="G4" s="64" t="s">
        <v>46</v>
      </c>
      <c r="H4" s="3" t="str">
        <f t="shared" ref="H4:H38" si="1">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P","")</f>
        <v>P</v>
      </c>
      <c r="I4" s="3" t="str">
        <f t="shared" ref="I4:I38" si="2">IF(OR(AND(AQ4&gt;=AY$45,AQ4&lt;&gt;"",AN4=""),AND(AT4&gt;=AY$45,AT4&lt;&gt;"",AN4=""),AND(AX4&gt;=AY$45,AX4&lt;&gt;"",AN4=""),AND(BR4&gt;=BZ$45,BR4&lt;&gt;"",BO4=""),AND(BU4&gt;=BZ$45,BU4&lt;&gt;"",BO4=""),AND(BY4&gt;=BZ$45,BY4&lt;&gt;"",BO4=""),AND(CS4&gt;=DA$45,CS4&lt;&gt;"",CP4=""),AND(CV4&gt;=DA$45,CV4&lt;&gt;"",CP4=""),AND(CZ4&gt;=DA$45,CZ4&lt;&gt;"",CP4=""),AND(DZ4&gt;=EK$45,DZ4&lt;&gt;""),AND(EC4&gt;=EK$45,EC4&lt;&gt;""),AND(EG4&gt;=EK$45,EG4&lt;&gt;""),AND(EJ4&gt;=EK$45,EJ4&lt;&gt;""),AND(FH4&gt;=FS$45,FH4&lt;&gt;""),AND(FK4&gt;=FS$45,FK4&lt;&gt;""),AND(FO4&gt;=FS$45,FO4&lt;&gt;""),AND(FR4&gt;=FS$45,FR4&lt;&gt;""),AND(GP4&gt;=HA$45,GP4&lt;&gt;""),AND(GS4&gt;=HA$45,GS4&lt;&gt;""),AND(GW4&gt;=HA$45,GW4&lt;&gt;""),AND(GZ4&gt;=HA$45,GZ4&lt;&gt;""),AND(HX4&gt;=II$45,HX4&lt;&gt;""),AND(IA4&gt;=II$45,IA4&lt;&gt;""),AND(IE4&gt;=II$45,IE4&lt;&gt;""),AND(IH4&gt;=II$45,IH4&lt;&gt;""),AND(JF4&gt;=JQ$45,JF4&lt;&gt;""),AND(JI4&gt;=JQ$45,JI4&lt;&gt;""),AND(JM4&gt;=JQ$45,JM4&lt;&gt;""),AND(JP4&gt;=JQ$45,JP4&lt;&gt;""),AND(KN4&gt;=KY$45,KN4&lt;&gt;""),AND(KQ4&gt;=KY$45,KQ4&lt;&gt;""),AND(KU4&gt;=KY$45,KU4&lt;&gt;""),AND(KX4&gt;=KY$45,KX4&lt;&gt;""),AND(LV4&gt;=MG$45,LV4&lt;&gt;""),AND(LY4&gt;=MG$45,LY4&lt;&gt;""),AND(MC4&gt;=MG$45,MC4&lt;&gt;""),AND(MF4&gt;=MG$45,MF4&lt;&gt;""),AND(ND4&gt;=NO$45,ND4&lt;&gt;""),AND(NG4&gt;=NO$45,NG4&lt;&gt;""),AND(NK4&gt;=NO$45,NK4&lt;&gt;""),AND(NN4&gt;=NO$45,NN4&lt;&gt;""),AND(OL4&gt;=OW$45,OL4&lt;&gt;""),AND(OO4&gt;=OW$45,OO4&lt;&gt;""),AND(OS4&gt;=OW$45,OS4&lt;&gt;""),AND(OV4&gt;=OW$45,OV4&lt;&gt;""),AND(PT4&gt;=QE$45,PT4&lt;&gt;""),AND(PW4&gt;=QE$45,PW4&lt;&gt;""),AND(QA4&gt;=QE$45,QA4&lt;&gt;""),AND(QD4&gt;=QE$45,QD4&lt;&gt;""),AND(RB4&gt;=RM$45,RB4&lt;&gt;""),AND(RE4&gt;=RM$45,RE4&lt;&gt;""),AND(RI4&gt;=RM$45,RI4&lt;&gt;""),AND(RL4&gt;=RM$45,RL4&lt;&gt;""),AND(SJ4&gt;=SU$45,SJ4&lt;&gt;""),AND(SM4&gt;=SU$45,SM4&lt;&gt;""),AND(SQ4&gt;=SU$45,SQ4&lt;&gt;""),AND(ST4&gt;=SU$45,ST4&lt;&gt;"")),"P","")</f>
        <v>P</v>
      </c>
      <c r="J4" s="36" t="str">
        <f t="shared" ref="J4:J38" si="3">IF(AND(I4="P",H4=""),"No DD",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Merit",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Excellence",IF(K4="P","Worlds Team",IF(H4="P","National Team","")))))</f>
        <v>National Team</v>
      </c>
      <c r="K4" s="3" t="str">
        <f t="shared" ref="K4:K38" si="4">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P","")</f>
        <v/>
      </c>
      <c r="L4" s="8">
        <f>IF(COUNT(AQ4,AT4,BR4,BU4,CS4,CV4)&gt;0,LARGE((AQ4,AT4,BR4,BU4,CS4,CV4),1),0)</f>
        <v>56.34</v>
      </c>
      <c r="M4" s="8" t="str">
        <f t="shared" ref="M4:M38" si="5">IF(L4="","",IF(OR(L4=CS4,L4=CV4),$CA$1,IF(OR(L4=BR4,L4=BU4),$AZ$1,IF(OR(L4=AQ4,L4=AT4),$Y$1,""))))</f>
        <v>2024 Nationals</v>
      </c>
      <c r="N4" s="8">
        <f>IF(COUNT(AQ4,AT4,BR4,BU4,CS4,CV4)&gt;1,LARGE((AQ4,AT4,BR4,BU4,CS4,CV4),2),0)</f>
        <v>56.190000000000005</v>
      </c>
      <c r="O4" s="8" t="str">
        <f t="shared" ref="O4:O38" si="6">IF(N4="","",IF(OR(N4=CS4,N4=CV4),$CA$1,IF(OR(N4=BR4,N4=BU4),$AZ$1,IF(OR(N4=AQ4,N4=AT4),$Y$1,""))))</f>
        <v>2024 3rd Domestic Trial</v>
      </c>
      <c r="P4" s="8">
        <f>IF(COUNT(AQ4,AT4,BR4,BU4,CS4,CV4)&gt;2,MAX(AX4,BY4,CZ4,LARGE((AQ4,AT4,BR4,BU4,CS4,CV4),3)),IF(MAX(AX4,BY4,CZ4)&gt;0,MAX(AX4,BY4,CZ4),0))</f>
        <v>57.120000000000005</v>
      </c>
      <c r="Q4" s="8" t="str">
        <f t="shared" ref="Q4:Q38" si="7">IF(P4="","",IF(P4=CZ4,$CA$1,IF(P4=BY4,$AZ$1,IF(P4=AX4,$Y$1,IF(OR(P4=CS4,P4=CV4,P4=CZ4),$CA$1,IF(OR(P4=BR4,P4=BU4,P4=BY4),$AZ$1,IF(OR(P4=AQ4,P4=AT4,P4=AX4),$Y$1,"")))))))</f>
        <v>2024 3rd Domestic Trial</v>
      </c>
      <c r="R4" s="8">
        <f t="shared" ref="R4:R38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16.2</v>
      </c>
      <c r="S4" s="8" t="str">
        <f t="shared" ref="S4:S38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3rd Domestic Trial</v>
      </c>
      <c r="T4" s="8">
        <f t="shared" ref="T4:T38" si="10">IF(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&gt;0,MAX(IF(AO4&gt;=$AY$41,AP4,0),IF(AR4&gt;=$AY$41,AS4,0),IF(AV4&gt;=$AY$41,AW4,0),IF(BP4&gt;=$BZ$41,BQ4,0),IF(BS4&gt;=$BZ$41,BT4,0),IF(BW4&gt;=$BZ$41,BX4,0),IF(CQ4&gt;=$DA$41,CR4,0),IF(CT4&gt;=$DA$41,CU4,0),IF(CX4&gt;=$DA$41,CY4,0),IF(DX4&gt;=$EK$41,DY4,0),IF(EA4&gt;=$EK$41,EB4,0),IF(EE4&gt;=$EK$41,EF4,0),IF(EH4&gt;=$EK$41,EI4,0),IF(FF4&gt;=$FS$41,FG4,0),IF(FI4&gt;=$FS$41,FJ4,0),IF(FM4&gt;=$FS$41,FN4,0),IF(FP4&gt;=$FS$41,FQ4,0),IF(GN4&gt;=$HA$41,GO4,0),IF(GQ4&gt;=$HA$41,GR4,0),IF(GU4&gt;=$HA$41,GV4,0),IF(GX4&gt;=$HA$41,GY4,0),IF(HV4&gt;=$II$41,HW4,0),IF(HY4&gt;=$II$41,HZ4,0),IF(IC4&gt;=$II$41,ID4,0),IF(IF4&gt;=$II$41,IG4,0),IF(JD4&gt;=$JQ$41,JE4,0),IF(JG4&gt;=$JQ$41,JH4,0),IF(JK4&gt;=$JQ$41,JL4,0),IF(JN4&gt;=$JQ$41,JO4,0),IF(KL4&gt;=$KY$41,KM4,0),IF(KO4&gt;=$KY$41,KP4,0),IF(KS4&gt;=$KY$41,KT4,0),IF(KV4&gt;=$KY$41,KW4,0),IF(LT4&gt;=$MG$41,LU4,0),IF(LW4&gt;=$MG$41,LX4,0),IF(MA4&gt;=$MG$41,MB4,0),IF(MD4&gt;=$MG$41,ME4,0),IF(NB4&gt;=$NO$41,NC4,0),IF(NE4&gt;=$NO$41,NF4,0),IF(NI4&gt;=$NO$41,NJ4,0),IF(NL4&gt;=$NO$41,NM4,0),IF(OJ4&gt;=$OW$41,OK4,0),IF(OM4&gt;=$OW$41,ON4,0),IF(OQ4&gt;=$OW$41,OR4,0),IF(OT4&gt;=$OW$41,OU4,0),IF(PR4&gt;=$QE$41,PS4,0),IF(PU4&gt;=$QE$41,PV4,0),IF(PY4&gt;=$QE$41,PZ4,0),IF(QB4&gt;=$QE$41,QC4,0),IF(QZ4&gt;=$RM$41,RA4,0),IF(RC4&gt;=$RM$41,RD4,0),IF(RG4&gt;=$RM$41,RH4,0),IF(RJ4&gt;=$RM$41,RK4,0),IF(SH4&gt;=$SU$41,SI4,0),IF(SK4&gt;=$SU$41,SL4,0),IF(SO4&gt;=$SU$41,SP4,0),IF(SR4&gt;=$SU$41,SS4,0)),0)</f>
        <v>16.420000000000002</v>
      </c>
      <c r="U4" s="8" t="str">
        <f t="shared" ref="U4:U38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3rd Domestic Trial</v>
      </c>
      <c r="V4" s="8" t="str">
        <f t="shared" ref="V4:V38" si="12">IF(MAX(DB4,DC4)&gt;0,MAX(DB4,DC4),"")</f>
        <v/>
      </c>
      <c r="W4" s="11" t="str">
        <f t="shared" ref="W4:W38" si="13">IF(V4="","",IF(V4=DB4,"("&amp;DB$2&amp;")",IF(V4=DC4,"("&amp;DC$2&amp;")")))</f>
        <v/>
      </c>
      <c r="X4" s="8" t="str">
        <f t="shared" ref="X4:X38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3.2</v>
      </c>
      <c r="Z4" s="22">
        <v>1.9</v>
      </c>
      <c r="AA4" s="22">
        <v>3.2</v>
      </c>
      <c r="AB4" s="22">
        <v>3.48</v>
      </c>
      <c r="AC4" s="22">
        <v>0</v>
      </c>
      <c r="AD4" s="22">
        <v>15.4</v>
      </c>
      <c r="AE4" s="22">
        <v>9.3000000000000007</v>
      </c>
      <c r="AF4" s="22">
        <v>16</v>
      </c>
      <c r="AG4" s="22">
        <v>15.64</v>
      </c>
      <c r="AH4" s="22">
        <v>0</v>
      </c>
      <c r="AI4" s="22">
        <v>15.8</v>
      </c>
      <c r="AJ4" s="22">
        <v>9.1</v>
      </c>
      <c r="AK4" s="22">
        <v>16</v>
      </c>
      <c r="AL4" s="22">
        <v>15.5</v>
      </c>
      <c r="AM4" s="22">
        <v>0</v>
      </c>
      <c r="AN4" s="27"/>
      <c r="AO4" s="38">
        <f t="shared" ref="AO4:AO38" si="15">IF(AA4&gt;0,AA4,"")</f>
        <v>3.2</v>
      </c>
      <c r="AP4" s="38">
        <f t="shared" ref="AP4:AP38" si="16">IF(AB4&gt;0,AB4,"")</f>
        <v>3.48</v>
      </c>
      <c r="AQ4" s="40">
        <f t="shared" ref="AQ4:AQ38" si="17">IF(SUM(Y4:AB4)-AC4&gt;0,SUM(Y4:AB4)-AC4,"")</f>
        <v>11.780000000000001</v>
      </c>
      <c r="AR4" s="40">
        <f t="shared" ref="AR4:AR38" si="18">IF(AF4&gt;0,AF4,"")</f>
        <v>16</v>
      </c>
      <c r="AS4" s="40">
        <f t="shared" ref="AS4:AS38" si="19">IF(AG4&gt;0,AG4,"")</f>
        <v>15.64</v>
      </c>
      <c r="AT4" s="40">
        <f t="shared" ref="AT4:AT38" si="20">IF(SUM(AD4:AG4)-AH4&gt;0,SUM(AD4:AG4)-AH4,"")</f>
        <v>56.34</v>
      </c>
      <c r="AU4" s="40">
        <f t="shared" ref="AU4:AU38" si="21">IF(AQ4="","",MAX(AQ4,AT4))</f>
        <v>56.34</v>
      </c>
      <c r="AV4" s="40">
        <f t="shared" ref="AV4:AV38" si="22">IF(AK4&gt;0,AK4,"")</f>
        <v>16</v>
      </c>
      <c r="AW4" s="40">
        <f t="shared" ref="AW4:AW38" si="23">IF(AL4&gt;0,AL4,"")</f>
        <v>15.5</v>
      </c>
      <c r="AX4" s="40">
        <f t="shared" ref="AX4:AX38" si="24">IF(SUM(AI4:AL4)-AM4&gt;0,SUM(AI4:AL4)-AM4,"")</f>
        <v>56.4</v>
      </c>
      <c r="AY4" s="40">
        <f t="shared" ref="AY4:AY38" si="25">IF(SUM(AU4,AX4)&gt;0,SUM(AU4,AX4),"")</f>
        <v>112.74000000000001</v>
      </c>
      <c r="AZ4" s="26">
        <v>3.1</v>
      </c>
      <c r="BA4" s="26">
        <v>1.8</v>
      </c>
      <c r="BB4" s="26">
        <v>3.8</v>
      </c>
      <c r="BC4" s="26">
        <v>3.5</v>
      </c>
      <c r="BD4" s="26">
        <v>0</v>
      </c>
      <c r="BE4" s="26">
        <v>15</v>
      </c>
      <c r="BF4" s="26">
        <v>9</v>
      </c>
      <c r="BG4" s="26">
        <v>16.2</v>
      </c>
      <c r="BH4" s="26">
        <v>15.99</v>
      </c>
      <c r="BI4" s="26">
        <v>0</v>
      </c>
      <c r="BJ4" s="26">
        <v>16</v>
      </c>
      <c r="BK4" s="26">
        <v>8.5</v>
      </c>
      <c r="BL4" s="26">
        <v>16.2</v>
      </c>
      <c r="BM4" s="26">
        <v>16.420000000000002</v>
      </c>
      <c r="BN4" s="26">
        <v>0</v>
      </c>
      <c r="BO4" s="28"/>
      <c r="BP4" s="39">
        <f t="shared" ref="BP4:BP38" si="26">IF(BB4&gt;0,BB4,"")</f>
        <v>3.8</v>
      </c>
      <c r="BQ4" s="39">
        <f t="shared" ref="BQ4:BQ38" si="27">IF(BC4&gt;0,BC4,"")</f>
        <v>3.5</v>
      </c>
      <c r="BR4" s="11">
        <f t="shared" ref="BR4:BR38" si="28">IF(SUM(AZ4:BC4)-BD4&gt;0,SUM(AZ4:BC4)-BD4,"")</f>
        <v>12.2</v>
      </c>
      <c r="BS4" s="11">
        <f t="shared" ref="BS4:BS38" si="29">IF(BG4&gt;0,BG4,"")</f>
        <v>16.2</v>
      </c>
      <c r="BT4" s="11">
        <f t="shared" ref="BT4:BT38" si="30">IF(BH4&gt;0,BH4,"")</f>
        <v>15.99</v>
      </c>
      <c r="BU4" s="11">
        <f t="shared" ref="BU4:BU38" si="31">IF(SUM(BE4:BH4)-BI4&gt;0,SUM(BE4:BH4)-BI4,"")</f>
        <v>56.190000000000005</v>
      </c>
      <c r="BV4" s="11">
        <f t="shared" ref="BV4:BV38" si="32">IF(BR4="","",MAX(BR4,BU4))</f>
        <v>56.190000000000005</v>
      </c>
      <c r="BW4" s="11">
        <f t="shared" ref="BW4:BW38" si="33">IF(BL4&gt;0,BL4,"")</f>
        <v>16.2</v>
      </c>
      <c r="BX4" s="11">
        <f t="shared" ref="BX4:BX38" si="34">IF(BM4&gt;0,BM4,"")</f>
        <v>16.420000000000002</v>
      </c>
      <c r="BY4" s="11">
        <f t="shared" ref="BY4:BY38" si="35">IF(SUM(BJ4:BM4)-BN4&gt;0,SUM(BJ4:BM4)-BN4,"")</f>
        <v>57.120000000000005</v>
      </c>
      <c r="BZ4" s="11">
        <f t="shared" ref="BZ4:BZ38" si="36">IF(SUM(BV4,BY4)&gt;0,SUM(BV4,BY4),"")</f>
        <v>113.31</v>
      </c>
      <c r="CA4" s="22">
        <v>1.6</v>
      </c>
      <c r="CB4" s="22">
        <v>1</v>
      </c>
      <c r="CC4" s="22">
        <v>2</v>
      </c>
      <c r="CD4" s="22">
        <v>1.72</v>
      </c>
      <c r="CE4" s="22">
        <v>0</v>
      </c>
      <c r="CF4" s="22">
        <v>9.8000000000000007</v>
      </c>
      <c r="CG4" s="22">
        <v>5.9</v>
      </c>
      <c r="CH4" s="22">
        <v>9</v>
      </c>
      <c r="CI4" s="22">
        <v>11.15</v>
      </c>
      <c r="CJ4" s="22">
        <v>0</v>
      </c>
      <c r="CK4" s="22"/>
      <c r="CL4" s="22"/>
      <c r="CM4" s="22"/>
      <c r="CN4" s="22"/>
      <c r="CO4" s="22"/>
      <c r="CP4" s="27"/>
      <c r="CQ4" s="38">
        <f t="shared" ref="CQ4:CQ38" si="37">IF(CC4&gt;0,CC4,"")</f>
        <v>2</v>
      </c>
      <c r="CR4" s="38">
        <f t="shared" ref="CR4:CR38" si="38">IF(CD4&gt;0,CD4,"")</f>
        <v>1.72</v>
      </c>
      <c r="CS4" s="40">
        <f t="shared" ref="CS4:CS38" si="39">IF(SUM(CA4:CD4)-CE4&gt;0,SUM(CA4:CD4)-CE4,"")</f>
        <v>6.3199999999999994</v>
      </c>
      <c r="CT4" s="40">
        <f t="shared" ref="CT4:CT38" si="40">IF(CH4&gt;0,CH4,"")</f>
        <v>9</v>
      </c>
      <c r="CU4" s="40">
        <f t="shared" ref="CU4:CU38" si="41">IF(CI4&gt;0,CI4,"")</f>
        <v>11.15</v>
      </c>
      <c r="CV4" s="40">
        <f t="shared" ref="CV4:CV38" si="42">IF(SUM(CF4:CI4)-CJ4&gt;0,SUM(CF4:CI4)-CJ4,"")</f>
        <v>35.85</v>
      </c>
      <c r="CW4" s="40">
        <f t="shared" ref="CW4:CW38" si="43">IF(CS4="","",MAX(CS4,CV4))</f>
        <v>35.85</v>
      </c>
      <c r="CX4" s="40" t="str">
        <f t="shared" ref="CX4:CX38" si="44">IF(CM4&gt;0,CM4,"")</f>
        <v/>
      </c>
      <c r="CY4" s="40" t="str">
        <f t="shared" ref="CY4:CY38" si="45">IF(CN4&gt;0,CN4,"")</f>
        <v/>
      </c>
      <c r="CZ4" s="40" t="str">
        <f t="shared" ref="CZ4:CZ38" si="46">IF(SUM(CK4:CN4)-CO4&gt;0,SUM(CK4:CN4)-CO4,"")</f>
        <v/>
      </c>
      <c r="DA4" s="40">
        <f t="shared" ref="DA4:DA38" si="47">IF(SUM(CW4,CZ4)&gt;0,SUM(CW4,CZ4),"")</f>
        <v>35.85</v>
      </c>
      <c r="DB4" s="50" t="str">
        <f t="shared" ref="DB4:DB38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 t="shared" ref="DC4:DC38" si="49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11.8</v>
      </c>
      <c r="DE4" s="17">
        <v>7</v>
      </c>
      <c r="DF4" s="17">
        <v>12.3</v>
      </c>
      <c r="DG4" s="17">
        <v>12.61</v>
      </c>
      <c r="DH4" s="17">
        <v>0</v>
      </c>
      <c r="DI4" s="17">
        <v>14.2</v>
      </c>
      <c r="DJ4" s="17">
        <v>9.3000000000000007</v>
      </c>
      <c r="DK4" s="17">
        <v>15.4</v>
      </c>
      <c r="DL4" s="17">
        <v>15.44</v>
      </c>
      <c r="DM4" s="17">
        <v>0</v>
      </c>
      <c r="DN4" s="17"/>
      <c r="DO4" s="17"/>
      <c r="DP4" s="17"/>
      <c r="DQ4" s="17"/>
      <c r="DR4" s="17"/>
      <c r="DS4" s="17">
        <v>1.6</v>
      </c>
      <c r="DT4" s="17">
        <v>1</v>
      </c>
      <c r="DU4" s="17">
        <v>2</v>
      </c>
      <c r="DV4" s="17">
        <v>1.72</v>
      </c>
      <c r="DW4" s="17">
        <v>0</v>
      </c>
      <c r="DX4" s="40">
        <f t="shared" ref="DX4:DX38" si="50">IF(DF4&gt;0,DF4,"")</f>
        <v>12.3</v>
      </c>
      <c r="DY4" s="40">
        <f t="shared" ref="DY4:DY38" si="51">IF(DG4&gt;0,DG4,"")</f>
        <v>12.61</v>
      </c>
      <c r="DZ4" s="40">
        <f t="shared" ref="DZ4:DZ38" si="52">IF(SUM(DD4:DG4)-DH4&gt;0,SUM(DD4:DG4)-DH4,"")</f>
        <v>43.71</v>
      </c>
      <c r="EA4" s="40">
        <f t="shared" ref="EA4:EA38" si="53">IF(DK4&gt;0,DK4,"")</f>
        <v>15.4</v>
      </c>
      <c r="EB4" s="40">
        <f t="shared" ref="EB4:EB38" si="54">IF(DL4&gt;0,DL4,"")</f>
        <v>15.44</v>
      </c>
      <c r="EC4" s="40">
        <f t="shared" ref="EC4:EC38" si="55">IF(SUM(DI4:DL4)-DM4&gt;0,SUM(DI4:DL4)-DM4,"")</f>
        <v>54.339999999999996</v>
      </c>
      <c r="ED4" s="40">
        <f t="shared" ref="ED4:ED38" si="56">IF(MAX(DZ4,EC4)&gt;0,MAX(DZ4,EC4),"")</f>
        <v>54.339999999999996</v>
      </c>
      <c r="EE4" s="40" t="str">
        <f t="shared" ref="EE4:EE38" si="57">IF(DP4&gt;0,DP4,"")</f>
        <v/>
      </c>
      <c r="EF4" s="40" t="str">
        <f t="shared" ref="EF4:EF38" si="58">IF(DQ4&gt;0,DQ4,"")</f>
        <v/>
      </c>
      <c r="EG4" s="40" t="str">
        <f t="shared" ref="EG4:EG38" si="59">IF(SUM(DN4:DQ4)-DR4&gt;0,SUM(DN4:DQ4)-DR4,"")</f>
        <v/>
      </c>
      <c r="EH4" s="40">
        <f t="shared" ref="EH4:EH38" si="60">IF(DU4&gt;0,DU4,"")</f>
        <v>2</v>
      </c>
      <c r="EI4" s="40">
        <f t="shared" ref="EI4:EI38" si="61">IF(DV4&gt;0,DV4,"")</f>
        <v>1.72</v>
      </c>
      <c r="EJ4" s="40">
        <f t="shared" ref="EJ4:EJ38" si="62">IF(SUM(DS4:DV4)-DW4&gt;0,SUM(DS4:DV4)-DW4,"")</f>
        <v>6.3199999999999994</v>
      </c>
      <c r="EK4" s="40">
        <f t="shared" ref="EK4:EK38" si="63">IF(SUM(ED4,EG4,EJ4)&gt;0,SUM(ED4,EG4,EJ4),"")</f>
        <v>60.66</v>
      </c>
      <c r="EL4" s="18">
        <v>12.8</v>
      </c>
      <c r="EM4" s="18">
        <v>8.9</v>
      </c>
      <c r="EN4" s="18">
        <v>15.4</v>
      </c>
      <c r="EO4" s="18">
        <v>15.56</v>
      </c>
      <c r="EP4" s="18">
        <v>0</v>
      </c>
      <c r="EQ4" s="18">
        <v>14.9</v>
      </c>
      <c r="ER4" s="18">
        <v>9.1</v>
      </c>
      <c r="ES4" s="18">
        <v>15.4</v>
      </c>
      <c r="ET4" s="18">
        <v>15.34</v>
      </c>
      <c r="EU4" s="18">
        <v>0</v>
      </c>
      <c r="EV4" s="18"/>
      <c r="EW4" s="18"/>
      <c r="EX4" s="18"/>
      <c r="EY4" s="18"/>
      <c r="EZ4" s="18"/>
      <c r="FA4" s="18">
        <v>4.8</v>
      </c>
      <c r="FB4" s="18">
        <v>2.8</v>
      </c>
      <c r="FC4" s="18">
        <v>4.9000000000000004</v>
      </c>
      <c r="FD4" s="18">
        <v>5.05</v>
      </c>
      <c r="FE4" s="18">
        <v>0</v>
      </c>
      <c r="FF4" s="11">
        <f t="shared" ref="FF4:FF38" si="64">IF(EN4&gt;0,EN4,"")</f>
        <v>15.4</v>
      </c>
      <c r="FG4" s="11">
        <f t="shared" ref="FG4:FG38" si="65">IF(EO4&gt;0,EO4,"")</f>
        <v>15.56</v>
      </c>
      <c r="FH4" s="11">
        <f t="shared" ref="FH4:FH38" si="66">IF(SUM(EL4:EO4)-EP4&gt;0,SUM(EL4:EO4)-EP4,"")</f>
        <v>52.660000000000004</v>
      </c>
      <c r="FI4" s="11">
        <f t="shared" ref="FI4:FI38" si="67">IF(ES4&gt;0,ES4,"")</f>
        <v>15.4</v>
      </c>
      <c r="FJ4" s="11">
        <f t="shared" ref="FJ4:FJ38" si="68">IF(ET4&gt;0,ET4,"")</f>
        <v>15.34</v>
      </c>
      <c r="FK4" s="11">
        <f t="shared" ref="FK4:FK38" si="69">IF(SUM(EQ4:ET4)-EU4&gt;0,SUM(EQ4:ET4)-EU4,"")</f>
        <v>54.739999999999995</v>
      </c>
      <c r="FL4" s="11">
        <f t="shared" ref="FL4:FL38" si="70">IF(MAX(FH4,FK4)&gt;0,MAX(FH4,FK4),"")</f>
        <v>54.739999999999995</v>
      </c>
      <c r="FM4" s="11" t="str">
        <f t="shared" ref="FM4:FM38" si="71">IF(EX4&gt;0,EX4,"")</f>
        <v/>
      </c>
      <c r="FN4" s="11" t="str">
        <f t="shared" ref="FN4:FN38" si="72">IF(EY4&gt;0,EY4,"")</f>
        <v/>
      </c>
      <c r="FO4" s="11" t="str">
        <f t="shared" ref="FO4:FO38" si="73">IF(SUM(EV4:EY4)-EZ4&gt;0,SUM(EV4:EY4)-EZ4,"")</f>
        <v/>
      </c>
      <c r="FP4" s="11">
        <f t="shared" ref="FP4:FP38" si="74">IF(FC4&gt;0,FC4,"")</f>
        <v>4.9000000000000004</v>
      </c>
      <c r="FQ4" s="11">
        <f t="shared" ref="FQ4:FQ38" si="75">IF(FD4&gt;0,FD4,"")</f>
        <v>5.05</v>
      </c>
      <c r="FR4" s="11">
        <f t="shared" ref="FR4:FR38" si="76">IF(SUM(FA4:FD4)-FE4&gt;0,SUM(FA4:FD4)-FE4,"")</f>
        <v>17.55</v>
      </c>
      <c r="FS4" s="11">
        <f t="shared" ref="FS4:FS38" si="77">IF(SUM(FL4,FO4,FR4)&gt;0,SUM(FL4,FO4,FR4),"")</f>
        <v>72.289999999999992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38" si="78">IF(FV4&gt;0,FV4,"")</f>
        <v/>
      </c>
      <c r="GO4" s="40" t="str">
        <f t="shared" ref="GO4:GO38" si="79">IF(FW4&gt;0,FW4,"")</f>
        <v/>
      </c>
      <c r="GP4" s="40" t="str">
        <f t="shared" ref="GP4:GP38" si="80">IF(SUM(FT4:FW4)-FX4&gt;0,SUM(FT4:FW4)-FX4,"")</f>
        <v/>
      </c>
      <c r="GQ4" s="40" t="str">
        <f t="shared" ref="GQ4:GQ38" si="81">IF(GA4&gt;0,GA4,"")</f>
        <v/>
      </c>
      <c r="GR4" s="40" t="str">
        <f t="shared" ref="GR4:GR38" si="82">IF(GB4&gt;0,GB4,"")</f>
        <v/>
      </c>
      <c r="GS4" s="40" t="str">
        <f t="shared" ref="GS4:GS38" si="83">IF(SUM(FY4:GB4)-GC4&gt;0,SUM(FY4:GB4)-GC4,"")</f>
        <v/>
      </c>
      <c r="GT4" s="40" t="str">
        <f t="shared" ref="GT4:GT38" si="84">IF(MAX(GP4,GS4)&gt;0,MAX(GP4,GS4),"")</f>
        <v/>
      </c>
      <c r="GU4" s="40" t="str">
        <f t="shared" ref="GU4:GU38" si="85">IF(GF4&gt;0,GF4,"")</f>
        <v/>
      </c>
      <c r="GV4" s="40" t="str">
        <f t="shared" ref="GV4:GV38" si="86">IF(GG4&gt;0,GG4,"")</f>
        <v/>
      </c>
      <c r="GW4" s="40" t="str">
        <f t="shared" ref="GW4:GW38" si="87">IF(SUM(GD4:GG4)-GH4&gt;0,SUM(GD4:GG4)-GH4,"")</f>
        <v/>
      </c>
      <c r="GX4" s="40" t="str">
        <f t="shared" ref="GX4:GX38" si="88">IF(GK4&gt;0,GK4,"")</f>
        <v/>
      </c>
      <c r="GY4" s="40" t="str">
        <f t="shared" ref="GY4:GY38" si="89">IF(GL4&gt;0,GL4,"")</f>
        <v/>
      </c>
      <c r="GZ4" s="40" t="str">
        <f t="shared" ref="GZ4:GZ38" si="90">IF(SUM(GI4:GL4)-GM4&gt;0,SUM(GI4:GL4)-GM4,"")</f>
        <v/>
      </c>
      <c r="HA4" s="40" t="str">
        <f t="shared" ref="HA4:HA38" si="91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38" si="92">IF(HD4&gt;0,HD4,"")</f>
        <v/>
      </c>
      <c r="HW4" s="11" t="str">
        <f t="shared" ref="HW4:HW38" si="93">IF(HE4&gt;0,HE4,"")</f>
        <v/>
      </c>
      <c r="HX4" s="11" t="str">
        <f t="shared" ref="HX4:HX38" si="94">IF(SUM(HB4:HE4)-HF4&gt;0,SUM(HB4:HE4)-HF4,"")</f>
        <v/>
      </c>
      <c r="HY4" s="11" t="str">
        <f t="shared" ref="HY4:HY38" si="95">IF(HI4&gt;0,HI4,"")</f>
        <v/>
      </c>
      <c r="HZ4" s="11" t="str">
        <f t="shared" ref="HZ4:HZ38" si="96">IF(HJ4&gt;0,HJ4,"")</f>
        <v/>
      </c>
      <c r="IA4" s="11" t="str">
        <f t="shared" ref="IA4:IA38" si="97">IF(SUM(HG4:HJ4)-HK4&gt;0,SUM(HG4:HJ4)-HK4,"")</f>
        <v/>
      </c>
      <c r="IB4" s="11" t="str">
        <f t="shared" ref="IB4:IB38" si="98">IF(MAX(HX4,IA4)&gt;0,MAX(HX4,IA4),"")</f>
        <v/>
      </c>
      <c r="IC4" s="11" t="str">
        <f t="shared" ref="IC4:IC38" si="99">IF(HN4&gt;0,HN4,"")</f>
        <v/>
      </c>
      <c r="ID4" s="11" t="str">
        <f t="shared" ref="ID4:ID38" si="100">IF(HO4&gt;0,HO4,"")</f>
        <v/>
      </c>
      <c r="IE4" s="11" t="str">
        <f t="shared" ref="IE4:IE38" si="101">IF(SUM(HL4:HO4)-HP4&gt;0,SUM(HL4:HO4)-HP4,"")</f>
        <v/>
      </c>
      <c r="IF4" s="11" t="str">
        <f t="shared" ref="IF4:IF38" si="102">IF(HS4&gt;0,HS4,"")</f>
        <v/>
      </c>
      <c r="IG4" s="11" t="str">
        <f t="shared" ref="IG4:IG38" si="103">IF(HT4&gt;0,HT4,"")</f>
        <v/>
      </c>
      <c r="IH4" s="11" t="str">
        <f t="shared" ref="IH4:IH38" si="104">IF(SUM(HQ4:HT4)-HU4&gt;0,SUM(HQ4:HT4)-HU4,"")</f>
        <v/>
      </c>
      <c r="II4" s="11" t="str">
        <f t="shared" ref="II4:II38" si="105">IF(SUM(IB4,IE4,IH4)&gt;0,SUM(IB4,IE4,IH4),"")</f>
        <v/>
      </c>
      <c r="IJ4" s="17">
        <v>14.3</v>
      </c>
      <c r="IK4" s="17">
        <v>9.1</v>
      </c>
      <c r="IL4" s="17">
        <v>16</v>
      </c>
      <c r="IM4" s="17">
        <v>15.4</v>
      </c>
      <c r="IN4" s="17">
        <v>0</v>
      </c>
      <c r="IO4" s="17">
        <v>15.4</v>
      </c>
      <c r="IP4" s="17">
        <v>8.6999999999999993</v>
      </c>
      <c r="IQ4" s="17">
        <v>14.6</v>
      </c>
      <c r="IR4" s="17">
        <v>16.149999999999999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>
        <f t="shared" ref="JD4:JD38" si="106">IF(IL4&gt;0,IL4,"")</f>
        <v>16</v>
      </c>
      <c r="JE4" s="40">
        <f t="shared" ref="JE4:JE38" si="107">IF(IM4&gt;0,IM4,"")</f>
        <v>15.4</v>
      </c>
      <c r="JF4" s="40">
        <f t="shared" ref="JF4:JF38" si="108">IF(SUM(IJ4:IM4)-IN4&gt;0,SUM(IJ4:IM4)-IN4,"")</f>
        <v>54.8</v>
      </c>
      <c r="JG4" s="40">
        <f t="shared" ref="JG4:JG38" si="109">IF(IQ4&gt;0,IQ4,"")</f>
        <v>14.6</v>
      </c>
      <c r="JH4" s="40">
        <f t="shared" ref="JH4:JH38" si="110">IF(IR4&gt;0,IR4,"")</f>
        <v>16.149999999999999</v>
      </c>
      <c r="JI4" s="40">
        <f t="shared" ref="JI4:JI38" si="111">IF(SUM(IO4:IR4)-IS4&gt;0,SUM(IO4:IR4)-IS4,"")</f>
        <v>54.85</v>
      </c>
      <c r="JJ4" s="40">
        <f t="shared" ref="JJ4:JJ38" si="112">IF(MAX(JF4,JI4)&gt;0,MAX(JF4,JI4),"")</f>
        <v>54.85</v>
      </c>
      <c r="JK4" s="40" t="str">
        <f t="shared" ref="JK4:JK38" si="113">IF(IV4&gt;0,IV4,"")</f>
        <v/>
      </c>
      <c r="JL4" s="40" t="str">
        <f t="shared" ref="JL4:JL38" si="114">IF(IW4&gt;0,IW4,"")</f>
        <v/>
      </c>
      <c r="JM4" s="40" t="str">
        <f t="shared" ref="JM4:JM38" si="115">IF(SUM(IT4:IW4)-IX4&gt;0,SUM(IT4:IW4)-IX4,"")</f>
        <v/>
      </c>
      <c r="JN4" s="40" t="str">
        <f t="shared" ref="JN4:JN38" si="116">IF(JA4&gt;0,JA4,"")</f>
        <v/>
      </c>
      <c r="JO4" s="40" t="str">
        <f t="shared" ref="JO4:JO38" si="117">IF(JB4&gt;0,JB4,"")</f>
        <v/>
      </c>
      <c r="JP4" s="40" t="str">
        <f t="shared" ref="JP4:JP38" si="118">IF(SUM(IY4:JB4)-JC4&gt;0,SUM(IY4:JB4)-JC4,"")</f>
        <v/>
      </c>
      <c r="JQ4" s="40">
        <f t="shared" ref="JQ4:JQ38" si="119">IF(SUM(JJ4,JM4,JP4)&gt;0,SUM(JJ4,JM4,JP4),"")</f>
        <v>54.85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8" si="120">IF(JT4&gt;0,JT4,"")</f>
        <v/>
      </c>
      <c r="KM4" s="11" t="str">
        <f t="shared" ref="KM4:KM38" si="121">IF(JU4&gt;0,JU4,"")</f>
        <v/>
      </c>
      <c r="KN4" s="11" t="str">
        <f t="shared" ref="KN4:KN38" si="122">IF(SUM(JR4:JU4)-JV4&gt;0,SUM(JR4:JU4)-JV4,"")</f>
        <v/>
      </c>
      <c r="KO4" s="11" t="str">
        <f t="shared" ref="KO4:KO38" si="123">IF(JY4&gt;0,JY4,"")</f>
        <v/>
      </c>
      <c r="KP4" s="11" t="str">
        <f t="shared" ref="KP4:KP38" si="124">IF(JZ4&gt;0,JZ4,"")</f>
        <v/>
      </c>
      <c r="KQ4" s="11" t="str">
        <f t="shared" ref="KQ4:KQ38" si="125">IF(SUM(JW4:JZ4)-KA4&gt;0,SUM(JW4:JZ4)-KA4,"")</f>
        <v/>
      </c>
      <c r="KR4" s="11" t="str">
        <f t="shared" ref="KR4:KR38" si="126">IF(MAX(KN4,KQ4)&gt;0,MAX(KN4,KQ4),"")</f>
        <v/>
      </c>
      <c r="KS4" s="11" t="str">
        <f t="shared" ref="KS4:KS38" si="127">IF(KD4&gt;0,KD4,"")</f>
        <v/>
      </c>
      <c r="KT4" s="11" t="str">
        <f t="shared" ref="KT4:KT38" si="128">IF(KE4&gt;0,KE4,"")</f>
        <v/>
      </c>
      <c r="KU4" s="11" t="str">
        <f t="shared" ref="KU4:KU38" si="129">IF(SUM(KB4:KE4)-KF4&gt;0,SUM(KB4:KE4)-KF4,"")</f>
        <v/>
      </c>
      <c r="KV4" s="11" t="str">
        <f t="shared" ref="KV4:KV38" si="130">IF(KI4&gt;0,KI4,"")</f>
        <v/>
      </c>
      <c r="KW4" s="11" t="str">
        <f t="shared" ref="KW4:KW38" si="131">IF(KJ4&gt;0,KJ4,"")</f>
        <v/>
      </c>
      <c r="KX4" s="11" t="str">
        <f t="shared" ref="KX4:KX38" si="132">IF(SUM(KG4:KJ4)-KK4&gt;0,SUM(KG4:KJ4)-KK4,"")</f>
        <v/>
      </c>
      <c r="KY4" s="11" t="str">
        <f t="shared" ref="KY4:KY38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8" si="134">IF(LB4&gt;0,LB4,"")</f>
        <v/>
      </c>
      <c r="LU4" s="40" t="str">
        <f t="shared" ref="LU4:LU38" si="135">IF(LC4&gt;0,LC4,"")</f>
        <v/>
      </c>
      <c r="LV4" s="40" t="str">
        <f t="shared" ref="LV4:LV38" si="136">IF(SUM(KZ4:LC4)-LD4&gt;0,SUM(KZ4:LC4)-LD4,"")</f>
        <v/>
      </c>
      <c r="LW4" s="40" t="str">
        <f t="shared" ref="LW4:LW38" si="137">IF(LG4&gt;0,LG4,"")</f>
        <v/>
      </c>
      <c r="LX4" s="40" t="str">
        <f t="shared" ref="LX4:LX38" si="138">IF(LH4&gt;0,LH4,"")</f>
        <v/>
      </c>
      <c r="LY4" s="40" t="str">
        <f t="shared" ref="LY4:LY38" si="139">IF(SUM(LE4:LH4)-LI4&gt;0,SUM(LE4:LH4)-LI4,"")</f>
        <v/>
      </c>
      <c r="LZ4" s="40" t="str">
        <f t="shared" ref="LZ4:LZ38" si="140">IF(MAX(LV4,LY4)&gt;0,MAX(LV4,LY4),"")</f>
        <v/>
      </c>
      <c r="MA4" s="40" t="str">
        <f t="shared" ref="MA4:MA38" si="141">IF(LL4&gt;0,LL4,"")</f>
        <v/>
      </c>
      <c r="MB4" s="40" t="str">
        <f t="shared" ref="MB4:MB38" si="142">IF(LM4&gt;0,LM4,"")</f>
        <v/>
      </c>
      <c r="MC4" s="40" t="str">
        <f t="shared" ref="MC4:MC38" si="143">IF(SUM(LJ4:LM4)-LN4&gt;0,SUM(LJ4:LM4)-LN4,"")</f>
        <v/>
      </c>
      <c r="MD4" s="40" t="str">
        <f t="shared" ref="MD4:MD38" si="144">IF(LQ4&gt;0,LQ4,"")</f>
        <v/>
      </c>
      <c r="ME4" s="40" t="str">
        <f t="shared" ref="ME4:ME38" si="145">IF(LR4&gt;0,LR4,"")</f>
        <v/>
      </c>
      <c r="MF4" s="40" t="str">
        <f t="shared" ref="MF4:MF38" si="146">IF(SUM(LO4:LR4)-LS4&gt;0,SUM(LO4:LR4)-LS4,"")</f>
        <v/>
      </c>
      <c r="MG4" s="40" t="str">
        <f t="shared" ref="MG4:MG38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8" si="148">IF(MJ4&gt;0,MJ4,"")</f>
        <v/>
      </c>
      <c r="NC4" s="11" t="str">
        <f t="shared" ref="NC4:NC38" si="149">IF(MK4&gt;0,MK4,"")</f>
        <v/>
      </c>
      <c r="ND4" s="11" t="str">
        <f t="shared" ref="ND4:ND38" si="150">IF(SUM(MH4:MK4)-ML4&gt;0,SUM(MH4:MK4)-ML4,"")</f>
        <v/>
      </c>
      <c r="NE4" s="11" t="str">
        <f t="shared" ref="NE4:NE38" si="151">IF(MO4&gt;0,MO4,"")</f>
        <v/>
      </c>
      <c r="NF4" s="11" t="str">
        <f t="shared" ref="NF4:NF38" si="152">IF(MP4&gt;0,MP4,"")</f>
        <v/>
      </c>
      <c r="NG4" s="11" t="str">
        <f t="shared" ref="NG4:NG38" si="153">IF(SUM(MM4:MP4)-MQ4&gt;0,SUM(MM4:MP4)-MQ4,"")</f>
        <v/>
      </c>
      <c r="NH4" s="11" t="str">
        <f t="shared" ref="NH4:NH38" si="154">IF(MAX(ND4,NG4)&gt;0,MAX(ND4,NG4),"")</f>
        <v/>
      </c>
      <c r="NI4" s="11" t="str">
        <f t="shared" ref="NI4:NI38" si="155">IF(MT4&gt;0,MT4,"")</f>
        <v/>
      </c>
      <c r="NJ4" s="11" t="str">
        <f t="shared" ref="NJ4:NJ38" si="156">IF(MU4&gt;0,MU4,"")</f>
        <v/>
      </c>
      <c r="NK4" s="11" t="str">
        <f t="shared" ref="NK4:NK38" si="157">IF(SUM(MR4:MU4)-MV4&gt;0,SUM(MR4:MU4)-MV4,"")</f>
        <v/>
      </c>
      <c r="NL4" s="11" t="str">
        <f t="shared" ref="NL4:NL38" si="158">IF(MY4&gt;0,MY4,"")</f>
        <v/>
      </c>
      <c r="NM4" s="11" t="str">
        <f t="shared" ref="NM4:NM38" si="159">IF(MZ4&gt;0,MZ4,"")</f>
        <v/>
      </c>
      <c r="NN4" s="11" t="str">
        <f t="shared" ref="NN4:NN38" si="160">IF(SUM(MW4:MZ4)-NA4&gt;0,SUM(MW4:MZ4)-NA4,"")</f>
        <v/>
      </c>
      <c r="NO4" s="11" t="str">
        <f t="shared" ref="NO4:NO38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8" si="162">IF(NR4&gt;0,NR4,"")</f>
        <v/>
      </c>
      <c r="OK4" s="40" t="str">
        <f t="shared" ref="OK4:OK38" si="163">IF(NS4&gt;0,NS4,"")</f>
        <v/>
      </c>
      <c r="OL4" s="40" t="str">
        <f t="shared" ref="OL4:OL38" si="164">IF(SUM(NP4:NS4)-NT4&gt;0,SUM(NP4:NS4)-NT4,"")</f>
        <v/>
      </c>
      <c r="OM4" s="40" t="str">
        <f t="shared" ref="OM4:OM38" si="165">IF(NW4&gt;0,NW4,"")</f>
        <v/>
      </c>
      <c r="ON4" s="40" t="str">
        <f t="shared" ref="ON4:ON38" si="166">IF(NX4&gt;0,NX4,"")</f>
        <v/>
      </c>
      <c r="OO4" s="40" t="str">
        <f t="shared" ref="OO4:OO38" si="167">IF(SUM(NU4:NX4)-NY4&gt;0,SUM(NU4:NX4)-NY4,"")</f>
        <v/>
      </c>
      <c r="OP4" s="40" t="str">
        <f t="shared" ref="OP4:OP38" si="168">IF(MAX(OL4,OO4)&gt;0,MAX(OL4,OO4),"")</f>
        <v/>
      </c>
      <c r="OQ4" s="40" t="str">
        <f t="shared" ref="OQ4:OQ38" si="169">IF(OB4&gt;0,OB4,"")</f>
        <v/>
      </c>
      <c r="OR4" s="40" t="str">
        <f t="shared" ref="OR4:OR38" si="170">IF(OC4&gt;0,OC4,"")</f>
        <v/>
      </c>
      <c r="OS4" s="40" t="str">
        <f t="shared" ref="OS4:OS38" si="171">IF(SUM(NZ4:OC4)-OD4&gt;0,SUM(NZ4:OC4)-OD4,"")</f>
        <v/>
      </c>
      <c r="OT4" s="40" t="str">
        <f t="shared" ref="OT4:OT38" si="172">IF(OG4&gt;0,OG4,"")</f>
        <v/>
      </c>
      <c r="OU4" s="40" t="str">
        <f t="shared" ref="OU4:OU38" si="173">IF(OH4&gt;0,OH4,"")</f>
        <v/>
      </c>
      <c r="OV4" s="40" t="str">
        <f t="shared" ref="OV4:OV38" si="174">IF(SUM(OE4:OH4)-OI4&gt;0,SUM(OE4:OH4)-OI4,"")</f>
        <v/>
      </c>
      <c r="OW4" s="40" t="str">
        <f t="shared" ref="OW4:OW38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8" si="176">IF(OZ4&gt;0,OZ4,"")</f>
        <v/>
      </c>
      <c r="PS4" s="11" t="str">
        <f t="shared" ref="PS4:PS38" si="177">IF(PA4&gt;0,PA4,"")</f>
        <v/>
      </c>
      <c r="PT4" s="11" t="str">
        <f t="shared" ref="PT4:PT38" si="178">IF(SUM(OX4:PA4)-PB4&gt;0,SUM(OX4:PA4)-PB4,"")</f>
        <v/>
      </c>
      <c r="PU4" s="11" t="str">
        <f t="shared" ref="PU4:PU38" si="179">IF(PE4&gt;0,PE4,"")</f>
        <v/>
      </c>
      <c r="PV4" s="11" t="str">
        <f t="shared" ref="PV4:PV38" si="180">IF(PF4&gt;0,PF4,"")</f>
        <v/>
      </c>
      <c r="PW4" s="11" t="str">
        <f t="shared" ref="PW4:PW38" si="181">IF(SUM(PC4:PF4)-PG4&gt;0,SUM(PC4:PF4)-PG4,"")</f>
        <v/>
      </c>
      <c r="PX4" s="11" t="str">
        <f t="shared" ref="PX4:PX38" si="182">IF(MAX(PT4,PW4)&gt;0,MAX(PT4,PW4),"")</f>
        <v/>
      </c>
      <c r="PY4" s="11" t="str">
        <f t="shared" ref="PY4:PY38" si="183">IF(PJ4&gt;0,PJ4,"")</f>
        <v/>
      </c>
      <c r="PZ4" s="11" t="str">
        <f t="shared" ref="PZ4:PZ38" si="184">IF(PK4&gt;0,PK4,"")</f>
        <v/>
      </c>
      <c r="QA4" s="11" t="str">
        <f t="shared" ref="QA4:QA38" si="185">IF(SUM(PH4:PK4)-PL4&gt;0,SUM(PH4:PK4)-PL4,"")</f>
        <v/>
      </c>
      <c r="QB4" s="11" t="str">
        <f t="shared" ref="QB4:QB38" si="186">IF(PO4&gt;0,PO4,"")</f>
        <v/>
      </c>
      <c r="QC4" s="11" t="str">
        <f t="shared" ref="QC4:QC38" si="187">IF(PP4&gt;0,PP4,"")</f>
        <v/>
      </c>
      <c r="QD4" s="11" t="str">
        <f t="shared" ref="QD4:QD38" si="188">IF(SUM(PM4:PP4)-PQ4&gt;0,SUM(PM4:PP4)-PQ4,"")</f>
        <v/>
      </c>
      <c r="QE4" s="11" t="str">
        <f t="shared" ref="QE4:QE38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8" si="190">IF(QH4&gt;0,QH4,"")</f>
        <v/>
      </c>
      <c r="RA4" s="40" t="str">
        <f t="shared" ref="RA4:RA38" si="191">IF(QI4&gt;0,QI4,"")</f>
        <v/>
      </c>
      <c r="RB4" s="40" t="str">
        <f t="shared" ref="RB4:RB38" si="192">IF(SUM(QF4:QI4)-QJ4&gt;0,SUM(QF4:QI4)-QJ4,"")</f>
        <v/>
      </c>
      <c r="RC4" s="40" t="str">
        <f t="shared" ref="RC4:RC38" si="193">IF(QM4&gt;0,QM4,"")</f>
        <v/>
      </c>
      <c r="RD4" s="40" t="str">
        <f t="shared" ref="RD4:RD38" si="194">IF(QN4&gt;0,QN4,"")</f>
        <v/>
      </c>
      <c r="RE4" s="40" t="str">
        <f t="shared" ref="RE4:RE38" si="195">IF(SUM(QK4:QN4)-QO4&gt;0,SUM(QK4:QN4)-QO4,"")</f>
        <v/>
      </c>
      <c r="RF4" s="40" t="str">
        <f t="shared" ref="RF4:RF38" si="196">IF(MAX(RB4,RE4)&gt;0,MAX(RB4,RE4),"")</f>
        <v/>
      </c>
      <c r="RG4" s="40" t="str">
        <f t="shared" ref="RG4:RG38" si="197">IF(QR4&gt;0,QR4,"")</f>
        <v/>
      </c>
      <c r="RH4" s="40" t="str">
        <f t="shared" ref="RH4:RH38" si="198">IF(QS4&gt;0,QS4,"")</f>
        <v/>
      </c>
      <c r="RI4" s="40" t="str">
        <f t="shared" ref="RI4:RI38" si="199">IF(SUM(QP4:QS4)-QT4&gt;0,SUM(QP4:QS4)-QT4,"")</f>
        <v/>
      </c>
      <c r="RJ4" s="40" t="str">
        <f t="shared" ref="RJ4:RJ38" si="200">IF(QW4&gt;0,QW4,"")</f>
        <v/>
      </c>
      <c r="RK4" s="40" t="str">
        <f t="shared" ref="RK4:RK38" si="201">IF(QX4&gt;0,QX4,"")</f>
        <v/>
      </c>
      <c r="RL4" s="40" t="str">
        <f t="shared" ref="RL4:RL38" si="202">IF(SUM(QU4:QX4)-QY4&gt;0,SUM(QU4:QX4)-QY4,"")</f>
        <v/>
      </c>
      <c r="RM4" s="40" t="str">
        <f t="shared" ref="RM4:RM38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8" si="204">IF(RP4&gt;0,RP4,"")</f>
        <v/>
      </c>
      <c r="SI4" s="11" t="str">
        <f t="shared" ref="SI4:SI38" si="205">IF(RQ4&gt;0,RQ4,"")</f>
        <v/>
      </c>
      <c r="SJ4" s="11" t="str">
        <f t="shared" ref="SJ4:SJ38" si="206">IF(SUM(RN4:RQ4)-RR4&gt;0,SUM(RN4:RQ4)-RR4,"")</f>
        <v/>
      </c>
      <c r="SK4" s="11" t="str">
        <f t="shared" ref="SK4:SK38" si="207">IF(RU4&gt;0,RU4,"")</f>
        <v/>
      </c>
      <c r="SL4" s="11" t="str">
        <f t="shared" ref="SL4:SL38" si="208">IF(RV4&gt;0,RV4,"")</f>
        <v/>
      </c>
      <c r="SM4" s="11" t="str">
        <f t="shared" ref="SM4:SM38" si="209">IF(SUM(RS4:RV4)-RW4&gt;0,SUM(RS4:RV4)-RW4,"")</f>
        <v/>
      </c>
      <c r="SN4" s="11" t="str">
        <f t="shared" ref="SN4:SN38" si="210">IF(MAX(SJ4,SM4)&gt;0,MAX(SJ4,SM4),"")</f>
        <v/>
      </c>
      <c r="SO4" s="11" t="str">
        <f t="shared" ref="SO4:SO38" si="211">IF(RZ4&gt;0,RZ4,"")</f>
        <v/>
      </c>
      <c r="SP4" s="11" t="str">
        <f t="shared" ref="SP4:SP38" si="212">IF(SA4&gt;0,SA4,"")</f>
        <v/>
      </c>
      <c r="SQ4" s="11" t="str">
        <f t="shared" ref="SQ4:SQ38" si="213">IF(SUM(RX4:SA4)-SB4&gt;0,SUM(RX4:SA4)-SB4,"")</f>
        <v/>
      </c>
      <c r="SR4" s="11" t="str">
        <f t="shared" ref="SR4:SR38" si="214">IF(SE4&gt;0,SE4,"")</f>
        <v/>
      </c>
      <c r="SS4" s="11" t="str">
        <f t="shared" ref="SS4:SS38" si="215">IF(SF4&gt;0,SF4,"")</f>
        <v/>
      </c>
      <c r="ST4" s="11" t="str">
        <f t="shared" ref="ST4:ST38" si="216">IF(SUM(SC4:SF4)-SG4&gt;0,SUM(SC4:SF4)-SG4,"")</f>
        <v/>
      </c>
      <c r="SU4" s="11" t="str">
        <f t="shared" ref="SU4:SU38" si="217">IF(SUM(SN4,SQ4,ST4)&gt;0,SUM(SN4,SQ4,ST4),"")</f>
        <v/>
      </c>
      <c r="SV4" s="22">
        <f t="shared" ref="SV4:SV38" si="218">IF($CP4="P",CA4,(CA4+AZ4)/2)</f>
        <v>2.35</v>
      </c>
      <c r="SW4" s="22">
        <f t="shared" ref="SW4:SW38" si="219">IF($CP4="P",CB4,(CB4+BA4)/2)</f>
        <v>1.4</v>
      </c>
      <c r="SX4" s="22">
        <f t="shared" ref="SX4:SX38" si="220">IF($CP4="P",CC4,(CC4+BB4)/2)</f>
        <v>2.9</v>
      </c>
      <c r="SY4" s="22">
        <f t="shared" ref="SY4:SY38" si="221">IF($CP4="P",CD4,(CD4+BC4)/2)</f>
        <v>2.61</v>
      </c>
      <c r="SZ4" s="22">
        <f t="shared" ref="SZ4:SZ38" si="222">IF($CP4="P",CE4,(CE4+BD4)/2)</f>
        <v>0</v>
      </c>
      <c r="TA4" s="22">
        <f t="shared" ref="TA4:TA38" si="223">IF($CP4="P",CF4,(CF4+BE4)/2)</f>
        <v>12.4</v>
      </c>
      <c r="TB4" s="22">
        <f t="shared" ref="TB4:TB38" si="224">IF($CP4="P",CG4,(CG4+BF4)/2)</f>
        <v>7.45</v>
      </c>
      <c r="TC4" s="22">
        <f t="shared" ref="TC4:TC38" si="225">IF($CP4="P",CH4,(CH4+BG4)/2)</f>
        <v>12.6</v>
      </c>
      <c r="TD4" s="22">
        <f t="shared" ref="TD4:TD38" si="226">IF($CP4="P",CI4,(CI4+BH4)/2)</f>
        <v>13.57</v>
      </c>
      <c r="TE4" s="22">
        <f t="shared" ref="TE4:TE38" si="227">IF($CP4="P",CJ4,(CJ4+BI4)/2)</f>
        <v>0</v>
      </c>
      <c r="TF4" s="22">
        <f t="shared" ref="TF4:TF38" si="228">IF($CP4="P",CK4,(CK4+BJ4)/2)</f>
        <v>8</v>
      </c>
      <c r="TG4" s="22">
        <f t="shared" ref="TG4:TG38" si="229">IF($CP4="P",CL4,(CL4+BK4)/2)</f>
        <v>4.25</v>
      </c>
      <c r="TH4" s="22">
        <f t="shared" ref="TH4:TH38" si="230">IF($CP4="P",CM4,(CM4+BL4)/2)</f>
        <v>8.1</v>
      </c>
      <c r="TI4" s="22">
        <f t="shared" ref="TI4:TI38" si="231">IF($CP4="P",CN4,(CN4+BM4)/2)</f>
        <v>8.2100000000000009</v>
      </c>
      <c r="TJ4" s="22">
        <f t="shared" ref="TJ4:TJ38" si="232">IF($CP4="P",CO4,(CO4+BN4)/2)</f>
        <v>0</v>
      </c>
      <c r="TK4" s="27" t="s">
        <v>46</v>
      </c>
      <c r="TL4" s="40">
        <f t="shared" ref="TL4:TL38" si="233">IF(SX4&gt;0,SX4,"")</f>
        <v>2.9</v>
      </c>
      <c r="TM4" s="40">
        <f t="shared" ref="TM4:TM38" si="234">IF(SY4&gt;0,SY4,"")</f>
        <v>2.61</v>
      </c>
      <c r="TN4" s="40">
        <f t="shared" ref="TN4:TN38" si="235">IF(SUM(SV4:SY4)-SZ4&gt;0,SUM(SV4:SY4)-SZ4,"")</f>
        <v>9.26</v>
      </c>
      <c r="TO4" s="40">
        <f t="shared" ref="TO4:TO38" si="236">IF(TC4&gt;0,TC4,"")</f>
        <v>12.6</v>
      </c>
      <c r="TP4" s="40">
        <f t="shared" ref="TP4:TP38" si="237">IF(TD4&gt;0,TD4,"")</f>
        <v>13.57</v>
      </c>
      <c r="TQ4" s="40">
        <f t="shared" ref="TQ4:TQ38" si="238">IF(SUM(TA4:TD4)-TE4&gt;0,SUM(TA4:TD4)-TE4,"")</f>
        <v>46.02</v>
      </c>
      <c r="TR4" s="40">
        <f t="shared" ref="TR4:TR38" si="239">IF(MAX(TN4,TQ4)&gt;0,MAX(TN4,TQ4),"")</f>
        <v>46.02</v>
      </c>
      <c r="TS4" s="40">
        <f t="shared" ref="TS4:TS38" si="240">IF(TH4&gt;0,TH4,"")</f>
        <v>8.1</v>
      </c>
      <c r="TT4" s="40">
        <f t="shared" ref="TT4:TT38" si="241">IF(TI4&gt;0,TI4,"")</f>
        <v>8.2100000000000009</v>
      </c>
      <c r="TU4" s="40">
        <f t="shared" ref="TU4:TU38" si="242">IF(SUM(TF4:TI4)-TJ4&gt;0,SUM(TF4:TI4)-TJ4,"")</f>
        <v>28.560000000000002</v>
      </c>
      <c r="TV4" s="40">
        <f t="shared" ref="TV4:TV38" si="243">IF(SUM(TR4,TU4)&gt;0,SUM(TR4,TU4),"")</f>
        <v>74.580000000000013</v>
      </c>
    </row>
    <row r="5" spans="1:542" x14ac:dyDescent="0.2">
      <c r="A5" s="4" cm="1">
        <f t="array" ref="A5">IF(AND(J5&lt;&gt;"",J5&lt;&gt;"No DD"),SUMPRODUCT((J$4:J$39&lt;&gt;"")*(J$4:J$39&lt;&gt;"No DD")*(F$4:F$39&gt;F5))+1,IF(J5="No DD",SUMPRODUCT((J$4:J$39="No DD")*(F$4:F$39&gt;F5))+1+SUMPRODUCT((J$4:J$39&lt;&gt;"")*(J$4:J$39&lt;&gt;"No DD")),""))</f>
        <v>2</v>
      </c>
      <c r="B5" s="4" t="str" cm="1">
        <f t="array" ref="B5">IF(AND(J5&lt;&gt;"",J5&lt;&gt;"No DD",G5=""),SUMPRODUCT((J$4:J$39&lt;&gt;"")*(J$4:J$39&lt;&gt;"No DD")*(G$4:G$39="")*(F$4:F$39&gt;F5))+1,IF(J5="No DD",SUMPRODUCT((J$4:J$39="No DD")*(F$4:F$39&gt;F5)*(G$4:G$39=""))+1+SUMPRODUCT((J$4:J$39&lt;&gt;"")*(G$4:G$39="")*(J$4:J$39&lt;&gt;"No DD")),""))</f>
        <v/>
      </c>
      <c r="C5" s="5" t="s">
        <v>88</v>
      </c>
      <c r="D5" s="4" t="s">
        <v>6</v>
      </c>
      <c r="E5" s="4">
        <v>2005</v>
      </c>
      <c r="F5" s="9">
        <f t="shared" si="0"/>
        <v>200.38002003800565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56.529999999999994</v>
      </c>
      <c r="M5" s="8" t="str">
        <f t="shared" si="5"/>
        <v>2024 3rd Domestic Trial</v>
      </c>
      <c r="N5" s="8">
        <f>IF(COUNT(AQ5,AT5,BR5,BU5,CS5,CV5)&gt;1,LARGE((AQ5,AT5,BR5,BU5,CS5,CV5),2),0)</f>
        <v>56.26</v>
      </c>
      <c r="O5" s="8" t="str">
        <f t="shared" si="6"/>
        <v>2024 3rd Domestic Trial</v>
      </c>
      <c r="P5" s="8">
        <f>IF(COUNT(AQ5,AT5,BR5,BU5,CS5,CV5)&gt;2,MAX(AX5,BY5,CZ5,LARGE((AQ5,AT5,BR5,BU5,CS5,CV5),3)),IF(MAX(AX5,BY5,CZ5)&gt;0,MAX(AX5,BY5,CZ5),0))</f>
        <v>56.36</v>
      </c>
      <c r="Q5" s="8" t="str">
        <f t="shared" si="7"/>
        <v>2024 3rd Domestic Trial</v>
      </c>
      <c r="R5" s="8">
        <f t="shared" si="8"/>
        <v>15.4</v>
      </c>
      <c r="S5" s="8" t="str">
        <f t="shared" si="9"/>
        <v>2024 Pan Am Championships (May 19)</v>
      </c>
      <c r="T5" s="8">
        <f t="shared" si="10"/>
        <v>15.83</v>
      </c>
      <c r="U5" s="8" t="str">
        <f t="shared" si="11"/>
        <v>2024 3rd Domestic Trial</v>
      </c>
      <c r="V5" s="8" t="str">
        <f t="shared" si="12"/>
        <v/>
      </c>
      <c r="W5" s="11" t="str">
        <f t="shared" si="13"/>
        <v/>
      </c>
      <c r="X5" s="8" t="str">
        <f t="shared" si="14"/>
        <v/>
      </c>
      <c r="Y5" s="22">
        <v>4.5999999999999996</v>
      </c>
      <c r="Z5" s="22">
        <v>2.7</v>
      </c>
      <c r="AA5" s="22">
        <v>5.0999999999999996</v>
      </c>
      <c r="AB5" s="22">
        <v>4.7699999999999996</v>
      </c>
      <c r="AC5" s="22">
        <v>0</v>
      </c>
      <c r="AD5" s="22">
        <v>3.2</v>
      </c>
      <c r="AE5" s="22">
        <v>1.8</v>
      </c>
      <c r="AF5" s="22">
        <v>3.2</v>
      </c>
      <c r="AG5" s="22">
        <v>3.16</v>
      </c>
      <c r="AH5" s="22">
        <v>0</v>
      </c>
      <c r="AI5" s="22"/>
      <c r="AJ5" s="22"/>
      <c r="AK5" s="22"/>
      <c r="AL5" s="22"/>
      <c r="AM5" s="22"/>
      <c r="AN5" s="27"/>
      <c r="AO5" s="38">
        <f t="shared" si="15"/>
        <v>5.0999999999999996</v>
      </c>
      <c r="AP5" s="38">
        <f t="shared" si="16"/>
        <v>4.7699999999999996</v>
      </c>
      <c r="AQ5" s="40">
        <f t="shared" si="17"/>
        <v>17.169999999999998</v>
      </c>
      <c r="AR5" s="40">
        <f t="shared" si="18"/>
        <v>3.2</v>
      </c>
      <c r="AS5" s="40">
        <f t="shared" si="19"/>
        <v>3.16</v>
      </c>
      <c r="AT5" s="40">
        <f t="shared" si="20"/>
        <v>11.36</v>
      </c>
      <c r="AU5" s="40">
        <f t="shared" si="21"/>
        <v>17.169999999999998</v>
      </c>
      <c r="AV5" s="40" t="str">
        <f t="shared" si="22"/>
        <v/>
      </c>
      <c r="AW5" s="40" t="str">
        <f t="shared" si="23"/>
        <v/>
      </c>
      <c r="AX5" s="40" t="str">
        <f t="shared" si="24"/>
        <v/>
      </c>
      <c r="AY5" s="40">
        <f t="shared" si="25"/>
        <v>17.169999999999998</v>
      </c>
      <c r="AZ5" s="26">
        <v>16.8</v>
      </c>
      <c r="BA5" s="26">
        <v>9.5</v>
      </c>
      <c r="BB5" s="26">
        <v>14.2</v>
      </c>
      <c r="BC5" s="26">
        <v>15.76</v>
      </c>
      <c r="BD5" s="26">
        <v>0</v>
      </c>
      <c r="BE5" s="26">
        <v>16.899999999999999</v>
      </c>
      <c r="BF5" s="26">
        <v>9.4</v>
      </c>
      <c r="BG5" s="26">
        <v>14.4</v>
      </c>
      <c r="BH5" s="26">
        <v>15.83</v>
      </c>
      <c r="BI5" s="26">
        <v>0</v>
      </c>
      <c r="BJ5" s="26">
        <v>17</v>
      </c>
      <c r="BK5" s="26">
        <v>9.3000000000000007</v>
      </c>
      <c r="BL5" s="26">
        <v>14.4</v>
      </c>
      <c r="BM5" s="26">
        <v>15.66</v>
      </c>
      <c r="BN5" s="26">
        <v>0</v>
      </c>
      <c r="BO5" s="28"/>
      <c r="BP5" s="39">
        <f t="shared" si="26"/>
        <v>14.2</v>
      </c>
      <c r="BQ5" s="39">
        <f t="shared" si="27"/>
        <v>15.76</v>
      </c>
      <c r="BR5" s="11">
        <f t="shared" si="28"/>
        <v>56.26</v>
      </c>
      <c r="BS5" s="11">
        <f t="shared" si="29"/>
        <v>14.4</v>
      </c>
      <c r="BT5" s="11">
        <f t="shared" si="30"/>
        <v>15.83</v>
      </c>
      <c r="BU5" s="11">
        <f t="shared" si="31"/>
        <v>56.529999999999994</v>
      </c>
      <c r="BV5" s="11">
        <f t="shared" si="32"/>
        <v>56.529999999999994</v>
      </c>
      <c r="BW5" s="11">
        <f t="shared" si="33"/>
        <v>14.4</v>
      </c>
      <c r="BX5" s="11">
        <f t="shared" si="34"/>
        <v>15.66</v>
      </c>
      <c r="BY5" s="11">
        <f t="shared" si="35"/>
        <v>56.36</v>
      </c>
      <c r="BZ5" s="11">
        <f t="shared" si="36"/>
        <v>112.88999999999999</v>
      </c>
      <c r="CA5" s="22">
        <v>12.9</v>
      </c>
      <c r="CB5" s="22">
        <v>7.9</v>
      </c>
      <c r="CC5" s="22">
        <v>14.2</v>
      </c>
      <c r="CD5" s="22">
        <v>13.71</v>
      </c>
      <c r="CE5" s="22">
        <v>0</v>
      </c>
      <c r="CF5" s="22">
        <v>13</v>
      </c>
      <c r="CG5" s="22">
        <v>8.6999999999999993</v>
      </c>
      <c r="CH5" s="22">
        <v>15.1</v>
      </c>
      <c r="CI5" s="22">
        <v>15.19</v>
      </c>
      <c r="CJ5" s="22">
        <v>0</v>
      </c>
      <c r="CK5" s="22">
        <v>15.3</v>
      </c>
      <c r="CL5" s="22">
        <v>9.3000000000000007</v>
      </c>
      <c r="CM5" s="22">
        <v>14.7</v>
      </c>
      <c r="CN5" s="22">
        <v>15.29</v>
      </c>
      <c r="CO5" s="22">
        <v>0</v>
      </c>
      <c r="CP5" s="27"/>
      <c r="CQ5" s="38">
        <f t="shared" si="37"/>
        <v>14.2</v>
      </c>
      <c r="CR5" s="38">
        <f t="shared" si="38"/>
        <v>13.71</v>
      </c>
      <c r="CS5" s="40">
        <f t="shared" si="39"/>
        <v>48.71</v>
      </c>
      <c r="CT5" s="40">
        <f t="shared" si="40"/>
        <v>15.1</v>
      </c>
      <c r="CU5" s="40">
        <f t="shared" si="41"/>
        <v>15.19</v>
      </c>
      <c r="CV5" s="40">
        <f t="shared" si="42"/>
        <v>51.989999999999995</v>
      </c>
      <c r="CW5" s="40">
        <f t="shared" si="43"/>
        <v>51.989999999999995</v>
      </c>
      <c r="CX5" s="40">
        <f t="shared" si="44"/>
        <v>14.7</v>
      </c>
      <c r="CY5" s="40">
        <f t="shared" si="45"/>
        <v>15.29</v>
      </c>
      <c r="CZ5" s="40">
        <f t="shared" si="46"/>
        <v>54.589999999999996</v>
      </c>
      <c r="DA5" s="40">
        <f t="shared" si="47"/>
        <v>106.57999999999998</v>
      </c>
      <c r="DB5" s="50" t="str">
        <f t="shared" si="48"/>
        <v/>
      </c>
      <c r="DC5" s="50" t="str">
        <f t="shared" si="49"/>
        <v/>
      </c>
      <c r="DD5" s="17">
        <v>14.3</v>
      </c>
      <c r="DE5" s="17">
        <v>9.5</v>
      </c>
      <c r="DF5" s="17">
        <v>15.4</v>
      </c>
      <c r="DG5" s="17">
        <v>14.93</v>
      </c>
      <c r="DH5" s="17">
        <v>0</v>
      </c>
      <c r="DI5" s="17">
        <v>13.5</v>
      </c>
      <c r="DJ5" s="17">
        <v>9.1999999999999993</v>
      </c>
      <c r="DK5" s="17">
        <v>15.2</v>
      </c>
      <c r="DL5" s="17">
        <v>14.44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0"/>
        <v>15.4</v>
      </c>
      <c r="DY5" s="40">
        <f t="shared" si="51"/>
        <v>14.93</v>
      </c>
      <c r="DZ5" s="40">
        <f t="shared" si="52"/>
        <v>54.13</v>
      </c>
      <c r="EA5" s="40">
        <f t="shared" si="53"/>
        <v>15.2</v>
      </c>
      <c r="EB5" s="40">
        <f t="shared" si="54"/>
        <v>14.44</v>
      </c>
      <c r="EC5" s="40">
        <f t="shared" si="55"/>
        <v>52.339999999999996</v>
      </c>
      <c r="ED5" s="40">
        <f t="shared" si="56"/>
        <v>54.13</v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>
        <f t="shared" si="63"/>
        <v>54.13</v>
      </c>
      <c r="EL5" s="18">
        <v>14.7</v>
      </c>
      <c r="EM5" s="18">
        <v>9.1999999999999993</v>
      </c>
      <c r="EN5" s="18">
        <v>15</v>
      </c>
      <c r="EO5" s="18">
        <v>15.22</v>
      </c>
      <c r="EP5" s="18">
        <v>0</v>
      </c>
      <c r="EQ5" s="18">
        <v>15.2</v>
      </c>
      <c r="ER5" s="18">
        <v>9.4</v>
      </c>
      <c r="ES5" s="18">
        <v>15</v>
      </c>
      <c r="ET5" s="18">
        <v>15.12</v>
      </c>
      <c r="EU5" s="18">
        <v>0</v>
      </c>
      <c r="EV5" s="18"/>
      <c r="EW5" s="18"/>
      <c r="EX5" s="18"/>
      <c r="EY5" s="18"/>
      <c r="EZ5" s="18"/>
      <c r="FA5" s="18">
        <v>7.6</v>
      </c>
      <c r="FB5" s="18">
        <v>4.5999999999999996</v>
      </c>
      <c r="FC5" s="18">
        <v>8.1999999999999993</v>
      </c>
      <c r="FD5" s="18">
        <v>7.85</v>
      </c>
      <c r="FE5" s="18">
        <v>0</v>
      </c>
      <c r="FF5" s="11">
        <f t="shared" si="64"/>
        <v>15</v>
      </c>
      <c r="FG5" s="11">
        <f t="shared" si="65"/>
        <v>15.22</v>
      </c>
      <c r="FH5" s="11">
        <f t="shared" si="66"/>
        <v>54.12</v>
      </c>
      <c r="FI5" s="11">
        <f t="shared" si="67"/>
        <v>15</v>
      </c>
      <c r="FJ5" s="11">
        <f t="shared" si="68"/>
        <v>15.12</v>
      </c>
      <c r="FK5" s="11">
        <f t="shared" si="69"/>
        <v>54.72</v>
      </c>
      <c r="FL5" s="11">
        <f t="shared" si="70"/>
        <v>54.72</v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>
        <f t="shared" si="74"/>
        <v>8.1999999999999993</v>
      </c>
      <c r="FQ5" s="11">
        <f t="shared" si="75"/>
        <v>7.85</v>
      </c>
      <c r="FR5" s="11">
        <f t="shared" si="76"/>
        <v>28.25</v>
      </c>
      <c r="FS5" s="11">
        <f t="shared" si="77"/>
        <v>82.97</v>
      </c>
      <c r="FT5" s="17">
        <v>14.5</v>
      </c>
      <c r="FU5" s="17">
        <v>9.6999999999999993</v>
      </c>
      <c r="FV5" s="17">
        <v>13.4</v>
      </c>
      <c r="FW5" s="17">
        <v>15.39</v>
      </c>
      <c r="FX5" s="17">
        <v>0</v>
      </c>
      <c r="FY5" s="17">
        <v>14.6</v>
      </c>
      <c r="FZ5" s="17">
        <v>9.4</v>
      </c>
      <c r="GA5" s="17">
        <v>14.4</v>
      </c>
      <c r="GB5" s="17">
        <v>15.23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 t="shared" si="78"/>
        <v>13.4</v>
      </c>
      <c r="GO5" s="40">
        <f t="shared" si="79"/>
        <v>15.39</v>
      </c>
      <c r="GP5" s="40">
        <f t="shared" si="80"/>
        <v>52.99</v>
      </c>
      <c r="GQ5" s="40">
        <f t="shared" si="81"/>
        <v>14.4</v>
      </c>
      <c r="GR5" s="40">
        <f t="shared" si="82"/>
        <v>15.23</v>
      </c>
      <c r="GS5" s="40">
        <f t="shared" si="83"/>
        <v>53.629999999999995</v>
      </c>
      <c r="GT5" s="40">
        <f t="shared" si="84"/>
        <v>53.629999999999995</v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>
        <f t="shared" si="91"/>
        <v>53.629999999999995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2"/>
        <v/>
      </c>
      <c r="HW5" s="11" t="str">
        <f t="shared" si="93"/>
        <v/>
      </c>
      <c r="HX5" s="11" t="str">
        <f t="shared" si="94"/>
        <v/>
      </c>
      <c r="HY5" s="11" t="str">
        <f t="shared" si="95"/>
        <v/>
      </c>
      <c r="HZ5" s="11" t="str">
        <f t="shared" si="96"/>
        <v/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 t="str">
        <f t="shared" si="105"/>
        <v/>
      </c>
      <c r="IJ5" s="17">
        <v>14.8</v>
      </c>
      <c r="IK5" s="17">
        <v>9.5</v>
      </c>
      <c r="IL5" s="17">
        <v>15</v>
      </c>
      <c r="IM5" s="17">
        <v>14.99</v>
      </c>
      <c r="IN5" s="17">
        <v>0</v>
      </c>
      <c r="IO5" s="17">
        <v>15</v>
      </c>
      <c r="IP5" s="17">
        <v>9.4</v>
      </c>
      <c r="IQ5" s="17">
        <v>14.4</v>
      </c>
      <c r="IR5" s="17">
        <v>15.24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 t="shared" si="106"/>
        <v>15</v>
      </c>
      <c r="JE5" s="40">
        <f t="shared" si="107"/>
        <v>14.99</v>
      </c>
      <c r="JF5" s="40">
        <f t="shared" si="108"/>
        <v>54.29</v>
      </c>
      <c r="JG5" s="40">
        <f t="shared" si="109"/>
        <v>14.4</v>
      </c>
      <c r="JH5" s="40">
        <f t="shared" si="110"/>
        <v>15.24</v>
      </c>
      <c r="JI5" s="40">
        <f t="shared" si="111"/>
        <v>54.04</v>
      </c>
      <c r="JJ5" s="40">
        <f t="shared" si="112"/>
        <v>54.29</v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>
        <f t="shared" si="119"/>
        <v>54.29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14.850000000000001</v>
      </c>
      <c r="SW5" s="22">
        <f t="shared" si="219"/>
        <v>8.6999999999999993</v>
      </c>
      <c r="SX5" s="22">
        <f t="shared" si="220"/>
        <v>14.2</v>
      </c>
      <c r="SY5" s="22">
        <f t="shared" si="221"/>
        <v>14.734999999999999</v>
      </c>
      <c r="SZ5" s="22">
        <f t="shared" si="222"/>
        <v>0</v>
      </c>
      <c r="TA5" s="22">
        <f t="shared" si="223"/>
        <v>14.95</v>
      </c>
      <c r="TB5" s="22">
        <f t="shared" si="224"/>
        <v>9.0500000000000007</v>
      </c>
      <c r="TC5" s="22">
        <f t="shared" si="225"/>
        <v>14.75</v>
      </c>
      <c r="TD5" s="22">
        <f t="shared" si="226"/>
        <v>15.51</v>
      </c>
      <c r="TE5" s="22">
        <f t="shared" si="227"/>
        <v>0</v>
      </c>
      <c r="TF5" s="22">
        <f t="shared" si="228"/>
        <v>16.149999999999999</v>
      </c>
      <c r="TG5" s="22">
        <f t="shared" si="229"/>
        <v>9.3000000000000007</v>
      </c>
      <c r="TH5" s="22">
        <f t="shared" si="230"/>
        <v>14.55</v>
      </c>
      <c r="TI5" s="22">
        <f t="shared" si="231"/>
        <v>15.475</v>
      </c>
      <c r="TJ5" s="22">
        <f t="shared" si="232"/>
        <v>0</v>
      </c>
      <c r="TK5" s="27" t="s">
        <v>46</v>
      </c>
      <c r="TL5" s="40">
        <f t="shared" si="233"/>
        <v>14.2</v>
      </c>
      <c r="TM5" s="40">
        <f t="shared" si="234"/>
        <v>14.734999999999999</v>
      </c>
      <c r="TN5" s="40">
        <f t="shared" si="235"/>
        <v>52.484999999999999</v>
      </c>
      <c r="TO5" s="40">
        <f t="shared" si="236"/>
        <v>14.75</v>
      </c>
      <c r="TP5" s="40">
        <f t="shared" si="237"/>
        <v>15.51</v>
      </c>
      <c r="TQ5" s="40">
        <f t="shared" si="238"/>
        <v>54.26</v>
      </c>
      <c r="TR5" s="40">
        <f t="shared" si="239"/>
        <v>54.26</v>
      </c>
      <c r="TS5" s="40">
        <f t="shared" si="240"/>
        <v>14.55</v>
      </c>
      <c r="TT5" s="40">
        <f t="shared" si="241"/>
        <v>15.475</v>
      </c>
      <c r="TU5" s="40">
        <f t="shared" si="242"/>
        <v>55.475000000000001</v>
      </c>
      <c r="TV5" s="40">
        <f t="shared" si="243"/>
        <v>109.735</v>
      </c>
    </row>
    <row r="6" spans="1:542" x14ac:dyDescent="0.2">
      <c r="A6" s="4" cm="1">
        <f t="array" ref="A6">IF(AND(J6&lt;&gt;"",J6&lt;&gt;"No DD"),SUMPRODUCT((J$4:J$39&lt;&gt;"")*(J$4:J$39&lt;&gt;"No DD")*(F$4:F$39&gt;F6))+1,IF(J6="No DD",SUMPRODUCT((J$4:J$39="No DD")*(F$4:F$39&gt;F6))+1+SUMPRODUCT((J$4:J$39&lt;&gt;"")*(J$4:J$39&lt;&gt;"No DD")),""))</f>
        <v>3</v>
      </c>
      <c r="B6" s="4" cm="1">
        <f t="array" ref="B6">IF(AND(J6&lt;&gt;"",J6&lt;&gt;"No DD",G6=""),SUMPRODUCT((J$4:J$39&lt;&gt;"")*(J$4:J$39&lt;&gt;"No DD")*(G$4:G$39="")*(F$4:F$39&gt;F6))+1,IF(J6="No DD",SUMPRODUCT((J$4:J$39="No DD")*(F$4:F$39&gt;F6)*(G$4:G$39=""))+1+SUMPRODUCT((J$4:J$39&lt;&gt;"")*(G$4:G$39="")*(J$4:J$39&lt;&gt;"No DD")),""))</f>
        <v>1</v>
      </c>
      <c r="C6" s="5" t="s">
        <v>148</v>
      </c>
      <c r="D6" s="4" t="s">
        <v>4</v>
      </c>
      <c r="E6" s="4">
        <v>2007</v>
      </c>
      <c r="F6" s="9">
        <f t="shared" si="0"/>
        <v>195.85001940300558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55.410000000000004</v>
      </c>
      <c r="M6" s="8" t="str">
        <f t="shared" si="5"/>
        <v>2025 Elite Canada</v>
      </c>
      <c r="N6" s="8">
        <f>IF(COUNT(AQ6,AT6,BR6,BU6,CS6,CV6)&gt;1,LARGE((AQ6,AT6,BR6,BU6,CS6,CV6),2),0)</f>
        <v>53.56</v>
      </c>
      <c r="O6" s="8" t="str">
        <f t="shared" si="6"/>
        <v>2024 Nationals</v>
      </c>
      <c r="P6" s="8">
        <f>IF(COUNT(AQ6,AT6,BR6,BU6,CS6,CV6)&gt;2,MAX(AX6,BY6,CZ6,LARGE((AQ6,AT6,BR6,BU6,CS6,CV6),3)),IF(MAX(AX6,BY6,CZ6)&gt;0,MAX(AX6,BY6,CZ6),0))</f>
        <v>54.58</v>
      </c>
      <c r="Q6" s="8" t="str">
        <f t="shared" si="7"/>
        <v>2024 Nationals</v>
      </c>
      <c r="R6" s="8">
        <f t="shared" si="8"/>
        <v>14.4</v>
      </c>
      <c r="S6" s="8" t="str">
        <f t="shared" si="9"/>
        <v>2025 Elite Canada</v>
      </c>
      <c r="T6" s="8">
        <f t="shared" si="10"/>
        <v>16.079999999999998</v>
      </c>
      <c r="U6" s="8" t="str">
        <f t="shared" si="11"/>
        <v>2024 Coimbra Gym Fest (July 7)</v>
      </c>
      <c r="V6" s="8">
        <f t="shared" si="12"/>
        <v>1.8199999999999932</v>
      </c>
      <c r="W6" s="11" t="str">
        <f t="shared" si="13"/>
        <v>(Optional)</v>
      </c>
      <c r="X6" s="8" t="str">
        <f t="shared" si="14"/>
        <v>2024 Coimbra Gym Fest (July 7)</v>
      </c>
      <c r="Y6" s="22">
        <v>15.5</v>
      </c>
      <c r="Z6" s="22">
        <v>9.3000000000000007</v>
      </c>
      <c r="AA6" s="22">
        <v>13.3</v>
      </c>
      <c r="AB6" s="22">
        <v>15.66</v>
      </c>
      <c r="AC6" s="22">
        <v>0.2</v>
      </c>
      <c r="AD6" s="22">
        <v>4.0999999999999996</v>
      </c>
      <c r="AE6" s="22">
        <v>2.7</v>
      </c>
      <c r="AF6" s="22">
        <v>4.7</v>
      </c>
      <c r="AG6" s="22">
        <v>4.71</v>
      </c>
      <c r="AH6" s="22">
        <v>0</v>
      </c>
      <c r="AI6" s="22">
        <v>16.5</v>
      </c>
      <c r="AJ6" s="22">
        <v>9</v>
      </c>
      <c r="AK6" s="22">
        <v>13.4</v>
      </c>
      <c r="AL6" s="22">
        <v>15.78</v>
      </c>
      <c r="AM6" s="22">
        <v>0.1</v>
      </c>
      <c r="AN6" s="27"/>
      <c r="AO6" s="38">
        <f t="shared" si="15"/>
        <v>13.3</v>
      </c>
      <c r="AP6" s="38">
        <f t="shared" si="16"/>
        <v>15.66</v>
      </c>
      <c r="AQ6" s="40">
        <f t="shared" si="17"/>
        <v>53.56</v>
      </c>
      <c r="AR6" s="40">
        <f t="shared" si="18"/>
        <v>4.7</v>
      </c>
      <c r="AS6" s="40">
        <f t="shared" si="19"/>
        <v>4.71</v>
      </c>
      <c r="AT6" s="40">
        <f t="shared" si="20"/>
        <v>16.21</v>
      </c>
      <c r="AU6" s="40">
        <f t="shared" si="21"/>
        <v>53.56</v>
      </c>
      <c r="AV6" s="40">
        <f t="shared" si="22"/>
        <v>13.4</v>
      </c>
      <c r="AW6" s="40">
        <f t="shared" si="23"/>
        <v>15.78</v>
      </c>
      <c r="AX6" s="40">
        <f t="shared" si="24"/>
        <v>54.58</v>
      </c>
      <c r="AY6" s="40">
        <f t="shared" si="25"/>
        <v>108.14</v>
      </c>
      <c r="AZ6" s="26">
        <v>11.9</v>
      </c>
      <c r="BA6" s="26">
        <v>6.2</v>
      </c>
      <c r="BB6" s="26">
        <v>10.3</v>
      </c>
      <c r="BC6" s="26">
        <v>12.19</v>
      </c>
      <c r="BD6" s="26">
        <v>0</v>
      </c>
      <c r="BE6" s="26">
        <v>15.3</v>
      </c>
      <c r="BF6" s="26">
        <v>7.9</v>
      </c>
      <c r="BG6" s="26">
        <v>13.2</v>
      </c>
      <c r="BH6" s="26">
        <v>15.51</v>
      </c>
      <c r="BI6" s="26">
        <v>0</v>
      </c>
      <c r="BJ6" s="26">
        <v>14.2</v>
      </c>
      <c r="BK6" s="26">
        <v>7.2</v>
      </c>
      <c r="BL6" s="26">
        <v>11.7</v>
      </c>
      <c r="BM6" s="26">
        <v>13.91</v>
      </c>
      <c r="BN6" s="26">
        <v>0</v>
      </c>
      <c r="BO6" s="28"/>
      <c r="BP6" s="39">
        <f t="shared" si="26"/>
        <v>10.3</v>
      </c>
      <c r="BQ6" s="39">
        <f t="shared" si="27"/>
        <v>12.19</v>
      </c>
      <c r="BR6" s="11">
        <f t="shared" si="28"/>
        <v>40.590000000000003</v>
      </c>
      <c r="BS6" s="11">
        <f t="shared" si="29"/>
        <v>13.2</v>
      </c>
      <c r="BT6" s="11">
        <f t="shared" si="30"/>
        <v>15.51</v>
      </c>
      <c r="BU6" s="11">
        <f t="shared" si="31"/>
        <v>51.910000000000004</v>
      </c>
      <c r="BV6" s="11">
        <f t="shared" si="32"/>
        <v>51.910000000000004</v>
      </c>
      <c r="BW6" s="11">
        <f t="shared" si="33"/>
        <v>11.7</v>
      </c>
      <c r="BX6" s="11">
        <f t="shared" si="34"/>
        <v>13.91</v>
      </c>
      <c r="BY6" s="11">
        <f t="shared" si="35"/>
        <v>47.009999999999991</v>
      </c>
      <c r="BZ6" s="11">
        <f t="shared" si="36"/>
        <v>98.919999999999987</v>
      </c>
      <c r="CA6" s="22">
        <v>16</v>
      </c>
      <c r="CB6" s="22">
        <v>9.3000000000000007</v>
      </c>
      <c r="CC6" s="22">
        <v>14.4</v>
      </c>
      <c r="CD6" s="22">
        <v>15.81</v>
      </c>
      <c r="CE6" s="22">
        <v>0.1</v>
      </c>
      <c r="CF6" s="22">
        <v>1.6</v>
      </c>
      <c r="CG6" s="22">
        <v>1</v>
      </c>
      <c r="CH6" s="22">
        <v>2</v>
      </c>
      <c r="CI6" s="22">
        <v>1.67</v>
      </c>
      <c r="CJ6" s="22">
        <v>0</v>
      </c>
      <c r="CK6" s="22">
        <v>7.3</v>
      </c>
      <c r="CL6" s="22">
        <v>4.4000000000000004</v>
      </c>
      <c r="CM6" s="22">
        <v>7.6</v>
      </c>
      <c r="CN6" s="22">
        <v>7.8</v>
      </c>
      <c r="CO6" s="22">
        <v>0</v>
      </c>
      <c r="CP6" s="27"/>
      <c r="CQ6" s="38">
        <f t="shared" si="37"/>
        <v>14.4</v>
      </c>
      <c r="CR6" s="38">
        <f t="shared" si="38"/>
        <v>15.81</v>
      </c>
      <c r="CS6" s="40">
        <f t="shared" si="39"/>
        <v>55.410000000000004</v>
      </c>
      <c r="CT6" s="40">
        <f t="shared" si="40"/>
        <v>2</v>
      </c>
      <c r="CU6" s="40">
        <f t="shared" si="41"/>
        <v>1.67</v>
      </c>
      <c r="CV6" s="40">
        <f t="shared" si="42"/>
        <v>6.27</v>
      </c>
      <c r="CW6" s="40">
        <f t="shared" si="43"/>
        <v>55.410000000000004</v>
      </c>
      <c r="CX6" s="40">
        <f t="shared" si="44"/>
        <v>7.6</v>
      </c>
      <c r="CY6" s="40">
        <f t="shared" si="45"/>
        <v>7.8</v>
      </c>
      <c r="CZ6" s="40">
        <f t="shared" si="46"/>
        <v>27.099999999999998</v>
      </c>
      <c r="DA6" s="40">
        <f t="shared" si="47"/>
        <v>82.51</v>
      </c>
      <c r="DB6" s="50">
        <f t="shared" si="48"/>
        <v>1.8199999999999932</v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>
        <v>1.6</v>
      </c>
      <c r="EM6" s="18">
        <v>0.9</v>
      </c>
      <c r="EN6" s="18">
        <v>2</v>
      </c>
      <c r="EO6" s="18">
        <v>1.75</v>
      </c>
      <c r="EP6" s="18">
        <v>0</v>
      </c>
      <c r="EQ6" s="18">
        <v>7.6</v>
      </c>
      <c r="ER6" s="18">
        <v>4.5</v>
      </c>
      <c r="ES6" s="18">
        <v>7</v>
      </c>
      <c r="ET6" s="18">
        <v>8.17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4"/>
        <v>2</v>
      </c>
      <c r="FG6" s="11">
        <f t="shared" si="65"/>
        <v>1.75</v>
      </c>
      <c r="FH6" s="11">
        <f t="shared" si="66"/>
        <v>6.25</v>
      </c>
      <c r="FI6" s="11">
        <f t="shared" si="67"/>
        <v>7</v>
      </c>
      <c r="FJ6" s="11">
        <f t="shared" si="68"/>
        <v>8.17</v>
      </c>
      <c r="FK6" s="11">
        <f t="shared" si="69"/>
        <v>27.270000000000003</v>
      </c>
      <c r="FL6" s="11">
        <f t="shared" si="70"/>
        <v>27.270000000000003</v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>
        <f t="shared" si="77"/>
        <v>27.270000000000003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>
        <v>15.5</v>
      </c>
      <c r="HC6" s="18">
        <v>9.8000000000000007</v>
      </c>
      <c r="HD6" s="18">
        <v>14</v>
      </c>
      <c r="HE6" s="18">
        <v>16.079999999999998</v>
      </c>
      <c r="HF6" s="18">
        <v>0</v>
      </c>
      <c r="HG6" s="18">
        <v>12.1</v>
      </c>
      <c r="HH6" s="18">
        <v>7</v>
      </c>
      <c r="HI6" s="18">
        <v>9.6999999999999993</v>
      </c>
      <c r="HJ6" s="18">
        <v>13.08</v>
      </c>
      <c r="HK6" s="18">
        <v>0</v>
      </c>
      <c r="HL6" s="18">
        <v>10.3</v>
      </c>
      <c r="HM6" s="18">
        <v>6.2</v>
      </c>
      <c r="HN6" s="18">
        <v>10.3</v>
      </c>
      <c r="HO6" s="18">
        <v>11.26</v>
      </c>
      <c r="HP6" s="18">
        <v>0</v>
      </c>
      <c r="HQ6" s="18"/>
      <c r="HR6" s="18"/>
      <c r="HS6" s="18"/>
      <c r="HT6" s="18"/>
      <c r="HU6" s="18"/>
      <c r="HV6" s="11">
        <f t="shared" si="92"/>
        <v>14</v>
      </c>
      <c r="HW6" s="11">
        <f t="shared" si="93"/>
        <v>16.079999999999998</v>
      </c>
      <c r="HX6" s="11">
        <f t="shared" si="94"/>
        <v>55.379999999999995</v>
      </c>
      <c r="HY6" s="11">
        <f t="shared" si="95"/>
        <v>9.6999999999999993</v>
      </c>
      <c r="HZ6" s="11">
        <f t="shared" si="96"/>
        <v>13.08</v>
      </c>
      <c r="IA6" s="11">
        <f t="shared" si="97"/>
        <v>41.88</v>
      </c>
      <c r="IB6" s="11">
        <f t="shared" si="98"/>
        <v>55.379999999999995</v>
      </c>
      <c r="IC6" s="11">
        <f t="shared" si="99"/>
        <v>10.3</v>
      </c>
      <c r="ID6" s="11">
        <f t="shared" si="100"/>
        <v>11.26</v>
      </c>
      <c r="IE6" s="11">
        <f t="shared" si="101"/>
        <v>38.06</v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>
        <f t="shared" si="105"/>
        <v>93.44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13.95</v>
      </c>
      <c r="SW6" s="22">
        <f t="shared" si="219"/>
        <v>7.75</v>
      </c>
      <c r="SX6" s="22">
        <f t="shared" si="220"/>
        <v>12.350000000000001</v>
      </c>
      <c r="SY6" s="22">
        <f t="shared" si="221"/>
        <v>14</v>
      </c>
      <c r="SZ6" s="22">
        <f t="shared" si="222"/>
        <v>0.05</v>
      </c>
      <c r="TA6" s="22">
        <f t="shared" si="223"/>
        <v>8.4500000000000011</v>
      </c>
      <c r="TB6" s="22">
        <f t="shared" si="224"/>
        <v>4.45</v>
      </c>
      <c r="TC6" s="22">
        <f t="shared" si="225"/>
        <v>7.6</v>
      </c>
      <c r="TD6" s="22">
        <f t="shared" si="226"/>
        <v>8.59</v>
      </c>
      <c r="TE6" s="22">
        <f t="shared" si="227"/>
        <v>0</v>
      </c>
      <c r="TF6" s="22">
        <f t="shared" si="228"/>
        <v>10.75</v>
      </c>
      <c r="TG6" s="22">
        <f t="shared" si="229"/>
        <v>5.8000000000000007</v>
      </c>
      <c r="TH6" s="22">
        <f t="shared" si="230"/>
        <v>9.6499999999999986</v>
      </c>
      <c r="TI6" s="22">
        <f t="shared" si="231"/>
        <v>10.855</v>
      </c>
      <c r="TJ6" s="22">
        <f t="shared" si="232"/>
        <v>0</v>
      </c>
      <c r="TK6" s="27" t="s">
        <v>46</v>
      </c>
      <c r="TL6" s="40">
        <f t="shared" si="233"/>
        <v>12.350000000000001</v>
      </c>
      <c r="TM6" s="40">
        <f t="shared" si="234"/>
        <v>14</v>
      </c>
      <c r="TN6" s="40">
        <f t="shared" si="235"/>
        <v>48</v>
      </c>
      <c r="TO6" s="40">
        <f t="shared" si="236"/>
        <v>7.6</v>
      </c>
      <c r="TP6" s="40">
        <f t="shared" si="237"/>
        <v>8.59</v>
      </c>
      <c r="TQ6" s="40">
        <f t="shared" si="238"/>
        <v>29.09</v>
      </c>
      <c r="TR6" s="40">
        <f t="shared" si="239"/>
        <v>48</v>
      </c>
      <c r="TS6" s="40">
        <f t="shared" si="240"/>
        <v>9.6499999999999986</v>
      </c>
      <c r="TT6" s="40">
        <f t="shared" si="241"/>
        <v>10.855</v>
      </c>
      <c r="TU6" s="40">
        <f t="shared" si="242"/>
        <v>37.055</v>
      </c>
      <c r="TV6" s="40">
        <f t="shared" si="243"/>
        <v>85.055000000000007</v>
      </c>
    </row>
    <row r="7" spans="1:542" x14ac:dyDescent="0.2">
      <c r="A7" s="4" cm="1">
        <f t="array" ref="A7">IF(AND(J7&lt;&gt;"",J7&lt;&gt;"No DD"),SUMPRODUCT((J$4:J$39&lt;&gt;"")*(J$4:J$39&lt;&gt;"No DD")*(F$4:F$39&gt;F7))+1,IF(J7="No DD",SUMPRODUCT((J$4:J$39="No DD")*(F$4:F$39&gt;F7))+1+SUMPRODUCT((J$4:J$39&lt;&gt;"")*(J$4:J$39&lt;&gt;"No DD")),""))</f>
        <v>4</v>
      </c>
      <c r="B7" s="4" cm="1">
        <f t="array" ref="B7">IF(AND(J7&lt;&gt;"",J7&lt;&gt;"No DD",G7=""),SUMPRODUCT((J$4:J$39&lt;&gt;"")*(J$4:J$39&lt;&gt;"No DD")*(G$4:G$39="")*(F$4:F$39&gt;F7))+1,IF(J7="No DD",SUMPRODUCT((J$4:J$39="No DD")*(F$4:F$39&gt;F7)*(G$4:G$39=""))+1+SUMPRODUCT((J$4:J$39&lt;&gt;"")*(G$4:G$39="")*(J$4:J$39&lt;&gt;"No DD")),""))</f>
        <v>2</v>
      </c>
      <c r="C7" s="5" t="s">
        <v>113</v>
      </c>
      <c r="D7" s="4" t="s">
        <v>6</v>
      </c>
      <c r="E7" s="4">
        <v>2006</v>
      </c>
      <c r="F7" s="9">
        <f t="shared" si="0"/>
        <v>194.37001943700548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54.92</v>
      </c>
      <c r="M7" s="8" t="str">
        <f t="shared" si="5"/>
        <v>2025 Elite Canada</v>
      </c>
      <c r="N7" s="8">
        <f>IF(COUNT(AQ7,AT7,BR7,BU7,CS7,CV7)&gt;1,LARGE((AQ7,AT7,BR7,BU7,CS7,CV7),2),0)</f>
        <v>54.11</v>
      </c>
      <c r="O7" s="8" t="str">
        <f t="shared" si="6"/>
        <v>2024 3rd Domestic Trial</v>
      </c>
      <c r="P7" s="8">
        <f>IF(COUNT(AQ7,AT7,BR7,BU7,CS7,CV7)&gt;2,MAX(AX7,BY7,CZ7,LARGE((AQ7,AT7,BR7,BU7,CS7,CV7),3)),IF(MAX(AX7,BY7,CZ7)&gt;0,MAX(AX7,BY7,CZ7),0))</f>
        <v>54.41</v>
      </c>
      <c r="Q7" s="8" t="str">
        <f t="shared" si="7"/>
        <v>2025 Elite Canada</v>
      </c>
      <c r="R7" s="8">
        <f t="shared" si="8"/>
        <v>14.9</v>
      </c>
      <c r="S7" s="8" t="str">
        <f t="shared" si="9"/>
        <v>2025 Elite Canada</v>
      </c>
      <c r="T7" s="8">
        <f t="shared" si="10"/>
        <v>16.03</v>
      </c>
      <c r="U7" s="8" t="str">
        <f t="shared" si="11"/>
        <v>2024 3rd Domestic Trial</v>
      </c>
      <c r="V7" s="8" t="str">
        <f t="shared" si="12"/>
        <v/>
      </c>
      <c r="W7" s="11" t="str">
        <f t="shared" si="13"/>
        <v/>
      </c>
      <c r="X7" s="8" t="str">
        <f t="shared" si="14"/>
        <v/>
      </c>
      <c r="Y7" s="22">
        <v>14</v>
      </c>
      <c r="Z7" s="22">
        <v>8.6999999999999993</v>
      </c>
      <c r="AA7" s="22">
        <v>12</v>
      </c>
      <c r="AB7" s="22">
        <v>14.73</v>
      </c>
      <c r="AC7" s="22">
        <v>0</v>
      </c>
      <c r="AD7" s="22">
        <v>14.2</v>
      </c>
      <c r="AE7" s="22">
        <v>9.1</v>
      </c>
      <c r="AF7" s="22">
        <v>14</v>
      </c>
      <c r="AG7" s="22">
        <v>14.7</v>
      </c>
      <c r="AH7" s="22">
        <v>0</v>
      </c>
      <c r="AI7" s="22">
        <v>13.8</v>
      </c>
      <c r="AJ7" s="22">
        <v>8.4</v>
      </c>
      <c r="AK7" s="22">
        <v>12.4</v>
      </c>
      <c r="AL7" s="22">
        <v>13.98</v>
      </c>
      <c r="AM7" s="22">
        <v>0</v>
      </c>
      <c r="AN7" s="27"/>
      <c r="AO7" s="38">
        <f t="shared" si="15"/>
        <v>12</v>
      </c>
      <c r="AP7" s="38">
        <f t="shared" si="16"/>
        <v>14.73</v>
      </c>
      <c r="AQ7" s="40">
        <f t="shared" si="17"/>
        <v>49.430000000000007</v>
      </c>
      <c r="AR7" s="40">
        <f t="shared" si="18"/>
        <v>14</v>
      </c>
      <c r="AS7" s="40">
        <f t="shared" si="19"/>
        <v>14.7</v>
      </c>
      <c r="AT7" s="40">
        <f t="shared" si="20"/>
        <v>52</v>
      </c>
      <c r="AU7" s="40">
        <f t="shared" si="21"/>
        <v>52</v>
      </c>
      <c r="AV7" s="40">
        <f t="shared" si="22"/>
        <v>12.4</v>
      </c>
      <c r="AW7" s="40">
        <f t="shared" si="23"/>
        <v>13.98</v>
      </c>
      <c r="AX7" s="40">
        <f t="shared" si="24"/>
        <v>48.58</v>
      </c>
      <c r="AY7" s="40">
        <f t="shared" si="25"/>
        <v>100.58</v>
      </c>
      <c r="AZ7" s="26">
        <v>13.4</v>
      </c>
      <c r="BA7" s="26">
        <v>7.9</v>
      </c>
      <c r="BB7" s="26">
        <v>12.8</v>
      </c>
      <c r="BC7" s="26">
        <v>14.64</v>
      </c>
      <c r="BD7" s="26">
        <v>0</v>
      </c>
      <c r="BE7" s="26">
        <v>14.1</v>
      </c>
      <c r="BF7" s="26">
        <v>9.6</v>
      </c>
      <c r="BG7" s="26">
        <v>14.4</v>
      </c>
      <c r="BH7" s="26">
        <v>16.010000000000002</v>
      </c>
      <c r="BI7" s="26">
        <v>0</v>
      </c>
      <c r="BJ7" s="26">
        <v>14.4</v>
      </c>
      <c r="BK7" s="26">
        <v>9</v>
      </c>
      <c r="BL7" s="26">
        <v>14.4</v>
      </c>
      <c r="BM7" s="26">
        <v>16.03</v>
      </c>
      <c r="BN7" s="26">
        <v>0</v>
      </c>
      <c r="BO7" s="28"/>
      <c r="BP7" s="39">
        <f t="shared" si="26"/>
        <v>12.8</v>
      </c>
      <c r="BQ7" s="39">
        <f t="shared" si="27"/>
        <v>14.64</v>
      </c>
      <c r="BR7" s="11">
        <f t="shared" si="28"/>
        <v>48.74</v>
      </c>
      <c r="BS7" s="11">
        <f t="shared" si="29"/>
        <v>14.4</v>
      </c>
      <c r="BT7" s="11">
        <f t="shared" si="30"/>
        <v>16.010000000000002</v>
      </c>
      <c r="BU7" s="11">
        <f t="shared" si="31"/>
        <v>54.11</v>
      </c>
      <c r="BV7" s="11">
        <f t="shared" si="32"/>
        <v>54.11</v>
      </c>
      <c r="BW7" s="11">
        <f t="shared" si="33"/>
        <v>14.4</v>
      </c>
      <c r="BX7" s="11">
        <f t="shared" si="34"/>
        <v>16.03</v>
      </c>
      <c r="BY7" s="11">
        <f t="shared" si="35"/>
        <v>53.83</v>
      </c>
      <c r="BZ7" s="11">
        <f t="shared" si="36"/>
        <v>107.94</v>
      </c>
      <c r="CA7" s="22">
        <v>15.5</v>
      </c>
      <c r="CB7" s="22">
        <v>9.1999999999999993</v>
      </c>
      <c r="CC7" s="22">
        <v>14.9</v>
      </c>
      <c r="CD7" s="22">
        <v>15.32</v>
      </c>
      <c r="CE7" s="22">
        <v>0</v>
      </c>
      <c r="CF7" s="22">
        <v>14.1</v>
      </c>
      <c r="CG7" s="22">
        <v>9.1999999999999993</v>
      </c>
      <c r="CH7" s="22">
        <v>13.7</v>
      </c>
      <c r="CI7" s="22">
        <v>15.55</v>
      </c>
      <c r="CJ7" s="22">
        <v>0.8</v>
      </c>
      <c r="CK7" s="22">
        <v>14.8</v>
      </c>
      <c r="CL7" s="22">
        <v>9.3000000000000007</v>
      </c>
      <c r="CM7" s="22">
        <v>14.9</v>
      </c>
      <c r="CN7" s="22">
        <v>15.41</v>
      </c>
      <c r="CO7" s="22">
        <v>0</v>
      </c>
      <c r="CP7" s="27"/>
      <c r="CQ7" s="38">
        <f t="shared" si="37"/>
        <v>14.9</v>
      </c>
      <c r="CR7" s="38">
        <f t="shared" si="38"/>
        <v>15.32</v>
      </c>
      <c r="CS7" s="40">
        <f t="shared" si="39"/>
        <v>54.92</v>
      </c>
      <c r="CT7" s="40">
        <f t="shared" si="40"/>
        <v>13.7</v>
      </c>
      <c r="CU7" s="40">
        <f t="shared" si="41"/>
        <v>15.55</v>
      </c>
      <c r="CV7" s="40">
        <f t="shared" si="42"/>
        <v>51.75</v>
      </c>
      <c r="CW7" s="40">
        <f t="shared" si="43"/>
        <v>54.92</v>
      </c>
      <c r="CX7" s="40">
        <f t="shared" si="44"/>
        <v>14.9</v>
      </c>
      <c r="CY7" s="40">
        <f t="shared" si="45"/>
        <v>15.41</v>
      </c>
      <c r="CZ7" s="40">
        <f t="shared" si="46"/>
        <v>54.41</v>
      </c>
      <c r="DA7" s="40">
        <f t="shared" si="47"/>
        <v>109.33</v>
      </c>
      <c r="DB7" s="50" t="str">
        <f t="shared" si="48"/>
        <v/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 t="shared" si="78"/>
        <v/>
      </c>
      <c r="GO7" s="40" t="str">
        <f t="shared" si="79"/>
        <v/>
      </c>
      <c r="GP7" s="40" t="str">
        <f t="shared" si="80"/>
        <v/>
      </c>
      <c r="GQ7" s="40" t="str">
        <f t="shared" si="81"/>
        <v/>
      </c>
      <c r="GR7" s="40" t="str">
        <f t="shared" si="82"/>
        <v/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 t="str">
        <f t="shared" si="91"/>
        <v/>
      </c>
      <c r="HB7" s="18">
        <v>14.2</v>
      </c>
      <c r="HC7" s="18">
        <v>8.3000000000000007</v>
      </c>
      <c r="HD7" s="18">
        <v>14</v>
      </c>
      <c r="HE7" s="18">
        <v>15.15</v>
      </c>
      <c r="HF7" s="18">
        <v>0</v>
      </c>
      <c r="HG7" s="18">
        <v>14.3</v>
      </c>
      <c r="HH7" s="18">
        <v>9.1999999999999993</v>
      </c>
      <c r="HI7" s="18">
        <v>14</v>
      </c>
      <c r="HJ7" s="18">
        <v>15.6</v>
      </c>
      <c r="HK7" s="18">
        <v>0</v>
      </c>
      <c r="HL7" s="18">
        <v>13.5</v>
      </c>
      <c r="HM7" s="18">
        <v>9.6</v>
      </c>
      <c r="HN7" s="18">
        <v>12.2</v>
      </c>
      <c r="HO7" s="18">
        <v>14.84</v>
      </c>
      <c r="HP7" s="18">
        <v>0</v>
      </c>
      <c r="HQ7" s="18">
        <v>10.5</v>
      </c>
      <c r="HR7" s="18">
        <v>7</v>
      </c>
      <c r="HS7" s="18">
        <v>9.6999999999999993</v>
      </c>
      <c r="HT7" s="18">
        <v>12.1</v>
      </c>
      <c r="HU7" s="18">
        <v>0</v>
      </c>
      <c r="HV7" s="11">
        <f t="shared" si="92"/>
        <v>14</v>
      </c>
      <c r="HW7" s="11">
        <f t="shared" si="93"/>
        <v>15.15</v>
      </c>
      <c r="HX7" s="11">
        <f t="shared" si="94"/>
        <v>51.65</v>
      </c>
      <c r="HY7" s="11">
        <f t="shared" si="95"/>
        <v>14</v>
      </c>
      <c r="HZ7" s="11">
        <f t="shared" si="96"/>
        <v>15.6</v>
      </c>
      <c r="IA7" s="11">
        <f t="shared" si="97"/>
        <v>53.1</v>
      </c>
      <c r="IB7" s="11">
        <f t="shared" si="98"/>
        <v>53.1</v>
      </c>
      <c r="IC7" s="11">
        <f t="shared" si="99"/>
        <v>12.2</v>
      </c>
      <c r="ID7" s="11">
        <f t="shared" si="100"/>
        <v>14.84</v>
      </c>
      <c r="IE7" s="11">
        <f t="shared" si="101"/>
        <v>50.14</v>
      </c>
      <c r="IF7" s="11">
        <f t="shared" si="102"/>
        <v>9.6999999999999993</v>
      </c>
      <c r="IG7" s="11">
        <f t="shared" si="103"/>
        <v>12.1</v>
      </c>
      <c r="IH7" s="11">
        <f t="shared" si="104"/>
        <v>39.299999999999997</v>
      </c>
      <c r="II7" s="11">
        <f t="shared" si="105"/>
        <v>142.54000000000002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14.45</v>
      </c>
      <c r="SW7" s="22">
        <f t="shared" si="219"/>
        <v>8.5500000000000007</v>
      </c>
      <c r="SX7" s="22">
        <f t="shared" si="220"/>
        <v>13.850000000000001</v>
      </c>
      <c r="SY7" s="22">
        <f t="shared" si="221"/>
        <v>14.98</v>
      </c>
      <c r="SZ7" s="22">
        <f t="shared" si="222"/>
        <v>0</v>
      </c>
      <c r="TA7" s="22">
        <f t="shared" si="223"/>
        <v>14.1</v>
      </c>
      <c r="TB7" s="22">
        <f t="shared" si="224"/>
        <v>9.3999999999999986</v>
      </c>
      <c r="TC7" s="22">
        <f t="shared" si="225"/>
        <v>14.05</v>
      </c>
      <c r="TD7" s="22">
        <f t="shared" si="226"/>
        <v>15.780000000000001</v>
      </c>
      <c r="TE7" s="22">
        <f t="shared" si="227"/>
        <v>0.4</v>
      </c>
      <c r="TF7" s="22">
        <f t="shared" si="228"/>
        <v>14.600000000000001</v>
      </c>
      <c r="TG7" s="22">
        <f t="shared" si="229"/>
        <v>9.15</v>
      </c>
      <c r="TH7" s="22">
        <f t="shared" si="230"/>
        <v>14.65</v>
      </c>
      <c r="TI7" s="22">
        <f t="shared" si="231"/>
        <v>15.72</v>
      </c>
      <c r="TJ7" s="22">
        <f t="shared" si="232"/>
        <v>0</v>
      </c>
      <c r="TK7" s="27" t="s">
        <v>46</v>
      </c>
      <c r="TL7" s="40">
        <f t="shared" si="233"/>
        <v>13.850000000000001</v>
      </c>
      <c r="TM7" s="40">
        <f t="shared" si="234"/>
        <v>14.98</v>
      </c>
      <c r="TN7" s="40">
        <f t="shared" si="235"/>
        <v>51.83</v>
      </c>
      <c r="TO7" s="40">
        <f t="shared" si="236"/>
        <v>14.05</v>
      </c>
      <c r="TP7" s="40">
        <f t="shared" si="237"/>
        <v>15.780000000000001</v>
      </c>
      <c r="TQ7" s="40">
        <f t="shared" si="238"/>
        <v>52.93</v>
      </c>
      <c r="TR7" s="40">
        <f t="shared" si="239"/>
        <v>52.93</v>
      </c>
      <c r="TS7" s="40">
        <f t="shared" si="240"/>
        <v>14.65</v>
      </c>
      <c r="TT7" s="40">
        <f t="shared" si="241"/>
        <v>15.72</v>
      </c>
      <c r="TU7" s="40">
        <f t="shared" si="242"/>
        <v>54.12</v>
      </c>
      <c r="TV7" s="40">
        <f t="shared" si="243"/>
        <v>107.05</v>
      </c>
    </row>
    <row r="8" spans="1:542" x14ac:dyDescent="0.2">
      <c r="A8" s="4" cm="1">
        <f t="array" ref="A8">IF(AND(J8&lt;&gt;"",J8&lt;&gt;"No DD"),SUMPRODUCT((J$4:J$39&lt;&gt;"")*(J$4:J$39&lt;&gt;"No DD")*(F$4:F$39&gt;F8))+1,IF(J8="No DD",SUMPRODUCT((J$4:J$39="No DD")*(F$4:F$39&gt;F8))+1+SUMPRODUCT((J$4:J$39&lt;&gt;"")*(J$4:J$39&lt;&gt;"No DD")),""))</f>
        <v>5</v>
      </c>
      <c r="B8" s="4" cm="1">
        <f t="array" ref="B8">IF(AND(J8&lt;&gt;"",J8&lt;&gt;"No DD",G8=""),SUMPRODUCT((J$4:J$39&lt;&gt;"")*(J$4:J$39&lt;&gt;"No DD")*(G$4:G$39="")*(F$4:F$39&gt;F8))+1,IF(J8="No DD",SUMPRODUCT((J$4:J$39="No DD")*(F$4:F$39&gt;F8)*(G$4:G$39=""))+1+SUMPRODUCT((J$4:J$39&lt;&gt;"")*(G$4:G$39="")*(J$4:J$39&lt;&gt;"No DD")),""))</f>
        <v>3</v>
      </c>
      <c r="C8" s="5" t="s">
        <v>97</v>
      </c>
      <c r="D8" s="4" t="s">
        <v>3</v>
      </c>
      <c r="E8" s="4">
        <v>2005</v>
      </c>
      <c r="F8" s="9">
        <f t="shared" si="0"/>
        <v>191.04001910400538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53.7</v>
      </c>
      <c r="M8" s="8" t="str">
        <f t="shared" si="5"/>
        <v>2024 3rd Domestic Trial</v>
      </c>
      <c r="N8" s="8">
        <f>IF(COUNT(AQ8,AT8,BR8,BU8,CS8,CV8)&gt;1,LARGE((AQ8,AT8,BR8,BU8,CS8,CV8),2),0)</f>
        <v>52.44</v>
      </c>
      <c r="O8" s="8" t="str">
        <f t="shared" si="6"/>
        <v>2024 3rd Domestic Trial</v>
      </c>
      <c r="P8" s="8">
        <f>IF(COUNT(AQ8,AT8,BR8,BU8,CS8,CV8)&gt;2,MAX(AX8,BY8,CZ8,LARGE((AQ8,AT8,BR8,BU8,CS8,CV8),3)),IF(MAX(AX8,BY8,CZ8)&gt;0,MAX(AX8,BY8,CZ8),0))</f>
        <v>54.6</v>
      </c>
      <c r="Q8" s="8" t="str">
        <f t="shared" si="7"/>
        <v>2024 3rd Domestic Trial</v>
      </c>
      <c r="R8" s="8">
        <f t="shared" si="8"/>
        <v>13.9</v>
      </c>
      <c r="S8" s="8" t="str">
        <f t="shared" si="9"/>
        <v>2025 Elite Canada</v>
      </c>
      <c r="T8" s="8">
        <f t="shared" si="10"/>
        <v>16.399999999999999</v>
      </c>
      <c r="U8" s="8" t="str">
        <f t="shared" si="11"/>
        <v>2024 3rd Domestic Trial</v>
      </c>
      <c r="V8" s="8" t="str">
        <f t="shared" si="12"/>
        <v/>
      </c>
      <c r="W8" s="11" t="str">
        <f t="shared" si="13"/>
        <v/>
      </c>
      <c r="X8" s="8" t="str">
        <f t="shared" si="14"/>
        <v/>
      </c>
      <c r="Y8" s="22">
        <v>13.4</v>
      </c>
      <c r="Z8" s="22">
        <v>9.4</v>
      </c>
      <c r="AA8" s="22">
        <v>10.7</v>
      </c>
      <c r="AB8" s="22">
        <v>15.11</v>
      </c>
      <c r="AC8" s="22">
        <v>0</v>
      </c>
      <c r="AD8" s="22">
        <v>3.2</v>
      </c>
      <c r="AE8" s="22">
        <v>1.9</v>
      </c>
      <c r="AF8" s="22">
        <v>2.9</v>
      </c>
      <c r="AG8" s="22">
        <v>3.09</v>
      </c>
      <c r="AH8" s="22">
        <v>0</v>
      </c>
      <c r="AI8" s="22"/>
      <c r="AJ8" s="22"/>
      <c r="AK8" s="22"/>
      <c r="AL8" s="22"/>
      <c r="AM8" s="22"/>
      <c r="AN8" s="27"/>
      <c r="AO8" s="38">
        <f t="shared" si="15"/>
        <v>10.7</v>
      </c>
      <c r="AP8" s="38">
        <f t="shared" si="16"/>
        <v>15.11</v>
      </c>
      <c r="AQ8" s="40">
        <f t="shared" si="17"/>
        <v>48.61</v>
      </c>
      <c r="AR8" s="40">
        <f t="shared" si="18"/>
        <v>2.9</v>
      </c>
      <c r="AS8" s="40">
        <f t="shared" si="19"/>
        <v>3.09</v>
      </c>
      <c r="AT8" s="40">
        <f t="shared" si="20"/>
        <v>11.09</v>
      </c>
      <c r="AU8" s="40">
        <f t="shared" si="21"/>
        <v>48.61</v>
      </c>
      <c r="AV8" s="40" t="str">
        <f t="shared" si="22"/>
        <v/>
      </c>
      <c r="AW8" s="40" t="str">
        <f t="shared" si="23"/>
        <v/>
      </c>
      <c r="AX8" s="40" t="str">
        <f t="shared" si="24"/>
        <v/>
      </c>
      <c r="AY8" s="40">
        <f t="shared" si="25"/>
        <v>48.61</v>
      </c>
      <c r="AZ8" s="26">
        <v>14.9</v>
      </c>
      <c r="BA8" s="26">
        <v>9.1999999999999993</v>
      </c>
      <c r="BB8" s="26">
        <v>12.2</v>
      </c>
      <c r="BC8" s="26">
        <v>16.14</v>
      </c>
      <c r="BD8" s="26">
        <v>0</v>
      </c>
      <c r="BE8" s="26">
        <v>14.4</v>
      </c>
      <c r="BF8" s="26">
        <v>9.3000000000000007</v>
      </c>
      <c r="BG8" s="26">
        <v>13.7</v>
      </c>
      <c r="BH8" s="26">
        <v>16.3</v>
      </c>
      <c r="BI8" s="26">
        <v>0</v>
      </c>
      <c r="BJ8" s="26">
        <v>15.2</v>
      </c>
      <c r="BK8" s="26">
        <v>9.3000000000000007</v>
      </c>
      <c r="BL8" s="26">
        <v>13.7</v>
      </c>
      <c r="BM8" s="26">
        <v>16.399999999999999</v>
      </c>
      <c r="BN8" s="26">
        <v>0</v>
      </c>
      <c r="BO8" s="28"/>
      <c r="BP8" s="39">
        <f t="shared" si="26"/>
        <v>12.2</v>
      </c>
      <c r="BQ8" s="39">
        <f t="shared" si="27"/>
        <v>16.14</v>
      </c>
      <c r="BR8" s="11">
        <f t="shared" si="28"/>
        <v>52.44</v>
      </c>
      <c r="BS8" s="11">
        <f t="shared" si="29"/>
        <v>13.7</v>
      </c>
      <c r="BT8" s="11">
        <f t="shared" si="30"/>
        <v>16.3</v>
      </c>
      <c r="BU8" s="11">
        <f t="shared" si="31"/>
        <v>53.7</v>
      </c>
      <c r="BV8" s="11">
        <f t="shared" si="32"/>
        <v>53.7</v>
      </c>
      <c r="BW8" s="11">
        <f t="shared" si="33"/>
        <v>13.7</v>
      </c>
      <c r="BX8" s="11">
        <f t="shared" si="34"/>
        <v>16.399999999999999</v>
      </c>
      <c r="BY8" s="11">
        <f t="shared" si="35"/>
        <v>54.6</v>
      </c>
      <c r="BZ8" s="11">
        <f t="shared" si="36"/>
        <v>108.30000000000001</v>
      </c>
      <c r="CA8" s="22">
        <v>13.1</v>
      </c>
      <c r="CB8" s="22">
        <v>9</v>
      </c>
      <c r="CC8" s="22">
        <v>12.5</v>
      </c>
      <c r="CD8" s="22">
        <v>15.37</v>
      </c>
      <c r="CE8" s="22">
        <v>2.4</v>
      </c>
      <c r="CF8" s="22">
        <v>14</v>
      </c>
      <c r="CG8" s="22">
        <v>8.9</v>
      </c>
      <c r="CH8" s="22">
        <v>13.9</v>
      </c>
      <c r="CI8" s="22">
        <v>15.55</v>
      </c>
      <c r="CJ8" s="22">
        <v>0.6</v>
      </c>
      <c r="CK8" s="22">
        <v>1.6</v>
      </c>
      <c r="CL8" s="22">
        <v>1</v>
      </c>
      <c r="CM8" s="22">
        <v>2</v>
      </c>
      <c r="CN8" s="22">
        <v>1.72</v>
      </c>
      <c r="CO8" s="22">
        <v>0</v>
      </c>
      <c r="CP8" s="27"/>
      <c r="CQ8" s="38">
        <f t="shared" si="37"/>
        <v>12.5</v>
      </c>
      <c r="CR8" s="38">
        <f t="shared" si="38"/>
        <v>15.37</v>
      </c>
      <c r="CS8" s="40">
        <f t="shared" si="39"/>
        <v>47.57</v>
      </c>
      <c r="CT8" s="40">
        <f t="shared" si="40"/>
        <v>13.9</v>
      </c>
      <c r="CU8" s="40">
        <f t="shared" si="41"/>
        <v>15.55</v>
      </c>
      <c r="CV8" s="40">
        <f t="shared" si="42"/>
        <v>51.749999999999993</v>
      </c>
      <c r="CW8" s="40">
        <f t="shared" si="43"/>
        <v>51.749999999999993</v>
      </c>
      <c r="CX8" s="40">
        <f t="shared" si="44"/>
        <v>2</v>
      </c>
      <c r="CY8" s="40">
        <f t="shared" si="45"/>
        <v>1.72</v>
      </c>
      <c r="CZ8" s="40">
        <f t="shared" si="46"/>
        <v>6.3199999999999994</v>
      </c>
      <c r="DA8" s="40">
        <f t="shared" si="47"/>
        <v>58.069999999999993</v>
      </c>
      <c r="DB8" s="50" t="str">
        <f t="shared" si="48"/>
        <v/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40" t="str">
        <f t="shared" si="90"/>
        <v/>
      </c>
      <c r="HA8" s="40" t="str">
        <f t="shared" si="91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14</v>
      </c>
      <c r="SW8" s="22">
        <f t="shared" si="219"/>
        <v>9.1</v>
      </c>
      <c r="SX8" s="22">
        <f t="shared" si="220"/>
        <v>12.35</v>
      </c>
      <c r="SY8" s="22">
        <f t="shared" si="221"/>
        <v>15.754999999999999</v>
      </c>
      <c r="SZ8" s="22">
        <f t="shared" si="222"/>
        <v>1.2</v>
      </c>
      <c r="TA8" s="22">
        <f t="shared" si="223"/>
        <v>14.2</v>
      </c>
      <c r="TB8" s="22">
        <f t="shared" si="224"/>
        <v>9.1000000000000014</v>
      </c>
      <c r="TC8" s="22">
        <f t="shared" si="225"/>
        <v>13.8</v>
      </c>
      <c r="TD8" s="22">
        <f t="shared" si="226"/>
        <v>15.925000000000001</v>
      </c>
      <c r="TE8" s="22">
        <f t="shared" si="227"/>
        <v>0.3</v>
      </c>
      <c r="TF8" s="22">
        <f t="shared" si="228"/>
        <v>8.4</v>
      </c>
      <c r="TG8" s="22">
        <f t="shared" si="229"/>
        <v>5.15</v>
      </c>
      <c r="TH8" s="22">
        <f t="shared" si="230"/>
        <v>7.85</v>
      </c>
      <c r="TI8" s="22">
        <f t="shared" si="231"/>
        <v>9.0599999999999987</v>
      </c>
      <c r="TJ8" s="22">
        <f t="shared" si="232"/>
        <v>0</v>
      </c>
      <c r="TK8" s="27" t="s">
        <v>46</v>
      </c>
      <c r="TL8" s="40">
        <f t="shared" si="233"/>
        <v>12.35</v>
      </c>
      <c r="TM8" s="40">
        <f t="shared" si="234"/>
        <v>15.754999999999999</v>
      </c>
      <c r="TN8" s="40">
        <f t="shared" si="235"/>
        <v>50.004999999999995</v>
      </c>
      <c r="TO8" s="40">
        <f t="shared" si="236"/>
        <v>13.8</v>
      </c>
      <c r="TP8" s="40">
        <f t="shared" si="237"/>
        <v>15.925000000000001</v>
      </c>
      <c r="TQ8" s="40">
        <f t="shared" si="238"/>
        <v>52.725000000000009</v>
      </c>
      <c r="TR8" s="40">
        <f t="shared" si="239"/>
        <v>52.725000000000009</v>
      </c>
      <c r="TS8" s="40">
        <f t="shared" si="240"/>
        <v>7.85</v>
      </c>
      <c r="TT8" s="40">
        <f t="shared" si="241"/>
        <v>9.0599999999999987</v>
      </c>
      <c r="TU8" s="40">
        <f t="shared" si="242"/>
        <v>30.459999999999997</v>
      </c>
      <c r="TV8" s="40">
        <f t="shared" si="243"/>
        <v>83.185000000000002</v>
      </c>
    </row>
    <row r="9" spans="1:542" x14ac:dyDescent="0.2">
      <c r="A9" s="4" cm="1">
        <f t="array" ref="A9">IF(AND(J9&lt;&gt;"",J9&lt;&gt;"No DD"),SUMPRODUCT((J$4:J$39&lt;&gt;"")*(J$4:J$39&lt;&gt;"No DD")*(F$4:F$39&gt;F9))+1,IF(J9="No DD",SUMPRODUCT((J$4:J$39="No DD")*(F$4:F$39&gt;F9))+1+SUMPRODUCT((J$4:J$39&lt;&gt;"")*(J$4:J$39&lt;&gt;"No DD")),""))</f>
        <v>6</v>
      </c>
      <c r="B9" s="4" cm="1">
        <f t="array" ref="B9">IF(AND(J9&lt;&gt;"",J9&lt;&gt;"No DD",G9=""),SUMPRODUCT((J$4:J$39&lt;&gt;"")*(J$4:J$39&lt;&gt;"No DD")*(G$4:G$39="")*(F$4:F$39&gt;F9))+1,IF(J9="No DD",SUMPRODUCT((J$4:J$39="No DD")*(F$4:F$39&gt;F9)*(G$4:G$39=""))+1+SUMPRODUCT((J$4:J$39&lt;&gt;"")*(G$4:G$39="")*(J$4:J$39&lt;&gt;"No DD")),""))</f>
        <v>4</v>
      </c>
      <c r="C9" s="5" t="s">
        <v>187</v>
      </c>
      <c r="D9" s="4" t="s">
        <v>3</v>
      </c>
      <c r="E9" s="4">
        <v>2007</v>
      </c>
      <c r="F9" s="9">
        <f t="shared" si="0"/>
        <v>190.93001909300537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53.67</v>
      </c>
      <c r="M9" s="8" t="str">
        <f t="shared" si="5"/>
        <v>2024 3rd Domestic Trial</v>
      </c>
      <c r="N9" s="8">
        <f>IF(COUNT(AQ9,AT9,BR9,BU9,CS9,CV9)&gt;1,LARGE((AQ9,AT9,BR9,BU9,CS9,CV9),2),0)</f>
        <v>52.150000000000006</v>
      </c>
      <c r="O9" s="8" t="str">
        <f t="shared" si="6"/>
        <v>2024 Nationals</v>
      </c>
      <c r="P9" s="8">
        <f>IF(COUNT(AQ9,AT9,BR9,BU9,CS9,CV9)&gt;2,MAX(AX9,BY9,CZ9,LARGE((AQ9,AT9,BR9,BU9,CS9,CV9),3)),IF(MAX(AX9,BY9,CZ9)&gt;0,MAX(AX9,BY9,CZ9),0))</f>
        <v>54.74</v>
      </c>
      <c r="Q9" s="8" t="str">
        <f t="shared" si="7"/>
        <v>2025 Elite Canada</v>
      </c>
      <c r="R9" s="8">
        <f t="shared" si="8"/>
        <v>15.1</v>
      </c>
      <c r="S9" s="8" t="str">
        <f t="shared" si="9"/>
        <v>2025 Elite Canada</v>
      </c>
      <c r="T9" s="8">
        <f t="shared" si="10"/>
        <v>15.27</v>
      </c>
      <c r="U9" s="8" t="str">
        <f t="shared" si="11"/>
        <v>2025 Elite Canada</v>
      </c>
      <c r="V9" s="8" t="str">
        <f t="shared" si="12"/>
        <v/>
      </c>
      <c r="W9" s="11" t="str">
        <f t="shared" si="13"/>
        <v/>
      </c>
      <c r="X9" s="8" t="str">
        <f t="shared" si="14"/>
        <v/>
      </c>
      <c r="Y9" s="22">
        <v>15.2</v>
      </c>
      <c r="Z9" s="22">
        <v>8.9</v>
      </c>
      <c r="AA9" s="22">
        <v>13.6</v>
      </c>
      <c r="AB9" s="22">
        <v>14.45</v>
      </c>
      <c r="AC9" s="22">
        <v>0</v>
      </c>
      <c r="AD9" s="22">
        <v>15.5</v>
      </c>
      <c r="AE9" s="22">
        <v>9.1</v>
      </c>
      <c r="AF9" s="22">
        <v>12.6</v>
      </c>
      <c r="AG9" s="22">
        <v>14.81</v>
      </c>
      <c r="AH9" s="22">
        <v>0</v>
      </c>
      <c r="AI9" s="22">
        <v>12.7</v>
      </c>
      <c r="AJ9" s="22">
        <v>8.8000000000000007</v>
      </c>
      <c r="AK9" s="22">
        <v>11.6</v>
      </c>
      <c r="AL9" s="22">
        <v>14.47</v>
      </c>
      <c r="AM9" s="22">
        <v>0</v>
      </c>
      <c r="AN9" s="27"/>
      <c r="AO9" s="38">
        <f t="shared" si="15"/>
        <v>13.6</v>
      </c>
      <c r="AP9" s="38">
        <f t="shared" si="16"/>
        <v>14.45</v>
      </c>
      <c r="AQ9" s="40">
        <f t="shared" si="17"/>
        <v>52.150000000000006</v>
      </c>
      <c r="AR9" s="40">
        <f t="shared" si="18"/>
        <v>12.6</v>
      </c>
      <c r="AS9" s="40">
        <f t="shared" si="19"/>
        <v>14.81</v>
      </c>
      <c r="AT9" s="40">
        <f t="shared" si="20"/>
        <v>52.010000000000005</v>
      </c>
      <c r="AU9" s="40">
        <f t="shared" si="21"/>
        <v>52.150000000000006</v>
      </c>
      <c r="AV9" s="40">
        <f t="shared" si="22"/>
        <v>11.6</v>
      </c>
      <c r="AW9" s="40">
        <f t="shared" si="23"/>
        <v>14.47</v>
      </c>
      <c r="AX9" s="40">
        <f t="shared" si="24"/>
        <v>47.57</v>
      </c>
      <c r="AY9" s="40">
        <f t="shared" si="25"/>
        <v>99.72</v>
      </c>
      <c r="AZ9" s="26">
        <v>15.6</v>
      </c>
      <c r="BA9" s="26">
        <v>9.1999999999999993</v>
      </c>
      <c r="BB9" s="26">
        <v>13.6</v>
      </c>
      <c r="BC9" s="26">
        <v>15.27</v>
      </c>
      <c r="BD9" s="26">
        <v>0</v>
      </c>
      <c r="BE9" s="26">
        <v>14.8</v>
      </c>
      <c r="BF9" s="26">
        <v>8.4</v>
      </c>
      <c r="BG9" s="26">
        <v>11.3</v>
      </c>
      <c r="BH9" s="26">
        <v>15.09</v>
      </c>
      <c r="BI9" s="26">
        <v>0</v>
      </c>
      <c r="BJ9" s="26">
        <v>13.7</v>
      </c>
      <c r="BK9" s="26">
        <v>8.1999999999999993</v>
      </c>
      <c r="BL9" s="26">
        <v>10.9</v>
      </c>
      <c r="BM9" s="26">
        <v>13.71</v>
      </c>
      <c r="BN9" s="26">
        <v>0</v>
      </c>
      <c r="BO9" s="28"/>
      <c r="BP9" s="39">
        <f t="shared" si="26"/>
        <v>13.6</v>
      </c>
      <c r="BQ9" s="39">
        <f t="shared" si="27"/>
        <v>15.27</v>
      </c>
      <c r="BR9" s="11">
        <f t="shared" si="28"/>
        <v>53.67</v>
      </c>
      <c r="BS9" s="11">
        <f t="shared" si="29"/>
        <v>11.3</v>
      </c>
      <c r="BT9" s="11">
        <f t="shared" si="30"/>
        <v>15.09</v>
      </c>
      <c r="BU9" s="11">
        <f t="shared" si="31"/>
        <v>49.59</v>
      </c>
      <c r="BV9" s="11">
        <f t="shared" si="32"/>
        <v>53.67</v>
      </c>
      <c r="BW9" s="11">
        <f t="shared" si="33"/>
        <v>10.9</v>
      </c>
      <c r="BX9" s="11">
        <f t="shared" si="34"/>
        <v>13.71</v>
      </c>
      <c r="BY9" s="11">
        <f t="shared" si="35"/>
        <v>46.51</v>
      </c>
      <c r="BZ9" s="11">
        <f t="shared" si="36"/>
        <v>100.18</v>
      </c>
      <c r="CA9" s="22">
        <v>12.2</v>
      </c>
      <c r="CB9" s="22">
        <v>8.4</v>
      </c>
      <c r="CC9" s="22">
        <v>12.8</v>
      </c>
      <c r="CD9" s="22">
        <v>13.33</v>
      </c>
      <c r="CE9" s="22">
        <v>0.2</v>
      </c>
      <c r="CF9" s="22">
        <v>15.2</v>
      </c>
      <c r="CG9" s="22">
        <v>9.1999999999999993</v>
      </c>
      <c r="CH9" s="22">
        <v>12.6</v>
      </c>
      <c r="CI9" s="22">
        <v>15.27</v>
      </c>
      <c r="CJ9" s="22">
        <v>1.9</v>
      </c>
      <c r="CK9" s="22">
        <v>15.3</v>
      </c>
      <c r="CL9" s="22">
        <v>9.1</v>
      </c>
      <c r="CM9" s="22">
        <v>15.1</v>
      </c>
      <c r="CN9" s="22">
        <v>15.24</v>
      </c>
      <c r="CO9" s="22">
        <v>0</v>
      </c>
      <c r="CP9" s="27"/>
      <c r="CQ9" s="38">
        <f t="shared" si="37"/>
        <v>12.8</v>
      </c>
      <c r="CR9" s="38">
        <f t="shared" si="38"/>
        <v>13.33</v>
      </c>
      <c r="CS9" s="40">
        <f t="shared" si="39"/>
        <v>46.53</v>
      </c>
      <c r="CT9" s="40">
        <f t="shared" si="40"/>
        <v>12.6</v>
      </c>
      <c r="CU9" s="40">
        <f t="shared" si="41"/>
        <v>15.27</v>
      </c>
      <c r="CV9" s="40">
        <f t="shared" si="42"/>
        <v>50.37</v>
      </c>
      <c r="CW9" s="40">
        <f t="shared" si="43"/>
        <v>50.37</v>
      </c>
      <c r="CX9" s="40">
        <f t="shared" si="44"/>
        <v>15.1</v>
      </c>
      <c r="CY9" s="40">
        <f t="shared" si="45"/>
        <v>15.24</v>
      </c>
      <c r="CZ9" s="40">
        <f t="shared" si="46"/>
        <v>54.74</v>
      </c>
      <c r="DA9" s="40">
        <f t="shared" si="47"/>
        <v>105.11</v>
      </c>
      <c r="DB9" s="50" t="str">
        <f t="shared" si="48"/>
        <v/>
      </c>
      <c r="DC9" s="50" t="str">
        <f t="shared" si="49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1" t="str">
        <f t="shared" si="76"/>
        <v/>
      </c>
      <c r="FS9" s="11" t="str">
        <f t="shared" si="77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13.899999999999999</v>
      </c>
      <c r="SW9" s="22">
        <f t="shared" si="219"/>
        <v>8.8000000000000007</v>
      </c>
      <c r="SX9" s="22">
        <f t="shared" si="220"/>
        <v>13.2</v>
      </c>
      <c r="SY9" s="22">
        <f t="shared" si="221"/>
        <v>14.3</v>
      </c>
      <c r="SZ9" s="22">
        <f t="shared" si="222"/>
        <v>0.1</v>
      </c>
      <c r="TA9" s="22">
        <f t="shared" si="223"/>
        <v>15</v>
      </c>
      <c r="TB9" s="22">
        <f t="shared" si="224"/>
        <v>8.8000000000000007</v>
      </c>
      <c r="TC9" s="22">
        <f t="shared" si="225"/>
        <v>11.95</v>
      </c>
      <c r="TD9" s="22">
        <f t="shared" si="226"/>
        <v>15.18</v>
      </c>
      <c r="TE9" s="22">
        <f t="shared" si="227"/>
        <v>0.95</v>
      </c>
      <c r="TF9" s="22">
        <f t="shared" si="228"/>
        <v>14.5</v>
      </c>
      <c r="TG9" s="22">
        <f t="shared" si="229"/>
        <v>8.6499999999999986</v>
      </c>
      <c r="TH9" s="22">
        <f t="shared" si="230"/>
        <v>13</v>
      </c>
      <c r="TI9" s="22">
        <f t="shared" si="231"/>
        <v>14.475000000000001</v>
      </c>
      <c r="TJ9" s="22">
        <f t="shared" si="232"/>
        <v>0</v>
      </c>
      <c r="TK9" s="27" t="s">
        <v>46</v>
      </c>
      <c r="TL9" s="40">
        <f t="shared" si="233"/>
        <v>13.2</v>
      </c>
      <c r="TM9" s="40">
        <f t="shared" si="234"/>
        <v>14.3</v>
      </c>
      <c r="TN9" s="40">
        <f t="shared" si="235"/>
        <v>50.1</v>
      </c>
      <c r="TO9" s="40">
        <f t="shared" si="236"/>
        <v>11.95</v>
      </c>
      <c r="TP9" s="40">
        <f t="shared" si="237"/>
        <v>15.18</v>
      </c>
      <c r="TQ9" s="40">
        <f t="shared" si="238"/>
        <v>49.98</v>
      </c>
      <c r="TR9" s="40">
        <f t="shared" si="239"/>
        <v>50.1</v>
      </c>
      <c r="TS9" s="40">
        <f t="shared" si="240"/>
        <v>13</v>
      </c>
      <c r="TT9" s="40">
        <f t="shared" si="241"/>
        <v>14.475000000000001</v>
      </c>
      <c r="TU9" s="40">
        <f t="shared" si="242"/>
        <v>50.625</v>
      </c>
      <c r="TV9" s="40">
        <f t="shared" si="243"/>
        <v>100.72499999999999</v>
      </c>
    </row>
    <row r="10" spans="1:542" x14ac:dyDescent="0.2">
      <c r="A10" s="4" cm="1">
        <f t="array" ref="A10">IF(AND(J10&lt;&gt;"",J10&lt;&gt;"No DD"),SUMPRODUCT((J$4:J$39&lt;&gt;"")*(J$4:J$39&lt;&gt;"No DD")*(F$4:F$39&gt;F10))+1,IF(J10="No DD",SUMPRODUCT((J$4:J$39="No DD")*(F$4:F$39&gt;F10))+1+SUMPRODUCT((J$4:J$39&lt;&gt;"")*(J$4:J$39&lt;&gt;"No DD")),""))</f>
        <v>7</v>
      </c>
      <c r="B10" s="4" cm="1">
        <f t="array" ref="B10">IF(AND(J10&lt;&gt;"",J10&lt;&gt;"No DD",G10=""),SUMPRODUCT((J$4:J$39&lt;&gt;"")*(J$4:J$39&lt;&gt;"No DD")*(G$4:G$39="")*(F$4:F$39&gt;F10))+1,IF(J10="No DD",SUMPRODUCT((J$4:J$39="No DD")*(F$4:F$39&gt;F10)*(G$4:G$39=""))+1+SUMPRODUCT((J$4:J$39&lt;&gt;"")*(G$4:G$39="")*(J$4:J$39&lt;&gt;"No DD")),""))</f>
        <v>5</v>
      </c>
      <c r="C10" s="5" t="s">
        <v>158</v>
      </c>
      <c r="D10" s="4" t="s">
        <v>6</v>
      </c>
      <c r="E10" s="4">
        <v>2005</v>
      </c>
      <c r="F10" s="9">
        <f t="shared" si="0"/>
        <v>188.49001884900548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IF(COUNT(AQ10,AT10,BR10,BU10,CS10,CV10)&gt;0,LARGE((AQ10,AT10,BR10,BU10,CS10,CV10),1),0)</f>
        <v>54.45</v>
      </c>
      <c r="M10" s="8" t="str">
        <f t="shared" si="5"/>
        <v>2025 Elite Canada</v>
      </c>
      <c r="N10" s="8">
        <f>IF(COUNT(AQ10,AT10,BR10,BU10,CS10,CV10)&gt;1,LARGE((AQ10,AT10,BR10,BU10,CS10,CV10),2),0)</f>
        <v>53.64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50.559999999999995</v>
      </c>
      <c r="Q10" s="8" t="str">
        <f t="shared" si="7"/>
        <v>2025 Elite Canada</v>
      </c>
      <c r="R10" s="8">
        <f t="shared" si="8"/>
        <v>13.8</v>
      </c>
      <c r="S10" s="8" t="str">
        <f t="shared" si="9"/>
        <v>2025 Elite Canada</v>
      </c>
      <c r="T10" s="8">
        <f t="shared" si="10"/>
        <v>16.04</v>
      </c>
      <c r="U10" s="8" t="str">
        <f t="shared" si="11"/>
        <v>2024 3rd Domestic Trial</v>
      </c>
      <c r="V10" s="8" t="str">
        <f t="shared" si="12"/>
        <v/>
      </c>
      <c r="W10" s="11" t="str">
        <f t="shared" si="13"/>
        <v/>
      </c>
      <c r="X10" s="8" t="str">
        <f t="shared" si="14"/>
        <v/>
      </c>
      <c r="Y10" s="22">
        <v>1.63</v>
      </c>
      <c r="Z10" s="22">
        <v>1.9</v>
      </c>
      <c r="AA10" s="22">
        <v>2.1</v>
      </c>
      <c r="AB10" s="22">
        <v>2.61</v>
      </c>
      <c r="AC10" s="22">
        <v>0</v>
      </c>
      <c r="AD10" s="22">
        <v>10</v>
      </c>
      <c r="AE10" s="22">
        <v>5.7</v>
      </c>
      <c r="AF10" s="22">
        <v>7.1</v>
      </c>
      <c r="AG10" s="22">
        <v>9.2200000000000006</v>
      </c>
      <c r="AH10" s="22">
        <v>0</v>
      </c>
      <c r="AI10" s="22"/>
      <c r="AJ10" s="22"/>
      <c r="AK10" s="22"/>
      <c r="AL10" s="22"/>
      <c r="AM10" s="22"/>
      <c r="AN10" s="27"/>
      <c r="AO10" s="38">
        <f t="shared" si="15"/>
        <v>2.1</v>
      </c>
      <c r="AP10" s="38">
        <f t="shared" si="16"/>
        <v>2.61</v>
      </c>
      <c r="AQ10" s="40">
        <f t="shared" si="17"/>
        <v>8.24</v>
      </c>
      <c r="AR10" s="40">
        <f t="shared" si="18"/>
        <v>7.1</v>
      </c>
      <c r="AS10" s="40">
        <f t="shared" si="19"/>
        <v>9.2200000000000006</v>
      </c>
      <c r="AT10" s="40">
        <f t="shared" si="20"/>
        <v>32.019999999999996</v>
      </c>
      <c r="AU10" s="40">
        <f t="shared" si="21"/>
        <v>32.019999999999996</v>
      </c>
      <c r="AV10" s="40" t="str">
        <f t="shared" si="22"/>
        <v/>
      </c>
      <c r="AW10" s="40" t="str">
        <f t="shared" si="23"/>
        <v/>
      </c>
      <c r="AX10" s="40" t="str">
        <f t="shared" si="24"/>
        <v/>
      </c>
      <c r="AY10" s="40">
        <f t="shared" si="25"/>
        <v>32.019999999999996</v>
      </c>
      <c r="AZ10" s="26">
        <v>14.8</v>
      </c>
      <c r="BA10" s="26">
        <v>9.3000000000000007</v>
      </c>
      <c r="BB10" s="26">
        <v>13.5</v>
      </c>
      <c r="BC10" s="26">
        <v>16.04</v>
      </c>
      <c r="BD10" s="26">
        <v>0</v>
      </c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8"/>
      <c r="BP10" s="39">
        <f t="shared" si="26"/>
        <v>13.5</v>
      </c>
      <c r="BQ10" s="39">
        <f t="shared" si="27"/>
        <v>16.04</v>
      </c>
      <c r="BR10" s="11">
        <f t="shared" si="28"/>
        <v>53.64</v>
      </c>
      <c r="BS10" s="11" t="str">
        <f t="shared" si="29"/>
        <v/>
      </c>
      <c r="BT10" s="11" t="str">
        <f t="shared" si="30"/>
        <v/>
      </c>
      <c r="BU10" s="11" t="str">
        <f t="shared" si="31"/>
        <v/>
      </c>
      <c r="BV10" s="11">
        <f t="shared" si="32"/>
        <v>53.64</v>
      </c>
      <c r="BW10" s="11" t="str">
        <f t="shared" si="33"/>
        <v/>
      </c>
      <c r="BX10" s="11" t="str">
        <f t="shared" si="34"/>
        <v/>
      </c>
      <c r="BY10" s="11" t="str">
        <f t="shared" si="35"/>
        <v/>
      </c>
      <c r="BZ10" s="11">
        <f t="shared" si="36"/>
        <v>53.64</v>
      </c>
      <c r="CA10" s="22">
        <v>12.5</v>
      </c>
      <c r="CB10" s="22">
        <v>9.4</v>
      </c>
      <c r="CC10" s="22">
        <v>13.4</v>
      </c>
      <c r="CD10" s="22">
        <v>15.26</v>
      </c>
      <c r="CE10" s="22">
        <v>0</v>
      </c>
      <c r="CF10" s="22">
        <v>15.4</v>
      </c>
      <c r="CG10" s="22">
        <v>9.6999999999999993</v>
      </c>
      <c r="CH10" s="22">
        <v>13.8</v>
      </c>
      <c r="CI10" s="22">
        <v>15.55</v>
      </c>
      <c r="CJ10" s="22">
        <v>0</v>
      </c>
      <c r="CK10" s="22">
        <v>12.6</v>
      </c>
      <c r="CL10" s="22">
        <v>7.8</v>
      </c>
      <c r="CM10" s="22">
        <v>12.3</v>
      </c>
      <c r="CN10" s="22">
        <v>13.72</v>
      </c>
      <c r="CO10" s="22">
        <v>0</v>
      </c>
      <c r="CP10" s="27"/>
      <c r="CQ10" s="38">
        <f t="shared" si="37"/>
        <v>13.4</v>
      </c>
      <c r="CR10" s="38">
        <f t="shared" si="38"/>
        <v>15.26</v>
      </c>
      <c r="CS10" s="40">
        <f t="shared" si="39"/>
        <v>50.559999999999995</v>
      </c>
      <c r="CT10" s="40">
        <f t="shared" si="40"/>
        <v>13.8</v>
      </c>
      <c r="CU10" s="40">
        <f t="shared" si="41"/>
        <v>15.55</v>
      </c>
      <c r="CV10" s="40">
        <f t="shared" si="42"/>
        <v>54.45</v>
      </c>
      <c r="CW10" s="40">
        <f t="shared" si="43"/>
        <v>54.45</v>
      </c>
      <c r="CX10" s="40">
        <f t="shared" si="44"/>
        <v>12.3</v>
      </c>
      <c r="CY10" s="40">
        <f t="shared" si="45"/>
        <v>13.72</v>
      </c>
      <c r="CZ10" s="40">
        <f t="shared" si="46"/>
        <v>46.42</v>
      </c>
      <c r="DA10" s="40">
        <f t="shared" si="47"/>
        <v>100.87</v>
      </c>
      <c r="DB10" s="50" t="str">
        <f t="shared" si="48"/>
        <v/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 t="str">
        <f t="shared" si="91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13.65</v>
      </c>
      <c r="SW10" s="22">
        <f t="shared" si="219"/>
        <v>9.3500000000000014</v>
      </c>
      <c r="SX10" s="22">
        <f t="shared" si="220"/>
        <v>13.45</v>
      </c>
      <c r="SY10" s="22">
        <f t="shared" si="221"/>
        <v>15.649999999999999</v>
      </c>
      <c r="SZ10" s="22">
        <f t="shared" si="222"/>
        <v>0</v>
      </c>
      <c r="TA10" s="22">
        <f t="shared" si="223"/>
        <v>7.7</v>
      </c>
      <c r="TB10" s="22">
        <f t="shared" si="224"/>
        <v>4.8499999999999996</v>
      </c>
      <c r="TC10" s="22">
        <f t="shared" si="225"/>
        <v>6.9</v>
      </c>
      <c r="TD10" s="22">
        <f t="shared" si="226"/>
        <v>7.7750000000000004</v>
      </c>
      <c r="TE10" s="22">
        <f t="shared" si="227"/>
        <v>0</v>
      </c>
      <c r="TF10" s="22">
        <f t="shared" si="228"/>
        <v>6.3</v>
      </c>
      <c r="TG10" s="22">
        <f t="shared" si="229"/>
        <v>3.9</v>
      </c>
      <c r="TH10" s="22">
        <f t="shared" si="230"/>
        <v>6.15</v>
      </c>
      <c r="TI10" s="22">
        <f t="shared" si="231"/>
        <v>6.86</v>
      </c>
      <c r="TJ10" s="22">
        <f t="shared" si="232"/>
        <v>0</v>
      </c>
      <c r="TK10" s="27" t="s">
        <v>46</v>
      </c>
      <c r="TL10" s="40">
        <f t="shared" si="233"/>
        <v>13.45</v>
      </c>
      <c r="TM10" s="40">
        <f t="shared" si="234"/>
        <v>15.649999999999999</v>
      </c>
      <c r="TN10" s="40">
        <f t="shared" si="235"/>
        <v>52.1</v>
      </c>
      <c r="TO10" s="40">
        <f t="shared" si="236"/>
        <v>6.9</v>
      </c>
      <c r="TP10" s="40">
        <f t="shared" si="237"/>
        <v>7.7750000000000004</v>
      </c>
      <c r="TQ10" s="40">
        <f t="shared" si="238"/>
        <v>27.225000000000001</v>
      </c>
      <c r="TR10" s="40">
        <f t="shared" si="239"/>
        <v>52.1</v>
      </c>
      <c r="TS10" s="40">
        <f t="shared" si="240"/>
        <v>6.15</v>
      </c>
      <c r="TT10" s="40">
        <f t="shared" si="241"/>
        <v>6.86</v>
      </c>
      <c r="TU10" s="40">
        <f t="shared" si="242"/>
        <v>23.21</v>
      </c>
      <c r="TV10" s="40">
        <f t="shared" si="243"/>
        <v>75.31</v>
      </c>
    </row>
    <row r="11" spans="1:542" x14ac:dyDescent="0.2">
      <c r="A11" s="4" cm="1">
        <f t="array" ref="A11">IF(AND(J11&lt;&gt;"",J11&lt;&gt;"No DD"),SUMPRODUCT((J$4:J$39&lt;&gt;"")*(J$4:J$39&lt;&gt;"No DD")*(F$4:F$39&gt;F11))+1,IF(J11="No DD",SUMPRODUCT((J$4:J$39="No DD")*(F$4:F$39&gt;F11))+1+SUMPRODUCT((J$4:J$39&lt;&gt;"")*(J$4:J$39&lt;&gt;"No DD")),""))</f>
        <v>8</v>
      </c>
      <c r="B11" s="4" cm="1">
        <f t="array" ref="B11">IF(AND(J11&lt;&gt;"",J11&lt;&gt;"No DD",G11=""),SUMPRODUCT((J$4:J$39&lt;&gt;"")*(J$4:J$39&lt;&gt;"No DD")*(G$4:G$39="")*(F$4:F$39&gt;F11))+1,IF(J11="No DD",SUMPRODUCT((J$4:J$39="No DD")*(F$4:F$39&gt;F11)*(G$4:G$39=""))+1+SUMPRODUCT((J$4:J$39&lt;&gt;"")*(G$4:G$39="")*(J$4:J$39&lt;&gt;"No DD")),""))</f>
        <v>6</v>
      </c>
      <c r="C11" s="5" t="s">
        <v>205</v>
      </c>
      <c r="D11" s="4" t="s">
        <v>6</v>
      </c>
      <c r="E11" s="4">
        <v>2008</v>
      </c>
      <c r="F11" s="9">
        <f t="shared" si="0"/>
        <v>188.05001880500524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IF(COUNT(AQ11,AT11,BR11,BU11,CS11,CV11)&gt;0,LARGE((AQ11,AT11,BR11,BU11,CS11,CV11),1),0)</f>
        <v>52.480000000000004</v>
      </c>
      <c r="M11" s="8" t="str">
        <f t="shared" si="5"/>
        <v>2024 Nationals</v>
      </c>
      <c r="N11" s="8">
        <f>IF(COUNT(AQ11,AT11,BR11,BU11,CS11,CV11)&gt;1,LARGE((AQ11,AT11,BR11,BU11,CS11,CV11),2),0)</f>
        <v>50.71</v>
      </c>
      <c r="O11" s="8" t="str">
        <f t="shared" si="6"/>
        <v>2025 Elite Canada</v>
      </c>
      <c r="P11" s="8">
        <f>IF(COUNT(AQ11,AT11,BR11,BU11,CS11,CV11)&gt;2,MAX(AX11,BY11,CZ11,LARGE((AQ11,AT11,BR11,BU11,CS11,CV11),3)),IF(MAX(AX11,BY11,CZ11)&gt;0,MAX(AX11,BY11,CZ11),0))</f>
        <v>53.89</v>
      </c>
      <c r="Q11" s="8" t="str">
        <f t="shared" si="7"/>
        <v>2024 3rd Domestic Trial</v>
      </c>
      <c r="R11" s="8">
        <f t="shared" si="8"/>
        <v>14.4</v>
      </c>
      <c r="S11" s="8" t="str">
        <f t="shared" si="9"/>
        <v>2024 3rd Domestic Trial</v>
      </c>
      <c r="T11" s="8">
        <f t="shared" si="10"/>
        <v>16.57</v>
      </c>
      <c r="U11" s="8" t="str">
        <f t="shared" si="11"/>
        <v>2024 3rd Domestic Trial</v>
      </c>
      <c r="V11" s="8" t="str">
        <f t="shared" si="12"/>
        <v/>
      </c>
      <c r="W11" s="11" t="str">
        <f t="shared" si="13"/>
        <v/>
      </c>
      <c r="X11" s="8" t="str">
        <f t="shared" si="14"/>
        <v/>
      </c>
      <c r="Y11" s="22">
        <v>17.899999999999999</v>
      </c>
      <c r="Z11" s="22">
        <v>9.4</v>
      </c>
      <c r="AA11" s="22">
        <v>0</v>
      </c>
      <c r="AB11" s="22">
        <v>15.82</v>
      </c>
      <c r="AC11" s="22">
        <v>0</v>
      </c>
      <c r="AD11" s="22">
        <v>15</v>
      </c>
      <c r="AE11" s="22">
        <v>9.1</v>
      </c>
      <c r="AF11" s="22">
        <v>13.5</v>
      </c>
      <c r="AG11" s="22">
        <v>14.88</v>
      </c>
      <c r="AH11" s="22">
        <v>0</v>
      </c>
      <c r="AI11" s="22">
        <v>14.9</v>
      </c>
      <c r="AJ11" s="22">
        <v>9</v>
      </c>
      <c r="AK11" s="22">
        <v>12.6</v>
      </c>
      <c r="AL11" s="22">
        <v>14.84</v>
      </c>
      <c r="AM11" s="22">
        <v>0</v>
      </c>
      <c r="AN11" s="27"/>
      <c r="AO11" s="38" t="str">
        <f t="shared" si="15"/>
        <v/>
      </c>
      <c r="AP11" s="38">
        <f t="shared" si="16"/>
        <v>15.82</v>
      </c>
      <c r="AQ11" s="40">
        <f t="shared" si="17"/>
        <v>43.12</v>
      </c>
      <c r="AR11" s="40">
        <f t="shared" si="18"/>
        <v>13.5</v>
      </c>
      <c r="AS11" s="40">
        <f t="shared" si="19"/>
        <v>14.88</v>
      </c>
      <c r="AT11" s="40">
        <f t="shared" si="20"/>
        <v>52.480000000000004</v>
      </c>
      <c r="AU11" s="40">
        <f t="shared" si="21"/>
        <v>52.480000000000004</v>
      </c>
      <c r="AV11" s="40">
        <f t="shared" si="22"/>
        <v>12.6</v>
      </c>
      <c r="AW11" s="40">
        <f t="shared" si="23"/>
        <v>14.84</v>
      </c>
      <c r="AX11" s="40">
        <f t="shared" si="24"/>
        <v>51.34</v>
      </c>
      <c r="AY11" s="40">
        <f t="shared" si="25"/>
        <v>103.82000000000001</v>
      </c>
      <c r="AZ11" s="26">
        <v>18</v>
      </c>
      <c r="BA11" s="26">
        <v>9.4</v>
      </c>
      <c r="BB11" s="26">
        <v>0</v>
      </c>
      <c r="BC11" s="26">
        <v>16.57</v>
      </c>
      <c r="BD11" s="26">
        <v>0</v>
      </c>
      <c r="BE11" s="26">
        <v>13.5</v>
      </c>
      <c r="BF11" s="26">
        <v>8.5</v>
      </c>
      <c r="BG11" s="26">
        <v>12.8</v>
      </c>
      <c r="BH11" s="26">
        <v>14.32</v>
      </c>
      <c r="BI11" s="26">
        <v>0</v>
      </c>
      <c r="BJ11" s="26">
        <v>14.7</v>
      </c>
      <c r="BK11" s="26">
        <v>8.8000000000000007</v>
      </c>
      <c r="BL11" s="26">
        <v>14.4</v>
      </c>
      <c r="BM11" s="26">
        <v>15.99</v>
      </c>
      <c r="BN11" s="26">
        <v>0</v>
      </c>
      <c r="BO11" s="28"/>
      <c r="BP11" s="39" t="str">
        <f t="shared" si="26"/>
        <v/>
      </c>
      <c r="BQ11" s="39">
        <f t="shared" si="27"/>
        <v>16.57</v>
      </c>
      <c r="BR11" s="11">
        <f t="shared" si="28"/>
        <v>43.97</v>
      </c>
      <c r="BS11" s="11">
        <f t="shared" si="29"/>
        <v>12.8</v>
      </c>
      <c r="BT11" s="11">
        <f t="shared" si="30"/>
        <v>14.32</v>
      </c>
      <c r="BU11" s="11">
        <f t="shared" si="31"/>
        <v>49.12</v>
      </c>
      <c r="BV11" s="11">
        <f t="shared" si="32"/>
        <v>49.12</v>
      </c>
      <c r="BW11" s="11">
        <f t="shared" si="33"/>
        <v>14.4</v>
      </c>
      <c r="BX11" s="11">
        <f t="shared" si="34"/>
        <v>15.99</v>
      </c>
      <c r="BY11" s="11">
        <f t="shared" si="35"/>
        <v>53.89</v>
      </c>
      <c r="BZ11" s="11">
        <f t="shared" si="36"/>
        <v>103.00999999999999</v>
      </c>
      <c r="CA11" s="22">
        <v>14</v>
      </c>
      <c r="CB11" s="22">
        <v>9.1999999999999993</v>
      </c>
      <c r="CC11" s="22">
        <v>13.4</v>
      </c>
      <c r="CD11" s="22">
        <v>15.21</v>
      </c>
      <c r="CE11" s="22">
        <v>1.1000000000000001</v>
      </c>
      <c r="CF11" s="22">
        <v>4.7</v>
      </c>
      <c r="CG11" s="22">
        <v>3</v>
      </c>
      <c r="CH11" s="22">
        <v>5</v>
      </c>
      <c r="CI11" s="22">
        <v>5.03</v>
      </c>
      <c r="CJ11" s="22">
        <v>0</v>
      </c>
      <c r="CK11" s="22">
        <v>7.6</v>
      </c>
      <c r="CL11" s="22">
        <v>5.3</v>
      </c>
      <c r="CM11" s="22">
        <v>6.9</v>
      </c>
      <c r="CN11" s="22">
        <v>9.18</v>
      </c>
      <c r="CO11" s="22">
        <v>0</v>
      </c>
      <c r="CP11" s="27"/>
      <c r="CQ11" s="38">
        <f t="shared" si="37"/>
        <v>13.4</v>
      </c>
      <c r="CR11" s="38">
        <f t="shared" si="38"/>
        <v>15.21</v>
      </c>
      <c r="CS11" s="40">
        <f t="shared" si="39"/>
        <v>50.71</v>
      </c>
      <c r="CT11" s="40">
        <f t="shared" si="40"/>
        <v>5</v>
      </c>
      <c r="CU11" s="40">
        <f t="shared" si="41"/>
        <v>5.03</v>
      </c>
      <c r="CV11" s="40">
        <f t="shared" si="42"/>
        <v>17.73</v>
      </c>
      <c r="CW11" s="40">
        <f t="shared" si="43"/>
        <v>50.71</v>
      </c>
      <c r="CX11" s="40">
        <f t="shared" si="44"/>
        <v>6.9</v>
      </c>
      <c r="CY11" s="40">
        <f t="shared" si="45"/>
        <v>9.18</v>
      </c>
      <c r="CZ11" s="40">
        <f t="shared" si="46"/>
        <v>28.979999999999997</v>
      </c>
      <c r="DA11" s="40">
        <f t="shared" si="47"/>
        <v>79.69</v>
      </c>
      <c r="DB11" s="50" t="str">
        <f t="shared" si="48"/>
        <v/>
      </c>
      <c r="DC11" s="50" t="str">
        <f t="shared" si="49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40" t="str">
        <f t="shared" si="90"/>
        <v/>
      </c>
      <c r="HA11" s="40" t="str">
        <f t="shared" si="91"/>
        <v/>
      </c>
      <c r="HB11" s="18">
        <v>16.5</v>
      </c>
      <c r="HC11" s="18">
        <v>9.4</v>
      </c>
      <c r="HD11" s="18">
        <v>0</v>
      </c>
      <c r="HE11" s="18">
        <v>16.34</v>
      </c>
      <c r="HF11" s="18">
        <v>0</v>
      </c>
      <c r="HG11" s="18">
        <v>12</v>
      </c>
      <c r="HH11" s="18">
        <v>8.5</v>
      </c>
      <c r="HI11" s="18">
        <v>13.5</v>
      </c>
      <c r="HJ11" s="18">
        <v>15.15</v>
      </c>
      <c r="HK11" s="18">
        <v>0</v>
      </c>
      <c r="HL11" s="18"/>
      <c r="HM11" s="18"/>
      <c r="HN11" s="18"/>
      <c r="HO11" s="18"/>
      <c r="HP11" s="18"/>
      <c r="HQ11" s="18">
        <v>14.3</v>
      </c>
      <c r="HR11" s="18">
        <v>9.1999999999999993</v>
      </c>
      <c r="HS11" s="18">
        <v>13.5</v>
      </c>
      <c r="HT11" s="18">
        <v>15.49</v>
      </c>
      <c r="HU11" s="18">
        <v>0</v>
      </c>
      <c r="HV11" s="11" t="str">
        <f t="shared" si="92"/>
        <v/>
      </c>
      <c r="HW11" s="11">
        <f t="shared" si="93"/>
        <v>16.34</v>
      </c>
      <c r="HX11" s="11">
        <f t="shared" si="94"/>
        <v>42.239999999999995</v>
      </c>
      <c r="HY11" s="11">
        <f t="shared" si="95"/>
        <v>13.5</v>
      </c>
      <c r="HZ11" s="11">
        <f t="shared" si="96"/>
        <v>15.15</v>
      </c>
      <c r="IA11" s="11">
        <f t="shared" si="97"/>
        <v>49.15</v>
      </c>
      <c r="IB11" s="11">
        <f t="shared" si="98"/>
        <v>49.15</v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>
        <f t="shared" si="102"/>
        <v>13.5</v>
      </c>
      <c r="IG11" s="11">
        <f t="shared" si="103"/>
        <v>15.49</v>
      </c>
      <c r="IH11" s="11">
        <f t="shared" si="104"/>
        <v>52.49</v>
      </c>
      <c r="II11" s="11">
        <f t="shared" si="105"/>
        <v>101.64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16</v>
      </c>
      <c r="SW11" s="22">
        <f t="shared" si="219"/>
        <v>9.3000000000000007</v>
      </c>
      <c r="SX11" s="22">
        <f t="shared" si="220"/>
        <v>6.7</v>
      </c>
      <c r="SY11" s="22">
        <f t="shared" si="221"/>
        <v>15.89</v>
      </c>
      <c r="SZ11" s="22">
        <f t="shared" si="222"/>
        <v>0.55000000000000004</v>
      </c>
      <c r="TA11" s="22">
        <f t="shared" si="223"/>
        <v>9.1</v>
      </c>
      <c r="TB11" s="22">
        <f t="shared" si="224"/>
        <v>5.75</v>
      </c>
      <c r="TC11" s="22">
        <f t="shared" si="225"/>
        <v>8.9</v>
      </c>
      <c r="TD11" s="22">
        <f t="shared" si="226"/>
        <v>9.6750000000000007</v>
      </c>
      <c r="TE11" s="22">
        <f t="shared" si="227"/>
        <v>0</v>
      </c>
      <c r="TF11" s="22">
        <f t="shared" si="228"/>
        <v>11.149999999999999</v>
      </c>
      <c r="TG11" s="22">
        <f t="shared" si="229"/>
        <v>7.0500000000000007</v>
      </c>
      <c r="TH11" s="22">
        <f t="shared" si="230"/>
        <v>10.65</v>
      </c>
      <c r="TI11" s="22">
        <f t="shared" si="231"/>
        <v>12.585000000000001</v>
      </c>
      <c r="TJ11" s="22">
        <f t="shared" si="232"/>
        <v>0</v>
      </c>
      <c r="TK11" s="27" t="s">
        <v>46</v>
      </c>
      <c r="TL11" s="40">
        <f t="shared" si="233"/>
        <v>6.7</v>
      </c>
      <c r="TM11" s="40">
        <f t="shared" si="234"/>
        <v>15.89</v>
      </c>
      <c r="TN11" s="40">
        <f t="shared" si="235"/>
        <v>47.34</v>
      </c>
      <c r="TO11" s="40">
        <f t="shared" si="236"/>
        <v>8.9</v>
      </c>
      <c r="TP11" s="40">
        <f t="shared" si="237"/>
        <v>9.6750000000000007</v>
      </c>
      <c r="TQ11" s="40">
        <f t="shared" si="238"/>
        <v>33.424999999999997</v>
      </c>
      <c r="TR11" s="40">
        <f t="shared" si="239"/>
        <v>47.34</v>
      </c>
      <c r="TS11" s="40">
        <f t="shared" si="240"/>
        <v>10.65</v>
      </c>
      <c r="TT11" s="40">
        <f t="shared" si="241"/>
        <v>12.585000000000001</v>
      </c>
      <c r="TU11" s="40">
        <f t="shared" si="242"/>
        <v>41.435000000000002</v>
      </c>
      <c r="TV11" s="40">
        <f t="shared" si="243"/>
        <v>88.775000000000006</v>
      </c>
    </row>
    <row r="12" spans="1:542" x14ac:dyDescent="0.2">
      <c r="A12" s="4" cm="1">
        <f t="array" ref="A12">IF(AND(J12&lt;&gt;"",J12&lt;&gt;"No DD"),SUMPRODUCT((J$4:J$39&lt;&gt;"")*(J$4:J$39&lt;&gt;"No DD")*(F$4:F$39&gt;F12))+1,IF(J12="No DD",SUMPRODUCT((J$4:J$39="No DD")*(F$4:F$39&gt;F12))+1+SUMPRODUCT((J$4:J$39&lt;&gt;"")*(J$4:J$39&lt;&gt;"No DD")),""))</f>
        <v>9</v>
      </c>
      <c r="B12" s="4" cm="1">
        <f t="array" ref="B12">IF(AND(J12&lt;&gt;"",J12&lt;&gt;"No DD",G12=""),SUMPRODUCT((J$4:J$39&lt;&gt;"")*(J$4:J$39&lt;&gt;"No DD")*(G$4:G$39="")*(F$4:F$39&gt;F12))+1,IF(J12="No DD",SUMPRODUCT((J$4:J$39="No DD")*(F$4:F$39&gt;F12)*(G$4:G$39=""))+1+SUMPRODUCT((J$4:J$39&lt;&gt;"")*(G$4:G$39="")*(J$4:J$39&lt;&gt;"No DD")),""))</f>
        <v>7</v>
      </c>
      <c r="C12" s="5" t="s">
        <v>95</v>
      </c>
      <c r="D12" s="4" t="s">
        <v>3</v>
      </c>
      <c r="E12" s="4">
        <v>2005</v>
      </c>
      <c r="F12" s="9">
        <f t="shared" si="0"/>
        <v>121.67000797800216</v>
      </c>
      <c r="G12" s="64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IF(COUNT(AQ12,AT12,BR12,BU12,CS12,CV12)&gt;0,LARGE((AQ12,AT12,BR12,BU12,CS12,CV12),1),0)</f>
        <v>21.73</v>
      </c>
      <c r="M12" s="8" t="str">
        <f t="shared" si="5"/>
        <v>2025 Elite Canada</v>
      </c>
      <c r="N12" s="8">
        <f>IF(COUNT(AQ12,AT12,BR12,BU12,CS12,CV12)&gt;1,LARGE((AQ12,AT12,BR12,BU12,CS12,CV12),2),0)</f>
        <v>16.260000000000002</v>
      </c>
      <c r="O12" s="8" t="str">
        <f t="shared" si="6"/>
        <v>2025 Elite Canada</v>
      </c>
      <c r="P12" s="8">
        <f>IF(COUNT(AQ12,AT12,BR12,BU12,CS12,CV12)&gt;2,MAX(AX12,BY12,CZ12,LARGE((AQ12,AT12,BR12,BU12,CS12,CV12),3)),IF(MAX(AX12,BY12,CZ12)&gt;0,MAX(AX12,BY12,CZ12),0))</f>
        <v>11.600000000000001</v>
      </c>
      <c r="Q12" s="8" t="str">
        <f t="shared" si="7"/>
        <v>2024 Nationals</v>
      </c>
      <c r="R12" s="8">
        <f t="shared" si="8"/>
        <v>14.6</v>
      </c>
      <c r="S12" s="8" t="str">
        <f t="shared" si="9"/>
        <v>2024 Coimbra Gym Fest (July 7)</v>
      </c>
      <c r="T12" s="8">
        <f t="shared" si="10"/>
        <v>15.59</v>
      </c>
      <c r="U12" s="8" t="str">
        <f t="shared" si="11"/>
        <v>2024 Coimbra Gym Fest (July 7)</v>
      </c>
      <c r="V12" s="8">
        <f t="shared" si="12"/>
        <v>41.889999999999993</v>
      </c>
      <c r="W12" s="11" t="str">
        <f t="shared" si="13"/>
        <v>(Optional)</v>
      </c>
      <c r="X12" s="8" t="str">
        <f t="shared" si="14"/>
        <v>2024 Coimbra Gym Fest (July 7)</v>
      </c>
      <c r="Y12" s="22">
        <v>3</v>
      </c>
      <c r="Z12" s="22">
        <v>1.9</v>
      </c>
      <c r="AA12" s="22">
        <v>3.4</v>
      </c>
      <c r="AB12" s="22">
        <v>3.29</v>
      </c>
      <c r="AC12" s="22">
        <v>0</v>
      </c>
      <c r="AD12" s="22">
        <v>3</v>
      </c>
      <c r="AE12" s="22">
        <v>1.9</v>
      </c>
      <c r="AF12" s="22">
        <v>3.4</v>
      </c>
      <c r="AG12" s="22">
        <v>3.3</v>
      </c>
      <c r="AH12" s="22">
        <v>0</v>
      </c>
      <c r="AI12" s="22"/>
      <c r="AJ12" s="22"/>
      <c r="AK12" s="22"/>
      <c r="AL12" s="22"/>
      <c r="AM12" s="22"/>
      <c r="AN12" s="27"/>
      <c r="AO12" s="38">
        <f t="shared" si="15"/>
        <v>3.4</v>
      </c>
      <c r="AP12" s="38">
        <f t="shared" si="16"/>
        <v>3.29</v>
      </c>
      <c r="AQ12" s="40">
        <f t="shared" si="17"/>
        <v>11.59</v>
      </c>
      <c r="AR12" s="40">
        <f t="shared" si="18"/>
        <v>3.4</v>
      </c>
      <c r="AS12" s="40">
        <f t="shared" si="19"/>
        <v>3.3</v>
      </c>
      <c r="AT12" s="40">
        <f t="shared" si="20"/>
        <v>11.600000000000001</v>
      </c>
      <c r="AU12" s="40">
        <f t="shared" si="21"/>
        <v>11.600000000000001</v>
      </c>
      <c r="AV12" s="40" t="str">
        <f t="shared" si="22"/>
        <v/>
      </c>
      <c r="AW12" s="40" t="str">
        <f t="shared" si="23"/>
        <v/>
      </c>
      <c r="AX12" s="40" t="str">
        <f t="shared" si="24"/>
        <v/>
      </c>
      <c r="AY12" s="40">
        <f t="shared" si="25"/>
        <v>11.600000000000001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 t="str">
        <f t="shared" si="29"/>
        <v/>
      </c>
      <c r="BT12" s="11" t="str">
        <f t="shared" si="30"/>
        <v/>
      </c>
      <c r="BU12" s="11" t="str">
        <f t="shared" si="31"/>
        <v/>
      </c>
      <c r="BV12" s="11" t="str">
        <f t="shared" si="32"/>
        <v/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 t="str">
        <f t="shared" si="36"/>
        <v/>
      </c>
      <c r="CA12" s="22">
        <v>4.2</v>
      </c>
      <c r="CB12" s="22">
        <v>2.7</v>
      </c>
      <c r="CC12" s="22">
        <v>4.7</v>
      </c>
      <c r="CD12" s="22">
        <v>4.66</v>
      </c>
      <c r="CE12" s="22">
        <v>0</v>
      </c>
      <c r="CF12" s="22">
        <v>5.6</v>
      </c>
      <c r="CG12" s="22">
        <v>3.4</v>
      </c>
      <c r="CH12" s="22">
        <v>6.4</v>
      </c>
      <c r="CI12" s="22">
        <v>6.33</v>
      </c>
      <c r="CJ12" s="22">
        <v>0</v>
      </c>
      <c r="CK12" s="22"/>
      <c r="CL12" s="22"/>
      <c r="CM12" s="22"/>
      <c r="CN12" s="22"/>
      <c r="CO12" s="22"/>
      <c r="CP12" s="27"/>
      <c r="CQ12" s="38">
        <f t="shared" si="37"/>
        <v>4.7</v>
      </c>
      <c r="CR12" s="38">
        <f t="shared" si="38"/>
        <v>4.66</v>
      </c>
      <c r="CS12" s="40">
        <f t="shared" si="39"/>
        <v>16.260000000000002</v>
      </c>
      <c r="CT12" s="40">
        <f t="shared" si="40"/>
        <v>6.4</v>
      </c>
      <c r="CU12" s="40">
        <f t="shared" si="41"/>
        <v>6.33</v>
      </c>
      <c r="CV12" s="40">
        <f t="shared" si="42"/>
        <v>21.73</v>
      </c>
      <c r="CW12" s="40">
        <f t="shared" si="43"/>
        <v>21.73</v>
      </c>
      <c r="CX12" s="40" t="str">
        <f t="shared" si="44"/>
        <v/>
      </c>
      <c r="CY12" s="40" t="str">
        <f t="shared" si="45"/>
        <v/>
      </c>
      <c r="CZ12" s="40" t="str">
        <f t="shared" si="46"/>
        <v/>
      </c>
      <c r="DA12" s="40">
        <f t="shared" si="47"/>
        <v>21.73</v>
      </c>
      <c r="DB12" s="50">
        <f t="shared" si="48"/>
        <v>41.889999999999993</v>
      </c>
      <c r="DC12" s="50">
        <f t="shared" si="49"/>
        <v>15.129999999999999</v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>
        <v>13</v>
      </c>
      <c r="HC12" s="18">
        <v>8.9</v>
      </c>
      <c r="HD12" s="18">
        <v>14.6</v>
      </c>
      <c r="HE12" s="18">
        <v>15.24</v>
      </c>
      <c r="HF12" s="18">
        <v>0</v>
      </c>
      <c r="HG12" s="18">
        <v>13.9</v>
      </c>
      <c r="HH12" s="18">
        <v>9.4</v>
      </c>
      <c r="HI12" s="18">
        <v>14.6</v>
      </c>
      <c r="HJ12" s="18">
        <v>15.59</v>
      </c>
      <c r="HK12" s="18">
        <v>0</v>
      </c>
      <c r="HL12" s="18">
        <v>6.8</v>
      </c>
      <c r="HM12" s="18">
        <v>4.4000000000000004</v>
      </c>
      <c r="HN12" s="18">
        <v>7.8</v>
      </c>
      <c r="HO12" s="18">
        <v>7.73</v>
      </c>
      <c r="HP12" s="18">
        <v>0</v>
      </c>
      <c r="HQ12" s="18"/>
      <c r="HR12" s="18"/>
      <c r="HS12" s="18"/>
      <c r="HT12" s="18"/>
      <c r="HU12" s="18"/>
      <c r="HV12" s="11">
        <f t="shared" si="92"/>
        <v>14.6</v>
      </c>
      <c r="HW12" s="11">
        <f t="shared" si="93"/>
        <v>15.24</v>
      </c>
      <c r="HX12" s="11">
        <f t="shared" si="94"/>
        <v>51.74</v>
      </c>
      <c r="HY12" s="11">
        <f t="shared" si="95"/>
        <v>14.6</v>
      </c>
      <c r="HZ12" s="11">
        <f t="shared" si="96"/>
        <v>15.59</v>
      </c>
      <c r="IA12" s="11">
        <f t="shared" si="97"/>
        <v>53.489999999999995</v>
      </c>
      <c r="IB12" s="11">
        <f t="shared" si="98"/>
        <v>53.489999999999995</v>
      </c>
      <c r="IC12" s="11">
        <f t="shared" si="99"/>
        <v>7.8</v>
      </c>
      <c r="ID12" s="11">
        <f t="shared" si="100"/>
        <v>7.73</v>
      </c>
      <c r="IE12" s="11">
        <f t="shared" si="101"/>
        <v>26.73</v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>
        <f t="shared" si="105"/>
        <v>80.22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2.1</v>
      </c>
      <c r="SW12" s="22">
        <f t="shared" si="219"/>
        <v>1.35</v>
      </c>
      <c r="SX12" s="22">
        <f t="shared" si="220"/>
        <v>2.35</v>
      </c>
      <c r="SY12" s="22">
        <f t="shared" si="221"/>
        <v>2.33</v>
      </c>
      <c r="SZ12" s="22">
        <f t="shared" si="222"/>
        <v>0</v>
      </c>
      <c r="TA12" s="22">
        <f t="shared" si="223"/>
        <v>2.8</v>
      </c>
      <c r="TB12" s="22">
        <f t="shared" si="224"/>
        <v>1.7</v>
      </c>
      <c r="TC12" s="22">
        <f t="shared" si="225"/>
        <v>3.2</v>
      </c>
      <c r="TD12" s="22">
        <f t="shared" si="226"/>
        <v>3.165</v>
      </c>
      <c r="TE12" s="22">
        <f t="shared" si="227"/>
        <v>0</v>
      </c>
      <c r="TF12" s="22">
        <f t="shared" si="228"/>
        <v>0</v>
      </c>
      <c r="TG12" s="22">
        <f t="shared" si="229"/>
        <v>0</v>
      </c>
      <c r="TH12" s="22">
        <f t="shared" si="230"/>
        <v>0</v>
      </c>
      <c r="TI12" s="22">
        <f t="shared" si="231"/>
        <v>0</v>
      </c>
      <c r="TJ12" s="22">
        <f t="shared" si="232"/>
        <v>0</v>
      </c>
      <c r="TK12" s="27" t="s">
        <v>46</v>
      </c>
      <c r="TL12" s="40">
        <f t="shared" si="233"/>
        <v>2.35</v>
      </c>
      <c r="TM12" s="40">
        <f t="shared" si="234"/>
        <v>2.33</v>
      </c>
      <c r="TN12" s="40">
        <f t="shared" si="235"/>
        <v>8.1300000000000008</v>
      </c>
      <c r="TO12" s="40">
        <f t="shared" si="236"/>
        <v>3.2</v>
      </c>
      <c r="TP12" s="40">
        <f t="shared" si="237"/>
        <v>3.165</v>
      </c>
      <c r="TQ12" s="40">
        <f t="shared" si="238"/>
        <v>10.865</v>
      </c>
      <c r="TR12" s="40">
        <f t="shared" si="239"/>
        <v>10.865</v>
      </c>
      <c r="TS12" s="40" t="str">
        <f t="shared" si="240"/>
        <v/>
      </c>
      <c r="TT12" s="40" t="str">
        <f t="shared" si="241"/>
        <v/>
      </c>
      <c r="TU12" s="40" t="str">
        <f t="shared" si="242"/>
        <v/>
      </c>
      <c r="TV12" s="40">
        <f t="shared" si="243"/>
        <v>10.865</v>
      </c>
    </row>
    <row r="13" spans="1:542" x14ac:dyDescent="0.2">
      <c r="A13" s="4" t="str" cm="1">
        <f t="array" ref="A13">IF(AND(J13&lt;&gt;"",J13&lt;&gt;"No DD"),SUMPRODUCT((J$4:J$39&lt;&gt;"")*(J$4:J$39&lt;&gt;"No DD")*(F$4:F$39&gt;F13))+1,IF(J13="No DD",SUMPRODUCT((J$4:J$39="No DD")*(F$4:F$39&gt;F13))+1+SUMPRODUCT((J$4:J$39&lt;&gt;"")*(J$4:J$39&lt;&gt;"No DD")),""))</f>
        <v/>
      </c>
      <c r="B13" s="4" t="str" cm="1">
        <f t="array" ref="B13">IF(AND(J13&lt;&gt;"",J13&lt;&gt;"No DD",G13=""),SUMPRODUCT((J$4:J$39&lt;&gt;"")*(J$4:J$39&lt;&gt;"No DD")*(G$4:G$39="")*(F$4:F$39&gt;F13))+1,IF(J13="No DD",SUMPRODUCT((J$4:J$39="No DD")*(F$4:F$39&gt;F13)*(G$4:G$39=""))+1+SUMPRODUCT((J$4:J$39&lt;&gt;"")*(G$4:G$39="")*(J$4:J$39&lt;&gt;"No DD")),""))</f>
        <v/>
      </c>
      <c r="C13" s="5" t="s">
        <v>89</v>
      </c>
      <c r="D13" s="4" t="s">
        <v>4</v>
      </c>
      <c r="E13" s="4">
        <v>2004</v>
      </c>
      <c r="F13" s="9">
        <f t="shared" si="0"/>
        <v>187.54001875400513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51.35</v>
      </c>
      <c r="M13" s="8" t="str">
        <f t="shared" si="5"/>
        <v>2024 Nationals</v>
      </c>
      <c r="N13" s="8">
        <f>IF(COUNT(AQ13,AT13,BR13,BU13,CS13,CV13)&gt;1,LARGE((AQ13,AT13,BR13,BU13,CS13,CV13),2),0)</f>
        <v>50.97</v>
      </c>
      <c r="O13" s="8" t="str">
        <f t="shared" si="6"/>
        <v>2025 Elite Canada</v>
      </c>
      <c r="P13" s="8">
        <f>IF(COUNT(AQ13,AT13,BR13,BU13,CS13,CV13)&gt;2,MAX(AX13,BY13,CZ13,LARGE((AQ13,AT13,BR13,BU13,CS13,CV13),3)),IF(MAX(AX13,BY13,CZ13)&gt;0,MAX(AX13,BY13,CZ13),0))</f>
        <v>53.91</v>
      </c>
      <c r="Q13" s="8" t="str">
        <f t="shared" si="7"/>
        <v>2025 Elite Canada</v>
      </c>
      <c r="R13" s="8">
        <f t="shared" si="8"/>
        <v>14.9</v>
      </c>
      <c r="S13" s="8" t="str">
        <f t="shared" si="9"/>
        <v>2025 Elite Canada</v>
      </c>
      <c r="T13" s="8">
        <f t="shared" si="10"/>
        <v>16.41</v>
      </c>
      <c r="U13" s="8" t="str">
        <f t="shared" si="11"/>
        <v>2025 Elite Canada</v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12.9</v>
      </c>
      <c r="Z13" s="22">
        <v>8.9</v>
      </c>
      <c r="AA13" s="22">
        <v>14.2</v>
      </c>
      <c r="AB13" s="22">
        <v>15.35</v>
      </c>
      <c r="AC13" s="22">
        <v>0</v>
      </c>
      <c r="AD13" s="22">
        <v>1.4</v>
      </c>
      <c r="AE13" s="22">
        <v>1</v>
      </c>
      <c r="AF13" s="22">
        <v>2</v>
      </c>
      <c r="AG13" s="22">
        <v>1.79</v>
      </c>
      <c r="AH13" s="22">
        <v>0</v>
      </c>
      <c r="AI13" s="22">
        <v>9.1</v>
      </c>
      <c r="AJ13" s="22">
        <v>6.5</v>
      </c>
      <c r="AK13" s="22">
        <v>10.3</v>
      </c>
      <c r="AL13" s="22">
        <v>11.01</v>
      </c>
      <c r="AM13" s="22">
        <v>0.2</v>
      </c>
      <c r="AN13" s="27"/>
      <c r="AO13" s="38">
        <f t="shared" si="15"/>
        <v>14.2</v>
      </c>
      <c r="AP13" s="38">
        <f t="shared" si="16"/>
        <v>15.35</v>
      </c>
      <c r="AQ13" s="40">
        <f t="shared" si="17"/>
        <v>51.35</v>
      </c>
      <c r="AR13" s="40">
        <f t="shared" si="18"/>
        <v>2</v>
      </c>
      <c r="AS13" s="40">
        <f t="shared" si="19"/>
        <v>1.79</v>
      </c>
      <c r="AT13" s="40">
        <f t="shared" si="20"/>
        <v>6.19</v>
      </c>
      <c r="AU13" s="40">
        <f t="shared" si="21"/>
        <v>51.35</v>
      </c>
      <c r="AV13" s="40">
        <f t="shared" si="22"/>
        <v>10.3</v>
      </c>
      <c r="AW13" s="40">
        <f t="shared" si="23"/>
        <v>11.01</v>
      </c>
      <c r="AX13" s="40">
        <f t="shared" si="24"/>
        <v>36.709999999999994</v>
      </c>
      <c r="AY13" s="40">
        <f t="shared" si="25"/>
        <v>88.06</v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 t="shared" si="26"/>
        <v/>
      </c>
      <c r="BQ13" s="39" t="str">
        <f t="shared" si="27"/>
        <v/>
      </c>
      <c r="BR13" s="11" t="str">
        <f t="shared" si="28"/>
        <v/>
      </c>
      <c r="BS13" s="11" t="str">
        <f t="shared" si="29"/>
        <v/>
      </c>
      <c r="BT13" s="11" t="str">
        <f t="shared" si="30"/>
        <v/>
      </c>
      <c r="BU13" s="11" t="str">
        <f t="shared" si="31"/>
        <v/>
      </c>
      <c r="BV13" s="11" t="str">
        <f t="shared" si="32"/>
        <v/>
      </c>
      <c r="BW13" s="11" t="str">
        <f t="shared" si="33"/>
        <v/>
      </c>
      <c r="BX13" s="11" t="str">
        <f t="shared" si="34"/>
        <v/>
      </c>
      <c r="BY13" s="11" t="str">
        <f t="shared" si="35"/>
        <v/>
      </c>
      <c r="BZ13" s="11" t="str">
        <f t="shared" si="36"/>
        <v/>
      </c>
      <c r="CA13" s="22">
        <v>11.3</v>
      </c>
      <c r="CB13" s="22">
        <v>9.5</v>
      </c>
      <c r="CC13" s="22">
        <v>14.5</v>
      </c>
      <c r="CD13" s="22">
        <v>15.67</v>
      </c>
      <c r="CE13" s="22">
        <v>0</v>
      </c>
      <c r="CF13" s="22">
        <v>8.3000000000000007</v>
      </c>
      <c r="CG13" s="22">
        <v>6.2</v>
      </c>
      <c r="CH13" s="22">
        <v>10.4</v>
      </c>
      <c r="CI13" s="22">
        <v>11.31</v>
      </c>
      <c r="CJ13" s="22">
        <v>0</v>
      </c>
      <c r="CK13" s="22">
        <v>12.9</v>
      </c>
      <c r="CL13" s="22">
        <v>9.6999999999999993</v>
      </c>
      <c r="CM13" s="22">
        <v>14.9</v>
      </c>
      <c r="CN13" s="22">
        <v>16.41</v>
      </c>
      <c r="CO13" s="22">
        <v>0</v>
      </c>
      <c r="CP13" s="27"/>
      <c r="CQ13" s="38">
        <f t="shared" si="37"/>
        <v>14.5</v>
      </c>
      <c r="CR13" s="38">
        <f t="shared" si="38"/>
        <v>15.67</v>
      </c>
      <c r="CS13" s="40">
        <f t="shared" si="39"/>
        <v>50.97</v>
      </c>
      <c r="CT13" s="40">
        <f t="shared" si="40"/>
        <v>10.4</v>
      </c>
      <c r="CU13" s="40">
        <f t="shared" si="41"/>
        <v>11.31</v>
      </c>
      <c r="CV13" s="40">
        <f t="shared" si="42"/>
        <v>36.21</v>
      </c>
      <c r="CW13" s="40">
        <f t="shared" si="43"/>
        <v>50.97</v>
      </c>
      <c r="CX13" s="40">
        <f t="shared" si="44"/>
        <v>14.9</v>
      </c>
      <c r="CY13" s="40">
        <f t="shared" si="45"/>
        <v>16.41</v>
      </c>
      <c r="CZ13" s="40">
        <f t="shared" si="46"/>
        <v>53.91</v>
      </c>
      <c r="DA13" s="40">
        <f t="shared" si="47"/>
        <v>104.88</v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5.65</v>
      </c>
      <c r="SW13" s="22">
        <f t="shared" si="219"/>
        <v>4.75</v>
      </c>
      <c r="SX13" s="22">
        <f t="shared" si="220"/>
        <v>7.25</v>
      </c>
      <c r="SY13" s="22">
        <f t="shared" si="221"/>
        <v>7.835</v>
      </c>
      <c r="SZ13" s="22">
        <f t="shared" si="222"/>
        <v>0</v>
      </c>
      <c r="TA13" s="22">
        <f t="shared" si="223"/>
        <v>4.1500000000000004</v>
      </c>
      <c r="TB13" s="22">
        <f t="shared" si="224"/>
        <v>3.1</v>
      </c>
      <c r="TC13" s="22">
        <f t="shared" si="225"/>
        <v>5.2</v>
      </c>
      <c r="TD13" s="22">
        <f t="shared" si="226"/>
        <v>5.6550000000000002</v>
      </c>
      <c r="TE13" s="22">
        <f t="shared" si="227"/>
        <v>0</v>
      </c>
      <c r="TF13" s="22">
        <f t="shared" si="228"/>
        <v>6.45</v>
      </c>
      <c r="TG13" s="22">
        <f t="shared" si="229"/>
        <v>4.8499999999999996</v>
      </c>
      <c r="TH13" s="22">
        <f t="shared" si="230"/>
        <v>7.45</v>
      </c>
      <c r="TI13" s="22">
        <f t="shared" si="231"/>
        <v>8.2050000000000001</v>
      </c>
      <c r="TJ13" s="22">
        <f t="shared" si="232"/>
        <v>0</v>
      </c>
      <c r="TK13" s="27" t="s">
        <v>46</v>
      </c>
      <c r="TL13" s="40">
        <f t="shared" si="233"/>
        <v>7.25</v>
      </c>
      <c r="TM13" s="40">
        <f t="shared" si="234"/>
        <v>7.835</v>
      </c>
      <c r="TN13" s="40">
        <f t="shared" si="235"/>
        <v>25.484999999999999</v>
      </c>
      <c r="TO13" s="40">
        <f t="shared" si="236"/>
        <v>5.2</v>
      </c>
      <c r="TP13" s="40">
        <f t="shared" si="237"/>
        <v>5.6550000000000002</v>
      </c>
      <c r="TQ13" s="40">
        <f t="shared" si="238"/>
        <v>18.105</v>
      </c>
      <c r="TR13" s="40">
        <f t="shared" si="239"/>
        <v>25.484999999999999</v>
      </c>
      <c r="TS13" s="40">
        <f t="shared" si="240"/>
        <v>7.45</v>
      </c>
      <c r="TT13" s="40">
        <f t="shared" si="241"/>
        <v>8.2050000000000001</v>
      </c>
      <c r="TU13" s="40">
        <f t="shared" si="242"/>
        <v>26.954999999999998</v>
      </c>
      <c r="TV13" s="40">
        <f t="shared" si="243"/>
        <v>52.44</v>
      </c>
    </row>
    <row r="14" spans="1:542" x14ac:dyDescent="0.2">
      <c r="A14" s="4" t="str" cm="1">
        <f t="array" ref="A14">IF(AND(J14&lt;&gt;"",J14&lt;&gt;"No DD"),SUMPRODUCT((J$4:J$39&lt;&gt;"")*(J$4:J$39&lt;&gt;"No DD")*(F$4:F$39&gt;F14))+1,IF(J14="No DD",SUMPRODUCT((J$4:J$39="No DD")*(F$4:F$39&gt;F14))+1+SUMPRODUCT((J$4:J$39&lt;&gt;"")*(J$4:J$39&lt;&gt;"No DD")),""))</f>
        <v/>
      </c>
      <c r="B14" s="4" t="str" cm="1">
        <f t="array" ref="B14">IF(AND(J14&lt;&gt;"",J14&lt;&gt;"No DD",G14=""),SUMPRODUCT((J$4:J$39&lt;&gt;"")*(J$4:J$39&lt;&gt;"No DD")*(G$4:G$39="")*(F$4:F$39&gt;F14))+1,IF(J14="No DD",SUMPRODUCT((J$4:J$39="No DD")*(F$4:F$39&gt;F14)*(G$4:G$39=""))+1+SUMPRODUCT((J$4:J$39&lt;&gt;"")*(G$4:G$39="")*(J$4:J$39&lt;&gt;"No DD")),""))</f>
        <v/>
      </c>
      <c r="C14" s="5" t="s">
        <v>127</v>
      </c>
      <c r="D14" s="4" t="s">
        <v>5</v>
      </c>
      <c r="E14" s="4">
        <v>2006</v>
      </c>
      <c r="F14" s="9">
        <f t="shared" si="0"/>
        <v>181.81001818100515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51.349999999999994</v>
      </c>
      <c r="M14" s="8" t="str">
        <f t="shared" si="5"/>
        <v>2024 Nationals</v>
      </c>
      <c r="N14" s="8">
        <f>IF(COUNT(AQ14,AT14,BR14,BU14,CS14,CV14)&gt;1,LARGE((AQ14,AT14,BR14,BU14,CS14,CV14),2),0)</f>
        <v>51.33</v>
      </c>
      <c r="O14" s="8" t="str">
        <f t="shared" si="6"/>
        <v>2025 Elite Canada</v>
      </c>
      <c r="P14" s="8">
        <f>IF(COUNT(AQ14,AT14,BR14,BU14,CS14,CV14)&gt;2,MAX(AX14,BY14,CZ14,LARGE((AQ14,AT14,BR14,BU14,CS14,CV14),3)),IF(MAX(AX14,BY14,CZ14)&gt;0,MAX(AX14,BY14,CZ14),0))</f>
        <v>51.28</v>
      </c>
      <c r="Q14" s="8" t="str">
        <f t="shared" si="7"/>
        <v>2025 Elite Canada</v>
      </c>
      <c r="R14" s="8">
        <f t="shared" si="8"/>
        <v>13.8</v>
      </c>
      <c r="S14" s="8" t="str">
        <f t="shared" si="9"/>
        <v>2025 Elite Canada</v>
      </c>
      <c r="T14" s="8">
        <f t="shared" si="10"/>
        <v>14.05</v>
      </c>
      <c r="U14" s="8" t="str">
        <f t="shared" si="11"/>
        <v>2024 Nationals</v>
      </c>
      <c r="V14" s="8" t="str">
        <f t="shared" si="12"/>
        <v/>
      </c>
      <c r="W14" s="11" t="str">
        <f t="shared" si="13"/>
        <v/>
      </c>
      <c r="X14" s="8" t="str">
        <f t="shared" si="14"/>
        <v/>
      </c>
      <c r="Y14" s="22">
        <v>13.8</v>
      </c>
      <c r="Z14" s="22">
        <v>9.3000000000000007</v>
      </c>
      <c r="AA14" s="22">
        <v>12.8</v>
      </c>
      <c r="AB14" s="22">
        <v>14.14</v>
      </c>
      <c r="AC14" s="22">
        <v>0</v>
      </c>
      <c r="AD14" s="22">
        <v>14.2</v>
      </c>
      <c r="AE14" s="22">
        <v>9.5</v>
      </c>
      <c r="AF14" s="22">
        <v>13.6</v>
      </c>
      <c r="AG14" s="22">
        <v>14.05</v>
      </c>
      <c r="AH14" s="22">
        <v>0</v>
      </c>
      <c r="AI14" s="22">
        <v>4.4000000000000004</v>
      </c>
      <c r="AJ14" s="22">
        <v>2.8</v>
      </c>
      <c r="AK14" s="22">
        <v>4.5</v>
      </c>
      <c r="AL14" s="22">
        <v>4.42</v>
      </c>
      <c r="AM14" s="22">
        <v>0</v>
      </c>
      <c r="AN14" s="27"/>
      <c r="AO14" s="38">
        <f t="shared" si="15"/>
        <v>12.8</v>
      </c>
      <c r="AP14" s="38">
        <f t="shared" si="16"/>
        <v>14.14</v>
      </c>
      <c r="AQ14" s="40">
        <f t="shared" si="17"/>
        <v>50.040000000000006</v>
      </c>
      <c r="AR14" s="40">
        <f t="shared" si="18"/>
        <v>13.6</v>
      </c>
      <c r="AS14" s="40">
        <f t="shared" si="19"/>
        <v>14.05</v>
      </c>
      <c r="AT14" s="40">
        <f t="shared" si="20"/>
        <v>51.349999999999994</v>
      </c>
      <c r="AU14" s="40">
        <f t="shared" si="21"/>
        <v>51.349999999999994</v>
      </c>
      <c r="AV14" s="40">
        <f t="shared" si="22"/>
        <v>4.5</v>
      </c>
      <c r="AW14" s="40">
        <f t="shared" si="23"/>
        <v>4.42</v>
      </c>
      <c r="AX14" s="40">
        <f t="shared" si="24"/>
        <v>16.119999999999997</v>
      </c>
      <c r="AY14" s="40">
        <f t="shared" si="25"/>
        <v>67.47</v>
      </c>
      <c r="AZ14" s="26">
        <v>14.8</v>
      </c>
      <c r="BA14" s="26">
        <v>9.1</v>
      </c>
      <c r="BB14" s="26">
        <v>11.2</v>
      </c>
      <c r="BC14" s="26">
        <v>14.33</v>
      </c>
      <c r="BD14" s="26">
        <v>0</v>
      </c>
      <c r="BE14" s="26">
        <v>11.7</v>
      </c>
      <c r="BF14" s="26">
        <v>8.9</v>
      </c>
      <c r="BG14" s="26">
        <v>10.7</v>
      </c>
      <c r="BH14" s="26">
        <v>14.38</v>
      </c>
      <c r="BI14" s="26">
        <v>0</v>
      </c>
      <c r="BJ14" s="26">
        <v>4.2</v>
      </c>
      <c r="BK14" s="26">
        <v>2.8</v>
      </c>
      <c r="BL14" s="26">
        <v>4</v>
      </c>
      <c r="BM14" s="26">
        <v>4.63</v>
      </c>
      <c r="BN14" s="26">
        <v>0</v>
      </c>
      <c r="BO14" s="28"/>
      <c r="BP14" s="39">
        <f t="shared" si="26"/>
        <v>11.2</v>
      </c>
      <c r="BQ14" s="39">
        <f t="shared" si="27"/>
        <v>14.33</v>
      </c>
      <c r="BR14" s="11">
        <f t="shared" si="28"/>
        <v>49.429999999999993</v>
      </c>
      <c r="BS14" s="11">
        <f t="shared" si="29"/>
        <v>10.7</v>
      </c>
      <c r="BT14" s="11">
        <f t="shared" si="30"/>
        <v>14.38</v>
      </c>
      <c r="BU14" s="11">
        <f t="shared" si="31"/>
        <v>45.68</v>
      </c>
      <c r="BV14" s="11">
        <f t="shared" si="32"/>
        <v>49.429999999999993</v>
      </c>
      <c r="BW14" s="11">
        <f t="shared" si="33"/>
        <v>4</v>
      </c>
      <c r="BX14" s="11">
        <f t="shared" si="34"/>
        <v>4.63</v>
      </c>
      <c r="BY14" s="11">
        <f t="shared" si="35"/>
        <v>15.629999999999999</v>
      </c>
      <c r="BZ14" s="11">
        <f t="shared" si="36"/>
        <v>65.059999999999988</v>
      </c>
      <c r="CA14" s="22">
        <v>11.9</v>
      </c>
      <c r="CB14" s="22">
        <v>9</v>
      </c>
      <c r="CC14" s="22">
        <v>12.6</v>
      </c>
      <c r="CD14" s="22">
        <v>13.67</v>
      </c>
      <c r="CE14" s="22">
        <v>0</v>
      </c>
      <c r="CF14" s="22">
        <v>13.8</v>
      </c>
      <c r="CG14" s="22">
        <v>9.5</v>
      </c>
      <c r="CH14" s="22">
        <v>13.8</v>
      </c>
      <c r="CI14" s="22">
        <v>14.23</v>
      </c>
      <c r="CJ14" s="22">
        <v>0</v>
      </c>
      <c r="CK14" s="22">
        <v>13.5</v>
      </c>
      <c r="CL14" s="22">
        <v>9.5</v>
      </c>
      <c r="CM14" s="22">
        <v>13.8</v>
      </c>
      <c r="CN14" s="22">
        <v>14.48</v>
      </c>
      <c r="CO14" s="22">
        <v>0</v>
      </c>
      <c r="CP14" s="27"/>
      <c r="CQ14" s="38">
        <f t="shared" si="37"/>
        <v>12.6</v>
      </c>
      <c r="CR14" s="38">
        <f t="shared" si="38"/>
        <v>13.67</v>
      </c>
      <c r="CS14" s="40">
        <f t="shared" si="39"/>
        <v>47.17</v>
      </c>
      <c r="CT14" s="40">
        <f t="shared" si="40"/>
        <v>13.8</v>
      </c>
      <c r="CU14" s="40">
        <f t="shared" si="41"/>
        <v>14.23</v>
      </c>
      <c r="CV14" s="40">
        <f t="shared" si="42"/>
        <v>51.33</v>
      </c>
      <c r="CW14" s="40">
        <f t="shared" si="43"/>
        <v>51.33</v>
      </c>
      <c r="CX14" s="40">
        <f t="shared" si="44"/>
        <v>13.8</v>
      </c>
      <c r="CY14" s="40">
        <f t="shared" si="45"/>
        <v>14.48</v>
      </c>
      <c r="CZ14" s="40">
        <f t="shared" si="46"/>
        <v>51.28</v>
      </c>
      <c r="DA14" s="40">
        <f t="shared" si="47"/>
        <v>102.61</v>
      </c>
      <c r="DB14" s="50" t="str">
        <f t="shared" si="48"/>
        <v/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 t="str">
        <f t="shared" si="91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13.350000000000001</v>
      </c>
      <c r="SW14" s="22">
        <f t="shared" si="219"/>
        <v>9.0500000000000007</v>
      </c>
      <c r="SX14" s="22">
        <f t="shared" si="220"/>
        <v>11.899999999999999</v>
      </c>
      <c r="SY14" s="22">
        <f t="shared" si="221"/>
        <v>14</v>
      </c>
      <c r="SZ14" s="22">
        <f t="shared" si="222"/>
        <v>0</v>
      </c>
      <c r="TA14" s="22">
        <f t="shared" si="223"/>
        <v>12.75</v>
      </c>
      <c r="TB14" s="22">
        <f t="shared" si="224"/>
        <v>9.1999999999999993</v>
      </c>
      <c r="TC14" s="22">
        <f t="shared" si="225"/>
        <v>12.25</v>
      </c>
      <c r="TD14" s="22">
        <f t="shared" si="226"/>
        <v>14.305</v>
      </c>
      <c r="TE14" s="22">
        <f t="shared" si="227"/>
        <v>0</v>
      </c>
      <c r="TF14" s="22">
        <f t="shared" si="228"/>
        <v>8.85</v>
      </c>
      <c r="TG14" s="22">
        <f t="shared" si="229"/>
        <v>6.15</v>
      </c>
      <c r="TH14" s="22">
        <f t="shared" si="230"/>
        <v>8.9</v>
      </c>
      <c r="TI14" s="22">
        <f t="shared" si="231"/>
        <v>9.5549999999999997</v>
      </c>
      <c r="TJ14" s="22">
        <f t="shared" si="232"/>
        <v>0</v>
      </c>
      <c r="TK14" s="27" t="s">
        <v>46</v>
      </c>
      <c r="TL14" s="40">
        <f t="shared" si="233"/>
        <v>11.899999999999999</v>
      </c>
      <c r="TM14" s="40">
        <f t="shared" si="234"/>
        <v>14</v>
      </c>
      <c r="TN14" s="40">
        <f t="shared" si="235"/>
        <v>48.3</v>
      </c>
      <c r="TO14" s="40">
        <f t="shared" si="236"/>
        <v>12.25</v>
      </c>
      <c r="TP14" s="40">
        <f t="shared" si="237"/>
        <v>14.305</v>
      </c>
      <c r="TQ14" s="40">
        <f t="shared" si="238"/>
        <v>48.505000000000003</v>
      </c>
      <c r="TR14" s="40">
        <f t="shared" si="239"/>
        <v>48.505000000000003</v>
      </c>
      <c r="TS14" s="40">
        <f t="shared" si="240"/>
        <v>8.9</v>
      </c>
      <c r="TT14" s="40">
        <f t="shared" si="241"/>
        <v>9.5549999999999997</v>
      </c>
      <c r="TU14" s="40">
        <f t="shared" si="242"/>
        <v>33.454999999999998</v>
      </c>
      <c r="TV14" s="40">
        <f t="shared" si="243"/>
        <v>81.960000000000008</v>
      </c>
    </row>
    <row r="15" spans="1:542" x14ac:dyDescent="0.2">
      <c r="A15" s="4" t="str" cm="1">
        <f t="array" ref="A15">IF(AND(J15&lt;&gt;"",J15&lt;&gt;"No DD"),SUMPRODUCT((J$4:J$39&lt;&gt;"")*(J$4:J$39&lt;&gt;"No DD")*(F$4:F$39&gt;F15))+1,IF(J15="No DD",SUMPRODUCT((J$4:J$39="No DD")*(F$4:F$39&gt;F15))+1+SUMPRODUCT((J$4:J$39&lt;&gt;"")*(J$4:J$39&lt;&gt;"No DD")),""))</f>
        <v/>
      </c>
      <c r="B15" s="4" t="str" cm="1">
        <f t="array" ref="B15">IF(AND(J15&lt;&gt;"",J15&lt;&gt;"No DD",G15=""),SUMPRODUCT((J$4:J$39&lt;&gt;"")*(J$4:J$39&lt;&gt;"No DD")*(G$4:G$39="")*(F$4:F$39&gt;F15))+1,IF(J15="No DD",SUMPRODUCT((J$4:J$39="No DD")*(F$4:F$39&gt;F15)*(G$4:G$39=""))+1+SUMPRODUCT((J$4:J$39&lt;&gt;"")*(G$4:G$39="")*(J$4:J$39&lt;&gt;"No DD")),""))</f>
        <v/>
      </c>
      <c r="C15" s="5" t="s">
        <v>98</v>
      </c>
      <c r="D15" s="4" t="s">
        <v>5</v>
      </c>
      <c r="E15" s="4">
        <v>2005</v>
      </c>
      <c r="F15" s="9">
        <f t="shared" si="0"/>
        <v>181.3100172600052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52.05</v>
      </c>
      <c r="M15" s="8" t="str">
        <f t="shared" si="5"/>
        <v>2025 Elite Canada</v>
      </c>
      <c r="N15" s="8">
        <f>IF(COUNT(AQ15,AT15,BR15,BU15,CS15,CV15)&gt;1,LARGE((AQ15,AT15,BR15,BU15,CS15,CV15),2),0)</f>
        <v>41.67</v>
      </c>
      <c r="O15" s="8" t="str">
        <f t="shared" si="6"/>
        <v>2024 Nationals</v>
      </c>
      <c r="P15" s="8">
        <f>IF(COUNT(AQ15,AT15,BR15,BU15,CS15,CV15)&gt;2,MAX(AX15,BY15,CZ15,LARGE((AQ15,AT15,BR15,BU15,CS15,CV15),3)),IF(MAX(AX15,BY15,CZ15)&gt;0,MAX(AX15,BY15,CZ15),0))</f>
        <v>48.230000000000004</v>
      </c>
      <c r="Q15" s="8" t="str">
        <f t="shared" si="7"/>
        <v>2025 Elite Canada</v>
      </c>
      <c r="R15" s="8">
        <f t="shared" si="8"/>
        <v>14.9</v>
      </c>
      <c r="S15" s="8" t="str">
        <f t="shared" si="9"/>
        <v>2025 Elite Canada</v>
      </c>
      <c r="T15" s="8">
        <f t="shared" si="10"/>
        <v>15.75</v>
      </c>
      <c r="U15" s="8" t="str">
        <f t="shared" si="11"/>
        <v>2025 Elite Canada</v>
      </c>
      <c r="V15" s="8">
        <f t="shared" si="12"/>
        <v>8.7100000000000009</v>
      </c>
      <c r="W15" s="11" t="str">
        <f t="shared" si="13"/>
        <v>(Optional)</v>
      </c>
      <c r="X15" s="8" t="str">
        <f t="shared" si="14"/>
        <v>2024 Coimbra Gym Fest (July 7)</v>
      </c>
      <c r="Y15" s="22">
        <v>11.7</v>
      </c>
      <c r="Z15" s="22">
        <v>7.3</v>
      </c>
      <c r="AA15" s="22">
        <v>10.4</v>
      </c>
      <c r="AB15" s="22">
        <v>12.27</v>
      </c>
      <c r="AC15" s="22">
        <v>0</v>
      </c>
      <c r="AD15" s="22">
        <v>5.6</v>
      </c>
      <c r="AE15" s="22">
        <v>3.8</v>
      </c>
      <c r="AF15" s="22">
        <v>5.2</v>
      </c>
      <c r="AG15" s="22">
        <v>6.16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5"/>
        <v>10.4</v>
      </c>
      <c r="AP15" s="38">
        <f t="shared" si="16"/>
        <v>12.27</v>
      </c>
      <c r="AQ15" s="40">
        <f t="shared" si="17"/>
        <v>41.67</v>
      </c>
      <c r="AR15" s="40">
        <f t="shared" si="18"/>
        <v>5.2</v>
      </c>
      <c r="AS15" s="40">
        <f t="shared" si="19"/>
        <v>6.16</v>
      </c>
      <c r="AT15" s="40">
        <f t="shared" si="20"/>
        <v>20.759999999999998</v>
      </c>
      <c r="AU15" s="40">
        <f t="shared" si="21"/>
        <v>41.67</v>
      </c>
      <c r="AV15" s="40" t="str">
        <f t="shared" si="22"/>
        <v/>
      </c>
      <c r="AW15" s="40" t="str">
        <f t="shared" si="23"/>
        <v/>
      </c>
      <c r="AX15" s="40" t="str">
        <f t="shared" si="24"/>
        <v/>
      </c>
      <c r="AY15" s="40">
        <f t="shared" si="25"/>
        <v>41.67</v>
      </c>
      <c r="AZ15" s="26">
        <v>10</v>
      </c>
      <c r="BA15" s="26">
        <v>6.4</v>
      </c>
      <c r="BB15" s="26">
        <v>8.1999999999999993</v>
      </c>
      <c r="BC15" s="26">
        <v>10.86</v>
      </c>
      <c r="BD15" s="26">
        <v>0</v>
      </c>
      <c r="BE15" s="26">
        <v>4.3</v>
      </c>
      <c r="BF15" s="26">
        <v>2.2999999999999998</v>
      </c>
      <c r="BG15" s="26">
        <v>12.5</v>
      </c>
      <c r="BH15" s="26">
        <v>5.15</v>
      </c>
      <c r="BI15" s="26">
        <v>0</v>
      </c>
      <c r="BJ15" s="26"/>
      <c r="BK15" s="26"/>
      <c r="BL15" s="26"/>
      <c r="BM15" s="26"/>
      <c r="BN15" s="26"/>
      <c r="BO15" s="28"/>
      <c r="BP15" s="39">
        <f t="shared" si="26"/>
        <v>8.1999999999999993</v>
      </c>
      <c r="BQ15" s="39">
        <f t="shared" si="27"/>
        <v>10.86</v>
      </c>
      <c r="BR15" s="11">
        <f t="shared" si="28"/>
        <v>35.459999999999994</v>
      </c>
      <c r="BS15" s="11">
        <f t="shared" si="29"/>
        <v>12.5</v>
      </c>
      <c r="BT15" s="11">
        <f t="shared" si="30"/>
        <v>5.15</v>
      </c>
      <c r="BU15" s="11">
        <f t="shared" si="31"/>
        <v>24.25</v>
      </c>
      <c r="BV15" s="11">
        <f t="shared" si="32"/>
        <v>35.459999999999994</v>
      </c>
      <c r="BW15" s="11" t="str">
        <f t="shared" si="33"/>
        <v/>
      </c>
      <c r="BX15" s="11" t="str">
        <f t="shared" si="34"/>
        <v/>
      </c>
      <c r="BY15" s="11" t="str">
        <f t="shared" si="35"/>
        <v/>
      </c>
      <c r="BZ15" s="11">
        <f t="shared" si="36"/>
        <v>35.459999999999994</v>
      </c>
      <c r="CA15" s="22">
        <v>11.8</v>
      </c>
      <c r="CB15" s="22">
        <v>9.6</v>
      </c>
      <c r="CC15" s="22">
        <v>14.9</v>
      </c>
      <c r="CD15" s="22">
        <v>15.75</v>
      </c>
      <c r="CE15" s="22">
        <v>0</v>
      </c>
      <c r="CF15" s="22">
        <v>2.7</v>
      </c>
      <c r="CG15" s="22">
        <v>1.8</v>
      </c>
      <c r="CH15" s="22">
        <v>3.3</v>
      </c>
      <c r="CI15" s="22">
        <v>3.33</v>
      </c>
      <c r="CJ15" s="22">
        <v>0</v>
      </c>
      <c r="CK15" s="22">
        <v>12.3</v>
      </c>
      <c r="CL15" s="22">
        <v>8.4</v>
      </c>
      <c r="CM15" s="22">
        <v>13.2</v>
      </c>
      <c r="CN15" s="22">
        <v>14.33</v>
      </c>
      <c r="CO15" s="22">
        <v>0</v>
      </c>
      <c r="CP15" s="27"/>
      <c r="CQ15" s="38">
        <f t="shared" si="37"/>
        <v>14.9</v>
      </c>
      <c r="CR15" s="38">
        <f t="shared" si="38"/>
        <v>15.75</v>
      </c>
      <c r="CS15" s="40">
        <f t="shared" si="39"/>
        <v>52.05</v>
      </c>
      <c r="CT15" s="40">
        <f t="shared" si="40"/>
        <v>3.3</v>
      </c>
      <c r="CU15" s="40">
        <f t="shared" si="41"/>
        <v>3.33</v>
      </c>
      <c r="CV15" s="40">
        <f t="shared" si="42"/>
        <v>11.129999999999999</v>
      </c>
      <c r="CW15" s="40">
        <f t="shared" si="43"/>
        <v>52.05</v>
      </c>
      <c r="CX15" s="40">
        <f t="shared" si="44"/>
        <v>13.2</v>
      </c>
      <c r="CY15" s="40">
        <f t="shared" si="45"/>
        <v>14.33</v>
      </c>
      <c r="CZ15" s="40">
        <f t="shared" si="46"/>
        <v>48.230000000000004</v>
      </c>
      <c r="DA15" s="40">
        <f t="shared" si="47"/>
        <v>100.28</v>
      </c>
      <c r="DB15" s="50">
        <f t="shared" si="48"/>
        <v>8.7100000000000009</v>
      </c>
      <c r="DC15" s="50">
        <f t="shared" si="49"/>
        <v>3.7800000000000011</v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>
        <v>12.9</v>
      </c>
      <c r="HC15" s="18">
        <v>9.5</v>
      </c>
      <c r="HD15" s="18">
        <v>12.8</v>
      </c>
      <c r="HE15" s="18">
        <v>15.18</v>
      </c>
      <c r="HF15" s="18">
        <v>0</v>
      </c>
      <c r="HG15" s="18">
        <v>13.7</v>
      </c>
      <c r="HH15" s="18">
        <v>8.6999999999999993</v>
      </c>
      <c r="HI15" s="18">
        <v>12.5</v>
      </c>
      <c r="HJ15" s="18">
        <v>14.91</v>
      </c>
      <c r="HK15" s="18">
        <v>0</v>
      </c>
      <c r="HL15" s="18">
        <v>13.7</v>
      </c>
      <c r="HM15" s="18">
        <v>9.1999999999999993</v>
      </c>
      <c r="HN15" s="18">
        <v>13.3</v>
      </c>
      <c r="HO15" s="18">
        <v>15.33</v>
      </c>
      <c r="HP15" s="18">
        <v>0</v>
      </c>
      <c r="HQ15" s="18">
        <v>13.9</v>
      </c>
      <c r="HR15" s="18">
        <v>9.1999999999999993</v>
      </c>
      <c r="HS15" s="18">
        <v>13.3</v>
      </c>
      <c r="HT15" s="18">
        <v>15.61</v>
      </c>
      <c r="HU15" s="18">
        <v>0</v>
      </c>
      <c r="HV15" s="11">
        <f t="shared" si="92"/>
        <v>12.8</v>
      </c>
      <c r="HW15" s="11">
        <f t="shared" si="93"/>
        <v>15.18</v>
      </c>
      <c r="HX15" s="11">
        <f t="shared" si="94"/>
        <v>50.38</v>
      </c>
      <c r="HY15" s="11">
        <f t="shared" si="95"/>
        <v>12.5</v>
      </c>
      <c r="HZ15" s="11">
        <f t="shared" si="96"/>
        <v>14.91</v>
      </c>
      <c r="IA15" s="11">
        <f t="shared" si="97"/>
        <v>49.81</v>
      </c>
      <c r="IB15" s="11">
        <f t="shared" si="98"/>
        <v>50.38</v>
      </c>
      <c r="IC15" s="11">
        <f t="shared" si="99"/>
        <v>13.3</v>
      </c>
      <c r="ID15" s="11">
        <f t="shared" si="100"/>
        <v>15.33</v>
      </c>
      <c r="IE15" s="11">
        <f t="shared" si="101"/>
        <v>51.53</v>
      </c>
      <c r="IF15" s="11">
        <f t="shared" si="102"/>
        <v>13.3</v>
      </c>
      <c r="IG15" s="11">
        <f t="shared" si="103"/>
        <v>15.61</v>
      </c>
      <c r="IH15" s="11">
        <f t="shared" si="104"/>
        <v>52.010000000000005</v>
      </c>
      <c r="II15" s="11">
        <f t="shared" si="105"/>
        <v>153.92000000000002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10.9</v>
      </c>
      <c r="SW15" s="22">
        <f t="shared" si="219"/>
        <v>8</v>
      </c>
      <c r="SX15" s="22">
        <f t="shared" si="220"/>
        <v>11.55</v>
      </c>
      <c r="SY15" s="22">
        <f t="shared" si="221"/>
        <v>13.305</v>
      </c>
      <c r="SZ15" s="22">
        <f t="shared" si="222"/>
        <v>0</v>
      </c>
      <c r="TA15" s="22">
        <f t="shared" si="223"/>
        <v>3.5</v>
      </c>
      <c r="TB15" s="22">
        <f t="shared" si="224"/>
        <v>2.0499999999999998</v>
      </c>
      <c r="TC15" s="22">
        <f t="shared" si="225"/>
        <v>7.9</v>
      </c>
      <c r="TD15" s="22">
        <f t="shared" si="226"/>
        <v>4.24</v>
      </c>
      <c r="TE15" s="22">
        <f t="shared" si="227"/>
        <v>0</v>
      </c>
      <c r="TF15" s="22">
        <f t="shared" si="228"/>
        <v>6.15</v>
      </c>
      <c r="TG15" s="22">
        <f t="shared" si="229"/>
        <v>4.2</v>
      </c>
      <c r="TH15" s="22">
        <f t="shared" si="230"/>
        <v>6.6</v>
      </c>
      <c r="TI15" s="22">
        <f t="shared" si="231"/>
        <v>7.165</v>
      </c>
      <c r="TJ15" s="22">
        <f t="shared" si="232"/>
        <v>0</v>
      </c>
      <c r="TK15" s="27" t="s">
        <v>46</v>
      </c>
      <c r="TL15" s="40">
        <f t="shared" si="233"/>
        <v>11.55</v>
      </c>
      <c r="TM15" s="40">
        <f t="shared" si="234"/>
        <v>13.305</v>
      </c>
      <c r="TN15" s="40">
        <f t="shared" si="235"/>
        <v>43.754999999999995</v>
      </c>
      <c r="TO15" s="40">
        <f t="shared" si="236"/>
        <v>7.9</v>
      </c>
      <c r="TP15" s="40">
        <f t="shared" si="237"/>
        <v>4.24</v>
      </c>
      <c r="TQ15" s="40">
        <f t="shared" si="238"/>
        <v>17.689999999999998</v>
      </c>
      <c r="TR15" s="40">
        <f t="shared" si="239"/>
        <v>43.754999999999995</v>
      </c>
      <c r="TS15" s="40">
        <f t="shared" si="240"/>
        <v>6.6</v>
      </c>
      <c r="TT15" s="40">
        <f t="shared" si="241"/>
        <v>7.165</v>
      </c>
      <c r="TU15" s="40">
        <f t="shared" si="242"/>
        <v>24.115000000000002</v>
      </c>
      <c r="TV15" s="40">
        <f t="shared" si="243"/>
        <v>67.87</v>
      </c>
    </row>
    <row r="16" spans="1:542" x14ac:dyDescent="0.2">
      <c r="A16" s="4" t="str" cm="1">
        <f t="array" ref="A16">IF(AND(J16&lt;&gt;"",J16&lt;&gt;"No DD"),SUMPRODUCT((J$4:J$39&lt;&gt;"")*(J$4:J$39&lt;&gt;"No DD")*(F$4:F$39&gt;F16))+1,IF(J16="No DD",SUMPRODUCT((J$4:J$39="No DD")*(F$4:F$39&gt;F16))+1+SUMPRODUCT((J$4:J$39&lt;&gt;"")*(J$4:J$39&lt;&gt;"No DD")),""))</f>
        <v/>
      </c>
      <c r="B16" s="4" t="str" cm="1">
        <f t="array" ref="B16">IF(AND(J16&lt;&gt;"",J16&lt;&gt;"No DD",G16=""),SUMPRODUCT((J$4:J$39&lt;&gt;"")*(J$4:J$39&lt;&gt;"No DD")*(G$4:G$39="")*(F$4:F$39&gt;F16))+1,IF(J16="No DD",SUMPRODUCT((J$4:J$39="No DD")*(F$4:F$39&gt;F16)*(G$4:G$39=""))+1+SUMPRODUCT((J$4:J$39&lt;&gt;"")*(G$4:G$39="")*(J$4:J$39&lt;&gt;"No DD")),""))</f>
        <v/>
      </c>
      <c r="C16" s="5" t="s">
        <v>206</v>
      </c>
      <c r="D16" s="4" t="s">
        <v>4</v>
      </c>
      <c r="E16" s="4">
        <v>2008</v>
      </c>
      <c r="F16" s="9">
        <f t="shared" si="0"/>
        <v>180.180017650005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49.97</v>
      </c>
      <c r="M16" s="8" t="str">
        <f t="shared" si="5"/>
        <v>2025 Elite Canada</v>
      </c>
      <c r="N16" s="8">
        <f>IF(COUNT(AQ16,AT16,BR16,BU16,CS16,CV16)&gt;1,LARGE((AQ16,AT16,BR16,BU16,CS16,CV16),2),0)</f>
        <v>45.25</v>
      </c>
      <c r="O16" s="8" t="str">
        <f t="shared" si="6"/>
        <v>2024 Nationals</v>
      </c>
      <c r="P16" s="8">
        <f>IF(COUNT(AQ16,AT16,BR16,BU16,CS16,CV16)&gt;2,MAX(AX16,BY16,CZ16,LARGE((AQ16,AT16,BR16,BU16,CS16,CV16),3)),IF(MAX(AX16,BY16,CZ16)&gt;0,MAX(AX16,BY16,CZ16),0))</f>
        <v>51.91</v>
      </c>
      <c r="Q16" s="8" t="str">
        <f t="shared" si="7"/>
        <v>2024 Nationals</v>
      </c>
      <c r="R16" s="8">
        <f t="shared" si="8"/>
        <v>14</v>
      </c>
      <c r="S16" s="8" t="str">
        <f t="shared" si="9"/>
        <v>2024 Nationals</v>
      </c>
      <c r="T16" s="8">
        <f t="shared" si="10"/>
        <v>15.37</v>
      </c>
      <c r="U16" s="8" t="str">
        <f t="shared" si="11"/>
        <v>2024 Nationals</v>
      </c>
      <c r="V16" s="8">
        <f t="shared" si="12"/>
        <v>3.6799999999999926</v>
      </c>
      <c r="W16" s="11" t="str">
        <f t="shared" si="13"/>
        <v>(Optional)</v>
      </c>
      <c r="X16" s="8" t="str">
        <f t="shared" si="14"/>
        <v>2024 Coimbra Gym Fest (July 7)</v>
      </c>
      <c r="Y16" s="22">
        <v>16.8</v>
      </c>
      <c r="Z16" s="22">
        <v>9.5</v>
      </c>
      <c r="AA16" s="22">
        <v>0</v>
      </c>
      <c r="AB16" s="22">
        <v>15.37</v>
      </c>
      <c r="AC16" s="22">
        <v>0</v>
      </c>
      <c r="AD16" s="22">
        <v>11.9</v>
      </c>
      <c r="AE16" s="22">
        <v>9.4</v>
      </c>
      <c r="AF16" s="22">
        <v>10.7</v>
      </c>
      <c r="AG16" s="22">
        <v>13.75</v>
      </c>
      <c r="AH16" s="22">
        <v>0.5</v>
      </c>
      <c r="AI16" s="22">
        <v>13.7</v>
      </c>
      <c r="AJ16" s="22">
        <v>9.3000000000000007</v>
      </c>
      <c r="AK16" s="22">
        <v>14</v>
      </c>
      <c r="AL16" s="22">
        <v>14.91</v>
      </c>
      <c r="AM16" s="22">
        <v>0</v>
      </c>
      <c r="AN16" s="27"/>
      <c r="AO16" s="38" t="str">
        <f t="shared" si="15"/>
        <v/>
      </c>
      <c r="AP16" s="38">
        <f t="shared" si="16"/>
        <v>15.37</v>
      </c>
      <c r="AQ16" s="40">
        <f t="shared" si="17"/>
        <v>41.67</v>
      </c>
      <c r="AR16" s="40">
        <f t="shared" si="18"/>
        <v>10.7</v>
      </c>
      <c r="AS16" s="40">
        <f t="shared" si="19"/>
        <v>13.75</v>
      </c>
      <c r="AT16" s="40">
        <f t="shared" si="20"/>
        <v>45.25</v>
      </c>
      <c r="AU16" s="40">
        <f t="shared" si="21"/>
        <v>45.25</v>
      </c>
      <c r="AV16" s="40">
        <f t="shared" si="22"/>
        <v>14</v>
      </c>
      <c r="AW16" s="40">
        <f t="shared" si="23"/>
        <v>14.91</v>
      </c>
      <c r="AX16" s="40">
        <f t="shared" si="24"/>
        <v>51.91</v>
      </c>
      <c r="AY16" s="40">
        <f t="shared" si="25"/>
        <v>97.16</v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 t="shared" si="26"/>
        <v/>
      </c>
      <c r="BQ16" s="39" t="str">
        <f t="shared" si="27"/>
        <v/>
      </c>
      <c r="BR16" s="11" t="str">
        <f t="shared" si="28"/>
        <v/>
      </c>
      <c r="BS16" s="11" t="str">
        <f t="shared" si="29"/>
        <v/>
      </c>
      <c r="BT16" s="11" t="str">
        <f t="shared" si="30"/>
        <v/>
      </c>
      <c r="BU16" s="11" t="str">
        <f t="shared" si="31"/>
        <v/>
      </c>
      <c r="BV16" s="11" t="str">
        <f t="shared" si="32"/>
        <v/>
      </c>
      <c r="BW16" s="11" t="str">
        <f t="shared" si="33"/>
        <v/>
      </c>
      <c r="BX16" s="11" t="str">
        <f t="shared" si="34"/>
        <v/>
      </c>
      <c r="BY16" s="11" t="str">
        <f t="shared" si="35"/>
        <v/>
      </c>
      <c r="BZ16" s="11" t="str">
        <f t="shared" si="36"/>
        <v/>
      </c>
      <c r="CA16" s="22">
        <v>13.3</v>
      </c>
      <c r="CB16" s="22">
        <v>9.1</v>
      </c>
      <c r="CC16" s="22">
        <v>12.9</v>
      </c>
      <c r="CD16" s="22">
        <v>14.67</v>
      </c>
      <c r="CE16" s="22">
        <v>0</v>
      </c>
      <c r="CF16" s="22">
        <v>5.8</v>
      </c>
      <c r="CG16" s="22">
        <v>3.9</v>
      </c>
      <c r="CH16" s="22">
        <v>5.2</v>
      </c>
      <c r="CI16" s="22">
        <v>6.03</v>
      </c>
      <c r="CJ16" s="22">
        <v>0</v>
      </c>
      <c r="CK16" s="22">
        <v>1.3</v>
      </c>
      <c r="CL16" s="22">
        <v>1</v>
      </c>
      <c r="CM16" s="22">
        <v>2</v>
      </c>
      <c r="CN16" s="22">
        <v>1.63</v>
      </c>
      <c r="CO16" s="22">
        <v>0.2</v>
      </c>
      <c r="CP16" s="27"/>
      <c r="CQ16" s="38">
        <f t="shared" si="37"/>
        <v>12.9</v>
      </c>
      <c r="CR16" s="38">
        <f t="shared" si="38"/>
        <v>14.67</v>
      </c>
      <c r="CS16" s="40">
        <f t="shared" si="39"/>
        <v>49.97</v>
      </c>
      <c r="CT16" s="40">
        <f t="shared" si="40"/>
        <v>5.2</v>
      </c>
      <c r="CU16" s="40">
        <f t="shared" si="41"/>
        <v>6.03</v>
      </c>
      <c r="CV16" s="40">
        <f t="shared" si="42"/>
        <v>20.93</v>
      </c>
      <c r="CW16" s="40">
        <f t="shared" si="43"/>
        <v>49.97</v>
      </c>
      <c r="CX16" s="40">
        <f t="shared" si="44"/>
        <v>2</v>
      </c>
      <c r="CY16" s="40">
        <f t="shared" si="45"/>
        <v>1.63</v>
      </c>
      <c r="CZ16" s="40">
        <f t="shared" si="46"/>
        <v>5.7299999999999995</v>
      </c>
      <c r="DA16" s="40">
        <f t="shared" si="47"/>
        <v>55.699999999999996</v>
      </c>
      <c r="DB16" s="50">
        <f t="shared" si="48"/>
        <v>3.6799999999999926</v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>
        <v>14.5</v>
      </c>
      <c r="HC16" s="18">
        <v>9.3000000000000007</v>
      </c>
      <c r="HD16" s="18">
        <v>0</v>
      </c>
      <c r="HE16" s="18">
        <v>15.19</v>
      </c>
      <c r="HF16" s="18">
        <v>0</v>
      </c>
      <c r="HG16" s="18">
        <v>12.2</v>
      </c>
      <c r="HH16" s="18">
        <v>9.1</v>
      </c>
      <c r="HI16" s="18">
        <v>13.4</v>
      </c>
      <c r="HJ16" s="18">
        <v>14.23</v>
      </c>
      <c r="HK16" s="18">
        <v>0</v>
      </c>
      <c r="HL16" s="18"/>
      <c r="HM16" s="18"/>
      <c r="HN16" s="18"/>
      <c r="HO16" s="18"/>
      <c r="HP16" s="18"/>
      <c r="HQ16" s="18">
        <v>2.6</v>
      </c>
      <c r="HR16" s="18">
        <v>1.7</v>
      </c>
      <c r="HS16" s="18">
        <v>3.2</v>
      </c>
      <c r="HT16" s="18">
        <v>3.16</v>
      </c>
      <c r="HU16" s="18">
        <v>0</v>
      </c>
      <c r="HV16" s="11" t="str">
        <f t="shared" si="92"/>
        <v/>
      </c>
      <c r="HW16" s="11">
        <f t="shared" si="93"/>
        <v>15.19</v>
      </c>
      <c r="HX16" s="11">
        <f t="shared" si="94"/>
        <v>38.99</v>
      </c>
      <c r="HY16" s="11">
        <f t="shared" si="95"/>
        <v>13.4</v>
      </c>
      <c r="HZ16" s="11">
        <f t="shared" si="96"/>
        <v>14.23</v>
      </c>
      <c r="IA16" s="11">
        <f t="shared" si="97"/>
        <v>48.929999999999993</v>
      </c>
      <c r="IB16" s="11">
        <f t="shared" si="98"/>
        <v>48.929999999999993</v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>
        <f t="shared" si="102"/>
        <v>3.2</v>
      </c>
      <c r="IG16" s="11">
        <f t="shared" si="103"/>
        <v>3.16</v>
      </c>
      <c r="IH16" s="11">
        <f t="shared" si="104"/>
        <v>10.66</v>
      </c>
      <c r="II16" s="11">
        <f t="shared" si="105"/>
        <v>59.589999999999989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6.65</v>
      </c>
      <c r="SW16" s="22">
        <f t="shared" si="219"/>
        <v>4.55</v>
      </c>
      <c r="SX16" s="22">
        <f t="shared" si="220"/>
        <v>6.45</v>
      </c>
      <c r="SY16" s="22">
        <f t="shared" si="221"/>
        <v>7.335</v>
      </c>
      <c r="SZ16" s="22">
        <f t="shared" si="222"/>
        <v>0</v>
      </c>
      <c r="TA16" s="22">
        <f t="shared" si="223"/>
        <v>2.9</v>
      </c>
      <c r="TB16" s="22">
        <f t="shared" si="224"/>
        <v>1.95</v>
      </c>
      <c r="TC16" s="22">
        <f t="shared" si="225"/>
        <v>2.6</v>
      </c>
      <c r="TD16" s="22">
        <f t="shared" si="226"/>
        <v>3.0150000000000001</v>
      </c>
      <c r="TE16" s="22">
        <f t="shared" si="227"/>
        <v>0</v>
      </c>
      <c r="TF16" s="22">
        <f t="shared" si="228"/>
        <v>0.65</v>
      </c>
      <c r="TG16" s="22">
        <f t="shared" si="229"/>
        <v>0.5</v>
      </c>
      <c r="TH16" s="22">
        <f t="shared" si="230"/>
        <v>1</v>
      </c>
      <c r="TI16" s="22">
        <f t="shared" si="231"/>
        <v>0.81499999999999995</v>
      </c>
      <c r="TJ16" s="22">
        <f t="shared" si="232"/>
        <v>0.1</v>
      </c>
      <c r="TK16" s="27" t="s">
        <v>46</v>
      </c>
      <c r="TL16" s="40">
        <f t="shared" si="233"/>
        <v>6.45</v>
      </c>
      <c r="TM16" s="40">
        <f t="shared" si="234"/>
        <v>7.335</v>
      </c>
      <c r="TN16" s="40">
        <f t="shared" si="235"/>
        <v>24.984999999999999</v>
      </c>
      <c r="TO16" s="40">
        <f t="shared" si="236"/>
        <v>2.6</v>
      </c>
      <c r="TP16" s="40">
        <f t="shared" si="237"/>
        <v>3.0150000000000001</v>
      </c>
      <c r="TQ16" s="40">
        <f t="shared" si="238"/>
        <v>10.465</v>
      </c>
      <c r="TR16" s="40">
        <f t="shared" si="239"/>
        <v>24.984999999999999</v>
      </c>
      <c r="TS16" s="40">
        <f t="shared" si="240"/>
        <v>1</v>
      </c>
      <c r="TT16" s="40">
        <f t="shared" si="241"/>
        <v>0.81499999999999995</v>
      </c>
      <c r="TU16" s="40">
        <f t="shared" si="242"/>
        <v>2.8649999999999998</v>
      </c>
      <c r="TV16" s="40">
        <f t="shared" si="243"/>
        <v>27.849999999999998</v>
      </c>
    </row>
    <row r="17" spans="1:542" x14ac:dyDescent="0.2">
      <c r="A17" s="4" t="str" cm="1">
        <f t="array" ref="A17">IF(AND(J17&lt;&gt;"",J17&lt;&gt;"No DD"),SUMPRODUCT((J$4:J$39&lt;&gt;"")*(J$4:J$39&lt;&gt;"No DD")*(F$4:F$39&gt;F17))+1,IF(J17="No DD",SUMPRODUCT((J$4:J$39="No DD")*(F$4:F$39&gt;F17))+1+SUMPRODUCT((J$4:J$39&lt;&gt;"")*(J$4:J$39&lt;&gt;"No DD")),""))</f>
        <v/>
      </c>
      <c r="B17" s="4" t="str" cm="1">
        <f t="array" ref="B17">IF(AND(J17&lt;&gt;"",J17&lt;&gt;"No DD",G17=""),SUMPRODUCT((J$4:J$39&lt;&gt;"")*(J$4:J$39&lt;&gt;"No DD")*(G$4:G$39="")*(F$4:F$39&gt;F17))+1,IF(J17="No DD",SUMPRODUCT((J$4:J$39="No DD")*(F$4:F$39&gt;F17)*(G$4:G$39=""))+1+SUMPRODUCT((J$4:J$39&lt;&gt;"")*(G$4:G$39="")*(J$4:J$39&lt;&gt;"No DD")),""))</f>
        <v/>
      </c>
      <c r="C17" s="5" t="s">
        <v>134</v>
      </c>
      <c r="D17" s="4" t="s">
        <v>133</v>
      </c>
      <c r="E17" s="4">
        <v>2006</v>
      </c>
      <c r="F17" s="9">
        <f t="shared" si="0"/>
        <v>180.15001801500512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51.03</v>
      </c>
      <c r="M17" s="8" t="str">
        <f t="shared" si="5"/>
        <v>2024 3rd Domestic Trial</v>
      </c>
      <c r="N17" s="8">
        <f>IF(COUNT(AQ17,AT17,BR17,BU17,CS17,CV17)&gt;1,LARGE((AQ17,AT17,BR17,BU17,CS17,CV17),2),0)</f>
        <v>50.410000000000004</v>
      </c>
      <c r="O17" s="8" t="str">
        <f t="shared" si="6"/>
        <v>2024 3rd Domestic Trial</v>
      </c>
      <c r="P17" s="8">
        <f>IF(COUNT(AQ17,AT17,BR17,BU17,CS17,CV17)&gt;2,MAX(AX17,BY17,CZ17,LARGE((AQ17,AT17,BR17,BU17,CS17,CV17),3)),IF(MAX(AX17,BY17,CZ17)&gt;0,MAX(AX17,BY17,CZ17),0))</f>
        <v>49.580000000000005</v>
      </c>
      <c r="Q17" s="8" t="str">
        <f t="shared" si="7"/>
        <v>2024 3rd Domestic Trial</v>
      </c>
      <c r="R17" s="8">
        <f t="shared" si="8"/>
        <v>13.5</v>
      </c>
      <c r="S17" s="8" t="str">
        <f t="shared" si="9"/>
        <v>2024 3rd Domestic Trial</v>
      </c>
      <c r="T17" s="8">
        <f t="shared" si="10"/>
        <v>15.63</v>
      </c>
      <c r="U17" s="8" t="str">
        <f t="shared" si="11"/>
        <v>2024 3rd Domestic Trial</v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>
        <v>3.5</v>
      </c>
      <c r="Z17" s="22">
        <v>2.6</v>
      </c>
      <c r="AA17" s="22">
        <v>4.4000000000000004</v>
      </c>
      <c r="AB17" s="22">
        <v>4.55</v>
      </c>
      <c r="AC17" s="22">
        <v>0</v>
      </c>
      <c r="AD17" s="22">
        <v>8.6</v>
      </c>
      <c r="AE17" s="22">
        <v>7.2</v>
      </c>
      <c r="AF17" s="22">
        <v>8</v>
      </c>
      <c r="AG17" s="22">
        <v>11.51</v>
      </c>
      <c r="AH17" s="22">
        <v>0</v>
      </c>
      <c r="AI17" s="22"/>
      <c r="AJ17" s="22"/>
      <c r="AK17" s="22"/>
      <c r="AL17" s="22"/>
      <c r="AM17" s="22"/>
      <c r="AN17" s="27"/>
      <c r="AO17" s="38">
        <f t="shared" si="15"/>
        <v>4.4000000000000004</v>
      </c>
      <c r="AP17" s="38">
        <f t="shared" si="16"/>
        <v>4.55</v>
      </c>
      <c r="AQ17" s="40">
        <f t="shared" si="17"/>
        <v>15.05</v>
      </c>
      <c r="AR17" s="40">
        <f t="shared" si="18"/>
        <v>8</v>
      </c>
      <c r="AS17" s="40">
        <f t="shared" si="19"/>
        <v>11.51</v>
      </c>
      <c r="AT17" s="40">
        <f t="shared" si="20"/>
        <v>35.31</v>
      </c>
      <c r="AU17" s="40">
        <f t="shared" si="21"/>
        <v>35.31</v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>
        <f t="shared" si="25"/>
        <v>35.31</v>
      </c>
      <c r="AZ17" s="26">
        <v>12.6</v>
      </c>
      <c r="BA17" s="26">
        <v>9.3000000000000007</v>
      </c>
      <c r="BB17" s="26">
        <v>13.5</v>
      </c>
      <c r="BC17" s="26">
        <v>15.63</v>
      </c>
      <c r="BD17" s="26">
        <v>0</v>
      </c>
      <c r="BE17" s="26">
        <v>12.63</v>
      </c>
      <c r="BF17" s="26">
        <v>8.9</v>
      </c>
      <c r="BG17" s="26">
        <v>13.5</v>
      </c>
      <c r="BH17" s="26">
        <v>15.38</v>
      </c>
      <c r="BI17" s="26">
        <v>0</v>
      </c>
      <c r="BJ17" s="26">
        <v>11.4</v>
      </c>
      <c r="BK17" s="26">
        <v>9.3000000000000007</v>
      </c>
      <c r="BL17" s="26">
        <v>13.5</v>
      </c>
      <c r="BM17" s="26">
        <v>15.38</v>
      </c>
      <c r="BN17" s="26">
        <v>0</v>
      </c>
      <c r="BO17" s="28"/>
      <c r="BP17" s="39">
        <f t="shared" si="26"/>
        <v>13.5</v>
      </c>
      <c r="BQ17" s="39">
        <f t="shared" si="27"/>
        <v>15.63</v>
      </c>
      <c r="BR17" s="11">
        <f t="shared" si="28"/>
        <v>51.03</v>
      </c>
      <c r="BS17" s="11">
        <f t="shared" si="29"/>
        <v>13.5</v>
      </c>
      <c r="BT17" s="11">
        <f t="shared" si="30"/>
        <v>15.38</v>
      </c>
      <c r="BU17" s="11">
        <f t="shared" si="31"/>
        <v>50.410000000000004</v>
      </c>
      <c r="BV17" s="11">
        <f t="shared" si="32"/>
        <v>51.03</v>
      </c>
      <c r="BW17" s="11">
        <f t="shared" si="33"/>
        <v>13.5</v>
      </c>
      <c r="BX17" s="11">
        <f t="shared" si="34"/>
        <v>15.38</v>
      </c>
      <c r="BY17" s="11">
        <f t="shared" si="35"/>
        <v>49.580000000000005</v>
      </c>
      <c r="BZ17" s="11">
        <f t="shared" si="36"/>
        <v>100.61000000000001</v>
      </c>
      <c r="CA17" s="22">
        <v>6.3</v>
      </c>
      <c r="CB17" s="22">
        <v>5.7</v>
      </c>
      <c r="CC17" s="22">
        <v>9.3000000000000007</v>
      </c>
      <c r="CD17" s="22">
        <v>9.1300000000000008</v>
      </c>
      <c r="CE17" s="22">
        <v>0</v>
      </c>
      <c r="CF17" s="22">
        <v>6.2</v>
      </c>
      <c r="CG17" s="22">
        <v>5.2</v>
      </c>
      <c r="CH17" s="22">
        <v>7.8</v>
      </c>
      <c r="CI17" s="22">
        <v>9.14</v>
      </c>
      <c r="CJ17" s="22">
        <v>0</v>
      </c>
      <c r="CK17" s="22"/>
      <c r="CL17" s="22"/>
      <c r="CM17" s="22"/>
      <c r="CN17" s="22"/>
      <c r="CO17" s="22"/>
      <c r="CP17" s="27"/>
      <c r="CQ17" s="38">
        <f t="shared" si="37"/>
        <v>9.3000000000000007</v>
      </c>
      <c r="CR17" s="38">
        <f t="shared" si="38"/>
        <v>9.1300000000000008</v>
      </c>
      <c r="CS17" s="40">
        <f t="shared" si="39"/>
        <v>30.43</v>
      </c>
      <c r="CT17" s="40">
        <f t="shared" si="40"/>
        <v>7.8</v>
      </c>
      <c r="CU17" s="40">
        <f t="shared" si="41"/>
        <v>9.14</v>
      </c>
      <c r="CV17" s="40">
        <f t="shared" si="42"/>
        <v>28.34</v>
      </c>
      <c r="CW17" s="40">
        <f t="shared" si="43"/>
        <v>30.43</v>
      </c>
      <c r="CX17" s="40" t="str">
        <f t="shared" si="44"/>
        <v/>
      </c>
      <c r="CY17" s="40" t="str">
        <f t="shared" si="45"/>
        <v/>
      </c>
      <c r="CZ17" s="40" t="str">
        <f t="shared" si="46"/>
        <v/>
      </c>
      <c r="DA17" s="40">
        <f t="shared" si="47"/>
        <v>30.43</v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 t="str">
        <f t="shared" si="91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9.4499999999999993</v>
      </c>
      <c r="SW17" s="22">
        <f t="shared" si="219"/>
        <v>7.5</v>
      </c>
      <c r="SX17" s="22">
        <f t="shared" si="220"/>
        <v>11.4</v>
      </c>
      <c r="SY17" s="22">
        <f t="shared" si="221"/>
        <v>12.38</v>
      </c>
      <c r="SZ17" s="22">
        <f t="shared" si="222"/>
        <v>0</v>
      </c>
      <c r="TA17" s="22">
        <f t="shared" si="223"/>
        <v>9.4150000000000009</v>
      </c>
      <c r="TB17" s="22">
        <f t="shared" si="224"/>
        <v>7.0500000000000007</v>
      </c>
      <c r="TC17" s="22">
        <f t="shared" si="225"/>
        <v>10.65</v>
      </c>
      <c r="TD17" s="22">
        <f t="shared" si="226"/>
        <v>12.260000000000002</v>
      </c>
      <c r="TE17" s="22">
        <f t="shared" si="227"/>
        <v>0</v>
      </c>
      <c r="TF17" s="22">
        <f t="shared" si="228"/>
        <v>5.7</v>
      </c>
      <c r="TG17" s="22">
        <f t="shared" si="229"/>
        <v>4.6500000000000004</v>
      </c>
      <c r="TH17" s="22">
        <f t="shared" si="230"/>
        <v>6.75</v>
      </c>
      <c r="TI17" s="22">
        <f t="shared" si="231"/>
        <v>7.69</v>
      </c>
      <c r="TJ17" s="22">
        <f t="shared" si="232"/>
        <v>0</v>
      </c>
      <c r="TK17" s="27" t="s">
        <v>46</v>
      </c>
      <c r="TL17" s="40">
        <f t="shared" si="233"/>
        <v>11.4</v>
      </c>
      <c r="TM17" s="40">
        <f t="shared" si="234"/>
        <v>12.38</v>
      </c>
      <c r="TN17" s="40">
        <f t="shared" si="235"/>
        <v>40.730000000000004</v>
      </c>
      <c r="TO17" s="40">
        <f t="shared" si="236"/>
        <v>10.65</v>
      </c>
      <c r="TP17" s="40">
        <f t="shared" si="237"/>
        <v>12.260000000000002</v>
      </c>
      <c r="TQ17" s="40">
        <f t="shared" si="238"/>
        <v>39.375</v>
      </c>
      <c r="TR17" s="40">
        <f t="shared" si="239"/>
        <v>40.730000000000004</v>
      </c>
      <c r="TS17" s="40">
        <f t="shared" si="240"/>
        <v>6.75</v>
      </c>
      <c r="TT17" s="40">
        <f t="shared" si="241"/>
        <v>7.69</v>
      </c>
      <c r="TU17" s="40">
        <f t="shared" si="242"/>
        <v>24.790000000000003</v>
      </c>
      <c r="TV17" s="40">
        <f t="shared" si="243"/>
        <v>65.52000000000001</v>
      </c>
    </row>
    <row r="18" spans="1:542" x14ac:dyDescent="0.2">
      <c r="A18" s="4" t="str" cm="1">
        <f t="array" ref="A18">IF(AND(J18&lt;&gt;"",J18&lt;&gt;"No DD"),SUMPRODUCT((J$4:J$39&lt;&gt;"")*(J$4:J$39&lt;&gt;"No DD")*(F$4:F$39&gt;F18))+1,IF(J18="No DD",SUMPRODUCT((J$4:J$39="No DD")*(F$4:F$39&gt;F18))+1+SUMPRODUCT((J$4:J$39&lt;&gt;"")*(J$4:J$39&lt;&gt;"No DD")),""))</f>
        <v/>
      </c>
      <c r="B18" s="4" t="str" cm="1">
        <f t="array" ref="B18">IF(AND(J18&lt;&gt;"",J18&lt;&gt;"No DD",G18=""),SUMPRODUCT((J$4:J$39&lt;&gt;"")*(J$4:J$39&lt;&gt;"No DD")*(G$4:G$39="")*(F$4:F$39&gt;F18))+1,IF(J18="No DD",SUMPRODUCT((J$4:J$39="No DD")*(F$4:F$39&gt;F18)*(G$4:G$39=""))+1+SUMPRODUCT((J$4:J$39&lt;&gt;"")*(G$4:G$39="")*(J$4:J$39&lt;&gt;"No DD")),""))</f>
        <v/>
      </c>
      <c r="C18" s="5" t="s">
        <v>119</v>
      </c>
      <c r="D18" s="4" t="s">
        <v>3</v>
      </c>
      <c r="E18" s="4">
        <v>2006</v>
      </c>
      <c r="F18" s="9">
        <f t="shared" si="0"/>
        <v>164.35001643500499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49.95</v>
      </c>
      <c r="M18" s="8" t="str">
        <f t="shared" si="5"/>
        <v>2024 Nationals</v>
      </c>
      <c r="N18" s="8">
        <f>IF(COUNT(AQ18,AT18,BR18,BU18,CS18,CV18)&gt;1,LARGE((AQ18,AT18,BR18,BU18,CS18,CV18),2),0)</f>
        <v>48.949999999999996</v>
      </c>
      <c r="O18" s="8" t="str">
        <f t="shared" si="6"/>
        <v>2025 Elite Canada</v>
      </c>
      <c r="P18" s="8">
        <f>IF(COUNT(AQ18,AT18,BR18,BU18,CS18,CV18)&gt;2,MAX(AX18,BY18,CZ18,LARGE((AQ18,AT18,BR18,BU18,CS18,CV18),3)),IF(MAX(AX18,BY18,CZ18)&gt;0,MAX(AX18,BY18,CZ18),0))</f>
        <v>51.35</v>
      </c>
      <c r="Q18" s="8" t="str">
        <f t="shared" si="7"/>
        <v>2024 Nationals</v>
      </c>
      <c r="R18" s="8">
        <f t="shared" si="8"/>
        <v>14.1</v>
      </c>
      <c r="S18" s="8" t="str">
        <f t="shared" si="9"/>
        <v>2025 Elite Canada</v>
      </c>
      <c r="T18" s="8">
        <f t="shared" si="10"/>
        <v>0</v>
      </c>
      <c r="U18" s="8" t="str">
        <f t="shared" si="11"/>
        <v/>
      </c>
      <c r="V18" s="8" t="str">
        <f t="shared" si="12"/>
        <v/>
      </c>
      <c r="W18" s="11" t="str">
        <f t="shared" si="13"/>
        <v/>
      </c>
      <c r="X18" s="8" t="str">
        <f t="shared" si="14"/>
        <v/>
      </c>
      <c r="Y18" s="22">
        <v>6</v>
      </c>
      <c r="Z18" s="22">
        <v>3.6</v>
      </c>
      <c r="AA18" s="22">
        <v>5.6</v>
      </c>
      <c r="AB18" s="22">
        <v>6.3</v>
      </c>
      <c r="AC18" s="22">
        <v>0</v>
      </c>
      <c r="AD18" s="22">
        <v>13.5</v>
      </c>
      <c r="AE18" s="22">
        <v>9</v>
      </c>
      <c r="AF18" s="22">
        <v>12.7</v>
      </c>
      <c r="AG18" s="22">
        <v>14.75</v>
      </c>
      <c r="AH18" s="22">
        <v>0</v>
      </c>
      <c r="AI18" s="22">
        <v>14.8</v>
      </c>
      <c r="AJ18" s="22">
        <v>8.8000000000000007</v>
      </c>
      <c r="AK18" s="22">
        <v>12.9</v>
      </c>
      <c r="AL18" s="22">
        <v>14.85</v>
      </c>
      <c r="AM18" s="22">
        <v>0</v>
      </c>
      <c r="AN18" s="27"/>
      <c r="AO18" s="38">
        <f t="shared" si="15"/>
        <v>5.6</v>
      </c>
      <c r="AP18" s="38">
        <f t="shared" si="16"/>
        <v>6.3</v>
      </c>
      <c r="AQ18" s="40">
        <f t="shared" si="17"/>
        <v>21.5</v>
      </c>
      <c r="AR18" s="40">
        <f t="shared" si="18"/>
        <v>12.7</v>
      </c>
      <c r="AS18" s="40">
        <f t="shared" si="19"/>
        <v>14.75</v>
      </c>
      <c r="AT18" s="40">
        <f t="shared" si="20"/>
        <v>49.95</v>
      </c>
      <c r="AU18" s="40">
        <f t="shared" si="21"/>
        <v>49.95</v>
      </c>
      <c r="AV18" s="40">
        <f t="shared" si="22"/>
        <v>12.9</v>
      </c>
      <c r="AW18" s="40">
        <f t="shared" si="23"/>
        <v>14.85</v>
      </c>
      <c r="AX18" s="40">
        <f t="shared" si="24"/>
        <v>51.35</v>
      </c>
      <c r="AY18" s="40">
        <f t="shared" si="25"/>
        <v>101.30000000000001</v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8"/>
      <c r="BP18" s="39" t="str">
        <f t="shared" si="26"/>
        <v/>
      </c>
      <c r="BQ18" s="39" t="str">
        <f t="shared" si="27"/>
        <v/>
      </c>
      <c r="BR18" s="11" t="str">
        <f t="shared" si="28"/>
        <v/>
      </c>
      <c r="BS18" s="11" t="str">
        <f t="shared" si="29"/>
        <v/>
      </c>
      <c r="BT18" s="11" t="str">
        <f t="shared" si="30"/>
        <v/>
      </c>
      <c r="BU18" s="11" t="str">
        <f t="shared" si="31"/>
        <v/>
      </c>
      <c r="BV18" s="11" t="str">
        <f t="shared" si="32"/>
        <v/>
      </c>
      <c r="BW18" s="11" t="str">
        <f t="shared" si="33"/>
        <v/>
      </c>
      <c r="BX18" s="11" t="str">
        <f t="shared" si="34"/>
        <v/>
      </c>
      <c r="BY18" s="11" t="str">
        <f t="shared" si="35"/>
        <v/>
      </c>
      <c r="BZ18" s="11" t="str">
        <f t="shared" si="36"/>
        <v/>
      </c>
      <c r="CA18" s="22">
        <v>11.6</v>
      </c>
      <c r="CB18" s="22">
        <v>9.1</v>
      </c>
      <c r="CC18" s="22">
        <v>14.1</v>
      </c>
      <c r="CD18" s="22">
        <v>14.15</v>
      </c>
      <c r="CE18" s="22">
        <v>0</v>
      </c>
      <c r="CF18" s="22">
        <v>1</v>
      </c>
      <c r="CG18" s="22">
        <v>0.8</v>
      </c>
      <c r="CH18" s="22">
        <v>2</v>
      </c>
      <c r="CI18" s="22">
        <v>1.6</v>
      </c>
      <c r="CJ18" s="22">
        <v>0</v>
      </c>
      <c r="CK18" s="22">
        <v>12.4</v>
      </c>
      <c r="CL18" s="22">
        <v>9.4</v>
      </c>
      <c r="CM18" s="22">
        <v>12.7</v>
      </c>
      <c r="CN18" s="22">
        <v>14.41</v>
      </c>
      <c r="CO18" s="22">
        <v>0</v>
      </c>
      <c r="CP18" s="27"/>
      <c r="CQ18" s="38">
        <f t="shared" si="37"/>
        <v>14.1</v>
      </c>
      <c r="CR18" s="38">
        <f t="shared" si="38"/>
        <v>14.15</v>
      </c>
      <c r="CS18" s="40">
        <f t="shared" si="39"/>
        <v>48.949999999999996</v>
      </c>
      <c r="CT18" s="40">
        <f t="shared" si="40"/>
        <v>2</v>
      </c>
      <c r="CU18" s="40">
        <f t="shared" si="41"/>
        <v>1.6</v>
      </c>
      <c r="CV18" s="40">
        <f t="shared" si="42"/>
        <v>5.4</v>
      </c>
      <c r="CW18" s="40">
        <f t="shared" si="43"/>
        <v>48.949999999999996</v>
      </c>
      <c r="CX18" s="40">
        <f t="shared" si="44"/>
        <v>12.7</v>
      </c>
      <c r="CY18" s="40">
        <f t="shared" si="45"/>
        <v>14.41</v>
      </c>
      <c r="CZ18" s="40">
        <f t="shared" si="46"/>
        <v>48.91</v>
      </c>
      <c r="DA18" s="40">
        <f t="shared" si="47"/>
        <v>97.859999999999985</v>
      </c>
      <c r="DB18" s="50" t="str">
        <f t="shared" si="48"/>
        <v/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 t="str">
        <f t="shared" si="91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5.8</v>
      </c>
      <c r="SW18" s="22">
        <f t="shared" si="219"/>
        <v>4.55</v>
      </c>
      <c r="SX18" s="22">
        <f t="shared" si="220"/>
        <v>7.05</v>
      </c>
      <c r="SY18" s="22">
        <f t="shared" si="221"/>
        <v>7.0750000000000002</v>
      </c>
      <c r="SZ18" s="22">
        <f t="shared" si="222"/>
        <v>0</v>
      </c>
      <c r="TA18" s="22">
        <f t="shared" si="223"/>
        <v>0.5</v>
      </c>
      <c r="TB18" s="22">
        <f t="shared" si="224"/>
        <v>0.4</v>
      </c>
      <c r="TC18" s="22">
        <f t="shared" si="225"/>
        <v>1</v>
      </c>
      <c r="TD18" s="22">
        <f t="shared" si="226"/>
        <v>0.8</v>
      </c>
      <c r="TE18" s="22">
        <f t="shared" si="227"/>
        <v>0</v>
      </c>
      <c r="TF18" s="22">
        <f t="shared" si="228"/>
        <v>6.2</v>
      </c>
      <c r="TG18" s="22">
        <f t="shared" si="229"/>
        <v>4.7</v>
      </c>
      <c r="TH18" s="22">
        <f t="shared" si="230"/>
        <v>6.35</v>
      </c>
      <c r="TI18" s="22">
        <f t="shared" si="231"/>
        <v>7.2050000000000001</v>
      </c>
      <c r="TJ18" s="22">
        <f t="shared" si="232"/>
        <v>0</v>
      </c>
      <c r="TK18" s="27" t="s">
        <v>46</v>
      </c>
      <c r="TL18" s="40">
        <f t="shared" si="233"/>
        <v>7.05</v>
      </c>
      <c r="TM18" s="40">
        <f t="shared" si="234"/>
        <v>7.0750000000000002</v>
      </c>
      <c r="TN18" s="40">
        <f t="shared" si="235"/>
        <v>24.474999999999998</v>
      </c>
      <c r="TO18" s="40">
        <f t="shared" si="236"/>
        <v>1</v>
      </c>
      <c r="TP18" s="40">
        <f t="shared" si="237"/>
        <v>0.8</v>
      </c>
      <c r="TQ18" s="40">
        <f t="shared" si="238"/>
        <v>2.7</v>
      </c>
      <c r="TR18" s="40">
        <f t="shared" si="239"/>
        <v>24.474999999999998</v>
      </c>
      <c r="TS18" s="40">
        <f t="shared" si="240"/>
        <v>6.35</v>
      </c>
      <c r="TT18" s="40">
        <f t="shared" si="241"/>
        <v>7.2050000000000001</v>
      </c>
      <c r="TU18" s="40">
        <f t="shared" si="242"/>
        <v>24.454999999999998</v>
      </c>
      <c r="TV18" s="40">
        <f t="shared" si="243"/>
        <v>48.929999999999993</v>
      </c>
    </row>
    <row r="19" spans="1:542" x14ac:dyDescent="0.2">
      <c r="A19" s="4" t="str" cm="1">
        <f t="array" ref="A19">IF(AND(J19&lt;&gt;"",J19&lt;&gt;"No DD"),SUMPRODUCT((J$4:J$39&lt;&gt;"")*(J$4:J$39&lt;&gt;"No DD")*(F$4:F$39&gt;F19))+1,IF(J19="No DD",SUMPRODUCT((J$4:J$39="No DD")*(F$4:F$39&gt;F19))+1+SUMPRODUCT((J$4:J$39&lt;&gt;"")*(J$4:J$39&lt;&gt;"No DD")),""))</f>
        <v/>
      </c>
      <c r="B19" s="4" t="str" cm="1">
        <f t="array" ref="B19">IF(AND(J19&lt;&gt;"",J19&lt;&gt;"No DD",G19=""),SUMPRODUCT((J$4:J$39&lt;&gt;"")*(J$4:J$39&lt;&gt;"No DD")*(G$4:G$39="")*(F$4:F$39&gt;F19))+1,IF(J19="No DD",SUMPRODUCT((J$4:J$39="No DD")*(F$4:F$39&gt;F19)*(G$4:G$39=""))+1+SUMPRODUCT((J$4:J$39&lt;&gt;"")*(G$4:G$39="")*(J$4:J$39&lt;&gt;"No DD")),""))</f>
        <v/>
      </c>
      <c r="C19" s="5" t="s">
        <v>156</v>
      </c>
      <c r="D19" s="4" t="s">
        <v>5</v>
      </c>
      <c r="E19" s="4">
        <v>2007</v>
      </c>
      <c r="F19" s="9">
        <f t="shared" si="0"/>
        <v>163.01501630150509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50.75</v>
      </c>
      <c r="M19" s="8" t="str">
        <f t="shared" si="5"/>
        <v>2024 3rd Domestic Trial</v>
      </c>
      <c r="N19" s="8">
        <f>IF(COUNT(AQ19,AT19,BR19,BU19,CS19,CV19)&gt;1,LARGE((AQ19,AT19,BR19,BU19,CS19,CV19),2),0)</f>
        <v>49.954999999999998</v>
      </c>
      <c r="O19" s="8" t="str">
        <f t="shared" si="6"/>
        <v>2025 Elite Canada</v>
      </c>
      <c r="P19" s="8">
        <f>IF(COUNT(AQ19,AT19,BR19,BU19,CS19,CV19)&gt;2,MAX(AX19,BY19,CZ19,LARGE((AQ19,AT19,BR19,BU19,CS19,CV19),3)),IF(MAX(AX19,BY19,CZ19)&gt;0,MAX(AX19,BY19,CZ19),0))</f>
        <v>50.31</v>
      </c>
      <c r="Q19" s="8" t="str">
        <f t="shared" si="7"/>
        <v>2024 3rd Domestic Trial</v>
      </c>
      <c r="R19" s="8">
        <f t="shared" si="8"/>
        <v>12</v>
      </c>
      <c r="S19" s="8" t="str">
        <f t="shared" si="9"/>
        <v>2024 3rd Domestic Trial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13.8</v>
      </c>
      <c r="Z19" s="22">
        <v>9</v>
      </c>
      <c r="AA19" s="22">
        <v>11.5</v>
      </c>
      <c r="AB19" s="22">
        <v>13.53</v>
      </c>
      <c r="AC19" s="22">
        <v>0</v>
      </c>
      <c r="AD19" s="22">
        <v>14.4</v>
      </c>
      <c r="AE19" s="22">
        <v>9.3000000000000007</v>
      </c>
      <c r="AF19" s="22">
        <v>11.3</v>
      </c>
      <c r="AG19" s="22">
        <v>14.16</v>
      </c>
      <c r="AH19" s="22">
        <v>0</v>
      </c>
      <c r="AI19" s="22"/>
      <c r="AJ19" s="22"/>
      <c r="AK19" s="22"/>
      <c r="AL19" s="22"/>
      <c r="AM19" s="22"/>
      <c r="AN19" s="27"/>
      <c r="AO19" s="38">
        <f t="shared" si="15"/>
        <v>11.5</v>
      </c>
      <c r="AP19" s="38">
        <f t="shared" si="16"/>
        <v>13.53</v>
      </c>
      <c r="AQ19" s="40">
        <f t="shared" si="17"/>
        <v>47.83</v>
      </c>
      <c r="AR19" s="40">
        <f t="shared" si="18"/>
        <v>11.3</v>
      </c>
      <c r="AS19" s="40">
        <f t="shared" si="19"/>
        <v>14.16</v>
      </c>
      <c r="AT19" s="40">
        <f t="shared" si="20"/>
        <v>49.16</v>
      </c>
      <c r="AU19" s="40">
        <f t="shared" si="21"/>
        <v>49.16</v>
      </c>
      <c r="AV19" s="40" t="str">
        <f t="shared" si="22"/>
        <v/>
      </c>
      <c r="AW19" s="40" t="str">
        <f t="shared" si="23"/>
        <v/>
      </c>
      <c r="AX19" s="40" t="str">
        <f t="shared" si="24"/>
        <v/>
      </c>
      <c r="AY19" s="40">
        <f t="shared" si="25"/>
        <v>49.16</v>
      </c>
      <c r="AZ19" s="26">
        <v>13.7</v>
      </c>
      <c r="BA19" s="26">
        <v>9.1</v>
      </c>
      <c r="BB19" s="26">
        <v>11.8</v>
      </c>
      <c r="BC19" s="26">
        <v>14.5</v>
      </c>
      <c r="BD19" s="26">
        <v>0</v>
      </c>
      <c r="BE19" s="26">
        <v>14.5</v>
      </c>
      <c r="BF19" s="26">
        <v>9.3000000000000007</v>
      </c>
      <c r="BG19" s="26">
        <v>12</v>
      </c>
      <c r="BH19" s="26">
        <v>14.95</v>
      </c>
      <c r="BI19" s="26">
        <v>0</v>
      </c>
      <c r="BJ19" s="26">
        <v>14.6</v>
      </c>
      <c r="BK19" s="26">
        <v>9.4</v>
      </c>
      <c r="BL19" s="26">
        <v>11.4</v>
      </c>
      <c r="BM19" s="26">
        <v>14.91</v>
      </c>
      <c r="BN19" s="26">
        <v>0</v>
      </c>
      <c r="BO19" s="28"/>
      <c r="BP19" s="39">
        <f t="shared" si="26"/>
        <v>11.8</v>
      </c>
      <c r="BQ19" s="39">
        <f t="shared" si="27"/>
        <v>14.5</v>
      </c>
      <c r="BR19" s="11">
        <f t="shared" si="28"/>
        <v>49.099999999999994</v>
      </c>
      <c r="BS19" s="11">
        <f t="shared" si="29"/>
        <v>12</v>
      </c>
      <c r="BT19" s="11">
        <f t="shared" si="30"/>
        <v>14.95</v>
      </c>
      <c r="BU19" s="11">
        <f t="shared" si="31"/>
        <v>50.75</v>
      </c>
      <c r="BV19" s="11">
        <f t="shared" si="32"/>
        <v>50.75</v>
      </c>
      <c r="BW19" s="11">
        <f t="shared" si="33"/>
        <v>11.4</v>
      </c>
      <c r="BX19" s="11">
        <f t="shared" si="34"/>
        <v>14.91</v>
      </c>
      <c r="BY19" s="11">
        <f t="shared" si="35"/>
        <v>50.31</v>
      </c>
      <c r="BZ19" s="11">
        <f t="shared" si="36"/>
        <v>101.06</v>
      </c>
      <c r="CA19" s="22">
        <v>13.75</v>
      </c>
      <c r="CB19" s="22">
        <v>9.0500000000000007</v>
      </c>
      <c r="CC19" s="22">
        <v>11.65</v>
      </c>
      <c r="CD19" s="22">
        <v>14.015000000000001</v>
      </c>
      <c r="CE19" s="22">
        <v>0</v>
      </c>
      <c r="CF19" s="22">
        <v>14.45</v>
      </c>
      <c r="CG19" s="22">
        <v>9.3000000000000007</v>
      </c>
      <c r="CH19" s="22">
        <v>11.65</v>
      </c>
      <c r="CI19" s="22">
        <v>14.555</v>
      </c>
      <c r="CJ19" s="22">
        <v>0</v>
      </c>
      <c r="CK19" s="22">
        <v>7.3</v>
      </c>
      <c r="CL19" s="22">
        <v>4.7</v>
      </c>
      <c r="CM19" s="22">
        <v>5.7</v>
      </c>
      <c r="CN19" s="22">
        <v>7.4550000000000001</v>
      </c>
      <c r="CO19" s="22">
        <v>0</v>
      </c>
      <c r="CP19" s="27" t="s">
        <v>46</v>
      </c>
      <c r="CQ19" s="38">
        <f t="shared" si="37"/>
        <v>11.65</v>
      </c>
      <c r="CR19" s="38">
        <f t="shared" si="38"/>
        <v>14.015000000000001</v>
      </c>
      <c r="CS19" s="40">
        <f t="shared" si="39"/>
        <v>48.465000000000003</v>
      </c>
      <c r="CT19" s="40">
        <f t="shared" si="40"/>
        <v>11.65</v>
      </c>
      <c r="CU19" s="40">
        <f t="shared" si="41"/>
        <v>14.555</v>
      </c>
      <c r="CV19" s="40">
        <f t="shared" si="42"/>
        <v>49.954999999999998</v>
      </c>
      <c r="CW19" s="40">
        <f t="shared" si="43"/>
        <v>49.954999999999998</v>
      </c>
      <c r="CX19" s="40">
        <f t="shared" si="44"/>
        <v>5.7</v>
      </c>
      <c r="CY19" s="40">
        <f t="shared" si="45"/>
        <v>7.4550000000000001</v>
      </c>
      <c r="CZ19" s="40">
        <f t="shared" si="46"/>
        <v>25.155000000000001</v>
      </c>
      <c r="DA19" s="40">
        <f t="shared" si="47"/>
        <v>75.11</v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13.75</v>
      </c>
      <c r="SW19" s="22">
        <f t="shared" si="219"/>
        <v>9.0500000000000007</v>
      </c>
      <c r="SX19" s="22">
        <f t="shared" si="220"/>
        <v>11.65</v>
      </c>
      <c r="SY19" s="22">
        <f t="shared" si="221"/>
        <v>14.015000000000001</v>
      </c>
      <c r="SZ19" s="22">
        <f t="shared" si="222"/>
        <v>0</v>
      </c>
      <c r="TA19" s="22">
        <f t="shared" si="223"/>
        <v>14.45</v>
      </c>
      <c r="TB19" s="22">
        <f t="shared" si="224"/>
        <v>9.3000000000000007</v>
      </c>
      <c r="TC19" s="22">
        <f t="shared" si="225"/>
        <v>11.65</v>
      </c>
      <c r="TD19" s="22">
        <f t="shared" si="226"/>
        <v>14.555</v>
      </c>
      <c r="TE19" s="22">
        <f t="shared" si="227"/>
        <v>0</v>
      </c>
      <c r="TF19" s="22">
        <f t="shared" si="228"/>
        <v>7.3</v>
      </c>
      <c r="TG19" s="22">
        <f t="shared" si="229"/>
        <v>4.7</v>
      </c>
      <c r="TH19" s="22">
        <f t="shared" si="230"/>
        <v>5.7</v>
      </c>
      <c r="TI19" s="22">
        <f t="shared" si="231"/>
        <v>7.4550000000000001</v>
      </c>
      <c r="TJ19" s="22">
        <f t="shared" si="232"/>
        <v>0</v>
      </c>
      <c r="TK19" s="27" t="s">
        <v>46</v>
      </c>
      <c r="TL19" s="40">
        <f t="shared" si="233"/>
        <v>11.65</v>
      </c>
      <c r="TM19" s="40">
        <f t="shared" si="234"/>
        <v>14.015000000000001</v>
      </c>
      <c r="TN19" s="40">
        <f t="shared" si="235"/>
        <v>48.465000000000003</v>
      </c>
      <c r="TO19" s="40">
        <f t="shared" si="236"/>
        <v>11.65</v>
      </c>
      <c r="TP19" s="40">
        <f t="shared" si="237"/>
        <v>14.555</v>
      </c>
      <c r="TQ19" s="40">
        <f t="shared" si="238"/>
        <v>49.954999999999998</v>
      </c>
      <c r="TR19" s="40">
        <f t="shared" si="239"/>
        <v>49.954999999999998</v>
      </c>
      <c r="TS19" s="40">
        <f t="shared" si="240"/>
        <v>5.7</v>
      </c>
      <c r="TT19" s="40">
        <f t="shared" si="241"/>
        <v>7.4550000000000001</v>
      </c>
      <c r="TU19" s="40">
        <f t="shared" si="242"/>
        <v>25.155000000000001</v>
      </c>
      <c r="TV19" s="40">
        <f t="shared" si="243"/>
        <v>75.11</v>
      </c>
    </row>
    <row r="20" spans="1:542" x14ac:dyDescent="0.2">
      <c r="A20" s="4" t="str" cm="1">
        <f t="array" ref="A20">IF(AND(J20&lt;&gt;"",J20&lt;&gt;"No DD"),SUMPRODUCT((J$4:J$39&lt;&gt;"")*(J$4:J$39&lt;&gt;"No DD")*(F$4:F$39&gt;F20))+1,IF(J20="No DD",SUMPRODUCT((J$4:J$39="No DD")*(F$4:F$39&gt;F20))+1+SUMPRODUCT((J$4:J$39&lt;&gt;"")*(J$4:J$39&lt;&gt;"No DD")),""))</f>
        <v/>
      </c>
      <c r="B20" s="4" t="str" cm="1">
        <f t="array" ref="B20">IF(AND(J20&lt;&gt;"",J20&lt;&gt;"No DD",G20=""),SUMPRODUCT((J$4:J$39&lt;&gt;"")*(J$4:J$39&lt;&gt;"No DD")*(G$4:G$39="")*(F$4:F$39&gt;F20))+1,IF(J20="No DD",SUMPRODUCT((J$4:J$39="No DD")*(F$4:F$39&gt;F20)*(G$4:G$39=""))+1+SUMPRODUCT((J$4:J$39&lt;&gt;"")*(G$4:G$39="")*(J$4:J$39&lt;&gt;"No DD")),""))</f>
        <v/>
      </c>
      <c r="C20" s="5" t="s">
        <v>149</v>
      </c>
      <c r="D20" s="4" t="s">
        <v>4</v>
      </c>
      <c r="E20" s="4">
        <v>2007</v>
      </c>
      <c r="F20" s="9">
        <f t="shared" si="0"/>
        <v>158.8700158870052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52.320000000000007</v>
      </c>
      <c r="M20" s="8" t="str">
        <f t="shared" si="5"/>
        <v>2024 3rd Domestic Trial</v>
      </c>
      <c r="N20" s="8">
        <f>IF(COUNT(AQ20,AT20,BR20,BU20,CS20,CV20)&gt;1,LARGE((AQ20,AT20,BR20,BU20,CS20,CV20),2),0)</f>
        <v>49.62</v>
      </c>
      <c r="O20" s="8" t="str">
        <f t="shared" si="6"/>
        <v>2024 Nationals</v>
      </c>
      <c r="P20" s="8">
        <f>IF(COUNT(AQ20,AT20,BR20,BU20,CS20,CV20)&gt;2,MAX(AX20,BY20,CZ20,LARGE((AQ20,AT20,BR20,BU20,CS20,CV20),3)),IF(MAX(AX20,BY20,CZ20)&gt;0,MAX(AX20,BY20,CZ20),0))</f>
        <v>44.23</v>
      </c>
      <c r="Q20" s="8" t="str">
        <f t="shared" si="7"/>
        <v>2024 3rd Domestic Trial</v>
      </c>
      <c r="R20" s="8">
        <f t="shared" si="8"/>
        <v>12.7</v>
      </c>
      <c r="S20" s="8" t="str">
        <f t="shared" si="9"/>
        <v>2024 3rd Domestic Trial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>
        <v>13.7</v>
      </c>
      <c r="Z20" s="22">
        <v>9.6</v>
      </c>
      <c r="AA20" s="22">
        <v>12.2</v>
      </c>
      <c r="AB20" s="22">
        <v>14.12</v>
      </c>
      <c r="AC20" s="22">
        <v>0</v>
      </c>
      <c r="AD20" s="22">
        <v>10.8</v>
      </c>
      <c r="AE20" s="22">
        <v>7.1</v>
      </c>
      <c r="AF20" s="22">
        <v>9.6999999999999993</v>
      </c>
      <c r="AG20" s="22">
        <v>12.45</v>
      </c>
      <c r="AH20" s="22">
        <v>0.2</v>
      </c>
      <c r="AI20" s="22">
        <v>2.6</v>
      </c>
      <c r="AJ20" s="22">
        <v>1.5</v>
      </c>
      <c r="AK20" s="22">
        <v>3.2</v>
      </c>
      <c r="AL20" s="22">
        <v>3</v>
      </c>
      <c r="AM20" s="22">
        <v>0</v>
      </c>
      <c r="AN20" s="27"/>
      <c r="AO20" s="38">
        <f t="shared" si="15"/>
        <v>12.2</v>
      </c>
      <c r="AP20" s="38">
        <f t="shared" si="16"/>
        <v>14.12</v>
      </c>
      <c r="AQ20" s="40">
        <f t="shared" si="17"/>
        <v>49.62</v>
      </c>
      <c r="AR20" s="40">
        <f t="shared" si="18"/>
        <v>9.6999999999999993</v>
      </c>
      <c r="AS20" s="40">
        <f t="shared" si="19"/>
        <v>12.45</v>
      </c>
      <c r="AT20" s="40">
        <f t="shared" si="20"/>
        <v>39.849999999999994</v>
      </c>
      <c r="AU20" s="40">
        <f t="shared" si="21"/>
        <v>49.62</v>
      </c>
      <c r="AV20" s="40">
        <f t="shared" si="22"/>
        <v>3.2</v>
      </c>
      <c r="AW20" s="40">
        <f t="shared" si="23"/>
        <v>3</v>
      </c>
      <c r="AX20" s="40">
        <f t="shared" si="24"/>
        <v>10.3</v>
      </c>
      <c r="AY20" s="40">
        <f t="shared" si="25"/>
        <v>59.92</v>
      </c>
      <c r="AZ20" s="26">
        <v>12.1</v>
      </c>
      <c r="BA20" s="26">
        <v>7.8</v>
      </c>
      <c r="BB20" s="26">
        <v>10.199999999999999</v>
      </c>
      <c r="BC20" s="26">
        <v>13.86</v>
      </c>
      <c r="BD20" s="26">
        <v>0</v>
      </c>
      <c r="BE20" s="26">
        <v>14.9</v>
      </c>
      <c r="BF20" s="26">
        <v>8.8000000000000007</v>
      </c>
      <c r="BG20" s="26">
        <v>12.7</v>
      </c>
      <c r="BH20" s="26">
        <v>15.92</v>
      </c>
      <c r="BI20" s="26">
        <v>0</v>
      </c>
      <c r="BJ20" s="26">
        <v>12.5</v>
      </c>
      <c r="BK20" s="26">
        <v>7.4</v>
      </c>
      <c r="BL20" s="26">
        <v>11.3</v>
      </c>
      <c r="BM20" s="26">
        <v>13.03</v>
      </c>
      <c r="BN20" s="26">
        <v>0</v>
      </c>
      <c r="BO20" s="28"/>
      <c r="BP20" s="39">
        <f t="shared" si="26"/>
        <v>10.199999999999999</v>
      </c>
      <c r="BQ20" s="39">
        <f t="shared" si="27"/>
        <v>13.86</v>
      </c>
      <c r="BR20" s="11">
        <f t="shared" si="28"/>
        <v>43.959999999999994</v>
      </c>
      <c r="BS20" s="11">
        <f t="shared" si="29"/>
        <v>12.7</v>
      </c>
      <c r="BT20" s="11">
        <f t="shared" si="30"/>
        <v>15.92</v>
      </c>
      <c r="BU20" s="11">
        <f t="shared" si="31"/>
        <v>52.320000000000007</v>
      </c>
      <c r="BV20" s="11">
        <f t="shared" si="32"/>
        <v>52.320000000000007</v>
      </c>
      <c r="BW20" s="11">
        <f t="shared" si="33"/>
        <v>11.3</v>
      </c>
      <c r="BX20" s="11">
        <f t="shared" si="34"/>
        <v>13.03</v>
      </c>
      <c r="BY20" s="11">
        <f t="shared" si="35"/>
        <v>44.23</v>
      </c>
      <c r="BZ20" s="11">
        <f t="shared" si="36"/>
        <v>96.550000000000011</v>
      </c>
      <c r="CA20" s="22">
        <v>11.3</v>
      </c>
      <c r="CB20" s="22">
        <v>7.7</v>
      </c>
      <c r="CC20" s="22">
        <v>11.7</v>
      </c>
      <c r="CD20" s="22">
        <v>12.46</v>
      </c>
      <c r="CE20" s="22">
        <v>0</v>
      </c>
      <c r="CF20" s="22">
        <v>2.8</v>
      </c>
      <c r="CG20" s="22">
        <v>1.7</v>
      </c>
      <c r="CH20" s="22">
        <v>3.3</v>
      </c>
      <c r="CI20" s="22">
        <v>3.3</v>
      </c>
      <c r="CJ20" s="22">
        <v>0</v>
      </c>
      <c r="CK20" s="22"/>
      <c r="CL20" s="22"/>
      <c r="CM20" s="22"/>
      <c r="CN20" s="22"/>
      <c r="CO20" s="22"/>
      <c r="CP20" s="27"/>
      <c r="CQ20" s="38">
        <f t="shared" si="37"/>
        <v>11.7</v>
      </c>
      <c r="CR20" s="38">
        <f t="shared" si="38"/>
        <v>12.46</v>
      </c>
      <c r="CS20" s="40">
        <f t="shared" si="39"/>
        <v>43.16</v>
      </c>
      <c r="CT20" s="40">
        <f t="shared" si="40"/>
        <v>3.3</v>
      </c>
      <c r="CU20" s="40">
        <f t="shared" si="41"/>
        <v>3.3</v>
      </c>
      <c r="CV20" s="40">
        <f t="shared" si="42"/>
        <v>11.1</v>
      </c>
      <c r="CW20" s="40">
        <f t="shared" si="43"/>
        <v>43.16</v>
      </c>
      <c r="CX20" s="40" t="str">
        <f t="shared" si="44"/>
        <v/>
      </c>
      <c r="CY20" s="40" t="str">
        <f t="shared" si="45"/>
        <v/>
      </c>
      <c r="CZ20" s="40" t="str">
        <f t="shared" si="46"/>
        <v/>
      </c>
      <c r="DA20" s="40">
        <f t="shared" si="47"/>
        <v>43.16</v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11.7</v>
      </c>
      <c r="SW20" s="22">
        <f t="shared" si="219"/>
        <v>7.75</v>
      </c>
      <c r="SX20" s="22">
        <f t="shared" si="220"/>
        <v>10.95</v>
      </c>
      <c r="SY20" s="22">
        <f t="shared" si="221"/>
        <v>13.16</v>
      </c>
      <c r="SZ20" s="22">
        <f t="shared" si="222"/>
        <v>0</v>
      </c>
      <c r="TA20" s="22">
        <f t="shared" si="223"/>
        <v>8.85</v>
      </c>
      <c r="TB20" s="22">
        <f t="shared" si="224"/>
        <v>5.25</v>
      </c>
      <c r="TC20" s="22">
        <f t="shared" si="225"/>
        <v>8</v>
      </c>
      <c r="TD20" s="22">
        <f t="shared" si="226"/>
        <v>9.61</v>
      </c>
      <c r="TE20" s="22">
        <f t="shared" si="227"/>
        <v>0</v>
      </c>
      <c r="TF20" s="22">
        <f t="shared" si="228"/>
        <v>6.25</v>
      </c>
      <c r="TG20" s="22">
        <f t="shared" si="229"/>
        <v>3.7</v>
      </c>
      <c r="TH20" s="22">
        <f t="shared" si="230"/>
        <v>5.65</v>
      </c>
      <c r="TI20" s="22">
        <f t="shared" si="231"/>
        <v>6.5149999999999997</v>
      </c>
      <c r="TJ20" s="22">
        <f t="shared" si="232"/>
        <v>0</v>
      </c>
      <c r="TK20" s="27" t="s">
        <v>46</v>
      </c>
      <c r="TL20" s="40">
        <f t="shared" si="233"/>
        <v>10.95</v>
      </c>
      <c r="TM20" s="40">
        <f t="shared" si="234"/>
        <v>13.16</v>
      </c>
      <c r="TN20" s="40">
        <f t="shared" si="235"/>
        <v>43.56</v>
      </c>
      <c r="TO20" s="40">
        <f t="shared" si="236"/>
        <v>8</v>
      </c>
      <c r="TP20" s="40">
        <f t="shared" si="237"/>
        <v>9.61</v>
      </c>
      <c r="TQ20" s="40">
        <f t="shared" si="238"/>
        <v>31.71</v>
      </c>
      <c r="TR20" s="40">
        <f t="shared" si="239"/>
        <v>43.56</v>
      </c>
      <c r="TS20" s="40">
        <f t="shared" si="240"/>
        <v>5.65</v>
      </c>
      <c r="TT20" s="40">
        <f t="shared" si="241"/>
        <v>6.5149999999999997</v>
      </c>
      <c r="TU20" s="40">
        <f t="shared" si="242"/>
        <v>22.114999999999998</v>
      </c>
      <c r="TV20" s="40">
        <f t="shared" si="243"/>
        <v>65.674999999999997</v>
      </c>
    </row>
    <row r="21" spans="1:542" x14ac:dyDescent="0.2">
      <c r="A21" s="4" t="str" cm="1">
        <f t="array" ref="A21">IF(AND(J21&lt;&gt;"",J21&lt;&gt;"No DD"),SUMPRODUCT((J$4:J$39&lt;&gt;"")*(J$4:J$39&lt;&gt;"No DD")*(F$4:F$39&gt;F21))+1,IF(J21="No DD",SUMPRODUCT((J$4:J$39="No DD")*(F$4:F$39&gt;F21))+1+SUMPRODUCT((J$4:J$39&lt;&gt;"")*(J$4:J$39&lt;&gt;"No DD")),""))</f>
        <v/>
      </c>
      <c r="B21" s="4" t="str" cm="1">
        <f t="array" ref="B21">IF(AND(J21&lt;&gt;"",J21&lt;&gt;"No DD",G21=""),SUMPRODUCT((J$4:J$39&lt;&gt;"")*(J$4:J$39&lt;&gt;"No DD")*(G$4:G$39="")*(F$4:F$39&gt;F21))+1,IF(J21="No DD",SUMPRODUCT((J$4:J$39="No DD")*(F$4:F$39&gt;F21)*(G$4:G$39=""))+1+SUMPRODUCT((J$4:J$39&lt;&gt;"")*(G$4:G$39="")*(J$4:J$39&lt;&gt;"No DD")),""))</f>
        <v/>
      </c>
      <c r="C21" s="5" t="s">
        <v>150</v>
      </c>
      <c r="D21" s="4" t="s">
        <v>3</v>
      </c>
      <c r="E21" s="4">
        <v>2007</v>
      </c>
      <c r="F21" s="9">
        <f t="shared" si="0"/>
        <v>156.81001568100527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52.5</v>
      </c>
      <c r="M21" s="8" t="str">
        <f t="shared" si="5"/>
        <v>2024 Nationals</v>
      </c>
      <c r="N21" s="8">
        <f>IF(COUNT(AQ21,AT21,BR21,BU21,CS21,CV21)&gt;1,LARGE((AQ21,AT21,BR21,BU21,CS21,CV21),2),0)</f>
        <v>39.559999999999995</v>
      </c>
      <c r="O21" s="8" t="str">
        <f t="shared" si="6"/>
        <v>2024 3rd Domestic Trial</v>
      </c>
      <c r="P21" s="8">
        <f>IF(COUNT(AQ21,AT21,BR21,BU21,CS21,CV21)&gt;2,MAX(AX21,BY21,CZ21,LARGE((AQ21,AT21,BR21,BU21,CS21,CV21),3)),IF(MAX(AX21,BY21,CZ21)&gt;0,MAX(AX21,BY21,CZ21),0))</f>
        <v>52.35</v>
      </c>
      <c r="Q21" s="8" t="str">
        <f t="shared" si="7"/>
        <v>2024 Nationals</v>
      </c>
      <c r="R21" s="8">
        <f t="shared" si="8"/>
        <v>12.4</v>
      </c>
      <c r="S21" s="8" t="str">
        <f t="shared" si="9"/>
        <v>2024 Nationals</v>
      </c>
      <c r="T21" s="8">
        <f t="shared" si="10"/>
        <v>0</v>
      </c>
      <c r="U21" s="8" t="str">
        <f t="shared" si="11"/>
        <v/>
      </c>
      <c r="V21" s="8" t="str">
        <f t="shared" si="12"/>
        <v/>
      </c>
      <c r="W21" s="11" t="str">
        <f t="shared" si="13"/>
        <v/>
      </c>
      <c r="X21" s="8" t="str">
        <f t="shared" si="14"/>
        <v/>
      </c>
      <c r="Y21" s="22">
        <v>15.8</v>
      </c>
      <c r="Z21" s="22">
        <v>9.3000000000000007</v>
      </c>
      <c r="AA21" s="22">
        <v>12.4</v>
      </c>
      <c r="AB21" s="22">
        <v>15</v>
      </c>
      <c r="AC21" s="22">
        <v>0</v>
      </c>
      <c r="AD21" s="22">
        <v>7.7</v>
      </c>
      <c r="AE21" s="22">
        <v>4.4000000000000004</v>
      </c>
      <c r="AF21" s="22">
        <v>6.2</v>
      </c>
      <c r="AG21" s="22">
        <v>7.68</v>
      </c>
      <c r="AH21" s="22">
        <v>0</v>
      </c>
      <c r="AI21" s="22">
        <v>15.5</v>
      </c>
      <c r="AJ21" s="22">
        <v>9.1999999999999993</v>
      </c>
      <c r="AK21" s="22">
        <v>12.4</v>
      </c>
      <c r="AL21" s="22">
        <v>15.25</v>
      </c>
      <c r="AM21" s="22">
        <v>0</v>
      </c>
      <c r="AN21" s="27"/>
      <c r="AO21" s="38">
        <f t="shared" si="15"/>
        <v>12.4</v>
      </c>
      <c r="AP21" s="38">
        <f t="shared" si="16"/>
        <v>15</v>
      </c>
      <c r="AQ21" s="40">
        <f t="shared" si="17"/>
        <v>52.5</v>
      </c>
      <c r="AR21" s="40">
        <f t="shared" si="18"/>
        <v>6.2</v>
      </c>
      <c r="AS21" s="40">
        <f t="shared" si="19"/>
        <v>7.68</v>
      </c>
      <c r="AT21" s="40">
        <f t="shared" si="20"/>
        <v>25.98</v>
      </c>
      <c r="AU21" s="40">
        <f t="shared" si="21"/>
        <v>52.5</v>
      </c>
      <c r="AV21" s="40">
        <f t="shared" si="22"/>
        <v>12.4</v>
      </c>
      <c r="AW21" s="40">
        <f t="shared" si="23"/>
        <v>15.25</v>
      </c>
      <c r="AX21" s="40">
        <f t="shared" si="24"/>
        <v>52.35</v>
      </c>
      <c r="AY21" s="40">
        <f t="shared" si="25"/>
        <v>104.85</v>
      </c>
      <c r="AZ21" s="26">
        <v>9</v>
      </c>
      <c r="BA21" s="26">
        <v>5.6</v>
      </c>
      <c r="BB21" s="26">
        <v>9.3000000000000007</v>
      </c>
      <c r="BC21" s="26">
        <v>10.57</v>
      </c>
      <c r="BD21" s="26">
        <v>0</v>
      </c>
      <c r="BE21" s="26">
        <v>17.7</v>
      </c>
      <c r="BF21" s="26">
        <v>9.6999999999999993</v>
      </c>
      <c r="BG21" s="26">
        <v>5.9</v>
      </c>
      <c r="BH21" s="26">
        <v>6.26</v>
      </c>
      <c r="BI21" s="26">
        <v>0</v>
      </c>
      <c r="BJ21" s="26"/>
      <c r="BK21" s="26"/>
      <c r="BL21" s="26"/>
      <c r="BM21" s="26"/>
      <c r="BN21" s="26"/>
      <c r="BO21" s="28"/>
      <c r="BP21" s="39">
        <f t="shared" si="26"/>
        <v>9.3000000000000007</v>
      </c>
      <c r="BQ21" s="39">
        <f t="shared" si="27"/>
        <v>10.57</v>
      </c>
      <c r="BR21" s="11">
        <f t="shared" si="28"/>
        <v>34.47</v>
      </c>
      <c r="BS21" s="11">
        <f t="shared" si="29"/>
        <v>5.9</v>
      </c>
      <c r="BT21" s="11">
        <f t="shared" si="30"/>
        <v>6.26</v>
      </c>
      <c r="BU21" s="11">
        <f t="shared" si="31"/>
        <v>39.559999999999995</v>
      </c>
      <c r="BV21" s="11">
        <f t="shared" si="32"/>
        <v>39.559999999999995</v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>
        <f t="shared" si="36"/>
        <v>39.559999999999995</v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 t="str">
        <f t="shared" si="48"/>
        <v/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 t="str">
        <f t="shared" si="91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4.5</v>
      </c>
      <c r="SW21" s="22">
        <f t="shared" si="219"/>
        <v>2.8</v>
      </c>
      <c r="SX21" s="22">
        <f t="shared" si="220"/>
        <v>4.6500000000000004</v>
      </c>
      <c r="SY21" s="22">
        <f t="shared" si="221"/>
        <v>5.2850000000000001</v>
      </c>
      <c r="SZ21" s="22">
        <f t="shared" si="222"/>
        <v>0</v>
      </c>
      <c r="TA21" s="22">
        <f t="shared" si="223"/>
        <v>8.85</v>
      </c>
      <c r="TB21" s="22">
        <f t="shared" si="224"/>
        <v>4.8499999999999996</v>
      </c>
      <c r="TC21" s="22">
        <f t="shared" si="225"/>
        <v>2.95</v>
      </c>
      <c r="TD21" s="22">
        <f t="shared" si="226"/>
        <v>3.13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2">
        <f t="shared" si="231"/>
        <v>0</v>
      </c>
      <c r="TJ21" s="22">
        <f t="shared" si="232"/>
        <v>0</v>
      </c>
      <c r="TK21" s="27" t="s">
        <v>46</v>
      </c>
      <c r="TL21" s="40">
        <f t="shared" si="233"/>
        <v>4.6500000000000004</v>
      </c>
      <c r="TM21" s="40">
        <f t="shared" si="234"/>
        <v>5.2850000000000001</v>
      </c>
      <c r="TN21" s="40">
        <f t="shared" si="235"/>
        <v>17.234999999999999</v>
      </c>
      <c r="TO21" s="40">
        <f t="shared" si="236"/>
        <v>2.95</v>
      </c>
      <c r="TP21" s="40">
        <f t="shared" si="237"/>
        <v>3.13</v>
      </c>
      <c r="TQ21" s="40">
        <f t="shared" si="238"/>
        <v>19.779999999999998</v>
      </c>
      <c r="TR21" s="40">
        <f t="shared" si="239"/>
        <v>19.779999999999998</v>
      </c>
      <c r="TS21" s="40" t="str">
        <f t="shared" si="240"/>
        <v/>
      </c>
      <c r="TT21" s="40" t="str">
        <f t="shared" si="241"/>
        <v/>
      </c>
      <c r="TU21" s="40" t="str">
        <f t="shared" si="242"/>
        <v/>
      </c>
      <c r="TV21" s="40">
        <f t="shared" si="243"/>
        <v>19.779999999999998</v>
      </c>
    </row>
    <row r="22" spans="1:542" x14ac:dyDescent="0.2">
      <c r="A22" s="4" t="str" cm="1">
        <f t="array" ref="A22">IF(AND(J22&lt;&gt;"",J22&lt;&gt;"No DD"),SUMPRODUCT((J$4:J$39&lt;&gt;"")*(J$4:J$39&lt;&gt;"No DD")*(F$4:F$39&gt;F22))+1,IF(J22="No DD",SUMPRODUCT((J$4:J$39="No DD")*(F$4:F$39&gt;F22))+1+SUMPRODUCT((J$4:J$39&lt;&gt;"")*(J$4:J$39&lt;&gt;"No DD")),""))</f>
        <v/>
      </c>
      <c r="B22" s="4" t="str" cm="1">
        <f t="array" ref="B22">IF(AND(J22&lt;&gt;"",J22&lt;&gt;"No DD",G22=""),SUMPRODUCT((J$4:J$39&lt;&gt;"")*(J$4:J$39&lt;&gt;"No DD")*(G$4:G$39="")*(F$4:F$39&gt;F22))+1,IF(J22="No DD",SUMPRODUCT((J$4:J$39="No DD")*(F$4:F$39&gt;F22)*(G$4:G$39=""))+1+SUMPRODUCT((J$4:J$39&lt;&gt;"")*(G$4:G$39="")*(J$4:J$39&lt;&gt;"No DD")),""))</f>
        <v/>
      </c>
      <c r="C22" s="5" t="s">
        <v>194</v>
      </c>
      <c r="D22" s="4" t="s">
        <v>6</v>
      </c>
      <c r="E22" s="4">
        <v>2006</v>
      </c>
      <c r="F22" s="9">
        <f t="shared" si="0"/>
        <v>147.0500147050048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47.989999999999995</v>
      </c>
      <c r="M22" s="8" t="str">
        <f t="shared" si="5"/>
        <v>2024 3rd Domestic Trial</v>
      </c>
      <c r="N22" s="8">
        <f>IF(COUNT(AQ22,AT22,BR22,BU22,CS22,CV22)&gt;1,LARGE((AQ22,AT22,BR22,BU22,CS22,CV22),2),0)</f>
        <v>40.04</v>
      </c>
      <c r="O22" s="8" t="str">
        <f t="shared" si="6"/>
        <v>2024 3rd Domestic Trial</v>
      </c>
      <c r="P22" s="8">
        <f>IF(COUNT(AQ22,AT22,BR22,BU22,CS22,CV22)&gt;2,MAX(AX22,BY22,CZ22,LARGE((AQ22,AT22,BR22,BU22,CS22,CV22),3)),IF(MAX(AX22,BY22,CZ22)&gt;0,MAX(AX22,BY22,CZ22),0))</f>
        <v>48.819999999999993</v>
      </c>
      <c r="Q22" s="8" t="str">
        <f t="shared" si="7"/>
        <v>2024 3rd Domestic Trial</v>
      </c>
      <c r="R22" s="8">
        <f t="shared" si="8"/>
        <v>10.199999999999999</v>
      </c>
      <c r="S22" s="8" t="str">
        <f t="shared" si="9"/>
        <v>2024 3rd Domestic Trial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 t="shared" si="15"/>
        <v/>
      </c>
      <c r="AP22" s="38" t="str">
        <f t="shared" si="16"/>
        <v/>
      </c>
      <c r="AQ22" s="40" t="str">
        <f t="shared" si="17"/>
        <v/>
      </c>
      <c r="AR22" s="40" t="str">
        <f t="shared" si="18"/>
        <v/>
      </c>
      <c r="AS22" s="40" t="str">
        <f t="shared" si="19"/>
        <v/>
      </c>
      <c r="AT22" s="40" t="str">
        <f t="shared" si="20"/>
        <v/>
      </c>
      <c r="AU22" s="40" t="str">
        <f t="shared" si="21"/>
        <v/>
      </c>
      <c r="AV22" s="40" t="str">
        <f t="shared" si="22"/>
        <v/>
      </c>
      <c r="AW22" s="40" t="str">
        <f t="shared" si="23"/>
        <v/>
      </c>
      <c r="AX22" s="40" t="str">
        <f t="shared" si="24"/>
        <v/>
      </c>
      <c r="AY22" s="40" t="str">
        <f t="shared" si="25"/>
        <v/>
      </c>
      <c r="AZ22" s="26">
        <v>11.7</v>
      </c>
      <c r="BA22" s="26">
        <v>8</v>
      </c>
      <c r="BB22" s="26">
        <v>7.5</v>
      </c>
      <c r="BC22" s="26">
        <v>12.84</v>
      </c>
      <c r="BD22" s="26">
        <v>0</v>
      </c>
      <c r="BE22" s="26">
        <v>13.2</v>
      </c>
      <c r="BF22" s="26">
        <v>9.5</v>
      </c>
      <c r="BG22" s="26">
        <v>10.199999999999999</v>
      </c>
      <c r="BH22" s="26">
        <v>15.09</v>
      </c>
      <c r="BI22" s="26">
        <v>0</v>
      </c>
      <c r="BJ22" s="26">
        <v>14</v>
      </c>
      <c r="BK22" s="26">
        <v>9.6</v>
      </c>
      <c r="BL22" s="26">
        <v>10.199999999999999</v>
      </c>
      <c r="BM22" s="26">
        <v>15.02</v>
      </c>
      <c r="BN22" s="26">
        <v>0</v>
      </c>
      <c r="BO22" s="28"/>
      <c r="BP22" s="39">
        <f t="shared" si="26"/>
        <v>7.5</v>
      </c>
      <c r="BQ22" s="39">
        <f t="shared" si="27"/>
        <v>12.84</v>
      </c>
      <c r="BR22" s="11">
        <f t="shared" si="28"/>
        <v>40.04</v>
      </c>
      <c r="BS22" s="11">
        <f t="shared" si="29"/>
        <v>10.199999999999999</v>
      </c>
      <c r="BT22" s="11">
        <f t="shared" si="30"/>
        <v>15.09</v>
      </c>
      <c r="BU22" s="11">
        <f t="shared" si="31"/>
        <v>47.989999999999995</v>
      </c>
      <c r="BV22" s="11">
        <f t="shared" si="32"/>
        <v>47.989999999999995</v>
      </c>
      <c r="BW22" s="11">
        <f t="shared" si="33"/>
        <v>10.199999999999999</v>
      </c>
      <c r="BX22" s="11">
        <f t="shared" si="34"/>
        <v>15.02</v>
      </c>
      <c r="BY22" s="11">
        <f t="shared" si="35"/>
        <v>48.819999999999993</v>
      </c>
      <c r="BZ22" s="11">
        <f t="shared" si="36"/>
        <v>96.809999999999988</v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7"/>
        <v/>
      </c>
      <c r="CR22" s="38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 t="str">
        <f t="shared" si="47"/>
        <v/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5.85</v>
      </c>
      <c r="SW22" s="22">
        <f t="shared" si="219"/>
        <v>4</v>
      </c>
      <c r="SX22" s="22">
        <f t="shared" si="220"/>
        <v>3.75</v>
      </c>
      <c r="SY22" s="22">
        <f t="shared" si="221"/>
        <v>6.42</v>
      </c>
      <c r="SZ22" s="22">
        <f t="shared" si="222"/>
        <v>0</v>
      </c>
      <c r="TA22" s="22">
        <f t="shared" si="223"/>
        <v>6.6</v>
      </c>
      <c r="TB22" s="22">
        <f t="shared" si="224"/>
        <v>4.75</v>
      </c>
      <c r="TC22" s="22">
        <f t="shared" si="225"/>
        <v>5.0999999999999996</v>
      </c>
      <c r="TD22" s="22">
        <f t="shared" si="226"/>
        <v>7.5449999999999999</v>
      </c>
      <c r="TE22" s="22">
        <f t="shared" si="227"/>
        <v>0</v>
      </c>
      <c r="TF22" s="22">
        <f t="shared" si="228"/>
        <v>7</v>
      </c>
      <c r="TG22" s="22">
        <f t="shared" si="229"/>
        <v>4.8</v>
      </c>
      <c r="TH22" s="22">
        <f t="shared" si="230"/>
        <v>5.0999999999999996</v>
      </c>
      <c r="TI22" s="22">
        <f t="shared" si="231"/>
        <v>7.51</v>
      </c>
      <c r="TJ22" s="22">
        <f t="shared" si="232"/>
        <v>0</v>
      </c>
      <c r="TK22" s="27" t="s">
        <v>46</v>
      </c>
      <c r="TL22" s="40">
        <f t="shared" si="233"/>
        <v>3.75</v>
      </c>
      <c r="TM22" s="40">
        <f t="shared" si="234"/>
        <v>6.42</v>
      </c>
      <c r="TN22" s="40">
        <f t="shared" si="235"/>
        <v>20.02</v>
      </c>
      <c r="TO22" s="40">
        <f t="shared" si="236"/>
        <v>5.0999999999999996</v>
      </c>
      <c r="TP22" s="40">
        <f t="shared" si="237"/>
        <v>7.5449999999999999</v>
      </c>
      <c r="TQ22" s="40">
        <f t="shared" si="238"/>
        <v>23.994999999999997</v>
      </c>
      <c r="TR22" s="40">
        <f t="shared" si="239"/>
        <v>23.994999999999997</v>
      </c>
      <c r="TS22" s="40">
        <f t="shared" si="240"/>
        <v>5.0999999999999996</v>
      </c>
      <c r="TT22" s="40">
        <f t="shared" si="241"/>
        <v>7.51</v>
      </c>
      <c r="TU22" s="40">
        <f t="shared" si="242"/>
        <v>24.409999999999997</v>
      </c>
      <c r="TV22" s="40">
        <f t="shared" si="243"/>
        <v>48.404999999999994</v>
      </c>
    </row>
    <row r="23" spans="1:542" x14ac:dyDescent="0.2">
      <c r="A23" s="4" t="str" cm="1">
        <f t="array" ref="A23">IF(AND(J23&lt;&gt;"",J23&lt;&gt;"No DD"),SUMPRODUCT((J$4:J$39&lt;&gt;"")*(J$4:J$39&lt;&gt;"No DD")*(F$4:F$39&gt;F23))+1,IF(J23="No DD",SUMPRODUCT((J$4:J$39="No DD")*(F$4:F$39&gt;F23))+1+SUMPRODUCT((J$4:J$39&lt;&gt;"")*(J$4:J$39&lt;&gt;"No DD")),""))</f>
        <v/>
      </c>
      <c r="B23" s="4" t="str" cm="1">
        <f t="array" ref="B23">IF(AND(J23&lt;&gt;"",J23&lt;&gt;"No DD",G23=""),SUMPRODUCT((J$4:J$39&lt;&gt;"")*(J$4:J$39&lt;&gt;"No DD")*(G$4:G$39="")*(F$4:F$39&gt;F23))+1,IF(J23="No DD",SUMPRODUCT((J$4:J$39="No DD")*(F$4:F$39&gt;F23)*(G$4:G$39=""))+1+SUMPRODUCT((J$4:J$39&lt;&gt;"")*(G$4:G$39="")*(J$4:J$39&lt;&gt;"No DD")),""))</f>
        <v/>
      </c>
      <c r="C23" s="5" t="s">
        <v>103</v>
      </c>
      <c r="D23" s="4" t="s">
        <v>4</v>
      </c>
      <c r="E23" s="4">
        <v>2005</v>
      </c>
      <c r="F23" s="9">
        <f t="shared" si="0"/>
        <v>146.74001467400473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47.1</v>
      </c>
      <c r="M23" s="8" t="str">
        <f t="shared" si="5"/>
        <v>2024 Nationals</v>
      </c>
      <c r="N23" s="8">
        <f>IF(COUNT(AQ23,AT23,BR23,BU23,CS23,CV23)&gt;1,LARGE((AQ23,AT23,BR23,BU23,CS23,CV23),2),0)</f>
        <v>45.129999999999995</v>
      </c>
      <c r="O23" s="8" t="str">
        <f t="shared" si="6"/>
        <v>2025 Elite Canada</v>
      </c>
      <c r="P23" s="8">
        <f>IF(COUNT(AQ23,AT23,BR23,BU23,CS23,CV23)&gt;2,MAX(AX23,BY23,CZ23,LARGE((AQ23,AT23,BR23,BU23,CS23,CV23),3)),IF(MAX(AX23,BY23,CZ23)&gt;0,MAX(AX23,BY23,CZ23),0))</f>
        <v>43.71</v>
      </c>
      <c r="Q23" s="8" t="str">
        <f t="shared" si="7"/>
        <v>2024 Nationals</v>
      </c>
      <c r="R23" s="8">
        <f t="shared" si="8"/>
        <v>10.8</v>
      </c>
      <c r="S23" s="8" t="str">
        <f t="shared" si="9"/>
        <v>2024 3rd Domestic Trial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10.199999999999999</v>
      </c>
      <c r="Z23" s="22">
        <v>8.6999999999999993</v>
      </c>
      <c r="AA23" s="22">
        <v>9.8000000000000007</v>
      </c>
      <c r="AB23" s="22">
        <v>15.01</v>
      </c>
      <c r="AC23" s="22">
        <v>0</v>
      </c>
      <c r="AD23" s="22">
        <v>12.3</v>
      </c>
      <c r="AE23" s="22">
        <v>8.9</v>
      </c>
      <c r="AF23" s="22">
        <v>10.5</v>
      </c>
      <c r="AG23" s="22">
        <v>15.4</v>
      </c>
      <c r="AH23" s="22">
        <v>0</v>
      </c>
      <c r="AI23" s="22"/>
      <c r="AJ23" s="22"/>
      <c r="AK23" s="22"/>
      <c r="AL23" s="22"/>
      <c r="AM23" s="22"/>
      <c r="AN23" s="27"/>
      <c r="AO23" s="38">
        <f t="shared" si="15"/>
        <v>9.8000000000000007</v>
      </c>
      <c r="AP23" s="38">
        <f t="shared" si="16"/>
        <v>15.01</v>
      </c>
      <c r="AQ23" s="40">
        <f t="shared" si="17"/>
        <v>43.71</v>
      </c>
      <c r="AR23" s="40">
        <f t="shared" si="18"/>
        <v>10.5</v>
      </c>
      <c r="AS23" s="40">
        <f t="shared" si="19"/>
        <v>15.4</v>
      </c>
      <c r="AT23" s="40">
        <f t="shared" si="20"/>
        <v>47.1</v>
      </c>
      <c r="AU23" s="40">
        <f t="shared" si="21"/>
        <v>47.1</v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>
        <f t="shared" si="25"/>
        <v>47.1</v>
      </c>
      <c r="AZ23" s="26">
        <v>7.4</v>
      </c>
      <c r="BA23" s="26">
        <v>4.4000000000000004</v>
      </c>
      <c r="BB23" s="26">
        <v>6.9</v>
      </c>
      <c r="BC23" s="26">
        <v>8.5299999999999994</v>
      </c>
      <c r="BD23" s="26">
        <v>0</v>
      </c>
      <c r="BE23" s="26">
        <v>11.6</v>
      </c>
      <c r="BF23" s="26">
        <v>7.3</v>
      </c>
      <c r="BG23" s="26">
        <v>10.8</v>
      </c>
      <c r="BH23" s="26">
        <v>13.46</v>
      </c>
      <c r="BI23" s="26">
        <v>0</v>
      </c>
      <c r="BJ23" s="26"/>
      <c r="BK23" s="26"/>
      <c r="BL23" s="26"/>
      <c r="BM23" s="26"/>
      <c r="BN23" s="26"/>
      <c r="BO23" s="28"/>
      <c r="BP23" s="39">
        <f t="shared" si="26"/>
        <v>6.9</v>
      </c>
      <c r="BQ23" s="39">
        <f t="shared" si="27"/>
        <v>8.5299999999999994</v>
      </c>
      <c r="BR23" s="11">
        <f t="shared" si="28"/>
        <v>27.230000000000004</v>
      </c>
      <c r="BS23" s="11">
        <f t="shared" si="29"/>
        <v>10.8</v>
      </c>
      <c r="BT23" s="11">
        <f t="shared" si="30"/>
        <v>13.46</v>
      </c>
      <c r="BU23" s="11">
        <f t="shared" si="31"/>
        <v>43.16</v>
      </c>
      <c r="BV23" s="11">
        <f t="shared" si="32"/>
        <v>43.16</v>
      </c>
      <c r="BW23" s="11" t="str">
        <f t="shared" si="33"/>
        <v/>
      </c>
      <c r="BX23" s="11" t="str">
        <f t="shared" si="34"/>
        <v/>
      </c>
      <c r="BY23" s="11" t="str">
        <f t="shared" si="35"/>
        <v/>
      </c>
      <c r="BZ23" s="11">
        <f t="shared" si="36"/>
        <v>43.16</v>
      </c>
      <c r="CA23" s="22">
        <v>8.8000000000000007</v>
      </c>
      <c r="CB23" s="22">
        <v>6.55</v>
      </c>
      <c r="CC23" s="22">
        <v>8.3500000000000014</v>
      </c>
      <c r="CD23" s="22">
        <v>11.77</v>
      </c>
      <c r="CE23" s="22">
        <v>0</v>
      </c>
      <c r="CF23" s="22">
        <v>11.95</v>
      </c>
      <c r="CG23" s="22">
        <v>8.1</v>
      </c>
      <c r="CH23" s="22">
        <v>10.65</v>
      </c>
      <c r="CI23" s="22">
        <v>14.43</v>
      </c>
      <c r="CJ23" s="22">
        <v>0</v>
      </c>
      <c r="CK23" s="22">
        <v>0</v>
      </c>
      <c r="CL23" s="22">
        <v>0</v>
      </c>
      <c r="CM23" s="22">
        <v>0</v>
      </c>
      <c r="CN23" s="22">
        <v>0</v>
      </c>
      <c r="CO23" s="22">
        <v>0</v>
      </c>
      <c r="CP23" s="27" t="s">
        <v>46</v>
      </c>
      <c r="CQ23" s="38">
        <f t="shared" si="37"/>
        <v>8.3500000000000014</v>
      </c>
      <c r="CR23" s="38">
        <f t="shared" si="38"/>
        <v>11.77</v>
      </c>
      <c r="CS23" s="40">
        <f t="shared" si="39"/>
        <v>35.47</v>
      </c>
      <c r="CT23" s="40">
        <f t="shared" si="40"/>
        <v>10.65</v>
      </c>
      <c r="CU23" s="40">
        <f t="shared" si="41"/>
        <v>14.43</v>
      </c>
      <c r="CV23" s="40">
        <f t="shared" si="42"/>
        <v>45.129999999999995</v>
      </c>
      <c r="CW23" s="40">
        <f t="shared" si="43"/>
        <v>45.129999999999995</v>
      </c>
      <c r="CX23" s="40" t="str">
        <f t="shared" si="44"/>
        <v/>
      </c>
      <c r="CY23" s="40" t="str">
        <f t="shared" si="45"/>
        <v/>
      </c>
      <c r="CZ23" s="40" t="str">
        <f t="shared" si="46"/>
        <v/>
      </c>
      <c r="DA23" s="40">
        <f t="shared" si="47"/>
        <v>45.129999999999995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8.8000000000000007</v>
      </c>
      <c r="SW23" s="22">
        <f t="shared" si="219"/>
        <v>6.55</v>
      </c>
      <c r="SX23" s="22">
        <f t="shared" si="220"/>
        <v>8.3500000000000014</v>
      </c>
      <c r="SY23" s="22">
        <f t="shared" si="221"/>
        <v>11.77</v>
      </c>
      <c r="SZ23" s="22">
        <f t="shared" si="222"/>
        <v>0</v>
      </c>
      <c r="TA23" s="22">
        <f t="shared" si="223"/>
        <v>11.95</v>
      </c>
      <c r="TB23" s="22">
        <f t="shared" si="224"/>
        <v>8.1</v>
      </c>
      <c r="TC23" s="22">
        <f t="shared" si="225"/>
        <v>10.65</v>
      </c>
      <c r="TD23" s="22">
        <f t="shared" si="226"/>
        <v>14.43</v>
      </c>
      <c r="TE23" s="22">
        <f t="shared" si="227"/>
        <v>0</v>
      </c>
      <c r="TF23" s="22">
        <f t="shared" si="228"/>
        <v>0</v>
      </c>
      <c r="TG23" s="22">
        <f t="shared" si="229"/>
        <v>0</v>
      </c>
      <c r="TH23" s="22">
        <f t="shared" si="230"/>
        <v>0</v>
      </c>
      <c r="TI23" s="22">
        <f t="shared" si="231"/>
        <v>0</v>
      </c>
      <c r="TJ23" s="22">
        <f t="shared" si="232"/>
        <v>0</v>
      </c>
      <c r="TK23" s="27" t="s">
        <v>46</v>
      </c>
      <c r="TL23" s="40">
        <f t="shared" si="233"/>
        <v>8.3500000000000014</v>
      </c>
      <c r="TM23" s="40">
        <f t="shared" si="234"/>
        <v>11.77</v>
      </c>
      <c r="TN23" s="40">
        <f t="shared" si="235"/>
        <v>35.47</v>
      </c>
      <c r="TO23" s="40">
        <f t="shared" si="236"/>
        <v>10.65</v>
      </c>
      <c r="TP23" s="40">
        <f t="shared" si="237"/>
        <v>14.43</v>
      </c>
      <c r="TQ23" s="40">
        <f t="shared" si="238"/>
        <v>45.129999999999995</v>
      </c>
      <c r="TR23" s="40">
        <f t="shared" si="239"/>
        <v>45.129999999999995</v>
      </c>
      <c r="TS23" s="40" t="str">
        <f t="shared" si="240"/>
        <v/>
      </c>
      <c r="TT23" s="40" t="str">
        <f t="shared" si="241"/>
        <v/>
      </c>
      <c r="TU23" s="40" t="str">
        <f t="shared" si="242"/>
        <v/>
      </c>
      <c r="TV23" s="40">
        <f t="shared" si="243"/>
        <v>45.129999999999995</v>
      </c>
    </row>
    <row r="24" spans="1:542" x14ac:dyDescent="0.2">
      <c r="A24" s="4" t="str" cm="1">
        <f t="array" ref="A24">IF(AND(J24&lt;&gt;"",J24&lt;&gt;"No DD"),SUMPRODUCT((J$4:J$39&lt;&gt;"")*(J$4:J$39&lt;&gt;"No DD")*(F$4:F$39&gt;F24))+1,IF(J24="No DD",SUMPRODUCT((J$4:J$39="No DD")*(F$4:F$39&gt;F24))+1+SUMPRODUCT((J$4:J$39&lt;&gt;"")*(J$4:J$39&lt;&gt;"No DD")),""))</f>
        <v/>
      </c>
      <c r="B24" s="4" t="str" cm="1">
        <f t="array" ref="B24">IF(AND(J24&lt;&gt;"",J24&lt;&gt;"No DD",G24=""),SUMPRODUCT((J$4:J$39&lt;&gt;"")*(J$4:J$39&lt;&gt;"No DD")*(G$4:G$39="")*(F$4:F$39&gt;F24))+1,IF(J24="No DD",SUMPRODUCT((J$4:J$39="No DD")*(F$4:F$39&gt;F24)*(G$4:G$39=""))+1+SUMPRODUCT((J$4:J$39&lt;&gt;"")*(G$4:G$39="")*(J$4:J$39&lt;&gt;"No DD")),""))</f>
        <v/>
      </c>
      <c r="C24" s="5" t="s">
        <v>159</v>
      </c>
      <c r="D24" s="4" t="s">
        <v>5</v>
      </c>
      <c r="E24" s="4">
        <v>2007</v>
      </c>
      <c r="F24" s="9">
        <f t="shared" si="0"/>
        <v>146.37001463700474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47.58</v>
      </c>
      <c r="M24" s="8" t="str">
        <f t="shared" si="5"/>
        <v>2024 3rd Domestic Trial</v>
      </c>
      <c r="N24" s="8">
        <f>IF(COUNT(AQ24,AT24,BR24,BU24,CS24,CV24)&gt;1,LARGE((AQ24,AT24,BR24,BU24,CS24,CV24),2),0)</f>
        <v>44.419999999999995</v>
      </c>
      <c r="O24" s="8" t="str">
        <f t="shared" si="6"/>
        <v>2024 Nationals</v>
      </c>
      <c r="P24" s="8">
        <f>IF(COUNT(AQ24,AT24,BR24,BU24,CS24,CV24)&gt;2,MAX(AX24,BY24,CZ24,LARGE((AQ24,AT24,BR24,BU24,CS24,CV24),3)),IF(MAX(AX24,BY24,CZ24)&gt;0,MAX(AX24,BY24,CZ24),0))</f>
        <v>43.37</v>
      </c>
      <c r="Q24" s="8" t="str">
        <f t="shared" si="7"/>
        <v>2024 Nationals</v>
      </c>
      <c r="R24" s="8">
        <f t="shared" si="8"/>
        <v>11</v>
      </c>
      <c r="S24" s="8" t="str">
        <f t="shared" si="9"/>
        <v>2024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11.5</v>
      </c>
      <c r="Z24" s="22">
        <v>8.1999999999999993</v>
      </c>
      <c r="AA24" s="22">
        <v>11</v>
      </c>
      <c r="AB24" s="22">
        <v>12.67</v>
      </c>
      <c r="AC24" s="22">
        <v>0</v>
      </c>
      <c r="AD24" s="22">
        <v>12.5</v>
      </c>
      <c r="AE24" s="22">
        <v>9</v>
      </c>
      <c r="AF24" s="22">
        <v>8.9</v>
      </c>
      <c r="AG24" s="22">
        <v>14.22</v>
      </c>
      <c r="AH24" s="22">
        <v>0.2</v>
      </c>
      <c r="AI24" s="22"/>
      <c r="AJ24" s="22"/>
      <c r="AK24" s="22"/>
      <c r="AL24" s="22"/>
      <c r="AM24" s="22"/>
      <c r="AN24" s="27"/>
      <c r="AO24" s="38">
        <f t="shared" si="15"/>
        <v>11</v>
      </c>
      <c r="AP24" s="38">
        <f t="shared" si="16"/>
        <v>12.67</v>
      </c>
      <c r="AQ24" s="40">
        <f t="shared" si="17"/>
        <v>43.37</v>
      </c>
      <c r="AR24" s="40">
        <f t="shared" si="18"/>
        <v>8.9</v>
      </c>
      <c r="AS24" s="40">
        <f t="shared" si="19"/>
        <v>14.22</v>
      </c>
      <c r="AT24" s="40">
        <f t="shared" si="20"/>
        <v>44.419999999999995</v>
      </c>
      <c r="AU24" s="40">
        <f t="shared" si="21"/>
        <v>44.419999999999995</v>
      </c>
      <c r="AV24" s="40" t="str">
        <f t="shared" si="22"/>
        <v/>
      </c>
      <c r="AW24" s="40" t="str">
        <f t="shared" si="23"/>
        <v/>
      </c>
      <c r="AX24" s="40" t="str">
        <f t="shared" si="24"/>
        <v/>
      </c>
      <c r="AY24" s="40">
        <f t="shared" si="25"/>
        <v>44.419999999999995</v>
      </c>
      <c r="AZ24" s="26">
        <v>5.3</v>
      </c>
      <c r="BA24" s="26">
        <v>3.7</v>
      </c>
      <c r="BB24" s="26">
        <v>5.6</v>
      </c>
      <c r="BC24" s="26">
        <v>5.95</v>
      </c>
      <c r="BD24" s="26">
        <v>0</v>
      </c>
      <c r="BE24" s="26">
        <v>12.7</v>
      </c>
      <c r="BF24" s="26">
        <v>9.3000000000000007</v>
      </c>
      <c r="BG24" s="26">
        <v>10.8</v>
      </c>
      <c r="BH24" s="26">
        <v>14.78</v>
      </c>
      <c r="BI24" s="26">
        <v>0</v>
      </c>
      <c r="BJ24" s="26">
        <v>9.1</v>
      </c>
      <c r="BK24" s="26">
        <v>6.4</v>
      </c>
      <c r="BL24" s="26">
        <v>8.3000000000000007</v>
      </c>
      <c r="BM24" s="26">
        <v>10.34</v>
      </c>
      <c r="BN24" s="26">
        <v>0</v>
      </c>
      <c r="BO24" s="28"/>
      <c r="BP24" s="39">
        <f t="shared" si="26"/>
        <v>5.6</v>
      </c>
      <c r="BQ24" s="39">
        <f t="shared" si="27"/>
        <v>5.95</v>
      </c>
      <c r="BR24" s="11">
        <f t="shared" si="28"/>
        <v>20.55</v>
      </c>
      <c r="BS24" s="11">
        <f t="shared" si="29"/>
        <v>10.8</v>
      </c>
      <c r="BT24" s="11">
        <f t="shared" si="30"/>
        <v>14.78</v>
      </c>
      <c r="BU24" s="11">
        <f t="shared" si="31"/>
        <v>47.58</v>
      </c>
      <c r="BV24" s="11">
        <f t="shared" si="32"/>
        <v>47.58</v>
      </c>
      <c r="BW24" s="11">
        <f t="shared" si="33"/>
        <v>8.3000000000000007</v>
      </c>
      <c r="BX24" s="11">
        <f t="shared" si="34"/>
        <v>10.34</v>
      </c>
      <c r="BY24" s="11">
        <f t="shared" si="35"/>
        <v>34.14</v>
      </c>
      <c r="BZ24" s="11">
        <f t="shared" si="36"/>
        <v>81.72</v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2.65</v>
      </c>
      <c r="SW24" s="22">
        <f t="shared" si="219"/>
        <v>1.85</v>
      </c>
      <c r="SX24" s="22">
        <f t="shared" si="220"/>
        <v>2.8</v>
      </c>
      <c r="SY24" s="22">
        <f t="shared" si="221"/>
        <v>2.9750000000000001</v>
      </c>
      <c r="SZ24" s="22">
        <f t="shared" si="222"/>
        <v>0</v>
      </c>
      <c r="TA24" s="22">
        <f t="shared" si="223"/>
        <v>6.35</v>
      </c>
      <c r="TB24" s="22">
        <f t="shared" si="224"/>
        <v>4.6500000000000004</v>
      </c>
      <c r="TC24" s="22">
        <f t="shared" si="225"/>
        <v>5.4</v>
      </c>
      <c r="TD24" s="22">
        <f t="shared" si="226"/>
        <v>7.39</v>
      </c>
      <c r="TE24" s="22">
        <f t="shared" si="227"/>
        <v>0</v>
      </c>
      <c r="TF24" s="22">
        <f t="shared" si="228"/>
        <v>4.55</v>
      </c>
      <c r="TG24" s="22">
        <f t="shared" si="229"/>
        <v>3.2</v>
      </c>
      <c r="TH24" s="22">
        <f t="shared" si="230"/>
        <v>4.1500000000000004</v>
      </c>
      <c r="TI24" s="22">
        <f t="shared" si="231"/>
        <v>5.17</v>
      </c>
      <c r="TJ24" s="22">
        <f t="shared" si="232"/>
        <v>0</v>
      </c>
      <c r="TK24" s="27" t="s">
        <v>46</v>
      </c>
      <c r="TL24" s="40">
        <f t="shared" si="233"/>
        <v>2.8</v>
      </c>
      <c r="TM24" s="40">
        <f t="shared" si="234"/>
        <v>2.9750000000000001</v>
      </c>
      <c r="TN24" s="40">
        <f t="shared" si="235"/>
        <v>10.275</v>
      </c>
      <c r="TO24" s="40">
        <f t="shared" si="236"/>
        <v>5.4</v>
      </c>
      <c r="TP24" s="40">
        <f t="shared" si="237"/>
        <v>7.39</v>
      </c>
      <c r="TQ24" s="40">
        <f t="shared" si="238"/>
        <v>23.79</v>
      </c>
      <c r="TR24" s="40">
        <f t="shared" si="239"/>
        <v>23.79</v>
      </c>
      <c r="TS24" s="40">
        <f t="shared" si="240"/>
        <v>4.1500000000000004</v>
      </c>
      <c r="TT24" s="40">
        <f t="shared" si="241"/>
        <v>5.17</v>
      </c>
      <c r="TU24" s="40">
        <f t="shared" si="242"/>
        <v>17.07</v>
      </c>
      <c r="TV24" s="40">
        <f t="shared" si="243"/>
        <v>40.86</v>
      </c>
    </row>
    <row r="25" spans="1:542" x14ac:dyDescent="0.2">
      <c r="A25" s="4" t="str" cm="1">
        <f t="array" ref="A25">IF(AND(J25&lt;&gt;"",J25&lt;&gt;"No DD"),SUMPRODUCT((J$4:J$39&lt;&gt;"")*(J$4:J$39&lt;&gt;"No DD")*(F$4:F$39&gt;F25))+1,IF(J25="No DD",SUMPRODUCT((J$4:J$39="No DD")*(F$4:F$39&gt;F25))+1+SUMPRODUCT((J$4:J$39&lt;&gt;"")*(J$4:J$39&lt;&gt;"No DD")),""))</f>
        <v/>
      </c>
      <c r="B25" s="4" t="str" cm="1">
        <f t="array" ref="B25">IF(AND(J25&lt;&gt;"",J25&lt;&gt;"No DD",G25=""),SUMPRODUCT((J$4:J$39&lt;&gt;"")*(J$4:J$39&lt;&gt;"No DD")*(G$4:G$39="")*(F$4:F$39&gt;F25))+1,IF(J25="No DD",SUMPRODUCT((J$4:J$39="No DD")*(F$4:F$39&gt;F25)*(G$4:G$39=""))+1+SUMPRODUCT((J$4:J$39&lt;&gt;"")*(G$4:G$39="")*(J$4:J$39&lt;&gt;"No DD")),""))</f>
        <v/>
      </c>
      <c r="C25" s="5" t="s">
        <v>160</v>
      </c>
      <c r="D25" s="4" t="s">
        <v>6</v>
      </c>
      <c r="E25" s="4">
        <v>2007</v>
      </c>
      <c r="F25" s="9">
        <f t="shared" si="0"/>
        <v>142.63001426300522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52</v>
      </c>
      <c r="M25" s="8" t="str">
        <f t="shared" si="5"/>
        <v>2024 Nationals</v>
      </c>
      <c r="N25" s="8">
        <f>IF(COUNT(AQ25,AT25,BR25,BU25,CS25,CV25)&gt;1,LARGE((AQ25,AT25,BR25,BU25,CS25,CV25),2),0)</f>
        <v>28.09</v>
      </c>
      <c r="O25" s="8" t="str">
        <f t="shared" si="6"/>
        <v>2024 Nationals</v>
      </c>
      <c r="P25" s="8">
        <f>IF(COUNT(AQ25,AT25,BR25,BU25,CS25,CV25)&gt;2,MAX(AX25,BY25,CZ25,LARGE((AQ25,AT25,BR25,BU25,CS25,CV25),3)),IF(MAX(AX25,BY25,CZ25)&gt;0,MAX(AX25,BY25,CZ25),0))</f>
        <v>52.14</v>
      </c>
      <c r="Q25" s="8" t="str">
        <f t="shared" si="7"/>
        <v>2024 Nationals</v>
      </c>
      <c r="R25" s="8">
        <f t="shared" si="8"/>
        <v>10.4</v>
      </c>
      <c r="S25" s="8" t="str">
        <f t="shared" si="9"/>
        <v>2024 Nationals</v>
      </c>
      <c r="T25" s="8">
        <f t="shared" si="10"/>
        <v>0</v>
      </c>
      <c r="U25" s="8" t="str">
        <f t="shared" si="11"/>
        <v/>
      </c>
      <c r="V25" s="8" t="str">
        <f t="shared" si="12"/>
        <v/>
      </c>
      <c r="W25" s="11" t="str">
        <f t="shared" si="13"/>
        <v/>
      </c>
      <c r="X25" s="8" t="str">
        <f t="shared" si="14"/>
        <v/>
      </c>
      <c r="Y25" s="22">
        <v>16.399999999999999</v>
      </c>
      <c r="Z25" s="22">
        <v>9</v>
      </c>
      <c r="AA25" s="22">
        <v>10.4</v>
      </c>
      <c r="AB25" s="22">
        <v>16.2</v>
      </c>
      <c r="AC25" s="22">
        <v>0</v>
      </c>
      <c r="AD25" s="22">
        <v>8.9</v>
      </c>
      <c r="AE25" s="22">
        <v>4.5999999999999996</v>
      </c>
      <c r="AF25" s="22">
        <v>6.3</v>
      </c>
      <c r="AG25" s="22">
        <v>8.2899999999999991</v>
      </c>
      <c r="AH25" s="22">
        <v>0</v>
      </c>
      <c r="AI25" s="22">
        <v>16.7</v>
      </c>
      <c r="AJ25" s="22">
        <v>9.3000000000000007</v>
      </c>
      <c r="AK25" s="22">
        <v>10.4</v>
      </c>
      <c r="AL25" s="22">
        <v>15.74</v>
      </c>
      <c r="AM25" s="22">
        <v>0</v>
      </c>
      <c r="AN25" s="27"/>
      <c r="AO25" s="38">
        <f t="shared" si="15"/>
        <v>10.4</v>
      </c>
      <c r="AP25" s="38">
        <f t="shared" si="16"/>
        <v>16.2</v>
      </c>
      <c r="AQ25" s="40">
        <f t="shared" si="17"/>
        <v>52</v>
      </c>
      <c r="AR25" s="40">
        <f t="shared" si="18"/>
        <v>6.3</v>
      </c>
      <c r="AS25" s="40">
        <f t="shared" si="19"/>
        <v>8.2899999999999991</v>
      </c>
      <c r="AT25" s="40">
        <f t="shared" si="20"/>
        <v>28.09</v>
      </c>
      <c r="AU25" s="40">
        <f t="shared" si="21"/>
        <v>52</v>
      </c>
      <c r="AV25" s="40">
        <f t="shared" si="22"/>
        <v>10.4</v>
      </c>
      <c r="AW25" s="40">
        <f t="shared" si="23"/>
        <v>15.74</v>
      </c>
      <c r="AX25" s="40">
        <f t="shared" si="24"/>
        <v>52.14</v>
      </c>
      <c r="AY25" s="40">
        <f t="shared" si="25"/>
        <v>104.14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 t="str">
        <f t="shared" si="48"/>
        <v/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 t="str">
        <f t="shared" si="91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 t="str">
        <f t="shared" si="243"/>
        <v/>
      </c>
    </row>
    <row r="26" spans="1:542" x14ac:dyDescent="0.2">
      <c r="A26" s="4" t="str" cm="1">
        <f t="array" ref="A26">IF(AND(J26&lt;&gt;"",J26&lt;&gt;"No DD"),SUMPRODUCT((J$4:J$39&lt;&gt;"")*(J$4:J$39&lt;&gt;"No DD")*(F$4:F$39&gt;F26))+1,IF(J26="No DD",SUMPRODUCT((J$4:J$39="No DD")*(F$4:F$39&gt;F26))+1+SUMPRODUCT((J$4:J$39&lt;&gt;"")*(J$4:J$39&lt;&gt;"No DD")),""))</f>
        <v/>
      </c>
      <c r="B26" s="4" t="str" cm="1">
        <f t="array" ref="B26">IF(AND(J26&lt;&gt;"",J26&lt;&gt;"No DD",G26=""),SUMPRODUCT((J$4:J$39&lt;&gt;"")*(J$4:J$39&lt;&gt;"No DD")*(G$4:G$39="")*(F$4:F$39&gt;F26))+1,IF(J26="No DD",SUMPRODUCT((J$4:J$39="No DD")*(F$4:F$39&gt;F26)*(G$4:G$39=""))+1+SUMPRODUCT((J$4:J$39&lt;&gt;"")*(G$4:G$39="")*(J$4:J$39&lt;&gt;"No DD")),""))</f>
        <v/>
      </c>
      <c r="C26" s="5" t="s">
        <v>120</v>
      </c>
      <c r="D26" s="4" t="s">
        <v>6</v>
      </c>
      <c r="E26" s="4">
        <v>2004</v>
      </c>
      <c r="F26" s="9">
        <f t="shared" si="0"/>
        <v>140.14001401400441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43.96</v>
      </c>
      <c r="M26" s="8" t="str">
        <f t="shared" si="5"/>
        <v>2025 Elite Canada</v>
      </c>
      <c r="N26" s="8">
        <f>IF(COUNT(AQ26,AT26,BR26,BU26,CS26,CV26)&gt;1,LARGE((AQ26,AT26,BR26,BU26,CS26,CV26),2),0)</f>
        <v>36.6</v>
      </c>
      <c r="O26" s="8" t="str">
        <f t="shared" si="6"/>
        <v>2025 Elite Canada</v>
      </c>
      <c r="P26" s="8">
        <f>IF(COUNT(AQ26,AT26,BR26,BU26,CS26,CV26)&gt;2,MAX(AX26,BY26,CZ26,LARGE((AQ26,AT26,BR26,BU26,CS26,CV26),3)),IF(MAX(AX26,BY26,CZ26)&gt;0,MAX(AX26,BY26,CZ26),0))</f>
        <v>48.080000000000005</v>
      </c>
      <c r="Q26" s="8" t="str">
        <f t="shared" si="7"/>
        <v>2025 Elite Canada</v>
      </c>
      <c r="R26" s="8">
        <f t="shared" si="8"/>
        <v>11.5</v>
      </c>
      <c r="S26" s="8" t="str">
        <f t="shared" si="9"/>
        <v>2025 Elite Canada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 t="shared" si="15"/>
        <v/>
      </c>
      <c r="AP26" s="38" t="str">
        <f t="shared" si="16"/>
        <v/>
      </c>
      <c r="AQ26" s="40" t="str">
        <f t="shared" si="17"/>
        <v/>
      </c>
      <c r="AR26" s="40" t="str">
        <f t="shared" si="18"/>
        <v/>
      </c>
      <c r="AS26" s="40" t="str">
        <f t="shared" si="19"/>
        <v/>
      </c>
      <c r="AT26" s="40" t="str">
        <f t="shared" si="20"/>
        <v/>
      </c>
      <c r="AU26" s="40" t="str">
        <f t="shared" si="21"/>
        <v/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 t="str">
        <f t="shared" si="25"/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>
        <v>13.4</v>
      </c>
      <c r="CB26" s="22">
        <v>8.8000000000000007</v>
      </c>
      <c r="CC26" s="22">
        <v>9.9</v>
      </c>
      <c r="CD26" s="22">
        <v>14.26</v>
      </c>
      <c r="CE26" s="22">
        <v>2.4</v>
      </c>
      <c r="CF26" s="22">
        <v>9.6</v>
      </c>
      <c r="CG26" s="22">
        <v>6.4</v>
      </c>
      <c r="CH26" s="22">
        <v>9.6999999999999993</v>
      </c>
      <c r="CI26" s="22">
        <v>10.9</v>
      </c>
      <c r="CJ26" s="22">
        <v>0</v>
      </c>
      <c r="CK26" s="22">
        <v>13.8</v>
      </c>
      <c r="CL26" s="22">
        <v>8.4</v>
      </c>
      <c r="CM26" s="22">
        <v>11.5</v>
      </c>
      <c r="CN26" s="22">
        <v>15.18</v>
      </c>
      <c r="CO26" s="22">
        <v>0.8</v>
      </c>
      <c r="CP26" s="27"/>
      <c r="CQ26" s="38">
        <f t="shared" si="37"/>
        <v>9.9</v>
      </c>
      <c r="CR26" s="38">
        <f t="shared" si="38"/>
        <v>14.26</v>
      </c>
      <c r="CS26" s="40">
        <f t="shared" si="39"/>
        <v>43.96</v>
      </c>
      <c r="CT26" s="40">
        <f t="shared" si="40"/>
        <v>9.6999999999999993</v>
      </c>
      <c r="CU26" s="40">
        <f t="shared" si="41"/>
        <v>10.9</v>
      </c>
      <c r="CV26" s="40">
        <f t="shared" si="42"/>
        <v>36.6</v>
      </c>
      <c r="CW26" s="40">
        <f t="shared" si="43"/>
        <v>43.96</v>
      </c>
      <c r="CX26" s="40">
        <f t="shared" si="44"/>
        <v>11.5</v>
      </c>
      <c r="CY26" s="40">
        <f t="shared" si="45"/>
        <v>15.18</v>
      </c>
      <c r="CZ26" s="40">
        <f t="shared" si="46"/>
        <v>48.080000000000005</v>
      </c>
      <c r="DA26" s="40">
        <f t="shared" si="47"/>
        <v>92.04</v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6.7</v>
      </c>
      <c r="SW26" s="22">
        <f t="shared" si="219"/>
        <v>4.4000000000000004</v>
      </c>
      <c r="SX26" s="22">
        <f t="shared" si="220"/>
        <v>4.95</v>
      </c>
      <c r="SY26" s="22">
        <f t="shared" si="221"/>
        <v>7.13</v>
      </c>
      <c r="SZ26" s="22">
        <f t="shared" si="222"/>
        <v>1.2</v>
      </c>
      <c r="TA26" s="22">
        <f t="shared" si="223"/>
        <v>4.8</v>
      </c>
      <c r="TB26" s="22">
        <f t="shared" si="224"/>
        <v>3.2</v>
      </c>
      <c r="TC26" s="22">
        <f t="shared" si="225"/>
        <v>4.8499999999999996</v>
      </c>
      <c r="TD26" s="22">
        <f t="shared" si="226"/>
        <v>5.45</v>
      </c>
      <c r="TE26" s="22">
        <f t="shared" si="227"/>
        <v>0</v>
      </c>
      <c r="TF26" s="22">
        <f t="shared" si="228"/>
        <v>6.9</v>
      </c>
      <c r="TG26" s="22">
        <f t="shared" si="229"/>
        <v>4.2</v>
      </c>
      <c r="TH26" s="22">
        <f t="shared" si="230"/>
        <v>5.75</v>
      </c>
      <c r="TI26" s="22">
        <f t="shared" si="231"/>
        <v>7.59</v>
      </c>
      <c r="TJ26" s="22">
        <f t="shared" si="232"/>
        <v>0.4</v>
      </c>
      <c r="TK26" s="27" t="s">
        <v>46</v>
      </c>
      <c r="TL26" s="40">
        <f t="shared" si="233"/>
        <v>4.95</v>
      </c>
      <c r="TM26" s="40">
        <f t="shared" si="234"/>
        <v>7.13</v>
      </c>
      <c r="TN26" s="40">
        <f t="shared" si="235"/>
        <v>21.98</v>
      </c>
      <c r="TO26" s="40">
        <f t="shared" si="236"/>
        <v>4.8499999999999996</v>
      </c>
      <c r="TP26" s="40">
        <f t="shared" si="237"/>
        <v>5.45</v>
      </c>
      <c r="TQ26" s="40">
        <f t="shared" si="238"/>
        <v>18.3</v>
      </c>
      <c r="TR26" s="40">
        <f t="shared" si="239"/>
        <v>21.98</v>
      </c>
      <c r="TS26" s="40">
        <f t="shared" si="240"/>
        <v>5.75</v>
      </c>
      <c r="TT26" s="40">
        <f t="shared" si="241"/>
        <v>7.59</v>
      </c>
      <c r="TU26" s="40">
        <f t="shared" si="242"/>
        <v>24.040000000000003</v>
      </c>
      <c r="TV26" s="40">
        <f t="shared" si="243"/>
        <v>46.02</v>
      </c>
    </row>
    <row r="27" spans="1:542" x14ac:dyDescent="0.2">
      <c r="A27" s="4" t="str" cm="1">
        <f t="array" ref="A27">IF(AND(J27&lt;&gt;"",J27&lt;&gt;"No DD"),SUMPRODUCT((J$4:J$39&lt;&gt;"")*(J$4:J$39&lt;&gt;"No DD")*(F$4:F$39&gt;F27))+1,IF(J27="No DD",SUMPRODUCT((J$4:J$39="No DD")*(F$4:F$39&gt;F27))+1+SUMPRODUCT((J$4:J$39&lt;&gt;"")*(J$4:J$39&lt;&gt;"No DD")),""))</f>
        <v/>
      </c>
      <c r="B27" s="4" t="str" cm="1">
        <f t="array" ref="B27">IF(AND(J27&lt;&gt;"",J27&lt;&gt;"No DD",G27=""),SUMPRODUCT((J$4:J$39&lt;&gt;"")*(J$4:J$39&lt;&gt;"No DD")*(G$4:G$39="")*(F$4:F$39&gt;F27))+1,IF(J27="No DD",SUMPRODUCT((J$4:J$39="No DD")*(F$4:F$39&gt;F27)*(G$4:G$39=""))+1+SUMPRODUCT((J$4:J$39&lt;&gt;"")*(G$4:G$39="")*(J$4:J$39&lt;&gt;"No DD")),""))</f>
        <v/>
      </c>
      <c r="C27" s="5" t="s">
        <v>157</v>
      </c>
      <c r="D27" s="4" t="s">
        <v>5</v>
      </c>
      <c r="E27" s="4">
        <v>2007</v>
      </c>
      <c r="F27" s="9">
        <f t="shared" si="0"/>
        <v>135.98001359800503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50.280000000000008</v>
      </c>
      <c r="M27" s="8" t="str">
        <f t="shared" si="5"/>
        <v>2024 3rd Domestic Trial</v>
      </c>
      <c r="N27" s="8">
        <f>IF(COUNT(AQ27,AT27,BR27,BU27,CS27,CV27)&gt;1,LARGE((AQ27,AT27,BR27,BU27,CS27,CV27),2),0)</f>
        <v>46.759999999999991</v>
      </c>
      <c r="O27" s="8" t="str">
        <f t="shared" si="6"/>
        <v>2024 Nationals</v>
      </c>
      <c r="P27" s="8">
        <f>IF(COUNT(AQ27,AT27,BR27,BU27,CS27,CV27)&gt;2,MAX(AX27,BY27,CZ27,LARGE((AQ27,AT27,BR27,BU27,CS27,CV27),3)),IF(MAX(AX27,BY27,CZ27)&gt;0,MAX(AX27,BY27,CZ27),0))</f>
        <v>26.740000000000002</v>
      </c>
      <c r="Q27" s="8" t="str">
        <f t="shared" si="7"/>
        <v>2024 3rd Domestic Trial</v>
      </c>
      <c r="R27" s="8">
        <f t="shared" si="8"/>
        <v>12.2</v>
      </c>
      <c r="S27" s="8" t="str">
        <f t="shared" si="9"/>
        <v>2024 3rd Domestic Trial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>
        <v>3</v>
      </c>
      <c r="Z27" s="22">
        <v>1.6</v>
      </c>
      <c r="AA27" s="22">
        <v>2.7</v>
      </c>
      <c r="AB27" s="22">
        <v>2.95</v>
      </c>
      <c r="AC27" s="22">
        <v>0</v>
      </c>
      <c r="AD27" s="22">
        <v>14.6</v>
      </c>
      <c r="AE27" s="22">
        <v>8.8000000000000007</v>
      </c>
      <c r="AF27" s="22">
        <v>9.1999999999999993</v>
      </c>
      <c r="AG27" s="22">
        <v>14.16</v>
      </c>
      <c r="AH27" s="22">
        <v>0</v>
      </c>
      <c r="AI27" s="22"/>
      <c r="AJ27" s="22"/>
      <c r="AK27" s="22"/>
      <c r="AL27" s="22"/>
      <c r="AM27" s="22"/>
      <c r="AN27" s="27"/>
      <c r="AO27" s="38">
        <f t="shared" si="15"/>
        <v>2.7</v>
      </c>
      <c r="AP27" s="38">
        <f t="shared" si="16"/>
        <v>2.95</v>
      </c>
      <c r="AQ27" s="40">
        <f t="shared" si="17"/>
        <v>10.25</v>
      </c>
      <c r="AR27" s="40">
        <f t="shared" si="18"/>
        <v>9.1999999999999993</v>
      </c>
      <c r="AS27" s="40">
        <f t="shared" si="19"/>
        <v>14.16</v>
      </c>
      <c r="AT27" s="40">
        <f t="shared" si="20"/>
        <v>46.759999999999991</v>
      </c>
      <c r="AU27" s="40">
        <f t="shared" si="21"/>
        <v>46.759999999999991</v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>
        <f t="shared" si="25"/>
        <v>46.759999999999991</v>
      </c>
      <c r="AZ27" s="26">
        <v>7.1</v>
      </c>
      <c r="BA27" s="26">
        <v>4.5999999999999996</v>
      </c>
      <c r="BB27" s="26">
        <v>6.5</v>
      </c>
      <c r="BC27" s="26">
        <v>7.9</v>
      </c>
      <c r="BD27" s="26">
        <v>0</v>
      </c>
      <c r="BE27" s="26">
        <v>13.9</v>
      </c>
      <c r="BF27" s="26">
        <v>8.8000000000000007</v>
      </c>
      <c r="BG27" s="26">
        <v>12.2</v>
      </c>
      <c r="BH27" s="26">
        <v>15.38</v>
      </c>
      <c r="BI27" s="26">
        <v>0</v>
      </c>
      <c r="BJ27" s="26">
        <v>7.8</v>
      </c>
      <c r="BK27" s="26">
        <v>4.5</v>
      </c>
      <c r="BL27" s="26">
        <v>6.5</v>
      </c>
      <c r="BM27" s="26">
        <v>7.94</v>
      </c>
      <c r="BN27" s="26">
        <v>0</v>
      </c>
      <c r="BO27" s="28"/>
      <c r="BP27" s="39">
        <f t="shared" si="26"/>
        <v>6.5</v>
      </c>
      <c r="BQ27" s="39">
        <f t="shared" si="27"/>
        <v>7.9</v>
      </c>
      <c r="BR27" s="11">
        <f t="shared" si="28"/>
        <v>26.1</v>
      </c>
      <c r="BS27" s="11">
        <f t="shared" si="29"/>
        <v>12.2</v>
      </c>
      <c r="BT27" s="11">
        <f t="shared" si="30"/>
        <v>15.38</v>
      </c>
      <c r="BU27" s="11">
        <f t="shared" si="31"/>
        <v>50.280000000000008</v>
      </c>
      <c r="BV27" s="11">
        <f t="shared" si="32"/>
        <v>50.280000000000008</v>
      </c>
      <c r="BW27" s="11">
        <f t="shared" si="33"/>
        <v>6.5</v>
      </c>
      <c r="BX27" s="11">
        <f t="shared" si="34"/>
        <v>7.94</v>
      </c>
      <c r="BY27" s="11">
        <f t="shared" si="35"/>
        <v>26.740000000000002</v>
      </c>
      <c r="BZ27" s="11">
        <f t="shared" si="36"/>
        <v>77.02000000000001</v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7"/>
        <v/>
      </c>
      <c r="CR27" s="38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 t="str">
        <f t="shared" si="47"/>
        <v/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3.55</v>
      </c>
      <c r="SW27" s="22">
        <f t="shared" si="219"/>
        <v>2.2999999999999998</v>
      </c>
      <c r="SX27" s="22">
        <f t="shared" si="220"/>
        <v>3.25</v>
      </c>
      <c r="SY27" s="22">
        <f t="shared" si="221"/>
        <v>3.95</v>
      </c>
      <c r="SZ27" s="22">
        <f t="shared" si="222"/>
        <v>0</v>
      </c>
      <c r="TA27" s="22">
        <f t="shared" si="223"/>
        <v>6.95</v>
      </c>
      <c r="TB27" s="22">
        <f t="shared" si="224"/>
        <v>4.4000000000000004</v>
      </c>
      <c r="TC27" s="22">
        <f t="shared" si="225"/>
        <v>6.1</v>
      </c>
      <c r="TD27" s="22">
        <f t="shared" si="226"/>
        <v>7.69</v>
      </c>
      <c r="TE27" s="22">
        <f t="shared" si="227"/>
        <v>0</v>
      </c>
      <c r="TF27" s="22">
        <f t="shared" si="228"/>
        <v>3.9</v>
      </c>
      <c r="TG27" s="22">
        <f t="shared" si="229"/>
        <v>2.25</v>
      </c>
      <c r="TH27" s="22">
        <f t="shared" si="230"/>
        <v>3.25</v>
      </c>
      <c r="TI27" s="22">
        <f t="shared" si="231"/>
        <v>3.97</v>
      </c>
      <c r="TJ27" s="22">
        <f t="shared" si="232"/>
        <v>0</v>
      </c>
      <c r="TK27" s="27" t="s">
        <v>46</v>
      </c>
      <c r="TL27" s="40">
        <f t="shared" si="233"/>
        <v>3.25</v>
      </c>
      <c r="TM27" s="40">
        <f t="shared" si="234"/>
        <v>3.95</v>
      </c>
      <c r="TN27" s="40">
        <f t="shared" si="235"/>
        <v>13.05</v>
      </c>
      <c r="TO27" s="40">
        <f t="shared" si="236"/>
        <v>6.1</v>
      </c>
      <c r="TP27" s="40">
        <f t="shared" si="237"/>
        <v>7.69</v>
      </c>
      <c r="TQ27" s="40">
        <f t="shared" si="238"/>
        <v>25.140000000000004</v>
      </c>
      <c r="TR27" s="40">
        <f t="shared" si="239"/>
        <v>25.140000000000004</v>
      </c>
      <c r="TS27" s="40">
        <f t="shared" si="240"/>
        <v>3.25</v>
      </c>
      <c r="TT27" s="40">
        <f t="shared" si="241"/>
        <v>3.97</v>
      </c>
      <c r="TU27" s="40">
        <f t="shared" si="242"/>
        <v>13.370000000000001</v>
      </c>
      <c r="TV27" s="40">
        <f t="shared" si="243"/>
        <v>38.510000000000005</v>
      </c>
    </row>
    <row r="28" spans="1:542" x14ac:dyDescent="0.2">
      <c r="A28" s="4" t="str" cm="1">
        <f t="array" ref="A28">IF(AND(J28&lt;&gt;"",J28&lt;&gt;"No DD"),SUMPRODUCT((J$4:J$39&lt;&gt;"")*(J$4:J$39&lt;&gt;"No DD")*(F$4:F$39&gt;F28))+1,IF(J28="No DD",SUMPRODUCT((J$4:J$39="No DD")*(F$4:F$39&gt;F28))+1+SUMPRODUCT((J$4:J$39&lt;&gt;"")*(J$4:J$39&lt;&gt;"No DD")),""))</f>
        <v/>
      </c>
      <c r="B28" s="4" t="str" cm="1">
        <f t="array" ref="B28">IF(AND(J28&lt;&gt;"",J28&lt;&gt;"No DD",G28=""),SUMPRODUCT((J$4:J$39&lt;&gt;"")*(J$4:J$39&lt;&gt;"No DD")*(G$4:G$39="")*(F$4:F$39&gt;F28))+1,IF(J28="No DD",SUMPRODUCT((J$4:J$39="No DD")*(F$4:F$39&gt;F28)*(G$4:G$39=""))+1+SUMPRODUCT((J$4:J$39&lt;&gt;"")*(G$4:G$39="")*(J$4:J$39&lt;&gt;"No DD")),""))</f>
        <v/>
      </c>
      <c r="C28" s="5" t="s">
        <v>96</v>
      </c>
      <c r="D28" s="4" t="s">
        <v>3</v>
      </c>
      <c r="E28" s="4">
        <v>2004</v>
      </c>
      <c r="F28" s="9">
        <f t="shared" si="0"/>
        <v>126.14001261400493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49.25</v>
      </c>
      <c r="M28" s="8" t="str">
        <f t="shared" si="5"/>
        <v>2024 Nationals</v>
      </c>
      <c r="N28" s="8">
        <f>IF(COUNT(AQ28,AT28,BR28,BU28,CS28,CV28)&gt;1,LARGE((AQ28,AT28,BR28,BU28,CS28,CV28),2),0)</f>
        <v>48.64</v>
      </c>
      <c r="O28" s="8" t="str">
        <f t="shared" si="6"/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 t="shared" si="7"/>
        <v/>
      </c>
      <c r="R28" s="8">
        <f t="shared" si="8"/>
        <v>13.5</v>
      </c>
      <c r="S28" s="8" t="str">
        <f t="shared" si="9"/>
        <v>2024 Nationals</v>
      </c>
      <c r="T28" s="8">
        <f t="shared" si="10"/>
        <v>14.75</v>
      </c>
      <c r="U28" s="8" t="str">
        <f t="shared" si="11"/>
        <v>2024 Nationals</v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11.9</v>
      </c>
      <c r="Z28" s="22">
        <v>9.1</v>
      </c>
      <c r="AA28" s="22">
        <v>13.5</v>
      </c>
      <c r="AB28" s="22">
        <v>14.75</v>
      </c>
      <c r="AC28" s="22">
        <v>0</v>
      </c>
      <c r="AD28" s="22">
        <v>13.4</v>
      </c>
      <c r="AE28" s="22">
        <v>8.6999999999999993</v>
      </c>
      <c r="AF28" s="22">
        <v>11.7</v>
      </c>
      <c r="AG28" s="22">
        <v>14.84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13.5</v>
      </c>
      <c r="AP28" s="38">
        <f t="shared" si="16"/>
        <v>14.75</v>
      </c>
      <c r="AQ28" s="40">
        <f t="shared" si="17"/>
        <v>49.25</v>
      </c>
      <c r="AR28" s="40">
        <f t="shared" si="18"/>
        <v>11.7</v>
      </c>
      <c r="AS28" s="40">
        <f t="shared" si="19"/>
        <v>14.84</v>
      </c>
      <c r="AT28" s="40">
        <f t="shared" si="20"/>
        <v>48.64</v>
      </c>
      <c r="AU28" s="40">
        <f t="shared" si="21"/>
        <v>49.25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49.25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 t="shared" si="26"/>
        <v/>
      </c>
      <c r="BQ28" s="39" t="str">
        <f t="shared" si="27"/>
        <v/>
      </c>
      <c r="BR28" s="11" t="str">
        <f t="shared" si="28"/>
        <v/>
      </c>
      <c r="BS28" s="11" t="str">
        <f t="shared" si="29"/>
        <v/>
      </c>
      <c r="BT28" s="11" t="str">
        <f t="shared" si="30"/>
        <v/>
      </c>
      <c r="BU28" s="11" t="str">
        <f t="shared" si="31"/>
        <v/>
      </c>
      <c r="BV28" s="11" t="str">
        <f t="shared" si="32"/>
        <v/>
      </c>
      <c r="BW28" s="11" t="str">
        <f t="shared" si="33"/>
        <v/>
      </c>
      <c r="BX28" s="11" t="str">
        <f t="shared" si="34"/>
        <v/>
      </c>
      <c r="BY28" s="11" t="str">
        <f t="shared" si="35"/>
        <v/>
      </c>
      <c r="BZ28" s="11" t="str">
        <f t="shared" si="36"/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 t="shared" si="37"/>
        <v/>
      </c>
      <c r="CR28" s="38" t="str">
        <f t="shared" si="38"/>
        <v/>
      </c>
      <c r="CS28" s="40" t="str">
        <f t="shared" si="39"/>
        <v/>
      </c>
      <c r="CT28" s="40" t="str">
        <f t="shared" si="40"/>
        <v/>
      </c>
      <c r="CU28" s="40" t="str">
        <f t="shared" si="41"/>
        <v/>
      </c>
      <c r="CV28" s="40" t="str">
        <f t="shared" si="42"/>
        <v/>
      </c>
      <c r="CW28" s="40" t="str">
        <f t="shared" si="43"/>
        <v/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 t="str">
        <f t="shared" si="47"/>
        <v/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0</v>
      </c>
      <c r="SW28" s="22">
        <f t="shared" si="219"/>
        <v>0</v>
      </c>
      <c r="SX28" s="22">
        <f t="shared" si="220"/>
        <v>0</v>
      </c>
      <c r="SY28" s="22">
        <f t="shared" si="221"/>
        <v>0</v>
      </c>
      <c r="SZ28" s="22">
        <f t="shared" si="222"/>
        <v>0</v>
      </c>
      <c r="TA28" s="22">
        <f t="shared" si="223"/>
        <v>0</v>
      </c>
      <c r="TB28" s="22">
        <f t="shared" si="224"/>
        <v>0</v>
      </c>
      <c r="TC28" s="22">
        <f t="shared" si="225"/>
        <v>0</v>
      </c>
      <c r="TD28" s="22">
        <f t="shared" si="226"/>
        <v>0</v>
      </c>
      <c r="TE28" s="22">
        <f t="shared" si="227"/>
        <v>0</v>
      </c>
      <c r="TF28" s="22">
        <f t="shared" si="228"/>
        <v>0</v>
      </c>
      <c r="TG28" s="22">
        <f t="shared" si="229"/>
        <v>0</v>
      </c>
      <c r="TH28" s="22">
        <f t="shared" si="230"/>
        <v>0</v>
      </c>
      <c r="TI28" s="22">
        <f t="shared" si="231"/>
        <v>0</v>
      </c>
      <c r="TJ28" s="22">
        <f t="shared" si="232"/>
        <v>0</v>
      </c>
      <c r="TK28" s="27" t="s">
        <v>46</v>
      </c>
      <c r="TL28" s="40" t="str">
        <f t="shared" si="233"/>
        <v/>
      </c>
      <c r="TM28" s="40" t="str">
        <f t="shared" si="234"/>
        <v/>
      </c>
      <c r="TN28" s="40" t="str">
        <f t="shared" si="235"/>
        <v/>
      </c>
      <c r="TO28" s="40" t="str">
        <f t="shared" si="236"/>
        <v/>
      </c>
      <c r="TP28" s="40" t="str">
        <f t="shared" si="237"/>
        <v/>
      </c>
      <c r="TQ28" s="40" t="str">
        <f t="shared" si="238"/>
        <v/>
      </c>
      <c r="TR28" s="40" t="str">
        <f t="shared" si="239"/>
        <v/>
      </c>
      <c r="TS28" s="40" t="str">
        <f t="shared" si="240"/>
        <v/>
      </c>
      <c r="TT28" s="40" t="str">
        <f t="shared" si="241"/>
        <v/>
      </c>
      <c r="TU28" s="40" t="str">
        <f t="shared" si="242"/>
        <v/>
      </c>
      <c r="TV28" s="40" t="str">
        <f t="shared" si="243"/>
        <v/>
      </c>
    </row>
    <row r="29" spans="1:542" x14ac:dyDescent="0.2">
      <c r="A29" s="4" t="str" cm="1">
        <f t="array" ref="A29">IF(AND(J29&lt;&gt;"",J29&lt;&gt;"No DD"),SUMPRODUCT((J$4:J$39&lt;&gt;"")*(J$4:J$39&lt;&gt;"No DD")*(F$4:F$39&gt;F29))+1,IF(J29="No DD",SUMPRODUCT((J$4:J$39="No DD")*(F$4:F$39&gt;F29))+1+SUMPRODUCT((J$4:J$39&lt;&gt;"")*(J$4:J$39&lt;&gt;"No DD")),""))</f>
        <v/>
      </c>
      <c r="B29" s="4" t="str" cm="1">
        <f t="array" ref="B29">IF(AND(J29&lt;&gt;"",J29&lt;&gt;"No DD",G29=""),SUMPRODUCT((J$4:J$39&lt;&gt;"")*(J$4:J$39&lt;&gt;"No DD")*(G$4:G$39="")*(F$4:F$39&gt;F29))+1,IF(J29="No DD",SUMPRODUCT((J$4:J$39="No DD")*(F$4:F$39&gt;F29)*(G$4:G$39=""))+1+SUMPRODUCT((J$4:J$39&lt;&gt;"")*(G$4:G$39="")*(J$4:J$39&lt;&gt;"No DD")),""))</f>
        <v/>
      </c>
      <c r="C29" s="5" t="s">
        <v>188</v>
      </c>
      <c r="D29" s="4" t="s">
        <v>3</v>
      </c>
      <c r="E29" s="4">
        <v>2006</v>
      </c>
      <c r="F29" s="9">
        <f t="shared" si="0"/>
        <v>103.01001030100487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48.49</v>
      </c>
      <c r="M29" s="8" t="str">
        <f t="shared" si="5"/>
        <v>2024 Nationals</v>
      </c>
      <c r="N29" s="8">
        <f>IF(COUNT(AQ29,AT29,BR29,BU29,CS29,CV29)&gt;1,LARGE((AQ29,AT29,BR29,BU29,CS29,CV29),2),0)</f>
        <v>44.120000000000005</v>
      </c>
      <c r="O29" s="8" t="str">
        <f t="shared" si="6"/>
        <v>2024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 t="shared" si="7"/>
        <v/>
      </c>
      <c r="R29" s="8">
        <f t="shared" si="8"/>
        <v>10.4</v>
      </c>
      <c r="S29" s="8" t="str">
        <f t="shared" si="9"/>
        <v>2024 Nationals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>
        <v>13.4</v>
      </c>
      <c r="Z29" s="22">
        <v>8.6</v>
      </c>
      <c r="AA29" s="22">
        <v>9.1</v>
      </c>
      <c r="AB29" s="22">
        <v>13.02</v>
      </c>
      <c r="AC29" s="22">
        <v>0</v>
      </c>
      <c r="AD29" s="22">
        <v>14.9</v>
      </c>
      <c r="AE29" s="22">
        <v>9.1999999999999993</v>
      </c>
      <c r="AF29" s="22">
        <v>10.4</v>
      </c>
      <c r="AG29" s="22">
        <v>13.99</v>
      </c>
      <c r="AH29" s="22">
        <v>0</v>
      </c>
      <c r="AI29" s="22"/>
      <c r="AJ29" s="22"/>
      <c r="AK29" s="22"/>
      <c r="AL29" s="22"/>
      <c r="AM29" s="22"/>
      <c r="AN29" s="27"/>
      <c r="AO29" s="38">
        <f t="shared" si="15"/>
        <v>9.1</v>
      </c>
      <c r="AP29" s="38">
        <f t="shared" si="16"/>
        <v>13.02</v>
      </c>
      <c r="AQ29" s="40">
        <f t="shared" si="17"/>
        <v>44.120000000000005</v>
      </c>
      <c r="AR29" s="40">
        <f t="shared" si="18"/>
        <v>10.4</v>
      </c>
      <c r="AS29" s="40">
        <f t="shared" si="19"/>
        <v>13.99</v>
      </c>
      <c r="AT29" s="40">
        <f t="shared" si="20"/>
        <v>48.49</v>
      </c>
      <c r="AU29" s="40">
        <f t="shared" si="21"/>
        <v>48.49</v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>
        <f t="shared" si="25"/>
        <v>48.49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 t="shared" si="26"/>
        <v/>
      </c>
      <c r="BQ29" s="39" t="str">
        <f t="shared" si="27"/>
        <v/>
      </c>
      <c r="BR29" s="11" t="str">
        <f t="shared" si="28"/>
        <v/>
      </c>
      <c r="BS29" s="11" t="str">
        <f t="shared" si="29"/>
        <v/>
      </c>
      <c r="BT29" s="11" t="str">
        <f t="shared" si="30"/>
        <v/>
      </c>
      <c r="BU29" s="11" t="str">
        <f t="shared" si="31"/>
        <v/>
      </c>
      <c r="BV29" s="11" t="str">
        <f t="shared" si="32"/>
        <v/>
      </c>
      <c r="BW29" s="11" t="str">
        <f t="shared" si="33"/>
        <v/>
      </c>
      <c r="BX29" s="11" t="str">
        <f t="shared" si="34"/>
        <v/>
      </c>
      <c r="BY29" s="11" t="str">
        <f t="shared" si="35"/>
        <v/>
      </c>
      <c r="BZ29" s="11" t="str">
        <f t="shared" si="36"/>
        <v/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7"/>
        <v/>
      </c>
      <c r="CR29" s="38" t="str">
        <f t="shared" si="38"/>
        <v/>
      </c>
      <c r="CS29" s="40" t="str">
        <f t="shared" si="39"/>
        <v/>
      </c>
      <c r="CT29" s="40" t="str">
        <f t="shared" si="40"/>
        <v/>
      </c>
      <c r="CU29" s="40" t="str">
        <f t="shared" si="41"/>
        <v/>
      </c>
      <c r="CV29" s="40" t="str">
        <f t="shared" si="42"/>
        <v/>
      </c>
      <c r="CW29" s="40" t="str">
        <f t="shared" si="43"/>
        <v/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 t="str">
        <f t="shared" si="47"/>
        <v/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0</v>
      </c>
      <c r="SW29" s="22">
        <f t="shared" si="219"/>
        <v>0</v>
      </c>
      <c r="SX29" s="22">
        <f t="shared" si="220"/>
        <v>0</v>
      </c>
      <c r="SY29" s="22">
        <f t="shared" si="221"/>
        <v>0</v>
      </c>
      <c r="SZ29" s="22">
        <f t="shared" si="222"/>
        <v>0</v>
      </c>
      <c r="TA29" s="22">
        <f t="shared" si="223"/>
        <v>0</v>
      </c>
      <c r="TB29" s="22">
        <f t="shared" si="224"/>
        <v>0</v>
      </c>
      <c r="TC29" s="22">
        <f t="shared" si="225"/>
        <v>0</v>
      </c>
      <c r="TD29" s="22">
        <f t="shared" si="226"/>
        <v>0</v>
      </c>
      <c r="TE29" s="22">
        <f t="shared" si="227"/>
        <v>0</v>
      </c>
      <c r="TF29" s="22">
        <f t="shared" si="228"/>
        <v>0</v>
      </c>
      <c r="TG29" s="22">
        <f t="shared" si="229"/>
        <v>0</v>
      </c>
      <c r="TH29" s="22">
        <f t="shared" si="230"/>
        <v>0</v>
      </c>
      <c r="TI29" s="22">
        <f t="shared" si="231"/>
        <v>0</v>
      </c>
      <c r="TJ29" s="22">
        <f t="shared" si="232"/>
        <v>0</v>
      </c>
      <c r="TK29" s="27" t="s">
        <v>46</v>
      </c>
      <c r="TL29" s="40" t="str">
        <f t="shared" si="233"/>
        <v/>
      </c>
      <c r="TM29" s="40" t="str">
        <f t="shared" si="234"/>
        <v/>
      </c>
      <c r="TN29" s="40" t="str">
        <f t="shared" si="235"/>
        <v/>
      </c>
      <c r="TO29" s="40" t="str">
        <f t="shared" si="236"/>
        <v/>
      </c>
      <c r="TP29" s="40" t="str">
        <f t="shared" si="237"/>
        <v/>
      </c>
      <c r="TQ29" s="40" t="str">
        <f t="shared" si="238"/>
        <v/>
      </c>
      <c r="TR29" s="40" t="str">
        <f t="shared" si="239"/>
        <v/>
      </c>
      <c r="TS29" s="40" t="str">
        <f t="shared" si="240"/>
        <v/>
      </c>
      <c r="TT29" s="40" t="str">
        <f t="shared" si="241"/>
        <v/>
      </c>
      <c r="TU29" s="40" t="str">
        <f t="shared" si="242"/>
        <v/>
      </c>
      <c r="TV29" s="40" t="str">
        <f t="shared" si="243"/>
        <v/>
      </c>
    </row>
    <row r="30" spans="1:542" x14ac:dyDescent="0.2">
      <c r="A30" s="4" t="str" cm="1">
        <f t="array" ref="A30">IF(AND(J30&lt;&gt;"",J30&lt;&gt;"No DD"),SUMPRODUCT((J$4:J$39&lt;&gt;"")*(J$4:J$39&lt;&gt;"No DD")*(F$4:F$39&gt;F30))+1,IF(J30="No DD",SUMPRODUCT((J$4:J$39="No DD")*(F$4:F$39&gt;F30))+1+SUMPRODUCT((J$4:J$39&lt;&gt;"")*(J$4:J$39&lt;&gt;"No DD")),""))</f>
        <v/>
      </c>
      <c r="B30" s="4" t="str" cm="1">
        <f t="array" ref="B30">IF(AND(J30&lt;&gt;"",J30&lt;&gt;"No DD",G30=""),SUMPRODUCT((J$4:J$39&lt;&gt;"")*(J$4:J$39&lt;&gt;"No DD")*(G$4:G$39="")*(F$4:F$39&gt;F30))+1,IF(J30="No DD",SUMPRODUCT((J$4:J$39="No DD")*(F$4:F$39&gt;F30)*(G$4:G$39=""))+1+SUMPRODUCT((J$4:J$39&lt;&gt;"")*(G$4:G$39="")*(J$4:J$39&lt;&gt;"No DD")),""))</f>
        <v/>
      </c>
      <c r="C30" s="5" t="s">
        <v>161</v>
      </c>
      <c r="D30" s="4" t="s">
        <v>5</v>
      </c>
      <c r="E30" s="4">
        <v>2007</v>
      </c>
      <c r="F30" s="9">
        <f t="shared" si="0"/>
        <v>102.92001029200475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47.52</v>
      </c>
      <c r="M30" s="8" t="str">
        <f t="shared" si="5"/>
        <v>2024 Nationals</v>
      </c>
      <c r="N30" s="8">
        <f>IF(COUNT(AQ30,AT30,BR30,BU30,CS30,CV30)&gt;1,LARGE((AQ30,AT30,BR30,BU30,CS30,CV30),2),0)</f>
        <v>44.2</v>
      </c>
      <c r="O30" s="8" t="str">
        <f t="shared" si="6"/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11.2</v>
      </c>
      <c r="S30" s="8" t="str">
        <f t="shared" si="9"/>
        <v>2024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>
        <v>13.3</v>
      </c>
      <c r="Z30" s="22">
        <v>8.1999999999999993</v>
      </c>
      <c r="AA30" s="22">
        <v>10.1</v>
      </c>
      <c r="AB30" s="22">
        <v>12.6</v>
      </c>
      <c r="AC30" s="22">
        <v>0</v>
      </c>
      <c r="AD30" s="22">
        <v>13.4</v>
      </c>
      <c r="AE30" s="22">
        <v>9.1</v>
      </c>
      <c r="AF30" s="22">
        <v>11.2</v>
      </c>
      <c r="AG30" s="22">
        <v>13.82</v>
      </c>
      <c r="AH30" s="22">
        <v>0</v>
      </c>
      <c r="AI30" s="22"/>
      <c r="AJ30" s="22"/>
      <c r="AK30" s="22"/>
      <c r="AL30" s="22"/>
      <c r="AM30" s="22"/>
      <c r="AN30" s="27"/>
      <c r="AO30" s="38">
        <f t="shared" si="15"/>
        <v>10.1</v>
      </c>
      <c r="AP30" s="38">
        <f t="shared" si="16"/>
        <v>12.6</v>
      </c>
      <c r="AQ30" s="40">
        <f t="shared" si="17"/>
        <v>44.2</v>
      </c>
      <c r="AR30" s="40">
        <f t="shared" si="18"/>
        <v>11.2</v>
      </c>
      <c r="AS30" s="40">
        <f t="shared" si="19"/>
        <v>13.82</v>
      </c>
      <c r="AT30" s="40">
        <f t="shared" si="20"/>
        <v>47.52</v>
      </c>
      <c r="AU30" s="40">
        <f t="shared" si="21"/>
        <v>47.52</v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>
        <f t="shared" si="25"/>
        <v>47.52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7"/>
        <v/>
      </c>
      <c r="CR30" s="38" t="str">
        <f t="shared" si="38"/>
        <v/>
      </c>
      <c r="CS30" s="40" t="str">
        <f t="shared" si="39"/>
        <v/>
      </c>
      <c r="CT30" s="40" t="str">
        <f t="shared" si="40"/>
        <v/>
      </c>
      <c r="CU30" s="40" t="str">
        <f t="shared" si="41"/>
        <v/>
      </c>
      <c r="CV30" s="40" t="str">
        <f t="shared" si="42"/>
        <v/>
      </c>
      <c r="CW30" s="40" t="str">
        <f t="shared" si="43"/>
        <v/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 t="str">
        <f t="shared" si="47"/>
        <v/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0</v>
      </c>
      <c r="SW30" s="22">
        <f t="shared" si="219"/>
        <v>0</v>
      </c>
      <c r="SX30" s="22">
        <f t="shared" si="220"/>
        <v>0</v>
      </c>
      <c r="SY30" s="22">
        <f t="shared" si="221"/>
        <v>0</v>
      </c>
      <c r="SZ30" s="22">
        <f t="shared" si="222"/>
        <v>0</v>
      </c>
      <c r="TA30" s="22">
        <f t="shared" si="223"/>
        <v>0</v>
      </c>
      <c r="TB30" s="22">
        <f t="shared" si="224"/>
        <v>0</v>
      </c>
      <c r="TC30" s="22">
        <f t="shared" si="225"/>
        <v>0</v>
      </c>
      <c r="TD30" s="22">
        <f t="shared" si="226"/>
        <v>0</v>
      </c>
      <c r="TE30" s="22">
        <f t="shared" si="227"/>
        <v>0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 t="str">
        <f t="shared" si="233"/>
        <v/>
      </c>
      <c r="TM30" s="40" t="str">
        <f t="shared" si="234"/>
        <v/>
      </c>
      <c r="TN30" s="40" t="str">
        <f t="shared" si="235"/>
        <v/>
      </c>
      <c r="TO30" s="40" t="str">
        <f t="shared" si="236"/>
        <v/>
      </c>
      <c r="TP30" s="40" t="str">
        <f t="shared" si="237"/>
        <v/>
      </c>
      <c r="TQ30" s="40" t="str">
        <f t="shared" si="238"/>
        <v/>
      </c>
      <c r="TR30" s="40" t="str">
        <f t="shared" si="239"/>
        <v/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 t="str">
        <f t="shared" si="243"/>
        <v/>
      </c>
    </row>
    <row r="31" spans="1:542" x14ac:dyDescent="0.2">
      <c r="A31" s="4" t="str" cm="1">
        <f t="array" ref="A31">IF(AND(J31&lt;&gt;"",J31&lt;&gt;"No DD"),SUMPRODUCT((J$4:J$39&lt;&gt;"")*(J$4:J$39&lt;&gt;"No DD")*(F$4:F$39&gt;F31))+1,IF(J31="No DD",SUMPRODUCT((J$4:J$39="No DD")*(F$4:F$39&gt;F31))+1+SUMPRODUCT((J$4:J$39&lt;&gt;"")*(J$4:J$39&lt;&gt;"No DD")),""))</f>
        <v/>
      </c>
      <c r="B31" s="4" t="str" cm="1">
        <f t="array" ref="B31">IF(AND(J31&lt;&gt;"",J31&lt;&gt;"No DD",G31=""),SUMPRODUCT((J$4:J$39&lt;&gt;"")*(J$4:J$39&lt;&gt;"No DD")*(G$4:G$39="")*(F$4:F$39&gt;F31))+1,IF(J31="No DD",SUMPRODUCT((J$4:J$39="No DD")*(F$4:F$39&gt;F31)*(G$4:G$39=""))+1+SUMPRODUCT((J$4:J$39&lt;&gt;"")*(G$4:G$39="")*(J$4:J$39&lt;&gt;"No DD")),""))</f>
        <v/>
      </c>
      <c r="C31" s="5" t="s">
        <v>130</v>
      </c>
      <c r="D31" s="4" t="s">
        <v>3</v>
      </c>
      <c r="E31" s="4">
        <v>2006</v>
      </c>
      <c r="F31" s="9">
        <f t="shared" si="0"/>
        <v>101.1600101160046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45.93</v>
      </c>
      <c r="M31" s="8" t="str">
        <f t="shared" si="5"/>
        <v>2024 Nationals</v>
      </c>
      <c r="N31" s="8">
        <f>IF(COUNT(AQ31,AT31,BR31,BU31,CS31,CV31)&gt;1,LARGE((AQ31,AT31,BR31,BU31,CS31,CV31),2),0)</f>
        <v>44.53</v>
      </c>
      <c r="O31" s="8" t="str">
        <f t="shared" si="6"/>
        <v>2024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10.7</v>
      </c>
      <c r="S31" s="8" t="str">
        <f t="shared" si="9"/>
        <v>2024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>
        <v>12.6</v>
      </c>
      <c r="Z31" s="22">
        <v>9.5</v>
      </c>
      <c r="AA31" s="22">
        <v>9.8000000000000007</v>
      </c>
      <c r="AB31" s="22">
        <v>14.03</v>
      </c>
      <c r="AC31" s="22">
        <v>0</v>
      </c>
      <c r="AD31" s="22">
        <v>11</v>
      </c>
      <c r="AE31" s="22">
        <v>9</v>
      </c>
      <c r="AF31" s="22">
        <v>10.7</v>
      </c>
      <c r="AG31" s="22">
        <v>13.83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5"/>
        <v>9.8000000000000007</v>
      </c>
      <c r="AP31" s="38">
        <f t="shared" si="16"/>
        <v>14.03</v>
      </c>
      <c r="AQ31" s="40">
        <f t="shared" si="17"/>
        <v>45.93</v>
      </c>
      <c r="AR31" s="40">
        <f t="shared" si="18"/>
        <v>10.7</v>
      </c>
      <c r="AS31" s="40">
        <f t="shared" si="19"/>
        <v>13.83</v>
      </c>
      <c r="AT31" s="40">
        <f t="shared" si="20"/>
        <v>44.53</v>
      </c>
      <c r="AU31" s="40">
        <f t="shared" si="21"/>
        <v>45.93</v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>
        <f t="shared" si="25"/>
        <v>45.93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6"/>
        <v/>
      </c>
      <c r="BQ31" s="39" t="str">
        <f t="shared" si="27"/>
        <v/>
      </c>
      <c r="BR31" s="11" t="str">
        <f t="shared" si="28"/>
        <v/>
      </c>
      <c r="BS31" s="11" t="str">
        <f t="shared" si="29"/>
        <v/>
      </c>
      <c r="BT31" s="11" t="str">
        <f t="shared" si="30"/>
        <v/>
      </c>
      <c r="BU31" s="11" t="str">
        <f t="shared" si="31"/>
        <v/>
      </c>
      <c r="BV31" s="11" t="str">
        <f t="shared" si="32"/>
        <v/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 t="str">
        <f t="shared" si="36"/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7"/>
        <v/>
      </c>
      <c r="CR31" s="38" t="str">
        <f t="shared" si="38"/>
        <v/>
      </c>
      <c r="CS31" s="40" t="str">
        <f t="shared" si="39"/>
        <v/>
      </c>
      <c r="CT31" s="40" t="str">
        <f t="shared" si="40"/>
        <v/>
      </c>
      <c r="CU31" s="40" t="str">
        <f t="shared" si="41"/>
        <v/>
      </c>
      <c r="CV31" s="40" t="str">
        <f t="shared" si="42"/>
        <v/>
      </c>
      <c r="CW31" s="40" t="str">
        <f t="shared" si="43"/>
        <v/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 t="str">
        <f t="shared" si="47"/>
        <v/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0</v>
      </c>
      <c r="SW31" s="22">
        <f t="shared" si="219"/>
        <v>0</v>
      </c>
      <c r="SX31" s="22">
        <f t="shared" si="220"/>
        <v>0</v>
      </c>
      <c r="SY31" s="22">
        <f t="shared" si="221"/>
        <v>0</v>
      </c>
      <c r="SZ31" s="22">
        <f t="shared" si="222"/>
        <v>0</v>
      </c>
      <c r="TA31" s="22">
        <f t="shared" si="223"/>
        <v>0</v>
      </c>
      <c r="TB31" s="22">
        <f t="shared" si="224"/>
        <v>0</v>
      </c>
      <c r="TC31" s="22">
        <f t="shared" si="225"/>
        <v>0</v>
      </c>
      <c r="TD31" s="22">
        <f t="shared" si="226"/>
        <v>0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 t="str">
        <f t="shared" si="233"/>
        <v/>
      </c>
      <c r="TM31" s="40" t="str">
        <f t="shared" si="234"/>
        <v/>
      </c>
      <c r="TN31" s="40" t="str">
        <f t="shared" si="235"/>
        <v/>
      </c>
      <c r="TO31" s="40" t="str">
        <f t="shared" si="236"/>
        <v/>
      </c>
      <c r="TP31" s="40" t="str">
        <f t="shared" si="237"/>
        <v/>
      </c>
      <c r="TQ31" s="40" t="str">
        <f t="shared" si="238"/>
        <v/>
      </c>
      <c r="TR31" s="40" t="str">
        <f t="shared" si="239"/>
        <v/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 t="str">
        <f t="shared" si="243"/>
        <v/>
      </c>
    </row>
    <row r="32" spans="1:542" x14ac:dyDescent="0.2">
      <c r="A32" s="4" t="str" cm="1">
        <f t="array" ref="A32">IF(AND(J32&lt;&gt;"",J32&lt;&gt;"No DD"),SUMPRODUCT((J$4:J$39&lt;&gt;"")*(J$4:J$39&lt;&gt;"No DD")*(F$4:F$39&gt;F32))+1,IF(J32="No DD",SUMPRODUCT((J$4:J$39="No DD")*(F$4:F$39&gt;F32))+1+SUMPRODUCT((J$4:J$39&lt;&gt;"")*(J$4:J$39&lt;&gt;"No DD")),""))</f>
        <v/>
      </c>
      <c r="B32" s="4" t="str" cm="1">
        <f t="array" ref="B32">IF(AND(J32&lt;&gt;"",J32&lt;&gt;"No DD",G32=""),SUMPRODUCT((J$4:J$39&lt;&gt;"")*(J$4:J$39&lt;&gt;"No DD")*(G$4:G$39="")*(F$4:F$39&gt;F32))+1,IF(J32="No DD",SUMPRODUCT((J$4:J$39="No DD")*(F$4:F$39&gt;F32)*(G$4:G$39=""))+1+SUMPRODUCT((J$4:J$39&lt;&gt;"")*(G$4:G$39="")*(J$4:J$39&lt;&gt;"No DD")),""))</f>
        <v/>
      </c>
      <c r="C32" s="5" t="s">
        <v>189</v>
      </c>
      <c r="D32" s="4" t="s">
        <v>3</v>
      </c>
      <c r="E32" s="4">
        <v>2007</v>
      </c>
      <c r="F32" s="9">
        <f t="shared" si="0"/>
        <v>100.00001000000475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47.629999999999995</v>
      </c>
      <c r="M32" s="8" t="str">
        <f t="shared" si="5"/>
        <v>2024 Nationals</v>
      </c>
      <c r="N32" s="8">
        <f>IF(COUNT(AQ32,AT32,BR32,BU32,CS32,CV32)&gt;1,LARGE((AQ32,AT32,BR32,BU32,CS32,CV32),2),0)</f>
        <v>41.269999999999996</v>
      </c>
      <c r="O32" s="8" t="str">
        <f t="shared" si="6"/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11.1</v>
      </c>
      <c r="S32" s="8" t="str">
        <f t="shared" si="9"/>
        <v>2024 Nationals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>
        <v>11.9</v>
      </c>
      <c r="Z32" s="22">
        <v>8</v>
      </c>
      <c r="AA32" s="22">
        <v>8.4</v>
      </c>
      <c r="AB32" s="22">
        <v>12.97</v>
      </c>
      <c r="AC32" s="22">
        <v>0</v>
      </c>
      <c r="AD32" s="22">
        <v>13.3</v>
      </c>
      <c r="AE32" s="22">
        <v>9</v>
      </c>
      <c r="AF32" s="22">
        <v>11.1</v>
      </c>
      <c r="AG32" s="22">
        <v>14.23</v>
      </c>
      <c r="AH32" s="22">
        <v>0</v>
      </c>
      <c r="AI32" s="22"/>
      <c r="AJ32" s="22"/>
      <c r="AK32" s="22"/>
      <c r="AL32" s="22"/>
      <c r="AM32" s="22"/>
      <c r="AN32" s="27"/>
      <c r="AO32" s="38">
        <f t="shared" si="15"/>
        <v>8.4</v>
      </c>
      <c r="AP32" s="38">
        <f t="shared" si="16"/>
        <v>12.97</v>
      </c>
      <c r="AQ32" s="40">
        <f t="shared" si="17"/>
        <v>41.269999999999996</v>
      </c>
      <c r="AR32" s="40">
        <f t="shared" si="18"/>
        <v>11.1</v>
      </c>
      <c r="AS32" s="40">
        <f t="shared" si="19"/>
        <v>14.23</v>
      </c>
      <c r="AT32" s="40">
        <f t="shared" si="20"/>
        <v>47.629999999999995</v>
      </c>
      <c r="AU32" s="40">
        <f t="shared" si="21"/>
        <v>47.629999999999995</v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>
        <f t="shared" si="25"/>
        <v>47.629999999999995</v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 t="shared" si="26"/>
        <v/>
      </c>
      <c r="BQ32" s="39" t="str">
        <f t="shared" si="27"/>
        <v/>
      </c>
      <c r="BR32" s="11" t="str">
        <f t="shared" si="28"/>
        <v/>
      </c>
      <c r="BS32" s="11" t="str">
        <f t="shared" si="29"/>
        <v/>
      </c>
      <c r="BT32" s="11" t="str">
        <f t="shared" si="30"/>
        <v/>
      </c>
      <c r="BU32" s="11" t="str">
        <f t="shared" si="31"/>
        <v/>
      </c>
      <c r="BV32" s="11" t="str">
        <f t="shared" si="32"/>
        <v/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 t="str">
        <f t="shared" si="36"/>
        <v/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7"/>
        <v/>
      </c>
      <c r="CR32" s="38" t="str">
        <f t="shared" si="38"/>
        <v/>
      </c>
      <c r="CS32" s="40" t="str">
        <f t="shared" si="39"/>
        <v/>
      </c>
      <c r="CT32" s="40" t="str">
        <f t="shared" si="40"/>
        <v/>
      </c>
      <c r="CU32" s="40" t="str">
        <f t="shared" si="41"/>
        <v/>
      </c>
      <c r="CV32" s="40" t="str">
        <f t="shared" si="42"/>
        <v/>
      </c>
      <c r="CW32" s="40" t="str">
        <f t="shared" si="43"/>
        <v/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 t="str">
        <f t="shared" si="47"/>
        <v/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0</v>
      </c>
      <c r="SW32" s="22">
        <f t="shared" si="219"/>
        <v>0</v>
      </c>
      <c r="SX32" s="22">
        <f t="shared" si="220"/>
        <v>0</v>
      </c>
      <c r="SY32" s="22">
        <f t="shared" si="221"/>
        <v>0</v>
      </c>
      <c r="SZ32" s="22">
        <f t="shared" si="222"/>
        <v>0</v>
      </c>
      <c r="TA32" s="22">
        <f t="shared" si="223"/>
        <v>0</v>
      </c>
      <c r="TB32" s="22">
        <f t="shared" si="224"/>
        <v>0</v>
      </c>
      <c r="TC32" s="22">
        <f t="shared" si="225"/>
        <v>0</v>
      </c>
      <c r="TD32" s="22">
        <f t="shared" si="226"/>
        <v>0</v>
      </c>
      <c r="TE32" s="22">
        <f t="shared" si="227"/>
        <v>0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 t="str">
        <f t="shared" si="233"/>
        <v/>
      </c>
      <c r="TM32" s="40" t="str">
        <f t="shared" si="234"/>
        <v/>
      </c>
      <c r="TN32" s="40" t="str">
        <f t="shared" si="235"/>
        <v/>
      </c>
      <c r="TO32" s="40" t="str">
        <f t="shared" si="236"/>
        <v/>
      </c>
      <c r="TP32" s="40" t="str">
        <f t="shared" si="237"/>
        <v/>
      </c>
      <c r="TQ32" s="40" t="str">
        <f t="shared" si="238"/>
        <v/>
      </c>
      <c r="TR32" s="40" t="str">
        <f t="shared" si="239"/>
        <v/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 t="str">
        <f t="shared" si="243"/>
        <v/>
      </c>
    </row>
    <row r="33" spans="1:542" x14ac:dyDescent="0.2">
      <c r="A33" s="4" t="str" cm="1">
        <f t="array" ref="A33">IF(AND(J33&lt;&gt;"",J33&lt;&gt;"No DD"),SUMPRODUCT((J$4:J$39&lt;&gt;"")*(J$4:J$39&lt;&gt;"No DD")*(F$4:F$39&gt;F33))+1,IF(J33="No DD",SUMPRODUCT((J$4:J$39="No DD")*(F$4:F$39&gt;F33))+1+SUMPRODUCT((J$4:J$39&lt;&gt;"")*(J$4:J$39&lt;&gt;"No DD")),""))</f>
        <v/>
      </c>
      <c r="B33" s="4" t="str" cm="1">
        <f t="array" ref="B33">IF(AND(J33&lt;&gt;"",J33&lt;&gt;"No DD",G33=""),SUMPRODUCT((J$4:J$39&lt;&gt;"")*(J$4:J$39&lt;&gt;"No DD")*(G$4:G$39="")*(F$4:F$39&gt;F33))+1,IF(J33="No DD",SUMPRODUCT((J$4:J$39="No DD")*(F$4:F$39&gt;F33)*(G$4:G$39=""))+1+SUMPRODUCT((J$4:J$39&lt;&gt;"")*(G$4:G$39="")*(J$4:J$39&lt;&gt;"No DD")),""))</f>
        <v/>
      </c>
      <c r="C33" s="5" t="s">
        <v>191</v>
      </c>
      <c r="D33" s="4" t="s">
        <v>137</v>
      </c>
      <c r="E33" s="4">
        <v>2005</v>
      </c>
      <c r="F33" s="9">
        <f t="shared" si="0"/>
        <v>89.66000896600417</v>
      </c>
      <c r="G33" s="64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41.62</v>
      </c>
      <c r="M33" s="8" t="str">
        <f t="shared" si="5"/>
        <v>2024 Nationals</v>
      </c>
      <c r="N33" s="8">
        <f>IF(COUNT(AQ33,AT33,BR33,BU33,CS33,CV33)&gt;1,LARGE((AQ33,AT33,BR33,BU33,CS33,CV33),2),0)</f>
        <v>40.140000000000008</v>
      </c>
      <c r="O33" s="8" t="str">
        <f t="shared" si="6"/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7.9</v>
      </c>
      <c r="S33" s="8" t="str">
        <f t="shared" si="9"/>
        <v>2024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>
        <v>13.2</v>
      </c>
      <c r="Z33" s="22">
        <v>8.8000000000000007</v>
      </c>
      <c r="AA33" s="22">
        <v>7.9</v>
      </c>
      <c r="AB33" s="22">
        <v>12.92</v>
      </c>
      <c r="AC33" s="22">
        <v>1.2</v>
      </c>
      <c r="AD33" s="22">
        <v>13.4</v>
      </c>
      <c r="AE33" s="22">
        <v>8.8000000000000007</v>
      </c>
      <c r="AF33" s="22">
        <v>7.3</v>
      </c>
      <c r="AG33" s="22">
        <v>12.44</v>
      </c>
      <c r="AH33" s="22">
        <v>1.8</v>
      </c>
      <c r="AI33" s="22"/>
      <c r="AJ33" s="22"/>
      <c r="AK33" s="22"/>
      <c r="AL33" s="22"/>
      <c r="AM33" s="22"/>
      <c r="AN33" s="27"/>
      <c r="AO33" s="38">
        <f t="shared" si="15"/>
        <v>7.9</v>
      </c>
      <c r="AP33" s="38">
        <f t="shared" si="16"/>
        <v>12.92</v>
      </c>
      <c r="AQ33" s="40">
        <f t="shared" si="17"/>
        <v>41.62</v>
      </c>
      <c r="AR33" s="40">
        <f t="shared" si="18"/>
        <v>7.3</v>
      </c>
      <c r="AS33" s="40">
        <f t="shared" si="19"/>
        <v>12.44</v>
      </c>
      <c r="AT33" s="40">
        <f t="shared" si="20"/>
        <v>40.140000000000008</v>
      </c>
      <c r="AU33" s="40">
        <f t="shared" si="21"/>
        <v>41.62</v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>
        <f t="shared" si="25"/>
        <v>41.62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 t="shared" si="26"/>
        <v/>
      </c>
      <c r="BQ33" s="39" t="str">
        <f t="shared" si="27"/>
        <v/>
      </c>
      <c r="BR33" s="11" t="str">
        <f t="shared" si="28"/>
        <v/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 t="str">
        <f t="shared" si="32"/>
        <v/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 t="str">
        <f t="shared" si="36"/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7"/>
        <v/>
      </c>
      <c r="CR33" s="38" t="str">
        <f t="shared" si="38"/>
        <v/>
      </c>
      <c r="CS33" s="40" t="str">
        <f t="shared" si="39"/>
        <v/>
      </c>
      <c r="CT33" s="40" t="str">
        <f t="shared" si="40"/>
        <v/>
      </c>
      <c r="CU33" s="40" t="str">
        <f t="shared" si="41"/>
        <v/>
      </c>
      <c r="CV33" s="40" t="str">
        <f t="shared" si="42"/>
        <v/>
      </c>
      <c r="CW33" s="40" t="str">
        <f t="shared" si="43"/>
        <v/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 t="str">
        <f t="shared" si="47"/>
        <v/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0</v>
      </c>
      <c r="SW33" s="22">
        <f t="shared" si="219"/>
        <v>0</v>
      </c>
      <c r="SX33" s="22">
        <f t="shared" si="220"/>
        <v>0</v>
      </c>
      <c r="SY33" s="22">
        <f t="shared" si="221"/>
        <v>0</v>
      </c>
      <c r="SZ33" s="22">
        <f t="shared" si="222"/>
        <v>0</v>
      </c>
      <c r="TA33" s="22">
        <f t="shared" si="223"/>
        <v>0</v>
      </c>
      <c r="TB33" s="22">
        <f t="shared" si="224"/>
        <v>0</v>
      </c>
      <c r="TC33" s="22">
        <f t="shared" si="225"/>
        <v>0</v>
      </c>
      <c r="TD33" s="22">
        <f t="shared" si="226"/>
        <v>0</v>
      </c>
      <c r="TE33" s="22">
        <f t="shared" si="227"/>
        <v>0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 t="str">
        <f t="shared" si="233"/>
        <v/>
      </c>
      <c r="TM33" s="40" t="str">
        <f t="shared" si="234"/>
        <v/>
      </c>
      <c r="TN33" s="40" t="str">
        <f t="shared" si="235"/>
        <v/>
      </c>
      <c r="TO33" s="40" t="str">
        <f t="shared" si="236"/>
        <v/>
      </c>
      <c r="TP33" s="40" t="str">
        <f t="shared" si="237"/>
        <v/>
      </c>
      <c r="TQ33" s="40" t="str">
        <f t="shared" si="238"/>
        <v/>
      </c>
      <c r="TR33" s="40" t="str">
        <f t="shared" si="239"/>
        <v/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 t="str">
        <f t="shared" si="243"/>
        <v/>
      </c>
    </row>
    <row r="34" spans="1:542" x14ac:dyDescent="0.2">
      <c r="A34" s="4" t="str" cm="1">
        <f t="array" ref="A34">IF(AND(J34&lt;&gt;"",J34&lt;&gt;"No DD"),SUMPRODUCT((J$4:J$39&lt;&gt;"")*(J$4:J$39&lt;&gt;"No DD")*(F$4:F$39&gt;F34))+1,IF(J34="No DD",SUMPRODUCT((J$4:J$39="No DD")*(F$4:F$39&gt;F34))+1+SUMPRODUCT((J$4:J$39&lt;&gt;"")*(J$4:J$39&lt;&gt;"No DD")),""))</f>
        <v/>
      </c>
      <c r="B34" s="4" t="str" cm="1">
        <f t="array" ref="B34">IF(AND(J34&lt;&gt;"",J34&lt;&gt;"No DD",G34=""),SUMPRODUCT((J$4:J$39&lt;&gt;"")*(J$4:J$39&lt;&gt;"No DD")*(G$4:G$39="")*(F$4:F$39&gt;F34))+1,IF(J34="No DD",SUMPRODUCT((J$4:J$39="No DD")*(F$4:F$39&gt;F34)*(G$4:G$39=""))+1+SUMPRODUCT((J$4:J$39&lt;&gt;"")*(G$4:G$39="")*(J$4:J$39&lt;&gt;"No DD")),""))</f>
        <v/>
      </c>
      <c r="C34" s="5" t="s">
        <v>155</v>
      </c>
      <c r="D34" s="4" t="s">
        <v>4</v>
      </c>
      <c r="E34" s="4">
        <v>2007</v>
      </c>
      <c r="F34" s="9">
        <f t="shared" si="0"/>
        <v>85.2800085280047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IF(COUNT(AQ34,AT34,BR34,BU34,CS34,CV34)&gt;0,LARGE((AQ34,AT34,BR34,BU34,CS34,CV34),1),0)</f>
        <v>46.97</v>
      </c>
      <c r="M34" s="8" t="str">
        <f t="shared" si="5"/>
        <v>2024 Nationals</v>
      </c>
      <c r="N34" s="8">
        <f>IF(COUNT(AQ34,AT34,BR34,BU34,CS34,CV34)&gt;1,LARGE((AQ34,AT34,BR34,BU34,CS34,CV34),2),0)</f>
        <v>26.91</v>
      </c>
      <c r="O34" s="8" t="str">
        <f t="shared" si="6"/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 t="shared" si="7"/>
        <v/>
      </c>
      <c r="R34" s="8">
        <f t="shared" si="8"/>
        <v>11.4</v>
      </c>
      <c r="S34" s="8" t="str">
        <f t="shared" si="9"/>
        <v>2024 Nationals</v>
      </c>
      <c r="T34" s="8">
        <f t="shared" si="10"/>
        <v>0</v>
      </c>
      <c r="U34" s="8" t="str">
        <f t="shared" si="11"/>
        <v/>
      </c>
      <c r="V34" s="8" t="str">
        <f t="shared" si="12"/>
        <v/>
      </c>
      <c r="W34" s="11" t="str">
        <f t="shared" si="13"/>
        <v/>
      </c>
      <c r="X34" s="8" t="str">
        <f t="shared" si="14"/>
        <v/>
      </c>
      <c r="Y34" s="22">
        <v>12.8</v>
      </c>
      <c r="Z34" s="22">
        <v>8.9</v>
      </c>
      <c r="AA34" s="22">
        <v>11.4</v>
      </c>
      <c r="AB34" s="22">
        <v>13.87</v>
      </c>
      <c r="AC34" s="22">
        <v>0</v>
      </c>
      <c r="AD34" s="22">
        <v>7.9</v>
      </c>
      <c r="AE34" s="22">
        <v>5.2</v>
      </c>
      <c r="AF34" s="22">
        <v>6.2</v>
      </c>
      <c r="AG34" s="22">
        <v>7.61</v>
      </c>
      <c r="AH34" s="22">
        <v>0</v>
      </c>
      <c r="AI34" s="22"/>
      <c r="AJ34" s="22"/>
      <c r="AK34" s="22"/>
      <c r="AL34" s="22"/>
      <c r="AM34" s="22"/>
      <c r="AN34" s="27"/>
      <c r="AO34" s="38">
        <f t="shared" si="15"/>
        <v>11.4</v>
      </c>
      <c r="AP34" s="38">
        <f t="shared" si="16"/>
        <v>13.87</v>
      </c>
      <c r="AQ34" s="40">
        <f t="shared" si="17"/>
        <v>46.97</v>
      </c>
      <c r="AR34" s="40">
        <f t="shared" si="18"/>
        <v>6.2</v>
      </c>
      <c r="AS34" s="40">
        <f t="shared" si="19"/>
        <v>7.61</v>
      </c>
      <c r="AT34" s="40">
        <f t="shared" si="20"/>
        <v>26.91</v>
      </c>
      <c r="AU34" s="40">
        <f t="shared" si="21"/>
        <v>46.97</v>
      </c>
      <c r="AV34" s="40" t="str">
        <f t="shared" si="22"/>
        <v/>
      </c>
      <c r="AW34" s="40" t="str">
        <f t="shared" si="23"/>
        <v/>
      </c>
      <c r="AX34" s="40" t="str">
        <f t="shared" si="24"/>
        <v/>
      </c>
      <c r="AY34" s="40">
        <f t="shared" si="25"/>
        <v>46.97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 t="shared" si="26"/>
        <v/>
      </c>
      <c r="BQ34" s="39" t="str">
        <f t="shared" si="27"/>
        <v/>
      </c>
      <c r="BR34" s="11" t="str">
        <f t="shared" si="28"/>
        <v/>
      </c>
      <c r="BS34" s="11" t="str">
        <f t="shared" si="29"/>
        <v/>
      </c>
      <c r="BT34" s="11" t="str">
        <f t="shared" si="30"/>
        <v/>
      </c>
      <c r="BU34" s="11" t="str">
        <f t="shared" si="31"/>
        <v/>
      </c>
      <c r="BV34" s="11" t="str">
        <f t="shared" si="32"/>
        <v/>
      </c>
      <c r="BW34" s="11" t="str">
        <f t="shared" si="33"/>
        <v/>
      </c>
      <c r="BX34" s="11" t="str">
        <f t="shared" si="34"/>
        <v/>
      </c>
      <c r="BY34" s="11" t="str">
        <f t="shared" si="35"/>
        <v/>
      </c>
      <c r="BZ34" s="11" t="str">
        <f t="shared" si="36"/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 t="shared" si="37"/>
        <v/>
      </c>
      <c r="CR34" s="38" t="str">
        <f t="shared" si="38"/>
        <v/>
      </c>
      <c r="CS34" s="40" t="str">
        <f t="shared" si="39"/>
        <v/>
      </c>
      <c r="CT34" s="40" t="str">
        <f t="shared" si="40"/>
        <v/>
      </c>
      <c r="CU34" s="40" t="str">
        <f t="shared" si="41"/>
        <v/>
      </c>
      <c r="CV34" s="40" t="str">
        <f t="shared" si="42"/>
        <v/>
      </c>
      <c r="CW34" s="40" t="str">
        <f t="shared" si="43"/>
        <v/>
      </c>
      <c r="CX34" s="40" t="str">
        <f t="shared" si="44"/>
        <v/>
      </c>
      <c r="CY34" s="40" t="str">
        <f t="shared" si="45"/>
        <v/>
      </c>
      <c r="CZ34" s="40" t="str">
        <f t="shared" si="46"/>
        <v/>
      </c>
      <c r="DA34" s="40" t="str">
        <f t="shared" si="47"/>
        <v/>
      </c>
      <c r="DB34" s="50" t="str">
        <f t="shared" si="48"/>
        <v/>
      </c>
      <c r="DC34" s="50" t="str">
        <f t="shared" si="49"/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 t="shared" si="50"/>
        <v/>
      </c>
      <c r="DY34" s="40" t="str">
        <f t="shared" si="51"/>
        <v/>
      </c>
      <c r="DZ34" s="40" t="str">
        <f t="shared" si="52"/>
        <v/>
      </c>
      <c r="EA34" s="40" t="str">
        <f t="shared" si="53"/>
        <v/>
      </c>
      <c r="EB34" s="40" t="str">
        <f t="shared" si="54"/>
        <v/>
      </c>
      <c r="EC34" s="40" t="str">
        <f t="shared" si="55"/>
        <v/>
      </c>
      <c r="ED34" s="40" t="str">
        <f t="shared" si="56"/>
        <v/>
      </c>
      <c r="EE34" s="40" t="str">
        <f t="shared" si="57"/>
        <v/>
      </c>
      <c r="EF34" s="40" t="str">
        <f t="shared" si="58"/>
        <v/>
      </c>
      <c r="EG34" s="40" t="str">
        <f t="shared" si="59"/>
        <v/>
      </c>
      <c r="EH34" s="40" t="str">
        <f t="shared" si="60"/>
        <v/>
      </c>
      <c r="EI34" s="40" t="str">
        <f t="shared" si="61"/>
        <v/>
      </c>
      <c r="EJ34" s="40" t="str">
        <f t="shared" si="62"/>
        <v/>
      </c>
      <c r="EK34" s="40" t="str">
        <f t="shared" si="63"/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 t="shared" si="64"/>
        <v/>
      </c>
      <c r="FG34" s="11" t="str">
        <f t="shared" si="65"/>
        <v/>
      </c>
      <c r="FH34" s="11" t="str">
        <f t="shared" si="66"/>
        <v/>
      </c>
      <c r="FI34" s="11" t="str">
        <f t="shared" si="67"/>
        <v/>
      </c>
      <c r="FJ34" s="11" t="str">
        <f t="shared" si="68"/>
        <v/>
      </c>
      <c r="FK34" s="11" t="str">
        <f t="shared" si="69"/>
        <v/>
      </c>
      <c r="FL34" s="11" t="str">
        <f t="shared" si="70"/>
        <v/>
      </c>
      <c r="FM34" s="11" t="str">
        <f t="shared" si="71"/>
        <v/>
      </c>
      <c r="FN34" s="11" t="str">
        <f t="shared" si="72"/>
        <v/>
      </c>
      <c r="FO34" s="11" t="str">
        <f t="shared" si="73"/>
        <v/>
      </c>
      <c r="FP34" s="11" t="str">
        <f t="shared" si="74"/>
        <v/>
      </c>
      <c r="FQ34" s="11" t="str">
        <f t="shared" si="75"/>
        <v/>
      </c>
      <c r="FR34" s="11" t="str">
        <f t="shared" si="76"/>
        <v/>
      </c>
      <c r="FS34" s="11" t="str">
        <f t="shared" si="77"/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 t="shared" si="78"/>
        <v/>
      </c>
      <c r="GO34" s="40" t="str">
        <f t="shared" si="79"/>
        <v/>
      </c>
      <c r="GP34" s="40" t="str">
        <f t="shared" si="80"/>
        <v/>
      </c>
      <c r="GQ34" s="40" t="str">
        <f t="shared" si="81"/>
        <v/>
      </c>
      <c r="GR34" s="40" t="str">
        <f t="shared" si="82"/>
        <v/>
      </c>
      <c r="GS34" s="40" t="str">
        <f t="shared" si="83"/>
        <v/>
      </c>
      <c r="GT34" s="40" t="str">
        <f t="shared" si="84"/>
        <v/>
      </c>
      <c r="GU34" s="40" t="str">
        <f t="shared" si="85"/>
        <v/>
      </c>
      <c r="GV34" s="40" t="str">
        <f t="shared" si="86"/>
        <v/>
      </c>
      <c r="GW34" s="40" t="str">
        <f t="shared" si="87"/>
        <v/>
      </c>
      <c r="GX34" s="40" t="str">
        <f t="shared" si="88"/>
        <v/>
      </c>
      <c r="GY34" s="40" t="str">
        <f t="shared" si="89"/>
        <v/>
      </c>
      <c r="GZ34" s="40" t="str">
        <f t="shared" si="90"/>
        <v/>
      </c>
      <c r="HA34" s="40" t="str">
        <f t="shared" si="91"/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 t="shared" si="92"/>
        <v/>
      </c>
      <c r="HW34" s="11" t="str">
        <f t="shared" si="93"/>
        <v/>
      </c>
      <c r="HX34" s="11" t="str">
        <f t="shared" si="94"/>
        <v/>
      </c>
      <c r="HY34" s="11" t="str">
        <f t="shared" si="95"/>
        <v/>
      </c>
      <c r="HZ34" s="11" t="str">
        <f t="shared" si="96"/>
        <v/>
      </c>
      <c r="IA34" s="11" t="str">
        <f t="shared" si="97"/>
        <v/>
      </c>
      <c r="IB34" s="11" t="str">
        <f t="shared" si="98"/>
        <v/>
      </c>
      <c r="IC34" s="11" t="str">
        <f t="shared" si="99"/>
        <v/>
      </c>
      <c r="ID34" s="11" t="str">
        <f t="shared" si="100"/>
        <v/>
      </c>
      <c r="IE34" s="11" t="str">
        <f t="shared" si="101"/>
        <v/>
      </c>
      <c r="IF34" s="11" t="str">
        <f t="shared" si="102"/>
        <v/>
      </c>
      <c r="IG34" s="11" t="str">
        <f t="shared" si="103"/>
        <v/>
      </c>
      <c r="IH34" s="11" t="str">
        <f t="shared" si="104"/>
        <v/>
      </c>
      <c r="II34" s="11" t="str">
        <f t="shared" si="105"/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 t="shared" si="106"/>
        <v/>
      </c>
      <c r="JE34" s="40" t="str">
        <f t="shared" si="107"/>
        <v/>
      </c>
      <c r="JF34" s="40" t="str">
        <f t="shared" si="108"/>
        <v/>
      </c>
      <c r="JG34" s="40" t="str">
        <f t="shared" si="109"/>
        <v/>
      </c>
      <c r="JH34" s="40" t="str">
        <f t="shared" si="110"/>
        <v/>
      </c>
      <c r="JI34" s="40" t="str">
        <f t="shared" si="111"/>
        <v/>
      </c>
      <c r="JJ34" s="40" t="str">
        <f t="shared" si="112"/>
        <v/>
      </c>
      <c r="JK34" s="40" t="str">
        <f t="shared" si="113"/>
        <v/>
      </c>
      <c r="JL34" s="40" t="str">
        <f t="shared" si="114"/>
        <v/>
      </c>
      <c r="JM34" s="40" t="str">
        <f t="shared" si="115"/>
        <v/>
      </c>
      <c r="JN34" s="40" t="str">
        <f t="shared" si="116"/>
        <v/>
      </c>
      <c r="JO34" s="40" t="str">
        <f t="shared" si="117"/>
        <v/>
      </c>
      <c r="JP34" s="40" t="str">
        <f t="shared" si="118"/>
        <v/>
      </c>
      <c r="JQ34" s="40" t="str">
        <f t="shared" si="119"/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 t="shared" si="120"/>
        <v/>
      </c>
      <c r="KM34" s="11" t="str">
        <f t="shared" si="121"/>
        <v/>
      </c>
      <c r="KN34" s="11" t="str">
        <f t="shared" si="122"/>
        <v/>
      </c>
      <c r="KO34" s="11" t="str">
        <f t="shared" si="123"/>
        <v/>
      </c>
      <c r="KP34" s="11" t="str">
        <f t="shared" si="124"/>
        <v/>
      </c>
      <c r="KQ34" s="11" t="str">
        <f t="shared" si="125"/>
        <v/>
      </c>
      <c r="KR34" s="11" t="str">
        <f t="shared" si="126"/>
        <v/>
      </c>
      <c r="KS34" s="11" t="str">
        <f t="shared" si="127"/>
        <v/>
      </c>
      <c r="KT34" s="11" t="str">
        <f t="shared" si="128"/>
        <v/>
      </c>
      <c r="KU34" s="11" t="str">
        <f t="shared" si="129"/>
        <v/>
      </c>
      <c r="KV34" s="11" t="str">
        <f t="shared" si="130"/>
        <v/>
      </c>
      <c r="KW34" s="11" t="str">
        <f t="shared" si="131"/>
        <v/>
      </c>
      <c r="KX34" s="11" t="str">
        <f t="shared" si="132"/>
        <v/>
      </c>
      <c r="KY34" s="11" t="str">
        <f t="shared" si="133"/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 t="shared" si="134"/>
        <v/>
      </c>
      <c r="LU34" s="40" t="str">
        <f t="shared" si="135"/>
        <v/>
      </c>
      <c r="LV34" s="40" t="str">
        <f t="shared" si="136"/>
        <v/>
      </c>
      <c r="LW34" s="40" t="str">
        <f t="shared" si="137"/>
        <v/>
      </c>
      <c r="LX34" s="40" t="str">
        <f t="shared" si="138"/>
        <v/>
      </c>
      <c r="LY34" s="40" t="str">
        <f t="shared" si="139"/>
        <v/>
      </c>
      <c r="LZ34" s="40" t="str">
        <f t="shared" si="140"/>
        <v/>
      </c>
      <c r="MA34" s="40" t="str">
        <f t="shared" si="141"/>
        <v/>
      </c>
      <c r="MB34" s="40" t="str">
        <f t="shared" si="142"/>
        <v/>
      </c>
      <c r="MC34" s="40" t="str">
        <f t="shared" si="143"/>
        <v/>
      </c>
      <c r="MD34" s="40" t="str">
        <f t="shared" si="144"/>
        <v/>
      </c>
      <c r="ME34" s="40" t="str">
        <f t="shared" si="145"/>
        <v/>
      </c>
      <c r="MF34" s="40" t="str">
        <f t="shared" si="146"/>
        <v/>
      </c>
      <c r="MG34" s="40" t="str">
        <f t="shared" si="147"/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 t="shared" si="148"/>
        <v/>
      </c>
      <c r="NC34" s="11" t="str">
        <f t="shared" si="149"/>
        <v/>
      </c>
      <c r="ND34" s="11" t="str">
        <f t="shared" si="150"/>
        <v/>
      </c>
      <c r="NE34" s="11" t="str">
        <f t="shared" si="151"/>
        <v/>
      </c>
      <c r="NF34" s="11" t="str">
        <f t="shared" si="152"/>
        <v/>
      </c>
      <c r="NG34" s="11" t="str">
        <f t="shared" si="153"/>
        <v/>
      </c>
      <c r="NH34" s="11" t="str">
        <f t="shared" si="154"/>
        <v/>
      </c>
      <c r="NI34" s="11" t="str">
        <f t="shared" si="155"/>
        <v/>
      </c>
      <c r="NJ34" s="11" t="str">
        <f t="shared" si="156"/>
        <v/>
      </c>
      <c r="NK34" s="11" t="str">
        <f t="shared" si="157"/>
        <v/>
      </c>
      <c r="NL34" s="11" t="str">
        <f t="shared" si="158"/>
        <v/>
      </c>
      <c r="NM34" s="11" t="str">
        <f t="shared" si="159"/>
        <v/>
      </c>
      <c r="NN34" s="11" t="str">
        <f t="shared" si="160"/>
        <v/>
      </c>
      <c r="NO34" s="11" t="str">
        <f t="shared" si="161"/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 t="shared" si="162"/>
        <v/>
      </c>
      <c r="OK34" s="40" t="str">
        <f t="shared" si="163"/>
        <v/>
      </c>
      <c r="OL34" s="40" t="str">
        <f t="shared" si="164"/>
        <v/>
      </c>
      <c r="OM34" s="40" t="str">
        <f t="shared" si="165"/>
        <v/>
      </c>
      <c r="ON34" s="40" t="str">
        <f t="shared" si="166"/>
        <v/>
      </c>
      <c r="OO34" s="40" t="str">
        <f t="shared" si="167"/>
        <v/>
      </c>
      <c r="OP34" s="40" t="str">
        <f t="shared" si="168"/>
        <v/>
      </c>
      <c r="OQ34" s="40" t="str">
        <f t="shared" si="169"/>
        <v/>
      </c>
      <c r="OR34" s="40" t="str">
        <f t="shared" si="170"/>
        <v/>
      </c>
      <c r="OS34" s="40" t="str">
        <f t="shared" si="171"/>
        <v/>
      </c>
      <c r="OT34" s="40" t="str">
        <f t="shared" si="172"/>
        <v/>
      </c>
      <c r="OU34" s="40" t="str">
        <f t="shared" si="173"/>
        <v/>
      </c>
      <c r="OV34" s="40" t="str">
        <f t="shared" si="174"/>
        <v/>
      </c>
      <c r="OW34" s="40" t="str">
        <f t="shared" si="175"/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 t="shared" si="176"/>
        <v/>
      </c>
      <c r="PS34" s="11" t="str">
        <f t="shared" si="177"/>
        <v/>
      </c>
      <c r="PT34" s="11" t="str">
        <f t="shared" si="178"/>
        <v/>
      </c>
      <c r="PU34" s="11" t="str">
        <f t="shared" si="179"/>
        <v/>
      </c>
      <c r="PV34" s="11" t="str">
        <f t="shared" si="180"/>
        <v/>
      </c>
      <c r="PW34" s="11" t="str">
        <f t="shared" si="181"/>
        <v/>
      </c>
      <c r="PX34" s="11" t="str">
        <f t="shared" si="182"/>
        <v/>
      </c>
      <c r="PY34" s="11" t="str">
        <f t="shared" si="183"/>
        <v/>
      </c>
      <c r="PZ34" s="11" t="str">
        <f t="shared" si="184"/>
        <v/>
      </c>
      <c r="QA34" s="11" t="str">
        <f t="shared" si="185"/>
        <v/>
      </c>
      <c r="QB34" s="11" t="str">
        <f t="shared" si="186"/>
        <v/>
      </c>
      <c r="QC34" s="11" t="str">
        <f t="shared" si="187"/>
        <v/>
      </c>
      <c r="QD34" s="11" t="str">
        <f t="shared" si="188"/>
        <v/>
      </c>
      <c r="QE34" s="11" t="str">
        <f t="shared" si="189"/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 t="shared" si="190"/>
        <v/>
      </c>
      <c r="RA34" s="40" t="str">
        <f t="shared" si="191"/>
        <v/>
      </c>
      <c r="RB34" s="40" t="str">
        <f t="shared" si="192"/>
        <v/>
      </c>
      <c r="RC34" s="40" t="str">
        <f t="shared" si="193"/>
        <v/>
      </c>
      <c r="RD34" s="40" t="str">
        <f t="shared" si="194"/>
        <v/>
      </c>
      <c r="RE34" s="40" t="str">
        <f t="shared" si="195"/>
        <v/>
      </c>
      <c r="RF34" s="40" t="str">
        <f t="shared" si="196"/>
        <v/>
      </c>
      <c r="RG34" s="40" t="str">
        <f t="shared" si="197"/>
        <v/>
      </c>
      <c r="RH34" s="40" t="str">
        <f t="shared" si="198"/>
        <v/>
      </c>
      <c r="RI34" s="40" t="str">
        <f t="shared" si="199"/>
        <v/>
      </c>
      <c r="RJ34" s="40" t="str">
        <f t="shared" si="200"/>
        <v/>
      </c>
      <c r="RK34" s="40" t="str">
        <f t="shared" si="201"/>
        <v/>
      </c>
      <c r="RL34" s="40" t="str">
        <f t="shared" si="202"/>
        <v/>
      </c>
      <c r="RM34" s="40" t="str">
        <f t="shared" si="203"/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 t="shared" si="204"/>
        <v/>
      </c>
      <c r="SI34" s="11" t="str">
        <f t="shared" si="205"/>
        <v/>
      </c>
      <c r="SJ34" s="11" t="str">
        <f t="shared" si="206"/>
        <v/>
      </c>
      <c r="SK34" s="11" t="str">
        <f t="shared" si="207"/>
        <v/>
      </c>
      <c r="SL34" s="11" t="str">
        <f t="shared" si="208"/>
        <v/>
      </c>
      <c r="SM34" s="11" t="str">
        <f t="shared" si="209"/>
        <v/>
      </c>
      <c r="SN34" s="11" t="str">
        <f t="shared" si="210"/>
        <v/>
      </c>
      <c r="SO34" s="11" t="str">
        <f t="shared" si="211"/>
        <v/>
      </c>
      <c r="SP34" s="11" t="str">
        <f t="shared" si="212"/>
        <v/>
      </c>
      <c r="SQ34" s="11" t="str">
        <f t="shared" si="213"/>
        <v/>
      </c>
      <c r="SR34" s="11" t="str">
        <f t="shared" si="214"/>
        <v/>
      </c>
      <c r="SS34" s="11" t="str">
        <f t="shared" si="215"/>
        <v/>
      </c>
      <c r="ST34" s="11" t="str">
        <f t="shared" si="216"/>
        <v/>
      </c>
      <c r="SU34" s="11" t="str">
        <f t="shared" si="217"/>
        <v/>
      </c>
      <c r="SV34" s="22">
        <f t="shared" si="218"/>
        <v>0</v>
      </c>
      <c r="SW34" s="22">
        <f t="shared" si="219"/>
        <v>0</v>
      </c>
      <c r="SX34" s="22">
        <f t="shared" si="220"/>
        <v>0</v>
      </c>
      <c r="SY34" s="22">
        <f t="shared" si="221"/>
        <v>0</v>
      </c>
      <c r="SZ34" s="22">
        <f t="shared" si="222"/>
        <v>0</v>
      </c>
      <c r="TA34" s="22">
        <f t="shared" si="223"/>
        <v>0</v>
      </c>
      <c r="TB34" s="22">
        <f t="shared" si="224"/>
        <v>0</v>
      </c>
      <c r="TC34" s="22">
        <f t="shared" si="225"/>
        <v>0</v>
      </c>
      <c r="TD34" s="22">
        <f t="shared" si="226"/>
        <v>0</v>
      </c>
      <c r="TE34" s="22">
        <f t="shared" si="227"/>
        <v>0</v>
      </c>
      <c r="TF34" s="22">
        <f t="shared" si="228"/>
        <v>0</v>
      </c>
      <c r="TG34" s="22">
        <f t="shared" si="229"/>
        <v>0</v>
      </c>
      <c r="TH34" s="22">
        <f t="shared" si="230"/>
        <v>0</v>
      </c>
      <c r="TI34" s="22">
        <f t="shared" si="231"/>
        <v>0</v>
      </c>
      <c r="TJ34" s="22">
        <f t="shared" si="232"/>
        <v>0</v>
      </c>
      <c r="TK34" s="27" t="s">
        <v>46</v>
      </c>
      <c r="TL34" s="40" t="str">
        <f t="shared" si="233"/>
        <v/>
      </c>
      <c r="TM34" s="40" t="str">
        <f t="shared" si="234"/>
        <v/>
      </c>
      <c r="TN34" s="40" t="str">
        <f t="shared" si="235"/>
        <v/>
      </c>
      <c r="TO34" s="40" t="str">
        <f t="shared" si="236"/>
        <v/>
      </c>
      <c r="TP34" s="40" t="str">
        <f t="shared" si="237"/>
        <v/>
      </c>
      <c r="TQ34" s="40" t="str">
        <f t="shared" si="238"/>
        <v/>
      </c>
      <c r="TR34" s="40" t="str">
        <f t="shared" si="239"/>
        <v/>
      </c>
      <c r="TS34" s="40" t="str">
        <f t="shared" si="240"/>
        <v/>
      </c>
      <c r="TT34" s="40" t="str">
        <f t="shared" si="241"/>
        <v/>
      </c>
      <c r="TU34" s="40" t="str">
        <f t="shared" si="242"/>
        <v/>
      </c>
      <c r="TV34" s="40" t="str">
        <f t="shared" si="243"/>
        <v/>
      </c>
    </row>
    <row r="35" spans="1:542" x14ac:dyDescent="0.2">
      <c r="A35" s="4" t="str" cm="1">
        <f t="array" ref="A35">IF(AND(J35&lt;&gt;"",J35&lt;&gt;"No DD"),SUMPRODUCT((J$4:J$39&lt;&gt;"")*(J$4:J$39&lt;&gt;"No DD")*(F$4:F$39&gt;F35))+1,IF(J35="No DD",SUMPRODUCT((J$4:J$39="No DD")*(F$4:F$39&gt;F35))+1+SUMPRODUCT((J$4:J$39&lt;&gt;"")*(J$4:J$39&lt;&gt;"No DD")),""))</f>
        <v/>
      </c>
      <c r="B35" s="4" t="str" cm="1">
        <f t="array" ref="B35">IF(AND(J35&lt;&gt;"",J35&lt;&gt;"No DD",G35=""),SUMPRODUCT((J$4:J$39&lt;&gt;"")*(J$4:J$39&lt;&gt;"No DD")*(G$4:G$39="")*(F$4:F$39&gt;F35))+1,IF(J35="No DD",SUMPRODUCT((J$4:J$39="No DD")*(F$4:F$39&gt;F35)*(G$4:G$39=""))+1+SUMPRODUCT((J$4:J$39&lt;&gt;"")*(G$4:G$39="")*(J$4:J$39&lt;&gt;"No DD")),""))</f>
        <v/>
      </c>
      <c r="C35" s="5" t="s">
        <v>143</v>
      </c>
      <c r="D35" s="4" t="s">
        <v>3</v>
      </c>
      <c r="E35" s="4">
        <v>2008</v>
      </c>
      <c r="F35" s="9">
        <f t="shared" si="0"/>
        <v>79.240007924004601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IF(COUNT(AQ35,AT35,BR35,BU35,CS35,CV35)&gt;0,LARGE((AQ35,AT35,BR35,BU35,CS35,CV35),1),0)</f>
        <v>46.03</v>
      </c>
      <c r="M35" s="8" t="str">
        <f t="shared" si="5"/>
        <v>2024 Nationals</v>
      </c>
      <c r="N35" s="8">
        <f>IF(COUNT(AQ35,AT35,BR35,BU35,CS35,CV35)&gt;1,LARGE((AQ35,AT35,BR35,BU35,CS35,CV35),2),0)</f>
        <v>24.009999999999998</v>
      </c>
      <c r="O35" s="8" t="str">
        <f t="shared" si="6"/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 t="shared" si="7"/>
        <v/>
      </c>
      <c r="R35" s="8">
        <f t="shared" si="8"/>
        <v>9.1999999999999993</v>
      </c>
      <c r="S35" s="8" t="str">
        <f t="shared" si="9"/>
        <v>2024 Nationals</v>
      </c>
      <c r="T35" s="8">
        <f t="shared" si="10"/>
        <v>0</v>
      </c>
      <c r="U35" s="8" t="str">
        <f t="shared" si="11"/>
        <v/>
      </c>
      <c r="V35" s="8" t="str">
        <f t="shared" si="12"/>
        <v/>
      </c>
      <c r="W35" s="11" t="str">
        <f t="shared" si="13"/>
        <v/>
      </c>
      <c r="X35" s="8" t="str">
        <f t="shared" si="14"/>
        <v/>
      </c>
      <c r="Y35" s="22">
        <v>7.1</v>
      </c>
      <c r="Z35" s="22">
        <v>4.5999999999999996</v>
      </c>
      <c r="AA35" s="22">
        <v>5.2</v>
      </c>
      <c r="AB35" s="22">
        <v>7.11</v>
      </c>
      <c r="AC35" s="22">
        <v>0</v>
      </c>
      <c r="AD35" s="22">
        <v>13.6</v>
      </c>
      <c r="AE35" s="22">
        <v>9.1</v>
      </c>
      <c r="AF35" s="22">
        <v>9.1999999999999993</v>
      </c>
      <c r="AG35" s="22">
        <v>14.13</v>
      </c>
      <c r="AH35" s="22">
        <v>0</v>
      </c>
      <c r="AI35" s="22"/>
      <c r="AJ35" s="22"/>
      <c r="AK35" s="22"/>
      <c r="AL35" s="22"/>
      <c r="AM35" s="22"/>
      <c r="AN35" s="27"/>
      <c r="AO35" s="38">
        <f t="shared" si="15"/>
        <v>5.2</v>
      </c>
      <c r="AP35" s="38">
        <f t="shared" si="16"/>
        <v>7.11</v>
      </c>
      <c r="AQ35" s="40">
        <f t="shared" si="17"/>
        <v>24.009999999999998</v>
      </c>
      <c r="AR35" s="40">
        <f t="shared" si="18"/>
        <v>9.1999999999999993</v>
      </c>
      <c r="AS35" s="40">
        <f t="shared" si="19"/>
        <v>14.13</v>
      </c>
      <c r="AT35" s="40">
        <f t="shared" si="20"/>
        <v>46.03</v>
      </c>
      <c r="AU35" s="40">
        <f t="shared" si="21"/>
        <v>46.03</v>
      </c>
      <c r="AV35" s="40" t="str">
        <f t="shared" si="22"/>
        <v/>
      </c>
      <c r="AW35" s="40" t="str">
        <f t="shared" si="23"/>
        <v/>
      </c>
      <c r="AX35" s="40" t="str">
        <f t="shared" si="24"/>
        <v/>
      </c>
      <c r="AY35" s="40">
        <f t="shared" si="25"/>
        <v>46.03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 t="shared" si="26"/>
        <v/>
      </c>
      <c r="BQ35" s="39" t="str">
        <f t="shared" si="27"/>
        <v/>
      </c>
      <c r="BR35" s="11" t="str">
        <f t="shared" si="28"/>
        <v/>
      </c>
      <c r="BS35" s="11" t="str">
        <f t="shared" si="29"/>
        <v/>
      </c>
      <c r="BT35" s="11" t="str">
        <f t="shared" si="30"/>
        <v/>
      </c>
      <c r="BU35" s="11" t="str">
        <f t="shared" si="31"/>
        <v/>
      </c>
      <c r="BV35" s="11" t="str">
        <f t="shared" si="32"/>
        <v/>
      </c>
      <c r="BW35" s="11" t="str">
        <f t="shared" si="33"/>
        <v/>
      </c>
      <c r="BX35" s="11" t="str">
        <f t="shared" si="34"/>
        <v/>
      </c>
      <c r="BY35" s="11" t="str">
        <f t="shared" si="35"/>
        <v/>
      </c>
      <c r="BZ35" s="11" t="str">
        <f t="shared" si="36"/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 t="shared" si="37"/>
        <v/>
      </c>
      <c r="CR35" s="38" t="str">
        <f t="shared" si="38"/>
        <v/>
      </c>
      <c r="CS35" s="40" t="str">
        <f t="shared" si="39"/>
        <v/>
      </c>
      <c r="CT35" s="40" t="str">
        <f t="shared" si="40"/>
        <v/>
      </c>
      <c r="CU35" s="40" t="str">
        <f t="shared" si="41"/>
        <v/>
      </c>
      <c r="CV35" s="40" t="str">
        <f t="shared" si="42"/>
        <v/>
      </c>
      <c r="CW35" s="40" t="str">
        <f t="shared" si="43"/>
        <v/>
      </c>
      <c r="CX35" s="40" t="str">
        <f t="shared" si="44"/>
        <v/>
      </c>
      <c r="CY35" s="40" t="str">
        <f t="shared" si="45"/>
        <v/>
      </c>
      <c r="CZ35" s="40" t="str">
        <f t="shared" si="46"/>
        <v/>
      </c>
      <c r="DA35" s="40" t="str">
        <f t="shared" si="47"/>
        <v/>
      </c>
      <c r="DB35" s="50" t="str">
        <f t="shared" si="48"/>
        <v/>
      </c>
      <c r="DC35" s="50" t="str">
        <f t="shared" si="49"/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 t="shared" si="50"/>
        <v/>
      </c>
      <c r="DY35" s="40" t="str">
        <f t="shared" si="51"/>
        <v/>
      </c>
      <c r="DZ35" s="40" t="str">
        <f t="shared" si="52"/>
        <v/>
      </c>
      <c r="EA35" s="40" t="str">
        <f t="shared" si="53"/>
        <v/>
      </c>
      <c r="EB35" s="40" t="str">
        <f t="shared" si="54"/>
        <v/>
      </c>
      <c r="EC35" s="40" t="str">
        <f t="shared" si="55"/>
        <v/>
      </c>
      <c r="ED35" s="40" t="str">
        <f t="shared" si="56"/>
        <v/>
      </c>
      <c r="EE35" s="40" t="str">
        <f t="shared" si="57"/>
        <v/>
      </c>
      <c r="EF35" s="40" t="str">
        <f t="shared" si="58"/>
        <v/>
      </c>
      <c r="EG35" s="40" t="str">
        <f t="shared" si="59"/>
        <v/>
      </c>
      <c r="EH35" s="40" t="str">
        <f t="shared" si="60"/>
        <v/>
      </c>
      <c r="EI35" s="40" t="str">
        <f t="shared" si="61"/>
        <v/>
      </c>
      <c r="EJ35" s="40" t="str">
        <f t="shared" si="62"/>
        <v/>
      </c>
      <c r="EK35" s="40" t="str">
        <f t="shared" si="63"/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 t="shared" si="64"/>
        <v/>
      </c>
      <c r="FG35" s="11" t="str">
        <f t="shared" si="65"/>
        <v/>
      </c>
      <c r="FH35" s="11" t="str">
        <f t="shared" si="66"/>
        <v/>
      </c>
      <c r="FI35" s="11" t="str">
        <f t="shared" si="67"/>
        <v/>
      </c>
      <c r="FJ35" s="11" t="str">
        <f t="shared" si="68"/>
        <v/>
      </c>
      <c r="FK35" s="11" t="str">
        <f t="shared" si="69"/>
        <v/>
      </c>
      <c r="FL35" s="11" t="str">
        <f t="shared" si="70"/>
        <v/>
      </c>
      <c r="FM35" s="11" t="str">
        <f t="shared" si="71"/>
        <v/>
      </c>
      <c r="FN35" s="11" t="str">
        <f t="shared" si="72"/>
        <v/>
      </c>
      <c r="FO35" s="11" t="str">
        <f t="shared" si="73"/>
        <v/>
      </c>
      <c r="FP35" s="11" t="str">
        <f t="shared" si="74"/>
        <v/>
      </c>
      <c r="FQ35" s="11" t="str">
        <f t="shared" si="75"/>
        <v/>
      </c>
      <c r="FR35" s="11" t="str">
        <f t="shared" si="76"/>
        <v/>
      </c>
      <c r="FS35" s="11" t="str">
        <f t="shared" si="77"/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 t="shared" si="78"/>
        <v/>
      </c>
      <c r="GO35" s="40" t="str">
        <f t="shared" si="79"/>
        <v/>
      </c>
      <c r="GP35" s="40" t="str">
        <f t="shared" si="80"/>
        <v/>
      </c>
      <c r="GQ35" s="40" t="str">
        <f t="shared" si="81"/>
        <v/>
      </c>
      <c r="GR35" s="40" t="str">
        <f t="shared" si="82"/>
        <v/>
      </c>
      <c r="GS35" s="40" t="str">
        <f t="shared" si="83"/>
        <v/>
      </c>
      <c r="GT35" s="40" t="str">
        <f t="shared" si="84"/>
        <v/>
      </c>
      <c r="GU35" s="40" t="str">
        <f t="shared" si="85"/>
        <v/>
      </c>
      <c r="GV35" s="40" t="str">
        <f t="shared" si="86"/>
        <v/>
      </c>
      <c r="GW35" s="40" t="str">
        <f t="shared" si="87"/>
        <v/>
      </c>
      <c r="GX35" s="40" t="str">
        <f t="shared" si="88"/>
        <v/>
      </c>
      <c r="GY35" s="40" t="str">
        <f t="shared" si="89"/>
        <v/>
      </c>
      <c r="GZ35" s="40" t="str">
        <f t="shared" si="90"/>
        <v/>
      </c>
      <c r="HA35" s="40" t="str">
        <f t="shared" si="91"/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 t="shared" si="92"/>
        <v/>
      </c>
      <c r="HW35" s="11" t="str">
        <f t="shared" si="93"/>
        <v/>
      </c>
      <c r="HX35" s="11" t="str">
        <f t="shared" si="94"/>
        <v/>
      </c>
      <c r="HY35" s="11" t="str">
        <f t="shared" si="95"/>
        <v/>
      </c>
      <c r="HZ35" s="11" t="str">
        <f t="shared" si="96"/>
        <v/>
      </c>
      <c r="IA35" s="11" t="str">
        <f t="shared" si="97"/>
        <v/>
      </c>
      <c r="IB35" s="11" t="str">
        <f t="shared" si="98"/>
        <v/>
      </c>
      <c r="IC35" s="11" t="str">
        <f t="shared" si="99"/>
        <v/>
      </c>
      <c r="ID35" s="11" t="str">
        <f t="shared" si="100"/>
        <v/>
      </c>
      <c r="IE35" s="11" t="str">
        <f t="shared" si="101"/>
        <v/>
      </c>
      <c r="IF35" s="11" t="str">
        <f t="shared" si="102"/>
        <v/>
      </c>
      <c r="IG35" s="11" t="str">
        <f t="shared" si="103"/>
        <v/>
      </c>
      <c r="IH35" s="11" t="str">
        <f t="shared" si="104"/>
        <v/>
      </c>
      <c r="II35" s="11" t="str">
        <f t="shared" si="105"/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 t="shared" si="106"/>
        <v/>
      </c>
      <c r="JE35" s="40" t="str">
        <f t="shared" si="107"/>
        <v/>
      </c>
      <c r="JF35" s="40" t="str">
        <f t="shared" si="108"/>
        <v/>
      </c>
      <c r="JG35" s="40" t="str">
        <f t="shared" si="109"/>
        <v/>
      </c>
      <c r="JH35" s="40" t="str">
        <f t="shared" si="110"/>
        <v/>
      </c>
      <c r="JI35" s="40" t="str">
        <f t="shared" si="111"/>
        <v/>
      </c>
      <c r="JJ35" s="40" t="str">
        <f t="shared" si="112"/>
        <v/>
      </c>
      <c r="JK35" s="40" t="str">
        <f t="shared" si="113"/>
        <v/>
      </c>
      <c r="JL35" s="40" t="str">
        <f t="shared" si="114"/>
        <v/>
      </c>
      <c r="JM35" s="40" t="str">
        <f t="shared" si="115"/>
        <v/>
      </c>
      <c r="JN35" s="40" t="str">
        <f t="shared" si="116"/>
        <v/>
      </c>
      <c r="JO35" s="40" t="str">
        <f t="shared" si="117"/>
        <v/>
      </c>
      <c r="JP35" s="40" t="str">
        <f t="shared" si="118"/>
        <v/>
      </c>
      <c r="JQ35" s="40" t="str">
        <f t="shared" si="119"/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 t="shared" si="120"/>
        <v/>
      </c>
      <c r="KM35" s="11" t="str">
        <f t="shared" si="121"/>
        <v/>
      </c>
      <c r="KN35" s="11" t="str">
        <f t="shared" si="122"/>
        <v/>
      </c>
      <c r="KO35" s="11" t="str">
        <f t="shared" si="123"/>
        <v/>
      </c>
      <c r="KP35" s="11" t="str">
        <f t="shared" si="124"/>
        <v/>
      </c>
      <c r="KQ35" s="11" t="str">
        <f t="shared" si="125"/>
        <v/>
      </c>
      <c r="KR35" s="11" t="str">
        <f t="shared" si="126"/>
        <v/>
      </c>
      <c r="KS35" s="11" t="str">
        <f t="shared" si="127"/>
        <v/>
      </c>
      <c r="KT35" s="11" t="str">
        <f t="shared" si="128"/>
        <v/>
      </c>
      <c r="KU35" s="11" t="str">
        <f t="shared" si="129"/>
        <v/>
      </c>
      <c r="KV35" s="11" t="str">
        <f t="shared" si="130"/>
        <v/>
      </c>
      <c r="KW35" s="11" t="str">
        <f t="shared" si="131"/>
        <v/>
      </c>
      <c r="KX35" s="11" t="str">
        <f t="shared" si="132"/>
        <v/>
      </c>
      <c r="KY35" s="11" t="str">
        <f t="shared" si="133"/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 t="shared" si="134"/>
        <v/>
      </c>
      <c r="LU35" s="40" t="str">
        <f t="shared" si="135"/>
        <v/>
      </c>
      <c r="LV35" s="40" t="str">
        <f t="shared" si="136"/>
        <v/>
      </c>
      <c r="LW35" s="40" t="str">
        <f t="shared" si="137"/>
        <v/>
      </c>
      <c r="LX35" s="40" t="str">
        <f t="shared" si="138"/>
        <v/>
      </c>
      <c r="LY35" s="40" t="str">
        <f t="shared" si="139"/>
        <v/>
      </c>
      <c r="LZ35" s="40" t="str">
        <f t="shared" si="140"/>
        <v/>
      </c>
      <c r="MA35" s="40" t="str">
        <f t="shared" si="141"/>
        <v/>
      </c>
      <c r="MB35" s="40" t="str">
        <f t="shared" si="142"/>
        <v/>
      </c>
      <c r="MC35" s="40" t="str">
        <f t="shared" si="143"/>
        <v/>
      </c>
      <c r="MD35" s="40" t="str">
        <f t="shared" si="144"/>
        <v/>
      </c>
      <c r="ME35" s="40" t="str">
        <f t="shared" si="145"/>
        <v/>
      </c>
      <c r="MF35" s="40" t="str">
        <f t="shared" si="146"/>
        <v/>
      </c>
      <c r="MG35" s="40" t="str">
        <f t="shared" si="147"/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 t="shared" si="148"/>
        <v/>
      </c>
      <c r="NC35" s="11" t="str">
        <f t="shared" si="149"/>
        <v/>
      </c>
      <c r="ND35" s="11" t="str">
        <f t="shared" si="150"/>
        <v/>
      </c>
      <c r="NE35" s="11" t="str">
        <f t="shared" si="151"/>
        <v/>
      </c>
      <c r="NF35" s="11" t="str">
        <f t="shared" si="152"/>
        <v/>
      </c>
      <c r="NG35" s="11" t="str">
        <f t="shared" si="153"/>
        <v/>
      </c>
      <c r="NH35" s="11" t="str">
        <f t="shared" si="154"/>
        <v/>
      </c>
      <c r="NI35" s="11" t="str">
        <f t="shared" si="155"/>
        <v/>
      </c>
      <c r="NJ35" s="11" t="str">
        <f t="shared" si="156"/>
        <v/>
      </c>
      <c r="NK35" s="11" t="str">
        <f t="shared" si="157"/>
        <v/>
      </c>
      <c r="NL35" s="11" t="str">
        <f t="shared" si="158"/>
        <v/>
      </c>
      <c r="NM35" s="11" t="str">
        <f t="shared" si="159"/>
        <v/>
      </c>
      <c r="NN35" s="11" t="str">
        <f t="shared" si="160"/>
        <v/>
      </c>
      <c r="NO35" s="11" t="str">
        <f t="shared" si="161"/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 t="shared" si="162"/>
        <v/>
      </c>
      <c r="OK35" s="40" t="str">
        <f t="shared" si="163"/>
        <v/>
      </c>
      <c r="OL35" s="40" t="str">
        <f t="shared" si="164"/>
        <v/>
      </c>
      <c r="OM35" s="40" t="str">
        <f t="shared" si="165"/>
        <v/>
      </c>
      <c r="ON35" s="40" t="str">
        <f t="shared" si="166"/>
        <v/>
      </c>
      <c r="OO35" s="40" t="str">
        <f t="shared" si="167"/>
        <v/>
      </c>
      <c r="OP35" s="40" t="str">
        <f t="shared" si="168"/>
        <v/>
      </c>
      <c r="OQ35" s="40" t="str">
        <f t="shared" si="169"/>
        <v/>
      </c>
      <c r="OR35" s="40" t="str">
        <f t="shared" si="170"/>
        <v/>
      </c>
      <c r="OS35" s="40" t="str">
        <f t="shared" si="171"/>
        <v/>
      </c>
      <c r="OT35" s="40" t="str">
        <f t="shared" si="172"/>
        <v/>
      </c>
      <c r="OU35" s="40" t="str">
        <f t="shared" si="173"/>
        <v/>
      </c>
      <c r="OV35" s="40" t="str">
        <f t="shared" si="174"/>
        <v/>
      </c>
      <c r="OW35" s="40" t="str">
        <f t="shared" si="175"/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 t="shared" si="176"/>
        <v/>
      </c>
      <c r="PS35" s="11" t="str">
        <f t="shared" si="177"/>
        <v/>
      </c>
      <c r="PT35" s="11" t="str">
        <f t="shared" si="178"/>
        <v/>
      </c>
      <c r="PU35" s="11" t="str">
        <f t="shared" si="179"/>
        <v/>
      </c>
      <c r="PV35" s="11" t="str">
        <f t="shared" si="180"/>
        <v/>
      </c>
      <c r="PW35" s="11" t="str">
        <f t="shared" si="181"/>
        <v/>
      </c>
      <c r="PX35" s="11" t="str">
        <f t="shared" si="182"/>
        <v/>
      </c>
      <c r="PY35" s="11" t="str">
        <f t="shared" si="183"/>
        <v/>
      </c>
      <c r="PZ35" s="11" t="str">
        <f t="shared" si="184"/>
        <v/>
      </c>
      <c r="QA35" s="11" t="str">
        <f t="shared" si="185"/>
        <v/>
      </c>
      <c r="QB35" s="11" t="str">
        <f t="shared" si="186"/>
        <v/>
      </c>
      <c r="QC35" s="11" t="str">
        <f t="shared" si="187"/>
        <v/>
      </c>
      <c r="QD35" s="11" t="str">
        <f t="shared" si="188"/>
        <v/>
      </c>
      <c r="QE35" s="11" t="str">
        <f t="shared" si="189"/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 t="shared" si="190"/>
        <v/>
      </c>
      <c r="RA35" s="40" t="str">
        <f t="shared" si="191"/>
        <v/>
      </c>
      <c r="RB35" s="40" t="str">
        <f t="shared" si="192"/>
        <v/>
      </c>
      <c r="RC35" s="40" t="str">
        <f t="shared" si="193"/>
        <v/>
      </c>
      <c r="RD35" s="40" t="str">
        <f t="shared" si="194"/>
        <v/>
      </c>
      <c r="RE35" s="40" t="str">
        <f t="shared" si="195"/>
        <v/>
      </c>
      <c r="RF35" s="40" t="str">
        <f t="shared" si="196"/>
        <v/>
      </c>
      <c r="RG35" s="40" t="str">
        <f t="shared" si="197"/>
        <v/>
      </c>
      <c r="RH35" s="40" t="str">
        <f t="shared" si="198"/>
        <v/>
      </c>
      <c r="RI35" s="40" t="str">
        <f t="shared" si="199"/>
        <v/>
      </c>
      <c r="RJ35" s="40" t="str">
        <f t="shared" si="200"/>
        <v/>
      </c>
      <c r="RK35" s="40" t="str">
        <f t="shared" si="201"/>
        <v/>
      </c>
      <c r="RL35" s="40" t="str">
        <f t="shared" si="202"/>
        <v/>
      </c>
      <c r="RM35" s="40" t="str">
        <f t="shared" si="203"/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 t="shared" si="204"/>
        <v/>
      </c>
      <c r="SI35" s="11" t="str">
        <f t="shared" si="205"/>
        <v/>
      </c>
      <c r="SJ35" s="11" t="str">
        <f t="shared" si="206"/>
        <v/>
      </c>
      <c r="SK35" s="11" t="str">
        <f t="shared" si="207"/>
        <v/>
      </c>
      <c r="SL35" s="11" t="str">
        <f t="shared" si="208"/>
        <v/>
      </c>
      <c r="SM35" s="11" t="str">
        <f t="shared" si="209"/>
        <v/>
      </c>
      <c r="SN35" s="11" t="str">
        <f t="shared" si="210"/>
        <v/>
      </c>
      <c r="SO35" s="11" t="str">
        <f t="shared" si="211"/>
        <v/>
      </c>
      <c r="SP35" s="11" t="str">
        <f t="shared" si="212"/>
        <v/>
      </c>
      <c r="SQ35" s="11" t="str">
        <f t="shared" si="213"/>
        <v/>
      </c>
      <c r="SR35" s="11" t="str">
        <f t="shared" si="214"/>
        <v/>
      </c>
      <c r="SS35" s="11" t="str">
        <f t="shared" si="215"/>
        <v/>
      </c>
      <c r="ST35" s="11" t="str">
        <f t="shared" si="216"/>
        <v/>
      </c>
      <c r="SU35" s="11" t="str">
        <f t="shared" si="217"/>
        <v/>
      </c>
      <c r="SV35" s="22">
        <f t="shared" si="218"/>
        <v>0</v>
      </c>
      <c r="SW35" s="22">
        <f t="shared" si="219"/>
        <v>0</v>
      </c>
      <c r="SX35" s="22">
        <f t="shared" si="220"/>
        <v>0</v>
      </c>
      <c r="SY35" s="22">
        <f t="shared" si="221"/>
        <v>0</v>
      </c>
      <c r="SZ35" s="22">
        <f t="shared" si="222"/>
        <v>0</v>
      </c>
      <c r="TA35" s="22">
        <f t="shared" si="223"/>
        <v>0</v>
      </c>
      <c r="TB35" s="22">
        <f t="shared" si="224"/>
        <v>0</v>
      </c>
      <c r="TC35" s="22">
        <f t="shared" si="225"/>
        <v>0</v>
      </c>
      <c r="TD35" s="22">
        <f t="shared" si="226"/>
        <v>0</v>
      </c>
      <c r="TE35" s="22">
        <f t="shared" si="227"/>
        <v>0</v>
      </c>
      <c r="TF35" s="22">
        <f t="shared" si="228"/>
        <v>0</v>
      </c>
      <c r="TG35" s="22">
        <f t="shared" si="229"/>
        <v>0</v>
      </c>
      <c r="TH35" s="22">
        <f t="shared" si="230"/>
        <v>0</v>
      </c>
      <c r="TI35" s="22">
        <f t="shared" si="231"/>
        <v>0</v>
      </c>
      <c r="TJ35" s="22">
        <f t="shared" si="232"/>
        <v>0</v>
      </c>
      <c r="TK35" s="27" t="s">
        <v>46</v>
      </c>
      <c r="TL35" s="40" t="str">
        <f t="shared" si="233"/>
        <v/>
      </c>
      <c r="TM35" s="40" t="str">
        <f t="shared" si="234"/>
        <v/>
      </c>
      <c r="TN35" s="40" t="str">
        <f t="shared" si="235"/>
        <v/>
      </c>
      <c r="TO35" s="40" t="str">
        <f t="shared" si="236"/>
        <v/>
      </c>
      <c r="TP35" s="40" t="str">
        <f t="shared" si="237"/>
        <v/>
      </c>
      <c r="TQ35" s="40" t="str">
        <f t="shared" si="238"/>
        <v/>
      </c>
      <c r="TR35" s="40" t="str">
        <f t="shared" si="239"/>
        <v/>
      </c>
      <c r="TS35" s="40" t="str">
        <f t="shared" si="240"/>
        <v/>
      </c>
      <c r="TT35" s="40" t="str">
        <f t="shared" si="241"/>
        <v/>
      </c>
      <c r="TU35" s="40" t="str">
        <f t="shared" si="242"/>
        <v/>
      </c>
      <c r="TV35" s="40" t="str">
        <f t="shared" si="243"/>
        <v/>
      </c>
    </row>
    <row r="36" spans="1:542" x14ac:dyDescent="0.2">
      <c r="A36" s="4" t="str" cm="1">
        <f t="array" ref="A36">IF(AND(J36&lt;&gt;"",J36&lt;&gt;"No DD"),SUMPRODUCT((J$4:J$39&lt;&gt;"")*(J$4:J$39&lt;&gt;"No DD")*(F$4:F$39&gt;F36))+1,IF(J36="No DD",SUMPRODUCT((J$4:J$39="No DD")*(F$4:F$39&gt;F36))+1+SUMPRODUCT((J$4:J$39&lt;&gt;"")*(J$4:J$39&lt;&gt;"No DD")),""))</f>
        <v/>
      </c>
      <c r="B36" s="4" t="str" cm="1">
        <f t="array" ref="B36">IF(AND(J36&lt;&gt;"",J36&lt;&gt;"No DD",G36=""),SUMPRODUCT((J$4:J$39&lt;&gt;"")*(J$4:J$39&lt;&gt;"No DD")*(G$4:G$39="")*(F$4:F$39&gt;F36))+1,IF(J36="No DD",SUMPRODUCT((J$4:J$39="No DD")*(F$4:F$39&gt;F36)*(G$4:G$39=""))+1+SUMPRODUCT((J$4:J$39&lt;&gt;"")*(G$4:G$39="")*(J$4:J$39&lt;&gt;"No DD")),""))</f>
        <v/>
      </c>
      <c r="C36" s="5" t="s">
        <v>190</v>
      </c>
      <c r="D36" s="4" t="s">
        <v>90</v>
      </c>
      <c r="E36" s="4">
        <v>2007</v>
      </c>
      <c r="F36" s="9">
        <f t="shared" si="0"/>
        <v>67.360006736004735</v>
      </c>
      <c r="G36" s="64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IF(COUNT(AQ36,AT36,BR36,BU36,CS36,CV36)&gt;0,LARGE((AQ36,AT36,BR36,BU36,CS36,CV36),1),0)</f>
        <v>47.27</v>
      </c>
      <c r="M36" s="8" t="str">
        <f t="shared" si="5"/>
        <v>2024 Nationals</v>
      </c>
      <c r="N36" s="8">
        <f>IF(COUNT(AQ36,AT36,BR36,BU36,CS36,CV36)&gt;1,LARGE((AQ36,AT36,BR36,BU36,CS36,CV36),2),0)</f>
        <v>9.99</v>
      </c>
      <c r="O36" s="8" t="str">
        <f t="shared" si="6"/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 t="shared" si="7"/>
        <v/>
      </c>
      <c r="R36" s="8">
        <f t="shared" si="8"/>
        <v>10.1</v>
      </c>
      <c r="S36" s="8" t="str">
        <f t="shared" si="9"/>
        <v>2024 Nationals</v>
      </c>
      <c r="T36" s="8">
        <f t="shared" si="10"/>
        <v>0</v>
      </c>
      <c r="U36" s="8" t="str">
        <f t="shared" si="11"/>
        <v/>
      </c>
      <c r="V36" s="8" t="str">
        <f t="shared" si="12"/>
        <v/>
      </c>
      <c r="W36" s="11" t="str">
        <f t="shared" si="13"/>
        <v/>
      </c>
      <c r="X36" s="8" t="str">
        <f t="shared" si="14"/>
        <v/>
      </c>
      <c r="Y36" s="22">
        <v>14.3</v>
      </c>
      <c r="Z36" s="22">
        <v>9.1999999999999993</v>
      </c>
      <c r="AA36" s="22">
        <v>10.1</v>
      </c>
      <c r="AB36" s="22">
        <v>13.67</v>
      </c>
      <c r="AC36" s="22">
        <v>0</v>
      </c>
      <c r="AD36" s="22">
        <v>3</v>
      </c>
      <c r="AE36" s="22">
        <v>2</v>
      </c>
      <c r="AF36" s="22">
        <v>2.1</v>
      </c>
      <c r="AG36" s="22">
        <v>2.89</v>
      </c>
      <c r="AH36" s="22">
        <v>0</v>
      </c>
      <c r="AI36" s="22"/>
      <c r="AJ36" s="22"/>
      <c r="AK36" s="22"/>
      <c r="AL36" s="22"/>
      <c r="AM36" s="22"/>
      <c r="AN36" s="27"/>
      <c r="AO36" s="38">
        <f t="shared" si="15"/>
        <v>10.1</v>
      </c>
      <c r="AP36" s="38">
        <f t="shared" si="16"/>
        <v>13.67</v>
      </c>
      <c r="AQ36" s="40">
        <f t="shared" si="17"/>
        <v>47.27</v>
      </c>
      <c r="AR36" s="40">
        <f t="shared" si="18"/>
        <v>2.1</v>
      </c>
      <c r="AS36" s="40">
        <f t="shared" si="19"/>
        <v>2.89</v>
      </c>
      <c r="AT36" s="40">
        <f t="shared" si="20"/>
        <v>9.99</v>
      </c>
      <c r="AU36" s="40">
        <f t="shared" si="21"/>
        <v>47.27</v>
      </c>
      <c r="AV36" s="40" t="str">
        <f t="shared" si="22"/>
        <v/>
      </c>
      <c r="AW36" s="40" t="str">
        <f t="shared" si="23"/>
        <v/>
      </c>
      <c r="AX36" s="40" t="str">
        <f t="shared" si="24"/>
        <v/>
      </c>
      <c r="AY36" s="40">
        <f t="shared" si="25"/>
        <v>47.27</v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 t="shared" si="26"/>
        <v/>
      </c>
      <c r="BQ36" s="39" t="str">
        <f t="shared" si="27"/>
        <v/>
      </c>
      <c r="BR36" s="11" t="str">
        <f t="shared" si="28"/>
        <v/>
      </c>
      <c r="BS36" s="11" t="str">
        <f t="shared" si="29"/>
        <v/>
      </c>
      <c r="BT36" s="11" t="str">
        <f t="shared" si="30"/>
        <v/>
      </c>
      <c r="BU36" s="11" t="str">
        <f t="shared" si="31"/>
        <v/>
      </c>
      <c r="BV36" s="11" t="str">
        <f t="shared" si="32"/>
        <v/>
      </c>
      <c r="BW36" s="11" t="str">
        <f t="shared" si="33"/>
        <v/>
      </c>
      <c r="BX36" s="11" t="str">
        <f t="shared" si="34"/>
        <v/>
      </c>
      <c r="BY36" s="11" t="str">
        <f t="shared" si="35"/>
        <v/>
      </c>
      <c r="BZ36" s="11" t="str">
        <f t="shared" si="36"/>
        <v/>
      </c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7"/>
      <c r="CQ36" s="38" t="str">
        <f t="shared" si="37"/>
        <v/>
      </c>
      <c r="CR36" s="38" t="str">
        <f t="shared" si="38"/>
        <v/>
      </c>
      <c r="CS36" s="40" t="str">
        <f t="shared" si="39"/>
        <v/>
      </c>
      <c r="CT36" s="40" t="str">
        <f t="shared" si="40"/>
        <v/>
      </c>
      <c r="CU36" s="40" t="str">
        <f t="shared" si="41"/>
        <v/>
      </c>
      <c r="CV36" s="40" t="str">
        <f t="shared" si="42"/>
        <v/>
      </c>
      <c r="CW36" s="40" t="str">
        <f t="shared" si="43"/>
        <v/>
      </c>
      <c r="CX36" s="40" t="str">
        <f t="shared" si="44"/>
        <v/>
      </c>
      <c r="CY36" s="40" t="str">
        <f t="shared" si="45"/>
        <v/>
      </c>
      <c r="CZ36" s="40" t="str">
        <f t="shared" si="46"/>
        <v/>
      </c>
      <c r="DA36" s="40" t="str">
        <f t="shared" si="47"/>
        <v/>
      </c>
      <c r="DB36" s="50" t="str">
        <f t="shared" si="48"/>
        <v/>
      </c>
      <c r="DC36" s="50" t="str">
        <f t="shared" si="49"/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 t="shared" si="50"/>
        <v/>
      </c>
      <c r="DY36" s="40" t="str">
        <f t="shared" si="51"/>
        <v/>
      </c>
      <c r="DZ36" s="40" t="str">
        <f t="shared" si="52"/>
        <v/>
      </c>
      <c r="EA36" s="40" t="str">
        <f t="shared" si="53"/>
        <v/>
      </c>
      <c r="EB36" s="40" t="str">
        <f t="shared" si="54"/>
        <v/>
      </c>
      <c r="EC36" s="40" t="str">
        <f t="shared" si="55"/>
        <v/>
      </c>
      <c r="ED36" s="40" t="str">
        <f t="shared" si="56"/>
        <v/>
      </c>
      <c r="EE36" s="40" t="str">
        <f t="shared" si="57"/>
        <v/>
      </c>
      <c r="EF36" s="40" t="str">
        <f t="shared" si="58"/>
        <v/>
      </c>
      <c r="EG36" s="40" t="str">
        <f t="shared" si="59"/>
        <v/>
      </c>
      <c r="EH36" s="40" t="str">
        <f t="shared" si="60"/>
        <v/>
      </c>
      <c r="EI36" s="40" t="str">
        <f t="shared" si="61"/>
        <v/>
      </c>
      <c r="EJ36" s="40" t="str">
        <f t="shared" si="62"/>
        <v/>
      </c>
      <c r="EK36" s="40" t="str">
        <f t="shared" si="63"/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 t="shared" si="64"/>
        <v/>
      </c>
      <c r="FG36" s="11" t="str">
        <f t="shared" si="65"/>
        <v/>
      </c>
      <c r="FH36" s="11" t="str">
        <f t="shared" si="66"/>
        <v/>
      </c>
      <c r="FI36" s="11" t="str">
        <f t="shared" si="67"/>
        <v/>
      </c>
      <c r="FJ36" s="11" t="str">
        <f t="shared" si="68"/>
        <v/>
      </c>
      <c r="FK36" s="11" t="str">
        <f t="shared" si="69"/>
        <v/>
      </c>
      <c r="FL36" s="11" t="str">
        <f t="shared" si="70"/>
        <v/>
      </c>
      <c r="FM36" s="11" t="str">
        <f t="shared" si="71"/>
        <v/>
      </c>
      <c r="FN36" s="11" t="str">
        <f t="shared" si="72"/>
        <v/>
      </c>
      <c r="FO36" s="11" t="str">
        <f t="shared" si="73"/>
        <v/>
      </c>
      <c r="FP36" s="11" t="str">
        <f t="shared" si="74"/>
        <v/>
      </c>
      <c r="FQ36" s="11" t="str">
        <f t="shared" si="75"/>
        <v/>
      </c>
      <c r="FR36" s="11" t="str">
        <f t="shared" si="76"/>
        <v/>
      </c>
      <c r="FS36" s="11" t="str">
        <f t="shared" si="77"/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 t="shared" si="78"/>
        <v/>
      </c>
      <c r="GO36" s="40" t="str">
        <f t="shared" si="79"/>
        <v/>
      </c>
      <c r="GP36" s="40" t="str">
        <f t="shared" si="80"/>
        <v/>
      </c>
      <c r="GQ36" s="40" t="str">
        <f t="shared" si="81"/>
        <v/>
      </c>
      <c r="GR36" s="40" t="str">
        <f t="shared" si="82"/>
        <v/>
      </c>
      <c r="GS36" s="40" t="str">
        <f t="shared" si="83"/>
        <v/>
      </c>
      <c r="GT36" s="40" t="str">
        <f t="shared" si="84"/>
        <v/>
      </c>
      <c r="GU36" s="40" t="str">
        <f t="shared" si="85"/>
        <v/>
      </c>
      <c r="GV36" s="40" t="str">
        <f t="shared" si="86"/>
        <v/>
      </c>
      <c r="GW36" s="40" t="str">
        <f t="shared" si="87"/>
        <v/>
      </c>
      <c r="GX36" s="40" t="str">
        <f t="shared" si="88"/>
        <v/>
      </c>
      <c r="GY36" s="40" t="str">
        <f t="shared" si="89"/>
        <v/>
      </c>
      <c r="GZ36" s="40" t="str">
        <f t="shared" si="90"/>
        <v/>
      </c>
      <c r="HA36" s="40" t="str">
        <f t="shared" si="91"/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 t="shared" si="92"/>
        <v/>
      </c>
      <c r="HW36" s="11" t="str">
        <f t="shared" si="93"/>
        <v/>
      </c>
      <c r="HX36" s="11" t="str">
        <f t="shared" si="94"/>
        <v/>
      </c>
      <c r="HY36" s="11" t="str">
        <f t="shared" si="95"/>
        <v/>
      </c>
      <c r="HZ36" s="11" t="str">
        <f t="shared" si="96"/>
        <v/>
      </c>
      <c r="IA36" s="11" t="str">
        <f t="shared" si="97"/>
        <v/>
      </c>
      <c r="IB36" s="11" t="str">
        <f t="shared" si="98"/>
        <v/>
      </c>
      <c r="IC36" s="11" t="str">
        <f t="shared" si="99"/>
        <v/>
      </c>
      <c r="ID36" s="11" t="str">
        <f t="shared" si="100"/>
        <v/>
      </c>
      <c r="IE36" s="11" t="str">
        <f t="shared" si="101"/>
        <v/>
      </c>
      <c r="IF36" s="11" t="str">
        <f t="shared" si="102"/>
        <v/>
      </c>
      <c r="IG36" s="11" t="str">
        <f t="shared" si="103"/>
        <v/>
      </c>
      <c r="IH36" s="11" t="str">
        <f t="shared" si="104"/>
        <v/>
      </c>
      <c r="II36" s="11" t="str">
        <f t="shared" si="105"/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 t="shared" si="106"/>
        <v/>
      </c>
      <c r="JE36" s="40" t="str">
        <f t="shared" si="107"/>
        <v/>
      </c>
      <c r="JF36" s="40" t="str">
        <f t="shared" si="108"/>
        <v/>
      </c>
      <c r="JG36" s="40" t="str">
        <f t="shared" si="109"/>
        <v/>
      </c>
      <c r="JH36" s="40" t="str">
        <f t="shared" si="110"/>
        <v/>
      </c>
      <c r="JI36" s="40" t="str">
        <f t="shared" si="111"/>
        <v/>
      </c>
      <c r="JJ36" s="40" t="str">
        <f t="shared" si="112"/>
        <v/>
      </c>
      <c r="JK36" s="40" t="str">
        <f t="shared" si="113"/>
        <v/>
      </c>
      <c r="JL36" s="40" t="str">
        <f t="shared" si="114"/>
        <v/>
      </c>
      <c r="JM36" s="40" t="str">
        <f t="shared" si="115"/>
        <v/>
      </c>
      <c r="JN36" s="40" t="str">
        <f t="shared" si="116"/>
        <v/>
      </c>
      <c r="JO36" s="40" t="str">
        <f t="shared" si="117"/>
        <v/>
      </c>
      <c r="JP36" s="40" t="str">
        <f t="shared" si="118"/>
        <v/>
      </c>
      <c r="JQ36" s="40" t="str">
        <f t="shared" si="119"/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 t="shared" si="120"/>
        <v/>
      </c>
      <c r="KM36" s="11" t="str">
        <f t="shared" si="121"/>
        <v/>
      </c>
      <c r="KN36" s="11" t="str">
        <f t="shared" si="122"/>
        <v/>
      </c>
      <c r="KO36" s="11" t="str">
        <f t="shared" si="123"/>
        <v/>
      </c>
      <c r="KP36" s="11" t="str">
        <f t="shared" si="124"/>
        <v/>
      </c>
      <c r="KQ36" s="11" t="str">
        <f t="shared" si="125"/>
        <v/>
      </c>
      <c r="KR36" s="11" t="str">
        <f t="shared" si="126"/>
        <v/>
      </c>
      <c r="KS36" s="11" t="str">
        <f t="shared" si="127"/>
        <v/>
      </c>
      <c r="KT36" s="11" t="str">
        <f t="shared" si="128"/>
        <v/>
      </c>
      <c r="KU36" s="11" t="str">
        <f t="shared" si="129"/>
        <v/>
      </c>
      <c r="KV36" s="11" t="str">
        <f t="shared" si="130"/>
        <v/>
      </c>
      <c r="KW36" s="11" t="str">
        <f t="shared" si="131"/>
        <v/>
      </c>
      <c r="KX36" s="11" t="str">
        <f t="shared" si="132"/>
        <v/>
      </c>
      <c r="KY36" s="11" t="str">
        <f t="shared" si="133"/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 t="shared" si="134"/>
        <v/>
      </c>
      <c r="LU36" s="40" t="str">
        <f t="shared" si="135"/>
        <v/>
      </c>
      <c r="LV36" s="40" t="str">
        <f t="shared" si="136"/>
        <v/>
      </c>
      <c r="LW36" s="40" t="str">
        <f t="shared" si="137"/>
        <v/>
      </c>
      <c r="LX36" s="40" t="str">
        <f t="shared" si="138"/>
        <v/>
      </c>
      <c r="LY36" s="40" t="str">
        <f t="shared" si="139"/>
        <v/>
      </c>
      <c r="LZ36" s="40" t="str">
        <f t="shared" si="140"/>
        <v/>
      </c>
      <c r="MA36" s="40" t="str">
        <f t="shared" si="141"/>
        <v/>
      </c>
      <c r="MB36" s="40" t="str">
        <f t="shared" si="142"/>
        <v/>
      </c>
      <c r="MC36" s="40" t="str">
        <f t="shared" si="143"/>
        <v/>
      </c>
      <c r="MD36" s="40" t="str">
        <f t="shared" si="144"/>
        <v/>
      </c>
      <c r="ME36" s="40" t="str">
        <f t="shared" si="145"/>
        <v/>
      </c>
      <c r="MF36" s="40" t="str">
        <f t="shared" si="146"/>
        <v/>
      </c>
      <c r="MG36" s="40" t="str">
        <f t="shared" si="147"/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 t="shared" si="148"/>
        <v/>
      </c>
      <c r="NC36" s="11" t="str">
        <f t="shared" si="149"/>
        <v/>
      </c>
      <c r="ND36" s="11" t="str">
        <f t="shared" si="150"/>
        <v/>
      </c>
      <c r="NE36" s="11" t="str">
        <f t="shared" si="151"/>
        <v/>
      </c>
      <c r="NF36" s="11" t="str">
        <f t="shared" si="152"/>
        <v/>
      </c>
      <c r="NG36" s="11" t="str">
        <f t="shared" si="153"/>
        <v/>
      </c>
      <c r="NH36" s="11" t="str">
        <f t="shared" si="154"/>
        <v/>
      </c>
      <c r="NI36" s="11" t="str">
        <f t="shared" si="155"/>
        <v/>
      </c>
      <c r="NJ36" s="11" t="str">
        <f t="shared" si="156"/>
        <v/>
      </c>
      <c r="NK36" s="11" t="str">
        <f t="shared" si="157"/>
        <v/>
      </c>
      <c r="NL36" s="11" t="str">
        <f t="shared" si="158"/>
        <v/>
      </c>
      <c r="NM36" s="11" t="str">
        <f t="shared" si="159"/>
        <v/>
      </c>
      <c r="NN36" s="11" t="str">
        <f t="shared" si="160"/>
        <v/>
      </c>
      <c r="NO36" s="11" t="str">
        <f t="shared" si="161"/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 t="shared" si="162"/>
        <v/>
      </c>
      <c r="OK36" s="40" t="str">
        <f t="shared" si="163"/>
        <v/>
      </c>
      <c r="OL36" s="40" t="str">
        <f t="shared" si="164"/>
        <v/>
      </c>
      <c r="OM36" s="40" t="str">
        <f t="shared" si="165"/>
        <v/>
      </c>
      <c r="ON36" s="40" t="str">
        <f t="shared" si="166"/>
        <v/>
      </c>
      <c r="OO36" s="40" t="str">
        <f t="shared" si="167"/>
        <v/>
      </c>
      <c r="OP36" s="40" t="str">
        <f t="shared" si="168"/>
        <v/>
      </c>
      <c r="OQ36" s="40" t="str">
        <f t="shared" si="169"/>
        <v/>
      </c>
      <c r="OR36" s="40" t="str">
        <f t="shared" si="170"/>
        <v/>
      </c>
      <c r="OS36" s="40" t="str">
        <f t="shared" si="171"/>
        <v/>
      </c>
      <c r="OT36" s="40" t="str">
        <f t="shared" si="172"/>
        <v/>
      </c>
      <c r="OU36" s="40" t="str">
        <f t="shared" si="173"/>
        <v/>
      </c>
      <c r="OV36" s="40" t="str">
        <f t="shared" si="174"/>
        <v/>
      </c>
      <c r="OW36" s="40" t="str">
        <f t="shared" si="175"/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 t="shared" si="176"/>
        <v/>
      </c>
      <c r="PS36" s="11" t="str">
        <f t="shared" si="177"/>
        <v/>
      </c>
      <c r="PT36" s="11" t="str">
        <f t="shared" si="178"/>
        <v/>
      </c>
      <c r="PU36" s="11" t="str">
        <f t="shared" si="179"/>
        <v/>
      </c>
      <c r="PV36" s="11" t="str">
        <f t="shared" si="180"/>
        <v/>
      </c>
      <c r="PW36" s="11" t="str">
        <f t="shared" si="181"/>
        <v/>
      </c>
      <c r="PX36" s="11" t="str">
        <f t="shared" si="182"/>
        <v/>
      </c>
      <c r="PY36" s="11" t="str">
        <f t="shared" si="183"/>
        <v/>
      </c>
      <c r="PZ36" s="11" t="str">
        <f t="shared" si="184"/>
        <v/>
      </c>
      <c r="QA36" s="11" t="str">
        <f t="shared" si="185"/>
        <v/>
      </c>
      <c r="QB36" s="11" t="str">
        <f t="shared" si="186"/>
        <v/>
      </c>
      <c r="QC36" s="11" t="str">
        <f t="shared" si="187"/>
        <v/>
      </c>
      <c r="QD36" s="11" t="str">
        <f t="shared" si="188"/>
        <v/>
      </c>
      <c r="QE36" s="11" t="str">
        <f t="shared" si="189"/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 t="shared" si="190"/>
        <v/>
      </c>
      <c r="RA36" s="40" t="str">
        <f t="shared" si="191"/>
        <v/>
      </c>
      <c r="RB36" s="40" t="str">
        <f t="shared" si="192"/>
        <v/>
      </c>
      <c r="RC36" s="40" t="str">
        <f t="shared" si="193"/>
        <v/>
      </c>
      <c r="RD36" s="40" t="str">
        <f t="shared" si="194"/>
        <v/>
      </c>
      <c r="RE36" s="40" t="str">
        <f t="shared" si="195"/>
        <v/>
      </c>
      <c r="RF36" s="40" t="str">
        <f t="shared" si="196"/>
        <v/>
      </c>
      <c r="RG36" s="40" t="str">
        <f t="shared" si="197"/>
        <v/>
      </c>
      <c r="RH36" s="40" t="str">
        <f t="shared" si="198"/>
        <v/>
      </c>
      <c r="RI36" s="40" t="str">
        <f t="shared" si="199"/>
        <v/>
      </c>
      <c r="RJ36" s="40" t="str">
        <f t="shared" si="200"/>
        <v/>
      </c>
      <c r="RK36" s="40" t="str">
        <f t="shared" si="201"/>
        <v/>
      </c>
      <c r="RL36" s="40" t="str">
        <f t="shared" si="202"/>
        <v/>
      </c>
      <c r="RM36" s="40" t="str">
        <f t="shared" si="203"/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 t="shared" si="204"/>
        <v/>
      </c>
      <c r="SI36" s="11" t="str">
        <f t="shared" si="205"/>
        <v/>
      </c>
      <c r="SJ36" s="11" t="str">
        <f t="shared" si="206"/>
        <v/>
      </c>
      <c r="SK36" s="11" t="str">
        <f t="shared" si="207"/>
        <v/>
      </c>
      <c r="SL36" s="11" t="str">
        <f t="shared" si="208"/>
        <v/>
      </c>
      <c r="SM36" s="11" t="str">
        <f t="shared" si="209"/>
        <v/>
      </c>
      <c r="SN36" s="11" t="str">
        <f t="shared" si="210"/>
        <v/>
      </c>
      <c r="SO36" s="11" t="str">
        <f t="shared" si="211"/>
        <v/>
      </c>
      <c r="SP36" s="11" t="str">
        <f t="shared" si="212"/>
        <v/>
      </c>
      <c r="SQ36" s="11" t="str">
        <f t="shared" si="213"/>
        <v/>
      </c>
      <c r="SR36" s="11" t="str">
        <f t="shared" si="214"/>
        <v/>
      </c>
      <c r="SS36" s="11" t="str">
        <f t="shared" si="215"/>
        <v/>
      </c>
      <c r="ST36" s="11" t="str">
        <f t="shared" si="216"/>
        <v/>
      </c>
      <c r="SU36" s="11" t="str">
        <f t="shared" si="217"/>
        <v/>
      </c>
      <c r="SV36" s="22">
        <f t="shared" si="218"/>
        <v>0</v>
      </c>
      <c r="SW36" s="22">
        <f t="shared" si="219"/>
        <v>0</v>
      </c>
      <c r="SX36" s="22">
        <f t="shared" si="220"/>
        <v>0</v>
      </c>
      <c r="SY36" s="22">
        <f t="shared" si="221"/>
        <v>0</v>
      </c>
      <c r="SZ36" s="22">
        <f t="shared" si="222"/>
        <v>0</v>
      </c>
      <c r="TA36" s="22">
        <f t="shared" si="223"/>
        <v>0</v>
      </c>
      <c r="TB36" s="22">
        <f t="shared" si="224"/>
        <v>0</v>
      </c>
      <c r="TC36" s="22">
        <f t="shared" si="225"/>
        <v>0</v>
      </c>
      <c r="TD36" s="22">
        <f t="shared" si="226"/>
        <v>0</v>
      </c>
      <c r="TE36" s="22">
        <f t="shared" si="227"/>
        <v>0</v>
      </c>
      <c r="TF36" s="22">
        <f t="shared" si="228"/>
        <v>0</v>
      </c>
      <c r="TG36" s="22">
        <f t="shared" si="229"/>
        <v>0</v>
      </c>
      <c r="TH36" s="22">
        <f t="shared" si="230"/>
        <v>0</v>
      </c>
      <c r="TI36" s="22">
        <f t="shared" si="231"/>
        <v>0</v>
      </c>
      <c r="TJ36" s="22">
        <f t="shared" si="232"/>
        <v>0</v>
      </c>
      <c r="TK36" s="27" t="s">
        <v>46</v>
      </c>
      <c r="TL36" s="40" t="str">
        <f t="shared" si="233"/>
        <v/>
      </c>
      <c r="TM36" s="40" t="str">
        <f t="shared" si="234"/>
        <v/>
      </c>
      <c r="TN36" s="40" t="str">
        <f t="shared" si="235"/>
        <v/>
      </c>
      <c r="TO36" s="40" t="str">
        <f t="shared" si="236"/>
        <v/>
      </c>
      <c r="TP36" s="40" t="str">
        <f t="shared" si="237"/>
        <v/>
      </c>
      <c r="TQ36" s="40" t="str">
        <f t="shared" si="238"/>
        <v/>
      </c>
      <c r="TR36" s="40" t="str">
        <f t="shared" si="239"/>
        <v/>
      </c>
      <c r="TS36" s="40" t="str">
        <f t="shared" si="240"/>
        <v/>
      </c>
      <c r="TT36" s="40" t="str">
        <f t="shared" si="241"/>
        <v/>
      </c>
      <c r="TU36" s="40" t="str">
        <f t="shared" si="242"/>
        <v/>
      </c>
      <c r="TV36" s="40" t="str">
        <f t="shared" si="243"/>
        <v/>
      </c>
    </row>
    <row r="37" spans="1:542" x14ac:dyDescent="0.2">
      <c r="A37" s="4" t="str" cm="1">
        <f t="array" ref="A37">IF(AND(J37&lt;&gt;"",J37&lt;&gt;"No DD"),SUMPRODUCT((J$4:J$39&lt;&gt;"")*(J$4:J$39&lt;&gt;"No DD")*(F$4:F$39&gt;F37))+1,IF(J37="No DD",SUMPRODUCT((J$4:J$39="No DD")*(F$4:F$39&gt;F37))+1+SUMPRODUCT((J$4:J$39&lt;&gt;"")*(J$4:J$39&lt;&gt;"No DD")),""))</f>
        <v/>
      </c>
      <c r="B37" s="4" t="str" cm="1">
        <f t="array" ref="B37">IF(AND(J37&lt;&gt;"",J37&lt;&gt;"No DD",G37=""),SUMPRODUCT((J$4:J$39&lt;&gt;"")*(J$4:J$39&lt;&gt;"No DD")*(G$4:G$39="")*(F$4:F$39&gt;F37))+1,IF(J37="No DD",SUMPRODUCT((J$4:J$39="No DD")*(F$4:F$39&gt;F37)*(G$4:G$39=""))+1+SUMPRODUCT((J$4:J$39&lt;&gt;"")*(G$4:G$39="")*(J$4:J$39&lt;&gt;"No DD")),""))</f>
        <v/>
      </c>
      <c r="C37" s="5" t="s">
        <v>91</v>
      </c>
      <c r="D37" s="4" t="s">
        <v>90</v>
      </c>
      <c r="E37" s="4">
        <v>2004</v>
      </c>
      <c r="F37" s="9">
        <f t="shared" si="0"/>
        <v>54.06000117</v>
      </c>
      <c r="G37" s="64"/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IF(COUNT(AQ37,AT37,BR37,BU37,CS37,CV37)&gt;0,LARGE((AQ37,AT37,BR37,BU37,CS37,CV37),1),0)</f>
        <v>0</v>
      </c>
      <c r="M37" s="8" t="str">
        <f t="shared" si="5"/>
        <v/>
      </c>
      <c r="N37" s="8">
        <f>IF(COUNT(AQ37,AT37,BR37,BU37,CS37,CV37)&gt;1,LARGE((AQ37,AT37,BR37,BU37,CS37,CV37),2),0)</f>
        <v>0</v>
      </c>
      <c r="O37" s="8" t="str">
        <f t="shared" si="6"/>
        <v/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 t="shared" si="7"/>
        <v/>
      </c>
      <c r="R37" s="8">
        <f t="shared" si="8"/>
        <v>11.7</v>
      </c>
      <c r="S37" s="8" t="str">
        <f t="shared" si="9"/>
        <v>2024 Pan Am Club Championships (May 19)</v>
      </c>
      <c r="T37" s="8">
        <f t="shared" si="10"/>
        <v>0</v>
      </c>
      <c r="U37" s="8" t="str">
        <f t="shared" si="11"/>
        <v/>
      </c>
      <c r="V37" s="8">
        <f t="shared" si="12"/>
        <v>42.36</v>
      </c>
      <c r="W37" s="11" t="str">
        <f t="shared" si="13"/>
        <v>(Optional)</v>
      </c>
      <c r="X37" s="8" t="str">
        <f t="shared" si="14"/>
        <v>2024 Pan Am Club Championships (May 19)</v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 t="shared" si="15"/>
        <v/>
      </c>
      <c r="AP37" s="38" t="str">
        <f t="shared" si="16"/>
        <v/>
      </c>
      <c r="AQ37" s="40" t="str">
        <f t="shared" si="17"/>
        <v/>
      </c>
      <c r="AR37" s="40" t="str">
        <f t="shared" si="18"/>
        <v/>
      </c>
      <c r="AS37" s="40" t="str">
        <f t="shared" si="19"/>
        <v/>
      </c>
      <c r="AT37" s="40" t="str">
        <f t="shared" si="20"/>
        <v/>
      </c>
      <c r="AU37" s="40" t="str">
        <f t="shared" si="21"/>
        <v/>
      </c>
      <c r="AV37" s="40" t="str">
        <f t="shared" si="22"/>
        <v/>
      </c>
      <c r="AW37" s="40" t="str">
        <f t="shared" si="23"/>
        <v/>
      </c>
      <c r="AX37" s="40" t="str">
        <f t="shared" si="24"/>
        <v/>
      </c>
      <c r="AY37" s="40" t="str">
        <f t="shared" si="25"/>
        <v/>
      </c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8"/>
      <c r="BP37" s="39" t="str">
        <f t="shared" si="26"/>
        <v/>
      </c>
      <c r="BQ37" s="39" t="str">
        <f t="shared" si="27"/>
        <v/>
      </c>
      <c r="BR37" s="11" t="str">
        <f t="shared" si="28"/>
        <v/>
      </c>
      <c r="BS37" s="11" t="str">
        <f t="shared" si="29"/>
        <v/>
      </c>
      <c r="BT37" s="11" t="str">
        <f t="shared" si="30"/>
        <v/>
      </c>
      <c r="BU37" s="11" t="str">
        <f t="shared" si="31"/>
        <v/>
      </c>
      <c r="BV37" s="11" t="str">
        <f t="shared" si="32"/>
        <v/>
      </c>
      <c r="BW37" s="11" t="str">
        <f t="shared" si="33"/>
        <v/>
      </c>
      <c r="BX37" s="11" t="str">
        <f t="shared" si="34"/>
        <v/>
      </c>
      <c r="BY37" s="11" t="str">
        <f t="shared" si="35"/>
        <v/>
      </c>
      <c r="BZ37" s="11" t="str">
        <f t="shared" si="36"/>
        <v/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 t="shared" si="37"/>
        <v/>
      </c>
      <c r="CR37" s="38" t="str">
        <f t="shared" si="38"/>
        <v/>
      </c>
      <c r="CS37" s="40" t="str">
        <f t="shared" si="39"/>
        <v/>
      </c>
      <c r="CT37" s="40" t="str">
        <f t="shared" si="40"/>
        <v/>
      </c>
      <c r="CU37" s="40" t="str">
        <f t="shared" si="41"/>
        <v/>
      </c>
      <c r="CV37" s="40" t="str">
        <f t="shared" si="42"/>
        <v/>
      </c>
      <c r="CW37" s="40" t="str">
        <f t="shared" si="43"/>
        <v/>
      </c>
      <c r="CX37" s="40" t="str">
        <f t="shared" si="44"/>
        <v/>
      </c>
      <c r="CY37" s="40" t="str">
        <f t="shared" si="45"/>
        <v/>
      </c>
      <c r="CZ37" s="40" t="str">
        <f t="shared" si="46"/>
        <v/>
      </c>
      <c r="DA37" s="40" t="str">
        <f t="shared" si="47"/>
        <v/>
      </c>
      <c r="DB37" s="50">
        <f t="shared" si="48"/>
        <v>42.36</v>
      </c>
      <c r="DC37" s="50" t="str">
        <f t="shared" si="49"/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 t="shared" si="50"/>
        <v/>
      </c>
      <c r="DY37" s="40" t="str">
        <f t="shared" si="51"/>
        <v/>
      </c>
      <c r="DZ37" s="40" t="str">
        <f t="shared" si="52"/>
        <v/>
      </c>
      <c r="EA37" s="40" t="str">
        <f t="shared" si="53"/>
        <v/>
      </c>
      <c r="EB37" s="40" t="str">
        <f t="shared" si="54"/>
        <v/>
      </c>
      <c r="EC37" s="40" t="str">
        <f t="shared" si="55"/>
        <v/>
      </c>
      <c r="ED37" s="40" t="str">
        <f t="shared" si="56"/>
        <v/>
      </c>
      <c r="EE37" s="40" t="str">
        <f t="shared" si="57"/>
        <v/>
      </c>
      <c r="EF37" s="40" t="str">
        <f t="shared" si="58"/>
        <v/>
      </c>
      <c r="EG37" s="40" t="str">
        <f t="shared" si="59"/>
        <v/>
      </c>
      <c r="EH37" s="40" t="str">
        <f t="shared" si="60"/>
        <v/>
      </c>
      <c r="EI37" s="40" t="str">
        <f t="shared" si="61"/>
        <v/>
      </c>
      <c r="EJ37" s="40" t="str">
        <f t="shared" si="62"/>
        <v/>
      </c>
      <c r="EK37" s="40" t="str">
        <f t="shared" si="63"/>
        <v/>
      </c>
      <c r="EL37" s="18">
        <v>11.4</v>
      </c>
      <c r="EM37" s="18">
        <v>6.9</v>
      </c>
      <c r="EN37" s="18">
        <v>11.7</v>
      </c>
      <c r="EO37" s="18">
        <v>12.36</v>
      </c>
      <c r="EP37" s="18">
        <v>0</v>
      </c>
      <c r="EQ37" s="18">
        <v>8.8000000000000007</v>
      </c>
      <c r="ER37" s="18">
        <v>5.3</v>
      </c>
      <c r="ES37" s="18">
        <v>7.3</v>
      </c>
      <c r="ET37" s="18">
        <v>9.57</v>
      </c>
      <c r="EU37" s="18">
        <v>0</v>
      </c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>
        <f t="shared" si="64"/>
        <v>11.7</v>
      </c>
      <c r="FG37" s="11">
        <f t="shared" si="65"/>
        <v>12.36</v>
      </c>
      <c r="FH37" s="11">
        <f t="shared" si="66"/>
        <v>42.36</v>
      </c>
      <c r="FI37" s="11">
        <f t="shared" si="67"/>
        <v>7.3</v>
      </c>
      <c r="FJ37" s="11">
        <f t="shared" si="68"/>
        <v>9.57</v>
      </c>
      <c r="FK37" s="11">
        <f t="shared" si="69"/>
        <v>30.970000000000002</v>
      </c>
      <c r="FL37" s="11">
        <f t="shared" si="70"/>
        <v>42.36</v>
      </c>
      <c r="FM37" s="11" t="str">
        <f t="shared" si="71"/>
        <v/>
      </c>
      <c r="FN37" s="11" t="str">
        <f t="shared" si="72"/>
        <v/>
      </c>
      <c r="FO37" s="11" t="str">
        <f t="shared" si="73"/>
        <v/>
      </c>
      <c r="FP37" s="11" t="str">
        <f t="shared" si="74"/>
        <v/>
      </c>
      <c r="FQ37" s="11" t="str">
        <f t="shared" si="75"/>
        <v/>
      </c>
      <c r="FR37" s="11" t="str">
        <f t="shared" si="76"/>
        <v/>
      </c>
      <c r="FS37" s="11">
        <f t="shared" si="77"/>
        <v>42.36</v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 t="shared" si="78"/>
        <v/>
      </c>
      <c r="GO37" s="40" t="str">
        <f t="shared" si="79"/>
        <v/>
      </c>
      <c r="GP37" s="40" t="str">
        <f t="shared" si="80"/>
        <v/>
      </c>
      <c r="GQ37" s="40" t="str">
        <f t="shared" si="81"/>
        <v/>
      </c>
      <c r="GR37" s="40" t="str">
        <f t="shared" si="82"/>
        <v/>
      </c>
      <c r="GS37" s="40" t="str">
        <f t="shared" si="83"/>
        <v/>
      </c>
      <c r="GT37" s="40" t="str">
        <f t="shared" si="84"/>
        <v/>
      </c>
      <c r="GU37" s="40" t="str">
        <f t="shared" si="85"/>
        <v/>
      </c>
      <c r="GV37" s="40" t="str">
        <f t="shared" si="86"/>
        <v/>
      </c>
      <c r="GW37" s="40" t="str">
        <f t="shared" si="87"/>
        <v/>
      </c>
      <c r="GX37" s="40" t="str">
        <f t="shared" si="88"/>
        <v/>
      </c>
      <c r="GY37" s="40" t="str">
        <f t="shared" si="89"/>
        <v/>
      </c>
      <c r="GZ37" s="40" t="str">
        <f t="shared" si="90"/>
        <v/>
      </c>
      <c r="HA37" s="40" t="str">
        <f t="shared" si="91"/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 t="shared" si="92"/>
        <v/>
      </c>
      <c r="HW37" s="11" t="str">
        <f t="shared" si="93"/>
        <v/>
      </c>
      <c r="HX37" s="11" t="str">
        <f t="shared" si="94"/>
        <v/>
      </c>
      <c r="HY37" s="11" t="str">
        <f t="shared" si="95"/>
        <v/>
      </c>
      <c r="HZ37" s="11" t="str">
        <f t="shared" si="96"/>
        <v/>
      </c>
      <c r="IA37" s="11" t="str">
        <f t="shared" si="97"/>
        <v/>
      </c>
      <c r="IB37" s="11" t="str">
        <f t="shared" si="98"/>
        <v/>
      </c>
      <c r="IC37" s="11" t="str">
        <f t="shared" si="99"/>
        <v/>
      </c>
      <c r="ID37" s="11" t="str">
        <f t="shared" si="100"/>
        <v/>
      </c>
      <c r="IE37" s="11" t="str">
        <f t="shared" si="101"/>
        <v/>
      </c>
      <c r="IF37" s="11" t="str">
        <f t="shared" si="102"/>
        <v/>
      </c>
      <c r="IG37" s="11" t="str">
        <f t="shared" si="103"/>
        <v/>
      </c>
      <c r="IH37" s="11" t="str">
        <f t="shared" si="104"/>
        <v/>
      </c>
      <c r="II37" s="11" t="str">
        <f t="shared" si="105"/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 t="shared" si="106"/>
        <v/>
      </c>
      <c r="JE37" s="40" t="str">
        <f t="shared" si="107"/>
        <v/>
      </c>
      <c r="JF37" s="40" t="str">
        <f t="shared" si="108"/>
        <v/>
      </c>
      <c r="JG37" s="40" t="str">
        <f t="shared" si="109"/>
        <v/>
      </c>
      <c r="JH37" s="40" t="str">
        <f t="shared" si="110"/>
        <v/>
      </c>
      <c r="JI37" s="40" t="str">
        <f t="shared" si="111"/>
        <v/>
      </c>
      <c r="JJ37" s="40" t="str">
        <f t="shared" si="112"/>
        <v/>
      </c>
      <c r="JK37" s="40" t="str">
        <f t="shared" si="113"/>
        <v/>
      </c>
      <c r="JL37" s="40" t="str">
        <f t="shared" si="114"/>
        <v/>
      </c>
      <c r="JM37" s="40" t="str">
        <f t="shared" si="115"/>
        <v/>
      </c>
      <c r="JN37" s="40" t="str">
        <f t="shared" si="116"/>
        <v/>
      </c>
      <c r="JO37" s="40" t="str">
        <f t="shared" si="117"/>
        <v/>
      </c>
      <c r="JP37" s="40" t="str">
        <f t="shared" si="118"/>
        <v/>
      </c>
      <c r="JQ37" s="40" t="str">
        <f t="shared" si="119"/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 t="shared" si="120"/>
        <v/>
      </c>
      <c r="KM37" s="11" t="str">
        <f t="shared" si="121"/>
        <v/>
      </c>
      <c r="KN37" s="11" t="str">
        <f t="shared" si="122"/>
        <v/>
      </c>
      <c r="KO37" s="11" t="str">
        <f t="shared" si="123"/>
        <v/>
      </c>
      <c r="KP37" s="11" t="str">
        <f t="shared" si="124"/>
        <v/>
      </c>
      <c r="KQ37" s="11" t="str">
        <f t="shared" si="125"/>
        <v/>
      </c>
      <c r="KR37" s="11" t="str">
        <f t="shared" si="126"/>
        <v/>
      </c>
      <c r="KS37" s="11" t="str">
        <f t="shared" si="127"/>
        <v/>
      </c>
      <c r="KT37" s="11" t="str">
        <f t="shared" si="128"/>
        <v/>
      </c>
      <c r="KU37" s="11" t="str">
        <f t="shared" si="129"/>
        <v/>
      </c>
      <c r="KV37" s="11" t="str">
        <f t="shared" si="130"/>
        <v/>
      </c>
      <c r="KW37" s="11" t="str">
        <f t="shared" si="131"/>
        <v/>
      </c>
      <c r="KX37" s="11" t="str">
        <f t="shared" si="132"/>
        <v/>
      </c>
      <c r="KY37" s="11" t="str">
        <f t="shared" si="133"/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 t="shared" si="134"/>
        <v/>
      </c>
      <c r="LU37" s="40" t="str">
        <f t="shared" si="135"/>
        <v/>
      </c>
      <c r="LV37" s="40" t="str">
        <f t="shared" si="136"/>
        <v/>
      </c>
      <c r="LW37" s="40" t="str">
        <f t="shared" si="137"/>
        <v/>
      </c>
      <c r="LX37" s="40" t="str">
        <f t="shared" si="138"/>
        <v/>
      </c>
      <c r="LY37" s="40" t="str">
        <f t="shared" si="139"/>
        <v/>
      </c>
      <c r="LZ37" s="40" t="str">
        <f t="shared" si="140"/>
        <v/>
      </c>
      <c r="MA37" s="40" t="str">
        <f t="shared" si="141"/>
        <v/>
      </c>
      <c r="MB37" s="40" t="str">
        <f t="shared" si="142"/>
        <v/>
      </c>
      <c r="MC37" s="40" t="str">
        <f t="shared" si="143"/>
        <v/>
      </c>
      <c r="MD37" s="40" t="str">
        <f t="shared" si="144"/>
        <v/>
      </c>
      <c r="ME37" s="40" t="str">
        <f t="shared" si="145"/>
        <v/>
      </c>
      <c r="MF37" s="40" t="str">
        <f t="shared" si="146"/>
        <v/>
      </c>
      <c r="MG37" s="40" t="str">
        <f t="shared" si="147"/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 t="shared" si="148"/>
        <v/>
      </c>
      <c r="NC37" s="11" t="str">
        <f t="shared" si="149"/>
        <v/>
      </c>
      <c r="ND37" s="11" t="str">
        <f t="shared" si="150"/>
        <v/>
      </c>
      <c r="NE37" s="11" t="str">
        <f t="shared" si="151"/>
        <v/>
      </c>
      <c r="NF37" s="11" t="str">
        <f t="shared" si="152"/>
        <v/>
      </c>
      <c r="NG37" s="11" t="str">
        <f t="shared" si="153"/>
        <v/>
      </c>
      <c r="NH37" s="11" t="str">
        <f t="shared" si="154"/>
        <v/>
      </c>
      <c r="NI37" s="11" t="str">
        <f t="shared" si="155"/>
        <v/>
      </c>
      <c r="NJ37" s="11" t="str">
        <f t="shared" si="156"/>
        <v/>
      </c>
      <c r="NK37" s="11" t="str">
        <f t="shared" si="157"/>
        <v/>
      </c>
      <c r="NL37" s="11" t="str">
        <f t="shared" si="158"/>
        <v/>
      </c>
      <c r="NM37" s="11" t="str">
        <f t="shared" si="159"/>
        <v/>
      </c>
      <c r="NN37" s="11" t="str">
        <f t="shared" si="160"/>
        <v/>
      </c>
      <c r="NO37" s="11" t="str">
        <f t="shared" si="161"/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 t="shared" si="162"/>
        <v/>
      </c>
      <c r="OK37" s="40" t="str">
        <f t="shared" si="163"/>
        <v/>
      </c>
      <c r="OL37" s="40" t="str">
        <f t="shared" si="164"/>
        <v/>
      </c>
      <c r="OM37" s="40" t="str">
        <f t="shared" si="165"/>
        <v/>
      </c>
      <c r="ON37" s="40" t="str">
        <f t="shared" si="166"/>
        <v/>
      </c>
      <c r="OO37" s="40" t="str">
        <f t="shared" si="167"/>
        <v/>
      </c>
      <c r="OP37" s="40" t="str">
        <f t="shared" si="168"/>
        <v/>
      </c>
      <c r="OQ37" s="40" t="str">
        <f t="shared" si="169"/>
        <v/>
      </c>
      <c r="OR37" s="40" t="str">
        <f t="shared" si="170"/>
        <v/>
      </c>
      <c r="OS37" s="40" t="str">
        <f t="shared" si="171"/>
        <v/>
      </c>
      <c r="OT37" s="40" t="str">
        <f t="shared" si="172"/>
        <v/>
      </c>
      <c r="OU37" s="40" t="str">
        <f t="shared" si="173"/>
        <v/>
      </c>
      <c r="OV37" s="40" t="str">
        <f t="shared" si="174"/>
        <v/>
      </c>
      <c r="OW37" s="40" t="str">
        <f t="shared" si="175"/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 t="shared" si="176"/>
        <v/>
      </c>
      <c r="PS37" s="11" t="str">
        <f t="shared" si="177"/>
        <v/>
      </c>
      <c r="PT37" s="11" t="str">
        <f t="shared" si="178"/>
        <v/>
      </c>
      <c r="PU37" s="11" t="str">
        <f t="shared" si="179"/>
        <v/>
      </c>
      <c r="PV37" s="11" t="str">
        <f t="shared" si="180"/>
        <v/>
      </c>
      <c r="PW37" s="11" t="str">
        <f t="shared" si="181"/>
        <v/>
      </c>
      <c r="PX37" s="11" t="str">
        <f t="shared" si="182"/>
        <v/>
      </c>
      <c r="PY37" s="11" t="str">
        <f t="shared" si="183"/>
        <v/>
      </c>
      <c r="PZ37" s="11" t="str">
        <f t="shared" si="184"/>
        <v/>
      </c>
      <c r="QA37" s="11" t="str">
        <f t="shared" si="185"/>
        <v/>
      </c>
      <c r="QB37" s="11" t="str">
        <f t="shared" si="186"/>
        <v/>
      </c>
      <c r="QC37" s="11" t="str">
        <f t="shared" si="187"/>
        <v/>
      </c>
      <c r="QD37" s="11" t="str">
        <f t="shared" si="188"/>
        <v/>
      </c>
      <c r="QE37" s="11" t="str">
        <f t="shared" si="189"/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 t="shared" si="190"/>
        <v/>
      </c>
      <c r="RA37" s="40" t="str">
        <f t="shared" si="191"/>
        <v/>
      </c>
      <c r="RB37" s="40" t="str">
        <f t="shared" si="192"/>
        <v/>
      </c>
      <c r="RC37" s="40" t="str">
        <f t="shared" si="193"/>
        <v/>
      </c>
      <c r="RD37" s="40" t="str">
        <f t="shared" si="194"/>
        <v/>
      </c>
      <c r="RE37" s="40" t="str">
        <f t="shared" si="195"/>
        <v/>
      </c>
      <c r="RF37" s="40" t="str">
        <f t="shared" si="196"/>
        <v/>
      </c>
      <c r="RG37" s="40" t="str">
        <f t="shared" si="197"/>
        <v/>
      </c>
      <c r="RH37" s="40" t="str">
        <f t="shared" si="198"/>
        <v/>
      </c>
      <c r="RI37" s="40" t="str">
        <f t="shared" si="199"/>
        <v/>
      </c>
      <c r="RJ37" s="40" t="str">
        <f t="shared" si="200"/>
        <v/>
      </c>
      <c r="RK37" s="40" t="str">
        <f t="shared" si="201"/>
        <v/>
      </c>
      <c r="RL37" s="40" t="str">
        <f t="shared" si="202"/>
        <v/>
      </c>
      <c r="RM37" s="40" t="str">
        <f t="shared" si="203"/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 t="shared" si="204"/>
        <v/>
      </c>
      <c r="SI37" s="11" t="str">
        <f t="shared" si="205"/>
        <v/>
      </c>
      <c r="SJ37" s="11" t="str">
        <f t="shared" si="206"/>
        <v/>
      </c>
      <c r="SK37" s="11" t="str">
        <f t="shared" si="207"/>
        <v/>
      </c>
      <c r="SL37" s="11" t="str">
        <f t="shared" si="208"/>
        <v/>
      </c>
      <c r="SM37" s="11" t="str">
        <f t="shared" si="209"/>
        <v/>
      </c>
      <c r="SN37" s="11" t="str">
        <f t="shared" si="210"/>
        <v/>
      </c>
      <c r="SO37" s="11" t="str">
        <f t="shared" si="211"/>
        <v/>
      </c>
      <c r="SP37" s="11" t="str">
        <f t="shared" si="212"/>
        <v/>
      </c>
      <c r="SQ37" s="11" t="str">
        <f t="shared" si="213"/>
        <v/>
      </c>
      <c r="SR37" s="11" t="str">
        <f t="shared" si="214"/>
        <v/>
      </c>
      <c r="SS37" s="11" t="str">
        <f t="shared" si="215"/>
        <v/>
      </c>
      <c r="ST37" s="11" t="str">
        <f t="shared" si="216"/>
        <v/>
      </c>
      <c r="SU37" s="11" t="str">
        <f t="shared" si="217"/>
        <v/>
      </c>
      <c r="SV37" s="22">
        <f t="shared" si="218"/>
        <v>0</v>
      </c>
      <c r="SW37" s="22">
        <f t="shared" si="219"/>
        <v>0</v>
      </c>
      <c r="SX37" s="22">
        <f t="shared" si="220"/>
        <v>0</v>
      </c>
      <c r="SY37" s="22">
        <f t="shared" si="221"/>
        <v>0</v>
      </c>
      <c r="SZ37" s="22">
        <f t="shared" si="222"/>
        <v>0</v>
      </c>
      <c r="TA37" s="22">
        <f t="shared" si="223"/>
        <v>0</v>
      </c>
      <c r="TB37" s="22">
        <f t="shared" si="224"/>
        <v>0</v>
      </c>
      <c r="TC37" s="22">
        <f t="shared" si="225"/>
        <v>0</v>
      </c>
      <c r="TD37" s="22">
        <f t="shared" si="226"/>
        <v>0</v>
      </c>
      <c r="TE37" s="22">
        <f t="shared" si="227"/>
        <v>0</v>
      </c>
      <c r="TF37" s="22">
        <f t="shared" si="228"/>
        <v>0</v>
      </c>
      <c r="TG37" s="22">
        <f t="shared" si="229"/>
        <v>0</v>
      </c>
      <c r="TH37" s="22">
        <f t="shared" si="230"/>
        <v>0</v>
      </c>
      <c r="TI37" s="22">
        <f t="shared" si="231"/>
        <v>0</v>
      </c>
      <c r="TJ37" s="22">
        <f t="shared" si="232"/>
        <v>0</v>
      </c>
      <c r="TK37" s="27" t="s">
        <v>46</v>
      </c>
      <c r="TL37" s="40" t="str">
        <f t="shared" si="233"/>
        <v/>
      </c>
      <c r="TM37" s="40" t="str">
        <f t="shared" si="234"/>
        <v/>
      </c>
      <c r="TN37" s="40" t="str">
        <f t="shared" si="235"/>
        <v/>
      </c>
      <c r="TO37" s="40" t="str">
        <f t="shared" si="236"/>
        <v/>
      </c>
      <c r="TP37" s="40" t="str">
        <f t="shared" si="237"/>
        <v/>
      </c>
      <c r="TQ37" s="40" t="str">
        <f t="shared" si="238"/>
        <v/>
      </c>
      <c r="TR37" s="40" t="str">
        <f t="shared" si="239"/>
        <v/>
      </c>
      <c r="TS37" s="40" t="str">
        <f t="shared" si="240"/>
        <v/>
      </c>
      <c r="TT37" s="40" t="str">
        <f t="shared" si="241"/>
        <v/>
      </c>
      <c r="TU37" s="40" t="str">
        <f t="shared" si="242"/>
        <v/>
      </c>
      <c r="TV37" s="40" t="str">
        <f t="shared" si="243"/>
        <v/>
      </c>
    </row>
    <row r="38" spans="1:542" x14ac:dyDescent="0.2">
      <c r="A38" s="4" t="str" cm="1">
        <f t="array" ref="A38">IF(AND(J38&lt;&gt;"",J38&lt;&gt;"No DD"),SUMPRODUCT((J$4:J$39&lt;&gt;"")*(J$4:J$39&lt;&gt;"No DD")*(F$4:F$39&gt;F38))+1,IF(J38="No DD",SUMPRODUCT((J$4:J$39="No DD")*(F$4:F$39&gt;F38))+1+SUMPRODUCT((J$4:J$39&lt;&gt;"")*(J$4:J$39&lt;&gt;"No DD")),""))</f>
        <v/>
      </c>
      <c r="B38" s="4" t="str" cm="1">
        <f t="array" ref="B38">IF(AND(J38&lt;&gt;"",J38&lt;&gt;"No DD",G38=""),SUMPRODUCT((J$4:J$39&lt;&gt;"")*(J$4:J$39&lt;&gt;"No DD")*(G$4:G$39="")*(F$4:F$39&gt;F38))+1,IF(J38="No DD",SUMPRODUCT((J$4:J$39="No DD")*(F$4:F$39&gt;F38)*(G$4:G$39=""))+1+SUMPRODUCT((J$4:J$39&lt;&gt;"")*(G$4:G$39="")*(J$4:J$39&lt;&gt;"No DD")),""))</f>
        <v/>
      </c>
      <c r="C38" s="5" t="s">
        <v>153</v>
      </c>
      <c r="D38" s="4" t="s">
        <v>5</v>
      </c>
      <c r="E38" s="4">
        <v>2007</v>
      </c>
      <c r="F38" s="9">
        <f t="shared" si="0"/>
        <v>41.620004162003042</v>
      </c>
      <c r="G38" s="64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IF(COUNT(AQ38,AT38,BR38,BU38,CS38,CV38)&gt;0,LARGE((AQ38,AT38,BR38,BU38,CS38,CV38),1),0)</f>
        <v>30.39</v>
      </c>
      <c r="M38" s="8" t="str">
        <f t="shared" si="5"/>
        <v>2024 Nationals</v>
      </c>
      <c r="N38" s="8">
        <f>IF(COUNT(AQ38,AT38,BR38,BU38,CS38,CV38)&gt;1,LARGE((AQ38,AT38,BR38,BU38,CS38,CV38),2),0)</f>
        <v>5.33</v>
      </c>
      <c r="O38" s="8" t="str">
        <f t="shared" si="6"/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 t="shared" si="7"/>
        <v/>
      </c>
      <c r="R38" s="8">
        <f t="shared" si="8"/>
        <v>5.9</v>
      </c>
      <c r="S38" s="8" t="str">
        <f t="shared" si="9"/>
        <v>2024 Nationals</v>
      </c>
      <c r="T38" s="8">
        <f t="shared" si="10"/>
        <v>0</v>
      </c>
      <c r="U38" s="8" t="str">
        <f t="shared" si="11"/>
        <v/>
      </c>
      <c r="V38" s="8" t="str">
        <f t="shared" si="12"/>
        <v/>
      </c>
      <c r="W38" s="11" t="str">
        <f t="shared" si="13"/>
        <v/>
      </c>
      <c r="X38" s="8" t="str">
        <f t="shared" si="14"/>
        <v/>
      </c>
      <c r="Y38" s="22">
        <v>1.4</v>
      </c>
      <c r="Z38" s="22">
        <v>1</v>
      </c>
      <c r="AA38" s="22">
        <v>1.5</v>
      </c>
      <c r="AB38" s="22">
        <v>1.43</v>
      </c>
      <c r="AC38" s="22">
        <v>0</v>
      </c>
      <c r="AD38" s="22">
        <v>9.5</v>
      </c>
      <c r="AE38" s="22">
        <v>6</v>
      </c>
      <c r="AF38" s="22">
        <v>5.9</v>
      </c>
      <c r="AG38" s="22">
        <v>8.99</v>
      </c>
      <c r="AH38" s="22">
        <v>0</v>
      </c>
      <c r="AI38" s="22"/>
      <c r="AJ38" s="22"/>
      <c r="AK38" s="22"/>
      <c r="AL38" s="22"/>
      <c r="AM38" s="22"/>
      <c r="AN38" s="27"/>
      <c r="AO38" s="38">
        <f t="shared" si="15"/>
        <v>1.5</v>
      </c>
      <c r="AP38" s="38">
        <f t="shared" si="16"/>
        <v>1.43</v>
      </c>
      <c r="AQ38" s="40">
        <f t="shared" si="17"/>
        <v>5.33</v>
      </c>
      <c r="AR38" s="40">
        <f t="shared" si="18"/>
        <v>5.9</v>
      </c>
      <c r="AS38" s="40">
        <f t="shared" si="19"/>
        <v>8.99</v>
      </c>
      <c r="AT38" s="40">
        <f t="shared" si="20"/>
        <v>30.39</v>
      </c>
      <c r="AU38" s="40">
        <f t="shared" si="21"/>
        <v>30.39</v>
      </c>
      <c r="AV38" s="40" t="str">
        <f t="shared" si="22"/>
        <v/>
      </c>
      <c r="AW38" s="40" t="str">
        <f t="shared" si="23"/>
        <v/>
      </c>
      <c r="AX38" s="40" t="str">
        <f t="shared" si="24"/>
        <v/>
      </c>
      <c r="AY38" s="40">
        <f t="shared" si="25"/>
        <v>30.39</v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 t="shared" si="26"/>
        <v/>
      </c>
      <c r="BQ38" s="39" t="str">
        <f t="shared" si="27"/>
        <v/>
      </c>
      <c r="BR38" s="11" t="str">
        <f t="shared" si="28"/>
        <v/>
      </c>
      <c r="BS38" s="11" t="str">
        <f t="shared" si="29"/>
        <v/>
      </c>
      <c r="BT38" s="11" t="str">
        <f t="shared" si="30"/>
        <v/>
      </c>
      <c r="BU38" s="11" t="str">
        <f t="shared" si="31"/>
        <v/>
      </c>
      <c r="BV38" s="11" t="str">
        <f t="shared" si="32"/>
        <v/>
      </c>
      <c r="BW38" s="11" t="str">
        <f t="shared" si="33"/>
        <v/>
      </c>
      <c r="BX38" s="11" t="str">
        <f t="shared" si="34"/>
        <v/>
      </c>
      <c r="BY38" s="11" t="str">
        <f t="shared" si="35"/>
        <v/>
      </c>
      <c r="BZ38" s="11" t="str">
        <f t="shared" si="36"/>
        <v/>
      </c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7"/>
      <c r="CQ38" s="38" t="str">
        <f t="shared" si="37"/>
        <v/>
      </c>
      <c r="CR38" s="38" t="str">
        <f t="shared" si="38"/>
        <v/>
      </c>
      <c r="CS38" s="40" t="str">
        <f t="shared" si="39"/>
        <v/>
      </c>
      <c r="CT38" s="40" t="str">
        <f t="shared" si="40"/>
        <v/>
      </c>
      <c r="CU38" s="40" t="str">
        <f t="shared" si="41"/>
        <v/>
      </c>
      <c r="CV38" s="40" t="str">
        <f t="shared" si="42"/>
        <v/>
      </c>
      <c r="CW38" s="40" t="str">
        <f t="shared" si="43"/>
        <v/>
      </c>
      <c r="CX38" s="40" t="str">
        <f t="shared" si="44"/>
        <v/>
      </c>
      <c r="CY38" s="40" t="str">
        <f t="shared" si="45"/>
        <v/>
      </c>
      <c r="CZ38" s="40" t="str">
        <f t="shared" si="46"/>
        <v/>
      </c>
      <c r="DA38" s="40" t="str">
        <f t="shared" si="47"/>
        <v/>
      </c>
      <c r="DB38" s="50" t="str">
        <f t="shared" si="48"/>
        <v/>
      </c>
      <c r="DC38" s="50" t="str">
        <f t="shared" si="49"/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 t="shared" si="50"/>
        <v/>
      </c>
      <c r="DY38" s="40" t="str">
        <f t="shared" si="51"/>
        <v/>
      </c>
      <c r="DZ38" s="40" t="str">
        <f t="shared" si="52"/>
        <v/>
      </c>
      <c r="EA38" s="40" t="str">
        <f t="shared" si="53"/>
        <v/>
      </c>
      <c r="EB38" s="40" t="str">
        <f t="shared" si="54"/>
        <v/>
      </c>
      <c r="EC38" s="40" t="str">
        <f t="shared" si="55"/>
        <v/>
      </c>
      <c r="ED38" s="40" t="str">
        <f t="shared" si="56"/>
        <v/>
      </c>
      <c r="EE38" s="40" t="str">
        <f t="shared" si="57"/>
        <v/>
      </c>
      <c r="EF38" s="40" t="str">
        <f t="shared" si="58"/>
        <v/>
      </c>
      <c r="EG38" s="40" t="str">
        <f t="shared" si="59"/>
        <v/>
      </c>
      <c r="EH38" s="40" t="str">
        <f t="shared" si="60"/>
        <v/>
      </c>
      <c r="EI38" s="40" t="str">
        <f t="shared" si="61"/>
        <v/>
      </c>
      <c r="EJ38" s="40" t="str">
        <f t="shared" si="62"/>
        <v/>
      </c>
      <c r="EK38" s="40" t="str">
        <f t="shared" si="63"/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 t="shared" si="64"/>
        <v/>
      </c>
      <c r="FG38" s="11" t="str">
        <f t="shared" si="65"/>
        <v/>
      </c>
      <c r="FH38" s="11" t="str">
        <f t="shared" si="66"/>
        <v/>
      </c>
      <c r="FI38" s="11" t="str">
        <f t="shared" si="67"/>
        <v/>
      </c>
      <c r="FJ38" s="11" t="str">
        <f t="shared" si="68"/>
        <v/>
      </c>
      <c r="FK38" s="11" t="str">
        <f t="shared" si="69"/>
        <v/>
      </c>
      <c r="FL38" s="11" t="str">
        <f t="shared" si="70"/>
        <v/>
      </c>
      <c r="FM38" s="11" t="str">
        <f t="shared" si="71"/>
        <v/>
      </c>
      <c r="FN38" s="11" t="str">
        <f t="shared" si="72"/>
        <v/>
      </c>
      <c r="FO38" s="11" t="str">
        <f t="shared" si="73"/>
        <v/>
      </c>
      <c r="FP38" s="11" t="str">
        <f t="shared" si="74"/>
        <v/>
      </c>
      <c r="FQ38" s="11" t="str">
        <f t="shared" si="75"/>
        <v/>
      </c>
      <c r="FR38" s="11" t="str">
        <f t="shared" si="76"/>
        <v/>
      </c>
      <c r="FS38" s="11" t="str">
        <f t="shared" si="77"/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 t="shared" si="78"/>
        <v/>
      </c>
      <c r="GO38" s="40" t="str">
        <f t="shared" si="79"/>
        <v/>
      </c>
      <c r="GP38" s="40" t="str">
        <f t="shared" si="80"/>
        <v/>
      </c>
      <c r="GQ38" s="40" t="str">
        <f t="shared" si="81"/>
        <v/>
      </c>
      <c r="GR38" s="40" t="str">
        <f t="shared" si="82"/>
        <v/>
      </c>
      <c r="GS38" s="40" t="str">
        <f t="shared" si="83"/>
        <v/>
      </c>
      <c r="GT38" s="40" t="str">
        <f t="shared" si="84"/>
        <v/>
      </c>
      <c r="GU38" s="40" t="str">
        <f t="shared" si="85"/>
        <v/>
      </c>
      <c r="GV38" s="40" t="str">
        <f t="shared" si="86"/>
        <v/>
      </c>
      <c r="GW38" s="40" t="str">
        <f t="shared" si="87"/>
        <v/>
      </c>
      <c r="GX38" s="40" t="str">
        <f t="shared" si="88"/>
        <v/>
      </c>
      <c r="GY38" s="40" t="str">
        <f t="shared" si="89"/>
        <v/>
      </c>
      <c r="GZ38" s="40" t="str">
        <f t="shared" si="90"/>
        <v/>
      </c>
      <c r="HA38" s="40" t="str">
        <f t="shared" si="91"/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 t="shared" si="92"/>
        <v/>
      </c>
      <c r="HW38" s="11" t="str">
        <f t="shared" si="93"/>
        <v/>
      </c>
      <c r="HX38" s="11" t="str">
        <f t="shared" si="94"/>
        <v/>
      </c>
      <c r="HY38" s="11" t="str">
        <f t="shared" si="95"/>
        <v/>
      </c>
      <c r="HZ38" s="11" t="str">
        <f t="shared" si="96"/>
        <v/>
      </c>
      <c r="IA38" s="11" t="str">
        <f t="shared" si="97"/>
        <v/>
      </c>
      <c r="IB38" s="11" t="str">
        <f t="shared" si="98"/>
        <v/>
      </c>
      <c r="IC38" s="11" t="str">
        <f t="shared" si="99"/>
        <v/>
      </c>
      <c r="ID38" s="11" t="str">
        <f t="shared" si="100"/>
        <v/>
      </c>
      <c r="IE38" s="11" t="str">
        <f t="shared" si="101"/>
        <v/>
      </c>
      <c r="IF38" s="11" t="str">
        <f t="shared" si="102"/>
        <v/>
      </c>
      <c r="IG38" s="11" t="str">
        <f t="shared" si="103"/>
        <v/>
      </c>
      <c r="IH38" s="11" t="str">
        <f t="shared" si="104"/>
        <v/>
      </c>
      <c r="II38" s="11" t="str">
        <f t="shared" si="105"/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 t="shared" si="106"/>
        <v/>
      </c>
      <c r="JE38" s="40" t="str">
        <f t="shared" si="107"/>
        <v/>
      </c>
      <c r="JF38" s="40" t="str">
        <f t="shared" si="108"/>
        <v/>
      </c>
      <c r="JG38" s="40" t="str">
        <f t="shared" si="109"/>
        <v/>
      </c>
      <c r="JH38" s="40" t="str">
        <f t="shared" si="110"/>
        <v/>
      </c>
      <c r="JI38" s="40" t="str">
        <f t="shared" si="111"/>
        <v/>
      </c>
      <c r="JJ38" s="40" t="str">
        <f t="shared" si="112"/>
        <v/>
      </c>
      <c r="JK38" s="40" t="str">
        <f t="shared" si="113"/>
        <v/>
      </c>
      <c r="JL38" s="40" t="str">
        <f t="shared" si="114"/>
        <v/>
      </c>
      <c r="JM38" s="40" t="str">
        <f t="shared" si="115"/>
        <v/>
      </c>
      <c r="JN38" s="40" t="str">
        <f t="shared" si="116"/>
        <v/>
      </c>
      <c r="JO38" s="40" t="str">
        <f t="shared" si="117"/>
        <v/>
      </c>
      <c r="JP38" s="40" t="str">
        <f t="shared" si="118"/>
        <v/>
      </c>
      <c r="JQ38" s="40" t="str">
        <f t="shared" si="119"/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 t="shared" si="120"/>
        <v/>
      </c>
      <c r="KM38" s="11" t="str">
        <f t="shared" si="121"/>
        <v/>
      </c>
      <c r="KN38" s="11" t="str">
        <f t="shared" si="122"/>
        <v/>
      </c>
      <c r="KO38" s="11" t="str">
        <f t="shared" si="123"/>
        <v/>
      </c>
      <c r="KP38" s="11" t="str">
        <f t="shared" si="124"/>
        <v/>
      </c>
      <c r="KQ38" s="11" t="str">
        <f t="shared" si="125"/>
        <v/>
      </c>
      <c r="KR38" s="11" t="str">
        <f t="shared" si="126"/>
        <v/>
      </c>
      <c r="KS38" s="11" t="str">
        <f t="shared" si="127"/>
        <v/>
      </c>
      <c r="KT38" s="11" t="str">
        <f t="shared" si="128"/>
        <v/>
      </c>
      <c r="KU38" s="11" t="str">
        <f t="shared" si="129"/>
        <v/>
      </c>
      <c r="KV38" s="11" t="str">
        <f t="shared" si="130"/>
        <v/>
      </c>
      <c r="KW38" s="11" t="str">
        <f t="shared" si="131"/>
        <v/>
      </c>
      <c r="KX38" s="11" t="str">
        <f t="shared" si="132"/>
        <v/>
      </c>
      <c r="KY38" s="11" t="str">
        <f t="shared" si="133"/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 t="shared" si="134"/>
        <v/>
      </c>
      <c r="LU38" s="40" t="str">
        <f t="shared" si="135"/>
        <v/>
      </c>
      <c r="LV38" s="40" t="str">
        <f t="shared" si="136"/>
        <v/>
      </c>
      <c r="LW38" s="40" t="str">
        <f t="shared" si="137"/>
        <v/>
      </c>
      <c r="LX38" s="40" t="str">
        <f t="shared" si="138"/>
        <v/>
      </c>
      <c r="LY38" s="40" t="str">
        <f t="shared" si="139"/>
        <v/>
      </c>
      <c r="LZ38" s="40" t="str">
        <f t="shared" si="140"/>
        <v/>
      </c>
      <c r="MA38" s="40" t="str">
        <f t="shared" si="141"/>
        <v/>
      </c>
      <c r="MB38" s="40" t="str">
        <f t="shared" si="142"/>
        <v/>
      </c>
      <c r="MC38" s="40" t="str">
        <f t="shared" si="143"/>
        <v/>
      </c>
      <c r="MD38" s="40" t="str">
        <f t="shared" si="144"/>
        <v/>
      </c>
      <c r="ME38" s="40" t="str">
        <f t="shared" si="145"/>
        <v/>
      </c>
      <c r="MF38" s="40" t="str">
        <f t="shared" si="146"/>
        <v/>
      </c>
      <c r="MG38" s="40" t="str">
        <f t="shared" si="147"/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 t="shared" si="148"/>
        <v/>
      </c>
      <c r="NC38" s="11" t="str">
        <f t="shared" si="149"/>
        <v/>
      </c>
      <c r="ND38" s="11" t="str">
        <f t="shared" si="150"/>
        <v/>
      </c>
      <c r="NE38" s="11" t="str">
        <f t="shared" si="151"/>
        <v/>
      </c>
      <c r="NF38" s="11" t="str">
        <f t="shared" si="152"/>
        <v/>
      </c>
      <c r="NG38" s="11" t="str">
        <f t="shared" si="153"/>
        <v/>
      </c>
      <c r="NH38" s="11" t="str">
        <f t="shared" si="154"/>
        <v/>
      </c>
      <c r="NI38" s="11" t="str">
        <f t="shared" si="155"/>
        <v/>
      </c>
      <c r="NJ38" s="11" t="str">
        <f t="shared" si="156"/>
        <v/>
      </c>
      <c r="NK38" s="11" t="str">
        <f t="shared" si="157"/>
        <v/>
      </c>
      <c r="NL38" s="11" t="str">
        <f t="shared" si="158"/>
        <v/>
      </c>
      <c r="NM38" s="11" t="str">
        <f t="shared" si="159"/>
        <v/>
      </c>
      <c r="NN38" s="11" t="str">
        <f t="shared" si="160"/>
        <v/>
      </c>
      <c r="NO38" s="11" t="str">
        <f t="shared" si="161"/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 t="shared" si="162"/>
        <v/>
      </c>
      <c r="OK38" s="40" t="str">
        <f t="shared" si="163"/>
        <v/>
      </c>
      <c r="OL38" s="40" t="str">
        <f t="shared" si="164"/>
        <v/>
      </c>
      <c r="OM38" s="40" t="str">
        <f t="shared" si="165"/>
        <v/>
      </c>
      <c r="ON38" s="40" t="str">
        <f t="shared" si="166"/>
        <v/>
      </c>
      <c r="OO38" s="40" t="str">
        <f t="shared" si="167"/>
        <v/>
      </c>
      <c r="OP38" s="40" t="str">
        <f t="shared" si="168"/>
        <v/>
      </c>
      <c r="OQ38" s="40" t="str">
        <f t="shared" si="169"/>
        <v/>
      </c>
      <c r="OR38" s="40" t="str">
        <f t="shared" si="170"/>
        <v/>
      </c>
      <c r="OS38" s="40" t="str">
        <f t="shared" si="171"/>
        <v/>
      </c>
      <c r="OT38" s="40" t="str">
        <f t="shared" si="172"/>
        <v/>
      </c>
      <c r="OU38" s="40" t="str">
        <f t="shared" si="173"/>
        <v/>
      </c>
      <c r="OV38" s="40" t="str">
        <f t="shared" si="174"/>
        <v/>
      </c>
      <c r="OW38" s="40" t="str">
        <f t="shared" si="175"/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 t="shared" si="176"/>
        <v/>
      </c>
      <c r="PS38" s="11" t="str">
        <f t="shared" si="177"/>
        <v/>
      </c>
      <c r="PT38" s="11" t="str">
        <f t="shared" si="178"/>
        <v/>
      </c>
      <c r="PU38" s="11" t="str">
        <f t="shared" si="179"/>
        <v/>
      </c>
      <c r="PV38" s="11" t="str">
        <f t="shared" si="180"/>
        <v/>
      </c>
      <c r="PW38" s="11" t="str">
        <f t="shared" si="181"/>
        <v/>
      </c>
      <c r="PX38" s="11" t="str">
        <f t="shared" si="182"/>
        <v/>
      </c>
      <c r="PY38" s="11" t="str">
        <f t="shared" si="183"/>
        <v/>
      </c>
      <c r="PZ38" s="11" t="str">
        <f t="shared" si="184"/>
        <v/>
      </c>
      <c r="QA38" s="11" t="str">
        <f t="shared" si="185"/>
        <v/>
      </c>
      <c r="QB38" s="11" t="str">
        <f t="shared" si="186"/>
        <v/>
      </c>
      <c r="QC38" s="11" t="str">
        <f t="shared" si="187"/>
        <v/>
      </c>
      <c r="QD38" s="11" t="str">
        <f t="shared" si="188"/>
        <v/>
      </c>
      <c r="QE38" s="11" t="str">
        <f t="shared" si="189"/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 t="shared" si="190"/>
        <v/>
      </c>
      <c r="RA38" s="40" t="str">
        <f t="shared" si="191"/>
        <v/>
      </c>
      <c r="RB38" s="40" t="str">
        <f t="shared" si="192"/>
        <v/>
      </c>
      <c r="RC38" s="40" t="str">
        <f t="shared" si="193"/>
        <v/>
      </c>
      <c r="RD38" s="40" t="str">
        <f t="shared" si="194"/>
        <v/>
      </c>
      <c r="RE38" s="40" t="str">
        <f t="shared" si="195"/>
        <v/>
      </c>
      <c r="RF38" s="40" t="str">
        <f t="shared" si="196"/>
        <v/>
      </c>
      <c r="RG38" s="40" t="str">
        <f t="shared" si="197"/>
        <v/>
      </c>
      <c r="RH38" s="40" t="str">
        <f t="shared" si="198"/>
        <v/>
      </c>
      <c r="RI38" s="40" t="str">
        <f t="shared" si="199"/>
        <v/>
      </c>
      <c r="RJ38" s="40" t="str">
        <f t="shared" si="200"/>
        <v/>
      </c>
      <c r="RK38" s="40" t="str">
        <f t="shared" si="201"/>
        <v/>
      </c>
      <c r="RL38" s="40" t="str">
        <f t="shared" si="202"/>
        <v/>
      </c>
      <c r="RM38" s="40" t="str">
        <f t="shared" si="203"/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 t="shared" si="204"/>
        <v/>
      </c>
      <c r="SI38" s="11" t="str">
        <f t="shared" si="205"/>
        <v/>
      </c>
      <c r="SJ38" s="11" t="str">
        <f t="shared" si="206"/>
        <v/>
      </c>
      <c r="SK38" s="11" t="str">
        <f t="shared" si="207"/>
        <v/>
      </c>
      <c r="SL38" s="11" t="str">
        <f t="shared" si="208"/>
        <v/>
      </c>
      <c r="SM38" s="11" t="str">
        <f t="shared" si="209"/>
        <v/>
      </c>
      <c r="SN38" s="11" t="str">
        <f t="shared" si="210"/>
        <v/>
      </c>
      <c r="SO38" s="11" t="str">
        <f t="shared" si="211"/>
        <v/>
      </c>
      <c r="SP38" s="11" t="str">
        <f t="shared" si="212"/>
        <v/>
      </c>
      <c r="SQ38" s="11" t="str">
        <f t="shared" si="213"/>
        <v/>
      </c>
      <c r="SR38" s="11" t="str">
        <f t="shared" si="214"/>
        <v/>
      </c>
      <c r="SS38" s="11" t="str">
        <f t="shared" si="215"/>
        <v/>
      </c>
      <c r="ST38" s="11" t="str">
        <f t="shared" si="216"/>
        <v/>
      </c>
      <c r="SU38" s="11" t="str">
        <f t="shared" si="217"/>
        <v/>
      </c>
      <c r="SV38" s="22">
        <f t="shared" si="218"/>
        <v>0</v>
      </c>
      <c r="SW38" s="22">
        <f t="shared" si="219"/>
        <v>0</v>
      </c>
      <c r="SX38" s="22">
        <f t="shared" si="220"/>
        <v>0</v>
      </c>
      <c r="SY38" s="22">
        <f t="shared" si="221"/>
        <v>0</v>
      </c>
      <c r="SZ38" s="22">
        <f t="shared" si="222"/>
        <v>0</v>
      </c>
      <c r="TA38" s="22">
        <f t="shared" si="223"/>
        <v>0</v>
      </c>
      <c r="TB38" s="22">
        <f t="shared" si="224"/>
        <v>0</v>
      </c>
      <c r="TC38" s="22">
        <f t="shared" si="225"/>
        <v>0</v>
      </c>
      <c r="TD38" s="22">
        <f t="shared" si="226"/>
        <v>0</v>
      </c>
      <c r="TE38" s="22">
        <f t="shared" si="227"/>
        <v>0</v>
      </c>
      <c r="TF38" s="22">
        <f t="shared" si="228"/>
        <v>0</v>
      </c>
      <c r="TG38" s="22">
        <f t="shared" si="229"/>
        <v>0</v>
      </c>
      <c r="TH38" s="22">
        <f t="shared" si="230"/>
        <v>0</v>
      </c>
      <c r="TI38" s="22">
        <f t="shared" si="231"/>
        <v>0</v>
      </c>
      <c r="TJ38" s="22">
        <f t="shared" si="232"/>
        <v>0</v>
      </c>
      <c r="TK38" s="27" t="s">
        <v>46</v>
      </c>
      <c r="TL38" s="40" t="str">
        <f t="shared" si="233"/>
        <v/>
      </c>
      <c r="TM38" s="40" t="str">
        <f t="shared" si="234"/>
        <v/>
      </c>
      <c r="TN38" s="40" t="str">
        <f t="shared" si="235"/>
        <v/>
      </c>
      <c r="TO38" s="40" t="str">
        <f t="shared" si="236"/>
        <v/>
      </c>
      <c r="TP38" s="40" t="str">
        <f t="shared" si="237"/>
        <v/>
      </c>
      <c r="TQ38" s="40" t="str">
        <f t="shared" si="238"/>
        <v/>
      </c>
      <c r="TR38" s="40" t="str">
        <f t="shared" si="239"/>
        <v/>
      </c>
      <c r="TS38" s="40" t="str">
        <f t="shared" si="240"/>
        <v/>
      </c>
      <c r="TT38" s="40" t="str">
        <f t="shared" si="241"/>
        <v/>
      </c>
      <c r="TU38" s="40" t="str">
        <f t="shared" si="242"/>
        <v/>
      </c>
      <c r="TV38" s="40" t="str">
        <f t="shared" si="243"/>
        <v/>
      </c>
    </row>
    <row r="39" spans="1:542" x14ac:dyDescent="0.2">
      <c r="C39" s="5"/>
      <c r="E39" s="1"/>
    </row>
    <row r="40" spans="1:542" x14ac:dyDescent="0.2">
      <c r="I40" s="36"/>
      <c r="K40" s="36"/>
    </row>
    <row r="41" spans="1:542" x14ac:dyDescent="0.2">
      <c r="C41" s="23" t="s">
        <v>44</v>
      </c>
      <c r="D41" s="5"/>
      <c r="I41" s="3"/>
      <c r="AR41" s="41"/>
      <c r="AS41" s="41"/>
      <c r="AT41" s="41"/>
      <c r="AV41" s="32"/>
      <c r="AW41" s="32"/>
      <c r="AY41" s="53">
        <v>13.5</v>
      </c>
      <c r="BS41" s="41"/>
      <c r="BT41" s="41"/>
      <c r="BU41" s="41"/>
      <c r="BW41" s="32"/>
      <c r="BX41" s="32"/>
      <c r="BZ41" s="53">
        <v>13.5</v>
      </c>
      <c r="CT41" s="41"/>
      <c r="CU41" s="41"/>
      <c r="CV41" s="41"/>
      <c r="CX41" s="32"/>
      <c r="CY41" s="32"/>
      <c r="DA41" s="53">
        <v>14.5</v>
      </c>
      <c r="DX41" s="5"/>
      <c r="DY41" s="5"/>
      <c r="EH41" s="2"/>
      <c r="EI41" s="2"/>
      <c r="EK41" s="53">
        <v>13.5</v>
      </c>
      <c r="FF41" s="5"/>
      <c r="FG41" s="5"/>
      <c r="FP41" s="2"/>
      <c r="FQ41" s="2"/>
      <c r="FS41" s="53">
        <v>13.5</v>
      </c>
      <c r="GN41" s="5"/>
      <c r="GO41" s="5"/>
      <c r="GX41" s="2"/>
      <c r="GY41" s="2"/>
      <c r="HA41" s="53">
        <v>13.5</v>
      </c>
      <c r="HV41" s="5"/>
      <c r="HW41" s="5"/>
      <c r="IF41" s="2"/>
      <c r="IG41" s="2"/>
      <c r="II41" s="53">
        <v>13.5</v>
      </c>
      <c r="JD41" s="5"/>
      <c r="JE41" s="5"/>
      <c r="JN41" s="2"/>
      <c r="JO41" s="2"/>
      <c r="JQ41" s="53">
        <v>13.5</v>
      </c>
      <c r="KL41" s="5"/>
      <c r="KM41" s="5"/>
      <c r="KV41" s="2"/>
      <c r="KW41" s="2"/>
      <c r="KY41" s="53">
        <v>14.5</v>
      </c>
      <c r="LT41" s="5"/>
      <c r="LU41" s="5"/>
      <c r="MD41" s="2"/>
      <c r="ME41" s="2"/>
      <c r="MG41" s="53">
        <v>14.5</v>
      </c>
      <c r="NB41" s="5"/>
      <c r="NC41" s="5"/>
      <c r="NL41" s="2"/>
      <c r="NM41" s="2"/>
      <c r="NO41" s="53">
        <v>14.5</v>
      </c>
      <c r="OJ41" s="5"/>
      <c r="OK41" s="5"/>
      <c r="OT41" s="2"/>
      <c r="OU41" s="2"/>
      <c r="OW41" s="53">
        <v>14.5</v>
      </c>
      <c r="PR41" s="5"/>
      <c r="PS41" s="5"/>
      <c r="QB41" s="2"/>
      <c r="QC41" s="2"/>
      <c r="QE41" s="53">
        <v>14.5</v>
      </c>
      <c r="QZ41" s="5"/>
      <c r="RA41" s="5"/>
      <c r="RJ41" s="2"/>
      <c r="RK41" s="2"/>
      <c r="RM41" s="53">
        <v>14.5</v>
      </c>
      <c r="SH41" s="5"/>
      <c r="SI41" s="5"/>
      <c r="SR41" s="2"/>
      <c r="SS41" s="2"/>
      <c r="SU41" s="53">
        <v>14.5</v>
      </c>
    </row>
    <row r="42" spans="1:542" hidden="1" x14ac:dyDescent="0.2">
      <c r="C42" s="30" t="s">
        <v>43</v>
      </c>
      <c r="D42" s="5"/>
      <c r="X42" s="2"/>
      <c r="AR42" s="41"/>
      <c r="AS42" s="41"/>
      <c r="AT42" s="41"/>
      <c r="AV42" s="32"/>
      <c r="AW42" s="32"/>
      <c r="AY42" s="54">
        <v>1000</v>
      </c>
      <c r="BS42" s="41"/>
      <c r="BT42" s="41"/>
      <c r="BU42" s="41"/>
      <c r="BW42" s="32"/>
      <c r="BX42" s="32"/>
      <c r="BZ42" s="54">
        <v>1000</v>
      </c>
      <c r="CT42" s="41"/>
      <c r="CU42" s="41"/>
      <c r="CV42" s="41"/>
      <c r="CX42" s="32"/>
      <c r="CY42" s="32"/>
      <c r="DA42" s="54">
        <v>1000</v>
      </c>
      <c r="DX42" s="5"/>
      <c r="DY42" s="5"/>
      <c r="EH42" s="2"/>
      <c r="EI42" s="2"/>
      <c r="EK42" s="54">
        <v>1000</v>
      </c>
      <c r="FF42" s="5"/>
      <c r="FG42" s="5"/>
      <c r="FP42" s="2"/>
      <c r="FQ42" s="2"/>
      <c r="FS42" s="54">
        <v>1000</v>
      </c>
      <c r="GN42" s="5"/>
      <c r="GO42" s="5"/>
      <c r="GX42" s="2"/>
      <c r="GY42" s="2"/>
      <c r="HA42" s="54">
        <v>1000</v>
      </c>
      <c r="HV42" s="5"/>
      <c r="HW42" s="5"/>
      <c r="IF42" s="2"/>
      <c r="IG42" s="2"/>
      <c r="II42" s="54">
        <v>1000</v>
      </c>
      <c r="JD42" s="5"/>
      <c r="JE42" s="5"/>
      <c r="JN42" s="2"/>
      <c r="JO42" s="2"/>
      <c r="JQ42" s="54">
        <v>1000</v>
      </c>
      <c r="KL42" s="5"/>
      <c r="KM42" s="5"/>
      <c r="KV42" s="2"/>
      <c r="KW42" s="2"/>
      <c r="KY42" s="54">
        <v>1000</v>
      </c>
      <c r="LT42" s="5"/>
      <c r="LU42" s="5"/>
      <c r="MD42" s="2"/>
      <c r="ME42" s="2"/>
      <c r="MG42" s="54">
        <v>1000</v>
      </c>
      <c r="NB42" s="5"/>
      <c r="NC42" s="5"/>
      <c r="NL42" s="2"/>
      <c r="NM42" s="2"/>
      <c r="NO42" s="54">
        <v>1000</v>
      </c>
      <c r="OJ42" s="5"/>
      <c r="OK42" s="5"/>
      <c r="OT42" s="2"/>
      <c r="OU42" s="2"/>
      <c r="OW42" s="54">
        <v>1000</v>
      </c>
      <c r="PR42" s="5"/>
      <c r="PS42" s="5"/>
      <c r="QB42" s="2"/>
      <c r="QC42" s="2"/>
      <c r="QE42" s="54">
        <v>1000</v>
      </c>
      <c r="QZ42" s="5"/>
      <c r="RA42" s="5"/>
      <c r="RJ42" s="2"/>
      <c r="RK42" s="2"/>
      <c r="RM42" s="54">
        <v>1000</v>
      </c>
      <c r="SH42" s="5"/>
      <c r="SI42" s="5"/>
      <c r="SR42" s="2"/>
      <c r="SS42" s="2"/>
      <c r="SU42" s="54">
        <v>1000</v>
      </c>
    </row>
    <row r="43" spans="1:542" hidden="1" x14ac:dyDescent="0.2">
      <c r="A43" s="5"/>
      <c r="B43" s="5"/>
      <c r="C43" s="31" t="s">
        <v>55</v>
      </c>
      <c r="D43" s="5"/>
      <c r="F43" s="2"/>
      <c r="G43" s="64"/>
      <c r="AR43" s="41"/>
      <c r="AS43" s="41"/>
      <c r="AT43" s="41"/>
      <c r="AU43" s="32"/>
      <c r="AV43" s="32"/>
      <c r="AW43" s="32"/>
      <c r="AX43" s="32"/>
      <c r="AY43" s="55">
        <v>1000</v>
      </c>
      <c r="BS43" s="41"/>
      <c r="BT43" s="41"/>
      <c r="BU43" s="41"/>
      <c r="BW43" s="32"/>
      <c r="BX43" s="32"/>
      <c r="BZ43" s="55">
        <v>1000</v>
      </c>
      <c r="CT43" s="41"/>
      <c r="CU43" s="41"/>
      <c r="CV43" s="41"/>
      <c r="CW43" s="32"/>
      <c r="CX43" s="32"/>
      <c r="CY43" s="32"/>
      <c r="CZ43" s="32"/>
      <c r="DA43" s="55">
        <v>1000</v>
      </c>
      <c r="DX43" s="5"/>
      <c r="DY43" s="5"/>
      <c r="EH43" s="2"/>
      <c r="EI43" s="2"/>
      <c r="EK43" s="55">
        <v>1000</v>
      </c>
      <c r="FF43" s="5"/>
      <c r="FG43" s="5"/>
      <c r="FP43" s="2"/>
      <c r="FQ43" s="2"/>
      <c r="FS43" s="55">
        <v>1000</v>
      </c>
      <c r="GN43" s="5"/>
      <c r="GO43" s="5"/>
      <c r="GX43" s="2"/>
      <c r="GY43" s="2"/>
      <c r="HA43" s="55">
        <v>1000</v>
      </c>
      <c r="HV43" s="5"/>
      <c r="HW43" s="5"/>
      <c r="IF43" s="2"/>
      <c r="IG43" s="2"/>
      <c r="II43" s="55">
        <v>1000</v>
      </c>
      <c r="JD43" s="5"/>
      <c r="JE43" s="5"/>
      <c r="JN43" s="2"/>
      <c r="JO43" s="2"/>
      <c r="JQ43" s="55">
        <v>1000</v>
      </c>
      <c r="KL43" s="5"/>
      <c r="KM43" s="5"/>
      <c r="KV43" s="2"/>
      <c r="KW43" s="2"/>
      <c r="KY43" s="55">
        <v>1000</v>
      </c>
      <c r="LT43" s="5"/>
      <c r="LU43" s="5"/>
      <c r="MD43" s="2"/>
      <c r="ME43" s="2"/>
      <c r="MG43" s="55">
        <v>1000</v>
      </c>
      <c r="NB43" s="5"/>
      <c r="NC43" s="5"/>
      <c r="NL43" s="2"/>
      <c r="NM43" s="2"/>
      <c r="NO43" s="55">
        <v>1000</v>
      </c>
      <c r="OJ43" s="5"/>
      <c r="OK43" s="5"/>
      <c r="OT43" s="2"/>
      <c r="OU43" s="2"/>
      <c r="OW43" s="55">
        <v>1000</v>
      </c>
      <c r="PR43" s="5"/>
      <c r="PS43" s="5"/>
      <c r="QB43" s="2"/>
      <c r="QC43" s="2"/>
      <c r="QE43" s="55">
        <v>1000</v>
      </c>
      <c r="QZ43" s="5"/>
      <c r="RA43" s="5"/>
      <c r="RJ43" s="2"/>
      <c r="RK43" s="2"/>
      <c r="RM43" s="55">
        <v>1000</v>
      </c>
      <c r="SH43" s="5"/>
      <c r="SI43" s="5"/>
      <c r="SR43" s="2"/>
      <c r="SS43" s="2"/>
      <c r="SU43" s="55">
        <v>1000</v>
      </c>
    </row>
    <row r="44" spans="1:542" hidden="1" x14ac:dyDescent="0.2">
      <c r="A44" s="5"/>
      <c r="B44" s="5"/>
      <c r="C44" s="35" t="s">
        <v>60</v>
      </c>
      <c r="D44" s="5"/>
      <c r="F44" s="2"/>
      <c r="G44" s="64"/>
      <c r="AR44" s="41"/>
      <c r="AS44" s="41"/>
      <c r="AT44" s="41"/>
      <c r="AU44" s="32"/>
      <c r="AV44" s="32"/>
      <c r="AW44" s="32"/>
      <c r="AX44" s="32"/>
      <c r="AY44" s="56">
        <v>1000</v>
      </c>
      <c r="BS44" s="41"/>
      <c r="BT44" s="41"/>
      <c r="BU44" s="41"/>
      <c r="BW44" s="32"/>
      <c r="BX44" s="32"/>
      <c r="BZ44" s="56">
        <v>1000</v>
      </c>
      <c r="CT44" s="41"/>
      <c r="CU44" s="41"/>
      <c r="CV44" s="41"/>
      <c r="CW44" s="32"/>
      <c r="CX44" s="32"/>
      <c r="CY44" s="32"/>
      <c r="CZ44" s="32"/>
      <c r="DA44" s="56">
        <v>1000</v>
      </c>
      <c r="DX44" s="5"/>
      <c r="DY44" s="5"/>
      <c r="EH44" s="2"/>
      <c r="EI44" s="2"/>
      <c r="EK44" s="56">
        <v>1000</v>
      </c>
      <c r="FF44" s="5"/>
      <c r="FG44" s="5"/>
      <c r="FP44" s="2"/>
      <c r="FQ44" s="2"/>
      <c r="FS44" s="56">
        <v>1000</v>
      </c>
      <c r="GN44" s="5"/>
      <c r="GO44" s="5"/>
      <c r="GX44" s="2"/>
      <c r="GY44" s="2"/>
      <c r="HA44" s="56">
        <v>1000</v>
      </c>
      <c r="HV44" s="5"/>
      <c r="HW44" s="5"/>
      <c r="IF44" s="2"/>
      <c r="IG44" s="2"/>
      <c r="II44" s="56">
        <v>1000</v>
      </c>
      <c r="JD44" s="5"/>
      <c r="JE44" s="5"/>
      <c r="JN44" s="2"/>
      <c r="JO44" s="2"/>
      <c r="JQ44" s="56">
        <v>1000</v>
      </c>
      <c r="KL44" s="5"/>
      <c r="KM44" s="5"/>
      <c r="KV44" s="2"/>
      <c r="KW44" s="2"/>
      <c r="KY44" s="56">
        <v>1000</v>
      </c>
      <c r="LT44" s="5"/>
      <c r="LU44" s="5"/>
      <c r="MD44" s="2"/>
      <c r="ME44" s="2"/>
      <c r="MG44" s="56">
        <v>1000</v>
      </c>
      <c r="NB44" s="5"/>
      <c r="NC44" s="5"/>
      <c r="NL44" s="2"/>
      <c r="NM44" s="2"/>
      <c r="NO44" s="56">
        <v>1000</v>
      </c>
      <c r="OJ44" s="5"/>
      <c r="OK44" s="5"/>
      <c r="OT44" s="2"/>
      <c r="OU44" s="2"/>
      <c r="OW44" s="56">
        <v>1000</v>
      </c>
      <c r="PR44" s="5"/>
      <c r="PS44" s="5"/>
      <c r="QB44" s="2"/>
      <c r="QC44" s="2"/>
      <c r="QE44" s="56">
        <v>1000</v>
      </c>
      <c r="QZ44" s="5"/>
      <c r="RA44" s="5"/>
      <c r="RJ44" s="2"/>
      <c r="RK44" s="2"/>
      <c r="RM44" s="56">
        <v>1000</v>
      </c>
      <c r="SH44" s="5"/>
      <c r="SI44" s="5"/>
      <c r="SR44" s="2"/>
      <c r="SS44" s="2"/>
      <c r="SU44" s="56">
        <v>1000</v>
      </c>
    </row>
    <row r="45" spans="1:542" x14ac:dyDescent="0.2">
      <c r="A45" s="5"/>
      <c r="B45" s="5"/>
      <c r="C45" s="34" t="s">
        <v>41</v>
      </c>
      <c r="D45" s="5"/>
      <c r="AR45" s="41"/>
      <c r="AS45" s="41"/>
      <c r="AT45" s="41"/>
      <c r="AU45" s="32"/>
      <c r="AV45" s="32"/>
      <c r="AW45" s="32"/>
      <c r="AX45" s="32"/>
      <c r="AY45" s="57">
        <v>52.8</v>
      </c>
      <c r="BS45" s="41"/>
      <c r="BT45" s="41"/>
      <c r="BU45" s="41"/>
      <c r="BW45" s="32"/>
      <c r="BX45" s="32"/>
      <c r="BZ45" s="57">
        <v>52.8</v>
      </c>
      <c r="CT45" s="41"/>
      <c r="CU45" s="41"/>
      <c r="CV45" s="41"/>
      <c r="CW45" s="32"/>
      <c r="CX45" s="32"/>
      <c r="CY45" s="32"/>
      <c r="CZ45" s="32"/>
      <c r="DA45" s="57">
        <v>54</v>
      </c>
      <c r="DX45" s="5"/>
      <c r="DY45" s="5"/>
      <c r="EH45" s="2"/>
      <c r="EI45" s="2"/>
      <c r="EK45" s="57">
        <v>52.8</v>
      </c>
      <c r="FF45" s="5"/>
      <c r="FG45" s="5"/>
      <c r="FP45" s="2"/>
      <c r="FQ45" s="2"/>
      <c r="FS45" s="57">
        <v>52.8</v>
      </c>
      <c r="GN45" s="5"/>
      <c r="GO45" s="5"/>
      <c r="GX45" s="2"/>
      <c r="GY45" s="2"/>
      <c r="HA45" s="57">
        <v>52.8</v>
      </c>
      <c r="HV45" s="5"/>
      <c r="HW45" s="5"/>
      <c r="IF45" s="2"/>
      <c r="IG45" s="2"/>
      <c r="II45" s="57">
        <v>52.8</v>
      </c>
      <c r="JD45" s="5"/>
      <c r="JE45" s="5"/>
      <c r="JN45" s="2"/>
      <c r="JO45" s="2"/>
      <c r="JQ45" s="57">
        <v>52.8</v>
      </c>
      <c r="KL45" s="5"/>
      <c r="KM45" s="5"/>
      <c r="KV45" s="2"/>
      <c r="KW45" s="2"/>
      <c r="KY45" s="57">
        <v>54</v>
      </c>
      <c r="LT45" s="5"/>
      <c r="LU45" s="5"/>
      <c r="MD45" s="2"/>
      <c r="ME45" s="2"/>
      <c r="MG45" s="57">
        <v>54</v>
      </c>
      <c r="NB45" s="5"/>
      <c r="NC45" s="5"/>
      <c r="NL45" s="2"/>
      <c r="NM45" s="2"/>
      <c r="NO45" s="57">
        <v>54</v>
      </c>
      <c r="OJ45" s="5"/>
      <c r="OK45" s="5"/>
      <c r="OT45" s="2"/>
      <c r="OU45" s="2"/>
      <c r="OW45" s="57">
        <v>54</v>
      </c>
      <c r="PR45" s="5"/>
      <c r="PS45" s="5"/>
      <c r="QB45" s="2"/>
      <c r="QC45" s="2"/>
      <c r="QE45" s="57">
        <v>54</v>
      </c>
      <c r="QZ45" s="5"/>
      <c r="RA45" s="5"/>
      <c r="RJ45" s="2"/>
      <c r="RK45" s="2"/>
      <c r="RM45" s="57">
        <v>54</v>
      </c>
      <c r="SH45" s="5"/>
      <c r="SI45" s="5"/>
      <c r="SR45" s="2"/>
      <c r="SS45" s="2"/>
      <c r="SU45" s="57">
        <v>54</v>
      </c>
    </row>
    <row r="46" spans="1:542" hidden="1" x14ac:dyDescent="0.2">
      <c r="A46" s="5"/>
      <c r="B46" s="5"/>
      <c r="C46" s="24" t="s">
        <v>42</v>
      </c>
      <c r="D46" s="5"/>
      <c r="AR46" s="41"/>
      <c r="AS46" s="41"/>
      <c r="AT46" s="41"/>
      <c r="AU46" s="32"/>
      <c r="AV46" s="32"/>
      <c r="AW46" s="32"/>
      <c r="AX46" s="32"/>
      <c r="AY46" s="58">
        <v>1000</v>
      </c>
      <c r="BS46" s="41"/>
      <c r="BT46" s="41"/>
      <c r="BU46" s="41"/>
      <c r="BW46" s="32"/>
      <c r="BX46" s="32"/>
      <c r="BZ46" s="58">
        <v>1000</v>
      </c>
      <c r="CT46" s="41"/>
      <c r="CU46" s="41"/>
      <c r="CV46" s="41"/>
      <c r="CW46" s="32"/>
      <c r="CX46" s="32"/>
      <c r="CY46" s="32"/>
      <c r="CZ46" s="32"/>
      <c r="DA46" s="58">
        <v>1000</v>
      </c>
      <c r="DX46" s="5"/>
      <c r="DY46" s="5"/>
      <c r="EH46" s="2"/>
      <c r="EI46" s="2"/>
      <c r="EK46" s="58">
        <v>1000</v>
      </c>
      <c r="FF46" s="5"/>
      <c r="FG46" s="5"/>
      <c r="FP46" s="2"/>
      <c r="FQ46" s="2"/>
      <c r="FS46" s="58">
        <v>1000</v>
      </c>
      <c r="GN46" s="5"/>
      <c r="GO46" s="5"/>
      <c r="GX46" s="2"/>
      <c r="GY46" s="2"/>
      <c r="HA46" s="58">
        <v>1000</v>
      </c>
      <c r="HV46" s="5"/>
      <c r="HW46" s="5"/>
      <c r="IF46" s="2"/>
      <c r="IG46" s="2"/>
      <c r="II46" s="58">
        <v>1000</v>
      </c>
      <c r="JD46" s="5"/>
      <c r="JE46" s="5"/>
      <c r="JN46" s="2"/>
      <c r="JO46" s="2"/>
      <c r="JQ46" s="58">
        <v>1000</v>
      </c>
      <c r="KL46" s="5"/>
      <c r="KM46" s="5"/>
      <c r="KV46" s="2"/>
      <c r="KW46" s="2"/>
      <c r="KY46" s="58">
        <v>1000</v>
      </c>
      <c r="LT46" s="5"/>
      <c r="LU46" s="5"/>
      <c r="MD46" s="2"/>
      <c r="ME46" s="2"/>
      <c r="MG46" s="58">
        <v>1000</v>
      </c>
      <c r="NB46" s="5"/>
      <c r="NC46" s="5"/>
      <c r="NL46" s="2"/>
      <c r="NM46" s="2"/>
      <c r="NO46" s="58">
        <v>1000</v>
      </c>
      <c r="OJ46" s="5"/>
      <c r="OK46" s="5"/>
      <c r="OT46" s="2"/>
      <c r="OU46" s="2"/>
      <c r="OW46" s="58">
        <v>1000</v>
      </c>
      <c r="PR46" s="5"/>
      <c r="PS46" s="5"/>
      <c r="QB46" s="2"/>
      <c r="QC46" s="2"/>
      <c r="QE46" s="58">
        <v>1000</v>
      </c>
      <c r="QZ46" s="5"/>
      <c r="RA46" s="5"/>
      <c r="RJ46" s="2"/>
      <c r="RK46" s="2"/>
      <c r="RM46" s="58">
        <v>1000</v>
      </c>
      <c r="SH46" s="5"/>
      <c r="SI46" s="5"/>
      <c r="SR46" s="2"/>
      <c r="SS46" s="2"/>
      <c r="SU46" s="58">
        <v>1000</v>
      </c>
    </row>
    <row r="47" spans="1:542" hidden="1" x14ac:dyDescent="0.2">
      <c r="A47" s="5"/>
      <c r="B47" s="5"/>
      <c r="C47" s="33" t="s">
        <v>54</v>
      </c>
      <c r="D47" s="5"/>
      <c r="AR47" s="41"/>
      <c r="AS47" s="41"/>
      <c r="AT47" s="41"/>
      <c r="AU47" s="32"/>
      <c r="AV47" s="32"/>
      <c r="AW47" s="32"/>
      <c r="AX47" s="32"/>
      <c r="AY47" s="59">
        <v>1000</v>
      </c>
      <c r="BS47" s="41"/>
      <c r="BT47" s="41"/>
      <c r="BU47" s="41"/>
      <c r="BW47" s="32"/>
      <c r="BX47" s="32"/>
      <c r="BZ47" s="59">
        <v>1000</v>
      </c>
      <c r="CT47" s="41"/>
      <c r="CU47" s="41"/>
      <c r="CV47" s="41"/>
      <c r="CW47" s="32"/>
      <c r="CX47" s="32"/>
      <c r="CY47" s="32"/>
      <c r="CZ47" s="32"/>
      <c r="DA47" s="59">
        <v>1000</v>
      </c>
      <c r="DX47" s="5"/>
      <c r="DY47" s="5"/>
      <c r="EH47" s="2"/>
      <c r="EI47" s="2"/>
      <c r="EJ47" s="37"/>
      <c r="EK47" s="59">
        <v>1000</v>
      </c>
      <c r="FF47" s="5"/>
      <c r="FG47" s="5"/>
      <c r="FP47" s="2"/>
      <c r="FQ47" s="2"/>
      <c r="FR47" s="37"/>
      <c r="FS47" s="59">
        <v>1000</v>
      </c>
      <c r="GN47" s="5"/>
      <c r="GO47" s="5"/>
      <c r="GX47" s="2"/>
      <c r="GY47" s="2"/>
      <c r="GZ47" s="37"/>
      <c r="HA47" s="59">
        <v>1000</v>
      </c>
      <c r="HV47" s="5"/>
      <c r="HW47" s="5"/>
      <c r="IF47" s="2"/>
      <c r="IG47" s="2"/>
      <c r="IH47" s="37"/>
      <c r="II47" s="59">
        <v>1000</v>
      </c>
      <c r="JD47" s="5"/>
      <c r="JE47" s="5"/>
      <c r="JN47" s="2"/>
      <c r="JO47" s="2"/>
      <c r="JP47" s="37"/>
      <c r="JQ47" s="59">
        <v>1000</v>
      </c>
      <c r="KL47" s="5"/>
      <c r="KM47" s="5"/>
      <c r="KV47" s="2"/>
      <c r="KW47" s="2"/>
      <c r="KX47" s="37"/>
      <c r="KY47" s="59">
        <v>1000</v>
      </c>
      <c r="LT47" s="5"/>
      <c r="LU47" s="5"/>
      <c r="MD47" s="2"/>
      <c r="ME47" s="2"/>
      <c r="MF47" s="37"/>
      <c r="MG47" s="59">
        <v>1000</v>
      </c>
      <c r="NB47" s="5"/>
      <c r="NC47" s="5"/>
      <c r="NL47" s="2"/>
      <c r="NM47" s="2"/>
      <c r="NN47" s="37"/>
      <c r="NO47" s="59">
        <v>1000</v>
      </c>
      <c r="OJ47" s="5"/>
      <c r="OK47" s="5"/>
      <c r="OT47" s="2"/>
      <c r="OU47" s="2"/>
      <c r="OV47" s="37"/>
      <c r="OW47" s="59">
        <v>1000</v>
      </c>
      <c r="PR47" s="5"/>
      <c r="PS47" s="5"/>
      <c r="QB47" s="2"/>
      <c r="QC47" s="2"/>
      <c r="QD47" s="37"/>
      <c r="QE47" s="59">
        <v>1000</v>
      </c>
      <c r="QZ47" s="5"/>
      <c r="RA47" s="5"/>
      <c r="RJ47" s="2"/>
      <c r="RK47" s="2"/>
      <c r="RL47" s="37"/>
      <c r="RM47" s="59">
        <v>1000</v>
      </c>
      <c r="SH47" s="5"/>
      <c r="SI47" s="5"/>
      <c r="SR47" s="2"/>
      <c r="SS47" s="2"/>
      <c r="ST47" s="37"/>
      <c r="SU47" s="59">
        <v>1000</v>
      </c>
    </row>
    <row r="48" spans="1:542" hidden="1" x14ac:dyDescent="0.2">
      <c r="A48" s="5"/>
      <c r="B48" s="5"/>
      <c r="C48" s="25" t="s">
        <v>27</v>
      </c>
      <c r="D48" s="5"/>
      <c r="AR48" s="41"/>
      <c r="AS48" s="41"/>
      <c r="AT48" s="41"/>
      <c r="AU48" s="32"/>
      <c r="AV48" s="41"/>
      <c r="AW48" s="41"/>
      <c r="AX48" s="32"/>
      <c r="AY48" s="60">
        <v>1000</v>
      </c>
      <c r="BS48" s="41"/>
      <c r="BT48" s="41"/>
      <c r="BU48" s="41"/>
      <c r="BW48" s="41"/>
      <c r="BX48" s="32"/>
      <c r="BZ48" s="60">
        <v>1000</v>
      </c>
      <c r="CT48" s="41"/>
      <c r="CU48" s="41"/>
      <c r="CV48" s="41"/>
      <c r="CW48" s="32"/>
      <c r="CX48" s="41"/>
      <c r="CY48" s="32"/>
      <c r="CZ48" s="32"/>
      <c r="DA48" s="60">
        <v>1000</v>
      </c>
      <c r="DX48" s="5"/>
      <c r="DY48" s="5"/>
      <c r="EH48" s="41"/>
      <c r="EI48" s="2"/>
      <c r="EK48" s="60">
        <v>1000</v>
      </c>
      <c r="FF48" s="5"/>
      <c r="FG48" s="5"/>
      <c r="FP48" s="41"/>
      <c r="FQ48" s="2"/>
      <c r="FS48" s="60">
        <v>1000</v>
      </c>
      <c r="GN48" s="5"/>
      <c r="GO48" s="5"/>
      <c r="GX48" s="2"/>
      <c r="GY48" s="2"/>
      <c r="HA48" s="60">
        <v>1000</v>
      </c>
      <c r="HV48" s="5"/>
      <c r="HW48" s="5"/>
      <c r="IF48" s="41"/>
      <c r="IG48" s="2"/>
      <c r="II48" s="60">
        <v>1000</v>
      </c>
      <c r="JD48" s="5"/>
      <c r="JE48" s="5"/>
      <c r="JN48" s="2"/>
      <c r="JO48" s="2"/>
      <c r="JQ48" s="60">
        <v>1000</v>
      </c>
      <c r="KL48" s="5"/>
      <c r="KM48" s="5"/>
      <c r="KV48" s="2"/>
      <c r="KW48" s="2"/>
      <c r="KY48" s="60">
        <v>1000</v>
      </c>
      <c r="LT48" s="5"/>
      <c r="LU48" s="5"/>
      <c r="MD48" s="2"/>
      <c r="ME48" s="2"/>
      <c r="MG48" s="60">
        <v>1000</v>
      </c>
      <c r="NB48" s="5"/>
      <c r="NC48" s="5"/>
      <c r="NL48" s="2"/>
      <c r="NM48" s="2"/>
      <c r="NO48" s="60">
        <v>1000</v>
      </c>
      <c r="OJ48" s="5"/>
      <c r="OK48" s="5"/>
      <c r="OT48" s="2"/>
      <c r="OU48" s="2"/>
      <c r="OW48" s="60">
        <v>1000</v>
      </c>
      <c r="PR48" s="5"/>
      <c r="PS48" s="5"/>
      <c r="QB48" s="2"/>
      <c r="QC48" s="2"/>
      <c r="QE48" s="60">
        <v>1000</v>
      </c>
      <c r="QZ48" s="5"/>
      <c r="RA48" s="5"/>
      <c r="RJ48" s="2"/>
      <c r="RK48" s="2"/>
      <c r="RM48" s="60">
        <v>1000</v>
      </c>
      <c r="SH48" s="5"/>
      <c r="SI48" s="5"/>
      <c r="SR48" s="2"/>
      <c r="SS48" s="2"/>
      <c r="SU48" s="60">
        <v>1000</v>
      </c>
    </row>
    <row r="49" spans="1:104" x14ac:dyDescent="0.2">
      <c r="C49" s="29" t="s">
        <v>47</v>
      </c>
      <c r="D49" s="2"/>
      <c r="AU49" s="32"/>
      <c r="AX49" s="32"/>
      <c r="CW49" s="32"/>
      <c r="CZ49" s="32"/>
    </row>
    <row r="50" spans="1:104" x14ac:dyDescent="0.2">
      <c r="A50" s="5"/>
      <c r="B50" s="5"/>
      <c r="C50" s="5"/>
      <c r="D50" s="20"/>
      <c r="AQ50" s="32"/>
      <c r="AR50" s="32"/>
      <c r="AS50" s="32"/>
      <c r="AT50" s="32"/>
      <c r="AU50" s="32"/>
      <c r="AX50" s="32"/>
      <c r="CS50" s="32"/>
      <c r="CT50" s="32"/>
      <c r="CU50" s="32"/>
      <c r="CV50" s="32"/>
      <c r="CW50" s="32"/>
      <c r="CZ50" s="32"/>
    </row>
    <row r="51" spans="1:104" ht="17" x14ac:dyDescent="0.2">
      <c r="A51" s="5"/>
      <c r="B51" s="5"/>
      <c r="C51" s="5"/>
      <c r="D51" s="20"/>
      <c r="V51" s="10"/>
      <c r="W51" s="10"/>
      <c r="AQ51" s="32"/>
      <c r="AR51" s="32"/>
      <c r="AS51" s="32"/>
      <c r="AT51" s="32"/>
      <c r="AU51" s="32"/>
      <c r="AX51" s="32"/>
      <c r="CS51" s="32"/>
      <c r="CT51" s="32"/>
      <c r="CU51" s="32"/>
      <c r="CV51" s="32"/>
      <c r="CW51" s="32"/>
      <c r="CZ51" s="32"/>
    </row>
    <row r="52" spans="1:104" ht="17" x14ac:dyDescent="0.2">
      <c r="A52" s="5"/>
      <c r="B52" s="5"/>
      <c r="C52" s="5"/>
      <c r="D52" s="20"/>
      <c r="V52" s="1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104" ht="17" x14ac:dyDescent="0.2"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104" ht="17" x14ac:dyDescent="0.2">
      <c r="V54" s="10"/>
      <c r="W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104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104" ht="17" x14ac:dyDescent="0.2">
      <c r="V56" s="10"/>
      <c r="W56" s="10"/>
      <c r="X56" s="10"/>
    </row>
    <row r="57" spans="1:104" ht="17" x14ac:dyDescent="0.2">
      <c r="V57" s="10"/>
      <c r="W57" s="10"/>
      <c r="X57" s="10"/>
    </row>
    <row r="58" spans="1:104" ht="17" x14ac:dyDescent="0.2">
      <c r="V58" s="10"/>
      <c r="W58" s="10"/>
      <c r="X58" s="10"/>
    </row>
    <row r="59" spans="1:104" ht="17" x14ac:dyDescent="0.2">
      <c r="V59" s="10"/>
      <c r="W59" s="10"/>
      <c r="X59" s="10"/>
    </row>
    <row r="60" spans="1:104" ht="17" x14ac:dyDescent="0.2">
      <c r="V60" s="10"/>
      <c r="W60" s="10"/>
      <c r="X60" s="10"/>
    </row>
    <row r="61" spans="1:104" ht="17" x14ac:dyDescent="0.2">
      <c r="V61" s="10"/>
      <c r="W61" s="10"/>
      <c r="X61" s="10"/>
    </row>
    <row r="62" spans="1:104" ht="17" x14ac:dyDescent="0.2">
      <c r="V62" s="10"/>
      <c r="W62" s="10"/>
      <c r="X62" s="10"/>
    </row>
    <row r="63" spans="1:104" ht="17" x14ac:dyDescent="0.2">
      <c r="V63" s="10"/>
      <c r="W63" s="10"/>
      <c r="X63" s="10"/>
    </row>
    <row r="64" spans="1:10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</sheetData>
  <sheetProtection sheet="1" formatCells="0" formatColumns="0" formatRows="0"/>
  <autoFilter ref="A1:TV3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8">
      <sortCondition descending="1" ref="H1:H39"/>
    </sortState>
  </autoFilter>
  <sortState xmlns:xlrd2="http://schemas.microsoft.com/office/spreadsheetml/2017/richdata2" ref="A1:Q3">
    <sortCondition ref="A1"/>
  </sortState>
  <mergeCells count="101"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J1:J1048576">
    <cfRule type="containsText" dxfId="439" priority="229" operator="containsText" text="No DD">
      <formula>NOT(ISERROR(SEARCH("No DD",J1)))</formula>
    </cfRule>
    <cfRule type="containsText" dxfId="438" priority="230" operator="containsText" text="Merit">
      <formula>NOT(ISERROR(SEARCH("Merit",J1)))</formula>
    </cfRule>
    <cfRule type="containsText" dxfId="437" priority="231" operator="containsText" text="Excellence">
      <formula>NOT(ISERROR(SEARCH("Excellence",J1)))</formula>
    </cfRule>
    <cfRule type="containsText" dxfId="436" priority="232" operator="containsText" text="Worlds Team">
      <formula>NOT(ISERROR(SEARCH("Worlds Team",J1)))</formula>
    </cfRule>
    <cfRule type="containsText" dxfId="435" priority="233" operator="containsText" text="National Team">
      <formula>NOT(ISERROR(SEARCH("National Team",J1)))</formula>
    </cfRule>
  </conditionalFormatting>
  <conditionalFormatting sqref="Y4:AY38">
    <cfRule type="expression" dxfId="434" priority="51275" stopIfTrue="1">
      <formula>IF($AN4&lt;&gt;"",1,0)</formula>
    </cfRule>
  </conditionalFormatting>
  <conditionalFormatting sqref="AZ4:BZ38">
    <cfRule type="expression" dxfId="433" priority="210" stopIfTrue="1">
      <formula>IF($BO4&lt;&gt;"",1,0)</formula>
    </cfRule>
  </conditionalFormatting>
  <conditionalFormatting sqref="CA4:DA38">
    <cfRule type="expression" dxfId="432" priority="206" stopIfTrue="1">
      <formula>IF($CP4&lt;&gt;"",1,0)</formula>
    </cfRule>
  </conditionalFormatting>
  <conditionalFormatting sqref="BW49:BW1048576 BP1:BP1048576 BS1:BS1048576 BW1:BW47">
    <cfRule type="cellIs" dxfId="431" priority="52632" operator="between">
      <formula>$BZ$44</formula>
      <formula>1000</formula>
    </cfRule>
    <cfRule type="cellIs" dxfId="430" priority="52633" operator="between">
      <formula>$BZ$43</formula>
      <formula>$BZ$44</formula>
    </cfRule>
    <cfRule type="cellIs" dxfId="429" priority="52634" operator="between">
      <formula>$BZ$42</formula>
      <formula>$BZ$43</formula>
    </cfRule>
    <cfRule type="cellIs" dxfId="428" priority="52635" operator="between">
      <formula>$BZ$41</formula>
      <formula>$BZ$42</formula>
    </cfRule>
  </conditionalFormatting>
  <conditionalFormatting sqref="CX49:CX1048576 CQ1:CQ1048576 CT1:CT1048576 CX1:CX47">
    <cfRule type="cellIs" dxfId="427" priority="51509" operator="between">
      <formula>$DA$44</formula>
      <formula>1000</formula>
    </cfRule>
    <cfRule type="cellIs" dxfId="426" priority="51510" operator="between">
      <formula>$DA$43</formula>
      <formula>$DA$44</formula>
    </cfRule>
    <cfRule type="cellIs" dxfId="425" priority="51511" operator="between">
      <formula>$DA$42</formula>
      <formula>$DA$43</formula>
    </cfRule>
    <cfRule type="cellIs" dxfId="424" priority="51512" operator="between">
      <formula>$DA$41</formula>
      <formula>$DA$42</formula>
    </cfRule>
  </conditionalFormatting>
  <conditionalFormatting sqref="EH49:EH1048576 DX1:DX1048576 EA1:EA1048576 EE1:EE1048576 EH1:EH47">
    <cfRule type="cellIs" dxfId="423" priority="52660" operator="between">
      <formula>$EK$44</formula>
      <formula>1000</formula>
    </cfRule>
    <cfRule type="cellIs" dxfId="422" priority="52661" operator="between">
      <formula>$EK$43</formula>
      <formula>$EK$44</formula>
    </cfRule>
    <cfRule type="cellIs" dxfId="421" priority="52662" operator="between">
      <formula>$EK$42</formula>
      <formula>$EK$43</formula>
    </cfRule>
    <cfRule type="cellIs" dxfId="420" priority="52663" operator="between">
      <formula>$EK$41</formula>
      <formula>$EK$42</formula>
    </cfRule>
  </conditionalFormatting>
  <conditionalFormatting sqref="FP49:FP1048576 FF1:FF1048576 FI1:FI1048576 FM1:FM1048576 FP1:FP47">
    <cfRule type="cellIs" dxfId="419" priority="190" operator="between">
      <formula>$FS$44</formula>
      <formula>1000</formula>
    </cfRule>
    <cfRule type="cellIs" dxfId="418" priority="191" operator="between">
      <formula>$FS$43</formula>
      <formula>$FS$44</formula>
    </cfRule>
    <cfRule type="cellIs" dxfId="417" priority="192" operator="between">
      <formula>$FS$42</formula>
      <formula>$FS$43</formula>
    </cfRule>
    <cfRule type="cellIs" dxfId="416" priority="193" operator="between">
      <formula>$FS$41</formula>
      <formula>$FS$42</formula>
    </cfRule>
  </conditionalFormatting>
  <conditionalFormatting sqref="IF49:IF1048576 HV1:HV1048576 HY1:HY1048576 IC1:IC1048576 IF1:IF47">
    <cfRule type="cellIs" dxfId="415" priority="158" operator="between">
      <formula>$II$44</formula>
      <formula>1000</formula>
    </cfRule>
    <cfRule type="cellIs" dxfId="414" priority="159" operator="between">
      <formula>$II$43</formula>
      <formula>$II$44</formula>
    </cfRule>
    <cfRule type="cellIs" dxfId="413" priority="160" operator="between">
      <formula>$II$42</formula>
      <formula>$II$43</formula>
    </cfRule>
    <cfRule type="cellIs" dxfId="412" priority="161" operator="between">
      <formula>$II$41</formula>
      <formula>$II$42</formula>
    </cfRule>
  </conditionalFormatting>
  <conditionalFormatting sqref="AW48 AO1:AO1048576 AR1:AR1048576 AV1:AV1048576">
    <cfRule type="cellIs" dxfId="411" priority="22" operator="between">
      <formula>$AY$44</formula>
      <formula>1000</formula>
    </cfRule>
    <cfRule type="cellIs" dxfId="410" priority="23" operator="between">
      <formula>$AY$43</formula>
      <formula>$AY$44</formula>
    </cfRule>
    <cfRule type="cellIs" dxfId="409" priority="24" operator="between">
      <formula>$AY$42</formula>
      <formula>$AY$43</formula>
    </cfRule>
    <cfRule type="cellIs" dxfId="408" priority="25" operator="between">
      <formula>$AY$41</formula>
      <formula>$AY$42</formula>
    </cfRule>
  </conditionalFormatting>
  <conditionalFormatting sqref="BW48">
    <cfRule type="cellIs" dxfId="407" priority="18" operator="between">
      <formula>$AY$44</formula>
      <formula>1000</formula>
    </cfRule>
    <cfRule type="cellIs" dxfId="406" priority="19" operator="between">
      <formula>$AY$43</formula>
      <formula>$AY$44</formula>
    </cfRule>
    <cfRule type="cellIs" dxfId="405" priority="20" operator="between">
      <formula>$AY$42</formula>
      <formula>$AY$43</formula>
    </cfRule>
    <cfRule type="cellIs" dxfId="404" priority="21" operator="between">
      <formula>$AY$41</formula>
      <formula>$AY$42</formula>
    </cfRule>
  </conditionalFormatting>
  <conditionalFormatting sqref="CX48">
    <cfRule type="cellIs" dxfId="403" priority="14" operator="between">
      <formula>$AY$44</formula>
      <formula>1000</formula>
    </cfRule>
    <cfRule type="cellIs" dxfId="402" priority="15" operator="between">
      <formula>$AY$43</formula>
      <formula>$AY$44</formula>
    </cfRule>
    <cfRule type="cellIs" dxfId="401" priority="16" operator="between">
      <formula>$AY$42</formula>
      <formula>$AY$43</formula>
    </cfRule>
    <cfRule type="cellIs" dxfId="400" priority="17" operator="between">
      <formula>$AY$41</formula>
      <formula>$AY$42</formula>
    </cfRule>
  </conditionalFormatting>
  <conditionalFormatting sqref="EH48">
    <cfRule type="cellIs" dxfId="399" priority="10" operator="between">
      <formula>$AY$44</formula>
      <formula>1000</formula>
    </cfRule>
    <cfRule type="cellIs" dxfId="398" priority="11" operator="between">
      <formula>$AY$43</formula>
      <formula>$AY$44</formula>
    </cfRule>
    <cfRule type="cellIs" dxfId="397" priority="12" operator="between">
      <formula>$AY$42</formula>
      <formula>$AY$43</formula>
    </cfRule>
    <cfRule type="cellIs" dxfId="396" priority="13" operator="between">
      <formula>$AY$41</formula>
      <formula>$AY$42</formula>
    </cfRule>
  </conditionalFormatting>
  <conditionalFormatting sqref="FP48">
    <cfRule type="cellIs" dxfId="395" priority="6" operator="between">
      <formula>$AY$44</formula>
      <formula>1000</formula>
    </cfRule>
    <cfRule type="cellIs" dxfId="394" priority="7" operator="between">
      <formula>$AY$43</formula>
      <formula>$AY$44</formula>
    </cfRule>
    <cfRule type="cellIs" dxfId="393" priority="8" operator="between">
      <formula>$AY$42</formula>
      <formula>$AY$43</formula>
    </cfRule>
    <cfRule type="cellIs" dxfId="392" priority="9" operator="between">
      <formula>$AY$41</formula>
      <formula>$AY$42</formula>
    </cfRule>
  </conditionalFormatting>
  <conditionalFormatting sqref="IF48">
    <cfRule type="cellIs" dxfId="391" priority="2" operator="between">
      <formula>$AY$44</formula>
      <formula>1000</formula>
    </cfRule>
    <cfRule type="cellIs" dxfId="390" priority="3" operator="between">
      <formula>$AY$43</formula>
      <formula>$AY$44</formula>
    </cfRule>
    <cfRule type="cellIs" dxfId="389" priority="4" operator="between">
      <formula>$AY$42</formula>
      <formula>$AY$43</formula>
    </cfRule>
    <cfRule type="cellIs" dxfId="388" priority="5" operator="between">
      <formula>$AY$41</formula>
      <formula>$AY$42</formula>
    </cfRule>
  </conditionalFormatting>
  <conditionalFormatting sqref="M1:M1048576 O1:O1048576 S1:S1048576 U1:U1048576 Q1:Q1048576">
    <cfRule type="expression" dxfId="387" priority="52651" stopIfTrue="1">
      <formula>IF(M1=$CA$1,1,0)</formula>
    </cfRule>
    <cfRule type="expression" dxfId="386" priority="52652">
      <formula>IF(M1=$AZ$1,1,0)</formula>
    </cfRule>
    <cfRule type="expression" dxfId="385" priority="52653">
      <formula>IF(M1=$Y$1,1,0)</formula>
    </cfRule>
  </conditionalFormatting>
  <conditionalFormatting sqref="A4:B1048576">
    <cfRule type="expression" dxfId="384" priority="1" stopIfTrue="1">
      <formula>AND($I4&lt;&gt;"",$H4="")</formula>
    </cfRule>
    <cfRule type="expression" dxfId="383" priority="37563" stopIfTrue="1">
      <formula>IF(A4&gt;4,1,0)</formula>
    </cfRule>
  </conditionalFormatting>
  <conditionalFormatting sqref="CV1:CV1048576 AT1:AT1048576">
    <cfRule type="cellIs" dxfId="382" priority="192563" operator="between">
      <formula>AY$48</formula>
      <formula>1000</formula>
    </cfRule>
    <cfRule type="cellIs" dxfId="381" priority="192564" operator="between">
      <formula>AY$47</formula>
      <formula>AY$48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0" priority="192575" operator="between">
      <formula>EK$48</formula>
      <formula>1000</formula>
    </cfRule>
    <cfRule type="cellIs" dxfId="379" priority="192576" operator="between">
      <formula>EK$47</formula>
      <formula>EK$48</formula>
    </cfRule>
  </conditionalFormatting>
  <conditionalFormatting sqref="AQ1:AQ1048576 AT1:AT1048576 AX1:AX1048576">
    <cfRule type="cellIs" dxfId="378" priority="192647" operator="between">
      <formula>$AY$48</formula>
      <formula>1000</formula>
    </cfRule>
    <cfRule type="cellIs" dxfId="377" priority="192648" operator="between">
      <formula>$AY$47</formula>
      <formula>$AY$48</formula>
    </cfRule>
    <cfRule type="cellIs" dxfId="376" priority="192649" operator="between">
      <formula>$AY$46</formula>
      <formula>$AY$47</formula>
    </cfRule>
    <cfRule type="cellIs" dxfId="375" priority="192650" operator="between">
      <formula>$AY$45</formula>
      <formula>$AY$46</formula>
    </cfRule>
  </conditionalFormatting>
  <conditionalFormatting sqref="BR1:BR1048576 BU1:BU1048576 BY1:BY1048576">
    <cfRule type="cellIs" dxfId="374" priority="192683" operator="between">
      <formula>$BZ$48</formula>
      <formula>1000</formula>
    </cfRule>
    <cfRule type="cellIs" dxfId="373" priority="192684" operator="between">
      <formula>$BZ$47</formula>
      <formula>$BZ$48</formula>
    </cfRule>
    <cfRule type="cellIs" dxfId="372" priority="192685" operator="between">
      <formula>$BZ$46</formula>
      <formula>$BZ$47</formula>
    </cfRule>
    <cfRule type="cellIs" dxfId="371" priority="192686" operator="between">
      <formula>$BZ$45</formula>
      <formula>$BZ$46</formula>
    </cfRule>
  </conditionalFormatting>
  <conditionalFormatting sqref="CS1:CS1048576 CV1:CV1048576 CZ1:CZ1048576">
    <cfRule type="cellIs" dxfId="370" priority="192719" operator="between">
      <formula>$DA$48</formula>
      <formula>1000</formula>
    </cfRule>
    <cfRule type="cellIs" dxfId="369" priority="192720" operator="between">
      <formula>$DA$47</formula>
      <formula>$DA$48</formula>
    </cfRule>
    <cfRule type="cellIs" dxfId="368" priority="192721" operator="between">
      <formula>$DA$46</formula>
      <formula>$DA$47</formula>
    </cfRule>
    <cfRule type="cellIs" dxfId="367" priority="192722" operator="between">
      <formula>$DA$45</formula>
      <formula>$DA$46</formula>
    </cfRule>
  </conditionalFormatting>
  <conditionalFormatting sqref="NB1:NB1048576 NE1:NE1048576 NI1:NI1048576 NL1:NL1048576">
    <cfRule type="cellIs" dxfId="366" priority="192755" operator="between">
      <formula>$NO$41</formula>
      <formula>$NO$42</formula>
    </cfRule>
  </conditionalFormatting>
  <conditionalFormatting sqref="DZ1:DZ1048576 EC1:EC1048576 EG1:EG1048576 EJ1:EJ1048576">
    <cfRule type="cellIs" dxfId="365" priority="192767" operator="between">
      <formula>$EK$48</formula>
      <formula>1000</formula>
    </cfRule>
    <cfRule type="cellIs" dxfId="364" priority="192768" operator="between">
      <formula>$EK$47</formula>
      <formula>$EK$48</formula>
    </cfRule>
    <cfRule type="cellIs" dxfId="363" priority="192769" operator="between">
      <formula>$EK$46</formula>
      <formula>$EK$47</formula>
    </cfRule>
    <cfRule type="cellIs" dxfId="362" priority="192770" operator="between">
      <formula>$EK$45</formula>
      <formula>$EK$46</formula>
    </cfRule>
  </conditionalFormatting>
  <conditionalFormatting sqref="FH1:FH1048576 FK1:FK1048576 FO1:FO1048576 FR1:FR1048576">
    <cfRule type="cellIs" dxfId="361" priority="192815" operator="between">
      <formula>$FS$48</formula>
      <formula>1000</formula>
    </cfRule>
    <cfRule type="cellIs" dxfId="360" priority="192816" operator="between">
      <formula>$FS$47</formula>
      <formula>$FS$48</formula>
    </cfRule>
    <cfRule type="cellIs" dxfId="359" priority="192817" operator="between">
      <formula>$FS$46</formula>
      <formula>$FS$47</formula>
    </cfRule>
    <cfRule type="cellIs" dxfId="358" priority="192818" operator="between">
      <formula>$FS$45</formula>
      <formula>$FS$46</formula>
    </cfRule>
  </conditionalFormatting>
  <conditionalFormatting sqref="GN1:GN1048576 GQ1:GQ1048576 GU1:GU1048576 GX1:GX1048576">
    <cfRule type="cellIs" dxfId="357" priority="192863" operator="between">
      <formula>$HA$44</formula>
      <formula>1000</formula>
    </cfRule>
    <cfRule type="cellIs" dxfId="356" priority="192864" operator="between">
      <formula>$HA$43</formula>
      <formula>$HA$44</formula>
    </cfRule>
    <cfRule type="cellIs" dxfId="355" priority="192865" operator="between">
      <formula>$HA$42</formula>
      <formula>$HA$43</formula>
    </cfRule>
    <cfRule type="cellIs" dxfId="354" priority="192866" operator="between">
      <formula>$HA$41</formula>
      <formula>$HA$42</formula>
    </cfRule>
  </conditionalFormatting>
  <conditionalFormatting sqref="GP1:GP1048576 GS1:GS1048576 GW1:GW1048576 GZ1:GZ1048576">
    <cfRule type="cellIs" dxfId="353" priority="192911" operator="between">
      <formula>$HA$48</formula>
      <formula>1000</formula>
    </cfRule>
    <cfRule type="cellIs" dxfId="352" priority="192912" operator="between">
      <formula>$HA$47</formula>
      <formula>$HA$48</formula>
    </cfRule>
    <cfRule type="cellIs" dxfId="351" priority="192913" operator="between">
      <formula>$HA$46</formula>
      <formula>$HA$47</formula>
    </cfRule>
    <cfRule type="cellIs" dxfId="350" priority="192914" operator="between">
      <formula>$HA$45</formula>
      <formula>$HA$46</formula>
    </cfRule>
  </conditionalFormatting>
  <conditionalFormatting sqref="HX1:HX1048576 IA1:IA1048576 IE1:IE1048576 IH1:IH1048576">
    <cfRule type="cellIs" dxfId="349" priority="192959" operator="between">
      <formula>$II$48</formula>
      <formula>1000</formula>
    </cfRule>
    <cfRule type="cellIs" dxfId="348" priority="192960" operator="between">
      <formula>$II$47</formula>
      <formula>$II$48</formula>
    </cfRule>
    <cfRule type="cellIs" dxfId="347" priority="192961" operator="between">
      <formula>$II$46</formula>
      <formula>$II$47</formula>
    </cfRule>
    <cfRule type="cellIs" dxfId="346" priority="192962" operator="between">
      <formula>$II$45</formula>
      <formula>$II$46</formula>
    </cfRule>
  </conditionalFormatting>
  <conditionalFormatting sqref="JD1:JD1048576 JG1:JG1048576 JK1:JK1048576 JN1:JN1048576">
    <cfRule type="cellIs" dxfId="345" priority="193007" operator="between">
      <formula>$JQ$44</formula>
      <formula>1000</formula>
    </cfRule>
    <cfRule type="cellIs" dxfId="344" priority="193008" operator="between">
      <formula>$JQ$43</formula>
      <formula>$JQ$44</formula>
    </cfRule>
    <cfRule type="cellIs" dxfId="343" priority="193009" operator="between">
      <formula>$JQ$42</formula>
      <formula>$JQ$43</formula>
    </cfRule>
    <cfRule type="cellIs" dxfId="342" priority="193010" operator="between">
      <formula>$JQ$41</formula>
      <formula>$JQ$42</formula>
    </cfRule>
  </conditionalFormatting>
  <conditionalFormatting sqref="JF1:JF1048576 JI1:JI1048576 JM1:JM1048576 JP1:JP1048576">
    <cfRule type="cellIs" dxfId="341" priority="193055" operator="between">
      <formula>$JQ$48</formula>
      <formula>1000</formula>
    </cfRule>
    <cfRule type="cellIs" dxfId="340" priority="193056" operator="between">
      <formula>$JQ$47</formula>
      <formula>$JQ$48</formula>
    </cfRule>
    <cfRule type="cellIs" dxfId="339" priority="193057" operator="between">
      <formula>$JQ$46</formula>
      <formula>$JQ$47</formula>
    </cfRule>
    <cfRule type="cellIs" dxfId="338" priority="193058" operator="between">
      <formula>$JQ$45</formula>
      <formula>$JQ$46</formula>
    </cfRule>
  </conditionalFormatting>
  <conditionalFormatting sqref="KL1:KL1048576 KO1:KO1048576 KS1:KS1048576 KV1:KV1048576">
    <cfRule type="cellIs" dxfId="337" priority="193103" operator="between">
      <formula>$KY$44</formula>
      <formula>1000</formula>
    </cfRule>
    <cfRule type="cellIs" dxfId="336" priority="193104" operator="between">
      <formula>$KY$43</formula>
      <formula>$KY$44</formula>
    </cfRule>
    <cfRule type="cellIs" dxfId="335" priority="193105" operator="between">
      <formula>$KY$42</formula>
      <formula>$KY$43</formula>
    </cfRule>
    <cfRule type="cellIs" dxfId="334" priority="193106" operator="between">
      <formula>$KY$41</formula>
      <formula>$KY$42</formula>
    </cfRule>
  </conditionalFormatting>
  <conditionalFormatting sqref="KN1:KN1048576 KQ1:KQ1048576 KU1:KU1048576 KX1:KX1048576">
    <cfRule type="cellIs" dxfId="333" priority="193151" operator="between">
      <formula>$KY$48</formula>
      <formula>1000</formula>
    </cfRule>
    <cfRule type="cellIs" dxfId="332" priority="193152" operator="between">
      <formula>$KY$47</formula>
      <formula>$KY$48</formula>
    </cfRule>
    <cfRule type="cellIs" dxfId="331" priority="193153" operator="between">
      <formula>$KY$46</formula>
      <formula>$KY$47</formula>
    </cfRule>
    <cfRule type="cellIs" dxfId="330" priority="193154" operator="between">
      <formula>$KY$45</formula>
      <formula>$KY$46</formula>
    </cfRule>
  </conditionalFormatting>
  <conditionalFormatting sqref="LT1:LT1048576 LW1:LW1048576 MA1:MA1048576 MD1:MD1048576">
    <cfRule type="cellIs" dxfId="329" priority="193199" operator="between">
      <formula>$MG$44</formula>
      <formula>1000</formula>
    </cfRule>
    <cfRule type="cellIs" dxfId="328" priority="193200" operator="between">
      <formula>$MG$43</formula>
      <formula>$MG$44</formula>
    </cfRule>
    <cfRule type="cellIs" dxfId="327" priority="193201" operator="between">
      <formula>$MG$42</formula>
      <formula>$MG$43</formula>
    </cfRule>
    <cfRule type="cellIs" dxfId="326" priority="193202" operator="between">
      <formula>$MG$41</formula>
      <formula>$MG$42</formula>
    </cfRule>
  </conditionalFormatting>
  <conditionalFormatting sqref="LV1:LV1048576 LY1:LY1048576 MC1:MC1048576 MF1:MF1048576">
    <cfRule type="cellIs" dxfId="325" priority="193247" operator="between">
      <formula>$MG$48</formula>
      <formula>1000</formula>
    </cfRule>
    <cfRule type="cellIs" dxfId="324" priority="193248" operator="between">
      <formula>$MG$47</formula>
      <formula>$MG$48</formula>
    </cfRule>
    <cfRule type="cellIs" dxfId="323" priority="193249" operator="between">
      <formula>$MG$46</formula>
      <formula>$MG$47</formula>
    </cfRule>
    <cfRule type="cellIs" dxfId="322" priority="193250" operator="between">
      <formula>$MG$45</formula>
      <formula>$MG$46</formula>
    </cfRule>
  </conditionalFormatting>
  <conditionalFormatting sqref="NB1:NB1048576 NE1:NE1048576 NI1:NI1048576">
    <cfRule type="cellIs" dxfId="321" priority="193295" operator="between">
      <formula>$NO$44</formula>
      <formula>1000</formula>
    </cfRule>
    <cfRule type="cellIs" dxfId="320" priority="193296" operator="between">
      <formula>$NO$43</formula>
      <formula>$NO$44</formula>
    </cfRule>
    <cfRule type="cellIs" dxfId="319" priority="193297" operator="between">
      <formula>$NO$42</formula>
      <formula>$NO$43</formula>
    </cfRule>
  </conditionalFormatting>
  <conditionalFormatting sqref="ND1:ND1048576 NG1:NG1048576 NK1:NK1048576 NN1:NN1048576">
    <cfRule type="cellIs" dxfId="318" priority="193322" operator="between">
      <formula>$NO$48</formula>
      <formula>1000</formula>
    </cfRule>
    <cfRule type="cellIs" dxfId="317" priority="193323" operator="between">
      <formula>$NO$47</formula>
      <formula>$NO$48</formula>
    </cfRule>
    <cfRule type="cellIs" dxfId="316" priority="193324" operator="between">
      <formula>$NO$46</formula>
      <formula>$NO$47</formula>
    </cfRule>
    <cfRule type="cellIs" dxfId="315" priority="193325" operator="between">
      <formula>$NO$45</formula>
      <formula>$NO$46</formula>
    </cfRule>
  </conditionalFormatting>
  <conditionalFormatting sqref="OJ1:OJ1048576 OM1:OM1048576 OQ1:OQ1048576 OT1:OT1048576">
    <cfRule type="cellIs" dxfId="314" priority="193370" operator="between">
      <formula>$OW$44</formula>
      <formula>1000</formula>
    </cfRule>
    <cfRule type="cellIs" dxfId="313" priority="193371" operator="between">
      <formula>$OW$43</formula>
      <formula>$OW$44</formula>
    </cfRule>
    <cfRule type="cellIs" dxfId="312" priority="193372" operator="between">
      <formula>$OW$42</formula>
      <formula>$OW$43</formula>
    </cfRule>
    <cfRule type="cellIs" dxfId="311" priority="193373" operator="between">
      <formula>$OW$41</formula>
      <formula>$OW$42</formula>
    </cfRule>
  </conditionalFormatting>
  <conditionalFormatting sqref="OL1:OL1048576 OO1:OO1048576 OS1:OS1048576 OV1:OV1048576">
    <cfRule type="cellIs" dxfId="310" priority="193418" operator="between">
      <formula>$OW$48</formula>
      <formula>1000</formula>
    </cfRule>
    <cfRule type="cellIs" dxfId="309" priority="193419" operator="between">
      <formula>$OW$47</formula>
      <formula>$OW$48</formula>
    </cfRule>
    <cfRule type="cellIs" dxfId="308" priority="193420" operator="between">
      <formula>$OW$46</formula>
      <formula>$OW$47</formula>
    </cfRule>
    <cfRule type="cellIs" dxfId="307" priority="193421" operator="between">
      <formula>$OW$45</formula>
      <formula>$OW$46</formula>
    </cfRule>
  </conditionalFormatting>
  <conditionalFormatting sqref="PR1:PR1048576 PU1:PU1048576 PY1:PY1048576 QB1:QB1048576">
    <cfRule type="cellIs" dxfId="306" priority="193466" operator="between">
      <formula>$QE$44</formula>
      <formula>1000</formula>
    </cfRule>
    <cfRule type="cellIs" dxfId="305" priority="193467" operator="between">
      <formula>$QE$43</formula>
      <formula>$QE$44</formula>
    </cfRule>
    <cfRule type="cellIs" dxfId="304" priority="193468" operator="between">
      <formula>$QE$42</formula>
      <formula>$QE$43</formula>
    </cfRule>
    <cfRule type="cellIs" dxfId="303" priority="193469" operator="between">
      <formula>$QE$41</formula>
      <formula>$QE$42</formula>
    </cfRule>
  </conditionalFormatting>
  <conditionalFormatting sqref="PT1:PT1048576 PW1:PW1048576 QA1:QA1048576 QD1:QD1048576">
    <cfRule type="cellIs" dxfId="302" priority="193514" operator="between">
      <formula>$QE$48</formula>
      <formula>1000</formula>
    </cfRule>
    <cfRule type="cellIs" dxfId="301" priority="193515" operator="between">
      <formula>$QE$47</formula>
      <formula>$QE$48</formula>
    </cfRule>
    <cfRule type="cellIs" dxfId="300" priority="193516" operator="between">
      <formula>$QE$46</formula>
      <formula>$QE$47</formula>
    </cfRule>
    <cfRule type="cellIs" dxfId="299" priority="193517" operator="between">
      <formula>$QE$45</formula>
      <formula>$QE$46</formula>
    </cfRule>
  </conditionalFormatting>
  <conditionalFormatting sqref="QZ1:QZ1048576 RC1:RC1048576 RG1:RG1048576 RJ1:RJ1048576">
    <cfRule type="cellIs" dxfId="298" priority="193562" operator="between">
      <formula>$RM$44</formula>
      <formula>1000</formula>
    </cfRule>
    <cfRule type="cellIs" dxfId="297" priority="193563" operator="between">
      <formula>$RM$43</formula>
      <formula>$RM$44</formula>
    </cfRule>
    <cfRule type="cellIs" dxfId="296" priority="193564" operator="between">
      <formula>$RM$42</formula>
      <formula>$RM$43</formula>
    </cfRule>
    <cfRule type="cellIs" dxfId="295" priority="193565" operator="between">
      <formula>$RM$41</formula>
      <formula>$RM$42</formula>
    </cfRule>
  </conditionalFormatting>
  <conditionalFormatting sqref="RB1:RB1048576 RE1:RE1048576 RI1:RI1048576 RL1:RL1048576">
    <cfRule type="cellIs" dxfId="294" priority="193610" operator="between">
      <formula>$RM$48</formula>
      <formula>1000</formula>
    </cfRule>
    <cfRule type="cellIs" dxfId="293" priority="193611" operator="between">
      <formula>$RM$47</formula>
      <formula>$RM$48</formula>
    </cfRule>
    <cfRule type="cellIs" dxfId="292" priority="193612" operator="between">
      <formula>$RM$46</formula>
      <formula>$RM$47</formula>
    </cfRule>
    <cfRule type="cellIs" dxfId="291" priority="193613" operator="between">
      <formula>$RM$45</formula>
      <formula>$RM$46</formula>
    </cfRule>
  </conditionalFormatting>
  <conditionalFormatting sqref="SH1:SH1048576 SK1:SK1048576 SO1:SO1048576 SR1:SR1048576">
    <cfRule type="cellIs" dxfId="290" priority="193658" operator="between">
      <formula>$SU$44</formula>
      <formula>1000</formula>
    </cfRule>
    <cfRule type="cellIs" dxfId="289" priority="193659" operator="between">
      <formula>$SU$43</formula>
      <formula>$SU$44</formula>
    </cfRule>
    <cfRule type="cellIs" dxfId="288" priority="193660" operator="between">
      <formula>$SU$42</formula>
      <formula>$SU$43</formula>
    </cfRule>
    <cfRule type="cellIs" dxfId="287" priority="193661" operator="between">
      <formula>$SU$41</formula>
      <formula>$SU$42</formula>
    </cfRule>
  </conditionalFormatting>
  <conditionalFormatting sqref="SJ1:SJ1048576 SM1:SM1048576 SQ1:SQ1048576 ST1:ST1048576">
    <cfRule type="cellIs" dxfId="286" priority="193706" operator="between">
      <formula>$SU$48</formula>
      <formula>1000</formula>
    </cfRule>
    <cfRule type="cellIs" dxfId="285" priority="193707" operator="between">
      <formula>$SU$47</formula>
      <formula>$SU$48</formula>
    </cfRule>
    <cfRule type="cellIs" dxfId="284" priority="193708" operator="between">
      <formula>$SU$46</formula>
      <formula>$SU$47</formula>
    </cfRule>
    <cfRule type="cellIs" dxfId="283" priority="193709" operator="between">
      <formula>$SU$45</formula>
      <formula>$SU$46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7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" bestFit="1" customWidth="1"/>
    <col min="4" max="4" width="8.1640625" bestFit="1" customWidth="1"/>
    <col min="5" max="5" width="12" customWidth="1"/>
    <col min="7" max="7" width="10.83203125" style="65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2" t="s">
        <v>8</v>
      </c>
      <c r="J1" s="72" t="s">
        <v>9</v>
      </c>
      <c r="K1" s="72" t="s">
        <v>62</v>
      </c>
      <c r="L1" s="73" t="s">
        <v>64</v>
      </c>
      <c r="M1" s="74" t="s">
        <v>25</v>
      </c>
      <c r="N1" s="73" t="s">
        <v>65</v>
      </c>
      <c r="O1" s="74" t="s">
        <v>25</v>
      </c>
      <c r="P1" s="73" t="s">
        <v>111</v>
      </c>
      <c r="Q1" s="74" t="s">
        <v>25</v>
      </c>
      <c r="R1" s="74" t="s">
        <v>66</v>
      </c>
      <c r="S1" s="74" t="s">
        <v>25</v>
      </c>
      <c r="T1" s="73" t="s">
        <v>67</v>
      </c>
      <c r="U1" s="74" t="s">
        <v>25</v>
      </c>
      <c r="V1" s="75" t="s">
        <v>11</v>
      </c>
      <c r="W1" s="74" t="s">
        <v>26</v>
      </c>
      <c r="X1" s="74" t="s">
        <v>25</v>
      </c>
      <c r="Y1" s="69" t="s">
        <v>186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0" t="s">
        <v>203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1" t="s">
        <v>11</v>
      </c>
      <c r="DC1" s="71"/>
      <c r="DD1" s="69" t="s">
        <v>185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0" t="s">
        <v>184</v>
      </c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69" t="s">
        <v>200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0" t="s">
        <v>201</v>
      </c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69" t="s">
        <v>56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76"/>
      <c r="B2" s="76"/>
      <c r="C2" s="72"/>
      <c r="D2" s="72"/>
      <c r="E2" s="72"/>
      <c r="F2" s="72"/>
      <c r="G2" s="76"/>
      <c r="H2" s="76"/>
      <c r="I2" s="72"/>
      <c r="J2" s="72"/>
      <c r="K2" s="72"/>
      <c r="L2" s="73"/>
      <c r="M2" s="74"/>
      <c r="N2" s="73"/>
      <c r="O2" s="74"/>
      <c r="P2" s="73"/>
      <c r="Q2" s="74"/>
      <c r="R2" s="74"/>
      <c r="S2" s="74"/>
      <c r="T2" s="73"/>
      <c r="U2" s="74"/>
      <c r="V2" s="75"/>
      <c r="W2" s="74"/>
      <c r="X2" s="74"/>
      <c r="Y2" s="67" t="s">
        <v>16</v>
      </c>
      <c r="Z2" s="67"/>
      <c r="AA2" s="67"/>
      <c r="AB2" s="67"/>
      <c r="AC2" s="67"/>
      <c r="AD2" s="67" t="s">
        <v>17</v>
      </c>
      <c r="AE2" s="67"/>
      <c r="AF2" s="67"/>
      <c r="AG2" s="67"/>
      <c r="AH2" s="67"/>
      <c r="AI2" s="67" t="s">
        <v>20</v>
      </c>
      <c r="AJ2" s="67"/>
      <c r="AK2" s="67"/>
      <c r="AL2" s="67"/>
      <c r="AM2" s="67"/>
      <c r="AN2" s="14"/>
      <c r="AO2" s="14" t="s">
        <v>68</v>
      </c>
      <c r="AP2" s="14" t="s">
        <v>69</v>
      </c>
      <c r="AQ2" s="14" t="s">
        <v>18</v>
      </c>
      <c r="AR2" s="14" t="s">
        <v>61</v>
      </c>
      <c r="AS2" s="14" t="s">
        <v>70</v>
      </c>
      <c r="AT2" s="14" t="s">
        <v>19</v>
      </c>
      <c r="AU2" s="14" t="s">
        <v>21</v>
      </c>
      <c r="AV2" s="14" t="s">
        <v>71</v>
      </c>
      <c r="AW2" s="14" t="s">
        <v>72</v>
      </c>
      <c r="AX2" s="14" t="s">
        <v>20</v>
      </c>
      <c r="AY2" s="14" t="s">
        <v>15</v>
      </c>
      <c r="AZ2" s="68" t="s">
        <v>16</v>
      </c>
      <c r="BA2" s="68"/>
      <c r="BB2" s="68"/>
      <c r="BC2" s="68"/>
      <c r="BD2" s="68"/>
      <c r="BE2" s="68" t="s">
        <v>17</v>
      </c>
      <c r="BF2" s="68"/>
      <c r="BG2" s="68"/>
      <c r="BH2" s="68"/>
      <c r="BI2" s="68"/>
      <c r="BJ2" s="68" t="s">
        <v>20</v>
      </c>
      <c r="BK2" s="68"/>
      <c r="BL2" s="68"/>
      <c r="BM2" s="68"/>
      <c r="BN2" s="68"/>
      <c r="BO2" s="13"/>
      <c r="BP2" s="13" t="s">
        <v>68</v>
      </c>
      <c r="BQ2" s="13" t="s">
        <v>69</v>
      </c>
      <c r="BR2" s="13" t="s">
        <v>18</v>
      </c>
      <c r="BS2" s="13" t="s">
        <v>61</v>
      </c>
      <c r="BT2" s="13" t="s">
        <v>70</v>
      </c>
      <c r="BU2" s="13" t="s">
        <v>19</v>
      </c>
      <c r="BV2" s="13" t="s">
        <v>21</v>
      </c>
      <c r="BW2" s="13" t="s">
        <v>71</v>
      </c>
      <c r="BX2" s="13" t="s">
        <v>72</v>
      </c>
      <c r="BY2" s="13" t="s">
        <v>20</v>
      </c>
      <c r="BZ2" s="13" t="s">
        <v>15</v>
      </c>
      <c r="CA2" s="67" t="s">
        <v>16</v>
      </c>
      <c r="CB2" s="67"/>
      <c r="CC2" s="67"/>
      <c r="CD2" s="67"/>
      <c r="CE2" s="67"/>
      <c r="CF2" s="67" t="s">
        <v>17</v>
      </c>
      <c r="CG2" s="67"/>
      <c r="CH2" s="67"/>
      <c r="CI2" s="67"/>
      <c r="CJ2" s="67"/>
      <c r="CK2" s="67" t="s">
        <v>20</v>
      </c>
      <c r="CL2" s="67"/>
      <c r="CM2" s="67"/>
      <c r="CN2" s="67"/>
      <c r="CO2" s="67"/>
      <c r="CP2" s="14"/>
      <c r="CQ2" s="14" t="s">
        <v>68</v>
      </c>
      <c r="CR2" s="14" t="s">
        <v>69</v>
      </c>
      <c r="CS2" s="14" t="s">
        <v>18</v>
      </c>
      <c r="CT2" s="14" t="s">
        <v>61</v>
      </c>
      <c r="CU2" s="14" t="s">
        <v>70</v>
      </c>
      <c r="CV2" s="14" t="s">
        <v>19</v>
      </c>
      <c r="CW2" s="14" t="s">
        <v>21</v>
      </c>
      <c r="CX2" s="14" t="s">
        <v>71</v>
      </c>
      <c r="CY2" s="14" t="s">
        <v>72</v>
      </c>
      <c r="CZ2" s="14" t="s">
        <v>20</v>
      </c>
      <c r="DA2" s="14" t="s">
        <v>15</v>
      </c>
      <c r="DB2" s="49" t="s">
        <v>112</v>
      </c>
      <c r="DC2" s="49" t="s">
        <v>20</v>
      </c>
      <c r="DD2" s="67" t="s">
        <v>16</v>
      </c>
      <c r="DE2" s="67"/>
      <c r="DF2" s="67"/>
      <c r="DG2" s="67"/>
      <c r="DH2" s="67"/>
      <c r="DI2" s="67" t="s">
        <v>17</v>
      </c>
      <c r="DJ2" s="67"/>
      <c r="DK2" s="67"/>
      <c r="DL2" s="67"/>
      <c r="DM2" s="67"/>
      <c r="DN2" s="67" t="s">
        <v>73</v>
      </c>
      <c r="DO2" s="67"/>
      <c r="DP2" s="67"/>
      <c r="DQ2" s="67"/>
      <c r="DR2" s="67"/>
      <c r="DS2" s="67" t="s">
        <v>20</v>
      </c>
      <c r="DT2" s="67"/>
      <c r="DU2" s="67"/>
      <c r="DV2" s="67"/>
      <c r="DW2" s="67"/>
      <c r="DX2" s="14" t="s">
        <v>68</v>
      </c>
      <c r="DY2" s="14" t="s">
        <v>69</v>
      </c>
      <c r="DZ2" s="14" t="s">
        <v>18</v>
      </c>
      <c r="EA2" s="14" t="s">
        <v>61</v>
      </c>
      <c r="EB2" s="14" t="s">
        <v>70</v>
      </c>
      <c r="EC2" s="14" t="s">
        <v>19</v>
      </c>
      <c r="ED2" s="14" t="s">
        <v>21</v>
      </c>
      <c r="EE2" s="14" t="s">
        <v>74</v>
      </c>
      <c r="EF2" s="14" t="s">
        <v>75</v>
      </c>
      <c r="EG2" s="14" t="s">
        <v>73</v>
      </c>
      <c r="EH2" s="14" t="s">
        <v>71</v>
      </c>
      <c r="EI2" s="14" t="s">
        <v>72</v>
      </c>
      <c r="EJ2" s="14" t="s">
        <v>20</v>
      </c>
      <c r="EK2" s="14" t="s">
        <v>15</v>
      </c>
      <c r="EL2" s="68" t="s">
        <v>16</v>
      </c>
      <c r="EM2" s="68"/>
      <c r="EN2" s="68"/>
      <c r="EO2" s="68"/>
      <c r="EP2" s="68"/>
      <c r="EQ2" s="68" t="s">
        <v>17</v>
      </c>
      <c r="ER2" s="68"/>
      <c r="ES2" s="68"/>
      <c r="ET2" s="68"/>
      <c r="EU2" s="68"/>
      <c r="EV2" s="68" t="s">
        <v>73</v>
      </c>
      <c r="EW2" s="68"/>
      <c r="EX2" s="68"/>
      <c r="EY2" s="68"/>
      <c r="EZ2" s="68"/>
      <c r="FA2" s="68" t="s">
        <v>20</v>
      </c>
      <c r="FB2" s="68"/>
      <c r="FC2" s="68"/>
      <c r="FD2" s="68"/>
      <c r="FE2" s="68"/>
      <c r="FF2" s="13" t="s">
        <v>68</v>
      </c>
      <c r="FG2" s="13" t="s">
        <v>69</v>
      </c>
      <c r="FH2" s="13" t="s">
        <v>18</v>
      </c>
      <c r="FI2" s="13" t="s">
        <v>61</v>
      </c>
      <c r="FJ2" s="13" t="s">
        <v>70</v>
      </c>
      <c r="FK2" s="13" t="s">
        <v>19</v>
      </c>
      <c r="FL2" s="13" t="s">
        <v>21</v>
      </c>
      <c r="FM2" s="13" t="s">
        <v>74</v>
      </c>
      <c r="FN2" s="13" t="s">
        <v>75</v>
      </c>
      <c r="FO2" s="13" t="s">
        <v>73</v>
      </c>
      <c r="FP2" s="13" t="s">
        <v>71</v>
      </c>
      <c r="FQ2" s="13" t="s">
        <v>72</v>
      </c>
      <c r="FR2" s="13" t="s">
        <v>20</v>
      </c>
      <c r="FS2" s="13" t="s">
        <v>15</v>
      </c>
      <c r="FT2" s="67" t="s">
        <v>16</v>
      </c>
      <c r="FU2" s="67"/>
      <c r="FV2" s="67"/>
      <c r="FW2" s="67"/>
      <c r="FX2" s="67"/>
      <c r="FY2" s="67" t="s">
        <v>17</v>
      </c>
      <c r="FZ2" s="67"/>
      <c r="GA2" s="67"/>
      <c r="GB2" s="67"/>
      <c r="GC2" s="67"/>
      <c r="GD2" s="67" t="s">
        <v>73</v>
      </c>
      <c r="GE2" s="67"/>
      <c r="GF2" s="67"/>
      <c r="GG2" s="67"/>
      <c r="GH2" s="67"/>
      <c r="GI2" s="67" t="s">
        <v>20</v>
      </c>
      <c r="GJ2" s="67"/>
      <c r="GK2" s="67"/>
      <c r="GL2" s="67"/>
      <c r="GM2" s="67"/>
      <c r="GN2" s="14" t="s">
        <v>68</v>
      </c>
      <c r="GO2" s="14" t="s">
        <v>69</v>
      </c>
      <c r="GP2" s="14" t="s">
        <v>18</v>
      </c>
      <c r="GQ2" s="14" t="s">
        <v>61</v>
      </c>
      <c r="GR2" s="14" t="s">
        <v>70</v>
      </c>
      <c r="GS2" s="14" t="s">
        <v>19</v>
      </c>
      <c r="GT2" s="14" t="s">
        <v>21</v>
      </c>
      <c r="GU2" s="14" t="s">
        <v>74</v>
      </c>
      <c r="GV2" s="14" t="s">
        <v>75</v>
      </c>
      <c r="GW2" s="14" t="s">
        <v>73</v>
      </c>
      <c r="GX2" s="14" t="s">
        <v>71</v>
      </c>
      <c r="GY2" s="14" t="s">
        <v>72</v>
      </c>
      <c r="GZ2" s="14" t="s">
        <v>20</v>
      </c>
      <c r="HA2" s="14" t="s">
        <v>15</v>
      </c>
      <c r="HB2" s="68" t="s">
        <v>16</v>
      </c>
      <c r="HC2" s="68"/>
      <c r="HD2" s="68"/>
      <c r="HE2" s="68"/>
      <c r="HF2" s="68"/>
      <c r="HG2" s="68" t="s">
        <v>17</v>
      </c>
      <c r="HH2" s="68"/>
      <c r="HI2" s="68"/>
      <c r="HJ2" s="68"/>
      <c r="HK2" s="68"/>
      <c r="HL2" s="68" t="s">
        <v>73</v>
      </c>
      <c r="HM2" s="68"/>
      <c r="HN2" s="68"/>
      <c r="HO2" s="68"/>
      <c r="HP2" s="68"/>
      <c r="HQ2" s="68" t="s">
        <v>20</v>
      </c>
      <c r="HR2" s="68"/>
      <c r="HS2" s="68"/>
      <c r="HT2" s="68"/>
      <c r="HU2" s="68"/>
      <c r="HV2" s="13" t="s">
        <v>68</v>
      </c>
      <c r="HW2" s="13" t="s">
        <v>69</v>
      </c>
      <c r="HX2" s="13" t="s">
        <v>18</v>
      </c>
      <c r="HY2" s="13" t="s">
        <v>61</v>
      </c>
      <c r="HZ2" s="13" t="s">
        <v>70</v>
      </c>
      <c r="IA2" s="13" t="s">
        <v>19</v>
      </c>
      <c r="IB2" s="13" t="s">
        <v>21</v>
      </c>
      <c r="IC2" s="13" t="s">
        <v>74</v>
      </c>
      <c r="ID2" s="13" t="s">
        <v>75</v>
      </c>
      <c r="IE2" s="13" t="s">
        <v>73</v>
      </c>
      <c r="IF2" s="13" t="s">
        <v>71</v>
      </c>
      <c r="IG2" s="13" t="s">
        <v>72</v>
      </c>
      <c r="IH2" s="13" t="s">
        <v>20</v>
      </c>
      <c r="II2" s="13" t="s">
        <v>15</v>
      </c>
      <c r="IJ2" s="67" t="s">
        <v>16</v>
      </c>
      <c r="IK2" s="67"/>
      <c r="IL2" s="67"/>
      <c r="IM2" s="67"/>
      <c r="IN2" s="67"/>
      <c r="IO2" s="67" t="s">
        <v>17</v>
      </c>
      <c r="IP2" s="67"/>
      <c r="IQ2" s="67"/>
      <c r="IR2" s="67"/>
      <c r="IS2" s="67"/>
      <c r="IT2" s="67" t="s">
        <v>73</v>
      </c>
      <c r="IU2" s="67"/>
      <c r="IV2" s="67"/>
      <c r="IW2" s="67"/>
      <c r="IX2" s="67"/>
      <c r="IY2" s="67" t="s">
        <v>20</v>
      </c>
      <c r="IZ2" s="67"/>
      <c r="JA2" s="67"/>
      <c r="JB2" s="67"/>
      <c r="JC2" s="67"/>
      <c r="JD2" s="14" t="s">
        <v>68</v>
      </c>
      <c r="JE2" s="14" t="s">
        <v>69</v>
      </c>
      <c r="JF2" s="14" t="s">
        <v>18</v>
      </c>
      <c r="JG2" s="14" t="s">
        <v>61</v>
      </c>
      <c r="JH2" s="14" t="s">
        <v>70</v>
      </c>
      <c r="JI2" s="14" t="s">
        <v>19</v>
      </c>
      <c r="JJ2" s="14" t="s">
        <v>21</v>
      </c>
      <c r="JK2" s="14" t="s">
        <v>74</v>
      </c>
      <c r="JL2" s="14" t="s">
        <v>75</v>
      </c>
      <c r="JM2" s="14" t="s">
        <v>73</v>
      </c>
      <c r="JN2" s="14" t="s">
        <v>71</v>
      </c>
      <c r="JO2" s="14" t="s">
        <v>72</v>
      </c>
      <c r="JP2" s="14" t="s">
        <v>20</v>
      </c>
      <c r="JQ2" s="14" t="s">
        <v>15</v>
      </c>
      <c r="JR2" s="68" t="s">
        <v>16</v>
      </c>
      <c r="JS2" s="68"/>
      <c r="JT2" s="68"/>
      <c r="JU2" s="68"/>
      <c r="JV2" s="68"/>
      <c r="JW2" s="68" t="s">
        <v>17</v>
      </c>
      <c r="JX2" s="68"/>
      <c r="JY2" s="68"/>
      <c r="JZ2" s="68"/>
      <c r="KA2" s="68"/>
      <c r="KB2" s="68" t="s">
        <v>73</v>
      </c>
      <c r="KC2" s="68"/>
      <c r="KD2" s="68"/>
      <c r="KE2" s="68"/>
      <c r="KF2" s="68"/>
      <c r="KG2" s="68" t="s">
        <v>20</v>
      </c>
      <c r="KH2" s="68"/>
      <c r="KI2" s="68"/>
      <c r="KJ2" s="68"/>
      <c r="KK2" s="68"/>
      <c r="KL2" s="13" t="s">
        <v>68</v>
      </c>
      <c r="KM2" s="13" t="s">
        <v>69</v>
      </c>
      <c r="KN2" s="13" t="s">
        <v>18</v>
      </c>
      <c r="KO2" s="13" t="s">
        <v>61</v>
      </c>
      <c r="KP2" s="13" t="s">
        <v>70</v>
      </c>
      <c r="KQ2" s="13" t="s">
        <v>19</v>
      </c>
      <c r="KR2" s="13" t="s">
        <v>21</v>
      </c>
      <c r="KS2" s="13" t="s">
        <v>74</v>
      </c>
      <c r="KT2" s="13" t="s">
        <v>75</v>
      </c>
      <c r="KU2" s="13" t="s">
        <v>73</v>
      </c>
      <c r="KV2" s="13" t="s">
        <v>71</v>
      </c>
      <c r="KW2" s="13" t="s">
        <v>72</v>
      </c>
      <c r="KX2" s="13" t="s">
        <v>20</v>
      </c>
      <c r="KY2" s="13" t="s">
        <v>15</v>
      </c>
      <c r="KZ2" s="67" t="s">
        <v>16</v>
      </c>
      <c r="LA2" s="67"/>
      <c r="LB2" s="67"/>
      <c r="LC2" s="67"/>
      <c r="LD2" s="67"/>
      <c r="LE2" s="67" t="s">
        <v>17</v>
      </c>
      <c r="LF2" s="67"/>
      <c r="LG2" s="67"/>
      <c r="LH2" s="67"/>
      <c r="LI2" s="67"/>
      <c r="LJ2" s="67" t="s">
        <v>73</v>
      </c>
      <c r="LK2" s="67"/>
      <c r="LL2" s="67"/>
      <c r="LM2" s="67"/>
      <c r="LN2" s="67"/>
      <c r="LO2" s="67" t="s">
        <v>20</v>
      </c>
      <c r="LP2" s="67"/>
      <c r="LQ2" s="67"/>
      <c r="LR2" s="67"/>
      <c r="LS2" s="67"/>
      <c r="LT2" s="14" t="s">
        <v>68</v>
      </c>
      <c r="LU2" s="14" t="s">
        <v>69</v>
      </c>
      <c r="LV2" s="14" t="s">
        <v>18</v>
      </c>
      <c r="LW2" s="14" t="s">
        <v>61</v>
      </c>
      <c r="LX2" s="14" t="s">
        <v>70</v>
      </c>
      <c r="LY2" s="14" t="s">
        <v>19</v>
      </c>
      <c r="LZ2" s="14" t="s">
        <v>21</v>
      </c>
      <c r="MA2" s="14" t="s">
        <v>74</v>
      </c>
      <c r="MB2" s="14" t="s">
        <v>75</v>
      </c>
      <c r="MC2" s="14" t="s">
        <v>73</v>
      </c>
      <c r="MD2" s="14" t="s">
        <v>71</v>
      </c>
      <c r="ME2" s="14" t="s">
        <v>72</v>
      </c>
      <c r="MF2" s="14" t="s">
        <v>20</v>
      </c>
      <c r="MG2" s="14" t="s">
        <v>15</v>
      </c>
      <c r="MH2" s="68" t="s">
        <v>16</v>
      </c>
      <c r="MI2" s="68"/>
      <c r="MJ2" s="68"/>
      <c r="MK2" s="68"/>
      <c r="ML2" s="68"/>
      <c r="MM2" s="68" t="s">
        <v>17</v>
      </c>
      <c r="MN2" s="68"/>
      <c r="MO2" s="68"/>
      <c r="MP2" s="68"/>
      <c r="MQ2" s="68"/>
      <c r="MR2" s="68" t="s">
        <v>73</v>
      </c>
      <c r="MS2" s="68"/>
      <c r="MT2" s="68"/>
      <c r="MU2" s="68"/>
      <c r="MV2" s="68"/>
      <c r="MW2" s="68" t="s">
        <v>20</v>
      </c>
      <c r="MX2" s="68"/>
      <c r="MY2" s="68"/>
      <c r="MZ2" s="68"/>
      <c r="NA2" s="68"/>
      <c r="NB2" s="13" t="s">
        <v>68</v>
      </c>
      <c r="NC2" s="13" t="s">
        <v>69</v>
      </c>
      <c r="ND2" s="13" t="s">
        <v>18</v>
      </c>
      <c r="NE2" s="13" t="s">
        <v>61</v>
      </c>
      <c r="NF2" s="13" t="s">
        <v>70</v>
      </c>
      <c r="NG2" s="13" t="s">
        <v>19</v>
      </c>
      <c r="NH2" s="13" t="s">
        <v>21</v>
      </c>
      <c r="NI2" s="13" t="s">
        <v>74</v>
      </c>
      <c r="NJ2" s="13" t="s">
        <v>75</v>
      </c>
      <c r="NK2" s="13" t="s">
        <v>73</v>
      </c>
      <c r="NL2" s="13" t="s">
        <v>71</v>
      </c>
      <c r="NM2" s="13" t="s">
        <v>72</v>
      </c>
      <c r="NN2" s="13" t="s">
        <v>20</v>
      </c>
      <c r="NO2" s="13" t="s">
        <v>15</v>
      </c>
      <c r="NP2" s="67" t="s">
        <v>16</v>
      </c>
      <c r="NQ2" s="67"/>
      <c r="NR2" s="67"/>
      <c r="NS2" s="67"/>
      <c r="NT2" s="67"/>
      <c r="NU2" s="67" t="s">
        <v>17</v>
      </c>
      <c r="NV2" s="67"/>
      <c r="NW2" s="67"/>
      <c r="NX2" s="67"/>
      <c r="NY2" s="67"/>
      <c r="NZ2" s="67" t="s">
        <v>73</v>
      </c>
      <c r="OA2" s="67"/>
      <c r="OB2" s="67"/>
      <c r="OC2" s="67"/>
      <c r="OD2" s="67"/>
      <c r="OE2" s="67" t="s">
        <v>20</v>
      </c>
      <c r="OF2" s="67"/>
      <c r="OG2" s="67"/>
      <c r="OH2" s="67"/>
      <c r="OI2" s="67"/>
      <c r="OJ2" s="14" t="s">
        <v>68</v>
      </c>
      <c r="OK2" s="14" t="s">
        <v>69</v>
      </c>
      <c r="OL2" s="14" t="s">
        <v>18</v>
      </c>
      <c r="OM2" s="14" t="s">
        <v>61</v>
      </c>
      <c r="ON2" s="14" t="s">
        <v>70</v>
      </c>
      <c r="OO2" s="14" t="s">
        <v>19</v>
      </c>
      <c r="OP2" s="14" t="s">
        <v>21</v>
      </c>
      <c r="OQ2" s="14" t="s">
        <v>74</v>
      </c>
      <c r="OR2" s="14" t="s">
        <v>75</v>
      </c>
      <c r="OS2" s="14" t="s">
        <v>73</v>
      </c>
      <c r="OT2" s="14" t="s">
        <v>71</v>
      </c>
      <c r="OU2" s="14" t="s">
        <v>72</v>
      </c>
      <c r="OV2" s="14" t="s">
        <v>20</v>
      </c>
      <c r="OW2" s="14" t="s">
        <v>15</v>
      </c>
      <c r="OX2" s="68" t="s">
        <v>16</v>
      </c>
      <c r="OY2" s="68"/>
      <c r="OZ2" s="68"/>
      <c r="PA2" s="68"/>
      <c r="PB2" s="68"/>
      <c r="PC2" s="68" t="s">
        <v>17</v>
      </c>
      <c r="PD2" s="68"/>
      <c r="PE2" s="68"/>
      <c r="PF2" s="68"/>
      <c r="PG2" s="68"/>
      <c r="PH2" s="68" t="s">
        <v>73</v>
      </c>
      <c r="PI2" s="68"/>
      <c r="PJ2" s="68"/>
      <c r="PK2" s="68"/>
      <c r="PL2" s="68"/>
      <c r="PM2" s="68" t="s">
        <v>20</v>
      </c>
      <c r="PN2" s="68"/>
      <c r="PO2" s="68"/>
      <c r="PP2" s="68"/>
      <c r="PQ2" s="68"/>
      <c r="PR2" s="13" t="s">
        <v>68</v>
      </c>
      <c r="PS2" s="13" t="s">
        <v>69</v>
      </c>
      <c r="PT2" s="13" t="s">
        <v>18</v>
      </c>
      <c r="PU2" s="13" t="s">
        <v>61</v>
      </c>
      <c r="PV2" s="13" t="s">
        <v>70</v>
      </c>
      <c r="PW2" s="13" t="s">
        <v>19</v>
      </c>
      <c r="PX2" s="13" t="s">
        <v>21</v>
      </c>
      <c r="PY2" s="13" t="s">
        <v>74</v>
      </c>
      <c r="PZ2" s="13" t="s">
        <v>75</v>
      </c>
      <c r="QA2" s="13" t="s">
        <v>73</v>
      </c>
      <c r="QB2" s="13" t="s">
        <v>71</v>
      </c>
      <c r="QC2" s="13" t="s">
        <v>72</v>
      </c>
      <c r="QD2" s="13" t="s">
        <v>20</v>
      </c>
      <c r="QE2" s="13" t="s">
        <v>15</v>
      </c>
      <c r="QF2" s="67" t="s">
        <v>16</v>
      </c>
      <c r="QG2" s="67"/>
      <c r="QH2" s="67"/>
      <c r="QI2" s="67"/>
      <c r="QJ2" s="67"/>
      <c r="QK2" s="67" t="s">
        <v>17</v>
      </c>
      <c r="QL2" s="67"/>
      <c r="QM2" s="67"/>
      <c r="QN2" s="67"/>
      <c r="QO2" s="67"/>
      <c r="QP2" s="67" t="s">
        <v>73</v>
      </c>
      <c r="QQ2" s="67"/>
      <c r="QR2" s="67"/>
      <c r="QS2" s="67"/>
      <c r="QT2" s="67"/>
      <c r="QU2" s="67" t="s">
        <v>20</v>
      </c>
      <c r="QV2" s="67"/>
      <c r="QW2" s="67"/>
      <c r="QX2" s="67"/>
      <c r="QY2" s="67"/>
      <c r="QZ2" s="14" t="s">
        <v>68</v>
      </c>
      <c r="RA2" s="14" t="s">
        <v>69</v>
      </c>
      <c r="RB2" s="14" t="s">
        <v>18</v>
      </c>
      <c r="RC2" s="14" t="s">
        <v>61</v>
      </c>
      <c r="RD2" s="14" t="s">
        <v>70</v>
      </c>
      <c r="RE2" s="14" t="s">
        <v>19</v>
      </c>
      <c r="RF2" s="14" t="s">
        <v>21</v>
      </c>
      <c r="RG2" s="14" t="s">
        <v>74</v>
      </c>
      <c r="RH2" s="14" t="s">
        <v>75</v>
      </c>
      <c r="RI2" s="14" t="s">
        <v>73</v>
      </c>
      <c r="RJ2" s="14" t="s">
        <v>71</v>
      </c>
      <c r="RK2" s="14" t="s">
        <v>72</v>
      </c>
      <c r="RL2" s="14" t="s">
        <v>20</v>
      </c>
      <c r="RM2" s="14" t="s">
        <v>15</v>
      </c>
      <c r="RN2" s="68" t="s">
        <v>16</v>
      </c>
      <c r="RO2" s="68"/>
      <c r="RP2" s="68"/>
      <c r="RQ2" s="68"/>
      <c r="RR2" s="68"/>
      <c r="RS2" s="68" t="s">
        <v>17</v>
      </c>
      <c r="RT2" s="68"/>
      <c r="RU2" s="68"/>
      <c r="RV2" s="68"/>
      <c r="RW2" s="68"/>
      <c r="RX2" s="68" t="s">
        <v>73</v>
      </c>
      <c r="RY2" s="68"/>
      <c r="RZ2" s="68"/>
      <c r="SA2" s="68"/>
      <c r="SB2" s="68"/>
      <c r="SC2" s="68" t="s">
        <v>20</v>
      </c>
      <c r="SD2" s="68"/>
      <c r="SE2" s="68"/>
      <c r="SF2" s="68"/>
      <c r="SG2" s="68"/>
      <c r="SH2" s="13" t="s">
        <v>68</v>
      </c>
      <c r="SI2" s="13" t="s">
        <v>69</v>
      </c>
      <c r="SJ2" s="13" t="s">
        <v>18</v>
      </c>
      <c r="SK2" s="13" t="s">
        <v>61</v>
      </c>
      <c r="SL2" s="13" t="s">
        <v>70</v>
      </c>
      <c r="SM2" s="13" t="s">
        <v>19</v>
      </c>
      <c r="SN2" s="13" t="s">
        <v>21</v>
      </c>
      <c r="SO2" s="13" t="s">
        <v>74</v>
      </c>
      <c r="SP2" s="13" t="s">
        <v>75</v>
      </c>
      <c r="SQ2" s="13" t="s">
        <v>73</v>
      </c>
      <c r="SR2" s="13" t="s">
        <v>71</v>
      </c>
      <c r="SS2" s="13" t="s">
        <v>72</v>
      </c>
      <c r="ST2" s="13" t="s">
        <v>20</v>
      </c>
      <c r="SU2" s="13" t="s">
        <v>15</v>
      </c>
      <c r="SV2" s="67" t="s">
        <v>16</v>
      </c>
      <c r="SW2" s="67"/>
      <c r="SX2" s="67"/>
      <c r="SY2" s="67"/>
      <c r="SZ2" s="67"/>
      <c r="TA2" s="67" t="s">
        <v>17</v>
      </c>
      <c r="TB2" s="67"/>
      <c r="TC2" s="67"/>
      <c r="TD2" s="67"/>
      <c r="TE2" s="67"/>
      <c r="TF2" s="67" t="s">
        <v>20</v>
      </c>
      <c r="TG2" s="67"/>
      <c r="TH2" s="67"/>
      <c r="TI2" s="67"/>
      <c r="TJ2" s="67"/>
      <c r="TK2" s="14"/>
      <c r="TL2" s="14" t="s">
        <v>68</v>
      </c>
      <c r="TM2" s="14" t="s">
        <v>69</v>
      </c>
      <c r="TN2" s="14" t="s">
        <v>18</v>
      </c>
      <c r="TO2" s="14" t="s">
        <v>61</v>
      </c>
      <c r="TP2" s="14" t="s">
        <v>70</v>
      </c>
      <c r="TQ2" s="14" t="s">
        <v>19</v>
      </c>
      <c r="TR2" s="14" t="s">
        <v>21</v>
      </c>
      <c r="TS2" s="14" t="s">
        <v>71</v>
      </c>
      <c r="TT2" s="14" t="s">
        <v>72</v>
      </c>
      <c r="TU2" s="14" t="s">
        <v>20</v>
      </c>
      <c r="TV2" s="14" t="s">
        <v>15</v>
      </c>
    </row>
    <row r="3" spans="1:542" x14ac:dyDescent="0.2">
      <c r="A3" s="76"/>
      <c r="B3" s="76"/>
      <c r="C3" s="72"/>
      <c r="D3" s="72"/>
      <c r="E3" s="72"/>
      <c r="F3" s="72"/>
      <c r="G3" s="76"/>
      <c r="H3" s="76"/>
      <c r="I3" s="72"/>
      <c r="J3" s="72"/>
      <c r="K3" s="72"/>
      <c r="L3" s="73"/>
      <c r="M3" s="74"/>
      <c r="N3" s="73"/>
      <c r="O3" s="74"/>
      <c r="P3" s="73"/>
      <c r="Q3" s="74"/>
      <c r="R3" s="74"/>
      <c r="S3" s="74"/>
      <c r="T3" s="73"/>
      <c r="U3" s="74"/>
      <c r="V3" s="75"/>
      <c r="W3" s="74"/>
      <c r="X3" s="74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92</v>
      </c>
      <c r="D4" s="4" t="s">
        <v>3</v>
      </c>
      <c r="E4" s="4">
        <v>2004</v>
      </c>
      <c r="F4" s="9">
        <f t="shared" ref="F4:F35" si="0">SUM(L4:V4)+SUM(L4:T4)*0.0000001+SUM(L4)*0.0000000000001</f>
        <v>188.84001862800531</v>
      </c>
      <c r="G4" s="64" t="s">
        <v>46</v>
      </c>
      <c r="H4" s="3" t="str">
        <f t="shared" ref="H4:H35" si="1">IF(OR(AND(AO4&gt;=AY$38,AO4&lt;&gt;"",AQ4&gt;=AY$42,AQ4&lt;&gt;"",AN4=""),AND(AR4&gt;=AY$38,AR4&lt;&gt;"",AT4&gt;=AY$42,AT4&lt;&gt;"",AN4=""),AND(AV4&gt;=AY$38,AV4&lt;&gt;"",AX4&gt;=AY$42,AX4&lt;&gt;"",AN4=""),AND(BP4&gt;=BZ$38,BP4&lt;&gt;"",BR4&gt;=BZ$42,BR4&lt;&gt;"",BO4=""),AND(BS4&gt;=BZ$38,BS4&lt;&gt;"",BU4&gt;=BZ$42,BU4&lt;&gt;"",BO4=""),AND(BW4&gt;=BZ$38,BW4&lt;&gt;"",BY4&gt;=BZ$42,BY4&lt;&gt;"",BO4=""),AND(CQ4&gt;=DA$38,CQ4&lt;&gt;"",CS4&gt;=DA$42,CS4&lt;&gt;"",CP4=""),AND(CT4&gt;=DA$38,CT4&lt;&gt;"",CV4&gt;=DA$42,CV4&lt;&gt;"",CP4=""),AND(CX4&gt;=DA$38,CX4&lt;&gt;"",CZ4&gt;=DA$42,CZ4&lt;&gt;"",CP4=""),AND(DX4&gt;=EK$38,DX4&lt;&gt;"",DZ4&gt;=EK$42,DZ4&lt;&gt;""),AND(EA4&gt;=EK$38,EA4&lt;&gt;"",EC4&gt;=EK$42,EC4&lt;&gt;""),AND(EE4&gt;=EK$38,EE4&lt;&gt;"",EG4&gt;=EK$42,EG4&lt;&gt;""),AND(EH4&gt;=EK$38,EH4&lt;&gt;"",EJ4&gt;=EK$42,EJ4&lt;&gt;""),AND(FF4&gt;=FS$38,FF4&lt;&gt;"",FH4&gt;=FS$42,FH4&lt;&gt;""),AND(FI4&gt;=FS$38,FI4&lt;&gt;"",FK4&gt;=FS$42,FK4&lt;&gt;""),AND(FM4&gt;=FS$38,FM4&lt;&gt;"",FO4&gt;=FS$42,FO4&lt;&gt;""),AND(FP4&gt;=FS$38,FP4&lt;&gt;"",FR4&gt;=FS$42,FR4&lt;&gt;""),AND(GN4&gt;=HA$38,GN4&lt;&gt;"",GP4&gt;=HA$42,GP4&lt;&gt;""),AND(GQ4&gt;=HA$38,GQ4&lt;&gt;"",GS4&gt;=HA$42,GS4&lt;&gt;""),AND(GU4&gt;=HA$38,GU4&lt;&gt;"",GW4&gt;=HA$42,GW4&lt;&gt;""),AND(GX4&gt;=HA$38,GX4&lt;&gt;"",GZ4&gt;=HA$42,GZ4&lt;&gt;""),AND(HV4&gt;=II$38,HV4&lt;&gt;"",HX4&gt;=II$42,HX4&lt;&gt;""),AND(HY4&gt;=II$38,HY4&lt;&gt;"",IA4&gt;=II$42,IA4&lt;&gt;""),AND(IC4&gt;=II$38,IC4&lt;&gt;"",IE4&gt;=II$42,IE4&lt;&gt;""),AND(IF4&gt;=II$38,IF4&lt;&gt;"",IH4&gt;=II$42,IH4&lt;&gt;""),AND(JD4&gt;=JQ$38,JD4&lt;&gt;"",JF4&gt;=JQ$42,JF4&lt;&gt;""),AND(JG4&gt;=JQ$38,JG4&lt;&gt;"",JI4&gt;=JQ$42,JI4&lt;&gt;""),AND(JK4&gt;=JQ$38,JK4&lt;&gt;"",JM4&gt;=JQ$42,JM4&lt;&gt;""),AND(JN4&gt;=JQ$38,JN4&lt;&gt;"",JP4&gt;=JQ$42,JP4&lt;&gt;""),AND(KL4&gt;=KY$38,KL4&lt;&gt;"",KN4&gt;=KY$42,KN4&lt;&gt;""),AND(KO4&gt;=KY$38,KO4&lt;&gt;"",KQ4&gt;=KY$42,KQ4&lt;&gt;""),AND(KS4&gt;=KY$38,KS4&lt;&gt;"",KU4&gt;=KY$42,KU4&lt;&gt;""),AND(KV4&gt;=KY$38,KV4&lt;&gt;"",KX4&gt;=KY$42,KX4&lt;&gt;""),AND(LT4&gt;=MG$38,LT4&lt;&gt;"",LV4&gt;=MG$42,LV4&lt;&gt;""),AND(LW4&gt;=MG$38,LW4&lt;&gt;"",LY4&gt;=MG$42,LY4&lt;&gt;""),AND(MA4&gt;=MG$38,MA4&lt;&gt;"",MC4&gt;=MG$42,MC4&lt;&gt;""),AND(MD4&gt;=MG$38,MD4&lt;&gt;"",MF4&gt;=MG$42,MF4&lt;&gt;""),AND(NB4&gt;=NO$38,NB4&lt;&gt;"",ND4&gt;=NO$42,ND4&lt;&gt;""),AND(NE4&gt;=NO$38,NE4&lt;&gt;"",NG4&gt;=NO$42,NG4&lt;&gt;""),AND(NI4&gt;=NO$38,NI4&lt;&gt;"",NK4&gt;=NO$42,NK4&lt;&gt;""),AND(NL4&gt;=NO$38,NL4&lt;&gt;"",NN4&gt;=NO$42,NN4&lt;&gt;""),AND(OJ4&gt;=OW$38,OJ4&lt;&gt;"",OL4&gt;=OW$42,OL4&lt;&gt;""),AND(OM4&gt;=OW$38,OM4&lt;&gt;"",OO4&gt;=OW$42,OO4&lt;&gt;""),AND(OQ4&gt;=OW$38,OQ4&lt;&gt;"",OS4&gt;=OW$42,OS4&lt;&gt;""),AND(OT4&gt;=OW$38,OT4&lt;&gt;"",OV4&gt;=OW$42,OV4&lt;&gt;""),AND(PR4&gt;=QE$38,PR4&lt;&gt;"",PT4&gt;=QE$42,PT4&lt;&gt;""),AND(PU4&gt;=QE$38,PU4&lt;&gt;"",PW4&gt;=QE$42,PW4&lt;&gt;""),AND(PY4&gt;=QE$38,PY4&lt;&gt;"",QA4&gt;=QE$42,QA4&lt;&gt;""),AND(QB4&gt;=QE$38,QB4&lt;&gt;"",QD4&gt;=QE$42,QD4&lt;&gt;""),AND(QZ4&gt;=RM$38,QZ4&lt;&gt;"",RB4&gt;=RM$42,RB4&lt;&gt;""),AND(RC4&gt;=RM$38,RC4&lt;&gt;"",RE4&gt;=RM$42,RE4&lt;&gt;""),AND(RG4&gt;=RM$38,RG4&lt;&gt;"",RI4&gt;=RM$42,RI4&lt;&gt;""),AND(RJ4&gt;=RM$38,RJ4&lt;&gt;"",RL4&gt;=RM$42,RL4&lt;&gt;""),AND(SH4&gt;=SU$38,SH4&lt;&gt;"",SJ4&gt;=SU$42,SJ4&lt;&gt;""),AND(SK4&gt;=SU$38,SK4&lt;&gt;"",SM4&gt;=SU$42,SM4&lt;&gt;""),AND(SO4&gt;=SU$38,SO4&lt;&gt;"",SQ4&gt;=SU$42,SQ4&lt;&gt;""),AND(SR4&gt;=SU$38,SR4&lt;&gt;"",ST4&gt;=SU$42,ST4&lt;&gt;"")),"P","")</f>
        <v>P</v>
      </c>
      <c r="I4" s="3" t="str">
        <f t="shared" ref="I4:I35" si="2">IF(OR(AND(AQ4&gt;=AY$42,AQ4&lt;&gt;"",AN4=""),AND(AT4&gt;=AY$42,AT4&lt;&gt;"",AN4=""),AND(AX4&gt;=AY$42,AX4&lt;&gt;"",AN4=""),AND(BR4&gt;=BZ$42,BR4&lt;&gt;"",BO4=""),AND(BU4&gt;=BZ$42,BU4&lt;&gt;"",BO4=""),AND(BY4&gt;=BZ$42,BY4&lt;&gt;"",BO4=""),AND(CS4&gt;=DA$42,CS4&lt;&gt;"",CP4=""),AND(CV4&gt;=DA$42,CV4&lt;&gt;"",CP4=""),AND(CZ4&gt;=DA$42,CZ4&lt;&gt;"",CP4=""),AND(DZ4&gt;=EK$42,DZ4&lt;&gt;""),AND(EC4&gt;=EK$42,EC4&lt;&gt;""),AND(EG4&gt;=EK$42,EG4&lt;&gt;""),AND(EJ4&gt;=EK$42,EJ4&lt;&gt;""),AND(FH4&gt;=FS$42,FH4&lt;&gt;""),AND(FK4&gt;=FS$42,FK4&lt;&gt;""),AND(FO4&gt;=FS$42,FO4&lt;&gt;""),AND(FR4&gt;=FS$42,FR4&lt;&gt;""),AND(GP4&gt;=HA$42,GP4&lt;&gt;""),AND(GS4&gt;=HA$42,GS4&lt;&gt;""),AND(GW4&gt;=HA$42,GW4&lt;&gt;""),AND(GZ4&gt;=HA$42,GZ4&lt;&gt;""),AND(HX4&gt;=II$42,HX4&lt;&gt;""),AND(IA4&gt;=II$42,IA4&lt;&gt;""),AND(IE4&gt;=II$42,IE4&lt;&gt;""),AND(IH4&gt;=II$42,IH4&lt;&gt;""),AND(JF4&gt;=JQ$42,JF4&lt;&gt;""),AND(JI4&gt;=JQ$42,JI4&lt;&gt;""),AND(JM4&gt;=JQ$42,JM4&lt;&gt;""),AND(JP4&gt;=JQ$42,JP4&lt;&gt;""),AND(KN4&gt;=KY$42,KN4&lt;&gt;""),AND(KQ4&gt;=KY$42,KQ4&lt;&gt;""),AND(KU4&gt;=KY$42,KU4&lt;&gt;""),AND(KX4&gt;=KY$42,KX4&lt;&gt;""),AND(LV4&gt;=MG$42,LV4&lt;&gt;""),AND(LY4&gt;=MG$42,LY4&lt;&gt;""),AND(MC4&gt;=MG$42,MC4&lt;&gt;""),AND(MF4&gt;=MG$42,MF4&lt;&gt;""),AND(ND4&gt;=NO$42,ND4&lt;&gt;""),AND(NG4&gt;=NO$42,NG4&lt;&gt;""),AND(NK4&gt;=NO$42,NK4&lt;&gt;""),AND(NN4&gt;=NO$42,NN4&lt;&gt;""),AND(OL4&gt;=OW$42,OL4&lt;&gt;""),AND(OO4&gt;=OW$42,OO4&lt;&gt;""),AND(OS4&gt;=OW$42,OS4&lt;&gt;""),AND(OV4&gt;=OW$42,OV4&lt;&gt;""),AND(PT4&gt;=QE$42,PT4&lt;&gt;""),AND(PW4&gt;=QE$42,PW4&lt;&gt;""),AND(QA4&gt;=QE$42,QA4&lt;&gt;""),AND(QD4&gt;=QE$42,QD4&lt;&gt;""),AND(RB4&gt;=RM$42,RB4&lt;&gt;""),AND(RE4&gt;=RM$42,RE4&lt;&gt;""),AND(RI4&gt;=RM$42,RI4&lt;&gt;""),AND(RL4&gt;=RM$42,RL4&lt;&gt;""),AND(SJ4&gt;=SU$42,SJ4&lt;&gt;""),AND(SM4&gt;=SU$42,SM4&lt;&gt;""),AND(SQ4&gt;=SU$42,SQ4&lt;&gt;""),AND(ST4&gt;=SU$42,ST4&lt;&gt;"")),"P","")</f>
        <v>P</v>
      </c>
      <c r="J4" s="36" t="str">
        <f t="shared" ref="J4:J35" si="3">IF(AND(I4="P",H4=""),"No DD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Merit",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Excellence",IF(K4="P","Worlds Team",IF(H4="P","National Team","")))))</f>
        <v>National Team</v>
      </c>
      <c r="K4" s="3" t="str">
        <f t="shared" ref="K4:K35" si="4"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/>
      </c>
      <c r="L4" s="8">
        <f>IF(COUNT(AQ4,AT4,BR4,BU4,CS4,CV4)&gt;0,LARGE((AQ4,AT4,BR4,BU4,CS4,CV4),1),0)</f>
        <v>53.07</v>
      </c>
      <c r="M4" s="8" t="str">
        <f t="shared" ref="M4:M35" si="5">IF(L4="","",IF(OR(L4=CS4,L4=CV4),$CA$1,IF(OR(L4=BR4,L4=BU4),$AZ$1,IF(OR(L4=AQ4,L4=AT4),$Y$1,""))))</f>
        <v>2024 Nationals</v>
      </c>
      <c r="N4" s="8">
        <f>IF(COUNT(AQ4,AT4,BR4,BU4,CS4,CV4)&gt;1,LARGE((AQ4,AT4,BR4,BU4,CS4,CV4),2),0)</f>
        <v>52.29</v>
      </c>
      <c r="O4" s="8" t="str">
        <f t="shared" ref="O4:O35" si="6">IF(N4="","",IF(OR(N4=CS4,N4=CV4),$CA$1,IF(OR(N4=BR4,N4=BU4),$AZ$1,IF(OR(N4=AQ4,N4=AT4),$Y$1,""))))</f>
        <v>2024 Nationals</v>
      </c>
      <c r="P4" s="8">
        <f>IF(COUNT(AQ4,AT4,BR4,BU4,CS4,CV4)&gt;2,MAX(AX4,BY4,CZ4,LARGE((AQ4,AT4,BR4,BU4,CS4,CV4),3)),IF(MAX(AX4,BY4,CZ4)&gt;0,MAX(AX4,BY4,CZ4),0))</f>
        <v>51.150000000000006</v>
      </c>
      <c r="Q4" s="8" t="str">
        <f t="shared" ref="Q4:Q35" si="7">IF(P4="","",IF(P4=CZ4,$CA$1,IF(P4=BY4,$AZ$1,IF(P4=AX4,$Y$1,IF(OR(P4=CS4,P4=CV4,P4=CZ4),$CA$1,IF(OR(P4=BR4,P4=BU4,P4=BY4),$AZ$1,IF(OR(P4=AQ4,P4=AT4,P4=AX4),$Y$1,"")))))))</f>
        <v>2025 Elite Canada</v>
      </c>
      <c r="R4" s="8">
        <f t="shared" ref="R4:R35" si="8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14.3</v>
      </c>
      <c r="S4" s="8" t="str">
        <f t="shared" ref="S4:S35" si="9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2025 Elite Canada</v>
      </c>
      <c r="T4" s="8">
        <f t="shared" ref="T4:T35" si="10">IF(MAX(IF(AO4&gt;=$AY$38,AP4,0),IF(AR4&gt;=$AY$38,AS4,0),IF(AV4&gt;=$AY$38,AW4,0),IF(BP4&gt;=$BZ$38,BQ4,0),IF(BS4&gt;=$BZ$38,BT4,0),IF(BW4&gt;=$BZ$38,BX4,0),IF(CQ4&gt;=$DA$38,CR4,0),IF(CT4&gt;=$DA$38,CU4,0),IF(CX4&gt;=$DA$38,CY4,0),IF(DX4&gt;=$EK$38,DY4,0),IF(EA4&gt;=$EK$38,EB4,0),IF(EE4&gt;=$EK$38,EF4,0),IF(EH4&gt;=$EK$38,EI4,0),IF(FF4&gt;=$FS$38,FG4,0),IF(FI4&gt;=$FS$38,FJ4,0),IF(FM4&gt;=$FS$38,FN4,0),IF(FP4&gt;=$FS$38,FQ4,0),IF(GN4&gt;=$HA$38,GO4,0),IF(GQ4&gt;=$HA$38,GR4,0),IF(GU4&gt;=$HA$38,GV4,0),IF(GX4&gt;=$HA$38,GY4,0),IF(HV4&gt;=$II$38,HW4,0),IF(HY4&gt;=$II$38,HZ4,0),IF(IC4&gt;=$II$38,ID4,0),IF(IF4&gt;=$II$38,IG4,0),IF(JD4&gt;=$JQ$38,JE4,0),IF(JG4&gt;=$JQ$38,JH4,0),IF(JK4&gt;=$JQ$38,JL4,0),IF(JN4&gt;=$JQ$38,JO4,0),IF(KL4&gt;=$KY$38,KM4,0),IF(KO4&gt;=$KY$38,KP4,0),IF(KS4&gt;=$KY$38,KT4,0),IF(KV4&gt;=$KY$38,KW4,0),IF(LT4&gt;=$MG$38,LU4,0),IF(LW4&gt;=$MG$38,LX4,0),IF(MA4&gt;=$MG$38,MB4,0),IF(MD4&gt;=$MG$38,ME4,0),IF(NB4&gt;=$NO$38,NC4,0),IF(NE4&gt;=$NO$38,NF4,0),IF(NI4&gt;=$NO$38,NJ4,0),IF(NL4&gt;=$NO$38,NM4,0),IF(OJ4&gt;=$OW$38,OK4,0),IF(OM4&gt;=$OW$38,ON4,0),IF(OQ4&gt;=$OW$38,OR4,0),IF(OT4&gt;=$OW$38,OU4,0),IF(PR4&gt;=$QE$38,PS4,0),IF(PU4&gt;=$QE$38,PV4,0),IF(PY4&gt;=$QE$38,PZ4,0),IF(QB4&gt;=$QE$38,QC4,0),IF(QZ4&gt;=$RM$38,RA4,0),IF(RC4&gt;=$RM$38,RD4,0),IF(RG4&gt;=$RM$38,RH4,0),IF(RJ4&gt;=$RM$38,RK4,0),IF(SH4&gt;=$SU$38,SI4,0),IF(SK4&gt;=$SU$38,SL4,0),IF(SO4&gt;=$SU$38,SP4,0),IF(SR4&gt;=$SU$38,SS4,0))&gt;0,MAX(IF(AO4&gt;=$AY$38,AP4,0),IF(AR4&gt;=$AY$38,AS4,0),IF(AV4&gt;=$AY$38,AW4,0),IF(BP4&gt;=$BZ$38,BQ4,0),IF(BS4&gt;=$BZ$38,BT4,0),IF(BW4&gt;=$BZ$38,BX4,0),IF(CQ4&gt;=$DA$38,CR4,0),IF(CT4&gt;=$DA$38,CU4,0),IF(CX4&gt;=$DA$38,CY4,0),IF(DX4&gt;=$EK$38,DY4,0),IF(EA4&gt;=$EK$38,EB4,0),IF(EE4&gt;=$EK$38,EF4,0),IF(EH4&gt;=$EK$38,EI4,0),IF(FF4&gt;=$FS$38,FG4,0),IF(FI4&gt;=$FS$38,FJ4,0),IF(FM4&gt;=$FS$38,FN4,0),IF(FP4&gt;=$FS$38,FQ4,0),IF(GN4&gt;=$HA$38,GO4,0),IF(GQ4&gt;=$HA$38,GR4,0),IF(GU4&gt;=$HA$38,GV4,0),IF(GX4&gt;=$HA$38,GY4,0),IF(HV4&gt;=$II$38,HW4,0),IF(HY4&gt;=$II$38,HZ4,0),IF(IC4&gt;=$II$38,ID4,0),IF(IF4&gt;=$II$38,IG4,0),IF(JD4&gt;=$JQ$38,JE4,0),IF(JG4&gt;=$JQ$38,JH4,0),IF(JK4&gt;=$JQ$38,JL4,0),IF(JN4&gt;=$JQ$38,JO4,0),IF(KL4&gt;=$KY$38,KM4,0),IF(KO4&gt;=$KY$38,KP4,0),IF(KS4&gt;=$KY$38,KT4,0),IF(KV4&gt;=$KY$38,KW4,0),IF(LT4&gt;=$MG$38,LU4,0),IF(LW4&gt;=$MG$38,LX4,0),IF(MA4&gt;=$MG$38,MB4,0),IF(MD4&gt;=$MG$38,ME4,0),IF(NB4&gt;=$NO$38,NC4,0),IF(NE4&gt;=$NO$38,NF4,0),IF(NI4&gt;=$NO$38,NJ4,0),IF(NL4&gt;=$NO$38,NM4,0),IF(OJ4&gt;=$OW$38,OK4,0),IF(OM4&gt;=$OW$38,ON4,0),IF(OQ4&gt;=$OW$38,OR4,0),IF(OT4&gt;=$OW$38,OU4,0),IF(PR4&gt;=$QE$38,PS4,0),IF(PU4&gt;=$QE$38,PV4,0),IF(PY4&gt;=$QE$38,PZ4,0),IF(QB4&gt;=$QE$38,QC4,0),IF(QZ4&gt;=$RM$38,RA4,0),IF(RC4&gt;=$RM$38,RD4,0),IF(RG4&gt;=$RM$38,RH4,0),IF(RJ4&gt;=$RM$38,RK4,0),IF(SH4&gt;=$SU$38,SI4,0),IF(SK4&gt;=$SU$38,SL4,0),IF(SO4&gt;=$SU$38,SP4,0),IF(SR4&gt;=$SU$38,SS4,0)),0)</f>
        <v>15.47</v>
      </c>
      <c r="U4" s="8" t="str">
        <f t="shared" ref="U4:U35" si="11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POR (July 7)</v>
      </c>
      <c r="V4" s="8">
        <f t="shared" ref="V4:V35" si="12">IF(MAX(DB4,DC4)&gt;0,MAX(DB4,DC4),"")</f>
        <v>2.5600000000000023</v>
      </c>
      <c r="W4" s="11" t="str">
        <f t="shared" ref="W4:W35" si="13">IF(V4="","",IF(V4=DB4,"("&amp;DB$2&amp;")",IF(V4=DC4,"("&amp;DC$2&amp;")")))</f>
        <v>(Final)</v>
      </c>
      <c r="X4" s="8" t="str">
        <f t="shared" ref="X4:X35" si="14"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2024 World Cup POR (July 7)</v>
      </c>
      <c r="Y4" s="22">
        <v>14.7</v>
      </c>
      <c r="Z4" s="22">
        <v>9</v>
      </c>
      <c r="AA4" s="22">
        <v>13.8</v>
      </c>
      <c r="AB4" s="22">
        <v>14.79</v>
      </c>
      <c r="AC4" s="22">
        <v>0</v>
      </c>
      <c r="AD4" s="22">
        <v>15</v>
      </c>
      <c r="AE4" s="22">
        <v>9.4</v>
      </c>
      <c r="AF4" s="22">
        <v>13.8</v>
      </c>
      <c r="AG4" s="22">
        <v>14.87</v>
      </c>
      <c r="AH4" s="22">
        <v>0</v>
      </c>
      <c r="AI4" s="22">
        <v>7.1</v>
      </c>
      <c r="AJ4" s="22">
        <v>4.7</v>
      </c>
      <c r="AK4" s="22">
        <v>7.2</v>
      </c>
      <c r="AL4" s="22">
        <v>7.7</v>
      </c>
      <c r="AM4" s="22">
        <v>0</v>
      </c>
      <c r="AN4" s="27"/>
      <c r="AO4" s="38">
        <f t="shared" ref="AO4:AO35" si="15">IF(AA4&gt;0,AA4,"")</f>
        <v>13.8</v>
      </c>
      <c r="AP4" s="38">
        <f t="shared" ref="AP4:AP35" si="16">IF(AB4&gt;0,AB4,"")</f>
        <v>14.79</v>
      </c>
      <c r="AQ4" s="40">
        <f t="shared" ref="AQ4:AQ35" si="17">IF(SUM(Y4:AB4)-AC4&gt;0,SUM(Y4:AB4)-AC4,"")</f>
        <v>52.29</v>
      </c>
      <c r="AR4" s="40">
        <f t="shared" ref="AR4:AR35" si="18">IF(AF4&gt;0,AF4,"")</f>
        <v>13.8</v>
      </c>
      <c r="AS4" s="40">
        <f t="shared" ref="AS4:AS35" si="19">IF(AG4&gt;0,AG4,"")</f>
        <v>14.87</v>
      </c>
      <c r="AT4" s="40">
        <f t="shared" ref="AT4:AT35" si="20">IF(SUM(AD4:AG4)-AH4&gt;0,SUM(AD4:AG4)-AH4,"")</f>
        <v>53.07</v>
      </c>
      <c r="AU4" s="40">
        <f t="shared" ref="AU4:AU35" si="21">IF(AQ4="","",MAX(AQ4,AT4))</f>
        <v>53.07</v>
      </c>
      <c r="AV4" s="40">
        <f t="shared" ref="AV4:AV35" si="22">IF(AK4&gt;0,AK4,"")</f>
        <v>7.2</v>
      </c>
      <c r="AW4" s="40">
        <f t="shared" ref="AW4:AW35" si="23">IF(AL4&gt;0,AL4,"")</f>
        <v>7.7</v>
      </c>
      <c r="AX4" s="40">
        <f t="shared" ref="AX4:AX35" si="24">IF(SUM(AI4:AL4)-AM4&gt;0,SUM(AI4:AL4)-AM4,"")</f>
        <v>26.7</v>
      </c>
      <c r="AY4" s="40">
        <f t="shared" ref="AY4:AY35" si="25">IF(SUM(AU4,AX4)&gt;0,SUM(AU4,AX4),"")</f>
        <v>79.77</v>
      </c>
      <c r="AZ4" s="26">
        <v>9.3999999999999986</v>
      </c>
      <c r="BA4" s="26">
        <v>5.75</v>
      </c>
      <c r="BB4" s="26">
        <v>9.25</v>
      </c>
      <c r="BC4" s="26">
        <v>9.6649999999999991</v>
      </c>
      <c r="BD4" s="26">
        <v>0</v>
      </c>
      <c r="BE4" s="26">
        <v>12.45</v>
      </c>
      <c r="BF4" s="26">
        <v>9.3000000000000007</v>
      </c>
      <c r="BG4" s="26">
        <v>13.3</v>
      </c>
      <c r="BH4" s="26">
        <v>14.62</v>
      </c>
      <c r="BI4" s="26">
        <v>0</v>
      </c>
      <c r="BJ4" s="26">
        <v>10.5</v>
      </c>
      <c r="BK4" s="26">
        <v>6.85</v>
      </c>
      <c r="BL4" s="26">
        <v>10.6</v>
      </c>
      <c r="BM4" s="26">
        <v>11.315</v>
      </c>
      <c r="BN4" s="26">
        <v>0</v>
      </c>
      <c r="BO4" s="28" t="s">
        <v>46</v>
      </c>
      <c r="BP4" s="39">
        <f t="shared" ref="BP4:BP35" si="26">IF(BB4&gt;0,BB4,"")</f>
        <v>9.25</v>
      </c>
      <c r="BQ4" s="39">
        <f t="shared" ref="BQ4:BQ35" si="27">IF(BC4&gt;0,BC4,"")</f>
        <v>9.6649999999999991</v>
      </c>
      <c r="BR4" s="11">
        <f t="shared" ref="BR4:BR35" si="28">IF(SUM(AZ4:BC4)-BD4&gt;0,SUM(AZ4:BC4)-BD4,"")</f>
        <v>34.064999999999998</v>
      </c>
      <c r="BS4" s="11">
        <f t="shared" ref="BS4:BS35" si="29">IF(BG4&gt;0,BG4,"")</f>
        <v>13.3</v>
      </c>
      <c r="BT4" s="11">
        <f t="shared" ref="BT4:BT35" si="30">IF(BH4&gt;0,BH4,"")</f>
        <v>14.62</v>
      </c>
      <c r="BU4" s="11">
        <f t="shared" ref="BU4:BU35" si="31">IF(SUM(BE4:BH4)-BI4&gt;0,SUM(BE4:BH4)-BI4,"")</f>
        <v>49.669999999999995</v>
      </c>
      <c r="BV4" s="11">
        <f t="shared" ref="BV4:BV35" si="32">IF(BR4="","",MAX(BR4,BU4))</f>
        <v>49.669999999999995</v>
      </c>
      <c r="BW4" s="11">
        <f t="shared" ref="BW4:BW35" si="33">IF(BL4&gt;0,BL4,"")</f>
        <v>10.6</v>
      </c>
      <c r="BX4" s="11">
        <f t="shared" ref="BX4:BX35" si="34">IF(BM4&gt;0,BM4,"")</f>
        <v>11.315</v>
      </c>
      <c r="BY4" s="11">
        <f t="shared" ref="BY4:BY35" si="35">IF(SUM(BJ4:BM4)-BN4&gt;0,SUM(BJ4:BM4)-BN4,"")</f>
        <v>39.265000000000001</v>
      </c>
      <c r="BZ4" s="11">
        <f t="shared" ref="BZ4:BZ35" si="36">IF(SUM(BV4,BY4)&gt;0,SUM(BV4,BY4),"")</f>
        <v>88.935000000000002</v>
      </c>
      <c r="CA4" s="22">
        <v>14</v>
      </c>
      <c r="CB4" s="22">
        <v>8.6999999999999993</v>
      </c>
      <c r="CC4" s="22">
        <v>13.9</v>
      </c>
      <c r="CD4" s="22">
        <v>14.55</v>
      </c>
      <c r="CE4" s="22">
        <v>0</v>
      </c>
      <c r="CF4" s="22">
        <v>1.4</v>
      </c>
      <c r="CG4" s="22">
        <v>0.9</v>
      </c>
      <c r="CH4" s="22">
        <v>2</v>
      </c>
      <c r="CI4" s="22">
        <v>1.55</v>
      </c>
      <c r="CJ4" s="22">
        <v>0</v>
      </c>
      <c r="CK4" s="22">
        <v>12.5</v>
      </c>
      <c r="CL4" s="22">
        <v>9.3000000000000007</v>
      </c>
      <c r="CM4" s="22">
        <v>14.3</v>
      </c>
      <c r="CN4" s="22">
        <v>14.79</v>
      </c>
      <c r="CO4" s="22">
        <v>0</v>
      </c>
      <c r="CP4" s="27"/>
      <c r="CQ4" s="38">
        <f t="shared" ref="CQ4:CQ35" si="37">IF(CC4&gt;0,CC4,"")</f>
        <v>13.9</v>
      </c>
      <c r="CR4" s="38">
        <f t="shared" ref="CR4:CR35" si="38">IF(CD4&gt;0,CD4,"")</f>
        <v>14.55</v>
      </c>
      <c r="CS4" s="40">
        <f t="shared" ref="CS4:CS35" si="39">IF(SUM(CA4:CD4)-CE4&gt;0,SUM(CA4:CD4)-CE4,"")</f>
        <v>51.150000000000006</v>
      </c>
      <c r="CT4" s="40">
        <f t="shared" ref="CT4:CT35" si="40">IF(CH4&gt;0,CH4,"")</f>
        <v>2</v>
      </c>
      <c r="CU4" s="40">
        <f t="shared" ref="CU4:CU35" si="41">IF(CI4&gt;0,CI4,"")</f>
        <v>1.55</v>
      </c>
      <c r="CV4" s="40">
        <f t="shared" ref="CV4:CV35" si="42">IF(SUM(CF4:CI4)-CJ4&gt;0,SUM(CF4:CI4)-CJ4,"")</f>
        <v>5.85</v>
      </c>
      <c r="CW4" s="40">
        <f t="shared" ref="CW4:CW35" si="43">IF(CS4="","",MAX(CS4,CV4))</f>
        <v>51.150000000000006</v>
      </c>
      <c r="CX4" s="40">
        <f t="shared" ref="CX4:CX35" si="44">IF(CM4&gt;0,CM4,"")</f>
        <v>14.3</v>
      </c>
      <c r="CY4" s="40">
        <f t="shared" ref="CY4:CY35" si="45">IF(CN4&gt;0,CN4,"")</f>
        <v>14.79</v>
      </c>
      <c r="CZ4" s="40">
        <f t="shared" ref="CZ4:CZ35" si="46">IF(SUM(CK4:CN4)-CO4&gt;0,SUM(CK4:CN4)-CO4,"")</f>
        <v>50.89</v>
      </c>
      <c r="DA4" s="40">
        <f t="shared" ref="DA4:DA35" si="47">IF(SUM(CW4,CZ4)&gt;0,SUM(CW4,CZ4),"")</f>
        <v>102.04</v>
      </c>
      <c r="DB4" s="50">
        <f t="shared" ref="DB4:DB35" si="48"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2.019999999999996</v>
      </c>
      <c r="DC4" s="50">
        <f t="shared" ref="DC4:DC35" si="49">IF(MAX(EG4,EJ4,FO4,FR4,GW4,GZ4,IE4,IH4,JM4,JP4,KU4,KX4,MC4,MF4,NK4,NN4,OS4,OV4,QA4,QD4,RI4,RL4,SQ4,ST4)-IF(P4="",0,P4)&gt;0.001,MAX(EG4,EJ4,FO4,FR4,GW4,GZ4,IE4,IH4,JM4,JP4,KU4,KX4,MC4,MF4,NK4,NN4,OS4,OV4,QA4,QD4,RI4,RL4,SQ4,ST4)-IF(P4="",0,P4),"")</f>
        <v>2.5600000000000023</v>
      </c>
      <c r="DD4" s="17">
        <v>13.2</v>
      </c>
      <c r="DE4" s="17">
        <v>9.1999999999999993</v>
      </c>
      <c r="DF4" s="17">
        <v>13.8</v>
      </c>
      <c r="DG4" s="17">
        <v>14.65</v>
      </c>
      <c r="DH4" s="17">
        <v>0</v>
      </c>
      <c r="DI4" s="17">
        <v>13.4</v>
      </c>
      <c r="DJ4" s="17">
        <v>9.1999999999999993</v>
      </c>
      <c r="DK4" s="17">
        <v>13.8</v>
      </c>
      <c r="DL4" s="17">
        <v>14.65</v>
      </c>
      <c r="DM4" s="17">
        <v>0</v>
      </c>
      <c r="DN4" s="17">
        <v>13.7</v>
      </c>
      <c r="DO4" s="17">
        <v>9.1</v>
      </c>
      <c r="DP4" s="17">
        <v>12.8</v>
      </c>
      <c r="DQ4" s="17">
        <v>14.77</v>
      </c>
      <c r="DR4" s="17">
        <v>0</v>
      </c>
      <c r="DS4" s="17">
        <v>13.4</v>
      </c>
      <c r="DT4" s="17">
        <v>9.3000000000000007</v>
      </c>
      <c r="DU4" s="17">
        <v>13.8</v>
      </c>
      <c r="DV4" s="17">
        <v>14.69</v>
      </c>
      <c r="DW4" s="17">
        <v>0</v>
      </c>
      <c r="DX4" s="40">
        <f t="shared" ref="DX4:DX35" si="50">IF(DF4&gt;0,DF4,"")</f>
        <v>13.8</v>
      </c>
      <c r="DY4" s="40">
        <f t="shared" ref="DY4:DY35" si="51">IF(DG4&gt;0,DG4,"")</f>
        <v>14.65</v>
      </c>
      <c r="DZ4" s="40">
        <f t="shared" ref="DZ4:DZ35" si="52">IF(SUM(DD4:DG4)-DH4&gt;0,SUM(DD4:DG4)-DH4,"")</f>
        <v>50.85</v>
      </c>
      <c r="EA4" s="40">
        <f t="shared" ref="EA4:EA35" si="53">IF(DK4&gt;0,DK4,"")</f>
        <v>13.8</v>
      </c>
      <c r="EB4" s="40">
        <f t="shared" ref="EB4:EB35" si="54">IF(DL4&gt;0,DL4,"")</f>
        <v>14.65</v>
      </c>
      <c r="EC4" s="40">
        <f t="shared" ref="EC4:EC35" si="55">IF(SUM(DI4:DL4)-DM4&gt;0,SUM(DI4:DL4)-DM4,"")</f>
        <v>51.050000000000004</v>
      </c>
      <c r="ED4" s="40">
        <f t="shared" ref="ED4:ED35" si="56">IF(MAX(DZ4,EC4)&gt;0,MAX(DZ4,EC4),"")</f>
        <v>51.050000000000004</v>
      </c>
      <c r="EE4" s="40">
        <f t="shared" ref="EE4:EE35" si="57">IF(DP4&gt;0,DP4,"")</f>
        <v>12.8</v>
      </c>
      <c r="EF4" s="40">
        <f t="shared" ref="EF4:EF35" si="58">IF(DQ4&gt;0,DQ4,"")</f>
        <v>14.77</v>
      </c>
      <c r="EG4" s="40">
        <f t="shared" ref="EG4:EG35" si="59">IF(SUM(DN4:DQ4)-DR4&gt;0,SUM(DN4:DQ4)-DR4,"")</f>
        <v>50.36999999999999</v>
      </c>
      <c r="EH4" s="40">
        <f t="shared" ref="EH4:EH35" si="60">IF(DU4&gt;0,DU4,"")</f>
        <v>13.8</v>
      </c>
      <c r="EI4" s="40">
        <f t="shared" ref="EI4:EI35" si="61">IF(DV4&gt;0,DV4,"")</f>
        <v>14.69</v>
      </c>
      <c r="EJ4" s="40">
        <f t="shared" ref="EJ4:EJ35" si="62">IF(SUM(DS4:DV4)-DW4&gt;0,SUM(DS4:DV4)-DW4,"")</f>
        <v>51.19</v>
      </c>
      <c r="EK4" s="40">
        <f t="shared" ref="EK4:EK35" si="63">IF(SUM(ED4,EG4,EJ4)&gt;0,SUM(ED4,EG4,EJ4),"")</f>
        <v>152.60999999999999</v>
      </c>
      <c r="EL4" s="18">
        <v>1.4</v>
      </c>
      <c r="EM4" s="18">
        <v>0.8</v>
      </c>
      <c r="EN4" s="18">
        <v>2</v>
      </c>
      <c r="EO4" s="18">
        <v>1.58</v>
      </c>
      <c r="EP4" s="18">
        <v>0</v>
      </c>
      <c r="EQ4" s="18">
        <v>13.9</v>
      </c>
      <c r="ER4" s="18">
        <v>9.1999999999999993</v>
      </c>
      <c r="ES4" s="18">
        <v>13.8</v>
      </c>
      <c r="ET4" s="18">
        <v>14.68</v>
      </c>
      <c r="EU4" s="18">
        <v>0</v>
      </c>
      <c r="EV4" s="18"/>
      <c r="EW4" s="18"/>
      <c r="EX4" s="18"/>
      <c r="EY4" s="18"/>
      <c r="EZ4" s="18"/>
      <c r="FA4" s="18">
        <v>6.5</v>
      </c>
      <c r="FB4" s="18">
        <v>4.5999999999999996</v>
      </c>
      <c r="FC4" s="18">
        <v>7.4</v>
      </c>
      <c r="FD4" s="18">
        <v>7.61</v>
      </c>
      <c r="FE4" s="18">
        <v>0</v>
      </c>
      <c r="FF4" s="11">
        <f t="shared" ref="FF4:FF35" si="64">IF(EN4&gt;0,EN4,"")</f>
        <v>2</v>
      </c>
      <c r="FG4" s="11">
        <f t="shared" ref="FG4:FG35" si="65">IF(EO4&gt;0,EO4,"")</f>
        <v>1.58</v>
      </c>
      <c r="FH4" s="11">
        <f t="shared" ref="FH4:FH35" si="66">IF(SUM(EL4:EO4)-EP4&gt;0,SUM(EL4:EO4)-EP4,"")</f>
        <v>5.78</v>
      </c>
      <c r="FI4" s="11">
        <f t="shared" ref="FI4:FI35" si="67">IF(ES4&gt;0,ES4,"")</f>
        <v>13.8</v>
      </c>
      <c r="FJ4" s="11">
        <f t="shared" ref="FJ4:FJ35" si="68">IF(ET4&gt;0,ET4,"")</f>
        <v>14.68</v>
      </c>
      <c r="FK4" s="11">
        <f t="shared" ref="FK4:FK35" si="69">IF(SUM(EQ4:ET4)-EU4&gt;0,SUM(EQ4:ET4)-EU4,"")</f>
        <v>51.580000000000005</v>
      </c>
      <c r="FL4" s="11">
        <f t="shared" ref="FL4:FL35" si="70">IF(MAX(FH4,FK4)&gt;0,MAX(FH4,FK4),"")</f>
        <v>51.580000000000005</v>
      </c>
      <c r="FM4" s="11" t="str">
        <f t="shared" ref="FM4:FM35" si="71">IF(EX4&gt;0,EX4,"")</f>
        <v/>
      </c>
      <c r="FN4" s="11" t="str">
        <f t="shared" ref="FN4:FN35" si="72">IF(EY4&gt;0,EY4,"")</f>
        <v/>
      </c>
      <c r="FO4" s="11" t="str">
        <f t="shared" ref="FO4:FO35" si="73">IF(SUM(EV4:EY4)-EZ4&gt;0,SUM(EV4:EY4)-EZ4,"")</f>
        <v/>
      </c>
      <c r="FP4" s="11">
        <f t="shared" ref="FP4:FP35" si="74">IF(FC4&gt;0,FC4,"")</f>
        <v>7.4</v>
      </c>
      <c r="FQ4" s="11">
        <f t="shared" ref="FQ4:FQ35" si="75">IF(FD4&gt;0,FD4,"")</f>
        <v>7.61</v>
      </c>
      <c r="FR4" s="11">
        <f t="shared" ref="FR4:FR35" si="76">IF(SUM(FA4:FD4)-FE4&gt;0,SUM(FA4:FD4)-FE4,"")</f>
        <v>26.11</v>
      </c>
      <c r="FS4" s="11">
        <f t="shared" ref="FS4:FS35" si="77">IF(SUM(FL4,FO4,FR4)&gt;0,SUM(FL4,FO4,FR4),"")</f>
        <v>77.69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35" si="78">IF(FV4&gt;0,FV4,"")</f>
        <v/>
      </c>
      <c r="GO4" s="40" t="str">
        <f t="shared" ref="GO4:GO35" si="79">IF(FW4&gt;0,FW4,"")</f>
        <v/>
      </c>
      <c r="GP4" s="40" t="str">
        <f t="shared" ref="GP4:GP35" si="80">IF(SUM(FT4:FW4)-FX4&gt;0,SUM(FT4:FW4)-FX4,"")</f>
        <v/>
      </c>
      <c r="GQ4" s="40" t="str">
        <f t="shared" ref="GQ4:GQ35" si="81">IF(GA4&gt;0,GA4,"")</f>
        <v/>
      </c>
      <c r="GR4" s="40" t="str">
        <f t="shared" ref="GR4:GR35" si="82">IF(GB4&gt;0,GB4,"")</f>
        <v/>
      </c>
      <c r="GS4" s="40" t="str">
        <f t="shared" ref="GS4:GS35" si="83">IF(SUM(FY4:GB4)-GC4&gt;0,SUM(FY4:GB4)-GC4,"")</f>
        <v/>
      </c>
      <c r="GT4" s="40" t="str">
        <f t="shared" ref="GT4:GT35" si="84">IF(MAX(GP4,GS4)&gt;0,MAX(GP4,GS4),"")</f>
        <v/>
      </c>
      <c r="GU4" s="40" t="str">
        <f t="shared" ref="GU4:GU35" si="85">IF(GF4&gt;0,GF4,"")</f>
        <v/>
      </c>
      <c r="GV4" s="40" t="str">
        <f t="shared" ref="GV4:GV35" si="86">IF(GG4&gt;0,GG4,"")</f>
        <v/>
      </c>
      <c r="GW4" s="40" t="str">
        <f t="shared" ref="GW4:GW35" si="87">IF(SUM(GD4:GG4)-GH4&gt;0,SUM(GD4:GG4)-GH4,"")</f>
        <v/>
      </c>
      <c r="GX4" s="40" t="str">
        <f t="shared" ref="GX4:GX35" si="88">IF(GK4&gt;0,GK4,"")</f>
        <v/>
      </c>
      <c r="GY4" s="40" t="str">
        <f t="shared" ref="GY4:GY35" si="89">IF(GL4&gt;0,GL4,"")</f>
        <v/>
      </c>
      <c r="GZ4" s="40" t="str">
        <f t="shared" ref="GZ4:GZ35" si="90">IF(SUM(GI4:GL4)-GM4&gt;0,SUM(GI4:GL4)-GM4,"")</f>
        <v/>
      </c>
      <c r="HA4" s="40" t="str">
        <f t="shared" ref="HA4:HA35" si="91">IF(SUM(GT4,GW4,GZ4)&gt;0,SUM(GT4,GW4,GZ4),"")</f>
        <v/>
      </c>
      <c r="HB4" s="18">
        <v>14.3</v>
      </c>
      <c r="HC4" s="18">
        <v>9.6</v>
      </c>
      <c r="HD4" s="18">
        <v>13.8</v>
      </c>
      <c r="HE4" s="18">
        <v>15.47</v>
      </c>
      <c r="HF4" s="18">
        <v>0</v>
      </c>
      <c r="HG4" s="18">
        <v>14.1</v>
      </c>
      <c r="HH4" s="18">
        <v>9.5</v>
      </c>
      <c r="HI4" s="18">
        <v>13.8</v>
      </c>
      <c r="HJ4" s="18">
        <v>15.23</v>
      </c>
      <c r="HK4" s="18">
        <v>0</v>
      </c>
      <c r="HL4" s="18">
        <v>15.3</v>
      </c>
      <c r="HM4" s="18">
        <v>9.3000000000000007</v>
      </c>
      <c r="HN4" s="18">
        <v>13.8</v>
      </c>
      <c r="HO4" s="18">
        <v>15.31</v>
      </c>
      <c r="HP4" s="18">
        <v>0</v>
      </c>
      <c r="HQ4" s="18"/>
      <c r="HR4" s="18"/>
      <c r="HS4" s="18"/>
      <c r="HT4" s="18"/>
      <c r="HU4" s="18"/>
      <c r="HV4" s="11">
        <f t="shared" ref="HV4:HV35" si="92">IF(HD4&gt;0,HD4,"")</f>
        <v>13.8</v>
      </c>
      <c r="HW4" s="11">
        <f t="shared" ref="HW4:HW35" si="93">IF(HE4&gt;0,HE4,"")</f>
        <v>15.47</v>
      </c>
      <c r="HX4" s="11">
        <f t="shared" ref="HX4:HX35" si="94">IF(SUM(HB4:HE4)-HF4&gt;0,SUM(HB4:HE4)-HF4,"")</f>
        <v>53.17</v>
      </c>
      <c r="HY4" s="11">
        <f t="shared" ref="HY4:HY35" si="95">IF(HI4&gt;0,HI4,"")</f>
        <v>13.8</v>
      </c>
      <c r="HZ4" s="11">
        <f t="shared" ref="HZ4:HZ35" si="96">IF(HJ4&gt;0,HJ4,"")</f>
        <v>15.23</v>
      </c>
      <c r="IA4" s="11">
        <f t="shared" ref="IA4:IA35" si="97">IF(SUM(HG4:HJ4)-HK4&gt;0,SUM(HG4:HJ4)-HK4,"")</f>
        <v>52.63000000000001</v>
      </c>
      <c r="IB4" s="11">
        <f t="shared" ref="IB4:IB35" si="98">IF(MAX(HX4,IA4)&gt;0,MAX(HX4,IA4),"")</f>
        <v>53.17</v>
      </c>
      <c r="IC4" s="11">
        <f t="shared" ref="IC4:IC35" si="99">IF(HN4&gt;0,HN4,"")</f>
        <v>13.8</v>
      </c>
      <c r="ID4" s="11">
        <f t="shared" ref="ID4:ID35" si="100">IF(HO4&gt;0,HO4,"")</f>
        <v>15.31</v>
      </c>
      <c r="IE4" s="11">
        <f t="shared" ref="IE4:IE35" si="101">IF(SUM(HL4:HO4)-HP4&gt;0,SUM(HL4:HO4)-HP4,"")</f>
        <v>53.710000000000008</v>
      </c>
      <c r="IF4" s="11" t="str">
        <f t="shared" ref="IF4:IF35" si="102">IF(HS4&gt;0,HS4,"")</f>
        <v/>
      </c>
      <c r="IG4" s="11" t="str">
        <f t="shared" ref="IG4:IG35" si="103">IF(HT4&gt;0,HT4,"")</f>
        <v/>
      </c>
      <c r="IH4" s="11" t="str">
        <f t="shared" ref="IH4:IH35" si="104">IF(SUM(HQ4:HT4)-HU4&gt;0,SUM(HQ4:HT4)-HU4,"")</f>
        <v/>
      </c>
      <c r="II4" s="11">
        <f t="shared" ref="II4:II35" si="105">IF(SUM(IB4,IE4,IH4)&gt;0,SUM(IB4,IE4,IH4),"")</f>
        <v>106.88000000000001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35" si="106">IF(IL4&gt;0,IL4,"")</f>
        <v/>
      </c>
      <c r="JE4" s="40" t="str">
        <f t="shared" ref="JE4:JE35" si="107">IF(IM4&gt;0,IM4,"")</f>
        <v/>
      </c>
      <c r="JF4" s="40" t="str">
        <f t="shared" ref="JF4:JF35" si="108">IF(SUM(IJ4:IM4)-IN4&gt;0,SUM(IJ4:IM4)-IN4,"")</f>
        <v/>
      </c>
      <c r="JG4" s="40" t="str">
        <f t="shared" ref="JG4:JG35" si="109">IF(IQ4&gt;0,IQ4,"")</f>
        <v/>
      </c>
      <c r="JH4" s="40" t="str">
        <f t="shared" ref="JH4:JH35" si="110">IF(IR4&gt;0,IR4,"")</f>
        <v/>
      </c>
      <c r="JI4" s="40" t="str">
        <f t="shared" ref="JI4:JI35" si="111">IF(SUM(IO4:IR4)-IS4&gt;0,SUM(IO4:IR4)-IS4,"")</f>
        <v/>
      </c>
      <c r="JJ4" s="40" t="str">
        <f t="shared" ref="JJ4:JJ35" si="112">IF(MAX(JF4,JI4)&gt;0,MAX(JF4,JI4),"")</f>
        <v/>
      </c>
      <c r="JK4" s="40" t="str">
        <f t="shared" ref="JK4:JK35" si="113">IF(IV4&gt;0,IV4,"")</f>
        <v/>
      </c>
      <c r="JL4" s="40" t="str">
        <f t="shared" ref="JL4:JL35" si="114">IF(IW4&gt;0,IW4,"")</f>
        <v/>
      </c>
      <c r="JM4" s="40" t="str">
        <f t="shared" ref="JM4:JM35" si="115">IF(SUM(IT4:IW4)-IX4&gt;0,SUM(IT4:IW4)-IX4,"")</f>
        <v/>
      </c>
      <c r="JN4" s="40" t="str">
        <f t="shared" ref="JN4:JN35" si="116">IF(JA4&gt;0,JA4,"")</f>
        <v/>
      </c>
      <c r="JO4" s="40" t="str">
        <f t="shared" ref="JO4:JO35" si="117">IF(JB4&gt;0,JB4,"")</f>
        <v/>
      </c>
      <c r="JP4" s="40" t="str">
        <f t="shared" ref="JP4:JP35" si="118">IF(SUM(IY4:JB4)-JC4&gt;0,SUM(IY4:JB4)-JC4,"")</f>
        <v/>
      </c>
      <c r="JQ4" s="40" t="str">
        <f t="shared" ref="JQ4:JQ35" si="119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35" si="120">IF(JT4&gt;0,JT4,"")</f>
        <v/>
      </c>
      <c r="KM4" s="11" t="str">
        <f t="shared" ref="KM4:KM35" si="121">IF(JU4&gt;0,JU4,"")</f>
        <v/>
      </c>
      <c r="KN4" s="11" t="str">
        <f t="shared" ref="KN4:KN35" si="122">IF(SUM(JR4:JU4)-JV4&gt;0,SUM(JR4:JU4)-JV4,"")</f>
        <v/>
      </c>
      <c r="KO4" s="11" t="str">
        <f t="shared" ref="KO4:KO35" si="123">IF(JY4&gt;0,JY4,"")</f>
        <v/>
      </c>
      <c r="KP4" s="11" t="str">
        <f t="shared" ref="KP4:KP35" si="124">IF(JZ4&gt;0,JZ4,"")</f>
        <v/>
      </c>
      <c r="KQ4" s="11" t="str">
        <f t="shared" ref="KQ4:KQ35" si="125">IF(SUM(JW4:JZ4)-KA4&gt;0,SUM(JW4:JZ4)-KA4,"")</f>
        <v/>
      </c>
      <c r="KR4" s="11" t="str">
        <f t="shared" ref="KR4:KR35" si="126">IF(MAX(KN4,KQ4)&gt;0,MAX(KN4,KQ4),"")</f>
        <v/>
      </c>
      <c r="KS4" s="11" t="str">
        <f t="shared" ref="KS4:KS35" si="127">IF(KD4&gt;0,KD4,"")</f>
        <v/>
      </c>
      <c r="KT4" s="11" t="str">
        <f t="shared" ref="KT4:KT35" si="128">IF(KE4&gt;0,KE4,"")</f>
        <v/>
      </c>
      <c r="KU4" s="11" t="str">
        <f t="shared" ref="KU4:KU35" si="129">IF(SUM(KB4:KE4)-KF4&gt;0,SUM(KB4:KE4)-KF4,"")</f>
        <v/>
      </c>
      <c r="KV4" s="11" t="str">
        <f t="shared" ref="KV4:KV35" si="130">IF(KI4&gt;0,KI4,"")</f>
        <v/>
      </c>
      <c r="KW4" s="11" t="str">
        <f t="shared" ref="KW4:KW35" si="131">IF(KJ4&gt;0,KJ4,"")</f>
        <v/>
      </c>
      <c r="KX4" s="11" t="str">
        <f t="shared" ref="KX4:KX35" si="132">IF(SUM(KG4:KJ4)-KK4&gt;0,SUM(KG4:KJ4)-KK4,"")</f>
        <v/>
      </c>
      <c r="KY4" s="11" t="str">
        <f t="shared" ref="KY4:KY35" si="133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35" si="134">IF(LB4&gt;0,LB4,"")</f>
        <v/>
      </c>
      <c r="LU4" s="40" t="str">
        <f t="shared" ref="LU4:LU35" si="135">IF(LC4&gt;0,LC4,"")</f>
        <v/>
      </c>
      <c r="LV4" s="40" t="str">
        <f t="shared" ref="LV4:LV35" si="136">IF(SUM(KZ4:LC4)-LD4&gt;0,SUM(KZ4:LC4)-LD4,"")</f>
        <v/>
      </c>
      <c r="LW4" s="40" t="str">
        <f t="shared" ref="LW4:LW35" si="137">IF(LG4&gt;0,LG4,"")</f>
        <v/>
      </c>
      <c r="LX4" s="40" t="str">
        <f t="shared" ref="LX4:LX35" si="138">IF(LH4&gt;0,LH4,"")</f>
        <v/>
      </c>
      <c r="LY4" s="40" t="str">
        <f t="shared" ref="LY4:LY35" si="139">IF(SUM(LE4:LH4)-LI4&gt;0,SUM(LE4:LH4)-LI4,"")</f>
        <v/>
      </c>
      <c r="LZ4" s="40" t="str">
        <f t="shared" ref="LZ4:LZ35" si="140">IF(MAX(LV4,LY4)&gt;0,MAX(LV4,LY4),"")</f>
        <v/>
      </c>
      <c r="MA4" s="40" t="str">
        <f t="shared" ref="MA4:MA35" si="141">IF(LL4&gt;0,LL4,"")</f>
        <v/>
      </c>
      <c r="MB4" s="40" t="str">
        <f t="shared" ref="MB4:MB35" si="142">IF(LM4&gt;0,LM4,"")</f>
        <v/>
      </c>
      <c r="MC4" s="40" t="str">
        <f t="shared" ref="MC4:MC35" si="143">IF(SUM(LJ4:LM4)-LN4&gt;0,SUM(LJ4:LM4)-LN4,"")</f>
        <v/>
      </c>
      <c r="MD4" s="40" t="str">
        <f t="shared" ref="MD4:MD35" si="144">IF(LQ4&gt;0,LQ4,"")</f>
        <v/>
      </c>
      <c r="ME4" s="40" t="str">
        <f t="shared" ref="ME4:ME35" si="145">IF(LR4&gt;0,LR4,"")</f>
        <v/>
      </c>
      <c r="MF4" s="40" t="str">
        <f t="shared" ref="MF4:MF35" si="146">IF(SUM(LO4:LR4)-LS4&gt;0,SUM(LO4:LR4)-LS4,"")</f>
        <v/>
      </c>
      <c r="MG4" s="40" t="str">
        <f t="shared" ref="MG4:MG35" si="147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35" si="148">IF(MJ4&gt;0,MJ4,"")</f>
        <v/>
      </c>
      <c r="NC4" s="11" t="str">
        <f t="shared" ref="NC4:NC35" si="149">IF(MK4&gt;0,MK4,"")</f>
        <v/>
      </c>
      <c r="ND4" s="11" t="str">
        <f t="shared" ref="ND4:ND35" si="150">IF(SUM(MH4:MK4)-ML4&gt;0,SUM(MH4:MK4)-ML4,"")</f>
        <v/>
      </c>
      <c r="NE4" s="11" t="str">
        <f t="shared" ref="NE4:NE35" si="151">IF(MO4&gt;0,MO4,"")</f>
        <v/>
      </c>
      <c r="NF4" s="11" t="str">
        <f t="shared" ref="NF4:NF35" si="152">IF(MP4&gt;0,MP4,"")</f>
        <v/>
      </c>
      <c r="NG4" s="11" t="str">
        <f t="shared" ref="NG4:NG35" si="153">IF(SUM(MM4:MP4)-MQ4&gt;0,SUM(MM4:MP4)-MQ4,"")</f>
        <v/>
      </c>
      <c r="NH4" s="11" t="str">
        <f t="shared" ref="NH4:NH35" si="154">IF(MAX(ND4,NG4)&gt;0,MAX(ND4,NG4),"")</f>
        <v/>
      </c>
      <c r="NI4" s="11" t="str">
        <f t="shared" ref="NI4:NI35" si="155">IF(MT4&gt;0,MT4,"")</f>
        <v/>
      </c>
      <c r="NJ4" s="11" t="str">
        <f t="shared" ref="NJ4:NJ35" si="156">IF(MU4&gt;0,MU4,"")</f>
        <v/>
      </c>
      <c r="NK4" s="11" t="str">
        <f t="shared" ref="NK4:NK35" si="157">IF(SUM(MR4:MU4)-MV4&gt;0,SUM(MR4:MU4)-MV4,"")</f>
        <v/>
      </c>
      <c r="NL4" s="11" t="str">
        <f t="shared" ref="NL4:NL35" si="158">IF(MY4&gt;0,MY4,"")</f>
        <v/>
      </c>
      <c r="NM4" s="11" t="str">
        <f t="shared" ref="NM4:NM35" si="159">IF(MZ4&gt;0,MZ4,"")</f>
        <v/>
      </c>
      <c r="NN4" s="11" t="str">
        <f t="shared" ref="NN4:NN35" si="160">IF(SUM(MW4:MZ4)-NA4&gt;0,SUM(MW4:MZ4)-NA4,"")</f>
        <v/>
      </c>
      <c r="NO4" s="11" t="str">
        <f t="shared" ref="NO4:NO35" si="161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35" si="162">IF(NR4&gt;0,NR4,"")</f>
        <v/>
      </c>
      <c r="OK4" s="40" t="str">
        <f t="shared" ref="OK4:OK35" si="163">IF(NS4&gt;0,NS4,"")</f>
        <v/>
      </c>
      <c r="OL4" s="40" t="str">
        <f t="shared" ref="OL4:OL35" si="164">IF(SUM(NP4:NS4)-NT4&gt;0,SUM(NP4:NS4)-NT4,"")</f>
        <v/>
      </c>
      <c r="OM4" s="40" t="str">
        <f t="shared" ref="OM4:OM35" si="165">IF(NW4&gt;0,NW4,"")</f>
        <v/>
      </c>
      <c r="ON4" s="40" t="str">
        <f t="shared" ref="ON4:ON35" si="166">IF(NX4&gt;0,NX4,"")</f>
        <v/>
      </c>
      <c r="OO4" s="40" t="str">
        <f t="shared" ref="OO4:OO35" si="167">IF(SUM(NU4:NX4)-NY4&gt;0,SUM(NU4:NX4)-NY4,"")</f>
        <v/>
      </c>
      <c r="OP4" s="40" t="str">
        <f t="shared" ref="OP4:OP35" si="168">IF(MAX(OL4,OO4)&gt;0,MAX(OL4,OO4),"")</f>
        <v/>
      </c>
      <c r="OQ4" s="40" t="str">
        <f t="shared" ref="OQ4:OQ35" si="169">IF(OB4&gt;0,OB4,"")</f>
        <v/>
      </c>
      <c r="OR4" s="40" t="str">
        <f t="shared" ref="OR4:OR35" si="170">IF(OC4&gt;0,OC4,"")</f>
        <v/>
      </c>
      <c r="OS4" s="40" t="str">
        <f t="shared" ref="OS4:OS35" si="171">IF(SUM(NZ4:OC4)-OD4&gt;0,SUM(NZ4:OC4)-OD4,"")</f>
        <v/>
      </c>
      <c r="OT4" s="40" t="str">
        <f t="shared" ref="OT4:OT35" si="172">IF(OG4&gt;0,OG4,"")</f>
        <v/>
      </c>
      <c r="OU4" s="40" t="str">
        <f t="shared" ref="OU4:OU35" si="173">IF(OH4&gt;0,OH4,"")</f>
        <v/>
      </c>
      <c r="OV4" s="40" t="str">
        <f t="shared" ref="OV4:OV35" si="174">IF(SUM(OE4:OH4)-OI4&gt;0,SUM(OE4:OH4)-OI4,"")</f>
        <v/>
      </c>
      <c r="OW4" s="40" t="str">
        <f t="shared" ref="OW4:OW35" si="175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35" si="176">IF(OZ4&gt;0,OZ4,"")</f>
        <v/>
      </c>
      <c r="PS4" s="11" t="str">
        <f t="shared" ref="PS4:PS35" si="177">IF(PA4&gt;0,PA4,"")</f>
        <v/>
      </c>
      <c r="PT4" s="11" t="str">
        <f t="shared" ref="PT4:PT35" si="178">IF(SUM(OX4:PA4)-PB4&gt;0,SUM(OX4:PA4)-PB4,"")</f>
        <v/>
      </c>
      <c r="PU4" s="11" t="str">
        <f t="shared" ref="PU4:PU35" si="179">IF(PE4&gt;0,PE4,"")</f>
        <v/>
      </c>
      <c r="PV4" s="11" t="str">
        <f t="shared" ref="PV4:PV35" si="180">IF(PF4&gt;0,PF4,"")</f>
        <v/>
      </c>
      <c r="PW4" s="11" t="str">
        <f t="shared" ref="PW4:PW35" si="181">IF(SUM(PC4:PF4)-PG4&gt;0,SUM(PC4:PF4)-PG4,"")</f>
        <v/>
      </c>
      <c r="PX4" s="11" t="str">
        <f t="shared" ref="PX4:PX35" si="182">IF(MAX(PT4,PW4)&gt;0,MAX(PT4,PW4),"")</f>
        <v/>
      </c>
      <c r="PY4" s="11" t="str">
        <f t="shared" ref="PY4:PY35" si="183">IF(PJ4&gt;0,PJ4,"")</f>
        <v/>
      </c>
      <c r="PZ4" s="11" t="str">
        <f t="shared" ref="PZ4:PZ35" si="184">IF(PK4&gt;0,PK4,"")</f>
        <v/>
      </c>
      <c r="QA4" s="11" t="str">
        <f t="shared" ref="QA4:QA35" si="185">IF(SUM(PH4:PK4)-PL4&gt;0,SUM(PH4:PK4)-PL4,"")</f>
        <v/>
      </c>
      <c r="QB4" s="11" t="str">
        <f t="shared" ref="QB4:QB35" si="186">IF(PO4&gt;0,PO4,"")</f>
        <v/>
      </c>
      <c r="QC4" s="11" t="str">
        <f t="shared" ref="QC4:QC35" si="187">IF(PP4&gt;0,PP4,"")</f>
        <v/>
      </c>
      <c r="QD4" s="11" t="str">
        <f t="shared" ref="QD4:QD35" si="188">IF(SUM(PM4:PP4)-PQ4&gt;0,SUM(PM4:PP4)-PQ4,"")</f>
        <v/>
      </c>
      <c r="QE4" s="11" t="str">
        <f t="shared" ref="QE4:QE35" si="189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35" si="190">IF(QH4&gt;0,QH4,"")</f>
        <v/>
      </c>
      <c r="RA4" s="40" t="str">
        <f t="shared" ref="RA4:RA35" si="191">IF(QI4&gt;0,QI4,"")</f>
        <v/>
      </c>
      <c r="RB4" s="40" t="str">
        <f t="shared" ref="RB4:RB35" si="192">IF(SUM(QF4:QI4)-QJ4&gt;0,SUM(QF4:QI4)-QJ4,"")</f>
        <v/>
      </c>
      <c r="RC4" s="40" t="str">
        <f t="shared" ref="RC4:RC35" si="193">IF(QM4&gt;0,QM4,"")</f>
        <v/>
      </c>
      <c r="RD4" s="40" t="str">
        <f t="shared" ref="RD4:RD35" si="194">IF(QN4&gt;0,QN4,"")</f>
        <v/>
      </c>
      <c r="RE4" s="40" t="str">
        <f t="shared" ref="RE4:RE35" si="195">IF(SUM(QK4:QN4)-QO4&gt;0,SUM(QK4:QN4)-QO4,"")</f>
        <v/>
      </c>
      <c r="RF4" s="40" t="str">
        <f t="shared" ref="RF4:RF35" si="196">IF(MAX(RB4,RE4)&gt;0,MAX(RB4,RE4),"")</f>
        <v/>
      </c>
      <c r="RG4" s="40" t="str">
        <f t="shared" ref="RG4:RG35" si="197">IF(QR4&gt;0,QR4,"")</f>
        <v/>
      </c>
      <c r="RH4" s="40" t="str">
        <f t="shared" ref="RH4:RH35" si="198">IF(QS4&gt;0,QS4,"")</f>
        <v/>
      </c>
      <c r="RI4" s="40" t="str">
        <f t="shared" ref="RI4:RI35" si="199">IF(SUM(QP4:QS4)-QT4&gt;0,SUM(QP4:QS4)-QT4,"")</f>
        <v/>
      </c>
      <c r="RJ4" s="40" t="str">
        <f t="shared" ref="RJ4:RJ35" si="200">IF(QW4&gt;0,QW4,"")</f>
        <v/>
      </c>
      <c r="RK4" s="40" t="str">
        <f t="shared" ref="RK4:RK35" si="201">IF(QX4&gt;0,QX4,"")</f>
        <v/>
      </c>
      <c r="RL4" s="40" t="str">
        <f t="shared" ref="RL4:RL35" si="202">IF(SUM(QU4:QX4)-QY4&gt;0,SUM(QU4:QX4)-QY4,"")</f>
        <v/>
      </c>
      <c r="RM4" s="40" t="str">
        <f t="shared" ref="RM4:RM35" si="203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35" si="204">IF(RP4&gt;0,RP4,"")</f>
        <v/>
      </c>
      <c r="SI4" s="11" t="str">
        <f t="shared" ref="SI4:SI35" si="205">IF(RQ4&gt;0,RQ4,"")</f>
        <v/>
      </c>
      <c r="SJ4" s="11" t="str">
        <f t="shared" ref="SJ4:SJ35" si="206">IF(SUM(RN4:RQ4)-RR4&gt;0,SUM(RN4:RQ4)-RR4,"")</f>
        <v/>
      </c>
      <c r="SK4" s="11" t="str">
        <f t="shared" ref="SK4:SK35" si="207">IF(RU4&gt;0,RU4,"")</f>
        <v/>
      </c>
      <c r="SL4" s="11" t="str">
        <f t="shared" ref="SL4:SL35" si="208">IF(RV4&gt;0,RV4,"")</f>
        <v/>
      </c>
      <c r="SM4" s="11" t="str">
        <f t="shared" ref="SM4:SM35" si="209">IF(SUM(RS4:RV4)-RW4&gt;0,SUM(RS4:RV4)-RW4,"")</f>
        <v/>
      </c>
      <c r="SN4" s="11" t="str">
        <f t="shared" ref="SN4:SN35" si="210">IF(MAX(SJ4,SM4)&gt;0,MAX(SJ4,SM4),"")</f>
        <v/>
      </c>
      <c r="SO4" s="11" t="str">
        <f t="shared" ref="SO4:SO35" si="211">IF(RZ4&gt;0,RZ4,"")</f>
        <v/>
      </c>
      <c r="SP4" s="11" t="str">
        <f t="shared" ref="SP4:SP35" si="212">IF(SA4&gt;0,SA4,"")</f>
        <v/>
      </c>
      <c r="SQ4" s="11" t="str">
        <f t="shared" ref="SQ4:SQ35" si="213">IF(SUM(RX4:SA4)-SB4&gt;0,SUM(RX4:SA4)-SB4,"")</f>
        <v/>
      </c>
      <c r="SR4" s="11" t="str">
        <f t="shared" ref="SR4:SR35" si="214">IF(SE4&gt;0,SE4,"")</f>
        <v/>
      </c>
      <c r="SS4" s="11" t="str">
        <f t="shared" ref="SS4:SS35" si="215">IF(SF4&gt;0,SF4,"")</f>
        <v/>
      </c>
      <c r="ST4" s="11" t="str">
        <f t="shared" ref="ST4:ST35" si="216">IF(SUM(SC4:SF4)-SG4&gt;0,SUM(SC4:SF4)-SG4,"")</f>
        <v/>
      </c>
      <c r="SU4" s="11" t="str">
        <f t="shared" ref="SU4:SU35" si="217">IF(SUM(SN4,SQ4,ST4)&gt;0,SUM(SN4,SQ4,ST4),"")</f>
        <v/>
      </c>
      <c r="SV4" s="22">
        <f t="shared" ref="SV4:SV35" si="218">IF($CP4="P",CA4,(CA4+AZ4)/2)</f>
        <v>11.7</v>
      </c>
      <c r="SW4" s="22">
        <f t="shared" ref="SW4:SW35" si="219">IF($CP4="P",CB4,(CB4+BA4)/2)</f>
        <v>7.2249999999999996</v>
      </c>
      <c r="SX4" s="22">
        <f t="shared" ref="SX4:SX35" si="220">IF($CP4="P",CC4,(CC4+BB4)/2)</f>
        <v>11.574999999999999</v>
      </c>
      <c r="SY4" s="22">
        <f t="shared" ref="SY4:SY35" si="221">IF($CP4="P",CD4,(CD4+BC4)/2)</f>
        <v>12.1075</v>
      </c>
      <c r="SZ4" s="22">
        <f t="shared" ref="SZ4:SZ35" si="222">IF($CP4="P",CE4,(CE4+BD4)/2)</f>
        <v>0</v>
      </c>
      <c r="TA4" s="22">
        <f t="shared" ref="TA4:TA35" si="223">IF($CP4="P",CF4,(CF4+BE4)/2)</f>
        <v>6.9249999999999998</v>
      </c>
      <c r="TB4" s="22">
        <f t="shared" ref="TB4:TB35" si="224">IF($CP4="P",CG4,(CG4+BF4)/2)</f>
        <v>5.1000000000000005</v>
      </c>
      <c r="TC4" s="22">
        <f t="shared" ref="TC4:TC35" si="225">IF($CP4="P",CH4,(CH4+BG4)/2)</f>
        <v>7.65</v>
      </c>
      <c r="TD4" s="22">
        <f t="shared" ref="TD4:TD35" si="226">IF($CP4="P",CI4,(CI4+BH4)/2)</f>
        <v>8.0849999999999991</v>
      </c>
      <c r="TE4" s="22">
        <f t="shared" ref="TE4:TE35" si="227">IF($CP4="P",CJ4,(CJ4+BI4)/2)</f>
        <v>0</v>
      </c>
      <c r="TF4" s="22">
        <f t="shared" ref="TF4:TF35" si="228">IF($CP4="P",CK4,(CK4+BJ4)/2)</f>
        <v>11.5</v>
      </c>
      <c r="TG4" s="22">
        <f t="shared" ref="TG4:TG35" si="229">IF($CP4="P",CL4,(CL4+BK4)/2)</f>
        <v>8.0749999999999993</v>
      </c>
      <c r="TH4" s="22">
        <f t="shared" ref="TH4:TH35" si="230">IF($CP4="P",CM4,(CM4+BL4)/2)</f>
        <v>12.45</v>
      </c>
      <c r="TI4" s="22">
        <f t="shared" ref="TI4:TI35" si="231">IF($CP4="P",CN4,(CN4+BM4)/2)</f>
        <v>13.052499999999998</v>
      </c>
      <c r="TJ4" s="22">
        <f t="shared" ref="TJ4:TJ35" si="232">IF($CP4="P",CO4,(CO4+BN4)/2)</f>
        <v>0</v>
      </c>
      <c r="TK4" s="27" t="s">
        <v>46</v>
      </c>
      <c r="TL4" s="40">
        <f t="shared" ref="TL4:TL35" si="233">IF(SX4&gt;0,SX4,"")</f>
        <v>11.574999999999999</v>
      </c>
      <c r="TM4" s="40">
        <f t="shared" ref="TM4:TM35" si="234">IF(SY4&gt;0,SY4,"")</f>
        <v>12.1075</v>
      </c>
      <c r="TN4" s="40">
        <f t="shared" ref="TN4:TN35" si="235">IF(SUM(SV4:SY4)-SZ4&gt;0,SUM(SV4:SY4)-SZ4,"")</f>
        <v>42.607499999999995</v>
      </c>
      <c r="TO4" s="40">
        <f t="shared" ref="TO4:TO35" si="236">IF(TC4&gt;0,TC4,"")</f>
        <v>7.65</v>
      </c>
      <c r="TP4" s="40">
        <f t="shared" ref="TP4:TP35" si="237">IF(TD4&gt;0,TD4,"")</f>
        <v>8.0849999999999991</v>
      </c>
      <c r="TQ4" s="40">
        <f t="shared" ref="TQ4:TQ35" si="238">IF(SUM(TA4:TD4)-TE4&gt;0,SUM(TA4:TD4)-TE4,"")</f>
        <v>27.759999999999998</v>
      </c>
      <c r="TR4" s="40">
        <f t="shared" ref="TR4:TR35" si="239">IF(MAX(TN4,TQ4)&gt;0,MAX(TN4,TQ4),"")</f>
        <v>42.607499999999995</v>
      </c>
      <c r="TS4" s="40">
        <f t="shared" ref="TS4:TS35" si="240">IF(TH4&gt;0,TH4,"")</f>
        <v>12.45</v>
      </c>
      <c r="TT4" s="40">
        <f t="shared" ref="TT4:TT35" si="241">IF(TI4&gt;0,TI4,"")</f>
        <v>13.052499999999998</v>
      </c>
      <c r="TU4" s="40">
        <f t="shared" ref="TU4:TU35" si="242">IF(SUM(TF4:TI4)-TJ4&gt;0,SUM(TF4:TI4)-TJ4,"")</f>
        <v>45.077500000000001</v>
      </c>
      <c r="TV4" s="40">
        <f t="shared" ref="TV4:TV35" si="243">IF(SUM(TR4,TU4)&gt;0,SUM(TR4,TU4),"")</f>
        <v>87.685000000000002</v>
      </c>
    </row>
    <row r="5" spans="1:542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151</v>
      </c>
      <c r="D5" s="4" t="s">
        <v>6</v>
      </c>
      <c r="E5" s="4">
        <v>2007</v>
      </c>
      <c r="F5" s="9">
        <f t="shared" si="0"/>
        <v>182.39001812000512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IF(COUNT(AQ5,AT5,BR5,BU5,CS5,CV5)&gt;0,LARGE((AQ5,AT5,BR5,BU5,CS5,CV5),1),0)</f>
        <v>51.489999999999995</v>
      </c>
      <c r="M5" s="8" t="str">
        <f t="shared" si="5"/>
        <v>2025 Elite Canada</v>
      </c>
      <c r="N5" s="8">
        <f>IF(COUNT(AQ5,AT5,BR5,BU5,CS5,CV5)&gt;1,LARGE((AQ5,AT5,BR5,BU5,CS5,CV5),2),0)</f>
        <v>49.050000000000004</v>
      </c>
      <c r="O5" s="8" t="str">
        <f t="shared" si="6"/>
        <v>2025 Elite Canada</v>
      </c>
      <c r="P5" s="8">
        <f>IF(COUNT(AQ5,AT5,BR5,BU5,CS5,CV5)&gt;2,MAX(AX5,BY5,CZ5,LARGE((AQ5,AT5,BR5,BU5,CS5,CV5),3)),IF(MAX(AX5,BY5,CZ5)&gt;0,MAX(AX5,BY5,CZ5),0))</f>
        <v>51.730000000000004</v>
      </c>
      <c r="Q5" s="8" t="str">
        <f t="shared" si="7"/>
        <v>2024 3rd Domestic Trial</v>
      </c>
      <c r="R5" s="8">
        <f t="shared" si="8"/>
        <v>14.3</v>
      </c>
      <c r="S5" s="8" t="str">
        <f t="shared" si="9"/>
        <v>2025 Elite Canada</v>
      </c>
      <c r="T5" s="8">
        <f t="shared" si="10"/>
        <v>14.63</v>
      </c>
      <c r="U5" s="8" t="str">
        <f t="shared" si="11"/>
        <v>2024 3rd Domestic Trial</v>
      </c>
      <c r="V5" s="8">
        <f t="shared" si="12"/>
        <v>1.1899999999999977</v>
      </c>
      <c r="W5" s="11" t="str">
        <f t="shared" si="13"/>
        <v>(Optional)</v>
      </c>
      <c r="X5" s="8" t="str">
        <f t="shared" si="14"/>
        <v>2024 World Cup POR (July 7)</v>
      </c>
      <c r="Y5" s="22">
        <v>13.5</v>
      </c>
      <c r="Z5" s="22">
        <v>8.6999999999999993</v>
      </c>
      <c r="AA5" s="22">
        <v>11.5</v>
      </c>
      <c r="AB5" s="22">
        <v>12.91</v>
      </c>
      <c r="AC5" s="22">
        <v>0</v>
      </c>
      <c r="AD5" s="22">
        <v>4.4000000000000004</v>
      </c>
      <c r="AE5" s="22">
        <v>2.7</v>
      </c>
      <c r="AF5" s="22">
        <v>4.5</v>
      </c>
      <c r="AG5" s="22">
        <v>4.59</v>
      </c>
      <c r="AH5" s="22">
        <v>0</v>
      </c>
      <c r="AI5" s="22"/>
      <c r="AJ5" s="22"/>
      <c r="AK5" s="22"/>
      <c r="AL5" s="22"/>
      <c r="AM5" s="22"/>
      <c r="AN5" s="27"/>
      <c r="AO5" s="38">
        <f t="shared" si="15"/>
        <v>11.5</v>
      </c>
      <c r="AP5" s="38">
        <f t="shared" si="16"/>
        <v>12.91</v>
      </c>
      <c r="AQ5" s="40">
        <f t="shared" si="17"/>
        <v>46.61</v>
      </c>
      <c r="AR5" s="40">
        <f t="shared" si="18"/>
        <v>4.5</v>
      </c>
      <c r="AS5" s="40">
        <f t="shared" si="19"/>
        <v>4.59</v>
      </c>
      <c r="AT5" s="40">
        <f t="shared" si="20"/>
        <v>16.190000000000001</v>
      </c>
      <c r="AU5" s="40">
        <f t="shared" si="21"/>
        <v>46.61</v>
      </c>
      <c r="AV5" s="40" t="str">
        <f t="shared" si="22"/>
        <v/>
      </c>
      <c r="AW5" s="40" t="str">
        <f t="shared" si="23"/>
        <v/>
      </c>
      <c r="AX5" s="40" t="str">
        <f t="shared" si="24"/>
        <v/>
      </c>
      <c r="AY5" s="40">
        <f t="shared" si="25"/>
        <v>46.61</v>
      </c>
      <c r="AZ5" s="26">
        <v>4.4000000000000004</v>
      </c>
      <c r="BA5" s="26">
        <v>2.5</v>
      </c>
      <c r="BB5" s="26">
        <v>4.2</v>
      </c>
      <c r="BC5" s="26">
        <v>4.68</v>
      </c>
      <c r="BD5" s="26">
        <v>0</v>
      </c>
      <c r="BE5" s="26">
        <v>13.6</v>
      </c>
      <c r="BF5" s="26">
        <v>8.3000000000000007</v>
      </c>
      <c r="BG5" s="26">
        <v>11.9</v>
      </c>
      <c r="BH5" s="26">
        <v>13.44</v>
      </c>
      <c r="BI5" s="26">
        <v>0</v>
      </c>
      <c r="BJ5" s="26">
        <v>14.5</v>
      </c>
      <c r="BK5" s="26">
        <v>9.1</v>
      </c>
      <c r="BL5" s="26">
        <v>13.5</v>
      </c>
      <c r="BM5" s="26">
        <v>14.63</v>
      </c>
      <c r="BN5" s="26">
        <v>0</v>
      </c>
      <c r="BO5" s="28"/>
      <c r="BP5" s="39">
        <f t="shared" si="26"/>
        <v>4.2</v>
      </c>
      <c r="BQ5" s="39">
        <f t="shared" si="27"/>
        <v>4.68</v>
      </c>
      <c r="BR5" s="11">
        <f t="shared" si="28"/>
        <v>15.780000000000001</v>
      </c>
      <c r="BS5" s="11">
        <f t="shared" si="29"/>
        <v>11.9</v>
      </c>
      <c r="BT5" s="11">
        <f t="shared" si="30"/>
        <v>13.44</v>
      </c>
      <c r="BU5" s="11">
        <f t="shared" si="31"/>
        <v>47.239999999999995</v>
      </c>
      <c r="BV5" s="11">
        <f t="shared" si="32"/>
        <v>47.239999999999995</v>
      </c>
      <c r="BW5" s="11">
        <f t="shared" si="33"/>
        <v>13.5</v>
      </c>
      <c r="BX5" s="11">
        <f t="shared" si="34"/>
        <v>14.63</v>
      </c>
      <c r="BY5" s="11">
        <f t="shared" si="35"/>
        <v>51.730000000000004</v>
      </c>
      <c r="BZ5" s="11">
        <f t="shared" si="36"/>
        <v>98.97</v>
      </c>
      <c r="CA5" s="22">
        <v>13.5</v>
      </c>
      <c r="CB5" s="22">
        <v>9.1</v>
      </c>
      <c r="CC5" s="22">
        <v>12.4</v>
      </c>
      <c r="CD5" s="22">
        <v>14.35</v>
      </c>
      <c r="CE5" s="22">
        <v>0.3</v>
      </c>
      <c r="CF5" s="22">
        <v>14.8</v>
      </c>
      <c r="CG5" s="22">
        <v>9.1999999999999993</v>
      </c>
      <c r="CH5" s="22">
        <v>13.4</v>
      </c>
      <c r="CI5" s="22">
        <v>14.09</v>
      </c>
      <c r="CJ5" s="22">
        <v>0</v>
      </c>
      <c r="CK5" s="22">
        <v>13.7</v>
      </c>
      <c r="CL5" s="22">
        <v>9.1999999999999993</v>
      </c>
      <c r="CM5" s="22">
        <v>14.3</v>
      </c>
      <c r="CN5" s="22">
        <v>14.26</v>
      </c>
      <c r="CO5" s="22">
        <v>0</v>
      </c>
      <c r="CP5" s="27"/>
      <c r="CQ5" s="38">
        <f t="shared" si="37"/>
        <v>12.4</v>
      </c>
      <c r="CR5" s="38">
        <f t="shared" si="38"/>
        <v>14.35</v>
      </c>
      <c r="CS5" s="40">
        <f t="shared" si="39"/>
        <v>49.050000000000004</v>
      </c>
      <c r="CT5" s="40">
        <f t="shared" si="40"/>
        <v>13.4</v>
      </c>
      <c r="CU5" s="40">
        <f t="shared" si="41"/>
        <v>14.09</v>
      </c>
      <c r="CV5" s="40">
        <f t="shared" si="42"/>
        <v>51.489999999999995</v>
      </c>
      <c r="CW5" s="40">
        <f t="shared" si="43"/>
        <v>51.489999999999995</v>
      </c>
      <c r="CX5" s="40">
        <f t="shared" si="44"/>
        <v>14.3</v>
      </c>
      <c r="CY5" s="40">
        <f t="shared" si="45"/>
        <v>14.26</v>
      </c>
      <c r="CZ5" s="40">
        <f t="shared" si="46"/>
        <v>51.46</v>
      </c>
      <c r="DA5" s="40">
        <f t="shared" si="47"/>
        <v>102.94999999999999</v>
      </c>
      <c r="DB5" s="50">
        <f t="shared" si="48"/>
        <v>1.1899999999999977</v>
      </c>
      <c r="DC5" s="50" t="str">
        <f t="shared" si="49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40" t="str">
        <f t="shared" si="62"/>
        <v/>
      </c>
      <c r="EK5" s="40" t="str">
        <f t="shared" si="63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4"/>
        <v/>
      </c>
      <c r="FG5" s="11" t="str">
        <f t="shared" si="65"/>
        <v/>
      </c>
      <c r="FH5" s="11" t="str">
        <f t="shared" si="66"/>
        <v/>
      </c>
      <c r="FI5" s="11" t="str">
        <f t="shared" si="67"/>
        <v/>
      </c>
      <c r="FJ5" s="11" t="str">
        <f t="shared" si="68"/>
        <v/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 t="str">
        <f t="shared" si="72"/>
        <v/>
      </c>
      <c r="FO5" s="11" t="str">
        <f t="shared" si="73"/>
        <v/>
      </c>
      <c r="FP5" s="11" t="str">
        <f t="shared" si="74"/>
        <v/>
      </c>
      <c r="FQ5" s="11" t="str">
        <f t="shared" si="75"/>
        <v/>
      </c>
      <c r="FR5" s="11" t="str">
        <f t="shared" si="76"/>
        <v/>
      </c>
      <c r="FS5" s="11" t="str">
        <f t="shared" si="77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78"/>
        <v/>
      </c>
      <c r="GO5" s="40" t="str">
        <f t="shared" si="79"/>
        <v/>
      </c>
      <c r="GP5" s="40" t="str">
        <f t="shared" si="80"/>
        <v/>
      </c>
      <c r="GQ5" s="40" t="str">
        <f t="shared" si="81"/>
        <v/>
      </c>
      <c r="GR5" s="40" t="str">
        <f t="shared" si="82"/>
        <v/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 t="str">
        <f t="shared" si="89"/>
        <v/>
      </c>
      <c r="GZ5" s="40" t="str">
        <f t="shared" si="90"/>
        <v/>
      </c>
      <c r="HA5" s="40" t="str">
        <f t="shared" si="91"/>
        <v/>
      </c>
      <c r="HB5" s="18">
        <v>14.3</v>
      </c>
      <c r="HC5" s="18">
        <v>8.9</v>
      </c>
      <c r="HD5" s="18">
        <v>12.9</v>
      </c>
      <c r="HE5" s="18">
        <v>14.14</v>
      </c>
      <c r="HF5" s="18">
        <v>0</v>
      </c>
      <c r="HG5" s="18">
        <v>1.4</v>
      </c>
      <c r="HH5" s="18">
        <v>1</v>
      </c>
      <c r="HI5" s="18">
        <v>2</v>
      </c>
      <c r="HJ5" s="18">
        <v>1.58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2"/>
        <v>12.9</v>
      </c>
      <c r="HW5" s="11">
        <f t="shared" si="93"/>
        <v>14.14</v>
      </c>
      <c r="HX5" s="11">
        <f t="shared" si="94"/>
        <v>50.24</v>
      </c>
      <c r="HY5" s="11">
        <f t="shared" si="95"/>
        <v>2</v>
      </c>
      <c r="HZ5" s="11">
        <f t="shared" si="96"/>
        <v>1.58</v>
      </c>
      <c r="IA5" s="11">
        <f t="shared" si="97"/>
        <v>5.98</v>
      </c>
      <c r="IB5" s="11">
        <f t="shared" si="98"/>
        <v>50.24</v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 t="str">
        <f t="shared" si="103"/>
        <v/>
      </c>
      <c r="IH5" s="11" t="str">
        <f t="shared" si="104"/>
        <v/>
      </c>
      <c r="II5" s="11">
        <f t="shared" si="105"/>
        <v>50.24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40" t="str">
        <f t="shared" si="118"/>
        <v/>
      </c>
      <c r="JQ5" s="40" t="str">
        <f t="shared" si="119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1" t="str">
        <f t="shared" si="132"/>
        <v/>
      </c>
      <c r="KY5" s="11" t="str">
        <f t="shared" si="133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40" t="str">
        <f t="shared" si="146"/>
        <v/>
      </c>
      <c r="MG5" s="40" t="str">
        <f t="shared" si="14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1" t="str">
        <f t="shared" si="160"/>
        <v/>
      </c>
      <c r="NO5" s="11" t="str">
        <f t="shared" si="161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40" t="str">
        <f t="shared" si="174"/>
        <v/>
      </c>
      <c r="OW5" s="40" t="str">
        <f t="shared" si="175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1" t="str">
        <f t="shared" si="188"/>
        <v/>
      </c>
      <c r="QE5" s="11" t="str">
        <f t="shared" si="189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40" t="str">
        <f t="shared" si="202"/>
        <v/>
      </c>
      <c r="RM5" s="40" t="str">
        <f t="shared" si="203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11" t="str">
        <f t="shared" si="216"/>
        <v/>
      </c>
      <c r="SU5" s="11" t="str">
        <f t="shared" si="217"/>
        <v/>
      </c>
      <c r="SV5" s="22">
        <f t="shared" si="218"/>
        <v>8.9499999999999993</v>
      </c>
      <c r="SW5" s="22">
        <f t="shared" si="219"/>
        <v>5.8</v>
      </c>
      <c r="SX5" s="22">
        <f t="shared" si="220"/>
        <v>8.3000000000000007</v>
      </c>
      <c r="SY5" s="22">
        <f t="shared" si="221"/>
        <v>9.5150000000000006</v>
      </c>
      <c r="SZ5" s="22">
        <f t="shared" si="222"/>
        <v>0.15</v>
      </c>
      <c r="TA5" s="22">
        <f t="shared" si="223"/>
        <v>14.2</v>
      </c>
      <c r="TB5" s="22">
        <f t="shared" si="224"/>
        <v>8.75</v>
      </c>
      <c r="TC5" s="22">
        <f t="shared" si="225"/>
        <v>12.65</v>
      </c>
      <c r="TD5" s="22">
        <f t="shared" si="226"/>
        <v>13.765000000000001</v>
      </c>
      <c r="TE5" s="22">
        <f t="shared" si="227"/>
        <v>0</v>
      </c>
      <c r="TF5" s="22">
        <f t="shared" si="228"/>
        <v>14.1</v>
      </c>
      <c r="TG5" s="22">
        <f t="shared" si="229"/>
        <v>9.1499999999999986</v>
      </c>
      <c r="TH5" s="22">
        <f t="shared" si="230"/>
        <v>13.9</v>
      </c>
      <c r="TI5" s="22">
        <f t="shared" si="231"/>
        <v>14.445</v>
      </c>
      <c r="TJ5" s="22">
        <f t="shared" si="232"/>
        <v>0</v>
      </c>
      <c r="TK5" s="27" t="s">
        <v>46</v>
      </c>
      <c r="TL5" s="40">
        <f t="shared" si="233"/>
        <v>8.3000000000000007</v>
      </c>
      <c r="TM5" s="40">
        <f t="shared" si="234"/>
        <v>9.5150000000000006</v>
      </c>
      <c r="TN5" s="40">
        <f t="shared" si="235"/>
        <v>32.414999999999999</v>
      </c>
      <c r="TO5" s="40">
        <f t="shared" si="236"/>
        <v>12.65</v>
      </c>
      <c r="TP5" s="40">
        <f t="shared" si="237"/>
        <v>13.765000000000001</v>
      </c>
      <c r="TQ5" s="40">
        <f t="shared" si="238"/>
        <v>49.365000000000002</v>
      </c>
      <c r="TR5" s="40">
        <f t="shared" si="239"/>
        <v>49.365000000000002</v>
      </c>
      <c r="TS5" s="40">
        <f t="shared" si="240"/>
        <v>13.9</v>
      </c>
      <c r="TT5" s="40">
        <f t="shared" si="241"/>
        <v>14.445</v>
      </c>
      <c r="TU5" s="40">
        <f t="shared" si="242"/>
        <v>51.594999999999999</v>
      </c>
      <c r="TV5" s="40">
        <f t="shared" si="243"/>
        <v>100.96000000000001</v>
      </c>
    </row>
    <row r="6" spans="1:542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>1</v>
      </c>
      <c r="C6" s="5" t="s">
        <v>99</v>
      </c>
      <c r="D6" s="4" t="s">
        <v>3</v>
      </c>
      <c r="E6" s="4">
        <v>2004</v>
      </c>
      <c r="F6" s="9">
        <f t="shared" si="0"/>
        <v>177.66001776600507</v>
      </c>
      <c r="G6" s="64"/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IF(COUNT(AQ6,AT6,BR6,BU6,CS6,CV6)&gt;0,LARGE((AQ6,AT6,BR6,BU6,CS6,CV6),1),0)</f>
        <v>50.72</v>
      </c>
      <c r="M6" s="8" t="str">
        <f t="shared" si="5"/>
        <v>2024 3rd Domestic Trial</v>
      </c>
      <c r="N6" s="8">
        <f>IF(COUNT(AQ6,AT6,BR6,BU6,CS6,CV6)&gt;1,LARGE((AQ6,AT6,BR6,BU6,CS6,CV6),2),0)</f>
        <v>50.09</v>
      </c>
      <c r="O6" s="8" t="str">
        <f t="shared" si="6"/>
        <v>2024 Nationals</v>
      </c>
      <c r="P6" s="8">
        <f>IF(COUNT(AQ6,AT6,BR6,BU6,CS6,CV6)&gt;2,MAX(AX6,BY6,CZ6,LARGE((AQ6,AT6,BR6,BU6,CS6,CV6),3)),IF(MAX(AX6,BY6,CZ6)&gt;0,MAX(AX6,BY6,CZ6),0))</f>
        <v>50.530000000000008</v>
      </c>
      <c r="Q6" s="8" t="str">
        <f t="shared" si="7"/>
        <v>2024 Nationals</v>
      </c>
      <c r="R6" s="8">
        <f t="shared" si="8"/>
        <v>11.6</v>
      </c>
      <c r="S6" s="8" t="str">
        <f t="shared" si="9"/>
        <v>2025 Elite Canada</v>
      </c>
      <c r="T6" s="8">
        <f t="shared" si="10"/>
        <v>14.72</v>
      </c>
      <c r="U6" s="8" t="str">
        <f t="shared" si="11"/>
        <v>2024 3rd Domestic Trial</v>
      </c>
      <c r="V6" s="8" t="str">
        <f t="shared" si="12"/>
        <v/>
      </c>
      <c r="W6" s="11" t="str">
        <f t="shared" si="13"/>
        <v/>
      </c>
      <c r="X6" s="8" t="str">
        <f t="shared" si="14"/>
        <v/>
      </c>
      <c r="Y6" s="22">
        <v>15.4</v>
      </c>
      <c r="Z6" s="22">
        <v>9.5</v>
      </c>
      <c r="AA6" s="22">
        <v>10.6</v>
      </c>
      <c r="AB6" s="22">
        <v>14.04</v>
      </c>
      <c r="AC6" s="22">
        <v>0</v>
      </c>
      <c r="AD6" s="22">
        <v>14.8</v>
      </c>
      <c r="AE6" s="22">
        <v>9.9</v>
      </c>
      <c r="AF6" s="22">
        <v>11.3</v>
      </c>
      <c r="AG6" s="22">
        <v>14.09</v>
      </c>
      <c r="AH6" s="22">
        <v>0</v>
      </c>
      <c r="AI6" s="22">
        <v>15.4</v>
      </c>
      <c r="AJ6" s="22">
        <v>9.6999999999999993</v>
      </c>
      <c r="AK6" s="22">
        <v>11.3</v>
      </c>
      <c r="AL6" s="22">
        <v>14.13</v>
      </c>
      <c r="AM6" s="22">
        <v>0</v>
      </c>
      <c r="AN6" s="27"/>
      <c r="AO6" s="38">
        <f t="shared" si="15"/>
        <v>10.6</v>
      </c>
      <c r="AP6" s="38">
        <f t="shared" si="16"/>
        <v>14.04</v>
      </c>
      <c r="AQ6" s="40">
        <f t="shared" si="17"/>
        <v>49.54</v>
      </c>
      <c r="AR6" s="40">
        <f t="shared" si="18"/>
        <v>11.3</v>
      </c>
      <c r="AS6" s="40">
        <f t="shared" si="19"/>
        <v>14.09</v>
      </c>
      <c r="AT6" s="40">
        <f t="shared" si="20"/>
        <v>50.09</v>
      </c>
      <c r="AU6" s="40">
        <f t="shared" si="21"/>
        <v>50.09</v>
      </c>
      <c r="AV6" s="40">
        <f t="shared" si="22"/>
        <v>11.3</v>
      </c>
      <c r="AW6" s="40">
        <f t="shared" si="23"/>
        <v>14.13</v>
      </c>
      <c r="AX6" s="40">
        <f t="shared" si="24"/>
        <v>50.530000000000008</v>
      </c>
      <c r="AY6" s="40">
        <f t="shared" si="25"/>
        <v>100.62</v>
      </c>
      <c r="AZ6" s="26">
        <v>14.3</v>
      </c>
      <c r="BA6" s="26">
        <v>8.6</v>
      </c>
      <c r="BB6" s="26">
        <v>10.1</v>
      </c>
      <c r="BC6" s="26">
        <v>14.37</v>
      </c>
      <c r="BD6" s="26">
        <v>1.1000000000000001</v>
      </c>
      <c r="BE6" s="26">
        <v>15.3</v>
      </c>
      <c r="BF6" s="26">
        <v>9.4</v>
      </c>
      <c r="BG6" s="26">
        <v>11.3</v>
      </c>
      <c r="BH6" s="26">
        <v>14.72</v>
      </c>
      <c r="BI6" s="26">
        <v>0</v>
      </c>
      <c r="BJ6" s="26">
        <v>15.2</v>
      </c>
      <c r="BK6" s="26">
        <v>9.1999999999999993</v>
      </c>
      <c r="BL6" s="26">
        <v>10.6</v>
      </c>
      <c r="BM6" s="26">
        <v>14.64</v>
      </c>
      <c r="BN6" s="26">
        <v>0.6</v>
      </c>
      <c r="BO6" s="28"/>
      <c r="BP6" s="39">
        <f t="shared" si="26"/>
        <v>10.1</v>
      </c>
      <c r="BQ6" s="39">
        <f t="shared" si="27"/>
        <v>14.37</v>
      </c>
      <c r="BR6" s="11">
        <f t="shared" si="28"/>
        <v>46.269999999999996</v>
      </c>
      <c r="BS6" s="11">
        <f t="shared" si="29"/>
        <v>11.3</v>
      </c>
      <c r="BT6" s="11">
        <f t="shared" si="30"/>
        <v>14.72</v>
      </c>
      <c r="BU6" s="11">
        <f t="shared" si="31"/>
        <v>50.72</v>
      </c>
      <c r="BV6" s="11">
        <f t="shared" si="32"/>
        <v>50.72</v>
      </c>
      <c r="BW6" s="11">
        <f t="shared" si="33"/>
        <v>10.6</v>
      </c>
      <c r="BX6" s="11">
        <f t="shared" si="34"/>
        <v>14.64</v>
      </c>
      <c r="BY6" s="11">
        <f t="shared" si="35"/>
        <v>49.04</v>
      </c>
      <c r="BZ6" s="11">
        <f t="shared" si="36"/>
        <v>99.759999999999991</v>
      </c>
      <c r="CA6" s="22">
        <v>14</v>
      </c>
      <c r="CB6" s="22">
        <v>9.4</v>
      </c>
      <c r="CC6" s="22">
        <v>10.9</v>
      </c>
      <c r="CD6" s="22">
        <v>13.78</v>
      </c>
      <c r="CE6" s="22">
        <v>0</v>
      </c>
      <c r="CF6" s="22">
        <v>13</v>
      </c>
      <c r="CG6" s="22">
        <v>9.3000000000000007</v>
      </c>
      <c r="CH6" s="22">
        <v>9.6</v>
      </c>
      <c r="CI6" s="22">
        <v>14.01</v>
      </c>
      <c r="CJ6" s="22">
        <v>1.2</v>
      </c>
      <c r="CK6" s="22">
        <v>13.2</v>
      </c>
      <c r="CL6" s="22">
        <v>9.1</v>
      </c>
      <c r="CM6" s="22">
        <v>11.6</v>
      </c>
      <c r="CN6" s="22">
        <v>13.87</v>
      </c>
      <c r="CO6" s="22">
        <v>0</v>
      </c>
      <c r="CP6" s="27"/>
      <c r="CQ6" s="38">
        <f t="shared" si="37"/>
        <v>10.9</v>
      </c>
      <c r="CR6" s="38">
        <f t="shared" si="38"/>
        <v>13.78</v>
      </c>
      <c r="CS6" s="40">
        <f t="shared" si="39"/>
        <v>48.08</v>
      </c>
      <c r="CT6" s="40">
        <f t="shared" si="40"/>
        <v>9.6</v>
      </c>
      <c r="CU6" s="40">
        <f t="shared" si="41"/>
        <v>14.01</v>
      </c>
      <c r="CV6" s="40">
        <f t="shared" si="42"/>
        <v>44.709999999999994</v>
      </c>
      <c r="CW6" s="40">
        <f t="shared" si="43"/>
        <v>48.08</v>
      </c>
      <c r="CX6" s="40">
        <f t="shared" si="44"/>
        <v>11.6</v>
      </c>
      <c r="CY6" s="40">
        <f t="shared" si="45"/>
        <v>13.87</v>
      </c>
      <c r="CZ6" s="40">
        <f t="shared" si="46"/>
        <v>47.769999999999996</v>
      </c>
      <c r="DA6" s="40">
        <f t="shared" si="47"/>
        <v>95.85</v>
      </c>
      <c r="DB6" s="50" t="str">
        <f t="shared" si="48"/>
        <v/>
      </c>
      <c r="DC6" s="50" t="str">
        <f t="shared" si="49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40" t="str">
        <f t="shared" si="62"/>
        <v/>
      </c>
      <c r="EK6" s="40" t="str">
        <f t="shared" si="63"/>
        <v/>
      </c>
      <c r="EL6" s="18">
        <v>12.9</v>
      </c>
      <c r="EM6" s="18">
        <v>9.4</v>
      </c>
      <c r="EN6" s="18">
        <v>10.4</v>
      </c>
      <c r="EO6" s="18">
        <v>13.66</v>
      </c>
      <c r="EP6" s="18">
        <v>0</v>
      </c>
      <c r="EQ6" s="18">
        <v>12.9</v>
      </c>
      <c r="ER6" s="18">
        <v>9</v>
      </c>
      <c r="ES6" s="18">
        <v>11.3</v>
      </c>
      <c r="ET6" s="18">
        <v>14.07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 t="shared" si="64"/>
        <v>10.4</v>
      </c>
      <c r="FG6" s="11">
        <f t="shared" si="65"/>
        <v>13.66</v>
      </c>
      <c r="FH6" s="11">
        <f t="shared" si="66"/>
        <v>46.36</v>
      </c>
      <c r="FI6" s="11">
        <f t="shared" si="67"/>
        <v>11.3</v>
      </c>
      <c r="FJ6" s="11">
        <f t="shared" si="68"/>
        <v>14.07</v>
      </c>
      <c r="FK6" s="11">
        <f t="shared" si="69"/>
        <v>47.27</v>
      </c>
      <c r="FL6" s="11">
        <f t="shared" si="70"/>
        <v>47.27</v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1" t="str">
        <f t="shared" si="76"/>
        <v/>
      </c>
      <c r="FS6" s="11">
        <f t="shared" si="77"/>
        <v>47.27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 t="shared" si="78"/>
        <v/>
      </c>
      <c r="GO6" s="40" t="str">
        <f t="shared" si="79"/>
        <v/>
      </c>
      <c r="GP6" s="40" t="str">
        <f t="shared" si="80"/>
        <v/>
      </c>
      <c r="GQ6" s="40" t="str">
        <f t="shared" si="81"/>
        <v/>
      </c>
      <c r="GR6" s="40" t="str">
        <f t="shared" si="82"/>
        <v/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 t="str">
        <f t="shared" si="89"/>
        <v/>
      </c>
      <c r="GZ6" s="40" t="str">
        <f t="shared" si="90"/>
        <v/>
      </c>
      <c r="HA6" s="40" t="str">
        <f t="shared" si="91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1" t="str">
        <f t="shared" si="104"/>
        <v/>
      </c>
      <c r="II6" s="11" t="str">
        <f t="shared" si="105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40" t="str">
        <f t="shared" si="118"/>
        <v/>
      </c>
      <c r="JQ6" s="40" t="str">
        <f t="shared" si="119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1" t="str">
        <f t="shared" si="132"/>
        <v/>
      </c>
      <c r="KY6" s="11" t="str">
        <f t="shared" si="133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40" t="str">
        <f t="shared" si="146"/>
        <v/>
      </c>
      <c r="MG6" s="40" t="str">
        <f t="shared" si="14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1" t="str">
        <f t="shared" si="160"/>
        <v/>
      </c>
      <c r="NO6" s="11" t="str">
        <f t="shared" si="161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40" t="str">
        <f t="shared" si="174"/>
        <v/>
      </c>
      <c r="OW6" s="40" t="str">
        <f t="shared" si="175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1" t="str">
        <f t="shared" si="188"/>
        <v/>
      </c>
      <c r="QE6" s="11" t="str">
        <f t="shared" si="189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40" t="str">
        <f t="shared" si="202"/>
        <v/>
      </c>
      <c r="RM6" s="40" t="str">
        <f t="shared" si="203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11" t="str">
        <f t="shared" si="216"/>
        <v/>
      </c>
      <c r="SU6" s="11" t="str">
        <f t="shared" si="217"/>
        <v/>
      </c>
      <c r="SV6" s="22">
        <f t="shared" si="218"/>
        <v>14.15</v>
      </c>
      <c r="SW6" s="22">
        <f t="shared" si="219"/>
        <v>9</v>
      </c>
      <c r="SX6" s="22">
        <f t="shared" si="220"/>
        <v>10.5</v>
      </c>
      <c r="SY6" s="22">
        <f t="shared" si="221"/>
        <v>14.074999999999999</v>
      </c>
      <c r="SZ6" s="22">
        <f t="shared" si="222"/>
        <v>0.55000000000000004</v>
      </c>
      <c r="TA6" s="22">
        <f t="shared" si="223"/>
        <v>14.15</v>
      </c>
      <c r="TB6" s="22">
        <f t="shared" si="224"/>
        <v>9.3500000000000014</v>
      </c>
      <c r="TC6" s="22">
        <f t="shared" si="225"/>
        <v>10.45</v>
      </c>
      <c r="TD6" s="22">
        <f t="shared" si="226"/>
        <v>14.365</v>
      </c>
      <c r="TE6" s="22">
        <f t="shared" si="227"/>
        <v>0.6</v>
      </c>
      <c r="TF6" s="22">
        <f t="shared" si="228"/>
        <v>14.2</v>
      </c>
      <c r="TG6" s="22">
        <f t="shared" si="229"/>
        <v>9.1499999999999986</v>
      </c>
      <c r="TH6" s="22">
        <f t="shared" si="230"/>
        <v>11.1</v>
      </c>
      <c r="TI6" s="22">
        <f t="shared" si="231"/>
        <v>14.254999999999999</v>
      </c>
      <c r="TJ6" s="22">
        <f t="shared" si="232"/>
        <v>0.3</v>
      </c>
      <c r="TK6" s="27" t="s">
        <v>46</v>
      </c>
      <c r="TL6" s="40">
        <f t="shared" si="233"/>
        <v>10.5</v>
      </c>
      <c r="TM6" s="40">
        <f t="shared" si="234"/>
        <v>14.074999999999999</v>
      </c>
      <c r="TN6" s="40">
        <f t="shared" si="235"/>
        <v>47.174999999999997</v>
      </c>
      <c r="TO6" s="40">
        <f t="shared" si="236"/>
        <v>10.45</v>
      </c>
      <c r="TP6" s="40">
        <f t="shared" si="237"/>
        <v>14.365</v>
      </c>
      <c r="TQ6" s="40">
        <f t="shared" si="238"/>
        <v>47.715000000000003</v>
      </c>
      <c r="TR6" s="40">
        <f t="shared" si="239"/>
        <v>47.715000000000003</v>
      </c>
      <c r="TS6" s="40">
        <f t="shared" si="240"/>
        <v>11.1</v>
      </c>
      <c r="TT6" s="40">
        <f t="shared" si="241"/>
        <v>14.254999999999999</v>
      </c>
      <c r="TU6" s="40">
        <f t="shared" si="242"/>
        <v>48.405000000000001</v>
      </c>
      <c r="TV6" s="40">
        <f t="shared" si="243"/>
        <v>96.12</v>
      </c>
    </row>
    <row r="7" spans="1:542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>2</v>
      </c>
      <c r="C7" s="5" t="s">
        <v>124</v>
      </c>
      <c r="D7" s="4" t="s">
        <v>6</v>
      </c>
      <c r="E7" s="4">
        <v>2006</v>
      </c>
      <c r="F7" s="9">
        <f t="shared" si="0"/>
        <v>173.73001692700484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IF(COUNT(AQ7,AT7,BR7,BU7,CS7,CV7)&gt;0,LARGE((AQ7,AT7,BR7,BU7,CS7,CV7),1),0)</f>
        <v>48.66</v>
      </c>
      <c r="M7" s="8" t="str">
        <f t="shared" si="5"/>
        <v>2024 Nationals</v>
      </c>
      <c r="N7" s="8">
        <f>IF(COUNT(AQ7,AT7,BR7,BU7,CS7,CV7)&gt;1,LARGE((AQ7,AT7,BR7,BU7,CS7,CV7),2),0)</f>
        <v>45.51</v>
      </c>
      <c r="O7" s="8" t="str">
        <f t="shared" si="6"/>
        <v>2024 Nationals</v>
      </c>
      <c r="P7" s="8">
        <f>IF(COUNT(AQ7,AT7,BR7,BU7,CS7,CV7)&gt;2,MAX(AX7,BY7,CZ7,LARGE((AQ7,AT7,BR7,BU7,CS7,CV7),3)),IF(MAX(AX7,BY7,CZ7)&gt;0,MAX(AX7,BY7,CZ7),0))</f>
        <v>49.3</v>
      </c>
      <c r="Q7" s="8" t="str">
        <f t="shared" si="7"/>
        <v>2024 Nationals</v>
      </c>
      <c r="R7" s="8">
        <f t="shared" si="8"/>
        <v>11.4</v>
      </c>
      <c r="S7" s="8" t="str">
        <f t="shared" si="9"/>
        <v>2024 Nationals</v>
      </c>
      <c r="T7" s="8">
        <f t="shared" si="10"/>
        <v>14.4</v>
      </c>
      <c r="U7" s="8" t="str">
        <f t="shared" si="11"/>
        <v>2024 Nationals</v>
      </c>
      <c r="V7" s="8">
        <f t="shared" si="12"/>
        <v>4.4600000000000009</v>
      </c>
      <c r="W7" s="11" t="str">
        <f t="shared" si="13"/>
        <v>(Optional)</v>
      </c>
      <c r="X7" s="8" t="str">
        <f t="shared" si="14"/>
        <v>2024 Coimbra Gym Fest (July 7)</v>
      </c>
      <c r="Y7" s="22">
        <v>15.1</v>
      </c>
      <c r="Z7" s="22">
        <v>9.1</v>
      </c>
      <c r="AA7" s="22">
        <v>9.3000000000000007</v>
      </c>
      <c r="AB7" s="22">
        <v>13.91</v>
      </c>
      <c r="AC7" s="22">
        <v>1.9</v>
      </c>
      <c r="AD7" s="22">
        <v>15.7</v>
      </c>
      <c r="AE7" s="22">
        <v>9.3000000000000007</v>
      </c>
      <c r="AF7" s="22">
        <v>10</v>
      </c>
      <c r="AG7" s="22">
        <v>14.86</v>
      </c>
      <c r="AH7" s="22">
        <v>1.2</v>
      </c>
      <c r="AI7" s="22">
        <v>14.4</v>
      </c>
      <c r="AJ7" s="22">
        <v>9.1</v>
      </c>
      <c r="AK7" s="22">
        <v>11.4</v>
      </c>
      <c r="AL7" s="22">
        <v>14.4</v>
      </c>
      <c r="AM7" s="22">
        <v>0</v>
      </c>
      <c r="AN7" s="27"/>
      <c r="AO7" s="38">
        <f t="shared" si="15"/>
        <v>9.3000000000000007</v>
      </c>
      <c r="AP7" s="38">
        <f t="shared" si="16"/>
        <v>13.91</v>
      </c>
      <c r="AQ7" s="40">
        <f t="shared" si="17"/>
        <v>45.51</v>
      </c>
      <c r="AR7" s="40">
        <f t="shared" si="18"/>
        <v>10</v>
      </c>
      <c r="AS7" s="40">
        <f t="shared" si="19"/>
        <v>14.86</v>
      </c>
      <c r="AT7" s="40">
        <f t="shared" si="20"/>
        <v>48.66</v>
      </c>
      <c r="AU7" s="40">
        <f t="shared" si="21"/>
        <v>48.66</v>
      </c>
      <c r="AV7" s="40">
        <f t="shared" si="22"/>
        <v>11.4</v>
      </c>
      <c r="AW7" s="40">
        <f t="shared" si="23"/>
        <v>14.4</v>
      </c>
      <c r="AX7" s="40">
        <f t="shared" si="24"/>
        <v>49.3</v>
      </c>
      <c r="AY7" s="40">
        <f t="shared" si="25"/>
        <v>97.96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8"/>
      <c r="BP7" s="39" t="str">
        <f t="shared" si="26"/>
        <v/>
      </c>
      <c r="BQ7" s="39" t="str">
        <f t="shared" si="27"/>
        <v/>
      </c>
      <c r="BR7" s="11" t="str">
        <f t="shared" si="28"/>
        <v/>
      </c>
      <c r="BS7" s="11" t="str">
        <f t="shared" si="29"/>
        <v/>
      </c>
      <c r="BT7" s="11" t="str">
        <f t="shared" si="30"/>
        <v/>
      </c>
      <c r="BU7" s="11" t="str">
        <f t="shared" si="31"/>
        <v/>
      </c>
      <c r="BV7" s="11" t="str">
        <f t="shared" si="32"/>
        <v/>
      </c>
      <c r="BW7" s="11" t="str">
        <f t="shared" si="33"/>
        <v/>
      </c>
      <c r="BX7" s="11" t="str">
        <f t="shared" si="34"/>
        <v/>
      </c>
      <c r="BY7" s="11" t="str">
        <f t="shared" si="35"/>
        <v/>
      </c>
      <c r="BZ7" s="11" t="str">
        <f t="shared" si="36"/>
        <v/>
      </c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7"/>
      <c r="CQ7" s="38" t="str">
        <f t="shared" si="37"/>
        <v/>
      </c>
      <c r="CR7" s="38" t="str">
        <f t="shared" si="38"/>
        <v/>
      </c>
      <c r="CS7" s="40" t="str">
        <f t="shared" si="39"/>
        <v/>
      </c>
      <c r="CT7" s="40" t="str">
        <f t="shared" si="40"/>
        <v/>
      </c>
      <c r="CU7" s="40" t="str">
        <f t="shared" si="41"/>
        <v/>
      </c>
      <c r="CV7" s="40" t="str">
        <f t="shared" si="42"/>
        <v/>
      </c>
      <c r="CW7" s="40" t="str">
        <f t="shared" si="43"/>
        <v/>
      </c>
      <c r="CX7" s="40" t="str">
        <f t="shared" si="44"/>
        <v/>
      </c>
      <c r="CY7" s="40" t="str">
        <f t="shared" si="45"/>
        <v/>
      </c>
      <c r="CZ7" s="40" t="str">
        <f t="shared" si="46"/>
        <v/>
      </c>
      <c r="DA7" s="40" t="str">
        <f t="shared" si="47"/>
        <v/>
      </c>
      <c r="DB7" s="50">
        <f t="shared" si="48"/>
        <v>4.4600000000000009</v>
      </c>
      <c r="DC7" s="50" t="str">
        <f t="shared" si="49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40" t="str">
        <f t="shared" si="62"/>
        <v/>
      </c>
      <c r="EK7" s="40" t="str">
        <f t="shared" si="63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1" t="str">
        <f t="shared" si="76"/>
        <v/>
      </c>
      <c r="FS7" s="11" t="str">
        <f t="shared" si="77"/>
        <v/>
      </c>
      <c r="FT7" s="17">
        <v>4.5</v>
      </c>
      <c r="FU7" s="17">
        <v>2.85</v>
      </c>
      <c r="FV7" s="17">
        <v>3.6</v>
      </c>
      <c r="FW7" s="17">
        <v>2.98</v>
      </c>
      <c r="FX7" s="17">
        <v>0</v>
      </c>
      <c r="FY7" s="17">
        <v>15.2</v>
      </c>
      <c r="FZ7" s="17">
        <v>9</v>
      </c>
      <c r="GA7" s="17">
        <v>10.8</v>
      </c>
      <c r="GB7" s="17">
        <v>14.97</v>
      </c>
      <c r="GC7" s="17">
        <v>0</v>
      </c>
      <c r="GD7" s="17">
        <v>1.4</v>
      </c>
      <c r="GE7" s="17">
        <v>1</v>
      </c>
      <c r="GF7" s="17">
        <v>1.5</v>
      </c>
      <c r="GG7" s="17">
        <v>1.58</v>
      </c>
      <c r="GH7" s="17">
        <v>0</v>
      </c>
      <c r="GI7" s="17"/>
      <c r="GJ7" s="17"/>
      <c r="GK7" s="17"/>
      <c r="GL7" s="17"/>
      <c r="GM7" s="17"/>
      <c r="GN7" s="40">
        <f t="shared" si="78"/>
        <v>3.6</v>
      </c>
      <c r="GO7" s="40">
        <f t="shared" si="79"/>
        <v>2.98</v>
      </c>
      <c r="GP7" s="40">
        <f t="shared" si="80"/>
        <v>13.93</v>
      </c>
      <c r="GQ7" s="40">
        <f t="shared" si="81"/>
        <v>10.8</v>
      </c>
      <c r="GR7" s="40">
        <f t="shared" si="82"/>
        <v>14.97</v>
      </c>
      <c r="GS7" s="40">
        <f t="shared" si="83"/>
        <v>49.97</v>
      </c>
      <c r="GT7" s="40">
        <f t="shared" si="84"/>
        <v>49.97</v>
      </c>
      <c r="GU7" s="40">
        <f t="shared" si="85"/>
        <v>1.5</v>
      </c>
      <c r="GV7" s="40">
        <f t="shared" si="86"/>
        <v>1.58</v>
      </c>
      <c r="GW7" s="40">
        <f t="shared" si="87"/>
        <v>5.48</v>
      </c>
      <c r="GX7" s="40" t="str">
        <f t="shared" si="88"/>
        <v/>
      </c>
      <c r="GY7" s="40" t="str">
        <f t="shared" si="89"/>
        <v/>
      </c>
      <c r="GZ7" s="40" t="str">
        <f t="shared" si="90"/>
        <v/>
      </c>
      <c r="HA7" s="40">
        <f t="shared" si="91"/>
        <v>55.45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1" t="str">
        <f t="shared" si="104"/>
        <v/>
      </c>
      <c r="II7" s="11" t="str">
        <f t="shared" si="105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40" t="str">
        <f t="shared" si="118"/>
        <v/>
      </c>
      <c r="JQ7" s="40" t="str">
        <f t="shared" si="119"/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1" t="str">
        <f t="shared" si="132"/>
        <v/>
      </c>
      <c r="KY7" s="11" t="str">
        <f t="shared" si="133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40" t="str">
        <f t="shared" si="146"/>
        <v/>
      </c>
      <c r="MG7" s="40" t="str">
        <f t="shared" si="14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1" t="str">
        <f t="shared" si="160"/>
        <v/>
      </c>
      <c r="NO7" s="11" t="str">
        <f t="shared" si="161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40" t="str">
        <f t="shared" si="174"/>
        <v/>
      </c>
      <c r="OW7" s="40" t="str">
        <f t="shared" si="175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1" t="str">
        <f t="shared" si="188"/>
        <v/>
      </c>
      <c r="QE7" s="11" t="str">
        <f t="shared" si="189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40" t="str">
        <f t="shared" si="202"/>
        <v/>
      </c>
      <c r="RM7" s="40" t="str">
        <f t="shared" si="203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11" t="str">
        <f t="shared" si="216"/>
        <v/>
      </c>
      <c r="SU7" s="11" t="str">
        <f t="shared" si="217"/>
        <v/>
      </c>
      <c r="SV7" s="22">
        <f t="shared" si="218"/>
        <v>0</v>
      </c>
      <c r="SW7" s="22">
        <f t="shared" si="219"/>
        <v>0</v>
      </c>
      <c r="SX7" s="22">
        <f t="shared" si="220"/>
        <v>0</v>
      </c>
      <c r="SY7" s="22">
        <f t="shared" si="221"/>
        <v>0</v>
      </c>
      <c r="SZ7" s="22">
        <f t="shared" si="222"/>
        <v>0</v>
      </c>
      <c r="TA7" s="22">
        <f t="shared" si="223"/>
        <v>0</v>
      </c>
      <c r="TB7" s="22">
        <f t="shared" si="224"/>
        <v>0</v>
      </c>
      <c r="TC7" s="22">
        <f t="shared" si="225"/>
        <v>0</v>
      </c>
      <c r="TD7" s="22">
        <f t="shared" si="226"/>
        <v>0</v>
      </c>
      <c r="TE7" s="22">
        <f t="shared" si="227"/>
        <v>0</v>
      </c>
      <c r="TF7" s="22">
        <f t="shared" si="228"/>
        <v>0</v>
      </c>
      <c r="TG7" s="22">
        <f t="shared" si="229"/>
        <v>0</v>
      </c>
      <c r="TH7" s="22">
        <f t="shared" si="230"/>
        <v>0</v>
      </c>
      <c r="TI7" s="22">
        <f t="shared" si="231"/>
        <v>0</v>
      </c>
      <c r="TJ7" s="22">
        <f t="shared" si="232"/>
        <v>0</v>
      </c>
      <c r="TK7" s="27" t="s">
        <v>46</v>
      </c>
      <c r="TL7" s="40" t="str">
        <f t="shared" si="233"/>
        <v/>
      </c>
      <c r="TM7" s="40" t="str">
        <f t="shared" si="234"/>
        <v/>
      </c>
      <c r="TN7" s="40" t="str">
        <f t="shared" si="235"/>
        <v/>
      </c>
      <c r="TO7" s="40" t="str">
        <f t="shared" si="236"/>
        <v/>
      </c>
      <c r="TP7" s="40" t="str">
        <f t="shared" si="237"/>
        <v/>
      </c>
      <c r="TQ7" s="40" t="str">
        <f t="shared" si="238"/>
        <v/>
      </c>
      <c r="TR7" s="40" t="str">
        <f t="shared" si="239"/>
        <v/>
      </c>
      <c r="TS7" s="40" t="str">
        <f t="shared" si="240"/>
        <v/>
      </c>
      <c r="TT7" s="40" t="str">
        <f t="shared" si="241"/>
        <v/>
      </c>
      <c r="TU7" s="40" t="str">
        <f t="shared" si="242"/>
        <v/>
      </c>
      <c r="TV7" s="40" t="str">
        <f t="shared" si="243"/>
        <v/>
      </c>
    </row>
    <row r="8" spans="1:542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>3</v>
      </c>
      <c r="C8" s="5" t="s">
        <v>152</v>
      </c>
      <c r="D8" s="4" t="s">
        <v>5</v>
      </c>
      <c r="E8" s="4">
        <v>2007</v>
      </c>
      <c r="F8" s="9">
        <f t="shared" si="0"/>
        <v>173.42001710500494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IF(COUNT(AQ8,AT8,BR8,BU8,CS8,CV8)&gt;0,LARGE((AQ8,AT8,BR8,BU8,CS8,CV8),1),0)</f>
        <v>49.53</v>
      </c>
      <c r="M8" s="8" t="str">
        <f t="shared" si="5"/>
        <v>2024 Nationals</v>
      </c>
      <c r="N8" s="8">
        <f>IF(COUNT(AQ8,AT8,BR8,BU8,CS8,CV8)&gt;1,LARGE((AQ8,AT8,BR8,BU8,CS8,CV8),2),0)</f>
        <v>47.01</v>
      </c>
      <c r="O8" s="8" t="str">
        <f t="shared" si="6"/>
        <v>2025 Elite Canada</v>
      </c>
      <c r="P8" s="8">
        <f>IF(COUNT(AQ8,AT8,BR8,BU8,CS8,CV8)&gt;2,MAX(AX8,BY8,CZ8,LARGE((AQ8,AT8,BR8,BU8,CS8,CV8),3)),IF(MAX(AX8,BY8,CZ8)&gt;0,MAX(AX8,BY8,CZ8),0))</f>
        <v>48.930000000000007</v>
      </c>
      <c r="Q8" s="8" t="str">
        <f t="shared" si="7"/>
        <v>2024 Nationals</v>
      </c>
      <c r="R8" s="8">
        <f t="shared" si="8"/>
        <v>11.6</v>
      </c>
      <c r="S8" s="8" t="str">
        <f t="shared" si="9"/>
        <v>2024 Nationals</v>
      </c>
      <c r="T8" s="8">
        <f t="shared" si="10"/>
        <v>13.98</v>
      </c>
      <c r="U8" s="8" t="str">
        <f t="shared" si="11"/>
        <v>2024 Coimbra Gym Fest (July 7)</v>
      </c>
      <c r="V8" s="8">
        <f t="shared" si="12"/>
        <v>2.3699999999999974</v>
      </c>
      <c r="W8" s="11" t="str">
        <f t="shared" si="13"/>
        <v>(Optional)</v>
      </c>
      <c r="X8" s="8" t="str">
        <f t="shared" si="14"/>
        <v>2024 Coimbra Gym Fest (July 7)</v>
      </c>
      <c r="Y8" s="22">
        <v>15.7</v>
      </c>
      <c r="Z8" s="22">
        <v>8.6999999999999993</v>
      </c>
      <c r="AA8" s="22">
        <v>11.4</v>
      </c>
      <c r="AB8" s="22">
        <v>13.73</v>
      </c>
      <c r="AC8" s="22">
        <v>0</v>
      </c>
      <c r="AD8" s="22">
        <v>9.4</v>
      </c>
      <c r="AE8" s="22">
        <v>5.5</v>
      </c>
      <c r="AF8" s="22">
        <v>7.1</v>
      </c>
      <c r="AG8" s="22">
        <v>8.33</v>
      </c>
      <c r="AH8" s="22">
        <v>0</v>
      </c>
      <c r="AI8" s="22">
        <v>14.8</v>
      </c>
      <c r="AJ8" s="22">
        <v>8.8000000000000007</v>
      </c>
      <c r="AK8" s="22">
        <v>11.6</v>
      </c>
      <c r="AL8" s="22">
        <v>13.73</v>
      </c>
      <c r="AM8" s="22">
        <v>0</v>
      </c>
      <c r="AN8" s="27"/>
      <c r="AO8" s="38">
        <f t="shared" si="15"/>
        <v>11.4</v>
      </c>
      <c r="AP8" s="38">
        <f t="shared" si="16"/>
        <v>13.73</v>
      </c>
      <c r="AQ8" s="40">
        <f t="shared" si="17"/>
        <v>49.53</v>
      </c>
      <c r="AR8" s="40">
        <f t="shared" si="18"/>
        <v>7.1</v>
      </c>
      <c r="AS8" s="40">
        <f t="shared" si="19"/>
        <v>8.33</v>
      </c>
      <c r="AT8" s="40">
        <f t="shared" si="20"/>
        <v>30.33</v>
      </c>
      <c r="AU8" s="40">
        <f t="shared" si="21"/>
        <v>49.53</v>
      </c>
      <c r="AV8" s="40">
        <f t="shared" si="22"/>
        <v>11.6</v>
      </c>
      <c r="AW8" s="40">
        <f t="shared" si="23"/>
        <v>13.73</v>
      </c>
      <c r="AX8" s="40">
        <f t="shared" si="24"/>
        <v>48.930000000000007</v>
      </c>
      <c r="AY8" s="40">
        <f t="shared" si="25"/>
        <v>98.460000000000008</v>
      </c>
      <c r="AZ8" s="26">
        <v>10.899999999999999</v>
      </c>
      <c r="BA8" s="26">
        <v>6.1499999999999995</v>
      </c>
      <c r="BB8" s="26">
        <v>8</v>
      </c>
      <c r="BC8" s="26">
        <v>9.7050000000000001</v>
      </c>
      <c r="BD8" s="26">
        <v>0</v>
      </c>
      <c r="BE8" s="26">
        <v>9.6000000000000014</v>
      </c>
      <c r="BF8" s="26">
        <v>6</v>
      </c>
      <c r="BG8" s="26">
        <v>7.05</v>
      </c>
      <c r="BH8" s="26">
        <v>8.9250000000000007</v>
      </c>
      <c r="BI8" s="26">
        <v>0</v>
      </c>
      <c r="BJ8" s="26">
        <v>7.4</v>
      </c>
      <c r="BK8" s="26">
        <v>4.4000000000000004</v>
      </c>
      <c r="BL8" s="26">
        <v>5.8</v>
      </c>
      <c r="BM8" s="26">
        <v>6.8650000000000002</v>
      </c>
      <c r="BN8" s="26">
        <v>0</v>
      </c>
      <c r="BO8" s="28" t="s">
        <v>46</v>
      </c>
      <c r="BP8" s="39">
        <f t="shared" si="26"/>
        <v>8</v>
      </c>
      <c r="BQ8" s="39">
        <f t="shared" si="27"/>
        <v>9.7050000000000001</v>
      </c>
      <c r="BR8" s="11">
        <f t="shared" si="28"/>
        <v>34.754999999999995</v>
      </c>
      <c r="BS8" s="11">
        <f t="shared" si="29"/>
        <v>7.05</v>
      </c>
      <c r="BT8" s="11">
        <f t="shared" si="30"/>
        <v>8.9250000000000007</v>
      </c>
      <c r="BU8" s="11">
        <f t="shared" si="31"/>
        <v>31.575000000000003</v>
      </c>
      <c r="BV8" s="11">
        <f t="shared" si="32"/>
        <v>34.754999999999995</v>
      </c>
      <c r="BW8" s="11">
        <f t="shared" si="33"/>
        <v>5.8</v>
      </c>
      <c r="BX8" s="11">
        <f t="shared" si="34"/>
        <v>6.8650000000000002</v>
      </c>
      <c r="BY8" s="11">
        <f t="shared" si="35"/>
        <v>24.465000000000003</v>
      </c>
      <c r="BZ8" s="11">
        <f t="shared" si="36"/>
        <v>59.22</v>
      </c>
      <c r="CA8" s="22">
        <v>13.7</v>
      </c>
      <c r="CB8" s="22">
        <v>9.3000000000000007</v>
      </c>
      <c r="CC8" s="22">
        <v>10.3</v>
      </c>
      <c r="CD8" s="22">
        <v>14.21</v>
      </c>
      <c r="CE8" s="22">
        <v>0.5</v>
      </c>
      <c r="CF8" s="22">
        <v>7.4</v>
      </c>
      <c r="CG8" s="22">
        <v>4.8</v>
      </c>
      <c r="CH8" s="22">
        <v>5.8</v>
      </c>
      <c r="CI8" s="22">
        <v>7.22</v>
      </c>
      <c r="CJ8" s="22">
        <v>0</v>
      </c>
      <c r="CK8" s="22">
        <v>6</v>
      </c>
      <c r="CL8" s="22">
        <v>3.7</v>
      </c>
      <c r="CM8" s="22">
        <v>4.7</v>
      </c>
      <c r="CN8" s="22">
        <v>5.71</v>
      </c>
      <c r="CO8" s="22">
        <v>0</v>
      </c>
      <c r="CP8" s="27"/>
      <c r="CQ8" s="38">
        <f t="shared" si="37"/>
        <v>10.3</v>
      </c>
      <c r="CR8" s="38">
        <f t="shared" si="38"/>
        <v>14.21</v>
      </c>
      <c r="CS8" s="40">
        <f t="shared" si="39"/>
        <v>47.01</v>
      </c>
      <c r="CT8" s="40">
        <f t="shared" si="40"/>
        <v>5.8</v>
      </c>
      <c r="CU8" s="40">
        <f t="shared" si="41"/>
        <v>7.22</v>
      </c>
      <c r="CV8" s="40">
        <f t="shared" si="42"/>
        <v>25.22</v>
      </c>
      <c r="CW8" s="40">
        <f t="shared" si="43"/>
        <v>47.01</v>
      </c>
      <c r="CX8" s="40">
        <f t="shared" si="44"/>
        <v>4.7</v>
      </c>
      <c r="CY8" s="40">
        <f t="shared" si="45"/>
        <v>5.71</v>
      </c>
      <c r="CZ8" s="40">
        <f t="shared" si="46"/>
        <v>20.11</v>
      </c>
      <c r="DA8" s="40">
        <f t="shared" si="47"/>
        <v>67.12</v>
      </c>
      <c r="DB8" s="50">
        <f t="shared" si="48"/>
        <v>2.3699999999999974</v>
      </c>
      <c r="DC8" s="50" t="str">
        <f t="shared" si="49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40" t="str">
        <f t="shared" si="62"/>
        <v/>
      </c>
      <c r="EK8" s="40" t="str">
        <f t="shared" si="63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1" t="str">
        <f t="shared" si="76"/>
        <v/>
      </c>
      <c r="FS8" s="11" t="str">
        <f t="shared" si="77"/>
        <v/>
      </c>
      <c r="FT8" s="17">
        <v>12.8</v>
      </c>
      <c r="FU8" s="17">
        <v>8.6</v>
      </c>
      <c r="FV8" s="17">
        <v>10.199999999999999</v>
      </c>
      <c r="FW8" s="17">
        <v>13.47</v>
      </c>
      <c r="FX8" s="17">
        <v>0</v>
      </c>
      <c r="FY8" s="17">
        <v>14.7</v>
      </c>
      <c r="FZ8" s="17">
        <v>9.1</v>
      </c>
      <c r="GA8" s="17">
        <v>11.6</v>
      </c>
      <c r="GB8" s="17">
        <v>13.98</v>
      </c>
      <c r="GC8" s="17">
        <v>0</v>
      </c>
      <c r="GD8" s="17">
        <v>14.7</v>
      </c>
      <c r="GE8" s="17">
        <v>8.4</v>
      </c>
      <c r="GF8" s="17">
        <v>11.4</v>
      </c>
      <c r="GG8" s="17">
        <v>13.84</v>
      </c>
      <c r="GH8" s="17">
        <v>0</v>
      </c>
      <c r="GI8" s="17">
        <v>13.7</v>
      </c>
      <c r="GJ8" s="17">
        <v>8.3000000000000007</v>
      </c>
      <c r="GK8" s="17">
        <v>10.199999999999999</v>
      </c>
      <c r="GL8" s="17">
        <v>13.68</v>
      </c>
      <c r="GM8" s="17">
        <v>0</v>
      </c>
      <c r="GN8" s="40">
        <f t="shared" si="78"/>
        <v>10.199999999999999</v>
      </c>
      <c r="GO8" s="40">
        <f t="shared" si="79"/>
        <v>13.47</v>
      </c>
      <c r="GP8" s="40">
        <f t="shared" si="80"/>
        <v>45.07</v>
      </c>
      <c r="GQ8" s="40">
        <f t="shared" si="81"/>
        <v>11.6</v>
      </c>
      <c r="GR8" s="40">
        <f t="shared" si="82"/>
        <v>13.98</v>
      </c>
      <c r="GS8" s="40">
        <f t="shared" si="83"/>
        <v>49.379999999999995</v>
      </c>
      <c r="GT8" s="40">
        <f t="shared" si="84"/>
        <v>49.379999999999995</v>
      </c>
      <c r="GU8" s="40">
        <f t="shared" si="85"/>
        <v>11.4</v>
      </c>
      <c r="GV8" s="40">
        <f t="shared" si="86"/>
        <v>13.84</v>
      </c>
      <c r="GW8" s="40">
        <f t="shared" si="87"/>
        <v>48.34</v>
      </c>
      <c r="GX8" s="40">
        <f t="shared" si="88"/>
        <v>10.199999999999999</v>
      </c>
      <c r="GY8" s="40">
        <f t="shared" si="89"/>
        <v>13.68</v>
      </c>
      <c r="GZ8" s="40">
        <f t="shared" si="90"/>
        <v>45.88</v>
      </c>
      <c r="HA8" s="40">
        <f t="shared" si="91"/>
        <v>143.6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1" t="str">
        <f t="shared" si="104"/>
        <v/>
      </c>
      <c r="II8" s="11" t="str">
        <f t="shared" si="105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40" t="str">
        <f t="shared" si="118"/>
        <v/>
      </c>
      <c r="JQ8" s="40" t="str">
        <f t="shared" si="119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1" t="str">
        <f t="shared" si="132"/>
        <v/>
      </c>
      <c r="KY8" s="11" t="str">
        <f t="shared" si="133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40" t="str">
        <f t="shared" si="146"/>
        <v/>
      </c>
      <c r="MG8" s="40" t="str">
        <f t="shared" si="14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1" t="str">
        <f t="shared" si="160"/>
        <v/>
      </c>
      <c r="NO8" s="11" t="str">
        <f t="shared" si="161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40" t="str">
        <f t="shared" si="174"/>
        <v/>
      </c>
      <c r="OW8" s="40" t="str">
        <f t="shared" si="175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1" t="str">
        <f t="shared" si="188"/>
        <v/>
      </c>
      <c r="QE8" s="11" t="str">
        <f t="shared" si="189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40" t="str">
        <f t="shared" si="202"/>
        <v/>
      </c>
      <c r="RM8" s="40" t="str">
        <f t="shared" si="203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11" t="str">
        <f t="shared" si="216"/>
        <v/>
      </c>
      <c r="SU8" s="11" t="str">
        <f t="shared" si="217"/>
        <v/>
      </c>
      <c r="SV8" s="22">
        <f t="shared" si="218"/>
        <v>12.299999999999999</v>
      </c>
      <c r="SW8" s="22">
        <f t="shared" si="219"/>
        <v>7.7249999999999996</v>
      </c>
      <c r="SX8" s="22">
        <f t="shared" si="220"/>
        <v>9.15</v>
      </c>
      <c r="SY8" s="22">
        <f t="shared" si="221"/>
        <v>11.9575</v>
      </c>
      <c r="SZ8" s="22">
        <f t="shared" si="222"/>
        <v>0.25</v>
      </c>
      <c r="TA8" s="22">
        <f t="shared" si="223"/>
        <v>8.5</v>
      </c>
      <c r="TB8" s="22">
        <f t="shared" si="224"/>
        <v>5.4</v>
      </c>
      <c r="TC8" s="22">
        <f t="shared" si="225"/>
        <v>6.4249999999999998</v>
      </c>
      <c r="TD8" s="22">
        <f t="shared" si="226"/>
        <v>8.0724999999999998</v>
      </c>
      <c r="TE8" s="22">
        <f t="shared" si="227"/>
        <v>0</v>
      </c>
      <c r="TF8" s="22">
        <f t="shared" si="228"/>
        <v>6.7</v>
      </c>
      <c r="TG8" s="22">
        <f t="shared" si="229"/>
        <v>4.0500000000000007</v>
      </c>
      <c r="TH8" s="22">
        <f t="shared" si="230"/>
        <v>5.25</v>
      </c>
      <c r="TI8" s="22">
        <f t="shared" si="231"/>
        <v>6.2874999999999996</v>
      </c>
      <c r="TJ8" s="22">
        <f t="shared" si="232"/>
        <v>0</v>
      </c>
      <c r="TK8" s="27" t="s">
        <v>46</v>
      </c>
      <c r="TL8" s="40">
        <f t="shared" si="233"/>
        <v>9.15</v>
      </c>
      <c r="TM8" s="40">
        <f t="shared" si="234"/>
        <v>11.9575</v>
      </c>
      <c r="TN8" s="40">
        <f t="shared" si="235"/>
        <v>40.882499999999993</v>
      </c>
      <c r="TO8" s="40">
        <f t="shared" si="236"/>
        <v>6.4249999999999998</v>
      </c>
      <c r="TP8" s="40">
        <f t="shared" si="237"/>
        <v>8.0724999999999998</v>
      </c>
      <c r="TQ8" s="40">
        <f t="shared" si="238"/>
        <v>28.397500000000001</v>
      </c>
      <c r="TR8" s="40">
        <f t="shared" si="239"/>
        <v>40.882499999999993</v>
      </c>
      <c r="TS8" s="40">
        <f t="shared" si="240"/>
        <v>5.25</v>
      </c>
      <c r="TT8" s="40">
        <f t="shared" si="241"/>
        <v>6.2874999999999996</v>
      </c>
      <c r="TU8" s="40">
        <f t="shared" si="242"/>
        <v>22.287500000000001</v>
      </c>
      <c r="TV8" s="40">
        <f t="shared" si="243"/>
        <v>63.169999999999995</v>
      </c>
    </row>
    <row r="9" spans="1:542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4</v>
      </c>
      <c r="C9" s="5" t="s">
        <v>125</v>
      </c>
      <c r="D9" s="4" t="s">
        <v>3</v>
      </c>
      <c r="E9" s="4">
        <v>2006</v>
      </c>
      <c r="F9" s="9">
        <f t="shared" si="0"/>
        <v>172.18001707200492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IF(COUNT(AQ9,AT9,BR9,BU9,CS9,CV9)&gt;0,LARGE((AQ9,AT9,BR9,BU9,CS9,CV9),1),0)</f>
        <v>49.150000000000006</v>
      </c>
      <c r="M9" s="8" t="str">
        <f t="shared" si="5"/>
        <v>2024 Nationals</v>
      </c>
      <c r="N9" s="8">
        <f>IF(COUNT(AQ9,AT9,BR9,BU9,CS9,CV9)&gt;1,LARGE((AQ9,AT9,BR9,BU9,CS9,CV9),2),0)</f>
        <v>47.480000000000004</v>
      </c>
      <c r="O9" s="8" t="str">
        <f t="shared" si="6"/>
        <v>2024 Nationals</v>
      </c>
      <c r="P9" s="8">
        <f>IF(COUNT(AQ9,AT9,BR9,BU9,CS9,CV9)&gt;2,MAX(AX9,BY9,CZ9,LARGE((AQ9,AT9,BR9,BU9,CS9,CV9),3)),IF(MAX(AX9,BY9,CZ9)&gt;0,MAX(AX9,BY9,CZ9),0))</f>
        <v>47.03</v>
      </c>
      <c r="Q9" s="8" t="str">
        <f t="shared" si="7"/>
        <v>2024 Nationals</v>
      </c>
      <c r="R9" s="8">
        <f t="shared" si="8"/>
        <v>13</v>
      </c>
      <c r="S9" s="8" t="str">
        <f t="shared" si="9"/>
        <v>2024 Nationals</v>
      </c>
      <c r="T9" s="8">
        <f t="shared" si="10"/>
        <v>14.06</v>
      </c>
      <c r="U9" s="8" t="str">
        <f t="shared" si="11"/>
        <v>2024 Pan Am Club Championships (May 19)</v>
      </c>
      <c r="V9" s="8">
        <f t="shared" si="12"/>
        <v>1.4599999999999937</v>
      </c>
      <c r="W9" s="11" t="str">
        <f t="shared" si="13"/>
        <v>(Optional)</v>
      </c>
      <c r="X9" s="8" t="str">
        <f t="shared" si="14"/>
        <v>2024 Pan Am Club Championships (May 19)</v>
      </c>
      <c r="Y9" s="22">
        <v>14.4</v>
      </c>
      <c r="Z9" s="22">
        <v>9.5</v>
      </c>
      <c r="AA9" s="22">
        <v>11.3</v>
      </c>
      <c r="AB9" s="22">
        <v>13.95</v>
      </c>
      <c r="AC9" s="22">
        <v>0</v>
      </c>
      <c r="AD9" s="22">
        <v>13.8</v>
      </c>
      <c r="AE9" s="22">
        <v>8.6999999999999993</v>
      </c>
      <c r="AF9" s="22">
        <v>11.5</v>
      </c>
      <c r="AG9" s="22">
        <v>13.48</v>
      </c>
      <c r="AH9" s="22">
        <v>0</v>
      </c>
      <c r="AI9" s="22">
        <v>11.7</v>
      </c>
      <c r="AJ9" s="22">
        <v>8.5</v>
      </c>
      <c r="AK9" s="22">
        <v>13</v>
      </c>
      <c r="AL9" s="22">
        <v>13.83</v>
      </c>
      <c r="AM9" s="22">
        <v>0</v>
      </c>
      <c r="AN9" s="27"/>
      <c r="AO9" s="38">
        <f t="shared" si="15"/>
        <v>11.3</v>
      </c>
      <c r="AP9" s="38">
        <f t="shared" si="16"/>
        <v>13.95</v>
      </c>
      <c r="AQ9" s="40">
        <f t="shared" si="17"/>
        <v>49.150000000000006</v>
      </c>
      <c r="AR9" s="40">
        <f t="shared" si="18"/>
        <v>11.5</v>
      </c>
      <c r="AS9" s="40">
        <f t="shared" si="19"/>
        <v>13.48</v>
      </c>
      <c r="AT9" s="40">
        <f t="shared" si="20"/>
        <v>47.480000000000004</v>
      </c>
      <c r="AU9" s="40">
        <f t="shared" si="21"/>
        <v>49.150000000000006</v>
      </c>
      <c r="AV9" s="40">
        <f t="shared" si="22"/>
        <v>13</v>
      </c>
      <c r="AW9" s="40">
        <f t="shared" si="23"/>
        <v>13.83</v>
      </c>
      <c r="AX9" s="40">
        <f t="shared" si="24"/>
        <v>47.03</v>
      </c>
      <c r="AY9" s="40">
        <f t="shared" si="25"/>
        <v>96.18</v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8"/>
      <c r="BP9" s="39" t="str">
        <f t="shared" si="26"/>
        <v/>
      </c>
      <c r="BQ9" s="39" t="str">
        <f t="shared" si="27"/>
        <v/>
      </c>
      <c r="BR9" s="11" t="str">
        <f t="shared" si="28"/>
        <v/>
      </c>
      <c r="BS9" s="11" t="str">
        <f t="shared" si="29"/>
        <v/>
      </c>
      <c r="BT9" s="11" t="str">
        <f t="shared" si="30"/>
        <v/>
      </c>
      <c r="BU9" s="11" t="str">
        <f t="shared" si="31"/>
        <v/>
      </c>
      <c r="BV9" s="11" t="str">
        <f t="shared" si="32"/>
        <v/>
      </c>
      <c r="BW9" s="11" t="str">
        <f t="shared" si="33"/>
        <v/>
      </c>
      <c r="BX9" s="11" t="str">
        <f t="shared" si="34"/>
        <v/>
      </c>
      <c r="BY9" s="11" t="str">
        <f t="shared" si="35"/>
        <v/>
      </c>
      <c r="BZ9" s="11" t="str">
        <f t="shared" si="36"/>
        <v/>
      </c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7"/>
      <c r="CQ9" s="38" t="str">
        <f t="shared" si="37"/>
        <v/>
      </c>
      <c r="CR9" s="38" t="str">
        <f t="shared" si="38"/>
        <v/>
      </c>
      <c r="CS9" s="40" t="str">
        <f t="shared" si="39"/>
        <v/>
      </c>
      <c r="CT9" s="40" t="str">
        <f t="shared" si="40"/>
        <v/>
      </c>
      <c r="CU9" s="40" t="str">
        <f t="shared" si="41"/>
        <v/>
      </c>
      <c r="CV9" s="40" t="str">
        <f t="shared" si="42"/>
        <v/>
      </c>
      <c r="CW9" s="40" t="str">
        <f t="shared" si="43"/>
        <v/>
      </c>
      <c r="CX9" s="40" t="str">
        <f t="shared" si="44"/>
        <v/>
      </c>
      <c r="CY9" s="40" t="str">
        <f t="shared" si="45"/>
        <v/>
      </c>
      <c r="CZ9" s="40" t="str">
        <f t="shared" si="46"/>
        <v/>
      </c>
      <c r="DA9" s="40" t="str">
        <f t="shared" si="47"/>
        <v/>
      </c>
      <c r="DB9" s="50">
        <f t="shared" si="48"/>
        <v>1.4599999999999937</v>
      </c>
      <c r="DC9" s="50">
        <f t="shared" si="49"/>
        <v>0.39999999999999858</v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40" t="str">
        <f t="shared" si="62"/>
        <v/>
      </c>
      <c r="EK9" s="40" t="str">
        <f t="shared" si="63"/>
        <v/>
      </c>
      <c r="EL9" s="18">
        <v>13.5</v>
      </c>
      <c r="EM9" s="18">
        <v>9.1999999999999993</v>
      </c>
      <c r="EN9" s="18">
        <v>12.2</v>
      </c>
      <c r="EO9" s="18">
        <v>13.59</v>
      </c>
      <c r="EP9" s="18">
        <v>0</v>
      </c>
      <c r="EQ9" s="18">
        <v>13.4</v>
      </c>
      <c r="ER9" s="18">
        <v>8.8000000000000007</v>
      </c>
      <c r="ES9" s="18">
        <v>12.2</v>
      </c>
      <c r="ET9" s="18">
        <v>14.06</v>
      </c>
      <c r="EU9" s="18">
        <v>0</v>
      </c>
      <c r="EV9" s="18"/>
      <c r="EW9" s="18"/>
      <c r="EX9" s="18"/>
      <c r="EY9" s="18"/>
      <c r="EZ9" s="18"/>
      <c r="FA9" s="18">
        <v>14</v>
      </c>
      <c r="FB9" s="18">
        <v>9.3000000000000007</v>
      </c>
      <c r="FC9" s="18">
        <v>10.1</v>
      </c>
      <c r="FD9" s="18">
        <v>14.03</v>
      </c>
      <c r="FE9" s="18">
        <v>0</v>
      </c>
      <c r="FF9" s="11">
        <f t="shared" si="64"/>
        <v>12.2</v>
      </c>
      <c r="FG9" s="11">
        <f t="shared" si="65"/>
        <v>13.59</v>
      </c>
      <c r="FH9" s="11">
        <f t="shared" si="66"/>
        <v>48.489999999999995</v>
      </c>
      <c r="FI9" s="11">
        <f t="shared" si="67"/>
        <v>12.2</v>
      </c>
      <c r="FJ9" s="11">
        <f t="shared" si="68"/>
        <v>14.06</v>
      </c>
      <c r="FK9" s="11">
        <f t="shared" si="69"/>
        <v>48.460000000000008</v>
      </c>
      <c r="FL9" s="11">
        <f t="shared" si="70"/>
        <v>48.489999999999995</v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>
        <f t="shared" si="74"/>
        <v>10.1</v>
      </c>
      <c r="FQ9" s="11">
        <f t="shared" si="75"/>
        <v>14.03</v>
      </c>
      <c r="FR9" s="11">
        <f t="shared" si="76"/>
        <v>47.43</v>
      </c>
      <c r="FS9" s="11">
        <f t="shared" si="77"/>
        <v>95.919999999999987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40" t="str">
        <f t="shared" si="90"/>
        <v/>
      </c>
      <c r="HA9" s="40" t="str">
        <f t="shared" si="91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1" t="str">
        <f t="shared" si="104"/>
        <v/>
      </c>
      <c r="II9" s="11" t="str">
        <f t="shared" si="105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40" t="str">
        <f t="shared" si="118"/>
        <v/>
      </c>
      <c r="JQ9" s="40" t="str">
        <f t="shared" si="119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1" t="str">
        <f t="shared" si="132"/>
        <v/>
      </c>
      <c r="KY9" s="11" t="str">
        <f t="shared" si="133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40" t="str">
        <f t="shared" si="146"/>
        <v/>
      </c>
      <c r="MG9" s="40" t="str">
        <f t="shared" si="14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1" t="str">
        <f t="shared" si="160"/>
        <v/>
      </c>
      <c r="NO9" s="11" t="str">
        <f t="shared" si="161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40" t="str">
        <f t="shared" si="174"/>
        <v/>
      </c>
      <c r="OW9" s="40" t="str">
        <f t="shared" si="175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1" t="str">
        <f t="shared" si="188"/>
        <v/>
      </c>
      <c r="QE9" s="11" t="str">
        <f t="shared" si="189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40" t="str">
        <f t="shared" si="202"/>
        <v/>
      </c>
      <c r="RM9" s="40" t="str">
        <f t="shared" si="203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11" t="str">
        <f t="shared" si="216"/>
        <v/>
      </c>
      <c r="SU9" s="11" t="str">
        <f t="shared" si="217"/>
        <v/>
      </c>
      <c r="SV9" s="22">
        <f t="shared" si="218"/>
        <v>0</v>
      </c>
      <c r="SW9" s="22">
        <f t="shared" si="219"/>
        <v>0</v>
      </c>
      <c r="SX9" s="22">
        <f t="shared" si="220"/>
        <v>0</v>
      </c>
      <c r="SY9" s="22">
        <f t="shared" si="221"/>
        <v>0</v>
      </c>
      <c r="SZ9" s="22">
        <f t="shared" si="222"/>
        <v>0</v>
      </c>
      <c r="TA9" s="22">
        <f t="shared" si="223"/>
        <v>0</v>
      </c>
      <c r="TB9" s="22">
        <f t="shared" si="224"/>
        <v>0</v>
      </c>
      <c r="TC9" s="22">
        <f t="shared" si="225"/>
        <v>0</v>
      </c>
      <c r="TD9" s="22">
        <f t="shared" si="226"/>
        <v>0</v>
      </c>
      <c r="TE9" s="22">
        <f t="shared" si="227"/>
        <v>0</v>
      </c>
      <c r="TF9" s="22">
        <f t="shared" si="228"/>
        <v>0</v>
      </c>
      <c r="TG9" s="22">
        <f t="shared" si="229"/>
        <v>0</v>
      </c>
      <c r="TH9" s="22">
        <f t="shared" si="230"/>
        <v>0</v>
      </c>
      <c r="TI9" s="22">
        <f t="shared" si="231"/>
        <v>0</v>
      </c>
      <c r="TJ9" s="22">
        <f t="shared" si="232"/>
        <v>0</v>
      </c>
      <c r="TK9" s="27" t="s">
        <v>46</v>
      </c>
      <c r="TL9" s="40" t="str">
        <f t="shared" si="233"/>
        <v/>
      </c>
      <c r="TM9" s="40" t="str">
        <f t="shared" si="234"/>
        <v/>
      </c>
      <c r="TN9" s="40" t="str">
        <f t="shared" si="235"/>
        <v/>
      </c>
      <c r="TO9" s="40" t="str">
        <f t="shared" si="236"/>
        <v/>
      </c>
      <c r="TP9" s="40" t="str">
        <f t="shared" si="237"/>
        <v/>
      </c>
      <c r="TQ9" s="40" t="str">
        <f t="shared" si="238"/>
        <v/>
      </c>
      <c r="TR9" s="40" t="str">
        <f t="shared" si="239"/>
        <v/>
      </c>
      <c r="TS9" s="40" t="str">
        <f t="shared" si="240"/>
        <v/>
      </c>
      <c r="TT9" s="40" t="str">
        <f t="shared" si="241"/>
        <v/>
      </c>
      <c r="TU9" s="40" t="str">
        <f t="shared" si="242"/>
        <v/>
      </c>
      <c r="TV9" s="40" t="str">
        <f t="shared" si="243"/>
        <v/>
      </c>
    </row>
    <row r="10" spans="1:542" x14ac:dyDescent="0.2">
      <c r="A10" s="4" t="str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/>
      </c>
      <c r="B10" s="4" t="str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/>
      </c>
      <c r="C10" s="5" t="s">
        <v>207</v>
      </c>
      <c r="D10" s="4" t="s">
        <v>5</v>
      </c>
      <c r="E10" s="4">
        <v>2008</v>
      </c>
      <c r="F10" s="9">
        <f t="shared" si="0"/>
        <v>162.15001553000431</v>
      </c>
      <c r="G10" s="64"/>
      <c r="H10" s="3" t="str">
        <f t="shared" si="1"/>
        <v/>
      </c>
      <c r="I10" s="3" t="str">
        <f t="shared" si="2"/>
        <v/>
      </c>
      <c r="J10" s="36" t="str">
        <f t="shared" si="3"/>
        <v/>
      </c>
      <c r="K10" s="3" t="str">
        <f t="shared" si="4"/>
        <v/>
      </c>
      <c r="L10" s="8">
        <f>IF(COUNT(AQ10,AT10,BR10,BU10,CS10,CV10)&gt;0,LARGE((AQ10,AT10,BR10,BU10,CS10,CV10),1),0)</f>
        <v>42.64</v>
      </c>
      <c r="M10" s="8" t="str">
        <f t="shared" si="5"/>
        <v>2024 Nationals</v>
      </c>
      <c r="N10" s="8">
        <f>IF(COUNT(AQ10,AT10,BR10,BU10,CS10,CV10)&gt;1,LARGE((AQ10,AT10,BR10,BU10,CS10,CV10),2),0)</f>
        <v>40.419999999999995</v>
      </c>
      <c r="O10" s="8" t="str">
        <f t="shared" si="6"/>
        <v>2024 3rd Domestic Trial</v>
      </c>
      <c r="P10" s="8">
        <f>IF(COUNT(AQ10,AT10,BR10,BU10,CS10,CV10)&gt;2,MAX(AX10,BY10,CZ10,LARGE((AQ10,AT10,BR10,BU10,CS10,CV10),3)),IF(MAX(AX10,BY10,CZ10)&gt;0,MAX(AX10,BY10,CZ10),0))</f>
        <v>47.320000000000007</v>
      </c>
      <c r="Q10" s="8" t="str">
        <f t="shared" si="7"/>
        <v>2024 Nationals</v>
      </c>
      <c r="R10" s="8">
        <f t="shared" si="8"/>
        <v>10.8</v>
      </c>
      <c r="S10" s="8" t="str">
        <f t="shared" si="9"/>
        <v>2024 Coimbra Gym Fest (July 7)</v>
      </c>
      <c r="T10" s="8">
        <f t="shared" si="10"/>
        <v>14.12</v>
      </c>
      <c r="U10" s="8" t="str">
        <f t="shared" si="11"/>
        <v>2024 3rd Domestic Trial</v>
      </c>
      <c r="V10" s="8">
        <f t="shared" si="12"/>
        <v>6.8500000000000085</v>
      </c>
      <c r="W10" s="11" t="str">
        <f t="shared" si="13"/>
        <v>(Optional)</v>
      </c>
      <c r="X10" s="8" t="str">
        <f t="shared" si="14"/>
        <v>2024 Coimbra Gym Fest (July 7)</v>
      </c>
      <c r="Y10" s="22">
        <v>17.100000000000001</v>
      </c>
      <c r="Z10" s="22">
        <v>9.1</v>
      </c>
      <c r="AA10" s="22">
        <v>0</v>
      </c>
      <c r="AB10" s="22">
        <v>13.95</v>
      </c>
      <c r="AC10" s="22">
        <v>0</v>
      </c>
      <c r="AD10" s="22">
        <v>12.9</v>
      </c>
      <c r="AE10" s="22">
        <v>8.1999999999999993</v>
      </c>
      <c r="AF10" s="22">
        <v>9.1999999999999993</v>
      </c>
      <c r="AG10" s="22">
        <v>12.34</v>
      </c>
      <c r="AH10" s="22">
        <v>0</v>
      </c>
      <c r="AI10" s="22">
        <v>15.9</v>
      </c>
      <c r="AJ10" s="22">
        <v>8.8000000000000007</v>
      </c>
      <c r="AK10" s="22">
        <v>9.1</v>
      </c>
      <c r="AL10" s="22">
        <v>13.52</v>
      </c>
      <c r="AM10" s="22">
        <v>0</v>
      </c>
      <c r="AN10" s="27"/>
      <c r="AO10" s="38" t="str">
        <f t="shared" si="15"/>
        <v/>
      </c>
      <c r="AP10" s="38">
        <f t="shared" si="16"/>
        <v>13.95</v>
      </c>
      <c r="AQ10" s="40">
        <f t="shared" si="17"/>
        <v>40.150000000000006</v>
      </c>
      <c r="AR10" s="40">
        <f t="shared" si="18"/>
        <v>9.1999999999999993</v>
      </c>
      <c r="AS10" s="40">
        <f t="shared" si="19"/>
        <v>12.34</v>
      </c>
      <c r="AT10" s="40">
        <f t="shared" si="20"/>
        <v>42.64</v>
      </c>
      <c r="AU10" s="40">
        <f t="shared" si="21"/>
        <v>42.64</v>
      </c>
      <c r="AV10" s="40">
        <f t="shared" si="22"/>
        <v>9.1</v>
      </c>
      <c r="AW10" s="40">
        <f t="shared" si="23"/>
        <v>13.52</v>
      </c>
      <c r="AX10" s="40">
        <f t="shared" si="24"/>
        <v>47.320000000000007</v>
      </c>
      <c r="AY10" s="40">
        <f t="shared" si="25"/>
        <v>89.960000000000008</v>
      </c>
      <c r="AZ10" s="26">
        <v>16.899999999999999</v>
      </c>
      <c r="BA10" s="26">
        <v>9.4</v>
      </c>
      <c r="BB10" s="26">
        <v>0</v>
      </c>
      <c r="BC10" s="26">
        <v>14.12</v>
      </c>
      <c r="BD10" s="26">
        <v>0</v>
      </c>
      <c r="BE10" s="26">
        <v>7</v>
      </c>
      <c r="BF10" s="26">
        <v>4.3</v>
      </c>
      <c r="BG10" s="26">
        <v>4.7</v>
      </c>
      <c r="BH10" s="26">
        <v>6.95</v>
      </c>
      <c r="BI10" s="26">
        <v>0</v>
      </c>
      <c r="BJ10" s="26">
        <v>4.9000000000000004</v>
      </c>
      <c r="BK10" s="26">
        <v>3</v>
      </c>
      <c r="BL10" s="26">
        <v>2.9</v>
      </c>
      <c r="BM10" s="26">
        <v>4.1500000000000004</v>
      </c>
      <c r="BN10" s="26">
        <v>0</v>
      </c>
      <c r="BO10" s="28"/>
      <c r="BP10" s="39" t="str">
        <f t="shared" si="26"/>
        <v/>
      </c>
      <c r="BQ10" s="39">
        <f t="shared" si="27"/>
        <v>14.12</v>
      </c>
      <c r="BR10" s="11">
        <f t="shared" si="28"/>
        <v>40.419999999999995</v>
      </c>
      <c r="BS10" s="11">
        <f t="shared" si="29"/>
        <v>4.7</v>
      </c>
      <c r="BT10" s="11">
        <f t="shared" si="30"/>
        <v>6.95</v>
      </c>
      <c r="BU10" s="11">
        <f t="shared" si="31"/>
        <v>22.95</v>
      </c>
      <c r="BV10" s="11">
        <f t="shared" si="32"/>
        <v>40.419999999999995</v>
      </c>
      <c r="BW10" s="11">
        <f t="shared" si="33"/>
        <v>2.9</v>
      </c>
      <c r="BX10" s="11">
        <f t="shared" si="34"/>
        <v>4.1500000000000004</v>
      </c>
      <c r="BY10" s="11">
        <f t="shared" si="35"/>
        <v>14.950000000000001</v>
      </c>
      <c r="BZ10" s="11">
        <f t="shared" si="36"/>
        <v>55.37</v>
      </c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7"/>
      <c r="CQ10" s="38" t="str">
        <f t="shared" si="37"/>
        <v/>
      </c>
      <c r="CR10" s="38" t="str">
        <f t="shared" si="38"/>
        <v/>
      </c>
      <c r="CS10" s="40" t="str">
        <f t="shared" si="39"/>
        <v/>
      </c>
      <c r="CT10" s="40" t="str">
        <f t="shared" si="40"/>
        <v/>
      </c>
      <c r="CU10" s="40" t="str">
        <f t="shared" si="41"/>
        <v/>
      </c>
      <c r="CV10" s="40" t="str">
        <f t="shared" si="42"/>
        <v/>
      </c>
      <c r="CW10" s="40" t="str">
        <f t="shared" si="43"/>
        <v/>
      </c>
      <c r="CX10" s="40" t="str">
        <f t="shared" si="44"/>
        <v/>
      </c>
      <c r="CY10" s="40" t="str">
        <f t="shared" si="45"/>
        <v/>
      </c>
      <c r="CZ10" s="40" t="str">
        <f t="shared" si="46"/>
        <v/>
      </c>
      <c r="DA10" s="40" t="str">
        <f t="shared" si="47"/>
        <v/>
      </c>
      <c r="DB10" s="50">
        <f t="shared" si="48"/>
        <v>6.8500000000000085</v>
      </c>
      <c r="DC10" s="50" t="str">
        <f t="shared" si="49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0"/>
        <v/>
      </c>
      <c r="DY10" s="40" t="str">
        <f t="shared" si="51"/>
        <v/>
      </c>
      <c r="DZ10" s="40" t="str">
        <f t="shared" si="52"/>
        <v/>
      </c>
      <c r="EA10" s="40" t="str">
        <f t="shared" si="53"/>
        <v/>
      </c>
      <c r="EB10" s="40" t="str">
        <f t="shared" si="54"/>
        <v/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 t="str">
        <f t="shared" si="61"/>
        <v/>
      </c>
      <c r="EJ10" s="40" t="str">
        <f t="shared" si="62"/>
        <v/>
      </c>
      <c r="EK10" s="40" t="str">
        <f t="shared" si="63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1" t="str">
        <f t="shared" si="76"/>
        <v/>
      </c>
      <c r="FS10" s="11" t="str">
        <f t="shared" si="77"/>
        <v/>
      </c>
      <c r="FT10" s="17">
        <v>15</v>
      </c>
      <c r="FU10" s="17">
        <v>0</v>
      </c>
      <c r="FV10" s="17">
        <v>9.6</v>
      </c>
      <c r="FW10" s="17">
        <v>13.77</v>
      </c>
      <c r="FX10" s="17">
        <v>0</v>
      </c>
      <c r="FY10" s="17">
        <v>13.7</v>
      </c>
      <c r="FZ10" s="17">
        <v>9.1999999999999993</v>
      </c>
      <c r="GA10" s="17">
        <v>10.8</v>
      </c>
      <c r="GB10" s="17">
        <v>13.57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>
        <f t="shared" si="78"/>
        <v>9.6</v>
      </c>
      <c r="GO10" s="40">
        <f t="shared" si="79"/>
        <v>13.77</v>
      </c>
      <c r="GP10" s="40">
        <f t="shared" si="80"/>
        <v>38.370000000000005</v>
      </c>
      <c r="GQ10" s="40">
        <f t="shared" si="81"/>
        <v>10.8</v>
      </c>
      <c r="GR10" s="40">
        <f t="shared" si="82"/>
        <v>13.57</v>
      </c>
      <c r="GS10" s="40">
        <f t="shared" si="83"/>
        <v>47.27</v>
      </c>
      <c r="GT10" s="40">
        <f t="shared" si="84"/>
        <v>47.27</v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40" t="str">
        <f t="shared" si="90"/>
        <v/>
      </c>
      <c r="HA10" s="40">
        <f t="shared" si="91"/>
        <v>47.27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1" t="str">
        <f t="shared" si="104"/>
        <v/>
      </c>
      <c r="II10" s="11" t="str">
        <f t="shared" si="105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40" t="str">
        <f t="shared" si="118"/>
        <v/>
      </c>
      <c r="JQ10" s="40" t="str">
        <f t="shared" si="119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1" t="str">
        <f t="shared" si="132"/>
        <v/>
      </c>
      <c r="KY10" s="11" t="str">
        <f t="shared" si="133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40" t="str">
        <f t="shared" si="146"/>
        <v/>
      </c>
      <c r="MG10" s="40" t="str">
        <f t="shared" si="14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1" t="str">
        <f t="shared" si="160"/>
        <v/>
      </c>
      <c r="NO10" s="11" t="str">
        <f t="shared" si="161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40" t="str">
        <f t="shared" si="174"/>
        <v/>
      </c>
      <c r="OW10" s="40" t="str">
        <f t="shared" si="175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1" t="str">
        <f t="shared" si="188"/>
        <v/>
      </c>
      <c r="QE10" s="11" t="str">
        <f t="shared" si="189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40" t="str">
        <f t="shared" si="202"/>
        <v/>
      </c>
      <c r="RM10" s="40" t="str">
        <f t="shared" si="203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11" t="str">
        <f t="shared" si="216"/>
        <v/>
      </c>
      <c r="SU10" s="11" t="str">
        <f t="shared" si="217"/>
        <v/>
      </c>
      <c r="SV10" s="22">
        <f t="shared" si="218"/>
        <v>8.4499999999999993</v>
      </c>
      <c r="SW10" s="22">
        <f t="shared" si="219"/>
        <v>4.7</v>
      </c>
      <c r="SX10" s="22">
        <f t="shared" si="220"/>
        <v>0</v>
      </c>
      <c r="SY10" s="22">
        <f t="shared" si="221"/>
        <v>7.06</v>
      </c>
      <c r="SZ10" s="22">
        <f t="shared" si="222"/>
        <v>0</v>
      </c>
      <c r="TA10" s="22">
        <f t="shared" si="223"/>
        <v>3.5</v>
      </c>
      <c r="TB10" s="22">
        <f t="shared" si="224"/>
        <v>2.15</v>
      </c>
      <c r="TC10" s="22">
        <f t="shared" si="225"/>
        <v>2.35</v>
      </c>
      <c r="TD10" s="22">
        <f t="shared" si="226"/>
        <v>3.4750000000000001</v>
      </c>
      <c r="TE10" s="22">
        <f t="shared" si="227"/>
        <v>0</v>
      </c>
      <c r="TF10" s="22">
        <f t="shared" si="228"/>
        <v>2.4500000000000002</v>
      </c>
      <c r="TG10" s="22">
        <f t="shared" si="229"/>
        <v>1.5</v>
      </c>
      <c r="TH10" s="22">
        <f t="shared" si="230"/>
        <v>1.45</v>
      </c>
      <c r="TI10" s="22">
        <f t="shared" si="231"/>
        <v>2.0750000000000002</v>
      </c>
      <c r="TJ10" s="22">
        <f t="shared" si="232"/>
        <v>0</v>
      </c>
      <c r="TK10" s="27" t="s">
        <v>46</v>
      </c>
      <c r="TL10" s="40" t="str">
        <f t="shared" si="233"/>
        <v/>
      </c>
      <c r="TM10" s="40">
        <f t="shared" si="234"/>
        <v>7.06</v>
      </c>
      <c r="TN10" s="40">
        <f t="shared" si="235"/>
        <v>20.209999999999997</v>
      </c>
      <c r="TO10" s="40">
        <f t="shared" si="236"/>
        <v>2.35</v>
      </c>
      <c r="TP10" s="40">
        <f t="shared" si="237"/>
        <v>3.4750000000000001</v>
      </c>
      <c r="TQ10" s="40">
        <f t="shared" si="238"/>
        <v>11.475</v>
      </c>
      <c r="TR10" s="40">
        <f t="shared" si="239"/>
        <v>20.209999999999997</v>
      </c>
      <c r="TS10" s="40">
        <f t="shared" si="240"/>
        <v>1.45</v>
      </c>
      <c r="TT10" s="40">
        <f t="shared" si="241"/>
        <v>2.0750000000000002</v>
      </c>
      <c r="TU10" s="40">
        <f t="shared" si="242"/>
        <v>7.4750000000000005</v>
      </c>
      <c r="TV10" s="40">
        <f t="shared" si="243"/>
        <v>27.684999999999999</v>
      </c>
    </row>
    <row r="11" spans="1:542" x14ac:dyDescent="0.2">
      <c r="A11" s="4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>7</v>
      </c>
      <c r="B11" s="4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>5</v>
      </c>
      <c r="C11" s="5" t="s">
        <v>163</v>
      </c>
      <c r="D11" s="4" t="s">
        <v>6</v>
      </c>
      <c r="E11" s="4">
        <v>2006</v>
      </c>
      <c r="F11" s="9">
        <f t="shared" si="0"/>
        <v>153.42001493900483</v>
      </c>
      <c r="G11" s="64"/>
      <c r="H11" s="3" t="str">
        <f t="shared" si="1"/>
        <v/>
      </c>
      <c r="I11" s="3" t="str">
        <f t="shared" si="2"/>
        <v>P</v>
      </c>
      <c r="J11" s="36" t="str">
        <f t="shared" si="3"/>
        <v>No DD</v>
      </c>
      <c r="K11" s="3" t="str">
        <f t="shared" si="4"/>
        <v/>
      </c>
      <c r="L11" s="8">
        <f>IF(COUNT(AQ11,AT11,BR11,BU11,CS11,CV11)&gt;0,LARGE((AQ11,AT11,BR11,BU11,CS11,CV11),1),0)</f>
        <v>48.18</v>
      </c>
      <c r="M11" s="8" t="str">
        <f t="shared" si="5"/>
        <v>2024 3rd Domestic Trial</v>
      </c>
      <c r="N11" s="8">
        <f>IF(COUNT(AQ11,AT11,BR11,BU11,CS11,CV11)&gt;1,LARGE((AQ11,AT11,BR11,BU11,CS11,CV11),2),0)</f>
        <v>44.26</v>
      </c>
      <c r="O11" s="8" t="str">
        <f t="shared" si="6"/>
        <v>2024 Nationals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 t="shared" si="7"/>
        <v>2024 3rd Domestic Trial</v>
      </c>
      <c r="R11" s="8">
        <f t="shared" si="8"/>
        <v>9.1999999999999993</v>
      </c>
      <c r="S11" s="8" t="str">
        <f t="shared" si="9"/>
        <v>2024 Coimbra Gym Fest (July 7)</v>
      </c>
      <c r="T11" s="8">
        <f t="shared" si="10"/>
        <v>0</v>
      </c>
      <c r="U11" s="8" t="str">
        <f t="shared" si="11"/>
        <v/>
      </c>
      <c r="V11" s="8">
        <f t="shared" si="12"/>
        <v>4.0300000000000011</v>
      </c>
      <c r="W11" s="11" t="str">
        <f t="shared" si="13"/>
        <v>(Optional)</v>
      </c>
      <c r="X11" s="8" t="str">
        <f t="shared" si="14"/>
        <v>2024 Coimbra Gym Fest (July 7)</v>
      </c>
      <c r="Y11" s="22">
        <v>15.4</v>
      </c>
      <c r="Z11" s="22">
        <v>8.5</v>
      </c>
      <c r="AA11" s="22">
        <v>7.9</v>
      </c>
      <c r="AB11" s="22">
        <v>12.46</v>
      </c>
      <c r="AC11" s="22">
        <v>0</v>
      </c>
      <c r="AD11" s="22">
        <v>1.6</v>
      </c>
      <c r="AE11" s="22">
        <v>1</v>
      </c>
      <c r="AF11" s="22">
        <v>1.5</v>
      </c>
      <c r="AG11" s="22">
        <v>1.42</v>
      </c>
      <c r="AH11" s="22">
        <v>0</v>
      </c>
      <c r="AI11" s="22"/>
      <c r="AJ11" s="22"/>
      <c r="AK11" s="22"/>
      <c r="AL11" s="22"/>
      <c r="AM11" s="22"/>
      <c r="AN11" s="27"/>
      <c r="AO11" s="38">
        <f t="shared" si="15"/>
        <v>7.9</v>
      </c>
      <c r="AP11" s="38">
        <f t="shared" si="16"/>
        <v>12.46</v>
      </c>
      <c r="AQ11" s="40">
        <f t="shared" si="17"/>
        <v>44.26</v>
      </c>
      <c r="AR11" s="40">
        <f t="shared" si="18"/>
        <v>1.5</v>
      </c>
      <c r="AS11" s="40">
        <f t="shared" si="19"/>
        <v>1.42</v>
      </c>
      <c r="AT11" s="40">
        <f t="shared" si="20"/>
        <v>5.52</v>
      </c>
      <c r="AU11" s="40">
        <f t="shared" si="21"/>
        <v>44.26</v>
      </c>
      <c r="AV11" s="40" t="str">
        <f t="shared" si="22"/>
        <v/>
      </c>
      <c r="AW11" s="40" t="str">
        <f t="shared" si="23"/>
        <v/>
      </c>
      <c r="AX11" s="40" t="str">
        <f t="shared" si="24"/>
        <v/>
      </c>
      <c r="AY11" s="40">
        <f t="shared" si="25"/>
        <v>44.26</v>
      </c>
      <c r="AZ11" s="26">
        <v>9.3000000000000007</v>
      </c>
      <c r="BA11" s="26">
        <v>5.6</v>
      </c>
      <c r="BB11" s="26">
        <v>5.5</v>
      </c>
      <c r="BC11" s="26">
        <v>9.64</v>
      </c>
      <c r="BD11" s="26">
        <v>0</v>
      </c>
      <c r="BE11" s="26">
        <v>15.7</v>
      </c>
      <c r="BF11" s="26">
        <v>9.1999999999999993</v>
      </c>
      <c r="BG11" s="26">
        <v>9.1</v>
      </c>
      <c r="BH11" s="26">
        <v>14.18</v>
      </c>
      <c r="BI11" s="26">
        <v>0</v>
      </c>
      <c r="BJ11" s="26">
        <v>16</v>
      </c>
      <c r="BK11" s="26">
        <v>9.1</v>
      </c>
      <c r="BL11" s="26">
        <v>8.5</v>
      </c>
      <c r="BM11" s="26">
        <v>14.45</v>
      </c>
      <c r="BN11" s="26">
        <v>0.3</v>
      </c>
      <c r="BO11" s="28"/>
      <c r="BP11" s="39">
        <f t="shared" si="26"/>
        <v>5.5</v>
      </c>
      <c r="BQ11" s="39">
        <f t="shared" si="27"/>
        <v>9.64</v>
      </c>
      <c r="BR11" s="11">
        <f t="shared" si="28"/>
        <v>30.04</v>
      </c>
      <c r="BS11" s="11">
        <f t="shared" si="29"/>
        <v>9.1</v>
      </c>
      <c r="BT11" s="11">
        <f t="shared" si="30"/>
        <v>14.18</v>
      </c>
      <c r="BU11" s="11">
        <f t="shared" si="31"/>
        <v>48.18</v>
      </c>
      <c r="BV11" s="11">
        <f t="shared" si="32"/>
        <v>48.18</v>
      </c>
      <c r="BW11" s="11">
        <f t="shared" si="33"/>
        <v>8.5</v>
      </c>
      <c r="BX11" s="11">
        <f t="shared" si="34"/>
        <v>14.45</v>
      </c>
      <c r="BY11" s="11">
        <f t="shared" si="35"/>
        <v>47.75</v>
      </c>
      <c r="BZ11" s="11">
        <f t="shared" si="36"/>
        <v>95.93</v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 t="shared" si="37"/>
        <v/>
      </c>
      <c r="CR11" s="38" t="str">
        <f t="shared" si="38"/>
        <v/>
      </c>
      <c r="CS11" s="40" t="str">
        <f t="shared" si="39"/>
        <v/>
      </c>
      <c r="CT11" s="40" t="str">
        <f t="shared" si="40"/>
        <v/>
      </c>
      <c r="CU11" s="40" t="str">
        <f t="shared" si="41"/>
        <v/>
      </c>
      <c r="CV11" s="40" t="str">
        <f t="shared" si="42"/>
        <v/>
      </c>
      <c r="CW11" s="40" t="str">
        <f t="shared" si="43"/>
        <v/>
      </c>
      <c r="CX11" s="40" t="str">
        <f t="shared" si="44"/>
        <v/>
      </c>
      <c r="CY11" s="40" t="str">
        <f t="shared" si="45"/>
        <v/>
      </c>
      <c r="CZ11" s="40" t="str">
        <f t="shared" si="46"/>
        <v/>
      </c>
      <c r="DA11" s="40" t="str">
        <f t="shared" si="47"/>
        <v/>
      </c>
      <c r="DB11" s="50">
        <f t="shared" si="48"/>
        <v>4.0300000000000011</v>
      </c>
      <c r="DC11" s="50">
        <f t="shared" si="49"/>
        <v>0.75</v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40" t="str">
        <f t="shared" si="62"/>
        <v/>
      </c>
      <c r="EK11" s="40" t="str">
        <f t="shared" si="63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1" t="str">
        <f t="shared" si="76"/>
        <v/>
      </c>
      <c r="FS11" s="11" t="str">
        <f t="shared" si="77"/>
        <v/>
      </c>
      <c r="FT11" s="17">
        <v>15.9</v>
      </c>
      <c r="FU11" s="17">
        <v>9.3000000000000007</v>
      </c>
      <c r="FV11" s="17">
        <v>9.1</v>
      </c>
      <c r="FW11" s="17">
        <v>13.75</v>
      </c>
      <c r="FX11" s="17">
        <v>0</v>
      </c>
      <c r="FY11" s="17">
        <v>16.2</v>
      </c>
      <c r="FZ11" s="17">
        <v>9.1999999999999993</v>
      </c>
      <c r="GA11" s="17">
        <v>9.1</v>
      </c>
      <c r="GB11" s="17">
        <v>13.79</v>
      </c>
      <c r="GC11" s="17">
        <v>0</v>
      </c>
      <c r="GD11" s="17">
        <v>16.2</v>
      </c>
      <c r="GE11" s="17">
        <v>9.4</v>
      </c>
      <c r="GF11" s="17">
        <v>9.1</v>
      </c>
      <c r="GG11" s="17">
        <v>13.8</v>
      </c>
      <c r="GH11" s="17">
        <v>0</v>
      </c>
      <c r="GI11" s="17">
        <v>15.2</v>
      </c>
      <c r="GJ11" s="17">
        <v>8.4</v>
      </c>
      <c r="GK11" s="17">
        <v>9.1999999999999993</v>
      </c>
      <c r="GL11" s="17">
        <v>13.78</v>
      </c>
      <c r="GM11" s="17">
        <v>0</v>
      </c>
      <c r="GN11" s="40">
        <f t="shared" si="78"/>
        <v>9.1</v>
      </c>
      <c r="GO11" s="40">
        <f t="shared" si="79"/>
        <v>13.75</v>
      </c>
      <c r="GP11" s="40">
        <f t="shared" si="80"/>
        <v>48.050000000000004</v>
      </c>
      <c r="GQ11" s="40">
        <f t="shared" si="81"/>
        <v>9.1</v>
      </c>
      <c r="GR11" s="40">
        <f t="shared" si="82"/>
        <v>13.79</v>
      </c>
      <c r="GS11" s="40">
        <f t="shared" si="83"/>
        <v>48.29</v>
      </c>
      <c r="GT11" s="40">
        <f t="shared" si="84"/>
        <v>48.29</v>
      </c>
      <c r="GU11" s="40">
        <f t="shared" si="85"/>
        <v>9.1</v>
      </c>
      <c r="GV11" s="40">
        <f t="shared" si="86"/>
        <v>13.8</v>
      </c>
      <c r="GW11" s="40">
        <f t="shared" si="87"/>
        <v>48.5</v>
      </c>
      <c r="GX11" s="40">
        <f t="shared" si="88"/>
        <v>9.1999999999999993</v>
      </c>
      <c r="GY11" s="40">
        <f t="shared" si="89"/>
        <v>13.78</v>
      </c>
      <c r="GZ11" s="40">
        <f t="shared" si="90"/>
        <v>46.58</v>
      </c>
      <c r="HA11" s="40">
        <f t="shared" si="91"/>
        <v>143.37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1" t="str">
        <f t="shared" si="104"/>
        <v/>
      </c>
      <c r="II11" s="11" t="str">
        <f t="shared" si="105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40" t="str">
        <f t="shared" si="118"/>
        <v/>
      </c>
      <c r="JQ11" s="40" t="str">
        <f t="shared" si="119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1" t="str">
        <f t="shared" si="132"/>
        <v/>
      </c>
      <c r="KY11" s="11" t="str">
        <f t="shared" si="133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40" t="str">
        <f t="shared" si="146"/>
        <v/>
      </c>
      <c r="MG11" s="40" t="str">
        <f t="shared" si="14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1" t="str">
        <f t="shared" si="160"/>
        <v/>
      </c>
      <c r="NO11" s="11" t="str">
        <f t="shared" si="161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40" t="str">
        <f t="shared" si="174"/>
        <v/>
      </c>
      <c r="OW11" s="40" t="str">
        <f t="shared" si="175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1" t="str">
        <f t="shared" si="188"/>
        <v/>
      </c>
      <c r="QE11" s="11" t="str">
        <f t="shared" si="189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40" t="str">
        <f t="shared" si="202"/>
        <v/>
      </c>
      <c r="RM11" s="40" t="str">
        <f t="shared" si="203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11" t="str">
        <f t="shared" si="216"/>
        <v/>
      </c>
      <c r="SU11" s="11" t="str">
        <f t="shared" si="217"/>
        <v/>
      </c>
      <c r="SV11" s="22">
        <f t="shared" si="218"/>
        <v>4.6500000000000004</v>
      </c>
      <c r="SW11" s="22">
        <f t="shared" si="219"/>
        <v>2.8</v>
      </c>
      <c r="SX11" s="22">
        <f t="shared" si="220"/>
        <v>2.75</v>
      </c>
      <c r="SY11" s="22">
        <f t="shared" si="221"/>
        <v>4.82</v>
      </c>
      <c r="SZ11" s="22">
        <f t="shared" si="222"/>
        <v>0</v>
      </c>
      <c r="TA11" s="22">
        <f t="shared" si="223"/>
        <v>7.85</v>
      </c>
      <c r="TB11" s="22">
        <f t="shared" si="224"/>
        <v>4.5999999999999996</v>
      </c>
      <c r="TC11" s="22">
        <f t="shared" si="225"/>
        <v>4.55</v>
      </c>
      <c r="TD11" s="22">
        <f t="shared" si="226"/>
        <v>7.09</v>
      </c>
      <c r="TE11" s="22">
        <f t="shared" si="227"/>
        <v>0</v>
      </c>
      <c r="TF11" s="22">
        <f t="shared" si="228"/>
        <v>8</v>
      </c>
      <c r="TG11" s="22">
        <f t="shared" si="229"/>
        <v>4.55</v>
      </c>
      <c r="TH11" s="22">
        <f t="shared" si="230"/>
        <v>4.25</v>
      </c>
      <c r="TI11" s="22">
        <f t="shared" si="231"/>
        <v>7.2249999999999996</v>
      </c>
      <c r="TJ11" s="22">
        <f t="shared" si="232"/>
        <v>0.15</v>
      </c>
      <c r="TK11" s="27" t="s">
        <v>46</v>
      </c>
      <c r="TL11" s="40">
        <f t="shared" si="233"/>
        <v>2.75</v>
      </c>
      <c r="TM11" s="40">
        <f t="shared" si="234"/>
        <v>4.82</v>
      </c>
      <c r="TN11" s="40">
        <f t="shared" si="235"/>
        <v>15.02</v>
      </c>
      <c r="TO11" s="40">
        <f t="shared" si="236"/>
        <v>4.55</v>
      </c>
      <c r="TP11" s="40">
        <f t="shared" si="237"/>
        <v>7.09</v>
      </c>
      <c r="TQ11" s="40">
        <f t="shared" si="238"/>
        <v>24.09</v>
      </c>
      <c r="TR11" s="40">
        <f t="shared" si="239"/>
        <v>24.09</v>
      </c>
      <c r="TS11" s="40">
        <f t="shared" si="240"/>
        <v>4.25</v>
      </c>
      <c r="TT11" s="40">
        <f t="shared" si="241"/>
        <v>7.2249999999999996</v>
      </c>
      <c r="TU11" s="40">
        <f t="shared" si="242"/>
        <v>23.875</v>
      </c>
      <c r="TV11" s="40">
        <f t="shared" si="243"/>
        <v>47.965000000000003</v>
      </c>
    </row>
    <row r="12" spans="1:542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136</v>
      </c>
      <c r="D12" s="4" t="s">
        <v>3</v>
      </c>
      <c r="E12" s="4">
        <v>2004</v>
      </c>
      <c r="F12" s="9">
        <f t="shared" si="0"/>
        <v>150.90001509000473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IF(COUNT(AQ12,AT12,BR12,BU12,CS12,CV12)&gt;0,LARGE((AQ12,AT12,BR12,BU12,CS12,CV12),1),0)</f>
        <v>47.53</v>
      </c>
      <c r="M12" s="8" t="str">
        <f t="shared" si="5"/>
        <v>2024 Nationals</v>
      </c>
      <c r="N12" s="8">
        <f>IF(COUNT(AQ12,AT12,BR12,BU12,CS12,CV12)&gt;1,LARGE((AQ12,AT12,BR12,BU12,CS12,CV12),2),0)</f>
        <v>46.67</v>
      </c>
      <c r="O12" s="8" t="str">
        <f t="shared" si="6"/>
        <v>2024 Nationals</v>
      </c>
      <c r="P12" s="8">
        <f>IF(COUNT(AQ12,AT12,BR12,BU12,CS12,CV12)&gt;2,MAX(AX12,BY12,CZ12,LARGE((AQ12,AT12,BR12,BU12,CS12,CV12),3)),IF(MAX(AX12,BY12,CZ12)&gt;0,MAX(AX12,BY12,CZ12),0))</f>
        <v>46.499999999999993</v>
      </c>
      <c r="Q12" s="8" t="str">
        <f t="shared" si="7"/>
        <v>2024 Nationals</v>
      </c>
      <c r="R12" s="8">
        <f t="shared" si="8"/>
        <v>10.199999999999999</v>
      </c>
      <c r="S12" s="8" t="str">
        <f t="shared" si="9"/>
        <v>2024 Nationals</v>
      </c>
      <c r="T12" s="8">
        <f t="shared" si="10"/>
        <v>0</v>
      </c>
      <c r="U12" s="8" t="str">
        <f t="shared" si="11"/>
        <v/>
      </c>
      <c r="V12" s="8" t="str">
        <f t="shared" si="12"/>
        <v/>
      </c>
      <c r="W12" s="11" t="str">
        <f t="shared" si="13"/>
        <v/>
      </c>
      <c r="X12" s="8" t="str">
        <f t="shared" si="14"/>
        <v/>
      </c>
      <c r="Y12" s="22">
        <v>13.7</v>
      </c>
      <c r="Z12" s="22">
        <v>9.6</v>
      </c>
      <c r="AA12" s="22">
        <v>10.199999999999999</v>
      </c>
      <c r="AB12" s="22">
        <v>13.17</v>
      </c>
      <c r="AC12" s="22">
        <v>0</v>
      </c>
      <c r="AD12" s="22">
        <v>14.8</v>
      </c>
      <c r="AE12" s="22">
        <v>9.1999999999999993</v>
      </c>
      <c r="AF12" s="22">
        <v>10.199999999999999</v>
      </c>
      <c r="AG12" s="22">
        <v>13.33</v>
      </c>
      <c r="AH12" s="22">
        <v>0</v>
      </c>
      <c r="AI12" s="22">
        <v>14.2</v>
      </c>
      <c r="AJ12" s="22">
        <v>9.1999999999999993</v>
      </c>
      <c r="AK12" s="22">
        <v>10.199999999999999</v>
      </c>
      <c r="AL12" s="22">
        <v>12.9</v>
      </c>
      <c r="AM12" s="22">
        <v>0</v>
      </c>
      <c r="AN12" s="27"/>
      <c r="AO12" s="38">
        <f t="shared" si="15"/>
        <v>10.199999999999999</v>
      </c>
      <c r="AP12" s="38">
        <f t="shared" si="16"/>
        <v>13.17</v>
      </c>
      <c r="AQ12" s="40">
        <f t="shared" si="17"/>
        <v>46.67</v>
      </c>
      <c r="AR12" s="40">
        <f t="shared" si="18"/>
        <v>10.199999999999999</v>
      </c>
      <c r="AS12" s="40">
        <f t="shared" si="19"/>
        <v>13.33</v>
      </c>
      <c r="AT12" s="40">
        <f t="shared" si="20"/>
        <v>47.53</v>
      </c>
      <c r="AU12" s="40">
        <f t="shared" si="21"/>
        <v>47.53</v>
      </c>
      <c r="AV12" s="40">
        <f t="shared" si="22"/>
        <v>10.199999999999999</v>
      </c>
      <c r="AW12" s="40">
        <f t="shared" si="23"/>
        <v>12.9</v>
      </c>
      <c r="AX12" s="40">
        <f t="shared" si="24"/>
        <v>46.499999999999993</v>
      </c>
      <c r="AY12" s="40">
        <f t="shared" si="25"/>
        <v>94.03</v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 t="shared" si="26"/>
        <v/>
      </c>
      <c r="BQ12" s="39" t="str">
        <f t="shared" si="27"/>
        <v/>
      </c>
      <c r="BR12" s="11" t="str">
        <f t="shared" si="28"/>
        <v/>
      </c>
      <c r="BS12" s="11" t="str">
        <f t="shared" si="29"/>
        <v/>
      </c>
      <c r="BT12" s="11" t="str">
        <f t="shared" si="30"/>
        <v/>
      </c>
      <c r="BU12" s="11" t="str">
        <f t="shared" si="31"/>
        <v/>
      </c>
      <c r="BV12" s="11" t="str">
        <f t="shared" si="32"/>
        <v/>
      </c>
      <c r="BW12" s="11" t="str">
        <f t="shared" si="33"/>
        <v/>
      </c>
      <c r="BX12" s="11" t="str">
        <f t="shared" si="34"/>
        <v/>
      </c>
      <c r="BY12" s="11" t="str">
        <f t="shared" si="35"/>
        <v/>
      </c>
      <c r="BZ12" s="11" t="str">
        <f t="shared" si="36"/>
        <v/>
      </c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7"/>
      <c r="CQ12" s="38" t="str">
        <f t="shared" si="37"/>
        <v/>
      </c>
      <c r="CR12" s="38" t="str">
        <f t="shared" si="38"/>
        <v/>
      </c>
      <c r="CS12" s="40" t="str">
        <f t="shared" si="39"/>
        <v/>
      </c>
      <c r="CT12" s="40" t="str">
        <f t="shared" si="40"/>
        <v/>
      </c>
      <c r="CU12" s="40" t="str">
        <f t="shared" si="41"/>
        <v/>
      </c>
      <c r="CV12" s="40" t="str">
        <f t="shared" si="42"/>
        <v/>
      </c>
      <c r="CW12" s="40" t="str">
        <f t="shared" si="43"/>
        <v/>
      </c>
      <c r="CX12" s="40" t="str">
        <f t="shared" si="44"/>
        <v/>
      </c>
      <c r="CY12" s="40" t="str">
        <f t="shared" si="45"/>
        <v/>
      </c>
      <c r="CZ12" s="40" t="str">
        <f t="shared" si="46"/>
        <v/>
      </c>
      <c r="DA12" s="40" t="str">
        <f t="shared" si="47"/>
        <v/>
      </c>
      <c r="DB12" s="50" t="str">
        <f t="shared" si="48"/>
        <v/>
      </c>
      <c r="DC12" s="50" t="str">
        <f t="shared" si="49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0"/>
        <v/>
      </c>
      <c r="DY12" s="40" t="str">
        <f t="shared" si="51"/>
        <v/>
      </c>
      <c r="DZ12" s="40" t="str">
        <f t="shared" si="52"/>
        <v/>
      </c>
      <c r="EA12" s="40" t="str">
        <f t="shared" si="53"/>
        <v/>
      </c>
      <c r="EB12" s="40" t="str">
        <f t="shared" si="54"/>
        <v/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 t="str">
        <f t="shared" si="61"/>
        <v/>
      </c>
      <c r="EJ12" s="40" t="str">
        <f t="shared" si="62"/>
        <v/>
      </c>
      <c r="EK12" s="40" t="str">
        <f t="shared" si="63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1" t="str">
        <f t="shared" si="76"/>
        <v/>
      </c>
      <c r="FS12" s="11" t="str">
        <f t="shared" si="77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40" t="str">
        <f t="shared" si="90"/>
        <v/>
      </c>
      <c r="HA12" s="40" t="str">
        <f t="shared" si="91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1" t="str">
        <f t="shared" si="104"/>
        <v/>
      </c>
      <c r="II12" s="11" t="str">
        <f t="shared" si="105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40" t="str">
        <f t="shared" si="118"/>
        <v/>
      </c>
      <c r="JQ12" s="40" t="str">
        <f t="shared" si="119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1" t="str">
        <f t="shared" si="132"/>
        <v/>
      </c>
      <c r="KY12" s="11" t="str">
        <f t="shared" si="133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40" t="str">
        <f t="shared" si="146"/>
        <v/>
      </c>
      <c r="MG12" s="40" t="str">
        <f t="shared" si="14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1" t="str">
        <f t="shared" si="160"/>
        <v/>
      </c>
      <c r="NO12" s="11" t="str">
        <f t="shared" si="161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40" t="str">
        <f t="shared" si="174"/>
        <v/>
      </c>
      <c r="OW12" s="40" t="str">
        <f t="shared" si="175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1" t="str">
        <f t="shared" si="188"/>
        <v/>
      </c>
      <c r="QE12" s="11" t="str">
        <f t="shared" si="189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40" t="str">
        <f t="shared" si="202"/>
        <v/>
      </c>
      <c r="RM12" s="40" t="str">
        <f t="shared" si="203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11" t="str">
        <f t="shared" si="216"/>
        <v/>
      </c>
      <c r="SU12" s="11" t="str">
        <f t="shared" si="217"/>
        <v/>
      </c>
      <c r="SV12" s="22">
        <f t="shared" si="218"/>
        <v>0</v>
      </c>
      <c r="SW12" s="22">
        <f t="shared" si="219"/>
        <v>0</v>
      </c>
      <c r="SX12" s="22">
        <f t="shared" si="220"/>
        <v>0</v>
      </c>
      <c r="SY12" s="22">
        <f t="shared" si="221"/>
        <v>0</v>
      </c>
      <c r="SZ12" s="22">
        <f t="shared" si="222"/>
        <v>0</v>
      </c>
      <c r="TA12" s="22">
        <f t="shared" si="223"/>
        <v>0</v>
      </c>
      <c r="TB12" s="22">
        <f t="shared" si="224"/>
        <v>0</v>
      </c>
      <c r="TC12" s="22">
        <f t="shared" si="225"/>
        <v>0</v>
      </c>
      <c r="TD12" s="22">
        <f t="shared" si="226"/>
        <v>0</v>
      </c>
      <c r="TE12" s="22">
        <f t="shared" si="227"/>
        <v>0</v>
      </c>
      <c r="TF12" s="22">
        <f t="shared" si="228"/>
        <v>0</v>
      </c>
      <c r="TG12" s="22">
        <f t="shared" si="229"/>
        <v>0</v>
      </c>
      <c r="TH12" s="22">
        <f t="shared" si="230"/>
        <v>0</v>
      </c>
      <c r="TI12" s="22">
        <f t="shared" si="231"/>
        <v>0</v>
      </c>
      <c r="TJ12" s="22">
        <f t="shared" si="232"/>
        <v>0</v>
      </c>
      <c r="TK12" s="27" t="s">
        <v>46</v>
      </c>
      <c r="TL12" s="40" t="str">
        <f t="shared" si="233"/>
        <v/>
      </c>
      <c r="TM12" s="40" t="str">
        <f t="shared" si="234"/>
        <v/>
      </c>
      <c r="TN12" s="40" t="str">
        <f t="shared" si="235"/>
        <v/>
      </c>
      <c r="TO12" s="40" t="str">
        <f t="shared" si="236"/>
        <v/>
      </c>
      <c r="TP12" s="40" t="str">
        <f t="shared" si="237"/>
        <v/>
      </c>
      <c r="TQ12" s="40" t="str">
        <f t="shared" si="238"/>
        <v/>
      </c>
      <c r="TR12" s="40" t="str">
        <f t="shared" si="239"/>
        <v/>
      </c>
      <c r="TS12" s="40" t="str">
        <f t="shared" si="240"/>
        <v/>
      </c>
      <c r="TT12" s="40" t="str">
        <f t="shared" si="241"/>
        <v/>
      </c>
      <c r="TU12" s="40" t="str">
        <f t="shared" si="242"/>
        <v/>
      </c>
      <c r="TV12" s="40" t="str">
        <f t="shared" si="243"/>
        <v/>
      </c>
    </row>
    <row r="13" spans="1:542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138</v>
      </c>
      <c r="D13" s="4" t="s">
        <v>4</v>
      </c>
      <c r="E13" s="4">
        <v>2006</v>
      </c>
      <c r="F13" s="9">
        <f t="shared" si="0"/>
        <v>150.47001504700467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IF(COUNT(AQ13,AT13,BR13,BU13,CS13,CV13)&gt;0,LARGE((AQ13,AT13,BR13,BU13,CS13,CV13),1),0)</f>
        <v>46.540000000000006</v>
      </c>
      <c r="M13" s="8" t="str">
        <f t="shared" si="5"/>
        <v>2024 3rd Domestic Trial</v>
      </c>
      <c r="N13" s="8">
        <f>IF(COUNT(AQ13,AT13,BR13,BU13,CS13,CV13)&gt;1,LARGE((AQ13,AT13,BR13,BU13,CS13,CV13),2),0)</f>
        <v>46.379999999999995</v>
      </c>
      <c r="O13" s="8" t="str">
        <f t="shared" si="6"/>
        <v>2024 3rd Domestic Trial</v>
      </c>
      <c r="P13" s="8">
        <f>IF(COUNT(AQ13,AT13,BR13,BU13,CS13,CV13)&gt;2,MAX(AX13,BY13,CZ13,LARGE((AQ13,AT13,BR13,BU13,CS13,CV13),3)),IF(MAX(AX13,BY13,CZ13)&gt;0,MAX(AX13,BY13,CZ13),0))</f>
        <v>46.95</v>
      </c>
      <c r="Q13" s="8" t="str">
        <f t="shared" si="7"/>
        <v>2024 3rd Domestic Trial</v>
      </c>
      <c r="R13" s="8">
        <f t="shared" si="8"/>
        <v>10.6</v>
      </c>
      <c r="S13" s="8" t="str">
        <f t="shared" si="9"/>
        <v>2024 3rd Domestic Trial</v>
      </c>
      <c r="T13" s="8">
        <f t="shared" si="10"/>
        <v>0</v>
      </c>
      <c r="U13" s="8" t="str">
        <f t="shared" si="11"/>
        <v/>
      </c>
      <c r="V13" s="8" t="str">
        <f t="shared" si="12"/>
        <v/>
      </c>
      <c r="W13" s="11" t="str">
        <f t="shared" si="13"/>
        <v/>
      </c>
      <c r="X13" s="8" t="str">
        <f t="shared" si="14"/>
        <v/>
      </c>
      <c r="Y13" s="22">
        <v>3.6</v>
      </c>
      <c r="Z13" s="22">
        <v>2.7</v>
      </c>
      <c r="AA13" s="22">
        <v>3.5</v>
      </c>
      <c r="AB13" s="22">
        <v>4.28</v>
      </c>
      <c r="AC13" s="22">
        <v>0</v>
      </c>
      <c r="AD13" s="22">
        <v>12.7</v>
      </c>
      <c r="AE13" s="22">
        <v>9.1999999999999993</v>
      </c>
      <c r="AF13" s="22">
        <v>8.1</v>
      </c>
      <c r="AG13" s="22">
        <v>13.71</v>
      </c>
      <c r="AH13" s="22">
        <v>0.7</v>
      </c>
      <c r="AI13" s="22"/>
      <c r="AJ13" s="22"/>
      <c r="AK13" s="22"/>
      <c r="AL13" s="22"/>
      <c r="AM13" s="22"/>
      <c r="AN13" s="27"/>
      <c r="AO13" s="38">
        <f t="shared" si="15"/>
        <v>3.5</v>
      </c>
      <c r="AP13" s="38">
        <f t="shared" si="16"/>
        <v>4.28</v>
      </c>
      <c r="AQ13" s="40">
        <f t="shared" si="17"/>
        <v>14.080000000000002</v>
      </c>
      <c r="AR13" s="40">
        <f t="shared" si="18"/>
        <v>8.1</v>
      </c>
      <c r="AS13" s="40">
        <f t="shared" si="19"/>
        <v>13.71</v>
      </c>
      <c r="AT13" s="40">
        <f t="shared" si="20"/>
        <v>43.01</v>
      </c>
      <c r="AU13" s="40">
        <f t="shared" si="21"/>
        <v>43.01</v>
      </c>
      <c r="AV13" s="40" t="str">
        <f t="shared" si="22"/>
        <v/>
      </c>
      <c r="AW13" s="40" t="str">
        <f t="shared" si="23"/>
        <v/>
      </c>
      <c r="AX13" s="40" t="str">
        <f t="shared" si="24"/>
        <v/>
      </c>
      <c r="AY13" s="40">
        <f t="shared" si="25"/>
        <v>43.01</v>
      </c>
      <c r="AZ13" s="26">
        <v>13.6</v>
      </c>
      <c r="BA13" s="26">
        <v>9.4</v>
      </c>
      <c r="BB13" s="26">
        <v>9.3000000000000007</v>
      </c>
      <c r="BC13" s="26">
        <v>14.08</v>
      </c>
      <c r="BD13" s="26">
        <v>0</v>
      </c>
      <c r="BE13" s="26">
        <v>13</v>
      </c>
      <c r="BF13" s="26">
        <v>9.1</v>
      </c>
      <c r="BG13" s="26">
        <v>10.1</v>
      </c>
      <c r="BH13" s="26">
        <v>14.34</v>
      </c>
      <c r="BI13" s="26">
        <v>0</v>
      </c>
      <c r="BJ13" s="26">
        <v>12.7</v>
      </c>
      <c r="BK13" s="26">
        <v>9.1</v>
      </c>
      <c r="BL13" s="26">
        <v>10.6</v>
      </c>
      <c r="BM13" s="26">
        <v>14.55</v>
      </c>
      <c r="BN13" s="26">
        <v>0</v>
      </c>
      <c r="BO13" s="28"/>
      <c r="BP13" s="39">
        <f t="shared" si="26"/>
        <v>9.3000000000000007</v>
      </c>
      <c r="BQ13" s="39">
        <f t="shared" si="27"/>
        <v>14.08</v>
      </c>
      <c r="BR13" s="11">
        <f t="shared" si="28"/>
        <v>46.379999999999995</v>
      </c>
      <c r="BS13" s="11">
        <f t="shared" si="29"/>
        <v>10.1</v>
      </c>
      <c r="BT13" s="11">
        <f t="shared" si="30"/>
        <v>14.34</v>
      </c>
      <c r="BU13" s="11">
        <f t="shared" si="31"/>
        <v>46.540000000000006</v>
      </c>
      <c r="BV13" s="11">
        <f t="shared" si="32"/>
        <v>46.540000000000006</v>
      </c>
      <c r="BW13" s="11">
        <f t="shared" si="33"/>
        <v>10.6</v>
      </c>
      <c r="BX13" s="11">
        <f t="shared" si="34"/>
        <v>14.55</v>
      </c>
      <c r="BY13" s="11">
        <f t="shared" si="35"/>
        <v>46.95</v>
      </c>
      <c r="BZ13" s="11">
        <f t="shared" si="36"/>
        <v>93.490000000000009</v>
      </c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7"/>
      <c r="CQ13" s="38" t="str">
        <f t="shared" si="37"/>
        <v/>
      </c>
      <c r="CR13" s="38" t="str">
        <f t="shared" si="38"/>
        <v/>
      </c>
      <c r="CS13" s="40" t="str">
        <f t="shared" si="39"/>
        <v/>
      </c>
      <c r="CT13" s="40" t="str">
        <f t="shared" si="40"/>
        <v/>
      </c>
      <c r="CU13" s="40" t="str">
        <f t="shared" si="41"/>
        <v/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 t="str">
        <f t="shared" si="45"/>
        <v/>
      </c>
      <c r="CZ13" s="40" t="str">
        <f t="shared" si="46"/>
        <v/>
      </c>
      <c r="DA13" s="40" t="str">
        <f t="shared" si="47"/>
        <v/>
      </c>
      <c r="DB13" s="50" t="str">
        <f t="shared" si="48"/>
        <v/>
      </c>
      <c r="DC13" s="50" t="str">
        <f t="shared" si="49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40" t="str">
        <f t="shared" si="62"/>
        <v/>
      </c>
      <c r="EK13" s="40" t="str">
        <f t="shared" si="63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1" t="str">
        <f t="shared" si="76"/>
        <v/>
      </c>
      <c r="FS13" s="11" t="str">
        <f t="shared" si="77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40" t="str">
        <f t="shared" si="90"/>
        <v/>
      </c>
      <c r="HA13" s="40" t="str">
        <f t="shared" si="91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1" t="str">
        <f t="shared" si="104"/>
        <v/>
      </c>
      <c r="II13" s="11" t="str">
        <f t="shared" si="105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40" t="str">
        <f t="shared" si="118"/>
        <v/>
      </c>
      <c r="JQ13" s="40" t="str">
        <f t="shared" si="119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1" t="str">
        <f t="shared" si="132"/>
        <v/>
      </c>
      <c r="KY13" s="11" t="str">
        <f t="shared" si="133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40" t="str">
        <f t="shared" si="146"/>
        <v/>
      </c>
      <c r="MG13" s="40" t="str">
        <f t="shared" si="14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1" t="str">
        <f t="shared" si="160"/>
        <v/>
      </c>
      <c r="NO13" s="11" t="str">
        <f t="shared" si="161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40" t="str">
        <f t="shared" si="174"/>
        <v/>
      </c>
      <c r="OW13" s="40" t="str">
        <f t="shared" si="175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1" t="str">
        <f t="shared" si="188"/>
        <v/>
      </c>
      <c r="QE13" s="11" t="str">
        <f t="shared" si="189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40" t="str">
        <f t="shared" si="202"/>
        <v/>
      </c>
      <c r="RM13" s="40" t="str">
        <f t="shared" si="203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11" t="str">
        <f t="shared" si="216"/>
        <v/>
      </c>
      <c r="SU13" s="11" t="str">
        <f t="shared" si="217"/>
        <v/>
      </c>
      <c r="SV13" s="22">
        <f t="shared" si="218"/>
        <v>6.8</v>
      </c>
      <c r="SW13" s="22">
        <f t="shared" si="219"/>
        <v>4.7</v>
      </c>
      <c r="SX13" s="22">
        <f t="shared" si="220"/>
        <v>4.6500000000000004</v>
      </c>
      <c r="SY13" s="22">
        <f t="shared" si="221"/>
        <v>7.04</v>
      </c>
      <c r="SZ13" s="22">
        <f t="shared" si="222"/>
        <v>0</v>
      </c>
      <c r="TA13" s="22">
        <f t="shared" si="223"/>
        <v>6.5</v>
      </c>
      <c r="TB13" s="22">
        <f t="shared" si="224"/>
        <v>4.55</v>
      </c>
      <c r="TC13" s="22">
        <f t="shared" si="225"/>
        <v>5.05</v>
      </c>
      <c r="TD13" s="22">
        <f t="shared" si="226"/>
        <v>7.17</v>
      </c>
      <c r="TE13" s="22">
        <f t="shared" si="227"/>
        <v>0</v>
      </c>
      <c r="TF13" s="22">
        <f t="shared" si="228"/>
        <v>6.35</v>
      </c>
      <c r="TG13" s="22">
        <f t="shared" si="229"/>
        <v>4.55</v>
      </c>
      <c r="TH13" s="22">
        <f t="shared" si="230"/>
        <v>5.3</v>
      </c>
      <c r="TI13" s="22">
        <f t="shared" si="231"/>
        <v>7.2750000000000004</v>
      </c>
      <c r="TJ13" s="22">
        <f t="shared" si="232"/>
        <v>0</v>
      </c>
      <c r="TK13" s="27" t="s">
        <v>46</v>
      </c>
      <c r="TL13" s="40">
        <f t="shared" si="233"/>
        <v>4.6500000000000004</v>
      </c>
      <c r="TM13" s="40">
        <f t="shared" si="234"/>
        <v>7.04</v>
      </c>
      <c r="TN13" s="40">
        <f t="shared" si="235"/>
        <v>23.189999999999998</v>
      </c>
      <c r="TO13" s="40">
        <f t="shared" si="236"/>
        <v>5.05</v>
      </c>
      <c r="TP13" s="40">
        <f t="shared" si="237"/>
        <v>7.17</v>
      </c>
      <c r="TQ13" s="40">
        <f t="shared" si="238"/>
        <v>23.270000000000003</v>
      </c>
      <c r="TR13" s="40">
        <f t="shared" si="239"/>
        <v>23.270000000000003</v>
      </c>
      <c r="TS13" s="40">
        <f t="shared" si="240"/>
        <v>5.3</v>
      </c>
      <c r="TT13" s="40">
        <f t="shared" si="241"/>
        <v>7.2750000000000004</v>
      </c>
      <c r="TU13" s="40">
        <f t="shared" si="242"/>
        <v>23.475000000000001</v>
      </c>
      <c r="TV13" s="40">
        <f t="shared" si="243"/>
        <v>46.745000000000005</v>
      </c>
    </row>
    <row r="14" spans="1:542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208</v>
      </c>
      <c r="D14" s="4" t="s">
        <v>4</v>
      </c>
      <c r="E14" s="4">
        <v>2008</v>
      </c>
      <c r="F14" s="9">
        <f t="shared" si="0"/>
        <v>150.24001332300375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IF(COUNT(AQ14,AT14,BR14,BU14,CS14,CV14)&gt;0,LARGE((AQ14,AT14,BR14,BU14,CS14,CV14),1),0)</f>
        <v>37.51</v>
      </c>
      <c r="M14" s="8" t="str">
        <f t="shared" si="5"/>
        <v>2024 Nationals</v>
      </c>
      <c r="N14" s="8">
        <f>IF(COUNT(AQ14,AT14,BR14,BU14,CS14,CV14)&gt;1,LARGE((AQ14,AT14,BR14,BU14,CS14,CV14),2),0)</f>
        <v>28.190000000000005</v>
      </c>
      <c r="O14" s="8" t="str">
        <f t="shared" si="6"/>
        <v>2024 Nationals</v>
      </c>
      <c r="P14" s="8">
        <f>IF(COUNT(AQ14,AT14,BR14,BU14,CS14,CV14)&gt;2,MAX(AX14,BY14,CZ14,LARGE((AQ14,AT14,BR14,BU14,CS14,CV14),3)),IF(MAX(AX14,BY14,CZ14)&gt;0,MAX(AX14,BY14,CZ14),0))</f>
        <v>43.540000000000006</v>
      </c>
      <c r="Q14" s="8" t="str">
        <f t="shared" si="7"/>
        <v>2024 Nationals</v>
      </c>
      <c r="R14" s="8">
        <f t="shared" si="8"/>
        <v>10.3</v>
      </c>
      <c r="S14" s="8" t="str">
        <f t="shared" si="9"/>
        <v>2024 Coimbra Gym Fest (July 7)</v>
      </c>
      <c r="T14" s="8">
        <f t="shared" si="10"/>
        <v>13.69</v>
      </c>
      <c r="U14" s="8" t="str">
        <f t="shared" si="11"/>
        <v>2024 Coimbra Gym Fest (July 7)</v>
      </c>
      <c r="V14" s="8">
        <f t="shared" si="12"/>
        <v>17.009999999999991</v>
      </c>
      <c r="W14" s="11" t="str">
        <f t="shared" si="13"/>
        <v>(Optional)</v>
      </c>
      <c r="X14" s="8" t="str">
        <f t="shared" si="14"/>
        <v>2024 Coimbra Gym Fest (July 7)</v>
      </c>
      <c r="Y14" s="22">
        <v>16.399999999999999</v>
      </c>
      <c r="Z14" s="22">
        <v>9.5</v>
      </c>
      <c r="AA14" s="22">
        <v>0</v>
      </c>
      <c r="AB14" s="22">
        <v>13.61</v>
      </c>
      <c r="AC14" s="22">
        <v>2</v>
      </c>
      <c r="AD14" s="22">
        <v>8.4</v>
      </c>
      <c r="AE14" s="22">
        <v>5.4</v>
      </c>
      <c r="AF14" s="22">
        <v>6.4</v>
      </c>
      <c r="AG14" s="22">
        <v>7.99</v>
      </c>
      <c r="AH14" s="22">
        <v>0</v>
      </c>
      <c r="AI14" s="22">
        <v>13.9</v>
      </c>
      <c r="AJ14" s="22">
        <v>9.1999999999999993</v>
      </c>
      <c r="AK14" s="22">
        <v>8.6</v>
      </c>
      <c r="AL14" s="22">
        <v>12.74</v>
      </c>
      <c r="AM14" s="22">
        <v>0.9</v>
      </c>
      <c r="AN14" s="27"/>
      <c r="AO14" s="38" t="str">
        <f t="shared" si="15"/>
        <v/>
      </c>
      <c r="AP14" s="38">
        <f t="shared" si="16"/>
        <v>13.61</v>
      </c>
      <c r="AQ14" s="40">
        <f t="shared" si="17"/>
        <v>37.51</v>
      </c>
      <c r="AR14" s="40">
        <f t="shared" si="18"/>
        <v>6.4</v>
      </c>
      <c r="AS14" s="40">
        <f t="shared" si="19"/>
        <v>7.99</v>
      </c>
      <c r="AT14" s="40">
        <f t="shared" si="20"/>
        <v>28.190000000000005</v>
      </c>
      <c r="AU14" s="40">
        <f t="shared" si="21"/>
        <v>37.51</v>
      </c>
      <c r="AV14" s="40">
        <f t="shared" si="22"/>
        <v>8.6</v>
      </c>
      <c r="AW14" s="40">
        <f t="shared" si="23"/>
        <v>12.74</v>
      </c>
      <c r="AX14" s="40">
        <f t="shared" si="24"/>
        <v>43.540000000000006</v>
      </c>
      <c r="AY14" s="40">
        <f t="shared" si="25"/>
        <v>81.050000000000011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6"/>
        <v/>
      </c>
      <c r="BQ14" s="39" t="str">
        <f t="shared" si="27"/>
        <v/>
      </c>
      <c r="BR14" s="11" t="str">
        <f t="shared" si="28"/>
        <v/>
      </c>
      <c r="BS14" s="11" t="str">
        <f t="shared" si="29"/>
        <v/>
      </c>
      <c r="BT14" s="11" t="str">
        <f t="shared" si="30"/>
        <v/>
      </c>
      <c r="BU14" s="11" t="str">
        <f t="shared" si="31"/>
        <v/>
      </c>
      <c r="BV14" s="11" t="str">
        <f t="shared" si="32"/>
        <v/>
      </c>
      <c r="BW14" s="11" t="str">
        <f t="shared" si="33"/>
        <v/>
      </c>
      <c r="BX14" s="11" t="str">
        <f t="shared" si="34"/>
        <v/>
      </c>
      <c r="BY14" s="11" t="str">
        <f t="shared" si="35"/>
        <v/>
      </c>
      <c r="BZ14" s="11" t="str">
        <f t="shared" si="36"/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7"/>
        <v/>
      </c>
      <c r="CR14" s="38" t="str">
        <f t="shared" si="38"/>
        <v/>
      </c>
      <c r="CS14" s="40" t="str">
        <f t="shared" si="39"/>
        <v/>
      </c>
      <c r="CT14" s="40" t="str">
        <f t="shared" si="40"/>
        <v/>
      </c>
      <c r="CU14" s="40" t="str">
        <f t="shared" si="41"/>
        <v/>
      </c>
      <c r="CV14" s="40" t="str">
        <f t="shared" si="42"/>
        <v/>
      </c>
      <c r="CW14" s="40" t="str">
        <f t="shared" si="43"/>
        <v/>
      </c>
      <c r="CX14" s="40" t="str">
        <f t="shared" si="44"/>
        <v/>
      </c>
      <c r="CY14" s="40" t="str">
        <f t="shared" si="45"/>
        <v/>
      </c>
      <c r="CZ14" s="40" t="str">
        <f t="shared" si="46"/>
        <v/>
      </c>
      <c r="DA14" s="40" t="str">
        <f t="shared" si="47"/>
        <v/>
      </c>
      <c r="DB14" s="50">
        <f t="shared" si="48"/>
        <v>17.009999999999991</v>
      </c>
      <c r="DC14" s="50" t="str">
        <f t="shared" si="49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40" t="str">
        <f t="shared" si="62"/>
        <v/>
      </c>
      <c r="EK14" s="40" t="str">
        <f t="shared" si="63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1" t="str">
        <f t="shared" si="76"/>
        <v/>
      </c>
      <c r="FS14" s="11" t="str">
        <f t="shared" si="77"/>
        <v/>
      </c>
      <c r="FT14" s="17">
        <v>15.3</v>
      </c>
      <c r="FU14" s="17">
        <v>9.4</v>
      </c>
      <c r="FV14" s="17">
        <v>0</v>
      </c>
      <c r="FW14" s="17">
        <v>13.69</v>
      </c>
      <c r="FX14" s="17">
        <v>0</v>
      </c>
      <c r="FY14" s="17">
        <v>13</v>
      </c>
      <c r="FZ14" s="17">
        <v>9</v>
      </c>
      <c r="GA14" s="17">
        <v>10.3</v>
      </c>
      <c r="GB14" s="17">
        <v>12.9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78"/>
        <v/>
      </c>
      <c r="GO14" s="40">
        <f t="shared" si="79"/>
        <v>13.69</v>
      </c>
      <c r="GP14" s="40">
        <f t="shared" si="80"/>
        <v>38.39</v>
      </c>
      <c r="GQ14" s="40">
        <f t="shared" si="81"/>
        <v>10.3</v>
      </c>
      <c r="GR14" s="40">
        <f t="shared" si="82"/>
        <v>12.9</v>
      </c>
      <c r="GS14" s="40">
        <f t="shared" si="83"/>
        <v>45.199999999999996</v>
      </c>
      <c r="GT14" s="40">
        <f t="shared" si="84"/>
        <v>45.199999999999996</v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40" t="str">
        <f t="shared" si="90"/>
        <v/>
      </c>
      <c r="HA14" s="40">
        <f t="shared" si="91"/>
        <v>45.199999999999996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1" t="str">
        <f t="shared" si="104"/>
        <v/>
      </c>
      <c r="II14" s="11" t="str">
        <f t="shared" si="105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40" t="str">
        <f t="shared" si="118"/>
        <v/>
      </c>
      <c r="JQ14" s="40" t="str">
        <f t="shared" si="119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1" t="str">
        <f t="shared" si="132"/>
        <v/>
      </c>
      <c r="KY14" s="11" t="str">
        <f t="shared" si="133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40" t="str">
        <f t="shared" si="146"/>
        <v/>
      </c>
      <c r="MG14" s="40" t="str">
        <f t="shared" si="14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1" t="str">
        <f t="shared" si="160"/>
        <v/>
      </c>
      <c r="NO14" s="11" t="str">
        <f t="shared" si="161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40" t="str">
        <f t="shared" si="174"/>
        <v/>
      </c>
      <c r="OW14" s="40" t="str">
        <f t="shared" si="175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1" t="str">
        <f t="shared" si="188"/>
        <v/>
      </c>
      <c r="QE14" s="11" t="str">
        <f t="shared" si="189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40" t="str">
        <f t="shared" si="202"/>
        <v/>
      </c>
      <c r="RM14" s="40" t="str">
        <f t="shared" si="203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11" t="str">
        <f t="shared" si="216"/>
        <v/>
      </c>
      <c r="SU14" s="11" t="str">
        <f t="shared" si="217"/>
        <v/>
      </c>
      <c r="SV14" s="22">
        <f t="shared" si="218"/>
        <v>0</v>
      </c>
      <c r="SW14" s="22">
        <f t="shared" si="219"/>
        <v>0</v>
      </c>
      <c r="SX14" s="22">
        <f t="shared" si="220"/>
        <v>0</v>
      </c>
      <c r="SY14" s="22">
        <f t="shared" si="221"/>
        <v>0</v>
      </c>
      <c r="SZ14" s="22">
        <f t="shared" si="222"/>
        <v>0</v>
      </c>
      <c r="TA14" s="22">
        <f t="shared" si="223"/>
        <v>0</v>
      </c>
      <c r="TB14" s="22">
        <f t="shared" si="224"/>
        <v>0</v>
      </c>
      <c r="TC14" s="22">
        <f t="shared" si="225"/>
        <v>0</v>
      </c>
      <c r="TD14" s="22">
        <f t="shared" si="226"/>
        <v>0</v>
      </c>
      <c r="TE14" s="22">
        <f t="shared" si="227"/>
        <v>0</v>
      </c>
      <c r="TF14" s="22">
        <f t="shared" si="228"/>
        <v>0</v>
      </c>
      <c r="TG14" s="22">
        <f t="shared" si="229"/>
        <v>0</v>
      </c>
      <c r="TH14" s="22">
        <f t="shared" si="230"/>
        <v>0</v>
      </c>
      <c r="TI14" s="22">
        <f t="shared" si="231"/>
        <v>0</v>
      </c>
      <c r="TJ14" s="22">
        <f t="shared" si="232"/>
        <v>0</v>
      </c>
      <c r="TK14" s="27" t="s">
        <v>46</v>
      </c>
      <c r="TL14" s="40" t="str">
        <f t="shared" si="233"/>
        <v/>
      </c>
      <c r="TM14" s="40" t="str">
        <f t="shared" si="234"/>
        <v/>
      </c>
      <c r="TN14" s="40" t="str">
        <f t="shared" si="235"/>
        <v/>
      </c>
      <c r="TO14" s="40" t="str">
        <f t="shared" si="236"/>
        <v/>
      </c>
      <c r="TP14" s="40" t="str">
        <f t="shared" si="237"/>
        <v/>
      </c>
      <c r="TQ14" s="40" t="str">
        <f t="shared" si="238"/>
        <v/>
      </c>
      <c r="TR14" s="40" t="str">
        <f t="shared" si="239"/>
        <v/>
      </c>
      <c r="TS14" s="40" t="str">
        <f t="shared" si="240"/>
        <v/>
      </c>
      <c r="TT14" s="40" t="str">
        <f t="shared" si="241"/>
        <v/>
      </c>
      <c r="TU14" s="40" t="str">
        <f t="shared" si="242"/>
        <v/>
      </c>
      <c r="TV14" s="40" t="str">
        <f t="shared" si="243"/>
        <v/>
      </c>
    </row>
    <row r="15" spans="1:542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116</v>
      </c>
      <c r="D15" s="4" t="s">
        <v>6</v>
      </c>
      <c r="E15" s="4">
        <v>2004</v>
      </c>
      <c r="F15" s="9">
        <f t="shared" si="0"/>
        <v>149.95001499500475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IF(COUNT(AQ15,AT15,BR15,BU15,CS15,CV15)&gt;0,LARGE((AQ15,AT15,BR15,BU15,CS15,CV15),1),0)</f>
        <v>47.440000000000005</v>
      </c>
      <c r="M15" s="8" t="str">
        <f t="shared" si="5"/>
        <v>2024 Nationals</v>
      </c>
      <c r="N15" s="8">
        <f>IF(COUNT(AQ15,AT15,BR15,BU15,CS15,CV15)&gt;1,LARGE((AQ15,AT15,BR15,BU15,CS15,CV15),2),0)</f>
        <v>46.8</v>
      </c>
      <c r="O15" s="8" t="str">
        <f t="shared" si="6"/>
        <v>2024 Nationals</v>
      </c>
      <c r="P15" s="8">
        <f>IF(COUNT(AQ15,AT15,BR15,BU15,CS15,CV15)&gt;2,MAX(AX15,BY15,CZ15,LARGE((AQ15,AT15,BR15,BU15,CS15,CV15),3)),IF(MAX(AX15,BY15,CZ15)&gt;0,MAX(AX15,BY15,CZ15),0))</f>
        <v>46.71</v>
      </c>
      <c r="Q15" s="8" t="str">
        <f t="shared" si="7"/>
        <v>2024 3rd Domestic Trial</v>
      </c>
      <c r="R15" s="8">
        <f t="shared" si="8"/>
        <v>9</v>
      </c>
      <c r="S15" s="8" t="str">
        <f t="shared" si="9"/>
        <v>2024 3rd Domestic Trial</v>
      </c>
      <c r="T15" s="8">
        <f t="shared" si="10"/>
        <v>0</v>
      </c>
      <c r="U15" s="8" t="str">
        <f t="shared" si="11"/>
        <v/>
      </c>
      <c r="V15" s="8" t="str">
        <f t="shared" si="12"/>
        <v/>
      </c>
      <c r="W15" s="11" t="str">
        <f t="shared" si="13"/>
        <v/>
      </c>
      <c r="X15" s="8" t="str">
        <f t="shared" si="14"/>
        <v/>
      </c>
      <c r="Y15" s="22">
        <v>15</v>
      </c>
      <c r="Z15" s="22">
        <v>9.3000000000000007</v>
      </c>
      <c r="AA15" s="22">
        <v>9</v>
      </c>
      <c r="AB15" s="22">
        <v>13.5</v>
      </c>
      <c r="AC15" s="22">
        <v>0</v>
      </c>
      <c r="AD15" s="22">
        <v>15.2</v>
      </c>
      <c r="AE15" s="22">
        <v>9.5</v>
      </c>
      <c r="AF15" s="22">
        <v>9</v>
      </c>
      <c r="AG15" s="22">
        <v>13.74</v>
      </c>
      <c r="AH15" s="22">
        <v>0</v>
      </c>
      <c r="AI15" s="22">
        <v>14.4</v>
      </c>
      <c r="AJ15" s="22">
        <v>8.8000000000000007</v>
      </c>
      <c r="AK15" s="22">
        <v>9</v>
      </c>
      <c r="AL15" s="22">
        <v>13.51</v>
      </c>
      <c r="AM15" s="22">
        <v>0</v>
      </c>
      <c r="AN15" s="27"/>
      <c r="AO15" s="38">
        <f t="shared" si="15"/>
        <v>9</v>
      </c>
      <c r="AP15" s="38">
        <f t="shared" si="16"/>
        <v>13.5</v>
      </c>
      <c r="AQ15" s="40">
        <f t="shared" si="17"/>
        <v>46.8</v>
      </c>
      <c r="AR15" s="40">
        <f t="shared" si="18"/>
        <v>9</v>
      </c>
      <c r="AS15" s="40">
        <f t="shared" si="19"/>
        <v>13.74</v>
      </c>
      <c r="AT15" s="40">
        <f t="shared" si="20"/>
        <v>47.440000000000005</v>
      </c>
      <c r="AU15" s="40">
        <f t="shared" si="21"/>
        <v>47.440000000000005</v>
      </c>
      <c r="AV15" s="40">
        <f t="shared" si="22"/>
        <v>9</v>
      </c>
      <c r="AW15" s="40">
        <f t="shared" si="23"/>
        <v>13.51</v>
      </c>
      <c r="AX15" s="40">
        <f t="shared" si="24"/>
        <v>45.71</v>
      </c>
      <c r="AY15" s="40">
        <f t="shared" si="25"/>
        <v>93.15</v>
      </c>
      <c r="AZ15" s="26">
        <v>10.3</v>
      </c>
      <c r="BA15" s="26">
        <v>6.1</v>
      </c>
      <c r="BB15" s="26">
        <v>5.9</v>
      </c>
      <c r="BC15" s="26">
        <v>9.74</v>
      </c>
      <c r="BD15" s="26">
        <v>0</v>
      </c>
      <c r="BE15" s="26">
        <v>10.4</v>
      </c>
      <c r="BF15" s="26">
        <v>6.3</v>
      </c>
      <c r="BG15" s="26">
        <v>6.8</v>
      </c>
      <c r="BH15" s="26">
        <v>9.84</v>
      </c>
      <c r="BI15" s="26">
        <v>0</v>
      </c>
      <c r="BJ15" s="26">
        <v>14.9</v>
      </c>
      <c r="BK15" s="26">
        <v>8.6</v>
      </c>
      <c r="BL15" s="26">
        <v>9</v>
      </c>
      <c r="BM15" s="26">
        <v>14.21</v>
      </c>
      <c r="BN15" s="26">
        <v>0</v>
      </c>
      <c r="BO15" s="28"/>
      <c r="BP15" s="39">
        <f t="shared" si="26"/>
        <v>5.9</v>
      </c>
      <c r="BQ15" s="39">
        <f t="shared" si="27"/>
        <v>9.74</v>
      </c>
      <c r="BR15" s="11">
        <f t="shared" si="28"/>
        <v>32.04</v>
      </c>
      <c r="BS15" s="11">
        <f t="shared" si="29"/>
        <v>6.8</v>
      </c>
      <c r="BT15" s="11">
        <f t="shared" si="30"/>
        <v>9.84</v>
      </c>
      <c r="BU15" s="11">
        <f t="shared" si="31"/>
        <v>33.340000000000003</v>
      </c>
      <c r="BV15" s="11">
        <f t="shared" si="32"/>
        <v>33.340000000000003</v>
      </c>
      <c r="BW15" s="11">
        <f t="shared" si="33"/>
        <v>9</v>
      </c>
      <c r="BX15" s="11">
        <f t="shared" si="34"/>
        <v>14.21</v>
      </c>
      <c r="BY15" s="11">
        <f t="shared" si="35"/>
        <v>46.71</v>
      </c>
      <c r="BZ15" s="11">
        <f t="shared" si="36"/>
        <v>80.050000000000011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 t="shared" si="37"/>
        <v/>
      </c>
      <c r="CR15" s="38" t="str">
        <f t="shared" si="38"/>
        <v/>
      </c>
      <c r="CS15" s="40" t="str">
        <f t="shared" si="39"/>
        <v/>
      </c>
      <c r="CT15" s="40" t="str">
        <f t="shared" si="40"/>
        <v/>
      </c>
      <c r="CU15" s="40" t="str">
        <f t="shared" si="41"/>
        <v/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 t="str">
        <f t="shared" si="45"/>
        <v/>
      </c>
      <c r="CZ15" s="40" t="str">
        <f t="shared" si="46"/>
        <v/>
      </c>
      <c r="DA15" s="40" t="str">
        <f t="shared" si="47"/>
        <v/>
      </c>
      <c r="DB15" s="50" t="str">
        <f t="shared" si="48"/>
        <v/>
      </c>
      <c r="DC15" s="50" t="str">
        <f t="shared" si="49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40" t="str">
        <f t="shared" si="62"/>
        <v/>
      </c>
      <c r="EK15" s="40" t="str">
        <f t="shared" si="63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1" t="str">
        <f t="shared" si="76"/>
        <v/>
      </c>
      <c r="FS15" s="11" t="str">
        <f t="shared" si="77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40" t="str">
        <f t="shared" si="90"/>
        <v/>
      </c>
      <c r="HA15" s="40" t="str">
        <f t="shared" si="91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1" t="str">
        <f t="shared" si="104"/>
        <v/>
      </c>
      <c r="II15" s="11" t="str">
        <f t="shared" si="105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40" t="str">
        <f t="shared" si="118"/>
        <v/>
      </c>
      <c r="JQ15" s="40" t="str">
        <f t="shared" si="119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1" t="str">
        <f t="shared" si="132"/>
        <v/>
      </c>
      <c r="KY15" s="11" t="str">
        <f t="shared" si="133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40" t="str">
        <f t="shared" si="146"/>
        <v/>
      </c>
      <c r="MG15" s="40" t="str">
        <f t="shared" si="14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1" t="str">
        <f t="shared" si="160"/>
        <v/>
      </c>
      <c r="NO15" s="11" t="str">
        <f t="shared" si="161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40" t="str">
        <f t="shared" si="174"/>
        <v/>
      </c>
      <c r="OW15" s="40" t="str">
        <f t="shared" si="175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1" t="str">
        <f t="shared" si="188"/>
        <v/>
      </c>
      <c r="QE15" s="11" t="str">
        <f t="shared" si="189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40" t="str">
        <f t="shared" si="202"/>
        <v/>
      </c>
      <c r="RM15" s="40" t="str">
        <f t="shared" si="203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11" t="str">
        <f t="shared" si="216"/>
        <v/>
      </c>
      <c r="SU15" s="11" t="str">
        <f t="shared" si="217"/>
        <v/>
      </c>
      <c r="SV15" s="22">
        <f t="shared" si="218"/>
        <v>5.15</v>
      </c>
      <c r="SW15" s="22">
        <f t="shared" si="219"/>
        <v>3.05</v>
      </c>
      <c r="SX15" s="22">
        <f t="shared" si="220"/>
        <v>2.95</v>
      </c>
      <c r="SY15" s="22">
        <f t="shared" si="221"/>
        <v>4.87</v>
      </c>
      <c r="SZ15" s="22">
        <f t="shared" si="222"/>
        <v>0</v>
      </c>
      <c r="TA15" s="22">
        <f t="shared" si="223"/>
        <v>5.2</v>
      </c>
      <c r="TB15" s="22">
        <f t="shared" si="224"/>
        <v>3.15</v>
      </c>
      <c r="TC15" s="22">
        <f t="shared" si="225"/>
        <v>3.4</v>
      </c>
      <c r="TD15" s="22">
        <f t="shared" si="226"/>
        <v>4.92</v>
      </c>
      <c r="TE15" s="22">
        <f t="shared" si="227"/>
        <v>0</v>
      </c>
      <c r="TF15" s="22">
        <f t="shared" si="228"/>
        <v>7.45</v>
      </c>
      <c r="TG15" s="22">
        <f t="shared" si="229"/>
        <v>4.3</v>
      </c>
      <c r="TH15" s="22">
        <f t="shared" si="230"/>
        <v>4.5</v>
      </c>
      <c r="TI15" s="22">
        <f t="shared" si="231"/>
        <v>7.1050000000000004</v>
      </c>
      <c r="TJ15" s="22">
        <f t="shared" si="232"/>
        <v>0</v>
      </c>
      <c r="TK15" s="27" t="s">
        <v>46</v>
      </c>
      <c r="TL15" s="40">
        <f t="shared" si="233"/>
        <v>2.95</v>
      </c>
      <c r="TM15" s="40">
        <f t="shared" si="234"/>
        <v>4.87</v>
      </c>
      <c r="TN15" s="40">
        <f t="shared" si="235"/>
        <v>16.02</v>
      </c>
      <c r="TO15" s="40">
        <f t="shared" si="236"/>
        <v>3.4</v>
      </c>
      <c r="TP15" s="40">
        <f t="shared" si="237"/>
        <v>4.92</v>
      </c>
      <c r="TQ15" s="40">
        <f t="shared" si="238"/>
        <v>16.670000000000002</v>
      </c>
      <c r="TR15" s="40">
        <f t="shared" si="239"/>
        <v>16.670000000000002</v>
      </c>
      <c r="TS15" s="40">
        <f t="shared" si="240"/>
        <v>4.5</v>
      </c>
      <c r="TT15" s="40">
        <f t="shared" si="241"/>
        <v>7.1050000000000004</v>
      </c>
      <c r="TU15" s="40">
        <f t="shared" si="242"/>
        <v>23.355</v>
      </c>
      <c r="TV15" s="40">
        <f t="shared" si="243"/>
        <v>40.025000000000006</v>
      </c>
    </row>
    <row r="16" spans="1:542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100</v>
      </c>
      <c r="D16" s="4" t="s">
        <v>4</v>
      </c>
      <c r="E16" s="4">
        <v>2004</v>
      </c>
      <c r="F16" s="9">
        <f t="shared" si="0"/>
        <v>148.29001482900469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IF(COUNT(AQ16,AT16,BR16,BU16,CS16,CV16)&gt;0,LARGE((AQ16,AT16,BR16,BU16,CS16,CV16),1),0)</f>
        <v>46.83</v>
      </c>
      <c r="M16" s="8" t="str">
        <f t="shared" si="5"/>
        <v>2024 Nationals</v>
      </c>
      <c r="N16" s="8">
        <f>IF(COUNT(AQ16,AT16,BR16,BU16,CS16,CV16)&gt;1,LARGE((AQ16,AT16,BR16,BU16,CS16,CV16),2),0)</f>
        <v>44.76</v>
      </c>
      <c r="O16" s="8" t="str">
        <f t="shared" si="6"/>
        <v>2024 Nationals</v>
      </c>
      <c r="P16" s="8">
        <f>IF(COUNT(AQ16,AT16,BR16,BU16,CS16,CV16)&gt;2,MAX(AX16,BY16,CZ16,LARGE((AQ16,AT16,BR16,BU16,CS16,CV16),3)),IF(MAX(AX16,BY16,CZ16)&gt;0,MAX(AX16,BY16,CZ16),0))</f>
        <v>47.8</v>
      </c>
      <c r="Q16" s="8" t="str">
        <f t="shared" si="7"/>
        <v>2024 Nationals</v>
      </c>
      <c r="R16" s="8">
        <f t="shared" si="8"/>
        <v>8.9</v>
      </c>
      <c r="S16" s="8" t="str">
        <f t="shared" si="9"/>
        <v>2024 Nationals</v>
      </c>
      <c r="T16" s="8">
        <f t="shared" si="10"/>
        <v>0</v>
      </c>
      <c r="U16" s="8" t="str">
        <f t="shared" si="11"/>
        <v/>
      </c>
      <c r="V16" s="8" t="str">
        <f t="shared" si="12"/>
        <v/>
      </c>
      <c r="W16" s="11" t="str">
        <f t="shared" si="13"/>
        <v/>
      </c>
      <c r="X16" s="8" t="str">
        <f t="shared" si="14"/>
        <v/>
      </c>
      <c r="Y16" s="22">
        <v>15.1</v>
      </c>
      <c r="Z16" s="22">
        <v>9.6</v>
      </c>
      <c r="AA16" s="22">
        <v>7.7</v>
      </c>
      <c r="AB16" s="22">
        <v>13.46</v>
      </c>
      <c r="AC16" s="22">
        <v>1.1000000000000001</v>
      </c>
      <c r="AD16" s="22">
        <v>15.8</v>
      </c>
      <c r="AE16" s="22">
        <v>9.6999999999999993</v>
      </c>
      <c r="AF16" s="22">
        <v>8.3000000000000007</v>
      </c>
      <c r="AG16" s="22">
        <v>13.53</v>
      </c>
      <c r="AH16" s="22">
        <v>0.5</v>
      </c>
      <c r="AI16" s="22">
        <v>16</v>
      </c>
      <c r="AJ16" s="22">
        <v>9.5</v>
      </c>
      <c r="AK16" s="22">
        <v>8.9</v>
      </c>
      <c r="AL16" s="22">
        <v>13.4</v>
      </c>
      <c r="AM16" s="22">
        <v>0</v>
      </c>
      <c r="AN16" s="27"/>
      <c r="AO16" s="38">
        <f t="shared" si="15"/>
        <v>7.7</v>
      </c>
      <c r="AP16" s="38">
        <f t="shared" si="16"/>
        <v>13.46</v>
      </c>
      <c r="AQ16" s="40">
        <f t="shared" si="17"/>
        <v>44.76</v>
      </c>
      <c r="AR16" s="40">
        <f t="shared" si="18"/>
        <v>8.3000000000000007</v>
      </c>
      <c r="AS16" s="40">
        <f t="shared" si="19"/>
        <v>13.53</v>
      </c>
      <c r="AT16" s="40">
        <f t="shared" si="20"/>
        <v>46.83</v>
      </c>
      <c r="AU16" s="40">
        <f t="shared" si="21"/>
        <v>46.83</v>
      </c>
      <c r="AV16" s="40">
        <f t="shared" si="22"/>
        <v>8.9</v>
      </c>
      <c r="AW16" s="40">
        <f t="shared" si="23"/>
        <v>13.4</v>
      </c>
      <c r="AX16" s="40">
        <f t="shared" si="24"/>
        <v>47.8</v>
      </c>
      <c r="AY16" s="40">
        <f t="shared" si="25"/>
        <v>94.63</v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8"/>
      <c r="BP16" s="39" t="str">
        <f t="shared" si="26"/>
        <v/>
      </c>
      <c r="BQ16" s="39" t="str">
        <f t="shared" si="27"/>
        <v/>
      </c>
      <c r="BR16" s="11" t="str">
        <f t="shared" si="28"/>
        <v/>
      </c>
      <c r="BS16" s="11" t="str">
        <f t="shared" si="29"/>
        <v/>
      </c>
      <c r="BT16" s="11" t="str">
        <f t="shared" si="30"/>
        <v/>
      </c>
      <c r="BU16" s="11" t="str">
        <f t="shared" si="31"/>
        <v/>
      </c>
      <c r="BV16" s="11" t="str">
        <f t="shared" si="32"/>
        <v/>
      </c>
      <c r="BW16" s="11" t="str">
        <f t="shared" si="33"/>
        <v/>
      </c>
      <c r="BX16" s="11" t="str">
        <f t="shared" si="34"/>
        <v/>
      </c>
      <c r="BY16" s="11" t="str">
        <f t="shared" si="35"/>
        <v/>
      </c>
      <c r="BZ16" s="11" t="str">
        <f t="shared" si="36"/>
        <v/>
      </c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7"/>
      <c r="CQ16" s="38" t="str">
        <f t="shared" si="37"/>
        <v/>
      </c>
      <c r="CR16" s="38" t="str">
        <f t="shared" si="38"/>
        <v/>
      </c>
      <c r="CS16" s="40" t="str">
        <f t="shared" si="39"/>
        <v/>
      </c>
      <c r="CT16" s="40" t="str">
        <f t="shared" si="40"/>
        <v/>
      </c>
      <c r="CU16" s="40" t="str">
        <f t="shared" si="41"/>
        <v/>
      </c>
      <c r="CV16" s="40" t="str">
        <f t="shared" si="42"/>
        <v/>
      </c>
      <c r="CW16" s="40" t="str">
        <f t="shared" si="43"/>
        <v/>
      </c>
      <c r="CX16" s="40" t="str">
        <f t="shared" si="44"/>
        <v/>
      </c>
      <c r="CY16" s="40" t="str">
        <f t="shared" si="45"/>
        <v/>
      </c>
      <c r="CZ16" s="40" t="str">
        <f t="shared" si="46"/>
        <v/>
      </c>
      <c r="DA16" s="40" t="str">
        <f t="shared" si="47"/>
        <v/>
      </c>
      <c r="DB16" s="50" t="str">
        <f t="shared" si="48"/>
        <v/>
      </c>
      <c r="DC16" s="50" t="str">
        <f t="shared" si="49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40" t="str">
        <f t="shared" si="62"/>
        <v/>
      </c>
      <c r="EK16" s="40" t="str">
        <f t="shared" si="63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1" t="str">
        <f t="shared" si="76"/>
        <v/>
      </c>
      <c r="FS16" s="11" t="str">
        <f t="shared" si="77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40" t="str">
        <f t="shared" si="90"/>
        <v/>
      </c>
      <c r="HA16" s="40" t="str">
        <f t="shared" si="91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1" t="str">
        <f t="shared" si="104"/>
        <v/>
      </c>
      <c r="II16" s="11" t="str">
        <f t="shared" si="105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40" t="str">
        <f t="shared" si="118"/>
        <v/>
      </c>
      <c r="JQ16" s="40" t="str">
        <f t="shared" si="119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1" t="str">
        <f t="shared" si="132"/>
        <v/>
      </c>
      <c r="KY16" s="11" t="str">
        <f t="shared" si="133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40" t="str">
        <f t="shared" si="146"/>
        <v/>
      </c>
      <c r="MG16" s="40" t="str">
        <f t="shared" si="14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1" t="str">
        <f t="shared" si="160"/>
        <v/>
      </c>
      <c r="NO16" s="11" t="str">
        <f t="shared" si="161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40" t="str">
        <f t="shared" si="174"/>
        <v/>
      </c>
      <c r="OW16" s="40" t="str">
        <f t="shared" si="175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1" t="str">
        <f t="shared" si="188"/>
        <v/>
      </c>
      <c r="QE16" s="11" t="str">
        <f t="shared" si="189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40" t="str">
        <f t="shared" si="202"/>
        <v/>
      </c>
      <c r="RM16" s="40" t="str">
        <f t="shared" si="203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11" t="str">
        <f t="shared" si="216"/>
        <v/>
      </c>
      <c r="SU16" s="11" t="str">
        <f t="shared" si="217"/>
        <v/>
      </c>
      <c r="SV16" s="22">
        <f t="shared" si="218"/>
        <v>0</v>
      </c>
      <c r="SW16" s="22">
        <f t="shared" si="219"/>
        <v>0</v>
      </c>
      <c r="SX16" s="22">
        <f t="shared" si="220"/>
        <v>0</v>
      </c>
      <c r="SY16" s="22">
        <f t="shared" si="221"/>
        <v>0</v>
      </c>
      <c r="SZ16" s="22">
        <f t="shared" si="222"/>
        <v>0</v>
      </c>
      <c r="TA16" s="22">
        <f t="shared" si="223"/>
        <v>0</v>
      </c>
      <c r="TB16" s="22">
        <f t="shared" si="224"/>
        <v>0</v>
      </c>
      <c r="TC16" s="22">
        <f t="shared" si="225"/>
        <v>0</v>
      </c>
      <c r="TD16" s="22">
        <f t="shared" si="226"/>
        <v>0</v>
      </c>
      <c r="TE16" s="22">
        <f t="shared" si="227"/>
        <v>0</v>
      </c>
      <c r="TF16" s="22">
        <f t="shared" si="228"/>
        <v>0</v>
      </c>
      <c r="TG16" s="22">
        <f t="shared" si="229"/>
        <v>0</v>
      </c>
      <c r="TH16" s="22">
        <f t="shared" si="230"/>
        <v>0</v>
      </c>
      <c r="TI16" s="22">
        <f t="shared" si="231"/>
        <v>0</v>
      </c>
      <c r="TJ16" s="22">
        <f t="shared" si="232"/>
        <v>0</v>
      </c>
      <c r="TK16" s="27" t="s">
        <v>46</v>
      </c>
      <c r="TL16" s="40" t="str">
        <f t="shared" si="233"/>
        <v/>
      </c>
      <c r="TM16" s="40" t="str">
        <f t="shared" si="234"/>
        <v/>
      </c>
      <c r="TN16" s="40" t="str">
        <f t="shared" si="235"/>
        <v/>
      </c>
      <c r="TO16" s="40" t="str">
        <f t="shared" si="236"/>
        <v/>
      </c>
      <c r="TP16" s="40" t="str">
        <f t="shared" si="237"/>
        <v/>
      </c>
      <c r="TQ16" s="40" t="str">
        <f t="shared" si="238"/>
        <v/>
      </c>
      <c r="TR16" s="40" t="str">
        <f t="shared" si="239"/>
        <v/>
      </c>
      <c r="TS16" s="40" t="str">
        <f t="shared" si="240"/>
        <v/>
      </c>
      <c r="TT16" s="40" t="str">
        <f t="shared" si="241"/>
        <v/>
      </c>
      <c r="TU16" s="40" t="str">
        <f t="shared" si="242"/>
        <v/>
      </c>
      <c r="TV16" s="40" t="str">
        <f t="shared" si="243"/>
        <v/>
      </c>
    </row>
    <row r="17" spans="1:542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164</v>
      </c>
      <c r="D17" s="4" t="s">
        <v>6</v>
      </c>
      <c r="E17" s="4">
        <v>2006</v>
      </c>
      <c r="F17" s="9">
        <f t="shared" si="0"/>
        <v>145.93001459300461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IF(COUNT(AQ17,AT17,BR17,BU17,CS17,CV17)&gt;0,LARGE((AQ17,AT17,BR17,BU17,CS17,CV17),1),0)</f>
        <v>46.38</v>
      </c>
      <c r="M17" s="8" t="str">
        <f t="shared" si="5"/>
        <v>2024 3rd Domestic Trial</v>
      </c>
      <c r="N17" s="8">
        <f>IF(COUNT(AQ17,AT17,BR17,BU17,CS17,CV17)&gt;1,LARGE((AQ17,AT17,BR17,BU17,CS17,CV17),2),0)</f>
        <v>45.47</v>
      </c>
      <c r="O17" s="8" t="str">
        <f t="shared" si="6"/>
        <v>2024 Nationals</v>
      </c>
      <c r="P17" s="8">
        <f>IF(COUNT(AQ17,AT17,BR17,BU17,CS17,CV17)&gt;2,MAX(AX17,BY17,CZ17,LARGE((AQ17,AT17,BR17,BU17,CS17,CV17),3)),IF(MAX(AX17,BY17,CZ17)&gt;0,MAX(AX17,BY17,CZ17),0))</f>
        <v>45.38</v>
      </c>
      <c r="Q17" s="8" t="str">
        <f t="shared" si="7"/>
        <v>2024 Nationals</v>
      </c>
      <c r="R17" s="8">
        <f t="shared" si="8"/>
        <v>8.6999999999999993</v>
      </c>
      <c r="S17" s="8" t="str">
        <f t="shared" si="9"/>
        <v>2024 Coimbra Gym Fest (July 7)</v>
      </c>
      <c r="T17" s="8">
        <f t="shared" si="10"/>
        <v>0</v>
      </c>
      <c r="U17" s="8" t="str">
        <f t="shared" si="11"/>
        <v/>
      </c>
      <c r="V17" s="8" t="str">
        <f t="shared" si="12"/>
        <v/>
      </c>
      <c r="W17" s="11" t="str">
        <f t="shared" si="13"/>
        <v/>
      </c>
      <c r="X17" s="8" t="str">
        <f t="shared" si="14"/>
        <v/>
      </c>
      <c r="Y17" s="22">
        <v>15.1</v>
      </c>
      <c r="Z17" s="22">
        <v>8.9</v>
      </c>
      <c r="AA17" s="22">
        <v>8.5</v>
      </c>
      <c r="AB17" s="22">
        <v>13.18</v>
      </c>
      <c r="AC17" s="22">
        <v>0.3</v>
      </c>
      <c r="AD17" s="22">
        <v>15.3</v>
      </c>
      <c r="AE17" s="22">
        <v>9.1</v>
      </c>
      <c r="AF17" s="22">
        <v>8.4</v>
      </c>
      <c r="AG17" s="22">
        <v>13.07</v>
      </c>
      <c r="AH17" s="22">
        <v>0.4</v>
      </c>
      <c r="AI17" s="22"/>
      <c r="AJ17" s="22"/>
      <c r="AK17" s="22"/>
      <c r="AL17" s="22"/>
      <c r="AM17" s="22"/>
      <c r="AN17" s="27"/>
      <c r="AO17" s="38">
        <f t="shared" si="15"/>
        <v>8.5</v>
      </c>
      <c r="AP17" s="38">
        <f t="shared" si="16"/>
        <v>13.18</v>
      </c>
      <c r="AQ17" s="40">
        <f t="shared" si="17"/>
        <v>45.38</v>
      </c>
      <c r="AR17" s="40">
        <f t="shared" si="18"/>
        <v>8.4</v>
      </c>
      <c r="AS17" s="40">
        <f t="shared" si="19"/>
        <v>13.07</v>
      </c>
      <c r="AT17" s="40">
        <f t="shared" si="20"/>
        <v>45.47</v>
      </c>
      <c r="AU17" s="40">
        <f t="shared" si="21"/>
        <v>45.47</v>
      </c>
      <c r="AV17" s="40" t="str">
        <f t="shared" si="22"/>
        <v/>
      </c>
      <c r="AW17" s="40" t="str">
        <f t="shared" si="23"/>
        <v/>
      </c>
      <c r="AX17" s="40" t="str">
        <f t="shared" si="24"/>
        <v/>
      </c>
      <c r="AY17" s="40">
        <f t="shared" si="25"/>
        <v>45.47</v>
      </c>
      <c r="AZ17" s="26">
        <v>1.4</v>
      </c>
      <c r="BA17" s="26">
        <v>0.9</v>
      </c>
      <c r="BB17" s="26">
        <v>1.3</v>
      </c>
      <c r="BC17" s="26">
        <v>1.5</v>
      </c>
      <c r="BD17" s="26">
        <v>0</v>
      </c>
      <c r="BE17" s="26">
        <v>15.1</v>
      </c>
      <c r="BF17" s="26">
        <v>9.1999999999999993</v>
      </c>
      <c r="BG17" s="26">
        <v>8.5</v>
      </c>
      <c r="BH17" s="26">
        <v>13.88</v>
      </c>
      <c r="BI17" s="26">
        <v>0.3</v>
      </c>
      <c r="BJ17" s="26">
        <v>1.4</v>
      </c>
      <c r="BK17" s="26">
        <v>0.8</v>
      </c>
      <c r="BL17" s="26">
        <v>1.3</v>
      </c>
      <c r="BM17" s="26">
        <v>1.46</v>
      </c>
      <c r="BN17" s="26">
        <v>0</v>
      </c>
      <c r="BO17" s="28"/>
      <c r="BP17" s="39">
        <f t="shared" si="26"/>
        <v>1.3</v>
      </c>
      <c r="BQ17" s="39">
        <f t="shared" si="27"/>
        <v>1.5</v>
      </c>
      <c r="BR17" s="11">
        <f t="shared" si="28"/>
        <v>5.0999999999999996</v>
      </c>
      <c r="BS17" s="11">
        <f t="shared" si="29"/>
        <v>8.5</v>
      </c>
      <c r="BT17" s="11">
        <f t="shared" si="30"/>
        <v>13.88</v>
      </c>
      <c r="BU17" s="11">
        <f t="shared" si="31"/>
        <v>46.38</v>
      </c>
      <c r="BV17" s="11">
        <f t="shared" si="32"/>
        <v>46.38</v>
      </c>
      <c r="BW17" s="11">
        <f t="shared" si="33"/>
        <v>1.3</v>
      </c>
      <c r="BX17" s="11">
        <f t="shared" si="34"/>
        <v>1.46</v>
      </c>
      <c r="BY17" s="11">
        <f t="shared" si="35"/>
        <v>4.96</v>
      </c>
      <c r="BZ17" s="11">
        <f t="shared" si="36"/>
        <v>51.34</v>
      </c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7"/>
      <c r="CQ17" s="38" t="str">
        <f t="shared" si="37"/>
        <v/>
      </c>
      <c r="CR17" s="38" t="str">
        <f t="shared" si="38"/>
        <v/>
      </c>
      <c r="CS17" s="40" t="str">
        <f t="shared" si="39"/>
        <v/>
      </c>
      <c r="CT17" s="40" t="str">
        <f t="shared" si="40"/>
        <v/>
      </c>
      <c r="CU17" s="40" t="str">
        <f t="shared" si="41"/>
        <v/>
      </c>
      <c r="CV17" s="40" t="str">
        <f t="shared" si="42"/>
        <v/>
      </c>
      <c r="CW17" s="40" t="str">
        <f t="shared" si="43"/>
        <v/>
      </c>
      <c r="CX17" s="40" t="str">
        <f t="shared" si="44"/>
        <v/>
      </c>
      <c r="CY17" s="40" t="str">
        <f t="shared" si="45"/>
        <v/>
      </c>
      <c r="CZ17" s="40" t="str">
        <f t="shared" si="46"/>
        <v/>
      </c>
      <c r="DA17" s="40" t="str">
        <f t="shared" si="47"/>
        <v/>
      </c>
      <c r="DB17" s="50" t="str">
        <f t="shared" si="48"/>
        <v/>
      </c>
      <c r="DC17" s="50" t="str">
        <f t="shared" si="49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0"/>
        <v/>
      </c>
      <c r="DY17" s="40" t="str">
        <f t="shared" si="51"/>
        <v/>
      </c>
      <c r="DZ17" s="40" t="str">
        <f t="shared" si="52"/>
        <v/>
      </c>
      <c r="EA17" s="40" t="str">
        <f t="shared" si="53"/>
        <v/>
      </c>
      <c r="EB17" s="40" t="str">
        <f t="shared" si="54"/>
        <v/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 t="str">
        <f t="shared" si="61"/>
        <v/>
      </c>
      <c r="EJ17" s="40" t="str">
        <f t="shared" si="62"/>
        <v/>
      </c>
      <c r="EK17" s="40" t="str">
        <f t="shared" si="63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1" t="str">
        <f t="shared" si="76"/>
        <v/>
      </c>
      <c r="FS17" s="11" t="str">
        <f t="shared" si="77"/>
        <v/>
      </c>
      <c r="FT17" s="17">
        <v>13.4</v>
      </c>
      <c r="FU17" s="17">
        <v>8.8000000000000007</v>
      </c>
      <c r="FV17" s="17">
        <v>8.6999999999999993</v>
      </c>
      <c r="FW17" s="17">
        <v>12.57</v>
      </c>
      <c r="FX17" s="17">
        <v>0</v>
      </c>
      <c r="FY17" s="17">
        <v>12.9</v>
      </c>
      <c r="FZ17" s="17">
        <v>8.6999999999999993</v>
      </c>
      <c r="GA17" s="17">
        <v>7.8</v>
      </c>
      <c r="GB17" s="17">
        <v>12.94</v>
      </c>
      <c r="GC17" s="17">
        <v>0</v>
      </c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>
        <f t="shared" si="78"/>
        <v>8.6999999999999993</v>
      </c>
      <c r="GO17" s="40">
        <f t="shared" si="79"/>
        <v>12.57</v>
      </c>
      <c r="GP17" s="40">
        <f t="shared" si="80"/>
        <v>43.47</v>
      </c>
      <c r="GQ17" s="40">
        <f t="shared" si="81"/>
        <v>7.8</v>
      </c>
      <c r="GR17" s="40">
        <f t="shared" si="82"/>
        <v>12.94</v>
      </c>
      <c r="GS17" s="40">
        <f t="shared" si="83"/>
        <v>42.34</v>
      </c>
      <c r="GT17" s="40">
        <f t="shared" si="84"/>
        <v>43.47</v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40" t="str">
        <f t="shared" si="90"/>
        <v/>
      </c>
      <c r="HA17" s="40">
        <f t="shared" si="91"/>
        <v>43.47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1" t="str">
        <f t="shared" si="104"/>
        <v/>
      </c>
      <c r="II17" s="11" t="str">
        <f t="shared" si="105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40" t="str">
        <f t="shared" si="118"/>
        <v/>
      </c>
      <c r="JQ17" s="40" t="str">
        <f t="shared" si="119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1" t="str">
        <f t="shared" si="132"/>
        <v/>
      </c>
      <c r="KY17" s="11" t="str">
        <f t="shared" si="133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40" t="str">
        <f t="shared" si="146"/>
        <v/>
      </c>
      <c r="MG17" s="40" t="str">
        <f t="shared" si="147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1" t="str">
        <f t="shared" si="160"/>
        <v/>
      </c>
      <c r="NO17" s="11" t="str">
        <f t="shared" si="161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40" t="str">
        <f t="shared" si="174"/>
        <v/>
      </c>
      <c r="OW17" s="40" t="str">
        <f t="shared" si="175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1" t="str">
        <f t="shared" si="188"/>
        <v/>
      </c>
      <c r="QE17" s="11" t="str">
        <f t="shared" si="189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40" t="str">
        <f t="shared" si="202"/>
        <v/>
      </c>
      <c r="RM17" s="40" t="str">
        <f t="shared" si="203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11" t="str">
        <f t="shared" si="216"/>
        <v/>
      </c>
      <c r="SU17" s="11" t="str">
        <f t="shared" si="217"/>
        <v/>
      </c>
      <c r="SV17" s="22">
        <f t="shared" si="218"/>
        <v>0.7</v>
      </c>
      <c r="SW17" s="22">
        <f t="shared" si="219"/>
        <v>0.45</v>
      </c>
      <c r="SX17" s="22">
        <f t="shared" si="220"/>
        <v>0.65</v>
      </c>
      <c r="SY17" s="22">
        <f t="shared" si="221"/>
        <v>0.75</v>
      </c>
      <c r="SZ17" s="22">
        <f t="shared" si="222"/>
        <v>0</v>
      </c>
      <c r="TA17" s="22">
        <f t="shared" si="223"/>
        <v>7.55</v>
      </c>
      <c r="TB17" s="22">
        <f t="shared" si="224"/>
        <v>4.5999999999999996</v>
      </c>
      <c r="TC17" s="22">
        <f t="shared" si="225"/>
        <v>4.25</v>
      </c>
      <c r="TD17" s="22">
        <f t="shared" si="226"/>
        <v>6.94</v>
      </c>
      <c r="TE17" s="22">
        <f t="shared" si="227"/>
        <v>0.15</v>
      </c>
      <c r="TF17" s="22">
        <f t="shared" si="228"/>
        <v>0.7</v>
      </c>
      <c r="TG17" s="22">
        <f t="shared" si="229"/>
        <v>0.4</v>
      </c>
      <c r="TH17" s="22">
        <f t="shared" si="230"/>
        <v>0.65</v>
      </c>
      <c r="TI17" s="22">
        <f t="shared" si="231"/>
        <v>0.73</v>
      </c>
      <c r="TJ17" s="22">
        <f t="shared" si="232"/>
        <v>0</v>
      </c>
      <c r="TK17" s="27" t="s">
        <v>46</v>
      </c>
      <c r="TL17" s="40">
        <f t="shared" si="233"/>
        <v>0.65</v>
      </c>
      <c r="TM17" s="40">
        <f t="shared" si="234"/>
        <v>0.75</v>
      </c>
      <c r="TN17" s="40">
        <f t="shared" si="235"/>
        <v>2.5499999999999998</v>
      </c>
      <c r="TO17" s="40">
        <f t="shared" si="236"/>
        <v>4.25</v>
      </c>
      <c r="TP17" s="40">
        <f t="shared" si="237"/>
        <v>6.94</v>
      </c>
      <c r="TQ17" s="40">
        <f t="shared" si="238"/>
        <v>23.19</v>
      </c>
      <c r="TR17" s="40">
        <f t="shared" si="239"/>
        <v>23.19</v>
      </c>
      <c r="TS17" s="40">
        <f t="shared" si="240"/>
        <v>0.65</v>
      </c>
      <c r="TT17" s="40">
        <f t="shared" si="241"/>
        <v>0.73</v>
      </c>
      <c r="TU17" s="40">
        <f t="shared" si="242"/>
        <v>2.48</v>
      </c>
      <c r="TV17" s="40">
        <f t="shared" si="243"/>
        <v>25.67</v>
      </c>
    </row>
    <row r="18" spans="1:542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162</v>
      </c>
      <c r="D18" s="4" t="s">
        <v>6</v>
      </c>
      <c r="E18" s="4">
        <v>2007</v>
      </c>
      <c r="F18" s="9">
        <f t="shared" si="0"/>
        <v>145.16001287000464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IF(COUNT(AQ18,AT18,BR18,BU18,CS18,CV18)&gt;0,LARGE((AQ18,AT18,BR18,BU18,CS18,CV18),1),0)</f>
        <v>46.58</v>
      </c>
      <c r="M18" s="8" t="str">
        <f t="shared" si="5"/>
        <v>2024 3rd Domestic Trial</v>
      </c>
      <c r="N18" s="8">
        <f>IF(COUNT(AQ18,AT18,BR18,BU18,CS18,CV18)&gt;1,LARGE((AQ18,AT18,BR18,BU18,CS18,CV18),2),0)</f>
        <v>43.17</v>
      </c>
      <c r="O18" s="8" t="str">
        <f t="shared" si="6"/>
        <v>2024 3rd Domestic Trial</v>
      </c>
      <c r="P18" s="8">
        <f>IF(COUNT(AQ18,AT18,BR18,BU18,CS18,CV18)&gt;2,MAX(AX18,BY18,CZ18,LARGE((AQ18,AT18,BR18,BU18,CS18,CV18),3)),IF(MAX(AX18,BY18,CZ18)&gt;0,MAX(AX18,BY18,CZ18),0))</f>
        <v>29.25</v>
      </c>
      <c r="Q18" s="8" t="str">
        <f t="shared" si="7"/>
        <v>2024 3rd Domestic Trial</v>
      </c>
      <c r="R18" s="8">
        <f t="shared" si="8"/>
        <v>9.6999999999999993</v>
      </c>
      <c r="S18" s="8" t="str">
        <f t="shared" si="9"/>
        <v>2024 Coimbra Gym Fest (July 7)</v>
      </c>
      <c r="T18" s="8">
        <f t="shared" si="10"/>
        <v>0</v>
      </c>
      <c r="U18" s="8" t="str">
        <f t="shared" si="11"/>
        <v/>
      </c>
      <c r="V18" s="8">
        <f t="shared" si="12"/>
        <v>16.459999999999994</v>
      </c>
      <c r="W18" s="11" t="str">
        <f t="shared" si="13"/>
        <v>(Optional)</v>
      </c>
      <c r="X18" s="8" t="str">
        <f t="shared" si="14"/>
        <v>2024 Coimbra Gym Fest (July 7)</v>
      </c>
      <c r="Y18" s="22">
        <v>1.2</v>
      </c>
      <c r="Z18" s="22">
        <v>1</v>
      </c>
      <c r="AA18" s="22">
        <v>1.3</v>
      </c>
      <c r="AB18" s="22">
        <v>1.46</v>
      </c>
      <c r="AC18" s="22">
        <v>0</v>
      </c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>
        <f t="shared" si="15"/>
        <v>1.3</v>
      </c>
      <c r="AP18" s="38">
        <f t="shared" si="16"/>
        <v>1.46</v>
      </c>
      <c r="AQ18" s="40">
        <f t="shared" si="17"/>
        <v>4.96</v>
      </c>
      <c r="AR18" s="40" t="str">
        <f t="shared" si="18"/>
        <v/>
      </c>
      <c r="AS18" s="40" t="str">
        <f t="shared" si="19"/>
        <v/>
      </c>
      <c r="AT18" s="40" t="str">
        <f t="shared" si="20"/>
        <v/>
      </c>
      <c r="AU18" s="40">
        <f t="shared" si="21"/>
        <v>4.96</v>
      </c>
      <c r="AV18" s="40" t="str">
        <f t="shared" si="22"/>
        <v/>
      </c>
      <c r="AW18" s="40" t="str">
        <f t="shared" si="23"/>
        <v/>
      </c>
      <c r="AX18" s="40" t="str">
        <f t="shared" si="24"/>
        <v/>
      </c>
      <c r="AY18" s="40">
        <f t="shared" si="25"/>
        <v>4.96</v>
      </c>
      <c r="AZ18" s="26">
        <v>12.8</v>
      </c>
      <c r="BA18" s="26">
        <v>8.6999999999999993</v>
      </c>
      <c r="BB18" s="26">
        <v>9.1999999999999993</v>
      </c>
      <c r="BC18" s="26">
        <v>12.47</v>
      </c>
      <c r="BD18" s="26">
        <v>0</v>
      </c>
      <c r="BE18" s="26">
        <v>14.1</v>
      </c>
      <c r="BF18" s="26">
        <v>9</v>
      </c>
      <c r="BG18" s="26">
        <v>9.4</v>
      </c>
      <c r="BH18" s="26">
        <v>14.08</v>
      </c>
      <c r="BI18" s="26">
        <v>0</v>
      </c>
      <c r="BJ18" s="26">
        <v>8.1999999999999993</v>
      </c>
      <c r="BK18" s="26">
        <v>5.6</v>
      </c>
      <c r="BL18" s="26">
        <v>6.7</v>
      </c>
      <c r="BM18" s="26">
        <v>8.75</v>
      </c>
      <c r="BN18" s="26">
        <v>0</v>
      </c>
      <c r="BO18" s="28"/>
      <c r="BP18" s="39">
        <f t="shared" si="26"/>
        <v>9.1999999999999993</v>
      </c>
      <c r="BQ18" s="39">
        <f t="shared" si="27"/>
        <v>12.47</v>
      </c>
      <c r="BR18" s="11">
        <f t="shared" si="28"/>
        <v>43.17</v>
      </c>
      <c r="BS18" s="11">
        <f t="shared" si="29"/>
        <v>9.4</v>
      </c>
      <c r="BT18" s="11">
        <f t="shared" si="30"/>
        <v>14.08</v>
      </c>
      <c r="BU18" s="11">
        <f t="shared" si="31"/>
        <v>46.58</v>
      </c>
      <c r="BV18" s="11">
        <f t="shared" si="32"/>
        <v>46.58</v>
      </c>
      <c r="BW18" s="11">
        <f t="shared" si="33"/>
        <v>6.7</v>
      </c>
      <c r="BX18" s="11">
        <f t="shared" si="34"/>
        <v>8.75</v>
      </c>
      <c r="BY18" s="11">
        <f t="shared" si="35"/>
        <v>29.25</v>
      </c>
      <c r="BZ18" s="11">
        <f t="shared" si="36"/>
        <v>75.83</v>
      </c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7"/>
      <c r="CQ18" s="38" t="str">
        <f t="shared" si="37"/>
        <v/>
      </c>
      <c r="CR18" s="38" t="str">
        <f t="shared" si="38"/>
        <v/>
      </c>
      <c r="CS18" s="40" t="str">
        <f t="shared" si="39"/>
        <v/>
      </c>
      <c r="CT18" s="40" t="str">
        <f t="shared" si="40"/>
        <v/>
      </c>
      <c r="CU18" s="40" t="str">
        <f t="shared" si="41"/>
        <v/>
      </c>
      <c r="CV18" s="40" t="str">
        <f t="shared" si="42"/>
        <v/>
      </c>
      <c r="CW18" s="40" t="str">
        <f t="shared" si="43"/>
        <v/>
      </c>
      <c r="CX18" s="40" t="str">
        <f t="shared" si="44"/>
        <v/>
      </c>
      <c r="CY18" s="40" t="str">
        <f t="shared" si="45"/>
        <v/>
      </c>
      <c r="CZ18" s="40" t="str">
        <f t="shared" si="46"/>
        <v/>
      </c>
      <c r="DA18" s="40" t="str">
        <f t="shared" si="47"/>
        <v/>
      </c>
      <c r="DB18" s="50">
        <f t="shared" si="48"/>
        <v>16.459999999999994</v>
      </c>
      <c r="DC18" s="50" t="str">
        <f t="shared" si="49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40" t="str">
        <f t="shared" si="62"/>
        <v/>
      </c>
      <c r="EK18" s="40" t="str">
        <f t="shared" si="63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1" t="str">
        <f t="shared" si="76"/>
        <v/>
      </c>
      <c r="FS18" s="11" t="str">
        <f t="shared" si="77"/>
        <v/>
      </c>
      <c r="FT18" s="17">
        <v>13.3</v>
      </c>
      <c r="FU18" s="17">
        <v>9.3000000000000007</v>
      </c>
      <c r="FV18" s="17">
        <v>9.6999999999999993</v>
      </c>
      <c r="FW18" s="17">
        <v>13.41</v>
      </c>
      <c r="FX18" s="17">
        <v>0</v>
      </c>
      <c r="FY18" s="17">
        <v>11.1</v>
      </c>
      <c r="FZ18" s="17">
        <v>7</v>
      </c>
      <c r="GA18" s="17">
        <v>7.9</v>
      </c>
      <c r="GB18" s="17">
        <v>10.56</v>
      </c>
      <c r="GC18" s="17">
        <v>0</v>
      </c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>
        <f t="shared" si="78"/>
        <v>9.6999999999999993</v>
      </c>
      <c r="GO18" s="40">
        <f t="shared" si="79"/>
        <v>13.41</v>
      </c>
      <c r="GP18" s="40">
        <f t="shared" si="80"/>
        <v>45.709999999999994</v>
      </c>
      <c r="GQ18" s="40">
        <f t="shared" si="81"/>
        <v>7.9</v>
      </c>
      <c r="GR18" s="40">
        <f t="shared" si="82"/>
        <v>10.56</v>
      </c>
      <c r="GS18" s="40">
        <f t="shared" si="83"/>
        <v>36.56</v>
      </c>
      <c r="GT18" s="40">
        <f t="shared" si="84"/>
        <v>45.709999999999994</v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40" t="str">
        <f t="shared" si="90"/>
        <v/>
      </c>
      <c r="HA18" s="40">
        <f t="shared" si="91"/>
        <v>45.709999999999994</v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1" t="str">
        <f t="shared" si="104"/>
        <v/>
      </c>
      <c r="II18" s="11" t="str">
        <f t="shared" si="105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40" t="str">
        <f t="shared" si="118"/>
        <v/>
      </c>
      <c r="JQ18" s="40" t="str">
        <f t="shared" si="119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1" t="str">
        <f t="shared" si="132"/>
        <v/>
      </c>
      <c r="KY18" s="11" t="str">
        <f t="shared" si="133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40" t="str">
        <f t="shared" si="146"/>
        <v/>
      </c>
      <c r="MG18" s="40" t="str">
        <f t="shared" si="147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1" t="str">
        <f t="shared" si="160"/>
        <v/>
      </c>
      <c r="NO18" s="11" t="str">
        <f t="shared" si="161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40" t="str">
        <f t="shared" si="174"/>
        <v/>
      </c>
      <c r="OW18" s="40" t="str">
        <f t="shared" si="175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1" t="str">
        <f t="shared" si="188"/>
        <v/>
      </c>
      <c r="QE18" s="11" t="str">
        <f t="shared" si="189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40" t="str">
        <f t="shared" si="202"/>
        <v/>
      </c>
      <c r="RM18" s="40" t="str">
        <f t="shared" si="203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11" t="str">
        <f t="shared" si="216"/>
        <v/>
      </c>
      <c r="SU18" s="11" t="str">
        <f t="shared" si="217"/>
        <v/>
      </c>
      <c r="SV18" s="22">
        <f t="shared" si="218"/>
        <v>6.4</v>
      </c>
      <c r="SW18" s="22">
        <f t="shared" si="219"/>
        <v>4.3499999999999996</v>
      </c>
      <c r="SX18" s="22">
        <f t="shared" si="220"/>
        <v>4.5999999999999996</v>
      </c>
      <c r="SY18" s="22">
        <f t="shared" si="221"/>
        <v>6.2350000000000003</v>
      </c>
      <c r="SZ18" s="22">
        <f t="shared" si="222"/>
        <v>0</v>
      </c>
      <c r="TA18" s="22">
        <f t="shared" si="223"/>
        <v>7.05</v>
      </c>
      <c r="TB18" s="22">
        <f t="shared" si="224"/>
        <v>4.5</v>
      </c>
      <c r="TC18" s="22">
        <f t="shared" si="225"/>
        <v>4.7</v>
      </c>
      <c r="TD18" s="22">
        <f t="shared" si="226"/>
        <v>7.04</v>
      </c>
      <c r="TE18" s="22">
        <f t="shared" si="227"/>
        <v>0</v>
      </c>
      <c r="TF18" s="22">
        <f t="shared" si="228"/>
        <v>4.0999999999999996</v>
      </c>
      <c r="TG18" s="22">
        <f t="shared" si="229"/>
        <v>2.8</v>
      </c>
      <c r="TH18" s="22">
        <f t="shared" si="230"/>
        <v>3.35</v>
      </c>
      <c r="TI18" s="22">
        <f t="shared" si="231"/>
        <v>4.375</v>
      </c>
      <c r="TJ18" s="22">
        <f t="shared" si="232"/>
        <v>0</v>
      </c>
      <c r="TK18" s="27" t="s">
        <v>46</v>
      </c>
      <c r="TL18" s="40">
        <f t="shared" si="233"/>
        <v>4.5999999999999996</v>
      </c>
      <c r="TM18" s="40">
        <f t="shared" si="234"/>
        <v>6.2350000000000003</v>
      </c>
      <c r="TN18" s="40">
        <f t="shared" si="235"/>
        <v>21.585000000000001</v>
      </c>
      <c r="TO18" s="40">
        <f t="shared" si="236"/>
        <v>4.7</v>
      </c>
      <c r="TP18" s="40">
        <f t="shared" si="237"/>
        <v>7.04</v>
      </c>
      <c r="TQ18" s="40">
        <f t="shared" si="238"/>
        <v>23.29</v>
      </c>
      <c r="TR18" s="40">
        <f t="shared" si="239"/>
        <v>23.29</v>
      </c>
      <c r="TS18" s="40">
        <f t="shared" si="240"/>
        <v>3.35</v>
      </c>
      <c r="TT18" s="40">
        <f t="shared" si="241"/>
        <v>4.375</v>
      </c>
      <c r="TU18" s="40">
        <f t="shared" si="242"/>
        <v>14.625</v>
      </c>
      <c r="TV18" s="40">
        <f t="shared" si="243"/>
        <v>37.914999999999999</v>
      </c>
    </row>
    <row r="19" spans="1:542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114</v>
      </c>
      <c r="D19" s="4" t="s">
        <v>6</v>
      </c>
      <c r="E19" s="4">
        <v>2005</v>
      </c>
      <c r="F19" s="9">
        <f t="shared" si="0"/>
        <v>145.14001451400455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IF(COUNT(AQ19,AT19,BR19,BU19,CS19,CV19)&gt;0,LARGE((AQ19,AT19,BR19,BU19,CS19,CV19),1),0)</f>
        <v>45.77</v>
      </c>
      <c r="M19" s="8" t="str">
        <f t="shared" si="5"/>
        <v>2024 Nationals</v>
      </c>
      <c r="N19" s="8">
        <f>IF(COUNT(AQ19,AT19,BR19,BU19,CS19,CV19)&gt;1,LARGE((AQ19,AT19,BR19,BU19,CS19,CV19),2),0)</f>
        <v>42.89</v>
      </c>
      <c r="O19" s="8" t="str">
        <f t="shared" si="6"/>
        <v>2024 Nationals</v>
      </c>
      <c r="P19" s="8">
        <f>IF(COUNT(AQ19,AT19,BR19,BU19,CS19,CV19)&gt;2,MAX(AX19,BY19,CZ19,LARGE((AQ19,AT19,BR19,BU19,CS19,CV19),3)),IF(MAX(AX19,BY19,CZ19)&gt;0,MAX(AX19,BY19,CZ19),0))</f>
        <v>47.38</v>
      </c>
      <c r="Q19" s="8" t="str">
        <f t="shared" si="7"/>
        <v>2024 Nationals</v>
      </c>
      <c r="R19" s="8">
        <f t="shared" si="8"/>
        <v>9.1</v>
      </c>
      <c r="S19" s="8" t="str">
        <f t="shared" si="9"/>
        <v>2024 Nationals</v>
      </c>
      <c r="T19" s="8">
        <f t="shared" si="10"/>
        <v>0</v>
      </c>
      <c r="U19" s="8" t="str">
        <f t="shared" si="11"/>
        <v/>
      </c>
      <c r="V19" s="8" t="str">
        <f t="shared" si="12"/>
        <v/>
      </c>
      <c r="W19" s="11" t="str">
        <f t="shared" si="13"/>
        <v/>
      </c>
      <c r="X19" s="8" t="str">
        <f t="shared" si="14"/>
        <v/>
      </c>
      <c r="Y19" s="22">
        <v>12.8</v>
      </c>
      <c r="Z19" s="22">
        <v>9</v>
      </c>
      <c r="AA19" s="22">
        <v>8</v>
      </c>
      <c r="AB19" s="22">
        <v>13.89</v>
      </c>
      <c r="AC19" s="22">
        <v>0.8</v>
      </c>
      <c r="AD19" s="22">
        <v>14.8</v>
      </c>
      <c r="AE19" s="22">
        <v>9.1999999999999993</v>
      </c>
      <c r="AF19" s="22">
        <v>8.4</v>
      </c>
      <c r="AG19" s="22">
        <v>13.77</v>
      </c>
      <c r="AH19" s="22">
        <v>0.4</v>
      </c>
      <c r="AI19" s="22">
        <v>15.5</v>
      </c>
      <c r="AJ19" s="22">
        <v>9</v>
      </c>
      <c r="AK19" s="22">
        <v>9.1</v>
      </c>
      <c r="AL19" s="22">
        <v>13.78</v>
      </c>
      <c r="AM19" s="22">
        <v>0</v>
      </c>
      <c r="AN19" s="27"/>
      <c r="AO19" s="38">
        <f t="shared" si="15"/>
        <v>8</v>
      </c>
      <c r="AP19" s="38">
        <f t="shared" si="16"/>
        <v>13.89</v>
      </c>
      <c r="AQ19" s="40">
        <f t="shared" si="17"/>
        <v>42.89</v>
      </c>
      <c r="AR19" s="40">
        <f t="shared" si="18"/>
        <v>8.4</v>
      </c>
      <c r="AS19" s="40">
        <f t="shared" si="19"/>
        <v>13.77</v>
      </c>
      <c r="AT19" s="40">
        <f t="shared" si="20"/>
        <v>45.77</v>
      </c>
      <c r="AU19" s="40">
        <f t="shared" si="21"/>
        <v>45.77</v>
      </c>
      <c r="AV19" s="40">
        <f t="shared" si="22"/>
        <v>9.1</v>
      </c>
      <c r="AW19" s="40">
        <f t="shared" si="23"/>
        <v>13.78</v>
      </c>
      <c r="AX19" s="40">
        <f t="shared" si="24"/>
        <v>47.38</v>
      </c>
      <c r="AY19" s="40">
        <f t="shared" si="25"/>
        <v>93.15</v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 t="shared" si="26"/>
        <v/>
      </c>
      <c r="BQ19" s="39" t="str">
        <f t="shared" si="27"/>
        <v/>
      </c>
      <c r="BR19" s="11" t="str">
        <f t="shared" si="28"/>
        <v/>
      </c>
      <c r="BS19" s="11" t="str">
        <f t="shared" si="29"/>
        <v/>
      </c>
      <c r="BT19" s="11" t="str">
        <f t="shared" si="30"/>
        <v/>
      </c>
      <c r="BU19" s="11" t="str">
        <f t="shared" si="31"/>
        <v/>
      </c>
      <c r="BV19" s="11" t="str">
        <f t="shared" si="32"/>
        <v/>
      </c>
      <c r="BW19" s="11" t="str">
        <f t="shared" si="33"/>
        <v/>
      </c>
      <c r="BX19" s="11" t="str">
        <f t="shared" si="34"/>
        <v/>
      </c>
      <c r="BY19" s="11" t="str">
        <f t="shared" si="35"/>
        <v/>
      </c>
      <c r="BZ19" s="11" t="str">
        <f t="shared" si="36"/>
        <v/>
      </c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7"/>
      <c r="CQ19" s="38" t="str">
        <f t="shared" si="37"/>
        <v/>
      </c>
      <c r="CR19" s="38" t="str">
        <f t="shared" si="38"/>
        <v/>
      </c>
      <c r="CS19" s="40" t="str">
        <f t="shared" si="39"/>
        <v/>
      </c>
      <c r="CT19" s="40" t="str">
        <f t="shared" si="40"/>
        <v/>
      </c>
      <c r="CU19" s="40" t="str">
        <f t="shared" si="41"/>
        <v/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 t="str">
        <f t="shared" si="45"/>
        <v/>
      </c>
      <c r="CZ19" s="40" t="str">
        <f t="shared" si="46"/>
        <v/>
      </c>
      <c r="DA19" s="40" t="str">
        <f t="shared" si="47"/>
        <v/>
      </c>
      <c r="DB19" s="50" t="str">
        <f t="shared" si="48"/>
        <v/>
      </c>
      <c r="DC19" s="50" t="str">
        <f t="shared" si="49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40" t="str">
        <f t="shared" si="62"/>
        <v/>
      </c>
      <c r="EK19" s="40" t="str">
        <f t="shared" si="63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1" t="str">
        <f t="shared" si="76"/>
        <v/>
      </c>
      <c r="FS19" s="11" t="str">
        <f t="shared" si="77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40" t="str">
        <f t="shared" si="90"/>
        <v/>
      </c>
      <c r="HA19" s="40" t="str">
        <f t="shared" si="91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1" t="str">
        <f t="shared" si="104"/>
        <v/>
      </c>
      <c r="II19" s="11" t="str">
        <f t="shared" si="105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40" t="str">
        <f t="shared" si="118"/>
        <v/>
      </c>
      <c r="JQ19" s="40" t="str">
        <f t="shared" si="119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1" t="str">
        <f t="shared" si="132"/>
        <v/>
      </c>
      <c r="KY19" s="11" t="str">
        <f t="shared" si="133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40" t="str">
        <f t="shared" si="146"/>
        <v/>
      </c>
      <c r="MG19" s="40" t="str">
        <f t="shared" si="147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1" t="str">
        <f t="shared" si="160"/>
        <v/>
      </c>
      <c r="NO19" s="11" t="str">
        <f t="shared" si="161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40" t="str">
        <f t="shared" si="174"/>
        <v/>
      </c>
      <c r="OW19" s="40" t="str">
        <f t="shared" si="175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1" t="str">
        <f t="shared" si="188"/>
        <v/>
      </c>
      <c r="QE19" s="11" t="str">
        <f t="shared" si="189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40" t="str">
        <f t="shared" si="202"/>
        <v/>
      </c>
      <c r="RM19" s="40" t="str">
        <f t="shared" si="203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11" t="str">
        <f t="shared" si="216"/>
        <v/>
      </c>
      <c r="SU19" s="11" t="str">
        <f t="shared" si="217"/>
        <v/>
      </c>
      <c r="SV19" s="22">
        <f t="shared" si="218"/>
        <v>0</v>
      </c>
      <c r="SW19" s="22">
        <f t="shared" si="219"/>
        <v>0</v>
      </c>
      <c r="SX19" s="22">
        <f t="shared" si="220"/>
        <v>0</v>
      </c>
      <c r="SY19" s="22">
        <f t="shared" si="221"/>
        <v>0</v>
      </c>
      <c r="SZ19" s="22">
        <f t="shared" si="222"/>
        <v>0</v>
      </c>
      <c r="TA19" s="22">
        <f t="shared" si="223"/>
        <v>0</v>
      </c>
      <c r="TB19" s="22">
        <f t="shared" si="224"/>
        <v>0</v>
      </c>
      <c r="TC19" s="22">
        <f t="shared" si="225"/>
        <v>0</v>
      </c>
      <c r="TD19" s="22">
        <f t="shared" si="226"/>
        <v>0</v>
      </c>
      <c r="TE19" s="22">
        <f t="shared" si="227"/>
        <v>0</v>
      </c>
      <c r="TF19" s="22">
        <f t="shared" si="228"/>
        <v>0</v>
      </c>
      <c r="TG19" s="22">
        <f t="shared" si="229"/>
        <v>0</v>
      </c>
      <c r="TH19" s="22">
        <f t="shared" si="230"/>
        <v>0</v>
      </c>
      <c r="TI19" s="22">
        <f t="shared" si="231"/>
        <v>0</v>
      </c>
      <c r="TJ19" s="22">
        <f t="shared" si="232"/>
        <v>0</v>
      </c>
      <c r="TK19" s="27" t="s">
        <v>46</v>
      </c>
      <c r="TL19" s="40" t="str">
        <f t="shared" si="233"/>
        <v/>
      </c>
      <c r="TM19" s="40" t="str">
        <f t="shared" si="234"/>
        <v/>
      </c>
      <c r="TN19" s="40" t="str">
        <f t="shared" si="235"/>
        <v/>
      </c>
      <c r="TO19" s="40" t="str">
        <f t="shared" si="236"/>
        <v/>
      </c>
      <c r="TP19" s="40" t="str">
        <f t="shared" si="237"/>
        <v/>
      </c>
      <c r="TQ19" s="40" t="str">
        <f t="shared" si="238"/>
        <v/>
      </c>
      <c r="TR19" s="40" t="str">
        <f t="shared" si="239"/>
        <v/>
      </c>
      <c r="TS19" s="40" t="str">
        <f t="shared" si="240"/>
        <v/>
      </c>
      <c r="TT19" s="40" t="str">
        <f t="shared" si="241"/>
        <v/>
      </c>
      <c r="TU19" s="40" t="str">
        <f t="shared" si="242"/>
        <v/>
      </c>
      <c r="TV19" s="40" t="str">
        <f t="shared" si="243"/>
        <v/>
      </c>
    </row>
    <row r="20" spans="1:542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108</v>
      </c>
      <c r="D20" s="4" t="s">
        <v>5</v>
      </c>
      <c r="E20" s="4">
        <v>2004</v>
      </c>
      <c r="F20" s="9">
        <f t="shared" si="0"/>
        <v>144.74001447400462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IF(COUNT(AQ20,AT20,BR20,BU20,CS20,CV20)&gt;0,LARGE((AQ20,AT20,BR20,BU20,CS20,CV20),1),0)</f>
        <v>46.109999999999992</v>
      </c>
      <c r="M20" s="8" t="str">
        <f t="shared" si="5"/>
        <v>2024 Nationals</v>
      </c>
      <c r="N20" s="8">
        <f>IF(COUNT(AQ20,AT20,BR20,BU20,CS20,CV20)&gt;1,LARGE((AQ20,AT20,BR20,BU20,CS20,CV20),2),0)</f>
        <v>44.269999999999996</v>
      </c>
      <c r="O20" s="8" t="str">
        <f t="shared" si="6"/>
        <v>2024 Nationals</v>
      </c>
      <c r="P20" s="8">
        <f>IF(COUNT(AQ20,AT20,BR20,BU20,CS20,CV20)&gt;2,MAX(AX20,BY20,CZ20,LARGE((AQ20,AT20,BR20,BU20,CS20,CV20),3)),IF(MAX(AX20,BY20,CZ20)&gt;0,MAX(AX20,BY20,CZ20),0))</f>
        <v>45.56</v>
      </c>
      <c r="Q20" s="8" t="str">
        <f t="shared" si="7"/>
        <v>2024 Nationals</v>
      </c>
      <c r="R20" s="8">
        <f t="shared" si="8"/>
        <v>8.8000000000000007</v>
      </c>
      <c r="S20" s="8" t="str">
        <f t="shared" si="9"/>
        <v>2024 Nationals</v>
      </c>
      <c r="T20" s="8">
        <f t="shared" si="10"/>
        <v>0</v>
      </c>
      <c r="U20" s="8" t="str">
        <f t="shared" si="11"/>
        <v/>
      </c>
      <c r="V20" s="8" t="str">
        <f t="shared" si="12"/>
        <v/>
      </c>
      <c r="W20" s="11" t="str">
        <f t="shared" si="13"/>
        <v/>
      </c>
      <c r="X20" s="8" t="str">
        <f t="shared" si="14"/>
        <v/>
      </c>
      <c r="Y20" s="22">
        <v>14.1</v>
      </c>
      <c r="Z20" s="22">
        <v>9.1999999999999993</v>
      </c>
      <c r="AA20" s="22">
        <v>8.8000000000000007</v>
      </c>
      <c r="AB20" s="22">
        <v>12.17</v>
      </c>
      <c r="AC20" s="22">
        <v>0</v>
      </c>
      <c r="AD20" s="22">
        <v>15.2</v>
      </c>
      <c r="AE20" s="22">
        <v>9.6</v>
      </c>
      <c r="AF20" s="22">
        <v>8.8000000000000007</v>
      </c>
      <c r="AG20" s="22">
        <v>12.51</v>
      </c>
      <c r="AH20" s="22">
        <v>0</v>
      </c>
      <c r="AI20" s="22">
        <v>15</v>
      </c>
      <c r="AJ20" s="22">
        <v>9.3000000000000007</v>
      </c>
      <c r="AK20" s="22">
        <v>8.8000000000000007</v>
      </c>
      <c r="AL20" s="22">
        <v>12.46</v>
      </c>
      <c r="AM20" s="22">
        <v>0</v>
      </c>
      <c r="AN20" s="27"/>
      <c r="AO20" s="38">
        <f t="shared" si="15"/>
        <v>8.8000000000000007</v>
      </c>
      <c r="AP20" s="38">
        <f t="shared" si="16"/>
        <v>12.17</v>
      </c>
      <c r="AQ20" s="40">
        <f t="shared" si="17"/>
        <v>44.269999999999996</v>
      </c>
      <c r="AR20" s="40">
        <f t="shared" si="18"/>
        <v>8.8000000000000007</v>
      </c>
      <c r="AS20" s="40">
        <f t="shared" si="19"/>
        <v>12.51</v>
      </c>
      <c r="AT20" s="40">
        <f t="shared" si="20"/>
        <v>46.109999999999992</v>
      </c>
      <c r="AU20" s="40">
        <f t="shared" si="21"/>
        <v>46.109999999999992</v>
      </c>
      <c r="AV20" s="40">
        <f t="shared" si="22"/>
        <v>8.8000000000000007</v>
      </c>
      <c r="AW20" s="40">
        <f t="shared" si="23"/>
        <v>12.46</v>
      </c>
      <c r="AX20" s="40">
        <f t="shared" si="24"/>
        <v>45.56</v>
      </c>
      <c r="AY20" s="40">
        <f t="shared" si="25"/>
        <v>91.669999999999987</v>
      </c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8"/>
      <c r="BP20" s="39" t="str">
        <f t="shared" si="26"/>
        <v/>
      </c>
      <c r="BQ20" s="39" t="str">
        <f t="shared" si="27"/>
        <v/>
      </c>
      <c r="BR20" s="11" t="str">
        <f t="shared" si="28"/>
        <v/>
      </c>
      <c r="BS20" s="11" t="str">
        <f t="shared" si="29"/>
        <v/>
      </c>
      <c r="BT20" s="11" t="str">
        <f t="shared" si="30"/>
        <v/>
      </c>
      <c r="BU20" s="11" t="str">
        <f t="shared" si="31"/>
        <v/>
      </c>
      <c r="BV20" s="11" t="str">
        <f t="shared" si="32"/>
        <v/>
      </c>
      <c r="BW20" s="11" t="str">
        <f t="shared" si="33"/>
        <v/>
      </c>
      <c r="BX20" s="11" t="str">
        <f t="shared" si="34"/>
        <v/>
      </c>
      <c r="BY20" s="11" t="str">
        <f t="shared" si="35"/>
        <v/>
      </c>
      <c r="BZ20" s="11" t="str">
        <f t="shared" si="36"/>
        <v/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 t="shared" si="37"/>
        <v/>
      </c>
      <c r="CR20" s="38" t="str">
        <f t="shared" si="38"/>
        <v/>
      </c>
      <c r="CS20" s="40" t="str">
        <f t="shared" si="39"/>
        <v/>
      </c>
      <c r="CT20" s="40" t="str">
        <f t="shared" si="40"/>
        <v/>
      </c>
      <c r="CU20" s="40" t="str">
        <f t="shared" si="41"/>
        <v/>
      </c>
      <c r="CV20" s="40" t="str">
        <f t="shared" si="42"/>
        <v/>
      </c>
      <c r="CW20" s="40" t="str">
        <f t="shared" si="43"/>
        <v/>
      </c>
      <c r="CX20" s="40" t="str">
        <f t="shared" si="44"/>
        <v/>
      </c>
      <c r="CY20" s="40" t="str">
        <f t="shared" si="45"/>
        <v/>
      </c>
      <c r="CZ20" s="40" t="str">
        <f t="shared" si="46"/>
        <v/>
      </c>
      <c r="DA20" s="40" t="str">
        <f t="shared" si="47"/>
        <v/>
      </c>
      <c r="DB20" s="50" t="str">
        <f t="shared" si="48"/>
        <v/>
      </c>
      <c r="DC20" s="50" t="str">
        <f t="shared" si="49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0"/>
        <v/>
      </c>
      <c r="DY20" s="40" t="str">
        <f t="shared" si="51"/>
        <v/>
      </c>
      <c r="DZ20" s="40" t="str">
        <f t="shared" si="52"/>
        <v/>
      </c>
      <c r="EA20" s="40" t="str">
        <f t="shared" si="53"/>
        <v/>
      </c>
      <c r="EB20" s="40" t="str">
        <f t="shared" si="54"/>
        <v/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 t="str">
        <f t="shared" si="61"/>
        <v/>
      </c>
      <c r="EJ20" s="40" t="str">
        <f t="shared" si="62"/>
        <v/>
      </c>
      <c r="EK20" s="40" t="str">
        <f t="shared" si="63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1" t="str">
        <f t="shared" si="76"/>
        <v/>
      </c>
      <c r="FS20" s="11" t="str">
        <f t="shared" si="77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40" t="str">
        <f t="shared" si="90"/>
        <v/>
      </c>
      <c r="HA20" s="40" t="str">
        <f t="shared" si="91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1" t="str">
        <f t="shared" si="104"/>
        <v/>
      </c>
      <c r="II20" s="11" t="str">
        <f t="shared" si="105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40" t="str">
        <f t="shared" si="118"/>
        <v/>
      </c>
      <c r="JQ20" s="40" t="str">
        <f t="shared" si="119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1" t="str">
        <f t="shared" si="132"/>
        <v/>
      </c>
      <c r="KY20" s="11" t="str">
        <f t="shared" si="133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40" t="str">
        <f t="shared" si="146"/>
        <v/>
      </c>
      <c r="MG20" s="40" t="str">
        <f t="shared" si="147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1" t="str">
        <f t="shared" si="160"/>
        <v/>
      </c>
      <c r="NO20" s="11" t="str">
        <f t="shared" si="161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40" t="str">
        <f t="shared" si="174"/>
        <v/>
      </c>
      <c r="OW20" s="40" t="str">
        <f t="shared" si="175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1" t="str">
        <f t="shared" si="188"/>
        <v/>
      </c>
      <c r="QE20" s="11" t="str">
        <f t="shared" si="189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40" t="str">
        <f t="shared" si="202"/>
        <v/>
      </c>
      <c r="RM20" s="40" t="str">
        <f t="shared" si="203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11" t="str">
        <f t="shared" si="216"/>
        <v/>
      </c>
      <c r="SU20" s="11" t="str">
        <f t="shared" si="217"/>
        <v/>
      </c>
      <c r="SV20" s="22">
        <f t="shared" si="218"/>
        <v>0</v>
      </c>
      <c r="SW20" s="22">
        <f t="shared" si="219"/>
        <v>0</v>
      </c>
      <c r="SX20" s="22">
        <f t="shared" si="220"/>
        <v>0</v>
      </c>
      <c r="SY20" s="22">
        <f t="shared" si="221"/>
        <v>0</v>
      </c>
      <c r="SZ20" s="22">
        <f t="shared" si="222"/>
        <v>0</v>
      </c>
      <c r="TA20" s="22">
        <f t="shared" si="223"/>
        <v>0</v>
      </c>
      <c r="TB20" s="22">
        <f t="shared" si="224"/>
        <v>0</v>
      </c>
      <c r="TC20" s="22">
        <f t="shared" si="225"/>
        <v>0</v>
      </c>
      <c r="TD20" s="22">
        <f t="shared" si="226"/>
        <v>0</v>
      </c>
      <c r="TE20" s="22">
        <f t="shared" si="227"/>
        <v>0</v>
      </c>
      <c r="TF20" s="22">
        <f t="shared" si="228"/>
        <v>0</v>
      </c>
      <c r="TG20" s="22">
        <f t="shared" si="229"/>
        <v>0</v>
      </c>
      <c r="TH20" s="22">
        <f t="shared" si="230"/>
        <v>0</v>
      </c>
      <c r="TI20" s="22">
        <f t="shared" si="231"/>
        <v>0</v>
      </c>
      <c r="TJ20" s="22">
        <f t="shared" si="232"/>
        <v>0</v>
      </c>
      <c r="TK20" s="27" t="s">
        <v>46</v>
      </c>
      <c r="TL20" s="40" t="str">
        <f t="shared" si="233"/>
        <v/>
      </c>
      <c r="TM20" s="40" t="str">
        <f t="shared" si="234"/>
        <v/>
      </c>
      <c r="TN20" s="40" t="str">
        <f t="shared" si="235"/>
        <v/>
      </c>
      <c r="TO20" s="40" t="str">
        <f t="shared" si="236"/>
        <v/>
      </c>
      <c r="TP20" s="40" t="str">
        <f t="shared" si="237"/>
        <v/>
      </c>
      <c r="TQ20" s="40" t="str">
        <f t="shared" si="238"/>
        <v/>
      </c>
      <c r="TR20" s="40" t="str">
        <f t="shared" si="239"/>
        <v/>
      </c>
      <c r="TS20" s="40" t="str">
        <f t="shared" si="240"/>
        <v/>
      </c>
      <c r="TT20" s="40" t="str">
        <f t="shared" si="241"/>
        <v/>
      </c>
      <c r="TU20" s="40" t="str">
        <f t="shared" si="242"/>
        <v/>
      </c>
      <c r="TV20" s="40" t="str">
        <f t="shared" si="243"/>
        <v/>
      </c>
    </row>
    <row r="21" spans="1:542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165</v>
      </c>
      <c r="D21" s="4" t="s">
        <v>31</v>
      </c>
      <c r="E21" s="4">
        <v>2007</v>
      </c>
      <c r="F21" s="9">
        <f t="shared" si="0"/>
        <v>142.94000981500452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IF(COUNT(AQ21,AT21,BR21,BU21,CS21,CV21)&gt;0,LARGE((AQ21,AT21,BR21,BU21,CS21,CV21),1),0)</f>
        <v>45.169999999999995</v>
      </c>
      <c r="M21" s="8" t="str">
        <f t="shared" si="5"/>
        <v>2024 Nationals</v>
      </c>
      <c r="N21" s="8">
        <f>IF(COUNT(AQ21,AT21,BR21,BU21,CS21,CV21)&gt;1,LARGE((AQ21,AT21,BR21,BU21,CS21,CV21),2),0)</f>
        <v>44.28</v>
      </c>
      <c r="O21" s="8" t="str">
        <f t="shared" si="6"/>
        <v>2024 Nationals</v>
      </c>
      <c r="P21" s="8">
        <f>IF(COUNT(AQ21,AT21,BR21,BU21,CS21,CV21)&gt;2,MAX(AX21,BY21,CZ21,LARGE((AQ21,AT21,BR21,BU21,CS21,CV21),3)),IF(MAX(AX21,BY21,CZ21)&gt;0,MAX(AX21,BY21,CZ21),0))</f>
        <v>0</v>
      </c>
      <c r="Q21" s="8" t="str">
        <f t="shared" si="7"/>
        <v/>
      </c>
      <c r="R21" s="8">
        <f t="shared" si="8"/>
        <v>8.6999999999999993</v>
      </c>
      <c r="S21" s="8" t="str">
        <f t="shared" si="9"/>
        <v>2024 Nationals</v>
      </c>
      <c r="T21" s="8">
        <f t="shared" si="10"/>
        <v>0</v>
      </c>
      <c r="U21" s="8" t="str">
        <f t="shared" si="11"/>
        <v/>
      </c>
      <c r="V21" s="8">
        <f t="shared" si="12"/>
        <v>44.79</v>
      </c>
      <c r="W21" s="11" t="str">
        <f t="shared" si="13"/>
        <v>(Optional)</v>
      </c>
      <c r="X21" s="8" t="str">
        <f t="shared" si="14"/>
        <v>2024 Coimbra Gym Fest (July 7)</v>
      </c>
      <c r="Y21" s="22">
        <v>14.4</v>
      </c>
      <c r="Z21" s="22">
        <v>9.4</v>
      </c>
      <c r="AA21" s="22">
        <v>8.6999999999999993</v>
      </c>
      <c r="AB21" s="22">
        <v>12.77</v>
      </c>
      <c r="AC21" s="22">
        <v>0.1</v>
      </c>
      <c r="AD21" s="22">
        <v>14.7</v>
      </c>
      <c r="AE21" s="22">
        <v>8.9</v>
      </c>
      <c r="AF21" s="22">
        <v>8.1999999999999993</v>
      </c>
      <c r="AG21" s="22">
        <v>13.08</v>
      </c>
      <c r="AH21" s="22">
        <v>0.6</v>
      </c>
      <c r="AI21" s="22"/>
      <c r="AJ21" s="22"/>
      <c r="AK21" s="22"/>
      <c r="AL21" s="22"/>
      <c r="AM21" s="22"/>
      <c r="AN21" s="27"/>
      <c r="AO21" s="38">
        <f t="shared" si="15"/>
        <v>8.6999999999999993</v>
      </c>
      <c r="AP21" s="38">
        <f t="shared" si="16"/>
        <v>12.77</v>
      </c>
      <c r="AQ21" s="40">
        <f t="shared" si="17"/>
        <v>45.169999999999995</v>
      </c>
      <c r="AR21" s="40">
        <f t="shared" si="18"/>
        <v>8.1999999999999993</v>
      </c>
      <c r="AS21" s="40">
        <f t="shared" si="19"/>
        <v>13.08</v>
      </c>
      <c r="AT21" s="40">
        <f t="shared" si="20"/>
        <v>44.28</v>
      </c>
      <c r="AU21" s="40">
        <f t="shared" si="21"/>
        <v>45.169999999999995</v>
      </c>
      <c r="AV21" s="40" t="str">
        <f t="shared" si="22"/>
        <v/>
      </c>
      <c r="AW21" s="40" t="str">
        <f t="shared" si="23"/>
        <v/>
      </c>
      <c r="AX21" s="40" t="str">
        <f t="shared" si="24"/>
        <v/>
      </c>
      <c r="AY21" s="40">
        <f t="shared" si="25"/>
        <v>45.169999999999995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6"/>
        <v/>
      </c>
      <c r="BQ21" s="39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11" t="str">
        <f t="shared" si="35"/>
        <v/>
      </c>
      <c r="BZ21" s="11" t="str">
        <f t="shared" si="36"/>
        <v/>
      </c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7"/>
      <c r="CQ21" s="38" t="str">
        <f t="shared" si="37"/>
        <v/>
      </c>
      <c r="CR21" s="38" t="str">
        <f t="shared" si="38"/>
        <v/>
      </c>
      <c r="CS21" s="40" t="str">
        <f t="shared" si="39"/>
        <v/>
      </c>
      <c r="CT21" s="40" t="str">
        <f t="shared" si="40"/>
        <v/>
      </c>
      <c r="CU21" s="40" t="str">
        <f t="shared" si="41"/>
        <v/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 t="str">
        <f t="shared" si="45"/>
        <v/>
      </c>
      <c r="CZ21" s="40" t="str">
        <f t="shared" si="46"/>
        <v/>
      </c>
      <c r="DA21" s="40" t="str">
        <f t="shared" si="47"/>
        <v/>
      </c>
      <c r="DB21" s="50">
        <f t="shared" si="48"/>
        <v>44.79</v>
      </c>
      <c r="DC21" s="50" t="str">
        <f t="shared" si="49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40" t="str">
        <f t="shared" si="62"/>
        <v/>
      </c>
      <c r="EK21" s="40" t="str">
        <f t="shared" si="63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1" t="str">
        <f t="shared" si="76"/>
        <v/>
      </c>
      <c r="FS21" s="11" t="str">
        <f t="shared" si="77"/>
        <v/>
      </c>
      <c r="FT21" s="17">
        <v>9.8000000000000007</v>
      </c>
      <c r="FU21" s="17">
        <v>6.7</v>
      </c>
      <c r="FV21" s="17">
        <v>6.4</v>
      </c>
      <c r="FW21" s="17">
        <v>9.39</v>
      </c>
      <c r="FX21" s="17">
        <v>0</v>
      </c>
      <c r="FY21" s="17">
        <v>13.7</v>
      </c>
      <c r="FZ21" s="17">
        <v>9.5</v>
      </c>
      <c r="GA21" s="17">
        <v>8.6999999999999993</v>
      </c>
      <c r="GB21" s="17">
        <v>12.89</v>
      </c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>
        <f t="shared" si="78"/>
        <v>6.4</v>
      </c>
      <c r="GO21" s="40">
        <f t="shared" si="79"/>
        <v>9.39</v>
      </c>
      <c r="GP21" s="40">
        <f t="shared" si="80"/>
        <v>32.29</v>
      </c>
      <c r="GQ21" s="40">
        <f t="shared" si="81"/>
        <v>8.6999999999999993</v>
      </c>
      <c r="GR21" s="40">
        <f t="shared" si="82"/>
        <v>12.89</v>
      </c>
      <c r="GS21" s="40">
        <f t="shared" si="83"/>
        <v>44.79</v>
      </c>
      <c r="GT21" s="40">
        <f t="shared" si="84"/>
        <v>44.79</v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40" t="str">
        <f t="shared" si="90"/>
        <v/>
      </c>
      <c r="HA21" s="40">
        <f t="shared" si="91"/>
        <v>44.79</v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1" t="str">
        <f t="shared" si="104"/>
        <v/>
      </c>
      <c r="II21" s="11" t="str">
        <f t="shared" si="105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40" t="str">
        <f t="shared" si="118"/>
        <v/>
      </c>
      <c r="JQ21" s="40" t="str">
        <f t="shared" si="119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1" t="str">
        <f t="shared" si="132"/>
        <v/>
      </c>
      <c r="KY21" s="11" t="str">
        <f t="shared" si="133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40" t="str">
        <f t="shared" si="146"/>
        <v/>
      </c>
      <c r="MG21" s="40" t="str">
        <f t="shared" si="147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1" t="str">
        <f t="shared" si="160"/>
        <v/>
      </c>
      <c r="NO21" s="11" t="str">
        <f t="shared" si="161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40" t="str">
        <f t="shared" si="174"/>
        <v/>
      </c>
      <c r="OW21" s="40" t="str">
        <f t="shared" si="175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1" t="str">
        <f t="shared" si="188"/>
        <v/>
      </c>
      <c r="QE21" s="11" t="str">
        <f t="shared" si="189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40" t="str">
        <f t="shared" si="202"/>
        <v/>
      </c>
      <c r="RM21" s="40" t="str">
        <f t="shared" si="203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11" t="str">
        <f t="shared" si="216"/>
        <v/>
      </c>
      <c r="SU21" s="11" t="str">
        <f t="shared" si="217"/>
        <v/>
      </c>
      <c r="SV21" s="22">
        <f t="shared" si="218"/>
        <v>0</v>
      </c>
      <c r="SW21" s="22">
        <f t="shared" si="219"/>
        <v>0</v>
      </c>
      <c r="SX21" s="22">
        <f t="shared" si="220"/>
        <v>0</v>
      </c>
      <c r="SY21" s="22">
        <f t="shared" si="221"/>
        <v>0</v>
      </c>
      <c r="SZ21" s="22">
        <f t="shared" si="222"/>
        <v>0</v>
      </c>
      <c r="TA21" s="22">
        <f t="shared" si="223"/>
        <v>0</v>
      </c>
      <c r="TB21" s="22">
        <f t="shared" si="224"/>
        <v>0</v>
      </c>
      <c r="TC21" s="22">
        <f t="shared" si="225"/>
        <v>0</v>
      </c>
      <c r="TD21" s="22">
        <f t="shared" si="226"/>
        <v>0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2">
        <f t="shared" si="231"/>
        <v>0</v>
      </c>
      <c r="TJ21" s="22">
        <f t="shared" si="232"/>
        <v>0</v>
      </c>
      <c r="TK21" s="27" t="s">
        <v>46</v>
      </c>
      <c r="TL21" s="40" t="str">
        <f t="shared" si="233"/>
        <v/>
      </c>
      <c r="TM21" s="40" t="str">
        <f t="shared" si="234"/>
        <v/>
      </c>
      <c r="TN21" s="40" t="str">
        <f t="shared" si="235"/>
        <v/>
      </c>
      <c r="TO21" s="40" t="str">
        <f t="shared" si="236"/>
        <v/>
      </c>
      <c r="TP21" s="40" t="str">
        <f t="shared" si="237"/>
        <v/>
      </c>
      <c r="TQ21" s="40" t="str">
        <f t="shared" si="238"/>
        <v/>
      </c>
      <c r="TR21" s="40" t="str">
        <f t="shared" si="239"/>
        <v/>
      </c>
      <c r="TS21" s="40" t="str">
        <f t="shared" si="240"/>
        <v/>
      </c>
      <c r="TT21" s="40" t="str">
        <f t="shared" si="241"/>
        <v/>
      </c>
      <c r="TU21" s="40" t="str">
        <f t="shared" si="242"/>
        <v/>
      </c>
      <c r="TV21" s="40" t="str">
        <f t="shared" si="243"/>
        <v/>
      </c>
    </row>
    <row r="22" spans="1:542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117</v>
      </c>
      <c r="D22" s="4" t="s">
        <v>3</v>
      </c>
      <c r="E22" s="4">
        <v>2006</v>
      </c>
      <c r="F22" s="9">
        <f t="shared" si="0"/>
        <v>141.80001418000464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IF(COUNT(AQ22,AT22,BR22,BU22,CS22,CV22)&gt;0,LARGE((AQ22,AT22,BR22,BU22,CS22,CV22),1),0)</f>
        <v>46.459999999999994</v>
      </c>
      <c r="M22" s="8" t="str">
        <f t="shared" si="5"/>
        <v>2024 Nationals</v>
      </c>
      <c r="N22" s="8">
        <f>IF(COUNT(AQ22,AT22,BR22,BU22,CS22,CV22)&gt;1,LARGE((AQ22,AT22,BR22,BU22,CS22,CV22),2),0)</f>
        <v>39.710000000000008</v>
      </c>
      <c r="O22" s="8" t="str">
        <f t="shared" si="6"/>
        <v>2024 Nationals</v>
      </c>
      <c r="P22" s="8">
        <f>IF(COUNT(AQ22,AT22,BR22,BU22,CS22,CV22)&gt;2,MAX(AX22,BY22,CZ22,LARGE((AQ22,AT22,BR22,BU22,CS22,CV22),3)),IF(MAX(AX22,BY22,CZ22)&gt;0,MAX(AX22,BY22,CZ22),0))</f>
        <v>45.23</v>
      </c>
      <c r="Q22" s="8" t="str">
        <f t="shared" si="7"/>
        <v>2024 Nationals</v>
      </c>
      <c r="R22" s="8">
        <f t="shared" si="8"/>
        <v>10.4</v>
      </c>
      <c r="S22" s="8" t="str">
        <f t="shared" si="9"/>
        <v>2024 Nationals</v>
      </c>
      <c r="T22" s="8">
        <f t="shared" si="10"/>
        <v>0</v>
      </c>
      <c r="U22" s="8" t="str">
        <f t="shared" si="11"/>
        <v/>
      </c>
      <c r="V22" s="8" t="str">
        <f t="shared" si="12"/>
        <v/>
      </c>
      <c r="W22" s="11" t="str">
        <f t="shared" si="13"/>
        <v/>
      </c>
      <c r="X22" s="8" t="str">
        <f t="shared" si="14"/>
        <v/>
      </c>
      <c r="Y22" s="22">
        <v>11.3</v>
      </c>
      <c r="Z22" s="22">
        <v>8.4</v>
      </c>
      <c r="AA22" s="22">
        <v>8.3000000000000007</v>
      </c>
      <c r="AB22" s="22">
        <v>11.71</v>
      </c>
      <c r="AC22" s="22">
        <v>0</v>
      </c>
      <c r="AD22" s="22">
        <v>14.4</v>
      </c>
      <c r="AE22" s="22">
        <v>9.5</v>
      </c>
      <c r="AF22" s="22">
        <v>8.9</v>
      </c>
      <c r="AG22" s="22">
        <v>13.66</v>
      </c>
      <c r="AH22" s="22">
        <v>0</v>
      </c>
      <c r="AI22" s="22">
        <v>12.3</v>
      </c>
      <c r="AJ22" s="22">
        <v>9.4</v>
      </c>
      <c r="AK22" s="22">
        <v>10.4</v>
      </c>
      <c r="AL22" s="22">
        <v>13.33</v>
      </c>
      <c r="AM22" s="22">
        <v>0.2</v>
      </c>
      <c r="AN22" s="27"/>
      <c r="AO22" s="38">
        <f t="shared" si="15"/>
        <v>8.3000000000000007</v>
      </c>
      <c r="AP22" s="38">
        <f t="shared" si="16"/>
        <v>11.71</v>
      </c>
      <c r="AQ22" s="40">
        <f t="shared" si="17"/>
        <v>39.710000000000008</v>
      </c>
      <c r="AR22" s="40">
        <f t="shared" si="18"/>
        <v>8.9</v>
      </c>
      <c r="AS22" s="40">
        <f t="shared" si="19"/>
        <v>13.66</v>
      </c>
      <c r="AT22" s="40">
        <f t="shared" si="20"/>
        <v>46.459999999999994</v>
      </c>
      <c r="AU22" s="40">
        <f t="shared" si="21"/>
        <v>46.459999999999994</v>
      </c>
      <c r="AV22" s="40">
        <f t="shared" si="22"/>
        <v>10.4</v>
      </c>
      <c r="AW22" s="40">
        <f t="shared" si="23"/>
        <v>13.33</v>
      </c>
      <c r="AX22" s="40">
        <f t="shared" si="24"/>
        <v>45.23</v>
      </c>
      <c r="AY22" s="40">
        <f t="shared" si="25"/>
        <v>91.69</v>
      </c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8"/>
      <c r="BP22" s="39" t="str">
        <f t="shared" si="26"/>
        <v/>
      </c>
      <c r="BQ22" s="39" t="str">
        <f t="shared" si="27"/>
        <v/>
      </c>
      <c r="BR22" s="11" t="str">
        <f t="shared" si="28"/>
        <v/>
      </c>
      <c r="BS22" s="11" t="str">
        <f t="shared" si="29"/>
        <v/>
      </c>
      <c r="BT22" s="11" t="str">
        <f t="shared" si="30"/>
        <v/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 t="str">
        <f t="shared" si="34"/>
        <v/>
      </c>
      <c r="BY22" s="11" t="str">
        <f t="shared" si="35"/>
        <v/>
      </c>
      <c r="BZ22" s="11" t="str">
        <f t="shared" si="36"/>
        <v/>
      </c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7"/>
      <c r="CQ22" s="38" t="str">
        <f t="shared" si="37"/>
        <v/>
      </c>
      <c r="CR22" s="38" t="str">
        <f t="shared" si="38"/>
        <v/>
      </c>
      <c r="CS22" s="40" t="str">
        <f t="shared" si="39"/>
        <v/>
      </c>
      <c r="CT22" s="40" t="str">
        <f t="shared" si="40"/>
        <v/>
      </c>
      <c r="CU22" s="40" t="str">
        <f t="shared" si="41"/>
        <v/>
      </c>
      <c r="CV22" s="40" t="str">
        <f t="shared" si="42"/>
        <v/>
      </c>
      <c r="CW22" s="40" t="str">
        <f t="shared" si="43"/>
        <v/>
      </c>
      <c r="CX22" s="40" t="str">
        <f t="shared" si="44"/>
        <v/>
      </c>
      <c r="CY22" s="40" t="str">
        <f t="shared" si="45"/>
        <v/>
      </c>
      <c r="CZ22" s="40" t="str">
        <f t="shared" si="46"/>
        <v/>
      </c>
      <c r="DA22" s="40" t="str">
        <f t="shared" si="47"/>
        <v/>
      </c>
      <c r="DB22" s="50" t="str">
        <f t="shared" si="48"/>
        <v/>
      </c>
      <c r="DC22" s="50" t="str">
        <f t="shared" si="49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40" t="str">
        <f t="shared" si="62"/>
        <v/>
      </c>
      <c r="EK22" s="40" t="str">
        <f t="shared" si="63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1" t="str">
        <f t="shared" si="76"/>
        <v/>
      </c>
      <c r="FS22" s="11" t="str">
        <f t="shared" si="77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40" t="str">
        <f t="shared" si="90"/>
        <v/>
      </c>
      <c r="HA22" s="40" t="str">
        <f t="shared" si="91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1" t="str">
        <f t="shared" si="104"/>
        <v/>
      </c>
      <c r="II22" s="11" t="str">
        <f t="shared" si="105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40" t="str">
        <f t="shared" si="118"/>
        <v/>
      </c>
      <c r="JQ22" s="40" t="str">
        <f t="shared" si="119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1" t="str">
        <f t="shared" si="132"/>
        <v/>
      </c>
      <c r="KY22" s="11" t="str">
        <f t="shared" si="133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40" t="str">
        <f t="shared" si="146"/>
        <v/>
      </c>
      <c r="MG22" s="40" t="str">
        <f t="shared" si="147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1" t="str">
        <f t="shared" si="160"/>
        <v/>
      </c>
      <c r="NO22" s="11" t="str">
        <f t="shared" si="161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40" t="str">
        <f t="shared" si="174"/>
        <v/>
      </c>
      <c r="OW22" s="40" t="str">
        <f t="shared" si="175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1" t="str">
        <f t="shared" si="188"/>
        <v/>
      </c>
      <c r="QE22" s="11" t="str">
        <f t="shared" si="189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40" t="str">
        <f t="shared" si="202"/>
        <v/>
      </c>
      <c r="RM22" s="40" t="str">
        <f t="shared" si="203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11" t="str">
        <f t="shared" si="216"/>
        <v/>
      </c>
      <c r="SU22" s="11" t="str">
        <f t="shared" si="217"/>
        <v/>
      </c>
      <c r="SV22" s="22">
        <f t="shared" si="218"/>
        <v>0</v>
      </c>
      <c r="SW22" s="22">
        <f t="shared" si="219"/>
        <v>0</v>
      </c>
      <c r="SX22" s="22">
        <f t="shared" si="220"/>
        <v>0</v>
      </c>
      <c r="SY22" s="22">
        <f t="shared" si="221"/>
        <v>0</v>
      </c>
      <c r="SZ22" s="22">
        <f t="shared" si="222"/>
        <v>0</v>
      </c>
      <c r="TA22" s="22">
        <f t="shared" si="223"/>
        <v>0</v>
      </c>
      <c r="TB22" s="22">
        <f t="shared" si="224"/>
        <v>0</v>
      </c>
      <c r="TC22" s="22">
        <f t="shared" si="225"/>
        <v>0</v>
      </c>
      <c r="TD22" s="22">
        <f t="shared" si="226"/>
        <v>0</v>
      </c>
      <c r="TE22" s="22">
        <f t="shared" si="227"/>
        <v>0</v>
      </c>
      <c r="TF22" s="22">
        <f t="shared" si="228"/>
        <v>0</v>
      </c>
      <c r="TG22" s="22">
        <f t="shared" si="229"/>
        <v>0</v>
      </c>
      <c r="TH22" s="22">
        <f t="shared" si="230"/>
        <v>0</v>
      </c>
      <c r="TI22" s="22">
        <f t="shared" si="231"/>
        <v>0</v>
      </c>
      <c r="TJ22" s="22">
        <f t="shared" si="232"/>
        <v>0</v>
      </c>
      <c r="TK22" s="27" t="s">
        <v>46</v>
      </c>
      <c r="TL22" s="40" t="str">
        <f t="shared" si="233"/>
        <v/>
      </c>
      <c r="TM22" s="40" t="str">
        <f t="shared" si="234"/>
        <v/>
      </c>
      <c r="TN22" s="40" t="str">
        <f t="shared" si="235"/>
        <v/>
      </c>
      <c r="TO22" s="40" t="str">
        <f t="shared" si="236"/>
        <v/>
      </c>
      <c r="TP22" s="40" t="str">
        <f t="shared" si="237"/>
        <v/>
      </c>
      <c r="TQ22" s="40" t="str">
        <f t="shared" si="238"/>
        <v/>
      </c>
      <c r="TR22" s="40" t="str">
        <f t="shared" si="239"/>
        <v/>
      </c>
      <c r="TS22" s="40" t="str">
        <f t="shared" si="240"/>
        <v/>
      </c>
      <c r="TT22" s="40" t="str">
        <f t="shared" si="241"/>
        <v/>
      </c>
      <c r="TU22" s="40" t="str">
        <f t="shared" si="242"/>
        <v/>
      </c>
      <c r="TV22" s="40" t="str">
        <f t="shared" si="243"/>
        <v/>
      </c>
    </row>
    <row r="23" spans="1:542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135</v>
      </c>
      <c r="D23" s="4" t="s">
        <v>4</v>
      </c>
      <c r="E23" s="4">
        <v>2004</v>
      </c>
      <c r="F23" s="9">
        <f t="shared" si="0"/>
        <v>137.30001373000454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IF(COUNT(AQ23,AT23,BR23,BU23,CS23,CV23)&gt;0,LARGE((AQ23,AT23,BR23,BU23,CS23,CV23),1),0)</f>
        <v>45.38</v>
      </c>
      <c r="M23" s="8" t="str">
        <f t="shared" si="5"/>
        <v>2024 3rd Domestic Trial</v>
      </c>
      <c r="N23" s="8">
        <f>IF(COUNT(AQ23,AT23,BR23,BU23,CS23,CV23)&gt;1,LARGE((AQ23,AT23,BR23,BU23,CS23,CV23),2),0)</f>
        <v>41.37</v>
      </c>
      <c r="O23" s="8" t="str">
        <f t="shared" si="6"/>
        <v>2025 Elite Canada</v>
      </c>
      <c r="P23" s="8">
        <f>IF(COUNT(AQ23,AT23,BR23,BU23,CS23,CV23)&gt;2,MAX(AX23,BY23,CZ23,LARGE((AQ23,AT23,BR23,BU23,CS23,CV23),3)),IF(MAX(AX23,BY23,CZ23)&gt;0,MAX(AX23,BY23,CZ23),0))</f>
        <v>41.45</v>
      </c>
      <c r="Q23" s="8" t="str">
        <f t="shared" si="7"/>
        <v>2025 Elite Canada</v>
      </c>
      <c r="R23" s="8">
        <f t="shared" si="8"/>
        <v>9.1</v>
      </c>
      <c r="S23" s="8" t="str">
        <f t="shared" si="9"/>
        <v>2025 Elite Canada</v>
      </c>
      <c r="T23" s="8">
        <f t="shared" si="10"/>
        <v>0</v>
      </c>
      <c r="U23" s="8" t="str">
        <f t="shared" si="11"/>
        <v/>
      </c>
      <c r="V23" s="8" t="str">
        <f t="shared" si="12"/>
        <v/>
      </c>
      <c r="W23" s="11" t="str">
        <f t="shared" si="13"/>
        <v/>
      </c>
      <c r="X23" s="8" t="str">
        <f t="shared" si="14"/>
        <v/>
      </c>
      <c r="Y23" s="22">
        <v>1.4</v>
      </c>
      <c r="Z23" s="22">
        <v>1</v>
      </c>
      <c r="AA23" s="22">
        <v>1.5</v>
      </c>
      <c r="AB23" s="22">
        <v>1.56</v>
      </c>
      <c r="AC23" s="22">
        <v>0</v>
      </c>
      <c r="AD23" s="22">
        <v>1.6</v>
      </c>
      <c r="AE23" s="22">
        <v>1</v>
      </c>
      <c r="AF23" s="22">
        <v>1.5</v>
      </c>
      <c r="AG23" s="22">
        <v>1.56</v>
      </c>
      <c r="AH23" s="22">
        <v>0</v>
      </c>
      <c r="AI23" s="22"/>
      <c r="AJ23" s="22"/>
      <c r="AK23" s="22"/>
      <c r="AL23" s="22"/>
      <c r="AM23" s="22"/>
      <c r="AN23" s="27"/>
      <c r="AO23" s="38">
        <f t="shared" si="15"/>
        <v>1.5</v>
      </c>
      <c r="AP23" s="38">
        <f t="shared" si="16"/>
        <v>1.56</v>
      </c>
      <c r="AQ23" s="40">
        <f t="shared" si="17"/>
        <v>5.46</v>
      </c>
      <c r="AR23" s="40">
        <f t="shared" si="18"/>
        <v>1.5</v>
      </c>
      <c r="AS23" s="40">
        <f t="shared" si="19"/>
        <v>1.56</v>
      </c>
      <c r="AT23" s="40">
        <f t="shared" si="20"/>
        <v>5.66</v>
      </c>
      <c r="AU23" s="40">
        <f t="shared" si="21"/>
        <v>5.66</v>
      </c>
      <c r="AV23" s="40" t="str">
        <f t="shared" si="22"/>
        <v/>
      </c>
      <c r="AW23" s="40" t="str">
        <f t="shared" si="23"/>
        <v/>
      </c>
      <c r="AX23" s="40" t="str">
        <f t="shared" si="24"/>
        <v/>
      </c>
      <c r="AY23" s="40">
        <f t="shared" si="25"/>
        <v>5.66</v>
      </c>
      <c r="AZ23" s="26">
        <v>14.8</v>
      </c>
      <c r="BA23" s="26">
        <v>8.9</v>
      </c>
      <c r="BB23" s="26">
        <v>9.1</v>
      </c>
      <c r="BC23" s="26">
        <v>14.68</v>
      </c>
      <c r="BD23" s="26">
        <v>2.1</v>
      </c>
      <c r="BE23" s="26">
        <v>3.2</v>
      </c>
      <c r="BF23" s="26">
        <v>1.8</v>
      </c>
      <c r="BG23" s="26">
        <v>2.7</v>
      </c>
      <c r="BH23" s="26">
        <v>3.1</v>
      </c>
      <c r="BI23" s="26">
        <v>0</v>
      </c>
      <c r="BJ23" s="26">
        <v>3.2</v>
      </c>
      <c r="BK23" s="26">
        <v>1.6</v>
      </c>
      <c r="BL23" s="26">
        <v>2.7</v>
      </c>
      <c r="BM23" s="26">
        <v>3.12</v>
      </c>
      <c r="BN23" s="26">
        <v>0</v>
      </c>
      <c r="BO23" s="28"/>
      <c r="BP23" s="39">
        <f t="shared" si="26"/>
        <v>9.1</v>
      </c>
      <c r="BQ23" s="39">
        <f t="shared" si="27"/>
        <v>14.68</v>
      </c>
      <c r="BR23" s="11">
        <f t="shared" si="28"/>
        <v>45.38</v>
      </c>
      <c r="BS23" s="11">
        <f t="shared" si="29"/>
        <v>2.7</v>
      </c>
      <c r="BT23" s="11">
        <f t="shared" si="30"/>
        <v>3.1</v>
      </c>
      <c r="BU23" s="11">
        <f t="shared" si="31"/>
        <v>10.8</v>
      </c>
      <c r="BV23" s="11">
        <f t="shared" si="32"/>
        <v>45.38</v>
      </c>
      <c r="BW23" s="11">
        <f t="shared" si="33"/>
        <v>2.7</v>
      </c>
      <c r="BX23" s="11">
        <f t="shared" si="34"/>
        <v>3.12</v>
      </c>
      <c r="BY23" s="11">
        <f t="shared" si="35"/>
        <v>10.620000000000001</v>
      </c>
      <c r="BZ23" s="11">
        <f t="shared" si="36"/>
        <v>56</v>
      </c>
      <c r="CA23" s="22">
        <v>6.3</v>
      </c>
      <c r="CB23" s="22">
        <v>4.7</v>
      </c>
      <c r="CC23" s="22">
        <v>5.8</v>
      </c>
      <c r="CD23" s="22">
        <v>6.75</v>
      </c>
      <c r="CE23" s="22">
        <v>0</v>
      </c>
      <c r="CF23" s="22">
        <v>12.7</v>
      </c>
      <c r="CG23" s="22">
        <v>8.6</v>
      </c>
      <c r="CH23" s="22">
        <v>7.6</v>
      </c>
      <c r="CI23" s="22">
        <v>12.47</v>
      </c>
      <c r="CJ23" s="22">
        <v>0</v>
      </c>
      <c r="CK23" s="22">
        <v>13.7</v>
      </c>
      <c r="CL23" s="22">
        <v>8.9</v>
      </c>
      <c r="CM23" s="22">
        <v>9.1</v>
      </c>
      <c r="CN23" s="22">
        <v>13.35</v>
      </c>
      <c r="CO23" s="22">
        <v>3.6</v>
      </c>
      <c r="CP23" s="27"/>
      <c r="CQ23" s="38">
        <f t="shared" si="37"/>
        <v>5.8</v>
      </c>
      <c r="CR23" s="38">
        <f t="shared" si="38"/>
        <v>6.75</v>
      </c>
      <c r="CS23" s="40">
        <f t="shared" si="39"/>
        <v>23.55</v>
      </c>
      <c r="CT23" s="40">
        <f t="shared" si="40"/>
        <v>7.6</v>
      </c>
      <c r="CU23" s="40">
        <f t="shared" si="41"/>
        <v>12.47</v>
      </c>
      <c r="CV23" s="40">
        <f t="shared" si="42"/>
        <v>41.37</v>
      </c>
      <c r="CW23" s="40">
        <f t="shared" si="43"/>
        <v>41.37</v>
      </c>
      <c r="CX23" s="40">
        <f t="shared" si="44"/>
        <v>9.1</v>
      </c>
      <c r="CY23" s="40">
        <f t="shared" si="45"/>
        <v>13.35</v>
      </c>
      <c r="CZ23" s="40">
        <f t="shared" si="46"/>
        <v>41.45</v>
      </c>
      <c r="DA23" s="40">
        <f t="shared" si="47"/>
        <v>82.82</v>
      </c>
      <c r="DB23" s="50" t="str">
        <f t="shared" si="48"/>
        <v/>
      </c>
      <c r="DC23" s="50" t="str">
        <f t="shared" si="49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40" t="str">
        <f t="shared" si="62"/>
        <v/>
      </c>
      <c r="EK23" s="40" t="str">
        <f t="shared" si="63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1" t="str">
        <f t="shared" si="76"/>
        <v/>
      </c>
      <c r="FS23" s="11" t="str">
        <f t="shared" si="77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40" t="str">
        <f t="shared" si="90"/>
        <v/>
      </c>
      <c r="HA23" s="40" t="str">
        <f t="shared" si="91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1" t="str">
        <f t="shared" si="104"/>
        <v/>
      </c>
      <c r="II23" s="11" t="str">
        <f t="shared" si="105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40" t="str">
        <f t="shared" si="118"/>
        <v/>
      </c>
      <c r="JQ23" s="40" t="str">
        <f t="shared" si="119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1" t="str">
        <f t="shared" si="132"/>
        <v/>
      </c>
      <c r="KY23" s="11" t="str">
        <f t="shared" si="133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40" t="str">
        <f t="shared" si="146"/>
        <v/>
      </c>
      <c r="MG23" s="40" t="str">
        <f t="shared" si="147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1" t="str">
        <f t="shared" si="160"/>
        <v/>
      </c>
      <c r="NO23" s="11" t="str">
        <f t="shared" si="161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40" t="str">
        <f t="shared" si="174"/>
        <v/>
      </c>
      <c r="OW23" s="40" t="str">
        <f t="shared" si="175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1" t="str">
        <f t="shared" si="188"/>
        <v/>
      </c>
      <c r="QE23" s="11" t="str">
        <f t="shared" si="189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40" t="str">
        <f t="shared" si="202"/>
        <v/>
      </c>
      <c r="RM23" s="40" t="str">
        <f t="shared" si="203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11" t="str">
        <f t="shared" si="216"/>
        <v/>
      </c>
      <c r="SU23" s="11" t="str">
        <f t="shared" si="217"/>
        <v/>
      </c>
      <c r="SV23" s="22">
        <f t="shared" si="218"/>
        <v>10.55</v>
      </c>
      <c r="SW23" s="22">
        <f t="shared" si="219"/>
        <v>6.8000000000000007</v>
      </c>
      <c r="SX23" s="22">
        <f t="shared" si="220"/>
        <v>7.4499999999999993</v>
      </c>
      <c r="SY23" s="22">
        <f t="shared" si="221"/>
        <v>10.715</v>
      </c>
      <c r="SZ23" s="22">
        <f t="shared" si="222"/>
        <v>1.05</v>
      </c>
      <c r="TA23" s="22">
        <f t="shared" si="223"/>
        <v>7.9499999999999993</v>
      </c>
      <c r="TB23" s="22">
        <f t="shared" si="224"/>
        <v>5.2</v>
      </c>
      <c r="TC23" s="22">
        <f t="shared" si="225"/>
        <v>5.15</v>
      </c>
      <c r="TD23" s="22">
        <f t="shared" si="226"/>
        <v>7.7850000000000001</v>
      </c>
      <c r="TE23" s="22">
        <f t="shared" si="227"/>
        <v>0</v>
      </c>
      <c r="TF23" s="22">
        <f t="shared" si="228"/>
        <v>8.4499999999999993</v>
      </c>
      <c r="TG23" s="22">
        <f t="shared" si="229"/>
        <v>5.25</v>
      </c>
      <c r="TH23" s="22">
        <f t="shared" si="230"/>
        <v>5.9</v>
      </c>
      <c r="TI23" s="22">
        <f t="shared" si="231"/>
        <v>8.2349999999999994</v>
      </c>
      <c r="TJ23" s="22">
        <f t="shared" si="232"/>
        <v>1.8</v>
      </c>
      <c r="TK23" s="27" t="s">
        <v>46</v>
      </c>
      <c r="TL23" s="40">
        <f t="shared" si="233"/>
        <v>7.4499999999999993</v>
      </c>
      <c r="TM23" s="40">
        <f t="shared" si="234"/>
        <v>10.715</v>
      </c>
      <c r="TN23" s="40">
        <f t="shared" si="235"/>
        <v>34.465000000000003</v>
      </c>
      <c r="TO23" s="40">
        <f t="shared" si="236"/>
        <v>5.15</v>
      </c>
      <c r="TP23" s="40">
        <f t="shared" si="237"/>
        <v>7.7850000000000001</v>
      </c>
      <c r="TQ23" s="40">
        <f t="shared" si="238"/>
        <v>26.084999999999997</v>
      </c>
      <c r="TR23" s="40">
        <f t="shared" si="239"/>
        <v>34.465000000000003</v>
      </c>
      <c r="TS23" s="40">
        <f t="shared" si="240"/>
        <v>5.9</v>
      </c>
      <c r="TT23" s="40">
        <f t="shared" si="241"/>
        <v>8.2349999999999994</v>
      </c>
      <c r="TU23" s="40">
        <f t="shared" si="242"/>
        <v>26.035</v>
      </c>
      <c r="TV23" s="40">
        <f t="shared" si="243"/>
        <v>60.5</v>
      </c>
    </row>
    <row r="24" spans="1:542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142</v>
      </c>
      <c r="D24" s="4" t="s">
        <v>6</v>
      </c>
      <c r="E24" s="4">
        <v>2006</v>
      </c>
      <c r="F24" s="9">
        <f t="shared" si="0"/>
        <v>127.37001273700463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IF(COUNT(AQ24,AT24,BR24,BU24,CS24,CV24)&gt;0,LARGE((AQ24,AT24,BR24,BU24,CS24,CV24),1),0)</f>
        <v>46.29</v>
      </c>
      <c r="M24" s="8" t="str">
        <f t="shared" si="5"/>
        <v>2024 Nationals</v>
      </c>
      <c r="N24" s="8">
        <f>IF(COUNT(AQ24,AT24,BR24,BU24,CS24,CV24)&gt;1,LARGE((AQ24,AT24,BR24,BU24,CS24,CV24),2),0)</f>
        <v>25.03</v>
      </c>
      <c r="O24" s="8" t="str">
        <f t="shared" si="6"/>
        <v>2024 Nationals</v>
      </c>
      <c r="P24" s="8">
        <f>IF(COUNT(AQ24,AT24,BR24,BU24,CS24,CV24)&gt;2,MAX(AX24,BY24,CZ24,LARGE((AQ24,AT24,BR24,BU24,CS24,CV24),3)),IF(MAX(AX24,BY24,CZ24)&gt;0,MAX(AX24,BY24,CZ24),0))</f>
        <v>47.25</v>
      </c>
      <c r="Q24" s="8" t="str">
        <f t="shared" si="7"/>
        <v>2024 Nationals</v>
      </c>
      <c r="R24" s="8">
        <f t="shared" si="8"/>
        <v>8.8000000000000007</v>
      </c>
      <c r="S24" s="8" t="str">
        <f t="shared" si="9"/>
        <v>2024 Nationals</v>
      </c>
      <c r="T24" s="8">
        <f t="shared" si="10"/>
        <v>0</v>
      </c>
      <c r="U24" s="8" t="str">
        <f t="shared" si="11"/>
        <v/>
      </c>
      <c r="V24" s="8" t="str">
        <f t="shared" si="12"/>
        <v/>
      </c>
      <c r="W24" s="11" t="str">
        <f t="shared" si="13"/>
        <v/>
      </c>
      <c r="X24" s="8" t="str">
        <f t="shared" si="14"/>
        <v/>
      </c>
      <c r="Y24" s="22">
        <v>7.2</v>
      </c>
      <c r="Z24" s="22">
        <v>4.5999999999999996</v>
      </c>
      <c r="AA24" s="22">
        <v>5.2</v>
      </c>
      <c r="AB24" s="22">
        <v>8.0299999999999994</v>
      </c>
      <c r="AC24" s="22">
        <v>0</v>
      </c>
      <c r="AD24" s="22">
        <v>15</v>
      </c>
      <c r="AE24" s="22">
        <v>9.1999999999999993</v>
      </c>
      <c r="AF24" s="22">
        <v>8.8000000000000007</v>
      </c>
      <c r="AG24" s="22">
        <v>13.29</v>
      </c>
      <c r="AH24" s="22">
        <v>0</v>
      </c>
      <c r="AI24" s="22">
        <v>15.6</v>
      </c>
      <c r="AJ24" s="22">
        <v>9.3000000000000007</v>
      </c>
      <c r="AK24" s="22">
        <v>8.8000000000000007</v>
      </c>
      <c r="AL24" s="22">
        <v>13.55</v>
      </c>
      <c r="AM24" s="22">
        <v>0</v>
      </c>
      <c r="AN24" s="27"/>
      <c r="AO24" s="38">
        <f t="shared" si="15"/>
        <v>5.2</v>
      </c>
      <c r="AP24" s="38">
        <f t="shared" si="16"/>
        <v>8.0299999999999994</v>
      </c>
      <c r="AQ24" s="40">
        <f t="shared" si="17"/>
        <v>25.03</v>
      </c>
      <c r="AR24" s="40">
        <f t="shared" si="18"/>
        <v>8.8000000000000007</v>
      </c>
      <c r="AS24" s="40">
        <f t="shared" si="19"/>
        <v>13.29</v>
      </c>
      <c r="AT24" s="40">
        <f t="shared" si="20"/>
        <v>46.29</v>
      </c>
      <c r="AU24" s="40">
        <f t="shared" si="21"/>
        <v>46.29</v>
      </c>
      <c r="AV24" s="40">
        <f t="shared" si="22"/>
        <v>8.8000000000000007</v>
      </c>
      <c r="AW24" s="40">
        <f t="shared" si="23"/>
        <v>13.55</v>
      </c>
      <c r="AX24" s="40">
        <f t="shared" si="24"/>
        <v>47.25</v>
      </c>
      <c r="AY24" s="40">
        <f t="shared" si="25"/>
        <v>93.539999999999992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 t="shared" si="26"/>
        <v/>
      </c>
      <c r="BQ24" s="39" t="str">
        <f t="shared" si="27"/>
        <v/>
      </c>
      <c r="BR24" s="11" t="str">
        <f t="shared" si="28"/>
        <v/>
      </c>
      <c r="BS24" s="11" t="str">
        <f t="shared" si="29"/>
        <v/>
      </c>
      <c r="BT24" s="11" t="str">
        <f t="shared" si="30"/>
        <v/>
      </c>
      <c r="BU24" s="11" t="str">
        <f t="shared" si="31"/>
        <v/>
      </c>
      <c r="BV24" s="11" t="str">
        <f t="shared" si="32"/>
        <v/>
      </c>
      <c r="BW24" s="11" t="str">
        <f t="shared" si="33"/>
        <v/>
      </c>
      <c r="BX24" s="11" t="str">
        <f t="shared" si="34"/>
        <v/>
      </c>
      <c r="BY24" s="11" t="str">
        <f t="shared" si="35"/>
        <v/>
      </c>
      <c r="BZ24" s="11" t="str">
        <f t="shared" si="36"/>
        <v/>
      </c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7"/>
      <c r="CQ24" s="38" t="str">
        <f t="shared" si="37"/>
        <v/>
      </c>
      <c r="CR24" s="38" t="str">
        <f t="shared" si="38"/>
        <v/>
      </c>
      <c r="CS24" s="40" t="str">
        <f t="shared" si="39"/>
        <v/>
      </c>
      <c r="CT24" s="40" t="str">
        <f t="shared" si="40"/>
        <v/>
      </c>
      <c r="CU24" s="40" t="str">
        <f t="shared" si="41"/>
        <v/>
      </c>
      <c r="CV24" s="40" t="str">
        <f t="shared" si="42"/>
        <v/>
      </c>
      <c r="CW24" s="40" t="str">
        <f t="shared" si="43"/>
        <v/>
      </c>
      <c r="CX24" s="40" t="str">
        <f t="shared" si="44"/>
        <v/>
      </c>
      <c r="CY24" s="40" t="str">
        <f t="shared" si="45"/>
        <v/>
      </c>
      <c r="CZ24" s="40" t="str">
        <f t="shared" si="46"/>
        <v/>
      </c>
      <c r="DA24" s="40" t="str">
        <f t="shared" si="47"/>
        <v/>
      </c>
      <c r="DB24" s="50" t="str">
        <f t="shared" si="48"/>
        <v/>
      </c>
      <c r="DC24" s="50" t="str">
        <f t="shared" si="49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40" t="str">
        <f t="shared" si="62"/>
        <v/>
      </c>
      <c r="EK24" s="40" t="str">
        <f t="shared" si="63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1" t="str">
        <f t="shared" si="76"/>
        <v/>
      </c>
      <c r="FS24" s="11" t="str">
        <f t="shared" si="77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40" t="str">
        <f t="shared" si="90"/>
        <v/>
      </c>
      <c r="HA24" s="40" t="str">
        <f t="shared" si="91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1" t="str">
        <f t="shared" si="104"/>
        <v/>
      </c>
      <c r="II24" s="11" t="str">
        <f t="shared" si="105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40" t="str">
        <f t="shared" si="118"/>
        <v/>
      </c>
      <c r="JQ24" s="40" t="str">
        <f t="shared" si="119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1" t="str">
        <f t="shared" si="132"/>
        <v/>
      </c>
      <c r="KY24" s="11" t="str">
        <f t="shared" si="133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40" t="str">
        <f t="shared" si="146"/>
        <v/>
      </c>
      <c r="MG24" s="40" t="str">
        <f t="shared" si="147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1" t="str">
        <f t="shared" si="160"/>
        <v/>
      </c>
      <c r="NO24" s="11" t="str">
        <f t="shared" si="161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40" t="str">
        <f t="shared" si="174"/>
        <v/>
      </c>
      <c r="OW24" s="40" t="str">
        <f t="shared" si="175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1" t="str">
        <f t="shared" si="188"/>
        <v/>
      </c>
      <c r="QE24" s="11" t="str">
        <f t="shared" si="189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40" t="str">
        <f t="shared" si="202"/>
        <v/>
      </c>
      <c r="RM24" s="40" t="str">
        <f t="shared" si="203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11" t="str">
        <f t="shared" si="216"/>
        <v/>
      </c>
      <c r="SU24" s="11" t="str">
        <f t="shared" si="217"/>
        <v/>
      </c>
      <c r="SV24" s="22">
        <f t="shared" si="218"/>
        <v>0</v>
      </c>
      <c r="SW24" s="22">
        <f t="shared" si="219"/>
        <v>0</v>
      </c>
      <c r="SX24" s="22">
        <f t="shared" si="220"/>
        <v>0</v>
      </c>
      <c r="SY24" s="22">
        <f t="shared" si="221"/>
        <v>0</v>
      </c>
      <c r="SZ24" s="22">
        <f t="shared" si="222"/>
        <v>0</v>
      </c>
      <c r="TA24" s="22">
        <f t="shared" si="223"/>
        <v>0</v>
      </c>
      <c r="TB24" s="22">
        <f t="shared" si="224"/>
        <v>0</v>
      </c>
      <c r="TC24" s="22">
        <f t="shared" si="225"/>
        <v>0</v>
      </c>
      <c r="TD24" s="22">
        <f t="shared" si="226"/>
        <v>0</v>
      </c>
      <c r="TE24" s="22">
        <f t="shared" si="227"/>
        <v>0</v>
      </c>
      <c r="TF24" s="22">
        <f t="shared" si="228"/>
        <v>0</v>
      </c>
      <c r="TG24" s="22">
        <f t="shared" si="229"/>
        <v>0</v>
      </c>
      <c r="TH24" s="22">
        <f t="shared" si="230"/>
        <v>0</v>
      </c>
      <c r="TI24" s="22">
        <f t="shared" si="231"/>
        <v>0</v>
      </c>
      <c r="TJ24" s="22">
        <f t="shared" si="232"/>
        <v>0</v>
      </c>
      <c r="TK24" s="27" t="s">
        <v>46</v>
      </c>
      <c r="TL24" s="40" t="str">
        <f t="shared" si="233"/>
        <v/>
      </c>
      <c r="TM24" s="40" t="str">
        <f t="shared" si="234"/>
        <v/>
      </c>
      <c r="TN24" s="40" t="str">
        <f t="shared" si="235"/>
        <v/>
      </c>
      <c r="TO24" s="40" t="str">
        <f t="shared" si="236"/>
        <v/>
      </c>
      <c r="TP24" s="40" t="str">
        <f t="shared" si="237"/>
        <v/>
      </c>
      <c r="TQ24" s="40" t="str">
        <f t="shared" si="238"/>
        <v/>
      </c>
      <c r="TR24" s="40" t="str">
        <f t="shared" si="239"/>
        <v/>
      </c>
      <c r="TS24" s="40" t="str">
        <f t="shared" si="240"/>
        <v/>
      </c>
      <c r="TT24" s="40" t="str">
        <f t="shared" si="241"/>
        <v/>
      </c>
      <c r="TU24" s="40" t="str">
        <f t="shared" si="242"/>
        <v/>
      </c>
      <c r="TV24" s="40" t="str">
        <f t="shared" si="243"/>
        <v/>
      </c>
    </row>
    <row r="25" spans="1:542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128</v>
      </c>
      <c r="D25" s="4" t="s">
        <v>31</v>
      </c>
      <c r="E25" s="4">
        <v>2006</v>
      </c>
      <c r="F25" s="9">
        <f t="shared" si="0"/>
        <v>120.89000760500447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IF(COUNT(AQ25,AT25,BR25,BU25,CS25,CV25)&gt;0,LARGE((AQ25,AT25,BR25,BU25,CS25,CV25),1),0)</f>
        <v>44.7</v>
      </c>
      <c r="M25" s="8" t="str">
        <f t="shared" si="5"/>
        <v>2024 Nationals</v>
      </c>
      <c r="N25" s="8">
        <f>IF(COUNT(AQ25,AT25,BR25,BU25,CS25,CV25)&gt;1,LARGE((AQ25,AT25,BR25,BU25,CS25,CV25),2),0)</f>
        <v>22.25</v>
      </c>
      <c r="O25" s="8" t="str">
        <f t="shared" si="6"/>
        <v>2024 Nationals</v>
      </c>
      <c r="P25" s="8">
        <f>IF(COUNT(AQ25,AT25,BR25,BU25,CS25,CV25)&gt;2,MAX(AX25,BY25,CZ25,LARGE((AQ25,AT25,BR25,BU25,CS25,CV25),3)),IF(MAX(AX25,BY25,CZ25)&gt;0,MAX(AX25,BY25,CZ25),0))</f>
        <v>0</v>
      </c>
      <c r="Q25" s="8" t="str">
        <f t="shared" si="7"/>
        <v/>
      </c>
      <c r="R25" s="8">
        <f t="shared" si="8"/>
        <v>9.1</v>
      </c>
      <c r="S25" s="8" t="str">
        <f t="shared" si="9"/>
        <v>2024 Nationals</v>
      </c>
      <c r="T25" s="8">
        <f t="shared" si="10"/>
        <v>0</v>
      </c>
      <c r="U25" s="8" t="str">
        <f t="shared" si="11"/>
        <v/>
      </c>
      <c r="V25" s="8">
        <f t="shared" si="12"/>
        <v>44.84</v>
      </c>
      <c r="W25" s="11" t="str">
        <f t="shared" si="13"/>
        <v>(Optional)</v>
      </c>
      <c r="X25" s="8" t="str">
        <f t="shared" si="14"/>
        <v>2024 Coimbra Gym Fest (July 7)</v>
      </c>
      <c r="Y25" s="22">
        <v>14</v>
      </c>
      <c r="Z25" s="22">
        <v>8.5</v>
      </c>
      <c r="AA25" s="22">
        <v>9.1</v>
      </c>
      <c r="AB25" s="22">
        <v>13.1</v>
      </c>
      <c r="AC25" s="22">
        <v>0</v>
      </c>
      <c r="AD25" s="22">
        <v>6.8</v>
      </c>
      <c r="AE25" s="22">
        <v>4</v>
      </c>
      <c r="AF25" s="22">
        <v>4.9000000000000004</v>
      </c>
      <c r="AG25" s="22">
        <v>6.55</v>
      </c>
      <c r="AH25" s="22">
        <v>0</v>
      </c>
      <c r="AI25" s="22"/>
      <c r="AJ25" s="22"/>
      <c r="AK25" s="22"/>
      <c r="AL25" s="22"/>
      <c r="AM25" s="22"/>
      <c r="AN25" s="27"/>
      <c r="AO25" s="38">
        <f t="shared" si="15"/>
        <v>9.1</v>
      </c>
      <c r="AP25" s="38">
        <f t="shared" si="16"/>
        <v>13.1</v>
      </c>
      <c r="AQ25" s="40">
        <f t="shared" si="17"/>
        <v>44.7</v>
      </c>
      <c r="AR25" s="40">
        <f t="shared" si="18"/>
        <v>4.9000000000000004</v>
      </c>
      <c r="AS25" s="40">
        <f t="shared" si="19"/>
        <v>6.55</v>
      </c>
      <c r="AT25" s="40">
        <f t="shared" si="20"/>
        <v>22.25</v>
      </c>
      <c r="AU25" s="40">
        <f t="shared" si="21"/>
        <v>44.7</v>
      </c>
      <c r="AV25" s="40" t="str">
        <f t="shared" si="22"/>
        <v/>
      </c>
      <c r="AW25" s="40" t="str">
        <f t="shared" si="23"/>
        <v/>
      </c>
      <c r="AX25" s="40" t="str">
        <f t="shared" si="24"/>
        <v/>
      </c>
      <c r="AY25" s="40">
        <f t="shared" si="25"/>
        <v>44.7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6"/>
        <v/>
      </c>
      <c r="BQ25" s="39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11" t="str">
        <f t="shared" si="35"/>
        <v/>
      </c>
      <c r="BZ25" s="11" t="str">
        <f t="shared" si="36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7"/>
        <v/>
      </c>
      <c r="CR25" s="38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40" t="str">
        <f t="shared" si="46"/>
        <v/>
      </c>
      <c r="DA25" s="40" t="str">
        <f t="shared" si="47"/>
        <v/>
      </c>
      <c r="DB25" s="50">
        <f t="shared" si="48"/>
        <v>44.84</v>
      </c>
      <c r="DC25" s="50" t="str">
        <f t="shared" si="49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40" t="str">
        <f t="shared" si="62"/>
        <v/>
      </c>
      <c r="EK25" s="40" t="str">
        <f t="shared" si="63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1" t="str">
        <f t="shared" si="76"/>
        <v/>
      </c>
      <c r="FS25" s="11" t="str">
        <f t="shared" si="77"/>
        <v/>
      </c>
      <c r="FT25" s="17">
        <v>12.1</v>
      </c>
      <c r="FU25" s="17">
        <v>7.4</v>
      </c>
      <c r="FV25" s="17">
        <v>8.1</v>
      </c>
      <c r="FW25" s="17">
        <v>11.81</v>
      </c>
      <c r="FX25" s="17">
        <v>0</v>
      </c>
      <c r="FY25" s="17">
        <v>13.8</v>
      </c>
      <c r="FZ25" s="17">
        <v>8.6</v>
      </c>
      <c r="GA25" s="17">
        <v>9.1</v>
      </c>
      <c r="GB25" s="17">
        <v>13.34</v>
      </c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>
        <f t="shared" si="78"/>
        <v>8.1</v>
      </c>
      <c r="GO25" s="40">
        <f t="shared" si="79"/>
        <v>11.81</v>
      </c>
      <c r="GP25" s="40">
        <f t="shared" si="80"/>
        <v>39.410000000000004</v>
      </c>
      <c r="GQ25" s="40">
        <f t="shared" si="81"/>
        <v>9.1</v>
      </c>
      <c r="GR25" s="40">
        <f t="shared" si="82"/>
        <v>13.34</v>
      </c>
      <c r="GS25" s="40">
        <f t="shared" si="83"/>
        <v>44.84</v>
      </c>
      <c r="GT25" s="40">
        <f t="shared" si="84"/>
        <v>44.84</v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40" t="str">
        <f t="shared" si="90"/>
        <v/>
      </c>
      <c r="HA25" s="40">
        <f t="shared" si="91"/>
        <v>44.84</v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1" t="str">
        <f t="shared" si="104"/>
        <v/>
      </c>
      <c r="II25" s="11" t="str">
        <f t="shared" si="105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40" t="str">
        <f t="shared" si="118"/>
        <v/>
      </c>
      <c r="JQ25" s="40" t="str">
        <f t="shared" si="119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1" t="str">
        <f t="shared" si="132"/>
        <v/>
      </c>
      <c r="KY25" s="11" t="str">
        <f t="shared" si="133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40" t="str">
        <f t="shared" si="146"/>
        <v/>
      </c>
      <c r="MG25" s="40" t="str">
        <f t="shared" si="147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1" t="str">
        <f t="shared" si="160"/>
        <v/>
      </c>
      <c r="NO25" s="11" t="str">
        <f t="shared" si="161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40" t="str">
        <f t="shared" si="174"/>
        <v/>
      </c>
      <c r="OW25" s="40" t="str">
        <f t="shared" si="175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1" t="str">
        <f t="shared" si="188"/>
        <v/>
      </c>
      <c r="QE25" s="11" t="str">
        <f t="shared" si="189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40" t="str">
        <f t="shared" si="202"/>
        <v/>
      </c>
      <c r="RM25" s="40" t="str">
        <f t="shared" si="203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11" t="str">
        <f t="shared" si="216"/>
        <v/>
      </c>
      <c r="SU25" s="11" t="str">
        <f t="shared" si="217"/>
        <v/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2">
        <f t="shared" si="231"/>
        <v>0</v>
      </c>
      <c r="TJ25" s="22">
        <f t="shared" si="232"/>
        <v>0</v>
      </c>
      <c r="TK25" s="27" t="s">
        <v>46</v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  <c r="TU25" s="40" t="str">
        <f t="shared" si="242"/>
        <v/>
      </c>
      <c r="TV25" s="40" t="str">
        <f t="shared" si="243"/>
        <v/>
      </c>
    </row>
    <row r="26" spans="1:542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192</v>
      </c>
      <c r="D26" s="4" t="s">
        <v>3</v>
      </c>
      <c r="E26" s="4">
        <v>2006</v>
      </c>
      <c r="F26" s="9">
        <f t="shared" si="0"/>
        <v>94.38000943800435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IF(COUNT(AQ26,AT26,BR26,BU26,CS26,CV26)&gt;0,LARGE((AQ26,AT26,BR26,BU26,CS26,CV26),1),0)</f>
        <v>43.4</v>
      </c>
      <c r="M26" s="8" t="str">
        <f t="shared" si="5"/>
        <v>2024 Nationals</v>
      </c>
      <c r="N26" s="8">
        <f>IF(COUNT(AQ26,AT26,BR26,BU26,CS26,CV26)&gt;1,LARGE((AQ26,AT26,BR26,BU26,CS26,CV26),2),0)</f>
        <v>43.28</v>
      </c>
      <c r="O26" s="8" t="str">
        <f t="shared" si="6"/>
        <v>2024 Nationals</v>
      </c>
      <c r="P26" s="8">
        <f>IF(COUNT(AQ26,AT26,BR26,BU26,CS26,CV26)&gt;2,MAX(AX26,BY26,CZ26,LARGE((AQ26,AT26,BR26,BU26,CS26,CV26),3)),IF(MAX(AX26,BY26,CZ26)&gt;0,MAX(AX26,BY26,CZ26),0))</f>
        <v>0</v>
      </c>
      <c r="Q26" s="8" t="str">
        <f t="shared" si="7"/>
        <v/>
      </c>
      <c r="R26" s="8">
        <f t="shared" si="8"/>
        <v>7.7</v>
      </c>
      <c r="S26" s="8" t="str">
        <f t="shared" si="9"/>
        <v>2024 Nationals</v>
      </c>
      <c r="T26" s="8">
        <f t="shared" si="10"/>
        <v>0</v>
      </c>
      <c r="U26" s="8" t="str">
        <f t="shared" si="11"/>
        <v/>
      </c>
      <c r="V26" s="8" t="str">
        <f t="shared" si="12"/>
        <v/>
      </c>
      <c r="W26" s="11" t="str">
        <f t="shared" si="13"/>
        <v/>
      </c>
      <c r="X26" s="8" t="str">
        <f t="shared" si="14"/>
        <v/>
      </c>
      <c r="Y26" s="22">
        <v>14.3</v>
      </c>
      <c r="Z26" s="22">
        <v>9.3000000000000007</v>
      </c>
      <c r="AA26" s="22">
        <v>7.7</v>
      </c>
      <c r="AB26" s="22">
        <v>13.08</v>
      </c>
      <c r="AC26" s="22">
        <v>1.1000000000000001</v>
      </c>
      <c r="AD26" s="22">
        <v>14.1</v>
      </c>
      <c r="AE26" s="22">
        <v>9.3000000000000007</v>
      </c>
      <c r="AF26" s="22">
        <v>7.7</v>
      </c>
      <c r="AG26" s="22">
        <v>13.4</v>
      </c>
      <c r="AH26" s="22">
        <v>1.1000000000000001</v>
      </c>
      <c r="AI26" s="22"/>
      <c r="AJ26" s="22"/>
      <c r="AK26" s="22"/>
      <c r="AL26" s="22"/>
      <c r="AM26" s="22"/>
      <c r="AN26" s="27"/>
      <c r="AO26" s="38">
        <f t="shared" si="15"/>
        <v>7.7</v>
      </c>
      <c r="AP26" s="38">
        <f t="shared" si="16"/>
        <v>13.08</v>
      </c>
      <c r="AQ26" s="40">
        <f t="shared" si="17"/>
        <v>43.28</v>
      </c>
      <c r="AR26" s="40">
        <f t="shared" si="18"/>
        <v>7.7</v>
      </c>
      <c r="AS26" s="40">
        <f t="shared" si="19"/>
        <v>13.4</v>
      </c>
      <c r="AT26" s="40">
        <f t="shared" si="20"/>
        <v>43.4</v>
      </c>
      <c r="AU26" s="40">
        <f t="shared" si="21"/>
        <v>43.4</v>
      </c>
      <c r="AV26" s="40" t="str">
        <f t="shared" si="22"/>
        <v/>
      </c>
      <c r="AW26" s="40" t="str">
        <f t="shared" si="23"/>
        <v/>
      </c>
      <c r="AX26" s="40" t="str">
        <f t="shared" si="24"/>
        <v/>
      </c>
      <c r="AY26" s="40">
        <f t="shared" si="25"/>
        <v>43.4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6"/>
        <v/>
      </c>
      <c r="BQ26" s="39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11" t="str">
        <f t="shared" si="35"/>
        <v/>
      </c>
      <c r="BZ26" s="11" t="str">
        <f t="shared" si="36"/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7"/>
        <v/>
      </c>
      <c r="CR26" s="38" t="str">
        <f t="shared" si="38"/>
        <v/>
      </c>
      <c r="CS26" s="40" t="str">
        <f t="shared" si="39"/>
        <v/>
      </c>
      <c r="CT26" s="40" t="str">
        <f t="shared" si="40"/>
        <v/>
      </c>
      <c r="CU26" s="40" t="str">
        <f t="shared" si="41"/>
        <v/>
      </c>
      <c r="CV26" s="40" t="str">
        <f t="shared" si="42"/>
        <v/>
      </c>
      <c r="CW26" s="40" t="str">
        <f t="shared" si="43"/>
        <v/>
      </c>
      <c r="CX26" s="40" t="str">
        <f t="shared" si="44"/>
        <v/>
      </c>
      <c r="CY26" s="40" t="str">
        <f t="shared" si="45"/>
        <v/>
      </c>
      <c r="CZ26" s="40" t="str">
        <f t="shared" si="46"/>
        <v/>
      </c>
      <c r="DA26" s="40" t="str">
        <f t="shared" si="47"/>
        <v/>
      </c>
      <c r="DB26" s="50" t="str">
        <f t="shared" si="48"/>
        <v/>
      </c>
      <c r="DC26" s="50" t="str">
        <f t="shared" si="49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40" t="str">
        <f t="shared" si="62"/>
        <v/>
      </c>
      <c r="EK26" s="40" t="str">
        <f t="shared" si="63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1" t="str">
        <f t="shared" si="76"/>
        <v/>
      </c>
      <c r="FS26" s="11" t="str">
        <f t="shared" si="77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40" t="str">
        <f t="shared" si="90"/>
        <v/>
      </c>
      <c r="HA26" s="40" t="str">
        <f t="shared" si="91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1" t="str">
        <f t="shared" si="104"/>
        <v/>
      </c>
      <c r="II26" s="11" t="str">
        <f t="shared" si="105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40" t="str">
        <f t="shared" si="118"/>
        <v/>
      </c>
      <c r="JQ26" s="40" t="str">
        <f t="shared" si="119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1" t="str">
        <f t="shared" si="132"/>
        <v/>
      </c>
      <c r="KY26" s="11" t="str">
        <f t="shared" si="133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40" t="str">
        <f t="shared" si="146"/>
        <v/>
      </c>
      <c r="MG26" s="40" t="str">
        <f t="shared" si="147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1" t="str">
        <f t="shared" si="160"/>
        <v/>
      </c>
      <c r="NO26" s="11" t="str">
        <f t="shared" si="161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40" t="str">
        <f t="shared" si="174"/>
        <v/>
      </c>
      <c r="OW26" s="40" t="str">
        <f t="shared" si="175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1" t="str">
        <f t="shared" si="188"/>
        <v/>
      </c>
      <c r="QE26" s="11" t="str">
        <f t="shared" si="189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40" t="str">
        <f t="shared" si="202"/>
        <v/>
      </c>
      <c r="RM26" s="40" t="str">
        <f t="shared" si="203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11" t="str">
        <f t="shared" si="216"/>
        <v/>
      </c>
      <c r="SU26" s="11" t="str">
        <f t="shared" si="217"/>
        <v/>
      </c>
      <c r="SV26" s="22">
        <f t="shared" si="218"/>
        <v>0</v>
      </c>
      <c r="SW26" s="22">
        <f t="shared" si="219"/>
        <v>0</v>
      </c>
      <c r="SX26" s="22">
        <f t="shared" si="220"/>
        <v>0</v>
      </c>
      <c r="SY26" s="22">
        <f t="shared" si="221"/>
        <v>0</v>
      </c>
      <c r="SZ26" s="22">
        <f t="shared" si="222"/>
        <v>0</v>
      </c>
      <c r="TA26" s="22">
        <f t="shared" si="223"/>
        <v>0</v>
      </c>
      <c r="TB26" s="22">
        <f t="shared" si="224"/>
        <v>0</v>
      </c>
      <c r="TC26" s="22">
        <f t="shared" si="225"/>
        <v>0</v>
      </c>
      <c r="TD26" s="22">
        <f t="shared" si="226"/>
        <v>0</v>
      </c>
      <c r="TE26" s="22">
        <f t="shared" si="227"/>
        <v>0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2">
        <f t="shared" si="231"/>
        <v>0</v>
      </c>
      <c r="TJ26" s="22">
        <f t="shared" si="232"/>
        <v>0</v>
      </c>
      <c r="TK26" s="27" t="s">
        <v>46</v>
      </c>
      <c r="TL26" s="40" t="str">
        <f t="shared" si="233"/>
        <v/>
      </c>
      <c r="TM26" s="40" t="str">
        <f t="shared" si="234"/>
        <v/>
      </c>
      <c r="TN26" s="40" t="str">
        <f t="shared" si="235"/>
        <v/>
      </c>
      <c r="TO26" s="40" t="str">
        <f t="shared" si="236"/>
        <v/>
      </c>
      <c r="TP26" s="40" t="str">
        <f t="shared" si="237"/>
        <v/>
      </c>
      <c r="TQ26" s="40" t="str">
        <f t="shared" si="238"/>
        <v/>
      </c>
      <c r="TR26" s="40" t="str">
        <f t="shared" si="239"/>
        <v/>
      </c>
      <c r="TS26" s="40" t="str">
        <f t="shared" si="240"/>
        <v/>
      </c>
      <c r="TT26" s="40" t="str">
        <f t="shared" si="241"/>
        <v/>
      </c>
      <c r="TU26" s="40" t="str">
        <f t="shared" si="242"/>
        <v/>
      </c>
      <c r="TV26" s="40" t="str">
        <f t="shared" si="243"/>
        <v/>
      </c>
    </row>
    <row r="27" spans="1:542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140</v>
      </c>
      <c r="D27" s="4" t="s">
        <v>3</v>
      </c>
      <c r="E27" s="4">
        <v>2005</v>
      </c>
      <c r="F27" s="9">
        <f t="shared" si="0"/>
        <v>92.010009201004181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IF(COUNT(AQ27,AT27,BR27,BU27,CS27,CV27)&gt;0,LARGE((AQ27,AT27,BR27,BU27,CS27,CV27),1),0)</f>
        <v>41.86</v>
      </c>
      <c r="M27" s="8" t="str">
        <f t="shared" si="5"/>
        <v>2024 Nationals</v>
      </c>
      <c r="N27" s="8">
        <f>IF(COUNT(AQ27,AT27,BR27,BU27,CS27,CV27)&gt;1,LARGE((AQ27,AT27,BR27,BU27,CS27,CV27),2),0)</f>
        <v>41.55</v>
      </c>
      <c r="O27" s="8" t="str">
        <f t="shared" si="6"/>
        <v>2024 Nationals</v>
      </c>
      <c r="P27" s="8">
        <f>IF(COUNT(AQ27,AT27,BR27,BU27,CS27,CV27)&gt;2,MAX(AX27,BY27,CZ27,LARGE((AQ27,AT27,BR27,BU27,CS27,CV27),3)),IF(MAX(AX27,BY27,CZ27)&gt;0,MAX(AX27,BY27,CZ27),0))</f>
        <v>0</v>
      </c>
      <c r="Q27" s="8" t="str">
        <f t="shared" si="7"/>
        <v/>
      </c>
      <c r="R27" s="8">
        <f t="shared" si="8"/>
        <v>8.6</v>
      </c>
      <c r="S27" s="8" t="str">
        <f t="shared" si="9"/>
        <v>2024 Nationals</v>
      </c>
      <c r="T27" s="8">
        <f t="shared" si="10"/>
        <v>0</v>
      </c>
      <c r="U27" s="8" t="str">
        <f t="shared" si="11"/>
        <v/>
      </c>
      <c r="V27" s="8" t="str">
        <f t="shared" si="12"/>
        <v/>
      </c>
      <c r="W27" s="11" t="str">
        <f t="shared" si="13"/>
        <v/>
      </c>
      <c r="X27" s="8" t="str">
        <f t="shared" si="14"/>
        <v/>
      </c>
      <c r="Y27" s="22">
        <v>12.5</v>
      </c>
      <c r="Z27" s="22">
        <v>8.6</v>
      </c>
      <c r="AA27" s="22">
        <v>8.6</v>
      </c>
      <c r="AB27" s="22">
        <v>12.05</v>
      </c>
      <c r="AC27" s="22">
        <v>0.2</v>
      </c>
      <c r="AD27" s="22">
        <v>12.6</v>
      </c>
      <c r="AE27" s="22">
        <v>8.6</v>
      </c>
      <c r="AF27" s="22">
        <v>8.5</v>
      </c>
      <c r="AG27" s="22">
        <v>12.46</v>
      </c>
      <c r="AH27" s="22">
        <v>0.3</v>
      </c>
      <c r="AI27" s="22"/>
      <c r="AJ27" s="22"/>
      <c r="AK27" s="22"/>
      <c r="AL27" s="22"/>
      <c r="AM27" s="22"/>
      <c r="AN27" s="27"/>
      <c r="AO27" s="38">
        <f t="shared" si="15"/>
        <v>8.6</v>
      </c>
      <c r="AP27" s="38">
        <f t="shared" si="16"/>
        <v>12.05</v>
      </c>
      <c r="AQ27" s="40">
        <f t="shared" si="17"/>
        <v>41.55</v>
      </c>
      <c r="AR27" s="40">
        <f t="shared" si="18"/>
        <v>8.5</v>
      </c>
      <c r="AS27" s="40">
        <f t="shared" si="19"/>
        <v>12.46</v>
      </c>
      <c r="AT27" s="40">
        <f t="shared" si="20"/>
        <v>41.86</v>
      </c>
      <c r="AU27" s="40">
        <f t="shared" si="21"/>
        <v>41.86</v>
      </c>
      <c r="AV27" s="40" t="str">
        <f t="shared" si="22"/>
        <v/>
      </c>
      <c r="AW27" s="40" t="str">
        <f t="shared" si="23"/>
        <v/>
      </c>
      <c r="AX27" s="40" t="str">
        <f t="shared" si="24"/>
        <v/>
      </c>
      <c r="AY27" s="40">
        <f t="shared" si="25"/>
        <v>41.86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6"/>
        <v/>
      </c>
      <c r="BQ27" s="39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11" t="str">
        <f t="shared" si="35"/>
        <v/>
      </c>
      <c r="BZ27" s="11" t="str">
        <f t="shared" si="36"/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7"/>
        <v/>
      </c>
      <c r="CR27" s="38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40" t="str">
        <f t="shared" si="46"/>
        <v/>
      </c>
      <c r="DA27" s="40" t="str">
        <f t="shared" si="47"/>
        <v/>
      </c>
      <c r="DB27" s="50" t="str">
        <f t="shared" si="48"/>
        <v/>
      </c>
      <c r="DC27" s="50" t="str">
        <f t="shared" si="49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40" t="str">
        <f t="shared" si="62"/>
        <v/>
      </c>
      <c r="EK27" s="40" t="str">
        <f t="shared" si="63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1" t="str">
        <f t="shared" si="76"/>
        <v/>
      </c>
      <c r="FS27" s="11" t="str">
        <f t="shared" si="77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40" t="str">
        <f t="shared" si="90"/>
        <v/>
      </c>
      <c r="HA27" s="40" t="str">
        <f t="shared" si="91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1" t="str">
        <f t="shared" si="104"/>
        <v/>
      </c>
      <c r="II27" s="11" t="str">
        <f t="shared" si="105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40" t="str">
        <f t="shared" si="118"/>
        <v/>
      </c>
      <c r="JQ27" s="40" t="str">
        <f t="shared" si="119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1" t="str">
        <f t="shared" si="132"/>
        <v/>
      </c>
      <c r="KY27" s="11" t="str">
        <f t="shared" si="133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40" t="str">
        <f t="shared" si="146"/>
        <v/>
      </c>
      <c r="MG27" s="40" t="str">
        <f t="shared" si="147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1" t="str">
        <f t="shared" si="160"/>
        <v/>
      </c>
      <c r="NO27" s="11" t="str">
        <f t="shared" si="161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40" t="str">
        <f t="shared" si="174"/>
        <v/>
      </c>
      <c r="OW27" s="40" t="str">
        <f t="shared" si="175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1" t="str">
        <f t="shared" si="188"/>
        <v/>
      </c>
      <c r="QE27" s="11" t="str">
        <f t="shared" si="189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40" t="str">
        <f t="shared" si="202"/>
        <v/>
      </c>
      <c r="RM27" s="40" t="str">
        <f t="shared" si="203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11" t="str">
        <f t="shared" si="216"/>
        <v/>
      </c>
      <c r="SU27" s="11" t="str">
        <f t="shared" si="217"/>
        <v/>
      </c>
      <c r="SV27" s="22">
        <f t="shared" si="218"/>
        <v>0</v>
      </c>
      <c r="SW27" s="22">
        <f t="shared" si="219"/>
        <v>0</v>
      </c>
      <c r="SX27" s="22">
        <f t="shared" si="220"/>
        <v>0</v>
      </c>
      <c r="SY27" s="22">
        <f t="shared" si="221"/>
        <v>0</v>
      </c>
      <c r="SZ27" s="22">
        <f t="shared" si="222"/>
        <v>0</v>
      </c>
      <c r="TA27" s="22">
        <f t="shared" si="223"/>
        <v>0</v>
      </c>
      <c r="TB27" s="22">
        <f t="shared" si="224"/>
        <v>0</v>
      </c>
      <c r="TC27" s="22">
        <f t="shared" si="225"/>
        <v>0</v>
      </c>
      <c r="TD27" s="22">
        <f t="shared" si="226"/>
        <v>0</v>
      </c>
      <c r="TE27" s="22">
        <f t="shared" si="227"/>
        <v>0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2">
        <f t="shared" si="231"/>
        <v>0</v>
      </c>
      <c r="TJ27" s="22">
        <f t="shared" si="232"/>
        <v>0</v>
      </c>
      <c r="TK27" s="27" t="s">
        <v>46</v>
      </c>
      <c r="TL27" s="40" t="str">
        <f t="shared" si="233"/>
        <v/>
      </c>
      <c r="TM27" s="40" t="str">
        <f t="shared" si="234"/>
        <v/>
      </c>
      <c r="TN27" s="40" t="str">
        <f t="shared" si="235"/>
        <v/>
      </c>
      <c r="TO27" s="40" t="str">
        <f t="shared" si="236"/>
        <v/>
      </c>
      <c r="TP27" s="40" t="str">
        <f t="shared" si="237"/>
        <v/>
      </c>
      <c r="TQ27" s="40" t="str">
        <f t="shared" si="238"/>
        <v/>
      </c>
      <c r="TR27" s="40" t="str">
        <f t="shared" si="239"/>
        <v/>
      </c>
      <c r="TS27" s="40" t="str">
        <f t="shared" si="240"/>
        <v/>
      </c>
      <c r="TT27" s="40" t="str">
        <f t="shared" si="241"/>
        <v/>
      </c>
      <c r="TU27" s="40" t="str">
        <f t="shared" si="242"/>
        <v/>
      </c>
      <c r="TV27" s="40" t="str">
        <f t="shared" si="243"/>
        <v/>
      </c>
    </row>
    <row r="28" spans="1:542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167</v>
      </c>
      <c r="D28" s="4" t="s">
        <v>4</v>
      </c>
      <c r="E28" s="4">
        <v>2007</v>
      </c>
      <c r="F28" s="9">
        <f t="shared" si="0"/>
        <v>91.160009116004545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IF(COUNT(AQ28,AT28,BR28,BU28,CS28,CV28)&gt;0,LARGE((AQ28,AT28,BR28,BU28,CS28,CV28),1),0)</f>
        <v>45.32</v>
      </c>
      <c r="M28" s="8" t="str">
        <f t="shared" si="5"/>
        <v>2024 Nationals</v>
      </c>
      <c r="N28" s="8">
        <f>IF(COUNT(AQ28,AT28,BR28,BU28,CS28,CV28)&gt;1,LARGE((AQ28,AT28,BR28,BU28,CS28,CV28),2),0)</f>
        <v>36.64</v>
      </c>
      <c r="O28" s="8" t="str">
        <f t="shared" si="6"/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 t="shared" si="7"/>
        <v/>
      </c>
      <c r="R28" s="8">
        <f t="shared" si="8"/>
        <v>9.1999999999999993</v>
      </c>
      <c r="S28" s="8" t="str">
        <f t="shared" si="9"/>
        <v>2024 Nationals</v>
      </c>
      <c r="T28" s="8">
        <f t="shared" si="10"/>
        <v>0</v>
      </c>
      <c r="U28" s="8" t="str">
        <f t="shared" si="11"/>
        <v/>
      </c>
      <c r="V28" s="8" t="str">
        <f t="shared" si="12"/>
        <v/>
      </c>
      <c r="W28" s="11" t="str">
        <f t="shared" si="13"/>
        <v/>
      </c>
      <c r="X28" s="8" t="str">
        <f t="shared" si="14"/>
        <v/>
      </c>
      <c r="Y28" s="22">
        <v>11.1</v>
      </c>
      <c r="Z28" s="22">
        <v>7.2</v>
      </c>
      <c r="AA28" s="22">
        <v>7.7</v>
      </c>
      <c r="AB28" s="22">
        <v>10.64</v>
      </c>
      <c r="AC28" s="22">
        <v>0</v>
      </c>
      <c r="AD28" s="22">
        <v>13.8</v>
      </c>
      <c r="AE28" s="22">
        <v>9</v>
      </c>
      <c r="AF28" s="22">
        <v>9.1999999999999993</v>
      </c>
      <c r="AG28" s="22">
        <v>13.32</v>
      </c>
      <c r="AH28" s="22">
        <v>0</v>
      </c>
      <c r="AI28" s="22"/>
      <c r="AJ28" s="22"/>
      <c r="AK28" s="22"/>
      <c r="AL28" s="22"/>
      <c r="AM28" s="22"/>
      <c r="AN28" s="27"/>
      <c r="AO28" s="38">
        <f t="shared" si="15"/>
        <v>7.7</v>
      </c>
      <c r="AP28" s="38">
        <f t="shared" si="16"/>
        <v>10.64</v>
      </c>
      <c r="AQ28" s="40">
        <f t="shared" si="17"/>
        <v>36.64</v>
      </c>
      <c r="AR28" s="40">
        <f t="shared" si="18"/>
        <v>9.1999999999999993</v>
      </c>
      <c r="AS28" s="40">
        <f t="shared" si="19"/>
        <v>13.32</v>
      </c>
      <c r="AT28" s="40">
        <f t="shared" si="20"/>
        <v>45.32</v>
      </c>
      <c r="AU28" s="40">
        <f t="shared" si="21"/>
        <v>45.32</v>
      </c>
      <c r="AV28" s="40" t="str">
        <f t="shared" si="22"/>
        <v/>
      </c>
      <c r="AW28" s="40" t="str">
        <f t="shared" si="23"/>
        <v/>
      </c>
      <c r="AX28" s="40" t="str">
        <f t="shared" si="24"/>
        <v/>
      </c>
      <c r="AY28" s="40">
        <f t="shared" si="25"/>
        <v>45.32</v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 t="shared" si="26"/>
        <v/>
      </c>
      <c r="BQ28" s="39" t="str">
        <f t="shared" si="27"/>
        <v/>
      </c>
      <c r="BR28" s="11" t="str">
        <f t="shared" si="28"/>
        <v/>
      </c>
      <c r="BS28" s="11" t="str">
        <f t="shared" si="29"/>
        <v/>
      </c>
      <c r="BT28" s="11" t="str">
        <f t="shared" si="30"/>
        <v/>
      </c>
      <c r="BU28" s="11" t="str">
        <f t="shared" si="31"/>
        <v/>
      </c>
      <c r="BV28" s="11" t="str">
        <f t="shared" si="32"/>
        <v/>
      </c>
      <c r="BW28" s="11" t="str">
        <f t="shared" si="33"/>
        <v/>
      </c>
      <c r="BX28" s="11" t="str">
        <f t="shared" si="34"/>
        <v/>
      </c>
      <c r="BY28" s="11" t="str">
        <f t="shared" si="35"/>
        <v/>
      </c>
      <c r="BZ28" s="11" t="str">
        <f t="shared" si="36"/>
        <v/>
      </c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7"/>
      <c r="CQ28" s="38" t="str">
        <f t="shared" si="37"/>
        <v/>
      </c>
      <c r="CR28" s="38" t="str">
        <f t="shared" si="38"/>
        <v/>
      </c>
      <c r="CS28" s="40" t="str">
        <f t="shared" si="39"/>
        <v/>
      </c>
      <c r="CT28" s="40" t="str">
        <f t="shared" si="40"/>
        <v/>
      </c>
      <c r="CU28" s="40" t="str">
        <f t="shared" si="41"/>
        <v/>
      </c>
      <c r="CV28" s="40" t="str">
        <f t="shared" si="42"/>
        <v/>
      </c>
      <c r="CW28" s="40" t="str">
        <f t="shared" si="43"/>
        <v/>
      </c>
      <c r="CX28" s="40" t="str">
        <f t="shared" si="44"/>
        <v/>
      </c>
      <c r="CY28" s="40" t="str">
        <f t="shared" si="45"/>
        <v/>
      </c>
      <c r="CZ28" s="40" t="str">
        <f t="shared" si="46"/>
        <v/>
      </c>
      <c r="DA28" s="40" t="str">
        <f t="shared" si="47"/>
        <v/>
      </c>
      <c r="DB28" s="50" t="str">
        <f t="shared" si="48"/>
        <v/>
      </c>
      <c r="DC28" s="50" t="str">
        <f t="shared" si="49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40" t="str">
        <f t="shared" si="62"/>
        <v/>
      </c>
      <c r="EK28" s="40" t="str">
        <f t="shared" si="63"/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1" t="str">
        <f t="shared" si="76"/>
        <v/>
      </c>
      <c r="FS28" s="11" t="str">
        <f t="shared" si="77"/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40" t="str">
        <f t="shared" si="90"/>
        <v/>
      </c>
      <c r="HA28" s="40" t="str">
        <f t="shared" si="91"/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1" t="str">
        <f t="shared" si="104"/>
        <v/>
      </c>
      <c r="II28" s="11" t="str">
        <f t="shared" si="105"/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40" t="str">
        <f t="shared" si="118"/>
        <v/>
      </c>
      <c r="JQ28" s="40" t="str">
        <f t="shared" si="119"/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1" t="str">
        <f t="shared" si="132"/>
        <v/>
      </c>
      <c r="KY28" s="11" t="str">
        <f t="shared" si="133"/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40" t="str">
        <f t="shared" si="146"/>
        <v/>
      </c>
      <c r="MG28" s="40" t="str">
        <f t="shared" si="147"/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1" t="str">
        <f t="shared" si="160"/>
        <v/>
      </c>
      <c r="NO28" s="11" t="str">
        <f t="shared" si="161"/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40" t="str">
        <f t="shared" si="174"/>
        <v/>
      </c>
      <c r="OW28" s="40" t="str">
        <f t="shared" si="175"/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1" t="str">
        <f t="shared" si="188"/>
        <v/>
      </c>
      <c r="QE28" s="11" t="str">
        <f t="shared" si="189"/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40" t="str">
        <f t="shared" si="202"/>
        <v/>
      </c>
      <c r="RM28" s="40" t="str">
        <f t="shared" si="203"/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11" t="str">
        <f t="shared" si="216"/>
        <v/>
      </c>
      <c r="SU28" s="11" t="str">
        <f t="shared" si="217"/>
        <v/>
      </c>
      <c r="SV28" s="22">
        <f t="shared" si="218"/>
        <v>0</v>
      </c>
      <c r="SW28" s="22">
        <f t="shared" si="219"/>
        <v>0</v>
      </c>
      <c r="SX28" s="22">
        <f t="shared" si="220"/>
        <v>0</v>
      </c>
      <c r="SY28" s="22">
        <f t="shared" si="221"/>
        <v>0</v>
      </c>
      <c r="SZ28" s="22">
        <f t="shared" si="222"/>
        <v>0</v>
      </c>
      <c r="TA28" s="22">
        <f t="shared" si="223"/>
        <v>0</v>
      </c>
      <c r="TB28" s="22">
        <f t="shared" si="224"/>
        <v>0</v>
      </c>
      <c r="TC28" s="22">
        <f t="shared" si="225"/>
        <v>0</v>
      </c>
      <c r="TD28" s="22">
        <f t="shared" si="226"/>
        <v>0</v>
      </c>
      <c r="TE28" s="22">
        <f t="shared" si="227"/>
        <v>0</v>
      </c>
      <c r="TF28" s="22">
        <f t="shared" si="228"/>
        <v>0</v>
      </c>
      <c r="TG28" s="22">
        <f t="shared" si="229"/>
        <v>0</v>
      </c>
      <c r="TH28" s="22">
        <f t="shared" si="230"/>
        <v>0</v>
      </c>
      <c r="TI28" s="22">
        <f t="shared" si="231"/>
        <v>0</v>
      </c>
      <c r="TJ28" s="22">
        <f t="shared" si="232"/>
        <v>0</v>
      </c>
      <c r="TK28" s="27" t="s">
        <v>46</v>
      </c>
      <c r="TL28" s="40" t="str">
        <f t="shared" si="233"/>
        <v/>
      </c>
      <c r="TM28" s="40" t="str">
        <f t="shared" si="234"/>
        <v/>
      </c>
      <c r="TN28" s="40" t="str">
        <f t="shared" si="235"/>
        <v/>
      </c>
      <c r="TO28" s="40" t="str">
        <f t="shared" si="236"/>
        <v/>
      </c>
      <c r="TP28" s="40" t="str">
        <f t="shared" si="237"/>
        <v/>
      </c>
      <c r="TQ28" s="40" t="str">
        <f t="shared" si="238"/>
        <v/>
      </c>
      <c r="TR28" s="40" t="str">
        <f t="shared" si="239"/>
        <v/>
      </c>
      <c r="TS28" s="40" t="str">
        <f t="shared" si="240"/>
        <v/>
      </c>
      <c r="TT28" s="40" t="str">
        <f t="shared" si="241"/>
        <v/>
      </c>
      <c r="TU28" s="40" t="str">
        <f t="shared" si="242"/>
        <v/>
      </c>
      <c r="TV28" s="40" t="str">
        <f t="shared" si="243"/>
        <v/>
      </c>
    </row>
    <row r="29" spans="1:542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115</v>
      </c>
      <c r="D29" s="4" t="s">
        <v>3</v>
      </c>
      <c r="E29" s="4">
        <v>2006</v>
      </c>
      <c r="F29" s="9">
        <f t="shared" si="0"/>
        <v>68.740006874004337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IF(COUNT(AQ29,AT29,BR29,BU29,CS29,CV29)&gt;0,LARGE((AQ29,AT29,BR29,BU29,CS29,CV29),1),0)</f>
        <v>43.45</v>
      </c>
      <c r="M29" s="8" t="str">
        <f t="shared" si="5"/>
        <v>2024 Nationals</v>
      </c>
      <c r="N29" s="8">
        <f>IF(COUNT(AQ29,AT29,BR29,BU29,CS29,CV29)&gt;1,LARGE((AQ29,AT29,BR29,BU29,CS29,CV29),2),0)</f>
        <v>14.989999999999998</v>
      </c>
      <c r="O29" s="8" t="str">
        <f t="shared" si="6"/>
        <v>2024 Nationals</v>
      </c>
      <c r="P29" s="8">
        <f>IF(COUNT(AQ29,AT29,BR29,BU29,CS29,CV29)&gt;2,MAX(AX29,BY29,CZ29,LARGE((AQ29,AT29,BR29,BU29,CS29,CV29),3)),IF(MAX(AX29,BY29,CZ29)&gt;0,MAX(AX29,BY29,CZ29),0))</f>
        <v>0</v>
      </c>
      <c r="Q29" s="8" t="str">
        <f t="shared" si="7"/>
        <v/>
      </c>
      <c r="R29" s="8">
        <f t="shared" si="8"/>
        <v>10.3</v>
      </c>
      <c r="S29" s="8" t="str">
        <f t="shared" si="9"/>
        <v>2024 Nationals</v>
      </c>
      <c r="T29" s="8">
        <f t="shared" si="10"/>
        <v>0</v>
      </c>
      <c r="U29" s="8" t="str">
        <f t="shared" si="11"/>
        <v/>
      </c>
      <c r="V29" s="8" t="str">
        <f t="shared" si="12"/>
        <v/>
      </c>
      <c r="W29" s="11" t="str">
        <f t="shared" si="13"/>
        <v/>
      </c>
      <c r="X29" s="8" t="str">
        <f t="shared" si="14"/>
        <v/>
      </c>
      <c r="Y29" s="22">
        <v>4.2</v>
      </c>
      <c r="Z29" s="22">
        <v>2.9</v>
      </c>
      <c r="AA29" s="22">
        <v>3.8</v>
      </c>
      <c r="AB29" s="22">
        <v>4.09</v>
      </c>
      <c r="AC29" s="22">
        <v>0</v>
      </c>
      <c r="AD29" s="22">
        <v>12</v>
      </c>
      <c r="AE29" s="22">
        <v>8.9</v>
      </c>
      <c r="AF29" s="22">
        <v>10.3</v>
      </c>
      <c r="AG29" s="22">
        <v>12.25</v>
      </c>
      <c r="AH29" s="22">
        <v>0</v>
      </c>
      <c r="AI29" s="22"/>
      <c r="AJ29" s="22"/>
      <c r="AK29" s="22"/>
      <c r="AL29" s="22"/>
      <c r="AM29" s="22"/>
      <c r="AN29" s="27"/>
      <c r="AO29" s="38">
        <f t="shared" si="15"/>
        <v>3.8</v>
      </c>
      <c r="AP29" s="38">
        <f t="shared" si="16"/>
        <v>4.09</v>
      </c>
      <c r="AQ29" s="40">
        <f t="shared" si="17"/>
        <v>14.989999999999998</v>
      </c>
      <c r="AR29" s="40">
        <f t="shared" si="18"/>
        <v>10.3</v>
      </c>
      <c r="AS29" s="40">
        <f t="shared" si="19"/>
        <v>12.25</v>
      </c>
      <c r="AT29" s="40">
        <f t="shared" si="20"/>
        <v>43.45</v>
      </c>
      <c r="AU29" s="40">
        <f t="shared" si="21"/>
        <v>43.45</v>
      </c>
      <c r="AV29" s="40" t="str">
        <f t="shared" si="22"/>
        <v/>
      </c>
      <c r="AW29" s="40" t="str">
        <f t="shared" si="23"/>
        <v/>
      </c>
      <c r="AX29" s="40" t="str">
        <f t="shared" si="24"/>
        <v/>
      </c>
      <c r="AY29" s="40">
        <f t="shared" si="25"/>
        <v>43.45</v>
      </c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8"/>
      <c r="BP29" s="39" t="str">
        <f t="shared" si="26"/>
        <v/>
      </c>
      <c r="BQ29" s="39" t="str">
        <f t="shared" si="27"/>
        <v/>
      </c>
      <c r="BR29" s="11" t="str">
        <f t="shared" si="28"/>
        <v/>
      </c>
      <c r="BS29" s="11" t="str">
        <f t="shared" si="29"/>
        <v/>
      </c>
      <c r="BT29" s="11" t="str">
        <f t="shared" si="30"/>
        <v/>
      </c>
      <c r="BU29" s="11" t="str">
        <f t="shared" si="31"/>
        <v/>
      </c>
      <c r="BV29" s="11" t="str">
        <f t="shared" si="32"/>
        <v/>
      </c>
      <c r="BW29" s="11" t="str">
        <f t="shared" si="33"/>
        <v/>
      </c>
      <c r="BX29" s="11" t="str">
        <f t="shared" si="34"/>
        <v/>
      </c>
      <c r="BY29" s="11" t="str">
        <f t="shared" si="35"/>
        <v/>
      </c>
      <c r="BZ29" s="11" t="str">
        <f t="shared" si="36"/>
        <v/>
      </c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7"/>
      <c r="CQ29" s="38" t="str">
        <f t="shared" si="37"/>
        <v/>
      </c>
      <c r="CR29" s="38" t="str">
        <f t="shared" si="38"/>
        <v/>
      </c>
      <c r="CS29" s="40" t="str">
        <f t="shared" si="39"/>
        <v/>
      </c>
      <c r="CT29" s="40" t="str">
        <f t="shared" si="40"/>
        <v/>
      </c>
      <c r="CU29" s="40" t="str">
        <f t="shared" si="41"/>
        <v/>
      </c>
      <c r="CV29" s="40" t="str">
        <f t="shared" si="42"/>
        <v/>
      </c>
      <c r="CW29" s="40" t="str">
        <f t="shared" si="43"/>
        <v/>
      </c>
      <c r="CX29" s="40" t="str">
        <f t="shared" si="44"/>
        <v/>
      </c>
      <c r="CY29" s="40" t="str">
        <f t="shared" si="45"/>
        <v/>
      </c>
      <c r="CZ29" s="40" t="str">
        <f t="shared" si="46"/>
        <v/>
      </c>
      <c r="DA29" s="40" t="str">
        <f t="shared" si="47"/>
        <v/>
      </c>
      <c r="DB29" s="50" t="str">
        <f t="shared" si="48"/>
        <v/>
      </c>
      <c r="DC29" s="50" t="str">
        <f t="shared" si="49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40" t="str">
        <f t="shared" si="62"/>
        <v/>
      </c>
      <c r="EK29" s="40" t="str">
        <f t="shared" si="63"/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1" t="str">
        <f t="shared" si="76"/>
        <v/>
      </c>
      <c r="FS29" s="11" t="str">
        <f t="shared" si="77"/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40" t="str">
        <f t="shared" si="90"/>
        <v/>
      </c>
      <c r="HA29" s="40" t="str">
        <f t="shared" si="91"/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1" t="str">
        <f t="shared" si="104"/>
        <v/>
      </c>
      <c r="II29" s="11" t="str">
        <f t="shared" si="105"/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40" t="str">
        <f t="shared" si="118"/>
        <v/>
      </c>
      <c r="JQ29" s="40" t="str">
        <f t="shared" si="119"/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1" t="str">
        <f t="shared" si="132"/>
        <v/>
      </c>
      <c r="KY29" s="11" t="str">
        <f t="shared" si="133"/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40" t="str">
        <f t="shared" si="146"/>
        <v/>
      </c>
      <c r="MG29" s="40" t="str">
        <f t="shared" si="147"/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1" t="str">
        <f t="shared" si="160"/>
        <v/>
      </c>
      <c r="NO29" s="11" t="str">
        <f t="shared" si="161"/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40" t="str">
        <f t="shared" si="174"/>
        <v/>
      </c>
      <c r="OW29" s="40" t="str">
        <f t="shared" si="175"/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1" t="str">
        <f t="shared" si="188"/>
        <v/>
      </c>
      <c r="QE29" s="11" t="str">
        <f t="shared" si="189"/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40" t="str">
        <f t="shared" si="202"/>
        <v/>
      </c>
      <c r="RM29" s="40" t="str">
        <f t="shared" si="203"/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11" t="str">
        <f t="shared" si="216"/>
        <v/>
      </c>
      <c r="SU29" s="11" t="str">
        <f t="shared" si="217"/>
        <v/>
      </c>
      <c r="SV29" s="22">
        <f t="shared" si="218"/>
        <v>0</v>
      </c>
      <c r="SW29" s="22">
        <f t="shared" si="219"/>
        <v>0</v>
      </c>
      <c r="SX29" s="22">
        <f t="shared" si="220"/>
        <v>0</v>
      </c>
      <c r="SY29" s="22">
        <f t="shared" si="221"/>
        <v>0</v>
      </c>
      <c r="SZ29" s="22">
        <f t="shared" si="222"/>
        <v>0</v>
      </c>
      <c r="TA29" s="22">
        <f t="shared" si="223"/>
        <v>0</v>
      </c>
      <c r="TB29" s="22">
        <f t="shared" si="224"/>
        <v>0</v>
      </c>
      <c r="TC29" s="22">
        <f t="shared" si="225"/>
        <v>0</v>
      </c>
      <c r="TD29" s="22">
        <f t="shared" si="226"/>
        <v>0</v>
      </c>
      <c r="TE29" s="22">
        <f t="shared" si="227"/>
        <v>0</v>
      </c>
      <c r="TF29" s="22">
        <f t="shared" si="228"/>
        <v>0</v>
      </c>
      <c r="TG29" s="22">
        <f t="shared" si="229"/>
        <v>0</v>
      </c>
      <c r="TH29" s="22">
        <f t="shared" si="230"/>
        <v>0</v>
      </c>
      <c r="TI29" s="22">
        <f t="shared" si="231"/>
        <v>0</v>
      </c>
      <c r="TJ29" s="22">
        <f t="shared" si="232"/>
        <v>0</v>
      </c>
      <c r="TK29" s="27" t="s">
        <v>46</v>
      </c>
      <c r="TL29" s="40" t="str">
        <f t="shared" si="233"/>
        <v/>
      </c>
      <c r="TM29" s="40" t="str">
        <f t="shared" si="234"/>
        <v/>
      </c>
      <c r="TN29" s="40" t="str">
        <f t="shared" si="235"/>
        <v/>
      </c>
      <c r="TO29" s="40" t="str">
        <f t="shared" si="236"/>
        <v/>
      </c>
      <c r="TP29" s="40" t="str">
        <f t="shared" si="237"/>
        <v/>
      </c>
      <c r="TQ29" s="40" t="str">
        <f t="shared" si="238"/>
        <v/>
      </c>
      <c r="TR29" s="40" t="str">
        <f t="shared" si="239"/>
        <v/>
      </c>
      <c r="TS29" s="40" t="str">
        <f t="shared" si="240"/>
        <v/>
      </c>
      <c r="TT29" s="40" t="str">
        <f t="shared" si="241"/>
        <v/>
      </c>
      <c r="TU29" s="40" t="str">
        <f t="shared" si="242"/>
        <v/>
      </c>
      <c r="TV29" s="40" t="str">
        <f t="shared" si="243"/>
        <v/>
      </c>
    </row>
    <row r="30" spans="1:542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102</v>
      </c>
      <c r="D30" s="4" t="s">
        <v>4</v>
      </c>
      <c r="E30" s="4">
        <v>2004</v>
      </c>
      <c r="F30" s="9">
        <f t="shared" si="0"/>
        <v>65.470006547004289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IF(COUNT(AQ30,AT30,BR30,BU30,CS30,CV30)&gt;0,LARGE((AQ30,AT30,BR30,BU30,CS30,CV30),1),0)</f>
        <v>42.970000000000006</v>
      </c>
      <c r="M30" s="8" t="str">
        <f t="shared" si="5"/>
        <v>2024 Nationals</v>
      </c>
      <c r="N30" s="8">
        <f>IF(COUNT(AQ30,AT30,BR30,BU30,CS30,CV30)&gt;1,LARGE((AQ30,AT30,BR30,BU30,CS30,CV30),2),0)</f>
        <v>14.5</v>
      </c>
      <c r="O30" s="8" t="str">
        <f t="shared" si="6"/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 t="shared" si="7"/>
        <v/>
      </c>
      <c r="R30" s="8">
        <f t="shared" si="8"/>
        <v>8</v>
      </c>
      <c r="S30" s="8" t="str">
        <f t="shared" si="9"/>
        <v>2024 Nationals</v>
      </c>
      <c r="T30" s="8">
        <f t="shared" si="10"/>
        <v>0</v>
      </c>
      <c r="U30" s="8" t="str">
        <f t="shared" si="11"/>
        <v/>
      </c>
      <c r="V30" s="8" t="str">
        <f t="shared" si="12"/>
        <v/>
      </c>
      <c r="W30" s="11" t="str">
        <f t="shared" si="13"/>
        <v/>
      </c>
      <c r="X30" s="8" t="str">
        <f t="shared" si="14"/>
        <v/>
      </c>
      <c r="Y30" s="22">
        <v>4.4000000000000004</v>
      </c>
      <c r="Z30" s="22">
        <v>2.7</v>
      </c>
      <c r="AA30" s="22">
        <v>3.2</v>
      </c>
      <c r="AB30" s="22">
        <v>4.2</v>
      </c>
      <c r="AC30" s="22">
        <v>0</v>
      </c>
      <c r="AD30" s="22">
        <v>13.3</v>
      </c>
      <c r="AE30" s="22">
        <v>9.3000000000000007</v>
      </c>
      <c r="AF30" s="22">
        <v>8</v>
      </c>
      <c r="AG30" s="22">
        <v>13.17</v>
      </c>
      <c r="AH30" s="22">
        <v>0.8</v>
      </c>
      <c r="AI30" s="22"/>
      <c r="AJ30" s="22"/>
      <c r="AK30" s="22"/>
      <c r="AL30" s="22"/>
      <c r="AM30" s="22"/>
      <c r="AN30" s="27"/>
      <c r="AO30" s="38">
        <f t="shared" si="15"/>
        <v>3.2</v>
      </c>
      <c r="AP30" s="38">
        <f t="shared" si="16"/>
        <v>4.2</v>
      </c>
      <c r="AQ30" s="40">
        <f t="shared" si="17"/>
        <v>14.5</v>
      </c>
      <c r="AR30" s="40">
        <f t="shared" si="18"/>
        <v>8</v>
      </c>
      <c r="AS30" s="40">
        <f t="shared" si="19"/>
        <v>13.17</v>
      </c>
      <c r="AT30" s="40">
        <f t="shared" si="20"/>
        <v>42.970000000000006</v>
      </c>
      <c r="AU30" s="40">
        <f t="shared" si="21"/>
        <v>42.970000000000006</v>
      </c>
      <c r="AV30" s="40" t="str">
        <f t="shared" si="22"/>
        <v/>
      </c>
      <c r="AW30" s="40" t="str">
        <f t="shared" si="23"/>
        <v/>
      </c>
      <c r="AX30" s="40" t="str">
        <f t="shared" si="24"/>
        <v/>
      </c>
      <c r="AY30" s="40">
        <f t="shared" si="25"/>
        <v>42.970000000000006</v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 t="shared" si="26"/>
        <v/>
      </c>
      <c r="BQ30" s="39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11" t="str">
        <f t="shared" si="35"/>
        <v/>
      </c>
      <c r="BZ30" s="11" t="str">
        <f t="shared" si="36"/>
        <v/>
      </c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7"/>
      <c r="CQ30" s="38" t="str">
        <f t="shared" si="37"/>
        <v/>
      </c>
      <c r="CR30" s="38" t="str">
        <f t="shared" si="38"/>
        <v/>
      </c>
      <c r="CS30" s="40" t="str">
        <f t="shared" si="39"/>
        <v/>
      </c>
      <c r="CT30" s="40" t="str">
        <f t="shared" si="40"/>
        <v/>
      </c>
      <c r="CU30" s="40" t="str">
        <f t="shared" si="41"/>
        <v/>
      </c>
      <c r="CV30" s="40" t="str">
        <f t="shared" si="42"/>
        <v/>
      </c>
      <c r="CW30" s="40" t="str">
        <f t="shared" si="43"/>
        <v/>
      </c>
      <c r="CX30" s="40" t="str">
        <f t="shared" si="44"/>
        <v/>
      </c>
      <c r="CY30" s="40" t="str">
        <f t="shared" si="45"/>
        <v/>
      </c>
      <c r="CZ30" s="40" t="str">
        <f t="shared" si="46"/>
        <v/>
      </c>
      <c r="DA30" s="40" t="str">
        <f t="shared" si="47"/>
        <v/>
      </c>
      <c r="DB30" s="50" t="str">
        <f t="shared" si="48"/>
        <v/>
      </c>
      <c r="DC30" s="50" t="str">
        <f t="shared" si="49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50"/>
        <v/>
      </c>
      <c r="DY30" s="40" t="str">
        <f t="shared" si="51"/>
        <v/>
      </c>
      <c r="DZ30" s="40" t="str">
        <f t="shared" si="52"/>
        <v/>
      </c>
      <c r="EA30" s="40" t="str">
        <f t="shared" si="53"/>
        <v/>
      </c>
      <c r="EB30" s="40" t="str">
        <f t="shared" si="54"/>
        <v/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 t="str">
        <f t="shared" si="61"/>
        <v/>
      </c>
      <c r="EJ30" s="40" t="str">
        <f t="shared" si="62"/>
        <v/>
      </c>
      <c r="EK30" s="40" t="str">
        <f t="shared" si="63"/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1" t="str">
        <f t="shared" si="76"/>
        <v/>
      </c>
      <c r="FS30" s="11" t="str">
        <f t="shared" si="77"/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40" t="str">
        <f t="shared" si="90"/>
        <v/>
      </c>
      <c r="HA30" s="40" t="str">
        <f t="shared" si="91"/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1" t="str">
        <f t="shared" si="104"/>
        <v/>
      </c>
      <c r="II30" s="11" t="str">
        <f t="shared" si="105"/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40" t="str">
        <f t="shared" si="118"/>
        <v/>
      </c>
      <c r="JQ30" s="40" t="str">
        <f t="shared" si="119"/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1" t="str">
        <f t="shared" si="132"/>
        <v/>
      </c>
      <c r="KY30" s="11" t="str">
        <f t="shared" si="133"/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40" t="str">
        <f t="shared" si="146"/>
        <v/>
      </c>
      <c r="MG30" s="40" t="str">
        <f t="shared" si="147"/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1" t="str">
        <f t="shared" si="160"/>
        <v/>
      </c>
      <c r="NO30" s="11" t="str">
        <f t="shared" si="161"/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40" t="str">
        <f t="shared" si="174"/>
        <v/>
      </c>
      <c r="OW30" s="40" t="str">
        <f t="shared" si="175"/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1" t="str">
        <f t="shared" si="188"/>
        <v/>
      </c>
      <c r="QE30" s="11" t="str">
        <f t="shared" si="189"/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40" t="str">
        <f t="shared" si="202"/>
        <v/>
      </c>
      <c r="RM30" s="40" t="str">
        <f t="shared" si="203"/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11" t="str">
        <f t="shared" si="216"/>
        <v/>
      </c>
      <c r="SU30" s="11" t="str">
        <f t="shared" si="217"/>
        <v/>
      </c>
      <c r="SV30" s="22">
        <f t="shared" si="218"/>
        <v>0</v>
      </c>
      <c r="SW30" s="22">
        <f t="shared" si="219"/>
        <v>0</v>
      </c>
      <c r="SX30" s="22">
        <f t="shared" si="220"/>
        <v>0</v>
      </c>
      <c r="SY30" s="22">
        <f t="shared" si="221"/>
        <v>0</v>
      </c>
      <c r="SZ30" s="22">
        <f t="shared" si="222"/>
        <v>0</v>
      </c>
      <c r="TA30" s="22">
        <f t="shared" si="223"/>
        <v>0</v>
      </c>
      <c r="TB30" s="22">
        <f t="shared" si="224"/>
        <v>0</v>
      </c>
      <c r="TC30" s="22">
        <f t="shared" si="225"/>
        <v>0</v>
      </c>
      <c r="TD30" s="22">
        <f t="shared" si="226"/>
        <v>0</v>
      </c>
      <c r="TE30" s="22">
        <f t="shared" si="227"/>
        <v>0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2">
        <f t="shared" si="231"/>
        <v>0</v>
      </c>
      <c r="TJ30" s="22">
        <f t="shared" si="232"/>
        <v>0</v>
      </c>
      <c r="TK30" s="27" t="s">
        <v>46</v>
      </c>
      <c r="TL30" s="40" t="str">
        <f t="shared" si="233"/>
        <v/>
      </c>
      <c r="TM30" s="40" t="str">
        <f t="shared" si="234"/>
        <v/>
      </c>
      <c r="TN30" s="40" t="str">
        <f t="shared" si="235"/>
        <v/>
      </c>
      <c r="TO30" s="40" t="str">
        <f t="shared" si="236"/>
        <v/>
      </c>
      <c r="TP30" s="40" t="str">
        <f t="shared" si="237"/>
        <v/>
      </c>
      <c r="TQ30" s="40" t="str">
        <f t="shared" si="238"/>
        <v/>
      </c>
      <c r="TR30" s="40" t="str">
        <f t="shared" si="239"/>
        <v/>
      </c>
      <c r="TS30" s="40" t="str">
        <f t="shared" si="240"/>
        <v/>
      </c>
      <c r="TT30" s="40" t="str">
        <f t="shared" si="241"/>
        <v/>
      </c>
      <c r="TU30" s="40" t="str">
        <f t="shared" si="242"/>
        <v/>
      </c>
      <c r="TV30" s="40" t="str">
        <f t="shared" si="243"/>
        <v/>
      </c>
    </row>
    <row r="31" spans="1:542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166</v>
      </c>
      <c r="D31" s="4" t="s">
        <v>137</v>
      </c>
      <c r="E31" s="4">
        <v>2007</v>
      </c>
      <c r="F31" s="9">
        <f t="shared" si="0"/>
        <v>62.890006289004504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IF(COUNT(AQ31,AT31,BR31,BU31,CS31,CV31)&gt;0,LARGE((AQ31,AT31,BR31,BU31,CS31,CV31),1),0)</f>
        <v>45.06</v>
      </c>
      <c r="M31" s="8" t="str">
        <f t="shared" si="5"/>
        <v>2024 Nationals</v>
      </c>
      <c r="N31" s="8">
        <f>IF(COUNT(AQ31,AT31,BR31,BU31,CS31,CV31)&gt;1,LARGE((AQ31,AT31,BR31,BU31,CS31,CV31),2),0)</f>
        <v>8.83</v>
      </c>
      <c r="O31" s="8" t="str">
        <f t="shared" si="6"/>
        <v>2024 Nationals</v>
      </c>
      <c r="P31" s="8">
        <f>IF(COUNT(AQ31,AT31,BR31,BU31,CS31,CV31)&gt;2,MAX(AX31,BY31,CZ31,LARGE((AQ31,AT31,BR31,BU31,CS31,CV31),3)),IF(MAX(AX31,BY31,CZ31)&gt;0,MAX(AX31,BY31,CZ31),0))</f>
        <v>0</v>
      </c>
      <c r="Q31" s="8" t="str">
        <f t="shared" si="7"/>
        <v/>
      </c>
      <c r="R31" s="8">
        <f t="shared" si="8"/>
        <v>9</v>
      </c>
      <c r="S31" s="8" t="str">
        <f t="shared" si="9"/>
        <v>2024 Nationals</v>
      </c>
      <c r="T31" s="8">
        <f t="shared" si="10"/>
        <v>0</v>
      </c>
      <c r="U31" s="8" t="str">
        <f t="shared" si="11"/>
        <v/>
      </c>
      <c r="V31" s="8" t="str">
        <f t="shared" si="12"/>
        <v/>
      </c>
      <c r="W31" s="11" t="str">
        <f t="shared" si="13"/>
        <v/>
      </c>
      <c r="X31" s="8" t="str">
        <f t="shared" si="14"/>
        <v/>
      </c>
      <c r="Y31" s="22">
        <v>14.2</v>
      </c>
      <c r="Z31" s="22">
        <v>8.9</v>
      </c>
      <c r="AA31" s="22">
        <v>9</v>
      </c>
      <c r="AB31" s="22">
        <v>12.96</v>
      </c>
      <c r="AC31" s="22">
        <v>0</v>
      </c>
      <c r="AD31" s="22">
        <v>2.4</v>
      </c>
      <c r="AE31" s="22">
        <v>1.7</v>
      </c>
      <c r="AF31" s="22">
        <v>2</v>
      </c>
      <c r="AG31" s="22">
        <v>2.73</v>
      </c>
      <c r="AH31" s="22">
        <v>0</v>
      </c>
      <c r="AI31" s="22"/>
      <c r="AJ31" s="22"/>
      <c r="AK31" s="22"/>
      <c r="AL31" s="22"/>
      <c r="AM31" s="22"/>
      <c r="AN31" s="27"/>
      <c r="AO31" s="38">
        <f t="shared" si="15"/>
        <v>9</v>
      </c>
      <c r="AP31" s="38">
        <f t="shared" si="16"/>
        <v>12.96</v>
      </c>
      <c r="AQ31" s="40">
        <f t="shared" si="17"/>
        <v>45.06</v>
      </c>
      <c r="AR31" s="40">
        <f t="shared" si="18"/>
        <v>2</v>
      </c>
      <c r="AS31" s="40">
        <f t="shared" si="19"/>
        <v>2.73</v>
      </c>
      <c r="AT31" s="40">
        <f t="shared" si="20"/>
        <v>8.83</v>
      </c>
      <c r="AU31" s="40">
        <f t="shared" si="21"/>
        <v>45.06</v>
      </c>
      <c r="AV31" s="40" t="str">
        <f t="shared" si="22"/>
        <v/>
      </c>
      <c r="AW31" s="40" t="str">
        <f t="shared" si="23"/>
        <v/>
      </c>
      <c r="AX31" s="40" t="str">
        <f t="shared" si="24"/>
        <v/>
      </c>
      <c r="AY31" s="40">
        <f t="shared" si="25"/>
        <v>45.06</v>
      </c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8"/>
      <c r="BP31" s="39" t="str">
        <f t="shared" si="26"/>
        <v/>
      </c>
      <c r="BQ31" s="39" t="str">
        <f t="shared" si="27"/>
        <v/>
      </c>
      <c r="BR31" s="11" t="str">
        <f t="shared" si="28"/>
        <v/>
      </c>
      <c r="BS31" s="11" t="str">
        <f t="shared" si="29"/>
        <v/>
      </c>
      <c r="BT31" s="11" t="str">
        <f t="shared" si="30"/>
        <v/>
      </c>
      <c r="BU31" s="11" t="str">
        <f t="shared" si="31"/>
        <v/>
      </c>
      <c r="BV31" s="11" t="str">
        <f t="shared" si="32"/>
        <v/>
      </c>
      <c r="BW31" s="11" t="str">
        <f t="shared" si="33"/>
        <v/>
      </c>
      <c r="BX31" s="11" t="str">
        <f t="shared" si="34"/>
        <v/>
      </c>
      <c r="BY31" s="11" t="str">
        <f t="shared" si="35"/>
        <v/>
      </c>
      <c r="BZ31" s="11" t="str">
        <f t="shared" si="36"/>
        <v/>
      </c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7"/>
      <c r="CQ31" s="38" t="str">
        <f t="shared" si="37"/>
        <v/>
      </c>
      <c r="CR31" s="38" t="str">
        <f t="shared" si="38"/>
        <v/>
      </c>
      <c r="CS31" s="40" t="str">
        <f t="shared" si="39"/>
        <v/>
      </c>
      <c r="CT31" s="40" t="str">
        <f t="shared" si="40"/>
        <v/>
      </c>
      <c r="CU31" s="40" t="str">
        <f t="shared" si="41"/>
        <v/>
      </c>
      <c r="CV31" s="40" t="str">
        <f t="shared" si="42"/>
        <v/>
      </c>
      <c r="CW31" s="40" t="str">
        <f t="shared" si="43"/>
        <v/>
      </c>
      <c r="CX31" s="40" t="str">
        <f t="shared" si="44"/>
        <v/>
      </c>
      <c r="CY31" s="40" t="str">
        <f t="shared" si="45"/>
        <v/>
      </c>
      <c r="CZ31" s="40" t="str">
        <f t="shared" si="46"/>
        <v/>
      </c>
      <c r="DA31" s="40" t="str">
        <f t="shared" si="47"/>
        <v/>
      </c>
      <c r="DB31" s="50" t="str">
        <f t="shared" si="48"/>
        <v/>
      </c>
      <c r="DC31" s="50" t="str">
        <f t="shared" si="49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40" t="str">
        <f t="shared" si="62"/>
        <v/>
      </c>
      <c r="EK31" s="40" t="str">
        <f t="shared" si="63"/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1" t="str">
        <f t="shared" si="76"/>
        <v/>
      </c>
      <c r="FS31" s="11" t="str">
        <f t="shared" si="77"/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40" t="str">
        <f t="shared" si="90"/>
        <v/>
      </c>
      <c r="HA31" s="40" t="str">
        <f t="shared" si="91"/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1" t="str">
        <f t="shared" si="104"/>
        <v/>
      </c>
      <c r="II31" s="11" t="str">
        <f t="shared" si="105"/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40" t="str">
        <f t="shared" si="118"/>
        <v/>
      </c>
      <c r="JQ31" s="40" t="str">
        <f t="shared" si="119"/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1" t="str">
        <f t="shared" si="132"/>
        <v/>
      </c>
      <c r="KY31" s="11" t="str">
        <f t="shared" si="133"/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40" t="str">
        <f t="shared" si="146"/>
        <v/>
      </c>
      <c r="MG31" s="40" t="str">
        <f t="shared" si="147"/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1" t="str">
        <f t="shared" si="160"/>
        <v/>
      </c>
      <c r="NO31" s="11" t="str">
        <f t="shared" si="161"/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40" t="str">
        <f t="shared" si="174"/>
        <v/>
      </c>
      <c r="OW31" s="40" t="str">
        <f t="shared" si="175"/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1" t="str">
        <f t="shared" si="188"/>
        <v/>
      </c>
      <c r="QE31" s="11" t="str">
        <f t="shared" si="189"/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40" t="str">
        <f t="shared" si="202"/>
        <v/>
      </c>
      <c r="RM31" s="40" t="str">
        <f t="shared" si="203"/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11" t="str">
        <f t="shared" si="216"/>
        <v/>
      </c>
      <c r="SU31" s="11" t="str">
        <f t="shared" si="217"/>
        <v/>
      </c>
      <c r="SV31" s="22">
        <f t="shared" si="218"/>
        <v>0</v>
      </c>
      <c r="SW31" s="22">
        <f t="shared" si="219"/>
        <v>0</v>
      </c>
      <c r="SX31" s="22">
        <f t="shared" si="220"/>
        <v>0</v>
      </c>
      <c r="SY31" s="22">
        <f t="shared" si="221"/>
        <v>0</v>
      </c>
      <c r="SZ31" s="22">
        <f t="shared" si="222"/>
        <v>0</v>
      </c>
      <c r="TA31" s="22">
        <f t="shared" si="223"/>
        <v>0</v>
      </c>
      <c r="TB31" s="22">
        <f t="shared" si="224"/>
        <v>0</v>
      </c>
      <c r="TC31" s="22">
        <f t="shared" si="225"/>
        <v>0</v>
      </c>
      <c r="TD31" s="22">
        <f t="shared" si="226"/>
        <v>0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2">
        <f t="shared" si="231"/>
        <v>0</v>
      </c>
      <c r="TJ31" s="22">
        <f t="shared" si="232"/>
        <v>0</v>
      </c>
      <c r="TK31" s="27" t="s">
        <v>46</v>
      </c>
      <c r="TL31" s="40" t="str">
        <f t="shared" si="233"/>
        <v/>
      </c>
      <c r="TM31" s="40" t="str">
        <f t="shared" si="234"/>
        <v/>
      </c>
      <c r="TN31" s="40" t="str">
        <f t="shared" si="235"/>
        <v/>
      </c>
      <c r="TO31" s="40" t="str">
        <f t="shared" si="236"/>
        <v/>
      </c>
      <c r="TP31" s="40" t="str">
        <f t="shared" si="237"/>
        <v/>
      </c>
      <c r="TQ31" s="40" t="str">
        <f t="shared" si="238"/>
        <v/>
      </c>
      <c r="TR31" s="40" t="str">
        <f t="shared" si="239"/>
        <v/>
      </c>
      <c r="TS31" s="40" t="str">
        <f t="shared" si="240"/>
        <v/>
      </c>
      <c r="TT31" s="40" t="str">
        <f t="shared" si="241"/>
        <v/>
      </c>
      <c r="TU31" s="40" t="str">
        <f t="shared" si="242"/>
        <v/>
      </c>
      <c r="TV31" s="40" t="str">
        <f t="shared" si="243"/>
        <v/>
      </c>
    </row>
    <row r="32" spans="1:542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118</v>
      </c>
      <c r="D32" s="4" t="s">
        <v>31</v>
      </c>
      <c r="E32" s="4">
        <v>2006</v>
      </c>
      <c r="F32" s="9">
        <f t="shared" si="0"/>
        <v>62.730006273004442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IF(COUNT(AQ32,AT32,BR32,BU32,CS32,CV32)&gt;0,LARGE((AQ32,AT32,BR32,BU32,CS32,CV32),1),0)</f>
        <v>44.42</v>
      </c>
      <c r="M32" s="8" t="str">
        <f t="shared" si="5"/>
        <v>2024 Nationals</v>
      </c>
      <c r="N32" s="8">
        <f>IF(COUNT(AQ32,AT32,BR32,BU32,CS32,CV32)&gt;1,LARGE((AQ32,AT32,BR32,BU32,CS32,CV32),2),0)</f>
        <v>9.2099999999999991</v>
      </c>
      <c r="O32" s="8" t="str">
        <f t="shared" si="6"/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 t="shared" si="7"/>
        <v/>
      </c>
      <c r="R32" s="8">
        <f t="shared" si="8"/>
        <v>9.1</v>
      </c>
      <c r="S32" s="8" t="str">
        <f t="shared" si="9"/>
        <v>2024 Nationals</v>
      </c>
      <c r="T32" s="8">
        <f t="shared" si="10"/>
        <v>0</v>
      </c>
      <c r="U32" s="8" t="str">
        <f t="shared" si="11"/>
        <v/>
      </c>
      <c r="V32" s="8" t="str">
        <f t="shared" si="12"/>
        <v/>
      </c>
      <c r="W32" s="11" t="str">
        <f t="shared" si="13"/>
        <v/>
      </c>
      <c r="X32" s="8" t="str">
        <f t="shared" si="14"/>
        <v/>
      </c>
      <c r="Y32" s="22">
        <v>3</v>
      </c>
      <c r="Z32" s="22">
        <v>1.7</v>
      </c>
      <c r="AA32" s="22">
        <v>1.9</v>
      </c>
      <c r="AB32" s="22">
        <v>2.61</v>
      </c>
      <c r="AC32" s="22">
        <v>0</v>
      </c>
      <c r="AD32" s="22">
        <v>13.1</v>
      </c>
      <c r="AE32" s="22">
        <v>9.5</v>
      </c>
      <c r="AF32" s="22">
        <v>9.1</v>
      </c>
      <c r="AG32" s="22">
        <v>12.72</v>
      </c>
      <c r="AH32" s="22">
        <v>0</v>
      </c>
      <c r="AI32" s="22"/>
      <c r="AJ32" s="22"/>
      <c r="AK32" s="22"/>
      <c r="AL32" s="22"/>
      <c r="AM32" s="22"/>
      <c r="AN32" s="27"/>
      <c r="AO32" s="38">
        <f t="shared" si="15"/>
        <v>1.9</v>
      </c>
      <c r="AP32" s="38">
        <f t="shared" si="16"/>
        <v>2.61</v>
      </c>
      <c r="AQ32" s="40">
        <f t="shared" si="17"/>
        <v>9.2099999999999991</v>
      </c>
      <c r="AR32" s="40">
        <f t="shared" si="18"/>
        <v>9.1</v>
      </c>
      <c r="AS32" s="40">
        <f t="shared" si="19"/>
        <v>12.72</v>
      </c>
      <c r="AT32" s="40">
        <f t="shared" si="20"/>
        <v>44.42</v>
      </c>
      <c r="AU32" s="40">
        <f t="shared" si="21"/>
        <v>44.42</v>
      </c>
      <c r="AV32" s="40" t="str">
        <f t="shared" si="22"/>
        <v/>
      </c>
      <c r="AW32" s="40" t="str">
        <f t="shared" si="23"/>
        <v/>
      </c>
      <c r="AX32" s="40" t="str">
        <f t="shared" si="24"/>
        <v/>
      </c>
      <c r="AY32" s="40">
        <f t="shared" si="25"/>
        <v>44.42</v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 t="shared" si="26"/>
        <v/>
      </c>
      <c r="BQ32" s="39" t="str">
        <f t="shared" si="27"/>
        <v/>
      </c>
      <c r="BR32" s="11" t="str">
        <f t="shared" si="28"/>
        <v/>
      </c>
      <c r="BS32" s="11" t="str">
        <f t="shared" si="29"/>
        <v/>
      </c>
      <c r="BT32" s="11" t="str">
        <f t="shared" si="30"/>
        <v/>
      </c>
      <c r="BU32" s="11" t="str">
        <f t="shared" si="31"/>
        <v/>
      </c>
      <c r="BV32" s="11" t="str">
        <f t="shared" si="32"/>
        <v/>
      </c>
      <c r="BW32" s="11" t="str">
        <f t="shared" si="33"/>
        <v/>
      </c>
      <c r="BX32" s="11" t="str">
        <f t="shared" si="34"/>
        <v/>
      </c>
      <c r="BY32" s="11" t="str">
        <f t="shared" si="35"/>
        <v/>
      </c>
      <c r="BZ32" s="11" t="str">
        <f t="shared" si="36"/>
        <v/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 t="shared" si="37"/>
        <v/>
      </c>
      <c r="CR32" s="38" t="str">
        <f t="shared" si="38"/>
        <v/>
      </c>
      <c r="CS32" s="40" t="str">
        <f t="shared" si="39"/>
        <v/>
      </c>
      <c r="CT32" s="40" t="str">
        <f t="shared" si="40"/>
        <v/>
      </c>
      <c r="CU32" s="40" t="str">
        <f t="shared" si="41"/>
        <v/>
      </c>
      <c r="CV32" s="40" t="str">
        <f t="shared" si="42"/>
        <v/>
      </c>
      <c r="CW32" s="40" t="str">
        <f t="shared" si="43"/>
        <v/>
      </c>
      <c r="CX32" s="40" t="str">
        <f t="shared" si="44"/>
        <v/>
      </c>
      <c r="CY32" s="40" t="str">
        <f t="shared" si="45"/>
        <v/>
      </c>
      <c r="CZ32" s="40" t="str">
        <f t="shared" si="46"/>
        <v/>
      </c>
      <c r="DA32" s="40" t="str">
        <f t="shared" si="47"/>
        <v/>
      </c>
      <c r="DB32" s="50" t="str">
        <f t="shared" si="48"/>
        <v/>
      </c>
      <c r="DC32" s="50" t="str">
        <f t="shared" si="49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50"/>
        <v/>
      </c>
      <c r="DY32" s="40" t="str">
        <f t="shared" si="51"/>
        <v/>
      </c>
      <c r="DZ32" s="40" t="str">
        <f t="shared" si="52"/>
        <v/>
      </c>
      <c r="EA32" s="40" t="str">
        <f t="shared" si="53"/>
        <v/>
      </c>
      <c r="EB32" s="40" t="str">
        <f t="shared" si="54"/>
        <v/>
      </c>
      <c r="EC32" s="40" t="str">
        <f t="shared" si="55"/>
        <v/>
      </c>
      <c r="ED32" s="40" t="str">
        <f t="shared" si="56"/>
        <v/>
      </c>
      <c r="EE32" s="40" t="str">
        <f t="shared" si="57"/>
        <v/>
      </c>
      <c r="EF32" s="40" t="str">
        <f t="shared" si="58"/>
        <v/>
      </c>
      <c r="EG32" s="40" t="str">
        <f t="shared" si="59"/>
        <v/>
      </c>
      <c r="EH32" s="40" t="str">
        <f t="shared" si="60"/>
        <v/>
      </c>
      <c r="EI32" s="40" t="str">
        <f t="shared" si="61"/>
        <v/>
      </c>
      <c r="EJ32" s="40" t="str">
        <f t="shared" si="62"/>
        <v/>
      </c>
      <c r="EK32" s="40" t="str">
        <f t="shared" si="63"/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 t="shared" si="64"/>
        <v/>
      </c>
      <c r="FG32" s="11" t="str">
        <f t="shared" si="65"/>
        <v/>
      </c>
      <c r="FH32" s="11" t="str">
        <f t="shared" si="66"/>
        <v/>
      </c>
      <c r="FI32" s="11" t="str">
        <f t="shared" si="67"/>
        <v/>
      </c>
      <c r="FJ32" s="11" t="str">
        <f t="shared" si="68"/>
        <v/>
      </c>
      <c r="FK32" s="11" t="str">
        <f t="shared" si="69"/>
        <v/>
      </c>
      <c r="FL32" s="11" t="str">
        <f t="shared" si="70"/>
        <v/>
      </c>
      <c r="FM32" s="11" t="str">
        <f t="shared" si="71"/>
        <v/>
      </c>
      <c r="FN32" s="11" t="str">
        <f t="shared" si="72"/>
        <v/>
      </c>
      <c r="FO32" s="11" t="str">
        <f t="shared" si="73"/>
        <v/>
      </c>
      <c r="FP32" s="11" t="str">
        <f t="shared" si="74"/>
        <v/>
      </c>
      <c r="FQ32" s="11" t="str">
        <f t="shared" si="75"/>
        <v/>
      </c>
      <c r="FR32" s="11" t="str">
        <f t="shared" si="76"/>
        <v/>
      </c>
      <c r="FS32" s="11" t="str">
        <f t="shared" si="77"/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 t="shared" si="78"/>
        <v/>
      </c>
      <c r="GO32" s="40" t="str">
        <f t="shared" si="79"/>
        <v/>
      </c>
      <c r="GP32" s="40" t="str">
        <f t="shared" si="80"/>
        <v/>
      </c>
      <c r="GQ32" s="40" t="str">
        <f t="shared" si="81"/>
        <v/>
      </c>
      <c r="GR32" s="40" t="str">
        <f t="shared" si="82"/>
        <v/>
      </c>
      <c r="GS32" s="40" t="str">
        <f t="shared" si="83"/>
        <v/>
      </c>
      <c r="GT32" s="40" t="str">
        <f t="shared" si="84"/>
        <v/>
      </c>
      <c r="GU32" s="40" t="str">
        <f t="shared" si="85"/>
        <v/>
      </c>
      <c r="GV32" s="40" t="str">
        <f t="shared" si="86"/>
        <v/>
      </c>
      <c r="GW32" s="40" t="str">
        <f t="shared" si="87"/>
        <v/>
      </c>
      <c r="GX32" s="40" t="str">
        <f t="shared" si="88"/>
        <v/>
      </c>
      <c r="GY32" s="40" t="str">
        <f t="shared" si="89"/>
        <v/>
      </c>
      <c r="GZ32" s="40" t="str">
        <f t="shared" si="90"/>
        <v/>
      </c>
      <c r="HA32" s="40" t="str">
        <f t="shared" si="91"/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 t="shared" si="92"/>
        <v/>
      </c>
      <c r="HW32" s="11" t="str">
        <f t="shared" si="93"/>
        <v/>
      </c>
      <c r="HX32" s="11" t="str">
        <f t="shared" si="94"/>
        <v/>
      </c>
      <c r="HY32" s="11" t="str">
        <f t="shared" si="95"/>
        <v/>
      </c>
      <c r="HZ32" s="11" t="str">
        <f t="shared" si="96"/>
        <v/>
      </c>
      <c r="IA32" s="11" t="str">
        <f t="shared" si="97"/>
        <v/>
      </c>
      <c r="IB32" s="11" t="str">
        <f t="shared" si="98"/>
        <v/>
      </c>
      <c r="IC32" s="11" t="str">
        <f t="shared" si="99"/>
        <v/>
      </c>
      <c r="ID32" s="11" t="str">
        <f t="shared" si="100"/>
        <v/>
      </c>
      <c r="IE32" s="11" t="str">
        <f t="shared" si="101"/>
        <v/>
      </c>
      <c r="IF32" s="11" t="str">
        <f t="shared" si="102"/>
        <v/>
      </c>
      <c r="IG32" s="11" t="str">
        <f t="shared" si="103"/>
        <v/>
      </c>
      <c r="IH32" s="11" t="str">
        <f t="shared" si="104"/>
        <v/>
      </c>
      <c r="II32" s="11" t="str">
        <f t="shared" si="105"/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 t="shared" si="106"/>
        <v/>
      </c>
      <c r="JE32" s="40" t="str">
        <f t="shared" si="107"/>
        <v/>
      </c>
      <c r="JF32" s="40" t="str">
        <f t="shared" si="108"/>
        <v/>
      </c>
      <c r="JG32" s="40" t="str">
        <f t="shared" si="109"/>
        <v/>
      </c>
      <c r="JH32" s="40" t="str">
        <f t="shared" si="110"/>
        <v/>
      </c>
      <c r="JI32" s="40" t="str">
        <f t="shared" si="111"/>
        <v/>
      </c>
      <c r="JJ32" s="40" t="str">
        <f t="shared" si="112"/>
        <v/>
      </c>
      <c r="JK32" s="40" t="str">
        <f t="shared" si="113"/>
        <v/>
      </c>
      <c r="JL32" s="40" t="str">
        <f t="shared" si="114"/>
        <v/>
      </c>
      <c r="JM32" s="40" t="str">
        <f t="shared" si="115"/>
        <v/>
      </c>
      <c r="JN32" s="40" t="str">
        <f t="shared" si="116"/>
        <v/>
      </c>
      <c r="JO32" s="40" t="str">
        <f t="shared" si="117"/>
        <v/>
      </c>
      <c r="JP32" s="40" t="str">
        <f t="shared" si="118"/>
        <v/>
      </c>
      <c r="JQ32" s="40" t="str">
        <f t="shared" si="119"/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 t="shared" si="120"/>
        <v/>
      </c>
      <c r="KM32" s="11" t="str">
        <f t="shared" si="121"/>
        <v/>
      </c>
      <c r="KN32" s="11" t="str">
        <f t="shared" si="122"/>
        <v/>
      </c>
      <c r="KO32" s="11" t="str">
        <f t="shared" si="123"/>
        <v/>
      </c>
      <c r="KP32" s="11" t="str">
        <f t="shared" si="124"/>
        <v/>
      </c>
      <c r="KQ32" s="11" t="str">
        <f t="shared" si="125"/>
        <v/>
      </c>
      <c r="KR32" s="11" t="str">
        <f t="shared" si="126"/>
        <v/>
      </c>
      <c r="KS32" s="11" t="str">
        <f t="shared" si="127"/>
        <v/>
      </c>
      <c r="KT32" s="11" t="str">
        <f t="shared" si="128"/>
        <v/>
      </c>
      <c r="KU32" s="11" t="str">
        <f t="shared" si="129"/>
        <v/>
      </c>
      <c r="KV32" s="11" t="str">
        <f t="shared" si="130"/>
        <v/>
      </c>
      <c r="KW32" s="11" t="str">
        <f t="shared" si="131"/>
        <v/>
      </c>
      <c r="KX32" s="11" t="str">
        <f t="shared" si="132"/>
        <v/>
      </c>
      <c r="KY32" s="11" t="str">
        <f t="shared" si="133"/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 t="shared" si="134"/>
        <v/>
      </c>
      <c r="LU32" s="40" t="str">
        <f t="shared" si="135"/>
        <v/>
      </c>
      <c r="LV32" s="40" t="str">
        <f t="shared" si="136"/>
        <v/>
      </c>
      <c r="LW32" s="40" t="str">
        <f t="shared" si="137"/>
        <v/>
      </c>
      <c r="LX32" s="40" t="str">
        <f t="shared" si="138"/>
        <v/>
      </c>
      <c r="LY32" s="40" t="str">
        <f t="shared" si="139"/>
        <v/>
      </c>
      <c r="LZ32" s="40" t="str">
        <f t="shared" si="140"/>
        <v/>
      </c>
      <c r="MA32" s="40" t="str">
        <f t="shared" si="141"/>
        <v/>
      </c>
      <c r="MB32" s="40" t="str">
        <f t="shared" si="142"/>
        <v/>
      </c>
      <c r="MC32" s="40" t="str">
        <f t="shared" si="143"/>
        <v/>
      </c>
      <c r="MD32" s="40" t="str">
        <f t="shared" si="144"/>
        <v/>
      </c>
      <c r="ME32" s="40" t="str">
        <f t="shared" si="145"/>
        <v/>
      </c>
      <c r="MF32" s="40" t="str">
        <f t="shared" si="146"/>
        <v/>
      </c>
      <c r="MG32" s="40" t="str">
        <f t="shared" si="147"/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 t="shared" si="148"/>
        <v/>
      </c>
      <c r="NC32" s="11" t="str">
        <f t="shared" si="149"/>
        <v/>
      </c>
      <c r="ND32" s="11" t="str">
        <f t="shared" si="150"/>
        <v/>
      </c>
      <c r="NE32" s="11" t="str">
        <f t="shared" si="151"/>
        <v/>
      </c>
      <c r="NF32" s="11" t="str">
        <f t="shared" si="152"/>
        <v/>
      </c>
      <c r="NG32" s="11" t="str">
        <f t="shared" si="153"/>
        <v/>
      </c>
      <c r="NH32" s="11" t="str">
        <f t="shared" si="154"/>
        <v/>
      </c>
      <c r="NI32" s="11" t="str">
        <f t="shared" si="155"/>
        <v/>
      </c>
      <c r="NJ32" s="11" t="str">
        <f t="shared" si="156"/>
        <v/>
      </c>
      <c r="NK32" s="11" t="str">
        <f t="shared" si="157"/>
        <v/>
      </c>
      <c r="NL32" s="11" t="str">
        <f t="shared" si="158"/>
        <v/>
      </c>
      <c r="NM32" s="11" t="str">
        <f t="shared" si="159"/>
        <v/>
      </c>
      <c r="NN32" s="11" t="str">
        <f t="shared" si="160"/>
        <v/>
      </c>
      <c r="NO32" s="11" t="str">
        <f t="shared" si="161"/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 t="shared" si="162"/>
        <v/>
      </c>
      <c r="OK32" s="40" t="str">
        <f t="shared" si="163"/>
        <v/>
      </c>
      <c r="OL32" s="40" t="str">
        <f t="shared" si="164"/>
        <v/>
      </c>
      <c r="OM32" s="40" t="str">
        <f t="shared" si="165"/>
        <v/>
      </c>
      <c r="ON32" s="40" t="str">
        <f t="shared" si="166"/>
        <v/>
      </c>
      <c r="OO32" s="40" t="str">
        <f t="shared" si="167"/>
        <v/>
      </c>
      <c r="OP32" s="40" t="str">
        <f t="shared" si="168"/>
        <v/>
      </c>
      <c r="OQ32" s="40" t="str">
        <f t="shared" si="169"/>
        <v/>
      </c>
      <c r="OR32" s="40" t="str">
        <f t="shared" si="170"/>
        <v/>
      </c>
      <c r="OS32" s="40" t="str">
        <f t="shared" si="171"/>
        <v/>
      </c>
      <c r="OT32" s="40" t="str">
        <f t="shared" si="172"/>
        <v/>
      </c>
      <c r="OU32" s="40" t="str">
        <f t="shared" si="173"/>
        <v/>
      </c>
      <c r="OV32" s="40" t="str">
        <f t="shared" si="174"/>
        <v/>
      </c>
      <c r="OW32" s="40" t="str">
        <f t="shared" si="175"/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 t="shared" si="176"/>
        <v/>
      </c>
      <c r="PS32" s="11" t="str">
        <f t="shared" si="177"/>
        <v/>
      </c>
      <c r="PT32" s="11" t="str">
        <f t="shared" si="178"/>
        <v/>
      </c>
      <c r="PU32" s="11" t="str">
        <f t="shared" si="179"/>
        <v/>
      </c>
      <c r="PV32" s="11" t="str">
        <f t="shared" si="180"/>
        <v/>
      </c>
      <c r="PW32" s="11" t="str">
        <f t="shared" si="181"/>
        <v/>
      </c>
      <c r="PX32" s="11" t="str">
        <f t="shared" si="182"/>
        <v/>
      </c>
      <c r="PY32" s="11" t="str">
        <f t="shared" si="183"/>
        <v/>
      </c>
      <c r="PZ32" s="11" t="str">
        <f t="shared" si="184"/>
        <v/>
      </c>
      <c r="QA32" s="11" t="str">
        <f t="shared" si="185"/>
        <v/>
      </c>
      <c r="QB32" s="11" t="str">
        <f t="shared" si="186"/>
        <v/>
      </c>
      <c r="QC32" s="11" t="str">
        <f t="shared" si="187"/>
        <v/>
      </c>
      <c r="QD32" s="11" t="str">
        <f t="shared" si="188"/>
        <v/>
      </c>
      <c r="QE32" s="11" t="str">
        <f t="shared" si="189"/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 t="shared" si="190"/>
        <v/>
      </c>
      <c r="RA32" s="40" t="str">
        <f t="shared" si="191"/>
        <v/>
      </c>
      <c r="RB32" s="40" t="str">
        <f t="shared" si="192"/>
        <v/>
      </c>
      <c r="RC32" s="40" t="str">
        <f t="shared" si="193"/>
        <v/>
      </c>
      <c r="RD32" s="40" t="str">
        <f t="shared" si="194"/>
        <v/>
      </c>
      <c r="RE32" s="40" t="str">
        <f t="shared" si="195"/>
        <v/>
      </c>
      <c r="RF32" s="40" t="str">
        <f t="shared" si="196"/>
        <v/>
      </c>
      <c r="RG32" s="40" t="str">
        <f t="shared" si="197"/>
        <v/>
      </c>
      <c r="RH32" s="40" t="str">
        <f t="shared" si="198"/>
        <v/>
      </c>
      <c r="RI32" s="40" t="str">
        <f t="shared" si="199"/>
        <v/>
      </c>
      <c r="RJ32" s="40" t="str">
        <f t="shared" si="200"/>
        <v/>
      </c>
      <c r="RK32" s="40" t="str">
        <f t="shared" si="201"/>
        <v/>
      </c>
      <c r="RL32" s="40" t="str">
        <f t="shared" si="202"/>
        <v/>
      </c>
      <c r="RM32" s="40" t="str">
        <f t="shared" si="203"/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 t="shared" si="204"/>
        <v/>
      </c>
      <c r="SI32" s="11" t="str">
        <f t="shared" si="205"/>
        <v/>
      </c>
      <c r="SJ32" s="11" t="str">
        <f t="shared" si="206"/>
        <v/>
      </c>
      <c r="SK32" s="11" t="str">
        <f t="shared" si="207"/>
        <v/>
      </c>
      <c r="SL32" s="11" t="str">
        <f t="shared" si="208"/>
        <v/>
      </c>
      <c r="SM32" s="11" t="str">
        <f t="shared" si="209"/>
        <v/>
      </c>
      <c r="SN32" s="11" t="str">
        <f t="shared" si="210"/>
        <v/>
      </c>
      <c r="SO32" s="11" t="str">
        <f t="shared" si="211"/>
        <v/>
      </c>
      <c r="SP32" s="11" t="str">
        <f t="shared" si="212"/>
        <v/>
      </c>
      <c r="SQ32" s="11" t="str">
        <f t="shared" si="213"/>
        <v/>
      </c>
      <c r="SR32" s="11" t="str">
        <f t="shared" si="214"/>
        <v/>
      </c>
      <c r="SS32" s="11" t="str">
        <f t="shared" si="215"/>
        <v/>
      </c>
      <c r="ST32" s="11" t="str">
        <f t="shared" si="216"/>
        <v/>
      </c>
      <c r="SU32" s="11" t="str">
        <f t="shared" si="217"/>
        <v/>
      </c>
      <c r="SV32" s="22">
        <f t="shared" si="218"/>
        <v>0</v>
      </c>
      <c r="SW32" s="22">
        <f t="shared" si="219"/>
        <v>0</v>
      </c>
      <c r="SX32" s="22">
        <f t="shared" si="220"/>
        <v>0</v>
      </c>
      <c r="SY32" s="22">
        <f t="shared" si="221"/>
        <v>0</v>
      </c>
      <c r="SZ32" s="22">
        <f t="shared" si="222"/>
        <v>0</v>
      </c>
      <c r="TA32" s="22">
        <f t="shared" si="223"/>
        <v>0</v>
      </c>
      <c r="TB32" s="22">
        <f t="shared" si="224"/>
        <v>0</v>
      </c>
      <c r="TC32" s="22">
        <f t="shared" si="225"/>
        <v>0</v>
      </c>
      <c r="TD32" s="22">
        <f t="shared" si="226"/>
        <v>0</v>
      </c>
      <c r="TE32" s="22">
        <f t="shared" si="227"/>
        <v>0</v>
      </c>
      <c r="TF32" s="22">
        <f t="shared" si="228"/>
        <v>0</v>
      </c>
      <c r="TG32" s="22">
        <f t="shared" si="229"/>
        <v>0</v>
      </c>
      <c r="TH32" s="22">
        <f t="shared" si="230"/>
        <v>0</v>
      </c>
      <c r="TI32" s="22">
        <f t="shared" si="231"/>
        <v>0</v>
      </c>
      <c r="TJ32" s="22">
        <f t="shared" si="232"/>
        <v>0</v>
      </c>
      <c r="TK32" s="27" t="s">
        <v>46</v>
      </c>
      <c r="TL32" s="40" t="str">
        <f t="shared" si="233"/>
        <v/>
      </c>
      <c r="TM32" s="40" t="str">
        <f t="shared" si="234"/>
        <v/>
      </c>
      <c r="TN32" s="40" t="str">
        <f t="shared" si="235"/>
        <v/>
      </c>
      <c r="TO32" s="40" t="str">
        <f t="shared" si="236"/>
        <v/>
      </c>
      <c r="TP32" s="40" t="str">
        <f t="shared" si="237"/>
        <v/>
      </c>
      <c r="TQ32" s="40" t="str">
        <f t="shared" si="238"/>
        <v/>
      </c>
      <c r="TR32" s="40" t="str">
        <f t="shared" si="239"/>
        <v/>
      </c>
      <c r="TS32" s="40" t="str">
        <f t="shared" si="240"/>
        <v/>
      </c>
      <c r="TT32" s="40" t="str">
        <f t="shared" si="241"/>
        <v/>
      </c>
      <c r="TU32" s="40" t="str">
        <f t="shared" si="242"/>
        <v/>
      </c>
      <c r="TV32" s="40" t="str">
        <f t="shared" si="243"/>
        <v/>
      </c>
    </row>
    <row r="33" spans="1:544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139</v>
      </c>
      <c r="D33" s="4" t="s">
        <v>6</v>
      </c>
      <c r="E33" s="4">
        <v>2006</v>
      </c>
      <c r="F33" s="9">
        <f t="shared" si="0"/>
        <v>56.390005639003185</v>
      </c>
      <c r="G33" s="64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IF(COUNT(AQ33,AT33,BR33,BU33,CS33,CV33)&gt;0,LARGE((AQ33,AT33,BR33,BU33,CS33,CV33),1),0)</f>
        <v>31.849999999999998</v>
      </c>
      <c r="M33" s="8" t="str">
        <f t="shared" si="5"/>
        <v>2024 Nationals</v>
      </c>
      <c r="N33" s="8">
        <f>IF(COUNT(AQ33,AT33,BR33,BU33,CS33,CV33)&gt;1,LARGE((AQ33,AT33,BR33,BU33,CS33,CV33),2),0)</f>
        <v>18.440000000000001</v>
      </c>
      <c r="O33" s="8" t="str">
        <f t="shared" si="6"/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 t="shared" si="7"/>
        <v/>
      </c>
      <c r="R33" s="8">
        <f t="shared" si="8"/>
        <v>6.1</v>
      </c>
      <c r="S33" s="8" t="str">
        <f t="shared" si="9"/>
        <v>2024 Nationals</v>
      </c>
      <c r="T33" s="8">
        <f t="shared" si="10"/>
        <v>0</v>
      </c>
      <c r="U33" s="8" t="str">
        <f t="shared" si="11"/>
        <v/>
      </c>
      <c r="V33" s="8" t="str">
        <f t="shared" si="12"/>
        <v/>
      </c>
      <c r="W33" s="11" t="str">
        <f t="shared" si="13"/>
        <v/>
      </c>
      <c r="X33" s="8" t="str">
        <f t="shared" si="14"/>
        <v/>
      </c>
      <c r="Y33" s="22">
        <v>5.6</v>
      </c>
      <c r="Z33" s="22">
        <v>3.7</v>
      </c>
      <c r="AA33" s="22">
        <v>4</v>
      </c>
      <c r="AB33" s="22">
        <v>5.14</v>
      </c>
      <c r="AC33" s="22">
        <v>0</v>
      </c>
      <c r="AD33" s="22">
        <v>10.1</v>
      </c>
      <c r="AE33" s="22">
        <v>6.6</v>
      </c>
      <c r="AF33" s="22">
        <v>6.1</v>
      </c>
      <c r="AG33" s="22">
        <v>9.0500000000000007</v>
      </c>
      <c r="AH33" s="22">
        <v>0</v>
      </c>
      <c r="AI33" s="22"/>
      <c r="AJ33" s="22"/>
      <c r="AK33" s="22"/>
      <c r="AL33" s="22"/>
      <c r="AM33" s="22"/>
      <c r="AN33" s="27"/>
      <c r="AO33" s="38">
        <f t="shared" si="15"/>
        <v>4</v>
      </c>
      <c r="AP33" s="38">
        <f t="shared" si="16"/>
        <v>5.14</v>
      </c>
      <c r="AQ33" s="40">
        <f t="shared" si="17"/>
        <v>18.440000000000001</v>
      </c>
      <c r="AR33" s="40">
        <f t="shared" si="18"/>
        <v>6.1</v>
      </c>
      <c r="AS33" s="40">
        <f t="shared" si="19"/>
        <v>9.0500000000000007</v>
      </c>
      <c r="AT33" s="40">
        <f t="shared" si="20"/>
        <v>31.849999999999998</v>
      </c>
      <c r="AU33" s="40">
        <f t="shared" si="21"/>
        <v>31.849999999999998</v>
      </c>
      <c r="AV33" s="40" t="str">
        <f t="shared" si="22"/>
        <v/>
      </c>
      <c r="AW33" s="40" t="str">
        <f t="shared" si="23"/>
        <v/>
      </c>
      <c r="AX33" s="40" t="str">
        <f t="shared" si="24"/>
        <v/>
      </c>
      <c r="AY33" s="40">
        <f t="shared" si="25"/>
        <v>31.849999999999998</v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 t="shared" si="26"/>
        <v/>
      </c>
      <c r="BQ33" s="39" t="str">
        <f t="shared" si="27"/>
        <v/>
      </c>
      <c r="BR33" s="11" t="str">
        <f t="shared" si="28"/>
        <v/>
      </c>
      <c r="BS33" s="11" t="str">
        <f t="shared" si="29"/>
        <v/>
      </c>
      <c r="BT33" s="11" t="str">
        <f t="shared" si="30"/>
        <v/>
      </c>
      <c r="BU33" s="11" t="str">
        <f t="shared" si="31"/>
        <v/>
      </c>
      <c r="BV33" s="11" t="str">
        <f t="shared" si="32"/>
        <v/>
      </c>
      <c r="BW33" s="11" t="str">
        <f t="shared" si="33"/>
        <v/>
      </c>
      <c r="BX33" s="11" t="str">
        <f t="shared" si="34"/>
        <v/>
      </c>
      <c r="BY33" s="11" t="str">
        <f t="shared" si="35"/>
        <v/>
      </c>
      <c r="BZ33" s="11" t="str">
        <f t="shared" si="36"/>
        <v/>
      </c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7"/>
      <c r="CQ33" s="38" t="str">
        <f t="shared" si="37"/>
        <v/>
      </c>
      <c r="CR33" s="38" t="str">
        <f t="shared" si="38"/>
        <v/>
      </c>
      <c r="CS33" s="40" t="str">
        <f t="shared" si="39"/>
        <v/>
      </c>
      <c r="CT33" s="40" t="str">
        <f t="shared" si="40"/>
        <v/>
      </c>
      <c r="CU33" s="40" t="str">
        <f t="shared" si="41"/>
        <v/>
      </c>
      <c r="CV33" s="40" t="str">
        <f t="shared" si="42"/>
        <v/>
      </c>
      <c r="CW33" s="40" t="str">
        <f t="shared" si="43"/>
        <v/>
      </c>
      <c r="CX33" s="40" t="str">
        <f t="shared" si="44"/>
        <v/>
      </c>
      <c r="CY33" s="40" t="str">
        <f t="shared" si="45"/>
        <v/>
      </c>
      <c r="CZ33" s="40" t="str">
        <f t="shared" si="46"/>
        <v/>
      </c>
      <c r="DA33" s="40" t="str">
        <f t="shared" si="47"/>
        <v/>
      </c>
      <c r="DB33" s="50" t="str">
        <f t="shared" si="48"/>
        <v/>
      </c>
      <c r="DC33" s="50" t="str">
        <f t="shared" si="49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50"/>
        <v/>
      </c>
      <c r="DY33" s="40" t="str">
        <f t="shared" si="51"/>
        <v/>
      </c>
      <c r="DZ33" s="40" t="str">
        <f t="shared" si="52"/>
        <v/>
      </c>
      <c r="EA33" s="40" t="str">
        <f t="shared" si="53"/>
        <v/>
      </c>
      <c r="EB33" s="40" t="str">
        <f t="shared" si="54"/>
        <v/>
      </c>
      <c r="EC33" s="40" t="str">
        <f t="shared" si="55"/>
        <v/>
      </c>
      <c r="ED33" s="40" t="str">
        <f t="shared" si="56"/>
        <v/>
      </c>
      <c r="EE33" s="40" t="str">
        <f t="shared" si="57"/>
        <v/>
      </c>
      <c r="EF33" s="40" t="str">
        <f t="shared" si="58"/>
        <v/>
      </c>
      <c r="EG33" s="40" t="str">
        <f t="shared" si="59"/>
        <v/>
      </c>
      <c r="EH33" s="40" t="str">
        <f t="shared" si="60"/>
        <v/>
      </c>
      <c r="EI33" s="40" t="str">
        <f t="shared" si="61"/>
        <v/>
      </c>
      <c r="EJ33" s="40" t="str">
        <f t="shared" si="62"/>
        <v/>
      </c>
      <c r="EK33" s="40" t="str">
        <f t="shared" si="63"/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 t="shared" si="64"/>
        <v/>
      </c>
      <c r="FG33" s="11" t="str">
        <f t="shared" si="65"/>
        <v/>
      </c>
      <c r="FH33" s="11" t="str">
        <f t="shared" si="66"/>
        <v/>
      </c>
      <c r="FI33" s="11" t="str">
        <f t="shared" si="67"/>
        <v/>
      </c>
      <c r="FJ33" s="11" t="str">
        <f t="shared" si="68"/>
        <v/>
      </c>
      <c r="FK33" s="11" t="str">
        <f t="shared" si="69"/>
        <v/>
      </c>
      <c r="FL33" s="11" t="str">
        <f t="shared" si="70"/>
        <v/>
      </c>
      <c r="FM33" s="11" t="str">
        <f t="shared" si="71"/>
        <v/>
      </c>
      <c r="FN33" s="11" t="str">
        <f t="shared" si="72"/>
        <v/>
      </c>
      <c r="FO33" s="11" t="str">
        <f t="shared" si="73"/>
        <v/>
      </c>
      <c r="FP33" s="11" t="str">
        <f t="shared" si="74"/>
        <v/>
      </c>
      <c r="FQ33" s="11" t="str">
        <f t="shared" si="75"/>
        <v/>
      </c>
      <c r="FR33" s="11" t="str">
        <f t="shared" si="76"/>
        <v/>
      </c>
      <c r="FS33" s="11" t="str">
        <f t="shared" si="77"/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 t="shared" si="78"/>
        <v/>
      </c>
      <c r="GO33" s="40" t="str">
        <f t="shared" si="79"/>
        <v/>
      </c>
      <c r="GP33" s="40" t="str">
        <f t="shared" si="80"/>
        <v/>
      </c>
      <c r="GQ33" s="40" t="str">
        <f t="shared" si="81"/>
        <v/>
      </c>
      <c r="GR33" s="40" t="str">
        <f t="shared" si="82"/>
        <v/>
      </c>
      <c r="GS33" s="40" t="str">
        <f t="shared" si="83"/>
        <v/>
      </c>
      <c r="GT33" s="40" t="str">
        <f t="shared" si="84"/>
        <v/>
      </c>
      <c r="GU33" s="40" t="str">
        <f t="shared" si="85"/>
        <v/>
      </c>
      <c r="GV33" s="40" t="str">
        <f t="shared" si="86"/>
        <v/>
      </c>
      <c r="GW33" s="40" t="str">
        <f t="shared" si="87"/>
        <v/>
      </c>
      <c r="GX33" s="40" t="str">
        <f t="shared" si="88"/>
        <v/>
      </c>
      <c r="GY33" s="40" t="str">
        <f t="shared" si="89"/>
        <v/>
      </c>
      <c r="GZ33" s="40" t="str">
        <f t="shared" si="90"/>
        <v/>
      </c>
      <c r="HA33" s="40" t="str">
        <f t="shared" si="91"/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 t="shared" si="92"/>
        <v/>
      </c>
      <c r="HW33" s="11" t="str">
        <f t="shared" si="93"/>
        <v/>
      </c>
      <c r="HX33" s="11" t="str">
        <f t="shared" si="94"/>
        <v/>
      </c>
      <c r="HY33" s="11" t="str">
        <f t="shared" si="95"/>
        <v/>
      </c>
      <c r="HZ33" s="11" t="str">
        <f t="shared" si="96"/>
        <v/>
      </c>
      <c r="IA33" s="11" t="str">
        <f t="shared" si="97"/>
        <v/>
      </c>
      <c r="IB33" s="11" t="str">
        <f t="shared" si="98"/>
        <v/>
      </c>
      <c r="IC33" s="11" t="str">
        <f t="shared" si="99"/>
        <v/>
      </c>
      <c r="ID33" s="11" t="str">
        <f t="shared" si="100"/>
        <v/>
      </c>
      <c r="IE33" s="11" t="str">
        <f t="shared" si="101"/>
        <v/>
      </c>
      <c r="IF33" s="11" t="str">
        <f t="shared" si="102"/>
        <v/>
      </c>
      <c r="IG33" s="11" t="str">
        <f t="shared" si="103"/>
        <v/>
      </c>
      <c r="IH33" s="11" t="str">
        <f t="shared" si="104"/>
        <v/>
      </c>
      <c r="II33" s="11" t="str">
        <f t="shared" si="105"/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 t="shared" si="106"/>
        <v/>
      </c>
      <c r="JE33" s="40" t="str">
        <f t="shared" si="107"/>
        <v/>
      </c>
      <c r="JF33" s="40" t="str">
        <f t="shared" si="108"/>
        <v/>
      </c>
      <c r="JG33" s="40" t="str">
        <f t="shared" si="109"/>
        <v/>
      </c>
      <c r="JH33" s="40" t="str">
        <f t="shared" si="110"/>
        <v/>
      </c>
      <c r="JI33" s="40" t="str">
        <f t="shared" si="111"/>
        <v/>
      </c>
      <c r="JJ33" s="40" t="str">
        <f t="shared" si="112"/>
        <v/>
      </c>
      <c r="JK33" s="40" t="str">
        <f t="shared" si="113"/>
        <v/>
      </c>
      <c r="JL33" s="40" t="str">
        <f t="shared" si="114"/>
        <v/>
      </c>
      <c r="JM33" s="40" t="str">
        <f t="shared" si="115"/>
        <v/>
      </c>
      <c r="JN33" s="40" t="str">
        <f t="shared" si="116"/>
        <v/>
      </c>
      <c r="JO33" s="40" t="str">
        <f t="shared" si="117"/>
        <v/>
      </c>
      <c r="JP33" s="40" t="str">
        <f t="shared" si="118"/>
        <v/>
      </c>
      <c r="JQ33" s="40" t="str">
        <f t="shared" si="119"/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 t="shared" si="120"/>
        <v/>
      </c>
      <c r="KM33" s="11" t="str">
        <f t="shared" si="121"/>
        <v/>
      </c>
      <c r="KN33" s="11" t="str">
        <f t="shared" si="122"/>
        <v/>
      </c>
      <c r="KO33" s="11" t="str">
        <f t="shared" si="123"/>
        <v/>
      </c>
      <c r="KP33" s="11" t="str">
        <f t="shared" si="124"/>
        <v/>
      </c>
      <c r="KQ33" s="11" t="str">
        <f t="shared" si="125"/>
        <v/>
      </c>
      <c r="KR33" s="11" t="str">
        <f t="shared" si="126"/>
        <v/>
      </c>
      <c r="KS33" s="11" t="str">
        <f t="shared" si="127"/>
        <v/>
      </c>
      <c r="KT33" s="11" t="str">
        <f t="shared" si="128"/>
        <v/>
      </c>
      <c r="KU33" s="11" t="str">
        <f t="shared" si="129"/>
        <v/>
      </c>
      <c r="KV33" s="11" t="str">
        <f t="shared" si="130"/>
        <v/>
      </c>
      <c r="KW33" s="11" t="str">
        <f t="shared" si="131"/>
        <v/>
      </c>
      <c r="KX33" s="11" t="str">
        <f t="shared" si="132"/>
        <v/>
      </c>
      <c r="KY33" s="11" t="str">
        <f t="shared" si="133"/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 t="shared" si="134"/>
        <v/>
      </c>
      <c r="LU33" s="40" t="str">
        <f t="shared" si="135"/>
        <v/>
      </c>
      <c r="LV33" s="40" t="str">
        <f t="shared" si="136"/>
        <v/>
      </c>
      <c r="LW33" s="40" t="str">
        <f t="shared" si="137"/>
        <v/>
      </c>
      <c r="LX33" s="40" t="str">
        <f t="shared" si="138"/>
        <v/>
      </c>
      <c r="LY33" s="40" t="str">
        <f t="shared" si="139"/>
        <v/>
      </c>
      <c r="LZ33" s="40" t="str">
        <f t="shared" si="140"/>
        <v/>
      </c>
      <c r="MA33" s="40" t="str">
        <f t="shared" si="141"/>
        <v/>
      </c>
      <c r="MB33" s="40" t="str">
        <f t="shared" si="142"/>
        <v/>
      </c>
      <c r="MC33" s="40" t="str">
        <f t="shared" si="143"/>
        <v/>
      </c>
      <c r="MD33" s="40" t="str">
        <f t="shared" si="144"/>
        <v/>
      </c>
      <c r="ME33" s="40" t="str">
        <f t="shared" si="145"/>
        <v/>
      </c>
      <c r="MF33" s="40" t="str">
        <f t="shared" si="146"/>
        <v/>
      </c>
      <c r="MG33" s="40" t="str">
        <f t="shared" si="147"/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 t="shared" si="148"/>
        <v/>
      </c>
      <c r="NC33" s="11" t="str">
        <f t="shared" si="149"/>
        <v/>
      </c>
      <c r="ND33" s="11" t="str">
        <f t="shared" si="150"/>
        <v/>
      </c>
      <c r="NE33" s="11" t="str">
        <f t="shared" si="151"/>
        <v/>
      </c>
      <c r="NF33" s="11" t="str">
        <f t="shared" si="152"/>
        <v/>
      </c>
      <c r="NG33" s="11" t="str">
        <f t="shared" si="153"/>
        <v/>
      </c>
      <c r="NH33" s="11" t="str">
        <f t="shared" si="154"/>
        <v/>
      </c>
      <c r="NI33" s="11" t="str">
        <f t="shared" si="155"/>
        <v/>
      </c>
      <c r="NJ33" s="11" t="str">
        <f t="shared" si="156"/>
        <v/>
      </c>
      <c r="NK33" s="11" t="str">
        <f t="shared" si="157"/>
        <v/>
      </c>
      <c r="NL33" s="11" t="str">
        <f t="shared" si="158"/>
        <v/>
      </c>
      <c r="NM33" s="11" t="str">
        <f t="shared" si="159"/>
        <v/>
      </c>
      <c r="NN33" s="11" t="str">
        <f t="shared" si="160"/>
        <v/>
      </c>
      <c r="NO33" s="11" t="str">
        <f t="shared" si="161"/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 t="shared" si="162"/>
        <v/>
      </c>
      <c r="OK33" s="40" t="str">
        <f t="shared" si="163"/>
        <v/>
      </c>
      <c r="OL33" s="40" t="str">
        <f t="shared" si="164"/>
        <v/>
      </c>
      <c r="OM33" s="40" t="str">
        <f t="shared" si="165"/>
        <v/>
      </c>
      <c r="ON33" s="40" t="str">
        <f t="shared" si="166"/>
        <v/>
      </c>
      <c r="OO33" s="40" t="str">
        <f t="shared" si="167"/>
        <v/>
      </c>
      <c r="OP33" s="40" t="str">
        <f t="shared" si="168"/>
        <v/>
      </c>
      <c r="OQ33" s="40" t="str">
        <f t="shared" si="169"/>
        <v/>
      </c>
      <c r="OR33" s="40" t="str">
        <f t="shared" si="170"/>
        <v/>
      </c>
      <c r="OS33" s="40" t="str">
        <f t="shared" si="171"/>
        <v/>
      </c>
      <c r="OT33" s="40" t="str">
        <f t="shared" si="172"/>
        <v/>
      </c>
      <c r="OU33" s="40" t="str">
        <f t="shared" si="173"/>
        <v/>
      </c>
      <c r="OV33" s="40" t="str">
        <f t="shared" si="174"/>
        <v/>
      </c>
      <c r="OW33" s="40" t="str">
        <f t="shared" si="175"/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 t="shared" si="176"/>
        <v/>
      </c>
      <c r="PS33" s="11" t="str">
        <f t="shared" si="177"/>
        <v/>
      </c>
      <c r="PT33" s="11" t="str">
        <f t="shared" si="178"/>
        <v/>
      </c>
      <c r="PU33" s="11" t="str">
        <f t="shared" si="179"/>
        <v/>
      </c>
      <c r="PV33" s="11" t="str">
        <f t="shared" si="180"/>
        <v/>
      </c>
      <c r="PW33" s="11" t="str">
        <f t="shared" si="181"/>
        <v/>
      </c>
      <c r="PX33" s="11" t="str">
        <f t="shared" si="182"/>
        <v/>
      </c>
      <c r="PY33" s="11" t="str">
        <f t="shared" si="183"/>
        <v/>
      </c>
      <c r="PZ33" s="11" t="str">
        <f t="shared" si="184"/>
        <v/>
      </c>
      <c r="QA33" s="11" t="str">
        <f t="shared" si="185"/>
        <v/>
      </c>
      <c r="QB33" s="11" t="str">
        <f t="shared" si="186"/>
        <v/>
      </c>
      <c r="QC33" s="11" t="str">
        <f t="shared" si="187"/>
        <v/>
      </c>
      <c r="QD33" s="11" t="str">
        <f t="shared" si="188"/>
        <v/>
      </c>
      <c r="QE33" s="11" t="str">
        <f t="shared" si="189"/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 t="shared" si="190"/>
        <v/>
      </c>
      <c r="RA33" s="40" t="str">
        <f t="shared" si="191"/>
        <v/>
      </c>
      <c r="RB33" s="40" t="str">
        <f t="shared" si="192"/>
        <v/>
      </c>
      <c r="RC33" s="40" t="str">
        <f t="shared" si="193"/>
        <v/>
      </c>
      <c r="RD33" s="40" t="str">
        <f t="shared" si="194"/>
        <v/>
      </c>
      <c r="RE33" s="40" t="str">
        <f t="shared" si="195"/>
        <v/>
      </c>
      <c r="RF33" s="40" t="str">
        <f t="shared" si="196"/>
        <v/>
      </c>
      <c r="RG33" s="40" t="str">
        <f t="shared" si="197"/>
        <v/>
      </c>
      <c r="RH33" s="40" t="str">
        <f t="shared" si="198"/>
        <v/>
      </c>
      <c r="RI33" s="40" t="str">
        <f t="shared" si="199"/>
        <v/>
      </c>
      <c r="RJ33" s="40" t="str">
        <f t="shared" si="200"/>
        <v/>
      </c>
      <c r="RK33" s="40" t="str">
        <f t="shared" si="201"/>
        <v/>
      </c>
      <c r="RL33" s="40" t="str">
        <f t="shared" si="202"/>
        <v/>
      </c>
      <c r="RM33" s="40" t="str">
        <f t="shared" si="203"/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 t="shared" si="204"/>
        <v/>
      </c>
      <c r="SI33" s="11" t="str">
        <f t="shared" si="205"/>
        <v/>
      </c>
      <c r="SJ33" s="11" t="str">
        <f t="shared" si="206"/>
        <v/>
      </c>
      <c r="SK33" s="11" t="str">
        <f t="shared" si="207"/>
        <v/>
      </c>
      <c r="SL33" s="11" t="str">
        <f t="shared" si="208"/>
        <v/>
      </c>
      <c r="SM33" s="11" t="str">
        <f t="shared" si="209"/>
        <v/>
      </c>
      <c r="SN33" s="11" t="str">
        <f t="shared" si="210"/>
        <v/>
      </c>
      <c r="SO33" s="11" t="str">
        <f t="shared" si="211"/>
        <v/>
      </c>
      <c r="SP33" s="11" t="str">
        <f t="shared" si="212"/>
        <v/>
      </c>
      <c r="SQ33" s="11" t="str">
        <f t="shared" si="213"/>
        <v/>
      </c>
      <c r="SR33" s="11" t="str">
        <f t="shared" si="214"/>
        <v/>
      </c>
      <c r="SS33" s="11" t="str">
        <f t="shared" si="215"/>
        <v/>
      </c>
      <c r="ST33" s="11" t="str">
        <f t="shared" si="216"/>
        <v/>
      </c>
      <c r="SU33" s="11" t="str">
        <f t="shared" si="217"/>
        <v/>
      </c>
      <c r="SV33" s="22">
        <f t="shared" si="218"/>
        <v>0</v>
      </c>
      <c r="SW33" s="22">
        <f t="shared" si="219"/>
        <v>0</v>
      </c>
      <c r="SX33" s="22">
        <f t="shared" si="220"/>
        <v>0</v>
      </c>
      <c r="SY33" s="22">
        <f t="shared" si="221"/>
        <v>0</v>
      </c>
      <c r="SZ33" s="22">
        <f t="shared" si="222"/>
        <v>0</v>
      </c>
      <c r="TA33" s="22">
        <f t="shared" si="223"/>
        <v>0</v>
      </c>
      <c r="TB33" s="22">
        <f t="shared" si="224"/>
        <v>0</v>
      </c>
      <c r="TC33" s="22">
        <f t="shared" si="225"/>
        <v>0</v>
      </c>
      <c r="TD33" s="22">
        <f t="shared" si="226"/>
        <v>0</v>
      </c>
      <c r="TE33" s="22">
        <f t="shared" si="227"/>
        <v>0</v>
      </c>
      <c r="TF33" s="22">
        <f t="shared" si="228"/>
        <v>0</v>
      </c>
      <c r="TG33" s="22">
        <f t="shared" si="229"/>
        <v>0</v>
      </c>
      <c r="TH33" s="22">
        <f t="shared" si="230"/>
        <v>0</v>
      </c>
      <c r="TI33" s="22">
        <f t="shared" si="231"/>
        <v>0</v>
      </c>
      <c r="TJ33" s="22">
        <f t="shared" si="232"/>
        <v>0</v>
      </c>
      <c r="TK33" s="27" t="s">
        <v>46</v>
      </c>
      <c r="TL33" s="40" t="str">
        <f t="shared" si="233"/>
        <v/>
      </c>
      <c r="TM33" s="40" t="str">
        <f t="shared" si="234"/>
        <v/>
      </c>
      <c r="TN33" s="40" t="str">
        <f t="shared" si="235"/>
        <v/>
      </c>
      <c r="TO33" s="40" t="str">
        <f t="shared" si="236"/>
        <v/>
      </c>
      <c r="TP33" s="40" t="str">
        <f t="shared" si="237"/>
        <v/>
      </c>
      <c r="TQ33" s="40" t="str">
        <f t="shared" si="238"/>
        <v/>
      </c>
      <c r="TR33" s="40" t="str">
        <f t="shared" si="239"/>
        <v/>
      </c>
      <c r="TS33" s="40" t="str">
        <f t="shared" si="240"/>
        <v/>
      </c>
      <c r="TT33" s="40" t="str">
        <f t="shared" si="241"/>
        <v/>
      </c>
      <c r="TU33" s="40" t="str">
        <f t="shared" si="242"/>
        <v/>
      </c>
      <c r="TV33" s="40" t="str">
        <f t="shared" si="243"/>
        <v/>
      </c>
    </row>
    <row r="34" spans="1:544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101</v>
      </c>
      <c r="D34" s="4" t="s">
        <v>4</v>
      </c>
      <c r="E34" s="4">
        <v>2004</v>
      </c>
      <c r="F34" s="9">
        <f t="shared" si="0"/>
        <v>53.700005370004114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IF(COUNT(AQ34,AT34,BR34,BU34,CS34,CV34)&gt;0,LARGE((AQ34,AT34,BR34,BU34,CS34,CV34),1),0)</f>
        <v>41.22</v>
      </c>
      <c r="M34" s="8" t="str">
        <f t="shared" si="5"/>
        <v>2024 Nationals</v>
      </c>
      <c r="N34" s="8">
        <f>IF(COUNT(AQ34,AT34,BR34,BU34,CS34,CV34)&gt;1,LARGE((AQ34,AT34,BR34,BU34,CS34,CV34),2),0)</f>
        <v>5.18</v>
      </c>
      <c r="O34" s="8" t="str">
        <f t="shared" si="6"/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 t="shared" si="7"/>
        <v/>
      </c>
      <c r="R34" s="8">
        <f t="shared" si="8"/>
        <v>7.3</v>
      </c>
      <c r="S34" s="8" t="str">
        <f t="shared" si="9"/>
        <v>2024 Nationals</v>
      </c>
      <c r="T34" s="8">
        <f t="shared" si="10"/>
        <v>0</v>
      </c>
      <c r="U34" s="8" t="str">
        <f t="shared" si="11"/>
        <v/>
      </c>
      <c r="V34" s="8" t="str">
        <f t="shared" si="12"/>
        <v/>
      </c>
      <c r="W34" s="11" t="str">
        <f t="shared" si="13"/>
        <v/>
      </c>
      <c r="X34" s="8" t="str">
        <f t="shared" si="14"/>
        <v/>
      </c>
      <c r="Y34" s="22">
        <v>13.7</v>
      </c>
      <c r="Z34" s="22">
        <v>8.8000000000000007</v>
      </c>
      <c r="AA34" s="22">
        <v>7.3</v>
      </c>
      <c r="AB34" s="22">
        <v>12.92</v>
      </c>
      <c r="AC34" s="22">
        <v>1.5</v>
      </c>
      <c r="AD34" s="22">
        <v>1.4</v>
      </c>
      <c r="AE34" s="22">
        <v>0.9</v>
      </c>
      <c r="AF34" s="22">
        <v>1.5</v>
      </c>
      <c r="AG34" s="22">
        <v>1.38</v>
      </c>
      <c r="AH34" s="22">
        <v>0</v>
      </c>
      <c r="AI34" s="22"/>
      <c r="AJ34" s="22"/>
      <c r="AK34" s="22"/>
      <c r="AL34" s="22"/>
      <c r="AM34" s="22"/>
      <c r="AN34" s="27"/>
      <c r="AO34" s="38">
        <f t="shared" si="15"/>
        <v>7.3</v>
      </c>
      <c r="AP34" s="38">
        <f t="shared" si="16"/>
        <v>12.92</v>
      </c>
      <c r="AQ34" s="40">
        <f t="shared" si="17"/>
        <v>41.22</v>
      </c>
      <c r="AR34" s="40">
        <f t="shared" si="18"/>
        <v>1.5</v>
      </c>
      <c r="AS34" s="40">
        <f t="shared" si="19"/>
        <v>1.38</v>
      </c>
      <c r="AT34" s="40">
        <f t="shared" si="20"/>
        <v>5.18</v>
      </c>
      <c r="AU34" s="40">
        <f t="shared" si="21"/>
        <v>41.22</v>
      </c>
      <c r="AV34" s="40" t="str">
        <f t="shared" si="22"/>
        <v/>
      </c>
      <c r="AW34" s="40" t="str">
        <f t="shared" si="23"/>
        <v/>
      </c>
      <c r="AX34" s="40" t="str">
        <f t="shared" si="24"/>
        <v/>
      </c>
      <c r="AY34" s="40">
        <f t="shared" si="25"/>
        <v>41.22</v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 t="shared" si="26"/>
        <v/>
      </c>
      <c r="BQ34" s="39" t="str">
        <f t="shared" si="27"/>
        <v/>
      </c>
      <c r="BR34" s="11" t="str">
        <f t="shared" si="28"/>
        <v/>
      </c>
      <c r="BS34" s="11" t="str">
        <f t="shared" si="29"/>
        <v/>
      </c>
      <c r="BT34" s="11" t="str">
        <f t="shared" si="30"/>
        <v/>
      </c>
      <c r="BU34" s="11" t="str">
        <f t="shared" si="31"/>
        <v/>
      </c>
      <c r="BV34" s="11" t="str">
        <f t="shared" si="32"/>
        <v/>
      </c>
      <c r="BW34" s="11" t="str">
        <f t="shared" si="33"/>
        <v/>
      </c>
      <c r="BX34" s="11" t="str">
        <f t="shared" si="34"/>
        <v/>
      </c>
      <c r="BY34" s="11" t="str">
        <f t="shared" si="35"/>
        <v/>
      </c>
      <c r="BZ34" s="11" t="str">
        <f t="shared" si="36"/>
        <v/>
      </c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7"/>
      <c r="CQ34" s="38" t="str">
        <f t="shared" si="37"/>
        <v/>
      </c>
      <c r="CR34" s="38" t="str">
        <f t="shared" si="38"/>
        <v/>
      </c>
      <c r="CS34" s="40" t="str">
        <f t="shared" si="39"/>
        <v/>
      </c>
      <c r="CT34" s="40" t="str">
        <f t="shared" si="40"/>
        <v/>
      </c>
      <c r="CU34" s="40" t="str">
        <f t="shared" si="41"/>
        <v/>
      </c>
      <c r="CV34" s="40" t="str">
        <f t="shared" si="42"/>
        <v/>
      </c>
      <c r="CW34" s="40" t="str">
        <f t="shared" si="43"/>
        <v/>
      </c>
      <c r="CX34" s="40" t="str">
        <f t="shared" si="44"/>
        <v/>
      </c>
      <c r="CY34" s="40" t="str">
        <f t="shared" si="45"/>
        <v/>
      </c>
      <c r="CZ34" s="40" t="str">
        <f t="shared" si="46"/>
        <v/>
      </c>
      <c r="DA34" s="40" t="str">
        <f t="shared" si="47"/>
        <v/>
      </c>
      <c r="DB34" s="50" t="str">
        <f t="shared" si="48"/>
        <v/>
      </c>
      <c r="DC34" s="50" t="str">
        <f t="shared" si="49"/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 t="shared" si="50"/>
        <v/>
      </c>
      <c r="DY34" s="40" t="str">
        <f t="shared" si="51"/>
        <v/>
      </c>
      <c r="DZ34" s="40" t="str">
        <f t="shared" si="52"/>
        <v/>
      </c>
      <c r="EA34" s="40" t="str">
        <f t="shared" si="53"/>
        <v/>
      </c>
      <c r="EB34" s="40" t="str">
        <f t="shared" si="54"/>
        <v/>
      </c>
      <c r="EC34" s="40" t="str">
        <f t="shared" si="55"/>
        <v/>
      </c>
      <c r="ED34" s="40" t="str">
        <f t="shared" si="56"/>
        <v/>
      </c>
      <c r="EE34" s="40" t="str">
        <f t="shared" si="57"/>
        <v/>
      </c>
      <c r="EF34" s="40" t="str">
        <f t="shared" si="58"/>
        <v/>
      </c>
      <c r="EG34" s="40" t="str">
        <f t="shared" si="59"/>
        <v/>
      </c>
      <c r="EH34" s="40" t="str">
        <f t="shared" si="60"/>
        <v/>
      </c>
      <c r="EI34" s="40" t="str">
        <f t="shared" si="61"/>
        <v/>
      </c>
      <c r="EJ34" s="40" t="str">
        <f t="shared" si="62"/>
        <v/>
      </c>
      <c r="EK34" s="40" t="str">
        <f t="shared" si="63"/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 t="shared" si="64"/>
        <v/>
      </c>
      <c r="FG34" s="11" t="str">
        <f t="shared" si="65"/>
        <v/>
      </c>
      <c r="FH34" s="11" t="str">
        <f t="shared" si="66"/>
        <v/>
      </c>
      <c r="FI34" s="11" t="str">
        <f t="shared" si="67"/>
        <v/>
      </c>
      <c r="FJ34" s="11" t="str">
        <f t="shared" si="68"/>
        <v/>
      </c>
      <c r="FK34" s="11" t="str">
        <f t="shared" si="69"/>
        <v/>
      </c>
      <c r="FL34" s="11" t="str">
        <f t="shared" si="70"/>
        <v/>
      </c>
      <c r="FM34" s="11" t="str">
        <f t="shared" si="71"/>
        <v/>
      </c>
      <c r="FN34" s="11" t="str">
        <f t="shared" si="72"/>
        <v/>
      </c>
      <c r="FO34" s="11" t="str">
        <f t="shared" si="73"/>
        <v/>
      </c>
      <c r="FP34" s="11" t="str">
        <f t="shared" si="74"/>
        <v/>
      </c>
      <c r="FQ34" s="11" t="str">
        <f t="shared" si="75"/>
        <v/>
      </c>
      <c r="FR34" s="11" t="str">
        <f t="shared" si="76"/>
        <v/>
      </c>
      <c r="FS34" s="11" t="str">
        <f t="shared" si="77"/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 t="shared" si="78"/>
        <v/>
      </c>
      <c r="GO34" s="40" t="str">
        <f t="shared" si="79"/>
        <v/>
      </c>
      <c r="GP34" s="40" t="str">
        <f t="shared" si="80"/>
        <v/>
      </c>
      <c r="GQ34" s="40" t="str">
        <f t="shared" si="81"/>
        <v/>
      </c>
      <c r="GR34" s="40" t="str">
        <f t="shared" si="82"/>
        <v/>
      </c>
      <c r="GS34" s="40" t="str">
        <f t="shared" si="83"/>
        <v/>
      </c>
      <c r="GT34" s="40" t="str">
        <f t="shared" si="84"/>
        <v/>
      </c>
      <c r="GU34" s="40" t="str">
        <f t="shared" si="85"/>
        <v/>
      </c>
      <c r="GV34" s="40" t="str">
        <f t="shared" si="86"/>
        <v/>
      </c>
      <c r="GW34" s="40" t="str">
        <f t="shared" si="87"/>
        <v/>
      </c>
      <c r="GX34" s="40" t="str">
        <f t="shared" si="88"/>
        <v/>
      </c>
      <c r="GY34" s="40" t="str">
        <f t="shared" si="89"/>
        <v/>
      </c>
      <c r="GZ34" s="40" t="str">
        <f t="shared" si="90"/>
        <v/>
      </c>
      <c r="HA34" s="40" t="str">
        <f t="shared" si="91"/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 t="shared" si="92"/>
        <v/>
      </c>
      <c r="HW34" s="11" t="str">
        <f t="shared" si="93"/>
        <v/>
      </c>
      <c r="HX34" s="11" t="str">
        <f t="shared" si="94"/>
        <v/>
      </c>
      <c r="HY34" s="11" t="str">
        <f t="shared" si="95"/>
        <v/>
      </c>
      <c r="HZ34" s="11" t="str">
        <f t="shared" si="96"/>
        <v/>
      </c>
      <c r="IA34" s="11" t="str">
        <f t="shared" si="97"/>
        <v/>
      </c>
      <c r="IB34" s="11" t="str">
        <f t="shared" si="98"/>
        <v/>
      </c>
      <c r="IC34" s="11" t="str">
        <f t="shared" si="99"/>
        <v/>
      </c>
      <c r="ID34" s="11" t="str">
        <f t="shared" si="100"/>
        <v/>
      </c>
      <c r="IE34" s="11" t="str">
        <f t="shared" si="101"/>
        <v/>
      </c>
      <c r="IF34" s="11" t="str">
        <f t="shared" si="102"/>
        <v/>
      </c>
      <c r="IG34" s="11" t="str">
        <f t="shared" si="103"/>
        <v/>
      </c>
      <c r="IH34" s="11" t="str">
        <f t="shared" si="104"/>
        <v/>
      </c>
      <c r="II34" s="11" t="str">
        <f t="shared" si="105"/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 t="shared" si="106"/>
        <v/>
      </c>
      <c r="JE34" s="40" t="str">
        <f t="shared" si="107"/>
        <v/>
      </c>
      <c r="JF34" s="40" t="str">
        <f t="shared" si="108"/>
        <v/>
      </c>
      <c r="JG34" s="40" t="str">
        <f t="shared" si="109"/>
        <v/>
      </c>
      <c r="JH34" s="40" t="str">
        <f t="shared" si="110"/>
        <v/>
      </c>
      <c r="JI34" s="40" t="str">
        <f t="shared" si="111"/>
        <v/>
      </c>
      <c r="JJ34" s="40" t="str">
        <f t="shared" si="112"/>
        <v/>
      </c>
      <c r="JK34" s="40" t="str">
        <f t="shared" si="113"/>
        <v/>
      </c>
      <c r="JL34" s="40" t="str">
        <f t="shared" si="114"/>
        <v/>
      </c>
      <c r="JM34" s="40" t="str">
        <f t="shared" si="115"/>
        <v/>
      </c>
      <c r="JN34" s="40" t="str">
        <f t="shared" si="116"/>
        <v/>
      </c>
      <c r="JO34" s="40" t="str">
        <f t="shared" si="117"/>
        <v/>
      </c>
      <c r="JP34" s="40" t="str">
        <f t="shared" si="118"/>
        <v/>
      </c>
      <c r="JQ34" s="40" t="str">
        <f t="shared" si="119"/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 t="shared" si="120"/>
        <v/>
      </c>
      <c r="KM34" s="11" t="str">
        <f t="shared" si="121"/>
        <v/>
      </c>
      <c r="KN34" s="11" t="str">
        <f t="shared" si="122"/>
        <v/>
      </c>
      <c r="KO34" s="11" t="str">
        <f t="shared" si="123"/>
        <v/>
      </c>
      <c r="KP34" s="11" t="str">
        <f t="shared" si="124"/>
        <v/>
      </c>
      <c r="KQ34" s="11" t="str">
        <f t="shared" si="125"/>
        <v/>
      </c>
      <c r="KR34" s="11" t="str">
        <f t="shared" si="126"/>
        <v/>
      </c>
      <c r="KS34" s="11" t="str">
        <f t="shared" si="127"/>
        <v/>
      </c>
      <c r="KT34" s="11" t="str">
        <f t="shared" si="128"/>
        <v/>
      </c>
      <c r="KU34" s="11" t="str">
        <f t="shared" si="129"/>
        <v/>
      </c>
      <c r="KV34" s="11" t="str">
        <f t="shared" si="130"/>
        <v/>
      </c>
      <c r="KW34" s="11" t="str">
        <f t="shared" si="131"/>
        <v/>
      </c>
      <c r="KX34" s="11" t="str">
        <f t="shared" si="132"/>
        <v/>
      </c>
      <c r="KY34" s="11" t="str">
        <f t="shared" si="133"/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 t="shared" si="134"/>
        <v/>
      </c>
      <c r="LU34" s="40" t="str">
        <f t="shared" si="135"/>
        <v/>
      </c>
      <c r="LV34" s="40" t="str">
        <f t="shared" si="136"/>
        <v/>
      </c>
      <c r="LW34" s="40" t="str">
        <f t="shared" si="137"/>
        <v/>
      </c>
      <c r="LX34" s="40" t="str">
        <f t="shared" si="138"/>
        <v/>
      </c>
      <c r="LY34" s="40" t="str">
        <f t="shared" si="139"/>
        <v/>
      </c>
      <c r="LZ34" s="40" t="str">
        <f t="shared" si="140"/>
        <v/>
      </c>
      <c r="MA34" s="40" t="str">
        <f t="shared" si="141"/>
        <v/>
      </c>
      <c r="MB34" s="40" t="str">
        <f t="shared" si="142"/>
        <v/>
      </c>
      <c r="MC34" s="40" t="str">
        <f t="shared" si="143"/>
        <v/>
      </c>
      <c r="MD34" s="40" t="str">
        <f t="shared" si="144"/>
        <v/>
      </c>
      <c r="ME34" s="40" t="str">
        <f t="shared" si="145"/>
        <v/>
      </c>
      <c r="MF34" s="40" t="str">
        <f t="shared" si="146"/>
        <v/>
      </c>
      <c r="MG34" s="40" t="str">
        <f t="shared" si="147"/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 t="shared" si="148"/>
        <v/>
      </c>
      <c r="NC34" s="11" t="str">
        <f t="shared" si="149"/>
        <v/>
      </c>
      <c r="ND34" s="11" t="str">
        <f t="shared" si="150"/>
        <v/>
      </c>
      <c r="NE34" s="11" t="str">
        <f t="shared" si="151"/>
        <v/>
      </c>
      <c r="NF34" s="11" t="str">
        <f t="shared" si="152"/>
        <v/>
      </c>
      <c r="NG34" s="11" t="str">
        <f t="shared" si="153"/>
        <v/>
      </c>
      <c r="NH34" s="11" t="str">
        <f t="shared" si="154"/>
        <v/>
      </c>
      <c r="NI34" s="11" t="str">
        <f t="shared" si="155"/>
        <v/>
      </c>
      <c r="NJ34" s="11" t="str">
        <f t="shared" si="156"/>
        <v/>
      </c>
      <c r="NK34" s="11" t="str">
        <f t="shared" si="157"/>
        <v/>
      </c>
      <c r="NL34" s="11" t="str">
        <f t="shared" si="158"/>
        <v/>
      </c>
      <c r="NM34" s="11" t="str">
        <f t="shared" si="159"/>
        <v/>
      </c>
      <c r="NN34" s="11" t="str">
        <f t="shared" si="160"/>
        <v/>
      </c>
      <c r="NO34" s="11" t="str">
        <f t="shared" si="161"/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 t="shared" si="162"/>
        <v/>
      </c>
      <c r="OK34" s="40" t="str">
        <f t="shared" si="163"/>
        <v/>
      </c>
      <c r="OL34" s="40" t="str">
        <f t="shared" si="164"/>
        <v/>
      </c>
      <c r="OM34" s="40" t="str">
        <f t="shared" si="165"/>
        <v/>
      </c>
      <c r="ON34" s="40" t="str">
        <f t="shared" si="166"/>
        <v/>
      </c>
      <c r="OO34" s="40" t="str">
        <f t="shared" si="167"/>
        <v/>
      </c>
      <c r="OP34" s="40" t="str">
        <f t="shared" si="168"/>
        <v/>
      </c>
      <c r="OQ34" s="40" t="str">
        <f t="shared" si="169"/>
        <v/>
      </c>
      <c r="OR34" s="40" t="str">
        <f t="shared" si="170"/>
        <v/>
      </c>
      <c r="OS34" s="40" t="str">
        <f t="shared" si="171"/>
        <v/>
      </c>
      <c r="OT34" s="40" t="str">
        <f t="shared" si="172"/>
        <v/>
      </c>
      <c r="OU34" s="40" t="str">
        <f t="shared" si="173"/>
        <v/>
      </c>
      <c r="OV34" s="40" t="str">
        <f t="shared" si="174"/>
        <v/>
      </c>
      <c r="OW34" s="40" t="str">
        <f t="shared" si="175"/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 t="shared" si="176"/>
        <v/>
      </c>
      <c r="PS34" s="11" t="str">
        <f t="shared" si="177"/>
        <v/>
      </c>
      <c r="PT34" s="11" t="str">
        <f t="shared" si="178"/>
        <v/>
      </c>
      <c r="PU34" s="11" t="str">
        <f t="shared" si="179"/>
        <v/>
      </c>
      <c r="PV34" s="11" t="str">
        <f t="shared" si="180"/>
        <v/>
      </c>
      <c r="PW34" s="11" t="str">
        <f t="shared" si="181"/>
        <v/>
      </c>
      <c r="PX34" s="11" t="str">
        <f t="shared" si="182"/>
        <v/>
      </c>
      <c r="PY34" s="11" t="str">
        <f t="shared" si="183"/>
        <v/>
      </c>
      <c r="PZ34" s="11" t="str">
        <f t="shared" si="184"/>
        <v/>
      </c>
      <c r="QA34" s="11" t="str">
        <f t="shared" si="185"/>
        <v/>
      </c>
      <c r="QB34" s="11" t="str">
        <f t="shared" si="186"/>
        <v/>
      </c>
      <c r="QC34" s="11" t="str">
        <f t="shared" si="187"/>
        <v/>
      </c>
      <c r="QD34" s="11" t="str">
        <f t="shared" si="188"/>
        <v/>
      </c>
      <c r="QE34" s="11" t="str">
        <f t="shared" si="189"/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 t="shared" si="190"/>
        <v/>
      </c>
      <c r="RA34" s="40" t="str">
        <f t="shared" si="191"/>
        <v/>
      </c>
      <c r="RB34" s="40" t="str">
        <f t="shared" si="192"/>
        <v/>
      </c>
      <c r="RC34" s="40" t="str">
        <f t="shared" si="193"/>
        <v/>
      </c>
      <c r="RD34" s="40" t="str">
        <f t="shared" si="194"/>
        <v/>
      </c>
      <c r="RE34" s="40" t="str">
        <f t="shared" si="195"/>
        <v/>
      </c>
      <c r="RF34" s="40" t="str">
        <f t="shared" si="196"/>
        <v/>
      </c>
      <c r="RG34" s="40" t="str">
        <f t="shared" si="197"/>
        <v/>
      </c>
      <c r="RH34" s="40" t="str">
        <f t="shared" si="198"/>
        <v/>
      </c>
      <c r="RI34" s="40" t="str">
        <f t="shared" si="199"/>
        <v/>
      </c>
      <c r="RJ34" s="40" t="str">
        <f t="shared" si="200"/>
        <v/>
      </c>
      <c r="RK34" s="40" t="str">
        <f t="shared" si="201"/>
        <v/>
      </c>
      <c r="RL34" s="40" t="str">
        <f t="shared" si="202"/>
        <v/>
      </c>
      <c r="RM34" s="40" t="str">
        <f t="shared" si="203"/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 t="shared" si="204"/>
        <v/>
      </c>
      <c r="SI34" s="11" t="str">
        <f t="shared" si="205"/>
        <v/>
      </c>
      <c r="SJ34" s="11" t="str">
        <f t="shared" si="206"/>
        <v/>
      </c>
      <c r="SK34" s="11" t="str">
        <f t="shared" si="207"/>
        <v/>
      </c>
      <c r="SL34" s="11" t="str">
        <f t="shared" si="208"/>
        <v/>
      </c>
      <c r="SM34" s="11" t="str">
        <f t="shared" si="209"/>
        <v/>
      </c>
      <c r="SN34" s="11" t="str">
        <f t="shared" si="210"/>
        <v/>
      </c>
      <c r="SO34" s="11" t="str">
        <f t="shared" si="211"/>
        <v/>
      </c>
      <c r="SP34" s="11" t="str">
        <f t="shared" si="212"/>
        <v/>
      </c>
      <c r="SQ34" s="11" t="str">
        <f t="shared" si="213"/>
        <v/>
      </c>
      <c r="SR34" s="11" t="str">
        <f t="shared" si="214"/>
        <v/>
      </c>
      <c r="SS34" s="11" t="str">
        <f t="shared" si="215"/>
        <v/>
      </c>
      <c r="ST34" s="11" t="str">
        <f t="shared" si="216"/>
        <v/>
      </c>
      <c r="SU34" s="11" t="str">
        <f t="shared" si="217"/>
        <v/>
      </c>
      <c r="SV34" s="22">
        <f t="shared" si="218"/>
        <v>0</v>
      </c>
      <c r="SW34" s="22">
        <f t="shared" si="219"/>
        <v>0</v>
      </c>
      <c r="SX34" s="22">
        <f t="shared" si="220"/>
        <v>0</v>
      </c>
      <c r="SY34" s="22">
        <f t="shared" si="221"/>
        <v>0</v>
      </c>
      <c r="SZ34" s="22">
        <f t="shared" si="222"/>
        <v>0</v>
      </c>
      <c r="TA34" s="22">
        <f t="shared" si="223"/>
        <v>0</v>
      </c>
      <c r="TB34" s="22">
        <f t="shared" si="224"/>
        <v>0</v>
      </c>
      <c r="TC34" s="22">
        <f t="shared" si="225"/>
        <v>0</v>
      </c>
      <c r="TD34" s="22">
        <f t="shared" si="226"/>
        <v>0</v>
      </c>
      <c r="TE34" s="22">
        <f t="shared" si="227"/>
        <v>0</v>
      </c>
      <c r="TF34" s="22">
        <f t="shared" si="228"/>
        <v>0</v>
      </c>
      <c r="TG34" s="22">
        <f t="shared" si="229"/>
        <v>0</v>
      </c>
      <c r="TH34" s="22">
        <f t="shared" si="230"/>
        <v>0</v>
      </c>
      <c r="TI34" s="22">
        <f t="shared" si="231"/>
        <v>0</v>
      </c>
      <c r="TJ34" s="22">
        <f t="shared" si="232"/>
        <v>0</v>
      </c>
      <c r="TK34" s="27" t="s">
        <v>46</v>
      </c>
      <c r="TL34" s="40" t="str">
        <f t="shared" si="233"/>
        <v/>
      </c>
      <c r="TM34" s="40" t="str">
        <f t="shared" si="234"/>
        <v/>
      </c>
      <c r="TN34" s="40" t="str">
        <f t="shared" si="235"/>
        <v/>
      </c>
      <c r="TO34" s="40" t="str">
        <f t="shared" si="236"/>
        <v/>
      </c>
      <c r="TP34" s="40" t="str">
        <f t="shared" si="237"/>
        <v/>
      </c>
      <c r="TQ34" s="40" t="str">
        <f t="shared" si="238"/>
        <v/>
      </c>
      <c r="TR34" s="40" t="str">
        <f t="shared" si="239"/>
        <v/>
      </c>
      <c r="TS34" s="40" t="str">
        <f t="shared" si="240"/>
        <v/>
      </c>
      <c r="TT34" s="40" t="str">
        <f t="shared" si="241"/>
        <v/>
      </c>
      <c r="TU34" s="40" t="str">
        <f t="shared" si="242"/>
        <v/>
      </c>
      <c r="TV34" s="40" t="str">
        <f t="shared" si="243"/>
        <v/>
      </c>
    </row>
    <row r="35" spans="1:544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141</v>
      </c>
      <c r="D35" s="4" t="s">
        <v>3</v>
      </c>
      <c r="E35" s="4">
        <v>2004</v>
      </c>
      <c r="F35" s="9">
        <f t="shared" si="0"/>
        <v>52.12000521200401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IF(COUNT(AQ35,AT35,BR35,BU35,CS35,CV35)&gt;0,LARGE((AQ35,AT35,BR35,BU35,CS35,CV35),1),0)</f>
        <v>40.18</v>
      </c>
      <c r="M35" s="8" t="str">
        <f t="shared" si="5"/>
        <v>2024 Nationals</v>
      </c>
      <c r="N35" s="8">
        <f>IF(COUNT(AQ35,AT35,BR35,BU35,CS35,CV35)&gt;1,LARGE((AQ35,AT35,BR35,BU35,CS35,CV35),2),0)</f>
        <v>5.04</v>
      </c>
      <c r="O35" s="8" t="str">
        <f t="shared" si="6"/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 t="shared" si="7"/>
        <v/>
      </c>
      <c r="R35" s="8">
        <f t="shared" si="8"/>
        <v>6.9</v>
      </c>
      <c r="S35" s="8" t="str">
        <f t="shared" si="9"/>
        <v>2024 Nationals</v>
      </c>
      <c r="T35" s="8">
        <f t="shared" si="10"/>
        <v>0</v>
      </c>
      <c r="U35" s="8" t="str">
        <f t="shared" si="11"/>
        <v/>
      </c>
      <c r="V35" s="8" t="str">
        <f t="shared" si="12"/>
        <v/>
      </c>
      <c r="W35" s="11" t="str">
        <f t="shared" si="13"/>
        <v/>
      </c>
      <c r="X35" s="8" t="str">
        <f t="shared" si="14"/>
        <v/>
      </c>
      <c r="Y35" s="22">
        <v>1.4</v>
      </c>
      <c r="Z35" s="22">
        <v>1</v>
      </c>
      <c r="AA35" s="22">
        <v>1.3</v>
      </c>
      <c r="AB35" s="22">
        <v>1.34</v>
      </c>
      <c r="AC35" s="22">
        <v>0</v>
      </c>
      <c r="AD35" s="22">
        <v>13.5</v>
      </c>
      <c r="AE35" s="22">
        <v>9.1999999999999993</v>
      </c>
      <c r="AF35" s="22">
        <v>6.9</v>
      </c>
      <c r="AG35" s="22">
        <v>12.48</v>
      </c>
      <c r="AH35" s="22">
        <v>1.9</v>
      </c>
      <c r="AI35" s="22"/>
      <c r="AJ35" s="22"/>
      <c r="AK35" s="22"/>
      <c r="AL35" s="22"/>
      <c r="AM35" s="22"/>
      <c r="AN35" s="27"/>
      <c r="AO35" s="38">
        <f t="shared" si="15"/>
        <v>1.3</v>
      </c>
      <c r="AP35" s="38">
        <f t="shared" si="16"/>
        <v>1.34</v>
      </c>
      <c r="AQ35" s="40">
        <f t="shared" si="17"/>
        <v>5.04</v>
      </c>
      <c r="AR35" s="40">
        <f t="shared" si="18"/>
        <v>6.9</v>
      </c>
      <c r="AS35" s="40">
        <f t="shared" si="19"/>
        <v>12.48</v>
      </c>
      <c r="AT35" s="40">
        <f t="shared" si="20"/>
        <v>40.18</v>
      </c>
      <c r="AU35" s="40">
        <f t="shared" si="21"/>
        <v>40.18</v>
      </c>
      <c r="AV35" s="40" t="str">
        <f t="shared" si="22"/>
        <v/>
      </c>
      <c r="AW35" s="40" t="str">
        <f t="shared" si="23"/>
        <v/>
      </c>
      <c r="AX35" s="40" t="str">
        <f t="shared" si="24"/>
        <v/>
      </c>
      <c r="AY35" s="40">
        <f t="shared" si="25"/>
        <v>40.18</v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 t="shared" si="26"/>
        <v/>
      </c>
      <c r="BQ35" s="39" t="str">
        <f t="shared" si="27"/>
        <v/>
      </c>
      <c r="BR35" s="11" t="str">
        <f t="shared" si="28"/>
        <v/>
      </c>
      <c r="BS35" s="11" t="str">
        <f t="shared" si="29"/>
        <v/>
      </c>
      <c r="BT35" s="11" t="str">
        <f t="shared" si="30"/>
        <v/>
      </c>
      <c r="BU35" s="11" t="str">
        <f t="shared" si="31"/>
        <v/>
      </c>
      <c r="BV35" s="11" t="str">
        <f t="shared" si="32"/>
        <v/>
      </c>
      <c r="BW35" s="11" t="str">
        <f t="shared" si="33"/>
        <v/>
      </c>
      <c r="BX35" s="11" t="str">
        <f t="shared" si="34"/>
        <v/>
      </c>
      <c r="BY35" s="11" t="str">
        <f t="shared" si="35"/>
        <v/>
      </c>
      <c r="BZ35" s="11" t="str">
        <f t="shared" si="36"/>
        <v/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 t="shared" si="37"/>
        <v/>
      </c>
      <c r="CR35" s="38" t="str">
        <f t="shared" si="38"/>
        <v/>
      </c>
      <c r="CS35" s="40" t="str">
        <f t="shared" si="39"/>
        <v/>
      </c>
      <c r="CT35" s="40" t="str">
        <f t="shared" si="40"/>
        <v/>
      </c>
      <c r="CU35" s="40" t="str">
        <f t="shared" si="41"/>
        <v/>
      </c>
      <c r="CV35" s="40" t="str">
        <f t="shared" si="42"/>
        <v/>
      </c>
      <c r="CW35" s="40" t="str">
        <f t="shared" si="43"/>
        <v/>
      </c>
      <c r="CX35" s="40" t="str">
        <f t="shared" si="44"/>
        <v/>
      </c>
      <c r="CY35" s="40" t="str">
        <f t="shared" si="45"/>
        <v/>
      </c>
      <c r="CZ35" s="40" t="str">
        <f t="shared" si="46"/>
        <v/>
      </c>
      <c r="DA35" s="40" t="str">
        <f t="shared" si="47"/>
        <v/>
      </c>
      <c r="DB35" s="50" t="str">
        <f t="shared" si="48"/>
        <v/>
      </c>
      <c r="DC35" s="50" t="str">
        <f t="shared" si="49"/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 t="shared" si="50"/>
        <v/>
      </c>
      <c r="DY35" s="40" t="str">
        <f t="shared" si="51"/>
        <v/>
      </c>
      <c r="DZ35" s="40" t="str">
        <f t="shared" si="52"/>
        <v/>
      </c>
      <c r="EA35" s="40" t="str">
        <f t="shared" si="53"/>
        <v/>
      </c>
      <c r="EB35" s="40" t="str">
        <f t="shared" si="54"/>
        <v/>
      </c>
      <c r="EC35" s="40" t="str">
        <f t="shared" si="55"/>
        <v/>
      </c>
      <c r="ED35" s="40" t="str">
        <f t="shared" si="56"/>
        <v/>
      </c>
      <c r="EE35" s="40" t="str">
        <f t="shared" si="57"/>
        <v/>
      </c>
      <c r="EF35" s="40" t="str">
        <f t="shared" si="58"/>
        <v/>
      </c>
      <c r="EG35" s="40" t="str">
        <f t="shared" si="59"/>
        <v/>
      </c>
      <c r="EH35" s="40" t="str">
        <f t="shared" si="60"/>
        <v/>
      </c>
      <c r="EI35" s="40" t="str">
        <f t="shared" si="61"/>
        <v/>
      </c>
      <c r="EJ35" s="40" t="str">
        <f t="shared" si="62"/>
        <v/>
      </c>
      <c r="EK35" s="40" t="str">
        <f t="shared" si="63"/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 t="shared" si="64"/>
        <v/>
      </c>
      <c r="FG35" s="11" t="str">
        <f t="shared" si="65"/>
        <v/>
      </c>
      <c r="FH35" s="11" t="str">
        <f t="shared" si="66"/>
        <v/>
      </c>
      <c r="FI35" s="11" t="str">
        <f t="shared" si="67"/>
        <v/>
      </c>
      <c r="FJ35" s="11" t="str">
        <f t="shared" si="68"/>
        <v/>
      </c>
      <c r="FK35" s="11" t="str">
        <f t="shared" si="69"/>
        <v/>
      </c>
      <c r="FL35" s="11" t="str">
        <f t="shared" si="70"/>
        <v/>
      </c>
      <c r="FM35" s="11" t="str">
        <f t="shared" si="71"/>
        <v/>
      </c>
      <c r="FN35" s="11" t="str">
        <f t="shared" si="72"/>
        <v/>
      </c>
      <c r="FO35" s="11" t="str">
        <f t="shared" si="73"/>
        <v/>
      </c>
      <c r="FP35" s="11" t="str">
        <f t="shared" si="74"/>
        <v/>
      </c>
      <c r="FQ35" s="11" t="str">
        <f t="shared" si="75"/>
        <v/>
      </c>
      <c r="FR35" s="11" t="str">
        <f t="shared" si="76"/>
        <v/>
      </c>
      <c r="FS35" s="11" t="str">
        <f t="shared" si="77"/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 t="shared" si="78"/>
        <v/>
      </c>
      <c r="GO35" s="40" t="str">
        <f t="shared" si="79"/>
        <v/>
      </c>
      <c r="GP35" s="40" t="str">
        <f t="shared" si="80"/>
        <v/>
      </c>
      <c r="GQ35" s="40" t="str">
        <f t="shared" si="81"/>
        <v/>
      </c>
      <c r="GR35" s="40" t="str">
        <f t="shared" si="82"/>
        <v/>
      </c>
      <c r="GS35" s="40" t="str">
        <f t="shared" si="83"/>
        <v/>
      </c>
      <c r="GT35" s="40" t="str">
        <f t="shared" si="84"/>
        <v/>
      </c>
      <c r="GU35" s="40" t="str">
        <f t="shared" si="85"/>
        <v/>
      </c>
      <c r="GV35" s="40" t="str">
        <f t="shared" si="86"/>
        <v/>
      </c>
      <c r="GW35" s="40" t="str">
        <f t="shared" si="87"/>
        <v/>
      </c>
      <c r="GX35" s="40" t="str">
        <f t="shared" si="88"/>
        <v/>
      </c>
      <c r="GY35" s="40" t="str">
        <f t="shared" si="89"/>
        <v/>
      </c>
      <c r="GZ35" s="40" t="str">
        <f t="shared" si="90"/>
        <v/>
      </c>
      <c r="HA35" s="40" t="str">
        <f t="shared" si="91"/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 t="shared" si="92"/>
        <v/>
      </c>
      <c r="HW35" s="11" t="str">
        <f t="shared" si="93"/>
        <v/>
      </c>
      <c r="HX35" s="11" t="str">
        <f t="shared" si="94"/>
        <v/>
      </c>
      <c r="HY35" s="11" t="str">
        <f t="shared" si="95"/>
        <v/>
      </c>
      <c r="HZ35" s="11" t="str">
        <f t="shared" si="96"/>
        <v/>
      </c>
      <c r="IA35" s="11" t="str">
        <f t="shared" si="97"/>
        <v/>
      </c>
      <c r="IB35" s="11" t="str">
        <f t="shared" si="98"/>
        <v/>
      </c>
      <c r="IC35" s="11" t="str">
        <f t="shared" si="99"/>
        <v/>
      </c>
      <c r="ID35" s="11" t="str">
        <f t="shared" si="100"/>
        <v/>
      </c>
      <c r="IE35" s="11" t="str">
        <f t="shared" si="101"/>
        <v/>
      </c>
      <c r="IF35" s="11" t="str">
        <f t="shared" si="102"/>
        <v/>
      </c>
      <c r="IG35" s="11" t="str">
        <f t="shared" si="103"/>
        <v/>
      </c>
      <c r="IH35" s="11" t="str">
        <f t="shared" si="104"/>
        <v/>
      </c>
      <c r="II35" s="11" t="str">
        <f t="shared" si="105"/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 t="shared" si="106"/>
        <v/>
      </c>
      <c r="JE35" s="40" t="str">
        <f t="shared" si="107"/>
        <v/>
      </c>
      <c r="JF35" s="40" t="str">
        <f t="shared" si="108"/>
        <v/>
      </c>
      <c r="JG35" s="40" t="str">
        <f t="shared" si="109"/>
        <v/>
      </c>
      <c r="JH35" s="40" t="str">
        <f t="shared" si="110"/>
        <v/>
      </c>
      <c r="JI35" s="40" t="str">
        <f t="shared" si="111"/>
        <v/>
      </c>
      <c r="JJ35" s="40" t="str">
        <f t="shared" si="112"/>
        <v/>
      </c>
      <c r="JK35" s="40" t="str">
        <f t="shared" si="113"/>
        <v/>
      </c>
      <c r="JL35" s="40" t="str">
        <f t="shared" si="114"/>
        <v/>
      </c>
      <c r="JM35" s="40" t="str">
        <f t="shared" si="115"/>
        <v/>
      </c>
      <c r="JN35" s="40" t="str">
        <f t="shared" si="116"/>
        <v/>
      </c>
      <c r="JO35" s="40" t="str">
        <f t="shared" si="117"/>
        <v/>
      </c>
      <c r="JP35" s="40" t="str">
        <f t="shared" si="118"/>
        <v/>
      </c>
      <c r="JQ35" s="40" t="str">
        <f t="shared" si="119"/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 t="shared" si="120"/>
        <v/>
      </c>
      <c r="KM35" s="11" t="str">
        <f t="shared" si="121"/>
        <v/>
      </c>
      <c r="KN35" s="11" t="str">
        <f t="shared" si="122"/>
        <v/>
      </c>
      <c r="KO35" s="11" t="str">
        <f t="shared" si="123"/>
        <v/>
      </c>
      <c r="KP35" s="11" t="str">
        <f t="shared" si="124"/>
        <v/>
      </c>
      <c r="KQ35" s="11" t="str">
        <f t="shared" si="125"/>
        <v/>
      </c>
      <c r="KR35" s="11" t="str">
        <f t="shared" si="126"/>
        <v/>
      </c>
      <c r="KS35" s="11" t="str">
        <f t="shared" si="127"/>
        <v/>
      </c>
      <c r="KT35" s="11" t="str">
        <f t="shared" si="128"/>
        <v/>
      </c>
      <c r="KU35" s="11" t="str">
        <f t="shared" si="129"/>
        <v/>
      </c>
      <c r="KV35" s="11" t="str">
        <f t="shared" si="130"/>
        <v/>
      </c>
      <c r="KW35" s="11" t="str">
        <f t="shared" si="131"/>
        <v/>
      </c>
      <c r="KX35" s="11" t="str">
        <f t="shared" si="132"/>
        <v/>
      </c>
      <c r="KY35" s="11" t="str">
        <f t="shared" si="133"/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 t="shared" si="134"/>
        <v/>
      </c>
      <c r="LU35" s="40" t="str">
        <f t="shared" si="135"/>
        <v/>
      </c>
      <c r="LV35" s="40" t="str">
        <f t="shared" si="136"/>
        <v/>
      </c>
      <c r="LW35" s="40" t="str">
        <f t="shared" si="137"/>
        <v/>
      </c>
      <c r="LX35" s="40" t="str">
        <f t="shared" si="138"/>
        <v/>
      </c>
      <c r="LY35" s="40" t="str">
        <f t="shared" si="139"/>
        <v/>
      </c>
      <c r="LZ35" s="40" t="str">
        <f t="shared" si="140"/>
        <v/>
      </c>
      <c r="MA35" s="40" t="str">
        <f t="shared" si="141"/>
        <v/>
      </c>
      <c r="MB35" s="40" t="str">
        <f t="shared" si="142"/>
        <v/>
      </c>
      <c r="MC35" s="40" t="str">
        <f t="shared" si="143"/>
        <v/>
      </c>
      <c r="MD35" s="40" t="str">
        <f t="shared" si="144"/>
        <v/>
      </c>
      <c r="ME35" s="40" t="str">
        <f t="shared" si="145"/>
        <v/>
      </c>
      <c r="MF35" s="40" t="str">
        <f t="shared" si="146"/>
        <v/>
      </c>
      <c r="MG35" s="40" t="str">
        <f t="shared" si="147"/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 t="shared" si="148"/>
        <v/>
      </c>
      <c r="NC35" s="11" t="str">
        <f t="shared" si="149"/>
        <v/>
      </c>
      <c r="ND35" s="11" t="str">
        <f t="shared" si="150"/>
        <v/>
      </c>
      <c r="NE35" s="11" t="str">
        <f t="shared" si="151"/>
        <v/>
      </c>
      <c r="NF35" s="11" t="str">
        <f t="shared" si="152"/>
        <v/>
      </c>
      <c r="NG35" s="11" t="str">
        <f t="shared" si="153"/>
        <v/>
      </c>
      <c r="NH35" s="11" t="str">
        <f t="shared" si="154"/>
        <v/>
      </c>
      <c r="NI35" s="11" t="str">
        <f t="shared" si="155"/>
        <v/>
      </c>
      <c r="NJ35" s="11" t="str">
        <f t="shared" si="156"/>
        <v/>
      </c>
      <c r="NK35" s="11" t="str">
        <f t="shared" si="157"/>
        <v/>
      </c>
      <c r="NL35" s="11" t="str">
        <f t="shared" si="158"/>
        <v/>
      </c>
      <c r="NM35" s="11" t="str">
        <f t="shared" si="159"/>
        <v/>
      </c>
      <c r="NN35" s="11" t="str">
        <f t="shared" si="160"/>
        <v/>
      </c>
      <c r="NO35" s="11" t="str">
        <f t="shared" si="161"/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 t="shared" si="162"/>
        <v/>
      </c>
      <c r="OK35" s="40" t="str">
        <f t="shared" si="163"/>
        <v/>
      </c>
      <c r="OL35" s="40" t="str">
        <f t="shared" si="164"/>
        <v/>
      </c>
      <c r="OM35" s="40" t="str">
        <f t="shared" si="165"/>
        <v/>
      </c>
      <c r="ON35" s="40" t="str">
        <f t="shared" si="166"/>
        <v/>
      </c>
      <c r="OO35" s="40" t="str">
        <f t="shared" si="167"/>
        <v/>
      </c>
      <c r="OP35" s="40" t="str">
        <f t="shared" si="168"/>
        <v/>
      </c>
      <c r="OQ35" s="40" t="str">
        <f t="shared" si="169"/>
        <v/>
      </c>
      <c r="OR35" s="40" t="str">
        <f t="shared" si="170"/>
        <v/>
      </c>
      <c r="OS35" s="40" t="str">
        <f t="shared" si="171"/>
        <v/>
      </c>
      <c r="OT35" s="40" t="str">
        <f t="shared" si="172"/>
        <v/>
      </c>
      <c r="OU35" s="40" t="str">
        <f t="shared" si="173"/>
        <v/>
      </c>
      <c r="OV35" s="40" t="str">
        <f t="shared" si="174"/>
        <v/>
      </c>
      <c r="OW35" s="40" t="str">
        <f t="shared" si="175"/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 t="shared" si="176"/>
        <v/>
      </c>
      <c r="PS35" s="11" t="str">
        <f t="shared" si="177"/>
        <v/>
      </c>
      <c r="PT35" s="11" t="str">
        <f t="shared" si="178"/>
        <v/>
      </c>
      <c r="PU35" s="11" t="str">
        <f t="shared" si="179"/>
        <v/>
      </c>
      <c r="PV35" s="11" t="str">
        <f t="shared" si="180"/>
        <v/>
      </c>
      <c r="PW35" s="11" t="str">
        <f t="shared" si="181"/>
        <v/>
      </c>
      <c r="PX35" s="11" t="str">
        <f t="shared" si="182"/>
        <v/>
      </c>
      <c r="PY35" s="11" t="str">
        <f t="shared" si="183"/>
        <v/>
      </c>
      <c r="PZ35" s="11" t="str">
        <f t="shared" si="184"/>
        <v/>
      </c>
      <c r="QA35" s="11" t="str">
        <f t="shared" si="185"/>
        <v/>
      </c>
      <c r="QB35" s="11" t="str">
        <f t="shared" si="186"/>
        <v/>
      </c>
      <c r="QC35" s="11" t="str">
        <f t="shared" si="187"/>
        <v/>
      </c>
      <c r="QD35" s="11" t="str">
        <f t="shared" si="188"/>
        <v/>
      </c>
      <c r="QE35" s="11" t="str">
        <f t="shared" si="189"/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 t="shared" si="190"/>
        <v/>
      </c>
      <c r="RA35" s="40" t="str">
        <f t="shared" si="191"/>
        <v/>
      </c>
      <c r="RB35" s="40" t="str">
        <f t="shared" si="192"/>
        <v/>
      </c>
      <c r="RC35" s="40" t="str">
        <f t="shared" si="193"/>
        <v/>
      </c>
      <c r="RD35" s="40" t="str">
        <f t="shared" si="194"/>
        <v/>
      </c>
      <c r="RE35" s="40" t="str">
        <f t="shared" si="195"/>
        <v/>
      </c>
      <c r="RF35" s="40" t="str">
        <f t="shared" si="196"/>
        <v/>
      </c>
      <c r="RG35" s="40" t="str">
        <f t="shared" si="197"/>
        <v/>
      </c>
      <c r="RH35" s="40" t="str">
        <f t="shared" si="198"/>
        <v/>
      </c>
      <c r="RI35" s="40" t="str">
        <f t="shared" si="199"/>
        <v/>
      </c>
      <c r="RJ35" s="40" t="str">
        <f t="shared" si="200"/>
        <v/>
      </c>
      <c r="RK35" s="40" t="str">
        <f t="shared" si="201"/>
        <v/>
      </c>
      <c r="RL35" s="40" t="str">
        <f t="shared" si="202"/>
        <v/>
      </c>
      <c r="RM35" s="40" t="str">
        <f t="shared" si="203"/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 t="shared" si="204"/>
        <v/>
      </c>
      <c r="SI35" s="11" t="str">
        <f t="shared" si="205"/>
        <v/>
      </c>
      <c r="SJ35" s="11" t="str">
        <f t="shared" si="206"/>
        <v/>
      </c>
      <c r="SK35" s="11" t="str">
        <f t="shared" si="207"/>
        <v/>
      </c>
      <c r="SL35" s="11" t="str">
        <f t="shared" si="208"/>
        <v/>
      </c>
      <c r="SM35" s="11" t="str">
        <f t="shared" si="209"/>
        <v/>
      </c>
      <c r="SN35" s="11" t="str">
        <f t="shared" si="210"/>
        <v/>
      </c>
      <c r="SO35" s="11" t="str">
        <f t="shared" si="211"/>
        <v/>
      </c>
      <c r="SP35" s="11" t="str">
        <f t="shared" si="212"/>
        <v/>
      </c>
      <c r="SQ35" s="11" t="str">
        <f t="shared" si="213"/>
        <v/>
      </c>
      <c r="SR35" s="11" t="str">
        <f t="shared" si="214"/>
        <v/>
      </c>
      <c r="SS35" s="11" t="str">
        <f t="shared" si="215"/>
        <v/>
      </c>
      <c r="ST35" s="11" t="str">
        <f t="shared" si="216"/>
        <v/>
      </c>
      <c r="SU35" s="11" t="str">
        <f t="shared" si="217"/>
        <v/>
      </c>
      <c r="SV35" s="22">
        <f t="shared" si="218"/>
        <v>0</v>
      </c>
      <c r="SW35" s="22">
        <f t="shared" si="219"/>
        <v>0</v>
      </c>
      <c r="SX35" s="22">
        <f t="shared" si="220"/>
        <v>0</v>
      </c>
      <c r="SY35" s="22">
        <f t="shared" si="221"/>
        <v>0</v>
      </c>
      <c r="SZ35" s="22">
        <f t="shared" si="222"/>
        <v>0</v>
      </c>
      <c r="TA35" s="22">
        <f t="shared" si="223"/>
        <v>0</v>
      </c>
      <c r="TB35" s="22">
        <f t="shared" si="224"/>
        <v>0</v>
      </c>
      <c r="TC35" s="22">
        <f t="shared" si="225"/>
        <v>0</v>
      </c>
      <c r="TD35" s="22">
        <f t="shared" si="226"/>
        <v>0</v>
      </c>
      <c r="TE35" s="22">
        <f t="shared" si="227"/>
        <v>0</v>
      </c>
      <c r="TF35" s="22">
        <f t="shared" si="228"/>
        <v>0</v>
      </c>
      <c r="TG35" s="22">
        <f t="shared" si="229"/>
        <v>0</v>
      </c>
      <c r="TH35" s="22">
        <f t="shared" si="230"/>
        <v>0</v>
      </c>
      <c r="TI35" s="22">
        <f t="shared" si="231"/>
        <v>0</v>
      </c>
      <c r="TJ35" s="22">
        <f t="shared" si="232"/>
        <v>0</v>
      </c>
      <c r="TK35" s="27" t="s">
        <v>46</v>
      </c>
      <c r="TL35" s="40" t="str">
        <f t="shared" si="233"/>
        <v/>
      </c>
      <c r="TM35" s="40" t="str">
        <f t="shared" si="234"/>
        <v/>
      </c>
      <c r="TN35" s="40" t="str">
        <f t="shared" si="235"/>
        <v/>
      </c>
      <c r="TO35" s="40" t="str">
        <f t="shared" si="236"/>
        <v/>
      </c>
      <c r="TP35" s="40" t="str">
        <f t="shared" si="237"/>
        <v/>
      </c>
      <c r="TQ35" s="40" t="str">
        <f t="shared" si="238"/>
        <v/>
      </c>
      <c r="TR35" s="40" t="str">
        <f t="shared" si="239"/>
        <v/>
      </c>
      <c r="TS35" s="40" t="str">
        <f t="shared" si="240"/>
        <v/>
      </c>
      <c r="TT35" s="40" t="str">
        <f t="shared" si="241"/>
        <v/>
      </c>
      <c r="TU35" s="40" t="str">
        <f t="shared" si="242"/>
        <v/>
      </c>
      <c r="TV35" s="40" t="str">
        <f t="shared" si="243"/>
        <v/>
      </c>
    </row>
    <row r="36" spans="1:544" x14ac:dyDescent="0.2">
      <c r="C36" s="5"/>
      <c r="E36" s="1"/>
    </row>
    <row r="37" spans="1:544" x14ac:dyDescent="0.2">
      <c r="I37" s="36"/>
      <c r="K37" s="36"/>
    </row>
    <row r="38" spans="1:544" x14ac:dyDescent="0.2">
      <c r="C38" s="23" t="s">
        <v>44</v>
      </c>
      <c r="D38" s="5"/>
      <c r="I38" s="3"/>
      <c r="AR38" s="41"/>
      <c r="AS38" s="41"/>
      <c r="AT38" s="41"/>
      <c r="AV38" s="32"/>
      <c r="AW38" s="32"/>
      <c r="AY38" s="53">
        <v>11.2</v>
      </c>
      <c r="BS38" s="41"/>
      <c r="BT38" s="41"/>
      <c r="BU38" s="41"/>
      <c r="BW38" s="32"/>
      <c r="BX38" s="32"/>
      <c r="BZ38" s="53">
        <v>11.2</v>
      </c>
      <c r="CT38" s="41"/>
      <c r="CU38" s="41"/>
      <c r="CV38" s="41"/>
      <c r="CX38" s="32"/>
      <c r="CY38" s="32"/>
      <c r="DA38" s="53">
        <v>12.7</v>
      </c>
      <c r="DX38" s="5"/>
      <c r="DY38" s="5"/>
      <c r="EH38" s="2"/>
      <c r="EI38" s="2"/>
      <c r="EK38" s="53">
        <v>11.2</v>
      </c>
      <c r="FF38" s="5"/>
      <c r="FG38" s="5"/>
      <c r="FP38" s="2"/>
      <c r="FQ38" s="2"/>
      <c r="FS38" s="53">
        <v>11.2</v>
      </c>
      <c r="GN38" s="5"/>
      <c r="GO38" s="5"/>
      <c r="GX38" s="2"/>
      <c r="GY38" s="2"/>
      <c r="HA38" s="53">
        <v>11.2</v>
      </c>
      <c r="HV38" s="5"/>
      <c r="HW38" s="5"/>
      <c r="IF38" s="2"/>
      <c r="IG38" s="2"/>
      <c r="II38" s="53">
        <v>11.2</v>
      </c>
      <c r="JD38" s="5"/>
      <c r="JE38" s="5"/>
      <c r="JN38" s="2"/>
      <c r="JO38" s="2"/>
      <c r="JQ38" s="53">
        <v>12.7</v>
      </c>
      <c r="KL38" s="5"/>
      <c r="KM38" s="5"/>
      <c r="KV38" s="2"/>
      <c r="KW38" s="2"/>
      <c r="KY38" s="53">
        <v>12.7</v>
      </c>
      <c r="LT38" s="5"/>
      <c r="LU38" s="5"/>
      <c r="MD38" s="2"/>
      <c r="ME38" s="2"/>
      <c r="MG38" s="53">
        <v>12.7</v>
      </c>
      <c r="NB38" s="5"/>
      <c r="NC38" s="5"/>
      <c r="NL38" s="2"/>
      <c r="NM38" s="2"/>
      <c r="NO38" s="53">
        <v>12.7</v>
      </c>
      <c r="OJ38" s="5"/>
      <c r="OK38" s="5"/>
      <c r="OT38" s="2"/>
      <c r="OU38" s="2"/>
      <c r="OW38" s="53">
        <v>12.7</v>
      </c>
      <c r="PR38" s="5"/>
      <c r="PS38" s="5"/>
      <c r="QB38" s="2"/>
      <c r="QC38" s="2"/>
      <c r="QE38" s="53">
        <v>12.7</v>
      </c>
      <c r="QZ38" s="5"/>
      <c r="RA38" s="5"/>
      <c r="RJ38" s="2"/>
      <c r="RK38" s="2"/>
      <c r="RM38" s="53">
        <v>12.7</v>
      </c>
      <c r="SH38" s="5"/>
      <c r="SI38" s="5"/>
      <c r="SR38" s="2"/>
      <c r="SS38" s="2"/>
      <c r="SU38" s="53">
        <v>12.7</v>
      </c>
    </row>
    <row r="39" spans="1:544" hidden="1" x14ac:dyDescent="0.2">
      <c r="C39" s="30" t="s">
        <v>43</v>
      </c>
      <c r="D39" s="5"/>
      <c r="X39" s="2"/>
      <c r="AR39" s="41"/>
      <c r="AS39" s="41"/>
      <c r="AT39" s="41"/>
      <c r="AV39" s="32"/>
      <c r="AW39" s="32"/>
      <c r="AY39" s="54">
        <v>1000</v>
      </c>
      <c r="BS39" s="41"/>
      <c r="BT39" s="41"/>
      <c r="BU39" s="41"/>
      <c r="BW39" s="32"/>
      <c r="BX39" s="32"/>
      <c r="BZ39" s="54">
        <v>1000</v>
      </c>
      <c r="CT39" s="41"/>
      <c r="CU39" s="41"/>
      <c r="CV39" s="41"/>
      <c r="CX39" s="32"/>
      <c r="CY39" s="32"/>
      <c r="DA39" s="54">
        <v>1000</v>
      </c>
      <c r="DX39" s="5"/>
      <c r="DY39" s="5"/>
      <c r="EH39" s="2"/>
      <c r="EI39" s="2"/>
      <c r="EK39" s="54">
        <v>1000</v>
      </c>
      <c r="FF39" s="5"/>
      <c r="FG39" s="5"/>
      <c r="FP39" s="2"/>
      <c r="FQ39" s="2"/>
      <c r="FS39" s="54">
        <v>1000</v>
      </c>
      <c r="GN39" s="5"/>
      <c r="GO39" s="5"/>
      <c r="GX39" s="2"/>
      <c r="GY39" s="2"/>
      <c r="HA39" s="54">
        <v>1000</v>
      </c>
      <c r="HV39" s="5"/>
      <c r="HW39" s="5"/>
      <c r="IF39" s="2"/>
      <c r="IG39" s="2"/>
      <c r="II39" s="54">
        <v>1000</v>
      </c>
      <c r="JD39" s="5"/>
      <c r="JE39" s="5"/>
      <c r="JN39" s="2"/>
      <c r="JO39" s="2"/>
      <c r="JQ39" s="54">
        <v>1000</v>
      </c>
      <c r="KL39" s="5"/>
      <c r="KM39" s="5"/>
      <c r="KV39" s="2"/>
      <c r="KW39" s="2"/>
      <c r="KY39" s="54">
        <v>1000</v>
      </c>
      <c r="LT39" s="5"/>
      <c r="LU39" s="5"/>
      <c r="MD39" s="2"/>
      <c r="ME39" s="2"/>
      <c r="MG39" s="54">
        <v>1000</v>
      </c>
      <c r="NB39" s="5"/>
      <c r="NC39" s="5"/>
      <c r="NL39" s="2"/>
      <c r="NM39" s="2"/>
      <c r="NO39" s="54">
        <v>1000</v>
      </c>
      <c r="OJ39" s="5"/>
      <c r="OK39" s="5"/>
      <c r="OT39" s="2"/>
      <c r="OU39" s="2"/>
      <c r="OW39" s="54">
        <v>1000</v>
      </c>
      <c r="PR39" s="5"/>
      <c r="PS39" s="5"/>
      <c r="QB39" s="2"/>
      <c r="QC39" s="2"/>
      <c r="QE39" s="54">
        <v>1000</v>
      </c>
      <c r="QZ39" s="5"/>
      <c r="RA39" s="5"/>
      <c r="RJ39" s="2"/>
      <c r="RK39" s="2"/>
      <c r="RM39" s="54">
        <v>1000</v>
      </c>
      <c r="SH39" s="5"/>
      <c r="SI39" s="5"/>
      <c r="SR39" s="2"/>
      <c r="SS39" s="2"/>
      <c r="SU39" s="54">
        <v>1000</v>
      </c>
    </row>
    <row r="40" spans="1:544" hidden="1" x14ac:dyDescent="0.2">
      <c r="A40" s="5"/>
      <c r="B40" s="5"/>
      <c r="C40" s="31" t="s">
        <v>55</v>
      </c>
      <c r="D40" s="5"/>
      <c r="F40" s="2"/>
      <c r="G40" s="64"/>
      <c r="AR40" s="41"/>
      <c r="AS40" s="41"/>
      <c r="AT40" s="41"/>
      <c r="AU40" s="32"/>
      <c r="AV40" s="32"/>
      <c r="AW40" s="32"/>
      <c r="AX40" s="32"/>
      <c r="AY40" s="55">
        <v>1000</v>
      </c>
      <c r="BS40" s="41"/>
      <c r="BT40" s="41"/>
      <c r="BU40" s="41"/>
      <c r="BW40" s="32"/>
      <c r="BX40" s="32"/>
      <c r="BZ40" s="55">
        <v>1000</v>
      </c>
      <c r="CT40" s="41"/>
      <c r="CU40" s="41"/>
      <c r="CV40" s="41"/>
      <c r="CW40" s="32"/>
      <c r="CX40" s="32"/>
      <c r="CY40" s="32"/>
      <c r="CZ40" s="32"/>
      <c r="DA40" s="55">
        <v>1000</v>
      </c>
      <c r="DX40" s="5"/>
      <c r="DY40" s="5"/>
      <c r="EH40" s="2"/>
      <c r="EI40" s="2"/>
      <c r="EK40" s="55">
        <v>1000</v>
      </c>
      <c r="FF40" s="5"/>
      <c r="FG40" s="5"/>
      <c r="FP40" s="2"/>
      <c r="FQ40" s="2"/>
      <c r="FS40" s="55">
        <v>1000</v>
      </c>
      <c r="GN40" s="5"/>
      <c r="GO40" s="5"/>
      <c r="GX40" s="2"/>
      <c r="GY40" s="2"/>
      <c r="HA40" s="55">
        <v>1000</v>
      </c>
      <c r="HV40" s="5"/>
      <c r="HW40" s="5"/>
      <c r="IF40" s="2"/>
      <c r="IG40" s="2"/>
      <c r="II40" s="55">
        <v>1000</v>
      </c>
      <c r="JD40" s="5"/>
      <c r="JE40" s="5"/>
      <c r="JN40" s="2"/>
      <c r="JO40" s="2"/>
      <c r="JQ40" s="55">
        <v>1000</v>
      </c>
      <c r="KL40" s="5"/>
      <c r="KM40" s="5"/>
      <c r="KV40" s="2"/>
      <c r="KW40" s="2"/>
      <c r="KY40" s="55">
        <v>1000</v>
      </c>
      <c r="LT40" s="5"/>
      <c r="LU40" s="5"/>
      <c r="MD40" s="2"/>
      <c r="ME40" s="2"/>
      <c r="MG40" s="55">
        <v>1000</v>
      </c>
      <c r="NB40" s="5"/>
      <c r="NC40" s="5"/>
      <c r="NL40" s="2"/>
      <c r="NM40" s="2"/>
      <c r="NO40" s="55">
        <v>1000</v>
      </c>
      <c r="OJ40" s="5"/>
      <c r="OK40" s="5"/>
      <c r="OT40" s="2"/>
      <c r="OU40" s="2"/>
      <c r="OW40" s="55">
        <v>1000</v>
      </c>
      <c r="PR40" s="5"/>
      <c r="PS40" s="5"/>
      <c r="QB40" s="2"/>
      <c r="QC40" s="2"/>
      <c r="QE40" s="55">
        <v>1000</v>
      </c>
      <c r="QZ40" s="5"/>
      <c r="RA40" s="5"/>
      <c r="RJ40" s="2"/>
      <c r="RK40" s="2"/>
      <c r="RM40" s="55">
        <v>1000</v>
      </c>
      <c r="SH40" s="5"/>
      <c r="SI40" s="5"/>
      <c r="SR40" s="2"/>
      <c r="SS40" s="2"/>
      <c r="SU40" s="55">
        <v>1000</v>
      </c>
    </row>
    <row r="41" spans="1:544" hidden="1" x14ac:dyDescent="0.2">
      <c r="A41" s="5"/>
      <c r="B41" s="5"/>
      <c r="C41" s="35" t="s">
        <v>60</v>
      </c>
      <c r="D41" s="5"/>
      <c r="F41" s="2"/>
      <c r="G41" s="64"/>
      <c r="AR41" s="41"/>
      <c r="AS41" s="41"/>
      <c r="AT41" s="41"/>
      <c r="AU41" s="32"/>
      <c r="AV41" s="32"/>
      <c r="AW41" s="32"/>
      <c r="AX41" s="32"/>
      <c r="AY41" s="56">
        <v>1000</v>
      </c>
      <c r="BS41" s="41"/>
      <c r="BT41" s="41"/>
      <c r="BU41" s="41"/>
      <c r="BW41" s="32"/>
      <c r="BX41" s="32"/>
      <c r="BZ41" s="56">
        <v>1000</v>
      </c>
      <c r="CT41" s="41"/>
      <c r="CU41" s="41"/>
      <c r="CV41" s="41"/>
      <c r="CW41" s="32"/>
      <c r="CX41" s="32"/>
      <c r="CY41" s="32"/>
      <c r="CZ41" s="32"/>
      <c r="DA41" s="56">
        <v>1000</v>
      </c>
      <c r="DX41" s="5"/>
      <c r="DY41" s="5"/>
      <c r="EH41" s="2"/>
      <c r="EI41" s="2"/>
      <c r="EK41" s="56">
        <v>1000</v>
      </c>
      <c r="FF41" s="5"/>
      <c r="FG41" s="5"/>
      <c r="FP41" s="2"/>
      <c r="FQ41" s="2"/>
      <c r="FS41" s="56">
        <v>1000</v>
      </c>
      <c r="GN41" s="5"/>
      <c r="GO41" s="5"/>
      <c r="GX41" s="2"/>
      <c r="GY41" s="2"/>
      <c r="HA41" s="56">
        <v>1000</v>
      </c>
      <c r="HV41" s="5"/>
      <c r="HW41" s="5"/>
      <c r="IF41" s="2"/>
      <c r="IG41" s="2"/>
      <c r="II41" s="56">
        <v>1000</v>
      </c>
      <c r="JD41" s="5"/>
      <c r="JE41" s="5"/>
      <c r="JN41" s="2"/>
      <c r="JO41" s="2"/>
      <c r="JQ41" s="56">
        <v>1000</v>
      </c>
      <c r="KL41" s="5"/>
      <c r="KM41" s="5"/>
      <c r="KV41" s="2"/>
      <c r="KW41" s="2"/>
      <c r="KY41" s="56">
        <v>1000</v>
      </c>
      <c r="LT41" s="5"/>
      <c r="LU41" s="5"/>
      <c r="MD41" s="2"/>
      <c r="ME41" s="2"/>
      <c r="MG41" s="56">
        <v>1000</v>
      </c>
      <c r="NB41" s="5"/>
      <c r="NC41" s="5"/>
      <c r="NL41" s="2"/>
      <c r="NM41" s="2"/>
      <c r="NO41" s="56">
        <v>1000</v>
      </c>
      <c r="OJ41" s="5"/>
      <c r="OK41" s="5"/>
      <c r="OT41" s="2"/>
      <c r="OU41" s="2"/>
      <c r="OW41" s="56">
        <v>1000</v>
      </c>
      <c r="PR41" s="5"/>
      <c r="PS41" s="5"/>
      <c r="QB41" s="2"/>
      <c r="QC41" s="2"/>
      <c r="QE41" s="56">
        <v>1000</v>
      </c>
      <c r="QZ41" s="5"/>
      <c r="RA41" s="5"/>
      <c r="RJ41" s="2"/>
      <c r="RK41" s="2"/>
      <c r="RM41" s="56">
        <v>1000</v>
      </c>
      <c r="SH41" s="5"/>
      <c r="SI41" s="5"/>
      <c r="SR41" s="2"/>
      <c r="SS41" s="2"/>
      <c r="SU41" s="56">
        <v>1000</v>
      </c>
    </row>
    <row r="42" spans="1:544" x14ac:dyDescent="0.2">
      <c r="A42" s="5"/>
      <c r="B42" s="5"/>
      <c r="C42" s="34" t="s">
        <v>41</v>
      </c>
      <c r="D42" s="5"/>
      <c r="AR42" s="41"/>
      <c r="AS42" s="41"/>
      <c r="AT42" s="41"/>
      <c r="AU42" s="32"/>
      <c r="AV42" s="32"/>
      <c r="AW42" s="32"/>
      <c r="AX42" s="32"/>
      <c r="AY42" s="57">
        <v>48.3</v>
      </c>
      <c r="BS42" s="41"/>
      <c r="BT42" s="41"/>
      <c r="BU42" s="41"/>
      <c r="BW42" s="32"/>
      <c r="BX42" s="32"/>
      <c r="BZ42" s="57">
        <v>48.3</v>
      </c>
      <c r="CT42" s="41"/>
      <c r="CU42" s="41"/>
      <c r="CV42" s="41"/>
      <c r="CW42" s="32"/>
      <c r="CX42" s="32"/>
      <c r="CY42" s="32"/>
      <c r="CZ42" s="32"/>
      <c r="DA42" s="57">
        <v>50</v>
      </c>
      <c r="DX42" s="5"/>
      <c r="DY42" s="5"/>
      <c r="EH42" s="2"/>
      <c r="EI42" s="2"/>
      <c r="EK42" s="57">
        <v>48.3</v>
      </c>
      <c r="FF42" s="5"/>
      <c r="FG42" s="5"/>
      <c r="FP42" s="2"/>
      <c r="FQ42" s="2"/>
      <c r="FS42" s="57">
        <v>48.3</v>
      </c>
      <c r="GN42" s="5"/>
      <c r="GO42" s="5"/>
      <c r="GX42" s="2"/>
      <c r="GY42" s="2"/>
      <c r="HA42" s="57">
        <v>48.3</v>
      </c>
      <c r="HV42" s="5"/>
      <c r="HW42" s="5"/>
      <c r="IF42" s="2"/>
      <c r="IG42" s="2"/>
      <c r="II42" s="57">
        <v>48.3</v>
      </c>
      <c r="JD42" s="5"/>
      <c r="JE42" s="5"/>
      <c r="JN42" s="2"/>
      <c r="JO42" s="2"/>
      <c r="JQ42" s="57">
        <v>50</v>
      </c>
      <c r="KL42" s="5"/>
      <c r="KM42" s="5"/>
      <c r="KV42" s="2"/>
      <c r="KW42" s="2"/>
      <c r="KY42" s="57">
        <v>50</v>
      </c>
      <c r="LT42" s="5"/>
      <c r="LU42" s="5"/>
      <c r="MD42" s="2"/>
      <c r="ME42" s="2"/>
      <c r="MG42" s="57">
        <v>50</v>
      </c>
      <c r="NB42" s="5"/>
      <c r="NC42" s="5"/>
      <c r="NL42" s="2"/>
      <c r="NM42" s="2"/>
      <c r="NO42" s="57">
        <v>50</v>
      </c>
      <c r="OJ42" s="5"/>
      <c r="OK42" s="5"/>
      <c r="OT42" s="2"/>
      <c r="OU42" s="2"/>
      <c r="OW42" s="57">
        <v>50</v>
      </c>
      <c r="PR42" s="5"/>
      <c r="PS42" s="5"/>
      <c r="QB42" s="2"/>
      <c r="QC42" s="2"/>
      <c r="QE42" s="57">
        <v>50</v>
      </c>
      <c r="QZ42" s="5"/>
      <c r="RA42" s="5"/>
      <c r="RJ42" s="2"/>
      <c r="RK42" s="2"/>
      <c r="RM42" s="57">
        <v>50</v>
      </c>
      <c r="SH42" s="5"/>
      <c r="SI42" s="5"/>
      <c r="SR42" s="2"/>
      <c r="SS42" s="2"/>
      <c r="SU42" s="57">
        <v>50</v>
      </c>
    </row>
    <row r="43" spans="1:544" hidden="1" x14ac:dyDescent="0.2">
      <c r="A43" s="5"/>
      <c r="B43" s="5"/>
      <c r="C43" s="24" t="s">
        <v>42</v>
      </c>
      <c r="D43" s="5"/>
      <c r="AR43" s="41"/>
      <c r="AS43" s="41"/>
      <c r="AT43" s="41"/>
      <c r="AU43" s="32"/>
      <c r="AV43" s="32"/>
      <c r="AW43" s="32"/>
      <c r="AX43" s="32"/>
      <c r="AY43" s="58">
        <v>1000</v>
      </c>
      <c r="BS43" s="41"/>
      <c r="BT43" s="41"/>
      <c r="BU43" s="41"/>
      <c r="BW43" s="32"/>
      <c r="BX43" s="32"/>
      <c r="BZ43" s="58">
        <v>1000</v>
      </c>
      <c r="CT43" s="41"/>
      <c r="CU43" s="41"/>
      <c r="CV43" s="41"/>
      <c r="CW43" s="32"/>
      <c r="CX43" s="32"/>
      <c r="CY43" s="32"/>
      <c r="CZ43" s="32"/>
      <c r="DA43" s="58">
        <v>1000</v>
      </c>
      <c r="DX43" s="5"/>
      <c r="DY43" s="5"/>
      <c r="EH43" s="2"/>
      <c r="EI43" s="2"/>
      <c r="EK43" s="58">
        <v>1000</v>
      </c>
      <c r="FF43" s="5"/>
      <c r="FG43" s="5"/>
      <c r="FP43" s="2"/>
      <c r="FQ43" s="2"/>
      <c r="FS43" s="58">
        <v>1000</v>
      </c>
      <c r="GN43" s="5"/>
      <c r="GO43" s="5"/>
      <c r="GX43" s="2"/>
      <c r="GY43" s="2"/>
      <c r="HA43" s="58">
        <v>1000</v>
      </c>
      <c r="HV43" s="5"/>
      <c r="HW43" s="5"/>
      <c r="IF43" s="2"/>
      <c r="IG43" s="2"/>
      <c r="II43" s="58">
        <v>1000</v>
      </c>
      <c r="JD43" s="5"/>
      <c r="JE43" s="5"/>
      <c r="JN43" s="2"/>
      <c r="JO43" s="2"/>
      <c r="JQ43" s="58">
        <v>1000</v>
      </c>
      <c r="KL43" s="5"/>
      <c r="KM43" s="5"/>
      <c r="KV43" s="2"/>
      <c r="KW43" s="2"/>
      <c r="KY43" s="58">
        <v>1000</v>
      </c>
      <c r="LT43" s="5"/>
      <c r="LU43" s="5"/>
      <c r="MD43" s="2"/>
      <c r="ME43" s="2"/>
      <c r="MG43" s="58">
        <v>1000</v>
      </c>
      <c r="NB43" s="5"/>
      <c r="NC43" s="5"/>
      <c r="NL43" s="2"/>
      <c r="NM43" s="2"/>
      <c r="NO43" s="58">
        <v>1000</v>
      </c>
      <c r="OJ43" s="5"/>
      <c r="OK43" s="5"/>
      <c r="OT43" s="2"/>
      <c r="OU43" s="2"/>
      <c r="OW43" s="58">
        <v>1000</v>
      </c>
      <c r="PR43" s="5"/>
      <c r="PS43" s="5"/>
      <c r="QB43" s="2"/>
      <c r="QC43" s="2"/>
      <c r="QE43" s="58">
        <v>1000</v>
      </c>
      <c r="QZ43" s="5"/>
      <c r="RA43" s="5"/>
      <c r="RJ43" s="2"/>
      <c r="RK43" s="2"/>
      <c r="RM43" s="58">
        <v>1000</v>
      </c>
      <c r="SH43" s="5"/>
      <c r="SI43" s="5"/>
      <c r="SR43" s="2"/>
      <c r="SS43" s="2"/>
      <c r="SU43" s="58">
        <v>1000</v>
      </c>
    </row>
    <row r="44" spans="1:544" hidden="1" x14ac:dyDescent="0.2">
      <c r="A44" s="5"/>
      <c r="B44" s="5"/>
      <c r="C44" s="33" t="s">
        <v>54</v>
      </c>
      <c r="D44" s="5"/>
      <c r="AR44" s="41"/>
      <c r="AS44" s="41"/>
      <c r="AT44" s="41"/>
      <c r="AU44" s="32"/>
      <c r="AV44" s="32"/>
      <c r="AW44" s="32"/>
      <c r="AX44" s="32"/>
      <c r="AY44" s="59">
        <v>1000</v>
      </c>
      <c r="BS44" s="41"/>
      <c r="BT44" s="41"/>
      <c r="BU44" s="41"/>
      <c r="BW44" s="32"/>
      <c r="BX44" s="32"/>
      <c r="BZ44" s="59">
        <v>1000</v>
      </c>
      <c r="CT44" s="41"/>
      <c r="CU44" s="41"/>
      <c r="CV44" s="41"/>
      <c r="CW44" s="32"/>
      <c r="CX44" s="32"/>
      <c r="CY44" s="32"/>
      <c r="CZ44" s="32"/>
      <c r="DA44" s="59">
        <v>1000</v>
      </c>
      <c r="DX44" s="5"/>
      <c r="DY44" s="5"/>
      <c r="EH44" s="2"/>
      <c r="EI44" s="2"/>
      <c r="EJ44" s="37"/>
      <c r="EK44" s="59">
        <v>1000</v>
      </c>
      <c r="FF44" s="5"/>
      <c r="FG44" s="5"/>
      <c r="FP44" s="2"/>
      <c r="FQ44" s="2"/>
      <c r="FR44" s="37"/>
      <c r="FS44" s="59">
        <v>1000</v>
      </c>
      <c r="GN44" s="5"/>
      <c r="GO44" s="5"/>
      <c r="GX44" s="2"/>
      <c r="GY44" s="2"/>
      <c r="GZ44" s="37"/>
      <c r="HA44" s="59">
        <v>1000</v>
      </c>
      <c r="HV44" s="5"/>
      <c r="HW44" s="5"/>
      <c r="IF44" s="2"/>
      <c r="IG44" s="2"/>
      <c r="IH44" s="37"/>
      <c r="II44" s="59">
        <v>1000</v>
      </c>
      <c r="JD44" s="5"/>
      <c r="JE44" s="5"/>
      <c r="JN44" s="2"/>
      <c r="JO44" s="2"/>
      <c r="JP44" s="37"/>
      <c r="JQ44" s="59">
        <v>1000</v>
      </c>
      <c r="KL44" s="5"/>
      <c r="KM44" s="5"/>
      <c r="KV44" s="2"/>
      <c r="KW44" s="2"/>
      <c r="KX44" s="37"/>
      <c r="KY44" s="59">
        <v>1000</v>
      </c>
      <c r="LT44" s="5"/>
      <c r="LU44" s="5"/>
      <c r="MD44" s="2"/>
      <c r="ME44" s="2"/>
      <c r="MF44" s="37"/>
      <c r="MG44" s="59">
        <v>1000</v>
      </c>
      <c r="NB44" s="5"/>
      <c r="NC44" s="5"/>
      <c r="NL44" s="2"/>
      <c r="NM44" s="2"/>
      <c r="NN44" s="37"/>
      <c r="NO44" s="59">
        <v>1000</v>
      </c>
      <c r="OJ44" s="5"/>
      <c r="OK44" s="5"/>
      <c r="OT44" s="2"/>
      <c r="OU44" s="2"/>
      <c r="OV44" s="37"/>
      <c r="OW44" s="59">
        <v>1000</v>
      </c>
      <c r="PR44" s="5"/>
      <c r="PS44" s="5"/>
      <c r="QB44" s="2"/>
      <c r="QC44" s="2"/>
      <c r="QD44" s="37"/>
      <c r="QE44" s="59">
        <v>1000</v>
      </c>
      <c r="QZ44" s="5"/>
      <c r="RA44" s="5"/>
      <c r="RJ44" s="2"/>
      <c r="RK44" s="2"/>
      <c r="RL44" s="37"/>
      <c r="RM44" s="59">
        <v>1000</v>
      </c>
      <c r="SH44" s="5"/>
      <c r="SI44" s="5"/>
      <c r="SR44" s="2"/>
      <c r="SS44" s="2"/>
      <c r="ST44" s="37"/>
      <c r="SU44" s="59">
        <v>1000</v>
      </c>
    </row>
    <row r="45" spans="1:544" hidden="1" x14ac:dyDescent="0.2">
      <c r="A45" s="5"/>
      <c r="B45" s="5"/>
      <c r="C45" s="25" t="s">
        <v>27</v>
      </c>
      <c r="D45" s="5"/>
      <c r="AR45" s="41"/>
      <c r="AS45" s="41"/>
      <c r="AT45" s="41"/>
      <c r="AU45" s="32"/>
      <c r="AV45" s="41"/>
      <c r="AW45" s="41"/>
      <c r="AX45" s="32"/>
      <c r="AY45" s="60">
        <v>1000</v>
      </c>
      <c r="BS45" s="41"/>
      <c r="BT45" s="41"/>
      <c r="BU45" s="41"/>
      <c r="BW45" s="41"/>
      <c r="BX45" s="32"/>
      <c r="BZ45" s="60">
        <v>1000</v>
      </c>
      <c r="CT45" s="41"/>
      <c r="CU45" s="41"/>
      <c r="CV45" s="41"/>
      <c r="CW45" s="32"/>
      <c r="CX45" s="41"/>
      <c r="CY45" s="32"/>
      <c r="CZ45" s="32"/>
      <c r="DA45" s="60">
        <v>1000</v>
      </c>
      <c r="DX45" s="5"/>
      <c r="DY45" s="5"/>
      <c r="EH45" s="41"/>
      <c r="EI45" s="2"/>
      <c r="EK45" s="60">
        <v>1000</v>
      </c>
      <c r="FF45" s="5"/>
      <c r="FG45" s="5"/>
      <c r="FP45" s="41"/>
      <c r="FQ45" s="2"/>
      <c r="FS45" s="60">
        <v>1000</v>
      </c>
      <c r="GN45" s="5"/>
      <c r="GO45" s="5"/>
      <c r="GX45" s="2"/>
      <c r="GY45" s="2"/>
      <c r="HA45" s="60">
        <v>1000</v>
      </c>
      <c r="HV45" s="5"/>
      <c r="HW45" s="5"/>
      <c r="IF45" s="41"/>
      <c r="IG45" s="2"/>
      <c r="II45" s="60">
        <v>1000</v>
      </c>
      <c r="JD45" s="5"/>
      <c r="JE45" s="5"/>
      <c r="JN45" s="2"/>
      <c r="JO45" s="2"/>
      <c r="JQ45" s="60">
        <v>1000</v>
      </c>
      <c r="KL45" s="5"/>
      <c r="KM45" s="5"/>
      <c r="KV45" s="2"/>
      <c r="KW45" s="2"/>
      <c r="KY45" s="60">
        <v>1000</v>
      </c>
      <c r="LT45" s="5"/>
      <c r="LU45" s="5"/>
      <c r="MD45" s="2"/>
      <c r="ME45" s="2"/>
      <c r="MG45" s="60">
        <v>1000</v>
      </c>
      <c r="NB45" s="5"/>
      <c r="NC45" s="5"/>
      <c r="NL45" s="2"/>
      <c r="NM45" s="2"/>
      <c r="NO45" s="60">
        <v>1000</v>
      </c>
      <c r="OJ45" s="5"/>
      <c r="OK45" s="5"/>
      <c r="OT45" s="2"/>
      <c r="OU45" s="2"/>
      <c r="OW45" s="60">
        <v>1000</v>
      </c>
      <c r="PR45" s="5"/>
      <c r="PS45" s="5"/>
      <c r="QB45" s="2"/>
      <c r="QC45" s="2"/>
      <c r="QE45" s="60">
        <v>1000</v>
      </c>
      <c r="QZ45" s="5"/>
      <c r="RA45" s="5"/>
      <c r="RJ45" s="2"/>
      <c r="RK45" s="2"/>
      <c r="RM45" s="60">
        <v>1000</v>
      </c>
      <c r="SH45" s="5"/>
      <c r="SI45" s="5"/>
      <c r="SR45" s="2"/>
      <c r="SS45" s="2"/>
      <c r="SU45" s="60">
        <v>1000</v>
      </c>
    </row>
    <row r="46" spans="1:544" s="36" customFormat="1" x14ac:dyDescent="0.2">
      <c r="A46"/>
      <c r="B46"/>
      <c r="C46" s="29" t="s">
        <v>47</v>
      </c>
      <c r="D46" s="2"/>
      <c r="E46"/>
      <c r="F46"/>
      <c r="G46" s="65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U46" s="32"/>
      <c r="AX46" s="32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W46" s="32"/>
      <c r="CZ46" s="32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</row>
    <row r="47" spans="1:544" s="36" customFormat="1" x14ac:dyDescent="0.2">
      <c r="A47" s="5"/>
      <c r="B47" s="5"/>
      <c r="C47" s="5"/>
      <c r="D47" s="20"/>
      <c r="E47"/>
      <c r="F47"/>
      <c r="G47" s="65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Q47" s="32"/>
      <c r="AR47" s="32"/>
      <c r="AS47" s="32"/>
      <c r="AT47" s="32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S47" s="32"/>
      <c r="CT47" s="32"/>
      <c r="CU47" s="32"/>
      <c r="CV47" s="32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ht="17" x14ac:dyDescent="0.2">
      <c r="A48" s="5"/>
      <c r="B48" s="5"/>
      <c r="C48" s="5"/>
      <c r="D48" s="20"/>
      <c r="E48"/>
      <c r="F48"/>
      <c r="G48" s="65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 s="10"/>
      <c r="W48" s="10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5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/>
      <c r="B50"/>
      <c r="C50"/>
      <c r="D50"/>
      <c r="E50"/>
      <c r="F50"/>
      <c r="G50" s="65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 s="1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5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5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5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 s="10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5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5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5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5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5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5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5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ht="17" x14ac:dyDescent="0.2">
      <c r="V62" s="10"/>
      <c r="W62" s="10"/>
      <c r="X62" s="10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</sheetData>
  <sheetProtection sheet="1" formatCells="0" formatColumns="0" formatRows="0"/>
  <autoFilter ref="A1:TV2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35">
      <sortCondition descending="1" ref="H1:H36"/>
    </sortState>
  </autoFilter>
  <mergeCells count="101"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</mergeCells>
  <conditionalFormatting sqref="J1:J1048576">
    <cfRule type="containsText" dxfId="282" priority="37" operator="containsText" text="No DD">
      <formula>NOT(ISERROR(SEARCH("No DD",J1)))</formula>
    </cfRule>
    <cfRule type="containsText" dxfId="281" priority="38" operator="containsText" text="Merit">
      <formula>NOT(ISERROR(SEARCH("Merit",J1)))</formula>
    </cfRule>
    <cfRule type="containsText" dxfId="280" priority="39" operator="containsText" text="Excellence">
      <formula>NOT(ISERROR(SEARCH("Excellence",J1)))</formula>
    </cfRule>
    <cfRule type="containsText" dxfId="279" priority="40" operator="containsText" text="Worlds Team">
      <formula>NOT(ISERROR(SEARCH("Worlds Team",J1)))</formula>
    </cfRule>
    <cfRule type="containsText" dxfId="278" priority="41" operator="containsText" text="National Team">
      <formula>NOT(ISERROR(SEARCH("National Team",J1)))</formula>
    </cfRule>
  </conditionalFormatting>
  <conditionalFormatting sqref="A4:B1048576">
    <cfRule type="expression" dxfId="277" priority="1">
      <formula>AND($I4&lt;&gt;"",$H4="")</formula>
    </cfRule>
    <cfRule type="expression" dxfId="276" priority="42">
      <formula>IF(A4&gt;4,1,0)</formula>
    </cfRule>
  </conditionalFormatting>
  <conditionalFormatting sqref="Y4:AY35">
    <cfRule type="expression" dxfId="275" priority="43" stopIfTrue="1">
      <formula>IF($AN4&lt;&gt;"",1,0)</formula>
    </cfRule>
  </conditionalFormatting>
  <conditionalFormatting sqref="AZ4:BZ35">
    <cfRule type="expression" dxfId="274" priority="36" stopIfTrue="1">
      <formula>IF($BO4&lt;&gt;"",1,0)</formula>
    </cfRule>
  </conditionalFormatting>
  <conditionalFormatting sqref="CA4:DA35">
    <cfRule type="expression" dxfId="273" priority="35" stopIfTrue="1">
      <formula>IF($CP4&lt;&gt;"",1,0)</formula>
    </cfRule>
  </conditionalFormatting>
  <conditionalFormatting sqref="BW46:BW1048576 BP1:BP1048576 BS1:BS1048576 BW1:BW44">
    <cfRule type="cellIs" dxfId="272" priority="48" operator="between">
      <formula>$BZ$41</formula>
      <formula>1000</formula>
    </cfRule>
    <cfRule type="cellIs" dxfId="271" priority="49" operator="between">
      <formula>$BZ$40</formula>
      <formula>$BZ$41</formula>
    </cfRule>
    <cfRule type="cellIs" dxfId="270" priority="50" operator="between">
      <formula>$BZ$39</formula>
      <formula>$BZ$40</formula>
    </cfRule>
    <cfRule type="cellIs" dxfId="269" priority="51" operator="between">
      <formula>$BZ$38</formula>
      <formula>$BZ$39</formula>
    </cfRule>
  </conditionalFormatting>
  <conditionalFormatting sqref="CX46:CX1048576 CQ1:CQ1048576 CT1:CT1048576 CX1:CX44">
    <cfRule type="cellIs" dxfId="268" priority="44" operator="between">
      <formula>$DA$41</formula>
      <formula>1000</formula>
    </cfRule>
    <cfRule type="cellIs" dxfId="267" priority="45" operator="between">
      <formula>$DA$40</formula>
      <formula>$DA$41</formula>
    </cfRule>
    <cfRule type="cellIs" dxfId="266" priority="46" operator="between">
      <formula>$DA$39</formula>
      <formula>$DA$40</formula>
    </cfRule>
    <cfRule type="cellIs" dxfId="265" priority="47" operator="between">
      <formula>$DA$38</formula>
      <formula>$DA$39</formula>
    </cfRule>
  </conditionalFormatting>
  <conditionalFormatting sqref="EH46:EH1048576 DX1:DX1048576 EA1:EA1048576 EE1:EE1048576 EH1:EH44">
    <cfRule type="cellIs" dxfId="264" priority="55" operator="between">
      <formula>$EK$41</formula>
      <formula>1000</formula>
    </cfRule>
    <cfRule type="cellIs" dxfId="263" priority="56" operator="between">
      <formula>$EK$40</formula>
      <formula>$EK$41</formula>
    </cfRule>
    <cfRule type="cellIs" dxfId="262" priority="57" operator="between">
      <formula>$EK$39</formula>
      <formula>$EK$40</formula>
    </cfRule>
    <cfRule type="cellIs" dxfId="261" priority="58" operator="between">
      <formula>$EK$38</formula>
      <formula>$EK$39</formula>
    </cfRule>
  </conditionalFormatting>
  <conditionalFormatting sqref="FP46:FP1048576 FF1:FF1048576 FI1:FI1048576 FM1:FM1048576 FP1:FP44">
    <cfRule type="cellIs" dxfId="260" priority="31" operator="between">
      <formula>$FS$41</formula>
      <formula>1000</formula>
    </cfRule>
    <cfRule type="cellIs" dxfId="259" priority="32" operator="between">
      <formula>$FS$40</formula>
      <formula>$FS$41</formula>
    </cfRule>
    <cfRule type="cellIs" dxfId="258" priority="33" operator="between">
      <formula>$FS$39</formula>
      <formula>$FS$40</formula>
    </cfRule>
    <cfRule type="cellIs" dxfId="257" priority="34" operator="between">
      <formula>$FS$38</formula>
      <formula>$FS$39</formula>
    </cfRule>
  </conditionalFormatting>
  <conditionalFormatting sqref="IF46:IF1048576 HV1:HV1048576 HY1:HY1048576 IC1:IC1048576 IF1:IF44">
    <cfRule type="cellIs" dxfId="256" priority="27" operator="between">
      <formula>$II$41</formula>
      <formula>1000</formula>
    </cfRule>
    <cfRule type="cellIs" dxfId="255" priority="28" operator="between">
      <formula>$II$40</formula>
      <formula>$II$41</formula>
    </cfRule>
    <cfRule type="cellIs" dxfId="254" priority="29" operator="between">
      <formula>$II$39</formula>
      <formula>$II$40</formula>
    </cfRule>
    <cfRule type="cellIs" dxfId="253" priority="30" operator="between">
      <formula>$II$38</formula>
      <formula>$II$39</formula>
    </cfRule>
  </conditionalFormatting>
  <conditionalFormatting sqref="AW45 AO1:AO1048576 AR1:AR1048576 AV1:AV1048576">
    <cfRule type="cellIs" dxfId="252" priority="23" operator="between">
      <formula>$AY$41</formula>
      <formula>1000</formula>
    </cfRule>
    <cfRule type="cellIs" dxfId="251" priority="24" operator="between">
      <formula>$AY$40</formula>
      <formula>$AY$41</formula>
    </cfRule>
    <cfRule type="cellIs" dxfId="250" priority="25" operator="between">
      <formula>$AY$39</formula>
      <formula>$AY$40</formula>
    </cfRule>
    <cfRule type="cellIs" dxfId="249" priority="26" operator="between">
      <formula>$AY$38</formula>
      <formula>$AY$39</formula>
    </cfRule>
  </conditionalFormatting>
  <conditionalFormatting sqref="BW45">
    <cfRule type="cellIs" dxfId="248" priority="19" operator="between">
      <formula>$AY$41</formula>
      <formula>1000</formula>
    </cfRule>
    <cfRule type="cellIs" dxfId="247" priority="20" operator="between">
      <formula>$AY$40</formula>
      <formula>$AY$41</formula>
    </cfRule>
    <cfRule type="cellIs" dxfId="246" priority="21" operator="between">
      <formula>$AY$39</formula>
      <formula>$AY$40</formula>
    </cfRule>
    <cfRule type="cellIs" dxfId="245" priority="22" operator="between">
      <formula>$AY$38</formula>
      <formula>$AY$39</formula>
    </cfRule>
  </conditionalFormatting>
  <conditionalFormatting sqref="CX45">
    <cfRule type="cellIs" dxfId="244" priority="15" operator="between">
      <formula>$AY$41</formula>
      <formula>1000</formula>
    </cfRule>
    <cfRule type="cellIs" dxfId="243" priority="16" operator="between">
      <formula>$AY$40</formula>
      <formula>$AY$41</formula>
    </cfRule>
    <cfRule type="cellIs" dxfId="242" priority="17" operator="between">
      <formula>$AY$39</formula>
      <formula>$AY$40</formula>
    </cfRule>
    <cfRule type="cellIs" dxfId="241" priority="18" operator="between">
      <formula>$AY$38</formula>
      <formula>$AY$39</formula>
    </cfRule>
  </conditionalFormatting>
  <conditionalFormatting sqref="EH45">
    <cfRule type="cellIs" dxfId="240" priority="11" operator="between">
      <formula>$AY$41</formula>
      <formula>1000</formula>
    </cfRule>
    <cfRule type="cellIs" dxfId="239" priority="12" operator="between">
      <formula>$AY$40</formula>
      <formula>$AY$41</formula>
    </cfRule>
    <cfRule type="cellIs" dxfId="238" priority="13" operator="between">
      <formula>$AY$39</formula>
      <formula>$AY$40</formula>
    </cfRule>
    <cfRule type="cellIs" dxfId="237" priority="14" operator="between">
      <formula>$AY$38</formula>
      <formula>$AY$39</formula>
    </cfRule>
  </conditionalFormatting>
  <conditionalFormatting sqref="FP45">
    <cfRule type="cellIs" dxfId="236" priority="7" operator="between">
      <formula>$AY$41</formula>
      <formula>1000</formula>
    </cfRule>
    <cfRule type="cellIs" dxfId="235" priority="8" operator="between">
      <formula>$AY$40</formula>
      <formula>$AY$41</formula>
    </cfRule>
    <cfRule type="cellIs" dxfId="234" priority="9" operator="between">
      <formula>$AY$39</formula>
      <formula>$AY$40</formula>
    </cfRule>
    <cfRule type="cellIs" dxfId="233" priority="10" operator="between">
      <formula>$AY$38</formula>
      <formula>$AY$39</formula>
    </cfRule>
  </conditionalFormatting>
  <conditionalFormatting sqref="IF45">
    <cfRule type="cellIs" dxfId="232" priority="3" operator="between">
      <formula>$AY$41</formula>
      <formula>1000</formula>
    </cfRule>
    <cfRule type="cellIs" dxfId="231" priority="4" operator="between">
      <formula>$AY$40</formula>
      <formula>$AY$41</formula>
    </cfRule>
    <cfRule type="cellIs" dxfId="230" priority="5" operator="between">
      <formula>$AY$39</formula>
      <formula>$AY$40</formula>
    </cfRule>
    <cfRule type="cellIs" dxfId="229" priority="6" operator="between">
      <formula>$AY$38</formula>
      <formula>$AY$39</formula>
    </cfRule>
  </conditionalFormatting>
  <conditionalFormatting sqref="M1:M1048576 O1:O1048576 S1:S1048576 U1:U1048576 Q1:Q1048576">
    <cfRule type="expression" dxfId="228" priority="52">
      <formula>IF(M1=$CA$1,1,0)</formula>
    </cfRule>
    <cfRule type="expression" dxfId="227" priority="53" stopIfTrue="1">
      <formula>IF(M1=$AZ$1,1,0)</formula>
    </cfRule>
    <cfRule type="expression" dxfId="226" priority="54">
      <formula>IF(M1=$Y$1,1,0)</formula>
    </cfRule>
  </conditionalFormatting>
  <conditionalFormatting sqref="A1:B3">
    <cfRule type="expression" dxfId="225" priority="2">
      <formula>AND(I1&lt;&gt;"",H1="")</formula>
    </cfRule>
  </conditionalFormatting>
  <conditionalFormatting sqref="CV1:CV1048576 AT1:AT1048576">
    <cfRule type="cellIs" dxfId="224" priority="195459" operator="between">
      <formula>AY$45</formula>
      <formula>1000</formula>
    </cfRule>
    <cfRule type="cellIs" dxfId="223" priority="195460" operator="between">
      <formula>AY$44</formula>
      <formula>AY$45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2" priority="195471" operator="between">
      <formula>EK$45</formula>
      <formula>1000</formula>
    </cfRule>
    <cfRule type="cellIs" dxfId="221" priority="195472" operator="between">
      <formula>EK$44</formula>
      <formula>EK$45</formula>
    </cfRule>
  </conditionalFormatting>
  <conditionalFormatting sqref="AQ1:AQ1048576 AT1:AT1048576 AX1:AX1048576">
    <cfRule type="cellIs" dxfId="220" priority="195543" operator="between">
      <formula>$AY$45</formula>
      <formula>1000</formula>
    </cfRule>
    <cfRule type="cellIs" dxfId="219" priority="195544" operator="between">
      <formula>$AY$44</formula>
      <formula>$AY$45</formula>
    </cfRule>
    <cfRule type="cellIs" dxfId="218" priority="195545" operator="between">
      <formula>$AY$43</formula>
      <formula>$AY$44</formula>
    </cfRule>
    <cfRule type="cellIs" dxfId="217" priority="195546" operator="between">
      <formula>$AY$42</formula>
      <formula>$AY$43</formula>
    </cfRule>
  </conditionalFormatting>
  <conditionalFormatting sqref="BR1:BR1048576 BU1:BU1048576 BY1:BY1048576">
    <cfRule type="cellIs" dxfId="216" priority="195579" operator="between">
      <formula>$BZ$45</formula>
      <formula>1000</formula>
    </cfRule>
    <cfRule type="cellIs" dxfId="215" priority="195580" operator="between">
      <formula>$BZ$44</formula>
      <formula>$BZ$45</formula>
    </cfRule>
    <cfRule type="cellIs" dxfId="214" priority="195581" operator="between">
      <formula>$BZ$43</formula>
      <formula>$BZ$44</formula>
    </cfRule>
    <cfRule type="cellIs" dxfId="213" priority="195582" operator="between">
      <formula>$BZ$42</formula>
      <formula>$BZ$43</formula>
    </cfRule>
  </conditionalFormatting>
  <conditionalFormatting sqref="CS1:CS1048576 CV1:CV1048576 CZ1:CZ1048576">
    <cfRule type="cellIs" dxfId="212" priority="195615" operator="between">
      <formula>$DA$45</formula>
      <formula>1000</formula>
    </cfRule>
    <cfRule type="cellIs" dxfId="211" priority="195616" operator="between">
      <formula>$DA$44</formula>
      <formula>$DA$45</formula>
    </cfRule>
    <cfRule type="cellIs" dxfId="210" priority="195617" operator="between">
      <formula>$DA$43</formula>
      <formula>$DA$44</formula>
    </cfRule>
    <cfRule type="cellIs" dxfId="209" priority="195618" operator="between">
      <formula>$DA$42</formula>
      <formula>$DA$43</formula>
    </cfRule>
  </conditionalFormatting>
  <conditionalFormatting sqref="NB1:NB1048576 NE1:NE1048576 NI1:NI1048576 NL1:NL1048576">
    <cfRule type="cellIs" dxfId="208" priority="195651" operator="between">
      <formula>$NO$38</formula>
      <formula>$NO$39</formula>
    </cfRule>
  </conditionalFormatting>
  <conditionalFormatting sqref="DZ1:DZ1048576 EC1:EC1048576 EG1:EG1048576 EJ1:EJ1048576">
    <cfRule type="cellIs" dxfId="207" priority="195663" operator="between">
      <formula>$EK$45</formula>
      <formula>1000</formula>
    </cfRule>
    <cfRule type="cellIs" dxfId="206" priority="195664" operator="between">
      <formula>$EK$44</formula>
      <formula>$EK$45</formula>
    </cfRule>
    <cfRule type="cellIs" dxfId="205" priority="195665" operator="between">
      <formula>$EK$43</formula>
      <formula>$EK$44</formula>
    </cfRule>
    <cfRule type="cellIs" dxfId="204" priority="195666" operator="between">
      <formula>$EK$42</formula>
      <formula>$EK$43</formula>
    </cfRule>
  </conditionalFormatting>
  <conditionalFormatting sqref="FH1:FH1048576 FK1:FK1048576 FO1:FO1048576 FR1:FR1048576">
    <cfRule type="cellIs" dxfId="203" priority="195711" operator="between">
      <formula>$FS$45</formula>
      <formula>1000</formula>
    </cfRule>
    <cfRule type="cellIs" dxfId="202" priority="195712" operator="between">
      <formula>$FS$44</formula>
      <formula>$FS$45</formula>
    </cfRule>
    <cfRule type="cellIs" dxfId="201" priority="195713" operator="between">
      <formula>$FS$43</formula>
      <formula>$FS$44</formula>
    </cfRule>
    <cfRule type="cellIs" dxfId="200" priority="195714" operator="between">
      <formula>$FS$42</formula>
      <formula>$FS$43</formula>
    </cfRule>
  </conditionalFormatting>
  <conditionalFormatting sqref="GN1:GN1048576 GQ1:GQ1048576 GU1:GU1048576 GX1:GX1048576">
    <cfRule type="cellIs" dxfId="199" priority="195759" operator="between">
      <formula>$HA$41</formula>
      <formula>1000</formula>
    </cfRule>
    <cfRule type="cellIs" dxfId="198" priority="195760" operator="between">
      <formula>$HA$40</formula>
      <formula>$HA$41</formula>
    </cfRule>
    <cfRule type="cellIs" dxfId="197" priority="195761" operator="between">
      <formula>$HA$39</formula>
      <formula>$HA$40</formula>
    </cfRule>
    <cfRule type="cellIs" dxfId="196" priority="195762" operator="between">
      <formula>$HA$38</formula>
      <formula>$HA$39</formula>
    </cfRule>
  </conditionalFormatting>
  <conditionalFormatting sqref="GP1:GP1048576 GS1:GS1048576 GW1:GW1048576 GZ1:GZ1048576">
    <cfRule type="cellIs" dxfId="195" priority="195807" operator="between">
      <formula>$HA$45</formula>
      <formula>1000</formula>
    </cfRule>
    <cfRule type="cellIs" dxfId="194" priority="195808" operator="between">
      <formula>$HA$44</formula>
      <formula>$HA$45</formula>
    </cfRule>
    <cfRule type="cellIs" dxfId="193" priority="195809" operator="between">
      <formula>$HA$43</formula>
      <formula>$HA$44</formula>
    </cfRule>
    <cfRule type="cellIs" dxfId="192" priority="195810" operator="between">
      <formula>$HA$42</formula>
      <formula>$HA$43</formula>
    </cfRule>
  </conditionalFormatting>
  <conditionalFormatting sqref="HX1:HX1048576 IA1:IA1048576 IE1:IE1048576 IH1:IH1048576">
    <cfRule type="cellIs" dxfId="191" priority="195855" operator="between">
      <formula>$II$45</formula>
      <formula>1000</formula>
    </cfRule>
    <cfRule type="cellIs" dxfId="190" priority="195856" operator="between">
      <formula>$II$44</formula>
      <formula>$II$45</formula>
    </cfRule>
    <cfRule type="cellIs" dxfId="189" priority="195857" operator="between">
      <formula>$II$43</formula>
      <formula>$II$44</formula>
    </cfRule>
    <cfRule type="cellIs" dxfId="188" priority="195858" operator="between">
      <formula>$II$42</formula>
      <formula>$II$43</formula>
    </cfRule>
  </conditionalFormatting>
  <conditionalFormatting sqref="JD1:JD1048576 JG1:JG1048576 JK1:JK1048576 JN1:JN1048576">
    <cfRule type="cellIs" dxfId="187" priority="195903" operator="between">
      <formula>$JQ$41</formula>
      <formula>1000</formula>
    </cfRule>
    <cfRule type="cellIs" dxfId="186" priority="195904" operator="between">
      <formula>$JQ$40</formula>
      <formula>$JQ$41</formula>
    </cfRule>
    <cfRule type="cellIs" dxfId="185" priority="195905" operator="between">
      <formula>$JQ$39</formula>
      <formula>$JQ$40</formula>
    </cfRule>
    <cfRule type="cellIs" dxfId="184" priority="195906" operator="between">
      <formula>$JQ$38</formula>
      <formula>$JQ$39</formula>
    </cfRule>
  </conditionalFormatting>
  <conditionalFormatting sqref="JF1:JF1048576 JI1:JI1048576 JM1:JM1048576 JP1:JP1048576">
    <cfRule type="cellIs" dxfId="183" priority="195951" operator="between">
      <formula>$JQ$45</formula>
      <formula>1000</formula>
    </cfRule>
    <cfRule type="cellIs" dxfId="182" priority="195952" operator="between">
      <formula>$JQ$44</formula>
      <formula>$JQ$45</formula>
    </cfRule>
    <cfRule type="cellIs" dxfId="181" priority="195953" operator="between">
      <formula>$JQ$43</formula>
      <formula>$JQ$44</formula>
    </cfRule>
    <cfRule type="cellIs" dxfId="180" priority="195954" operator="between">
      <formula>$JQ$42</formula>
      <formula>$JQ$43</formula>
    </cfRule>
  </conditionalFormatting>
  <conditionalFormatting sqref="KL1:KL1048576 KO1:KO1048576 KS1:KS1048576 KV1:KV1048576">
    <cfRule type="cellIs" dxfId="179" priority="195999" operator="between">
      <formula>$KY$41</formula>
      <formula>1000</formula>
    </cfRule>
    <cfRule type="cellIs" dxfId="178" priority="196000" operator="between">
      <formula>$KY$40</formula>
      <formula>$KY$41</formula>
    </cfRule>
    <cfRule type="cellIs" dxfId="177" priority="196001" operator="between">
      <formula>$KY$39</formula>
      <formula>$KY$40</formula>
    </cfRule>
    <cfRule type="cellIs" dxfId="176" priority="196002" operator="between">
      <formula>$KY$38</formula>
      <formula>$KY$39</formula>
    </cfRule>
  </conditionalFormatting>
  <conditionalFormatting sqref="KN1:KN1048576 KQ1:KQ1048576 KU1:KU1048576 KX1:KX1048576">
    <cfRule type="cellIs" dxfId="175" priority="196047" operator="between">
      <formula>$KY$45</formula>
      <formula>1000</formula>
    </cfRule>
    <cfRule type="cellIs" dxfId="174" priority="196048" operator="between">
      <formula>$KY$44</formula>
      <formula>$KY$45</formula>
    </cfRule>
    <cfRule type="cellIs" dxfId="173" priority="196049" operator="between">
      <formula>$KY$43</formula>
      <formula>$KY$44</formula>
    </cfRule>
    <cfRule type="cellIs" dxfId="172" priority="196050" operator="between">
      <formula>$KY$42</formula>
      <formula>$KY$43</formula>
    </cfRule>
  </conditionalFormatting>
  <conditionalFormatting sqref="LT1:LT1048576 LW1:LW1048576 MA1:MA1048576 MD1:MD1048576">
    <cfRule type="cellIs" dxfId="171" priority="196095" operator="between">
      <formula>$MG$41</formula>
      <formula>1000</formula>
    </cfRule>
    <cfRule type="cellIs" dxfId="170" priority="196096" operator="between">
      <formula>$MG$40</formula>
      <formula>$MG$41</formula>
    </cfRule>
    <cfRule type="cellIs" dxfId="169" priority="196097" operator="between">
      <formula>$MG$39</formula>
      <formula>$MG$40</formula>
    </cfRule>
    <cfRule type="cellIs" dxfId="168" priority="196098" operator="between">
      <formula>$MG$38</formula>
      <formula>$MG$39</formula>
    </cfRule>
  </conditionalFormatting>
  <conditionalFormatting sqref="LV1:LV1048576 LY1:LY1048576 MC1:MC1048576 MF1:MF1048576">
    <cfRule type="cellIs" dxfId="167" priority="196143" operator="between">
      <formula>$MG$45</formula>
      <formula>1000</formula>
    </cfRule>
    <cfRule type="cellIs" dxfId="166" priority="196144" operator="between">
      <formula>$MG$44</formula>
      <formula>$MG$45</formula>
    </cfRule>
    <cfRule type="cellIs" dxfId="165" priority="196145" operator="between">
      <formula>$MG$43</formula>
      <formula>$MG$44</formula>
    </cfRule>
    <cfRule type="cellIs" dxfId="164" priority="196146" operator="between">
      <formula>$MG$42</formula>
      <formula>$MG$43</formula>
    </cfRule>
  </conditionalFormatting>
  <conditionalFormatting sqref="NB1:NB1048576 NE1:NE1048576 NI1:NI1048576">
    <cfRule type="cellIs" dxfId="163" priority="196191" operator="between">
      <formula>$NO$41</formula>
      <formula>1000</formula>
    </cfRule>
    <cfRule type="cellIs" dxfId="162" priority="196192" operator="between">
      <formula>$NO$40</formula>
      <formula>$NO$41</formula>
    </cfRule>
    <cfRule type="cellIs" dxfId="161" priority="196193" operator="between">
      <formula>$NO$39</formula>
      <formula>$NO$40</formula>
    </cfRule>
  </conditionalFormatting>
  <conditionalFormatting sqref="ND1:ND1048576 NG1:NG1048576 NK1:NK1048576 NN1:NN1048576">
    <cfRule type="cellIs" dxfId="160" priority="196218" operator="between">
      <formula>$NO$45</formula>
      <formula>1000</formula>
    </cfRule>
    <cfRule type="cellIs" dxfId="159" priority="196219" operator="between">
      <formula>$NO$44</formula>
      <formula>$NO$45</formula>
    </cfRule>
    <cfRule type="cellIs" dxfId="158" priority="196220" operator="between">
      <formula>$NO$43</formula>
      <formula>$NO$44</formula>
    </cfRule>
    <cfRule type="cellIs" dxfId="157" priority="196221" operator="between">
      <formula>$NO$42</formula>
      <formula>$NO$43</formula>
    </cfRule>
  </conditionalFormatting>
  <conditionalFormatting sqref="OJ1:OJ1048576 OM1:OM1048576 OQ1:OQ1048576 OT1:OT1048576">
    <cfRule type="cellIs" dxfId="156" priority="196266" operator="between">
      <formula>$OW$41</formula>
      <formula>1000</formula>
    </cfRule>
    <cfRule type="cellIs" dxfId="155" priority="196267" operator="between">
      <formula>$OW$40</formula>
      <formula>$OW$41</formula>
    </cfRule>
    <cfRule type="cellIs" dxfId="154" priority="196268" operator="between">
      <formula>$OW$39</formula>
      <formula>$OW$40</formula>
    </cfRule>
    <cfRule type="cellIs" dxfId="153" priority="196269" operator="between">
      <formula>$OW$38</formula>
      <formula>$OW$39</formula>
    </cfRule>
  </conditionalFormatting>
  <conditionalFormatting sqref="OL1:OL1048576 OO1:OO1048576 OS1:OS1048576 OV1:OV1048576">
    <cfRule type="cellIs" dxfId="152" priority="196314" operator="between">
      <formula>$OW$45</formula>
      <formula>1000</formula>
    </cfRule>
    <cfRule type="cellIs" dxfId="151" priority="196315" operator="between">
      <formula>$OW$44</formula>
      <formula>$OW$45</formula>
    </cfRule>
    <cfRule type="cellIs" dxfId="150" priority="196316" operator="between">
      <formula>$OW$43</formula>
      <formula>$OW$44</formula>
    </cfRule>
    <cfRule type="cellIs" dxfId="149" priority="196317" operator="between">
      <formula>$OW$42</formula>
      <formula>$OW$43</formula>
    </cfRule>
  </conditionalFormatting>
  <conditionalFormatting sqref="PR1:PR1048576 PU1:PU1048576 PY1:PY1048576 QB1:QB1048576">
    <cfRule type="cellIs" dxfId="148" priority="196362" operator="between">
      <formula>$QE$41</formula>
      <formula>1000</formula>
    </cfRule>
    <cfRule type="cellIs" dxfId="147" priority="196363" operator="between">
      <formula>$QE$40</formula>
      <formula>$QE$41</formula>
    </cfRule>
    <cfRule type="cellIs" dxfId="146" priority="196364" operator="between">
      <formula>$QE$39</formula>
      <formula>$QE$40</formula>
    </cfRule>
    <cfRule type="cellIs" dxfId="145" priority="196365" operator="between">
      <formula>$QE$38</formula>
      <formula>$QE$39</formula>
    </cfRule>
  </conditionalFormatting>
  <conditionalFormatting sqref="PT1:PT1048576 PW1:PW1048576 QA1:QA1048576 QD1:QD1048576">
    <cfRule type="cellIs" dxfId="144" priority="196410" operator="between">
      <formula>$QE$45</formula>
      <formula>1000</formula>
    </cfRule>
    <cfRule type="cellIs" dxfId="143" priority="196411" operator="between">
      <formula>$QE$44</formula>
      <formula>$QE$45</formula>
    </cfRule>
    <cfRule type="cellIs" dxfId="142" priority="196412" operator="between">
      <formula>$QE$43</formula>
      <formula>$QE$44</formula>
    </cfRule>
    <cfRule type="cellIs" dxfId="141" priority="196413" operator="between">
      <formula>$QE$42</formula>
      <formula>$QE$43</formula>
    </cfRule>
  </conditionalFormatting>
  <conditionalFormatting sqref="QZ1:QZ1048576 RC1:RC1048576 RG1:RG1048576 RJ1:RJ1048576">
    <cfRule type="cellIs" dxfId="140" priority="196458" operator="between">
      <formula>$RM$41</formula>
      <formula>1000</formula>
    </cfRule>
    <cfRule type="cellIs" dxfId="139" priority="196459" operator="between">
      <formula>$RM$40</formula>
      <formula>$RM$41</formula>
    </cfRule>
    <cfRule type="cellIs" dxfId="138" priority="196460" operator="between">
      <formula>$RM$39</formula>
      <formula>$RM$40</formula>
    </cfRule>
    <cfRule type="cellIs" dxfId="137" priority="196461" operator="between">
      <formula>$RM$38</formula>
      <formula>$RM$39</formula>
    </cfRule>
  </conditionalFormatting>
  <conditionalFormatting sqref="RB1:RB1048576 RE1:RE1048576 RI1:RI1048576 RL1:RL1048576">
    <cfRule type="cellIs" dxfId="136" priority="196506" operator="between">
      <formula>$RM$45</formula>
      <formula>1000</formula>
    </cfRule>
    <cfRule type="cellIs" dxfId="135" priority="196507" operator="between">
      <formula>$RM$44</formula>
      <formula>$RM$45</formula>
    </cfRule>
    <cfRule type="cellIs" dxfId="134" priority="196508" operator="between">
      <formula>$RM$43</formula>
      <formula>$RM$44</formula>
    </cfRule>
    <cfRule type="cellIs" dxfId="133" priority="196509" operator="between">
      <formula>$RM$42</formula>
      <formula>$RM$43</formula>
    </cfRule>
  </conditionalFormatting>
  <conditionalFormatting sqref="SH1:SH1048576 SK1:SK1048576 SO1:SO1048576 SR1:SR1048576">
    <cfRule type="cellIs" dxfId="132" priority="196554" operator="between">
      <formula>$SU$41</formula>
      <formula>1000</formula>
    </cfRule>
    <cfRule type="cellIs" dxfId="131" priority="196555" operator="between">
      <formula>$SU$40</formula>
      <formula>$SU$41</formula>
    </cfRule>
    <cfRule type="cellIs" dxfId="130" priority="196556" operator="between">
      <formula>$SU$39</formula>
      <formula>$SU$40</formula>
    </cfRule>
    <cfRule type="cellIs" dxfId="129" priority="196557" operator="between">
      <formula>$SU$38</formula>
      <formula>$SU$39</formula>
    </cfRule>
  </conditionalFormatting>
  <conditionalFormatting sqref="SJ1:SJ1048576 SM1:SM1048576 SQ1:SQ1048576 ST1:ST1048576">
    <cfRule type="cellIs" dxfId="128" priority="196602" operator="between">
      <formula>$SU$45</formula>
      <formula>1000</formula>
    </cfRule>
    <cfRule type="cellIs" dxfId="127" priority="196603" operator="between">
      <formula>$SU$44</formula>
      <formula>$SU$45</formula>
    </cfRule>
    <cfRule type="cellIs" dxfId="126" priority="196604" operator="between">
      <formula>$SU$43</formula>
      <formula>$SU$44</formula>
    </cfRule>
    <cfRule type="cellIs" dxfId="125" priority="196605" operator="between">
      <formula>$SU$42</formula>
      <formula>$SU$43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F51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186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203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200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201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DD"),SUMPRODUCT((J$4:J$22&lt;&gt;"")*(J$4:J$22&lt;&gt;"No DD")*(F$4:F$22&gt;F4))+1,IF(J4="No DD",SUMPRODUCT((J$4:J$22="No DD")*(F$4:F$22&gt;F4))+1+SUMPRODUCT((J$4:J$22&lt;&gt;"")*(J$4:J$22&lt;&gt;"No DD")),""))</f>
        <v>1</v>
      </c>
      <c r="B4" s="4" t="str" cm="1">
        <f t="array" ref="B4">IF(AND(J4&lt;&gt;"",J4&lt;&gt;"No DD",G4=""),SUMPRODUCT((J$4:J$22&lt;&gt;"")*(J$4:J$22&lt;&gt;"No DD")*(G$4:G$22="")*(F$4:F$22&gt;F4))+1,IF(J4="No DD",SUMPRODUCT((J$4:J$22="No DD")*(F$4:F$22&gt;F4)*(G$4:G$22=""))+1+SUMPRODUCT((J$4:J$22&lt;&gt;"")*(G$4:G$22="")*(J$4:J$22&lt;&gt;"No DD")),""))</f>
        <v/>
      </c>
      <c r="C4" s="5" t="s">
        <v>126</v>
      </c>
      <c r="D4" s="4" t="s">
        <v>3</v>
      </c>
      <c r="E4" s="4">
        <v>2006</v>
      </c>
      <c r="F4" s="9">
        <f t="shared" ref="F4:F21" si="0">SUM(L4:R4)+SUM(L4:O4)*0.0000001+SUM(L4)*0.0000000000001</f>
        <v>159.80001052000532</v>
      </c>
      <c r="G4" s="64" t="s">
        <v>46</v>
      </c>
      <c r="H4" s="3" t="str">
        <f t="shared" ref="H4:H21" si="1"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DZ4&gt;=EG$24,EA4&gt;=EG$28,DZ4&lt;&gt;""),AND(EE4&gt;=EG$24,EF4&gt;=EG$28,EE4&lt;&gt;""),AND(FB4&gt;=FI$24,FC4&gt;=FI$28,FB4&lt;&gt;""),AND(FG4&gt;=FI$24,FH4&gt;=FI$28,FG4&lt;&gt;""),AND(GD4&gt;=GK$24,GE4&gt;=GK$28,GD4&lt;&gt;""),AND(GI4&gt;=GK$24,GJ4&gt;=GK$28,GI4&lt;&gt;""),AND(HF4&gt;=HM$24,HG4&gt;=HM$28,HF4&lt;&gt;""),AND(HK4&gt;=HM$24,HL4&gt;=HM$28,HK4&lt;&gt;""),AND(IH4&gt;=IO$24,II4&gt;=IO$28,IH4&lt;&gt;""),AND(IM4&gt;=IO$24,IN4&gt;=IO$28,IM4&lt;&gt;""),AND(JJ4&gt;=JQ$24,JK4&gt;=JQ$28,JJ4&lt;&gt;""),AND(JO4&gt;=JQ$24,JP4&gt;=JQ$28,JO4&lt;&gt;""),AND(KL4&gt;=KS$24,KM4&gt;=KS$28,KL4&lt;&gt;""),AND(KQ4&gt;=KS$24,KR4&gt;=KS$28,KQ4&lt;&gt;""),AND(LN4&gt;=LU$24,LO4&gt;=LU$28,LN4&lt;&gt;""),AND(LS4&gt;=LU$24,LT4&gt;=LU$28,LS4&lt;&gt;""),AND(MP4&gt;=MW$24,MQ4&gt;=MW$28,MP4&lt;&gt;""),AND(MU4&gt;=MW$24,MV4&gt;=MW$28,MU4&lt;&gt;""),AND(NR4&gt;=NY$24,NS4&gt;=NY$28,NR4&lt;&gt;""),AND(NW4&gt;=NY$24,NX4&gt;=NY$28,NW4&lt;&gt;""),AND(OT4&gt;=PA$24,OU4&gt;=PA$28,OT4&lt;&gt;""),AND(OY4&gt;=PA$24,OZ4&gt;=PA$28,OY4&lt;&gt;""),AND(PV4&gt;=QC$24,PW4&gt;=QC$28,PV4&lt;&gt;""),AND(QA4&gt;=QC$24,QB4&gt;=QC$28,QA4&lt;&gt;"")),"P","")</f>
        <v>P</v>
      </c>
      <c r="I4" s="3" t="str">
        <f t="shared" ref="I4:I21" si="2">IF(OR(AND(AQ4&gt;=AW$28,AQ4&lt;&gt;"",AO4=""),AND(AV4&gt;=AW$28,AV4&lt;&gt;"",AO4=""),AND(BT4&gt;=BZ$28,BT4&lt;&gt;"",BR4=""),AND(BY4&gt;=BZ$28,BY4&lt;&gt;"",BR4=""),AND(CW4&gt;=DC$28,CW4&lt;&gt;"",CU4=""),AND(DB4&gt;=DC$28,DB4&lt;&gt;"",CU4=""),AND(EA4&gt;=EG$28,EA4&lt;&gt;""),AND(EF4&gt;=EG$28,EF4&lt;&gt;""),AND(FC4&gt;=FI$28,FC4&lt;&gt;""),AND(FH4&gt;=FI$28,FH4&lt;&gt;""),AND(GE4&gt;=GK$28,GE4&lt;&gt;""),AND(GJ4&gt;=GK$28,GJ4&lt;&gt;""),AND(HG4&gt;=HM$28,HG4&lt;&gt;""),AND(HL4&gt;=HM$28,HL4&lt;&gt;""),AND(II4&gt;=IO$28,II4&lt;&gt;""),AND(IN4&gt;=IO$28,IN4&lt;&gt;""),AND(JK4&gt;=JQ$28,JK4&lt;&gt;""),AND(JP4&gt;=JQ$28,JP4&lt;&gt;""),AND(KM4&gt;=KS$28,KM4&lt;&gt;""),AND(KR4&gt;=KS$28,KR4&lt;&gt;""),AND(LO4&gt;=LU$28,LO4&lt;&gt;""),AND(LT4&gt;=LU$28,LT4&lt;&gt;""),AND(MQ4&gt;=MW$28,MQ4&lt;&gt;""),AND(MV4&gt;=MW$28,MV4&lt;&gt;""),AND(NS4&gt;=NY$28,NS4&lt;&gt;""),AND(NX4&gt;=NY$28,NX4&lt;&gt;""),AND(OU4&gt;=PA$28,OU4&lt;&gt;""),AND(OZ4&gt;=PA$28,OZ4&lt;&gt;""),AND(PW4&gt;=QC$28,PW4&lt;&gt;""),AND(QB4&gt;=QC$28,QB4&lt;&gt;"")),"P","")</f>
        <v>P</v>
      </c>
      <c r="J4" s="36" t="str">
        <f t="shared" ref="J4:J21" si="3">IF(AND(I4="P",H4=""),"No DD",IF(OR(AND(AS4&gt;=AW$27,AT4&gt;=AW$31,AS4&lt;&gt;"",AO4=""),AND(BV4&gt;=BZ$27,BW4&gt;=BZ$31,BV4&lt;&gt;"",BR4=""),AND(CY4&gt;=DC$27,CZ4&gt;=DC$31,CY4&lt;&gt;"",CU4=""),AND(EC4&gt;=EG$27,ED4&gt;=EG$31,EC4&lt;&gt;""),AND(FE4&gt;=FI$27,FF4&gt;=FI$31,FE4&lt;&gt;""),AND(GG4&gt;=GK$27,GH4&gt;=GK$31,GG4&lt;&gt;""),AND(HI4&gt;=HM$27,HJ4&gt;=HM$31,HI4&lt;&gt;""),AND(IK4&gt;=IO$27,IL4&gt;=IO$31,IK4&lt;&gt;""),AND(JM4&gt;=JQ$27,JN4&gt;=JQ$31,JM4&lt;&gt;""),AND(KO4&gt;=KS$27,KP4&gt;=KS$31,KO4&lt;&gt;""),AND(LQ4&gt;=LU$27,LR4&gt;=LU$31,LQ4&lt;&gt;""),AND(MS4&gt;=MW$27,MT4&gt;=MW$31,MS4&lt;&gt;""),AND(NU4&gt;=NY$27,NV4&gt;=NY$31,NU4&lt;&gt;""),AND(OW4&gt;=PA$27,OX4&gt;=PA$31,OW4&lt;&gt;""),AND(PY4&gt;=QC$27,PZ4&gt;=QC$31,PY4&lt;&gt;"")),"Merit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Excellence",IF(K4="P","Worlds Team",IF(H4="P","National Team","")))))</f>
        <v>National Team</v>
      </c>
      <c r="K4" s="3" t="str">
        <f t="shared" ref="K4:K21" si="4">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P","")</f>
        <v/>
      </c>
      <c r="L4" s="8">
        <f>IF(COUNT(AQ4,BT4,CW4)&gt;0,LARGE((AQ4,BT4,CW4),1),0)</f>
        <v>53.399999999999991</v>
      </c>
      <c r="M4" s="8" t="str">
        <f t="shared" ref="M4:M21" si="5">IF(L4=0,"",IF(L4=CW4,$CA$1,IF(L4=BT4,$AX$1,IF(L4=AQ4,$U$1,""))))</f>
        <v>2025 Elite Canada</v>
      </c>
      <c r="N4" s="8">
        <f>IF(COUNT(AQ4,BT4,CW4)&gt;1,LARGE((AQ4,BT4,CW4),2),0)</f>
        <v>51.8</v>
      </c>
      <c r="O4" s="8" t="str">
        <f t="shared" ref="O4:O21" si="6">IF(N4=0,"",IF(AND(N4=L4,N4=AQ4,N4=BT4),$U$1,IF(AND(N4=L4,N4=AQ4,N4=CW4),$U$1,IF(AND(N4=L4,N4=BT4,N4=CW4),$AX$1,IF(N4=CW4,$CA$1,IF(N4=BT4,$AX$1,IF(N4=AQ4,$U$1,"")))))))</f>
        <v>2024 Nationals</v>
      </c>
      <c r="P4" s="8">
        <f t="shared" ref="P4:P21" si="7">IF(MAX(AV4,BY4,DB4)&gt;0,MAX(AV4,BY4,DB4),0)</f>
        <v>54.599999999999994</v>
      </c>
      <c r="Q4" s="8" t="str">
        <f t="shared" ref="Q4:Q21" si="8">IF(P4=0,"",IF(P4=DB4,$CA$1,IF(P4=BY4,$AX$1,IF(P4=AV4,$U$1,""))))</f>
        <v>2025 Elite Canada</v>
      </c>
      <c r="R4" s="8" t="str">
        <f t="shared" ref="R4:R21" si="9"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18.600000000000001</v>
      </c>
      <c r="V4" s="19">
        <v>8.5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18.399999999999999</v>
      </c>
      <c r="AD4" s="19">
        <v>7.7</v>
      </c>
      <c r="AE4" s="19">
        <v>0</v>
      </c>
      <c r="AF4" s="19">
        <v>0</v>
      </c>
      <c r="AG4" s="19">
        <v>18.600000000000001</v>
      </c>
      <c r="AH4" s="19">
        <v>6.9</v>
      </c>
      <c r="AI4" s="19">
        <v>0</v>
      </c>
      <c r="AJ4" s="19">
        <v>0</v>
      </c>
      <c r="AK4" s="19">
        <v>18.600000000000001</v>
      </c>
      <c r="AL4" s="19">
        <v>6.9</v>
      </c>
      <c r="AM4" s="19">
        <v>0</v>
      </c>
      <c r="AN4" s="19">
        <v>0</v>
      </c>
      <c r="AO4" s="27"/>
      <c r="AP4" s="40">
        <f t="shared" ref="AP4:AP21" si="10">IF(SUM(V4,Z4)&gt;0,SUM(V4,Z4),"")</f>
        <v>15</v>
      </c>
      <c r="AQ4" s="40">
        <f t="shared" ref="AQ4:AQ21" si="11">IF(SUM(U4:V4,X4:Z4,AB4)-W4-AA4&gt;0,SUM(U4:V4,X4:Z4,AB4)-W4-AA4,"")</f>
        <v>51.8</v>
      </c>
      <c r="AR4" s="40">
        <f t="shared" ref="AR4:AR21" si="12">IF(SUM(AC4:AD4,AF4)-AE4&gt;0,SUM(AC4:AD4,AF4)-AE4,"")</f>
        <v>26.099999999999998</v>
      </c>
      <c r="AS4" s="40">
        <f t="shared" ref="AS4:AS21" si="13">IF(SUM(V4,Z4,AD4)&gt;0,SUM(V4,Z4,AD4),"")</f>
        <v>22.7</v>
      </c>
      <c r="AT4" s="40">
        <f t="shared" ref="AT4:AT21" si="14">IF(SUM(AQ4,AR4)&gt;0,SUM(AQ4,AR4),"")</f>
        <v>77.899999999999991</v>
      </c>
      <c r="AU4" s="40">
        <f t="shared" ref="AU4:AU21" si="15">IF(SUM(AH4,AL4)&gt;0,SUM(AH4,AL4),"")</f>
        <v>13.8</v>
      </c>
      <c r="AV4" s="40">
        <f t="shared" ref="AV4:AV21" si="16">IF(SUM(AG4:AH4,AJ4:AL4,AN4)-SUM(AI4,AM4)&gt;0,SUM(AG4:AH4,AJ4:AL4,AN4)-SUM(AI4,AM4),"")</f>
        <v>51</v>
      </c>
      <c r="AW4" s="40">
        <f t="shared" ref="AW4:AW21" si="17">IF(SUM(AQ4,AR4,AV4)&gt;0,SUM(AQ4,AR4,AV4),"")</f>
        <v>128.89999999999998</v>
      </c>
      <c r="AX4" s="18">
        <v>18.3</v>
      </c>
      <c r="AY4" s="18">
        <v>8.5</v>
      </c>
      <c r="AZ4" s="18">
        <v>0</v>
      </c>
      <c r="BA4" s="18">
        <v>0</v>
      </c>
      <c r="BB4" s="18">
        <v>18.3</v>
      </c>
      <c r="BC4" s="18">
        <v>6.5</v>
      </c>
      <c r="BD4" s="18">
        <v>0</v>
      </c>
      <c r="BE4" s="18">
        <v>0</v>
      </c>
      <c r="BF4" s="18">
        <v>18.3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8.5</v>
      </c>
      <c r="BL4" s="18">
        <v>0</v>
      </c>
      <c r="BM4" s="18">
        <v>0</v>
      </c>
      <c r="BN4" s="18">
        <v>18.2</v>
      </c>
      <c r="BO4" s="18">
        <v>7.7</v>
      </c>
      <c r="BP4" s="18">
        <v>0</v>
      </c>
      <c r="BQ4" s="18">
        <v>0</v>
      </c>
      <c r="BR4" s="28"/>
      <c r="BS4" s="11">
        <f t="shared" ref="BS4:BS21" si="18">IF(SUM(AY4,BC4)&gt;0,SUM(AY4,BC4),"")</f>
        <v>15</v>
      </c>
      <c r="BT4" s="11">
        <f t="shared" ref="BT4:BT21" si="19">IF(SUM(AX4:AY4,BA4:BC4,BE4)-AZ4-BD4&gt;0,SUM(AX4:AY4,BA4:BC4,BE4)-AZ4-BD4,"")</f>
        <v>51.6</v>
      </c>
      <c r="BU4" s="11">
        <f t="shared" ref="BU4:BU21" si="20">IF(SUM(BF4:BG4,BI4)-BH4&gt;0,SUM(BF4:BG4,BI4)-BH4,"")</f>
        <v>26.8</v>
      </c>
      <c r="BV4" s="11">
        <f t="shared" ref="BV4:BV21" si="21">IF(SUM(AY4,BC4,BG4)&gt;0,SUM(AY4,BC4,BG4),"")</f>
        <v>23.5</v>
      </c>
      <c r="BW4" s="11">
        <f t="shared" ref="BW4:BW21" si="22">IF(SUM(BT4,BU4)&gt;0,SUM(BT4,BU4),"")</f>
        <v>78.400000000000006</v>
      </c>
      <c r="BX4" s="11">
        <f t="shared" ref="BX4:BX21" si="23">IF(SUM(BK4,BO4)&gt;0,SUM(BK4,BO4),"")</f>
        <v>16.2</v>
      </c>
      <c r="BY4" s="11">
        <f t="shared" ref="BY4:BY21" si="24">IF(SUM(BJ4:BK4,BM4:BO4,BQ4)-SUM(BL4,BP4)&gt;0,SUM(BJ4:BK4,BM4:BO4,BQ4)-SUM(BL4,BP4),"")</f>
        <v>52.8</v>
      </c>
      <c r="BZ4" s="11">
        <f t="shared" ref="BZ4:BZ21" si="25">IF(SUM(BT4,BU4,BY4)&gt;0,SUM(BT4,BU4,BY4),"")</f>
        <v>131.19999999999999</v>
      </c>
      <c r="CA4" s="19">
        <v>18.399999999999999</v>
      </c>
      <c r="CB4" s="19">
        <v>8.5</v>
      </c>
      <c r="CC4" s="19">
        <v>0.2</v>
      </c>
      <c r="CD4" s="19">
        <v>0</v>
      </c>
      <c r="CE4" s="19">
        <v>18.5</v>
      </c>
      <c r="CF4" s="19">
        <v>8.1999999999999993</v>
      </c>
      <c r="CG4" s="19">
        <v>0</v>
      </c>
      <c r="CH4" s="19">
        <v>0</v>
      </c>
      <c r="CI4" s="19"/>
      <c r="CJ4" s="19"/>
      <c r="CK4" s="19"/>
      <c r="CL4" s="19"/>
      <c r="CM4" s="19">
        <v>18.8</v>
      </c>
      <c r="CN4" s="19">
        <v>8.5</v>
      </c>
      <c r="CO4" s="19">
        <v>0.2</v>
      </c>
      <c r="CP4" s="19">
        <v>0</v>
      </c>
      <c r="CQ4" s="19">
        <v>18.7</v>
      </c>
      <c r="CR4" s="19">
        <v>8.8000000000000007</v>
      </c>
      <c r="CS4" s="19">
        <v>0</v>
      </c>
      <c r="CT4" s="19">
        <v>0</v>
      </c>
      <c r="CU4" s="27"/>
      <c r="CV4" s="40">
        <f t="shared" ref="CV4:CV21" si="26">IF(SUM(CB4,CF4)&gt;0,SUM(CB4,CF4),"")</f>
        <v>16.7</v>
      </c>
      <c r="CW4" s="40">
        <f t="shared" ref="CW4:CW21" si="27">IF(SUM(CA4:CB4,CD4:CF4,CH4)-CC4-CG4&gt;0,SUM(CA4:CB4,CD4:CF4,CH4)-CC4-CG4,"")</f>
        <v>53.399999999999991</v>
      </c>
      <c r="CX4" s="40" t="str">
        <f t="shared" ref="CX4:CX21" si="28">IF(SUM(CI4:CJ4,CL4)-CK4&gt;0,SUM(CI4:CJ4,CL4)-CK4,"")</f>
        <v/>
      </c>
      <c r="CY4" s="40">
        <f t="shared" ref="CY4:CY21" si="29">IF(SUM(CB4,CF4,CJ4)&gt;0,SUM(CB4,CF4,CJ4),"")</f>
        <v>16.7</v>
      </c>
      <c r="CZ4" s="40">
        <f t="shared" ref="CZ4:CZ21" si="30">IF(SUM(CW4,CX4)&gt;0,SUM(CW4,CX4),"")</f>
        <v>53.399999999999991</v>
      </c>
      <c r="DA4" s="40">
        <f t="shared" ref="DA4:DA21" si="31">IF(SUM(CN4,CR4)&gt;0,SUM(CN4,CR4),"")</f>
        <v>17.3</v>
      </c>
      <c r="DB4" s="40">
        <f t="shared" ref="DB4:DB21" si="32">IF(SUM(CM4:CN4,CP4:CR4,CT4)-SUM(CO4,CS4)&gt;0,SUM(CM4:CN4,CP4:CR4,CT4)-SUM(CO4,CS4),"")</f>
        <v>54.599999999999994</v>
      </c>
      <c r="DC4" s="40">
        <f t="shared" ref="DC4:DC21" si="33">IF(SUM(CW4,CX4,DB4)&gt;0,SUM(CW4,CX4,DB4),"")</f>
        <v>107.99999999999999</v>
      </c>
      <c r="DD4" s="50" t="str">
        <f t="shared" ref="DD4:DD21" si="34">IF(MAX(EA4,FC4,GE4,HG4,II4,JK4,KM4,LO4,MQ4,NS4,OU4,PW4)-IF(N4="",0,N4)&gt;0.001,MAX(EA4,FC4,GE4,HG4,II4,JK4,KM4,LO4,MQ4,NS4,OU4,PW4)-IF(N4="",0,N4),"")</f>
        <v/>
      </c>
      <c r="DE4" s="50" t="str">
        <f t="shared" ref="DE4:DE21" si="35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21" si="36">IF(SUM(DG4,DK4)&gt;0,SUM(DG4,DK4),"")</f>
        <v/>
      </c>
      <c r="EA4" s="40" t="str">
        <f t="shared" ref="EA4:EA21" si="37">IF(SUM(DF4:DG4,DI4:DK4,DM4)-DH4-DL4&gt;0,SUM(DF4:DG4,DI4:DK4,DM4)-DH4-DL4,"")</f>
        <v/>
      </c>
      <c r="EB4" s="40" t="str">
        <f t="shared" ref="EB4:EB21" si="38">IF(SUM(DN4:DO4,DQ4)-DP4&gt;0,SUM(DN4:DO4,DQ4)-DP4,"")</f>
        <v/>
      </c>
      <c r="EC4" s="40" t="str">
        <f t="shared" ref="EC4:EC21" si="39">IF(SUM(DG4,DK4,DO4)&gt;0,SUM(DG4,DK4,DO4),"")</f>
        <v/>
      </c>
      <c r="ED4" s="40" t="str">
        <f t="shared" ref="ED4:ED21" si="40">IF(SUM(EA4,EB4)&gt;0,SUM(EA4,EB4),"")</f>
        <v/>
      </c>
      <c r="EE4" s="40" t="str">
        <f t="shared" ref="EE4:EE21" si="41">IF(SUM(DS4,DW4)&gt;0,SUM(DS4,DW4),"")</f>
        <v/>
      </c>
      <c r="EF4" s="40" t="str">
        <f t="shared" ref="EF4:EF21" si="42">IF(SUM(DR4:DS4,DU4:DW4,DY4)-SUM(DT4,DX4)&gt;0,SUM(DR4:DS4,DU4:DW4,DY4)-SUM(DT4,DX4),"")</f>
        <v/>
      </c>
      <c r="EG4" s="40" t="str">
        <f t="shared" ref="EG4:EG21" si="43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21" si="44">IF(SUM(EI4,EM4)&gt;0,SUM(EI4,EM4),"")</f>
        <v/>
      </c>
      <c r="FC4" s="11" t="str">
        <f t="shared" ref="FC4:FC21" si="45">IF(SUM(EH4:EI4,EK4:EM4,EO4)-EJ4-EN4&gt;0,SUM(EH4:EI4,EK4:EM4,EO4)-EJ4-EN4,"")</f>
        <v/>
      </c>
      <c r="FD4" s="11" t="str">
        <f t="shared" ref="FD4:FD21" si="46">IF(SUM(EP4:EQ4,ES4)-ER4&gt;0,SUM(EP4:EQ4,ES4)-ER4,"")</f>
        <v/>
      </c>
      <c r="FE4" s="11" t="str">
        <f t="shared" ref="FE4:FE21" si="47">IF(SUM(EI4,EM4,EQ4)&gt;0,SUM(EI4,EM4,EQ4),"")</f>
        <v/>
      </c>
      <c r="FF4" s="11" t="str">
        <f t="shared" ref="FF4:FF21" si="48">IF(SUM(FC4,FD4)&gt;0,SUM(FC4,FD4),"")</f>
        <v/>
      </c>
      <c r="FG4" s="11" t="str">
        <f t="shared" ref="FG4:FG21" si="49">IF(SUM(EU4,EY4)&gt;0,SUM(EU4,EY4),"")</f>
        <v/>
      </c>
      <c r="FH4" s="11" t="str">
        <f t="shared" ref="FH4:FH21" si="50">IF(SUM(ET4:EU4,EW4:EY4,FA4)-SUM(EV4,EZ4)&gt;0,SUM(ET4:EU4,EW4:EY4,FA4)-SUM(EV4,EZ4),"")</f>
        <v/>
      </c>
      <c r="FI4" s="11" t="str">
        <f t="shared" ref="FI4:FI21" si="51">IF(SUM(FC4,FD4,FH4)&gt;0,SUM(FC4,FD4,FH4),"")</f>
        <v/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21" si="52">IF(SUM(FK4,FO4)&gt;0,SUM(FK4,FO4),"")</f>
        <v/>
      </c>
      <c r="GE4" s="40" t="str">
        <f t="shared" ref="GE4:GE21" si="53">IF(SUM(FJ4:FK4,FM4:FO4,FQ4)-FL4-FP4&gt;0,SUM(FJ4:FK4,FM4:FO4,FQ4)-FL4-FP4,"")</f>
        <v/>
      </c>
      <c r="GF4" s="40" t="str">
        <f t="shared" ref="GF4:GF21" si="54">IF(SUM(FR4:FS4,FU4)-FT4&gt;0,SUM(FR4:FS4,FU4)-FT4,"")</f>
        <v/>
      </c>
      <c r="GG4" s="40" t="str">
        <f t="shared" ref="GG4:GG21" si="55">IF(SUM(FK4,FO4,FS4)&gt;0,SUM(FK4,FO4,FS4),"")</f>
        <v/>
      </c>
      <c r="GH4" s="40" t="str">
        <f t="shared" ref="GH4:GH21" si="56">IF(SUM(GE4,GF4)&gt;0,SUM(GE4,GF4),"")</f>
        <v/>
      </c>
      <c r="GI4" s="40" t="str">
        <f t="shared" ref="GI4:GI21" si="57">IF(SUM(FW4,GA4)&gt;0,SUM(FW4,GA4),"")</f>
        <v/>
      </c>
      <c r="GJ4" s="40" t="str">
        <f t="shared" ref="GJ4:GJ21" si="58">IF(SUM(FV4:FW4,FY4:GA4,GC4)-SUM(FX4,GB4)&gt;0,SUM(FV4:FW4,FY4:GA4,GC4)-SUM(FX4,GB4),"")</f>
        <v/>
      </c>
      <c r="GK4" s="40" t="str">
        <f t="shared" ref="GK4:GK21" si="59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21" si="60">IF(SUM(GM4,GQ4)&gt;0,SUM(GM4,GQ4),"")</f>
        <v/>
      </c>
      <c r="HG4" s="11" t="str">
        <f t="shared" ref="HG4:HG21" si="61">IF(SUM(GL4:GM4,GO4:GQ4,GS4)-GN4-GR4&gt;0,SUM(GL4:GM4,GO4:GQ4,GS4)-GN4-GR4,"")</f>
        <v/>
      </c>
      <c r="HH4" s="11" t="str">
        <f t="shared" ref="HH4:HH21" si="62">IF(SUM(GT4:GU4,GW4)-GV4&gt;0,SUM(GT4:GU4,GW4)-GV4,"")</f>
        <v/>
      </c>
      <c r="HI4" s="11" t="str">
        <f t="shared" ref="HI4:HI21" si="63">IF(SUM(GM4,GQ4,GU4)&gt;0,SUM(GM4,GQ4,GU4),"")</f>
        <v/>
      </c>
      <c r="HJ4" s="11" t="str">
        <f t="shared" ref="HJ4:HJ21" si="64">IF(SUM(HG4,HH4)&gt;0,SUM(HG4,HH4),"")</f>
        <v/>
      </c>
      <c r="HK4" s="11" t="str">
        <f t="shared" ref="HK4:HK21" si="65">IF(SUM(GY4,HC4)&gt;0,SUM(GY4,HC4),"")</f>
        <v/>
      </c>
      <c r="HL4" s="11" t="str">
        <f t="shared" ref="HL4:HL21" si="66">IF(SUM(GX4:GY4,HA4:HC4,HE4)-SUM(GZ4,HD4)&gt;0,SUM(GX4:GY4,HA4:HC4,HE4)-SUM(GZ4,HD4),"")</f>
        <v/>
      </c>
      <c r="HM4" s="11" t="str">
        <f t="shared" ref="HM4:HM21" si="67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21" si="68">IF(SUM(HO4,HS4)&gt;0,SUM(HO4,HS4),"")</f>
        <v/>
      </c>
      <c r="II4" s="40" t="str">
        <f t="shared" ref="II4:II21" si="69">IF(SUM(HN4:HO4,HQ4:HS4,HU4)-HP4-HT4&gt;0,SUM(HN4:HO4,HQ4:HS4,HU4)-HP4-HT4,"")</f>
        <v/>
      </c>
      <c r="IJ4" s="40" t="str">
        <f t="shared" ref="IJ4:IJ21" si="70">IF(SUM(HV4:HW4,HY4)-HX4&gt;0,SUM(HV4:HW4,HY4)-HX4,"")</f>
        <v/>
      </c>
      <c r="IK4" s="40" t="str">
        <f t="shared" ref="IK4:IK21" si="71">IF(SUM(HO4,HS4,HW4)&gt;0,SUM(HO4,HS4,HW4),"")</f>
        <v/>
      </c>
      <c r="IL4" s="40" t="str">
        <f t="shared" ref="IL4:IL21" si="72">IF(SUM(II4,IJ4)&gt;0,SUM(II4,IJ4),"")</f>
        <v/>
      </c>
      <c r="IM4" s="40" t="str">
        <f t="shared" ref="IM4:IM21" si="73">IF(SUM(IA4,IE4)&gt;0,SUM(IA4,IE4),"")</f>
        <v/>
      </c>
      <c r="IN4" s="40" t="str">
        <f t="shared" ref="IN4:IN21" si="74">IF(SUM(HZ4:IA4,IC4:IE4,IG4)-SUM(IB4,IF4)&gt;0,SUM(HZ4:IA4,IC4:IE4,IG4)-SUM(IB4,IF4),"")</f>
        <v/>
      </c>
      <c r="IO4" s="40" t="str">
        <f t="shared" ref="IO4:IO21" si="75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21" si="76">IF(SUM(IQ4,IU4)&gt;0,SUM(IQ4,IU4),"")</f>
        <v/>
      </c>
      <c r="JK4" s="11" t="str">
        <f t="shared" ref="JK4:JK21" si="77">IF(SUM(IP4:IQ4,IS4:IU4,IW4)-IR4-IV4&gt;0,SUM(IP4:IQ4,IS4:IU4,IW4)-IR4-IV4,"")</f>
        <v/>
      </c>
      <c r="JL4" s="11" t="str">
        <f t="shared" ref="JL4:JL21" si="78">IF(SUM(IX4:IY4,JA4)-IZ4&gt;0,SUM(IX4:IY4,JA4)-IZ4,"")</f>
        <v/>
      </c>
      <c r="JM4" s="11" t="str">
        <f t="shared" ref="JM4:JM21" si="79">IF(SUM(IQ4,IU4,IY4)&gt;0,SUM(IQ4,IU4,IY4),"")</f>
        <v/>
      </c>
      <c r="JN4" s="11" t="str">
        <f t="shared" ref="JN4:JN21" si="80">IF(SUM(JK4,JL4)&gt;0,SUM(JK4,JL4),"")</f>
        <v/>
      </c>
      <c r="JO4" s="11" t="str">
        <f t="shared" ref="JO4:JO21" si="81">IF(SUM(JC4,JG4)&gt;0,SUM(JC4,JG4),"")</f>
        <v/>
      </c>
      <c r="JP4" s="11" t="str">
        <f t="shared" ref="JP4:JP21" si="82">IF(SUM(JB4:JC4,JE4:JG4,JI4)-SUM(JD4,JH4)&gt;0,SUM(JB4:JC4,JE4:JG4,JI4)-SUM(JD4,JH4),"")</f>
        <v/>
      </c>
      <c r="JQ4" s="11" t="str">
        <f t="shared" ref="JQ4:JQ21" si="83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21" si="84">IF(SUM(JS4,JW4)&gt;0,SUM(JS4,JW4),"")</f>
        <v/>
      </c>
      <c r="KM4" s="40" t="str">
        <f t="shared" ref="KM4:KM21" si="85">IF(SUM(JR4:JS4,JU4:JW4,JY4)-JT4-JX4&gt;0,SUM(JR4:JS4,JU4:JW4,JY4)-JT4-JX4,"")</f>
        <v/>
      </c>
      <c r="KN4" s="40" t="str">
        <f t="shared" ref="KN4:KN21" si="86">IF(SUM(JZ4:KA4,KC4)-KB4&gt;0,SUM(JZ4:KA4,KC4)-KB4,"")</f>
        <v/>
      </c>
      <c r="KO4" s="40" t="str">
        <f t="shared" ref="KO4:KO21" si="87">IF(SUM(JS4,JW4,KA4)&gt;0,SUM(JS4,JW4,KA4),"")</f>
        <v/>
      </c>
      <c r="KP4" s="40" t="str">
        <f t="shared" ref="KP4:KP21" si="88">IF(SUM(KM4,KN4)&gt;0,SUM(KM4,KN4),"")</f>
        <v/>
      </c>
      <c r="KQ4" s="40" t="str">
        <f t="shared" ref="KQ4:KQ21" si="89">IF(SUM(KE4,KI4)&gt;0,SUM(KE4,KI4),"")</f>
        <v/>
      </c>
      <c r="KR4" s="40" t="str">
        <f t="shared" ref="KR4:KR21" si="90">IF(SUM(KD4:KE4,KG4:KI4,KK4)-SUM(KF4,KJ4)&gt;0,SUM(KD4:KE4,KG4:KI4,KK4)-SUM(KF4,KJ4),"")</f>
        <v/>
      </c>
      <c r="KS4" s="40" t="str">
        <f t="shared" ref="KS4:KS21" si="91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21" si="92">IF(SUM(KU4,KY4)&gt;0,SUM(KU4,KY4),"")</f>
        <v/>
      </c>
      <c r="LO4" s="11" t="str">
        <f t="shared" ref="LO4:LO21" si="93">IF(SUM(KT4:KU4,KW4:KY4,LA4)-KV4-KZ4&gt;0,SUM(KT4:KU4,KW4:KY4,LA4)-KV4-KZ4,"")</f>
        <v/>
      </c>
      <c r="LP4" s="11" t="str">
        <f t="shared" ref="LP4:LP21" si="94">IF(SUM(LB4:LC4,LE4)-LD4&gt;0,SUM(LB4:LC4,LE4)-LD4,"")</f>
        <v/>
      </c>
      <c r="LQ4" s="11" t="str">
        <f t="shared" ref="LQ4:LQ21" si="95">IF(SUM(KU4,KY4,LC4)&gt;0,SUM(KU4,KY4,LC4),"")</f>
        <v/>
      </c>
      <c r="LR4" s="11" t="str">
        <f t="shared" ref="LR4:LR21" si="96">IF(SUM(LO4,LP4)&gt;0,SUM(LO4,LP4),"")</f>
        <v/>
      </c>
      <c r="LS4" s="11" t="str">
        <f t="shared" ref="LS4:LS21" si="97">IF(SUM(LG4,LK4)&gt;0,SUM(LG4,LK4),"")</f>
        <v/>
      </c>
      <c r="LT4" s="11" t="str">
        <f t="shared" ref="LT4:LT21" si="98">IF(SUM(LF4:LG4,LI4:LK4,LM4)-SUM(LH4,LL4)&gt;0,SUM(LF4:LG4,LI4:LK4,LM4)-SUM(LH4,LL4),"")</f>
        <v/>
      </c>
      <c r="LU4" s="11" t="str">
        <f t="shared" ref="LU4:LU21" si="99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21" si="100">IF(SUM(LW4,MA4)&gt;0,SUM(LW4,MA4),"")</f>
        <v/>
      </c>
      <c r="MQ4" s="40" t="str">
        <f t="shared" ref="MQ4:MQ21" si="101">IF(SUM(LV4:LW4,LY4:MA4,MC4)-LX4-MB4&gt;0,SUM(LV4:LW4,LY4:MA4,MC4)-LX4-MB4,"")</f>
        <v/>
      </c>
      <c r="MR4" s="40" t="str">
        <f t="shared" ref="MR4:MR21" si="102">IF(SUM(MD4:ME4,MG4)-MF4&gt;0,SUM(MD4:ME4,MG4)-MF4,"")</f>
        <v/>
      </c>
      <c r="MS4" s="40" t="str">
        <f t="shared" ref="MS4:MS21" si="103">IF(SUM(LW4,MA4,ME4)&gt;0,SUM(LW4,MA4,ME4),"")</f>
        <v/>
      </c>
      <c r="MT4" s="40" t="str">
        <f t="shared" ref="MT4:MT21" si="104">IF(SUM(MQ4,MR4)&gt;0,SUM(MQ4,MR4),"")</f>
        <v/>
      </c>
      <c r="MU4" s="40" t="str">
        <f t="shared" ref="MU4:MU21" si="105">IF(SUM(MI4,MM4)&gt;0,SUM(MI4,MM4),"")</f>
        <v/>
      </c>
      <c r="MV4" s="40" t="str">
        <f t="shared" ref="MV4:MV21" si="106">IF(SUM(MH4:MI4,MK4:MM4,MO4)-SUM(MJ4,MN4)&gt;0,SUM(MH4:MI4,MK4:MM4,MO4)-SUM(MJ4,MN4),"")</f>
        <v/>
      </c>
      <c r="MW4" s="40" t="str">
        <f t="shared" ref="MW4:MW21" si="107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21" si="108">IF(SUM(MY4,NC4)&gt;0,SUM(MY4,NC4),"")</f>
        <v/>
      </c>
      <c r="NS4" s="11" t="str">
        <f t="shared" ref="NS4:NS21" si="109">IF(SUM(MX4:MY4,NA4:NC4,NE4)-MZ4-ND4&gt;0,SUM(MX4:MY4,NA4:NC4,NE4)-MZ4-ND4,"")</f>
        <v/>
      </c>
      <c r="NT4" s="11" t="str">
        <f t="shared" ref="NT4:NT21" si="110">IF(SUM(NF4:NG4,NI4)-NH4&gt;0,SUM(NF4:NG4,NI4)-NH4,"")</f>
        <v/>
      </c>
      <c r="NU4" s="11" t="str">
        <f t="shared" ref="NU4:NU21" si="111">IF(SUM(MY4,NC4,NG4)&gt;0,SUM(MY4,NC4,NG4),"")</f>
        <v/>
      </c>
      <c r="NV4" s="11" t="str">
        <f t="shared" ref="NV4:NV21" si="112">IF(SUM(NS4,NT4)&gt;0,SUM(NS4,NT4),"")</f>
        <v/>
      </c>
      <c r="NW4" s="11" t="str">
        <f t="shared" ref="NW4:NW21" si="113">IF(SUM(NK4,NO4)&gt;0,SUM(NK4,NO4),"")</f>
        <v/>
      </c>
      <c r="NX4" s="11" t="str">
        <f t="shared" ref="NX4:NX21" si="114">IF(SUM(NJ4:NK4,NM4:NO4,NQ4)-SUM(NL4,NP4)&gt;0,SUM(NJ4:NK4,NM4:NO4,NQ4)-SUM(NL4,NP4),"")</f>
        <v/>
      </c>
      <c r="NY4" s="11" t="str">
        <f t="shared" ref="NY4:NY21" si="115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21" si="116">IF(SUM(OA4,OE4)&gt;0,SUM(OA4,OE4),"")</f>
        <v/>
      </c>
      <c r="OU4" s="40" t="str">
        <f t="shared" ref="OU4:OU21" si="117">IF(SUM(NZ4:OA4,OC4:OE4,OG4)-OB4-OF4&gt;0,SUM(NZ4:OA4,OC4:OE4,OG4)-OB4-OF4,"")</f>
        <v/>
      </c>
      <c r="OV4" s="40" t="str">
        <f t="shared" ref="OV4:OV21" si="118">IF(SUM(OH4:OI4,OK4)-OJ4&gt;0,SUM(OH4:OI4,OK4)-OJ4,"")</f>
        <v/>
      </c>
      <c r="OW4" s="40" t="str">
        <f t="shared" ref="OW4:OW21" si="119">IF(SUM(OA4,OE4,OI4)&gt;0,SUM(OA4,OE4,OI4),"")</f>
        <v/>
      </c>
      <c r="OX4" s="40" t="str">
        <f t="shared" ref="OX4:OX21" si="120">IF(SUM(OU4,OV4)&gt;0,SUM(OU4,OV4),"")</f>
        <v/>
      </c>
      <c r="OY4" s="40" t="str">
        <f t="shared" ref="OY4:OY21" si="121">IF(SUM(OM4,OQ4)&gt;0,SUM(OM4,OQ4),"")</f>
        <v/>
      </c>
      <c r="OZ4" s="40" t="str">
        <f t="shared" ref="OZ4:OZ21" si="122">IF(SUM(OL4:OM4,OO4:OQ4,OS4)-SUM(ON4,OR4)&gt;0,SUM(OL4:OM4,OO4:OQ4,OS4)-SUM(ON4,OR4),"")</f>
        <v/>
      </c>
      <c r="PA4" s="40" t="str">
        <f t="shared" ref="PA4:PA21" si="123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21" si="124">IF(SUM(PC4,PG4)&gt;0,SUM(PC4,PG4),"")</f>
        <v/>
      </c>
      <c r="PW4" s="11" t="str">
        <f t="shared" ref="PW4:PW21" si="125">IF(SUM(PB4:PC4,PE4:PG4,PI4)-PD4-PH4&gt;0,SUM(PB4:PC4,PE4:PG4,PI4)-PD4-PH4,"")</f>
        <v/>
      </c>
      <c r="PX4" s="11" t="str">
        <f t="shared" ref="PX4:PX21" si="126">IF(SUM(PJ4:PK4,PM4)-PL4&gt;0,SUM(PJ4:PK4,PM4)-PL4,"")</f>
        <v/>
      </c>
      <c r="PY4" s="11" t="str">
        <f t="shared" ref="PY4:PY21" si="127">IF(SUM(PC4,PG4,PK4)&gt;0,SUM(PC4,PG4,PK4),"")</f>
        <v/>
      </c>
      <c r="PZ4" s="11" t="str">
        <f t="shared" ref="PZ4:PZ21" si="128">IF(SUM(PW4,PX4)&gt;0,SUM(PW4,PX4),"")</f>
        <v/>
      </c>
      <c r="QA4" s="11" t="str">
        <f t="shared" ref="QA4:QA21" si="129">IF(SUM(PO4,PS4)&gt;0,SUM(PO4,PS4),"")</f>
        <v/>
      </c>
      <c r="QB4" s="11" t="str">
        <f t="shared" ref="QB4:QB21" si="130">IF(SUM(PN4:PO4,PQ4:PS4,PU4)-SUM(PP4,PT4)&gt;0,SUM(PN4:PO4,PQ4:PS4,PU4)-SUM(PP4,PT4),"")</f>
        <v/>
      </c>
      <c r="QC4" s="11" t="str">
        <f t="shared" ref="QC4:QC21" si="131">IF(SUM(PW4,PX4,QB4)&gt;0,SUM(PW4,PX4,QB4),"")</f>
        <v/>
      </c>
      <c r="QD4" s="22">
        <f t="shared" ref="QD4:QD21" si="132">IF($CU4="P",CA4,(CA4+AX4)/2)</f>
        <v>18.350000000000001</v>
      </c>
      <c r="QE4" s="22">
        <f t="shared" ref="QE4:QE21" si="133">IF($CU4="P",CB4,(CB4+AY4)/2)</f>
        <v>8.5</v>
      </c>
      <c r="QF4" s="22">
        <f t="shared" ref="QF4:QF21" si="134">IF($CU4="P",CC4,(CC4+AZ4)/2)</f>
        <v>0.1</v>
      </c>
      <c r="QG4" s="22">
        <f t="shared" ref="QG4:QG21" si="135">IF($CU4="P",CD4,(CD4+BA4)/2)</f>
        <v>0</v>
      </c>
      <c r="QH4" s="22">
        <f t="shared" ref="QH4:QH21" si="136">IF($CU4="P",CE4,(CE4+BB4)/2)</f>
        <v>18.399999999999999</v>
      </c>
      <c r="QI4" s="22">
        <f t="shared" ref="QI4:QI21" si="137">IF($CU4="P",CF4,(CF4+BC4)/2)</f>
        <v>7.35</v>
      </c>
      <c r="QJ4" s="22">
        <f t="shared" ref="QJ4:QJ21" si="138">IF($CU4="P",CG4,(CG4+BD4)/2)</f>
        <v>0</v>
      </c>
      <c r="QK4" s="22">
        <f t="shared" ref="QK4:QK21" si="139">IF($CU4="P",CH4,(CH4+BE4)/2)</f>
        <v>0</v>
      </c>
      <c r="QL4" s="22">
        <f t="shared" ref="QL4:QL21" si="140">IF($CU4="P",CI4,(CI4+BF4)/2)</f>
        <v>9.15</v>
      </c>
      <c r="QM4" s="22">
        <f t="shared" ref="QM4:QM21" si="141">IF($CU4="P",CJ4,(CJ4+BG4)/2)</f>
        <v>4.25</v>
      </c>
      <c r="QN4" s="22">
        <f t="shared" ref="QN4:QN21" si="142">IF($CU4="P",CK4,(CK4+BH4)/2)</f>
        <v>0</v>
      </c>
      <c r="QO4" s="22">
        <f t="shared" ref="QO4:QO21" si="143">IF($CU4="P",CL4,(CL4+BI4)/2)</f>
        <v>0</v>
      </c>
      <c r="QP4" s="22">
        <f t="shared" ref="QP4:QP21" si="144">IF($CU4="P",CM4,(CM4+BJ4)/2)</f>
        <v>18.600000000000001</v>
      </c>
      <c r="QQ4" s="22">
        <f t="shared" ref="QQ4:QQ21" si="145">IF($CU4="P",CN4,(CN4+BK4)/2)</f>
        <v>8.5</v>
      </c>
      <c r="QR4" s="22">
        <f t="shared" ref="QR4:QR21" si="146">IF($CU4="P",CO4,(CO4+BL4)/2)</f>
        <v>0.1</v>
      </c>
      <c r="QS4" s="22">
        <f t="shared" ref="QS4:QS21" si="147">IF($CU4="P",CP4,(CP4+BM4)/2)</f>
        <v>0</v>
      </c>
      <c r="QT4" s="22">
        <f t="shared" ref="QT4:QT21" si="148">IF($CU4="P",CQ4,(CQ4+BN4)/2)</f>
        <v>18.45</v>
      </c>
      <c r="QU4" s="22">
        <f t="shared" ref="QU4:QU21" si="149">IF($CU4="P",CR4,(CR4+BO4)/2)</f>
        <v>8.25</v>
      </c>
      <c r="QV4" s="22">
        <f t="shared" ref="QV4:QV21" si="150">IF($CU4="P",CS4,(CS4+BP4)/2)</f>
        <v>0</v>
      </c>
      <c r="QW4" s="22">
        <f t="shared" ref="QW4:QW21" si="151">IF($CU4="P",CT4,(CT4+BQ4)/2)</f>
        <v>0</v>
      </c>
      <c r="QX4" s="27" t="s">
        <v>46</v>
      </c>
      <c r="QY4" s="40">
        <f t="shared" ref="QY4:QY21" si="152">IF(SUM(QE4,QI4)&gt;0,SUM(QE4,QI4),"")</f>
        <v>15.85</v>
      </c>
      <c r="QZ4" s="40">
        <f t="shared" ref="QZ4:QZ21" si="153">IF(SUM(QD4:QE4,QG4:QI4,QK4)-QF4-QJ4&gt;0,SUM(QD4:QE4,QG4:QI4,QK4)-QF4-QJ4,"")</f>
        <v>52.5</v>
      </c>
      <c r="RA4" s="40">
        <f t="shared" ref="RA4:RA21" si="154">IF(SUM(QL4:QM4,QO4)-QN4&gt;0,SUM(QL4:QM4,QO4)-QN4,"")</f>
        <v>13.4</v>
      </c>
      <c r="RB4" s="40">
        <f t="shared" ref="RB4:RB21" si="155">IF(SUM(QE4,QI4,QM4)&gt;0,SUM(QE4,QI4,QM4),"")</f>
        <v>20.100000000000001</v>
      </c>
      <c r="RC4" s="40">
        <f t="shared" ref="RC4:RC21" si="156">IF(SUM(QZ4,RA4)&gt;0,SUM(QZ4,RA4),"")</f>
        <v>65.900000000000006</v>
      </c>
      <c r="RD4" s="40">
        <f t="shared" ref="RD4:RD21" si="157">IF(SUM(QQ4,QU4)&gt;0,SUM(QQ4,QU4),"")</f>
        <v>16.75</v>
      </c>
      <c r="RE4" s="40">
        <f t="shared" ref="RE4:RE21" si="158">IF(SUM(QP4:QQ4,QS4:QU4,QW4)-SUM(QR4,QV4)&gt;0,SUM(QP4:QQ4,QS4:QU4,QW4)-SUM(QR4,QV4),"")</f>
        <v>53.699999999999996</v>
      </c>
      <c r="RF4" s="40">
        <f t="shared" ref="RF4:RF21" si="159">IF(SUM(QZ4,RA4,RE4)&gt;0,SUM(QZ4,RA4,RE4),"")</f>
        <v>119.6</v>
      </c>
    </row>
    <row r="5" spans="1:474" x14ac:dyDescent="0.2">
      <c r="A5" s="4" cm="1">
        <f t="array" ref="A5">IF(AND(J5&lt;&gt;"",J5&lt;&gt;"No DD"),SUMPRODUCT((J$4:J$22&lt;&gt;"")*(J$4:J$22&lt;&gt;"No DD")*(F$4:F$22&gt;F5))+1,IF(J5="No DD",SUMPRODUCT((J$4:J$22="No DD")*(F$4:F$22&gt;F5))+1+SUMPRODUCT((J$4:J$22&lt;&gt;"")*(J$4:J$22&lt;&gt;"No DD")),""))</f>
        <v>2</v>
      </c>
      <c r="B5" s="4" t="str" cm="1">
        <f t="array" ref="B5">IF(AND(J5&lt;&gt;"",J5&lt;&gt;"No DD",G5=""),SUMPRODUCT((J$4:J$22&lt;&gt;"")*(J$4:J$22&lt;&gt;"No DD")*(G$4:G$22="")*(F$4:F$22&gt;F5))+1,IF(J5="No DD",SUMPRODUCT((J$4:J$22="No DD")*(F$4:F$22&gt;F5)*(G$4:G$22=""))+1+SUMPRODUCT((J$4:J$22&lt;&gt;"")*(G$4:G$22="")*(J$4:J$22&lt;&gt;"No DD")),""))</f>
        <v/>
      </c>
      <c r="C5" s="5" t="s">
        <v>131</v>
      </c>
      <c r="D5" s="4" t="s">
        <v>6</v>
      </c>
      <c r="E5" s="4">
        <v>2006</v>
      </c>
      <c r="F5" s="9">
        <f t="shared" si="0"/>
        <v>156.0000102500052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51.900000000000006</v>
      </c>
      <c r="M5" s="8" t="str">
        <f t="shared" si="5"/>
        <v>2024 3rd Domestic Trial</v>
      </c>
      <c r="N5" s="8">
        <f>IF(COUNT(AQ5,BT5,CW5)&gt;1,LARGE((AQ5,BT5,CW5),2),0)</f>
        <v>50.6</v>
      </c>
      <c r="O5" s="8" t="str">
        <f t="shared" si="6"/>
        <v>2025 Elite Canada</v>
      </c>
      <c r="P5" s="8">
        <f t="shared" si="7"/>
        <v>53.5</v>
      </c>
      <c r="Q5" s="8" t="str">
        <f t="shared" si="8"/>
        <v>2025 Elite Canada</v>
      </c>
      <c r="R5" s="8" t="str">
        <f t="shared" si="9"/>
        <v/>
      </c>
      <c r="S5" s="11" t="str">
        <f t="shared" ref="S5:S21" si="160">IF(R5="","",IF(R5=DD5,"("&amp;DD$2&amp;")",IF(R5=DE5,"("&amp;DE$2&amp;")")))</f>
        <v/>
      </c>
      <c r="T5" s="8" t="str">
        <f t="shared" ref="T5:T21" si="161"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18.100000000000001</v>
      </c>
      <c r="V5" s="19">
        <v>7.1</v>
      </c>
      <c r="W5" s="19">
        <v>0.2</v>
      </c>
      <c r="X5" s="19">
        <v>0</v>
      </c>
      <c r="Y5" s="19">
        <v>17.8</v>
      </c>
      <c r="Z5" s="19">
        <v>6.6</v>
      </c>
      <c r="AA5" s="19">
        <v>0</v>
      </c>
      <c r="AB5" s="19">
        <v>0</v>
      </c>
      <c r="AC5" s="19">
        <v>18.3</v>
      </c>
      <c r="AD5" s="19">
        <v>7.1</v>
      </c>
      <c r="AE5" s="19">
        <v>0.2</v>
      </c>
      <c r="AF5" s="19">
        <v>0</v>
      </c>
      <c r="AG5" s="19">
        <v>18.399999999999999</v>
      </c>
      <c r="AH5" s="19">
        <v>7.2</v>
      </c>
      <c r="AI5" s="19">
        <v>0</v>
      </c>
      <c r="AJ5" s="19">
        <v>0</v>
      </c>
      <c r="AK5" s="19">
        <v>18.3</v>
      </c>
      <c r="AL5" s="19">
        <v>6.5</v>
      </c>
      <c r="AM5" s="19">
        <v>0</v>
      </c>
      <c r="AN5" s="19">
        <v>0</v>
      </c>
      <c r="AO5" s="27"/>
      <c r="AP5" s="40">
        <f t="shared" si="10"/>
        <v>13.7</v>
      </c>
      <c r="AQ5" s="40">
        <f t="shared" si="11"/>
        <v>49.4</v>
      </c>
      <c r="AR5" s="40">
        <f t="shared" si="12"/>
        <v>25.2</v>
      </c>
      <c r="AS5" s="40">
        <f t="shared" si="13"/>
        <v>20.799999999999997</v>
      </c>
      <c r="AT5" s="40">
        <f t="shared" si="14"/>
        <v>74.599999999999994</v>
      </c>
      <c r="AU5" s="40">
        <f t="shared" si="15"/>
        <v>13.7</v>
      </c>
      <c r="AV5" s="40">
        <f t="shared" si="16"/>
        <v>50.4</v>
      </c>
      <c r="AW5" s="40">
        <f t="shared" si="17"/>
        <v>125</v>
      </c>
      <c r="AX5" s="18">
        <v>18.100000000000001</v>
      </c>
      <c r="AY5" s="18">
        <v>7.5</v>
      </c>
      <c r="AZ5" s="18">
        <v>0</v>
      </c>
      <c r="BA5" s="18">
        <v>0</v>
      </c>
      <c r="BB5" s="18">
        <v>18.8</v>
      </c>
      <c r="BC5" s="18">
        <v>7.5</v>
      </c>
      <c r="BD5" s="18">
        <v>0</v>
      </c>
      <c r="BE5" s="18">
        <v>0</v>
      </c>
      <c r="BF5" s="18">
        <v>18.3</v>
      </c>
      <c r="BG5" s="18">
        <v>7.3</v>
      </c>
      <c r="BH5" s="18">
        <v>0</v>
      </c>
      <c r="BI5" s="18">
        <v>0</v>
      </c>
      <c r="BJ5" s="18">
        <v>18.3</v>
      </c>
      <c r="BK5" s="18">
        <v>7.5</v>
      </c>
      <c r="BL5" s="18">
        <v>0.2</v>
      </c>
      <c r="BM5" s="18">
        <v>0</v>
      </c>
      <c r="BN5" s="18">
        <v>18.3</v>
      </c>
      <c r="BO5" s="18">
        <v>6.9</v>
      </c>
      <c r="BP5" s="18">
        <v>0</v>
      </c>
      <c r="BQ5" s="18">
        <v>0</v>
      </c>
      <c r="BR5" s="28"/>
      <c r="BS5" s="11">
        <f t="shared" si="18"/>
        <v>15</v>
      </c>
      <c r="BT5" s="11">
        <f t="shared" si="19"/>
        <v>51.900000000000006</v>
      </c>
      <c r="BU5" s="11">
        <f t="shared" si="20"/>
        <v>25.6</v>
      </c>
      <c r="BV5" s="11">
        <f t="shared" si="21"/>
        <v>22.3</v>
      </c>
      <c r="BW5" s="11">
        <f t="shared" si="22"/>
        <v>77.5</v>
      </c>
      <c r="BX5" s="11">
        <f t="shared" si="23"/>
        <v>14.4</v>
      </c>
      <c r="BY5" s="11">
        <f t="shared" si="24"/>
        <v>50.8</v>
      </c>
      <c r="BZ5" s="11">
        <f t="shared" si="25"/>
        <v>128.30000000000001</v>
      </c>
      <c r="CA5" s="19">
        <v>17.3</v>
      </c>
      <c r="CB5" s="19">
        <v>6.7</v>
      </c>
      <c r="CC5" s="19">
        <v>0</v>
      </c>
      <c r="CD5" s="19">
        <v>0</v>
      </c>
      <c r="CE5" s="19">
        <v>18.7</v>
      </c>
      <c r="CF5" s="19">
        <v>7.9</v>
      </c>
      <c r="CG5" s="19">
        <v>0</v>
      </c>
      <c r="CH5" s="19">
        <v>0</v>
      </c>
      <c r="CI5" s="19"/>
      <c r="CJ5" s="19"/>
      <c r="CK5" s="19"/>
      <c r="CL5" s="19"/>
      <c r="CM5" s="19">
        <v>18.3</v>
      </c>
      <c r="CN5" s="19">
        <v>8.3000000000000007</v>
      </c>
      <c r="CO5" s="19">
        <v>0</v>
      </c>
      <c r="CP5" s="19">
        <v>0</v>
      </c>
      <c r="CQ5" s="19">
        <v>19</v>
      </c>
      <c r="CR5" s="19">
        <v>7.9</v>
      </c>
      <c r="CS5" s="19">
        <v>0</v>
      </c>
      <c r="CT5" s="19">
        <v>0</v>
      </c>
      <c r="CU5" s="27"/>
      <c r="CV5" s="40">
        <f t="shared" si="26"/>
        <v>14.600000000000001</v>
      </c>
      <c r="CW5" s="40">
        <f t="shared" si="27"/>
        <v>50.6</v>
      </c>
      <c r="CX5" s="40" t="str">
        <f t="shared" si="28"/>
        <v/>
      </c>
      <c r="CY5" s="40">
        <f t="shared" si="29"/>
        <v>14.600000000000001</v>
      </c>
      <c r="CZ5" s="40">
        <f t="shared" si="30"/>
        <v>50.6</v>
      </c>
      <c r="DA5" s="40">
        <f t="shared" si="31"/>
        <v>16.200000000000003</v>
      </c>
      <c r="DB5" s="40">
        <f t="shared" si="32"/>
        <v>53.5</v>
      </c>
      <c r="DC5" s="40">
        <f t="shared" si="33"/>
        <v>104.1</v>
      </c>
      <c r="DD5" s="50" t="str">
        <f t="shared" si="34"/>
        <v/>
      </c>
      <c r="DE5" s="50" t="str">
        <f t="shared" si="35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6"/>
        <v/>
      </c>
      <c r="EA5" s="40" t="str">
        <f t="shared" si="37"/>
        <v/>
      </c>
      <c r="EB5" s="40" t="str">
        <f t="shared" si="38"/>
        <v/>
      </c>
      <c r="EC5" s="40" t="str">
        <f t="shared" si="39"/>
        <v/>
      </c>
      <c r="ED5" s="40" t="str">
        <f t="shared" si="40"/>
        <v/>
      </c>
      <c r="EE5" s="40" t="str">
        <f t="shared" si="41"/>
        <v/>
      </c>
      <c r="EF5" s="40" t="str">
        <f t="shared" si="42"/>
        <v/>
      </c>
      <c r="EG5" s="40" t="str">
        <f t="shared" si="43"/>
        <v/>
      </c>
      <c r="EH5" s="18">
        <v>17.5</v>
      </c>
      <c r="EI5" s="18">
        <v>7.3</v>
      </c>
      <c r="EJ5" s="18">
        <v>0</v>
      </c>
      <c r="EK5" s="18">
        <v>0</v>
      </c>
      <c r="EL5" s="18">
        <v>17.600000000000001</v>
      </c>
      <c r="EM5" s="18">
        <v>7.5</v>
      </c>
      <c r="EN5" s="18">
        <v>0</v>
      </c>
      <c r="EO5" s="18">
        <v>0</v>
      </c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>
        <f t="shared" si="44"/>
        <v>14.8</v>
      </c>
      <c r="FC5" s="11">
        <f t="shared" si="45"/>
        <v>49.900000000000006</v>
      </c>
      <c r="FD5" s="11" t="str">
        <f t="shared" si="46"/>
        <v/>
      </c>
      <c r="FE5" s="11">
        <f t="shared" si="47"/>
        <v>14.8</v>
      </c>
      <c r="FF5" s="11">
        <f t="shared" si="48"/>
        <v>49.900000000000006</v>
      </c>
      <c r="FG5" s="11" t="str">
        <f t="shared" si="49"/>
        <v/>
      </c>
      <c r="FH5" s="11" t="str">
        <f t="shared" si="50"/>
        <v/>
      </c>
      <c r="FI5" s="11">
        <f t="shared" si="51"/>
        <v>49.900000000000006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2"/>
        <v/>
      </c>
      <c r="GE5" s="40" t="str">
        <f t="shared" si="53"/>
        <v/>
      </c>
      <c r="GF5" s="40" t="str">
        <f t="shared" si="54"/>
        <v/>
      </c>
      <c r="GG5" s="40" t="str">
        <f t="shared" si="55"/>
        <v/>
      </c>
      <c r="GH5" s="40" t="str">
        <f t="shared" si="56"/>
        <v/>
      </c>
      <c r="GI5" s="40" t="str">
        <f t="shared" si="57"/>
        <v/>
      </c>
      <c r="GJ5" s="40" t="str">
        <f t="shared" si="58"/>
        <v/>
      </c>
      <c r="GK5" s="40" t="str">
        <f t="shared" si="59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0"/>
        <v/>
      </c>
      <c r="HG5" s="11" t="str">
        <f t="shared" si="61"/>
        <v/>
      </c>
      <c r="HH5" s="11" t="str">
        <f t="shared" si="62"/>
        <v/>
      </c>
      <c r="HI5" s="11" t="str">
        <f t="shared" si="63"/>
        <v/>
      </c>
      <c r="HJ5" s="11" t="str">
        <f t="shared" si="64"/>
        <v/>
      </c>
      <c r="HK5" s="11" t="str">
        <f t="shared" si="65"/>
        <v/>
      </c>
      <c r="HL5" s="11" t="str">
        <f t="shared" si="66"/>
        <v/>
      </c>
      <c r="HM5" s="11" t="str">
        <f t="shared" si="67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68"/>
        <v/>
      </c>
      <c r="II5" s="40" t="str">
        <f t="shared" si="69"/>
        <v/>
      </c>
      <c r="IJ5" s="40" t="str">
        <f t="shared" si="70"/>
        <v/>
      </c>
      <c r="IK5" s="40" t="str">
        <f t="shared" si="71"/>
        <v/>
      </c>
      <c r="IL5" s="40" t="str">
        <f t="shared" si="72"/>
        <v/>
      </c>
      <c r="IM5" s="40" t="str">
        <f t="shared" si="73"/>
        <v/>
      </c>
      <c r="IN5" s="40" t="str">
        <f t="shared" si="74"/>
        <v/>
      </c>
      <c r="IO5" s="40" t="str">
        <f t="shared" si="75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6"/>
        <v/>
      </c>
      <c r="JK5" s="11" t="str">
        <f t="shared" si="77"/>
        <v/>
      </c>
      <c r="JL5" s="11" t="str">
        <f t="shared" si="78"/>
        <v/>
      </c>
      <c r="JM5" s="11" t="str">
        <f t="shared" si="79"/>
        <v/>
      </c>
      <c r="JN5" s="11" t="str">
        <f t="shared" si="80"/>
        <v/>
      </c>
      <c r="JO5" s="11" t="str">
        <f t="shared" si="81"/>
        <v/>
      </c>
      <c r="JP5" s="11" t="str">
        <f t="shared" si="82"/>
        <v/>
      </c>
      <c r="JQ5" s="11" t="str">
        <f t="shared" si="83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4"/>
        <v/>
      </c>
      <c r="KM5" s="40" t="str">
        <f t="shared" si="85"/>
        <v/>
      </c>
      <c r="KN5" s="40" t="str">
        <f t="shared" si="86"/>
        <v/>
      </c>
      <c r="KO5" s="40" t="str">
        <f t="shared" si="87"/>
        <v/>
      </c>
      <c r="KP5" s="40" t="str">
        <f t="shared" si="88"/>
        <v/>
      </c>
      <c r="KQ5" s="40" t="str">
        <f t="shared" si="89"/>
        <v/>
      </c>
      <c r="KR5" s="40" t="str">
        <f t="shared" si="90"/>
        <v/>
      </c>
      <c r="KS5" s="40" t="str">
        <f t="shared" si="91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2"/>
        <v/>
      </c>
      <c r="LO5" s="11" t="str">
        <f t="shared" si="93"/>
        <v/>
      </c>
      <c r="LP5" s="11" t="str">
        <f t="shared" si="94"/>
        <v/>
      </c>
      <c r="LQ5" s="11" t="str">
        <f t="shared" si="95"/>
        <v/>
      </c>
      <c r="LR5" s="11" t="str">
        <f t="shared" si="96"/>
        <v/>
      </c>
      <c r="LS5" s="11" t="str">
        <f t="shared" si="97"/>
        <v/>
      </c>
      <c r="LT5" s="11" t="str">
        <f t="shared" si="98"/>
        <v/>
      </c>
      <c r="LU5" s="11" t="str">
        <f t="shared" si="99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0"/>
        <v/>
      </c>
      <c r="MQ5" s="40" t="str">
        <f t="shared" si="101"/>
        <v/>
      </c>
      <c r="MR5" s="40" t="str">
        <f t="shared" si="102"/>
        <v/>
      </c>
      <c r="MS5" s="40" t="str">
        <f t="shared" si="103"/>
        <v/>
      </c>
      <c r="MT5" s="40" t="str">
        <f t="shared" si="104"/>
        <v/>
      </c>
      <c r="MU5" s="40" t="str">
        <f t="shared" si="105"/>
        <v/>
      </c>
      <c r="MV5" s="40" t="str">
        <f t="shared" si="106"/>
        <v/>
      </c>
      <c r="MW5" s="40" t="str">
        <f t="shared" si="107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08"/>
        <v/>
      </c>
      <c r="NS5" s="11" t="str">
        <f t="shared" si="109"/>
        <v/>
      </c>
      <c r="NT5" s="11" t="str">
        <f t="shared" si="110"/>
        <v/>
      </c>
      <c r="NU5" s="11" t="str">
        <f t="shared" si="111"/>
        <v/>
      </c>
      <c r="NV5" s="11" t="str">
        <f t="shared" si="112"/>
        <v/>
      </c>
      <c r="NW5" s="11" t="str">
        <f t="shared" si="113"/>
        <v/>
      </c>
      <c r="NX5" s="11" t="str">
        <f t="shared" si="114"/>
        <v/>
      </c>
      <c r="NY5" s="11" t="str">
        <f t="shared" si="115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6"/>
        <v/>
      </c>
      <c r="OU5" s="40" t="str">
        <f t="shared" si="117"/>
        <v/>
      </c>
      <c r="OV5" s="40" t="str">
        <f t="shared" si="118"/>
        <v/>
      </c>
      <c r="OW5" s="40" t="str">
        <f t="shared" si="119"/>
        <v/>
      </c>
      <c r="OX5" s="40" t="str">
        <f t="shared" si="120"/>
        <v/>
      </c>
      <c r="OY5" s="40" t="str">
        <f t="shared" si="121"/>
        <v/>
      </c>
      <c r="OZ5" s="40" t="str">
        <f t="shared" si="122"/>
        <v/>
      </c>
      <c r="PA5" s="40" t="str">
        <f t="shared" si="123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4"/>
        <v/>
      </c>
      <c r="PW5" s="11" t="str">
        <f t="shared" si="125"/>
        <v/>
      </c>
      <c r="PX5" s="11" t="str">
        <f t="shared" si="126"/>
        <v/>
      </c>
      <c r="PY5" s="11" t="str">
        <f t="shared" si="127"/>
        <v/>
      </c>
      <c r="PZ5" s="11" t="str">
        <f t="shared" si="128"/>
        <v/>
      </c>
      <c r="QA5" s="11" t="str">
        <f t="shared" si="129"/>
        <v/>
      </c>
      <c r="QB5" s="11" t="str">
        <f t="shared" si="130"/>
        <v/>
      </c>
      <c r="QC5" s="11" t="str">
        <f t="shared" si="131"/>
        <v/>
      </c>
      <c r="QD5" s="22">
        <f t="shared" si="132"/>
        <v>17.700000000000003</v>
      </c>
      <c r="QE5" s="22">
        <f t="shared" si="133"/>
        <v>7.1</v>
      </c>
      <c r="QF5" s="22">
        <f t="shared" si="134"/>
        <v>0</v>
      </c>
      <c r="QG5" s="22">
        <f t="shared" si="135"/>
        <v>0</v>
      </c>
      <c r="QH5" s="22">
        <f t="shared" si="136"/>
        <v>18.75</v>
      </c>
      <c r="QI5" s="22">
        <f t="shared" si="137"/>
        <v>7.7</v>
      </c>
      <c r="QJ5" s="22">
        <f t="shared" si="138"/>
        <v>0</v>
      </c>
      <c r="QK5" s="22">
        <f t="shared" si="139"/>
        <v>0</v>
      </c>
      <c r="QL5" s="22">
        <f t="shared" si="140"/>
        <v>9.15</v>
      </c>
      <c r="QM5" s="22">
        <f t="shared" si="141"/>
        <v>3.65</v>
      </c>
      <c r="QN5" s="22">
        <f t="shared" si="142"/>
        <v>0</v>
      </c>
      <c r="QO5" s="22">
        <f t="shared" si="143"/>
        <v>0</v>
      </c>
      <c r="QP5" s="22">
        <f t="shared" si="144"/>
        <v>18.3</v>
      </c>
      <c r="QQ5" s="22">
        <f t="shared" si="145"/>
        <v>7.9</v>
      </c>
      <c r="QR5" s="22">
        <f t="shared" si="146"/>
        <v>0.1</v>
      </c>
      <c r="QS5" s="22">
        <f t="shared" si="147"/>
        <v>0</v>
      </c>
      <c r="QT5" s="22">
        <f t="shared" si="148"/>
        <v>18.649999999999999</v>
      </c>
      <c r="QU5" s="22">
        <f t="shared" si="149"/>
        <v>7.4</v>
      </c>
      <c r="QV5" s="22">
        <f t="shared" si="150"/>
        <v>0</v>
      </c>
      <c r="QW5" s="22">
        <f t="shared" si="151"/>
        <v>0</v>
      </c>
      <c r="QX5" s="27" t="s">
        <v>46</v>
      </c>
      <c r="QY5" s="40">
        <f t="shared" si="152"/>
        <v>14.8</v>
      </c>
      <c r="QZ5" s="40">
        <f t="shared" si="153"/>
        <v>51.250000000000007</v>
      </c>
      <c r="RA5" s="40">
        <f t="shared" si="154"/>
        <v>12.8</v>
      </c>
      <c r="RB5" s="40">
        <f t="shared" si="155"/>
        <v>18.45</v>
      </c>
      <c r="RC5" s="40">
        <f t="shared" si="156"/>
        <v>64.050000000000011</v>
      </c>
      <c r="RD5" s="40">
        <f t="shared" si="157"/>
        <v>15.3</v>
      </c>
      <c r="RE5" s="40">
        <f t="shared" si="158"/>
        <v>52.15</v>
      </c>
      <c r="RF5" s="40">
        <f t="shared" si="159"/>
        <v>116.20000000000002</v>
      </c>
    </row>
    <row r="6" spans="1:474" x14ac:dyDescent="0.2">
      <c r="A6" s="4" cm="1">
        <f t="array" ref="A6">IF(AND(J6&lt;&gt;"",J6&lt;&gt;"No DD"),SUMPRODUCT((J$4:J$22&lt;&gt;"")*(J$4:J$22&lt;&gt;"No DD")*(F$4:F$22&gt;F6))+1,IF(J6="No DD",SUMPRODUCT((J$4:J$22="No DD")*(F$4:F$22&gt;F6))+1+SUMPRODUCT((J$4:J$22&lt;&gt;"")*(J$4:J$22&lt;&gt;"No DD")),""))</f>
        <v>3</v>
      </c>
      <c r="B6" s="4" t="str" cm="1">
        <f t="array" ref="B6">IF(AND(J6&lt;&gt;"",J6&lt;&gt;"No DD",G6=""),SUMPRODUCT((J$4:J$22&lt;&gt;"")*(J$4:J$22&lt;&gt;"No DD")*(G$4:G$22="")*(F$4:F$22&gt;F6))+1,IF(J6="No DD",SUMPRODUCT((J$4:J$22="No DD")*(F$4:F$22&gt;F6)*(G$4:G$22=""))+1+SUMPRODUCT((J$4:J$22&lt;&gt;"")*(G$4:G$22="")*(J$4:J$22&lt;&gt;"No DD")),""))</f>
        <v/>
      </c>
      <c r="C6" s="5" t="s">
        <v>106</v>
      </c>
      <c r="D6" s="4" t="s">
        <v>94</v>
      </c>
      <c r="E6" s="4">
        <v>2005</v>
      </c>
      <c r="F6" s="9">
        <f t="shared" si="0"/>
        <v>139.70000956000482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48.3</v>
      </c>
      <c r="M6" s="8" t="str">
        <f t="shared" si="5"/>
        <v>2025 Elite Canada</v>
      </c>
      <c r="N6" s="8">
        <f>IF(COUNT(AQ6,BT6,CW6)&gt;1,LARGE((AQ6,BT6,CW6),2),0)</f>
        <v>47.3</v>
      </c>
      <c r="O6" s="8" t="str">
        <f t="shared" si="6"/>
        <v>2024 3rd Domestic Trial</v>
      </c>
      <c r="P6" s="8">
        <f t="shared" si="7"/>
        <v>44.1</v>
      </c>
      <c r="Q6" s="8" t="str">
        <f t="shared" si="8"/>
        <v>2024 Nationals</v>
      </c>
      <c r="R6" s="8" t="str">
        <f t="shared" si="9"/>
        <v/>
      </c>
      <c r="S6" s="11" t="str">
        <f t="shared" si="160"/>
        <v/>
      </c>
      <c r="T6" s="8" t="str">
        <f t="shared" si="161"/>
        <v/>
      </c>
      <c r="U6" s="19">
        <v>16</v>
      </c>
      <c r="V6" s="19">
        <v>2.9</v>
      </c>
      <c r="W6" s="19">
        <v>0</v>
      </c>
      <c r="X6" s="19">
        <v>0.3</v>
      </c>
      <c r="Y6" s="19">
        <v>17.100000000000001</v>
      </c>
      <c r="Z6" s="19">
        <v>4.8</v>
      </c>
      <c r="AA6" s="19">
        <v>0</v>
      </c>
      <c r="AB6" s="19">
        <v>0.6</v>
      </c>
      <c r="AC6" s="19">
        <v>16.899999999999999</v>
      </c>
      <c r="AD6" s="19">
        <v>5.0999999999999996</v>
      </c>
      <c r="AE6" s="19">
        <v>0</v>
      </c>
      <c r="AF6" s="19">
        <v>0.3</v>
      </c>
      <c r="AG6" s="19">
        <v>17.100000000000001</v>
      </c>
      <c r="AH6" s="19">
        <v>5.0999999999999996</v>
      </c>
      <c r="AI6" s="19">
        <v>0</v>
      </c>
      <c r="AJ6" s="19">
        <v>0.3</v>
      </c>
      <c r="AK6" s="19">
        <v>16</v>
      </c>
      <c r="AL6" s="19">
        <v>5</v>
      </c>
      <c r="AM6" s="19">
        <v>0</v>
      </c>
      <c r="AN6" s="19">
        <v>0.6</v>
      </c>
      <c r="AO6" s="27"/>
      <c r="AP6" s="40">
        <f t="shared" si="10"/>
        <v>7.6999999999999993</v>
      </c>
      <c r="AQ6" s="40">
        <f t="shared" si="11"/>
        <v>41.699999999999996</v>
      </c>
      <c r="AR6" s="40">
        <f t="shared" si="12"/>
        <v>22.3</v>
      </c>
      <c r="AS6" s="40">
        <f t="shared" si="13"/>
        <v>12.799999999999999</v>
      </c>
      <c r="AT6" s="40">
        <f t="shared" si="14"/>
        <v>64</v>
      </c>
      <c r="AU6" s="40">
        <f t="shared" si="15"/>
        <v>10.1</v>
      </c>
      <c r="AV6" s="40">
        <f t="shared" si="16"/>
        <v>44.1</v>
      </c>
      <c r="AW6" s="40">
        <f t="shared" si="17"/>
        <v>108.1</v>
      </c>
      <c r="AX6" s="18">
        <v>17.5</v>
      </c>
      <c r="AY6" s="18">
        <v>6.3</v>
      </c>
      <c r="AZ6" s="18">
        <v>0</v>
      </c>
      <c r="BA6" s="18">
        <v>0.3</v>
      </c>
      <c r="BB6" s="18">
        <v>17.600000000000001</v>
      </c>
      <c r="BC6" s="18">
        <v>5.3</v>
      </c>
      <c r="BD6" s="18">
        <v>0</v>
      </c>
      <c r="BE6" s="18">
        <v>0.3</v>
      </c>
      <c r="BF6" s="18">
        <v>17.3</v>
      </c>
      <c r="BG6" s="18">
        <v>6.3</v>
      </c>
      <c r="BH6" s="18">
        <v>0</v>
      </c>
      <c r="BI6" s="18">
        <v>0.3</v>
      </c>
      <c r="BJ6" s="18">
        <v>15.2</v>
      </c>
      <c r="BK6" s="18">
        <v>3.1</v>
      </c>
      <c r="BL6" s="18">
        <v>0.3</v>
      </c>
      <c r="BM6" s="18">
        <v>0.3</v>
      </c>
      <c r="BN6" s="18">
        <v>17</v>
      </c>
      <c r="BO6" s="18">
        <v>6.1</v>
      </c>
      <c r="BP6" s="18">
        <v>0</v>
      </c>
      <c r="BQ6" s="18">
        <v>0.3</v>
      </c>
      <c r="BR6" s="28"/>
      <c r="BS6" s="11">
        <f t="shared" si="18"/>
        <v>11.6</v>
      </c>
      <c r="BT6" s="11">
        <f t="shared" si="19"/>
        <v>47.3</v>
      </c>
      <c r="BU6" s="11">
        <f t="shared" si="20"/>
        <v>23.900000000000002</v>
      </c>
      <c r="BV6" s="11">
        <f t="shared" si="21"/>
        <v>17.899999999999999</v>
      </c>
      <c r="BW6" s="11">
        <f t="shared" si="22"/>
        <v>71.2</v>
      </c>
      <c r="BX6" s="11">
        <f t="shared" si="23"/>
        <v>9.1999999999999993</v>
      </c>
      <c r="BY6" s="11">
        <f t="shared" si="24"/>
        <v>41.7</v>
      </c>
      <c r="BZ6" s="11">
        <f t="shared" si="25"/>
        <v>112.9</v>
      </c>
      <c r="CA6" s="19">
        <v>18.3</v>
      </c>
      <c r="CB6" s="19">
        <v>6.5</v>
      </c>
      <c r="CC6" s="19">
        <v>0</v>
      </c>
      <c r="CD6" s="19">
        <v>0</v>
      </c>
      <c r="CE6" s="19">
        <v>18</v>
      </c>
      <c r="CF6" s="19">
        <v>5.5</v>
      </c>
      <c r="CG6" s="19">
        <v>0</v>
      </c>
      <c r="CH6" s="19">
        <v>0</v>
      </c>
      <c r="CI6" s="19"/>
      <c r="CJ6" s="19"/>
      <c r="CK6" s="19"/>
      <c r="CL6" s="19"/>
      <c r="CM6" s="19">
        <v>16.600000000000001</v>
      </c>
      <c r="CN6" s="19">
        <v>3.3</v>
      </c>
      <c r="CO6" s="19">
        <v>0</v>
      </c>
      <c r="CP6" s="19">
        <v>0</v>
      </c>
      <c r="CQ6" s="19">
        <v>14.9</v>
      </c>
      <c r="CR6" s="19">
        <v>6.1</v>
      </c>
      <c r="CS6" s="19">
        <v>0.2</v>
      </c>
      <c r="CT6" s="19">
        <v>0</v>
      </c>
      <c r="CU6" s="27"/>
      <c r="CV6" s="40">
        <f t="shared" si="26"/>
        <v>12</v>
      </c>
      <c r="CW6" s="40">
        <f t="shared" si="27"/>
        <v>48.3</v>
      </c>
      <c r="CX6" s="40" t="str">
        <f t="shared" si="28"/>
        <v/>
      </c>
      <c r="CY6" s="40">
        <f t="shared" si="29"/>
        <v>12</v>
      </c>
      <c r="CZ6" s="40">
        <f t="shared" si="30"/>
        <v>48.3</v>
      </c>
      <c r="DA6" s="40">
        <f t="shared" si="31"/>
        <v>9.3999999999999986</v>
      </c>
      <c r="DB6" s="40">
        <f t="shared" si="32"/>
        <v>40.700000000000003</v>
      </c>
      <c r="DC6" s="40">
        <f t="shared" si="33"/>
        <v>89</v>
      </c>
      <c r="DD6" s="50" t="str">
        <f t="shared" si="34"/>
        <v/>
      </c>
      <c r="DE6" s="50" t="str">
        <f t="shared" si="35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6"/>
        <v/>
      </c>
      <c r="EA6" s="40" t="str">
        <f t="shared" si="37"/>
        <v/>
      </c>
      <c r="EB6" s="40" t="str">
        <f t="shared" si="38"/>
        <v/>
      </c>
      <c r="EC6" s="40" t="str">
        <f t="shared" si="39"/>
        <v/>
      </c>
      <c r="ED6" s="40" t="str">
        <f t="shared" si="40"/>
        <v/>
      </c>
      <c r="EE6" s="40" t="str">
        <f t="shared" si="41"/>
        <v/>
      </c>
      <c r="EF6" s="40" t="str">
        <f t="shared" si="42"/>
        <v/>
      </c>
      <c r="EG6" s="40" t="str">
        <f t="shared" si="43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4"/>
        <v/>
      </c>
      <c r="FC6" s="11" t="str">
        <f t="shared" si="45"/>
        <v/>
      </c>
      <c r="FD6" s="11" t="str">
        <f t="shared" si="46"/>
        <v/>
      </c>
      <c r="FE6" s="11" t="str">
        <f t="shared" si="47"/>
        <v/>
      </c>
      <c r="FF6" s="11" t="str">
        <f t="shared" si="48"/>
        <v/>
      </c>
      <c r="FG6" s="11" t="str">
        <f t="shared" si="49"/>
        <v/>
      </c>
      <c r="FH6" s="11" t="str">
        <f t="shared" si="50"/>
        <v/>
      </c>
      <c r="FI6" s="11" t="str">
        <f t="shared" si="51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2"/>
        <v/>
      </c>
      <c r="GE6" s="40" t="str">
        <f t="shared" si="53"/>
        <v/>
      </c>
      <c r="GF6" s="40" t="str">
        <f t="shared" si="54"/>
        <v/>
      </c>
      <c r="GG6" s="40" t="str">
        <f t="shared" si="55"/>
        <v/>
      </c>
      <c r="GH6" s="40" t="str">
        <f t="shared" si="56"/>
        <v/>
      </c>
      <c r="GI6" s="40" t="str">
        <f t="shared" si="57"/>
        <v/>
      </c>
      <c r="GJ6" s="40" t="str">
        <f t="shared" si="58"/>
        <v/>
      </c>
      <c r="GK6" s="40" t="str">
        <f t="shared" si="59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0"/>
        <v/>
      </c>
      <c r="HG6" s="11" t="str">
        <f t="shared" si="61"/>
        <v/>
      </c>
      <c r="HH6" s="11" t="str">
        <f t="shared" si="62"/>
        <v/>
      </c>
      <c r="HI6" s="11" t="str">
        <f t="shared" si="63"/>
        <v/>
      </c>
      <c r="HJ6" s="11" t="str">
        <f t="shared" si="64"/>
        <v/>
      </c>
      <c r="HK6" s="11" t="str">
        <f t="shared" si="65"/>
        <v/>
      </c>
      <c r="HL6" s="11" t="str">
        <f t="shared" si="66"/>
        <v/>
      </c>
      <c r="HM6" s="11" t="str">
        <f t="shared" si="67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68"/>
        <v/>
      </c>
      <c r="II6" s="40" t="str">
        <f t="shared" si="69"/>
        <v/>
      </c>
      <c r="IJ6" s="40" t="str">
        <f t="shared" si="70"/>
        <v/>
      </c>
      <c r="IK6" s="40" t="str">
        <f t="shared" si="71"/>
        <v/>
      </c>
      <c r="IL6" s="40" t="str">
        <f t="shared" si="72"/>
        <v/>
      </c>
      <c r="IM6" s="40" t="str">
        <f t="shared" si="73"/>
        <v/>
      </c>
      <c r="IN6" s="40" t="str">
        <f t="shared" si="74"/>
        <v/>
      </c>
      <c r="IO6" s="40" t="str">
        <f t="shared" si="75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6"/>
        <v/>
      </c>
      <c r="JK6" s="11" t="str">
        <f t="shared" si="77"/>
        <v/>
      </c>
      <c r="JL6" s="11" t="str">
        <f t="shared" si="78"/>
        <v/>
      </c>
      <c r="JM6" s="11" t="str">
        <f t="shared" si="79"/>
        <v/>
      </c>
      <c r="JN6" s="11" t="str">
        <f t="shared" si="80"/>
        <v/>
      </c>
      <c r="JO6" s="11" t="str">
        <f t="shared" si="81"/>
        <v/>
      </c>
      <c r="JP6" s="11" t="str">
        <f t="shared" si="82"/>
        <v/>
      </c>
      <c r="JQ6" s="11" t="str">
        <f t="shared" si="83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4"/>
        <v/>
      </c>
      <c r="KM6" s="40" t="str">
        <f t="shared" si="85"/>
        <v/>
      </c>
      <c r="KN6" s="40" t="str">
        <f t="shared" si="86"/>
        <v/>
      </c>
      <c r="KO6" s="40" t="str">
        <f t="shared" si="87"/>
        <v/>
      </c>
      <c r="KP6" s="40" t="str">
        <f t="shared" si="88"/>
        <v/>
      </c>
      <c r="KQ6" s="40" t="str">
        <f t="shared" si="89"/>
        <v/>
      </c>
      <c r="KR6" s="40" t="str">
        <f t="shared" si="90"/>
        <v/>
      </c>
      <c r="KS6" s="40" t="str">
        <f t="shared" si="91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2"/>
        <v/>
      </c>
      <c r="LO6" s="11" t="str">
        <f t="shared" si="93"/>
        <v/>
      </c>
      <c r="LP6" s="11" t="str">
        <f t="shared" si="94"/>
        <v/>
      </c>
      <c r="LQ6" s="11" t="str">
        <f t="shared" si="95"/>
        <v/>
      </c>
      <c r="LR6" s="11" t="str">
        <f t="shared" si="96"/>
        <v/>
      </c>
      <c r="LS6" s="11" t="str">
        <f t="shared" si="97"/>
        <v/>
      </c>
      <c r="LT6" s="11" t="str">
        <f t="shared" si="98"/>
        <v/>
      </c>
      <c r="LU6" s="11" t="str">
        <f t="shared" si="99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0"/>
        <v/>
      </c>
      <c r="MQ6" s="40" t="str">
        <f t="shared" si="101"/>
        <v/>
      </c>
      <c r="MR6" s="40" t="str">
        <f t="shared" si="102"/>
        <v/>
      </c>
      <c r="MS6" s="40" t="str">
        <f t="shared" si="103"/>
        <v/>
      </c>
      <c r="MT6" s="40" t="str">
        <f t="shared" si="104"/>
        <v/>
      </c>
      <c r="MU6" s="40" t="str">
        <f t="shared" si="105"/>
        <v/>
      </c>
      <c r="MV6" s="40" t="str">
        <f t="shared" si="106"/>
        <v/>
      </c>
      <c r="MW6" s="40" t="str">
        <f t="shared" si="107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08"/>
        <v/>
      </c>
      <c r="NS6" s="11" t="str">
        <f t="shared" si="109"/>
        <v/>
      </c>
      <c r="NT6" s="11" t="str">
        <f t="shared" si="110"/>
        <v/>
      </c>
      <c r="NU6" s="11" t="str">
        <f t="shared" si="111"/>
        <v/>
      </c>
      <c r="NV6" s="11" t="str">
        <f t="shared" si="112"/>
        <v/>
      </c>
      <c r="NW6" s="11" t="str">
        <f t="shared" si="113"/>
        <v/>
      </c>
      <c r="NX6" s="11" t="str">
        <f t="shared" si="114"/>
        <v/>
      </c>
      <c r="NY6" s="11" t="str">
        <f t="shared" si="115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6"/>
        <v/>
      </c>
      <c r="OU6" s="40" t="str">
        <f t="shared" si="117"/>
        <v/>
      </c>
      <c r="OV6" s="40" t="str">
        <f t="shared" si="118"/>
        <v/>
      </c>
      <c r="OW6" s="40" t="str">
        <f t="shared" si="119"/>
        <v/>
      </c>
      <c r="OX6" s="40" t="str">
        <f t="shared" si="120"/>
        <v/>
      </c>
      <c r="OY6" s="40" t="str">
        <f t="shared" si="121"/>
        <v/>
      </c>
      <c r="OZ6" s="40" t="str">
        <f t="shared" si="122"/>
        <v/>
      </c>
      <c r="PA6" s="40" t="str">
        <f t="shared" si="123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4"/>
        <v/>
      </c>
      <c r="PW6" s="11" t="str">
        <f t="shared" si="125"/>
        <v/>
      </c>
      <c r="PX6" s="11" t="str">
        <f t="shared" si="126"/>
        <v/>
      </c>
      <c r="PY6" s="11" t="str">
        <f t="shared" si="127"/>
        <v/>
      </c>
      <c r="PZ6" s="11" t="str">
        <f t="shared" si="128"/>
        <v/>
      </c>
      <c r="QA6" s="11" t="str">
        <f t="shared" si="129"/>
        <v/>
      </c>
      <c r="QB6" s="11" t="str">
        <f t="shared" si="130"/>
        <v/>
      </c>
      <c r="QC6" s="11" t="str">
        <f t="shared" si="131"/>
        <v/>
      </c>
      <c r="QD6" s="22">
        <f t="shared" si="132"/>
        <v>17.899999999999999</v>
      </c>
      <c r="QE6" s="22">
        <f t="shared" si="133"/>
        <v>6.4</v>
      </c>
      <c r="QF6" s="22">
        <f t="shared" si="134"/>
        <v>0</v>
      </c>
      <c r="QG6" s="22">
        <f t="shared" si="135"/>
        <v>0.15</v>
      </c>
      <c r="QH6" s="22">
        <f t="shared" si="136"/>
        <v>17.8</v>
      </c>
      <c r="QI6" s="22">
        <f t="shared" si="137"/>
        <v>5.4</v>
      </c>
      <c r="QJ6" s="22">
        <f t="shared" si="138"/>
        <v>0</v>
      </c>
      <c r="QK6" s="22">
        <f t="shared" si="139"/>
        <v>0.15</v>
      </c>
      <c r="QL6" s="22">
        <f t="shared" si="140"/>
        <v>8.65</v>
      </c>
      <c r="QM6" s="22">
        <f t="shared" si="141"/>
        <v>3.15</v>
      </c>
      <c r="QN6" s="22">
        <f t="shared" si="142"/>
        <v>0</v>
      </c>
      <c r="QO6" s="22">
        <f t="shared" si="143"/>
        <v>0.15</v>
      </c>
      <c r="QP6" s="22">
        <f t="shared" si="144"/>
        <v>15.9</v>
      </c>
      <c r="QQ6" s="22">
        <f t="shared" si="145"/>
        <v>3.2</v>
      </c>
      <c r="QR6" s="22">
        <f t="shared" si="146"/>
        <v>0.15</v>
      </c>
      <c r="QS6" s="22">
        <f t="shared" si="147"/>
        <v>0.15</v>
      </c>
      <c r="QT6" s="22">
        <f t="shared" si="148"/>
        <v>15.95</v>
      </c>
      <c r="QU6" s="22">
        <f t="shared" si="149"/>
        <v>6.1</v>
      </c>
      <c r="QV6" s="22">
        <f t="shared" si="150"/>
        <v>0.1</v>
      </c>
      <c r="QW6" s="22">
        <f t="shared" si="151"/>
        <v>0.15</v>
      </c>
      <c r="QX6" s="27" t="s">
        <v>46</v>
      </c>
      <c r="QY6" s="40">
        <f t="shared" si="152"/>
        <v>11.8</v>
      </c>
      <c r="QZ6" s="40">
        <f t="shared" si="153"/>
        <v>47.8</v>
      </c>
      <c r="RA6" s="40">
        <f t="shared" si="154"/>
        <v>11.950000000000001</v>
      </c>
      <c r="RB6" s="40">
        <f t="shared" si="155"/>
        <v>14.950000000000001</v>
      </c>
      <c r="RC6" s="40">
        <f t="shared" si="156"/>
        <v>59.75</v>
      </c>
      <c r="RD6" s="40">
        <f t="shared" si="157"/>
        <v>9.3000000000000007</v>
      </c>
      <c r="RE6" s="40">
        <f t="shared" si="158"/>
        <v>41.2</v>
      </c>
      <c r="RF6" s="40">
        <f t="shared" si="159"/>
        <v>100.95</v>
      </c>
    </row>
    <row r="7" spans="1:474" x14ac:dyDescent="0.2">
      <c r="A7" s="4" cm="1">
        <f t="array" ref="A7">IF(AND(J7&lt;&gt;"",J7&lt;&gt;"No DD"),SUMPRODUCT((J$4:J$22&lt;&gt;"")*(J$4:J$22&lt;&gt;"No DD")*(F$4:F$22&gt;F7))+1,IF(J7="No DD",SUMPRODUCT((J$4:J$22="No DD")*(F$4:F$22&gt;F7))+1+SUMPRODUCT((J$4:J$22&lt;&gt;"")*(J$4:J$22&lt;&gt;"No DD")),""))</f>
        <v>4</v>
      </c>
      <c r="B7" s="4" t="str" cm="1">
        <f t="array" ref="B7">IF(AND(J7&lt;&gt;"",J7&lt;&gt;"No DD",G7=""),SUMPRODUCT((J$4:J$22&lt;&gt;"")*(J$4:J$22&lt;&gt;"No DD")*(G$4:G$22="")*(F$4:F$22&gt;F7))+1,IF(J7="No DD",SUMPRODUCT((J$4:J$22="No DD")*(F$4:F$22&gt;F7)*(G$4:G$22=""))+1+SUMPRODUCT((J$4:J$22&lt;&gt;"")*(G$4:G$22="")*(J$4:J$22&lt;&gt;"No DD")),""))</f>
        <v/>
      </c>
      <c r="C7" s="5" t="s">
        <v>113</v>
      </c>
      <c r="D7" s="4" t="s">
        <v>6</v>
      </c>
      <c r="E7" s="4">
        <v>2006</v>
      </c>
      <c r="F7" s="9">
        <f t="shared" si="0"/>
        <v>137.50000905000462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46.4</v>
      </c>
      <c r="M7" s="8" t="str">
        <f t="shared" si="5"/>
        <v>2025 Elite Canada</v>
      </c>
      <c r="N7" s="8">
        <f>IF(COUNT(AQ7,BT7,CW7)&gt;1,LARGE((AQ7,BT7,CW7),2),0)</f>
        <v>44.1</v>
      </c>
      <c r="O7" s="8" t="str">
        <f t="shared" si="6"/>
        <v>2024 Nationals</v>
      </c>
      <c r="P7" s="8">
        <f t="shared" si="7"/>
        <v>47</v>
      </c>
      <c r="Q7" s="8" t="str">
        <f t="shared" si="8"/>
        <v>2025 Elite Canada</v>
      </c>
      <c r="R7" s="8" t="str">
        <f t="shared" si="9"/>
        <v/>
      </c>
      <c r="S7" s="11" t="str">
        <f t="shared" si="160"/>
        <v/>
      </c>
      <c r="T7" s="8" t="str">
        <f t="shared" si="161"/>
        <v/>
      </c>
      <c r="U7" s="19">
        <v>16.399999999999999</v>
      </c>
      <c r="V7" s="19">
        <v>5</v>
      </c>
      <c r="W7" s="19">
        <v>0.2</v>
      </c>
      <c r="X7" s="19">
        <v>0.6</v>
      </c>
      <c r="Y7" s="19">
        <v>16.2</v>
      </c>
      <c r="Z7" s="19">
        <v>5.5</v>
      </c>
      <c r="AA7" s="19">
        <v>0</v>
      </c>
      <c r="AB7" s="19">
        <v>0.6</v>
      </c>
      <c r="AC7" s="19">
        <v>15.4</v>
      </c>
      <c r="AD7" s="19">
        <v>4.8</v>
      </c>
      <c r="AE7" s="19">
        <v>0.2</v>
      </c>
      <c r="AF7" s="19">
        <v>0.6</v>
      </c>
      <c r="AG7" s="19">
        <v>16.5</v>
      </c>
      <c r="AH7" s="19">
        <v>5</v>
      </c>
      <c r="AI7" s="19">
        <v>0.2</v>
      </c>
      <c r="AJ7" s="19">
        <v>0.6</v>
      </c>
      <c r="AK7" s="19">
        <v>16.5</v>
      </c>
      <c r="AL7" s="19">
        <v>5.5</v>
      </c>
      <c r="AM7" s="19">
        <v>0</v>
      </c>
      <c r="AN7" s="19">
        <v>0.6</v>
      </c>
      <c r="AO7" s="27"/>
      <c r="AP7" s="40">
        <f t="shared" si="10"/>
        <v>10.5</v>
      </c>
      <c r="AQ7" s="40">
        <f t="shared" si="11"/>
        <v>44.1</v>
      </c>
      <c r="AR7" s="40">
        <f t="shared" si="12"/>
        <v>20.6</v>
      </c>
      <c r="AS7" s="40">
        <f t="shared" si="13"/>
        <v>15.3</v>
      </c>
      <c r="AT7" s="40">
        <f t="shared" si="14"/>
        <v>64.7</v>
      </c>
      <c r="AU7" s="40">
        <f t="shared" si="15"/>
        <v>10.5</v>
      </c>
      <c r="AV7" s="40">
        <f t="shared" si="16"/>
        <v>44.5</v>
      </c>
      <c r="AW7" s="40">
        <f t="shared" si="17"/>
        <v>109.2</v>
      </c>
      <c r="AX7" s="18">
        <v>16.8</v>
      </c>
      <c r="AY7" s="18">
        <v>5</v>
      </c>
      <c r="AZ7" s="18">
        <v>0.5</v>
      </c>
      <c r="BA7" s="18">
        <v>0</v>
      </c>
      <c r="BB7" s="18">
        <v>16.7</v>
      </c>
      <c r="BC7" s="18">
        <v>2.6</v>
      </c>
      <c r="BD7" s="18">
        <v>3</v>
      </c>
      <c r="BE7" s="18">
        <v>0</v>
      </c>
      <c r="BF7" s="18">
        <v>16.899999999999999</v>
      </c>
      <c r="BG7" s="18">
        <v>5.2</v>
      </c>
      <c r="BH7" s="18">
        <v>0</v>
      </c>
      <c r="BI7" s="18">
        <v>0</v>
      </c>
      <c r="BJ7" s="18">
        <v>16.5</v>
      </c>
      <c r="BK7" s="18">
        <v>5.2</v>
      </c>
      <c r="BL7" s="18">
        <v>0</v>
      </c>
      <c r="BM7" s="18">
        <v>0</v>
      </c>
      <c r="BN7" s="18">
        <v>17.100000000000001</v>
      </c>
      <c r="BO7" s="18">
        <v>5</v>
      </c>
      <c r="BP7" s="18">
        <v>0</v>
      </c>
      <c r="BQ7" s="18">
        <v>0</v>
      </c>
      <c r="BR7" s="28"/>
      <c r="BS7" s="11">
        <f t="shared" si="18"/>
        <v>7.6</v>
      </c>
      <c r="BT7" s="11">
        <f t="shared" si="19"/>
        <v>37.6</v>
      </c>
      <c r="BU7" s="11">
        <f t="shared" si="20"/>
        <v>22.099999999999998</v>
      </c>
      <c r="BV7" s="11">
        <f t="shared" si="21"/>
        <v>12.8</v>
      </c>
      <c r="BW7" s="11">
        <f t="shared" si="22"/>
        <v>59.7</v>
      </c>
      <c r="BX7" s="11">
        <f t="shared" si="23"/>
        <v>10.199999999999999</v>
      </c>
      <c r="BY7" s="11">
        <f t="shared" si="24"/>
        <v>43.8</v>
      </c>
      <c r="BZ7" s="11">
        <f t="shared" si="25"/>
        <v>103.5</v>
      </c>
      <c r="CA7" s="19">
        <v>17.600000000000001</v>
      </c>
      <c r="CB7" s="19">
        <v>5.8</v>
      </c>
      <c r="CC7" s="19">
        <v>0</v>
      </c>
      <c r="CD7" s="19">
        <v>0</v>
      </c>
      <c r="CE7" s="19">
        <v>17.100000000000001</v>
      </c>
      <c r="CF7" s="19">
        <v>5.9</v>
      </c>
      <c r="CG7" s="19">
        <v>0</v>
      </c>
      <c r="CH7" s="19">
        <v>0</v>
      </c>
      <c r="CI7" s="19"/>
      <c r="CJ7" s="19"/>
      <c r="CK7" s="19"/>
      <c r="CL7" s="19"/>
      <c r="CM7" s="19">
        <v>18.2</v>
      </c>
      <c r="CN7" s="19">
        <v>5.8</v>
      </c>
      <c r="CO7" s="19">
        <v>0</v>
      </c>
      <c r="CP7" s="19">
        <v>0</v>
      </c>
      <c r="CQ7" s="19">
        <v>17.3</v>
      </c>
      <c r="CR7" s="19">
        <v>5.7</v>
      </c>
      <c r="CS7" s="19">
        <v>0</v>
      </c>
      <c r="CT7" s="19">
        <v>0</v>
      </c>
      <c r="CU7" s="27"/>
      <c r="CV7" s="40">
        <f t="shared" si="26"/>
        <v>11.7</v>
      </c>
      <c r="CW7" s="40">
        <f t="shared" si="27"/>
        <v>46.4</v>
      </c>
      <c r="CX7" s="40" t="str">
        <f t="shared" si="28"/>
        <v/>
      </c>
      <c r="CY7" s="40">
        <f t="shared" si="29"/>
        <v>11.7</v>
      </c>
      <c r="CZ7" s="40">
        <f t="shared" si="30"/>
        <v>46.4</v>
      </c>
      <c r="DA7" s="40">
        <f t="shared" si="31"/>
        <v>11.5</v>
      </c>
      <c r="DB7" s="40">
        <f t="shared" si="32"/>
        <v>47</v>
      </c>
      <c r="DC7" s="40">
        <f t="shared" si="33"/>
        <v>93.4</v>
      </c>
      <c r="DD7" s="50" t="str">
        <f t="shared" si="34"/>
        <v/>
      </c>
      <c r="DE7" s="50" t="str">
        <f t="shared" si="35"/>
        <v/>
      </c>
      <c r="DF7" s="17">
        <v>16.899999999999999</v>
      </c>
      <c r="DG7" s="17">
        <v>5.2</v>
      </c>
      <c r="DH7" s="17">
        <v>0</v>
      </c>
      <c r="DI7" s="17">
        <v>0</v>
      </c>
      <c r="DJ7" s="17">
        <v>16.3</v>
      </c>
      <c r="DK7" s="17">
        <v>5.5</v>
      </c>
      <c r="DL7" s="17">
        <v>0</v>
      </c>
      <c r="DM7" s="17">
        <v>0</v>
      </c>
      <c r="DN7" s="17"/>
      <c r="DO7" s="17"/>
      <c r="DP7" s="17"/>
      <c r="DQ7" s="17"/>
      <c r="DR7" s="17">
        <v>17</v>
      </c>
      <c r="DS7" s="17">
        <v>5.3</v>
      </c>
      <c r="DT7" s="17">
        <v>0</v>
      </c>
      <c r="DU7" s="17">
        <v>0</v>
      </c>
      <c r="DV7" s="17"/>
      <c r="DW7" s="17"/>
      <c r="DX7" s="17"/>
      <c r="DY7" s="17"/>
      <c r="DZ7" s="40">
        <f t="shared" si="36"/>
        <v>10.7</v>
      </c>
      <c r="EA7" s="40">
        <f t="shared" si="37"/>
        <v>43.9</v>
      </c>
      <c r="EB7" s="40" t="str">
        <f t="shared" si="38"/>
        <v/>
      </c>
      <c r="EC7" s="40">
        <f t="shared" si="39"/>
        <v>10.7</v>
      </c>
      <c r="ED7" s="40">
        <f t="shared" si="40"/>
        <v>43.9</v>
      </c>
      <c r="EE7" s="40">
        <f t="shared" si="41"/>
        <v>5.3</v>
      </c>
      <c r="EF7" s="40">
        <f t="shared" si="42"/>
        <v>22.3</v>
      </c>
      <c r="EG7" s="40">
        <f t="shared" si="43"/>
        <v>66.2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4"/>
        <v/>
      </c>
      <c r="FC7" s="11" t="str">
        <f t="shared" si="45"/>
        <v/>
      </c>
      <c r="FD7" s="11" t="str">
        <f t="shared" si="46"/>
        <v/>
      </c>
      <c r="FE7" s="11" t="str">
        <f t="shared" si="47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1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2"/>
        <v/>
      </c>
      <c r="GE7" s="40" t="str">
        <f t="shared" si="53"/>
        <v/>
      </c>
      <c r="GF7" s="40" t="str">
        <f t="shared" si="54"/>
        <v/>
      </c>
      <c r="GG7" s="40" t="str">
        <f t="shared" si="55"/>
        <v/>
      </c>
      <c r="GH7" s="40" t="str">
        <f t="shared" si="56"/>
        <v/>
      </c>
      <c r="GI7" s="40" t="str">
        <f t="shared" si="57"/>
        <v/>
      </c>
      <c r="GJ7" s="40" t="str">
        <f t="shared" si="58"/>
        <v/>
      </c>
      <c r="GK7" s="40" t="str">
        <f t="shared" si="59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0"/>
        <v/>
      </c>
      <c r="HG7" s="11" t="str">
        <f t="shared" si="61"/>
        <v/>
      </c>
      <c r="HH7" s="11" t="str">
        <f t="shared" si="62"/>
        <v/>
      </c>
      <c r="HI7" s="11" t="str">
        <f t="shared" si="63"/>
        <v/>
      </c>
      <c r="HJ7" s="11" t="str">
        <f t="shared" si="64"/>
        <v/>
      </c>
      <c r="HK7" s="11" t="str">
        <f t="shared" si="65"/>
        <v/>
      </c>
      <c r="HL7" s="11" t="str">
        <f t="shared" si="66"/>
        <v/>
      </c>
      <c r="HM7" s="11" t="str">
        <f t="shared" si="67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68"/>
        <v/>
      </c>
      <c r="II7" s="40" t="str">
        <f t="shared" si="69"/>
        <v/>
      </c>
      <c r="IJ7" s="40" t="str">
        <f t="shared" si="70"/>
        <v/>
      </c>
      <c r="IK7" s="40" t="str">
        <f t="shared" si="71"/>
        <v/>
      </c>
      <c r="IL7" s="40" t="str">
        <f t="shared" si="72"/>
        <v/>
      </c>
      <c r="IM7" s="40" t="str">
        <f t="shared" si="73"/>
        <v/>
      </c>
      <c r="IN7" s="40" t="str">
        <f t="shared" si="74"/>
        <v/>
      </c>
      <c r="IO7" s="40" t="str">
        <f t="shared" si="75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6"/>
        <v/>
      </c>
      <c r="JK7" s="11" t="str">
        <f t="shared" si="77"/>
        <v/>
      </c>
      <c r="JL7" s="11" t="str">
        <f t="shared" si="78"/>
        <v/>
      </c>
      <c r="JM7" s="11" t="str">
        <f t="shared" si="79"/>
        <v/>
      </c>
      <c r="JN7" s="11" t="str">
        <f t="shared" si="80"/>
        <v/>
      </c>
      <c r="JO7" s="11" t="str">
        <f t="shared" si="81"/>
        <v/>
      </c>
      <c r="JP7" s="11" t="str">
        <f t="shared" si="82"/>
        <v/>
      </c>
      <c r="JQ7" s="11" t="str">
        <f t="shared" si="83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4"/>
        <v/>
      </c>
      <c r="KM7" s="40" t="str">
        <f t="shared" si="85"/>
        <v/>
      </c>
      <c r="KN7" s="40" t="str">
        <f t="shared" si="86"/>
        <v/>
      </c>
      <c r="KO7" s="40" t="str">
        <f t="shared" si="87"/>
        <v/>
      </c>
      <c r="KP7" s="40" t="str">
        <f t="shared" si="88"/>
        <v/>
      </c>
      <c r="KQ7" s="40" t="str">
        <f t="shared" si="89"/>
        <v/>
      </c>
      <c r="KR7" s="40" t="str">
        <f t="shared" si="90"/>
        <v/>
      </c>
      <c r="KS7" s="40" t="str">
        <f t="shared" si="91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2"/>
        <v/>
      </c>
      <c r="LO7" s="11" t="str">
        <f t="shared" si="93"/>
        <v/>
      </c>
      <c r="LP7" s="11" t="str">
        <f t="shared" si="94"/>
        <v/>
      </c>
      <c r="LQ7" s="11" t="str">
        <f t="shared" si="95"/>
        <v/>
      </c>
      <c r="LR7" s="11" t="str">
        <f t="shared" si="96"/>
        <v/>
      </c>
      <c r="LS7" s="11" t="str">
        <f t="shared" si="97"/>
        <v/>
      </c>
      <c r="LT7" s="11" t="str">
        <f t="shared" si="98"/>
        <v/>
      </c>
      <c r="LU7" s="11" t="str">
        <f t="shared" si="99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0"/>
        <v/>
      </c>
      <c r="MQ7" s="40" t="str">
        <f t="shared" si="101"/>
        <v/>
      </c>
      <c r="MR7" s="40" t="str">
        <f t="shared" si="102"/>
        <v/>
      </c>
      <c r="MS7" s="40" t="str">
        <f t="shared" si="103"/>
        <v/>
      </c>
      <c r="MT7" s="40" t="str">
        <f t="shared" si="104"/>
        <v/>
      </c>
      <c r="MU7" s="40" t="str">
        <f t="shared" si="105"/>
        <v/>
      </c>
      <c r="MV7" s="40" t="str">
        <f t="shared" si="106"/>
        <v/>
      </c>
      <c r="MW7" s="40" t="str">
        <f t="shared" si="107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08"/>
        <v/>
      </c>
      <c r="NS7" s="11" t="str">
        <f t="shared" si="109"/>
        <v/>
      </c>
      <c r="NT7" s="11" t="str">
        <f t="shared" si="110"/>
        <v/>
      </c>
      <c r="NU7" s="11" t="str">
        <f t="shared" si="111"/>
        <v/>
      </c>
      <c r="NV7" s="11" t="str">
        <f t="shared" si="112"/>
        <v/>
      </c>
      <c r="NW7" s="11" t="str">
        <f t="shared" si="113"/>
        <v/>
      </c>
      <c r="NX7" s="11" t="str">
        <f t="shared" si="114"/>
        <v/>
      </c>
      <c r="NY7" s="11" t="str">
        <f t="shared" si="115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6"/>
        <v/>
      </c>
      <c r="OU7" s="40" t="str">
        <f t="shared" si="117"/>
        <v/>
      </c>
      <c r="OV7" s="40" t="str">
        <f t="shared" si="118"/>
        <v/>
      </c>
      <c r="OW7" s="40" t="str">
        <f t="shared" si="119"/>
        <v/>
      </c>
      <c r="OX7" s="40" t="str">
        <f t="shared" si="120"/>
        <v/>
      </c>
      <c r="OY7" s="40" t="str">
        <f t="shared" si="121"/>
        <v/>
      </c>
      <c r="OZ7" s="40" t="str">
        <f t="shared" si="122"/>
        <v/>
      </c>
      <c r="PA7" s="40" t="str">
        <f t="shared" si="123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4"/>
        <v/>
      </c>
      <c r="PW7" s="11" t="str">
        <f t="shared" si="125"/>
        <v/>
      </c>
      <c r="PX7" s="11" t="str">
        <f t="shared" si="126"/>
        <v/>
      </c>
      <c r="PY7" s="11" t="str">
        <f t="shared" si="127"/>
        <v/>
      </c>
      <c r="PZ7" s="11" t="str">
        <f t="shared" si="128"/>
        <v/>
      </c>
      <c r="QA7" s="11" t="str">
        <f t="shared" si="129"/>
        <v/>
      </c>
      <c r="QB7" s="11" t="str">
        <f t="shared" si="130"/>
        <v/>
      </c>
      <c r="QC7" s="11" t="str">
        <f t="shared" si="131"/>
        <v/>
      </c>
      <c r="QD7" s="22">
        <f t="shared" si="132"/>
        <v>17.200000000000003</v>
      </c>
      <c r="QE7" s="22">
        <f t="shared" si="133"/>
        <v>5.4</v>
      </c>
      <c r="QF7" s="22">
        <f t="shared" si="134"/>
        <v>0.25</v>
      </c>
      <c r="QG7" s="22">
        <f t="shared" si="135"/>
        <v>0</v>
      </c>
      <c r="QH7" s="22">
        <f t="shared" si="136"/>
        <v>16.899999999999999</v>
      </c>
      <c r="QI7" s="22">
        <f t="shared" si="137"/>
        <v>4.25</v>
      </c>
      <c r="QJ7" s="22">
        <f t="shared" si="138"/>
        <v>1.5</v>
      </c>
      <c r="QK7" s="22">
        <f t="shared" si="139"/>
        <v>0</v>
      </c>
      <c r="QL7" s="22">
        <f t="shared" si="140"/>
        <v>8.4499999999999993</v>
      </c>
      <c r="QM7" s="22">
        <f t="shared" si="141"/>
        <v>2.6</v>
      </c>
      <c r="QN7" s="22">
        <f t="shared" si="142"/>
        <v>0</v>
      </c>
      <c r="QO7" s="22">
        <f t="shared" si="143"/>
        <v>0</v>
      </c>
      <c r="QP7" s="22">
        <f t="shared" si="144"/>
        <v>17.350000000000001</v>
      </c>
      <c r="QQ7" s="22">
        <f t="shared" si="145"/>
        <v>5.5</v>
      </c>
      <c r="QR7" s="22">
        <f t="shared" si="146"/>
        <v>0</v>
      </c>
      <c r="QS7" s="22">
        <f t="shared" si="147"/>
        <v>0</v>
      </c>
      <c r="QT7" s="22">
        <f t="shared" si="148"/>
        <v>17.200000000000003</v>
      </c>
      <c r="QU7" s="22">
        <f t="shared" si="149"/>
        <v>5.35</v>
      </c>
      <c r="QV7" s="22">
        <f t="shared" si="150"/>
        <v>0</v>
      </c>
      <c r="QW7" s="22">
        <f t="shared" si="151"/>
        <v>0</v>
      </c>
      <c r="QX7" s="27" t="s">
        <v>46</v>
      </c>
      <c r="QY7" s="40">
        <f t="shared" si="152"/>
        <v>9.65</v>
      </c>
      <c r="QZ7" s="40">
        <f t="shared" si="153"/>
        <v>42</v>
      </c>
      <c r="RA7" s="40">
        <f t="shared" si="154"/>
        <v>11.049999999999999</v>
      </c>
      <c r="RB7" s="40">
        <f t="shared" si="155"/>
        <v>12.25</v>
      </c>
      <c r="RC7" s="40">
        <f t="shared" si="156"/>
        <v>53.05</v>
      </c>
      <c r="RD7" s="40">
        <f t="shared" si="157"/>
        <v>10.85</v>
      </c>
      <c r="RE7" s="40">
        <f t="shared" si="158"/>
        <v>45.400000000000006</v>
      </c>
      <c r="RF7" s="40">
        <f t="shared" si="159"/>
        <v>98.45</v>
      </c>
    </row>
    <row r="8" spans="1:474" x14ac:dyDescent="0.2">
      <c r="A8" s="4" cm="1">
        <f t="array" ref="A8">IF(AND(J8&lt;&gt;"",J8&lt;&gt;"No DD"),SUMPRODUCT((J$4:J$22&lt;&gt;"")*(J$4:J$22&lt;&gt;"No DD")*(F$4:F$22&gt;F8))+1,IF(J8="No DD",SUMPRODUCT((J$4:J$22="No DD")*(F$4:F$22&gt;F8))+1+SUMPRODUCT((J$4:J$22&lt;&gt;"")*(J$4:J$22&lt;&gt;"No DD")),""))</f>
        <v>5</v>
      </c>
      <c r="B8" s="4" cm="1">
        <f t="array" ref="B8">IF(AND(J8&lt;&gt;"",J8&lt;&gt;"No DD",G8=""),SUMPRODUCT((J$4:J$22&lt;&gt;"")*(J$4:J$22&lt;&gt;"No DD")*(G$4:G$22="")*(F$4:F$22&gt;F8))+1,IF(J8="No DD",SUMPRODUCT((J$4:J$22="No DD")*(F$4:F$22&gt;F8)*(G$4:G$22=""))+1+SUMPRODUCT((J$4:J$22&lt;&gt;"")*(G$4:G$22="")*(J$4:J$22&lt;&gt;"No DD")),""))</f>
        <v>1</v>
      </c>
      <c r="C8" s="5" t="s">
        <v>206</v>
      </c>
      <c r="D8" s="4" t="s">
        <v>4</v>
      </c>
      <c r="E8" s="4">
        <v>2008</v>
      </c>
      <c r="F8" s="9">
        <f t="shared" si="0"/>
        <v>136.20000848000436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43.5</v>
      </c>
      <c r="M8" s="8" t="str">
        <f t="shared" si="5"/>
        <v>2025 Elite Canada</v>
      </c>
      <c r="N8" s="8">
        <f>IF(COUNT(AQ8,BT8,CW8)&gt;1,LARGE((AQ8,BT8,CW8),2),0)</f>
        <v>41.300000000000004</v>
      </c>
      <c r="O8" s="8" t="str">
        <f t="shared" si="6"/>
        <v>2024 Nationals</v>
      </c>
      <c r="P8" s="8">
        <f t="shared" si="7"/>
        <v>47</v>
      </c>
      <c r="Q8" s="8" t="str">
        <f t="shared" si="8"/>
        <v>2024 Nationals</v>
      </c>
      <c r="R8" s="8">
        <f t="shared" si="9"/>
        <v>4.3999999999999986</v>
      </c>
      <c r="S8" s="11" t="str">
        <f t="shared" si="160"/>
        <v>(Q1)</v>
      </c>
      <c r="T8" s="8" t="str">
        <f t="shared" si="161"/>
        <v>2024 Coimbra Gym Fest (July 7)</v>
      </c>
      <c r="U8" s="19">
        <v>15</v>
      </c>
      <c r="V8" s="19">
        <v>6.5</v>
      </c>
      <c r="W8" s="19">
        <v>1</v>
      </c>
      <c r="X8" s="19">
        <v>0</v>
      </c>
      <c r="Y8" s="19">
        <v>14</v>
      </c>
      <c r="Z8" s="19">
        <v>6.2</v>
      </c>
      <c r="AA8" s="19">
        <v>0</v>
      </c>
      <c r="AB8" s="19">
        <v>0.6</v>
      </c>
      <c r="AC8" s="19">
        <v>15.2</v>
      </c>
      <c r="AD8" s="19">
        <v>7.5</v>
      </c>
      <c r="AE8" s="19">
        <v>0</v>
      </c>
      <c r="AF8" s="19">
        <v>0.6</v>
      </c>
      <c r="AG8" s="19">
        <v>15.6</v>
      </c>
      <c r="AH8" s="19">
        <v>7.9</v>
      </c>
      <c r="AI8" s="19">
        <v>0</v>
      </c>
      <c r="AJ8" s="19">
        <v>0.6</v>
      </c>
      <c r="AK8" s="19">
        <v>15.5</v>
      </c>
      <c r="AL8" s="19">
        <v>6.8</v>
      </c>
      <c r="AM8" s="19">
        <v>0</v>
      </c>
      <c r="AN8" s="19">
        <v>0.6</v>
      </c>
      <c r="AO8" s="27"/>
      <c r="AP8" s="40">
        <f t="shared" si="10"/>
        <v>12.7</v>
      </c>
      <c r="AQ8" s="40">
        <f t="shared" si="11"/>
        <v>41.300000000000004</v>
      </c>
      <c r="AR8" s="40">
        <f t="shared" si="12"/>
        <v>23.3</v>
      </c>
      <c r="AS8" s="40">
        <f t="shared" si="13"/>
        <v>20.2</v>
      </c>
      <c r="AT8" s="40">
        <f t="shared" si="14"/>
        <v>64.600000000000009</v>
      </c>
      <c r="AU8" s="40">
        <f t="shared" si="15"/>
        <v>14.7</v>
      </c>
      <c r="AV8" s="40">
        <f t="shared" si="16"/>
        <v>47</v>
      </c>
      <c r="AW8" s="40">
        <f t="shared" si="17"/>
        <v>111.60000000000001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18"/>
        <v/>
      </c>
      <c r="BT8" s="11" t="str">
        <f t="shared" si="19"/>
        <v/>
      </c>
      <c r="BU8" s="11" t="str">
        <f t="shared" si="20"/>
        <v/>
      </c>
      <c r="BV8" s="11" t="str">
        <f t="shared" si="21"/>
        <v/>
      </c>
      <c r="BW8" s="11" t="str">
        <f t="shared" si="22"/>
        <v/>
      </c>
      <c r="BX8" s="11" t="str">
        <f t="shared" si="23"/>
        <v/>
      </c>
      <c r="BY8" s="11" t="str">
        <f t="shared" si="24"/>
        <v/>
      </c>
      <c r="BZ8" s="11" t="str">
        <f t="shared" si="25"/>
        <v/>
      </c>
      <c r="CA8" s="19">
        <v>16.3</v>
      </c>
      <c r="CB8" s="19">
        <v>5.4</v>
      </c>
      <c r="CC8" s="19">
        <v>0</v>
      </c>
      <c r="CD8" s="19">
        <v>0</v>
      </c>
      <c r="CE8" s="19">
        <v>15.5</v>
      </c>
      <c r="CF8" s="19">
        <v>6.3</v>
      </c>
      <c r="CG8" s="19">
        <v>0</v>
      </c>
      <c r="CH8" s="19">
        <v>0</v>
      </c>
      <c r="CI8" s="19"/>
      <c r="CJ8" s="19"/>
      <c r="CK8" s="19"/>
      <c r="CL8" s="19"/>
      <c r="CM8" s="19">
        <v>15.3</v>
      </c>
      <c r="CN8" s="19">
        <v>5.4</v>
      </c>
      <c r="CO8" s="19">
        <v>0</v>
      </c>
      <c r="CP8" s="19">
        <v>0</v>
      </c>
      <c r="CQ8" s="19">
        <v>15</v>
      </c>
      <c r="CR8" s="19">
        <v>6.3</v>
      </c>
      <c r="CS8" s="19">
        <v>0</v>
      </c>
      <c r="CT8" s="19">
        <v>0</v>
      </c>
      <c r="CU8" s="27"/>
      <c r="CV8" s="40">
        <f t="shared" si="26"/>
        <v>11.7</v>
      </c>
      <c r="CW8" s="40">
        <f t="shared" si="27"/>
        <v>43.5</v>
      </c>
      <c r="CX8" s="40" t="str">
        <f t="shared" si="28"/>
        <v/>
      </c>
      <c r="CY8" s="40">
        <f t="shared" si="29"/>
        <v>11.7</v>
      </c>
      <c r="CZ8" s="40">
        <f t="shared" si="30"/>
        <v>43.5</v>
      </c>
      <c r="DA8" s="40">
        <f t="shared" si="31"/>
        <v>11.7</v>
      </c>
      <c r="DB8" s="40">
        <f t="shared" si="32"/>
        <v>42</v>
      </c>
      <c r="DC8" s="40">
        <f t="shared" si="33"/>
        <v>85.5</v>
      </c>
      <c r="DD8" s="50">
        <f t="shared" si="34"/>
        <v>4.3999999999999986</v>
      </c>
      <c r="DE8" s="50" t="str">
        <f t="shared" si="35"/>
        <v/>
      </c>
      <c r="DF8" s="17">
        <v>15.7</v>
      </c>
      <c r="DG8" s="17">
        <v>7.5</v>
      </c>
      <c r="DH8" s="17">
        <v>0</v>
      </c>
      <c r="DI8" s="17">
        <v>0</v>
      </c>
      <c r="DJ8" s="17">
        <v>15.3</v>
      </c>
      <c r="DK8" s="17">
        <v>7.2</v>
      </c>
      <c r="DL8" s="17">
        <v>0</v>
      </c>
      <c r="DM8" s="17">
        <v>0</v>
      </c>
      <c r="DN8" s="17"/>
      <c r="DO8" s="17"/>
      <c r="DP8" s="17"/>
      <c r="DQ8" s="17"/>
      <c r="DR8" s="17">
        <v>15.4</v>
      </c>
      <c r="DS8" s="17">
        <v>6.8</v>
      </c>
      <c r="DT8" s="17">
        <v>0</v>
      </c>
      <c r="DU8" s="17">
        <v>0</v>
      </c>
      <c r="DV8" s="17">
        <v>16.100000000000001</v>
      </c>
      <c r="DW8" s="17">
        <v>6.5</v>
      </c>
      <c r="DX8" s="17">
        <v>0</v>
      </c>
      <c r="DY8" s="17">
        <v>0</v>
      </c>
      <c r="DZ8" s="40">
        <f t="shared" si="36"/>
        <v>14.7</v>
      </c>
      <c r="EA8" s="40">
        <f t="shared" si="37"/>
        <v>45.7</v>
      </c>
      <c r="EB8" s="40" t="str">
        <f t="shared" si="38"/>
        <v/>
      </c>
      <c r="EC8" s="40">
        <f t="shared" si="39"/>
        <v>14.7</v>
      </c>
      <c r="ED8" s="40">
        <f t="shared" si="40"/>
        <v>45.7</v>
      </c>
      <c r="EE8" s="40">
        <f t="shared" si="41"/>
        <v>13.3</v>
      </c>
      <c r="EF8" s="40">
        <f t="shared" si="42"/>
        <v>44.8</v>
      </c>
      <c r="EG8" s="40">
        <f t="shared" si="43"/>
        <v>90.5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4"/>
        <v/>
      </c>
      <c r="FC8" s="11" t="str">
        <f t="shared" si="45"/>
        <v/>
      </c>
      <c r="FD8" s="11" t="str">
        <f t="shared" si="46"/>
        <v/>
      </c>
      <c r="FE8" s="11" t="str">
        <f t="shared" si="47"/>
        <v/>
      </c>
      <c r="FF8" s="11" t="str">
        <f t="shared" si="48"/>
        <v/>
      </c>
      <c r="FG8" s="11" t="str">
        <f t="shared" si="49"/>
        <v/>
      </c>
      <c r="FH8" s="11" t="str">
        <f t="shared" si="50"/>
        <v/>
      </c>
      <c r="FI8" s="11" t="str">
        <f t="shared" si="51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2"/>
        <v/>
      </c>
      <c r="GE8" s="40" t="str">
        <f t="shared" si="53"/>
        <v/>
      </c>
      <c r="GF8" s="40" t="str">
        <f t="shared" si="54"/>
        <v/>
      </c>
      <c r="GG8" s="40" t="str">
        <f t="shared" si="55"/>
        <v/>
      </c>
      <c r="GH8" s="40" t="str">
        <f t="shared" si="56"/>
        <v/>
      </c>
      <c r="GI8" s="40" t="str">
        <f t="shared" si="57"/>
        <v/>
      </c>
      <c r="GJ8" s="40" t="str">
        <f t="shared" si="58"/>
        <v/>
      </c>
      <c r="GK8" s="40" t="str">
        <f t="shared" si="59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0"/>
        <v/>
      </c>
      <c r="HG8" s="11" t="str">
        <f t="shared" si="61"/>
        <v/>
      </c>
      <c r="HH8" s="11" t="str">
        <f t="shared" si="62"/>
        <v/>
      </c>
      <c r="HI8" s="11" t="str">
        <f t="shared" si="63"/>
        <v/>
      </c>
      <c r="HJ8" s="11" t="str">
        <f t="shared" si="64"/>
        <v/>
      </c>
      <c r="HK8" s="11" t="str">
        <f t="shared" si="65"/>
        <v/>
      </c>
      <c r="HL8" s="11" t="str">
        <f t="shared" si="66"/>
        <v/>
      </c>
      <c r="HM8" s="11" t="str">
        <f t="shared" si="67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68"/>
        <v/>
      </c>
      <c r="II8" s="40" t="str">
        <f t="shared" si="69"/>
        <v/>
      </c>
      <c r="IJ8" s="40" t="str">
        <f t="shared" si="70"/>
        <v/>
      </c>
      <c r="IK8" s="40" t="str">
        <f t="shared" si="71"/>
        <v/>
      </c>
      <c r="IL8" s="40" t="str">
        <f t="shared" si="72"/>
        <v/>
      </c>
      <c r="IM8" s="40" t="str">
        <f t="shared" si="73"/>
        <v/>
      </c>
      <c r="IN8" s="40" t="str">
        <f t="shared" si="74"/>
        <v/>
      </c>
      <c r="IO8" s="40" t="str">
        <f t="shared" si="75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6"/>
        <v/>
      </c>
      <c r="JK8" s="11" t="str">
        <f t="shared" si="77"/>
        <v/>
      </c>
      <c r="JL8" s="11" t="str">
        <f t="shared" si="78"/>
        <v/>
      </c>
      <c r="JM8" s="11" t="str">
        <f t="shared" si="79"/>
        <v/>
      </c>
      <c r="JN8" s="11" t="str">
        <f t="shared" si="80"/>
        <v/>
      </c>
      <c r="JO8" s="11" t="str">
        <f t="shared" si="81"/>
        <v/>
      </c>
      <c r="JP8" s="11" t="str">
        <f t="shared" si="82"/>
        <v/>
      </c>
      <c r="JQ8" s="11" t="str">
        <f t="shared" si="83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4"/>
        <v/>
      </c>
      <c r="KM8" s="40" t="str">
        <f t="shared" si="85"/>
        <v/>
      </c>
      <c r="KN8" s="40" t="str">
        <f t="shared" si="86"/>
        <v/>
      </c>
      <c r="KO8" s="40" t="str">
        <f t="shared" si="87"/>
        <v/>
      </c>
      <c r="KP8" s="40" t="str">
        <f t="shared" si="88"/>
        <v/>
      </c>
      <c r="KQ8" s="40" t="str">
        <f t="shared" si="89"/>
        <v/>
      </c>
      <c r="KR8" s="40" t="str">
        <f t="shared" si="90"/>
        <v/>
      </c>
      <c r="KS8" s="40" t="str">
        <f t="shared" si="91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2"/>
        <v/>
      </c>
      <c r="LO8" s="11" t="str">
        <f t="shared" si="93"/>
        <v/>
      </c>
      <c r="LP8" s="11" t="str">
        <f t="shared" si="94"/>
        <v/>
      </c>
      <c r="LQ8" s="11" t="str">
        <f t="shared" si="95"/>
        <v/>
      </c>
      <c r="LR8" s="11" t="str">
        <f t="shared" si="96"/>
        <v/>
      </c>
      <c r="LS8" s="11" t="str">
        <f t="shared" si="97"/>
        <v/>
      </c>
      <c r="LT8" s="11" t="str">
        <f t="shared" si="98"/>
        <v/>
      </c>
      <c r="LU8" s="11" t="str">
        <f t="shared" si="99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0"/>
        <v/>
      </c>
      <c r="MQ8" s="40" t="str">
        <f t="shared" si="101"/>
        <v/>
      </c>
      <c r="MR8" s="40" t="str">
        <f t="shared" si="102"/>
        <v/>
      </c>
      <c r="MS8" s="40" t="str">
        <f t="shared" si="103"/>
        <v/>
      </c>
      <c r="MT8" s="40" t="str">
        <f t="shared" si="104"/>
        <v/>
      </c>
      <c r="MU8" s="40" t="str">
        <f t="shared" si="105"/>
        <v/>
      </c>
      <c r="MV8" s="40" t="str">
        <f t="shared" si="106"/>
        <v/>
      </c>
      <c r="MW8" s="40" t="str">
        <f t="shared" si="107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08"/>
        <v/>
      </c>
      <c r="NS8" s="11" t="str">
        <f t="shared" si="109"/>
        <v/>
      </c>
      <c r="NT8" s="11" t="str">
        <f t="shared" si="110"/>
        <v/>
      </c>
      <c r="NU8" s="11" t="str">
        <f t="shared" si="111"/>
        <v/>
      </c>
      <c r="NV8" s="11" t="str">
        <f t="shared" si="112"/>
        <v/>
      </c>
      <c r="NW8" s="11" t="str">
        <f t="shared" si="113"/>
        <v/>
      </c>
      <c r="NX8" s="11" t="str">
        <f t="shared" si="114"/>
        <v/>
      </c>
      <c r="NY8" s="11" t="str">
        <f t="shared" si="115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6"/>
        <v/>
      </c>
      <c r="OU8" s="40" t="str">
        <f t="shared" si="117"/>
        <v/>
      </c>
      <c r="OV8" s="40" t="str">
        <f t="shared" si="118"/>
        <v/>
      </c>
      <c r="OW8" s="40" t="str">
        <f t="shared" si="119"/>
        <v/>
      </c>
      <c r="OX8" s="40" t="str">
        <f t="shared" si="120"/>
        <v/>
      </c>
      <c r="OY8" s="40" t="str">
        <f t="shared" si="121"/>
        <v/>
      </c>
      <c r="OZ8" s="40" t="str">
        <f t="shared" si="122"/>
        <v/>
      </c>
      <c r="PA8" s="40" t="str">
        <f t="shared" si="123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4"/>
        <v/>
      </c>
      <c r="PW8" s="11" t="str">
        <f t="shared" si="125"/>
        <v/>
      </c>
      <c r="PX8" s="11" t="str">
        <f t="shared" si="126"/>
        <v/>
      </c>
      <c r="PY8" s="11" t="str">
        <f t="shared" si="127"/>
        <v/>
      </c>
      <c r="PZ8" s="11" t="str">
        <f t="shared" si="128"/>
        <v/>
      </c>
      <c r="QA8" s="11" t="str">
        <f t="shared" si="129"/>
        <v/>
      </c>
      <c r="QB8" s="11" t="str">
        <f t="shared" si="130"/>
        <v/>
      </c>
      <c r="QC8" s="11" t="str">
        <f t="shared" si="131"/>
        <v/>
      </c>
      <c r="QD8" s="22">
        <f t="shared" si="132"/>
        <v>8.15</v>
      </c>
      <c r="QE8" s="22">
        <f t="shared" si="133"/>
        <v>2.7</v>
      </c>
      <c r="QF8" s="22">
        <f t="shared" si="134"/>
        <v>0</v>
      </c>
      <c r="QG8" s="22">
        <f t="shared" si="135"/>
        <v>0</v>
      </c>
      <c r="QH8" s="22">
        <f t="shared" si="136"/>
        <v>7.75</v>
      </c>
      <c r="QI8" s="22">
        <f t="shared" si="137"/>
        <v>3.15</v>
      </c>
      <c r="QJ8" s="22">
        <f t="shared" si="138"/>
        <v>0</v>
      </c>
      <c r="QK8" s="22">
        <f t="shared" si="139"/>
        <v>0</v>
      </c>
      <c r="QL8" s="22">
        <f t="shared" si="140"/>
        <v>0</v>
      </c>
      <c r="QM8" s="22">
        <f t="shared" si="141"/>
        <v>0</v>
      </c>
      <c r="QN8" s="22">
        <f t="shared" si="142"/>
        <v>0</v>
      </c>
      <c r="QO8" s="22">
        <f t="shared" si="143"/>
        <v>0</v>
      </c>
      <c r="QP8" s="22">
        <f t="shared" si="144"/>
        <v>7.65</v>
      </c>
      <c r="QQ8" s="22">
        <f t="shared" si="145"/>
        <v>2.7</v>
      </c>
      <c r="QR8" s="22">
        <f t="shared" si="146"/>
        <v>0</v>
      </c>
      <c r="QS8" s="22">
        <f t="shared" si="147"/>
        <v>0</v>
      </c>
      <c r="QT8" s="22">
        <f t="shared" si="148"/>
        <v>7.5</v>
      </c>
      <c r="QU8" s="22">
        <f t="shared" si="149"/>
        <v>3.15</v>
      </c>
      <c r="QV8" s="22">
        <f t="shared" si="150"/>
        <v>0</v>
      </c>
      <c r="QW8" s="22">
        <f t="shared" si="151"/>
        <v>0</v>
      </c>
      <c r="QX8" s="27" t="s">
        <v>46</v>
      </c>
      <c r="QY8" s="40">
        <f t="shared" si="152"/>
        <v>5.85</v>
      </c>
      <c r="QZ8" s="40">
        <f t="shared" si="153"/>
        <v>21.75</v>
      </c>
      <c r="RA8" s="40" t="str">
        <f t="shared" si="154"/>
        <v/>
      </c>
      <c r="RB8" s="40">
        <f t="shared" si="155"/>
        <v>5.85</v>
      </c>
      <c r="RC8" s="40">
        <f t="shared" si="156"/>
        <v>21.75</v>
      </c>
      <c r="RD8" s="40">
        <f t="shared" si="157"/>
        <v>5.85</v>
      </c>
      <c r="RE8" s="40">
        <f t="shared" si="158"/>
        <v>21</v>
      </c>
      <c r="RF8" s="40">
        <f t="shared" si="159"/>
        <v>42.75</v>
      </c>
    </row>
    <row r="9" spans="1:474" x14ac:dyDescent="0.2">
      <c r="A9" s="4" cm="1">
        <f t="array" ref="A9">IF(AND(J9&lt;&gt;"",J9&lt;&gt;"No DD"),SUMPRODUCT((J$4:J$22&lt;&gt;"")*(J$4:J$22&lt;&gt;"No DD")*(F$4:F$22&gt;F9))+1,IF(J9="No DD",SUMPRODUCT((J$4:J$22="No DD")*(F$4:F$22&gt;F9))+1+SUMPRODUCT((J$4:J$22&lt;&gt;"")*(J$4:J$22&lt;&gt;"No DD")),""))</f>
        <v>6</v>
      </c>
      <c r="B9" s="4" t="str" cm="1">
        <f t="array" ref="B9">IF(AND(J9&lt;&gt;"",J9&lt;&gt;"No DD",G9=""),SUMPRODUCT((J$4:J$22&lt;&gt;"")*(J$4:J$22&lt;&gt;"No DD")*(G$4:G$22="")*(F$4:F$22&gt;F9))+1,IF(J9="No DD",SUMPRODUCT((J$4:J$22="No DD")*(F$4:F$22&gt;F9)*(G$4:G$22=""))+1+SUMPRODUCT((J$4:J$22&lt;&gt;"")*(G$4:G$22="")*(J$4:J$22&lt;&gt;"No DD")),""))</f>
        <v/>
      </c>
      <c r="C9" s="5" t="s">
        <v>209</v>
      </c>
      <c r="D9" s="4" t="s">
        <v>4</v>
      </c>
      <c r="E9" s="4">
        <v>2008</v>
      </c>
      <c r="F9" s="9">
        <f t="shared" si="0"/>
        <v>135.00000852000429</v>
      </c>
      <c r="G9" s="64" t="s">
        <v>46</v>
      </c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43</v>
      </c>
      <c r="M9" s="8" t="str">
        <f t="shared" si="5"/>
        <v>2024 Nationals</v>
      </c>
      <c r="N9" s="8">
        <f>IF(COUNT(AQ9,BT9,CW9)&gt;1,LARGE((AQ9,BT9,CW9),2),0)</f>
        <v>42.199999999999996</v>
      </c>
      <c r="O9" s="8" t="str">
        <f t="shared" si="6"/>
        <v>2025 Elite Canada</v>
      </c>
      <c r="P9" s="8">
        <f t="shared" si="7"/>
        <v>47.300000000000004</v>
      </c>
      <c r="Q9" s="8" t="str">
        <f t="shared" si="8"/>
        <v>2024 Nationals</v>
      </c>
      <c r="R9" s="8">
        <f t="shared" si="9"/>
        <v>2.5000000000000071</v>
      </c>
      <c r="S9" s="11" t="str">
        <f t="shared" si="160"/>
        <v>(Q1)</v>
      </c>
      <c r="T9" s="8" t="str">
        <f t="shared" si="161"/>
        <v>2024 Coimbra Gym Fest (July 7)</v>
      </c>
      <c r="U9" s="19">
        <v>14.7</v>
      </c>
      <c r="V9" s="19">
        <v>5.5</v>
      </c>
      <c r="W9" s="19">
        <v>0</v>
      </c>
      <c r="X9" s="19">
        <v>0.6</v>
      </c>
      <c r="Y9" s="19">
        <v>15.5</v>
      </c>
      <c r="Z9" s="19">
        <v>6.1</v>
      </c>
      <c r="AA9" s="19">
        <v>0</v>
      </c>
      <c r="AB9" s="19">
        <v>0.6</v>
      </c>
      <c r="AC9" s="19">
        <v>16</v>
      </c>
      <c r="AD9" s="19">
        <v>7.5</v>
      </c>
      <c r="AE9" s="19">
        <v>0</v>
      </c>
      <c r="AF9" s="19">
        <v>0.6</v>
      </c>
      <c r="AG9" s="19">
        <v>15.7</v>
      </c>
      <c r="AH9" s="19">
        <v>6.8</v>
      </c>
      <c r="AI9" s="19">
        <v>0</v>
      </c>
      <c r="AJ9" s="19">
        <v>0.6</v>
      </c>
      <c r="AK9" s="19">
        <v>16.100000000000001</v>
      </c>
      <c r="AL9" s="19">
        <v>7.5</v>
      </c>
      <c r="AM9" s="19">
        <v>0</v>
      </c>
      <c r="AN9" s="19">
        <v>0.6</v>
      </c>
      <c r="AO9" s="27"/>
      <c r="AP9" s="40">
        <f t="shared" si="10"/>
        <v>11.6</v>
      </c>
      <c r="AQ9" s="40">
        <f t="shared" si="11"/>
        <v>43</v>
      </c>
      <c r="AR9" s="40">
        <f t="shared" si="12"/>
        <v>24.1</v>
      </c>
      <c r="AS9" s="40">
        <f t="shared" si="13"/>
        <v>19.100000000000001</v>
      </c>
      <c r="AT9" s="40">
        <f t="shared" si="14"/>
        <v>67.099999999999994</v>
      </c>
      <c r="AU9" s="40">
        <f t="shared" si="15"/>
        <v>14.3</v>
      </c>
      <c r="AV9" s="40">
        <f t="shared" si="16"/>
        <v>47.300000000000004</v>
      </c>
      <c r="AW9" s="40">
        <f t="shared" si="17"/>
        <v>114.4</v>
      </c>
      <c r="AX9" s="18">
        <v>15</v>
      </c>
      <c r="AY9" s="18">
        <v>7.2</v>
      </c>
      <c r="AZ9" s="18">
        <v>2</v>
      </c>
      <c r="BA9" s="18">
        <v>0.6</v>
      </c>
      <c r="BB9" s="18">
        <v>13.5</v>
      </c>
      <c r="BC9" s="18">
        <v>6.8</v>
      </c>
      <c r="BD9" s="18">
        <v>0.2</v>
      </c>
      <c r="BE9" s="18">
        <v>0.6</v>
      </c>
      <c r="BF9" s="18">
        <v>15.1</v>
      </c>
      <c r="BG9" s="18">
        <v>8.1999999999999993</v>
      </c>
      <c r="BH9" s="18">
        <v>0</v>
      </c>
      <c r="BI9" s="18">
        <v>0.6</v>
      </c>
      <c r="BJ9" s="18">
        <v>15.4</v>
      </c>
      <c r="BK9" s="18">
        <v>7.5</v>
      </c>
      <c r="BL9" s="18">
        <v>0.4</v>
      </c>
      <c r="BM9" s="18">
        <v>0.6</v>
      </c>
      <c r="BN9" s="18">
        <v>13.8</v>
      </c>
      <c r="BO9" s="18">
        <v>7</v>
      </c>
      <c r="BP9" s="18">
        <v>0</v>
      </c>
      <c r="BQ9" s="18">
        <v>0.6</v>
      </c>
      <c r="BR9" s="28"/>
      <c r="BS9" s="11">
        <f t="shared" si="18"/>
        <v>14</v>
      </c>
      <c r="BT9" s="11">
        <f t="shared" si="19"/>
        <v>41.499999999999993</v>
      </c>
      <c r="BU9" s="11">
        <f t="shared" si="20"/>
        <v>23.9</v>
      </c>
      <c r="BV9" s="11">
        <f t="shared" si="21"/>
        <v>22.2</v>
      </c>
      <c r="BW9" s="11">
        <f t="shared" si="22"/>
        <v>65.399999999999991</v>
      </c>
      <c r="BX9" s="11">
        <f t="shared" si="23"/>
        <v>14.5</v>
      </c>
      <c r="BY9" s="11">
        <f t="shared" si="24"/>
        <v>44.5</v>
      </c>
      <c r="BZ9" s="11">
        <f t="shared" si="25"/>
        <v>109.89999999999999</v>
      </c>
      <c r="CA9" s="19">
        <v>15.3</v>
      </c>
      <c r="CB9" s="19">
        <v>6.6</v>
      </c>
      <c r="CC9" s="19">
        <v>0.2</v>
      </c>
      <c r="CD9" s="19">
        <v>0</v>
      </c>
      <c r="CE9" s="19">
        <v>15.1</v>
      </c>
      <c r="CF9" s="19">
        <v>5.4</v>
      </c>
      <c r="CG9" s="19">
        <v>0</v>
      </c>
      <c r="CH9" s="19">
        <v>0</v>
      </c>
      <c r="CI9" s="19"/>
      <c r="CJ9" s="19"/>
      <c r="CK9" s="19"/>
      <c r="CL9" s="19"/>
      <c r="CM9" s="19">
        <v>16.3</v>
      </c>
      <c r="CN9" s="19">
        <v>5.7</v>
      </c>
      <c r="CO9" s="19">
        <v>0</v>
      </c>
      <c r="CP9" s="19">
        <v>0</v>
      </c>
      <c r="CQ9" s="19">
        <v>15.4</v>
      </c>
      <c r="CR9" s="19">
        <v>4</v>
      </c>
      <c r="CS9" s="19">
        <v>0</v>
      </c>
      <c r="CT9" s="19">
        <v>0</v>
      </c>
      <c r="CU9" s="27"/>
      <c r="CV9" s="40">
        <f t="shared" si="26"/>
        <v>12</v>
      </c>
      <c r="CW9" s="40">
        <f t="shared" si="27"/>
        <v>42.199999999999996</v>
      </c>
      <c r="CX9" s="40" t="str">
        <f t="shared" si="28"/>
        <v/>
      </c>
      <c r="CY9" s="40">
        <f t="shared" si="29"/>
        <v>12</v>
      </c>
      <c r="CZ9" s="40">
        <f t="shared" si="30"/>
        <v>42.199999999999996</v>
      </c>
      <c r="DA9" s="40">
        <f t="shared" si="31"/>
        <v>9.6999999999999993</v>
      </c>
      <c r="DB9" s="40">
        <f t="shared" si="32"/>
        <v>41.4</v>
      </c>
      <c r="DC9" s="40">
        <f t="shared" si="33"/>
        <v>83.6</v>
      </c>
      <c r="DD9" s="50">
        <f t="shared" si="34"/>
        <v>2.5000000000000071</v>
      </c>
      <c r="DE9" s="50" t="str">
        <f t="shared" si="35"/>
        <v/>
      </c>
      <c r="DF9" s="17">
        <v>15.1</v>
      </c>
      <c r="DG9" s="17">
        <v>7.5</v>
      </c>
      <c r="DH9" s="17">
        <v>0</v>
      </c>
      <c r="DI9" s="17">
        <v>0</v>
      </c>
      <c r="DJ9" s="17">
        <v>15.3</v>
      </c>
      <c r="DK9" s="17">
        <v>6.8</v>
      </c>
      <c r="DL9" s="17">
        <v>0</v>
      </c>
      <c r="DM9" s="17">
        <v>0</v>
      </c>
      <c r="DN9" s="17"/>
      <c r="DO9" s="17"/>
      <c r="DP9" s="17"/>
      <c r="DQ9" s="17"/>
      <c r="DR9" s="17">
        <v>15.4</v>
      </c>
      <c r="DS9" s="17">
        <v>6.8</v>
      </c>
      <c r="DT9" s="17">
        <v>0</v>
      </c>
      <c r="DU9" s="17">
        <v>0</v>
      </c>
      <c r="DV9" s="17">
        <v>15.5</v>
      </c>
      <c r="DW9" s="17">
        <v>7.5</v>
      </c>
      <c r="DX9" s="17">
        <v>0</v>
      </c>
      <c r="DY9" s="17">
        <v>0</v>
      </c>
      <c r="DZ9" s="40">
        <f t="shared" si="36"/>
        <v>14.3</v>
      </c>
      <c r="EA9" s="40">
        <f t="shared" si="37"/>
        <v>44.7</v>
      </c>
      <c r="EB9" s="40" t="str">
        <f t="shared" si="38"/>
        <v/>
      </c>
      <c r="EC9" s="40">
        <f t="shared" si="39"/>
        <v>14.3</v>
      </c>
      <c r="ED9" s="40">
        <f t="shared" si="40"/>
        <v>44.7</v>
      </c>
      <c r="EE9" s="40">
        <f t="shared" si="41"/>
        <v>14.3</v>
      </c>
      <c r="EF9" s="40">
        <f t="shared" si="42"/>
        <v>45.2</v>
      </c>
      <c r="EG9" s="40">
        <f t="shared" si="43"/>
        <v>89.9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4"/>
        <v/>
      </c>
      <c r="FC9" s="11" t="str">
        <f t="shared" si="45"/>
        <v/>
      </c>
      <c r="FD9" s="11" t="str">
        <f t="shared" si="46"/>
        <v/>
      </c>
      <c r="FE9" s="11" t="str">
        <f t="shared" si="47"/>
        <v/>
      </c>
      <c r="FF9" s="11" t="str">
        <f t="shared" si="48"/>
        <v/>
      </c>
      <c r="FG9" s="11" t="str">
        <f t="shared" si="49"/>
        <v/>
      </c>
      <c r="FH9" s="11" t="str">
        <f t="shared" si="50"/>
        <v/>
      </c>
      <c r="FI9" s="11" t="str">
        <f t="shared" si="51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2"/>
        <v/>
      </c>
      <c r="GE9" s="40" t="str">
        <f t="shared" si="53"/>
        <v/>
      </c>
      <c r="GF9" s="40" t="str">
        <f t="shared" si="54"/>
        <v/>
      </c>
      <c r="GG9" s="40" t="str">
        <f t="shared" si="55"/>
        <v/>
      </c>
      <c r="GH9" s="40" t="str">
        <f t="shared" si="56"/>
        <v/>
      </c>
      <c r="GI9" s="40" t="str">
        <f t="shared" si="57"/>
        <v/>
      </c>
      <c r="GJ9" s="40" t="str">
        <f t="shared" si="58"/>
        <v/>
      </c>
      <c r="GK9" s="40" t="str">
        <f t="shared" si="59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0"/>
        <v/>
      </c>
      <c r="HG9" s="11" t="str">
        <f t="shared" si="61"/>
        <v/>
      </c>
      <c r="HH9" s="11" t="str">
        <f t="shared" si="62"/>
        <v/>
      </c>
      <c r="HI9" s="11" t="str">
        <f t="shared" si="63"/>
        <v/>
      </c>
      <c r="HJ9" s="11" t="str">
        <f t="shared" si="64"/>
        <v/>
      </c>
      <c r="HK9" s="11" t="str">
        <f t="shared" si="65"/>
        <v/>
      </c>
      <c r="HL9" s="11" t="str">
        <f t="shared" si="66"/>
        <v/>
      </c>
      <c r="HM9" s="11" t="str">
        <f t="shared" si="67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68"/>
        <v/>
      </c>
      <c r="II9" s="40" t="str">
        <f t="shared" si="69"/>
        <v/>
      </c>
      <c r="IJ9" s="40" t="str">
        <f t="shared" si="70"/>
        <v/>
      </c>
      <c r="IK9" s="40" t="str">
        <f t="shared" si="71"/>
        <v/>
      </c>
      <c r="IL9" s="40" t="str">
        <f t="shared" si="72"/>
        <v/>
      </c>
      <c r="IM9" s="40" t="str">
        <f t="shared" si="73"/>
        <v/>
      </c>
      <c r="IN9" s="40" t="str">
        <f t="shared" si="74"/>
        <v/>
      </c>
      <c r="IO9" s="40" t="str">
        <f t="shared" si="75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6"/>
        <v/>
      </c>
      <c r="JK9" s="11" t="str">
        <f t="shared" si="77"/>
        <v/>
      </c>
      <c r="JL9" s="11" t="str">
        <f t="shared" si="78"/>
        <v/>
      </c>
      <c r="JM9" s="11" t="str">
        <f t="shared" si="79"/>
        <v/>
      </c>
      <c r="JN9" s="11" t="str">
        <f t="shared" si="80"/>
        <v/>
      </c>
      <c r="JO9" s="11" t="str">
        <f t="shared" si="81"/>
        <v/>
      </c>
      <c r="JP9" s="11" t="str">
        <f t="shared" si="82"/>
        <v/>
      </c>
      <c r="JQ9" s="11" t="str">
        <f t="shared" si="83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4"/>
        <v/>
      </c>
      <c r="KM9" s="40" t="str">
        <f t="shared" si="85"/>
        <v/>
      </c>
      <c r="KN9" s="40" t="str">
        <f t="shared" si="86"/>
        <v/>
      </c>
      <c r="KO9" s="40" t="str">
        <f t="shared" si="87"/>
        <v/>
      </c>
      <c r="KP9" s="40" t="str">
        <f t="shared" si="88"/>
        <v/>
      </c>
      <c r="KQ9" s="40" t="str">
        <f t="shared" si="89"/>
        <v/>
      </c>
      <c r="KR9" s="40" t="str">
        <f t="shared" si="90"/>
        <v/>
      </c>
      <c r="KS9" s="40" t="str">
        <f t="shared" si="91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2"/>
        <v/>
      </c>
      <c r="LO9" s="11" t="str">
        <f t="shared" si="93"/>
        <v/>
      </c>
      <c r="LP9" s="11" t="str">
        <f t="shared" si="94"/>
        <v/>
      </c>
      <c r="LQ9" s="11" t="str">
        <f t="shared" si="95"/>
        <v/>
      </c>
      <c r="LR9" s="11" t="str">
        <f t="shared" si="96"/>
        <v/>
      </c>
      <c r="LS9" s="11" t="str">
        <f t="shared" si="97"/>
        <v/>
      </c>
      <c r="LT9" s="11" t="str">
        <f t="shared" si="98"/>
        <v/>
      </c>
      <c r="LU9" s="11" t="str">
        <f t="shared" si="99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0"/>
        <v/>
      </c>
      <c r="MQ9" s="40" t="str">
        <f t="shared" si="101"/>
        <v/>
      </c>
      <c r="MR9" s="40" t="str">
        <f t="shared" si="102"/>
        <v/>
      </c>
      <c r="MS9" s="40" t="str">
        <f t="shared" si="103"/>
        <v/>
      </c>
      <c r="MT9" s="40" t="str">
        <f t="shared" si="104"/>
        <v/>
      </c>
      <c r="MU9" s="40" t="str">
        <f t="shared" si="105"/>
        <v/>
      </c>
      <c r="MV9" s="40" t="str">
        <f t="shared" si="106"/>
        <v/>
      </c>
      <c r="MW9" s="40" t="str">
        <f t="shared" si="107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08"/>
        <v/>
      </c>
      <c r="NS9" s="11" t="str">
        <f t="shared" si="109"/>
        <v/>
      </c>
      <c r="NT9" s="11" t="str">
        <f t="shared" si="110"/>
        <v/>
      </c>
      <c r="NU9" s="11" t="str">
        <f t="shared" si="111"/>
        <v/>
      </c>
      <c r="NV9" s="11" t="str">
        <f t="shared" si="112"/>
        <v/>
      </c>
      <c r="NW9" s="11" t="str">
        <f t="shared" si="113"/>
        <v/>
      </c>
      <c r="NX9" s="11" t="str">
        <f t="shared" si="114"/>
        <v/>
      </c>
      <c r="NY9" s="11" t="str">
        <f t="shared" si="115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6"/>
        <v/>
      </c>
      <c r="OU9" s="40" t="str">
        <f t="shared" si="117"/>
        <v/>
      </c>
      <c r="OV9" s="40" t="str">
        <f t="shared" si="118"/>
        <v/>
      </c>
      <c r="OW9" s="40" t="str">
        <f t="shared" si="119"/>
        <v/>
      </c>
      <c r="OX9" s="40" t="str">
        <f t="shared" si="120"/>
        <v/>
      </c>
      <c r="OY9" s="40" t="str">
        <f t="shared" si="121"/>
        <v/>
      </c>
      <c r="OZ9" s="40" t="str">
        <f t="shared" si="122"/>
        <v/>
      </c>
      <c r="PA9" s="40" t="str">
        <f t="shared" si="123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4"/>
        <v/>
      </c>
      <c r="PW9" s="11" t="str">
        <f t="shared" si="125"/>
        <v/>
      </c>
      <c r="PX9" s="11" t="str">
        <f t="shared" si="126"/>
        <v/>
      </c>
      <c r="PY9" s="11" t="str">
        <f t="shared" si="127"/>
        <v/>
      </c>
      <c r="PZ9" s="11" t="str">
        <f t="shared" si="128"/>
        <v/>
      </c>
      <c r="QA9" s="11" t="str">
        <f t="shared" si="129"/>
        <v/>
      </c>
      <c r="QB9" s="11" t="str">
        <f t="shared" si="130"/>
        <v/>
      </c>
      <c r="QC9" s="11" t="str">
        <f t="shared" si="131"/>
        <v/>
      </c>
      <c r="QD9" s="22">
        <f t="shared" si="132"/>
        <v>15.15</v>
      </c>
      <c r="QE9" s="22">
        <f t="shared" si="133"/>
        <v>6.9</v>
      </c>
      <c r="QF9" s="22">
        <f t="shared" si="134"/>
        <v>1.1000000000000001</v>
      </c>
      <c r="QG9" s="22">
        <f t="shared" si="135"/>
        <v>0.3</v>
      </c>
      <c r="QH9" s="22">
        <f t="shared" si="136"/>
        <v>14.3</v>
      </c>
      <c r="QI9" s="22">
        <f t="shared" si="137"/>
        <v>6.1</v>
      </c>
      <c r="QJ9" s="22">
        <f t="shared" si="138"/>
        <v>0.1</v>
      </c>
      <c r="QK9" s="22">
        <f t="shared" si="139"/>
        <v>0.3</v>
      </c>
      <c r="QL9" s="22">
        <f t="shared" si="140"/>
        <v>7.55</v>
      </c>
      <c r="QM9" s="22">
        <f t="shared" si="141"/>
        <v>4.0999999999999996</v>
      </c>
      <c r="QN9" s="22">
        <f t="shared" si="142"/>
        <v>0</v>
      </c>
      <c r="QO9" s="22">
        <f t="shared" si="143"/>
        <v>0.3</v>
      </c>
      <c r="QP9" s="22">
        <f t="shared" si="144"/>
        <v>15.850000000000001</v>
      </c>
      <c r="QQ9" s="22">
        <f t="shared" si="145"/>
        <v>6.6</v>
      </c>
      <c r="QR9" s="22">
        <f t="shared" si="146"/>
        <v>0.2</v>
      </c>
      <c r="QS9" s="22">
        <f t="shared" si="147"/>
        <v>0.3</v>
      </c>
      <c r="QT9" s="22">
        <f t="shared" si="148"/>
        <v>14.600000000000001</v>
      </c>
      <c r="QU9" s="22">
        <f t="shared" si="149"/>
        <v>5.5</v>
      </c>
      <c r="QV9" s="22">
        <f t="shared" si="150"/>
        <v>0</v>
      </c>
      <c r="QW9" s="22">
        <f t="shared" si="151"/>
        <v>0.3</v>
      </c>
      <c r="QX9" s="27" t="s">
        <v>46</v>
      </c>
      <c r="QY9" s="40">
        <f t="shared" si="152"/>
        <v>13</v>
      </c>
      <c r="QZ9" s="40">
        <f t="shared" si="153"/>
        <v>41.85</v>
      </c>
      <c r="RA9" s="40">
        <f t="shared" si="154"/>
        <v>11.95</v>
      </c>
      <c r="RB9" s="40">
        <f t="shared" si="155"/>
        <v>17.100000000000001</v>
      </c>
      <c r="RC9" s="40">
        <f t="shared" si="156"/>
        <v>53.8</v>
      </c>
      <c r="RD9" s="40">
        <f t="shared" si="157"/>
        <v>12.1</v>
      </c>
      <c r="RE9" s="40">
        <f t="shared" si="158"/>
        <v>42.95</v>
      </c>
      <c r="RF9" s="40">
        <f t="shared" si="159"/>
        <v>96.75</v>
      </c>
    </row>
    <row r="10" spans="1:474" x14ac:dyDescent="0.2">
      <c r="A10" s="4" cm="1">
        <f t="array" ref="A10">IF(AND(J10&lt;&gt;"",J10&lt;&gt;"No DD"),SUMPRODUCT((J$4:J$22&lt;&gt;"")*(J$4:J$22&lt;&gt;"No DD")*(F$4:F$22&gt;F10))+1,IF(J10="No DD",SUMPRODUCT((J$4:J$22="No DD")*(F$4:F$22&gt;F10))+1+SUMPRODUCT((J$4:J$22&lt;&gt;"")*(J$4:J$22&lt;&gt;"No DD")),""))</f>
        <v>7</v>
      </c>
      <c r="B10" s="4" cm="1">
        <f t="array" ref="B10">IF(AND(J10&lt;&gt;"",J10&lt;&gt;"No DD",G10=""),SUMPRODUCT((J$4:J$22&lt;&gt;"")*(J$4:J$22&lt;&gt;"No DD")*(G$4:G$22="")*(F$4:F$22&gt;F10))+1,IF(J10="No DD",SUMPRODUCT((J$4:J$22="No DD")*(F$4:F$22&gt;F10)*(G$4:G$22=""))+1+SUMPRODUCT((J$4:J$22&lt;&gt;"")*(G$4:G$22="")*(J$4:J$22&lt;&gt;"No DD")),""))</f>
        <v>2</v>
      </c>
      <c r="C10" s="5" t="s">
        <v>210</v>
      </c>
      <c r="D10" s="4" t="s">
        <v>3</v>
      </c>
      <c r="E10" s="4">
        <v>2008</v>
      </c>
      <c r="F10" s="9">
        <f t="shared" si="0"/>
        <v>134.40000887000451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45.6</v>
      </c>
      <c r="M10" s="8" t="str">
        <f t="shared" si="5"/>
        <v>2024 Nationals</v>
      </c>
      <c r="N10" s="8">
        <f>IF(COUNT(AQ10,BT10,CW10)&gt;1,LARGE((AQ10,BT10,CW10),2),0)</f>
        <v>43.099999999999994</v>
      </c>
      <c r="O10" s="8" t="str">
        <f t="shared" si="6"/>
        <v>2024 3rd Domestic Trial</v>
      </c>
      <c r="P10" s="8">
        <f t="shared" si="7"/>
        <v>45.199999999999996</v>
      </c>
      <c r="Q10" s="8" t="str">
        <f t="shared" si="8"/>
        <v>2024 3rd Domestic Trial</v>
      </c>
      <c r="R10" s="8">
        <f t="shared" si="9"/>
        <v>0.5</v>
      </c>
      <c r="S10" s="11" t="str">
        <f t="shared" si="160"/>
        <v>(Q1)</v>
      </c>
      <c r="T10" s="8" t="str">
        <f t="shared" si="161"/>
        <v>2024 Coimbra Gym Fest (July 7)</v>
      </c>
      <c r="U10" s="19">
        <v>16.600000000000001</v>
      </c>
      <c r="V10" s="19">
        <v>5.7</v>
      </c>
      <c r="W10" s="19">
        <v>0</v>
      </c>
      <c r="X10" s="19">
        <v>0.3</v>
      </c>
      <c r="Y10" s="19">
        <v>16.600000000000001</v>
      </c>
      <c r="Z10" s="19">
        <v>5.8</v>
      </c>
      <c r="AA10" s="19">
        <v>0</v>
      </c>
      <c r="AB10" s="19">
        <v>0.6</v>
      </c>
      <c r="AC10" s="19">
        <v>16.600000000000001</v>
      </c>
      <c r="AD10" s="19">
        <v>6</v>
      </c>
      <c r="AE10" s="19">
        <v>0</v>
      </c>
      <c r="AF10" s="19">
        <v>0.6</v>
      </c>
      <c r="AG10" s="19">
        <v>16.600000000000001</v>
      </c>
      <c r="AH10" s="19">
        <v>5.8</v>
      </c>
      <c r="AI10" s="19">
        <v>0</v>
      </c>
      <c r="AJ10" s="19">
        <v>0.6</v>
      </c>
      <c r="AK10" s="19">
        <v>17.600000000000001</v>
      </c>
      <c r="AL10" s="19">
        <v>3.5</v>
      </c>
      <c r="AM10" s="19">
        <v>0.6</v>
      </c>
      <c r="AN10" s="19">
        <v>0</v>
      </c>
      <c r="AO10" s="27"/>
      <c r="AP10" s="40">
        <f t="shared" si="10"/>
        <v>11.5</v>
      </c>
      <c r="AQ10" s="40">
        <f t="shared" si="11"/>
        <v>45.6</v>
      </c>
      <c r="AR10" s="40">
        <f t="shared" si="12"/>
        <v>23.200000000000003</v>
      </c>
      <c r="AS10" s="40">
        <f t="shared" si="13"/>
        <v>17.5</v>
      </c>
      <c r="AT10" s="40">
        <f t="shared" si="14"/>
        <v>68.800000000000011</v>
      </c>
      <c r="AU10" s="40">
        <f t="shared" si="15"/>
        <v>9.3000000000000007</v>
      </c>
      <c r="AV10" s="40">
        <f t="shared" si="16"/>
        <v>43.500000000000007</v>
      </c>
      <c r="AW10" s="40">
        <f t="shared" si="17"/>
        <v>112.30000000000001</v>
      </c>
      <c r="AX10" s="18">
        <v>16.100000000000001</v>
      </c>
      <c r="AY10" s="18">
        <v>5.9</v>
      </c>
      <c r="AZ10" s="18">
        <v>0</v>
      </c>
      <c r="BA10" s="18">
        <v>0.3</v>
      </c>
      <c r="BB10" s="18">
        <v>15.6</v>
      </c>
      <c r="BC10" s="18">
        <v>5.3</v>
      </c>
      <c r="BD10" s="18">
        <v>0.4</v>
      </c>
      <c r="BE10" s="18">
        <v>0.3</v>
      </c>
      <c r="BF10" s="18">
        <v>16.8</v>
      </c>
      <c r="BG10" s="18">
        <v>5.7</v>
      </c>
      <c r="BH10" s="18">
        <v>0</v>
      </c>
      <c r="BI10" s="18">
        <v>0.3</v>
      </c>
      <c r="BJ10" s="18">
        <v>16.899999999999999</v>
      </c>
      <c r="BK10" s="18">
        <v>5.9</v>
      </c>
      <c r="BL10" s="18">
        <v>0</v>
      </c>
      <c r="BM10" s="18">
        <v>0.3</v>
      </c>
      <c r="BN10" s="18">
        <v>16.3</v>
      </c>
      <c r="BO10" s="18">
        <v>5.5</v>
      </c>
      <c r="BP10" s="18">
        <v>0</v>
      </c>
      <c r="BQ10" s="18">
        <v>0.3</v>
      </c>
      <c r="BR10" s="28"/>
      <c r="BS10" s="11">
        <f t="shared" si="18"/>
        <v>11.2</v>
      </c>
      <c r="BT10" s="11">
        <f t="shared" si="19"/>
        <v>43.099999999999994</v>
      </c>
      <c r="BU10" s="11">
        <f t="shared" si="20"/>
        <v>22.8</v>
      </c>
      <c r="BV10" s="11">
        <f t="shared" si="21"/>
        <v>16.899999999999999</v>
      </c>
      <c r="BW10" s="11">
        <f t="shared" si="22"/>
        <v>65.899999999999991</v>
      </c>
      <c r="BX10" s="11">
        <f t="shared" si="23"/>
        <v>11.4</v>
      </c>
      <c r="BY10" s="11">
        <f t="shared" si="24"/>
        <v>45.199999999999996</v>
      </c>
      <c r="BZ10" s="11">
        <f t="shared" si="25"/>
        <v>111.1</v>
      </c>
      <c r="CA10" s="19">
        <v>17.3</v>
      </c>
      <c r="CB10" s="19">
        <v>5.5</v>
      </c>
      <c r="CC10" s="19">
        <v>0</v>
      </c>
      <c r="CD10" s="19">
        <v>0</v>
      </c>
      <c r="CE10" s="19">
        <v>14.3</v>
      </c>
      <c r="CF10" s="19">
        <v>5.9</v>
      </c>
      <c r="CG10" s="19">
        <v>0.2</v>
      </c>
      <c r="CH10" s="19">
        <v>0</v>
      </c>
      <c r="CI10" s="19"/>
      <c r="CJ10" s="19"/>
      <c r="CK10" s="19"/>
      <c r="CL10" s="19"/>
      <c r="CM10" s="19">
        <v>14.2</v>
      </c>
      <c r="CN10" s="19">
        <v>3.2</v>
      </c>
      <c r="CO10" s="19">
        <v>0</v>
      </c>
      <c r="CP10" s="19">
        <v>0</v>
      </c>
      <c r="CQ10" s="19">
        <v>15.9</v>
      </c>
      <c r="CR10" s="19">
        <v>5.5</v>
      </c>
      <c r="CS10" s="19">
        <v>0</v>
      </c>
      <c r="CT10" s="19">
        <v>0</v>
      </c>
      <c r="CU10" s="27"/>
      <c r="CV10" s="40">
        <f t="shared" si="26"/>
        <v>11.4</v>
      </c>
      <c r="CW10" s="40">
        <f t="shared" si="27"/>
        <v>42.8</v>
      </c>
      <c r="CX10" s="40" t="str">
        <f t="shared" si="28"/>
        <v/>
      </c>
      <c r="CY10" s="40">
        <f t="shared" si="29"/>
        <v>11.4</v>
      </c>
      <c r="CZ10" s="40">
        <f t="shared" si="30"/>
        <v>42.8</v>
      </c>
      <c r="DA10" s="40">
        <f t="shared" si="31"/>
        <v>8.6999999999999993</v>
      </c>
      <c r="DB10" s="40">
        <f t="shared" si="32"/>
        <v>38.799999999999997</v>
      </c>
      <c r="DC10" s="40">
        <f t="shared" si="33"/>
        <v>81.599999999999994</v>
      </c>
      <c r="DD10" s="50">
        <f t="shared" si="34"/>
        <v>0.5</v>
      </c>
      <c r="DE10" s="50" t="str">
        <f t="shared" si="35"/>
        <v/>
      </c>
      <c r="DF10" s="17">
        <v>15.9</v>
      </c>
      <c r="DG10" s="17">
        <v>5.5</v>
      </c>
      <c r="DH10" s="17">
        <v>0</v>
      </c>
      <c r="DI10" s="17">
        <v>0</v>
      </c>
      <c r="DJ10" s="17">
        <v>16.2</v>
      </c>
      <c r="DK10" s="17">
        <v>6</v>
      </c>
      <c r="DL10" s="17">
        <v>0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>
        <f t="shared" si="36"/>
        <v>11.5</v>
      </c>
      <c r="EA10" s="40">
        <f t="shared" si="37"/>
        <v>43.599999999999994</v>
      </c>
      <c r="EB10" s="40" t="str">
        <f t="shared" si="38"/>
        <v/>
      </c>
      <c r="EC10" s="40">
        <f t="shared" si="39"/>
        <v>11.5</v>
      </c>
      <c r="ED10" s="40">
        <f t="shared" si="40"/>
        <v>43.599999999999994</v>
      </c>
      <c r="EE10" s="40" t="str">
        <f t="shared" si="41"/>
        <v/>
      </c>
      <c r="EF10" s="40" t="str">
        <f t="shared" si="42"/>
        <v/>
      </c>
      <c r="EG10" s="40">
        <f t="shared" si="43"/>
        <v>43.599999999999994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4"/>
        <v/>
      </c>
      <c r="FC10" s="11" t="str">
        <f t="shared" si="45"/>
        <v/>
      </c>
      <c r="FD10" s="11" t="str">
        <f t="shared" si="46"/>
        <v/>
      </c>
      <c r="FE10" s="11" t="str">
        <f t="shared" si="47"/>
        <v/>
      </c>
      <c r="FF10" s="11" t="str">
        <f t="shared" si="48"/>
        <v/>
      </c>
      <c r="FG10" s="11" t="str">
        <f t="shared" si="49"/>
        <v/>
      </c>
      <c r="FH10" s="11" t="str">
        <f t="shared" si="50"/>
        <v/>
      </c>
      <c r="FI10" s="11" t="str">
        <f t="shared" si="51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2"/>
        <v/>
      </c>
      <c r="GE10" s="40" t="str">
        <f t="shared" si="53"/>
        <v/>
      </c>
      <c r="GF10" s="40" t="str">
        <f t="shared" si="54"/>
        <v/>
      </c>
      <c r="GG10" s="40" t="str">
        <f t="shared" si="55"/>
        <v/>
      </c>
      <c r="GH10" s="40" t="str">
        <f t="shared" si="56"/>
        <v/>
      </c>
      <c r="GI10" s="40" t="str">
        <f t="shared" si="57"/>
        <v/>
      </c>
      <c r="GJ10" s="40" t="str">
        <f t="shared" si="58"/>
        <v/>
      </c>
      <c r="GK10" s="40" t="str">
        <f t="shared" si="59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0"/>
        <v/>
      </c>
      <c r="HG10" s="11" t="str">
        <f t="shared" si="61"/>
        <v/>
      </c>
      <c r="HH10" s="11" t="str">
        <f t="shared" si="62"/>
        <v/>
      </c>
      <c r="HI10" s="11" t="str">
        <f t="shared" si="63"/>
        <v/>
      </c>
      <c r="HJ10" s="11" t="str">
        <f t="shared" si="64"/>
        <v/>
      </c>
      <c r="HK10" s="11" t="str">
        <f t="shared" si="65"/>
        <v/>
      </c>
      <c r="HL10" s="11" t="str">
        <f t="shared" si="66"/>
        <v/>
      </c>
      <c r="HM10" s="11" t="str">
        <f t="shared" si="67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68"/>
        <v/>
      </c>
      <c r="II10" s="40" t="str">
        <f t="shared" si="69"/>
        <v/>
      </c>
      <c r="IJ10" s="40" t="str">
        <f t="shared" si="70"/>
        <v/>
      </c>
      <c r="IK10" s="40" t="str">
        <f t="shared" si="71"/>
        <v/>
      </c>
      <c r="IL10" s="40" t="str">
        <f t="shared" si="72"/>
        <v/>
      </c>
      <c r="IM10" s="40" t="str">
        <f t="shared" si="73"/>
        <v/>
      </c>
      <c r="IN10" s="40" t="str">
        <f t="shared" si="74"/>
        <v/>
      </c>
      <c r="IO10" s="40" t="str">
        <f t="shared" si="75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6"/>
        <v/>
      </c>
      <c r="JK10" s="11" t="str">
        <f t="shared" si="77"/>
        <v/>
      </c>
      <c r="JL10" s="11" t="str">
        <f t="shared" si="78"/>
        <v/>
      </c>
      <c r="JM10" s="11" t="str">
        <f t="shared" si="79"/>
        <v/>
      </c>
      <c r="JN10" s="11" t="str">
        <f t="shared" si="80"/>
        <v/>
      </c>
      <c r="JO10" s="11" t="str">
        <f t="shared" si="81"/>
        <v/>
      </c>
      <c r="JP10" s="11" t="str">
        <f t="shared" si="82"/>
        <v/>
      </c>
      <c r="JQ10" s="11" t="str">
        <f t="shared" si="83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4"/>
        <v/>
      </c>
      <c r="KM10" s="40" t="str">
        <f t="shared" si="85"/>
        <v/>
      </c>
      <c r="KN10" s="40" t="str">
        <f t="shared" si="86"/>
        <v/>
      </c>
      <c r="KO10" s="40" t="str">
        <f t="shared" si="87"/>
        <v/>
      </c>
      <c r="KP10" s="40" t="str">
        <f t="shared" si="88"/>
        <v/>
      </c>
      <c r="KQ10" s="40" t="str">
        <f t="shared" si="89"/>
        <v/>
      </c>
      <c r="KR10" s="40" t="str">
        <f t="shared" si="90"/>
        <v/>
      </c>
      <c r="KS10" s="40" t="str">
        <f t="shared" si="91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2"/>
        <v/>
      </c>
      <c r="LO10" s="11" t="str">
        <f t="shared" si="93"/>
        <v/>
      </c>
      <c r="LP10" s="11" t="str">
        <f t="shared" si="94"/>
        <v/>
      </c>
      <c r="LQ10" s="11" t="str">
        <f t="shared" si="95"/>
        <v/>
      </c>
      <c r="LR10" s="11" t="str">
        <f t="shared" si="96"/>
        <v/>
      </c>
      <c r="LS10" s="11" t="str">
        <f t="shared" si="97"/>
        <v/>
      </c>
      <c r="LT10" s="11" t="str">
        <f t="shared" si="98"/>
        <v/>
      </c>
      <c r="LU10" s="11" t="str">
        <f t="shared" si="99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0"/>
        <v/>
      </c>
      <c r="MQ10" s="40" t="str">
        <f t="shared" si="101"/>
        <v/>
      </c>
      <c r="MR10" s="40" t="str">
        <f t="shared" si="102"/>
        <v/>
      </c>
      <c r="MS10" s="40" t="str">
        <f t="shared" si="103"/>
        <v/>
      </c>
      <c r="MT10" s="40" t="str">
        <f t="shared" si="104"/>
        <v/>
      </c>
      <c r="MU10" s="40" t="str">
        <f t="shared" si="105"/>
        <v/>
      </c>
      <c r="MV10" s="40" t="str">
        <f t="shared" si="106"/>
        <v/>
      </c>
      <c r="MW10" s="40" t="str">
        <f t="shared" si="107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08"/>
        <v/>
      </c>
      <c r="NS10" s="11" t="str">
        <f t="shared" si="109"/>
        <v/>
      </c>
      <c r="NT10" s="11" t="str">
        <f t="shared" si="110"/>
        <v/>
      </c>
      <c r="NU10" s="11" t="str">
        <f t="shared" si="111"/>
        <v/>
      </c>
      <c r="NV10" s="11" t="str">
        <f t="shared" si="112"/>
        <v/>
      </c>
      <c r="NW10" s="11" t="str">
        <f t="shared" si="113"/>
        <v/>
      </c>
      <c r="NX10" s="11" t="str">
        <f t="shared" si="114"/>
        <v/>
      </c>
      <c r="NY10" s="11" t="str">
        <f t="shared" si="115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6"/>
        <v/>
      </c>
      <c r="OU10" s="40" t="str">
        <f t="shared" si="117"/>
        <v/>
      </c>
      <c r="OV10" s="40" t="str">
        <f t="shared" si="118"/>
        <v/>
      </c>
      <c r="OW10" s="40" t="str">
        <f t="shared" si="119"/>
        <v/>
      </c>
      <c r="OX10" s="40" t="str">
        <f t="shared" si="120"/>
        <v/>
      </c>
      <c r="OY10" s="40" t="str">
        <f t="shared" si="121"/>
        <v/>
      </c>
      <c r="OZ10" s="40" t="str">
        <f t="shared" si="122"/>
        <v/>
      </c>
      <c r="PA10" s="40" t="str">
        <f t="shared" si="123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4"/>
        <v/>
      </c>
      <c r="PW10" s="11" t="str">
        <f t="shared" si="125"/>
        <v/>
      </c>
      <c r="PX10" s="11" t="str">
        <f t="shared" si="126"/>
        <v/>
      </c>
      <c r="PY10" s="11" t="str">
        <f t="shared" si="127"/>
        <v/>
      </c>
      <c r="PZ10" s="11" t="str">
        <f t="shared" si="128"/>
        <v/>
      </c>
      <c r="QA10" s="11" t="str">
        <f t="shared" si="129"/>
        <v/>
      </c>
      <c r="QB10" s="11" t="str">
        <f t="shared" si="130"/>
        <v/>
      </c>
      <c r="QC10" s="11" t="str">
        <f t="shared" si="131"/>
        <v/>
      </c>
      <c r="QD10" s="22">
        <f t="shared" si="132"/>
        <v>16.700000000000003</v>
      </c>
      <c r="QE10" s="22">
        <f t="shared" si="133"/>
        <v>5.7</v>
      </c>
      <c r="QF10" s="22">
        <f t="shared" si="134"/>
        <v>0</v>
      </c>
      <c r="QG10" s="22">
        <f t="shared" si="135"/>
        <v>0.15</v>
      </c>
      <c r="QH10" s="22">
        <f t="shared" si="136"/>
        <v>14.95</v>
      </c>
      <c r="QI10" s="22">
        <f t="shared" si="137"/>
        <v>5.6</v>
      </c>
      <c r="QJ10" s="22">
        <f t="shared" si="138"/>
        <v>0.30000000000000004</v>
      </c>
      <c r="QK10" s="22">
        <f t="shared" si="139"/>
        <v>0.15</v>
      </c>
      <c r="QL10" s="22">
        <f t="shared" si="140"/>
        <v>8.4</v>
      </c>
      <c r="QM10" s="22">
        <f t="shared" si="141"/>
        <v>2.85</v>
      </c>
      <c r="QN10" s="22">
        <f t="shared" si="142"/>
        <v>0</v>
      </c>
      <c r="QO10" s="22">
        <f t="shared" si="143"/>
        <v>0.15</v>
      </c>
      <c r="QP10" s="22">
        <f t="shared" si="144"/>
        <v>15.549999999999999</v>
      </c>
      <c r="QQ10" s="22">
        <f t="shared" si="145"/>
        <v>4.5500000000000007</v>
      </c>
      <c r="QR10" s="22">
        <f t="shared" si="146"/>
        <v>0</v>
      </c>
      <c r="QS10" s="22">
        <f t="shared" si="147"/>
        <v>0.15</v>
      </c>
      <c r="QT10" s="22">
        <f t="shared" si="148"/>
        <v>16.100000000000001</v>
      </c>
      <c r="QU10" s="22">
        <f t="shared" si="149"/>
        <v>5.5</v>
      </c>
      <c r="QV10" s="22">
        <f t="shared" si="150"/>
        <v>0</v>
      </c>
      <c r="QW10" s="22">
        <f t="shared" si="151"/>
        <v>0.15</v>
      </c>
      <c r="QX10" s="27" t="s">
        <v>46</v>
      </c>
      <c r="QY10" s="40">
        <f t="shared" si="152"/>
        <v>11.3</v>
      </c>
      <c r="QZ10" s="40">
        <f t="shared" si="153"/>
        <v>42.95</v>
      </c>
      <c r="RA10" s="40">
        <f t="shared" si="154"/>
        <v>11.4</v>
      </c>
      <c r="RB10" s="40">
        <f t="shared" si="155"/>
        <v>14.15</v>
      </c>
      <c r="RC10" s="40">
        <f t="shared" si="156"/>
        <v>54.35</v>
      </c>
      <c r="RD10" s="40">
        <f t="shared" si="157"/>
        <v>10.050000000000001</v>
      </c>
      <c r="RE10" s="40">
        <f t="shared" si="158"/>
        <v>42</v>
      </c>
      <c r="RF10" s="40">
        <f t="shared" si="159"/>
        <v>96.35</v>
      </c>
    </row>
    <row r="11" spans="1:474" x14ac:dyDescent="0.2">
      <c r="A11" s="4" cm="1">
        <f t="array" ref="A11">IF(AND(J11&lt;&gt;"",J11&lt;&gt;"No DD"),SUMPRODUCT((J$4:J$22&lt;&gt;"")*(J$4:J$22&lt;&gt;"No DD")*(F$4:F$22&gt;F11))+1,IF(J11="No DD",SUMPRODUCT((J$4:J$22="No DD")*(F$4:F$22&gt;F11))+1+SUMPRODUCT((J$4:J$22&lt;&gt;"")*(J$4:J$22&lt;&gt;"No DD")),""))</f>
        <v>8</v>
      </c>
      <c r="B11" s="4" cm="1">
        <f t="array" ref="B11">IF(AND(J11&lt;&gt;"",J11&lt;&gt;"No DD",G11=""),SUMPRODUCT((J$4:J$22&lt;&gt;"")*(J$4:J$22&lt;&gt;"No DD")*(G$4:G$22="")*(F$4:F$22&gt;F11))+1,IF(J11="No DD",SUMPRODUCT((J$4:J$22="No DD")*(F$4:F$22&gt;F11)*(G$4:G$22=""))+1+SUMPRODUCT((J$4:J$22&lt;&gt;"")*(G$4:G$22="")*(J$4:J$22&lt;&gt;"No DD")),""))</f>
        <v>3</v>
      </c>
      <c r="C11" s="5" t="s">
        <v>168</v>
      </c>
      <c r="D11" s="4" t="s">
        <v>3</v>
      </c>
      <c r="E11" s="4">
        <v>2007</v>
      </c>
      <c r="F11" s="9">
        <f t="shared" si="0"/>
        <v>129.20000833000429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42.9</v>
      </c>
      <c r="M11" s="8" t="str">
        <f t="shared" si="5"/>
        <v>2025 Elite Canada</v>
      </c>
      <c r="N11" s="8">
        <f>IF(COUNT(AQ11,BT11,CW11)&gt;1,LARGE((AQ11,BT11,CW11),2),0)</f>
        <v>40.4</v>
      </c>
      <c r="O11" s="8" t="str">
        <f t="shared" si="6"/>
        <v>2024 Nationals</v>
      </c>
      <c r="P11" s="8">
        <f t="shared" si="7"/>
        <v>44.400000000000006</v>
      </c>
      <c r="Q11" s="8" t="str">
        <f t="shared" si="8"/>
        <v>2024 Nationals</v>
      </c>
      <c r="R11" s="8">
        <f t="shared" si="9"/>
        <v>1.5000000000000071</v>
      </c>
      <c r="S11" s="11" t="str">
        <f t="shared" si="160"/>
        <v>(Q1)</v>
      </c>
      <c r="T11" s="8" t="str">
        <f t="shared" si="161"/>
        <v>2024 Coimbra Gym Fest (July 7)</v>
      </c>
      <c r="U11" s="19">
        <v>14.2</v>
      </c>
      <c r="V11" s="19">
        <v>3.4</v>
      </c>
      <c r="W11" s="19">
        <v>0</v>
      </c>
      <c r="X11" s="19">
        <v>0.6</v>
      </c>
      <c r="Y11" s="19">
        <v>16.7</v>
      </c>
      <c r="Z11" s="19">
        <v>4.9000000000000004</v>
      </c>
      <c r="AA11" s="19">
        <v>0</v>
      </c>
      <c r="AB11" s="19">
        <v>0.6</v>
      </c>
      <c r="AC11" s="19">
        <v>16.100000000000001</v>
      </c>
      <c r="AD11" s="19">
        <v>5.4</v>
      </c>
      <c r="AE11" s="19">
        <v>0</v>
      </c>
      <c r="AF11" s="19">
        <v>0.6</v>
      </c>
      <c r="AG11" s="19">
        <v>16.8</v>
      </c>
      <c r="AH11" s="19">
        <v>5.4</v>
      </c>
      <c r="AI11" s="19">
        <v>0</v>
      </c>
      <c r="AJ11" s="19">
        <v>0.6</v>
      </c>
      <c r="AK11" s="19">
        <v>16.100000000000001</v>
      </c>
      <c r="AL11" s="19">
        <v>4.9000000000000004</v>
      </c>
      <c r="AM11" s="19">
        <v>0</v>
      </c>
      <c r="AN11" s="19">
        <v>0.6</v>
      </c>
      <c r="AO11" s="27"/>
      <c r="AP11" s="40">
        <f t="shared" si="10"/>
        <v>8.3000000000000007</v>
      </c>
      <c r="AQ11" s="40">
        <f t="shared" si="11"/>
        <v>40.4</v>
      </c>
      <c r="AR11" s="40">
        <f t="shared" si="12"/>
        <v>22.1</v>
      </c>
      <c r="AS11" s="40">
        <f t="shared" si="13"/>
        <v>13.700000000000001</v>
      </c>
      <c r="AT11" s="40">
        <f t="shared" si="14"/>
        <v>62.5</v>
      </c>
      <c r="AU11" s="40">
        <f t="shared" si="15"/>
        <v>10.3</v>
      </c>
      <c r="AV11" s="40">
        <f t="shared" si="16"/>
        <v>44.400000000000006</v>
      </c>
      <c r="AW11" s="40">
        <f t="shared" si="17"/>
        <v>106.9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18"/>
        <v/>
      </c>
      <c r="BT11" s="11" t="str">
        <f t="shared" si="19"/>
        <v/>
      </c>
      <c r="BU11" s="11" t="str">
        <f t="shared" si="20"/>
        <v/>
      </c>
      <c r="BV11" s="11" t="str">
        <f t="shared" si="21"/>
        <v/>
      </c>
      <c r="BW11" s="11" t="str">
        <f t="shared" si="22"/>
        <v/>
      </c>
      <c r="BX11" s="11" t="str">
        <f t="shared" si="23"/>
        <v/>
      </c>
      <c r="BY11" s="11" t="str">
        <f t="shared" si="24"/>
        <v/>
      </c>
      <c r="BZ11" s="11" t="str">
        <f t="shared" si="25"/>
        <v/>
      </c>
      <c r="CA11" s="19">
        <v>15.4</v>
      </c>
      <c r="CB11" s="19">
        <v>5.6</v>
      </c>
      <c r="CC11" s="19">
        <v>0</v>
      </c>
      <c r="CD11" s="19">
        <v>0</v>
      </c>
      <c r="CE11" s="19">
        <v>16.5</v>
      </c>
      <c r="CF11" s="19">
        <v>5.4</v>
      </c>
      <c r="CG11" s="19">
        <v>0</v>
      </c>
      <c r="CH11" s="19">
        <v>0</v>
      </c>
      <c r="CI11" s="19"/>
      <c r="CJ11" s="19"/>
      <c r="CK11" s="19"/>
      <c r="CL11" s="19"/>
      <c r="CM11" s="19">
        <v>15.9</v>
      </c>
      <c r="CN11" s="19">
        <v>5.6</v>
      </c>
      <c r="CO11" s="19">
        <v>0</v>
      </c>
      <c r="CP11" s="19">
        <v>0</v>
      </c>
      <c r="CQ11" s="19">
        <v>16.2</v>
      </c>
      <c r="CR11" s="19">
        <v>5.4</v>
      </c>
      <c r="CS11" s="19">
        <v>0</v>
      </c>
      <c r="CT11" s="19">
        <v>0</v>
      </c>
      <c r="CU11" s="27"/>
      <c r="CV11" s="40">
        <f t="shared" si="26"/>
        <v>11</v>
      </c>
      <c r="CW11" s="40">
        <f t="shared" si="27"/>
        <v>42.9</v>
      </c>
      <c r="CX11" s="40" t="str">
        <f t="shared" si="28"/>
        <v/>
      </c>
      <c r="CY11" s="40">
        <f t="shared" si="29"/>
        <v>11</v>
      </c>
      <c r="CZ11" s="40">
        <f t="shared" si="30"/>
        <v>42.9</v>
      </c>
      <c r="DA11" s="40">
        <f t="shared" si="31"/>
        <v>11</v>
      </c>
      <c r="DB11" s="40">
        <f t="shared" si="32"/>
        <v>43.1</v>
      </c>
      <c r="DC11" s="40">
        <f t="shared" si="33"/>
        <v>86</v>
      </c>
      <c r="DD11" s="50">
        <f t="shared" si="34"/>
        <v>1.5000000000000071</v>
      </c>
      <c r="DE11" s="50" t="str">
        <f t="shared" si="35"/>
        <v/>
      </c>
      <c r="DF11" s="17">
        <v>16.2</v>
      </c>
      <c r="DG11" s="17">
        <v>4.9000000000000004</v>
      </c>
      <c r="DH11" s="17">
        <v>0</v>
      </c>
      <c r="DI11" s="17">
        <v>0</v>
      </c>
      <c r="DJ11" s="17">
        <v>16.100000000000001</v>
      </c>
      <c r="DK11" s="17">
        <v>4.7</v>
      </c>
      <c r="DL11" s="17">
        <v>0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>
        <f t="shared" si="36"/>
        <v>9.6000000000000014</v>
      </c>
      <c r="EA11" s="40">
        <f t="shared" si="37"/>
        <v>41.900000000000006</v>
      </c>
      <c r="EB11" s="40" t="str">
        <f t="shared" si="38"/>
        <v/>
      </c>
      <c r="EC11" s="40">
        <f t="shared" si="39"/>
        <v>9.6000000000000014</v>
      </c>
      <c r="ED11" s="40">
        <f t="shared" si="40"/>
        <v>41.900000000000006</v>
      </c>
      <c r="EE11" s="40" t="str">
        <f t="shared" si="41"/>
        <v/>
      </c>
      <c r="EF11" s="40" t="str">
        <f t="shared" si="42"/>
        <v/>
      </c>
      <c r="EG11" s="40">
        <f t="shared" si="43"/>
        <v>41.900000000000006</v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4"/>
        <v/>
      </c>
      <c r="FC11" s="11" t="str">
        <f t="shared" si="45"/>
        <v/>
      </c>
      <c r="FD11" s="11" t="str">
        <f t="shared" si="46"/>
        <v/>
      </c>
      <c r="FE11" s="11" t="str">
        <f t="shared" si="47"/>
        <v/>
      </c>
      <c r="FF11" s="11" t="str">
        <f t="shared" si="48"/>
        <v/>
      </c>
      <c r="FG11" s="11" t="str">
        <f t="shared" si="49"/>
        <v/>
      </c>
      <c r="FH11" s="11" t="str">
        <f t="shared" si="50"/>
        <v/>
      </c>
      <c r="FI11" s="11" t="str">
        <f t="shared" si="51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2"/>
        <v/>
      </c>
      <c r="GE11" s="40" t="str">
        <f t="shared" si="53"/>
        <v/>
      </c>
      <c r="GF11" s="40" t="str">
        <f t="shared" si="54"/>
        <v/>
      </c>
      <c r="GG11" s="40" t="str">
        <f t="shared" si="55"/>
        <v/>
      </c>
      <c r="GH11" s="40" t="str">
        <f t="shared" si="56"/>
        <v/>
      </c>
      <c r="GI11" s="40" t="str">
        <f t="shared" si="57"/>
        <v/>
      </c>
      <c r="GJ11" s="40" t="str">
        <f t="shared" si="58"/>
        <v/>
      </c>
      <c r="GK11" s="40" t="str">
        <f t="shared" si="59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0"/>
        <v/>
      </c>
      <c r="HG11" s="11" t="str">
        <f t="shared" si="61"/>
        <v/>
      </c>
      <c r="HH11" s="11" t="str">
        <f t="shared" si="62"/>
        <v/>
      </c>
      <c r="HI11" s="11" t="str">
        <f t="shared" si="63"/>
        <v/>
      </c>
      <c r="HJ11" s="11" t="str">
        <f t="shared" si="64"/>
        <v/>
      </c>
      <c r="HK11" s="11" t="str">
        <f t="shared" si="65"/>
        <v/>
      </c>
      <c r="HL11" s="11" t="str">
        <f t="shared" si="66"/>
        <v/>
      </c>
      <c r="HM11" s="11" t="str">
        <f t="shared" si="67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68"/>
        <v/>
      </c>
      <c r="II11" s="40" t="str">
        <f t="shared" si="69"/>
        <v/>
      </c>
      <c r="IJ11" s="40" t="str">
        <f t="shared" si="70"/>
        <v/>
      </c>
      <c r="IK11" s="40" t="str">
        <f t="shared" si="71"/>
        <v/>
      </c>
      <c r="IL11" s="40" t="str">
        <f t="shared" si="72"/>
        <v/>
      </c>
      <c r="IM11" s="40" t="str">
        <f t="shared" si="73"/>
        <v/>
      </c>
      <c r="IN11" s="40" t="str">
        <f t="shared" si="74"/>
        <v/>
      </c>
      <c r="IO11" s="40" t="str">
        <f t="shared" si="75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6"/>
        <v/>
      </c>
      <c r="JK11" s="11" t="str">
        <f t="shared" si="77"/>
        <v/>
      </c>
      <c r="JL11" s="11" t="str">
        <f t="shared" si="78"/>
        <v/>
      </c>
      <c r="JM11" s="11" t="str">
        <f t="shared" si="79"/>
        <v/>
      </c>
      <c r="JN11" s="11" t="str">
        <f t="shared" si="80"/>
        <v/>
      </c>
      <c r="JO11" s="11" t="str">
        <f t="shared" si="81"/>
        <v/>
      </c>
      <c r="JP11" s="11" t="str">
        <f t="shared" si="82"/>
        <v/>
      </c>
      <c r="JQ11" s="11" t="str">
        <f t="shared" si="83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4"/>
        <v/>
      </c>
      <c r="KM11" s="40" t="str">
        <f t="shared" si="85"/>
        <v/>
      </c>
      <c r="KN11" s="40" t="str">
        <f t="shared" si="86"/>
        <v/>
      </c>
      <c r="KO11" s="40" t="str">
        <f t="shared" si="87"/>
        <v/>
      </c>
      <c r="KP11" s="40" t="str">
        <f t="shared" si="88"/>
        <v/>
      </c>
      <c r="KQ11" s="40" t="str">
        <f t="shared" si="89"/>
        <v/>
      </c>
      <c r="KR11" s="40" t="str">
        <f t="shared" si="90"/>
        <v/>
      </c>
      <c r="KS11" s="40" t="str">
        <f t="shared" si="91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2"/>
        <v/>
      </c>
      <c r="LO11" s="11" t="str">
        <f t="shared" si="93"/>
        <v/>
      </c>
      <c r="LP11" s="11" t="str">
        <f t="shared" si="94"/>
        <v/>
      </c>
      <c r="LQ11" s="11" t="str">
        <f t="shared" si="95"/>
        <v/>
      </c>
      <c r="LR11" s="11" t="str">
        <f t="shared" si="96"/>
        <v/>
      </c>
      <c r="LS11" s="11" t="str">
        <f t="shared" si="97"/>
        <v/>
      </c>
      <c r="LT11" s="11" t="str">
        <f t="shared" si="98"/>
        <v/>
      </c>
      <c r="LU11" s="11" t="str">
        <f t="shared" si="99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0"/>
        <v/>
      </c>
      <c r="MQ11" s="40" t="str">
        <f t="shared" si="101"/>
        <v/>
      </c>
      <c r="MR11" s="40" t="str">
        <f t="shared" si="102"/>
        <v/>
      </c>
      <c r="MS11" s="40" t="str">
        <f t="shared" si="103"/>
        <v/>
      </c>
      <c r="MT11" s="40" t="str">
        <f t="shared" si="104"/>
        <v/>
      </c>
      <c r="MU11" s="40" t="str">
        <f t="shared" si="105"/>
        <v/>
      </c>
      <c r="MV11" s="40" t="str">
        <f t="shared" si="106"/>
        <v/>
      </c>
      <c r="MW11" s="40" t="str">
        <f t="shared" si="107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08"/>
        <v/>
      </c>
      <c r="NS11" s="11" t="str">
        <f t="shared" si="109"/>
        <v/>
      </c>
      <c r="NT11" s="11" t="str">
        <f t="shared" si="110"/>
        <v/>
      </c>
      <c r="NU11" s="11" t="str">
        <f t="shared" si="111"/>
        <v/>
      </c>
      <c r="NV11" s="11" t="str">
        <f t="shared" si="112"/>
        <v/>
      </c>
      <c r="NW11" s="11" t="str">
        <f t="shared" si="113"/>
        <v/>
      </c>
      <c r="NX11" s="11" t="str">
        <f t="shared" si="114"/>
        <v/>
      </c>
      <c r="NY11" s="11" t="str">
        <f t="shared" si="115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6"/>
        <v/>
      </c>
      <c r="OU11" s="40" t="str">
        <f t="shared" si="117"/>
        <v/>
      </c>
      <c r="OV11" s="40" t="str">
        <f t="shared" si="118"/>
        <v/>
      </c>
      <c r="OW11" s="40" t="str">
        <f t="shared" si="119"/>
        <v/>
      </c>
      <c r="OX11" s="40" t="str">
        <f t="shared" si="120"/>
        <v/>
      </c>
      <c r="OY11" s="40" t="str">
        <f t="shared" si="121"/>
        <v/>
      </c>
      <c r="OZ11" s="40" t="str">
        <f t="shared" si="122"/>
        <v/>
      </c>
      <c r="PA11" s="40" t="str">
        <f t="shared" si="123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4"/>
        <v/>
      </c>
      <c r="PW11" s="11" t="str">
        <f t="shared" si="125"/>
        <v/>
      </c>
      <c r="PX11" s="11" t="str">
        <f t="shared" si="126"/>
        <v/>
      </c>
      <c r="PY11" s="11" t="str">
        <f t="shared" si="127"/>
        <v/>
      </c>
      <c r="PZ11" s="11" t="str">
        <f t="shared" si="128"/>
        <v/>
      </c>
      <c r="QA11" s="11" t="str">
        <f t="shared" si="129"/>
        <v/>
      </c>
      <c r="QB11" s="11" t="str">
        <f t="shared" si="130"/>
        <v/>
      </c>
      <c r="QC11" s="11" t="str">
        <f t="shared" si="131"/>
        <v/>
      </c>
      <c r="QD11" s="22">
        <f t="shared" si="132"/>
        <v>7.7</v>
      </c>
      <c r="QE11" s="22">
        <f t="shared" si="133"/>
        <v>2.8</v>
      </c>
      <c r="QF11" s="22">
        <f t="shared" si="134"/>
        <v>0</v>
      </c>
      <c r="QG11" s="22">
        <f t="shared" si="135"/>
        <v>0</v>
      </c>
      <c r="QH11" s="22">
        <f t="shared" si="136"/>
        <v>8.25</v>
      </c>
      <c r="QI11" s="22">
        <f t="shared" si="137"/>
        <v>2.7</v>
      </c>
      <c r="QJ11" s="22">
        <f t="shared" si="138"/>
        <v>0</v>
      </c>
      <c r="QK11" s="22">
        <f t="shared" si="139"/>
        <v>0</v>
      </c>
      <c r="QL11" s="22">
        <f t="shared" si="140"/>
        <v>0</v>
      </c>
      <c r="QM11" s="22">
        <f t="shared" si="141"/>
        <v>0</v>
      </c>
      <c r="QN11" s="22">
        <f t="shared" si="142"/>
        <v>0</v>
      </c>
      <c r="QO11" s="22">
        <f t="shared" si="143"/>
        <v>0</v>
      </c>
      <c r="QP11" s="22">
        <f t="shared" si="144"/>
        <v>7.95</v>
      </c>
      <c r="QQ11" s="22">
        <f t="shared" si="145"/>
        <v>2.8</v>
      </c>
      <c r="QR11" s="22">
        <f t="shared" si="146"/>
        <v>0</v>
      </c>
      <c r="QS11" s="22">
        <f t="shared" si="147"/>
        <v>0</v>
      </c>
      <c r="QT11" s="22">
        <f t="shared" si="148"/>
        <v>8.1</v>
      </c>
      <c r="QU11" s="22">
        <f t="shared" si="149"/>
        <v>2.7</v>
      </c>
      <c r="QV11" s="22">
        <f t="shared" si="150"/>
        <v>0</v>
      </c>
      <c r="QW11" s="22">
        <f t="shared" si="151"/>
        <v>0</v>
      </c>
      <c r="QX11" s="27" t="s">
        <v>46</v>
      </c>
      <c r="QY11" s="40">
        <f t="shared" si="152"/>
        <v>5.5</v>
      </c>
      <c r="QZ11" s="40">
        <f t="shared" si="153"/>
        <v>21.45</v>
      </c>
      <c r="RA11" s="40" t="str">
        <f t="shared" si="154"/>
        <v/>
      </c>
      <c r="RB11" s="40">
        <f t="shared" si="155"/>
        <v>5.5</v>
      </c>
      <c r="RC11" s="40">
        <f t="shared" si="156"/>
        <v>21.45</v>
      </c>
      <c r="RD11" s="40">
        <f t="shared" si="157"/>
        <v>5.5</v>
      </c>
      <c r="RE11" s="40">
        <f t="shared" si="158"/>
        <v>21.55</v>
      </c>
      <c r="RF11" s="40">
        <f t="shared" si="159"/>
        <v>43</v>
      </c>
    </row>
    <row r="12" spans="1:474" x14ac:dyDescent="0.2">
      <c r="A12" s="4" cm="1">
        <f t="array" ref="A12">IF(AND(J12&lt;&gt;"",J12&lt;&gt;"No DD"),SUMPRODUCT((J$4:J$22&lt;&gt;"")*(J$4:J$22&lt;&gt;"No DD")*(F$4:F$22&gt;F12))+1,IF(J12="No DD",SUMPRODUCT((J$4:J$22="No DD")*(F$4:F$22&gt;F12))+1+SUMPRODUCT((J$4:J$22&lt;&gt;"")*(J$4:J$22&lt;&gt;"No DD")),""))</f>
        <v>9</v>
      </c>
      <c r="B12" s="4" cm="1">
        <f t="array" ref="B12">IF(AND(J12&lt;&gt;"",J12&lt;&gt;"No DD",G12=""),SUMPRODUCT((J$4:J$22&lt;&gt;"")*(J$4:J$22&lt;&gt;"No DD")*(G$4:G$22="")*(F$4:F$22&gt;F12))+1,IF(J12="No DD",SUMPRODUCT((J$4:J$22="No DD")*(F$4:F$22&gt;F12)*(G$4:G$22=""))+1+SUMPRODUCT((J$4:J$22&lt;&gt;"")*(G$4:G$22="")*(J$4:J$22&lt;&gt;"No DD")),""))</f>
        <v>4</v>
      </c>
      <c r="C12" s="5" t="s">
        <v>144</v>
      </c>
      <c r="D12" s="4" t="s">
        <v>4</v>
      </c>
      <c r="E12" s="4">
        <v>2005</v>
      </c>
      <c r="F12" s="9">
        <f t="shared" si="0"/>
        <v>123.40000787000415</v>
      </c>
      <c r="G12" s="64"/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IF(COUNT(AQ12,BT12,CW12)&gt;0,LARGE((AQ12,BT12,CW12),1),0)</f>
        <v>41.300000000000004</v>
      </c>
      <c r="M12" s="8" t="str">
        <f t="shared" si="5"/>
        <v>2024 Nationals</v>
      </c>
      <c r="N12" s="8">
        <f>IF(COUNT(AQ12,BT12,CW12)&gt;1,LARGE((AQ12,BT12,CW12),2),0)</f>
        <v>37.400000000000006</v>
      </c>
      <c r="O12" s="8" t="str">
        <f t="shared" si="6"/>
        <v>2024 3rd Domestic Trial</v>
      </c>
      <c r="P12" s="8">
        <f t="shared" si="7"/>
        <v>44.699999999999996</v>
      </c>
      <c r="Q12" s="8" t="str">
        <f t="shared" si="8"/>
        <v>2024 Nationals</v>
      </c>
      <c r="R12" s="8" t="str">
        <f t="shared" si="9"/>
        <v/>
      </c>
      <c r="S12" s="11" t="str">
        <f t="shared" si="160"/>
        <v/>
      </c>
      <c r="T12" s="8" t="str">
        <f t="shared" si="161"/>
        <v/>
      </c>
      <c r="U12" s="19">
        <v>16.399999999999999</v>
      </c>
      <c r="V12" s="19">
        <v>4.5999999999999996</v>
      </c>
      <c r="W12" s="19">
        <v>0</v>
      </c>
      <c r="X12" s="19">
        <v>0.6</v>
      </c>
      <c r="Y12" s="19">
        <v>16.5</v>
      </c>
      <c r="Z12" s="19">
        <v>2.6</v>
      </c>
      <c r="AA12" s="19">
        <v>0</v>
      </c>
      <c r="AB12" s="19">
        <v>0.6</v>
      </c>
      <c r="AC12" s="19">
        <v>16.2</v>
      </c>
      <c r="AD12" s="19">
        <v>5.3</v>
      </c>
      <c r="AE12" s="19">
        <v>0.4</v>
      </c>
      <c r="AF12" s="19">
        <v>0.6</v>
      </c>
      <c r="AG12" s="19">
        <v>16.899999999999999</v>
      </c>
      <c r="AH12" s="19">
        <v>4.8</v>
      </c>
      <c r="AI12" s="19">
        <v>0</v>
      </c>
      <c r="AJ12" s="19">
        <v>0.6</v>
      </c>
      <c r="AK12" s="19">
        <v>16.5</v>
      </c>
      <c r="AL12" s="19">
        <v>5.3</v>
      </c>
      <c r="AM12" s="19">
        <v>0</v>
      </c>
      <c r="AN12" s="19">
        <v>0.6</v>
      </c>
      <c r="AO12" s="27"/>
      <c r="AP12" s="40">
        <f t="shared" si="10"/>
        <v>7.1999999999999993</v>
      </c>
      <c r="AQ12" s="40">
        <f t="shared" si="11"/>
        <v>41.300000000000004</v>
      </c>
      <c r="AR12" s="40">
        <f t="shared" si="12"/>
        <v>21.700000000000003</v>
      </c>
      <c r="AS12" s="40">
        <f t="shared" si="13"/>
        <v>12.5</v>
      </c>
      <c r="AT12" s="40">
        <f t="shared" si="14"/>
        <v>63.000000000000007</v>
      </c>
      <c r="AU12" s="40">
        <f t="shared" si="15"/>
        <v>10.1</v>
      </c>
      <c r="AV12" s="40">
        <f t="shared" si="16"/>
        <v>44.699999999999996</v>
      </c>
      <c r="AW12" s="40">
        <f t="shared" si="17"/>
        <v>107.7</v>
      </c>
      <c r="AX12" s="18">
        <v>15.9</v>
      </c>
      <c r="AY12" s="18">
        <v>4.5999999999999996</v>
      </c>
      <c r="AZ12" s="18">
        <v>0.2</v>
      </c>
      <c r="BA12" s="18">
        <v>0.6</v>
      </c>
      <c r="BB12" s="18">
        <v>14.8</v>
      </c>
      <c r="BC12" s="18">
        <v>3.5</v>
      </c>
      <c r="BD12" s="18">
        <v>2.4</v>
      </c>
      <c r="BE12" s="18">
        <v>0.6</v>
      </c>
      <c r="BF12" s="18">
        <v>15.6</v>
      </c>
      <c r="BG12" s="18">
        <v>4.5999999999999996</v>
      </c>
      <c r="BH12" s="18">
        <v>0</v>
      </c>
      <c r="BI12" s="18">
        <v>0.6</v>
      </c>
      <c r="BJ12" s="18">
        <v>15.5</v>
      </c>
      <c r="BK12" s="18">
        <v>4.5999999999999996</v>
      </c>
      <c r="BL12" s="18">
        <v>0</v>
      </c>
      <c r="BM12" s="18">
        <v>0.6</v>
      </c>
      <c r="BN12" s="18">
        <v>16</v>
      </c>
      <c r="BO12" s="18">
        <v>4.5999999999999996</v>
      </c>
      <c r="BP12" s="18">
        <v>0</v>
      </c>
      <c r="BQ12" s="18">
        <v>0.6</v>
      </c>
      <c r="BR12" s="28"/>
      <c r="BS12" s="11">
        <f t="shared" si="18"/>
        <v>8.1</v>
      </c>
      <c r="BT12" s="11">
        <f t="shared" si="19"/>
        <v>37.400000000000006</v>
      </c>
      <c r="BU12" s="11">
        <f t="shared" si="20"/>
        <v>20.8</v>
      </c>
      <c r="BV12" s="11">
        <f t="shared" si="21"/>
        <v>12.7</v>
      </c>
      <c r="BW12" s="11">
        <f t="shared" si="22"/>
        <v>58.2</v>
      </c>
      <c r="BX12" s="11">
        <f t="shared" si="23"/>
        <v>9.1999999999999993</v>
      </c>
      <c r="BY12" s="11">
        <f t="shared" si="24"/>
        <v>41.900000000000006</v>
      </c>
      <c r="BZ12" s="11">
        <f t="shared" si="25"/>
        <v>100.10000000000001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26"/>
        <v/>
      </c>
      <c r="CW12" s="40" t="str">
        <f t="shared" si="27"/>
        <v/>
      </c>
      <c r="CX12" s="40" t="str">
        <f t="shared" si="28"/>
        <v/>
      </c>
      <c r="CY12" s="40" t="str">
        <f t="shared" si="29"/>
        <v/>
      </c>
      <c r="CZ12" s="40" t="str">
        <f t="shared" si="30"/>
        <v/>
      </c>
      <c r="DA12" s="40" t="str">
        <f t="shared" si="31"/>
        <v/>
      </c>
      <c r="DB12" s="40" t="str">
        <f t="shared" si="32"/>
        <v/>
      </c>
      <c r="DC12" s="40" t="str">
        <f t="shared" si="33"/>
        <v/>
      </c>
      <c r="DD12" s="50" t="str">
        <f t="shared" si="34"/>
        <v/>
      </c>
      <c r="DE12" s="50" t="str">
        <f t="shared" si="35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6"/>
        <v/>
      </c>
      <c r="EA12" s="40" t="str">
        <f t="shared" si="37"/>
        <v/>
      </c>
      <c r="EB12" s="40" t="str">
        <f t="shared" si="38"/>
        <v/>
      </c>
      <c r="EC12" s="40" t="str">
        <f t="shared" si="39"/>
        <v/>
      </c>
      <c r="ED12" s="40" t="str">
        <f t="shared" si="40"/>
        <v/>
      </c>
      <c r="EE12" s="40" t="str">
        <f t="shared" si="41"/>
        <v/>
      </c>
      <c r="EF12" s="40" t="str">
        <f t="shared" si="42"/>
        <v/>
      </c>
      <c r="EG12" s="40" t="str">
        <f t="shared" si="43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4"/>
        <v/>
      </c>
      <c r="FC12" s="11" t="str">
        <f t="shared" si="45"/>
        <v/>
      </c>
      <c r="FD12" s="11" t="str">
        <f t="shared" si="46"/>
        <v/>
      </c>
      <c r="FE12" s="11" t="str">
        <f t="shared" si="47"/>
        <v/>
      </c>
      <c r="FF12" s="11" t="str">
        <f t="shared" si="48"/>
        <v/>
      </c>
      <c r="FG12" s="11" t="str">
        <f t="shared" si="49"/>
        <v/>
      </c>
      <c r="FH12" s="11" t="str">
        <f t="shared" si="50"/>
        <v/>
      </c>
      <c r="FI12" s="11" t="str">
        <f t="shared" si="51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2"/>
        <v/>
      </c>
      <c r="GE12" s="40" t="str">
        <f t="shared" si="53"/>
        <v/>
      </c>
      <c r="GF12" s="40" t="str">
        <f t="shared" si="54"/>
        <v/>
      </c>
      <c r="GG12" s="40" t="str">
        <f t="shared" si="55"/>
        <v/>
      </c>
      <c r="GH12" s="40" t="str">
        <f t="shared" si="56"/>
        <v/>
      </c>
      <c r="GI12" s="40" t="str">
        <f t="shared" si="57"/>
        <v/>
      </c>
      <c r="GJ12" s="40" t="str">
        <f t="shared" si="58"/>
        <v/>
      </c>
      <c r="GK12" s="40" t="str">
        <f t="shared" si="59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0"/>
        <v/>
      </c>
      <c r="HG12" s="11" t="str">
        <f t="shared" si="61"/>
        <v/>
      </c>
      <c r="HH12" s="11" t="str">
        <f t="shared" si="62"/>
        <v/>
      </c>
      <c r="HI12" s="11" t="str">
        <f t="shared" si="63"/>
        <v/>
      </c>
      <c r="HJ12" s="11" t="str">
        <f t="shared" si="64"/>
        <v/>
      </c>
      <c r="HK12" s="11" t="str">
        <f t="shared" si="65"/>
        <v/>
      </c>
      <c r="HL12" s="11" t="str">
        <f t="shared" si="66"/>
        <v/>
      </c>
      <c r="HM12" s="11" t="str">
        <f t="shared" si="67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68"/>
        <v/>
      </c>
      <c r="II12" s="40" t="str">
        <f t="shared" si="69"/>
        <v/>
      </c>
      <c r="IJ12" s="40" t="str">
        <f t="shared" si="70"/>
        <v/>
      </c>
      <c r="IK12" s="40" t="str">
        <f t="shared" si="71"/>
        <v/>
      </c>
      <c r="IL12" s="40" t="str">
        <f t="shared" si="72"/>
        <v/>
      </c>
      <c r="IM12" s="40" t="str">
        <f t="shared" si="73"/>
        <v/>
      </c>
      <c r="IN12" s="40" t="str">
        <f t="shared" si="74"/>
        <v/>
      </c>
      <c r="IO12" s="40" t="str">
        <f t="shared" si="75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6"/>
        <v/>
      </c>
      <c r="JK12" s="11" t="str">
        <f t="shared" si="77"/>
        <v/>
      </c>
      <c r="JL12" s="11" t="str">
        <f t="shared" si="78"/>
        <v/>
      </c>
      <c r="JM12" s="11" t="str">
        <f t="shared" si="79"/>
        <v/>
      </c>
      <c r="JN12" s="11" t="str">
        <f t="shared" si="80"/>
        <v/>
      </c>
      <c r="JO12" s="11" t="str">
        <f t="shared" si="81"/>
        <v/>
      </c>
      <c r="JP12" s="11" t="str">
        <f t="shared" si="82"/>
        <v/>
      </c>
      <c r="JQ12" s="11" t="str">
        <f t="shared" si="83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4"/>
        <v/>
      </c>
      <c r="KM12" s="40" t="str">
        <f t="shared" si="85"/>
        <v/>
      </c>
      <c r="KN12" s="40" t="str">
        <f t="shared" si="86"/>
        <v/>
      </c>
      <c r="KO12" s="40" t="str">
        <f t="shared" si="87"/>
        <v/>
      </c>
      <c r="KP12" s="40" t="str">
        <f t="shared" si="88"/>
        <v/>
      </c>
      <c r="KQ12" s="40" t="str">
        <f t="shared" si="89"/>
        <v/>
      </c>
      <c r="KR12" s="40" t="str">
        <f t="shared" si="90"/>
        <v/>
      </c>
      <c r="KS12" s="40" t="str">
        <f t="shared" si="91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2"/>
        <v/>
      </c>
      <c r="LO12" s="11" t="str">
        <f t="shared" si="93"/>
        <v/>
      </c>
      <c r="LP12" s="11" t="str">
        <f t="shared" si="94"/>
        <v/>
      </c>
      <c r="LQ12" s="11" t="str">
        <f t="shared" si="95"/>
        <v/>
      </c>
      <c r="LR12" s="11" t="str">
        <f t="shared" si="96"/>
        <v/>
      </c>
      <c r="LS12" s="11" t="str">
        <f t="shared" si="97"/>
        <v/>
      </c>
      <c r="LT12" s="11" t="str">
        <f t="shared" si="98"/>
        <v/>
      </c>
      <c r="LU12" s="11" t="str">
        <f t="shared" si="99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0"/>
        <v/>
      </c>
      <c r="MQ12" s="40" t="str">
        <f t="shared" si="101"/>
        <v/>
      </c>
      <c r="MR12" s="40" t="str">
        <f t="shared" si="102"/>
        <v/>
      </c>
      <c r="MS12" s="40" t="str">
        <f t="shared" si="103"/>
        <v/>
      </c>
      <c r="MT12" s="40" t="str">
        <f t="shared" si="104"/>
        <v/>
      </c>
      <c r="MU12" s="40" t="str">
        <f t="shared" si="105"/>
        <v/>
      </c>
      <c r="MV12" s="40" t="str">
        <f t="shared" si="106"/>
        <v/>
      </c>
      <c r="MW12" s="40" t="str">
        <f t="shared" si="107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08"/>
        <v/>
      </c>
      <c r="NS12" s="11" t="str">
        <f t="shared" si="109"/>
        <v/>
      </c>
      <c r="NT12" s="11" t="str">
        <f t="shared" si="110"/>
        <v/>
      </c>
      <c r="NU12" s="11" t="str">
        <f t="shared" si="111"/>
        <v/>
      </c>
      <c r="NV12" s="11" t="str">
        <f t="shared" si="112"/>
        <v/>
      </c>
      <c r="NW12" s="11" t="str">
        <f t="shared" si="113"/>
        <v/>
      </c>
      <c r="NX12" s="11" t="str">
        <f t="shared" si="114"/>
        <v/>
      </c>
      <c r="NY12" s="11" t="str">
        <f t="shared" si="115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6"/>
        <v/>
      </c>
      <c r="OU12" s="40" t="str">
        <f t="shared" si="117"/>
        <v/>
      </c>
      <c r="OV12" s="40" t="str">
        <f t="shared" si="118"/>
        <v/>
      </c>
      <c r="OW12" s="40" t="str">
        <f t="shared" si="119"/>
        <v/>
      </c>
      <c r="OX12" s="40" t="str">
        <f t="shared" si="120"/>
        <v/>
      </c>
      <c r="OY12" s="40" t="str">
        <f t="shared" si="121"/>
        <v/>
      </c>
      <c r="OZ12" s="40" t="str">
        <f t="shared" si="122"/>
        <v/>
      </c>
      <c r="PA12" s="40" t="str">
        <f t="shared" si="123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4"/>
        <v/>
      </c>
      <c r="PW12" s="11" t="str">
        <f t="shared" si="125"/>
        <v/>
      </c>
      <c r="PX12" s="11" t="str">
        <f t="shared" si="126"/>
        <v/>
      </c>
      <c r="PY12" s="11" t="str">
        <f t="shared" si="127"/>
        <v/>
      </c>
      <c r="PZ12" s="11" t="str">
        <f t="shared" si="128"/>
        <v/>
      </c>
      <c r="QA12" s="11" t="str">
        <f t="shared" si="129"/>
        <v/>
      </c>
      <c r="QB12" s="11" t="str">
        <f t="shared" si="130"/>
        <v/>
      </c>
      <c r="QC12" s="11" t="str">
        <f t="shared" si="131"/>
        <v/>
      </c>
      <c r="QD12" s="22">
        <f t="shared" si="132"/>
        <v>7.95</v>
      </c>
      <c r="QE12" s="22">
        <f t="shared" si="133"/>
        <v>2.2999999999999998</v>
      </c>
      <c r="QF12" s="22">
        <f t="shared" si="134"/>
        <v>0.1</v>
      </c>
      <c r="QG12" s="22">
        <f t="shared" si="135"/>
        <v>0.3</v>
      </c>
      <c r="QH12" s="22">
        <f t="shared" si="136"/>
        <v>7.4</v>
      </c>
      <c r="QI12" s="22">
        <f t="shared" si="137"/>
        <v>1.75</v>
      </c>
      <c r="QJ12" s="22">
        <f t="shared" si="138"/>
        <v>1.2</v>
      </c>
      <c r="QK12" s="22">
        <f t="shared" si="139"/>
        <v>0.3</v>
      </c>
      <c r="QL12" s="22">
        <f t="shared" si="140"/>
        <v>7.8</v>
      </c>
      <c r="QM12" s="22">
        <f t="shared" si="141"/>
        <v>2.2999999999999998</v>
      </c>
      <c r="QN12" s="22">
        <f t="shared" si="142"/>
        <v>0</v>
      </c>
      <c r="QO12" s="22">
        <f t="shared" si="143"/>
        <v>0.3</v>
      </c>
      <c r="QP12" s="22">
        <f t="shared" si="144"/>
        <v>7.75</v>
      </c>
      <c r="QQ12" s="22">
        <f t="shared" si="145"/>
        <v>2.2999999999999998</v>
      </c>
      <c r="QR12" s="22">
        <f t="shared" si="146"/>
        <v>0</v>
      </c>
      <c r="QS12" s="22">
        <f t="shared" si="147"/>
        <v>0.3</v>
      </c>
      <c r="QT12" s="22">
        <f t="shared" si="148"/>
        <v>8</v>
      </c>
      <c r="QU12" s="22">
        <f t="shared" si="149"/>
        <v>2.2999999999999998</v>
      </c>
      <c r="QV12" s="22">
        <f t="shared" si="150"/>
        <v>0</v>
      </c>
      <c r="QW12" s="22">
        <f t="shared" si="151"/>
        <v>0.3</v>
      </c>
      <c r="QX12" s="27" t="s">
        <v>46</v>
      </c>
      <c r="QY12" s="40">
        <f t="shared" si="152"/>
        <v>4.05</v>
      </c>
      <c r="QZ12" s="40">
        <f t="shared" si="153"/>
        <v>18.700000000000003</v>
      </c>
      <c r="RA12" s="40">
        <f t="shared" si="154"/>
        <v>10.4</v>
      </c>
      <c r="RB12" s="40">
        <f t="shared" si="155"/>
        <v>6.35</v>
      </c>
      <c r="RC12" s="40">
        <f t="shared" si="156"/>
        <v>29.1</v>
      </c>
      <c r="RD12" s="40">
        <f t="shared" si="157"/>
        <v>4.5999999999999996</v>
      </c>
      <c r="RE12" s="40">
        <f t="shared" si="158"/>
        <v>20.950000000000003</v>
      </c>
      <c r="RF12" s="40">
        <f t="shared" si="159"/>
        <v>50.050000000000004</v>
      </c>
    </row>
    <row r="13" spans="1:474" x14ac:dyDescent="0.2">
      <c r="A13" s="4" cm="1">
        <f t="array" ref="A13">IF(AND(J13&lt;&gt;"",J13&lt;&gt;"No DD"),SUMPRODUCT((J$4:J$22&lt;&gt;"")*(J$4:J$22&lt;&gt;"No DD")*(F$4:F$22&gt;F13))+1,IF(J13="No DD",SUMPRODUCT((J$4:J$22="No DD")*(F$4:F$22&gt;F13))+1+SUMPRODUCT((J$4:J$22&lt;&gt;"")*(J$4:J$22&lt;&gt;"No DD")),""))</f>
        <v>10</v>
      </c>
      <c r="B13" s="4" t="str" cm="1">
        <f t="array" ref="B13">IF(AND(J13&lt;&gt;"",J13&lt;&gt;"No DD",G13=""),SUMPRODUCT((J$4:J$22&lt;&gt;"")*(J$4:J$22&lt;&gt;"No DD")*(G$4:G$22="")*(F$4:F$22&gt;F13))+1,IF(J13="No DD",SUMPRODUCT((J$4:J$22="No DD")*(F$4:F$22&gt;F13)*(G$4:G$22=""))+1+SUMPRODUCT((J$4:J$22&lt;&gt;"")*(G$4:G$22="")*(J$4:J$22&lt;&gt;"No DD")),""))</f>
        <v/>
      </c>
      <c r="C13" s="5" t="s">
        <v>87</v>
      </c>
      <c r="D13" s="4" t="s">
        <v>4</v>
      </c>
      <c r="E13" s="4">
        <v>2004</v>
      </c>
      <c r="F13" s="9">
        <f t="shared" si="0"/>
        <v>97.100008540004879</v>
      </c>
      <c r="G13" s="64" t="s">
        <v>46</v>
      </c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IF(COUNT(AQ13,BT13,CW13)&gt;0,LARGE((AQ13,BT13,CW13),1),0)</f>
        <v>48.899999999999991</v>
      </c>
      <c r="M13" s="8" t="str">
        <f t="shared" si="5"/>
        <v>2025 Elite Canada</v>
      </c>
      <c r="N13" s="8">
        <f>IF(COUNT(AQ13,BT13,CW13)&gt;1,LARGE((AQ13,BT13,CW13),2),0)</f>
        <v>36.5</v>
      </c>
      <c r="O13" s="8" t="str">
        <f t="shared" si="6"/>
        <v>2024 Nationals</v>
      </c>
      <c r="P13" s="8">
        <f t="shared" si="7"/>
        <v>0</v>
      </c>
      <c r="Q13" s="8" t="str">
        <f t="shared" si="8"/>
        <v/>
      </c>
      <c r="R13" s="8">
        <f t="shared" si="9"/>
        <v>11.699999999999996</v>
      </c>
      <c r="S13" s="11" t="str">
        <f t="shared" si="160"/>
        <v>(Q1)</v>
      </c>
      <c r="T13" s="8" t="str">
        <f t="shared" si="161"/>
        <v>2024 World Cup POR (July 7)</v>
      </c>
      <c r="U13" s="19">
        <v>15.2</v>
      </c>
      <c r="V13" s="19">
        <v>3.4</v>
      </c>
      <c r="W13" s="19">
        <v>0</v>
      </c>
      <c r="X13" s="19">
        <v>0</v>
      </c>
      <c r="Y13" s="19">
        <v>15.2</v>
      </c>
      <c r="Z13" s="19">
        <v>2.7</v>
      </c>
      <c r="AA13" s="19">
        <v>0</v>
      </c>
      <c r="AB13" s="19">
        <v>0</v>
      </c>
      <c r="AC13" s="19">
        <v>17.399999999999999</v>
      </c>
      <c r="AD13" s="19">
        <v>5.6</v>
      </c>
      <c r="AE13" s="19">
        <v>0.4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0"/>
        <v>6.1</v>
      </c>
      <c r="AQ13" s="40">
        <f t="shared" si="11"/>
        <v>36.5</v>
      </c>
      <c r="AR13" s="40">
        <f t="shared" si="12"/>
        <v>22.6</v>
      </c>
      <c r="AS13" s="40">
        <f t="shared" si="13"/>
        <v>11.7</v>
      </c>
      <c r="AT13" s="40">
        <f t="shared" si="14"/>
        <v>59.1</v>
      </c>
      <c r="AU13" s="40" t="str">
        <f t="shared" si="15"/>
        <v/>
      </c>
      <c r="AV13" s="40" t="str">
        <f t="shared" si="16"/>
        <v/>
      </c>
      <c r="AW13" s="40">
        <f t="shared" si="17"/>
        <v>59.1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 t="shared" si="18"/>
        <v/>
      </c>
      <c r="BT13" s="11" t="str">
        <f t="shared" si="19"/>
        <v/>
      </c>
      <c r="BU13" s="11" t="str">
        <f t="shared" si="20"/>
        <v/>
      </c>
      <c r="BV13" s="11" t="str">
        <f t="shared" si="21"/>
        <v/>
      </c>
      <c r="BW13" s="11" t="str">
        <f t="shared" si="22"/>
        <v/>
      </c>
      <c r="BX13" s="11" t="str">
        <f t="shared" si="23"/>
        <v/>
      </c>
      <c r="BY13" s="11" t="str">
        <f t="shared" si="24"/>
        <v/>
      </c>
      <c r="BZ13" s="11" t="str">
        <f t="shared" si="25"/>
        <v/>
      </c>
      <c r="CA13" s="19">
        <v>17.7</v>
      </c>
      <c r="CB13" s="19">
        <v>6.5</v>
      </c>
      <c r="CC13" s="19">
        <v>0</v>
      </c>
      <c r="CD13" s="19">
        <v>0</v>
      </c>
      <c r="CE13" s="19">
        <v>17.399999999999999</v>
      </c>
      <c r="CF13" s="19">
        <v>7.3</v>
      </c>
      <c r="CG13" s="19">
        <v>0</v>
      </c>
      <c r="CH13" s="19">
        <v>0</v>
      </c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 t="shared" si="26"/>
        <v>13.8</v>
      </c>
      <c r="CW13" s="40">
        <f t="shared" si="27"/>
        <v>48.899999999999991</v>
      </c>
      <c r="CX13" s="40" t="str">
        <f t="shared" si="28"/>
        <v/>
      </c>
      <c r="CY13" s="40">
        <f t="shared" si="29"/>
        <v>13.8</v>
      </c>
      <c r="CZ13" s="40">
        <f t="shared" si="30"/>
        <v>48.899999999999991</v>
      </c>
      <c r="DA13" s="40" t="str">
        <f t="shared" si="31"/>
        <v/>
      </c>
      <c r="DB13" s="40" t="str">
        <f t="shared" si="32"/>
        <v/>
      </c>
      <c r="DC13" s="40">
        <f t="shared" si="33"/>
        <v>48.899999999999991</v>
      </c>
      <c r="DD13" s="50">
        <f t="shared" si="34"/>
        <v>11.699999999999996</v>
      </c>
      <c r="DE13" s="50" t="str">
        <f t="shared" si="35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6"/>
        <v/>
      </c>
      <c r="EA13" s="40" t="str">
        <f t="shared" si="37"/>
        <v/>
      </c>
      <c r="EB13" s="40" t="str">
        <f t="shared" si="38"/>
        <v/>
      </c>
      <c r="EC13" s="40" t="str">
        <f t="shared" si="39"/>
        <v/>
      </c>
      <c r="ED13" s="40" t="str">
        <f t="shared" si="40"/>
        <v/>
      </c>
      <c r="EE13" s="40" t="str">
        <f t="shared" si="41"/>
        <v/>
      </c>
      <c r="EF13" s="40" t="str">
        <f t="shared" si="42"/>
        <v/>
      </c>
      <c r="EG13" s="40" t="str">
        <f t="shared" si="43"/>
        <v/>
      </c>
      <c r="EH13" s="18">
        <v>17.399999999999999</v>
      </c>
      <c r="EI13" s="18">
        <v>6.9</v>
      </c>
      <c r="EJ13" s="18">
        <v>0</v>
      </c>
      <c r="EK13" s="18">
        <v>0</v>
      </c>
      <c r="EL13" s="18">
        <v>17</v>
      </c>
      <c r="EM13" s="18">
        <v>6.9</v>
      </c>
      <c r="EN13" s="18">
        <v>0</v>
      </c>
      <c r="EO13" s="18">
        <v>0</v>
      </c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>
        <f t="shared" si="44"/>
        <v>13.8</v>
      </c>
      <c r="FC13" s="11">
        <f t="shared" si="45"/>
        <v>48.199999999999996</v>
      </c>
      <c r="FD13" s="11" t="str">
        <f t="shared" si="46"/>
        <v/>
      </c>
      <c r="FE13" s="11">
        <f t="shared" si="47"/>
        <v>13.8</v>
      </c>
      <c r="FF13" s="11">
        <f t="shared" si="48"/>
        <v>48.199999999999996</v>
      </c>
      <c r="FG13" s="11" t="str">
        <f t="shared" si="49"/>
        <v/>
      </c>
      <c r="FH13" s="11" t="str">
        <f t="shared" si="50"/>
        <v/>
      </c>
      <c r="FI13" s="11">
        <f t="shared" si="51"/>
        <v>48.199999999999996</v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2"/>
        <v/>
      </c>
      <c r="GE13" s="40" t="str">
        <f t="shared" si="53"/>
        <v/>
      </c>
      <c r="GF13" s="40" t="str">
        <f t="shared" si="54"/>
        <v/>
      </c>
      <c r="GG13" s="40" t="str">
        <f t="shared" si="55"/>
        <v/>
      </c>
      <c r="GH13" s="40" t="str">
        <f t="shared" si="56"/>
        <v/>
      </c>
      <c r="GI13" s="40" t="str">
        <f t="shared" si="57"/>
        <v/>
      </c>
      <c r="GJ13" s="40" t="str">
        <f t="shared" si="58"/>
        <v/>
      </c>
      <c r="GK13" s="40" t="str">
        <f t="shared" si="59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0"/>
        <v/>
      </c>
      <c r="HG13" s="11" t="str">
        <f t="shared" si="61"/>
        <v/>
      </c>
      <c r="HH13" s="11" t="str">
        <f t="shared" si="62"/>
        <v/>
      </c>
      <c r="HI13" s="11" t="str">
        <f t="shared" si="63"/>
        <v/>
      </c>
      <c r="HJ13" s="11" t="str">
        <f t="shared" si="64"/>
        <v/>
      </c>
      <c r="HK13" s="11" t="str">
        <f t="shared" si="65"/>
        <v/>
      </c>
      <c r="HL13" s="11" t="str">
        <f t="shared" si="66"/>
        <v/>
      </c>
      <c r="HM13" s="11" t="str">
        <f t="shared" si="67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68"/>
        <v/>
      </c>
      <c r="II13" s="40" t="str">
        <f t="shared" si="69"/>
        <v/>
      </c>
      <c r="IJ13" s="40" t="str">
        <f t="shared" si="70"/>
        <v/>
      </c>
      <c r="IK13" s="40" t="str">
        <f t="shared" si="71"/>
        <v/>
      </c>
      <c r="IL13" s="40" t="str">
        <f t="shared" si="72"/>
        <v/>
      </c>
      <c r="IM13" s="40" t="str">
        <f t="shared" si="73"/>
        <v/>
      </c>
      <c r="IN13" s="40" t="str">
        <f t="shared" si="74"/>
        <v/>
      </c>
      <c r="IO13" s="40" t="str">
        <f t="shared" si="75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6"/>
        <v/>
      </c>
      <c r="JK13" s="11" t="str">
        <f t="shared" si="77"/>
        <v/>
      </c>
      <c r="JL13" s="11" t="str">
        <f t="shared" si="78"/>
        <v/>
      </c>
      <c r="JM13" s="11" t="str">
        <f t="shared" si="79"/>
        <v/>
      </c>
      <c r="JN13" s="11" t="str">
        <f t="shared" si="80"/>
        <v/>
      </c>
      <c r="JO13" s="11" t="str">
        <f t="shared" si="81"/>
        <v/>
      </c>
      <c r="JP13" s="11" t="str">
        <f t="shared" si="82"/>
        <v/>
      </c>
      <c r="JQ13" s="11" t="str">
        <f t="shared" si="83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4"/>
        <v/>
      </c>
      <c r="KM13" s="40" t="str">
        <f t="shared" si="85"/>
        <v/>
      </c>
      <c r="KN13" s="40" t="str">
        <f t="shared" si="86"/>
        <v/>
      </c>
      <c r="KO13" s="40" t="str">
        <f t="shared" si="87"/>
        <v/>
      </c>
      <c r="KP13" s="40" t="str">
        <f t="shared" si="88"/>
        <v/>
      </c>
      <c r="KQ13" s="40" t="str">
        <f t="shared" si="89"/>
        <v/>
      </c>
      <c r="KR13" s="40" t="str">
        <f t="shared" si="90"/>
        <v/>
      </c>
      <c r="KS13" s="40" t="str">
        <f t="shared" si="91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2"/>
        <v/>
      </c>
      <c r="LO13" s="11" t="str">
        <f t="shared" si="93"/>
        <v/>
      </c>
      <c r="LP13" s="11" t="str">
        <f t="shared" si="94"/>
        <v/>
      </c>
      <c r="LQ13" s="11" t="str">
        <f t="shared" si="95"/>
        <v/>
      </c>
      <c r="LR13" s="11" t="str">
        <f t="shared" si="96"/>
        <v/>
      </c>
      <c r="LS13" s="11" t="str">
        <f t="shared" si="97"/>
        <v/>
      </c>
      <c r="LT13" s="11" t="str">
        <f t="shared" si="98"/>
        <v/>
      </c>
      <c r="LU13" s="11" t="str">
        <f t="shared" si="99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0"/>
        <v/>
      </c>
      <c r="MQ13" s="40" t="str">
        <f t="shared" si="101"/>
        <v/>
      </c>
      <c r="MR13" s="40" t="str">
        <f t="shared" si="102"/>
        <v/>
      </c>
      <c r="MS13" s="40" t="str">
        <f t="shared" si="103"/>
        <v/>
      </c>
      <c r="MT13" s="40" t="str">
        <f t="shared" si="104"/>
        <v/>
      </c>
      <c r="MU13" s="40" t="str">
        <f t="shared" si="105"/>
        <v/>
      </c>
      <c r="MV13" s="40" t="str">
        <f t="shared" si="106"/>
        <v/>
      </c>
      <c r="MW13" s="40" t="str">
        <f t="shared" si="107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08"/>
        <v/>
      </c>
      <c r="NS13" s="11" t="str">
        <f t="shared" si="109"/>
        <v/>
      </c>
      <c r="NT13" s="11" t="str">
        <f t="shared" si="110"/>
        <v/>
      </c>
      <c r="NU13" s="11" t="str">
        <f t="shared" si="111"/>
        <v/>
      </c>
      <c r="NV13" s="11" t="str">
        <f t="shared" si="112"/>
        <v/>
      </c>
      <c r="NW13" s="11" t="str">
        <f t="shared" si="113"/>
        <v/>
      </c>
      <c r="NX13" s="11" t="str">
        <f t="shared" si="114"/>
        <v/>
      </c>
      <c r="NY13" s="11" t="str">
        <f t="shared" si="115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6"/>
        <v/>
      </c>
      <c r="OU13" s="40" t="str">
        <f t="shared" si="117"/>
        <v/>
      </c>
      <c r="OV13" s="40" t="str">
        <f t="shared" si="118"/>
        <v/>
      </c>
      <c r="OW13" s="40" t="str">
        <f t="shared" si="119"/>
        <v/>
      </c>
      <c r="OX13" s="40" t="str">
        <f t="shared" si="120"/>
        <v/>
      </c>
      <c r="OY13" s="40" t="str">
        <f t="shared" si="121"/>
        <v/>
      </c>
      <c r="OZ13" s="40" t="str">
        <f t="shared" si="122"/>
        <v/>
      </c>
      <c r="PA13" s="40" t="str">
        <f t="shared" si="123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4"/>
        <v/>
      </c>
      <c r="PW13" s="11" t="str">
        <f t="shared" si="125"/>
        <v/>
      </c>
      <c r="PX13" s="11" t="str">
        <f t="shared" si="126"/>
        <v/>
      </c>
      <c r="PY13" s="11" t="str">
        <f t="shared" si="127"/>
        <v/>
      </c>
      <c r="PZ13" s="11" t="str">
        <f t="shared" si="128"/>
        <v/>
      </c>
      <c r="QA13" s="11" t="str">
        <f t="shared" si="129"/>
        <v/>
      </c>
      <c r="QB13" s="11" t="str">
        <f t="shared" si="130"/>
        <v/>
      </c>
      <c r="QC13" s="11" t="str">
        <f t="shared" si="131"/>
        <v/>
      </c>
      <c r="QD13" s="22">
        <f t="shared" si="132"/>
        <v>8.85</v>
      </c>
      <c r="QE13" s="22">
        <f t="shared" si="133"/>
        <v>3.25</v>
      </c>
      <c r="QF13" s="22">
        <f t="shared" si="134"/>
        <v>0</v>
      </c>
      <c r="QG13" s="22">
        <f t="shared" si="135"/>
        <v>0</v>
      </c>
      <c r="QH13" s="22">
        <f t="shared" si="136"/>
        <v>8.6999999999999993</v>
      </c>
      <c r="QI13" s="22">
        <f t="shared" si="137"/>
        <v>3.65</v>
      </c>
      <c r="QJ13" s="22">
        <f t="shared" si="138"/>
        <v>0</v>
      </c>
      <c r="QK13" s="22">
        <f t="shared" si="139"/>
        <v>0</v>
      </c>
      <c r="QL13" s="22">
        <f t="shared" si="140"/>
        <v>0</v>
      </c>
      <c r="QM13" s="22">
        <f t="shared" si="141"/>
        <v>0</v>
      </c>
      <c r="QN13" s="22">
        <f t="shared" si="142"/>
        <v>0</v>
      </c>
      <c r="QO13" s="22">
        <f t="shared" si="143"/>
        <v>0</v>
      </c>
      <c r="QP13" s="22">
        <f t="shared" si="144"/>
        <v>0</v>
      </c>
      <c r="QQ13" s="22">
        <f t="shared" si="145"/>
        <v>0</v>
      </c>
      <c r="QR13" s="22">
        <f t="shared" si="146"/>
        <v>0</v>
      </c>
      <c r="QS13" s="22">
        <f t="shared" si="147"/>
        <v>0</v>
      </c>
      <c r="QT13" s="22">
        <f t="shared" si="148"/>
        <v>0</v>
      </c>
      <c r="QU13" s="22">
        <f t="shared" si="149"/>
        <v>0</v>
      </c>
      <c r="QV13" s="22">
        <f t="shared" si="150"/>
        <v>0</v>
      </c>
      <c r="QW13" s="22">
        <f t="shared" si="151"/>
        <v>0</v>
      </c>
      <c r="QX13" s="27" t="s">
        <v>46</v>
      </c>
      <c r="QY13" s="40">
        <f t="shared" si="152"/>
        <v>6.9</v>
      </c>
      <c r="QZ13" s="40">
        <f t="shared" si="153"/>
        <v>24.449999999999996</v>
      </c>
      <c r="RA13" s="40" t="str">
        <f t="shared" si="154"/>
        <v/>
      </c>
      <c r="RB13" s="40">
        <f t="shared" si="155"/>
        <v>6.9</v>
      </c>
      <c r="RC13" s="40">
        <f t="shared" si="156"/>
        <v>24.449999999999996</v>
      </c>
      <c r="RD13" s="40" t="str">
        <f t="shared" si="157"/>
        <v/>
      </c>
      <c r="RE13" s="40" t="str">
        <f t="shared" si="158"/>
        <v/>
      </c>
      <c r="RF13" s="40">
        <f t="shared" si="159"/>
        <v>24.449999999999996</v>
      </c>
    </row>
    <row r="14" spans="1:474" x14ac:dyDescent="0.2">
      <c r="A14" s="4" t="str" cm="1">
        <f t="array" ref="A14">IF(AND(J14&lt;&gt;"",J14&lt;&gt;"No DD"),SUMPRODUCT((J$4:J$22&lt;&gt;"")*(J$4:J$22&lt;&gt;"No DD")*(F$4:F$22&gt;F14))+1,IF(J14="No DD",SUMPRODUCT((J$4:J$22="No DD")*(F$4:F$22&gt;F14))+1+SUMPRODUCT((J$4:J$22&lt;&gt;"")*(J$4:J$22&lt;&gt;"No DD")),""))</f>
        <v/>
      </c>
      <c r="B14" s="4" t="str" cm="1">
        <f t="array" ref="B14">IF(AND(J14&lt;&gt;"",J14&lt;&gt;"No DD",G14=""),SUMPRODUCT((J$4:J$22&lt;&gt;"")*(J$4:J$22&lt;&gt;"No DD")*(G$4:G$22="")*(F$4:F$22&gt;F14))+1,IF(J14="No DD",SUMPRODUCT((J$4:J$22="No DD")*(F$4:F$22&gt;F14)*(G$4:G$22=""))+1+SUMPRODUCT((J$4:J$22&lt;&gt;"")*(G$4:G$22="")*(J$4:J$22&lt;&gt;"No DD")),""))</f>
        <v/>
      </c>
      <c r="C14" s="5" t="s">
        <v>153</v>
      </c>
      <c r="D14" s="4" t="s">
        <v>5</v>
      </c>
      <c r="E14" s="4">
        <v>2007</v>
      </c>
      <c r="F14" s="9">
        <f t="shared" si="0"/>
        <v>128.20000859000433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43.199999999999989</v>
      </c>
      <c r="M14" s="8" t="str">
        <f t="shared" si="5"/>
        <v>2024 Nationals</v>
      </c>
      <c r="N14" s="8">
        <f>IF(COUNT(AQ14,BT14,CW14)&gt;1,LARGE((AQ14,BT14,CW14),2),0)</f>
        <v>42.70000000000001</v>
      </c>
      <c r="O14" s="8" t="str">
        <f t="shared" si="6"/>
        <v>2025 Elite Canada</v>
      </c>
      <c r="P14" s="8">
        <f t="shared" si="7"/>
        <v>42.300000000000004</v>
      </c>
      <c r="Q14" s="8" t="str">
        <f t="shared" si="8"/>
        <v>2024 Nationals</v>
      </c>
      <c r="R14" s="8" t="str">
        <f t="shared" si="9"/>
        <v/>
      </c>
      <c r="S14" s="11" t="str">
        <f t="shared" si="160"/>
        <v/>
      </c>
      <c r="T14" s="8" t="str">
        <f t="shared" si="161"/>
        <v/>
      </c>
      <c r="U14" s="19">
        <v>16.3</v>
      </c>
      <c r="V14" s="19">
        <v>5.5</v>
      </c>
      <c r="W14" s="19">
        <v>0.2</v>
      </c>
      <c r="X14" s="19">
        <v>0.3</v>
      </c>
      <c r="Y14" s="19">
        <v>17.2</v>
      </c>
      <c r="Z14" s="19">
        <v>3.8</v>
      </c>
      <c r="AA14" s="19">
        <v>0</v>
      </c>
      <c r="AB14" s="19">
        <v>0.3</v>
      </c>
      <c r="AC14" s="19">
        <v>15.4</v>
      </c>
      <c r="AD14" s="19">
        <v>3.7</v>
      </c>
      <c r="AE14" s="19">
        <v>0</v>
      </c>
      <c r="AF14" s="19">
        <v>0.3</v>
      </c>
      <c r="AG14" s="19">
        <v>16.399999999999999</v>
      </c>
      <c r="AH14" s="19">
        <v>4.0999999999999996</v>
      </c>
      <c r="AI14" s="19">
        <v>0</v>
      </c>
      <c r="AJ14" s="19">
        <v>0.3</v>
      </c>
      <c r="AK14" s="19">
        <v>16.100000000000001</v>
      </c>
      <c r="AL14" s="19">
        <v>5.0999999999999996</v>
      </c>
      <c r="AM14" s="19">
        <v>0</v>
      </c>
      <c r="AN14" s="19">
        <v>0.3</v>
      </c>
      <c r="AO14" s="27"/>
      <c r="AP14" s="40">
        <f t="shared" si="10"/>
        <v>9.3000000000000007</v>
      </c>
      <c r="AQ14" s="40">
        <f t="shared" si="11"/>
        <v>43.199999999999989</v>
      </c>
      <c r="AR14" s="40">
        <f t="shared" si="12"/>
        <v>19.400000000000002</v>
      </c>
      <c r="AS14" s="40">
        <f t="shared" si="13"/>
        <v>13</v>
      </c>
      <c r="AT14" s="40">
        <f t="shared" si="14"/>
        <v>62.599999999999994</v>
      </c>
      <c r="AU14" s="40">
        <f t="shared" si="15"/>
        <v>9.1999999999999993</v>
      </c>
      <c r="AV14" s="40">
        <f t="shared" si="16"/>
        <v>42.300000000000004</v>
      </c>
      <c r="AW14" s="40">
        <f t="shared" si="17"/>
        <v>104.9</v>
      </c>
      <c r="AX14" s="18">
        <v>11</v>
      </c>
      <c r="AY14" s="18">
        <v>2.9</v>
      </c>
      <c r="AZ14" s="18">
        <v>0</v>
      </c>
      <c r="BA14" s="18">
        <v>0.3</v>
      </c>
      <c r="BB14" s="18">
        <v>11.9</v>
      </c>
      <c r="BC14" s="18">
        <v>2.6</v>
      </c>
      <c r="BD14" s="18">
        <v>0</v>
      </c>
      <c r="BE14" s="18">
        <v>0.3</v>
      </c>
      <c r="BF14" s="18">
        <v>15.8</v>
      </c>
      <c r="BG14" s="18">
        <v>3.5</v>
      </c>
      <c r="BH14" s="18">
        <v>0.4</v>
      </c>
      <c r="BI14" s="18">
        <v>0.3</v>
      </c>
      <c r="BJ14" s="18">
        <v>15.4</v>
      </c>
      <c r="BK14" s="18">
        <v>2.9</v>
      </c>
      <c r="BL14" s="18">
        <v>0</v>
      </c>
      <c r="BM14" s="18">
        <v>0.3</v>
      </c>
      <c r="BN14" s="18">
        <v>16.399999999999999</v>
      </c>
      <c r="BO14" s="18">
        <v>3.6</v>
      </c>
      <c r="BP14" s="18">
        <v>0</v>
      </c>
      <c r="BQ14" s="18">
        <v>0</v>
      </c>
      <c r="BR14" s="28"/>
      <c r="BS14" s="11">
        <f t="shared" si="18"/>
        <v>5.5</v>
      </c>
      <c r="BT14" s="11">
        <f t="shared" si="19"/>
        <v>29.000000000000004</v>
      </c>
      <c r="BU14" s="11">
        <f t="shared" si="20"/>
        <v>19.200000000000003</v>
      </c>
      <c r="BV14" s="11">
        <f t="shared" si="21"/>
        <v>9</v>
      </c>
      <c r="BW14" s="11">
        <f t="shared" si="22"/>
        <v>48.2</v>
      </c>
      <c r="BX14" s="11">
        <f t="shared" si="23"/>
        <v>6.5</v>
      </c>
      <c r="BY14" s="11">
        <f t="shared" si="24"/>
        <v>38.6</v>
      </c>
      <c r="BZ14" s="11">
        <f t="shared" si="25"/>
        <v>86.800000000000011</v>
      </c>
      <c r="CA14" s="19">
        <v>16.100000000000001</v>
      </c>
      <c r="CB14" s="19">
        <v>4</v>
      </c>
      <c r="CC14" s="19">
        <v>0</v>
      </c>
      <c r="CD14" s="19">
        <v>0.7</v>
      </c>
      <c r="CE14" s="19">
        <v>16.100000000000001</v>
      </c>
      <c r="CF14" s="19">
        <v>5.0999999999999996</v>
      </c>
      <c r="CG14" s="19">
        <v>0</v>
      </c>
      <c r="CH14" s="19">
        <v>0.7</v>
      </c>
      <c r="CI14" s="19"/>
      <c r="CJ14" s="19"/>
      <c r="CK14" s="19"/>
      <c r="CL14" s="19"/>
      <c r="CM14" s="19">
        <v>15.2</v>
      </c>
      <c r="CN14" s="19">
        <v>4.0999999999999996</v>
      </c>
      <c r="CO14" s="19">
        <v>0</v>
      </c>
      <c r="CP14" s="19">
        <v>0</v>
      </c>
      <c r="CQ14" s="19">
        <v>16.100000000000001</v>
      </c>
      <c r="CR14" s="19">
        <v>3.2</v>
      </c>
      <c r="CS14" s="19">
        <v>0.7</v>
      </c>
      <c r="CT14" s="19">
        <v>0</v>
      </c>
      <c r="CU14" s="27"/>
      <c r="CV14" s="40">
        <f t="shared" si="26"/>
        <v>9.1</v>
      </c>
      <c r="CW14" s="40">
        <f t="shared" si="27"/>
        <v>42.70000000000001</v>
      </c>
      <c r="CX14" s="40" t="str">
        <f t="shared" si="28"/>
        <v/>
      </c>
      <c r="CY14" s="40">
        <f t="shared" si="29"/>
        <v>9.1</v>
      </c>
      <c r="CZ14" s="40">
        <f t="shared" si="30"/>
        <v>42.70000000000001</v>
      </c>
      <c r="DA14" s="40">
        <f t="shared" si="31"/>
        <v>7.3</v>
      </c>
      <c r="DB14" s="40">
        <f t="shared" si="32"/>
        <v>37.9</v>
      </c>
      <c r="DC14" s="40">
        <f t="shared" si="33"/>
        <v>80.600000000000009</v>
      </c>
      <c r="DD14" s="50" t="str">
        <f t="shared" si="34"/>
        <v/>
      </c>
      <c r="DE14" s="50" t="str">
        <f t="shared" si="35"/>
        <v/>
      </c>
      <c r="DF14" s="17">
        <v>17.2</v>
      </c>
      <c r="DG14" s="17">
        <v>3.4</v>
      </c>
      <c r="DH14" s="17">
        <v>0</v>
      </c>
      <c r="DI14" s="17">
        <v>0</v>
      </c>
      <c r="DJ14" s="17">
        <v>17</v>
      </c>
      <c r="DK14" s="17">
        <v>3.6</v>
      </c>
      <c r="DL14" s="17">
        <v>0</v>
      </c>
      <c r="DM14" s="17">
        <v>0</v>
      </c>
      <c r="DN14" s="17"/>
      <c r="DO14" s="17"/>
      <c r="DP14" s="17"/>
      <c r="DQ14" s="17"/>
      <c r="DR14" s="17">
        <v>14</v>
      </c>
      <c r="DS14" s="17">
        <v>3.4</v>
      </c>
      <c r="DT14" s="17">
        <v>2</v>
      </c>
      <c r="DU14" s="17">
        <v>0</v>
      </c>
      <c r="DV14" s="17"/>
      <c r="DW14" s="17"/>
      <c r="DX14" s="17"/>
      <c r="DY14" s="17"/>
      <c r="DZ14" s="40">
        <f t="shared" si="36"/>
        <v>7</v>
      </c>
      <c r="EA14" s="40">
        <f t="shared" si="37"/>
        <v>41.199999999999996</v>
      </c>
      <c r="EB14" s="40" t="str">
        <f t="shared" si="38"/>
        <v/>
      </c>
      <c r="EC14" s="40">
        <f t="shared" si="39"/>
        <v>7</v>
      </c>
      <c r="ED14" s="40">
        <f t="shared" si="40"/>
        <v>41.199999999999996</v>
      </c>
      <c r="EE14" s="40">
        <f t="shared" si="41"/>
        <v>3.4</v>
      </c>
      <c r="EF14" s="40">
        <f t="shared" si="42"/>
        <v>15.399999999999999</v>
      </c>
      <c r="EG14" s="40">
        <f t="shared" si="43"/>
        <v>56.599999999999994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4"/>
        <v/>
      </c>
      <c r="FC14" s="11" t="str">
        <f t="shared" si="45"/>
        <v/>
      </c>
      <c r="FD14" s="11" t="str">
        <f t="shared" si="46"/>
        <v/>
      </c>
      <c r="FE14" s="11" t="str">
        <f t="shared" si="47"/>
        <v/>
      </c>
      <c r="FF14" s="11" t="str">
        <f t="shared" si="48"/>
        <v/>
      </c>
      <c r="FG14" s="11" t="str">
        <f t="shared" si="49"/>
        <v/>
      </c>
      <c r="FH14" s="11" t="str">
        <f t="shared" si="50"/>
        <v/>
      </c>
      <c r="FI14" s="11" t="str">
        <f t="shared" si="51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2"/>
        <v/>
      </c>
      <c r="GE14" s="40" t="str">
        <f t="shared" si="53"/>
        <v/>
      </c>
      <c r="GF14" s="40" t="str">
        <f t="shared" si="54"/>
        <v/>
      </c>
      <c r="GG14" s="40" t="str">
        <f t="shared" si="55"/>
        <v/>
      </c>
      <c r="GH14" s="40" t="str">
        <f t="shared" si="56"/>
        <v/>
      </c>
      <c r="GI14" s="40" t="str">
        <f t="shared" si="57"/>
        <v/>
      </c>
      <c r="GJ14" s="40" t="str">
        <f t="shared" si="58"/>
        <v/>
      </c>
      <c r="GK14" s="40" t="str">
        <f t="shared" si="59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0"/>
        <v/>
      </c>
      <c r="HG14" s="11" t="str">
        <f t="shared" si="61"/>
        <v/>
      </c>
      <c r="HH14" s="11" t="str">
        <f t="shared" si="62"/>
        <v/>
      </c>
      <c r="HI14" s="11" t="str">
        <f t="shared" si="63"/>
        <v/>
      </c>
      <c r="HJ14" s="11" t="str">
        <f t="shared" si="64"/>
        <v/>
      </c>
      <c r="HK14" s="11" t="str">
        <f t="shared" si="65"/>
        <v/>
      </c>
      <c r="HL14" s="11" t="str">
        <f t="shared" si="66"/>
        <v/>
      </c>
      <c r="HM14" s="11" t="str">
        <f t="shared" si="67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68"/>
        <v/>
      </c>
      <c r="II14" s="40" t="str">
        <f t="shared" si="69"/>
        <v/>
      </c>
      <c r="IJ14" s="40" t="str">
        <f t="shared" si="70"/>
        <v/>
      </c>
      <c r="IK14" s="40" t="str">
        <f t="shared" si="71"/>
        <v/>
      </c>
      <c r="IL14" s="40" t="str">
        <f t="shared" si="72"/>
        <v/>
      </c>
      <c r="IM14" s="40" t="str">
        <f t="shared" si="73"/>
        <v/>
      </c>
      <c r="IN14" s="40" t="str">
        <f t="shared" si="74"/>
        <v/>
      </c>
      <c r="IO14" s="40" t="str">
        <f t="shared" si="75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6"/>
        <v/>
      </c>
      <c r="JK14" s="11" t="str">
        <f t="shared" si="77"/>
        <v/>
      </c>
      <c r="JL14" s="11" t="str">
        <f t="shared" si="78"/>
        <v/>
      </c>
      <c r="JM14" s="11" t="str">
        <f t="shared" si="79"/>
        <v/>
      </c>
      <c r="JN14" s="11" t="str">
        <f t="shared" si="80"/>
        <v/>
      </c>
      <c r="JO14" s="11" t="str">
        <f t="shared" si="81"/>
        <v/>
      </c>
      <c r="JP14" s="11" t="str">
        <f t="shared" si="82"/>
        <v/>
      </c>
      <c r="JQ14" s="11" t="str">
        <f t="shared" si="83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4"/>
        <v/>
      </c>
      <c r="KM14" s="40" t="str">
        <f t="shared" si="85"/>
        <v/>
      </c>
      <c r="KN14" s="40" t="str">
        <f t="shared" si="86"/>
        <v/>
      </c>
      <c r="KO14" s="40" t="str">
        <f t="shared" si="87"/>
        <v/>
      </c>
      <c r="KP14" s="40" t="str">
        <f t="shared" si="88"/>
        <v/>
      </c>
      <c r="KQ14" s="40" t="str">
        <f t="shared" si="89"/>
        <v/>
      </c>
      <c r="KR14" s="40" t="str">
        <f t="shared" si="90"/>
        <v/>
      </c>
      <c r="KS14" s="40" t="str">
        <f t="shared" si="91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2"/>
        <v/>
      </c>
      <c r="LO14" s="11" t="str">
        <f t="shared" si="93"/>
        <v/>
      </c>
      <c r="LP14" s="11" t="str">
        <f t="shared" si="94"/>
        <v/>
      </c>
      <c r="LQ14" s="11" t="str">
        <f t="shared" si="95"/>
        <v/>
      </c>
      <c r="LR14" s="11" t="str">
        <f t="shared" si="96"/>
        <v/>
      </c>
      <c r="LS14" s="11" t="str">
        <f t="shared" si="97"/>
        <v/>
      </c>
      <c r="LT14" s="11" t="str">
        <f t="shared" si="98"/>
        <v/>
      </c>
      <c r="LU14" s="11" t="str">
        <f t="shared" si="99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0"/>
        <v/>
      </c>
      <c r="MQ14" s="40" t="str">
        <f t="shared" si="101"/>
        <v/>
      </c>
      <c r="MR14" s="40" t="str">
        <f t="shared" si="102"/>
        <v/>
      </c>
      <c r="MS14" s="40" t="str">
        <f t="shared" si="103"/>
        <v/>
      </c>
      <c r="MT14" s="40" t="str">
        <f t="shared" si="104"/>
        <v/>
      </c>
      <c r="MU14" s="40" t="str">
        <f t="shared" si="105"/>
        <v/>
      </c>
      <c r="MV14" s="40" t="str">
        <f t="shared" si="106"/>
        <v/>
      </c>
      <c r="MW14" s="40" t="str">
        <f t="shared" si="107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08"/>
        <v/>
      </c>
      <c r="NS14" s="11" t="str">
        <f t="shared" si="109"/>
        <v/>
      </c>
      <c r="NT14" s="11" t="str">
        <f t="shared" si="110"/>
        <v/>
      </c>
      <c r="NU14" s="11" t="str">
        <f t="shared" si="111"/>
        <v/>
      </c>
      <c r="NV14" s="11" t="str">
        <f t="shared" si="112"/>
        <v/>
      </c>
      <c r="NW14" s="11" t="str">
        <f t="shared" si="113"/>
        <v/>
      </c>
      <c r="NX14" s="11" t="str">
        <f t="shared" si="114"/>
        <v/>
      </c>
      <c r="NY14" s="11" t="str">
        <f t="shared" si="115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6"/>
        <v/>
      </c>
      <c r="OU14" s="40" t="str">
        <f t="shared" si="117"/>
        <v/>
      </c>
      <c r="OV14" s="40" t="str">
        <f t="shared" si="118"/>
        <v/>
      </c>
      <c r="OW14" s="40" t="str">
        <f t="shared" si="119"/>
        <v/>
      </c>
      <c r="OX14" s="40" t="str">
        <f t="shared" si="120"/>
        <v/>
      </c>
      <c r="OY14" s="40" t="str">
        <f t="shared" si="121"/>
        <v/>
      </c>
      <c r="OZ14" s="40" t="str">
        <f t="shared" si="122"/>
        <v/>
      </c>
      <c r="PA14" s="40" t="str">
        <f t="shared" si="123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4"/>
        <v/>
      </c>
      <c r="PW14" s="11" t="str">
        <f t="shared" si="125"/>
        <v/>
      </c>
      <c r="PX14" s="11" t="str">
        <f t="shared" si="126"/>
        <v/>
      </c>
      <c r="PY14" s="11" t="str">
        <f t="shared" si="127"/>
        <v/>
      </c>
      <c r="PZ14" s="11" t="str">
        <f t="shared" si="128"/>
        <v/>
      </c>
      <c r="QA14" s="11" t="str">
        <f t="shared" si="129"/>
        <v/>
      </c>
      <c r="QB14" s="11" t="str">
        <f t="shared" si="130"/>
        <v/>
      </c>
      <c r="QC14" s="11" t="str">
        <f t="shared" si="131"/>
        <v/>
      </c>
      <c r="QD14" s="22">
        <f t="shared" si="132"/>
        <v>13.55</v>
      </c>
      <c r="QE14" s="22">
        <f t="shared" si="133"/>
        <v>3.45</v>
      </c>
      <c r="QF14" s="22">
        <f t="shared" si="134"/>
        <v>0</v>
      </c>
      <c r="QG14" s="22">
        <f t="shared" si="135"/>
        <v>0.5</v>
      </c>
      <c r="QH14" s="22">
        <f t="shared" si="136"/>
        <v>14</v>
      </c>
      <c r="QI14" s="22">
        <f t="shared" si="137"/>
        <v>3.8499999999999996</v>
      </c>
      <c r="QJ14" s="22">
        <f t="shared" si="138"/>
        <v>0</v>
      </c>
      <c r="QK14" s="22">
        <f t="shared" si="139"/>
        <v>0.5</v>
      </c>
      <c r="QL14" s="22">
        <f t="shared" si="140"/>
        <v>7.9</v>
      </c>
      <c r="QM14" s="22">
        <f t="shared" si="141"/>
        <v>1.75</v>
      </c>
      <c r="QN14" s="22">
        <f t="shared" si="142"/>
        <v>0.2</v>
      </c>
      <c r="QO14" s="22">
        <f t="shared" si="143"/>
        <v>0.15</v>
      </c>
      <c r="QP14" s="22">
        <f t="shared" si="144"/>
        <v>15.3</v>
      </c>
      <c r="QQ14" s="22">
        <f t="shared" si="145"/>
        <v>3.5</v>
      </c>
      <c r="QR14" s="22">
        <f t="shared" si="146"/>
        <v>0</v>
      </c>
      <c r="QS14" s="22">
        <f t="shared" si="147"/>
        <v>0.15</v>
      </c>
      <c r="QT14" s="22">
        <f t="shared" si="148"/>
        <v>16.25</v>
      </c>
      <c r="QU14" s="22">
        <f t="shared" si="149"/>
        <v>3.4000000000000004</v>
      </c>
      <c r="QV14" s="22">
        <f t="shared" si="150"/>
        <v>0.35</v>
      </c>
      <c r="QW14" s="22">
        <f t="shared" si="151"/>
        <v>0</v>
      </c>
      <c r="QX14" s="27" t="s">
        <v>46</v>
      </c>
      <c r="QY14" s="40">
        <f t="shared" si="152"/>
        <v>7.3</v>
      </c>
      <c r="QZ14" s="40">
        <f t="shared" si="153"/>
        <v>35.85</v>
      </c>
      <c r="RA14" s="40">
        <f t="shared" si="154"/>
        <v>9.6000000000000014</v>
      </c>
      <c r="RB14" s="40">
        <f t="shared" si="155"/>
        <v>9.0500000000000007</v>
      </c>
      <c r="RC14" s="40">
        <f t="shared" si="156"/>
        <v>45.45</v>
      </c>
      <c r="RD14" s="40">
        <f t="shared" si="157"/>
        <v>6.9</v>
      </c>
      <c r="RE14" s="40">
        <f t="shared" si="158"/>
        <v>38.25</v>
      </c>
      <c r="RF14" s="40">
        <f t="shared" si="159"/>
        <v>83.7</v>
      </c>
    </row>
    <row r="15" spans="1:474" x14ac:dyDescent="0.2">
      <c r="A15" s="4" t="str" cm="1">
        <f t="array" ref="A15">IF(AND(J15&lt;&gt;"",J15&lt;&gt;"No DD"),SUMPRODUCT((J$4:J$22&lt;&gt;"")*(J$4:J$22&lt;&gt;"No DD")*(F$4:F$22&gt;F15))+1,IF(J15="No DD",SUMPRODUCT((J$4:J$22="No DD")*(F$4:F$22&gt;F15))+1+SUMPRODUCT((J$4:J$22&lt;&gt;"")*(J$4:J$22&lt;&gt;"No DD")),""))</f>
        <v/>
      </c>
      <c r="B15" s="4" t="str" cm="1">
        <f t="array" ref="B15">IF(AND(J15&lt;&gt;"",J15&lt;&gt;"No DD",G15=""),SUMPRODUCT((J$4:J$22&lt;&gt;"")*(J$4:J$22&lt;&gt;"No DD")*(G$4:G$22="")*(F$4:F$22&gt;F15))+1,IF(J15="No DD",SUMPRODUCT((J$4:J$22="No DD")*(F$4:F$22&gt;F15)*(G$4:G$22=""))+1+SUMPRODUCT((J$4:J$22&lt;&gt;"")*(G$4:G$22="")*(J$4:J$22&lt;&gt;"No DD")),""))</f>
        <v/>
      </c>
      <c r="C15" s="5" t="s">
        <v>155</v>
      </c>
      <c r="D15" s="4" t="s">
        <v>4</v>
      </c>
      <c r="E15" s="4">
        <v>2007</v>
      </c>
      <c r="F15" s="9">
        <f t="shared" si="0"/>
        <v>126.30000834000434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43.400000000000006</v>
      </c>
      <c r="M15" s="8" t="str">
        <f t="shared" si="5"/>
        <v>2024 Nationals</v>
      </c>
      <c r="N15" s="8">
        <f>IF(COUNT(AQ15,BT15,CW15)&gt;1,LARGE((AQ15,BT15,CW15),2),0)</f>
        <v>39.999999999999993</v>
      </c>
      <c r="O15" s="8" t="str">
        <f t="shared" si="6"/>
        <v>2025 Elite Canada</v>
      </c>
      <c r="P15" s="8">
        <f t="shared" si="7"/>
        <v>42.4</v>
      </c>
      <c r="Q15" s="8" t="str">
        <f t="shared" si="8"/>
        <v>2024 Nationals</v>
      </c>
      <c r="R15" s="8">
        <f t="shared" si="9"/>
        <v>0.50000000000000711</v>
      </c>
      <c r="S15" s="11" t="str">
        <f t="shared" si="160"/>
        <v>(Q1)</v>
      </c>
      <c r="T15" s="8" t="str">
        <f t="shared" si="161"/>
        <v>2024 Coimbra Gym Fest (July 7)</v>
      </c>
      <c r="U15" s="19">
        <v>16.5</v>
      </c>
      <c r="V15" s="19">
        <v>4.8</v>
      </c>
      <c r="W15" s="19">
        <v>0</v>
      </c>
      <c r="X15" s="19">
        <v>0.6</v>
      </c>
      <c r="Y15" s="19">
        <v>16.3</v>
      </c>
      <c r="Z15" s="19">
        <v>4.5999999999999996</v>
      </c>
      <c r="AA15" s="19">
        <v>0</v>
      </c>
      <c r="AB15" s="19">
        <v>0.6</v>
      </c>
      <c r="AC15" s="19">
        <v>14.3</v>
      </c>
      <c r="AD15" s="19">
        <v>4.5999999999999996</v>
      </c>
      <c r="AE15" s="19">
        <v>0</v>
      </c>
      <c r="AF15" s="19">
        <v>0.6</v>
      </c>
      <c r="AG15" s="19">
        <v>15.7</v>
      </c>
      <c r="AH15" s="19">
        <v>4.5999999999999996</v>
      </c>
      <c r="AI15" s="19">
        <v>0</v>
      </c>
      <c r="AJ15" s="19">
        <v>0.6</v>
      </c>
      <c r="AK15" s="19">
        <v>16.100000000000001</v>
      </c>
      <c r="AL15" s="19">
        <v>4.8</v>
      </c>
      <c r="AM15" s="19">
        <v>0</v>
      </c>
      <c r="AN15" s="19">
        <v>0.6</v>
      </c>
      <c r="AO15" s="27"/>
      <c r="AP15" s="40">
        <f t="shared" si="10"/>
        <v>9.3999999999999986</v>
      </c>
      <c r="AQ15" s="40">
        <f t="shared" si="11"/>
        <v>43.400000000000006</v>
      </c>
      <c r="AR15" s="40">
        <f t="shared" si="12"/>
        <v>19.5</v>
      </c>
      <c r="AS15" s="40">
        <f t="shared" si="13"/>
        <v>13.999999999999998</v>
      </c>
      <c r="AT15" s="40">
        <f t="shared" si="14"/>
        <v>62.900000000000006</v>
      </c>
      <c r="AU15" s="40">
        <f t="shared" si="15"/>
        <v>9.3999999999999986</v>
      </c>
      <c r="AV15" s="40">
        <f t="shared" si="16"/>
        <v>42.4</v>
      </c>
      <c r="AW15" s="40">
        <f t="shared" si="17"/>
        <v>105.30000000000001</v>
      </c>
      <c r="AX15" s="18">
        <v>15.4</v>
      </c>
      <c r="AY15" s="18">
        <v>4.5999999999999996</v>
      </c>
      <c r="AZ15" s="18">
        <v>0</v>
      </c>
      <c r="BA15" s="18">
        <v>0.6</v>
      </c>
      <c r="BB15" s="18">
        <v>15.6</v>
      </c>
      <c r="BC15" s="18">
        <v>3.9</v>
      </c>
      <c r="BD15" s="18">
        <v>2</v>
      </c>
      <c r="BE15" s="18">
        <v>0.6</v>
      </c>
      <c r="BF15" s="18">
        <v>15</v>
      </c>
      <c r="BG15" s="18">
        <v>2.6</v>
      </c>
      <c r="BH15" s="18">
        <v>0</v>
      </c>
      <c r="BI15" s="18">
        <v>0.6</v>
      </c>
      <c r="BJ15" s="18">
        <v>15.6</v>
      </c>
      <c r="BK15" s="18">
        <v>4.5999999999999996</v>
      </c>
      <c r="BL15" s="18">
        <v>0</v>
      </c>
      <c r="BM15" s="18">
        <v>0.6</v>
      </c>
      <c r="BN15" s="18">
        <v>15.3</v>
      </c>
      <c r="BO15" s="18">
        <v>3.9</v>
      </c>
      <c r="BP15" s="18">
        <v>0</v>
      </c>
      <c r="BQ15" s="18">
        <v>0.6</v>
      </c>
      <c r="BR15" s="28"/>
      <c r="BS15" s="11">
        <f t="shared" si="18"/>
        <v>8.5</v>
      </c>
      <c r="BT15" s="11">
        <f t="shared" si="19"/>
        <v>38.700000000000003</v>
      </c>
      <c r="BU15" s="11">
        <f t="shared" si="20"/>
        <v>18.200000000000003</v>
      </c>
      <c r="BV15" s="11">
        <f t="shared" si="21"/>
        <v>11.1</v>
      </c>
      <c r="BW15" s="11">
        <f t="shared" si="22"/>
        <v>56.900000000000006</v>
      </c>
      <c r="BX15" s="11">
        <f t="shared" si="23"/>
        <v>8.5</v>
      </c>
      <c r="BY15" s="11">
        <f t="shared" si="24"/>
        <v>40.6</v>
      </c>
      <c r="BZ15" s="11">
        <f t="shared" si="25"/>
        <v>97.5</v>
      </c>
      <c r="CA15" s="19">
        <v>15.2</v>
      </c>
      <c r="CB15" s="19">
        <v>4.5999999999999996</v>
      </c>
      <c r="CC15" s="19">
        <v>0</v>
      </c>
      <c r="CD15" s="19">
        <v>0</v>
      </c>
      <c r="CE15" s="19">
        <v>15.4</v>
      </c>
      <c r="CF15" s="19">
        <v>4.8</v>
      </c>
      <c r="CG15" s="19">
        <v>0</v>
      </c>
      <c r="CH15" s="19">
        <v>0</v>
      </c>
      <c r="CI15" s="19"/>
      <c r="CJ15" s="19"/>
      <c r="CK15" s="19"/>
      <c r="CL15" s="19"/>
      <c r="CM15" s="19">
        <v>15.4</v>
      </c>
      <c r="CN15" s="19">
        <v>4.8</v>
      </c>
      <c r="CO15" s="19">
        <v>0.2</v>
      </c>
      <c r="CP15" s="19">
        <v>0</v>
      </c>
      <c r="CQ15" s="19">
        <v>15.5</v>
      </c>
      <c r="CR15" s="19">
        <v>5.3</v>
      </c>
      <c r="CS15" s="19">
        <v>0.4</v>
      </c>
      <c r="CT15" s="19">
        <v>0</v>
      </c>
      <c r="CU15" s="27"/>
      <c r="CV15" s="40">
        <f t="shared" si="26"/>
        <v>9.3999999999999986</v>
      </c>
      <c r="CW15" s="40">
        <f t="shared" si="27"/>
        <v>39.999999999999993</v>
      </c>
      <c r="CX15" s="40" t="str">
        <f t="shared" si="28"/>
        <v/>
      </c>
      <c r="CY15" s="40">
        <f t="shared" si="29"/>
        <v>9.3999999999999986</v>
      </c>
      <c r="CZ15" s="40">
        <f t="shared" si="30"/>
        <v>39.999999999999993</v>
      </c>
      <c r="DA15" s="40">
        <f t="shared" si="31"/>
        <v>10.1</v>
      </c>
      <c r="DB15" s="40">
        <f t="shared" si="32"/>
        <v>40.4</v>
      </c>
      <c r="DC15" s="40">
        <f t="shared" si="33"/>
        <v>80.399999999999991</v>
      </c>
      <c r="DD15" s="50">
        <f t="shared" si="34"/>
        <v>0.50000000000000711</v>
      </c>
      <c r="DE15" s="50" t="str">
        <f t="shared" si="35"/>
        <v/>
      </c>
      <c r="DF15" s="17">
        <v>15.7</v>
      </c>
      <c r="DG15" s="17">
        <v>4.8</v>
      </c>
      <c r="DH15" s="17">
        <v>0</v>
      </c>
      <c r="DI15" s="17">
        <v>0</v>
      </c>
      <c r="DJ15" s="17">
        <v>15.4</v>
      </c>
      <c r="DK15" s="17">
        <v>4.5999999999999996</v>
      </c>
      <c r="DL15" s="17">
        <v>0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>
        <f t="shared" si="36"/>
        <v>9.3999999999999986</v>
      </c>
      <c r="EA15" s="40">
        <f t="shared" si="37"/>
        <v>40.5</v>
      </c>
      <c r="EB15" s="40" t="str">
        <f t="shared" si="38"/>
        <v/>
      </c>
      <c r="EC15" s="40">
        <f t="shared" si="39"/>
        <v>9.3999999999999986</v>
      </c>
      <c r="ED15" s="40">
        <f t="shared" si="40"/>
        <v>40.5</v>
      </c>
      <c r="EE15" s="40" t="str">
        <f t="shared" si="41"/>
        <v/>
      </c>
      <c r="EF15" s="40" t="str">
        <f t="shared" si="42"/>
        <v/>
      </c>
      <c r="EG15" s="40">
        <f t="shared" si="43"/>
        <v>40.5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4"/>
        <v/>
      </c>
      <c r="FC15" s="11" t="str">
        <f t="shared" si="45"/>
        <v/>
      </c>
      <c r="FD15" s="11" t="str">
        <f t="shared" si="46"/>
        <v/>
      </c>
      <c r="FE15" s="11" t="str">
        <f t="shared" si="47"/>
        <v/>
      </c>
      <c r="FF15" s="11" t="str">
        <f t="shared" si="48"/>
        <v/>
      </c>
      <c r="FG15" s="11" t="str">
        <f t="shared" si="49"/>
        <v/>
      </c>
      <c r="FH15" s="11" t="str">
        <f t="shared" si="50"/>
        <v/>
      </c>
      <c r="FI15" s="11" t="str">
        <f t="shared" si="51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2"/>
        <v/>
      </c>
      <c r="GE15" s="40" t="str">
        <f t="shared" si="53"/>
        <v/>
      </c>
      <c r="GF15" s="40" t="str">
        <f t="shared" si="54"/>
        <v/>
      </c>
      <c r="GG15" s="40" t="str">
        <f t="shared" si="55"/>
        <v/>
      </c>
      <c r="GH15" s="40" t="str">
        <f t="shared" si="56"/>
        <v/>
      </c>
      <c r="GI15" s="40" t="str">
        <f t="shared" si="57"/>
        <v/>
      </c>
      <c r="GJ15" s="40" t="str">
        <f t="shared" si="58"/>
        <v/>
      </c>
      <c r="GK15" s="40" t="str">
        <f t="shared" si="59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0"/>
        <v/>
      </c>
      <c r="HG15" s="11" t="str">
        <f t="shared" si="61"/>
        <v/>
      </c>
      <c r="HH15" s="11" t="str">
        <f t="shared" si="62"/>
        <v/>
      </c>
      <c r="HI15" s="11" t="str">
        <f t="shared" si="63"/>
        <v/>
      </c>
      <c r="HJ15" s="11" t="str">
        <f t="shared" si="64"/>
        <v/>
      </c>
      <c r="HK15" s="11" t="str">
        <f t="shared" si="65"/>
        <v/>
      </c>
      <c r="HL15" s="11" t="str">
        <f t="shared" si="66"/>
        <v/>
      </c>
      <c r="HM15" s="11" t="str">
        <f t="shared" si="67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68"/>
        <v/>
      </c>
      <c r="II15" s="40" t="str">
        <f t="shared" si="69"/>
        <v/>
      </c>
      <c r="IJ15" s="40" t="str">
        <f t="shared" si="70"/>
        <v/>
      </c>
      <c r="IK15" s="40" t="str">
        <f t="shared" si="71"/>
        <v/>
      </c>
      <c r="IL15" s="40" t="str">
        <f t="shared" si="72"/>
        <v/>
      </c>
      <c r="IM15" s="40" t="str">
        <f t="shared" si="73"/>
        <v/>
      </c>
      <c r="IN15" s="40" t="str">
        <f t="shared" si="74"/>
        <v/>
      </c>
      <c r="IO15" s="40" t="str">
        <f t="shared" si="75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6"/>
        <v/>
      </c>
      <c r="JK15" s="11" t="str">
        <f t="shared" si="77"/>
        <v/>
      </c>
      <c r="JL15" s="11" t="str">
        <f t="shared" si="78"/>
        <v/>
      </c>
      <c r="JM15" s="11" t="str">
        <f t="shared" si="79"/>
        <v/>
      </c>
      <c r="JN15" s="11" t="str">
        <f t="shared" si="80"/>
        <v/>
      </c>
      <c r="JO15" s="11" t="str">
        <f t="shared" si="81"/>
        <v/>
      </c>
      <c r="JP15" s="11" t="str">
        <f t="shared" si="82"/>
        <v/>
      </c>
      <c r="JQ15" s="11" t="str">
        <f t="shared" si="83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4"/>
        <v/>
      </c>
      <c r="KM15" s="40" t="str">
        <f t="shared" si="85"/>
        <v/>
      </c>
      <c r="KN15" s="40" t="str">
        <f t="shared" si="86"/>
        <v/>
      </c>
      <c r="KO15" s="40" t="str">
        <f t="shared" si="87"/>
        <v/>
      </c>
      <c r="KP15" s="40" t="str">
        <f t="shared" si="88"/>
        <v/>
      </c>
      <c r="KQ15" s="40" t="str">
        <f t="shared" si="89"/>
        <v/>
      </c>
      <c r="KR15" s="40" t="str">
        <f t="shared" si="90"/>
        <v/>
      </c>
      <c r="KS15" s="40" t="str">
        <f t="shared" si="91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2"/>
        <v/>
      </c>
      <c r="LO15" s="11" t="str">
        <f t="shared" si="93"/>
        <v/>
      </c>
      <c r="LP15" s="11" t="str">
        <f t="shared" si="94"/>
        <v/>
      </c>
      <c r="LQ15" s="11" t="str">
        <f t="shared" si="95"/>
        <v/>
      </c>
      <c r="LR15" s="11" t="str">
        <f t="shared" si="96"/>
        <v/>
      </c>
      <c r="LS15" s="11" t="str">
        <f t="shared" si="97"/>
        <v/>
      </c>
      <c r="LT15" s="11" t="str">
        <f t="shared" si="98"/>
        <v/>
      </c>
      <c r="LU15" s="11" t="str">
        <f t="shared" si="99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0"/>
        <v/>
      </c>
      <c r="MQ15" s="40" t="str">
        <f t="shared" si="101"/>
        <v/>
      </c>
      <c r="MR15" s="40" t="str">
        <f t="shared" si="102"/>
        <v/>
      </c>
      <c r="MS15" s="40" t="str">
        <f t="shared" si="103"/>
        <v/>
      </c>
      <c r="MT15" s="40" t="str">
        <f t="shared" si="104"/>
        <v/>
      </c>
      <c r="MU15" s="40" t="str">
        <f t="shared" si="105"/>
        <v/>
      </c>
      <c r="MV15" s="40" t="str">
        <f t="shared" si="106"/>
        <v/>
      </c>
      <c r="MW15" s="40" t="str">
        <f t="shared" si="107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08"/>
        <v/>
      </c>
      <c r="NS15" s="11" t="str">
        <f t="shared" si="109"/>
        <v/>
      </c>
      <c r="NT15" s="11" t="str">
        <f t="shared" si="110"/>
        <v/>
      </c>
      <c r="NU15" s="11" t="str">
        <f t="shared" si="111"/>
        <v/>
      </c>
      <c r="NV15" s="11" t="str">
        <f t="shared" si="112"/>
        <v/>
      </c>
      <c r="NW15" s="11" t="str">
        <f t="shared" si="113"/>
        <v/>
      </c>
      <c r="NX15" s="11" t="str">
        <f t="shared" si="114"/>
        <v/>
      </c>
      <c r="NY15" s="11" t="str">
        <f t="shared" si="115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6"/>
        <v/>
      </c>
      <c r="OU15" s="40" t="str">
        <f t="shared" si="117"/>
        <v/>
      </c>
      <c r="OV15" s="40" t="str">
        <f t="shared" si="118"/>
        <v/>
      </c>
      <c r="OW15" s="40" t="str">
        <f t="shared" si="119"/>
        <v/>
      </c>
      <c r="OX15" s="40" t="str">
        <f t="shared" si="120"/>
        <v/>
      </c>
      <c r="OY15" s="40" t="str">
        <f t="shared" si="121"/>
        <v/>
      </c>
      <c r="OZ15" s="40" t="str">
        <f t="shared" si="122"/>
        <v/>
      </c>
      <c r="PA15" s="40" t="str">
        <f t="shared" si="123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4"/>
        <v/>
      </c>
      <c r="PW15" s="11" t="str">
        <f t="shared" si="125"/>
        <v/>
      </c>
      <c r="PX15" s="11" t="str">
        <f t="shared" si="126"/>
        <v/>
      </c>
      <c r="PY15" s="11" t="str">
        <f t="shared" si="127"/>
        <v/>
      </c>
      <c r="PZ15" s="11" t="str">
        <f t="shared" si="128"/>
        <v/>
      </c>
      <c r="QA15" s="11" t="str">
        <f t="shared" si="129"/>
        <v/>
      </c>
      <c r="QB15" s="11" t="str">
        <f t="shared" si="130"/>
        <v/>
      </c>
      <c r="QC15" s="11" t="str">
        <f t="shared" si="131"/>
        <v/>
      </c>
      <c r="QD15" s="22">
        <f t="shared" si="132"/>
        <v>15.3</v>
      </c>
      <c r="QE15" s="22">
        <f t="shared" si="133"/>
        <v>4.5999999999999996</v>
      </c>
      <c r="QF15" s="22">
        <f t="shared" si="134"/>
        <v>0</v>
      </c>
      <c r="QG15" s="22">
        <f t="shared" si="135"/>
        <v>0.3</v>
      </c>
      <c r="QH15" s="22">
        <f t="shared" si="136"/>
        <v>15.5</v>
      </c>
      <c r="QI15" s="22">
        <f t="shared" si="137"/>
        <v>4.3499999999999996</v>
      </c>
      <c r="QJ15" s="22">
        <f t="shared" si="138"/>
        <v>1</v>
      </c>
      <c r="QK15" s="22">
        <f t="shared" si="139"/>
        <v>0.3</v>
      </c>
      <c r="QL15" s="22">
        <f t="shared" si="140"/>
        <v>7.5</v>
      </c>
      <c r="QM15" s="22">
        <f t="shared" si="141"/>
        <v>1.3</v>
      </c>
      <c r="QN15" s="22">
        <f t="shared" si="142"/>
        <v>0</v>
      </c>
      <c r="QO15" s="22">
        <f t="shared" si="143"/>
        <v>0.3</v>
      </c>
      <c r="QP15" s="22">
        <f t="shared" si="144"/>
        <v>15.5</v>
      </c>
      <c r="QQ15" s="22">
        <f t="shared" si="145"/>
        <v>4.6999999999999993</v>
      </c>
      <c r="QR15" s="22">
        <f t="shared" si="146"/>
        <v>0.1</v>
      </c>
      <c r="QS15" s="22">
        <f t="shared" si="147"/>
        <v>0.3</v>
      </c>
      <c r="QT15" s="22">
        <f t="shared" si="148"/>
        <v>15.4</v>
      </c>
      <c r="QU15" s="22">
        <f t="shared" si="149"/>
        <v>4.5999999999999996</v>
      </c>
      <c r="QV15" s="22">
        <f t="shared" si="150"/>
        <v>0.2</v>
      </c>
      <c r="QW15" s="22">
        <f t="shared" si="151"/>
        <v>0.3</v>
      </c>
      <c r="QX15" s="27" t="s">
        <v>46</v>
      </c>
      <c r="QY15" s="40">
        <f t="shared" si="152"/>
        <v>8.9499999999999993</v>
      </c>
      <c r="QZ15" s="40">
        <f t="shared" si="153"/>
        <v>39.35</v>
      </c>
      <c r="RA15" s="40">
        <f t="shared" si="154"/>
        <v>9.1000000000000014</v>
      </c>
      <c r="RB15" s="40">
        <f t="shared" si="155"/>
        <v>10.25</v>
      </c>
      <c r="RC15" s="40">
        <f t="shared" si="156"/>
        <v>48.45</v>
      </c>
      <c r="RD15" s="40">
        <f t="shared" si="157"/>
        <v>9.2999999999999989</v>
      </c>
      <c r="RE15" s="40">
        <f t="shared" si="158"/>
        <v>40.5</v>
      </c>
      <c r="RF15" s="40">
        <f t="shared" si="159"/>
        <v>88.95</v>
      </c>
    </row>
    <row r="16" spans="1:474" x14ac:dyDescent="0.2">
      <c r="A16" s="4" t="str" cm="1">
        <f t="array" ref="A16">IF(AND(J16&lt;&gt;"",J16&lt;&gt;"No DD"),SUMPRODUCT((J$4:J$22&lt;&gt;"")*(J$4:J$22&lt;&gt;"No DD")*(F$4:F$22&gt;F16))+1,IF(J16="No DD",SUMPRODUCT((J$4:J$22="No DD")*(F$4:F$22&gt;F16))+1+SUMPRODUCT((J$4:J$22&lt;&gt;"")*(J$4:J$22&lt;&gt;"No DD")),""))</f>
        <v/>
      </c>
      <c r="B16" s="4" t="str" cm="1">
        <f t="array" ref="B16">IF(AND(J16&lt;&gt;"",J16&lt;&gt;"No DD",G16=""),SUMPRODUCT((J$4:J$22&lt;&gt;"")*(J$4:J$22&lt;&gt;"No DD")*(G$4:G$22="")*(F$4:F$22&gt;F16))+1,IF(J16="No DD",SUMPRODUCT((J$4:J$22="No DD")*(F$4:F$22&gt;F16)*(G$4:G$22=""))+1+SUMPRODUCT((J$4:J$22&lt;&gt;"")*(G$4:G$22="")*(J$4:J$22&lt;&gt;"No DD")),""))</f>
        <v/>
      </c>
      <c r="C16" s="5" t="s">
        <v>103</v>
      </c>
      <c r="D16" s="4" t="s">
        <v>4</v>
      </c>
      <c r="E16" s="4">
        <v>2005</v>
      </c>
      <c r="F16" s="9">
        <f t="shared" si="0"/>
        <v>125.7000082800044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43.7</v>
      </c>
      <c r="M16" s="8" t="str">
        <f t="shared" si="5"/>
        <v>2024 3rd Domestic Trial</v>
      </c>
      <c r="N16" s="8">
        <f>IF(COUNT(AQ16,BT16,CW16)&gt;1,LARGE((AQ16,BT16,CW16),2),0)</f>
        <v>39.1</v>
      </c>
      <c r="O16" s="8" t="str">
        <f t="shared" si="6"/>
        <v>2024 Nationals</v>
      </c>
      <c r="P16" s="8">
        <f t="shared" si="7"/>
        <v>42.9</v>
      </c>
      <c r="Q16" s="8" t="str">
        <f t="shared" si="8"/>
        <v>2024 3rd Domestic Trial</v>
      </c>
      <c r="R16" s="8" t="str">
        <f t="shared" si="9"/>
        <v/>
      </c>
      <c r="S16" s="11" t="str">
        <f t="shared" si="160"/>
        <v/>
      </c>
      <c r="T16" s="8" t="str">
        <f t="shared" si="161"/>
        <v/>
      </c>
      <c r="U16" s="19">
        <v>15.7</v>
      </c>
      <c r="V16" s="19">
        <v>1.9</v>
      </c>
      <c r="W16" s="19">
        <v>0</v>
      </c>
      <c r="X16" s="19">
        <v>0.3</v>
      </c>
      <c r="Y16" s="19">
        <v>15.8</v>
      </c>
      <c r="Z16" s="19">
        <v>4.8</v>
      </c>
      <c r="AA16" s="19">
        <v>0</v>
      </c>
      <c r="AB16" s="19">
        <v>0.6</v>
      </c>
      <c r="AC16" s="19">
        <v>15.2</v>
      </c>
      <c r="AD16" s="19">
        <v>3.9</v>
      </c>
      <c r="AE16" s="19">
        <v>0</v>
      </c>
      <c r="AF16" s="19">
        <v>0.3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0"/>
        <v>6.6999999999999993</v>
      </c>
      <c r="AQ16" s="40">
        <f t="shared" si="11"/>
        <v>39.1</v>
      </c>
      <c r="AR16" s="40">
        <f t="shared" si="12"/>
        <v>19.399999999999999</v>
      </c>
      <c r="AS16" s="40">
        <f t="shared" si="13"/>
        <v>10.6</v>
      </c>
      <c r="AT16" s="40">
        <f t="shared" si="14"/>
        <v>58.5</v>
      </c>
      <c r="AU16" s="40" t="str">
        <f t="shared" si="15"/>
        <v/>
      </c>
      <c r="AV16" s="40" t="str">
        <f t="shared" si="16"/>
        <v/>
      </c>
      <c r="AW16" s="40">
        <f t="shared" si="17"/>
        <v>58.5</v>
      </c>
      <c r="AX16" s="18">
        <v>16.100000000000001</v>
      </c>
      <c r="AY16" s="18">
        <v>5.5</v>
      </c>
      <c r="AZ16" s="18">
        <v>0</v>
      </c>
      <c r="BA16" s="18">
        <v>0.3</v>
      </c>
      <c r="BB16" s="18">
        <v>16.2</v>
      </c>
      <c r="BC16" s="18">
        <v>5</v>
      </c>
      <c r="BD16" s="18">
        <v>0</v>
      </c>
      <c r="BE16" s="18">
        <v>0.6</v>
      </c>
      <c r="BF16" s="18">
        <v>15.3</v>
      </c>
      <c r="BG16" s="18">
        <v>5.5</v>
      </c>
      <c r="BH16" s="18">
        <v>0</v>
      </c>
      <c r="BI16" s="18">
        <v>0.3</v>
      </c>
      <c r="BJ16" s="18">
        <v>15.8</v>
      </c>
      <c r="BK16" s="18">
        <v>5.5</v>
      </c>
      <c r="BL16" s="18">
        <v>0</v>
      </c>
      <c r="BM16" s="18">
        <v>0.3</v>
      </c>
      <c r="BN16" s="18">
        <v>15.9</v>
      </c>
      <c r="BO16" s="18">
        <v>4.8</v>
      </c>
      <c r="BP16" s="18">
        <v>0</v>
      </c>
      <c r="BQ16" s="18">
        <v>0.6</v>
      </c>
      <c r="BR16" s="28"/>
      <c r="BS16" s="11">
        <f t="shared" si="18"/>
        <v>10.5</v>
      </c>
      <c r="BT16" s="11">
        <f t="shared" si="19"/>
        <v>43.7</v>
      </c>
      <c r="BU16" s="11">
        <f t="shared" si="20"/>
        <v>21.1</v>
      </c>
      <c r="BV16" s="11">
        <f t="shared" si="21"/>
        <v>16</v>
      </c>
      <c r="BW16" s="11">
        <f t="shared" si="22"/>
        <v>64.800000000000011</v>
      </c>
      <c r="BX16" s="11">
        <f t="shared" si="23"/>
        <v>10.3</v>
      </c>
      <c r="BY16" s="11">
        <f t="shared" si="24"/>
        <v>42.9</v>
      </c>
      <c r="BZ16" s="11">
        <f t="shared" si="25"/>
        <v>107.70000000000002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26"/>
        <v/>
      </c>
      <c r="CW16" s="40" t="str">
        <f t="shared" si="27"/>
        <v/>
      </c>
      <c r="CX16" s="40" t="str">
        <f t="shared" si="28"/>
        <v/>
      </c>
      <c r="CY16" s="40" t="str">
        <f t="shared" si="29"/>
        <v/>
      </c>
      <c r="CZ16" s="40" t="str">
        <f t="shared" si="30"/>
        <v/>
      </c>
      <c r="DA16" s="40" t="str">
        <f t="shared" si="31"/>
        <v/>
      </c>
      <c r="DB16" s="40" t="str">
        <f t="shared" si="32"/>
        <v/>
      </c>
      <c r="DC16" s="40" t="str">
        <f t="shared" si="33"/>
        <v/>
      </c>
      <c r="DD16" s="50" t="str">
        <f t="shared" si="34"/>
        <v/>
      </c>
      <c r="DE16" s="50" t="str">
        <f t="shared" si="35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6"/>
        <v/>
      </c>
      <c r="EA16" s="40" t="str">
        <f t="shared" si="37"/>
        <v/>
      </c>
      <c r="EB16" s="40" t="str">
        <f t="shared" si="38"/>
        <v/>
      </c>
      <c r="EC16" s="40" t="str">
        <f t="shared" si="39"/>
        <v/>
      </c>
      <c r="ED16" s="40" t="str">
        <f t="shared" si="40"/>
        <v/>
      </c>
      <c r="EE16" s="40" t="str">
        <f t="shared" si="41"/>
        <v/>
      </c>
      <c r="EF16" s="40" t="str">
        <f t="shared" si="42"/>
        <v/>
      </c>
      <c r="EG16" s="40" t="str">
        <f t="shared" si="43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4"/>
        <v/>
      </c>
      <c r="FC16" s="11" t="str">
        <f t="shared" si="45"/>
        <v/>
      </c>
      <c r="FD16" s="11" t="str">
        <f t="shared" si="46"/>
        <v/>
      </c>
      <c r="FE16" s="11" t="str">
        <f t="shared" si="47"/>
        <v/>
      </c>
      <c r="FF16" s="11" t="str">
        <f t="shared" si="48"/>
        <v/>
      </c>
      <c r="FG16" s="11" t="str">
        <f t="shared" si="49"/>
        <v/>
      </c>
      <c r="FH16" s="11" t="str">
        <f t="shared" si="50"/>
        <v/>
      </c>
      <c r="FI16" s="11" t="str">
        <f t="shared" si="51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2"/>
        <v/>
      </c>
      <c r="GE16" s="40" t="str">
        <f t="shared" si="53"/>
        <v/>
      </c>
      <c r="GF16" s="40" t="str">
        <f t="shared" si="54"/>
        <v/>
      </c>
      <c r="GG16" s="40" t="str">
        <f t="shared" si="55"/>
        <v/>
      </c>
      <c r="GH16" s="40" t="str">
        <f t="shared" si="56"/>
        <v/>
      </c>
      <c r="GI16" s="40" t="str">
        <f t="shared" si="57"/>
        <v/>
      </c>
      <c r="GJ16" s="40" t="str">
        <f t="shared" si="58"/>
        <v/>
      </c>
      <c r="GK16" s="40" t="str">
        <f t="shared" si="59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0"/>
        <v/>
      </c>
      <c r="HG16" s="11" t="str">
        <f t="shared" si="61"/>
        <v/>
      </c>
      <c r="HH16" s="11" t="str">
        <f t="shared" si="62"/>
        <v/>
      </c>
      <c r="HI16" s="11" t="str">
        <f t="shared" si="63"/>
        <v/>
      </c>
      <c r="HJ16" s="11" t="str">
        <f t="shared" si="64"/>
        <v/>
      </c>
      <c r="HK16" s="11" t="str">
        <f t="shared" si="65"/>
        <v/>
      </c>
      <c r="HL16" s="11" t="str">
        <f t="shared" si="66"/>
        <v/>
      </c>
      <c r="HM16" s="11" t="str">
        <f t="shared" si="67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68"/>
        <v/>
      </c>
      <c r="II16" s="40" t="str">
        <f t="shared" si="69"/>
        <v/>
      </c>
      <c r="IJ16" s="40" t="str">
        <f t="shared" si="70"/>
        <v/>
      </c>
      <c r="IK16" s="40" t="str">
        <f t="shared" si="71"/>
        <v/>
      </c>
      <c r="IL16" s="40" t="str">
        <f t="shared" si="72"/>
        <v/>
      </c>
      <c r="IM16" s="40" t="str">
        <f t="shared" si="73"/>
        <v/>
      </c>
      <c r="IN16" s="40" t="str">
        <f t="shared" si="74"/>
        <v/>
      </c>
      <c r="IO16" s="40" t="str">
        <f t="shared" si="75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6"/>
        <v/>
      </c>
      <c r="JK16" s="11" t="str">
        <f t="shared" si="77"/>
        <v/>
      </c>
      <c r="JL16" s="11" t="str">
        <f t="shared" si="78"/>
        <v/>
      </c>
      <c r="JM16" s="11" t="str">
        <f t="shared" si="79"/>
        <v/>
      </c>
      <c r="JN16" s="11" t="str">
        <f t="shared" si="80"/>
        <v/>
      </c>
      <c r="JO16" s="11" t="str">
        <f t="shared" si="81"/>
        <v/>
      </c>
      <c r="JP16" s="11" t="str">
        <f t="shared" si="82"/>
        <v/>
      </c>
      <c r="JQ16" s="11" t="str">
        <f t="shared" si="83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4"/>
        <v/>
      </c>
      <c r="KM16" s="40" t="str">
        <f t="shared" si="85"/>
        <v/>
      </c>
      <c r="KN16" s="40" t="str">
        <f t="shared" si="86"/>
        <v/>
      </c>
      <c r="KO16" s="40" t="str">
        <f t="shared" si="87"/>
        <v/>
      </c>
      <c r="KP16" s="40" t="str">
        <f t="shared" si="88"/>
        <v/>
      </c>
      <c r="KQ16" s="40" t="str">
        <f t="shared" si="89"/>
        <v/>
      </c>
      <c r="KR16" s="40" t="str">
        <f t="shared" si="90"/>
        <v/>
      </c>
      <c r="KS16" s="40" t="str">
        <f t="shared" si="91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2"/>
        <v/>
      </c>
      <c r="LO16" s="11" t="str">
        <f t="shared" si="93"/>
        <v/>
      </c>
      <c r="LP16" s="11" t="str">
        <f t="shared" si="94"/>
        <v/>
      </c>
      <c r="LQ16" s="11" t="str">
        <f t="shared" si="95"/>
        <v/>
      </c>
      <c r="LR16" s="11" t="str">
        <f t="shared" si="96"/>
        <v/>
      </c>
      <c r="LS16" s="11" t="str">
        <f t="shared" si="97"/>
        <v/>
      </c>
      <c r="LT16" s="11" t="str">
        <f t="shared" si="98"/>
        <v/>
      </c>
      <c r="LU16" s="11" t="str">
        <f t="shared" si="99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0"/>
        <v/>
      </c>
      <c r="MQ16" s="40" t="str">
        <f t="shared" si="101"/>
        <v/>
      </c>
      <c r="MR16" s="40" t="str">
        <f t="shared" si="102"/>
        <v/>
      </c>
      <c r="MS16" s="40" t="str">
        <f t="shared" si="103"/>
        <v/>
      </c>
      <c r="MT16" s="40" t="str">
        <f t="shared" si="104"/>
        <v/>
      </c>
      <c r="MU16" s="40" t="str">
        <f t="shared" si="105"/>
        <v/>
      </c>
      <c r="MV16" s="40" t="str">
        <f t="shared" si="106"/>
        <v/>
      </c>
      <c r="MW16" s="40" t="str">
        <f t="shared" si="107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08"/>
        <v/>
      </c>
      <c r="NS16" s="11" t="str">
        <f t="shared" si="109"/>
        <v/>
      </c>
      <c r="NT16" s="11" t="str">
        <f t="shared" si="110"/>
        <v/>
      </c>
      <c r="NU16" s="11" t="str">
        <f t="shared" si="111"/>
        <v/>
      </c>
      <c r="NV16" s="11" t="str">
        <f t="shared" si="112"/>
        <v/>
      </c>
      <c r="NW16" s="11" t="str">
        <f t="shared" si="113"/>
        <v/>
      </c>
      <c r="NX16" s="11" t="str">
        <f t="shared" si="114"/>
        <v/>
      </c>
      <c r="NY16" s="11" t="str">
        <f t="shared" si="115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6"/>
        <v/>
      </c>
      <c r="OU16" s="40" t="str">
        <f t="shared" si="117"/>
        <v/>
      </c>
      <c r="OV16" s="40" t="str">
        <f t="shared" si="118"/>
        <v/>
      </c>
      <c r="OW16" s="40" t="str">
        <f t="shared" si="119"/>
        <v/>
      </c>
      <c r="OX16" s="40" t="str">
        <f t="shared" si="120"/>
        <v/>
      </c>
      <c r="OY16" s="40" t="str">
        <f t="shared" si="121"/>
        <v/>
      </c>
      <c r="OZ16" s="40" t="str">
        <f t="shared" si="122"/>
        <v/>
      </c>
      <c r="PA16" s="40" t="str">
        <f t="shared" si="123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4"/>
        <v/>
      </c>
      <c r="PW16" s="11" t="str">
        <f t="shared" si="125"/>
        <v/>
      </c>
      <c r="PX16" s="11" t="str">
        <f t="shared" si="126"/>
        <v/>
      </c>
      <c r="PY16" s="11" t="str">
        <f t="shared" si="127"/>
        <v/>
      </c>
      <c r="PZ16" s="11" t="str">
        <f t="shared" si="128"/>
        <v/>
      </c>
      <c r="QA16" s="11" t="str">
        <f t="shared" si="129"/>
        <v/>
      </c>
      <c r="QB16" s="11" t="str">
        <f t="shared" si="130"/>
        <v/>
      </c>
      <c r="QC16" s="11" t="str">
        <f t="shared" si="131"/>
        <v/>
      </c>
      <c r="QD16" s="22">
        <f t="shared" si="132"/>
        <v>8.0500000000000007</v>
      </c>
      <c r="QE16" s="22">
        <f t="shared" si="133"/>
        <v>2.75</v>
      </c>
      <c r="QF16" s="22">
        <f t="shared" si="134"/>
        <v>0</v>
      </c>
      <c r="QG16" s="22">
        <f t="shared" si="135"/>
        <v>0.15</v>
      </c>
      <c r="QH16" s="22">
        <f t="shared" si="136"/>
        <v>8.1</v>
      </c>
      <c r="QI16" s="22">
        <f t="shared" si="137"/>
        <v>2.5</v>
      </c>
      <c r="QJ16" s="22">
        <f t="shared" si="138"/>
        <v>0</v>
      </c>
      <c r="QK16" s="22">
        <f t="shared" si="139"/>
        <v>0.3</v>
      </c>
      <c r="QL16" s="22">
        <f t="shared" si="140"/>
        <v>7.65</v>
      </c>
      <c r="QM16" s="22">
        <f t="shared" si="141"/>
        <v>2.75</v>
      </c>
      <c r="QN16" s="22">
        <f t="shared" si="142"/>
        <v>0</v>
      </c>
      <c r="QO16" s="22">
        <f t="shared" si="143"/>
        <v>0.15</v>
      </c>
      <c r="QP16" s="22">
        <f t="shared" si="144"/>
        <v>7.9</v>
      </c>
      <c r="QQ16" s="22">
        <f t="shared" si="145"/>
        <v>2.75</v>
      </c>
      <c r="QR16" s="22">
        <f t="shared" si="146"/>
        <v>0</v>
      </c>
      <c r="QS16" s="22">
        <f t="shared" si="147"/>
        <v>0.15</v>
      </c>
      <c r="QT16" s="22">
        <f t="shared" si="148"/>
        <v>7.95</v>
      </c>
      <c r="QU16" s="22">
        <f t="shared" si="149"/>
        <v>2.4</v>
      </c>
      <c r="QV16" s="22">
        <f t="shared" si="150"/>
        <v>0</v>
      </c>
      <c r="QW16" s="22">
        <f t="shared" si="151"/>
        <v>0.3</v>
      </c>
      <c r="QX16" s="27" t="s">
        <v>46</v>
      </c>
      <c r="QY16" s="40">
        <f t="shared" si="152"/>
        <v>5.25</v>
      </c>
      <c r="QZ16" s="40">
        <f t="shared" si="153"/>
        <v>21.85</v>
      </c>
      <c r="RA16" s="40">
        <f t="shared" si="154"/>
        <v>10.55</v>
      </c>
      <c r="RB16" s="40">
        <f t="shared" si="155"/>
        <v>8</v>
      </c>
      <c r="RC16" s="40">
        <f t="shared" si="156"/>
        <v>32.400000000000006</v>
      </c>
      <c r="RD16" s="40">
        <f t="shared" si="157"/>
        <v>5.15</v>
      </c>
      <c r="RE16" s="40">
        <f t="shared" si="158"/>
        <v>21.45</v>
      </c>
      <c r="RF16" s="40">
        <f t="shared" si="159"/>
        <v>53.850000000000009</v>
      </c>
    </row>
    <row r="17" spans="1:474" x14ac:dyDescent="0.2">
      <c r="A17" s="4" t="str" cm="1">
        <f t="array" ref="A17">IF(AND(J17&lt;&gt;"",J17&lt;&gt;"No DD"),SUMPRODUCT((J$4:J$22&lt;&gt;"")*(J$4:J$22&lt;&gt;"No DD")*(F$4:F$22&gt;F17))+1,IF(J17="No DD",SUMPRODUCT((J$4:J$22="No DD")*(F$4:F$22&gt;F17))+1+SUMPRODUCT((J$4:J$22&lt;&gt;"")*(J$4:J$22&lt;&gt;"No DD")),""))</f>
        <v/>
      </c>
      <c r="B17" s="4" t="str" cm="1">
        <f t="array" ref="B17">IF(AND(J17&lt;&gt;"",J17&lt;&gt;"No DD",G17=""),SUMPRODUCT((J$4:J$22&lt;&gt;"")*(J$4:J$22&lt;&gt;"No DD")*(G$4:G$22="")*(F$4:F$22&gt;F17))+1,IF(J17="No DD",SUMPRODUCT((J$4:J$22="No DD")*(F$4:F$22&gt;F17)*(G$4:G$22=""))+1+SUMPRODUCT((J$4:J$22&lt;&gt;"")*(G$4:G$22="")*(J$4:J$22&lt;&gt;"No DD")),""))</f>
        <v/>
      </c>
      <c r="C17" s="5" t="s">
        <v>159</v>
      </c>
      <c r="D17" s="4" t="s">
        <v>5</v>
      </c>
      <c r="E17" s="4">
        <v>2007</v>
      </c>
      <c r="F17" s="9">
        <f t="shared" si="0"/>
        <v>121.40000811000409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40.999999999999993</v>
      </c>
      <c r="M17" s="8" t="str">
        <f t="shared" si="5"/>
        <v>2024 Nationals</v>
      </c>
      <c r="N17" s="8">
        <f>IF(COUNT(AQ17,BT17,CW17)&gt;1,LARGE((AQ17,BT17,CW17),2),0)</f>
        <v>40.1</v>
      </c>
      <c r="O17" s="8" t="str">
        <f t="shared" si="6"/>
        <v>2025 Elite Canada</v>
      </c>
      <c r="P17" s="8">
        <f t="shared" si="7"/>
        <v>40.299999999999997</v>
      </c>
      <c r="Q17" s="8" t="str">
        <f t="shared" si="8"/>
        <v>2025 Elite Canada</v>
      </c>
      <c r="R17" s="8" t="str">
        <f t="shared" si="9"/>
        <v/>
      </c>
      <c r="S17" s="11" t="str">
        <f t="shared" si="160"/>
        <v/>
      </c>
      <c r="T17" s="8" t="str">
        <f t="shared" si="161"/>
        <v/>
      </c>
      <c r="U17" s="19">
        <v>15.7</v>
      </c>
      <c r="V17" s="19">
        <v>3.5</v>
      </c>
      <c r="W17" s="19">
        <v>0.2</v>
      </c>
      <c r="X17" s="19">
        <v>0</v>
      </c>
      <c r="Y17" s="19">
        <v>17.399999999999999</v>
      </c>
      <c r="Z17" s="19">
        <v>4</v>
      </c>
      <c r="AA17" s="19">
        <v>0</v>
      </c>
      <c r="AB17" s="19">
        <v>0.6</v>
      </c>
      <c r="AC17" s="19">
        <v>14.8</v>
      </c>
      <c r="AD17" s="19">
        <v>4</v>
      </c>
      <c r="AE17" s="19">
        <v>0.2</v>
      </c>
      <c r="AF17" s="19">
        <v>0.3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 t="shared" si="10"/>
        <v>7.5</v>
      </c>
      <c r="AQ17" s="40">
        <f t="shared" si="11"/>
        <v>40.999999999999993</v>
      </c>
      <c r="AR17" s="40">
        <f t="shared" si="12"/>
        <v>18.900000000000002</v>
      </c>
      <c r="AS17" s="40">
        <f t="shared" si="13"/>
        <v>11.5</v>
      </c>
      <c r="AT17" s="40">
        <f t="shared" si="14"/>
        <v>59.899999999999991</v>
      </c>
      <c r="AU17" s="40" t="str">
        <f t="shared" si="15"/>
        <v/>
      </c>
      <c r="AV17" s="40" t="str">
        <f t="shared" si="16"/>
        <v/>
      </c>
      <c r="AW17" s="40">
        <f t="shared" si="17"/>
        <v>59.899999999999991</v>
      </c>
      <c r="AX17" s="18">
        <v>15.9</v>
      </c>
      <c r="AY17" s="18">
        <v>3.3</v>
      </c>
      <c r="AZ17" s="18">
        <v>0</v>
      </c>
      <c r="BA17" s="18">
        <v>0</v>
      </c>
      <c r="BB17" s="18">
        <v>15.2</v>
      </c>
      <c r="BC17" s="18">
        <v>2</v>
      </c>
      <c r="BD17" s="18">
        <v>0</v>
      </c>
      <c r="BE17" s="18">
        <v>0.3</v>
      </c>
      <c r="BF17" s="18">
        <v>15.6</v>
      </c>
      <c r="BG17" s="18">
        <v>3.3</v>
      </c>
      <c r="BH17" s="18">
        <v>0.2</v>
      </c>
      <c r="BI17" s="18">
        <v>0.3</v>
      </c>
      <c r="BJ17" s="18">
        <v>14.2</v>
      </c>
      <c r="BK17" s="18">
        <v>3.5</v>
      </c>
      <c r="BL17" s="18">
        <v>0</v>
      </c>
      <c r="BM17" s="18">
        <v>0</v>
      </c>
      <c r="BN17" s="18">
        <v>15.9</v>
      </c>
      <c r="BO17" s="18">
        <v>4</v>
      </c>
      <c r="BP17" s="18">
        <v>0</v>
      </c>
      <c r="BQ17" s="18">
        <v>0.3</v>
      </c>
      <c r="BR17" s="28"/>
      <c r="BS17" s="11">
        <f t="shared" si="18"/>
        <v>5.3</v>
      </c>
      <c r="BT17" s="11">
        <f t="shared" si="19"/>
        <v>36.699999999999996</v>
      </c>
      <c r="BU17" s="11">
        <f t="shared" si="20"/>
        <v>19</v>
      </c>
      <c r="BV17" s="11">
        <f t="shared" si="21"/>
        <v>8.6</v>
      </c>
      <c r="BW17" s="11">
        <f t="shared" si="22"/>
        <v>55.699999999999996</v>
      </c>
      <c r="BX17" s="11">
        <f t="shared" si="23"/>
        <v>7.5</v>
      </c>
      <c r="BY17" s="11">
        <f t="shared" si="24"/>
        <v>37.9</v>
      </c>
      <c r="BZ17" s="11">
        <f t="shared" si="25"/>
        <v>93.6</v>
      </c>
      <c r="CA17" s="19">
        <v>16</v>
      </c>
      <c r="CB17" s="19">
        <v>4.2</v>
      </c>
      <c r="CC17" s="19">
        <v>0</v>
      </c>
      <c r="CD17" s="19">
        <v>0</v>
      </c>
      <c r="CE17" s="19">
        <v>15.9</v>
      </c>
      <c r="CF17" s="19">
        <v>4</v>
      </c>
      <c r="CG17" s="19">
        <v>0</v>
      </c>
      <c r="CH17" s="19">
        <v>0</v>
      </c>
      <c r="CI17" s="19"/>
      <c r="CJ17" s="19"/>
      <c r="CK17" s="19"/>
      <c r="CL17" s="19"/>
      <c r="CM17" s="19">
        <v>16</v>
      </c>
      <c r="CN17" s="19">
        <v>4.2</v>
      </c>
      <c r="CO17" s="19">
        <v>0</v>
      </c>
      <c r="CP17" s="19">
        <v>0</v>
      </c>
      <c r="CQ17" s="19">
        <v>16.100000000000001</v>
      </c>
      <c r="CR17" s="19">
        <v>4</v>
      </c>
      <c r="CS17" s="19">
        <v>0</v>
      </c>
      <c r="CT17" s="19">
        <v>0</v>
      </c>
      <c r="CU17" s="27"/>
      <c r="CV17" s="40">
        <f t="shared" si="26"/>
        <v>8.1999999999999993</v>
      </c>
      <c r="CW17" s="40">
        <f t="shared" si="27"/>
        <v>40.1</v>
      </c>
      <c r="CX17" s="40" t="str">
        <f t="shared" si="28"/>
        <v/>
      </c>
      <c r="CY17" s="40">
        <f t="shared" si="29"/>
        <v>8.1999999999999993</v>
      </c>
      <c r="CZ17" s="40">
        <f t="shared" si="30"/>
        <v>40.1</v>
      </c>
      <c r="DA17" s="40">
        <f t="shared" si="31"/>
        <v>8.1999999999999993</v>
      </c>
      <c r="DB17" s="40">
        <f t="shared" si="32"/>
        <v>40.299999999999997</v>
      </c>
      <c r="DC17" s="40">
        <f t="shared" si="33"/>
        <v>80.400000000000006</v>
      </c>
      <c r="DD17" s="50" t="str">
        <f t="shared" si="34"/>
        <v/>
      </c>
      <c r="DE17" s="50" t="str">
        <f t="shared" si="35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6"/>
        <v/>
      </c>
      <c r="EA17" s="40" t="str">
        <f t="shared" si="37"/>
        <v/>
      </c>
      <c r="EB17" s="40" t="str">
        <f t="shared" si="38"/>
        <v/>
      </c>
      <c r="EC17" s="40" t="str">
        <f t="shared" si="39"/>
        <v/>
      </c>
      <c r="ED17" s="40" t="str">
        <f t="shared" si="40"/>
        <v/>
      </c>
      <c r="EE17" s="40" t="str">
        <f t="shared" si="41"/>
        <v/>
      </c>
      <c r="EF17" s="40" t="str">
        <f t="shared" si="42"/>
        <v/>
      </c>
      <c r="EG17" s="40" t="str">
        <f t="shared" si="43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4"/>
        <v/>
      </c>
      <c r="FC17" s="11" t="str">
        <f t="shared" si="45"/>
        <v/>
      </c>
      <c r="FD17" s="11" t="str">
        <f t="shared" si="46"/>
        <v/>
      </c>
      <c r="FE17" s="11" t="str">
        <f t="shared" si="47"/>
        <v/>
      </c>
      <c r="FF17" s="11" t="str">
        <f t="shared" si="48"/>
        <v/>
      </c>
      <c r="FG17" s="11" t="str">
        <f t="shared" si="49"/>
        <v/>
      </c>
      <c r="FH17" s="11" t="str">
        <f t="shared" si="50"/>
        <v/>
      </c>
      <c r="FI17" s="11" t="str">
        <f t="shared" si="51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2"/>
        <v/>
      </c>
      <c r="GE17" s="40" t="str">
        <f t="shared" si="53"/>
        <v/>
      </c>
      <c r="GF17" s="40" t="str">
        <f t="shared" si="54"/>
        <v/>
      </c>
      <c r="GG17" s="40" t="str">
        <f t="shared" si="55"/>
        <v/>
      </c>
      <c r="GH17" s="40" t="str">
        <f t="shared" si="56"/>
        <v/>
      </c>
      <c r="GI17" s="40" t="str">
        <f t="shared" si="57"/>
        <v/>
      </c>
      <c r="GJ17" s="40" t="str">
        <f t="shared" si="58"/>
        <v/>
      </c>
      <c r="GK17" s="40" t="str">
        <f t="shared" si="59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0"/>
        <v/>
      </c>
      <c r="HG17" s="11" t="str">
        <f t="shared" si="61"/>
        <v/>
      </c>
      <c r="HH17" s="11" t="str">
        <f t="shared" si="62"/>
        <v/>
      </c>
      <c r="HI17" s="11" t="str">
        <f t="shared" si="63"/>
        <v/>
      </c>
      <c r="HJ17" s="11" t="str">
        <f t="shared" si="64"/>
        <v/>
      </c>
      <c r="HK17" s="11" t="str">
        <f t="shared" si="65"/>
        <v/>
      </c>
      <c r="HL17" s="11" t="str">
        <f t="shared" si="66"/>
        <v/>
      </c>
      <c r="HM17" s="11" t="str">
        <f t="shared" si="67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68"/>
        <v/>
      </c>
      <c r="II17" s="40" t="str">
        <f t="shared" si="69"/>
        <v/>
      </c>
      <c r="IJ17" s="40" t="str">
        <f t="shared" si="70"/>
        <v/>
      </c>
      <c r="IK17" s="40" t="str">
        <f t="shared" si="71"/>
        <v/>
      </c>
      <c r="IL17" s="40" t="str">
        <f t="shared" si="72"/>
        <v/>
      </c>
      <c r="IM17" s="40" t="str">
        <f t="shared" si="73"/>
        <v/>
      </c>
      <c r="IN17" s="40" t="str">
        <f t="shared" si="74"/>
        <v/>
      </c>
      <c r="IO17" s="40" t="str">
        <f t="shared" si="75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6"/>
        <v/>
      </c>
      <c r="JK17" s="11" t="str">
        <f t="shared" si="77"/>
        <v/>
      </c>
      <c r="JL17" s="11" t="str">
        <f t="shared" si="78"/>
        <v/>
      </c>
      <c r="JM17" s="11" t="str">
        <f t="shared" si="79"/>
        <v/>
      </c>
      <c r="JN17" s="11" t="str">
        <f t="shared" si="80"/>
        <v/>
      </c>
      <c r="JO17" s="11" t="str">
        <f t="shared" si="81"/>
        <v/>
      </c>
      <c r="JP17" s="11" t="str">
        <f t="shared" si="82"/>
        <v/>
      </c>
      <c r="JQ17" s="11" t="str">
        <f t="shared" si="83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4"/>
        <v/>
      </c>
      <c r="KM17" s="40" t="str">
        <f t="shared" si="85"/>
        <v/>
      </c>
      <c r="KN17" s="40" t="str">
        <f t="shared" si="86"/>
        <v/>
      </c>
      <c r="KO17" s="40" t="str">
        <f t="shared" si="87"/>
        <v/>
      </c>
      <c r="KP17" s="40" t="str">
        <f t="shared" si="88"/>
        <v/>
      </c>
      <c r="KQ17" s="40" t="str">
        <f t="shared" si="89"/>
        <v/>
      </c>
      <c r="KR17" s="40" t="str">
        <f t="shared" si="90"/>
        <v/>
      </c>
      <c r="KS17" s="40" t="str">
        <f t="shared" si="91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2"/>
        <v/>
      </c>
      <c r="LO17" s="11" t="str">
        <f t="shared" si="93"/>
        <v/>
      </c>
      <c r="LP17" s="11" t="str">
        <f t="shared" si="94"/>
        <v/>
      </c>
      <c r="LQ17" s="11" t="str">
        <f t="shared" si="95"/>
        <v/>
      </c>
      <c r="LR17" s="11" t="str">
        <f t="shared" si="96"/>
        <v/>
      </c>
      <c r="LS17" s="11" t="str">
        <f t="shared" si="97"/>
        <v/>
      </c>
      <c r="LT17" s="11" t="str">
        <f t="shared" si="98"/>
        <v/>
      </c>
      <c r="LU17" s="11" t="str">
        <f t="shared" si="99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0"/>
        <v/>
      </c>
      <c r="MQ17" s="40" t="str">
        <f t="shared" si="101"/>
        <v/>
      </c>
      <c r="MR17" s="40" t="str">
        <f t="shared" si="102"/>
        <v/>
      </c>
      <c r="MS17" s="40" t="str">
        <f t="shared" si="103"/>
        <v/>
      </c>
      <c r="MT17" s="40" t="str">
        <f t="shared" si="104"/>
        <v/>
      </c>
      <c r="MU17" s="40" t="str">
        <f t="shared" si="105"/>
        <v/>
      </c>
      <c r="MV17" s="40" t="str">
        <f t="shared" si="106"/>
        <v/>
      </c>
      <c r="MW17" s="40" t="str">
        <f t="shared" si="107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08"/>
        <v/>
      </c>
      <c r="NS17" s="11" t="str">
        <f t="shared" si="109"/>
        <v/>
      </c>
      <c r="NT17" s="11" t="str">
        <f t="shared" si="110"/>
        <v/>
      </c>
      <c r="NU17" s="11" t="str">
        <f t="shared" si="111"/>
        <v/>
      </c>
      <c r="NV17" s="11" t="str">
        <f t="shared" si="112"/>
        <v/>
      </c>
      <c r="NW17" s="11" t="str">
        <f t="shared" si="113"/>
        <v/>
      </c>
      <c r="NX17" s="11" t="str">
        <f t="shared" si="114"/>
        <v/>
      </c>
      <c r="NY17" s="11" t="str">
        <f t="shared" si="115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6"/>
        <v/>
      </c>
      <c r="OU17" s="40" t="str">
        <f t="shared" si="117"/>
        <v/>
      </c>
      <c r="OV17" s="40" t="str">
        <f t="shared" si="118"/>
        <v/>
      </c>
      <c r="OW17" s="40" t="str">
        <f t="shared" si="119"/>
        <v/>
      </c>
      <c r="OX17" s="40" t="str">
        <f t="shared" si="120"/>
        <v/>
      </c>
      <c r="OY17" s="40" t="str">
        <f t="shared" si="121"/>
        <v/>
      </c>
      <c r="OZ17" s="40" t="str">
        <f t="shared" si="122"/>
        <v/>
      </c>
      <c r="PA17" s="40" t="str">
        <f t="shared" si="123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4"/>
        <v/>
      </c>
      <c r="PW17" s="11" t="str">
        <f t="shared" si="125"/>
        <v/>
      </c>
      <c r="PX17" s="11" t="str">
        <f t="shared" si="126"/>
        <v/>
      </c>
      <c r="PY17" s="11" t="str">
        <f t="shared" si="127"/>
        <v/>
      </c>
      <c r="PZ17" s="11" t="str">
        <f t="shared" si="128"/>
        <v/>
      </c>
      <c r="QA17" s="11" t="str">
        <f t="shared" si="129"/>
        <v/>
      </c>
      <c r="QB17" s="11" t="str">
        <f t="shared" si="130"/>
        <v/>
      </c>
      <c r="QC17" s="11" t="str">
        <f t="shared" si="131"/>
        <v/>
      </c>
      <c r="QD17" s="22">
        <f t="shared" si="132"/>
        <v>15.95</v>
      </c>
      <c r="QE17" s="22">
        <f t="shared" si="133"/>
        <v>3.75</v>
      </c>
      <c r="QF17" s="22">
        <f t="shared" si="134"/>
        <v>0</v>
      </c>
      <c r="QG17" s="22">
        <f t="shared" si="135"/>
        <v>0</v>
      </c>
      <c r="QH17" s="22">
        <f t="shared" si="136"/>
        <v>15.55</v>
      </c>
      <c r="QI17" s="22">
        <f t="shared" si="137"/>
        <v>3</v>
      </c>
      <c r="QJ17" s="22">
        <f t="shared" si="138"/>
        <v>0</v>
      </c>
      <c r="QK17" s="22">
        <f t="shared" si="139"/>
        <v>0.15</v>
      </c>
      <c r="QL17" s="22">
        <f t="shared" si="140"/>
        <v>7.8</v>
      </c>
      <c r="QM17" s="22">
        <f t="shared" si="141"/>
        <v>1.65</v>
      </c>
      <c r="QN17" s="22">
        <f t="shared" si="142"/>
        <v>0.1</v>
      </c>
      <c r="QO17" s="22">
        <f t="shared" si="143"/>
        <v>0.15</v>
      </c>
      <c r="QP17" s="22">
        <f t="shared" si="144"/>
        <v>15.1</v>
      </c>
      <c r="QQ17" s="22">
        <f t="shared" si="145"/>
        <v>3.85</v>
      </c>
      <c r="QR17" s="22">
        <f t="shared" si="146"/>
        <v>0</v>
      </c>
      <c r="QS17" s="22">
        <f t="shared" si="147"/>
        <v>0</v>
      </c>
      <c r="QT17" s="22">
        <f t="shared" si="148"/>
        <v>16</v>
      </c>
      <c r="QU17" s="22">
        <f t="shared" si="149"/>
        <v>4</v>
      </c>
      <c r="QV17" s="22">
        <f t="shared" si="150"/>
        <v>0</v>
      </c>
      <c r="QW17" s="22">
        <f t="shared" si="151"/>
        <v>0.15</v>
      </c>
      <c r="QX17" s="27" t="s">
        <v>46</v>
      </c>
      <c r="QY17" s="40">
        <f t="shared" si="152"/>
        <v>6.75</v>
      </c>
      <c r="QZ17" s="40">
        <f t="shared" si="153"/>
        <v>38.4</v>
      </c>
      <c r="RA17" s="40">
        <f t="shared" si="154"/>
        <v>9.5</v>
      </c>
      <c r="RB17" s="40">
        <f t="shared" si="155"/>
        <v>8.4</v>
      </c>
      <c r="RC17" s="40">
        <f t="shared" si="156"/>
        <v>47.9</v>
      </c>
      <c r="RD17" s="40">
        <f t="shared" si="157"/>
        <v>7.85</v>
      </c>
      <c r="RE17" s="40">
        <f t="shared" si="158"/>
        <v>39.1</v>
      </c>
      <c r="RF17" s="40">
        <f t="shared" si="159"/>
        <v>87</v>
      </c>
    </row>
    <row r="18" spans="1:474" x14ac:dyDescent="0.2">
      <c r="A18" s="4" t="str" cm="1">
        <f t="array" ref="A18">IF(AND(J18&lt;&gt;"",J18&lt;&gt;"No DD"),SUMPRODUCT((J$4:J$22&lt;&gt;"")*(J$4:J$22&lt;&gt;"No DD")*(F$4:F$22&gt;F18))+1,IF(J18="No DD",SUMPRODUCT((J$4:J$22="No DD")*(F$4:F$22&gt;F18))+1+SUMPRODUCT((J$4:J$22&lt;&gt;"")*(J$4:J$22&lt;&gt;"No DD")),""))</f>
        <v/>
      </c>
      <c r="B18" s="4" t="str" cm="1">
        <f t="array" ref="B18">IF(AND(J18&lt;&gt;"",J18&lt;&gt;"No DD",G18=""),SUMPRODUCT((J$4:J$22&lt;&gt;"")*(J$4:J$22&lt;&gt;"No DD")*(G$4:G$22="")*(F$4:F$22&gt;F18))+1,IF(J18="No DD",SUMPRODUCT((J$4:J$22="No DD")*(F$4:F$22&gt;F18)*(G$4:G$22=""))+1+SUMPRODUCT((J$4:J$22&lt;&gt;"")*(G$4:G$22="")*(J$4:J$22&lt;&gt;"No DD")),""))</f>
        <v/>
      </c>
      <c r="C18" s="5" t="s">
        <v>98</v>
      </c>
      <c r="D18" s="4" t="s">
        <v>5</v>
      </c>
      <c r="E18" s="4">
        <v>2005</v>
      </c>
      <c r="F18" s="9">
        <f t="shared" si="0"/>
        <v>113.60000761000404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40.5</v>
      </c>
      <c r="M18" s="8" t="str">
        <f t="shared" si="5"/>
        <v>2024 Nationals</v>
      </c>
      <c r="N18" s="8">
        <f>IF(COUNT(AQ18,BT18,CW18)&gt;1,LARGE((AQ18,BT18,CW18),2),0)</f>
        <v>35.599999999999994</v>
      </c>
      <c r="O18" s="8" t="str">
        <f t="shared" si="6"/>
        <v>2025 Elite Canada</v>
      </c>
      <c r="P18" s="8">
        <f t="shared" si="7"/>
        <v>37.299999999999997</v>
      </c>
      <c r="Q18" s="8" t="str">
        <f t="shared" si="8"/>
        <v>2024 Nationals</v>
      </c>
      <c r="R18" s="8">
        <f t="shared" si="9"/>
        <v>0.20000000000000284</v>
      </c>
      <c r="S18" s="11" t="str">
        <f t="shared" si="160"/>
        <v>(Q1)</v>
      </c>
      <c r="T18" s="8" t="str">
        <f t="shared" si="161"/>
        <v>2024 Coimbra Gym Fest (July 7)</v>
      </c>
      <c r="U18" s="19">
        <v>15.5</v>
      </c>
      <c r="V18" s="19">
        <v>4.2</v>
      </c>
      <c r="W18" s="19">
        <v>0.4</v>
      </c>
      <c r="X18" s="19">
        <v>0.3</v>
      </c>
      <c r="Y18" s="19">
        <v>15.5</v>
      </c>
      <c r="Z18" s="19">
        <v>4.8</v>
      </c>
      <c r="AA18" s="19">
        <v>0</v>
      </c>
      <c r="AB18" s="19">
        <v>0.6</v>
      </c>
      <c r="AC18" s="19">
        <v>15.5</v>
      </c>
      <c r="AD18" s="19">
        <v>4.2</v>
      </c>
      <c r="AE18" s="19">
        <v>0</v>
      </c>
      <c r="AF18" s="19">
        <v>0.3</v>
      </c>
      <c r="AG18" s="19">
        <v>14.4</v>
      </c>
      <c r="AH18" s="19">
        <v>2.9</v>
      </c>
      <c r="AI18" s="19">
        <v>0</v>
      </c>
      <c r="AJ18" s="19">
        <v>0.3</v>
      </c>
      <c r="AK18" s="19">
        <v>16.2</v>
      </c>
      <c r="AL18" s="19">
        <v>3.2</v>
      </c>
      <c r="AM18" s="19">
        <v>0</v>
      </c>
      <c r="AN18" s="19">
        <v>0.3</v>
      </c>
      <c r="AO18" s="27"/>
      <c r="AP18" s="40">
        <f t="shared" si="10"/>
        <v>9</v>
      </c>
      <c r="AQ18" s="40">
        <f t="shared" si="11"/>
        <v>40.5</v>
      </c>
      <c r="AR18" s="40">
        <f t="shared" si="12"/>
        <v>20</v>
      </c>
      <c r="AS18" s="40">
        <f t="shared" si="13"/>
        <v>13.2</v>
      </c>
      <c r="AT18" s="40">
        <f t="shared" si="14"/>
        <v>60.5</v>
      </c>
      <c r="AU18" s="40">
        <f t="shared" si="15"/>
        <v>6.1</v>
      </c>
      <c r="AV18" s="40">
        <f t="shared" si="16"/>
        <v>37.299999999999997</v>
      </c>
      <c r="AW18" s="40">
        <f t="shared" si="17"/>
        <v>97.8</v>
      </c>
      <c r="AX18" s="18">
        <v>9.6999999999999993</v>
      </c>
      <c r="AY18" s="18">
        <v>2.4</v>
      </c>
      <c r="AZ18" s="18">
        <v>0</v>
      </c>
      <c r="BA18" s="18">
        <v>0.3</v>
      </c>
      <c r="BB18" s="18">
        <v>13.8</v>
      </c>
      <c r="BC18" s="18">
        <v>2.1</v>
      </c>
      <c r="BD18" s="18">
        <v>5.4</v>
      </c>
      <c r="BE18" s="18">
        <v>0.3</v>
      </c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18"/>
        <v>4.5</v>
      </c>
      <c r="BT18" s="11">
        <f t="shared" si="19"/>
        <v>23.200000000000003</v>
      </c>
      <c r="BU18" s="11" t="str">
        <f t="shared" si="20"/>
        <v/>
      </c>
      <c r="BV18" s="11">
        <f t="shared" si="21"/>
        <v>4.5</v>
      </c>
      <c r="BW18" s="11">
        <f t="shared" si="22"/>
        <v>23.200000000000003</v>
      </c>
      <c r="BX18" s="11" t="str">
        <f t="shared" si="23"/>
        <v/>
      </c>
      <c r="BY18" s="11" t="str">
        <f t="shared" si="24"/>
        <v/>
      </c>
      <c r="BZ18" s="11">
        <f t="shared" si="25"/>
        <v>23.200000000000003</v>
      </c>
      <c r="CA18" s="19">
        <v>14</v>
      </c>
      <c r="CB18" s="19">
        <v>4.2</v>
      </c>
      <c r="CC18" s="19">
        <v>0.4</v>
      </c>
      <c r="CD18" s="19">
        <v>0.7</v>
      </c>
      <c r="CE18" s="19">
        <v>14.2</v>
      </c>
      <c r="CF18" s="19">
        <v>3.5</v>
      </c>
      <c r="CG18" s="19">
        <v>0.6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6"/>
        <v>7.7</v>
      </c>
      <c r="CW18" s="40">
        <f t="shared" si="27"/>
        <v>35.599999999999994</v>
      </c>
      <c r="CX18" s="40" t="str">
        <f t="shared" si="28"/>
        <v/>
      </c>
      <c r="CY18" s="40">
        <f t="shared" si="29"/>
        <v>7.7</v>
      </c>
      <c r="CZ18" s="40">
        <f t="shared" si="30"/>
        <v>35.599999999999994</v>
      </c>
      <c r="DA18" s="40" t="str">
        <f t="shared" si="31"/>
        <v/>
      </c>
      <c r="DB18" s="40" t="str">
        <f t="shared" si="32"/>
        <v/>
      </c>
      <c r="DC18" s="40">
        <f t="shared" si="33"/>
        <v>35.599999999999994</v>
      </c>
      <c r="DD18" s="50">
        <f t="shared" si="34"/>
        <v>0.20000000000000284</v>
      </c>
      <c r="DE18" s="50" t="str">
        <f t="shared" si="35"/>
        <v/>
      </c>
      <c r="DF18" s="17">
        <v>15.1</v>
      </c>
      <c r="DG18" s="17">
        <v>4.2</v>
      </c>
      <c r="DH18" s="17">
        <v>0</v>
      </c>
      <c r="DI18" s="17">
        <v>0</v>
      </c>
      <c r="DJ18" s="17">
        <v>13.2</v>
      </c>
      <c r="DK18" s="17">
        <v>3.5</v>
      </c>
      <c r="DL18" s="17">
        <v>0.2</v>
      </c>
      <c r="DM18" s="17">
        <v>0</v>
      </c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>
        <f t="shared" si="36"/>
        <v>7.7</v>
      </c>
      <c r="EA18" s="40">
        <f t="shared" si="37"/>
        <v>35.799999999999997</v>
      </c>
      <c r="EB18" s="40" t="str">
        <f t="shared" si="38"/>
        <v/>
      </c>
      <c r="EC18" s="40">
        <f t="shared" si="39"/>
        <v>7.7</v>
      </c>
      <c r="ED18" s="40">
        <f t="shared" si="40"/>
        <v>35.799999999999997</v>
      </c>
      <c r="EE18" s="40" t="str">
        <f t="shared" si="41"/>
        <v/>
      </c>
      <c r="EF18" s="40" t="str">
        <f t="shared" si="42"/>
        <v/>
      </c>
      <c r="EG18" s="40">
        <f t="shared" si="43"/>
        <v>35.799999999999997</v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4"/>
        <v/>
      </c>
      <c r="FC18" s="11" t="str">
        <f t="shared" si="45"/>
        <v/>
      </c>
      <c r="FD18" s="11" t="str">
        <f t="shared" si="46"/>
        <v/>
      </c>
      <c r="FE18" s="11" t="str">
        <f t="shared" si="47"/>
        <v/>
      </c>
      <c r="FF18" s="11" t="str">
        <f t="shared" si="48"/>
        <v/>
      </c>
      <c r="FG18" s="11" t="str">
        <f t="shared" si="49"/>
        <v/>
      </c>
      <c r="FH18" s="11" t="str">
        <f t="shared" si="50"/>
        <v/>
      </c>
      <c r="FI18" s="11" t="str">
        <f t="shared" si="51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2"/>
        <v/>
      </c>
      <c r="GE18" s="40" t="str">
        <f t="shared" si="53"/>
        <v/>
      </c>
      <c r="GF18" s="40" t="str">
        <f t="shared" si="54"/>
        <v/>
      </c>
      <c r="GG18" s="40" t="str">
        <f t="shared" si="55"/>
        <v/>
      </c>
      <c r="GH18" s="40" t="str">
        <f t="shared" si="56"/>
        <v/>
      </c>
      <c r="GI18" s="40" t="str">
        <f t="shared" si="57"/>
        <v/>
      </c>
      <c r="GJ18" s="40" t="str">
        <f t="shared" si="58"/>
        <v/>
      </c>
      <c r="GK18" s="40" t="str">
        <f t="shared" si="59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0"/>
        <v/>
      </c>
      <c r="HG18" s="11" t="str">
        <f t="shared" si="61"/>
        <v/>
      </c>
      <c r="HH18" s="11" t="str">
        <f t="shared" si="62"/>
        <v/>
      </c>
      <c r="HI18" s="11" t="str">
        <f t="shared" si="63"/>
        <v/>
      </c>
      <c r="HJ18" s="11" t="str">
        <f t="shared" si="64"/>
        <v/>
      </c>
      <c r="HK18" s="11" t="str">
        <f t="shared" si="65"/>
        <v/>
      </c>
      <c r="HL18" s="11" t="str">
        <f t="shared" si="66"/>
        <v/>
      </c>
      <c r="HM18" s="11" t="str">
        <f t="shared" si="67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68"/>
        <v/>
      </c>
      <c r="II18" s="40" t="str">
        <f t="shared" si="69"/>
        <v/>
      </c>
      <c r="IJ18" s="40" t="str">
        <f t="shared" si="70"/>
        <v/>
      </c>
      <c r="IK18" s="40" t="str">
        <f t="shared" si="71"/>
        <v/>
      </c>
      <c r="IL18" s="40" t="str">
        <f t="shared" si="72"/>
        <v/>
      </c>
      <c r="IM18" s="40" t="str">
        <f t="shared" si="73"/>
        <v/>
      </c>
      <c r="IN18" s="40" t="str">
        <f t="shared" si="74"/>
        <v/>
      </c>
      <c r="IO18" s="40" t="str">
        <f t="shared" si="75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6"/>
        <v/>
      </c>
      <c r="JK18" s="11" t="str">
        <f t="shared" si="77"/>
        <v/>
      </c>
      <c r="JL18" s="11" t="str">
        <f t="shared" si="78"/>
        <v/>
      </c>
      <c r="JM18" s="11" t="str">
        <f t="shared" si="79"/>
        <v/>
      </c>
      <c r="JN18" s="11" t="str">
        <f t="shared" si="80"/>
        <v/>
      </c>
      <c r="JO18" s="11" t="str">
        <f t="shared" si="81"/>
        <v/>
      </c>
      <c r="JP18" s="11" t="str">
        <f t="shared" si="82"/>
        <v/>
      </c>
      <c r="JQ18" s="11" t="str">
        <f t="shared" si="83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4"/>
        <v/>
      </c>
      <c r="KM18" s="40" t="str">
        <f t="shared" si="85"/>
        <v/>
      </c>
      <c r="KN18" s="40" t="str">
        <f t="shared" si="86"/>
        <v/>
      </c>
      <c r="KO18" s="40" t="str">
        <f t="shared" si="87"/>
        <v/>
      </c>
      <c r="KP18" s="40" t="str">
        <f t="shared" si="88"/>
        <v/>
      </c>
      <c r="KQ18" s="40" t="str">
        <f t="shared" si="89"/>
        <v/>
      </c>
      <c r="KR18" s="40" t="str">
        <f t="shared" si="90"/>
        <v/>
      </c>
      <c r="KS18" s="40" t="str">
        <f t="shared" si="91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2"/>
        <v/>
      </c>
      <c r="LO18" s="11" t="str">
        <f t="shared" si="93"/>
        <v/>
      </c>
      <c r="LP18" s="11" t="str">
        <f t="shared" si="94"/>
        <v/>
      </c>
      <c r="LQ18" s="11" t="str">
        <f t="shared" si="95"/>
        <v/>
      </c>
      <c r="LR18" s="11" t="str">
        <f t="shared" si="96"/>
        <v/>
      </c>
      <c r="LS18" s="11" t="str">
        <f t="shared" si="97"/>
        <v/>
      </c>
      <c r="LT18" s="11" t="str">
        <f t="shared" si="98"/>
        <v/>
      </c>
      <c r="LU18" s="11" t="str">
        <f t="shared" si="99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0"/>
        <v/>
      </c>
      <c r="MQ18" s="40" t="str">
        <f t="shared" si="101"/>
        <v/>
      </c>
      <c r="MR18" s="40" t="str">
        <f t="shared" si="102"/>
        <v/>
      </c>
      <c r="MS18" s="40" t="str">
        <f t="shared" si="103"/>
        <v/>
      </c>
      <c r="MT18" s="40" t="str">
        <f t="shared" si="104"/>
        <v/>
      </c>
      <c r="MU18" s="40" t="str">
        <f t="shared" si="105"/>
        <v/>
      </c>
      <c r="MV18" s="40" t="str">
        <f t="shared" si="106"/>
        <v/>
      </c>
      <c r="MW18" s="40" t="str">
        <f t="shared" si="107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08"/>
        <v/>
      </c>
      <c r="NS18" s="11" t="str">
        <f t="shared" si="109"/>
        <v/>
      </c>
      <c r="NT18" s="11" t="str">
        <f t="shared" si="110"/>
        <v/>
      </c>
      <c r="NU18" s="11" t="str">
        <f t="shared" si="111"/>
        <v/>
      </c>
      <c r="NV18" s="11" t="str">
        <f t="shared" si="112"/>
        <v/>
      </c>
      <c r="NW18" s="11" t="str">
        <f t="shared" si="113"/>
        <v/>
      </c>
      <c r="NX18" s="11" t="str">
        <f t="shared" si="114"/>
        <v/>
      </c>
      <c r="NY18" s="11" t="str">
        <f t="shared" si="115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6"/>
        <v/>
      </c>
      <c r="OU18" s="40" t="str">
        <f t="shared" si="117"/>
        <v/>
      </c>
      <c r="OV18" s="40" t="str">
        <f t="shared" si="118"/>
        <v/>
      </c>
      <c r="OW18" s="40" t="str">
        <f t="shared" si="119"/>
        <v/>
      </c>
      <c r="OX18" s="40" t="str">
        <f t="shared" si="120"/>
        <v/>
      </c>
      <c r="OY18" s="40" t="str">
        <f t="shared" si="121"/>
        <v/>
      </c>
      <c r="OZ18" s="40" t="str">
        <f t="shared" si="122"/>
        <v/>
      </c>
      <c r="PA18" s="40" t="str">
        <f t="shared" si="123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4"/>
        <v/>
      </c>
      <c r="PW18" s="11" t="str">
        <f t="shared" si="125"/>
        <v/>
      </c>
      <c r="PX18" s="11" t="str">
        <f t="shared" si="126"/>
        <v/>
      </c>
      <c r="PY18" s="11" t="str">
        <f t="shared" si="127"/>
        <v/>
      </c>
      <c r="PZ18" s="11" t="str">
        <f t="shared" si="128"/>
        <v/>
      </c>
      <c r="QA18" s="11" t="str">
        <f t="shared" si="129"/>
        <v/>
      </c>
      <c r="QB18" s="11" t="str">
        <f t="shared" si="130"/>
        <v/>
      </c>
      <c r="QC18" s="11" t="str">
        <f t="shared" si="131"/>
        <v/>
      </c>
      <c r="QD18" s="22">
        <f t="shared" si="132"/>
        <v>11.85</v>
      </c>
      <c r="QE18" s="22">
        <f t="shared" si="133"/>
        <v>3.3</v>
      </c>
      <c r="QF18" s="22">
        <f t="shared" si="134"/>
        <v>0.2</v>
      </c>
      <c r="QG18" s="22">
        <f t="shared" si="135"/>
        <v>0.5</v>
      </c>
      <c r="QH18" s="22">
        <f t="shared" si="136"/>
        <v>14</v>
      </c>
      <c r="QI18" s="22">
        <f t="shared" si="137"/>
        <v>2.8</v>
      </c>
      <c r="QJ18" s="22">
        <f t="shared" si="138"/>
        <v>3</v>
      </c>
      <c r="QK18" s="22">
        <f t="shared" si="139"/>
        <v>0.15</v>
      </c>
      <c r="QL18" s="22">
        <f t="shared" si="140"/>
        <v>0</v>
      </c>
      <c r="QM18" s="22">
        <f t="shared" si="141"/>
        <v>0</v>
      </c>
      <c r="QN18" s="22">
        <f t="shared" si="142"/>
        <v>0</v>
      </c>
      <c r="QO18" s="22">
        <f t="shared" si="143"/>
        <v>0</v>
      </c>
      <c r="QP18" s="22">
        <f t="shared" si="144"/>
        <v>0</v>
      </c>
      <c r="QQ18" s="22">
        <f t="shared" si="145"/>
        <v>0</v>
      </c>
      <c r="QR18" s="22">
        <f t="shared" si="146"/>
        <v>0</v>
      </c>
      <c r="QS18" s="22">
        <f t="shared" si="147"/>
        <v>0</v>
      </c>
      <c r="QT18" s="22">
        <f t="shared" si="148"/>
        <v>0</v>
      </c>
      <c r="QU18" s="22">
        <f t="shared" si="149"/>
        <v>0</v>
      </c>
      <c r="QV18" s="22">
        <f t="shared" si="150"/>
        <v>0</v>
      </c>
      <c r="QW18" s="22">
        <f t="shared" si="151"/>
        <v>0</v>
      </c>
      <c r="QX18" s="27" t="s">
        <v>46</v>
      </c>
      <c r="QY18" s="40">
        <f t="shared" si="152"/>
        <v>6.1</v>
      </c>
      <c r="QZ18" s="40">
        <f t="shared" si="153"/>
        <v>29.399999999999991</v>
      </c>
      <c r="RA18" s="40" t="str">
        <f t="shared" si="154"/>
        <v/>
      </c>
      <c r="RB18" s="40">
        <f t="shared" si="155"/>
        <v>6.1</v>
      </c>
      <c r="RC18" s="40">
        <f t="shared" si="156"/>
        <v>29.399999999999991</v>
      </c>
      <c r="RD18" s="40" t="str">
        <f t="shared" si="157"/>
        <v/>
      </c>
      <c r="RE18" s="40" t="str">
        <f t="shared" si="158"/>
        <v/>
      </c>
      <c r="RF18" s="40">
        <f t="shared" si="159"/>
        <v>29.399999999999991</v>
      </c>
    </row>
    <row r="19" spans="1:474" x14ac:dyDescent="0.2">
      <c r="A19" s="4" cm="1">
        <f t="array" ref="A19">IF(AND(J19&lt;&gt;"",J19&lt;&gt;"No DD"),SUMPRODUCT((J$4:J$22&lt;&gt;"")*(J$4:J$22&lt;&gt;"No DD")*(F$4:F$22&gt;F19))+1,IF(J19="No DD",SUMPRODUCT((J$4:J$22="No DD")*(F$4:F$22&gt;F19))+1+SUMPRODUCT((J$4:J$22&lt;&gt;"")*(J$4:J$22&lt;&gt;"No DD")),""))</f>
        <v>11</v>
      </c>
      <c r="B19" s="4" cm="1">
        <f t="array" ref="B19">IF(AND(J19&lt;&gt;"",J19&lt;&gt;"No DD",G19=""),SUMPRODUCT((J$4:J$22&lt;&gt;"")*(J$4:J$22&lt;&gt;"No DD")*(G$4:G$22="")*(F$4:F$22&gt;F19))+1,IF(J19="No DD",SUMPRODUCT((J$4:J$22="No DD")*(F$4:F$22&gt;F19)*(G$4:G$22=""))+1+SUMPRODUCT((J$4:J$22&lt;&gt;"")*(G$4:G$22="")*(J$4:J$22&lt;&gt;"No DD")),""))</f>
        <v>5</v>
      </c>
      <c r="C19" s="5" t="s">
        <v>218</v>
      </c>
      <c r="D19" s="4" t="s">
        <v>6</v>
      </c>
      <c r="E19" s="4">
        <v>2007</v>
      </c>
      <c r="F19" s="9">
        <f t="shared" si="0"/>
        <v>89.600004470004464</v>
      </c>
      <c r="G19" s="64"/>
      <c r="H19" s="3" t="str">
        <f t="shared" si="1"/>
        <v/>
      </c>
      <c r="I19" s="3" t="str">
        <f t="shared" si="2"/>
        <v>P</v>
      </c>
      <c r="J19" s="36" t="str">
        <f t="shared" si="3"/>
        <v>No DD</v>
      </c>
      <c r="K19" s="3" t="str">
        <f t="shared" si="4"/>
        <v/>
      </c>
      <c r="L19" s="8">
        <f>IF(COUNT(AQ19,BT19,CW19)&gt;0,LARGE((AQ19,BT19,CW19),1),0)</f>
        <v>44.7</v>
      </c>
      <c r="M19" s="8" t="str">
        <f t="shared" si="5"/>
        <v>2025 Elite Canada</v>
      </c>
      <c r="N19" s="8">
        <f>IF(COUNT(AQ19,BT19,CW19)&gt;1,LARGE((AQ19,BT19,CW19),2),0)</f>
        <v>0</v>
      </c>
      <c r="O19" s="8" t="str">
        <f t="shared" si="6"/>
        <v/>
      </c>
      <c r="P19" s="8">
        <f t="shared" si="7"/>
        <v>44.899999999999991</v>
      </c>
      <c r="Q19" s="8" t="str">
        <f t="shared" si="8"/>
        <v>2025 Elite Canada</v>
      </c>
      <c r="R19" s="8" t="str">
        <f t="shared" si="9"/>
        <v/>
      </c>
      <c r="S19" s="11" t="str">
        <f t="shared" si="160"/>
        <v/>
      </c>
      <c r="T19" s="8" t="str">
        <f t="shared" si="161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0"/>
        <v/>
      </c>
      <c r="AQ19" s="40" t="str">
        <f t="shared" si="11"/>
        <v/>
      </c>
      <c r="AR19" s="40" t="str">
        <f t="shared" si="12"/>
        <v/>
      </c>
      <c r="AS19" s="40" t="str">
        <f t="shared" si="13"/>
        <v/>
      </c>
      <c r="AT19" s="40" t="str">
        <f t="shared" si="14"/>
        <v/>
      </c>
      <c r="AU19" s="40" t="str">
        <f t="shared" si="15"/>
        <v/>
      </c>
      <c r="AV19" s="40" t="str">
        <f t="shared" si="16"/>
        <v/>
      </c>
      <c r="AW19" s="40" t="str">
        <f t="shared" si="17"/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18"/>
        <v/>
      </c>
      <c r="BT19" s="11" t="str">
        <f t="shared" si="19"/>
        <v/>
      </c>
      <c r="BU19" s="11" t="str">
        <f t="shared" si="20"/>
        <v/>
      </c>
      <c r="BV19" s="11" t="str">
        <f t="shared" si="21"/>
        <v/>
      </c>
      <c r="BW19" s="11" t="str">
        <f t="shared" si="22"/>
        <v/>
      </c>
      <c r="BX19" s="11" t="str">
        <f t="shared" si="23"/>
        <v/>
      </c>
      <c r="BY19" s="11" t="str">
        <f t="shared" si="24"/>
        <v/>
      </c>
      <c r="BZ19" s="11" t="str">
        <f t="shared" si="25"/>
        <v/>
      </c>
      <c r="CA19" s="19">
        <v>18</v>
      </c>
      <c r="CB19" s="19">
        <v>4.3</v>
      </c>
      <c r="CC19" s="19">
        <v>0</v>
      </c>
      <c r="CD19" s="19">
        <v>0</v>
      </c>
      <c r="CE19" s="19">
        <v>18.100000000000001</v>
      </c>
      <c r="CF19" s="19">
        <v>4.3</v>
      </c>
      <c r="CG19" s="19">
        <v>0</v>
      </c>
      <c r="CH19" s="19">
        <v>0</v>
      </c>
      <c r="CI19" s="19"/>
      <c r="CJ19" s="19"/>
      <c r="CK19" s="19"/>
      <c r="CL19" s="19"/>
      <c r="CM19" s="19">
        <v>17.899999999999999</v>
      </c>
      <c r="CN19" s="19">
        <v>4.0999999999999996</v>
      </c>
      <c r="CO19" s="19">
        <v>0.2</v>
      </c>
      <c r="CP19" s="19">
        <v>0</v>
      </c>
      <c r="CQ19" s="19">
        <v>18.8</v>
      </c>
      <c r="CR19" s="19">
        <v>4.3</v>
      </c>
      <c r="CS19" s="19">
        <v>0</v>
      </c>
      <c r="CT19" s="19">
        <v>0</v>
      </c>
      <c r="CU19" s="27"/>
      <c r="CV19" s="40">
        <f t="shared" si="26"/>
        <v>8.6</v>
      </c>
      <c r="CW19" s="40">
        <f t="shared" si="27"/>
        <v>44.7</v>
      </c>
      <c r="CX19" s="40" t="str">
        <f t="shared" si="28"/>
        <v/>
      </c>
      <c r="CY19" s="40">
        <f t="shared" si="29"/>
        <v>8.6</v>
      </c>
      <c r="CZ19" s="40">
        <f t="shared" si="30"/>
        <v>44.7</v>
      </c>
      <c r="DA19" s="40">
        <f t="shared" si="31"/>
        <v>8.3999999999999986</v>
      </c>
      <c r="DB19" s="40">
        <f t="shared" si="32"/>
        <v>44.899999999999991</v>
      </c>
      <c r="DC19" s="40">
        <f t="shared" si="33"/>
        <v>89.6</v>
      </c>
      <c r="DD19" s="50" t="str">
        <f t="shared" si="34"/>
        <v/>
      </c>
      <c r="DE19" s="50" t="str">
        <f t="shared" si="35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6"/>
        <v/>
      </c>
      <c r="EA19" s="40" t="str">
        <f t="shared" si="37"/>
        <v/>
      </c>
      <c r="EB19" s="40" t="str">
        <f t="shared" si="38"/>
        <v/>
      </c>
      <c r="EC19" s="40" t="str">
        <f t="shared" si="39"/>
        <v/>
      </c>
      <c r="ED19" s="40" t="str">
        <f t="shared" si="40"/>
        <v/>
      </c>
      <c r="EE19" s="40" t="str">
        <f t="shared" si="41"/>
        <v/>
      </c>
      <c r="EF19" s="40" t="str">
        <f t="shared" si="42"/>
        <v/>
      </c>
      <c r="EG19" s="40" t="str">
        <f t="shared" si="43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4"/>
        <v/>
      </c>
      <c r="FC19" s="11" t="str">
        <f t="shared" si="45"/>
        <v/>
      </c>
      <c r="FD19" s="11" t="str">
        <f t="shared" si="46"/>
        <v/>
      </c>
      <c r="FE19" s="11" t="str">
        <f t="shared" si="47"/>
        <v/>
      </c>
      <c r="FF19" s="11" t="str">
        <f t="shared" si="48"/>
        <v/>
      </c>
      <c r="FG19" s="11" t="str">
        <f t="shared" si="49"/>
        <v/>
      </c>
      <c r="FH19" s="11" t="str">
        <f t="shared" si="50"/>
        <v/>
      </c>
      <c r="FI19" s="11" t="str">
        <f t="shared" si="51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2"/>
        <v/>
      </c>
      <c r="GE19" s="40" t="str">
        <f t="shared" si="53"/>
        <v/>
      </c>
      <c r="GF19" s="40" t="str">
        <f t="shared" si="54"/>
        <v/>
      </c>
      <c r="GG19" s="40" t="str">
        <f t="shared" si="55"/>
        <v/>
      </c>
      <c r="GH19" s="40" t="str">
        <f t="shared" si="56"/>
        <v/>
      </c>
      <c r="GI19" s="40" t="str">
        <f t="shared" si="57"/>
        <v/>
      </c>
      <c r="GJ19" s="40" t="str">
        <f t="shared" si="58"/>
        <v/>
      </c>
      <c r="GK19" s="40" t="str">
        <f t="shared" si="59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0"/>
        <v/>
      </c>
      <c r="HG19" s="11" t="str">
        <f t="shared" si="61"/>
        <v/>
      </c>
      <c r="HH19" s="11" t="str">
        <f t="shared" si="62"/>
        <v/>
      </c>
      <c r="HI19" s="11" t="str">
        <f t="shared" si="63"/>
        <v/>
      </c>
      <c r="HJ19" s="11" t="str">
        <f t="shared" si="64"/>
        <v/>
      </c>
      <c r="HK19" s="11" t="str">
        <f t="shared" si="65"/>
        <v/>
      </c>
      <c r="HL19" s="11" t="str">
        <f t="shared" si="66"/>
        <v/>
      </c>
      <c r="HM19" s="11" t="str">
        <f t="shared" si="67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68"/>
        <v/>
      </c>
      <c r="II19" s="40" t="str">
        <f t="shared" si="69"/>
        <v/>
      </c>
      <c r="IJ19" s="40" t="str">
        <f t="shared" si="70"/>
        <v/>
      </c>
      <c r="IK19" s="40" t="str">
        <f t="shared" si="71"/>
        <v/>
      </c>
      <c r="IL19" s="40" t="str">
        <f t="shared" si="72"/>
        <v/>
      </c>
      <c r="IM19" s="40" t="str">
        <f t="shared" si="73"/>
        <v/>
      </c>
      <c r="IN19" s="40" t="str">
        <f t="shared" si="74"/>
        <v/>
      </c>
      <c r="IO19" s="40" t="str">
        <f t="shared" si="75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6"/>
        <v/>
      </c>
      <c r="JK19" s="11" t="str">
        <f t="shared" si="77"/>
        <v/>
      </c>
      <c r="JL19" s="11" t="str">
        <f t="shared" si="78"/>
        <v/>
      </c>
      <c r="JM19" s="11" t="str">
        <f t="shared" si="79"/>
        <v/>
      </c>
      <c r="JN19" s="11" t="str">
        <f t="shared" si="80"/>
        <v/>
      </c>
      <c r="JO19" s="11" t="str">
        <f t="shared" si="81"/>
        <v/>
      </c>
      <c r="JP19" s="11" t="str">
        <f t="shared" si="82"/>
        <v/>
      </c>
      <c r="JQ19" s="11" t="str">
        <f t="shared" si="83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4"/>
        <v/>
      </c>
      <c r="KM19" s="40" t="str">
        <f t="shared" si="85"/>
        <v/>
      </c>
      <c r="KN19" s="40" t="str">
        <f t="shared" si="86"/>
        <v/>
      </c>
      <c r="KO19" s="40" t="str">
        <f t="shared" si="87"/>
        <v/>
      </c>
      <c r="KP19" s="40" t="str">
        <f t="shared" si="88"/>
        <v/>
      </c>
      <c r="KQ19" s="40" t="str">
        <f t="shared" si="89"/>
        <v/>
      </c>
      <c r="KR19" s="40" t="str">
        <f t="shared" si="90"/>
        <v/>
      </c>
      <c r="KS19" s="40" t="str">
        <f t="shared" si="91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2"/>
        <v/>
      </c>
      <c r="LO19" s="11" t="str">
        <f t="shared" si="93"/>
        <v/>
      </c>
      <c r="LP19" s="11" t="str">
        <f t="shared" si="94"/>
        <v/>
      </c>
      <c r="LQ19" s="11" t="str">
        <f t="shared" si="95"/>
        <v/>
      </c>
      <c r="LR19" s="11" t="str">
        <f t="shared" si="96"/>
        <v/>
      </c>
      <c r="LS19" s="11" t="str">
        <f t="shared" si="97"/>
        <v/>
      </c>
      <c r="LT19" s="11" t="str">
        <f t="shared" si="98"/>
        <v/>
      </c>
      <c r="LU19" s="11" t="str">
        <f t="shared" si="99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0"/>
        <v/>
      </c>
      <c r="MQ19" s="40" t="str">
        <f t="shared" si="101"/>
        <v/>
      </c>
      <c r="MR19" s="40" t="str">
        <f t="shared" si="102"/>
        <v/>
      </c>
      <c r="MS19" s="40" t="str">
        <f t="shared" si="103"/>
        <v/>
      </c>
      <c r="MT19" s="40" t="str">
        <f t="shared" si="104"/>
        <v/>
      </c>
      <c r="MU19" s="40" t="str">
        <f t="shared" si="105"/>
        <v/>
      </c>
      <c r="MV19" s="40" t="str">
        <f t="shared" si="106"/>
        <v/>
      </c>
      <c r="MW19" s="40" t="str">
        <f t="shared" si="107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08"/>
        <v/>
      </c>
      <c r="NS19" s="11" t="str">
        <f t="shared" si="109"/>
        <v/>
      </c>
      <c r="NT19" s="11" t="str">
        <f t="shared" si="110"/>
        <v/>
      </c>
      <c r="NU19" s="11" t="str">
        <f t="shared" si="111"/>
        <v/>
      </c>
      <c r="NV19" s="11" t="str">
        <f t="shared" si="112"/>
        <v/>
      </c>
      <c r="NW19" s="11" t="str">
        <f t="shared" si="113"/>
        <v/>
      </c>
      <c r="NX19" s="11" t="str">
        <f t="shared" si="114"/>
        <v/>
      </c>
      <c r="NY19" s="11" t="str">
        <f t="shared" si="115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6"/>
        <v/>
      </c>
      <c r="OU19" s="40" t="str">
        <f t="shared" si="117"/>
        <v/>
      </c>
      <c r="OV19" s="40" t="str">
        <f t="shared" si="118"/>
        <v/>
      </c>
      <c r="OW19" s="40" t="str">
        <f t="shared" si="119"/>
        <v/>
      </c>
      <c r="OX19" s="40" t="str">
        <f t="shared" si="120"/>
        <v/>
      </c>
      <c r="OY19" s="40" t="str">
        <f t="shared" si="121"/>
        <v/>
      </c>
      <c r="OZ19" s="40" t="str">
        <f t="shared" si="122"/>
        <v/>
      </c>
      <c r="PA19" s="40" t="str">
        <f t="shared" si="123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4"/>
        <v/>
      </c>
      <c r="PW19" s="11" t="str">
        <f t="shared" si="125"/>
        <v/>
      </c>
      <c r="PX19" s="11" t="str">
        <f t="shared" si="126"/>
        <v/>
      </c>
      <c r="PY19" s="11" t="str">
        <f t="shared" si="127"/>
        <v/>
      </c>
      <c r="PZ19" s="11" t="str">
        <f t="shared" si="128"/>
        <v/>
      </c>
      <c r="QA19" s="11" t="str">
        <f t="shared" si="129"/>
        <v/>
      </c>
      <c r="QB19" s="11" t="str">
        <f t="shared" si="130"/>
        <v/>
      </c>
      <c r="QC19" s="11" t="str">
        <f t="shared" si="131"/>
        <v/>
      </c>
      <c r="QD19" s="22">
        <f t="shared" si="132"/>
        <v>9</v>
      </c>
      <c r="QE19" s="22">
        <f t="shared" si="133"/>
        <v>2.15</v>
      </c>
      <c r="QF19" s="22">
        <f t="shared" si="134"/>
        <v>0</v>
      </c>
      <c r="QG19" s="22">
        <f t="shared" si="135"/>
        <v>0</v>
      </c>
      <c r="QH19" s="22">
        <f t="shared" si="136"/>
        <v>9.0500000000000007</v>
      </c>
      <c r="QI19" s="22">
        <f t="shared" si="137"/>
        <v>2.15</v>
      </c>
      <c r="QJ19" s="22">
        <f t="shared" si="138"/>
        <v>0</v>
      </c>
      <c r="QK19" s="22">
        <f t="shared" si="139"/>
        <v>0</v>
      </c>
      <c r="QL19" s="22">
        <f t="shared" si="140"/>
        <v>0</v>
      </c>
      <c r="QM19" s="22">
        <f t="shared" si="141"/>
        <v>0</v>
      </c>
      <c r="QN19" s="22">
        <f t="shared" si="142"/>
        <v>0</v>
      </c>
      <c r="QO19" s="22">
        <f t="shared" si="143"/>
        <v>0</v>
      </c>
      <c r="QP19" s="22">
        <f t="shared" si="144"/>
        <v>8.9499999999999993</v>
      </c>
      <c r="QQ19" s="22">
        <f t="shared" si="145"/>
        <v>2.0499999999999998</v>
      </c>
      <c r="QR19" s="22">
        <f t="shared" si="146"/>
        <v>0.1</v>
      </c>
      <c r="QS19" s="22">
        <f t="shared" si="147"/>
        <v>0</v>
      </c>
      <c r="QT19" s="22">
        <f t="shared" si="148"/>
        <v>9.4</v>
      </c>
      <c r="QU19" s="22">
        <f t="shared" si="149"/>
        <v>2.15</v>
      </c>
      <c r="QV19" s="22">
        <f t="shared" si="150"/>
        <v>0</v>
      </c>
      <c r="QW19" s="22">
        <f t="shared" si="151"/>
        <v>0</v>
      </c>
      <c r="QX19" s="27" t="s">
        <v>46</v>
      </c>
      <c r="QY19" s="40">
        <f t="shared" si="152"/>
        <v>4.3</v>
      </c>
      <c r="QZ19" s="40">
        <f t="shared" si="153"/>
        <v>22.35</v>
      </c>
      <c r="RA19" s="40" t="str">
        <f t="shared" si="154"/>
        <v/>
      </c>
      <c r="RB19" s="40">
        <f t="shared" si="155"/>
        <v>4.3</v>
      </c>
      <c r="RC19" s="40">
        <f t="shared" si="156"/>
        <v>22.35</v>
      </c>
      <c r="RD19" s="40">
        <f t="shared" si="157"/>
        <v>4.1999999999999993</v>
      </c>
      <c r="RE19" s="40">
        <f t="shared" si="158"/>
        <v>22.449999999999996</v>
      </c>
      <c r="RF19" s="40">
        <f t="shared" si="159"/>
        <v>44.8</v>
      </c>
    </row>
    <row r="20" spans="1:474" x14ac:dyDescent="0.2">
      <c r="A20" s="4" t="str" cm="1">
        <f t="array" ref="A20">IF(AND(J20&lt;&gt;"",J20&lt;&gt;"No DD"),SUMPRODUCT((J$4:J$22&lt;&gt;"")*(J$4:J$22&lt;&gt;"No DD")*(F$4:F$22&gt;F20))+1,IF(J20="No DD",SUMPRODUCT((J$4:J$22="No DD")*(F$4:F$22&gt;F20))+1+SUMPRODUCT((J$4:J$22&lt;&gt;"")*(J$4:J$22&lt;&gt;"No DD")),""))</f>
        <v/>
      </c>
      <c r="B20" s="4" t="str" cm="1">
        <f t="array" ref="B20">IF(AND(J20&lt;&gt;"",J20&lt;&gt;"No DD",G20=""),SUMPRODUCT((J$4:J$22&lt;&gt;"")*(J$4:J$22&lt;&gt;"No DD")*(G$4:G$22="")*(F$4:F$22&gt;F20))+1,IF(J20="No DD",SUMPRODUCT((J$4:J$22="No DD")*(F$4:F$22&gt;F20)*(G$4:G$22=""))+1+SUMPRODUCT((J$4:J$22&lt;&gt;"")*(G$4:G$22="")*(J$4:J$22&lt;&gt;"No DD")),""))</f>
        <v/>
      </c>
      <c r="C20" s="5" t="s">
        <v>219</v>
      </c>
      <c r="D20" s="4" t="s">
        <v>4</v>
      </c>
      <c r="E20" s="4">
        <v>2004</v>
      </c>
      <c r="F20" s="9">
        <f t="shared" si="0"/>
        <v>82.300003870003849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IF(COUNT(AQ20,BT20,CW20)&gt;0,LARGE((AQ20,BT20,CW20),1),0)</f>
        <v>38.699999999999996</v>
      </c>
      <c r="M20" s="8" t="str">
        <f t="shared" si="5"/>
        <v>2025 Elite Canada</v>
      </c>
      <c r="N20" s="8">
        <f>IF(COUNT(AQ20,BT20,CW20)&gt;1,LARGE((AQ20,BT20,CW20),2),0)</f>
        <v>0</v>
      </c>
      <c r="O20" s="8" t="str">
        <f t="shared" si="6"/>
        <v/>
      </c>
      <c r="P20" s="8">
        <f t="shared" si="7"/>
        <v>43.599999999999994</v>
      </c>
      <c r="Q20" s="8" t="str">
        <f t="shared" si="8"/>
        <v>2025 Elite Canada</v>
      </c>
      <c r="R20" s="8" t="str">
        <f t="shared" si="9"/>
        <v/>
      </c>
      <c r="S20" s="11" t="str">
        <f t="shared" si="160"/>
        <v/>
      </c>
      <c r="T20" s="8" t="str">
        <f t="shared" si="16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0"/>
        <v/>
      </c>
      <c r="AQ20" s="40" t="str">
        <f t="shared" si="11"/>
        <v/>
      </c>
      <c r="AR20" s="40" t="str">
        <f t="shared" si="12"/>
        <v/>
      </c>
      <c r="AS20" s="40" t="str">
        <f t="shared" si="13"/>
        <v/>
      </c>
      <c r="AT20" s="40" t="str">
        <f t="shared" si="14"/>
        <v/>
      </c>
      <c r="AU20" s="40" t="str">
        <f t="shared" si="15"/>
        <v/>
      </c>
      <c r="AV20" s="40" t="str">
        <f t="shared" si="16"/>
        <v/>
      </c>
      <c r="AW20" s="40" t="str">
        <f t="shared" si="17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18"/>
        <v/>
      </c>
      <c r="BT20" s="11" t="str">
        <f t="shared" si="19"/>
        <v/>
      </c>
      <c r="BU20" s="11" t="str">
        <f t="shared" si="20"/>
        <v/>
      </c>
      <c r="BV20" s="11" t="str">
        <f t="shared" si="21"/>
        <v/>
      </c>
      <c r="BW20" s="11" t="str">
        <f t="shared" si="22"/>
        <v/>
      </c>
      <c r="BX20" s="11" t="str">
        <f t="shared" si="23"/>
        <v/>
      </c>
      <c r="BY20" s="11" t="str">
        <f t="shared" si="24"/>
        <v/>
      </c>
      <c r="BZ20" s="11" t="str">
        <f t="shared" si="25"/>
        <v/>
      </c>
      <c r="CA20" s="19">
        <v>14.2</v>
      </c>
      <c r="CB20" s="19">
        <v>5.3</v>
      </c>
      <c r="CC20" s="19">
        <v>0.2</v>
      </c>
      <c r="CD20" s="19">
        <v>0</v>
      </c>
      <c r="CE20" s="19">
        <v>15.6</v>
      </c>
      <c r="CF20" s="19">
        <v>4</v>
      </c>
      <c r="CG20" s="19">
        <v>0.2</v>
      </c>
      <c r="CH20" s="19">
        <v>0</v>
      </c>
      <c r="CI20" s="19"/>
      <c r="CJ20" s="19"/>
      <c r="CK20" s="19"/>
      <c r="CL20" s="19"/>
      <c r="CM20" s="19">
        <v>15.7</v>
      </c>
      <c r="CN20" s="19">
        <v>6.2</v>
      </c>
      <c r="CO20" s="19">
        <v>0</v>
      </c>
      <c r="CP20" s="19">
        <v>0</v>
      </c>
      <c r="CQ20" s="19">
        <v>16.399999999999999</v>
      </c>
      <c r="CR20" s="19">
        <v>5.3</v>
      </c>
      <c r="CS20" s="19">
        <v>0</v>
      </c>
      <c r="CT20" s="19">
        <v>0</v>
      </c>
      <c r="CU20" s="27"/>
      <c r="CV20" s="40">
        <f t="shared" si="26"/>
        <v>9.3000000000000007</v>
      </c>
      <c r="CW20" s="40">
        <f t="shared" si="27"/>
        <v>38.699999999999996</v>
      </c>
      <c r="CX20" s="40" t="str">
        <f t="shared" si="28"/>
        <v/>
      </c>
      <c r="CY20" s="40">
        <f t="shared" si="29"/>
        <v>9.3000000000000007</v>
      </c>
      <c r="CZ20" s="40">
        <f t="shared" si="30"/>
        <v>38.699999999999996</v>
      </c>
      <c r="DA20" s="40">
        <f t="shared" si="31"/>
        <v>11.5</v>
      </c>
      <c r="DB20" s="40">
        <f t="shared" si="32"/>
        <v>43.599999999999994</v>
      </c>
      <c r="DC20" s="40">
        <f t="shared" si="33"/>
        <v>82.299999999999983</v>
      </c>
      <c r="DD20" s="50" t="str">
        <f t="shared" si="34"/>
        <v/>
      </c>
      <c r="DE20" s="50" t="str">
        <f t="shared" si="35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6"/>
        <v/>
      </c>
      <c r="EA20" s="40" t="str">
        <f t="shared" si="37"/>
        <v/>
      </c>
      <c r="EB20" s="40" t="str">
        <f t="shared" si="38"/>
        <v/>
      </c>
      <c r="EC20" s="40" t="str">
        <f t="shared" si="39"/>
        <v/>
      </c>
      <c r="ED20" s="40" t="str">
        <f t="shared" si="40"/>
        <v/>
      </c>
      <c r="EE20" s="40" t="str">
        <f t="shared" si="41"/>
        <v/>
      </c>
      <c r="EF20" s="40" t="str">
        <f t="shared" si="42"/>
        <v/>
      </c>
      <c r="EG20" s="40" t="str">
        <f t="shared" si="43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4"/>
        <v/>
      </c>
      <c r="FC20" s="11" t="str">
        <f t="shared" si="45"/>
        <v/>
      </c>
      <c r="FD20" s="11" t="str">
        <f t="shared" si="46"/>
        <v/>
      </c>
      <c r="FE20" s="11" t="str">
        <f t="shared" si="47"/>
        <v/>
      </c>
      <c r="FF20" s="11" t="str">
        <f t="shared" si="48"/>
        <v/>
      </c>
      <c r="FG20" s="11" t="str">
        <f t="shared" si="49"/>
        <v/>
      </c>
      <c r="FH20" s="11" t="str">
        <f t="shared" si="50"/>
        <v/>
      </c>
      <c r="FI20" s="11" t="str">
        <f t="shared" si="51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2"/>
        <v/>
      </c>
      <c r="GE20" s="40" t="str">
        <f t="shared" si="53"/>
        <v/>
      </c>
      <c r="GF20" s="40" t="str">
        <f t="shared" si="54"/>
        <v/>
      </c>
      <c r="GG20" s="40" t="str">
        <f t="shared" si="55"/>
        <v/>
      </c>
      <c r="GH20" s="40" t="str">
        <f t="shared" si="56"/>
        <v/>
      </c>
      <c r="GI20" s="40" t="str">
        <f t="shared" si="57"/>
        <v/>
      </c>
      <c r="GJ20" s="40" t="str">
        <f t="shared" si="58"/>
        <v/>
      </c>
      <c r="GK20" s="40" t="str">
        <f t="shared" si="59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0"/>
        <v/>
      </c>
      <c r="HG20" s="11" t="str">
        <f t="shared" si="61"/>
        <v/>
      </c>
      <c r="HH20" s="11" t="str">
        <f t="shared" si="62"/>
        <v/>
      </c>
      <c r="HI20" s="11" t="str">
        <f t="shared" si="63"/>
        <v/>
      </c>
      <c r="HJ20" s="11" t="str">
        <f t="shared" si="64"/>
        <v/>
      </c>
      <c r="HK20" s="11" t="str">
        <f t="shared" si="65"/>
        <v/>
      </c>
      <c r="HL20" s="11" t="str">
        <f t="shared" si="66"/>
        <v/>
      </c>
      <c r="HM20" s="11" t="str">
        <f t="shared" si="67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68"/>
        <v/>
      </c>
      <c r="II20" s="40" t="str">
        <f t="shared" si="69"/>
        <v/>
      </c>
      <c r="IJ20" s="40" t="str">
        <f t="shared" si="70"/>
        <v/>
      </c>
      <c r="IK20" s="40" t="str">
        <f t="shared" si="71"/>
        <v/>
      </c>
      <c r="IL20" s="40" t="str">
        <f t="shared" si="72"/>
        <v/>
      </c>
      <c r="IM20" s="40" t="str">
        <f t="shared" si="73"/>
        <v/>
      </c>
      <c r="IN20" s="40" t="str">
        <f t="shared" si="74"/>
        <v/>
      </c>
      <c r="IO20" s="40" t="str">
        <f t="shared" si="75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6"/>
        <v/>
      </c>
      <c r="JK20" s="11" t="str">
        <f t="shared" si="77"/>
        <v/>
      </c>
      <c r="JL20" s="11" t="str">
        <f t="shared" si="78"/>
        <v/>
      </c>
      <c r="JM20" s="11" t="str">
        <f t="shared" si="79"/>
        <v/>
      </c>
      <c r="JN20" s="11" t="str">
        <f t="shared" si="80"/>
        <v/>
      </c>
      <c r="JO20" s="11" t="str">
        <f t="shared" si="81"/>
        <v/>
      </c>
      <c r="JP20" s="11" t="str">
        <f t="shared" si="82"/>
        <v/>
      </c>
      <c r="JQ20" s="11" t="str">
        <f t="shared" si="83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4"/>
        <v/>
      </c>
      <c r="KM20" s="40" t="str">
        <f t="shared" si="85"/>
        <v/>
      </c>
      <c r="KN20" s="40" t="str">
        <f t="shared" si="86"/>
        <v/>
      </c>
      <c r="KO20" s="40" t="str">
        <f t="shared" si="87"/>
        <v/>
      </c>
      <c r="KP20" s="40" t="str">
        <f t="shared" si="88"/>
        <v/>
      </c>
      <c r="KQ20" s="40" t="str">
        <f t="shared" si="89"/>
        <v/>
      </c>
      <c r="KR20" s="40" t="str">
        <f t="shared" si="90"/>
        <v/>
      </c>
      <c r="KS20" s="40" t="str">
        <f t="shared" si="91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2"/>
        <v/>
      </c>
      <c r="LO20" s="11" t="str">
        <f t="shared" si="93"/>
        <v/>
      </c>
      <c r="LP20" s="11" t="str">
        <f t="shared" si="94"/>
        <v/>
      </c>
      <c r="LQ20" s="11" t="str">
        <f t="shared" si="95"/>
        <v/>
      </c>
      <c r="LR20" s="11" t="str">
        <f t="shared" si="96"/>
        <v/>
      </c>
      <c r="LS20" s="11" t="str">
        <f t="shared" si="97"/>
        <v/>
      </c>
      <c r="LT20" s="11" t="str">
        <f t="shared" si="98"/>
        <v/>
      </c>
      <c r="LU20" s="11" t="str">
        <f t="shared" si="99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0"/>
        <v/>
      </c>
      <c r="MQ20" s="40" t="str">
        <f t="shared" si="101"/>
        <v/>
      </c>
      <c r="MR20" s="40" t="str">
        <f t="shared" si="102"/>
        <v/>
      </c>
      <c r="MS20" s="40" t="str">
        <f t="shared" si="103"/>
        <v/>
      </c>
      <c r="MT20" s="40" t="str">
        <f t="shared" si="104"/>
        <v/>
      </c>
      <c r="MU20" s="40" t="str">
        <f t="shared" si="105"/>
        <v/>
      </c>
      <c r="MV20" s="40" t="str">
        <f t="shared" si="106"/>
        <v/>
      </c>
      <c r="MW20" s="40" t="str">
        <f t="shared" si="107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08"/>
        <v/>
      </c>
      <c r="NS20" s="11" t="str">
        <f t="shared" si="109"/>
        <v/>
      </c>
      <c r="NT20" s="11" t="str">
        <f t="shared" si="110"/>
        <v/>
      </c>
      <c r="NU20" s="11" t="str">
        <f t="shared" si="111"/>
        <v/>
      </c>
      <c r="NV20" s="11" t="str">
        <f t="shared" si="112"/>
        <v/>
      </c>
      <c r="NW20" s="11" t="str">
        <f t="shared" si="113"/>
        <v/>
      </c>
      <c r="NX20" s="11" t="str">
        <f t="shared" si="114"/>
        <v/>
      </c>
      <c r="NY20" s="11" t="str">
        <f t="shared" si="115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6"/>
        <v/>
      </c>
      <c r="OU20" s="40" t="str">
        <f t="shared" si="117"/>
        <v/>
      </c>
      <c r="OV20" s="40" t="str">
        <f t="shared" si="118"/>
        <v/>
      </c>
      <c r="OW20" s="40" t="str">
        <f t="shared" si="119"/>
        <v/>
      </c>
      <c r="OX20" s="40" t="str">
        <f t="shared" si="120"/>
        <v/>
      </c>
      <c r="OY20" s="40" t="str">
        <f t="shared" si="121"/>
        <v/>
      </c>
      <c r="OZ20" s="40" t="str">
        <f t="shared" si="122"/>
        <v/>
      </c>
      <c r="PA20" s="40" t="str">
        <f t="shared" si="123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4"/>
        <v/>
      </c>
      <c r="PW20" s="11" t="str">
        <f t="shared" si="125"/>
        <v/>
      </c>
      <c r="PX20" s="11" t="str">
        <f t="shared" si="126"/>
        <v/>
      </c>
      <c r="PY20" s="11" t="str">
        <f t="shared" si="127"/>
        <v/>
      </c>
      <c r="PZ20" s="11" t="str">
        <f t="shared" si="128"/>
        <v/>
      </c>
      <c r="QA20" s="11" t="str">
        <f t="shared" si="129"/>
        <v/>
      </c>
      <c r="QB20" s="11" t="str">
        <f t="shared" si="130"/>
        <v/>
      </c>
      <c r="QC20" s="11" t="str">
        <f t="shared" si="131"/>
        <v/>
      </c>
      <c r="QD20" s="22">
        <f t="shared" si="132"/>
        <v>7.1</v>
      </c>
      <c r="QE20" s="22">
        <f t="shared" si="133"/>
        <v>2.65</v>
      </c>
      <c r="QF20" s="22">
        <f t="shared" si="134"/>
        <v>0.1</v>
      </c>
      <c r="QG20" s="22">
        <f t="shared" si="135"/>
        <v>0</v>
      </c>
      <c r="QH20" s="22">
        <f t="shared" si="136"/>
        <v>7.8</v>
      </c>
      <c r="QI20" s="22">
        <f t="shared" si="137"/>
        <v>2</v>
      </c>
      <c r="QJ20" s="22">
        <f t="shared" si="138"/>
        <v>0.1</v>
      </c>
      <c r="QK20" s="22">
        <f t="shared" si="139"/>
        <v>0</v>
      </c>
      <c r="QL20" s="22">
        <f t="shared" si="140"/>
        <v>0</v>
      </c>
      <c r="QM20" s="22">
        <f t="shared" si="141"/>
        <v>0</v>
      </c>
      <c r="QN20" s="22">
        <f t="shared" si="142"/>
        <v>0</v>
      </c>
      <c r="QO20" s="22">
        <f t="shared" si="143"/>
        <v>0</v>
      </c>
      <c r="QP20" s="22">
        <f t="shared" si="144"/>
        <v>7.85</v>
      </c>
      <c r="QQ20" s="22">
        <f t="shared" si="145"/>
        <v>3.1</v>
      </c>
      <c r="QR20" s="22">
        <f t="shared" si="146"/>
        <v>0</v>
      </c>
      <c r="QS20" s="22">
        <f t="shared" si="147"/>
        <v>0</v>
      </c>
      <c r="QT20" s="22">
        <f t="shared" si="148"/>
        <v>8.1999999999999993</v>
      </c>
      <c r="QU20" s="22">
        <f t="shared" si="149"/>
        <v>2.65</v>
      </c>
      <c r="QV20" s="22">
        <f t="shared" si="150"/>
        <v>0</v>
      </c>
      <c r="QW20" s="22">
        <f t="shared" si="151"/>
        <v>0</v>
      </c>
      <c r="QX20" s="27" t="s">
        <v>46</v>
      </c>
      <c r="QY20" s="40">
        <f t="shared" si="152"/>
        <v>4.6500000000000004</v>
      </c>
      <c r="QZ20" s="40">
        <f t="shared" si="153"/>
        <v>19.349999999999998</v>
      </c>
      <c r="RA20" s="40" t="str">
        <f t="shared" si="154"/>
        <v/>
      </c>
      <c r="RB20" s="40">
        <f t="shared" si="155"/>
        <v>4.6500000000000004</v>
      </c>
      <c r="RC20" s="40">
        <f t="shared" si="156"/>
        <v>19.349999999999998</v>
      </c>
      <c r="RD20" s="40">
        <f t="shared" si="157"/>
        <v>5.75</v>
      </c>
      <c r="RE20" s="40">
        <f t="shared" si="158"/>
        <v>21.799999999999997</v>
      </c>
      <c r="RF20" s="40">
        <f t="shared" si="159"/>
        <v>41.149999999999991</v>
      </c>
    </row>
    <row r="21" spans="1:474" x14ac:dyDescent="0.2">
      <c r="A21" s="4" t="str" cm="1">
        <f t="array" ref="A21">IF(AND(J21&lt;&gt;"",J21&lt;&gt;"No DD"),SUMPRODUCT((J$4:J$22&lt;&gt;"")*(J$4:J$22&lt;&gt;"No DD")*(F$4:F$22&gt;F21))+1,IF(J21="No DD",SUMPRODUCT((J$4:J$22="No DD")*(F$4:F$22&gt;F21))+1+SUMPRODUCT((J$4:J$22&lt;&gt;"")*(J$4:J$22&lt;&gt;"No DD")),""))</f>
        <v/>
      </c>
      <c r="B21" s="4" t="str" cm="1">
        <f t="array" ref="B21">IF(AND(J21&lt;&gt;"",J21&lt;&gt;"No DD",G21=""),SUMPRODUCT((J$4:J$22&lt;&gt;"")*(J$4:J$22&lt;&gt;"No DD")*(G$4:G$22="")*(F$4:F$22&gt;F21))+1,IF(J21="No DD",SUMPRODUCT((J$4:J$22="No DD")*(F$4:F$22&gt;F21)*(G$4:G$22=""))+1+SUMPRODUCT((J$4:J$22&lt;&gt;"")*(G$4:G$22="")*(J$4:J$22&lt;&gt;"No DD")),""))</f>
        <v/>
      </c>
      <c r="C21" s="5" t="s">
        <v>193</v>
      </c>
      <c r="D21" s="4" t="s">
        <v>3</v>
      </c>
      <c r="E21" s="4">
        <v>2006</v>
      </c>
      <c r="F21" s="9">
        <f t="shared" si="0"/>
        <v>80.860004226004236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IF(COUNT(AQ21,BT21,CW21)&gt;0,LARGE((AQ21,BT21,CW21),1),0)</f>
        <v>42.26</v>
      </c>
      <c r="M21" s="8" t="str">
        <f t="shared" si="5"/>
        <v>2024 Nationals</v>
      </c>
      <c r="N21" s="8">
        <f>IF(COUNT(AQ21,BT21,CW21)&gt;1,LARGE((AQ21,BT21,CW21),2),0)</f>
        <v>0</v>
      </c>
      <c r="O21" s="8" t="str">
        <f t="shared" si="6"/>
        <v/>
      </c>
      <c r="P21" s="8">
        <f t="shared" si="7"/>
        <v>38.600000000000009</v>
      </c>
      <c r="Q21" s="8" t="str">
        <f t="shared" si="8"/>
        <v>2024 Nationals</v>
      </c>
      <c r="R21" s="8" t="str">
        <f t="shared" si="9"/>
        <v/>
      </c>
      <c r="S21" s="11" t="str">
        <f t="shared" si="160"/>
        <v/>
      </c>
      <c r="T21" s="8" t="str">
        <f t="shared" si="161"/>
        <v/>
      </c>
      <c r="U21" s="19">
        <v>17</v>
      </c>
      <c r="V21" s="19">
        <v>3.7</v>
      </c>
      <c r="W21" s="19">
        <v>0</v>
      </c>
      <c r="X21" s="19">
        <v>0</v>
      </c>
      <c r="Y21" s="19">
        <v>16.36</v>
      </c>
      <c r="Z21" s="19">
        <v>4.9000000000000004</v>
      </c>
      <c r="AA21" s="19">
        <v>0</v>
      </c>
      <c r="AB21" s="19">
        <v>0.3</v>
      </c>
      <c r="AC21" s="19">
        <v>16.3</v>
      </c>
      <c r="AD21" s="19">
        <v>2</v>
      </c>
      <c r="AE21" s="19">
        <v>0</v>
      </c>
      <c r="AF21" s="19">
        <v>0.3</v>
      </c>
      <c r="AG21" s="19">
        <v>16.100000000000001</v>
      </c>
      <c r="AH21" s="19">
        <v>1.3</v>
      </c>
      <c r="AI21" s="19">
        <v>0</v>
      </c>
      <c r="AJ21" s="19">
        <v>0</v>
      </c>
      <c r="AK21" s="19">
        <v>15.9</v>
      </c>
      <c r="AL21" s="19">
        <v>4.7</v>
      </c>
      <c r="AM21" s="19">
        <v>0</v>
      </c>
      <c r="AN21" s="19">
        <v>0.6</v>
      </c>
      <c r="AO21" s="27"/>
      <c r="AP21" s="40">
        <f t="shared" si="10"/>
        <v>8.6000000000000014</v>
      </c>
      <c r="AQ21" s="40">
        <f t="shared" si="11"/>
        <v>42.26</v>
      </c>
      <c r="AR21" s="40">
        <f t="shared" si="12"/>
        <v>18.600000000000001</v>
      </c>
      <c r="AS21" s="40">
        <f t="shared" si="13"/>
        <v>10.600000000000001</v>
      </c>
      <c r="AT21" s="40">
        <f t="shared" si="14"/>
        <v>60.86</v>
      </c>
      <c r="AU21" s="40">
        <f t="shared" si="15"/>
        <v>6</v>
      </c>
      <c r="AV21" s="40">
        <f t="shared" si="16"/>
        <v>38.600000000000009</v>
      </c>
      <c r="AW21" s="40">
        <f t="shared" si="17"/>
        <v>99.460000000000008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18"/>
        <v/>
      </c>
      <c r="BT21" s="11" t="str">
        <f t="shared" si="19"/>
        <v/>
      </c>
      <c r="BU21" s="11" t="str">
        <f t="shared" si="20"/>
        <v/>
      </c>
      <c r="BV21" s="11" t="str">
        <f t="shared" si="21"/>
        <v/>
      </c>
      <c r="BW21" s="11" t="str">
        <f t="shared" si="22"/>
        <v/>
      </c>
      <c r="BX21" s="11" t="str">
        <f t="shared" si="23"/>
        <v/>
      </c>
      <c r="BY21" s="11" t="str">
        <f t="shared" si="24"/>
        <v/>
      </c>
      <c r="BZ21" s="11" t="str">
        <f t="shared" si="25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6"/>
        <v/>
      </c>
      <c r="CW21" s="40" t="str">
        <f t="shared" si="27"/>
        <v/>
      </c>
      <c r="CX21" s="40" t="str">
        <f t="shared" si="28"/>
        <v/>
      </c>
      <c r="CY21" s="40" t="str">
        <f t="shared" si="29"/>
        <v/>
      </c>
      <c r="CZ21" s="40" t="str">
        <f t="shared" si="30"/>
        <v/>
      </c>
      <c r="DA21" s="40" t="str">
        <f t="shared" si="31"/>
        <v/>
      </c>
      <c r="DB21" s="40" t="str">
        <f t="shared" si="32"/>
        <v/>
      </c>
      <c r="DC21" s="40" t="str">
        <f t="shared" si="33"/>
        <v/>
      </c>
      <c r="DD21" s="50" t="str">
        <f t="shared" si="34"/>
        <v/>
      </c>
      <c r="DE21" s="50" t="str">
        <f t="shared" si="35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6"/>
        <v/>
      </c>
      <c r="EA21" s="40" t="str">
        <f t="shared" si="37"/>
        <v/>
      </c>
      <c r="EB21" s="40" t="str">
        <f t="shared" si="38"/>
        <v/>
      </c>
      <c r="EC21" s="40" t="str">
        <f t="shared" si="39"/>
        <v/>
      </c>
      <c r="ED21" s="40" t="str">
        <f t="shared" si="40"/>
        <v/>
      </c>
      <c r="EE21" s="40" t="str">
        <f t="shared" si="41"/>
        <v/>
      </c>
      <c r="EF21" s="40" t="str">
        <f t="shared" si="42"/>
        <v/>
      </c>
      <c r="EG21" s="40" t="str">
        <f t="shared" si="43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4"/>
        <v/>
      </c>
      <c r="FC21" s="11" t="str">
        <f t="shared" si="45"/>
        <v/>
      </c>
      <c r="FD21" s="11" t="str">
        <f t="shared" si="46"/>
        <v/>
      </c>
      <c r="FE21" s="11" t="str">
        <f t="shared" si="47"/>
        <v/>
      </c>
      <c r="FF21" s="11" t="str">
        <f t="shared" si="48"/>
        <v/>
      </c>
      <c r="FG21" s="11" t="str">
        <f t="shared" si="49"/>
        <v/>
      </c>
      <c r="FH21" s="11" t="str">
        <f t="shared" si="50"/>
        <v/>
      </c>
      <c r="FI21" s="11" t="str">
        <f t="shared" si="51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2"/>
        <v/>
      </c>
      <c r="GE21" s="40" t="str">
        <f t="shared" si="53"/>
        <v/>
      </c>
      <c r="GF21" s="40" t="str">
        <f t="shared" si="54"/>
        <v/>
      </c>
      <c r="GG21" s="40" t="str">
        <f t="shared" si="55"/>
        <v/>
      </c>
      <c r="GH21" s="40" t="str">
        <f t="shared" si="56"/>
        <v/>
      </c>
      <c r="GI21" s="40" t="str">
        <f t="shared" si="57"/>
        <v/>
      </c>
      <c r="GJ21" s="40" t="str">
        <f t="shared" si="58"/>
        <v/>
      </c>
      <c r="GK21" s="40" t="str">
        <f t="shared" si="59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0"/>
        <v/>
      </c>
      <c r="HG21" s="11" t="str">
        <f t="shared" si="61"/>
        <v/>
      </c>
      <c r="HH21" s="11" t="str">
        <f t="shared" si="62"/>
        <v/>
      </c>
      <c r="HI21" s="11" t="str">
        <f t="shared" si="63"/>
        <v/>
      </c>
      <c r="HJ21" s="11" t="str">
        <f t="shared" si="64"/>
        <v/>
      </c>
      <c r="HK21" s="11" t="str">
        <f t="shared" si="65"/>
        <v/>
      </c>
      <c r="HL21" s="11" t="str">
        <f t="shared" si="66"/>
        <v/>
      </c>
      <c r="HM21" s="11" t="str">
        <f t="shared" si="67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68"/>
        <v/>
      </c>
      <c r="II21" s="40" t="str">
        <f t="shared" si="69"/>
        <v/>
      </c>
      <c r="IJ21" s="40" t="str">
        <f t="shared" si="70"/>
        <v/>
      </c>
      <c r="IK21" s="40" t="str">
        <f t="shared" si="71"/>
        <v/>
      </c>
      <c r="IL21" s="40" t="str">
        <f t="shared" si="72"/>
        <v/>
      </c>
      <c r="IM21" s="40" t="str">
        <f t="shared" si="73"/>
        <v/>
      </c>
      <c r="IN21" s="40" t="str">
        <f t="shared" si="74"/>
        <v/>
      </c>
      <c r="IO21" s="40" t="str">
        <f t="shared" si="75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6"/>
        <v/>
      </c>
      <c r="JK21" s="11" t="str">
        <f t="shared" si="77"/>
        <v/>
      </c>
      <c r="JL21" s="11" t="str">
        <f t="shared" si="78"/>
        <v/>
      </c>
      <c r="JM21" s="11" t="str">
        <f t="shared" si="79"/>
        <v/>
      </c>
      <c r="JN21" s="11" t="str">
        <f t="shared" si="80"/>
        <v/>
      </c>
      <c r="JO21" s="11" t="str">
        <f t="shared" si="81"/>
        <v/>
      </c>
      <c r="JP21" s="11" t="str">
        <f t="shared" si="82"/>
        <v/>
      </c>
      <c r="JQ21" s="11" t="str">
        <f t="shared" si="83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4"/>
        <v/>
      </c>
      <c r="KM21" s="40" t="str">
        <f t="shared" si="85"/>
        <v/>
      </c>
      <c r="KN21" s="40" t="str">
        <f t="shared" si="86"/>
        <v/>
      </c>
      <c r="KO21" s="40" t="str">
        <f t="shared" si="87"/>
        <v/>
      </c>
      <c r="KP21" s="40" t="str">
        <f t="shared" si="88"/>
        <v/>
      </c>
      <c r="KQ21" s="40" t="str">
        <f t="shared" si="89"/>
        <v/>
      </c>
      <c r="KR21" s="40" t="str">
        <f t="shared" si="90"/>
        <v/>
      </c>
      <c r="KS21" s="40" t="str">
        <f t="shared" si="91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2"/>
        <v/>
      </c>
      <c r="LO21" s="11" t="str">
        <f t="shared" si="93"/>
        <v/>
      </c>
      <c r="LP21" s="11" t="str">
        <f t="shared" si="94"/>
        <v/>
      </c>
      <c r="LQ21" s="11" t="str">
        <f t="shared" si="95"/>
        <v/>
      </c>
      <c r="LR21" s="11" t="str">
        <f t="shared" si="96"/>
        <v/>
      </c>
      <c r="LS21" s="11" t="str">
        <f t="shared" si="97"/>
        <v/>
      </c>
      <c r="LT21" s="11" t="str">
        <f t="shared" si="98"/>
        <v/>
      </c>
      <c r="LU21" s="11" t="str">
        <f t="shared" si="99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0"/>
        <v/>
      </c>
      <c r="MQ21" s="40" t="str">
        <f t="shared" si="101"/>
        <v/>
      </c>
      <c r="MR21" s="40" t="str">
        <f t="shared" si="102"/>
        <v/>
      </c>
      <c r="MS21" s="40" t="str">
        <f t="shared" si="103"/>
        <v/>
      </c>
      <c r="MT21" s="40" t="str">
        <f t="shared" si="104"/>
        <v/>
      </c>
      <c r="MU21" s="40" t="str">
        <f t="shared" si="105"/>
        <v/>
      </c>
      <c r="MV21" s="40" t="str">
        <f t="shared" si="106"/>
        <v/>
      </c>
      <c r="MW21" s="40" t="str">
        <f t="shared" si="107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08"/>
        <v/>
      </c>
      <c r="NS21" s="11" t="str">
        <f t="shared" si="109"/>
        <v/>
      </c>
      <c r="NT21" s="11" t="str">
        <f t="shared" si="110"/>
        <v/>
      </c>
      <c r="NU21" s="11" t="str">
        <f t="shared" si="111"/>
        <v/>
      </c>
      <c r="NV21" s="11" t="str">
        <f t="shared" si="112"/>
        <v/>
      </c>
      <c r="NW21" s="11" t="str">
        <f t="shared" si="113"/>
        <v/>
      </c>
      <c r="NX21" s="11" t="str">
        <f t="shared" si="114"/>
        <v/>
      </c>
      <c r="NY21" s="11" t="str">
        <f t="shared" si="115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6"/>
        <v/>
      </c>
      <c r="OU21" s="40" t="str">
        <f t="shared" si="117"/>
        <v/>
      </c>
      <c r="OV21" s="40" t="str">
        <f t="shared" si="118"/>
        <v/>
      </c>
      <c r="OW21" s="40" t="str">
        <f t="shared" si="119"/>
        <v/>
      </c>
      <c r="OX21" s="40" t="str">
        <f t="shared" si="120"/>
        <v/>
      </c>
      <c r="OY21" s="40" t="str">
        <f t="shared" si="121"/>
        <v/>
      </c>
      <c r="OZ21" s="40" t="str">
        <f t="shared" si="122"/>
        <v/>
      </c>
      <c r="PA21" s="40" t="str">
        <f t="shared" si="123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4"/>
        <v/>
      </c>
      <c r="PW21" s="11" t="str">
        <f t="shared" si="125"/>
        <v/>
      </c>
      <c r="PX21" s="11" t="str">
        <f t="shared" si="126"/>
        <v/>
      </c>
      <c r="PY21" s="11" t="str">
        <f t="shared" si="127"/>
        <v/>
      </c>
      <c r="PZ21" s="11" t="str">
        <f t="shared" si="128"/>
        <v/>
      </c>
      <c r="QA21" s="11" t="str">
        <f t="shared" si="129"/>
        <v/>
      </c>
      <c r="QB21" s="11" t="str">
        <f t="shared" si="130"/>
        <v/>
      </c>
      <c r="QC21" s="11" t="str">
        <f t="shared" si="131"/>
        <v/>
      </c>
      <c r="QD21" s="22">
        <f t="shared" si="132"/>
        <v>0</v>
      </c>
      <c r="QE21" s="22">
        <f t="shared" si="133"/>
        <v>0</v>
      </c>
      <c r="QF21" s="22">
        <f t="shared" si="134"/>
        <v>0</v>
      </c>
      <c r="QG21" s="22">
        <f t="shared" si="135"/>
        <v>0</v>
      </c>
      <c r="QH21" s="22">
        <f t="shared" si="136"/>
        <v>0</v>
      </c>
      <c r="QI21" s="22">
        <f t="shared" si="137"/>
        <v>0</v>
      </c>
      <c r="QJ21" s="22">
        <f t="shared" si="138"/>
        <v>0</v>
      </c>
      <c r="QK21" s="22">
        <f t="shared" si="139"/>
        <v>0</v>
      </c>
      <c r="QL21" s="22">
        <f t="shared" si="140"/>
        <v>0</v>
      </c>
      <c r="QM21" s="22">
        <f t="shared" si="141"/>
        <v>0</v>
      </c>
      <c r="QN21" s="22">
        <f t="shared" si="142"/>
        <v>0</v>
      </c>
      <c r="QO21" s="22">
        <f t="shared" si="143"/>
        <v>0</v>
      </c>
      <c r="QP21" s="22">
        <f t="shared" si="144"/>
        <v>0</v>
      </c>
      <c r="QQ21" s="22">
        <f t="shared" si="145"/>
        <v>0</v>
      </c>
      <c r="QR21" s="22">
        <f t="shared" si="146"/>
        <v>0</v>
      </c>
      <c r="QS21" s="22">
        <f t="shared" si="147"/>
        <v>0</v>
      </c>
      <c r="QT21" s="22">
        <f t="shared" si="148"/>
        <v>0</v>
      </c>
      <c r="QU21" s="22">
        <f t="shared" si="149"/>
        <v>0</v>
      </c>
      <c r="QV21" s="22">
        <f t="shared" si="150"/>
        <v>0</v>
      </c>
      <c r="QW21" s="22">
        <f t="shared" si="151"/>
        <v>0</v>
      </c>
      <c r="QX21" s="27" t="s">
        <v>46</v>
      </c>
      <c r="QY21" s="40" t="str">
        <f t="shared" si="152"/>
        <v/>
      </c>
      <c r="QZ21" s="40" t="str">
        <f t="shared" si="153"/>
        <v/>
      </c>
      <c r="RA21" s="40" t="str">
        <f t="shared" si="154"/>
        <v/>
      </c>
      <c r="RB21" s="40" t="str">
        <f t="shared" si="155"/>
        <v/>
      </c>
      <c r="RC21" s="40" t="str">
        <f t="shared" si="156"/>
        <v/>
      </c>
      <c r="RD21" s="40" t="str">
        <f t="shared" si="157"/>
        <v/>
      </c>
      <c r="RE21" s="40" t="str">
        <f t="shared" si="158"/>
        <v/>
      </c>
      <c r="RF21" s="40" t="str">
        <f t="shared" si="159"/>
        <v/>
      </c>
    </row>
    <row r="22" spans="1:474" ht="17" x14ac:dyDescent="0.2">
      <c r="G22" s="64"/>
      <c r="R22" s="10"/>
      <c r="S22" s="10"/>
      <c r="T22" s="10"/>
    </row>
    <row r="23" spans="1:474" ht="17" x14ac:dyDescent="0.2">
      <c r="G23" s="64"/>
      <c r="R23" s="10"/>
      <c r="S23" s="10"/>
      <c r="T23" s="10"/>
    </row>
    <row r="24" spans="1:474" ht="17" x14ac:dyDescent="0.2">
      <c r="C24" s="23" t="s">
        <v>44</v>
      </c>
      <c r="G24" s="64"/>
      <c r="R24" s="10"/>
      <c r="S24" s="10"/>
      <c r="T24" s="10"/>
      <c r="AP24" s="4"/>
      <c r="AW24" s="42">
        <v>9.5</v>
      </c>
      <c r="BS24" s="4"/>
      <c r="BZ24" s="42">
        <v>9.5</v>
      </c>
      <c r="CV24" s="4"/>
      <c r="DC24" s="42">
        <v>10.4</v>
      </c>
      <c r="DZ24" s="4"/>
      <c r="EG24" s="42">
        <v>9.5</v>
      </c>
      <c r="FB24" s="4"/>
      <c r="FI24" s="42">
        <v>9.5</v>
      </c>
      <c r="GD24" s="4"/>
      <c r="GK24" s="42">
        <v>10.4</v>
      </c>
      <c r="HF24" s="4"/>
      <c r="HM24" s="42">
        <v>10.4</v>
      </c>
      <c r="IH24" s="4"/>
      <c r="IO24" s="42">
        <v>10.4</v>
      </c>
      <c r="JJ24" s="4"/>
      <c r="JQ24" s="42">
        <v>10.4</v>
      </c>
      <c r="KL24" s="4"/>
      <c r="KS24" s="42">
        <v>10.4</v>
      </c>
      <c r="LN24" s="4"/>
      <c r="LU24" s="42">
        <v>10.4</v>
      </c>
      <c r="MP24" s="4"/>
      <c r="MW24" s="42">
        <v>10.4</v>
      </c>
      <c r="NR24" s="4"/>
      <c r="NY24" s="42">
        <v>10.4</v>
      </c>
      <c r="OT24" s="4"/>
      <c r="PA24" s="42">
        <v>10.4</v>
      </c>
      <c r="PV24" s="4"/>
      <c r="QC24" s="42">
        <v>10.4</v>
      </c>
    </row>
    <row r="25" spans="1:474" ht="17" hidden="1" x14ac:dyDescent="0.2">
      <c r="C25" s="30" t="s">
        <v>43</v>
      </c>
      <c r="G25" s="64"/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DZ25" s="4"/>
      <c r="EG25" s="51">
        <v>1000</v>
      </c>
      <c r="FB25" s="4"/>
      <c r="FI25" s="51">
        <v>1000</v>
      </c>
      <c r="GD25" s="4"/>
      <c r="GK25" s="51">
        <v>1000</v>
      </c>
      <c r="HF25" s="4"/>
      <c r="HM25" s="51">
        <v>1000</v>
      </c>
      <c r="IH25" s="4"/>
      <c r="IO25" s="51">
        <v>1000</v>
      </c>
      <c r="JJ25" s="4"/>
      <c r="JQ25" s="51">
        <v>1000</v>
      </c>
      <c r="KL25" s="4"/>
      <c r="KS25" s="51">
        <v>1000</v>
      </c>
      <c r="LN25" s="4"/>
      <c r="LU25" s="51">
        <v>1000</v>
      </c>
      <c r="MP25" s="4"/>
      <c r="MW25" s="51">
        <v>1000</v>
      </c>
      <c r="NR25" s="4"/>
      <c r="NY25" s="51">
        <v>1000</v>
      </c>
      <c r="OT25" s="4"/>
      <c r="PA25" s="51">
        <v>1000</v>
      </c>
      <c r="PV25" s="4"/>
      <c r="QC25" s="51">
        <v>1000</v>
      </c>
    </row>
    <row r="26" spans="1:474" ht="17" hidden="1" x14ac:dyDescent="0.2">
      <c r="A26" s="5"/>
      <c r="B26" s="5"/>
      <c r="C26" s="31" t="s">
        <v>55</v>
      </c>
      <c r="D26" s="20"/>
      <c r="G26" s="64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DZ26" s="4"/>
      <c r="EG26" s="43">
        <v>1000</v>
      </c>
      <c r="FB26" s="4"/>
      <c r="FI26" s="43">
        <v>1000</v>
      </c>
      <c r="GD26" s="4"/>
      <c r="GK26" s="43">
        <v>1000</v>
      </c>
      <c r="HF26" s="4"/>
      <c r="HM26" s="43">
        <v>1000</v>
      </c>
      <c r="IH26" s="4"/>
      <c r="IO26" s="43">
        <v>1000</v>
      </c>
      <c r="JJ26" s="4"/>
      <c r="JQ26" s="43">
        <v>1000</v>
      </c>
      <c r="KL26" s="4"/>
      <c r="KS26" s="43">
        <v>1000</v>
      </c>
      <c r="LN26" s="4"/>
      <c r="LU26" s="43">
        <v>1000</v>
      </c>
      <c r="MP26" s="4"/>
      <c r="MW26" s="43">
        <v>1000</v>
      </c>
      <c r="NR26" s="4"/>
      <c r="NY26" s="43">
        <v>1000</v>
      </c>
      <c r="OT26" s="4"/>
      <c r="PA26" s="43">
        <v>1000</v>
      </c>
      <c r="PV26" s="4"/>
      <c r="QC26" s="43">
        <v>1000</v>
      </c>
    </row>
    <row r="27" spans="1:474" ht="17" hidden="1" x14ac:dyDescent="0.2">
      <c r="A27" s="5"/>
      <c r="B27" s="5"/>
      <c r="C27" s="35" t="s">
        <v>60</v>
      </c>
      <c r="D27" s="20"/>
      <c r="G27" s="64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DZ27" s="4"/>
      <c r="EG27" s="44">
        <v>1000</v>
      </c>
      <c r="FB27" s="4"/>
      <c r="FI27" s="44">
        <v>1000</v>
      </c>
      <c r="GD27" s="4"/>
      <c r="GK27" s="44">
        <v>1000</v>
      </c>
      <c r="HF27" s="4"/>
      <c r="HM27" s="44">
        <v>1000</v>
      </c>
      <c r="IH27" s="4"/>
      <c r="IO27" s="44">
        <v>1000</v>
      </c>
      <c r="JJ27" s="4"/>
      <c r="JQ27" s="44">
        <v>1000</v>
      </c>
      <c r="KL27" s="4"/>
      <c r="KS27" s="44">
        <v>1000</v>
      </c>
      <c r="LN27" s="4"/>
      <c r="LU27" s="44">
        <v>1000</v>
      </c>
      <c r="MP27" s="4"/>
      <c r="MW27" s="44">
        <v>1000</v>
      </c>
      <c r="NR27" s="4"/>
      <c r="NY27" s="44">
        <v>1000</v>
      </c>
      <c r="OT27" s="4"/>
      <c r="PA27" s="44">
        <v>1000</v>
      </c>
      <c r="PV27" s="4"/>
      <c r="QC27" s="44">
        <v>1000</v>
      </c>
    </row>
    <row r="28" spans="1:474" ht="17" x14ac:dyDescent="0.2">
      <c r="A28" s="5"/>
      <c r="B28" s="5"/>
      <c r="C28" s="34" t="s">
        <v>41</v>
      </c>
      <c r="D28" s="20"/>
      <c r="G28" s="64"/>
      <c r="R28" s="10"/>
      <c r="S28" s="10"/>
      <c r="T28" s="10"/>
      <c r="AP28" s="4"/>
      <c r="AW28" s="45">
        <v>43.9</v>
      </c>
      <c r="BS28" s="4"/>
      <c r="BZ28" s="45">
        <v>43.9</v>
      </c>
      <c r="CV28" s="4"/>
      <c r="DC28" s="45">
        <v>44.8</v>
      </c>
      <c r="DZ28" s="4"/>
      <c r="EG28" s="45">
        <v>43.9</v>
      </c>
      <c r="FB28" s="4"/>
      <c r="FI28" s="45">
        <v>43.9</v>
      </c>
      <c r="GD28" s="4"/>
      <c r="GK28" s="45">
        <v>44.8</v>
      </c>
      <c r="HF28" s="4"/>
      <c r="HM28" s="45">
        <v>44.8</v>
      </c>
      <c r="IH28" s="4"/>
      <c r="IO28" s="45">
        <v>44.8</v>
      </c>
      <c r="JJ28" s="4"/>
      <c r="JQ28" s="45">
        <v>44.8</v>
      </c>
      <c r="KL28" s="4"/>
      <c r="KS28" s="45">
        <v>44.8</v>
      </c>
      <c r="LN28" s="4"/>
      <c r="LU28" s="45">
        <v>44.8</v>
      </c>
      <c r="MP28" s="4"/>
      <c r="MW28" s="45">
        <v>44.8</v>
      </c>
      <c r="NR28" s="4"/>
      <c r="NY28" s="45">
        <v>44.8</v>
      </c>
      <c r="OT28" s="4"/>
      <c r="PA28" s="45">
        <v>44.8</v>
      </c>
      <c r="PV28" s="4"/>
      <c r="QC28" s="45">
        <v>44.8</v>
      </c>
    </row>
    <row r="29" spans="1:474" ht="17" hidden="1" x14ac:dyDescent="0.2">
      <c r="A29" s="5"/>
      <c r="B29" s="5"/>
      <c r="C29" s="24" t="s">
        <v>42</v>
      </c>
      <c r="D29" s="20"/>
      <c r="G29" s="64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DZ29" s="4"/>
      <c r="EG29" s="46">
        <v>1000</v>
      </c>
      <c r="FB29" s="4"/>
      <c r="FI29" s="46">
        <v>1000</v>
      </c>
      <c r="GD29" s="4"/>
      <c r="GK29" s="46">
        <v>1000</v>
      </c>
      <c r="HF29" s="4"/>
      <c r="HM29" s="46">
        <v>1000</v>
      </c>
      <c r="IH29" s="4"/>
      <c r="IO29" s="46">
        <v>1000</v>
      </c>
      <c r="JJ29" s="4"/>
      <c r="JQ29" s="46">
        <v>1000</v>
      </c>
      <c r="KL29" s="4"/>
      <c r="KS29" s="46">
        <v>1000</v>
      </c>
      <c r="LN29" s="4"/>
      <c r="LU29" s="46">
        <v>1000</v>
      </c>
      <c r="MP29" s="4"/>
      <c r="MW29" s="46">
        <v>1000</v>
      </c>
      <c r="NR29" s="4"/>
      <c r="NY29" s="46">
        <v>1000</v>
      </c>
      <c r="OT29" s="4"/>
      <c r="PA29" s="46">
        <v>1000</v>
      </c>
      <c r="PV29" s="4"/>
      <c r="QC29" s="46">
        <v>1000</v>
      </c>
    </row>
    <row r="30" spans="1:474" ht="17" hidden="1" x14ac:dyDescent="0.2">
      <c r="A30" s="5"/>
      <c r="B30" s="5"/>
      <c r="C30" s="33" t="s">
        <v>54</v>
      </c>
      <c r="D30" s="20"/>
      <c r="G30" s="64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DZ30" s="4"/>
      <c r="EG30" s="47">
        <v>1000</v>
      </c>
      <c r="FB30" s="4"/>
      <c r="FI30" s="47">
        <v>1000</v>
      </c>
      <c r="GD30" s="4"/>
      <c r="GK30" s="47">
        <v>1000</v>
      </c>
      <c r="HF30" s="4"/>
      <c r="HM30" s="47">
        <v>1000</v>
      </c>
      <c r="IH30" s="4"/>
      <c r="IO30" s="47">
        <v>1000</v>
      </c>
      <c r="JJ30" s="4"/>
      <c r="JQ30" s="47">
        <v>1000</v>
      </c>
      <c r="KL30" s="4"/>
      <c r="KS30" s="47">
        <v>1000</v>
      </c>
      <c r="LN30" s="4"/>
      <c r="LU30" s="47">
        <v>1000</v>
      </c>
      <c r="MP30" s="4"/>
      <c r="MW30" s="47">
        <v>1000</v>
      </c>
      <c r="NR30" s="4"/>
      <c r="NY30" s="47">
        <v>1000</v>
      </c>
      <c r="OT30" s="4"/>
      <c r="PA30" s="47">
        <v>1000</v>
      </c>
      <c r="PV30" s="4"/>
      <c r="QC30" s="47">
        <v>1000</v>
      </c>
    </row>
    <row r="31" spans="1:474" ht="17" hidden="1" x14ac:dyDescent="0.2">
      <c r="A31" s="5"/>
      <c r="B31" s="5"/>
      <c r="C31" s="25" t="s">
        <v>27</v>
      </c>
      <c r="D31" s="20"/>
      <c r="G31" s="64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DZ31" s="4"/>
      <c r="EG31" s="48">
        <v>1000</v>
      </c>
      <c r="FB31" s="4"/>
      <c r="FI31" s="48">
        <v>1000</v>
      </c>
      <c r="GD31" s="4"/>
      <c r="GK31" s="48">
        <v>1000</v>
      </c>
      <c r="HF31" s="4"/>
      <c r="HM31" s="48">
        <v>1000</v>
      </c>
      <c r="IH31" s="4"/>
      <c r="IO31" s="48">
        <v>1000</v>
      </c>
      <c r="JJ31" s="4"/>
      <c r="JQ31" s="48">
        <v>1000</v>
      </c>
      <c r="KL31" s="4"/>
      <c r="KS31" s="48">
        <v>1000</v>
      </c>
      <c r="LN31" s="4"/>
      <c r="LU31" s="48">
        <v>1000</v>
      </c>
      <c r="MP31" s="4"/>
      <c r="MW31" s="48">
        <v>1000</v>
      </c>
      <c r="NR31" s="4"/>
      <c r="NY31" s="48">
        <v>1000</v>
      </c>
      <c r="OT31" s="4"/>
      <c r="PA31" s="48">
        <v>1000</v>
      </c>
      <c r="PV31" s="4"/>
      <c r="QC31" s="48">
        <v>1000</v>
      </c>
    </row>
    <row r="32" spans="1:474" x14ac:dyDescent="0.2">
      <c r="C32" s="29" t="s">
        <v>47</v>
      </c>
      <c r="D32" s="2"/>
      <c r="G32" s="64"/>
    </row>
    <row r="33" spans="1:455" x14ac:dyDescent="0.2">
      <c r="A33" s="5"/>
      <c r="B33" s="5"/>
      <c r="C33" s="5"/>
      <c r="D33" s="20"/>
      <c r="G33" s="64"/>
      <c r="QE33" s="2"/>
      <c r="QF33" s="2"/>
      <c r="QG33" s="2"/>
      <c r="QH33" s="2"/>
      <c r="QI33" s="2"/>
      <c r="QJ33" s="2"/>
      <c r="QK33" s="2"/>
      <c r="QL33" s="2"/>
      <c r="QM33" s="2"/>
    </row>
    <row r="34" spans="1:455" x14ac:dyDescent="0.2">
      <c r="A34" s="5"/>
      <c r="B34" s="5"/>
      <c r="C34" s="5"/>
      <c r="D34" s="20"/>
    </row>
    <row r="35" spans="1:455" x14ac:dyDescent="0.2">
      <c r="A35" s="5"/>
      <c r="B35" s="5"/>
      <c r="C35" s="5"/>
      <c r="D35" s="20"/>
    </row>
    <row r="36" spans="1:455" x14ac:dyDescent="0.2">
      <c r="A36" s="5"/>
      <c r="B36" s="5"/>
      <c r="C36" s="5"/>
      <c r="D36" s="5"/>
    </row>
    <row r="38" spans="1:455" x14ac:dyDescent="0.2">
      <c r="G38" s="64"/>
    </row>
    <row r="39" spans="1:455" x14ac:dyDescent="0.2">
      <c r="C39" s="52"/>
      <c r="G39" s="64"/>
    </row>
    <row r="51" spans="11:11" x14ac:dyDescent="0.2">
      <c r="K51" s="36"/>
    </row>
  </sheetData>
  <sheetProtection sheet="1" formatCells="0" formatColumns="0" formatRows="0"/>
  <autoFilter ref="A1:RF9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21">
      <sortCondition descending="1" ref="H1:H22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21">
    <cfRule type="expression" dxfId="124" priority="35" stopIfTrue="1">
      <formula>IF($AO4&lt;&gt;"",1,0)</formula>
    </cfRule>
  </conditionalFormatting>
  <conditionalFormatting sqref="AX4:BZ21">
    <cfRule type="expression" dxfId="123" priority="34" stopIfTrue="1">
      <formula>IF($BR4&lt;&gt;"",1,0)</formula>
    </cfRule>
  </conditionalFormatting>
  <conditionalFormatting sqref="M1:M1048576 Q1:Q1048576 O1:O1048576">
    <cfRule type="expression" dxfId="122" priority="31">
      <formula>IF(M1=$CA$1,1,0)</formula>
    </cfRule>
    <cfRule type="expression" dxfId="121" priority="32">
      <formula>IF(M1=$AX$1,1,0)</formula>
    </cfRule>
    <cfRule type="expression" dxfId="120" priority="33">
      <formula>IF(M1=$U$1,1,0)</formula>
    </cfRule>
  </conditionalFormatting>
  <conditionalFormatting sqref="CA4:DC21">
    <cfRule type="expression" dxfId="119" priority="30" stopIfTrue="1">
      <formula>IF($CU4&lt;&gt;"",1,0)</formula>
    </cfRule>
  </conditionalFormatting>
  <conditionalFormatting sqref="A4:B1048576">
    <cfRule type="expression" dxfId="118" priority="6">
      <formula>AND($I4="P",$H4="")</formula>
    </cfRule>
    <cfRule type="expression" dxfId="117" priority="29">
      <formula>IF(A4&gt;4,1,0)</formula>
    </cfRule>
  </conditionalFormatting>
  <conditionalFormatting sqref="J1:J1048576">
    <cfRule type="containsText" dxfId="116" priority="24" operator="containsText" text="No DD">
      <formula>NOT(ISERROR(SEARCH("No DD",J1)))</formula>
    </cfRule>
    <cfRule type="containsText" dxfId="115" priority="25" operator="containsText" text="Merit">
      <formula>NOT(ISERROR(SEARCH("Merit",J1)))</formula>
    </cfRule>
    <cfRule type="containsText" dxfId="114" priority="26" operator="containsText" text="Excellence">
      <formula>NOT(ISERROR(SEARCH("Excellence",J1)))</formula>
    </cfRule>
    <cfRule type="containsText" dxfId="113" priority="27" operator="containsText" text="Worlds Team">
      <formula>NOT(ISERROR(SEARCH("Worlds Team",J1)))</formula>
    </cfRule>
    <cfRule type="containsText" dxfId="112" priority="28" operator="containsText" text="National Team">
      <formula>NOT(ISERROR(SEARCH("National Team",J1)))</formula>
    </cfRule>
  </conditionalFormatting>
  <conditionalFormatting sqref="AT32:AT1048576 BW32:BW1048576 ED32:ED1048576 BW1:BW30 CZ1:CZ1048576 ED1:ED30 FF1:FF1048576 GH1:GH1048576 HJ1:HJ1048576 IL1:IL1048576 JN1:JN1048576 KP1:KP1048576 LR1:LR1048576 MT1:MT1048576 NV1:NV1048576 OX1:OX1048576 PZ1:PZ1048576 AT1:AT30">
    <cfRule type="cellIs" dxfId="111" priority="21" operator="between">
      <formula>AW$31</formula>
      <formula>1000</formula>
    </cfRule>
    <cfRule type="cellIs" dxfId="110" priority="22" operator="between">
      <formula>AW$30</formula>
      <formula>AW$31</formula>
    </cfRule>
    <cfRule type="cellIs" dxfId="109" priority="23" operator="between">
      <formula>AW$29</formula>
      <formula>AW$30</formula>
    </cfRule>
  </conditionalFormatting>
  <conditionalFormatting sqref="A1:B3">
    <cfRule type="expression" dxfId="108" priority="7">
      <formula>AND(I1&lt;&gt;"",H1="")</formula>
    </cfRule>
  </conditionalFormatting>
  <conditionalFormatting sqref="K51">
    <cfRule type="containsText" dxfId="107" priority="1" operator="containsText" text="No DD">
      <formula>NOT(ISERROR(SEARCH("No DD",K51)))</formula>
    </cfRule>
    <cfRule type="containsText" dxfId="106" priority="2" operator="containsText" text="Merit">
      <formula>NOT(ISERROR(SEARCH("Merit",K51)))</formula>
    </cfRule>
    <cfRule type="containsText" dxfId="105" priority="3" operator="containsText" text="Excellence">
      <formula>NOT(ISERROR(SEARCH("Excellence",K51)))</formula>
    </cfRule>
    <cfRule type="containsText" dxfId="104" priority="4" operator="containsText" text="Worlds Team">
      <formula>NOT(ISERROR(SEARCH("Worlds Team",K51)))</formula>
    </cfRule>
    <cfRule type="containsText" dxfId="103" priority="5" operator="containsText" text="National Team">
      <formula>NOT(ISERROR(SEARCH("National Team",K51)))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02" priority="182879" operator="between">
      <formula>AW$24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01" priority="182924" operator="between">
      <formula>AW$28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0" priority="182969" operator="between">
      <formula>AW$24</formula>
      <formula>AW$25</formula>
    </cfRule>
    <cfRule type="cellIs" dxfId="99" priority="182970" operator="between">
      <formula>AW$25</formula>
      <formula>AW$26</formula>
    </cfRule>
    <cfRule type="cellIs" dxfId="98" priority="182971" operator="between">
      <formula>AW$26</formula>
      <formula>AW$27</formula>
    </cfRule>
    <cfRule type="cellIs" dxfId="97" priority="182972" operator="between">
      <formula>AW$27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96" priority="183149" operator="between">
      <formula>AW$28</formula>
      <formula>AW$29</formula>
    </cfRule>
    <cfRule type="cellIs" dxfId="95" priority="183150" operator="between">
      <formula>AW$29</formula>
      <formula>AW$30</formula>
    </cfRule>
    <cfRule type="cellIs" dxfId="94" priority="183151" operator="between">
      <formula>AW$30</formula>
      <formula>AW$31</formula>
    </cfRule>
    <cfRule type="cellIs" dxfId="93" priority="183152" operator="between">
      <formula>AW$31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92" priority="183329" operator="between">
      <formula>AW$27</formula>
      <formula>1000</formula>
    </cfRule>
    <cfRule type="cellIs" dxfId="91" priority="183330" operator="between">
      <formula>AW$26</formula>
      <formula>AW$27</formula>
    </cfRule>
    <cfRule type="cellIs" dxfId="90" priority="183331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F4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186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203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200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201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DD"),SUMPRODUCT((J$4:J$21&lt;&gt;"")*(J$4:J$21&lt;&gt;"No DD")*(F$4:F$21&gt;F4))+1,IF(J4="No DD",SUMPRODUCT((J$4:J$21="No DD")*(F$4:F$21&gt;F4))+1+SUMPRODUCT((J$4:J$21&lt;&gt;"")*(J$4:J$21&lt;&gt;"No DD")),""))</f>
        <v>1</v>
      </c>
      <c r="B4" s="4" t="str" cm="1">
        <f t="array" ref="B4">IF(AND(J4&lt;&gt;"",J4&lt;&gt;"No DD",G4=""),SUMPRODUCT((J$4:J$21&lt;&gt;"")*(J$4:J$21&lt;&gt;"No DD")*(G$4:G$21="")*(F$4:F$21&gt;F4))+1,IF(J4="No DD",SUMPRODUCT((J$4:J$21="No DD")*(F$4:F$21&gt;F4)*(G$4:G$21=""))+1+SUMPRODUCT((J$4:J$21&lt;&gt;"")*(G$4:G$21="")*(J$4:J$21&lt;&gt;"No DD")),""))</f>
        <v/>
      </c>
      <c r="C4" s="5" t="s">
        <v>121</v>
      </c>
      <c r="D4" s="4" t="s">
        <v>4</v>
      </c>
      <c r="E4" s="4">
        <v>2006</v>
      </c>
      <c r="F4" s="9">
        <f t="shared" ref="F4:F20" si="0">SUM(L4:R4)+SUM(L4:O4)*0.0000001+SUM(L4)*0.0000000000001</f>
        <v>137.00000902000451</v>
      </c>
      <c r="G4" s="64" t="s">
        <v>46</v>
      </c>
      <c r="H4" s="3" t="str">
        <f t="shared" ref="H4:H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DZ4&gt;=EG$23,EA4&gt;=EG$27,DZ4&lt;&gt;""),AND(EE4&gt;=EG$23,EF4&gt;=EG$27,EE4&lt;&gt;""),AND(FB4&gt;=FI$23,FC4&gt;=FI$27,FB4&lt;&gt;""),AND(FG4&gt;=FI$23,FH4&gt;=FI$27,FG4&lt;&gt;""),AND(GD4&gt;=GK$23,GE4&gt;=GK$27,GD4&lt;&gt;""),AND(GI4&gt;=GK$23,GJ4&gt;=GK$27,GI4&lt;&gt;""),AND(HF4&gt;=HM$23,HG4&gt;=HM$27,HF4&lt;&gt;""),AND(HK4&gt;=HM$23,HL4&gt;=HM$27,HK4&lt;&gt;""),AND(IH4&gt;=IO$23,II4&gt;=IO$27,IH4&lt;&gt;""),AND(IM4&gt;=IO$23,IN4&gt;=IO$27,IM4&lt;&gt;""),AND(JJ4&gt;=JQ$23,JK4&gt;=JQ$27,JJ4&lt;&gt;""),AND(JO4&gt;=JQ$23,JP4&gt;=JQ$27,JO4&lt;&gt;""),AND(KL4&gt;=KS$23,KM4&gt;=KS$27,KL4&lt;&gt;""),AND(KQ4&gt;=KS$23,KR4&gt;=KS$27,KQ4&lt;&gt;""),AND(LN4&gt;=LU$23,LO4&gt;=LU$27,LN4&lt;&gt;""),AND(LS4&gt;=LU$23,LT4&gt;=LU$27,LS4&lt;&gt;""),AND(MP4&gt;=MW$23,MQ4&gt;=MW$27,MP4&lt;&gt;""),AND(MU4&gt;=MW$23,MV4&gt;=MW$27,MU4&lt;&gt;""),AND(NR4&gt;=NY$23,NS4&gt;=NY$27,NR4&lt;&gt;""),AND(NW4&gt;=NY$23,NX4&gt;=NY$27,NW4&lt;&gt;""),AND(OT4&gt;=PA$23,OU4&gt;=PA$27,OT4&lt;&gt;""),AND(OY4&gt;=PA$23,OZ4&gt;=PA$27,OY4&lt;&gt;""),AND(PV4&gt;=QC$23,PW4&gt;=QC$27,PV4&lt;&gt;""),AND(QA4&gt;=QC$23,QB4&gt;=QC$27,QA4&lt;&gt;"")),"P","")</f>
        <v>P</v>
      </c>
      <c r="I4" s="3" t="str">
        <f t="shared" ref="I4:I20" si="2">IF(OR(AND(AQ4&gt;=AW$27,AQ4&lt;&gt;"",AO4=""),AND(AV4&gt;=AW$27,AV4&lt;&gt;"",AO4=""),AND(BT4&gt;=BZ$27,BT4&lt;&gt;"",BR4=""),AND(BY4&gt;=BZ$27,BY4&lt;&gt;"",BR4=""),AND(CW4&gt;=DC$27,CW4&lt;&gt;"",CU4=""),AND(DB4&gt;=DC$27,DB4&lt;&gt;"",CU4=""),AND(EA4&gt;=EG$27,EA4&lt;&gt;""),AND(EF4&gt;=EG$27,EF4&lt;&gt;""),AND(FC4&gt;=FI$27,FC4&lt;&gt;""),AND(FH4&gt;=FI$27,FH4&lt;&gt;""),AND(GE4&gt;=GK$27,GE4&lt;&gt;""),AND(GJ4&gt;=GK$27,GJ4&lt;&gt;""),AND(HG4&gt;=HM$27,HG4&lt;&gt;""),AND(HL4&gt;=HM$27,HL4&lt;&gt;""),AND(II4&gt;=IO$27,II4&lt;&gt;""),AND(IN4&gt;=IO$27,IN4&lt;&gt;""),AND(JK4&gt;=JQ$27,JK4&lt;&gt;""),AND(JP4&gt;=JQ$27,JP4&lt;&gt;""),AND(KM4&gt;=KS$27,KM4&lt;&gt;""),AND(KR4&gt;=KS$27,KR4&lt;&gt;""),AND(LO4&gt;=LU$27,LO4&lt;&gt;""),AND(LT4&gt;=LU$27,LT4&lt;&gt;""),AND(MQ4&gt;=MW$27,MQ4&lt;&gt;""),AND(MV4&gt;=MW$27,MV4&lt;&gt;""),AND(NS4&gt;=NY$27,NS4&lt;&gt;""),AND(NX4&gt;=NY$27,NX4&lt;&gt;""),AND(OU4&gt;=PA$27,OU4&lt;&gt;""),AND(OZ4&gt;=PA$27,OZ4&lt;&gt;""),AND(PW4&gt;=QC$27,PW4&lt;&gt;""),AND(QB4&gt;=QC$27,QB4&lt;&gt;"")),"P","")</f>
        <v>P</v>
      </c>
      <c r="J4" s="36" t="str">
        <f t="shared" ref="J4:J20" si="3">IF(AND(I4="P",H4=""),"No DD",IF(OR(AND(AS4&gt;=AW$26,AT4&gt;=AW$30,AS4&lt;&gt;"",AO4=""),AND(BV4&gt;=BZ$26,BW4&gt;=BZ$30,BV4&lt;&gt;"",BR4=""),AND(CY4&gt;=DC$26,CZ4&gt;=DC$30,CY4&lt;&gt;"",CU4=""),AND(EC4&gt;=EG$26,ED4&gt;=EG$30,EC4&lt;&gt;""),AND(FE4&gt;=FI$26,FF4&gt;=FI$30,FE4&lt;&gt;""),AND(GG4&gt;=GK$26,GH4&gt;=GK$30,GG4&lt;&gt;""),AND(HI4&gt;=HM$26,HJ4&gt;=HM$30,HI4&lt;&gt;""),AND(IK4&gt;=IO$26,IL4&gt;=IO$30,IK4&lt;&gt;""),AND(JM4&gt;=JQ$26,JN4&gt;=JQ$30,JM4&lt;&gt;""),AND(KO4&gt;=KS$26,KP4&gt;=KS$30,KO4&lt;&gt;""),AND(LQ4&gt;=LU$26,LR4&gt;=LU$30,LQ4&lt;&gt;""),AND(MS4&gt;=MW$26,MT4&gt;=MW$30,MS4&lt;&gt;""),AND(NU4&gt;=NY$26,NV4&gt;=NY$30,NU4&lt;&gt;""),AND(OW4&gt;=PA$26,OX4&gt;=PA$30,OW4&lt;&gt;""),AND(PY4&gt;=QC$26,PZ4&gt;=QC$30,PY4&lt;&gt;"")),"Merit",IF(OR(AND(AS4&gt;=AW$25,AT4&gt;=AW$29,AS4&lt;&gt;"",AO4=""),AND(BV4&gt;=BZ$25,BW4&gt;=BZ$29,BV4&lt;&gt;"",BR4=""),AND(CY4&gt;=DC$25,CZ4&gt;=DC$29,CY4&lt;&gt;"",CU4=""),AND(EC4&gt;=EG$25,ED4&gt;=EG$29,EC4&lt;&gt;""),AND(FE4&gt;=FI$25,FF4&gt;=FI$29,FE4&lt;&gt;""),AND(GG4&gt;=GK$25,GH4&gt;=GK$29,GG4&lt;&gt;""),AND(HI4&gt;=HM$25,HJ4&gt;=HM$29,HI4&lt;&gt;""),AND(IK4&gt;=IO$25,IL4&gt;=IO$29,IK4&lt;&gt;""),AND(JM4&gt;=JQ$25,JN4&gt;=JQ$29,JM4&lt;&gt;""),AND(KO4&gt;=KS$25,KP4&gt;=KS$29,KO4&lt;&gt;""),AND(LQ4&gt;=LU$25,LR4&gt;=LU$29,LQ4&lt;&gt;""),AND(MS4&gt;=MW$25,MT4&gt;=MW$29,MS4&lt;&gt;""),AND(NU4&gt;=NY$25,NV4&gt;=NY$29,NU4&lt;&gt;""),AND(OW4&gt;=PA$25,OX4&gt;=PA$29,OW4&lt;&gt;""),AND(PY4&gt;=QC$25,PZ4&gt;=QC$29,PY4&lt;&gt;"")),"Excellence",IF(K4="P","Worlds Team",IF(H4="P","National Team","")))))</f>
        <v>National Team</v>
      </c>
      <c r="K4" s="3" t="str">
        <f t="shared" ref="K4:K20" si="4">IF(OR(AND(AS4&gt;=AW$24,AT4&gt;=AW$28,AS4&lt;&gt;"",AO4=""),AND(BV4&gt;=BZ$24,BW4&gt;=BZ$28,BV4&lt;&gt;"",BR4=""),AND(CY4&gt;=DC$24,CZ4&gt;=DC$28,CY4&lt;&gt;"",CU4=""),AND(EC4&gt;=EG$24,ED4&gt;=EG$28,EC4&lt;&gt;""),AND(FE4&gt;=FI$24,FF4&gt;=FI$28,FE4&lt;&gt;""),AND(GG4&gt;=GK$24,GH4&gt;=GK$28,GG4&lt;&gt;""),AND(HI4&gt;=HM$24,HJ4&gt;=HM$28,HI4&lt;&gt;""),AND(IK4&gt;=IO$24,IL4&gt;=IO$28,IK4&lt;&gt;""),AND(JM4&gt;=JQ$24,JN4&gt;=JQ$28,JM4&lt;&gt;""),AND(KO4&gt;=KS$24,KP4&gt;=KS$28,KO4&lt;&gt;""),AND(LQ4&gt;=LU$24,LR4&gt;=LU$28,LQ4&lt;&gt;""),AND(MS4&gt;=MW$24,MT4&gt;=MW$28,MS4&lt;&gt;""),AND(NU4&gt;=NY$24,NV4&gt;=NY$28,NU4&lt;&gt;""),AND(OW4&gt;=PA$24,OX4&gt;=PA$28,OW4&lt;&gt;""),AND(PY4&gt;=QC$24,PZ4&gt;=QC$28,PY4&lt;&gt;"")),"P","")</f>
        <v/>
      </c>
      <c r="L4" s="8">
        <f>IF(COUNT(AQ4,BT4,CW4)&gt;0,LARGE((AQ4,BT4,CW4),1),0)</f>
        <v>45.199999999999996</v>
      </c>
      <c r="M4" s="8" t="str">
        <f t="shared" ref="M4:M20" si="5">IF(L4=0,"",IF(L4=CW4,$CA$1,IF(L4=BT4,$AX$1,IF(L4=AQ4,$U$1,""))))</f>
        <v>2024 Nationals</v>
      </c>
      <c r="N4" s="8">
        <f>IF(COUNT(AQ4,BT4,CW4)&gt;1,LARGE((AQ4,BT4,CW4),2),0)</f>
        <v>45.000000000000007</v>
      </c>
      <c r="O4" s="8" t="str">
        <f t="shared" ref="O4:O20" si="6">IF(N4=0,"",IF(AND(N4=L4,N4=AQ4,N4=BT4),$U$1,IF(AND(N4=L4,N4=AQ4,N4=CW4),$U$1,IF(AND(N4=L4,N4=BT4,N4=CW4),$AX$1,IF(N4=CW4,$CA$1,IF(N4=BT4,$AX$1,IF(N4=AQ4,$U$1,"")))))))</f>
        <v>2025 Elite Canada</v>
      </c>
      <c r="P4" s="8">
        <f t="shared" ref="P4:P20" si="7">IF(MAX(AV4,BY4,DB4)&gt;0,MAX(AV4,BY4,DB4),0)</f>
        <v>46.800000000000004</v>
      </c>
      <c r="Q4" s="8" t="str">
        <f t="shared" ref="Q4:Q20" si="8">IF(P4=0,"",IF(P4=DB4,$CA$1,IF(P4=BY4,$AX$1,IF(P4=AV4,$U$1,""))))</f>
        <v>2025 Elite Canada</v>
      </c>
      <c r="R4" s="8" t="str">
        <f t="shared" ref="R4:R20" si="9"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17.2</v>
      </c>
      <c r="V4" s="19">
        <v>5</v>
      </c>
      <c r="W4" s="19">
        <v>0</v>
      </c>
      <c r="X4" s="19">
        <v>0.6</v>
      </c>
      <c r="Y4" s="19">
        <v>17</v>
      </c>
      <c r="Z4" s="19">
        <v>4.8</v>
      </c>
      <c r="AA4" s="19">
        <v>0</v>
      </c>
      <c r="AB4" s="19">
        <v>0.6</v>
      </c>
      <c r="AC4" s="19">
        <v>16.5</v>
      </c>
      <c r="AD4" s="19">
        <v>4.8</v>
      </c>
      <c r="AE4" s="19">
        <v>0</v>
      </c>
      <c r="AF4" s="19">
        <v>0.6</v>
      </c>
      <c r="AG4" s="19">
        <v>16.7</v>
      </c>
      <c r="AH4" s="19">
        <v>4.8</v>
      </c>
      <c r="AI4" s="19">
        <v>0</v>
      </c>
      <c r="AJ4" s="19">
        <v>0.6</v>
      </c>
      <c r="AK4" s="19">
        <v>16.899999999999999</v>
      </c>
      <c r="AL4" s="19">
        <v>5</v>
      </c>
      <c r="AM4" s="19">
        <v>0.2</v>
      </c>
      <c r="AN4" s="19">
        <v>0.6</v>
      </c>
      <c r="AO4" s="27"/>
      <c r="AP4" s="40">
        <f t="shared" ref="AP4:AP20" si="10">IF(SUM(V4,Z4)&gt;0,SUM(V4,Z4),"")</f>
        <v>9.8000000000000007</v>
      </c>
      <c r="AQ4" s="40">
        <f t="shared" ref="AQ4:AQ20" si="11">IF(SUM(U4:V4,X4:Z4,AB4)-W4-AA4&gt;0,SUM(U4:V4,X4:Z4,AB4)-W4-AA4,"")</f>
        <v>45.199999999999996</v>
      </c>
      <c r="AR4" s="40">
        <f t="shared" ref="AR4:AR20" si="12">IF(SUM(AC4:AD4,AF4)-AE4&gt;0,SUM(AC4:AD4,AF4)-AE4,"")</f>
        <v>21.900000000000002</v>
      </c>
      <c r="AS4" s="40">
        <f t="shared" ref="AS4:AS20" si="13">IF(SUM(V4,Z4,AD4)&gt;0,SUM(V4,Z4,AD4),"")</f>
        <v>14.600000000000001</v>
      </c>
      <c r="AT4" s="40">
        <f t="shared" ref="AT4:AT20" si="14">IF(SUM(AQ4,AR4)&gt;0,SUM(AQ4,AR4),"")</f>
        <v>67.099999999999994</v>
      </c>
      <c r="AU4" s="40">
        <f t="shared" ref="AU4:AU20" si="15">IF(SUM(AH4,AL4)&gt;0,SUM(AH4,AL4),"")</f>
        <v>9.8000000000000007</v>
      </c>
      <c r="AV4" s="40">
        <f t="shared" ref="AV4:AV20" si="16">IF(SUM(AG4:AH4,AJ4:AL4,AN4)-SUM(AI4,AM4)&gt;0,SUM(AG4:AH4,AJ4:AL4,AN4)-SUM(AI4,AM4),"")</f>
        <v>44.4</v>
      </c>
      <c r="AW4" s="40">
        <f t="shared" ref="AW4:AW20" si="17">IF(SUM(AQ4,AR4,AV4)&gt;0,SUM(AQ4,AR4,AV4),"")</f>
        <v>111.5</v>
      </c>
      <c r="AX4" s="18">
        <v>16.2</v>
      </c>
      <c r="AY4" s="18">
        <v>3.6</v>
      </c>
      <c r="AZ4" s="18">
        <v>0.2</v>
      </c>
      <c r="BA4" s="18">
        <v>0</v>
      </c>
      <c r="BB4" s="18">
        <v>16.3</v>
      </c>
      <c r="BC4" s="18">
        <v>3.9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18.100000000000001</v>
      </c>
      <c r="BK4" s="18">
        <v>3.6</v>
      </c>
      <c r="BL4" s="18">
        <v>0</v>
      </c>
      <c r="BM4" s="18">
        <v>0</v>
      </c>
      <c r="BN4" s="18">
        <v>17.100000000000001</v>
      </c>
      <c r="BO4" s="18">
        <v>4.0999999999999996</v>
      </c>
      <c r="BP4" s="18">
        <v>0</v>
      </c>
      <c r="BQ4" s="18">
        <v>0.3</v>
      </c>
      <c r="BR4" s="28"/>
      <c r="BS4" s="11">
        <f t="shared" ref="BS4:BS20" si="18">IF(SUM(AY4,BC4)&gt;0,SUM(AY4,BC4),"")</f>
        <v>7.5</v>
      </c>
      <c r="BT4" s="11">
        <f t="shared" ref="BT4:BT20" si="19">IF(SUM(AX4:AY4,BA4:BC4,BE4)-AZ4-BD4&gt;0,SUM(AX4:AY4,BA4:BC4,BE4)-AZ4-BD4,"")</f>
        <v>40.099999999999994</v>
      </c>
      <c r="BU4" s="11">
        <f t="shared" ref="BU4:BU20" si="20">IF(SUM(BF4:BG4,BI4)-BH4&gt;0,SUM(BF4:BG4,BI4)-BH4,"")</f>
        <v>22.200000000000003</v>
      </c>
      <c r="BV4" s="11">
        <f t="shared" ref="BV4:BV20" si="21">IF(SUM(AY4,BC4,BG4)&gt;0,SUM(AY4,BC4,BG4),"")</f>
        <v>12.3</v>
      </c>
      <c r="BW4" s="11">
        <f t="shared" ref="BW4:BW20" si="22">IF(SUM(BT4,BU4)&gt;0,SUM(BT4,BU4),"")</f>
        <v>62.3</v>
      </c>
      <c r="BX4" s="11">
        <f t="shared" ref="BX4:BX20" si="23">IF(SUM(BK4,BO4)&gt;0,SUM(BK4,BO4),"")</f>
        <v>7.6999999999999993</v>
      </c>
      <c r="BY4" s="11">
        <f t="shared" ref="BY4:BY20" si="24">IF(SUM(BJ4:BK4,BM4:BO4,BQ4)-SUM(BL4,BP4)&gt;0,SUM(BJ4:BK4,BM4:BO4,BQ4)-SUM(BL4,BP4),"")</f>
        <v>43.2</v>
      </c>
      <c r="BZ4" s="11">
        <f t="shared" ref="BZ4:BZ20" si="25">IF(SUM(BT4,BU4,BY4)&gt;0,SUM(BT4,BU4,BY4),"")</f>
        <v>105.5</v>
      </c>
      <c r="CA4" s="19">
        <v>17.7</v>
      </c>
      <c r="CB4" s="19">
        <v>4.3</v>
      </c>
      <c r="CC4" s="19">
        <v>0</v>
      </c>
      <c r="CD4" s="19">
        <v>0.7</v>
      </c>
      <c r="CE4" s="19">
        <v>15.5</v>
      </c>
      <c r="CF4" s="19">
        <v>6.1</v>
      </c>
      <c r="CG4" s="19">
        <v>0</v>
      </c>
      <c r="CH4" s="19">
        <v>0.7</v>
      </c>
      <c r="CI4" s="19"/>
      <c r="CJ4" s="19"/>
      <c r="CK4" s="19"/>
      <c r="CL4" s="19"/>
      <c r="CM4" s="19">
        <v>18.100000000000001</v>
      </c>
      <c r="CN4" s="19">
        <v>4.3</v>
      </c>
      <c r="CO4" s="19">
        <v>0</v>
      </c>
      <c r="CP4" s="19">
        <v>0.7</v>
      </c>
      <c r="CQ4" s="19">
        <v>16.899999999999999</v>
      </c>
      <c r="CR4" s="19">
        <v>6.1</v>
      </c>
      <c r="CS4" s="19">
        <v>0</v>
      </c>
      <c r="CT4" s="19">
        <v>0.7</v>
      </c>
      <c r="CU4" s="27"/>
      <c r="CV4" s="40">
        <f t="shared" ref="CV4:CV20" si="26">IF(SUM(CB4,CF4)&gt;0,SUM(CB4,CF4),"")</f>
        <v>10.399999999999999</v>
      </c>
      <c r="CW4" s="40">
        <f t="shared" ref="CW4:CW20" si="27">IF(SUM(CA4:CB4,CD4:CF4,CH4)-CC4-CG4&gt;0,SUM(CA4:CB4,CD4:CF4,CH4)-CC4-CG4,"")</f>
        <v>45.000000000000007</v>
      </c>
      <c r="CX4" s="40" t="str">
        <f t="shared" ref="CX4:CX20" si="28">IF(SUM(CI4:CJ4,CL4)-CK4&gt;0,SUM(CI4:CJ4,CL4)-CK4,"")</f>
        <v/>
      </c>
      <c r="CY4" s="40">
        <f t="shared" ref="CY4:CY20" si="29">IF(SUM(CB4,CF4,CJ4)&gt;0,SUM(CB4,CF4,CJ4),"")</f>
        <v>10.399999999999999</v>
      </c>
      <c r="CZ4" s="40">
        <f t="shared" ref="CZ4:CZ20" si="30">IF(SUM(CW4,CX4)&gt;0,SUM(CW4,CX4),"")</f>
        <v>45.000000000000007</v>
      </c>
      <c r="DA4" s="40">
        <f t="shared" ref="DA4:DA20" si="31">IF(SUM(CN4,CR4)&gt;0,SUM(CN4,CR4),"")</f>
        <v>10.399999999999999</v>
      </c>
      <c r="DB4" s="40">
        <f t="shared" ref="DB4:DB20" si="32">IF(SUM(CM4:CN4,CP4:CR4,CT4)-SUM(CO4,CS4)&gt;0,SUM(CM4:CN4,CP4:CR4,CT4)-SUM(CO4,CS4),"")</f>
        <v>46.800000000000004</v>
      </c>
      <c r="DC4" s="40">
        <f t="shared" ref="DC4:DC20" si="33">IF(SUM(CW4,CX4,DB4)&gt;0,SUM(CW4,CX4,DB4),"")</f>
        <v>91.800000000000011</v>
      </c>
      <c r="DD4" s="50" t="str">
        <f t="shared" ref="DD4:DD20" si="34">IF(MAX(EA4,FC4,GE4,HG4,II4,JK4,KM4,LO4,MQ4,NS4,OU4,PW4)-IF(N4="",0,N4)&gt;0.001,MAX(EA4,FC4,GE4,HG4,II4,JK4,KM4,LO4,MQ4,NS4,OU4,PW4)-IF(N4="",0,N4),"")</f>
        <v/>
      </c>
      <c r="DE4" s="50" t="str">
        <f t="shared" ref="DE4:DE20" si="35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20" si="36">IF(SUM(DG4,DK4)&gt;0,SUM(DG4,DK4),"")</f>
        <v/>
      </c>
      <c r="EA4" s="40" t="str">
        <f t="shared" ref="EA4:EA20" si="37">IF(SUM(DF4:DG4,DI4:DK4,DM4)-DH4-DL4&gt;0,SUM(DF4:DG4,DI4:DK4,DM4)-DH4-DL4,"")</f>
        <v/>
      </c>
      <c r="EB4" s="40" t="str">
        <f t="shared" ref="EB4:EB20" si="38">IF(SUM(DN4:DO4,DQ4)-DP4&gt;0,SUM(DN4:DO4,DQ4)-DP4,"")</f>
        <v/>
      </c>
      <c r="EC4" s="40" t="str">
        <f t="shared" ref="EC4:EC20" si="39">IF(SUM(DG4,DK4,DO4)&gt;0,SUM(DG4,DK4,DO4),"")</f>
        <v/>
      </c>
      <c r="ED4" s="40" t="str">
        <f t="shared" ref="ED4:ED20" si="40">IF(SUM(EA4,EB4)&gt;0,SUM(EA4,EB4),"")</f>
        <v/>
      </c>
      <c r="EE4" s="40" t="str">
        <f t="shared" ref="EE4:EE20" si="41">IF(SUM(DS4,DW4)&gt;0,SUM(DS4,DW4),"")</f>
        <v/>
      </c>
      <c r="EF4" s="40" t="str">
        <f t="shared" ref="EF4:EF20" si="42">IF(SUM(DR4:DS4,DU4:DW4,DY4)-SUM(DT4,DX4)&gt;0,SUM(DR4:DS4,DU4:DW4,DY4)-SUM(DT4,DX4),"")</f>
        <v/>
      </c>
      <c r="EG4" s="40" t="str">
        <f t="shared" ref="EG4:EG20" si="43">IF(SUM(EA4,EB4,EF4)&gt;0,SUM(EA4,EB4,EF4),"")</f>
        <v/>
      </c>
      <c r="EH4" s="18">
        <v>16.600000000000001</v>
      </c>
      <c r="EI4" s="18">
        <v>3.8</v>
      </c>
      <c r="EJ4" s="18">
        <v>0</v>
      </c>
      <c r="EK4" s="18">
        <v>0</v>
      </c>
      <c r="EL4" s="18">
        <v>17</v>
      </c>
      <c r="EM4" s="18">
        <v>4.8</v>
      </c>
      <c r="EN4" s="18">
        <v>0</v>
      </c>
      <c r="EO4" s="18">
        <v>0</v>
      </c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>
        <f t="shared" ref="FB4:FB20" si="44">IF(SUM(EI4,EM4)&gt;0,SUM(EI4,EM4),"")</f>
        <v>8.6</v>
      </c>
      <c r="FC4" s="11">
        <f t="shared" ref="FC4:FC20" si="45">IF(SUM(EH4:EI4,EK4:EM4,EO4)-EJ4-EN4&gt;0,SUM(EH4:EI4,EK4:EM4,EO4)-EJ4-EN4,"")</f>
        <v>42.2</v>
      </c>
      <c r="FD4" s="11" t="str">
        <f t="shared" ref="FD4:FD20" si="46">IF(SUM(EP4:EQ4,ES4)-ER4&gt;0,SUM(EP4:EQ4,ES4)-ER4,"")</f>
        <v/>
      </c>
      <c r="FE4" s="11">
        <f t="shared" ref="FE4:FE20" si="47">IF(SUM(EI4,EM4,EQ4)&gt;0,SUM(EI4,EM4,EQ4),"")</f>
        <v>8.6</v>
      </c>
      <c r="FF4" s="11">
        <f t="shared" ref="FF4:FF20" si="48">IF(SUM(FC4,FD4)&gt;0,SUM(FC4,FD4),"")</f>
        <v>42.2</v>
      </c>
      <c r="FG4" s="11" t="str">
        <f t="shared" ref="FG4:FG20" si="49">IF(SUM(EU4,EY4)&gt;0,SUM(EU4,EY4),"")</f>
        <v/>
      </c>
      <c r="FH4" s="11" t="str">
        <f t="shared" ref="FH4:FH20" si="50">IF(SUM(ET4:EU4,EW4:EY4,FA4)-SUM(EV4,EZ4)&gt;0,SUM(ET4:EU4,EW4:EY4,FA4)-SUM(EV4,EZ4),"")</f>
        <v/>
      </c>
      <c r="FI4" s="11">
        <f t="shared" ref="FI4:FI20" si="51">IF(SUM(FC4,FD4,FH4)&gt;0,SUM(FC4,FD4,FH4),"")</f>
        <v>42.2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20" si="52">IF(SUM(FK4,FO4)&gt;0,SUM(FK4,FO4),"")</f>
        <v/>
      </c>
      <c r="GE4" s="40" t="str">
        <f t="shared" ref="GE4:GE20" si="53">IF(SUM(FJ4:FK4,FM4:FO4,FQ4)-FL4-FP4&gt;0,SUM(FJ4:FK4,FM4:FO4,FQ4)-FL4-FP4,"")</f>
        <v/>
      </c>
      <c r="GF4" s="40" t="str">
        <f t="shared" ref="GF4:GF20" si="54">IF(SUM(FR4:FS4,FU4)-FT4&gt;0,SUM(FR4:FS4,FU4)-FT4,"")</f>
        <v/>
      </c>
      <c r="GG4" s="40" t="str">
        <f t="shared" ref="GG4:GG20" si="55">IF(SUM(FK4,FO4,FS4)&gt;0,SUM(FK4,FO4,FS4),"")</f>
        <v/>
      </c>
      <c r="GH4" s="40" t="str">
        <f t="shared" ref="GH4:GH20" si="56">IF(SUM(GE4,GF4)&gt;0,SUM(GE4,GF4),"")</f>
        <v/>
      </c>
      <c r="GI4" s="40" t="str">
        <f t="shared" ref="GI4:GI20" si="57">IF(SUM(FW4,GA4)&gt;0,SUM(FW4,GA4),"")</f>
        <v/>
      </c>
      <c r="GJ4" s="40" t="str">
        <f t="shared" ref="GJ4:GJ20" si="58">IF(SUM(FV4:FW4,FY4:GA4,GC4)-SUM(FX4,GB4)&gt;0,SUM(FV4:FW4,FY4:GA4,GC4)-SUM(FX4,GB4),"")</f>
        <v/>
      </c>
      <c r="GK4" s="40" t="str">
        <f t="shared" ref="GK4:GK20" si="59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20" si="60">IF(SUM(GM4,GQ4)&gt;0,SUM(GM4,GQ4),"")</f>
        <v/>
      </c>
      <c r="HG4" s="11" t="str">
        <f t="shared" ref="HG4:HG20" si="61">IF(SUM(GL4:GM4,GO4:GQ4,GS4)-GN4-GR4&gt;0,SUM(GL4:GM4,GO4:GQ4,GS4)-GN4-GR4,"")</f>
        <v/>
      </c>
      <c r="HH4" s="11" t="str">
        <f t="shared" ref="HH4:HH20" si="62">IF(SUM(GT4:GU4,GW4)-GV4&gt;0,SUM(GT4:GU4,GW4)-GV4,"")</f>
        <v/>
      </c>
      <c r="HI4" s="11" t="str">
        <f t="shared" ref="HI4:HI20" si="63">IF(SUM(GM4,GQ4,GU4)&gt;0,SUM(GM4,GQ4,GU4),"")</f>
        <v/>
      </c>
      <c r="HJ4" s="11" t="str">
        <f t="shared" ref="HJ4:HJ20" si="64">IF(SUM(HG4,HH4)&gt;0,SUM(HG4,HH4),"")</f>
        <v/>
      </c>
      <c r="HK4" s="11" t="str">
        <f t="shared" ref="HK4:HK20" si="65">IF(SUM(GY4,HC4)&gt;0,SUM(GY4,HC4),"")</f>
        <v/>
      </c>
      <c r="HL4" s="11" t="str">
        <f t="shared" ref="HL4:HL20" si="66">IF(SUM(GX4:GY4,HA4:HC4,HE4)-SUM(GZ4,HD4)&gt;0,SUM(GX4:GY4,HA4:HC4,HE4)-SUM(GZ4,HD4),"")</f>
        <v/>
      </c>
      <c r="HM4" s="11" t="str">
        <f t="shared" ref="HM4:HM20" si="67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20" si="68">IF(SUM(HO4,HS4)&gt;0,SUM(HO4,HS4),"")</f>
        <v/>
      </c>
      <c r="II4" s="40" t="str">
        <f t="shared" ref="II4:II20" si="69">IF(SUM(HN4:HO4,HQ4:HS4,HU4)-HP4-HT4&gt;0,SUM(HN4:HO4,HQ4:HS4,HU4)-HP4-HT4,"")</f>
        <v/>
      </c>
      <c r="IJ4" s="40" t="str">
        <f t="shared" ref="IJ4:IJ20" si="70">IF(SUM(HV4:HW4,HY4)-HX4&gt;0,SUM(HV4:HW4,HY4)-HX4,"")</f>
        <v/>
      </c>
      <c r="IK4" s="40" t="str">
        <f t="shared" ref="IK4:IK20" si="71">IF(SUM(HO4,HS4,HW4)&gt;0,SUM(HO4,HS4,HW4),"")</f>
        <v/>
      </c>
      <c r="IL4" s="40" t="str">
        <f t="shared" ref="IL4:IL20" si="72">IF(SUM(II4,IJ4)&gt;0,SUM(II4,IJ4),"")</f>
        <v/>
      </c>
      <c r="IM4" s="40" t="str">
        <f t="shared" ref="IM4:IM20" si="73">IF(SUM(IA4,IE4)&gt;0,SUM(IA4,IE4),"")</f>
        <v/>
      </c>
      <c r="IN4" s="40" t="str">
        <f t="shared" ref="IN4:IN20" si="74">IF(SUM(HZ4:IA4,IC4:IE4,IG4)-SUM(IB4,IF4)&gt;0,SUM(HZ4:IA4,IC4:IE4,IG4)-SUM(IB4,IF4),"")</f>
        <v/>
      </c>
      <c r="IO4" s="40" t="str">
        <f t="shared" ref="IO4:IO20" si="75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20" si="76">IF(SUM(IQ4,IU4)&gt;0,SUM(IQ4,IU4),"")</f>
        <v/>
      </c>
      <c r="JK4" s="11" t="str">
        <f t="shared" ref="JK4:JK20" si="77">IF(SUM(IP4:IQ4,IS4:IU4,IW4)-IR4-IV4&gt;0,SUM(IP4:IQ4,IS4:IU4,IW4)-IR4-IV4,"")</f>
        <v/>
      </c>
      <c r="JL4" s="11" t="str">
        <f t="shared" ref="JL4:JL20" si="78">IF(SUM(IX4:IY4,JA4)-IZ4&gt;0,SUM(IX4:IY4,JA4)-IZ4,"")</f>
        <v/>
      </c>
      <c r="JM4" s="11" t="str">
        <f t="shared" ref="JM4:JM20" si="79">IF(SUM(IQ4,IU4,IY4)&gt;0,SUM(IQ4,IU4,IY4),"")</f>
        <v/>
      </c>
      <c r="JN4" s="11" t="str">
        <f t="shared" ref="JN4:JN20" si="80">IF(SUM(JK4,JL4)&gt;0,SUM(JK4,JL4),"")</f>
        <v/>
      </c>
      <c r="JO4" s="11" t="str">
        <f t="shared" ref="JO4:JO20" si="81">IF(SUM(JC4,JG4)&gt;0,SUM(JC4,JG4),"")</f>
        <v/>
      </c>
      <c r="JP4" s="11" t="str">
        <f t="shared" ref="JP4:JP20" si="82">IF(SUM(JB4:JC4,JE4:JG4,JI4)-SUM(JD4,JH4)&gt;0,SUM(JB4:JC4,JE4:JG4,JI4)-SUM(JD4,JH4),"")</f>
        <v/>
      </c>
      <c r="JQ4" s="11" t="str">
        <f t="shared" ref="JQ4:JQ20" si="83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20" si="84">IF(SUM(JS4,JW4)&gt;0,SUM(JS4,JW4),"")</f>
        <v/>
      </c>
      <c r="KM4" s="40" t="str">
        <f t="shared" ref="KM4:KM20" si="85">IF(SUM(JR4:JS4,JU4:JW4,JY4)-JT4-JX4&gt;0,SUM(JR4:JS4,JU4:JW4,JY4)-JT4-JX4,"")</f>
        <v/>
      </c>
      <c r="KN4" s="40" t="str">
        <f t="shared" ref="KN4:KN20" si="86">IF(SUM(JZ4:KA4,KC4)-KB4&gt;0,SUM(JZ4:KA4,KC4)-KB4,"")</f>
        <v/>
      </c>
      <c r="KO4" s="40" t="str">
        <f t="shared" ref="KO4:KO20" si="87">IF(SUM(JS4,JW4,KA4)&gt;0,SUM(JS4,JW4,KA4),"")</f>
        <v/>
      </c>
      <c r="KP4" s="40" t="str">
        <f t="shared" ref="KP4:KP20" si="88">IF(SUM(KM4,KN4)&gt;0,SUM(KM4,KN4),"")</f>
        <v/>
      </c>
      <c r="KQ4" s="40" t="str">
        <f t="shared" ref="KQ4:KQ20" si="89">IF(SUM(KE4,KI4)&gt;0,SUM(KE4,KI4),"")</f>
        <v/>
      </c>
      <c r="KR4" s="40" t="str">
        <f t="shared" ref="KR4:KR20" si="90">IF(SUM(KD4:KE4,KG4:KI4,KK4)-SUM(KF4,KJ4)&gt;0,SUM(KD4:KE4,KG4:KI4,KK4)-SUM(KF4,KJ4),"")</f>
        <v/>
      </c>
      <c r="KS4" s="40" t="str">
        <f t="shared" ref="KS4:KS20" si="91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20" si="92">IF(SUM(KU4,KY4)&gt;0,SUM(KU4,KY4),"")</f>
        <v/>
      </c>
      <c r="LO4" s="11" t="str">
        <f t="shared" ref="LO4:LO20" si="93">IF(SUM(KT4:KU4,KW4:KY4,LA4)-KV4-KZ4&gt;0,SUM(KT4:KU4,KW4:KY4,LA4)-KV4-KZ4,"")</f>
        <v/>
      </c>
      <c r="LP4" s="11" t="str">
        <f t="shared" ref="LP4:LP20" si="94">IF(SUM(LB4:LC4,LE4)-LD4&gt;0,SUM(LB4:LC4,LE4)-LD4,"")</f>
        <v/>
      </c>
      <c r="LQ4" s="11" t="str">
        <f t="shared" ref="LQ4:LQ20" si="95">IF(SUM(KU4,KY4,LC4)&gt;0,SUM(KU4,KY4,LC4),"")</f>
        <v/>
      </c>
      <c r="LR4" s="11" t="str">
        <f t="shared" ref="LR4:LR20" si="96">IF(SUM(LO4,LP4)&gt;0,SUM(LO4,LP4),"")</f>
        <v/>
      </c>
      <c r="LS4" s="11" t="str">
        <f t="shared" ref="LS4:LS20" si="97">IF(SUM(LG4,LK4)&gt;0,SUM(LG4,LK4),"")</f>
        <v/>
      </c>
      <c r="LT4" s="11" t="str">
        <f t="shared" ref="LT4:LT20" si="98">IF(SUM(LF4:LG4,LI4:LK4,LM4)-SUM(LH4,LL4)&gt;0,SUM(LF4:LG4,LI4:LK4,LM4)-SUM(LH4,LL4),"")</f>
        <v/>
      </c>
      <c r="LU4" s="11" t="str">
        <f t="shared" ref="LU4:LU20" si="99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20" si="100">IF(SUM(LW4,MA4)&gt;0,SUM(LW4,MA4),"")</f>
        <v/>
      </c>
      <c r="MQ4" s="40" t="str">
        <f t="shared" ref="MQ4:MQ20" si="101">IF(SUM(LV4:LW4,LY4:MA4,MC4)-LX4-MB4&gt;0,SUM(LV4:LW4,LY4:MA4,MC4)-LX4-MB4,"")</f>
        <v/>
      </c>
      <c r="MR4" s="40" t="str">
        <f t="shared" ref="MR4:MR20" si="102">IF(SUM(MD4:ME4,MG4)-MF4&gt;0,SUM(MD4:ME4,MG4)-MF4,"")</f>
        <v/>
      </c>
      <c r="MS4" s="40" t="str">
        <f t="shared" ref="MS4:MS20" si="103">IF(SUM(LW4,MA4,ME4)&gt;0,SUM(LW4,MA4,ME4),"")</f>
        <v/>
      </c>
      <c r="MT4" s="40" t="str">
        <f t="shared" ref="MT4:MT20" si="104">IF(SUM(MQ4,MR4)&gt;0,SUM(MQ4,MR4),"")</f>
        <v/>
      </c>
      <c r="MU4" s="40" t="str">
        <f t="shared" ref="MU4:MU20" si="105">IF(SUM(MI4,MM4)&gt;0,SUM(MI4,MM4),"")</f>
        <v/>
      </c>
      <c r="MV4" s="40" t="str">
        <f t="shared" ref="MV4:MV20" si="106">IF(SUM(MH4:MI4,MK4:MM4,MO4)-SUM(MJ4,MN4)&gt;0,SUM(MH4:MI4,MK4:MM4,MO4)-SUM(MJ4,MN4),"")</f>
        <v/>
      </c>
      <c r="MW4" s="40" t="str">
        <f t="shared" ref="MW4:MW20" si="107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20" si="108">IF(SUM(MY4,NC4)&gt;0,SUM(MY4,NC4),"")</f>
        <v/>
      </c>
      <c r="NS4" s="11" t="str">
        <f t="shared" ref="NS4:NS20" si="109">IF(SUM(MX4:MY4,NA4:NC4,NE4)-MZ4-ND4&gt;0,SUM(MX4:MY4,NA4:NC4,NE4)-MZ4-ND4,"")</f>
        <v/>
      </c>
      <c r="NT4" s="11" t="str">
        <f t="shared" ref="NT4:NT20" si="110">IF(SUM(NF4:NG4,NI4)-NH4&gt;0,SUM(NF4:NG4,NI4)-NH4,"")</f>
        <v/>
      </c>
      <c r="NU4" s="11" t="str">
        <f t="shared" ref="NU4:NU20" si="111">IF(SUM(MY4,NC4,NG4)&gt;0,SUM(MY4,NC4,NG4),"")</f>
        <v/>
      </c>
      <c r="NV4" s="11" t="str">
        <f t="shared" ref="NV4:NV20" si="112">IF(SUM(NS4,NT4)&gt;0,SUM(NS4,NT4),"")</f>
        <v/>
      </c>
      <c r="NW4" s="11" t="str">
        <f t="shared" ref="NW4:NW20" si="113">IF(SUM(NK4,NO4)&gt;0,SUM(NK4,NO4),"")</f>
        <v/>
      </c>
      <c r="NX4" s="11" t="str">
        <f t="shared" ref="NX4:NX20" si="114">IF(SUM(NJ4:NK4,NM4:NO4,NQ4)-SUM(NL4,NP4)&gt;0,SUM(NJ4:NK4,NM4:NO4,NQ4)-SUM(NL4,NP4),"")</f>
        <v/>
      </c>
      <c r="NY4" s="11" t="str">
        <f t="shared" ref="NY4:NY20" si="115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20" si="116">IF(SUM(OA4,OE4)&gt;0,SUM(OA4,OE4),"")</f>
        <v/>
      </c>
      <c r="OU4" s="40" t="str">
        <f t="shared" ref="OU4:OU20" si="117">IF(SUM(NZ4:OA4,OC4:OE4,OG4)-OB4-OF4&gt;0,SUM(NZ4:OA4,OC4:OE4,OG4)-OB4-OF4,"")</f>
        <v/>
      </c>
      <c r="OV4" s="40" t="str">
        <f t="shared" ref="OV4:OV20" si="118">IF(SUM(OH4:OI4,OK4)-OJ4&gt;0,SUM(OH4:OI4,OK4)-OJ4,"")</f>
        <v/>
      </c>
      <c r="OW4" s="40" t="str">
        <f t="shared" ref="OW4:OW20" si="119">IF(SUM(OA4,OE4,OI4)&gt;0,SUM(OA4,OE4,OI4),"")</f>
        <v/>
      </c>
      <c r="OX4" s="40" t="str">
        <f t="shared" ref="OX4:OX20" si="120">IF(SUM(OU4,OV4)&gt;0,SUM(OU4,OV4),"")</f>
        <v/>
      </c>
      <c r="OY4" s="40" t="str">
        <f t="shared" ref="OY4:OY20" si="121">IF(SUM(OM4,OQ4)&gt;0,SUM(OM4,OQ4),"")</f>
        <v/>
      </c>
      <c r="OZ4" s="40" t="str">
        <f t="shared" ref="OZ4:OZ20" si="122">IF(SUM(OL4:OM4,OO4:OQ4,OS4)-SUM(ON4,OR4)&gt;0,SUM(OL4:OM4,OO4:OQ4,OS4)-SUM(ON4,OR4),"")</f>
        <v/>
      </c>
      <c r="PA4" s="40" t="str">
        <f t="shared" ref="PA4:PA20" si="123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20" si="124">IF(SUM(PC4,PG4)&gt;0,SUM(PC4,PG4),"")</f>
        <v/>
      </c>
      <c r="PW4" s="11" t="str">
        <f t="shared" ref="PW4:PW20" si="125">IF(SUM(PB4:PC4,PE4:PG4,PI4)-PD4-PH4&gt;0,SUM(PB4:PC4,PE4:PG4,PI4)-PD4-PH4,"")</f>
        <v/>
      </c>
      <c r="PX4" s="11" t="str">
        <f t="shared" ref="PX4:PX20" si="126">IF(SUM(PJ4:PK4,PM4)-PL4&gt;0,SUM(PJ4:PK4,PM4)-PL4,"")</f>
        <v/>
      </c>
      <c r="PY4" s="11" t="str">
        <f t="shared" ref="PY4:PY20" si="127">IF(SUM(PC4,PG4,PK4)&gt;0,SUM(PC4,PG4,PK4),"")</f>
        <v/>
      </c>
      <c r="PZ4" s="11" t="str">
        <f t="shared" ref="PZ4:PZ20" si="128">IF(SUM(PW4,PX4)&gt;0,SUM(PW4,PX4),"")</f>
        <v/>
      </c>
      <c r="QA4" s="11" t="str">
        <f t="shared" ref="QA4:QA20" si="129">IF(SUM(PO4,PS4)&gt;0,SUM(PO4,PS4),"")</f>
        <v/>
      </c>
      <c r="QB4" s="11" t="str">
        <f t="shared" ref="QB4:QB20" si="130">IF(SUM(PN4:PO4,PQ4:PS4,PU4)-SUM(PP4,PT4)&gt;0,SUM(PN4:PO4,PQ4:PS4,PU4)-SUM(PP4,PT4),"")</f>
        <v/>
      </c>
      <c r="QC4" s="11" t="str">
        <f t="shared" ref="QC4:QC20" si="131">IF(SUM(PW4,PX4,QB4)&gt;0,SUM(PW4,PX4,QB4),"")</f>
        <v/>
      </c>
      <c r="QD4" s="22">
        <f t="shared" ref="QD4:QD20" si="132">IF($CU4="P",CA4,(CA4+AX4)/2)</f>
        <v>16.95</v>
      </c>
      <c r="QE4" s="22">
        <f t="shared" ref="QE4:QE20" si="133">IF($CU4="P",CB4,(CB4+AY4)/2)</f>
        <v>3.95</v>
      </c>
      <c r="QF4" s="22">
        <f t="shared" ref="QF4:QF20" si="134">IF($CU4="P",CC4,(CC4+AZ4)/2)</f>
        <v>0.1</v>
      </c>
      <c r="QG4" s="22">
        <f t="shared" ref="QG4:QG20" si="135">IF($CU4="P",CD4,(CD4+BA4)/2)</f>
        <v>0.35</v>
      </c>
      <c r="QH4" s="22">
        <f t="shared" ref="QH4:QH20" si="136">IF($CU4="P",CE4,(CE4+BB4)/2)</f>
        <v>15.9</v>
      </c>
      <c r="QI4" s="22">
        <f t="shared" ref="QI4:QI20" si="137">IF($CU4="P",CF4,(CF4+BC4)/2)</f>
        <v>5</v>
      </c>
      <c r="QJ4" s="22">
        <f t="shared" ref="QJ4:QJ20" si="138">IF($CU4="P",CG4,(CG4+BD4)/2)</f>
        <v>0</v>
      </c>
      <c r="QK4" s="22">
        <f t="shared" ref="QK4:QK20" si="139">IF($CU4="P",CH4,(CH4+BE4)/2)</f>
        <v>0.5</v>
      </c>
      <c r="QL4" s="22">
        <f t="shared" ref="QL4:QL20" si="140">IF($CU4="P",CI4,(CI4+BF4)/2)</f>
        <v>8.4</v>
      </c>
      <c r="QM4" s="22">
        <f t="shared" ref="QM4:QM20" si="141">IF($CU4="P",CJ4,(CJ4+BG4)/2)</f>
        <v>2.4</v>
      </c>
      <c r="QN4" s="22">
        <f t="shared" ref="QN4:QN20" si="142">IF($CU4="P",CK4,(CK4+BH4)/2)</f>
        <v>0</v>
      </c>
      <c r="QO4" s="22">
        <f t="shared" ref="QO4:QO20" si="143">IF($CU4="P",CL4,(CL4+BI4)/2)</f>
        <v>0.3</v>
      </c>
      <c r="QP4" s="22">
        <f t="shared" ref="QP4:QP20" si="144">IF($CU4="P",CM4,(CM4+BJ4)/2)</f>
        <v>18.100000000000001</v>
      </c>
      <c r="QQ4" s="22">
        <f t="shared" ref="QQ4:QQ20" si="145">IF($CU4="P",CN4,(CN4+BK4)/2)</f>
        <v>3.95</v>
      </c>
      <c r="QR4" s="22">
        <f t="shared" ref="QR4:QR20" si="146">IF($CU4="P",CO4,(CO4+BL4)/2)</f>
        <v>0</v>
      </c>
      <c r="QS4" s="22">
        <f t="shared" ref="QS4:QS20" si="147">IF($CU4="P",CP4,(CP4+BM4)/2)</f>
        <v>0.35</v>
      </c>
      <c r="QT4" s="22">
        <f t="shared" ref="QT4:QT20" si="148">IF($CU4="P",CQ4,(CQ4+BN4)/2)</f>
        <v>17</v>
      </c>
      <c r="QU4" s="22">
        <f t="shared" ref="QU4:QU20" si="149">IF($CU4="P",CR4,(CR4+BO4)/2)</f>
        <v>5.0999999999999996</v>
      </c>
      <c r="QV4" s="22">
        <f t="shared" ref="QV4:QV20" si="150">IF($CU4="P",CS4,(CS4+BP4)/2)</f>
        <v>0</v>
      </c>
      <c r="QW4" s="22">
        <f t="shared" ref="QW4:QW20" si="151">IF($CU4="P",CT4,(CT4+BQ4)/2)</f>
        <v>0.5</v>
      </c>
      <c r="QX4" s="27" t="s">
        <v>46</v>
      </c>
      <c r="QY4" s="40">
        <f t="shared" ref="QY4:QY20" si="152">IF(SUM(QE4,QI4)&gt;0,SUM(QE4,QI4),"")</f>
        <v>8.9499999999999993</v>
      </c>
      <c r="QZ4" s="40">
        <f t="shared" ref="QZ4:QZ20" si="153">IF(SUM(QD4:QE4,QG4:QI4,QK4)-QF4-QJ4&gt;0,SUM(QD4:QE4,QG4:QI4,QK4)-QF4-QJ4,"")</f>
        <v>42.55</v>
      </c>
      <c r="RA4" s="40">
        <f t="shared" ref="RA4:RA20" si="154">IF(SUM(QL4:QM4,QO4)-QN4&gt;0,SUM(QL4:QM4,QO4)-QN4,"")</f>
        <v>11.100000000000001</v>
      </c>
      <c r="RB4" s="40">
        <f t="shared" ref="RB4:RB20" si="155">IF(SUM(QE4,QI4,QM4)&gt;0,SUM(QE4,QI4,QM4),"")</f>
        <v>11.35</v>
      </c>
      <c r="RC4" s="40">
        <f t="shared" ref="RC4:RC20" si="156">IF(SUM(QZ4,RA4)&gt;0,SUM(QZ4,RA4),"")</f>
        <v>53.65</v>
      </c>
      <c r="RD4" s="40">
        <f t="shared" ref="RD4:RD20" si="157">IF(SUM(QQ4,QU4)&gt;0,SUM(QQ4,QU4),"")</f>
        <v>9.0500000000000007</v>
      </c>
      <c r="RE4" s="40">
        <f t="shared" ref="RE4:RE20" si="158">IF(SUM(QP4:QQ4,QS4:QU4,QW4)-SUM(QR4,QV4)&gt;0,SUM(QP4:QQ4,QS4:QU4,QW4)-SUM(QR4,QV4),"")</f>
        <v>45.000000000000007</v>
      </c>
      <c r="RF4" s="40">
        <f t="shared" ref="RF4:RF20" si="159">IF(SUM(QZ4,RA4,RE4)&gt;0,SUM(QZ4,RA4,RE4),"")</f>
        <v>98.65</v>
      </c>
    </row>
    <row r="5" spans="1:474" x14ac:dyDescent="0.2">
      <c r="A5" s="4" cm="1">
        <f t="array" ref="A5">IF(AND(J5&lt;&gt;"",J5&lt;&gt;"No DD"),SUMPRODUCT((J$4:J$21&lt;&gt;"")*(J$4:J$21&lt;&gt;"No DD")*(F$4:F$21&gt;F5))+1,IF(J5="No DD",SUMPRODUCT((J$4:J$21="No DD")*(F$4:F$21&gt;F5))+1+SUMPRODUCT((J$4:J$21&lt;&gt;"")*(J$4:J$21&lt;&gt;"No DD")),""))</f>
        <v>2</v>
      </c>
      <c r="B5" s="4" t="str" cm="1">
        <f t="array" ref="B5">IF(AND(J5&lt;&gt;"",J5&lt;&gt;"No DD",G5=""),SUMPRODUCT((J$4:J$21&lt;&gt;"")*(J$4:J$21&lt;&gt;"No DD")*(G$4:G$21="")*(F$4:F$21&gt;F5))+1,IF(J5="No DD",SUMPRODUCT((J$4:J$21="No DD")*(F$4:F$21&gt;F5)*(G$4:G$21=""))+1+SUMPRODUCT((J$4:J$21&lt;&gt;"")*(G$4:G$21="")*(J$4:J$21&lt;&gt;"No DD")),""))</f>
        <v/>
      </c>
      <c r="C5" s="5" t="s">
        <v>93</v>
      </c>
      <c r="D5" s="4" t="s">
        <v>3</v>
      </c>
      <c r="E5" s="4">
        <v>2004</v>
      </c>
      <c r="F5" s="9">
        <f t="shared" si="0"/>
        <v>127.9000083400044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44</v>
      </c>
      <c r="M5" s="8" t="str">
        <f t="shared" si="5"/>
        <v>2025 Elite Canada</v>
      </c>
      <c r="N5" s="8">
        <f>IF(COUNT(AQ5,BT5,CW5)&gt;1,LARGE((AQ5,BT5,CW5),2),0)</f>
        <v>39.400000000000006</v>
      </c>
      <c r="O5" s="8" t="str">
        <f t="shared" si="6"/>
        <v>2024 3rd Domestic Trial</v>
      </c>
      <c r="P5" s="8">
        <f t="shared" si="7"/>
        <v>44.5</v>
      </c>
      <c r="Q5" s="8" t="str">
        <f t="shared" si="8"/>
        <v>2025 Elite Canada</v>
      </c>
      <c r="R5" s="8" t="str">
        <f t="shared" si="9"/>
        <v/>
      </c>
      <c r="S5" s="11" t="str">
        <f t="shared" ref="S5:S20" si="160">IF(R5="","",IF(R5=DD5,"("&amp;DD$2&amp;")",IF(R5=DE5,"("&amp;DE$2&amp;")")))</f>
        <v/>
      </c>
      <c r="T5" s="8" t="str">
        <f t="shared" ref="T5:T20" si="161"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15.7</v>
      </c>
      <c r="V5" s="19">
        <v>1.9</v>
      </c>
      <c r="W5" s="19">
        <v>0</v>
      </c>
      <c r="X5" s="19">
        <v>0.3</v>
      </c>
      <c r="Y5" s="19">
        <v>15.6</v>
      </c>
      <c r="Z5" s="19">
        <v>1.9</v>
      </c>
      <c r="AA5" s="19">
        <v>0</v>
      </c>
      <c r="AB5" s="19">
        <v>0.3</v>
      </c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>
        <f t="shared" si="10"/>
        <v>3.8</v>
      </c>
      <c r="AQ5" s="40">
        <f t="shared" si="11"/>
        <v>35.699999999999996</v>
      </c>
      <c r="AR5" s="40" t="str">
        <f t="shared" si="12"/>
        <v/>
      </c>
      <c r="AS5" s="40">
        <f t="shared" si="13"/>
        <v>3.8</v>
      </c>
      <c r="AT5" s="40">
        <f t="shared" si="14"/>
        <v>35.699999999999996</v>
      </c>
      <c r="AU5" s="40" t="str">
        <f t="shared" si="15"/>
        <v/>
      </c>
      <c r="AV5" s="40" t="str">
        <f t="shared" si="16"/>
        <v/>
      </c>
      <c r="AW5" s="40">
        <f t="shared" si="17"/>
        <v>35.699999999999996</v>
      </c>
      <c r="AX5" s="18">
        <v>16.100000000000001</v>
      </c>
      <c r="AY5" s="18">
        <v>4.3</v>
      </c>
      <c r="AZ5" s="18">
        <v>0</v>
      </c>
      <c r="BA5" s="18">
        <v>0.3</v>
      </c>
      <c r="BB5" s="18">
        <v>15.5</v>
      </c>
      <c r="BC5" s="18">
        <v>2.6</v>
      </c>
      <c r="BD5" s="18">
        <v>0</v>
      </c>
      <c r="BE5" s="18">
        <v>0.6</v>
      </c>
      <c r="BF5" s="18">
        <v>13.5</v>
      </c>
      <c r="BG5" s="18">
        <v>3.5</v>
      </c>
      <c r="BH5" s="18">
        <v>0.3</v>
      </c>
      <c r="BI5" s="18">
        <v>0.6</v>
      </c>
      <c r="BJ5" s="18">
        <v>17.100000000000001</v>
      </c>
      <c r="BK5" s="18">
        <v>4.3</v>
      </c>
      <c r="BL5" s="18">
        <v>0</v>
      </c>
      <c r="BM5" s="18">
        <v>0.3</v>
      </c>
      <c r="BN5" s="18">
        <v>16.600000000000001</v>
      </c>
      <c r="BO5" s="18">
        <v>4.0999999999999996</v>
      </c>
      <c r="BP5" s="18">
        <v>0</v>
      </c>
      <c r="BQ5" s="18">
        <v>0.3</v>
      </c>
      <c r="BR5" s="28"/>
      <c r="BS5" s="11">
        <f t="shared" si="18"/>
        <v>6.9</v>
      </c>
      <c r="BT5" s="11">
        <f t="shared" si="19"/>
        <v>39.400000000000006</v>
      </c>
      <c r="BU5" s="11">
        <f t="shared" si="20"/>
        <v>17.3</v>
      </c>
      <c r="BV5" s="11">
        <f t="shared" si="21"/>
        <v>10.4</v>
      </c>
      <c r="BW5" s="11">
        <f t="shared" si="22"/>
        <v>56.7</v>
      </c>
      <c r="BX5" s="11">
        <f t="shared" si="23"/>
        <v>8.3999999999999986</v>
      </c>
      <c r="BY5" s="11">
        <f t="shared" si="24"/>
        <v>42.7</v>
      </c>
      <c r="BZ5" s="11">
        <f t="shared" si="25"/>
        <v>99.4</v>
      </c>
      <c r="CA5" s="19">
        <v>16.399999999999999</v>
      </c>
      <c r="CB5" s="19">
        <v>4.3</v>
      </c>
      <c r="CC5" s="19">
        <v>0.2</v>
      </c>
      <c r="CD5" s="19">
        <v>0.7</v>
      </c>
      <c r="CE5" s="19">
        <v>17.600000000000001</v>
      </c>
      <c r="CF5" s="19">
        <v>4.5</v>
      </c>
      <c r="CG5" s="19">
        <v>0</v>
      </c>
      <c r="CH5" s="19">
        <v>0.7</v>
      </c>
      <c r="CI5" s="19"/>
      <c r="CJ5" s="19"/>
      <c r="CK5" s="19"/>
      <c r="CL5" s="19"/>
      <c r="CM5" s="19">
        <v>17.7</v>
      </c>
      <c r="CN5" s="19">
        <v>4.5</v>
      </c>
      <c r="CO5" s="19">
        <v>0</v>
      </c>
      <c r="CP5" s="19">
        <v>0.7</v>
      </c>
      <c r="CQ5" s="19">
        <v>16.8</v>
      </c>
      <c r="CR5" s="19">
        <v>4.3</v>
      </c>
      <c r="CS5" s="19">
        <v>0.2</v>
      </c>
      <c r="CT5" s="19">
        <v>0.7</v>
      </c>
      <c r="CU5" s="27"/>
      <c r="CV5" s="40">
        <f t="shared" si="26"/>
        <v>8.8000000000000007</v>
      </c>
      <c r="CW5" s="40">
        <f t="shared" si="27"/>
        <v>44</v>
      </c>
      <c r="CX5" s="40" t="str">
        <f t="shared" si="28"/>
        <v/>
      </c>
      <c r="CY5" s="40">
        <f t="shared" si="29"/>
        <v>8.8000000000000007</v>
      </c>
      <c r="CZ5" s="40">
        <f t="shared" si="30"/>
        <v>44</v>
      </c>
      <c r="DA5" s="40">
        <f t="shared" si="31"/>
        <v>8.8000000000000007</v>
      </c>
      <c r="DB5" s="40">
        <f t="shared" si="32"/>
        <v>44.5</v>
      </c>
      <c r="DC5" s="40">
        <f t="shared" si="33"/>
        <v>88.5</v>
      </c>
      <c r="DD5" s="50" t="str">
        <f t="shared" si="34"/>
        <v/>
      </c>
      <c r="DE5" s="50" t="str">
        <f t="shared" si="35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6"/>
        <v/>
      </c>
      <c r="EA5" s="40" t="str">
        <f t="shared" si="37"/>
        <v/>
      </c>
      <c r="EB5" s="40" t="str">
        <f t="shared" si="38"/>
        <v/>
      </c>
      <c r="EC5" s="40" t="str">
        <f t="shared" si="39"/>
        <v/>
      </c>
      <c r="ED5" s="40" t="str">
        <f t="shared" si="40"/>
        <v/>
      </c>
      <c r="EE5" s="40" t="str">
        <f t="shared" si="41"/>
        <v/>
      </c>
      <c r="EF5" s="40" t="str">
        <f t="shared" si="42"/>
        <v/>
      </c>
      <c r="EG5" s="40" t="str">
        <f t="shared" si="43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4"/>
        <v/>
      </c>
      <c r="FC5" s="11" t="str">
        <f t="shared" si="45"/>
        <v/>
      </c>
      <c r="FD5" s="11" t="str">
        <f t="shared" si="46"/>
        <v/>
      </c>
      <c r="FE5" s="11" t="str">
        <f t="shared" si="47"/>
        <v/>
      </c>
      <c r="FF5" s="11" t="str">
        <f t="shared" si="48"/>
        <v/>
      </c>
      <c r="FG5" s="11" t="str">
        <f t="shared" si="49"/>
        <v/>
      </c>
      <c r="FH5" s="11" t="str">
        <f t="shared" si="50"/>
        <v/>
      </c>
      <c r="FI5" s="11" t="str">
        <f t="shared" si="51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2"/>
        <v/>
      </c>
      <c r="GE5" s="40" t="str">
        <f t="shared" si="53"/>
        <v/>
      </c>
      <c r="GF5" s="40" t="str">
        <f t="shared" si="54"/>
        <v/>
      </c>
      <c r="GG5" s="40" t="str">
        <f t="shared" si="55"/>
        <v/>
      </c>
      <c r="GH5" s="40" t="str">
        <f t="shared" si="56"/>
        <v/>
      </c>
      <c r="GI5" s="40" t="str">
        <f t="shared" si="57"/>
        <v/>
      </c>
      <c r="GJ5" s="40" t="str">
        <f t="shared" si="58"/>
        <v/>
      </c>
      <c r="GK5" s="40" t="str">
        <f t="shared" si="59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0"/>
        <v/>
      </c>
      <c r="HG5" s="11" t="str">
        <f t="shared" si="61"/>
        <v/>
      </c>
      <c r="HH5" s="11" t="str">
        <f t="shared" si="62"/>
        <v/>
      </c>
      <c r="HI5" s="11" t="str">
        <f t="shared" si="63"/>
        <v/>
      </c>
      <c r="HJ5" s="11" t="str">
        <f t="shared" si="64"/>
        <v/>
      </c>
      <c r="HK5" s="11" t="str">
        <f t="shared" si="65"/>
        <v/>
      </c>
      <c r="HL5" s="11" t="str">
        <f t="shared" si="66"/>
        <v/>
      </c>
      <c r="HM5" s="11" t="str">
        <f t="shared" si="67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68"/>
        <v/>
      </c>
      <c r="II5" s="40" t="str">
        <f t="shared" si="69"/>
        <v/>
      </c>
      <c r="IJ5" s="40" t="str">
        <f t="shared" si="70"/>
        <v/>
      </c>
      <c r="IK5" s="40" t="str">
        <f t="shared" si="71"/>
        <v/>
      </c>
      <c r="IL5" s="40" t="str">
        <f t="shared" si="72"/>
        <v/>
      </c>
      <c r="IM5" s="40" t="str">
        <f t="shared" si="73"/>
        <v/>
      </c>
      <c r="IN5" s="40" t="str">
        <f t="shared" si="74"/>
        <v/>
      </c>
      <c r="IO5" s="40" t="str">
        <f t="shared" si="75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6"/>
        <v/>
      </c>
      <c r="JK5" s="11" t="str">
        <f t="shared" si="77"/>
        <v/>
      </c>
      <c r="JL5" s="11" t="str">
        <f t="shared" si="78"/>
        <v/>
      </c>
      <c r="JM5" s="11" t="str">
        <f t="shared" si="79"/>
        <v/>
      </c>
      <c r="JN5" s="11" t="str">
        <f t="shared" si="80"/>
        <v/>
      </c>
      <c r="JO5" s="11" t="str">
        <f t="shared" si="81"/>
        <v/>
      </c>
      <c r="JP5" s="11" t="str">
        <f t="shared" si="82"/>
        <v/>
      </c>
      <c r="JQ5" s="11" t="str">
        <f t="shared" si="83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4"/>
        <v/>
      </c>
      <c r="KM5" s="40" t="str">
        <f t="shared" si="85"/>
        <v/>
      </c>
      <c r="KN5" s="40" t="str">
        <f t="shared" si="86"/>
        <v/>
      </c>
      <c r="KO5" s="40" t="str">
        <f t="shared" si="87"/>
        <v/>
      </c>
      <c r="KP5" s="40" t="str">
        <f t="shared" si="88"/>
        <v/>
      </c>
      <c r="KQ5" s="40" t="str">
        <f t="shared" si="89"/>
        <v/>
      </c>
      <c r="KR5" s="40" t="str">
        <f t="shared" si="90"/>
        <v/>
      </c>
      <c r="KS5" s="40" t="str">
        <f t="shared" si="91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2"/>
        <v/>
      </c>
      <c r="LO5" s="11" t="str">
        <f t="shared" si="93"/>
        <v/>
      </c>
      <c r="LP5" s="11" t="str">
        <f t="shared" si="94"/>
        <v/>
      </c>
      <c r="LQ5" s="11" t="str">
        <f t="shared" si="95"/>
        <v/>
      </c>
      <c r="LR5" s="11" t="str">
        <f t="shared" si="96"/>
        <v/>
      </c>
      <c r="LS5" s="11" t="str">
        <f t="shared" si="97"/>
        <v/>
      </c>
      <c r="LT5" s="11" t="str">
        <f t="shared" si="98"/>
        <v/>
      </c>
      <c r="LU5" s="11" t="str">
        <f t="shared" si="99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0"/>
        <v/>
      </c>
      <c r="MQ5" s="40" t="str">
        <f t="shared" si="101"/>
        <v/>
      </c>
      <c r="MR5" s="40" t="str">
        <f t="shared" si="102"/>
        <v/>
      </c>
      <c r="MS5" s="40" t="str">
        <f t="shared" si="103"/>
        <v/>
      </c>
      <c r="MT5" s="40" t="str">
        <f t="shared" si="104"/>
        <v/>
      </c>
      <c r="MU5" s="40" t="str">
        <f t="shared" si="105"/>
        <v/>
      </c>
      <c r="MV5" s="40" t="str">
        <f t="shared" si="106"/>
        <v/>
      </c>
      <c r="MW5" s="40" t="str">
        <f t="shared" si="107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08"/>
        <v/>
      </c>
      <c r="NS5" s="11" t="str">
        <f t="shared" si="109"/>
        <v/>
      </c>
      <c r="NT5" s="11" t="str">
        <f t="shared" si="110"/>
        <v/>
      </c>
      <c r="NU5" s="11" t="str">
        <f t="shared" si="111"/>
        <v/>
      </c>
      <c r="NV5" s="11" t="str">
        <f t="shared" si="112"/>
        <v/>
      </c>
      <c r="NW5" s="11" t="str">
        <f t="shared" si="113"/>
        <v/>
      </c>
      <c r="NX5" s="11" t="str">
        <f t="shared" si="114"/>
        <v/>
      </c>
      <c r="NY5" s="11" t="str">
        <f t="shared" si="115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6"/>
        <v/>
      </c>
      <c r="OU5" s="40" t="str">
        <f t="shared" si="117"/>
        <v/>
      </c>
      <c r="OV5" s="40" t="str">
        <f t="shared" si="118"/>
        <v/>
      </c>
      <c r="OW5" s="40" t="str">
        <f t="shared" si="119"/>
        <v/>
      </c>
      <c r="OX5" s="40" t="str">
        <f t="shared" si="120"/>
        <v/>
      </c>
      <c r="OY5" s="40" t="str">
        <f t="shared" si="121"/>
        <v/>
      </c>
      <c r="OZ5" s="40" t="str">
        <f t="shared" si="122"/>
        <v/>
      </c>
      <c r="PA5" s="40" t="str">
        <f t="shared" si="123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4"/>
        <v/>
      </c>
      <c r="PW5" s="11" t="str">
        <f t="shared" si="125"/>
        <v/>
      </c>
      <c r="PX5" s="11" t="str">
        <f t="shared" si="126"/>
        <v/>
      </c>
      <c r="PY5" s="11" t="str">
        <f t="shared" si="127"/>
        <v/>
      </c>
      <c r="PZ5" s="11" t="str">
        <f t="shared" si="128"/>
        <v/>
      </c>
      <c r="QA5" s="11" t="str">
        <f t="shared" si="129"/>
        <v/>
      </c>
      <c r="QB5" s="11" t="str">
        <f t="shared" si="130"/>
        <v/>
      </c>
      <c r="QC5" s="11" t="str">
        <f t="shared" si="131"/>
        <v/>
      </c>
      <c r="QD5" s="22">
        <f t="shared" si="132"/>
        <v>16.25</v>
      </c>
      <c r="QE5" s="22">
        <f t="shared" si="133"/>
        <v>4.3</v>
      </c>
      <c r="QF5" s="22">
        <f t="shared" si="134"/>
        <v>0.1</v>
      </c>
      <c r="QG5" s="22">
        <f t="shared" si="135"/>
        <v>0.5</v>
      </c>
      <c r="QH5" s="22">
        <f t="shared" si="136"/>
        <v>16.55</v>
      </c>
      <c r="QI5" s="22">
        <f t="shared" si="137"/>
        <v>3.55</v>
      </c>
      <c r="QJ5" s="22">
        <f t="shared" si="138"/>
        <v>0</v>
      </c>
      <c r="QK5" s="22">
        <f t="shared" si="139"/>
        <v>0.64999999999999991</v>
      </c>
      <c r="QL5" s="22">
        <f t="shared" si="140"/>
        <v>6.75</v>
      </c>
      <c r="QM5" s="22">
        <f t="shared" si="141"/>
        <v>1.75</v>
      </c>
      <c r="QN5" s="22">
        <f t="shared" si="142"/>
        <v>0.15</v>
      </c>
      <c r="QO5" s="22">
        <f t="shared" si="143"/>
        <v>0.3</v>
      </c>
      <c r="QP5" s="22">
        <f t="shared" si="144"/>
        <v>17.399999999999999</v>
      </c>
      <c r="QQ5" s="22">
        <f t="shared" si="145"/>
        <v>4.4000000000000004</v>
      </c>
      <c r="QR5" s="22">
        <f t="shared" si="146"/>
        <v>0</v>
      </c>
      <c r="QS5" s="22">
        <f t="shared" si="147"/>
        <v>0.5</v>
      </c>
      <c r="QT5" s="22">
        <f t="shared" si="148"/>
        <v>16.700000000000003</v>
      </c>
      <c r="QU5" s="22">
        <f t="shared" si="149"/>
        <v>4.1999999999999993</v>
      </c>
      <c r="QV5" s="22">
        <f t="shared" si="150"/>
        <v>0.1</v>
      </c>
      <c r="QW5" s="22">
        <f t="shared" si="151"/>
        <v>0.5</v>
      </c>
      <c r="QX5" s="27" t="s">
        <v>46</v>
      </c>
      <c r="QY5" s="40">
        <f t="shared" si="152"/>
        <v>7.85</v>
      </c>
      <c r="QZ5" s="40">
        <f t="shared" si="153"/>
        <v>41.699999999999996</v>
      </c>
      <c r="RA5" s="40">
        <f t="shared" si="154"/>
        <v>8.65</v>
      </c>
      <c r="RB5" s="40">
        <f t="shared" si="155"/>
        <v>9.6</v>
      </c>
      <c r="RC5" s="40">
        <f t="shared" si="156"/>
        <v>50.349999999999994</v>
      </c>
      <c r="RD5" s="40">
        <f t="shared" si="157"/>
        <v>8.6</v>
      </c>
      <c r="RE5" s="40">
        <f t="shared" si="158"/>
        <v>43.6</v>
      </c>
      <c r="RF5" s="40">
        <f t="shared" si="159"/>
        <v>93.949999999999989</v>
      </c>
    </row>
    <row r="6" spans="1:474" x14ac:dyDescent="0.2">
      <c r="A6" s="4" cm="1">
        <f t="array" ref="A6">IF(AND(J6&lt;&gt;"",J6&lt;&gt;"No DD"),SUMPRODUCT((J$4:J$21&lt;&gt;"")*(J$4:J$21&lt;&gt;"No DD")*(F$4:F$21&gt;F6))+1,IF(J6="No DD",SUMPRODUCT((J$4:J$21="No DD")*(F$4:F$21&gt;F6))+1+SUMPRODUCT((J$4:J$21&lt;&gt;"")*(J$4:J$21&lt;&gt;"No DD")),""))</f>
        <v>3</v>
      </c>
      <c r="B6" s="4" t="str" cm="1">
        <f t="array" ref="B6">IF(AND(J6&lt;&gt;"",J6&lt;&gt;"No DD",G6=""),SUMPRODUCT((J$4:J$21&lt;&gt;"")*(J$4:J$21&lt;&gt;"No DD")*(G$4:G$21="")*(F$4:F$21&gt;F6))+1,IF(J6="No DD",SUMPRODUCT((J$4:J$21="No DD")*(F$4:F$21&gt;F6)*(G$4:G$21=""))+1+SUMPRODUCT((J$4:J$21&lt;&gt;"")*(G$4:G$21="")*(J$4:J$21&lt;&gt;"No DD")),""))</f>
        <v/>
      </c>
      <c r="C6" s="5" t="s">
        <v>154</v>
      </c>
      <c r="D6" s="4" t="s">
        <v>3</v>
      </c>
      <c r="E6" s="4">
        <v>2007</v>
      </c>
      <c r="F6" s="9">
        <f t="shared" si="0"/>
        <v>126.90000827000426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42.6</v>
      </c>
      <c r="M6" s="8" t="str">
        <f t="shared" si="5"/>
        <v>2024 Nationals</v>
      </c>
      <c r="N6" s="8">
        <f>IF(COUNT(AQ6,BT6,CW6)&gt;1,LARGE((AQ6,BT6,CW6),2),0)</f>
        <v>40.1</v>
      </c>
      <c r="O6" s="8" t="str">
        <f t="shared" si="6"/>
        <v>2025 Elite Canada</v>
      </c>
      <c r="P6" s="8">
        <f t="shared" si="7"/>
        <v>42.1</v>
      </c>
      <c r="Q6" s="8" t="str">
        <f t="shared" si="8"/>
        <v>2024 Nationals</v>
      </c>
      <c r="R6" s="8">
        <f t="shared" si="9"/>
        <v>2.1000000000000014</v>
      </c>
      <c r="S6" s="11" t="str">
        <f t="shared" si="160"/>
        <v>(Q1)</v>
      </c>
      <c r="T6" s="8" t="str">
        <f t="shared" si="161"/>
        <v>2024 Coimbra Gym Fest (July 7)</v>
      </c>
      <c r="U6" s="19">
        <v>16.8</v>
      </c>
      <c r="V6" s="19">
        <v>4.2</v>
      </c>
      <c r="W6" s="19">
        <v>0.2</v>
      </c>
      <c r="X6" s="19">
        <v>0.3</v>
      </c>
      <c r="Y6" s="19">
        <v>16.3</v>
      </c>
      <c r="Z6" s="19">
        <v>4.5999999999999996</v>
      </c>
      <c r="AA6" s="19">
        <v>0</v>
      </c>
      <c r="AB6" s="19">
        <v>0.6</v>
      </c>
      <c r="AC6" s="19">
        <v>16.5</v>
      </c>
      <c r="AD6" s="19">
        <v>4.5999999999999996</v>
      </c>
      <c r="AE6" s="19">
        <v>0</v>
      </c>
      <c r="AF6" s="19">
        <v>0.6</v>
      </c>
      <c r="AG6" s="19">
        <v>15.9</v>
      </c>
      <c r="AH6" s="19">
        <v>4.2</v>
      </c>
      <c r="AI6" s="19">
        <v>0.4</v>
      </c>
      <c r="AJ6" s="19">
        <v>0.3</v>
      </c>
      <c r="AK6" s="19">
        <v>16.899999999999999</v>
      </c>
      <c r="AL6" s="19">
        <v>4.5999999999999996</v>
      </c>
      <c r="AM6" s="19">
        <v>0</v>
      </c>
      <c r="AN6" s="19">
        <v>0.6</v>
      </c>
      <c r="AO6" s="27"/>
      <c r="AP6" s="40">
        <f t="shared" si="10"/>
        <v>8.8000000000000007</v>
      </c>
      <c r="AQ6" s="40">
        <f t="shared" si="11"/>
        <v>42.6</v>
      </c>
      <c r="AR6" s="40">
        <f t="shared" si="12"/>
        <v>21.700000000000003</v>
      </c>
      <c r="AS6" s="40">
        <f t="shared" si="13"/>
        <v>13.4</v>
      </c>
      <c r="AT6" s="40">
        <f t="shared" si="14"/>
        <v>64.300000000000011</v>
      </c>
      <c r="AU6" s="40">
        <f t="shared" si="15"/>
        <v>8.8000000000000007</v>
      </c>
      <c r="AV6" s="40">
        <f t="shared" si="16"/>
        <v>42.1</v>
      </c>
      <c r="AW6" s="40">
        <f t="shared" si="17"/>
        <v>106.4</v>
      </c>
      <c r="AX6" s="18">
        <v>11.7</v>
      </c>
      <c r="AY6" s="18">
        <v>3</v>
      </c>
      <c r="AZ6" s="18">
        <v>0</v>
      </c>
      <c r="BA6" s="18">
        <v>0.6</v>
      </c>
      <c r="BB6" s="18">
        <v>16.399999999999999</v>
      </c>
      <c r="BC6" s="18">
        <v>4.5999999999999996</v>
      </c>
      <c r="BD6" s="18">
        <v>0</v>
      </c>
      <c r="BE6" s="18">
        <v>0.6</v>
      </c>
      <c r="BF6" s="18">
        <v>16.2</v>
      </c>
      <c r="BG6" s="18">
        <v>4.5999999999999996</v>
      </c>
      <c r="BH6" s="18">
        <v>0</v>
      </c>
      <c r="BI6" s="18">
        <v>0.6</v>
      </c>
      <c r="BJ6" s="18">
        <v>16.3</v>
      </c>
      <c r="BK6" s="18">
        <v>4.4000000000000004</v>
      </c>
      <c r="BL6" s="18">
        <v>0.2</v>
      </c>
      <c r="BM6" s="18">
        <v>0.44999999999999996</v>
      </c>
      <c r="BN6" s="18">
        <v>16.25</v>
      </c>
      <c r="BO6" s="18">
        <v>3.5999999999999996</v>
      </c>
      <c r="BP6" s="18">
        <v>0</v>
      </c>
      <c r="BQ6" s="18">
        <v>0.6</v>
      </c>
      <c r="BR6" s="28" t="s">
        <v>46</v>
      </c>
      <c r="BS6" s="11">
        <f t="shared" si="18"/>
        <v>7.6</v>
      </c>
      <c r="BT6" s="11">
        <f t="shared" si="19"/>
        <v>36.9</v>
      </c>
      <c r="BU6" s="11">
        <f t="shared" si="20"/>
        <v>21.4</v>
      </c>
      <c r="BV6" s="11">
        <f t="shared" si="21"/>
        <v>12.2</v>
      </c>
      <c r="BW6" s="11">
        <f t="shared" si="22"/>
        <v>58.3</v>
      </c>
      <c r="BX6" s="11">
        <f t="shared" si="23"/>
        <v>8</v>
      </c>
      <c r="BY6" s="11">
        <f t="shared" si="24"/>
        <v>41.400000000000006</v>
      </c>
      <c r="BZ6" s="11">
        <f t="shared" si="25"/>
        <v>99.7</v>
      </c>
      <c r="CA6" s="19">
        <v>15.3</v>
      </c>
      <c r="CB6" s="19">
        <v>4.2</v>
      </c>
      <c r="CC6" s="19">
        <v>0.4</v>
      </c>
      <c r="CD6" s="19">
        <v>0.7</v>
      </c>
      <c r="CE6" s="19">
        <v>15.7</v>
      </c>
      <c r="CF6" s="19">
        <v>4.5999999999999996</v>
      </c>
      <c r="CG6" s="19">
        <v>0</v>
      </c>
      <c r="CH6" s="19">
        <v>0</v>
      </c>
      <c r="CI6" s="19"/>
      <c r="CJ6" s="19"/>
      <c r="CK6" s="19"/>
      <c r="CL6" s="19"/>
      <c r="CM6" s="19">
        <v>15.6</v>
      </c>
      <c r="CN6" s="19">
        <v>4.0999999999999996</v>
      </c>
      <c r="CO6" s="19">
        <v>0</v>
      </c>
      <c r="CP6" s="19">
        <v>0.7</v>
      </c>
      <c r="CQ6" s="19">
        <v>16.399999999999999</v>
      </c>
      <c r="CR6" s="19">
        <v>4.8</v>
      </c>
      <c r="CS6" s="19">
        <v>0</v>
      </c>
      <c r="CT6" s="19">
        <v>0</v>
      </c>
      <c r="CU6" s="27"/>
      <c r="CV6" s="40">
        <f t="shared" si="26"/>
        <v>8.8000000000000007</v>
      </c>
      <c r="CW6" s="40">
        <f t="shared" si="27"/>
        <v>40.1</v>
      </c>
      <c r="CX6" s="40" t="str">
        <f t="shared" si="28"/>
        <v/>
      </c>
      <c r="CY6" s="40">
        <f t="shared" si="29"/>
        <v>8.8000000000000007</v>
      </c>
      <c r="CZ6" s="40">
        <f t="shared" si="30"/>
        <v>40.1</v>
      </c>
      <c r="DA6" s="40">
        <f t="shared" si="31"/>
        <v>8.8999999999999986</v>
      </c>
      <c r="DB6" s="40">
        <f t="shared" si="32"/>
        <v>41.599999999999994</v>
      </c>
      <c r="DC6" s="40">
        <f t="shared" si="33"/>
        <v>81.699999999999989</v>
      </c>
      <c r="DD6" s="50">
        <f t="shared" si="34"/>
        <v>2.1000000000000014</v>
      </c>
      <c r="DE6" s="50">
        <f t="shared" si="35"/>
        <v>1.7999999999999972</v>
      </c>
      <c r="DF6" s="17">
        <v>16</v>
      </c>
      <c r="DG6" s="17">
        <v>5.3</v>
      </c>
      <c r="DH6" s="17">
        <v>0</v>
      </c>
      <c r="DI6" s="17">
        <v>1</v>
      </c>
      <c r="DJ6" s="17">
        <v>16.399999999999999</v>
      </c>
      <c r="DK6" s="17">
        <v>3.5</v>
      </c>
      <c r="DL6" s="17">
        <v>0</v>
      </c>
      <c r="DM6" s="17">
        <v>0</v>
      </c>
      <c r="DN6" s="17"/>
      <c r="DO6" s="17"/>
      <c r="DP6" s="17"/>
      <c r="DQ6" s="17"/>
      <c r="DR6" s="17">
        <v>16.899999999999999</v>
      </c>
      <c r="DS6" s="17">
        <v>4.5999999999999996</v>
      </c>
      <c r="DT6" s="17">
        <v>0</v>
      </c>
      <c r="DU6" s="17">
        <v>0</v>
      </c>
      <c r="DV6" s="17">
        <v>17.600000000000001</v>
      </c>
      <c r="DW6" s="17">
        <v>4.8</v>
      </c>
      <c r="DX6" s="17">
        <v>0</v>
      </c>
      <c r="DY6" s="17">
        <v>0</v>
      </c>
      <c r="DZ6" s="40">
        <f t="shared" si="36"/>
        <v>8.8000000000000007</v>
      </c>
      <c r="EA6" s="40">
        <f t="shared" si="37"/>
        <v>42.2</v>
      </c>
      <c r="EB6" s="40" t="str">
        <f t="shared" si="38"/>
        <v/>
      </c>
      <c r="EC6" s="40">
        <f t="shared" si="39"/>
        <v>8.8000000000000007</v>
      </c>
      <c r="ED6" s="40">
        <f t="shared" si="40"/>
        <v>42.2</v>
      </c>
      <c r="EE6" s="40">
        <f t="shared" si="41"/>
        <v>9.3999999999999986</v>
      </c>
      <c r="EF6" s="40">
        <f t="shared" si="42"/>
        <v>43.9</v>
      </c>
      <c r="EG6" s="40">
        <f t="shared" si="43"/>
        <v>86.1</v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4"/>
        <v/>
      </c>
      <c r="FC6" s="11" t="str">
        <f t="shared" si="45"/>
        <v/>
      </c>
      <c r="FD6" s="11" t="str">
        <f t="shared" si="46"/>
        <v/>
      </c>
      <c r="FE6" s="11" t="str">
        <f t="shared" si="47"/>
        <v/>
      </c>
      <c r="FF6" s="11" t="str">
        <f t="shared" si="48"/>
        <v/>
      </c>
      <c r="FG6" s="11" t="str">
        <f t="shared" si="49"/>
        <v/>
      </c>
      <c r="FH6" s="11" t="str">
        <f t="shared" si="50"/>
        <v/>
      </c>
      <c r="FI6" s="11" t="str">
        <f t="shared" si="51"/>
        <v/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2"/>
        <v/>
      </c>
      <c r="GE6" s="40" t="str">
        <f t="shared" si="53"/>
        <v/>
      </c>
      <c r="GF6" s="40" t="str">
        <f t="shared" si="54"/>
        <v/>
      </c>
      <c r="GG6" s="40" t="str">
        <f t="shared" si="55"/>
        <v/>
      </c>
      <c r="GH6" s="40" t="str">
        <f t="shared" si="56"/>
        <v/>
      </c>
      <c r="GI6" s="40" t="str">
        <f t="shared" si="57"/>
        <v/>
      </c>
      <c r="GJ6" s="40" t="str">
        <f t="shared" si="58"/>
        <v/>
      </c>
      <c r="GK6" s="40" t="str">
        <f t="shared" si="59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0"/>
        <v/>
      </c>
      <c r="HG6" s="11" t="str">
        <f t="shared" si="61"/>
        <v/>
      </c>
      <c r="HH6" s="11" t="str">
        <f t="shared" si="62"/>
        <v/>
      </c>
      <c r="HI6" s="11" t="str">
        <f t="shared" si="63"/>
        <v/>
      </c>
      <c r="HJ6" s="11" t="str">
        <f t="shared" si="64"/>
        <v/>
      </c>
      <c r="HK6" s="11" t="str">
        <f t="shared" si="65"/>
        <v/>
      </c>
      <c r="HL6" s="11" t="str">
        <f t="shared" si="66"/>
        <v/>
      </c>
      <c r="HM6" s="11" t="str">
        <f t="shared" si="67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68"/>
        <v/>
      </c>
      <c r="II6" s="40" t="str">
        <f t="shared" si="69"/>
        <v/>
      </c>
      <c r="IJ6" s="40" t="str">
        <f t="shared" si="70"/>
        <v/>
      </c>
      <c r="IK6" s="40" t="str">
        <f t="shared" si="71"/>
        <v/>
      </c>
      <c r="IL6" s="40" t="str">
        <f t="shared" si="72"/>
        <v/>
      </c>
      <c r="IM6" s="40" t="str">
        <f t="shared" si="73"/>
        <v/>
      </c>
      <c r="IN6" s="40" t="str">
        <f t="shared" si="74"/>
        <v/>
      </c>
      <c r="IO6" s="40" t="str">
        <f t="shared" si="75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6"/>
        <v/>
      </c>
      <c r="JK6" s="11" t="str">
        <f t="shared" si="77"/>
        <v/>
      </c>
      <c r="JL6" s="11" t="str">
        <f t="shared" si="78"/>
        <v/>
      </c>
      <c r="JM6" s="11" t="str">
        <f t="shared" si="79"/>
        <v/>
      </c>
      <c r="JN6" s="11" t="str">
        <f t="shared" si="80"/>
        <v/>
      </c>
      <c r="JO6" s="11" t="str">
        <f t="shared" si="81"/>
        <v/>
      </c>
      <c r="JP6" s="11" t="str">
        <f t="shared" si="82"/>
        <v/>
      </c>
      <c r="JQ6" s="11" t="str">
        <f t="shared" si="83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4"/>
        <v/>
      </c>
      <c r="KM6" s="40" t="str">
        <f t="shared" si="85"/>
        <v/>
      </c>
      <c r="KN6" s="40" t="str">
        <f t="shared" si="86"/>
        <v/>
      </c>
      <c r="KO6" s="40" t="str">
        <f t="shared" si="87"/>
        <v/>
      </c>
      <c r="KP6" s="40" t="str">
        <f t="shared" si="88"/>
        <v/>
      </c>
      <c r="KQ6" s="40" t="str">
        <f t="shared" si="89"/>
        <v/>
      </c>
      <c r="KR6" s="40" t="str">
        <f t="shared" si="90"/>
        <v/>
      </c>
      <c r="KS6" s="40" t="str">
        <f t="shared" si="91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2"/>
        <v/>
      </c>
      <c r="LO6" s="11" t="str">
        <f t="shared" si="93"/>
        <v/>
      </c>
      <c r="LP6" s="11" t="str">
        <f t="shared" si="94"/>
        <v/>
      </c>
      <c r="LQ6" s="11" t="str">
        <f t="shared" si="95"/>
        <v/>
      </c>
      <c r="LR6" s="11" t="str">
        <f t="shared" si="96"/>
        <v/>
      </c>
      <c r="LS6" s="11" t="str">
        <f t="shared" si="97"/>
        <v/>
      </c>
      <c r="LT6" s="11" t="str">
        <f t="shared" si="98"/>
        <v/>
      </c>
      <c r="LU6" s="11" t="str">
        <f t="shared" si="99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0"/>
        <v/>
      </c>
      <c r="MQ6" s="40" t="str">
        <f t="shared" si="101"/>
        <v/>
      </c>
      <c r="MR6" s="40" t="str">
        <f t="shared" si="102"/>
        <v/>
      </c>
      <c r="MS6" s="40" t="str">
        <f t="shared" si="103"/>
        <v/>
      </c>
      <c r="MT6" s="40" t="str">
        <f t="shared" si="104"/>
        <v/>
      </c>
      <c r="MU6" s="40" t="str">
        <f t="shared" si="105"/>
        <v/>
      </c>
      <c r="MV6" s="40" t="str">
        <f t="shared" si="106"/>
        <v/>
      </c>
      <c r="MW6" s="40" t="str">
        <f t="shared" si="107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08"/>
        <v/>
      </c>
      <c r="NS6" s="11" t="str">
        <f t="shared" si="109"/>
        <v/>
      </c>
      <c r="NT6" s="11" t="str">
        <f t="shared" si="110"/>
        <v/>
      </c>
      <c r="NU6" s="11" t="str">
        <f t="shared" si="111"/>
        <v/>
      </c>
      <c r="NV6" s="11" t="str">
        <f t="shared" si="112"/>
        <v/>
      </c>
      <c r="NW6" s="11" t="str">
        <f t="shared" si="113"/>
        <v/>
      </c>
      <c r="NX6" s="11" t="str">
        <f t="shared" si="114"/>
        <v/>
      </c>
      <c r="NY6" s="11" t="str">
        <f t="shared" si="115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6"/>
        <v/>
      </c>
      <c r="OU6" s="40" t="str">
        <f t="shared" si="117"/>
        <v/>
      </c>
      <c r="OV6" s="40" t="str">
        <f t="shared" si="118"/>
        <v/>
      </c>
      <c r="OW6" s="40" t="str">
        <f t="shared" si="119"/>
        <v/>
      </c>
      <c r="OX6" s="40" t="str">
        <f t="shared" si="120"/>
        <v/>
      </c>
      <c r="OY6" s="40" t="str">
        <f t="shared" si="121"/>
        <v/>
      </c>
      <c r="OZ6" s="40" t="str">
        <f t="shared" si="122"/>
        <v/>
      </c>
      <c r="PA6" s="40" t="str">
        <f t="shared" si="123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4"/>
        <v/>
      </c>
      <c r="PW6" s="11" t="str">
        <f t="shared" si="125"/>
        <v/>
      </c>
      <c r="PX6" s="11" t="str">
        <f t="shared" si="126"/>
        <v/>
      </c>
      <c r="PY6" s="11" t="str">
        <f t="shared" si="127"/>
        <v/>
      </c>
      <c r="PZ6" s="11" t="str">
        <f t="shared" si="128"/>
        <v/>
      </c>
      <c r="QA6" s="11" t="str">
        <f t="shared" si="129"/>
        <v/>
      </c>
      <c r="QB6" s="11" t="str">
        <f t="shared" si="130"/>
        <v/>
      </c>
      <c r="QC6" s="11" t="str">
        <f t="shared" si="131"/>
        <v/>
      </c>
      <c r="QD6" s="22">
        <f t="shared" si="132"/>
        <v>13.5</v>
      </c>
      <c r="QE6" s="22">
        <f t="shared" si="133"/>
        <v>3.6</v>
      </c>
      <c r="QF6" s="22">
        <f t="shared" si="134"/>
        <v>0.2</v>
      </c>
      <c r="QG6" s="22">
        <f t="shared" si="135"/>
        <v>0.64999999999999991</v>
      </c>
      <c r="QH6" s="22">
        <f t="shared" si="136"/>
        <v>16.049999999999997</v>
      </c>
      <c r="QI6" s="22">
        <f t="shared" si="137"/>
        <v>4.5999999999999996</v>
      </c>
      <c r="QJ6" s="22">
        <f t="shared" si="138"/>
        <v>0</v>
      </c>
      <c r="QK6" s="22">
        <f t="shared" si="139"/>
        <v>0.3</v>
      </c>
      <c r="QL6" s="22">
        <f t="shared" si="140"/>
        <v>8.1</v>
      </c>
      <c r="QM6" s="22">
        <f t="shared" si="141"/>
        <v>2.2999999999999998</v>
      </c>
      <c r="QN6" s="22">
        <f t="shared" si="142"/>
        <v>0</v>
      </c>
      <c r="QO6" s="22">
        <f t="shared" si="143"/>
        <v>0.3</v>
      </c>
      <c r="QP6" s="22">
        <f t="shared" si="144"/>
        <v>15.95</v>
      </c>
      <c r="QQ6" s="22">
        <f t="shared" si="145"/>
        <v>4.25</v>
      </c>
      <c r="QR6" s="22">
        <f t="shared" si="146"/>
        <v>0.1</v>
      </c>
      <c r="QS6" s="22">
        <f t="shared" si="147"/>
        <v>0.57499999999999996</v>
      </c>
      <c r="QT6" s="22">
        <f t="shared" si="148"/>
        <v>16.324999999999999</v>
      </c>
      <c r="QU6" s="22">
        <f t="shared" si="149"/>
        <v>4.1999999999999993</v>
      </c>
      <c r="QV6" s="22">
        <f t="shared" si="150"/>
        <v>0</v>
      </c>
      <c r="QW6" s="22">
        <f t="shared" si="151"/>
        <v>0.3</v>
      </c>
      <c r="QX6" s="27" t="s">
        <v>46</v>
      </c>
      <c r="QY6" s="40">
        <f t="shared" si="152"/>
        <v>8.1999999999999993</v>
      </c>
      <c r="QZ6" s="40">
        <f t="shared" si="153"/>
        <v>38.499999999999993</v>
      </c>
      <c r="RA6" s="40">
        <f t="shared" si="154"/>
        <v>10.7</v>
      </c>
      <c r="RB6" s="40">
        <f t="shared" si="155"/>
        <v>10.5</v>
      </c>
      <c r="RC6" s="40">
        <f t="shared" si="156"/>
        <v>49.199999999999989</v>
      </c>
      <c r="RD6" s="40">
        <f t="shared" si="157"/>
        <v>8.4499999999999993</v>
      </c>
      <c r="RE6" s="40">
        <f t="shared" si="158"/>
        <v>41.499999999999993</v>
      </c>
      <c r="RF6" s="40">
        <f t="shared" si="159"/>
        <v>90.699999999999989</v>
      </c>
    </row>
    <row r="7" spans="1:474" x14ac:dyDescent="0.2">
      <c r="A7" s="4" cm="1">
        <f t="array" ref="A7">IF(AND(J7&lt;&gt;"",J7&lt;&gt;"No DD"),SUMPRODUCT((J$4:J$21&lt;&gt;"")*(J$4:J$21&lt;&gt;"No DD")*(F$4:F$21&gt;F7))+1,IF(J7="No DD",SUMPRODUCT((J$4:J$21="No DD")*(F$4:F$21&gt;F7))+1+SUMPRODUCT((J$4:J$21&lt;&gt;"")*(J$4:J$21&lt;&gt;"No DD")),""))</f>
        <v>4</v>
      </c>
      <c r="B7" s="4" cm="1">
        <f t="array" ref="B7">IF(AND(J7&lt;&gt;"",J7&lt;&gt;"No DD",G7=""),SUMPRODUCT((J$4:J$21&lt;&gt;"")*(J$4:J$21&lt;&gt;"No DD")*(G$4:G$21="")*(F$4:F$21&gt;F7))+1,IF(J7="No DD",SUMPRODUCT((J$4:J$21="No DD")*(F$4:F$21&gt;F7)*(G$4:G$21=""))+1+SUMPRODUCT((J$4:J$21&lt;&gt;"")*(G$4:G$21="")*(J$4:J$21&lt;&gt;"No DD")),""))</f>
        <v>1</v>
      </c>
      <c r="C7" s="5" t="s">
        <v>104</v>
      </c>
      <c r="D7" s="4" t="s">
        <v>6</v>
      </c>
      <c r="E7" s="4">
        <v>2005</v>
      </c>
      <c r="F7" s="9">
        <f t="shared" si="0"/>
        <v>126.60000836000418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41.9</v>
      </c>
      <c r="M7" s="8" t="str">
        <f t="shared" si="5"/>
        <v>2025 Elite Canada</v>
      </c>
      <c r="N7" s="8">
        <f>IF(COUNT(AQ7,BT7,CW7)&gt;1,LARGE((AQ7,BT7,CW7),2),0)</f>
        <v>41.699999999999996</v>
      </c>
      <c r="O7" s="8" t="str">
        <f t="shared" si="6"/>
        <v>2024 Nationals</v>
      </c>
      <c r="P7" s="8">
        <f t="shared" si="7"/>
        <v>42.999999999999993</v>
      </c>
      <c r="Q7" s="8" t="str">
        <f t="shared" si="8"/>
        <v>2024 Nationals</v>
      </c>
      <c r="R7" s="8" t="str">
        <f t="shared" si="9"/>
        <v/>
      </c>
      <c r="S7" s="11" t="str">
        <f t="shared" si="160"/>
        <v/>
      </c>
      <c r="T7" s="8" t="str">
        <f t="shared" si="161"/>
        <v/>
      </c>
      <c r="U7" s="19">
        <v>16.2</v>
      </c>
      <c r="V7" s="19">
        <v>4.0999999999999996</v>
      </c>
      <c r="W7" s="19">
        <v>0</v>
      </c>
      <c r="X7" s="19">
        <v>0.3</v>
      </c>
      <c r="Y7" s="19">
        <v>16.899999999999999</v>
      </c>
      <c r="Z7" s="19">
        <v>3.9</v>
      </c>
      <c r="AA7" s="19">
        <v>0</v>
      </c>
      <c r="AB7" s="19">
        <v>0.3</v>
      </c>
      <c r="AC7" s="19">
        <v>16.899999999999999</v>
      </c>
      <c r="AD7" s="19">
        <v>3.9</v>
      </c>
      <c r="AE7" s="19">
        <v>0</v>
      </c>
      <c r="AF7" s="19">
        <v>0.6</v>
      </c>
      <c r="AG7" s="19">
        <v>17.2</v>
      </c>
      <c r="AH7" s="19">
        <v>4.0999999999999996</v>
      </c>
      <c r="AI7" s="19">
        <v>0.2</v>
      </c>
      <c r="AJ7" s="19">
        <v>0.3</v>
      </c>
      <c r="AK7" s="19">
        <v>17.399999999999999</v>
      </c>
      <c r="AL7" s="19">
        <v>3.9</v>
      </c>
      <c r="AM7" s="19">
        <v>0</v>
      </c>
      <c r="AN7" s="19">
        <v>0.3</v>
      </c>
      <c r="AO7" s="27"/>
      <c r="AP7" s="40">
        <f t="shared" si="10"/>
        <v>8</v>
      </c>
      <c r="AQ7" s="40">
        <f t="shared" si="11"/>
        <v>41.699999999999996</v>
      </c>
      <c r="AR7" s="40">
        <f t="shared" si="12"/>
        <v>21.4</v>
      </c>
      <c r="AS7" s="40">
        <f t="shared" si="13"/>
        <v>11.9</v>
      </c>
      <c r="AT7" s="40">
        <f t="shared" si="14"/>
        <v>63.099999999999994</v>
      </c>
      <c r="AU7" s="40">
        <f t="shared" si="15"/>
        <v>8</v>
      </c>
      <c r="AV7" s="40">
        <f t="shared" si="16"/>
        <v>42.999999999999993</v>
      </c>
      <c r="AW7" s="40">
        <f t="shared" si="17"/>
        <v>106.1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 t="str">
        <f t="shared" si="18"/>
        <v/>
      </c>
      <c r="BT7" s="11" t="str">
        <f t="shared" si="19"/>
        <v/>
      </c>
      <c r="BU7" s="11" t="str">
        <f t="shared" si="20"/>
        <v/>
      </c>
      <c r="BV7" s="11" t="str">
        <f t="shared" si="21"/>
        <v/>
      </c>
      <c r="BW7" s="11" t="str">
        <f t="shared" si="22"/>
        <v/>
      </c>
      <c r="BX7" s="11" t="str">
        <f t="shared" si="23"/>
        <v/>
      </c>
      <c r="BY7" s="11" t="str">
        <f t="shared" si="24"/>
        <v/>
      </c>
      <c r="BZ7" s="11" t="str">
        <f t="shared" si="25"/>
        <v/>
      </c>
      <c r="CA7" s="19">
        <v>16.899999999999999</v>
      </c>
      <c r="CB7" s="19">
        <v>4.0999999999999996</v>
      </c>
      <c r="CC7" s="19">
        <v>0</v>
      </c>
      <c r="CD7" s="19">
        <v>0</v>
      </c>
      <c r="CE7" s="19">
        <v>17</v>
      </c>
      <c r="CF7" s="19">
        <v>3.9</v>
      </c>
      <c r="CG7" s="19">
        <v>0</v>
      </c>
      <c r="CH7" s="19">
        <v>0</v>
      </c>
      <c r="CI7" s="19"/>
      <c r="CJ7" s="19"/>
      <c r="CK7" s="19"/>
      <c r="CL7" s="19"/>
      <c r="CM7" s="19">
        <v>16.8</v>
      </c>
      <c r="CN7" s="19">
        <v>4.0999999999999996</v>
      </c>
      <c r="CO7" s="19">
        <v>0</v>
      </c>
      <c r="CP7" s="19">
        <v>0</v>
      </c>
      <c r="CQ7" s="19">
        <v>14.8</v>
      </c>
      <c r="CR7" s="19">
        <v>4.5999999999999996</v>
      </c>
      <c r="CS7" s="19">
        <v>0</v>
      </c>
      <c r="CT7" s="19">
        <v>0</v>
      </c>
      <c r="CU7" s="27"/>
      <c r="CV7" s="40">
        <f t="shared" si="26"/>
        <v>8</v>
      </c>
      <c r="CW7" s="40">
        <f t="shared" si="27"/>
        <v>41.9</v>
      </c>
      <c r="CX7" s="40" t="str">
        <f t="shared" si="28"/>
        <v/>
      </c>
      <c r="CY7" s="40">
        <f t="shared" si="29"/>
        <v>8</v>
      </c>
      <c r="CZ7" s="40">
        <f t="shared" si="30"/>
        <v>41.9</v>
      </c>
      <c r="DA7" s="40">
        <f t="shared" si="31"/>
        <v>8.6999999999999993</v>
      </c>
      <c r="DB7" s="40">
        <f t="shared" si="32"/>
        <v>40.300000000000004</v>
      </c>
      <c r="DC7" s="40">
        <f t="shared" si="33"/>
        <v>82.2</v>
      </c>
      <c r="DD7" s="50" t="str">
        <f t="shared" si="34"/>
        <v/>
      </c>
      <c r="DE7" s="50" t="str">
        <f t="shared" si="35"/>
        <v/>
      </c>
      <c r="DF7" s="17">
        <v>15.3</v>
      </c>
      <c r="DG7" s="17">
        <v>2.6</v>
      </c>
      <c r="DH7" s="17">
        <v>0</v>
      </c>
      <c r="DI7" s="17">
        <v>0</v>
      </c>
      <c r="DJ7" s="17">
        <v>16.2</v>
      </c>
      <c r="DK7" s="17">
        <v>4.5999999999999996</v>
      </c>
      <c r="DL7" s="17">
        <v>0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>
        <f t="shared" si="36"/>
        <v>7.1999999999999993</v>
      </c>
      <c r="EA7" s="40">
        <f t="shared" si="37"/>
        <v>38.700000000000003</v>
      </c>
      <c r="EB7" s="40" t="str">
        <f t="shared" si="38"/>
        <v/>
      </c>
      <c r="EC7" s="40">
        <f t="shared" si="39"/>
        <v>7.1999999999999993</v>
      </c>
      <c r="ED7" s="40">
        <f t="shared" si="40"/>
        <v>38.700000000000003</v>
      </c>
      <c r="EE7" s="40" t="str">
        <f t="shared" si="41"/>
        <v/>
      </c>
      <c r="EF7" s="40" t="str">
        <f t="shared" si="42"/>
        <v/>
      </c>
      <c r="EG7" s="40">
        <f t="shared" si="43"/>
        <v>38.700000000000003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4"/>
        <v/>
      </c>
      <c r="FC7" s="11" t="str">
        <f t="shared" si="45"/>
        <v/>
      </c>
      <c r="FD7" s="11" t="str">
        <f t="shared" si="46"/>
        <v/>
      </c>
      <c r="FE7" s="11" t="str">
        <f t="shared" si="47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1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2"/>
        <v/>
      </c>
      <c r="GE7" s="40" t="str">
        <f t="shared" si="53"/>
        <v/>
      </c>
      <c r="GF7" s="40" t="str">
        <f t="shared" si="54"/>
        <v/>
      </c>
      <c r="GG7" s="40" t="str">
        <f t="shared" si="55"/>
        <v/>
      </c>
      <c r="GH7" s="40" t="str">
        <f t="shared" si="56"/>
        <v/>
      </c>
      <c r="GI7" s="40" t="str">
        <f t="shared" si="57"/>
        <v/>
      </c>
      <c r="GJ7" s="40" t="str">
        <f t="shared" si="58"/>
        <v/>
      </c>
      <c r="GK7" s="40" t="str">
        <f t="shared" si="59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0"/>
        <v/>
      </c>
      <c r="HG7" s="11" t="str">
        <f t="shared" si="61"/>
        <v/>
      </c>
      <c r="HH7" s="11" t="str">
        <f t="shared" si="62"/>
        <v/>
      </c>
      <c r="HI7" s="11" t="str">
        <f t="shared" si="63"/>
        <v/>
      </c>
      <c r="HJ7" s="11" t="str">
        <f t="shared" si="64"/>
        <v/>
      </c>
      <c r="HK7" s="11" t="str">
        <f t="shared" si="65"/>
        <v/>
      </c>
      <c r="HL7" s="11" t="str">
        <f t="shared" si="66"/>
        <v/>
      </c>
      <c r="HM7" s="11" t="str">
        <f t="shared" si="67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68"/>
        <v/>
      </c>
      <c r="II7" s="40" t="str">
        <f t="shared" si="69"/>
        <v/>
      </c>
      <c r="IJ7" s="40" t="str">
        <f t="shared" si="70"/>
        <v/>
      </c>
      <c r="IK7" s="40" t="str">
        <f t="shared" si="71"/>
        <v/>
      </c>
      <c r="IL7" s="40" t="str">
        <f t="shared" si="72"/>
        <v/>
      </c>
      <c r="IM7" s="40" t="str">
        <f t="shared" si="73"/>
        <v/>
      </c>
      <c r="IN7" s="40" t="str">
        <f t="shared" si="74"/>
        <v/>
      </c>
      <c r="IO7" s="40" t="str">
        <f t="shared" si="75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6"/>
        <v/>
      </c>
      <c r="JK7" s="11" t="str">
        <f t="shared" si="77"/>
        <v/>
      </c>
      <c r="JL7" s="11" t="str">
        <f t="shared" si="78"/>
        <v/>
      </c>
      <c r="JM7" s="11" t="str">
        <f t="shared" si="79"/>
        <v/>
      </c>
      <c r="JN7" s="11" t="str">
        <f t="shared" si="80"/>
        <v/>
      </c>
      <c r="JO7" s="11" t="str">
        <f t="shared" si="81"/>
        <v/>
      </c>
      <c r="JP7" s="11" t="str">
        <f t="shared" si="82"/>
        <v/>
      </c>
      <c r="JQ7" s="11" t="str">
        <f t="shared" si="83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4"/>
        <v/>
      </c>
      <c r="KM7" s="40" t="str">
        <f t="shared" si="85"/>
        <v/>
      </c>
      <c r="KN7" s="40" t="str">
        <f t="shared" si="86"/>
        <v/>
      </c>
      <c r="KO7" s="40" t="str">
        <f t="shared" si="87"/>
        <v/>
      </c>
      <c r="KP7" s="40" t="str">
        <f t="shared" si="88"/>
        <v/>
      </c>
      <c r="KQ7" s="40" t="str">
        <f t="shared" si="89"/>
        <v/>
      </c>
      <c r="KR7" s="40" t="str">
        <f t="shared" si="90"/>
        <v/>
      </c>
      <c r="KS7" s="40" t="str">
        <f t="shared" si="91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2"/>
        <v/>
      </c>
      <c r="LO7" s="11" t="str">
        <f t="shared" si="93"/>
        <v/>
      </c>
      <c r="LP7" s="11" t="str">
        <f t="shared" si="94"/>
        <v/>
      </c>
      <c r="LQ7" s="11" t="str">
        <f t="shared" si="95"/>
        <v/>
      </c>
      <c r="LR7" s="11" t="str">
        <f t="shared" si="96"/>
        <v/>
      </c>
      <c r="LS7" s="11" t="str">
        <f t="shared" si="97"/>
        <v/>
      </c>
      <c r="LT7" s="11" t="str">
        <f t="shared" si="98"/>
        <v/>
      </c>
      <c r="LU7" s="11" t="str">
        <f t="shared" si="99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0"/>
        <v/>
      </c>
      <c r="MQ7" s="40" t="str">
        <f t="shared" si="101"/>
        <v/>
      </c>
      <c r="MR7" s="40" t="str">
        <f t="shared" si="102"/>
        <v/>
      </c>
      <c r="MS7" s="40" t="str">
        <f t="shared" si="103"/>
        <v/>
      </c>
      <c r="MT7" s="40" t="str">
        <f t="shared" si="104"/>
        <v/>
      </c>
      <c r="MU7" s="40" t="str">
        <f t="shared" si="105"/>
        <v/>
      </c>
      <c r="MV7" s="40" t="str">
        <f t="shared" si="106"/>
        <v/>
      </c>
      <c r="MW7" s="40" t="str">
        <f t="shared" si="107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08"/>
        <v/>
      </c>
      <c r="NS7" s="11" t="str">
        <f t="shared" si="109"/>
        <v/>
      </c>
      <c r="NT7" s="11" t="str">
        <f t="shared" si="110"/>
        <v/>
      </c>
      <c r="NU7" s="11" t="str">
        <f t="shared" si="111"/>
        <v/>
      </c>
      <c r="NV7" s="11" t="str">
        <f t="shared" si="112"/>
        <v/>
      </c>
      <c r="NW7" s="11" t="str">
        <f t="shared" si="113"/>
        <v/>
      </c>
      <c r="NX7" s="11" t="str">
        <f t="shared" si="114"/>
        <v/>
      </c>
      <c r="NY7" s="11" t="str">
        <f t="shared" si="115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6"/>
        <v/>
      </c>
      <c r="OU7" s="40" t="str">
        <f t="shared" si="117"/>
        <v/>
      </c>
      <c r="OV7" s="40" t="str">
        <f t="shared" si="118"/>
        <v/>
      </c>
      <c r="OW7" s="40" t="str">
        <f t="shared" si="119"/>
        <v/>
      </c>
      <c r="OX7" s="40" t="str">
        <f t="shared" si="120"/>
        <v/>
      </c>
      <c r="OY7" s="40" t="str">
        <f t="shared" si="121"/>
        <v/>
      </c>
      <c r="OZ7" s="40" t="str">
        <f t="shared" si="122"/>
        <v/>
      </c>
      <c r="PA7" s="40" t="str">
        <f t="shared" si="123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4"/>
        <v/>
      </c>
      <c r="PW7" s="11" t="str">
        <f t="shared" si="125"/>
        <v/>
      </c>
      <c r="PX7" s="11" t="str">
        <f t="shared" si="126"/>
        <v/>
      </c>
      <c r="PY7" s="11" t="str">
        <f t="shared" si="127"/>
        <v/>
      </c>
      <c r="PZ7" s="11" t="str">
        <f t="shared" si="128"/>
        <v/>
      </c>
      <c r="QA7" s="11" t="str">
        <f t="shared" si="129"/>
        <v/>
      </c>
      <c r="QB7" s="11" t="str">
        <f t="shared" si="130"/>
        <v/>
      </c>
      <c r="QC7" s="11" t="str">
        <f t="shared" si="131"/>
        <v/>
      </c>
      <c r="QD7" s="22">
        <f t="shared" si="132"/>
        <v>8.4499999999999993</v>
      </c>
      <c r="QE7" s="22">
        <f t="shared" si="133"/>
        <v>2.0499999999999998</v>
      </c>
      <c r="QF7" s="22">
        <f t="shared" si="134"/>
        <v>0</v>
      </c>
      <c r="QG7" s="22">
        <f t="shared" si="135"/>
        <v>0</v>
      </c>
      <c r="QH7" s="22">
        <f t="shared" si="136"/>
        <v>8.5</v>
      </c>
      <c r="QI7" s="22">
        <f t="shared" si="137"/>
        <v>1.95</v>
      </c>
      <c r="QJ7" s="22">
        <f t="shared" si="138"/>
        <v>0</v>
      </c>
      <c r="QK7" s="22">
        <f t="shared" si="139"/>
        <v>0</v>
      </c>
      <c r="QL7" s="22">
        <f t="shared" si="140"/>
        <v>0</v>
      </c>
      <c r="QM7" s="22">
        <f t="shared" si="141"/>
        <v>0</v>
      </c>
      <c r="QN7" s="22">
        <f t="shared" si="142"/>
        <v>0</v>
      </c>
      <c r="QO7" s="22">
        <f t="shared" si="143"/>
        <v>0</v>
      </c>
      <c r="QP7" s="22">
        <f t="shared" si="144"/>
        <v>8.4</v>
      </c>
      <c r="QQ7" s="22">
        <f t="shared" si="145"/>
        <v>2.0499999999999998</v>
      </c>
      <c r="QR7" s="22">
        <f t="shared" si="146"/>
        <v>0</v>
      </c>
      <c r="QS7" s="22">
        <f t="shared" si="147"/>
        <v>0</v>
      </c>
      <c r="QT7" s="22">
        <f t="shared" si="148"/>
        <v>7.4</v>
      </c>
      <c r="QU7" s="22">
        <f t="shared" si="149"/>
        <v>2.2999999999999998</v>
      </c>
      <c r="QV7" s="22">
        <f t="shared" si="150"/>
        <v>0</v>
      </c>
      <c r="QW7" s="22">
        <f t="shared" si="151"/>
        <v>0</v>
      </c>
      <c r="QX7" s="27" t="s">
        <v>46</v>
      </c>
      <c r="QY7" s="40">
        <f t="shared" si="152"/>
        <v>4</v>
      </c>
      <c r="QZ7" s="40">
        <f t="shared" si="153"/>
        <v>20.95</v>
      </c>
      <c r="RA7" s="40" t="str">
        <f t="shared" si="154"/>
        <v/>
      </c>
      <c r="RB7" s="40">
        <f t="shared" si="155"/>
        <v>4</v>
      </c>
      <c r="RC7" s="40">
        <f t="shared" si="156"/>
        <v>20.95</v>
      </c>
      <c r="RD7" s="40">
        <f t="shared" si="157"/>
        <v>4.3499999999999996</v>
      </c>
      <c r="RE7" s="40">
        <f t="shared" si="158"/>
        <v>20.150000000000002</v>
      </c>
      <c r="RF7" s="40">
        <f t="shared" si="159"/>
        <v>41.1</v>
      </c>
    </row>
    <row r="8" spans="1:474" x14ac:dyDescent="0.2">
      <c r="A8" s="4" cm="1">
        <f t="array" ref="A8">IF(AND(J8&lt;&gt;"",J8&lt;&gt;"No DD"),SUMPRODUCT((J$4:J$21&lt;&gt;"")*(J$4:J$21&lt;&gt;"No DD")*(F$4:F$21&gt;F8))+1,IF(J8="No DD",SUMPRODUCT((J$4:J$21="No DD")*(F$4:F$21&gt;F8))+1+SUMPRODUCT((J$4:J$21&lt;&gt;"")*(J$4:J$21&lt;&gt;"No DD")),""))</f>
        <v>5</v>
      </c>
      <c r="B8" s="4" cm="1">
        <f t="array" ref="B8">IF(AND(J8&lt;&gt;"",J8&lt;&gt;"No DD",G8=""),SUMPRODUCT((J$4:J$21&lt;&gt;"")*(J$4:J$21&lt;&gt;"No DD")*(G$4:G$21="")*(F$4:F$21&gt;F8))+1,IF(J8="No DD",SUMPRODUCT((J$4:J$21="No DD")*(F$4:F$21&gt;F8)*(G$4:G$21=""))+1+SUMPRODUCT((J$4:J$21&lt;&gt;"")*(G$4:G$21="")*(J$4:J$21&lt;&gt;"No DD")),""))</f>
        <v>2</v>
      </c>
      <c r="C8" s="5" t="s">
        <v>132</v>
      </c>
      <c r="D8" s="4" t="s">
        <v>3</v>
      </c>
      <c r="E8" s="4">
        <v>2005</v>
      </c>
      <c r="F8" s="9">
        <f t="shared" si="0"/>
        <v>124.80000817000429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43.1</v>
      </c>
      <c r="M8" s="8" t="str">
        <f t="shared" si="5"/>
        <v>2024 3rd Domestic Trial</v>
      </c>
      <c r="N8" s="8">
        <f>IF(COUNT(AQ8,BT8,CW8)&gt;1,LARGE((AQ8,BT8,CW8),2),0)</f>
        <v>38.599999999999994</v>
      </c>
      <c r="O8" s="8" t="str">
        <f t="shared" si="6"/>
        <v>2025 Elite Canada</v>
      </c>
      <c r="P8" s="8">
        <f t="shared" si="7"/>
        <v>43.1</v>
      </c>
      <c r="Q8" s="8" t="str">
        <f t="shared" si="8"/>
        <v>2024 3rd Domestic Trial</v>
      </c>
      <c r="R8" s="8" t="str">
        <f t="shared" si="9"/>
        <v/>
      </c>
      <c r="S8" s="11" t="str">
        <f t="shared" si="160"/>
        <v/>
      </c>
      <c r="T8" s="8" t="str">
        <f t="shared" si="161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0"/>
        <v/>
      </c>
      <c r="AQ8" s="40" t="str">
        <f t="shared" si="11"/>
        <v/>
      </c>
      <c r="AR8" s="40" t="str">
        <f t="shared" si="12"/>
        <v/>
      </c>
      <c r="AS8" s="40" t="str">
        <f t="shared" si="13"/>
        <v/>
      </c>
      <c r="AT8" s="40" t="str">
        <f t="shared" si="14"/>
        <v/>
      </c>
      <c r="AU8" s="40" t="str">
        <f t="shared" si="15"/>
        <v/>
      </c>
      <c r="AV8" s="40" t="str">
        <f t="shared" si="16"/>
        <v/>
      </c>
      <c r="AW8" s="40" t="str">
        <f t="shared" si="17"/>
        <v/>
      </c>
      <c r="AX8" s="18">
        <v>17.100000000000001</v>
      </c>
      <c r="AY8" s="18">
        <v>4.0999999999999996</v>
      </c>
      <c r="AZ8" s="18">
        <v>0</v>
      </c>
      <c r="BA8" s="18">
        <v>0.3</v>
      </c>
      <c r="BB8" s="18">
        <v>17.399999999999999</v>
      </c>
      <c r="BC8" s="18">
        <v>3.9</v>
      </c>
      <c r="BD8" s="18">
        <v>0</v>
      </c>
      <c r="BE8" s="18">
        <v>0.3</v>
      </c>
      <c r="BF8" s="18">
        <v>16.7</v>
      </c>
      <c r="BG8" s="18">
        <v>3.9</v>
      </c>
      <c r="BH8" s="18">
        <v>0</v>
      </c>
      <c r="BI8" s="18">
        <v>0.6</v>
      </c>
      <c r="BJ8" s="18">
        <v>17.100000000000001</v>
      </c>
      <c r="BK8" s="18">
        <v>4.0999999999999996</v>
      </c>
      <c r="BL8" s="18">
        <v>0</v>
      </c>
      <c r="BM8" s="18">
        <v>0.3</v>
      </c>
      <c r="BN8" s="18">
        <v>17.399999999999999</v>
      </c>
      <c r="BO8" s="18">
        <v>3.9</v>
      </c>
      <c r="BP8" s="18">
        <v>0</v>
      </c>
      <c r="BQ8" s="18">
        <v>0.3</v>
      </c>
      <c r="BR8" s="28"/>
      <c r="BS8" s="11">
        <f t="shared" si="18"/>
        <v>8</v>
      </c>
      <c r="BT8" s="11">
        <f t="shared" si="19"/>
        <v>43.1</v>
      </c>
      <c r="BU8" s="11">
        <f t="shared" si="20"/>
        <v>21.2</v>
      </c>
      <c r="BV8" s="11">
        <f t="shared" si="21"/>
        <v>11.9</v>
      </c>
      <c r="BW8" s="11">
        <f t="shared" si="22"/>
        <v>64.3</v>
      </c>
      <c r="BX8" s="11">
        <f t="shared" si="23"/>
        <v>8</v>
      </c>
      <c r="BY8" s="11">
        <f t="shared" si="24"/>
        <v>43.1</v>
      </c>
      <c r="BZ8" s="11">
        <f t="shared" si="25"/>
        <v>107.4</v>
      </c>
      <c r="CA8" s="19">
        <v>16.2</v>
      </c>
      <c r="CB8" s="19">
        <v>3.9</v>
      </c>
      <c r="CC8" s="19">
        <v>0</v>
      </c>
      <c r="CD8" s="19">
        <v>0</v>
      </c>
      <c r="CE8" s="19">
        <v>14.6</v>
      </c>
      <c r="CF8" s="19">
        <v>4.0999999999999996</v>
      </c>
      <c r="CG8" s="19">
        <v>0.2</v>
      </c>
      <c r="CH8" s="19">
        <v>0</v>
      </c>
      <c r="CI8" s="19"/>
      <c r="CJ8" s="19"/>
      <c r="CK8" s="19"/>
      <c r="CL8" s="19"/>
      <c r="CM8" s="19">
        <v>14.3</v>
      </c>
      <c r="CN8" s="19">
        <v>4.5999999999999996</v>
      </c>
      <c r="CO8" s="19">
        <v>0</v>
      </c>
      <c r="CP8" s="19">
        <v>0</v>
      </c>
      <c r="CQ8" s="19">
        <v>16.3</v>
      </c>
      <c r="CR8" s="19">
        <v>4.0999999999999996</v>
      </c>
      <c r="CS8" s="19">
        <v>0</v>
      </c>
      <c r="CT8" s="19">
        <v>0</v>
      </c>
      <c r="CU8" s="27"/>
      <c r="CV8" s="40">
        <f t="shared" si="26"/>
        <v>8</v>
      </c>
      <c r="CW8" s="40">
        <f t="shared" si="27"/>
        <v>38.599999999999994</v>
      </c>
      <c r="CX8" s="40" t="str">
        <f t="shared" si="28"/>
        <v/>
      </c>
      <c r="CY8" s="40">
        <f t="shared" si="29"/>
        <v>8</v>
      </c>
      <c r="CZ8" s="40">
        <f t="shared" si="30"/>
        <v>38.599999999999994</v>
      </c>
      <c r="DA8" s="40">
        <f t="shared" si="31"/>
        <v>8.6999999999999993</v>
      </c>
      <c r="DB8" s="40">
        <f t="shared" si="32"/>
        <v>39.300000000000004</v>
      </c>
      <c r="DC8" s="40">
        <f t="shared" si="33"/>
        <v>77.900000000000006</v>
      </c>
      <c r="DD8" s="50" t="str">
        <f t="shared" si="34"/>
        <v/>
      </c>
      <c r="DE8" s="50" t="str">
        <f t="shared" si="35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6"/>
        <v/>
      </c>
      <c r="EA8" s="40" t="str">
        <f t="shared" si="37"/>
        <v/>
      </c>
      <c r="EB8" s="40" t="str">
        <f t="shared" si="38"/>
        <v/>
      </c>
      <c r="EC8" s="40" t="str">
        <f t="shared" si="39"/>
        <v/>
      </c>
      <c r="ED8" s="40" t="str">
        <f t="shared" si="40"/>
        <v/>
      </c>
      <c r="EE8" s="40" t="str">
        <f t="shared" si="41"/>
        <v/>
      </c>
      <c r="EF8" s="40" t="str">
        <f t="shared" si="42"/>
        <v/>
      </c>
      <c r="EG8" s="40" t="str">
        <f t="shared" si="43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4"/>
        <v/>
      </c>
      <c r="FC8" s="11" t="str">
        <f t="shared" si="45"/>
        <v/>
      </c>
      <c r="FD8" s="11" t="str">
        <f t="shared" si="46"/>
        <v/>
      </c>
      <c r="FE8" s="11" t="str">
        <f t="shared" si="47"/>
        <v/>
      </c>
      <c r="FF8" s="11" t="str">
        <f t="shared" si="48"/>
        <v/>
      </c>
      <c r="FG8" s="11" t="str">
        <f t="shared" si="49"/>
        <v/>
      </c>
      <c r="FH8" s="11" t="str">
        <f t="shared" si="50"/>
        <v/>
      </c>
      <c r="FI8" s="11" t="str">
        <f t="shared" si="51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2"/>
        <v/>
      </c>
      <c r="GE8" s="40" t="str">
        <f t="shared" si="53"/>
        <v/>
      </c>
      <c r="GF8" s="40" t="str">
        <f t="shared" si="54"/>
        <v/>
      </c>
      <c r="GG8" s="40" t="str">
        <f t="shared" si="55"/>
        <v/>
      </c>
      <c r="GH8" s="40" t="str">
        <f t="shared" si="56"/>
        <v/>
      </c>
      <c r="GI8" s="40" t="str">
        <f t="shared" si="57"/>
        <v/>
      </c>
      <c r="GJ8" s="40" t="str">
        <f t="shared" si="58"/>
        <v/>
      </c>
      <c r="GK8" s="40" t="str">
        <f t="shared" si="59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0"/>
        <v/>
      </c>
      <c r="HG8" s="11" t="str">
        <f t="shared" si="61"/>
        <v/>
      </c>
      <c r="HH8" s="11" t="str">
        <f t="shared" si="62"/>
        <v/>
      </c>
      <c r="HI8" s="11" t="str">
        <f t="shared" si="63"/>
        <v/>
      </c>
      <c r="HJ8" s="11" t="str">
        <f t="shared" si="64"/>
        <v/>
      </c>
      <c r="HK8" s="11" t="str">
        <f t="shared" si="65"/>
        <v/>
      </c>
      <c r="HL8" s="11" t="str">
        <f t="shared" si="66"/>
        <v/>
      </c>
      <c r="HM8" s="11" t="str">
        <f t="shared" si="67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68"/>
        <v/>
      </c>
      <c r="II8" s="40" t="str">
        <f t="shared" si="69"/>
        <v/>
      </c>
      <c r="IJ8" s="40" t="str">
        <f t="shared" si="70"/>
        <v/>
      </c>
      <c r="IK8" s="40" t="str">
        <f t="shared" si="71"/>
        <v/>
      </c>
      <c r="IL8" s="40" t="str">
        <f t="shared" si="72"/>
        <v/>
      </c>
      <c r="IM8" s="40" t="str">
        <f t="shared" si="73"/>
        <v/>
      </c>
      <c r="IN8" s="40" t="str">
        <f t="shared" si="74"/>
        <v/>
      </c>
      <c r="IO8" s="40" t="str">
        <f t="shared" si="75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6"/>
        <v/>
      </c>
      <c r="JK8" s="11" t="str">
        <f t="shared" si="77"/>
        <v/>
      </c>
      <c r="JL8" s="11" t="str">
        <f t="shared" si="78"/>
        <v/>
      </c>
      <c r="JM8" s="11" t="str">
        <f t="shared" si="79"/>
        <v/>
      </c>
      <c r="JN8" s="11" t="str">
        <f t="shared" si="80"/>
        <v/>
      </c>
      <c r="JO8" s="11" t="str">
        <f t="shared" si="81"/>
        <v/>
      </c>
      <c r="JP8" s="11" t="str">
        <f t="shared" si="82"/>
        <v/>
      </c>
      <c r="JQ8" s="11" t="str">
        <f t="shared" si="83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4"/>
        <v/>
      </c>
      <c r="KM8" s="40" t="str">
        <f t="shared" si="85"/>
        <v/>
      </c>
      <c r="KN8" s="40" t="str">
        <f t="shared" si="86"/>
        <v/>
      </c>
      <c r="KO8" s="40" t="str">
        <f t="shared" si="87"/>
        <v/>
      </c>
      <c r="KP8" s="40" t="str">
        <f t="shared" si="88"/>
        <v/>
      </c>
      <c r="KQ8" s="40" t="str">
        <f t="shared" si="89"/>
        <v/>
      </c>
      <c r="KR8" s="40" t="str">
        <f t="shared" si="90"/>
        <v/>
      </c>
      <c r="KS8" s="40" t="str">
        <f t="shared" si="91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2"/>
        <v/>
      </c>
      <c r="LO8" s="11" t="str">
        <f t="shared" si="93"/>
        <v/>
      </c>
      <c r="LP8" s="11" t="str">
        <f t="shared" si="94"/>
        <v/>
      </c>
      <c r="LQ8" s="11" t="str">
        <f t="shared" si="95"/>
        <v/>
      </c>
      <c r="LR8" s="11" t="str">
        <f t="shared" si="96"/>
        <v/>
      </c>
      <c r="LS8" s="11" t="str">
        <f t="shared" si="97"/>
        <v/>
      </c>
      <c r="LT8" s="11" t="str">
        <f t="shared" si="98"/>
        <v/>
      </c>
      <c r="LU8" s="11" t="str">
        <f t="shared" si="99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0"/>
        <v/>
      </c>
      <c r="MQ8" s="40" t="str">
        <f t="shared" si="101"/>
        <v/>
      </c>
      <c r="MR8" s="40" t="str">
        <f t="shared" si="102"/>
        <v/>
      </c>
      <c r="MS8" s="40" t="str">
        <f t="shared" si="103"/>
        <v/>
      </c>
      <c r="MT8" s="40" t="str">
        <f t="shared" si="104"/>
        <v/>
      </c>
      <c r="MU8" s="40" t="str">
        <f t="shared" si="105"/>
        <v/>
      </c>
      <c r="MV8" s="40" t="str">
        <f t="shared" si="106"/>
        <v/>
      </c>
      <c r="MW8" s="40" t="str">
        <f t="shared" si="107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08"/>
        <v/>
      </c>
      <c r="NS8" s="11" t="str">
        <f t="shared" si="109"/>
        <v/>
      </c>
      <c r="NT8" s="11" t="str">
        <f t="shared" si="110"/>
        <v/>
      </c>
      <c r="NU8" s="11" t="str">
        <f t="shared" si="111"/>
        <v/>
      </c>
      <c r="NV8" s="11" t="str">
        <f t="shared" si="112"/>
        <v/>
      </c>
      <c r="NW8" s="11" t="str">
        <f t="shared" si="113"/>
        <v/>
      </c>
      <c r="NX8" s="11" t="str">
        <f t="shared" si="114"/>
        <v/>
      </c>
      <c r="NY8" s="11" t="str">
        <f t="shared" si="115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6"/>
        <v/>
      </c>
      <c r="OU8" s="40" t="str">
        <f t="shared" si="117"/>
        <v/>
      </c>
      <c r="OV8" s="40" t="str">
        <f t="shared" si="118"/>
        <v/>
      </c>
      <c r="OW8" s="40" t="str">
        <f t="shared" si="119"/>
        <v/>
      </c>
      <c r="OX8" s="40" t="str">
        <f t="shared" si="120"/>
        <v/>
      </c>
      <c r="OY8" s="40" t="str">
        <f t="shared" si="121"/>
        <v/>
      </c>
      <c r="OZ8" s="40" t="str">
        <f t="shared" si="122"/>
        <v/>
      </c>
      <c r="PA8" s="40" t="str">
        <f t="shared" si="123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4"/>
        <v/>
      </c>
      <c r="PW8" s="11" t="str">
        <f t="shared" si="125"/>
        <v/>
      </c>
      <c r="PX8" s="11" t="str">
        <f t="shared" si="126"/>
        <v/>
      </c>
      <c r="PY8" s="11" t="str">
        <f t="shared" si="127"/>
        <v/>
      </c>
      <c r="PZ8" s="11" t="str">
        <f t="shared" si="128"/>
        <v/>
      </c>
      <c r="QA8" s="11" t="str">
        <f t="shared" si="129"/>
        <v/>
      </c>
      <c r="QB8" s="11" t="str">
        <f t="shared" si="130"/>
        <v/>
      </c>
      <c r="QC8" s="11" t="str">
        <f t="shared" si="131"/>
        <v/>
      </c>
      <c r="QD8" s="22">
        <f t="shared" si="132"/>
        <v>16.649999999999999</v>
      </c>
      <c r="QE8" s="22">
        <f t="shared" si="133"/>
        <v>4</v>
      </c>
      <c r="QF8" s="22">
        <f t="shared" si="134"/>
        <v>0</v>
      </c>
      <c r="QG8" s="22">
        <f t="shared" si="135"/>
        <v>0.15</v>
      </c>
      <c r="QH8" s="22">
        <f t="shared" si="136"/>
        <v>16</v>
      </c>
      <c r="QI8" s="22">
        <f t="shared" si="137"/>
        <v>4</v>
      </c>
      <c r="QJ8" s="22">
        <f t="shared" si="138"/>
        <v>0.1</v>
      </c>
      <c r="QK8" s="22">
        <f t="shared" si="139"/>
        <v>0.15</v>
      </c>
      <c r="QL8" s="22">
        <f t="shared" si="140"/>
        <v>8.35</v>
      </c>
      <c r="QM8" s="22">
        <f t="shared" si="141"/>
        <v>1.95</v>
      </c>
      <c r="QN8" s="22">
        <f t="shared" si="142"/>
        <v>0</v>
      </c>
      <c r="QO8" s="22">
        <f t="shared" si="143"/>
        <v>0.3</v>
      </c>
      <c r="QP8" s="22">
        <f t="shared" si="144"/>
        <v>15.700000000000001</v>
      </c>
      <c r="QQ8" s="22">
        <f t="shared" si="145"/>
        <v>4.3499999999999996</v>
      </c>
      <c r="QR8" s="22">
        <f t="shared" si="146"/>
        <v>0</v>
      </c>
      <c r="QS8" s="22">
        <f t="shared" si="147"/>
        <v>0.15</v>
      </c>
      <c r="QT8" s="22">
        <f t="shared" si="148"/>
        <v>16.850000000000001</v>
      </c>
      <c r="QU8" s="22">
        <f t="shared" si="149"/>
        <v>4</v>
      </c>
      <c r="QV8" s="22">
        <f t="shared" si="150"/>
        <v>0</v>
      </c>
      <c r="QW8" s="22">
        <f t="shared" si="151"/>
        <v>0.15</v>
      </c>
      <c r="QX8" s="27" t="s">
        <v>46</v>
      </c>
      <c r="QY8" s="40">
        <f t="shared" si="152"/>
        <v>8</v>
      </c>
      <c r="QZ8" s="40">
        <f t="shared" si="153"/>
        <v>40.849999999999994</v>
      </c>
      <c r="RA8" s="40">
        <f t="shared" si="154"/>
        <v>10.6</v>
      </c>
      <c r="RB8" s="40">
        <f t="shared" si="155"/>
        <v>9.9499999999999993</v>
      </c>
      <c r="RC8" s="40">
        <f t="shared" si="156"/>
        <v>51.449999999999996</v>
      </c>
      <c r="RD8" s="40">
        <f t="shared" si="157"/>
        <v>8.35</v>
      </c>
      <c r="RE8" s="40">
        <f t="shared" si="158"/>
        <v>41.199999999999996</v>
      </c>
      <c r="RF8" s="40">
        <f t="shared" si="159"/>
        <v>92.649999999999991</v>
      </c>
    </row>
    <row r="9" spans="1:474" x14ac:dyDescent="0.2">
      <c r="A9" s="4" cm="1">
        <f t="array" ref="A9">IF(AND(J9&lt;&gt;"",J9&lt;&gt;"No DD"),SUMPRODUCT((J$4:J$21&lt;&gt;"")*(J$4:J$21&lt;&gt;"No DD")*(F$4:F$21&gt;F9))+1,IF(J9="No DD",SUMPRODUCT((J$4:J$21="No DD")*(F$4:F$21&gt;F9))+1+SUMPRODUCT((J$4:J$21&lt;&gt;"")*(J$4:J$21&lt;&gt;"No DD")),""))</f>
        <v>6</v>
      </c>
      <c r="B9" s="4" t="str" cm="1">
        <f t="array" ref="B9">IF(AND(J9&lt;&gt;"",J9&lt;&gt;"No DD",G9=""),SUMPRODUCT((J$4:J$21&lt;&gt;"")*(J$4:J$21&lt;&gt;"No DD")*(G$4:G$21="")*(F$4:F$21&gt;F9))+1,IF(J9="No DD",SUMPRODUCT((J$4:J$21="No DD")*(F$4:F$21&gt;F9)*(G$4:G$21=""))+1+SUMPRODUCT((J$4:J$21&lt;&gt;"")*(G$4:G$21="")*(J$4:J$21&lt;&gt;"No DD")),""))</f>
        <v/>
      </c>
      <c r="C9" s="5" t="s">
        <v>211</v>
      </c>
      <c r="D9" s="4" t="s">
        <v>4</v>
      </c>
      <c r="E9" s="4">
        <v>2008</v>
      </c>
      <c r="F9" s="9">
        <f t="shared" si="0"/>
        <v>124.50000759000386</v>
      </c>
      <c r="G9" s="64" t="s">
        <v>46</v>
      </c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38.5</v>
      </c>
      <c r="M9" s="8" t="str">
        <f t="shared" si="5"/>
        <v>2025 Elite Canada</v>
      </c>
      <c r="N9" s="8">
        <f>IF(COUNT(AQ9,BT9,CW9)&gt;1,LARGE((AQ9,BT9,CW9),2),0)</f>
        <v>37.4</v>
      </c>
      <c r="O9" s="8" t="str">
        <f t="shared" si="6"/>
        <v>2024 Nationals</v>
      </c>
      <c r="P9" s="8">
        <f t="shared" si="7"/>
        <v>45.5</v>
      </c>
      <c r="Q9" s="8" t="str">
        <f t="shared" si="8"/>
        <v>2025 Elite Canada</v>
      </c>
      <c r="R9" s="8">
        <f t="shared" si="9"/>
        <v>3.1000000000000085</v>
      </c>
      <c r="S9" s="11" t="str">
        <f t="shared" si="160"/>
        <v>(Q1)</v>
      </c>
      <c r="T9" s="8" t="str">
        <f t="shared" si="161"/>
        <v>2024 Coimbra Gym Fest (July 7)</v>
      </c>
      <c r="U9" s="19">
        <v>15.9</v>
      </c>
      <c r="V9" s="19">
        <v>3.8</v>
      </c>
      <c r="W9" s="19">
        <v>0.4</v>
      </c>
      <c r="X9" s="19">
        <v>0.3</v>
      </c>
      <c r="Y9" s="19">
        <v>16.5</v>
      </c>
      <c r="Z9" s="19">
        <v>1.3</v>
      </c>
      <c r="AA9" s="19">
        <v>0</v>
      </c>
      <c r="AB9" s="19">
        <v>0</v>
      </c>
      <c r="AC9" s="19">
        <v>13.8</v>
      </c>
      <c r="AD9" s="19">
        <v>6.1</v>
      </c>
      <c r="AE9" s="19">
        <v>0</v>
      </c>
      <c r="AF9" s="19">
        <v>0.3</v>
      </c>
      <c r="AG9" s="19">
        <v>15.8</v>
      </c>
      <c r="AH9" s="19">
        <v>6.1</v>
      </c>
      <c r="AI9" s="19">
        <v>0</v>
      </c>
      <c r="AJ9" s="19">
        <v>0.3</v>
      </c>
      <c r="AK9" s="19">
        <v>17.399999999999999</v>
      </c>
      <c r="AL9" s="19">
        <v>2.1</v>
      </c>
      <c r="AM9" s="19">
        <v>1</v>
      </c>
      <c r="AN9" s="19">
        <v>0</v>
      </c>
      <c r="AO9" s="27"/>
      <c r="AP9" s="40">
        <f t="shared" si="10"/>
        <v>5.0999999999999996</v>
      </c>
      <c r="AQ9" s="40">
        <f t="shared" si="11"/>
        <v>37.4</v>
      </c>
      <c r="AR9" s="40">
        <f t="shared" si="12"/>
        <v>20.2</v>
      </c>
      <c r="AS9" s="40">
        <f t="shared" si="13"/>
        <v>11.2</v>
      </c>
      <c r="AT9" s="40">
        <f t="shared" si="14"/>
        <v>57.599999999999994</v>
      </c>
      <c r="AU9" s="40">
        <f t="shared" si="15"/>
        <v>8.1999999999999993</v>
      </c>
      <c r="AV9" s="40">
        <f t="shared" si="16"/>
        <v>40.699999999999996</v>
      </c>
      <c r="AW9" s="40">
        <f t="shared" si="17"/>
        <v>98.299999999999983</v>
      </c>
      <c r="AX9" s="18">
        <v>9.9</v>
      </c>
      <c r="AY9" s="18">
        <v>2.4</v>
      </c>
      <c r="AZ9" s="18">
        <v>0</v>
      </c>
      <c r="BA9" s="18">
        <v>0.3</v>
      </c>
      <c r="BB9" s="18">
        <v>16.5</v>
      </c>
      <c r="BC9" s="18">
        <v>1.8</v>
      </c>
      <c r="BD9" s="18">
        <v>1</v>
      </c>
      <c r="BE9" s="18">
        <v>0</v>
      </c>
      <c r="BF9" s="18">
        <v>9.8000000000000007</v>
      </c>
      <c r="BG9" s="18">
        <v>2.4</v>
      </c>
      <c r="BH9" s="18">
        <v>0</v>
      </c>
      <c r="BI9" s="18">
        <v>0.3</v>
      </c>
      <c r="BJ9" s="18">
        <v>9.9</v>
      </c>
      <c r="BK9" s="18">
        <v>2.4</v>
      </c>
      <c r="BL9" s="18">
        <v>0</v>
      </c>
      <c r="BM9" s="18">
        <v>0.3</v>
      </c>
      <c r="BN9" s="18">
        <v>14.3</v>
      </c>
      <c r="BO9" s="18">
        <v>2.1</v>
      </c>
      <c r="BP9" s="18">
        <v>1</v>
      </c>
      <c r="BQ9" s="18">
        <v>0</v>
      </c>
      <c r="BR9" s="28"/>
      <c r="BS9" s="11">
        <f t="shared" si="18"/>
        <v>4.2</v>
      </c>
      <c r="BT9" s="11">
        <f t="shared" si="19"/>
        <v>29.900000000000002</v>
      </c>
      <c r="BU9" s="11">
        <f t="shared" si="20"/>
        <v>12.500000000000002</v>
      </c>
      <c r="BV9" s="11">
        <f t="shared" si="21"/>
        <v>6.6</v>
      </c>
      <c r="BW9" s="11">
        <f t="shared" si="22"/>
        <v>42.400000000000006</v>
      </c>
      <c r="BX9" s="11">
        <f t="shared" si="23"/>
        <v>4.5</v>
      </c>
      <c r="BY9" s="11">
        <f t="shared" si="24"/>
        <v>28.000000000000004</v>
      </c>
      <c r="BZ9" s="11">
        <f t="shared" si="25"/>
        <v>70.400000000000006</v>
      </c>
      <c r="CA9" s="19">
        <v>16.5</v>
      </c>
      <c r="CB9" s="19">
        <v>3.5</v>
      </c>
      <c r="CC9" s="19">
        <v>0.1</v>
      </c>
      <c r="CD9" s="19">
        <v>0</v>
      </c>
      <c r="CE9" s="19">
        <v>14.3</v>
      </c>
      <c r="CF9" s="19">
        <v>4</v>
      </c>
      <c r="CG9" s="19">
        <v>0.4</v>
      </c>
      <c r="CH9" s="19">
        <v>0.7</v>
      </c>
      <c r="CI9" s="19"/>
      <c r="CJ9" s="19"/>
      <c r="CK9" s="19"/>
      <c r="CL9" s="19"/>
      <c r="CM9" s="19">
        <v>16.399999999999999</v>
      </c>
      <c r="CN9" s="19">
        <v>6.3</v>
      </c>
      <c r="CO9" s="19">
        <v>0</v>
      </c>
      <c r="CP9" s="19">
        <v>0.7</v>
      </c>
      <c r="CQ9" s="19">
        <v>17.600000000000001</v>
      </c>
      <c r="CR9" s="19">
        <v>3.8</v>
      </c>
      <c r="CS9" s="19">
        <v>0</v>
      </c>
      <c r="CT9" s="19">
        <v>0.7</v>
      </c>
      <c r="CU9" s="27"/>
      <c r="CV9" s="40">
        <f t="shared" si="26"/>
        <v>7.5</v>
      </c>
      <c r="CW9" s="40">
        <f t="shared" si="27"/>
        <v>38.5</v>
      </c>
      <c r="CX9" s="40" t="str">
        <f t="shared" si="28"/>
        <v/>
      </c>
      <c r="CY9" s="40">
        <f t="shared" si="29"/>
        <v>7.5</v>
      </c>
      <c r="CZ9" s="40">
        <f t="shared" si="30"/>
        <v>38.5</v>
      </c>
      <c r="DA9" s="40">
        <f t="shared" si="31"/>
        <v>10.1</v>
      </c>
      <c r="DB9" s="40">
        <f t="shared" si="32"/>
        <v>45.5</v>
      </c>
      <c r="DC9" s="40">
        <f t="shared" si="33"/>
        <v>84</v>
      </c>
      <c r="DD9" s="50">
        <f t="shared" si="34"/>
        <v>3.1000000000000085</v>
      </c>
      <c r="DE9" s="50" t="str">
        <f t="shared" si="35"/>
        <v/>
      </c>
      <c r="DF9" s="17">
        <v>16.100000000000001</v>
      </c>
      <c r="DG9" s="17">
        <v>6.1</v>
      </c>
      <c r="DH9" s="17">
        <v>0.4</v>
      </c>
      <c r="DI9" s="17">
        <v>0</v>
      </c>
      <c r="DJ9" s="17">
        <v>15.1</v>
      </c>
      <c r="DK9" s="17">
        <v>3.6</v>
      </c>
      <c r="DL9" s="17">
        <v>0</v>
      </c>
      <c r="DM9" s="17">
        <v>0</v>
      </c>
      <c r="DN9" s="17"/>
      <c r="DO9" s="17"/>
      <c r="DP9" s="17"/>
      <c r="DQ9" s="17"/>
      <c r="DR9" s="17">
        <v>16.3</v>
      </c>
      <c r="DS9" s="17">
        <v>1.2</v>
      </c>
      <c r="DT9" s="17">
        <v>0</v>
      </c>
      <c r="DU9" s="17">
        <v>0</v>
      </c>
      <c r="DV9" s="17"/>
      <c r="DW9" s="17"/>
      <c r="DX9" s="17"/>
      <c r="DY9" s="17"/>
      <c r="DZ9" s="40">
        <f t="shared" si="36"/>
        <v>9.6999999999999993</v>
      </c>
      <c r="EA9" s="40">
        <f t="shared" si="37"/>
        <v>40.500000000000007</v>
      </c>
      <c r="EB9" s="40" t="str">
        <f t="shared" si="38"/>
        <v/>
      </c>
      <c r="EC9" s="40">
        <f t="shared" si="39"/>
        <v>9.6999999999999993</v>
      </c>
      <c r="ED9" s="40">
        <f t="shared" si="40"/>
        <v>40.500000000000007</v>
      </c>
      <c r="EE9" s="40">
        <f t="shared" si="41"/>
        <v>1.2</v>
      </c>
      <c r="EF9" s="40">
        <f t="shared" si="42"/>
        <v>17.5</v>
      </c>
      <c r="EG9" s="40">
        <f t="shared" si="43"/>
        <v>58.000000000000007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4"/>
        <v/>
      </c>
      <c r="FC9" s="11" t="str">
        <f t="shared" si="45"/>
        <v/>
      </c>
      <c r="FD9" s="11" t="str">
        <f t="shared" si="46"/>
        <v/>
      </c>
      <c r="FE9" s="11" t="str">
        <f t="shared" si="47"/>
        <v/>
      </c>
      <c r="FF9" s="11" t="str">
        <f t="shared" si="48"/>
        <v/>
      </c>
      <c r="FG9" s="11" t="str">
        <f t="shared" si="49"/>
        <v/>
      </c>
      <c r="FH9" s="11" t="str">
        <f t="shared" si="50"/>
        <v/>
      </c>
      <c r="FI9" s="11" t="str">
        <f t="shared" si="51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2"/>
        <v/>
      </c>
      <c r="GE9" s="40" t="str">
        <f t="shared" si="53"/>
        <v/>
      </c>
      <c r="GF9" s="40" t="str">
        <f t="shared" si="54"/>
        <v/>
      </c>
      <c r="GG9" s="40" t="str">
        <f t="shared" si="55"/>
        <v/>
      </c>
      <c r="GH9" s="40" t="str">
        <f t="shared" si="56"/>
        <v/>
      </c>
      <c r="GI9" s="40" t="str">
        <f t="shared" si="57"/>
        <v/>
      </c>
      <c r="GJ9" s="40" t="str">
        <f t="shared" si="58"/>
        <v/>
      </c>
      <c r="GK9" s="40" t="str">
        <f t="shared" si="59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0"/>
        <v/>
      </c>
      <c r="HG9" s="11" t="str">
        <f t="shared" si="61"/>
        <v/>
      </c>
      <c r="HH9" s="11" t="str">
        <f t="shared" si="62"/>
        <v/>
      </c>
      <c r="HI9" s="11" t="str">
        <f t="shared" si="63"/>
        <v/>
      </c>
      <c r="HJ9" s="11" t="str">
        <f t="shared" si="64"/>
        <v/>
      </c>
      <c r="HK9" s="11" t="str">
        <f t="shared" si="65"/>
        <v/>
      </c>
      <c r="HL9" s="11" t="str">
        <f t="shared" si="66"/>
        <v/>
      </c>
      <c r="HM9" s="11" t="str">
        <f t="shared" si="67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68"/>
        <v/>
      </c>
      <c r="II9" s="40" t="str">
        <f t="shared" si="69"/>
        <v/>
      </c>
      <c r="IJ9" s="40" t="str">
        <f t="shared" si="70"/>
        <v/>
      </c>
      <c r="IK9" s="40" t="str">
        <f t="shared" si="71"/>
        <v/>
      </c>
      <c r="IL9" s="40" t="str">
        <f t="shared" si="72"/>
        <v/>
      </c>
      <c r="IM9" s="40" t="str">
        <f t="shared" si="73"/>
        <v/>
      </c>
      <c r="IN9" s="40" t="str">
        <f t="shared" si="74"/>
        <v/>
      </c>
      <c r="IO9" s="40" t="str">
        <f t="shared" si="75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6"/>
        <v/>
      </c>
      <c r="JK9" s="11" t="str">
        <f t="shared" si="77"/>
        <v/>
      </c>
      <c r="JL9" s="11" t="str">
        <f t="shared" si="78"/>
        <v/>
      </c>
      <c r="JM9" s="11" t="str">
        <f t="shared" si="79"/>
        <v/>
      </c>
      <c r="JN9" s="11" t="str">
        <f t="shared" si="80"/>
        <v/>
      </c>
      <c r="JO9" s="11" t="str">
        <f t="shared" si="81"/>
        <v/>
      </c>
      <c r="JP9" s="11" t="str">
        <f t="shared" si="82"/>
        <v/>
      </c>
      <c r="JQ9" s="11" t="str">
        <f t="shared" si="83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4"/>
        <v/>
      </c>
      <c r="KM9" s="40" t="str">
        <f t="shared" si="85"/>
        <v/>
      </c>
      <c r="KN9" s="40" t="str">
        <f t="shared" si="86"/>
        <v/>
      </c>
      <c r="KO9" s="40" t="str">
        <f t="shared" si="87"/>
        <v/>
      </c>
      <c r="KP9" s="40" t="str">
        <f t="shared" si="88"/>
        <v/>
      </c>
      <c r="KQ9" s="40" t="str">
        <f t="shared" si="89"/>
        <v/>
      </c>
      <c r="KR9" s="40" t="str">
        <f t="shared" si="90"/>
        <v/>
      </c>
      <c r="KS9" s="40" t="str">
        <f t="shared" si="91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2"/>
        <v/>
      </c>
      <c r="LO9" s="11" t="str">
        <f t="shared" si="93"/>
        <v/>
      </c>
      <c r="LP9" s="11" t="str">
        <f t="shared" si="94"/>
        <v/>
      </c>
      <c r="LQ9" s="11" t="str">
        <f t="shared" si="95"/>
        <v/>
      </c>
      <c r="LR9" s="11" t="str">
        <f t="shared" si="96"/>
        <v/>
      </c>
      <c r="LS9" s="11" t="str">
        <f t="shared" si="97"/>
        <v/>
      </c>
      <c r="LT9" s="11" t="str">
        <f t="shared" si="98"/>
        <v/>
      </c>
      <c r="LU9" s="11" t="str">
        <f t="shared" si="99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0"/>
        <v/>
      </c>
      <c r="MQ9" s="40" t="str">
        <f t="shared" si="101"/>
        <v/>
      </c>
      <c r="MR9" s="40" t="str">
        <f t="shared" si="102"/>
        <v/>
      </c>
      <c r="MS9" s="40" t="str">
        <f t="shared" si="103"/>
        <v/>
      </c>
      <c r="MT9" s="40" t="str">
        <f t="shared" si="104"/>
        <v/>
      </c>
      <c r="MU9" s="40" t="str">
        <f t="shared" si="105"/>
        <v/>
      </c>
      <c r="MV9" s="40" t="str">
        <f t="shared" si="106"/>
        <v/>
      </c>
      <c r="MW9" s="40" t="str">
        <f t="shared" si="107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08"/>
        <v/>
      </c>
      <c r="NS9" s="11" t="str">
        <f t="shared" si="109"/>
        <v/>
      </c>
      <c r="NT9" s="11" t="str">
        <f t="shared" si="110"/>
        <v/>
      </c>
      <c r="NU9" s="11" t="str">
        <f t="shared" si="111"/>
        <v/>
      </c>
      <c r="NV9" s="11" t="str">
        <f t="shared" si="112"/>
        <v/>
      </c>
      <c r="NW9" s="11" t="str">
        <f t="shared" si="113"/>
        <v/>
      </c>
      <c r="NX9" s="11" t="str">
        <f t="shared" si="114"/>
        <v/>
      </c>
      <c r="NY9" s="11" t="str">
        <f t="shared" si="115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6"/>
        <v/>
      </c>
      <c r="OU9" s="40" t="str">
        <f t="shared" si="117"/>
        <v/>
      </c>
      <c r="OV9" s="40" t="str">
        <f t="shared" si="118"/>
        <v/>
      </c>
      <c r="OW9" s="40" t="str">
        <f t="shared" si="119"/>
        <v/>
      </c>
      <c r="OX9" s="40" t="str">
        <f t="shared" si="120"/>
        <v/>
      </c>
      <c r="OY9" s="40" t="str">
        <f t="shared" si="121"/>
        <v/>
      </c>
      <c r="OZ9" s="40" t="str">
        <f t="shared" si="122"/>
        <v/>
      </c>
      <c r="PA9" s="40" t="str">
        <f t="shared" si="123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4"/>
        <v/>
      </c>
      <c r="PW9" s="11" t="str">
        <f t="shared" si="125"/>
        <v/>
      </c>
      <c r="PX9" s="11" t="str">
        <f t="shared" si="126"/>
        <v/>
      </c>
      <c r="PY9" s="11" t="str">
        <f t="shared" si="127"/>
        <v/>
      </c>
      <c r="PZ9" s="11" t="str">
        <f t="shared" si="128"/>
        <v/>
      </c>
      <c r="QA9" s="11" t="str">
        <f t="shared" si="129"/>
        <v/>
      </c>
      <c r="QB9" s="11" t="str">
        <f t="shared" si="130"/>
        <v/>
      </c>
      <c r="QC9" s="11" t="str">
        <f t="shared" si="131"/>
        <v/>
      </c>
      <c r="QD9" s="22">
        <f t="shared" si="132"/>
        <v>13.2</v>
      </c>
      <c r="QE9" s="22">
        <f t="shared" si="133"/>
        <v>2.95</v>
      </c>
      <c r="QF9" s="22">
        <f t="shared" si="134"/>
        <v>0.05</v>
      </c>
      <c r="QG9" s="22">
        <f t="shared" si="135"/>
        <v>0.15</v>
      </c>
      <c r="QH9" s="22">
        <f t="shared" si="136"/>
        <v>15.4</v>
      </c>
      <c r="QI9" s="22">
        <f t="shared" si="137"/>
        <v>2.9</v>
      </c>
      <c r="QJ9" s="22">
        <f t="shared" si="138"/>
        <v>0.7</v>
      </c>
      <c r="QK9" s="22">
        <f t="shared" si="139"/>
        <v>0.35</v>
      </c>
      <c r="QL9" s="22">
        <f t="shared" si="140"/>
        <v>4.9000000000000004</v>
      </c>
      <c r="QM9" s="22">
        <f t="shared" si="141"/>
        <v>1.2</v>
      </c>
      <c r="QN9" s="22">
        <f t="shared" si="142"/>
        <v>0</v>
      </c>
      <c r="QO9" s="22">
        <f t="shared" si="143"/>
        <v>0.15</v>
      </c>
      <c r="QP9" s="22">
        <f t="shared" si="144"/>
        <v>13.149999999999999</v>
      </c>
      <c r="QQ9" s="22">
        <f t="shared" si="145"/>
        <v>4.3499999999999996</v>
      </c>
      <c r="QR9" s="22">
        <f t="shared" si="146"/>
        <v>0</v>
      </c>
      <c r="QS9" s="22">
        <f t="shared" si="147"/>
        <v>0.5</v>
      </c>
      <c r="QT9" s="22">
        <f t="shared" si="148"/>
        <v>15.950000000000001</v>
      </c>
      <c r="QU9" s="22">
        <f t="shared" si="149"/>
        <v>2.95</v>
      </c>
      <c r="QV9" s="22">
        <f t="shared" si="150"/>
        <v>0.5</v>
      </c>
      <c r="QW9" s="22">
        <f t="shared" si="151"/>
        <v>0.35</v>
      </c>
      <c r="QX9" s="27" t="s">
        <v>46</v>
      </c>
      <c r="QY9" s="40">
        <f t="shared" si="152"/>
        <v>5.85</v>
      </c>
      <c r="QZ9" s="40">
        <f t="shared" si="153"/>
        <v>34.199999999999996</v>
      </c>
      <c r="RA9" s="40">
        <f t="shared" si="154"/>
        <v>6.2500000000000009</v>
      </c>
      <c r="RB9" s="40">
        <f t="shared" si="155"/>
        <v>7.05</v>
      </c>
      <c r="RC9" s="40">
        <f t="shared" si="156"/>
        <v>40.449999999999996</v>
      </c>
      <c r="RD9" s="40">
        <f t="shared" si="157"/>
        <v>7.3</v>
      </c>
      <c r="RE9" s="40">
        <f t="shared" si="158"/>
        <v>36.750000000000007</v>
      </c>
      <c r="RF9" s="40">
        <f t="shared" si="159"/>
        <v>77.2</v>
      </c>
    </row>
    <row r="10" spans="1:474" x14ac:dyDescent="0.2">
      <c r="A10" s="4" cm="1">
        <f t="array" ref="A10">IF(AND(J10&lt;&gt;"",J10&lt;&gt;"No DD"),SUMPRODUCT((J$4:J$21&lt;&gt;"")*(J$4:J$21&lt;&gt;"No DD")*(F$4:F$21&gt;F10))+1,IF(J10="No DD",SUMPRODUCT((J$4:J$21="No DD")*(F$4:F$21&gt;F10))+1+SUMPRODUCT((J$4:J$21&lt;&gt;"")*(J$4:J$21&lt;&gt;"No DD")),""))</f>
        <v>7</v>
      </c>
      <c r="B10" s="4" cm="1">
        <f t="array" ref="B10">IF(AND(J10&lt;&gt;"",J10&lt;&gt;"No DD",G10=""),SUMPRODUCT((J$4:J$21&lt;&gt;"")*(J$4:J$21&lt;&gt;"No DD")*(G$4:G$21="")*(F$4:F$21&gt;F10))+1,IF(J10="No DD",SUMPRODUCT((J$4:J$21="No DD")*(F$4:F$21&gt;F10)*(G$4:G$21=""))+1+SUMPRODUCT((J$4:J$21&lt;&gt;"")*(G$4:G$21="")*(J$4:J$21&lt;&gt;"No DD")),""))</f>
        <v>3</v>
      </c>
      <c r="C10" s="5" t="s">
        <v>170</v>
      </c>
      <c r="D10" s="4" t="s">
        <v>4</v>
      </c>
      <c r="E10" s="4">
        <v>2004</v>
      </c>
      <c r="F10" s="9">
        <f t="shared" si="0"/>
        <v>119.50000767000434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43.300000000000004</v>
      </c>
      <c r="M10" s="8" t="str">
        <f t="shared" si="5"/>
        <v>2024 Nationals</v>
      </c>
      <c r="N10" s="8">
        <f>IF(COUNT(AQ10,BT10,CW10)&gt;1,LARGE((AQ10,BT10,CW10),2),0)</f>
        <v>33.4</v>
      </c>
      <c r="O10" s="8" t="str">
        <f t="shared" si="6"/>
        <v>2024 3rd Domestic Trial</v>
      </c>
      <c r="P10" s="8">
        <f t="shared" si="7"/>
        <v>42.800000000000004</v>
      </c>
      <c r="Q10" s="8" t="str">
        <f t="shared" si="8"/>
        <v>2024 Nationals</v>
      </c>
      <c r="R10" s="8" t="str">
        <f t="shared" si="9"/>
        <v/>
      </c>
      <c r="S10" s="11" t="str">
        <f t="shared" si="160"/>
        <v/>
      </c>
      <c r="T10" s="8" t="str">
        <f t="shared" si="161"/>
        <v/>
      </c>
      <c r="U10" s="19">
        <v>16.399999999999999</v>
      </c>
      <c r="V10" s="19">
        <v>6.1</v>
      </c>
      <c r="W10" s="19">
        <v>0</v>
      </c>
      <c r="X10" s="19">
        <v>0.3</v>
      </c>
      <c r="Y10" s="19">
        <v>16.399999999999999</v>
      </c>
      <c r="Z10" s="19">
        <v>3.5</v>
      </c>
      <c r="AA10" s="19">
        <v>0</v>
      </c>
      <c r="AB10" s="19">
        <v>0.6</v>
      </c>
      <c r="AC10" s="19">
        <v>15.5</v>
      </c>
      <c r="AD10" s="19">
        <v>6.1</v>
      </c>
      <c r="AE10" s="19">
        <v>0</v>
      </c>
      <c r="AF10" s="19">
        <v>0.3</v>
      </c>
      <c r="AG10" s="19">
        <v>15.9</v>
      </c>
      <c r="AH10" s="19">
        <v>6.1</v>
      </c>
      <c r="AI10" s="19">
        <v>0</v>
      </c>
      <c r="AJ10" s="19">
        <v>0.3</v>
      </c>
      <c r="AK10" s="19">
        <v>16.399999999999999</v>
      </c>
      <c r="AL10" s="19">
        <v>3.5</v>
      </c>
      <c r="AM10" s="19">
        <v>0</v>
      </c>
      <c r="AN10" s="19">
        <v>0.6</v>
      </c>
      <c r="AO10" s="27"/>
      <c r="AP10" s="40">
        <f t="shared" si="10"/>
        <v>9.6</v>
      </c>
      <c r="AQ10" s="40">
        <f t="shared" si="11"/>
        <v>43.300000000000004</v>
      </c>
      <c r="AR10" s="40">
        <f t="shared" si="12"/>
        <v>21.900000000000002</v>
      </c>
      <c r="AS10" s="40">
        <f t="shared" si="13"/>
        <v>15.7</v>
      </c>
      <c r="AT10" s="40">
        <f t="shared" si="14"/>
        <v>65.2</v>
      </c>
      <c r="AU10" s="40">
        <f t="shared" si="15"/>
        <v>9.6</v>
      </c>
      <c r="AV10" s="40">
        <f t="shared" si="16"/>
        <v>42.800000000000004</v>
      </c>
      <c r="AW10" s="40">
        <f t="shared" si="17"/>
        <v>108</v>
      </c>
      <c r="AX10" s="18">
        <v>14.4</v>
      </c>
      <c r="AY10" s="18">
        <v>3.4</v>
      </c>
      <c r="AZ10" s="18">
        <v>0.6</v>
      </c>
      <c r="BA10" s="18">
        <v>0.3</v>
      </c>
      <c r="BB10" s="18">
        <v>15</v>
      </c>
      <c r="BC10" s="18">
        <v>4.3</v>
      </c>
      <c r="BD10" s="18">
        <v>4</v>
      </c>
      <c r="BE10" s="18">
        <v>0.6</v>
      </c>
      <c r="BF10" s="18">
        <v>14.6</v>
      </c>
      <c r="BG10" s="18">
        <v>3.3</v>
      </c>
      <c r="BH10" s="18">
        <v>0.3</v>
      </c>
      <c r="BI10" s="18">
        <v>0.3</v>
      </c>
      <c r="BJ10" s="18">
        <v>14.9</v>
      </c>
      <c r="BK10" s="18">
        <v>2.9</v>
      </c>
      <c r="BL10" s="18">
        <v>0</v>
      </c>
      <c r="BM10" s="18">
        <v>0.3</v>
      </c>
      <c r="BN10" s="18">
        <v>14.1</v>
      </c>
      <c r="BO10" s="18">
        <v>3.9</v>
      </c>
      <c r="BP10" s="18">
        <v>0.4</v>
      </c>
      <c r="BQ10" s="18">
        <v>0.6</v>
      </c>
      <c r="BR10" s="28"/>
      <c r="BS10" s="11">
        <f t="shared" si="18"/>
        <v>7.6999999999999993</v>
      </c>
      <c r="BT10" s="11">
        <f t="shared" si="19"/>
        <v>33.4</v>
      </c>
      <c r="BU10" s="11">
        <f t="shared" si="20"/>
        <v>17.899999999999999</v>
      </c>
      <c r="BV10" s="11">
        <f t="shared" si="21"/>
        <v>11</v>
      </c>
      <c r="BW10" s="11">
        <f t="shared" si="22"/>
        <v>51.3</v>
      </c>
      <c r="BX10" s="11">
        <f t="shared" si="23"/>
        <v>6.8</v>
      </c>
      <c r="BY10" s="11">
        <f t="shared" si="24"/>
        <v>36.300000000000004</v>
      </c>
      <c r="BZ10" s="11">
        <f t="shared" si="25"/>
        <v>87.6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26"/>
        <v/>
      </c>
      <c r="CW10" s="40" t="str">
        <f t="shared" si="27"/>
        <v/>
      </c>
      <c r="CX10" s="40" t="str">
        <f t="shared" si="28"/>
        <v/>
      </c>
      <c r="CY10" s="40" t="str">
        <f t="shared" si="29"/>
        <v/>
      </c>
      <c r="CZ10" s="40" t="str">
        <f t="shared" si="30"/>
        <v/>
      </c>
      <c r="DA10" s="40" t="str">
        <f t="shared" si="31"/>
        <v/>
      </c>
      <c r="DB10" s="40" t="str">
        <f t="shared" si="32"/>
        <v/>
      </c>
      <c r="DC10" s="40" t="str">
        <f t="shared" si="33"/>
        <v/>
      </c>
      <c r="DD10" s="50" t="str">
        <f t="shared" si="34"/>
        <v/>
      </c>
      <c r="DE10" s="50" t="str">
        <f t="shared" si="35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6"/>
        <v/>
      </c>
      <c r="EA10" s="40" t="str">
        <f t="shared" si="37"/>
        <v/>
      </c>
      <c r="EB10" s="40" t="str">
        <f t="shared" si="38"/>
        <v/>
      </c>
      <c r="EC10" s="40" t="str">
        <f t="shared" si="39"/>
        <v/>
      </c>
      <c r="ED10" s="40" t="str">
        <f t="shared" si="40"/>
        <v/>
      </c>
      <c r="EE10" s="40" t="str">
        <f t="shared" si="41"/>
        <v/>
      </c>
      <c r="EF10" s="40" t="str">
        <f t="shared" si="42"/>
        <v/>
      </c>
      <c r="EG10" s="40" t="str">
        <f t="shared" si="43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4"/>
        <v/>
      </c>
      <c r="FC10" s="11" t="str">
        <f t="shared" si="45"/>
        <v/>
      </c>
      <c r="FD10" s="11" t="str">
        <f t="shared" si="46"/>
        <v/>
      </c>
      <c r="FE10" s="11" t="str">
        <f t="shared" si="47"/>
        <v/>
      </c>
      <c r="FF10" s="11" t="str">
        <f t="shared" si="48"/>
        <v/>
      </c>
      <c r="FG10" s="11" t="str">
        <f t="shared" si="49"/>
        <v/>
      </c>
      <c r="FH10" s="11" t="str">
        <f t="shared" si="50"/>
        <v/>
      </c>
      <c r="FI10" s="11" t="str">
        <f t="shared" si="51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2"/>
        <v/>
      </c>
      <c r="GE10" s="40" t="str">
        <f t="shared" si="53"/>
        <v/>
      </c>
      <c r="GF10" s="40" t="str">
        <f t="shared" si="54"/>
        <v/>
      </c>
      <c r="GG10" s="40" t="str">
        <f t="shared" si="55"/>
        <v/>
      </c>
      <c r="GH10" s="40" t="str">
        <f t="shared" si="56"/>
        <v/>
      </c>
      <c r="GI10" s="40" t="str">
        <f t="shared" si="57"/>
        <v/>
      </c>
      <c r="GJ10" s="40" t="str">
        <f t="shared" si="58"/>
        <v/>
      </c>
      <c r="GK10" s="40" t="str">
        <f t="shared" si="59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0"/>
        <v/>
      </c>
      <c r="HG10" s="11" t="str">
        <f t="shared" si="61"/>
        <v/>
      </c>
      <c r="HH10" s="11" t="str">
        <f t="shared" si="62"/>
        <v/>
      </c>
      <c r="HI10" s="11" t="str">
        <f t="shared" si="63"/>
        <v/>
      </c>
      <c r="HJ10" s="11" t="str">
        <f t="shared" si="64"/>
        <v/>
      </c>
      <c r="HK10" s="11" t="str">
        <f t="shared" si="65"/>
        <v/>
      </c>
      <c r="HL10" s="11" t="str">
        <f t="shared" si="66"/>
        <v/>
      </c>
      <c r="HM10" s="11" t="str">
        <f t="shared" si="67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68"/>
        <v/>
      </c>
      <c r="II10" s="40" t="str">
        <f t="shared" si="69"/>
        <v/>
      </c>
      <c r="IJ10" s="40" t="str">
        <f t="shared" si="70"/>
        <v/>
      </c>
      <c r="IK10" s="40" t="str">
        <f t="shared" si="71"/>
        <v/>
      </c>
      <c r="IL10" s="40" t="str">
        <f t="shared" si="72"/>
        <v/>
      </c>
      <c r="IM10" s="40" t="str">
        <f t="shared" si="73"/>
        <v/>
      </c>
      <c r="IN10" s="40" t="str">
        <f t="shared" si="74"/>
        <v/>
      </c>
      <c r="IO10" s="40" t="str">
        <f t="shared" si="75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6"/>
        <v/>
      </c>
      <c r="JK10" s="11" t="str">
        <f t="shared" si="77"/>
        <v/>
      </c>
      <c r="JL10" s="11" t="str">
        <f t="shared" si="78"/>
        <v/>
      </c>
      <c r="JM10" s="11" t="str">
        <f t="shared" si="79"/>
        <v/>
      </c>
      <c r="JN10" s="11" t="str">
        <f t="shared" si="80"/>
        <v/>
      </c>
      <c r="JO10" s="11" t="str">
        <f t="shared" si="81"/>
        <v/>
      </c>
      <c r="JP10" s="11" t="str">
        <f t="shared" si="82"/>
        <v/>
      </c>
      <c r="JQ10" s="11" t="str">
        <f t="shared" si="83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4"/>
        <v/>
      </c>
      <c r="KM10" s="40" t="str">
        <f t="shared" si="85"/>
        <v/>
      </c>
      <c r="KN10" s="40" t="str">
        <f t="shared" si="86"/>
        <v/>
      </c>
      <c r="KO10" s="40" t="str">
        <f t="shared" si="87"/>
        <v/>
      </c>
      <c r="KP10" s="40" t="str">
        <f t="shared" si="88"/>
        <v/>
      </c>
      <c r="KQ10" s="40" t="str">
        <f t="shared" si="89"/>
        <v/>
      </c>
      <c r="KR10" s="40" t="str">
        <f t="shared" si="90"/>
        <v/>
      </c>
      <c r="KS10" s="40" t="str">
        <f t="shared" si="91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2"/>
        <v/>
      </c>
      <c r="LO10" s="11" t="str">
        <f t="shared" si="93"/>
        <v/>
      </c>
      <c r="LP10" s="11" t="str">
        <f t="shared" si="94"/>
        <v/>
      </c>
      <c r="LQ10" s="11" t="str">
        <f t="shared" si="95"/>
        <v/>
      </c>
      <c r="LR10" s="11" t="str">
        <f t="shared" si="96"/>
        <v/>
      </c>
      <c r="LS10" s="11" t="str">
        <f t="shared" si="97"/>
        <v/>
      </c>
      <c r="LT10" s="11" t="str">
        <f t="shared" si="98"/>
        <v/>
      </c>
      <c r="LU10" s="11" t="str">
        <f t="shared" si="99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0"/>
        <v/>
      </c>
      <c r="MQ10" s="40" t="str">
        <f t="shared" si="101"/>
        <v/>
      </c>
      <c r="MR10" s="40" t="str">
        <f t="shared" si="102"/>
        <v/>
      </c>
      <c r="MS10" s="40" t="str">
        <f t="shared" si="103"/>
        <v/>
      </c>
      <c r="MT10" s="40" t="str">
        <f t="shared" si="104"/>
        <v/>
      </c>
      <c r="MU10" s="40" t="str">
        <f t="shared" si="105"/>
        <v/>
      </c>
      <c r="MV10" s="40" t="str">
        <f t="shared" si="106"/>
        <v/>
      </c>
      <c r="MW10" s="40" t="str">
        <f t="shared" si="107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08"/>
        <v/>
      </c>
      <c r="NS10" s="11" t="str">
        <f t="shared" si="109"/>
        <v/>
      </c>
      <c r="NT10" s="11" t="str">
        <f t="shared" si="110"/>
        <v/>
      </c>
      <c r="NU10" s="11" t="str">
        <f t="shared" si="111"/>
        <v/>
      </c>
      <c r="NV10" s="11" t="str">
        <f t="shared" si="112"/>
        <v/>
      </c>
      <c r="NW10" s="11" t="str">
        <f t="shared" si="113"/>
        <v/>
      </c>
      <c r="NX10" s="11" t="str">
        <f t="shared" si="114"/>
        <v/>
      </c>
      <c r="NY10" s="11" t="str">
        <f t="shared" si="115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6"/>
        <v/>
      </c>
      <c r="OU10" s="40" t="str">
        <f t="shared" si="117"/>
        <v/>
      </c>
      <c r="OV10" s="40" t="str">
        <f t="shared" si="118"/>
        <v/>
      </c>
      <c r="OW10" s="40" t="str">
        <f t="shared" si="119"/>
        <v/>
      </c>
      <c r="OX10" s="40" t="str">
        <f t="shared" si="120"/>
        <v/>
      </c>
      <c r="OY10" s="40" t="str">
        <f t="shared" si="121"/>
        <v/>
      </c>
      <c r="OZ10" s="40" t="str">
        <f t="shared" si="122"/>
        <v/>
      </c>
      <c r="PA10" s="40" t="str">
        <f t="shared" si="123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4"/>
        <v/>
      </c>
      <c r="PW10" s="11" t="str">
        <f t="shared" si="125"/>
        <v/>
      </c>
      <c r="PX10" s="11" t="str">
        <f t="shared" si="126"/>
        <v/>
      </c>
      <c r="PY10" s="11" t="str">
        <f t="shared" si="127"/>
        <v/>
      </c>
      <c r="PZ10" s="11" t="str">
        <f t="shared" si="128"/>
        <v/>
      </c>
      <c r="QA10" s="11" t="str">
        <f t="shared" si="129"/>
        <v/>
      </c>
      <c r="QB10" s="11" t="str">
        <f t="shared" si="130"/>
        <v/>
      </c>
      <c r="QC10" s="11" t="str">
        <f t="shared" si="131"/>
        <v/>
      </c>
      <c r="QD10" s="22">
        <f t="shared" si="132"/>
        <v>7.2</v>
      </c>
      <c r="QE10" s="22">
        <f t="shared" si="133"/>
        <v>1.7</v>
      </c>
      <c r="QF10" s="22">
        <f t="shared" si="134"/>
        <v>0.3</v>
      </c>
      <c r="QG10" s="22">
        <f t="shared" si="135"/>
        <v>0.15</v>
      </c>
      <c r="QH10" s="22">
        <f t="shared" si="136"/>
        <v>7.5</v>
      </c>
      <c r="QI10" s="22">
        <f t="shared" si="137"/>
        <v>2.15</v>
      </c>
      <c r="QJ10" s="22">
        <f t="shared" si="138"/>
        <v>2</v>
      </c>
      <c r="QK10" s="22">
        <f t="shared" si="139"/>
        <v>0.3</v>
      </c>
      <c r="QL10" s="22">
        <f t="shared" si="140"/>
        <v>7.3</v>
      </c>
      <c r="QM10" s="22">
        <f t="shared" si="141"/>
        <v>1.65</v>
      </c>
      <c r="QN10" s="22">
        <f t="shared" si="142"/>
        <v>0.15</v>
      </c>
      <c r="QO10" s="22">
        <f t="shared" si="143"/>
        <v>0.15</v>
      </c>
      <c r="QP10" s="22">
        <f t="shared" si="144"/>
        <v>7.45</v>
      </c>
      <c r="QQ10" s="22">
        <f t="shared" si="145"/>
        <v>1.45</v>
      </c>
      <c r="QR10" s="22">
        <f t="shared" si="146"/>
        <v>0</v>
      </c>
      <c r="QS10" s="22">
        <f t="shared" si="147"/>
        <v>0.15</v>
      </c>
      <c r="QT10" s="22">
        <f t="shared" si="148"/>
        <v>7.05</v>
      </c>
      <c r="QU10" s="22">
        <f t="shared" si="149"/>
        <v>1.95</v>
      </c>
      <c r="QV10" s="22">
        <f t="shared" si="150"/>
        <v>0.2</v>
      </c>
      <c r="QW10" s="22">
        <f t="shared" si="151"/>
        <v>0.3</v>
      </c>
      <c r="QX10" s="27" t="s">
        <v>46</v>
      </c>
      <c r="QY10" s="40">
        <f t="shared" si="152"/>
        <v>3.8499999999999996</v>
      </c>
      <c r="QZ10" s="40">
        <f t="shared" si="153"/>
        <v>16.7</v>
      </c>
      <c r="RA10" s="40">
        <f t="shared" si="154"/>
        <v>8.9499999999999993</v>
      </c>
      <c r="RB10" s="40">
        <f t="shared" si="155"/>
        <v>5.5</v>
      </c>
      <c r="RC10" s="40">
        <f t="shared" si="156"/>
        <v>25.65</v>
      </c>
      <c r="RD10" s="40">
        <f t="shared" si="157"/>
        <v>3.4</v>
      </c>
      <c r="RE10" s="40">
        <f t="shared" si="158"/>
        <v>18.150000000000002</v>
      </c>
      <c r="RF10" s="40">
        <f t="shared" si="159"/>
        <v>43.8</v>
      </c>
    </row>
    <row r="11" spans="1:474" x14ac:dyDescent="0.2">
      <c r="A11" s="4" cm="1">
        <f t="array" ref="A11">IF(AND(J11&lt;&gt;"",J11&lt;&gt;"No DD"),SUMPRODUCT((J$4:J$21&lt;&gt;"")*(J$4:J$21&lt;&gt;"No DD")*(F$4:F$21&gt;F11))+1,IF(J11="No DD",SUMPRODUCT((J$4:J$21="No DD")*(F$4:F$21&gt;F11))+1+SUMPRODUCT((J$4:J$21&lt;&gt;"")*(J$4:J$21&lt;&gt;"No DD")),""))</f>
        <v>8</v>
      </c>
      <c r="B11" s="4" cm="1">
        <f t="array" ref="B11">IF(AND(J11&lt;&gt;"",J11&lt;&gt;"No DD",G11=""),SUMPRODUCT((J$4:J$21&lt;&gt;"")*(J$4:J$21&lt;&gt;"No DD")*(G$4:G$21="")*(F$4:F$21&gt;F11))+1,IF(J11="No DD",SUMPRODUCT((J$4:J$21="No DD")*(F$4:F$21&gt;F11)*(G$4:G$21=""))+1+SUMPRODUCT((J$4:J$21&lt;&gt;"")*(G$4:G$21="")*(J$4:J$21&lt;&gt;"No DD")),""))</f>
        <v>4</v>
      </c>
      <c r="C11" s="5" t="s">
        <v>122</v>
      </c>
      <c r="D11" s="4" t="s">
        <v>4</v>
      </c>
      <c r="E11" s="4">
        <v>2005</v>
      </c>
      <c r="F11" s="9">
        <f t="shared" si="0"/>
        <v>116.50000739000399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40.099999999999994</v>
      </c>
      <c r="M11" s="8" t="str">
        <f t="shared" si="5"/>
        <v>2024 3rd Domestic Trial</v>
      </c>
      <c r="N11" s="8">
        <f>IF(COUNT(AQ11,BT11,CW11)&gt;1,LARGE((AQ11,BT11,CW11),2),0)</f>
        <v>33.799999999999997</v>
      </c>
      <c r="O11" s="8" t="str">
        <f t="shared" si="6"/>
        <v>2025 Elite Canada</v>
      </c>
      <c r="P11" s="8">
        <f t="shared" si="7"/>
        <v>42.599999999999994</v>
      </c>
      <c r="Q11" s="8" t="str">
        <f t="shared" si="8"/>
        <v>2024 3rd Domestic Trial</v>
      </c>
      <c r="R11" s="8" t="str">
        <f t="shared" si="9"/>
        <v/>
      </c>
      <c r="S11" s="11" t="str">
        <f t="shared" si="160"/>
        <v/>
      </c>
      <c r="T11" s="8" t="str">
        <f t="shared" si="161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0"/>
        <v/>
      </c>
      <c r="AQ11" s="40" t="str">
        <f t="shared" si="11"/>
        <v/>
      </c>
      <c r="AR11" s="40" t="str">
        <f t="shared" si="12"/>
        <v/>
      </c>
      <c r="AS11" s="40" t="str">
        <f t="shared" si="13"/>
        <v/>
      </c>
      <c r="AT11" s="40" t="str">
        <f t="shared" si="14"/>
        <v/>
      </c>
      <c r="AU11" s="40" t="str">
        <f t="shared" si="15"/>
        <v/>
      </c>
      <c r="AV11" s="40" t="str">
        <f t="shared" si="16"/>
        <v/>
      </c>
      <c r="AW11" s="40" t="str">
        <f t="shared" si="17"/>
        <v/>
      </c>
      <c r="AX11" s="18">
        <v>16.899999999999999</v>
      </c>
      <c r="AY11" s="18">
        <v>4.3</v>
      </c>
      <c r="AZ11" s="18">
        <v>0.2</v>
      </c>
      <c r="BA11" s="18">
        <v>0.3</v>
      </c>
      <c r="BB11" s="18">
        <v>15</v>
      </c>
      <c r="BC11" s="18">
        <v>3.9</v>
      </c>
      <c r="BD11" s="18">
        <v>0.4</v>
      </c>
      <c r="BE11" s="18">
        <v>0.3</v>
      </c>
      <c r="BF11" s="18">
        <v>16.100000000000001</v>
      </c>
      <c r="BG11" s="18">
        <v>1.9</v>
      </c>
      <c r="BH11" s="18">
        <v>0</v>
      </c>
      <c r="BI11" s="18">
        <v>0.3</v>
      </c>
      <c r="BJ11" s="18">
        <v>17.2</v>
      </c>
      <c r="BK11" s="18">
        <v>4.0999999999999996</v>
      </c>
      <c r="BL11" s="18">
        <v>0</v>
      </c>
      <c r="BM11" s="18">
        <v>0.3</v>
      </c>
      <c r="BN11" s="18">
        <v>16.399999999999999</v>
      </c>
      <c r="BO11" s="18">
        <v>4.3</v>
      </c>
      <c r="BP11" s="18">
        <v>0</v>
      </c>
      <c r="BQ11" s="18">
        <v>0.3</v>
      </c>
      <c r="BR11" s="28"/>
      <c r="BS11" s="11">
        <f t="shared" si="18"/>
        <v>8.1999999999999993</v>
      </c>
      <c r="BT11" s="11">
        <f t="shared" si="19"/>
        <v>40.099999999999994</v>
      </c>
      <c r="BU11" s="11">
        <f t="shared" si="20"/>
        <v>18.3</v>
      </c>
      <c r="BV11" s="11">
        <f t="shared" si="21"/>
        <v>10.1</v>
      </c>
      <c r="BW11" s="11">
        <f t="shared" si="22"/>
        <v>58.399999999999991</v>
      </c>
      <c r="BX11" s="11">
        <f t="shared" si="23"/>
        <v>8.3999999999999986</v>
      </c>
      <c r="BY11" s="11">
        <f t="shared" si="24"/>
        <v>42.599999999999994</v>
      </c>
      <c r="BZ11" s="11">
        <f t="shared" si="25"/>
        <v>100.99999999999999</v>
      </c>
      <c r="CA11" s="19">
        <v>16.100000000000001</v>
      </c>
      <c r="CB11" s="19">
        <v>4.2</v>
      </c>
      <c r="CC11" s="19">
        <v>0.2</v>
      </c>
      <c r="CD11" s="19">
        <v>0</v>
      </c>
      <c r="CE11" s="19">
        <v>10.6</v>
      </c>
      <c r="CF11" s="19">
        <v>2.4</v>
      </c>
      <c r="CG11" s="19">
        <v>0</v>
      </c>
      <c r="CH11" s="19">
        <v>0.7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6"/>
        <v>6.6</v>
      </c>
      <c r="CW11" s="40">
        <f t="shared" si="27"/>
        <v>33.799999999999997</v>
      </c>
      <c r="CX11" s="40" t="str">
        <f t="shared" si="28"/>
        <v/>
      </c>
      <c r="CY11" s="40">
        <f t="shared" si="29"/>
        <v>6.6</v>
      </c>
      <c r="CZ11" s="40">
        <f t="shared" si="30"/>
        <v>33.799999999999997</v>
      </c>
      <c r="DA11" s="40" t="str">
        <f t="shared" si="31"/>
        <v/>
      </c>
      <c r="DB11" s="40" t="str">
        <f t="shared" si="32"/>
        <v/>
      </c>
      <c r="DC11" s="40">
        <f t="shared" si="33"/>
        <v>33.799999999999997</v>
      </c>
      <c r="DD11" s="50" t="str">
        <f t="shared" si="34"/>
        <v/>
      </c>
      <c r="DE11" s="50" t="str">
        <f t="shared" si="35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6"/>
        <v/>
      </c>
      <c r="EA11" s="40" t="str">
        <f t="shared" si="37"/>
        <v/>
      </c>
      <c r="EB11" s="40" t="str">
        <f t="shared" si="38"/>
        <v/>
      </c>
      <c r="EC11" s="40" t="str">
        <f t="shared" si="39"/>
        <v/>
      </c>
      <c r="ED11" s="40" t="str">
        <f t="shared" si="40"/>
        <v/>
      </c>
      <c r="EE11" s="40" t="str">
        <f t="shared" si="41"/>
        <v/>
      </c>
      <c r="EF11" s="40" t="str">
        <f t="shared" si="42"/>
        <v/>
      </c>
      <c r="EG11" s="40" t="str">
        <f t="shared" si="43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4"/>
        <v/>
      </c>
      <c r="FC11" s="11" t="str">
        <f t="shared" si="45"/>
        <v/>
      </c>
      <c r="FD11" s="11" t="str">
        <f t="shared" si="46"/>
        <v/>
      </c>
      <c r="FE11" s="11" t="str">
        <f t="shared" si="47"/>
        <v/>
      </c>
      <c r="FF11" s="11" t="str">
        <f t="shared" si="48"/>
        <v/>
      </c>
      <c r="FG11" s="11" t="str">
        <f t="shared" si="49"/>
        <v/>
      </c>
      <c r="FH11" s="11" t="str">
        <f t="shared" si="50"/>
        <v/>
      </c>
      <c r="FI11" s="11" t="str">
        <f t="shared" si="51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2"/>
        <v/>
      </c>
      <c r="GE11" s="40" t="str">
        <f t="shared" si="53"/>
        <v/>
      </c>
      <c r="GF11" s="40" t="str">
        <f t="shared" si="54"/>
        <v/>
      </c>
      <c r="GG11" s="40" t="str">
        <f t="shared" si="55"/>
        <v/>
      </c>
      <c r="GH11" s="40" t="str">
        <f t="shared" si="56"/>
        <v/>
      </c>
      <c r="GI11" s="40" t="str">
        <f t="shared" si="57"/>
        <v/>
      </c>
      <c r="GJ11" s="40" t="str">
        <f t="shared" si="58"/>
        <v/>
      </c>
      <c r="GK11" s="40" t="str">
        <f t="shared" si="59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0"/>
        <v/>
      </c>
      <c r="HG11" s="11" t="str">
        <f t="shared" si="61"/>
        <v/>
      </c>
      <c r="HH11" s="11" t="str">
        <f t="shared" si="62"/>
        <v/>
      </c>
      <c r="HI11" s="11" t="str">
        <f t="shared" si="63"/>
        <v/>
      </c>
      <c r="HJ11" s="11" t="str">
        <f t="shared" si="64"/>
        <v/>
      </c>
      <c r="HK11" s="11" t="str">
        <f t="shared" si="65"/>
        <v/>
      </c>
      <c r="HL11" s="11" t="str">
        <f t="shared" si="66"/>
        <v/>
      </c>
      <c r="HM11" s="11" t="str">
        <f t="shared" si="67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68"/>
        <v/>
      </c>
      <c r="II11" s="40" t="str">
        <f t="shared" si="69"/>
        <v/>
      </c>
      <c r="IJ11" s="40" t="str">
        <f t="shared" si="70"/>
        <v/>
      </c>
      <c r="IK11" s="40" t="str">
        <f t="shared" si="71"/>
        <v/>
      </c>
      <c r="IL11" s="40" t="str">
        <f t="shared" si="72"/>
        <v/>
      </c>
      <c r="IM11" s="40" t="str">
        <f t="shared" si="73"/>
        <v/>
      </c>
      <c r="IN11" s="40" t="str">
        <f t="shared" si="74"/>
        <v/>
      </c>
      <c r="IO11" s="40" t="str">
        <f t="shared" si="75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6"/>
        <v/>
      </c>
      <c r="JK11" s="11" t="str">
        <f t="shared" si="77"/>
        <v/>
      </c>
      <c r="JL11" s="11" t="str">
        <f t="shared" si="78"/>
        <v/>
      </c>
      <c r="JM11" s="11" t="str">
        <f t="shared" si="79"/>
        <v/>
      </c>
      <c r="JN11" s="11" t="str">
        <f t="shared" si="80"/>
        <v/>
      </c>
      <c r="JO11" s="11" t="str">
        <f t="shared" si="81"/>
        <v/>
      </c>
      <c r="JP11" s="11" t="str">
        <f t="shared" si="82"/>
        <v/>
      </c>
      <c r="JQ11" s="11" t="str">
        <f t="shared" si="83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4"/>
        <v/>
      </c>
      <c r="KM11" s="40" t="str">
        <f t="shared" si="85"/>
        <v/>
      </c>
      <c r="KN11" s="40" t="str">
        <f t="shared" si="86"/>
        <v/>
      </c>
      <c r="KO11" s="40" t="str">
        <f t="shared" si="87"/>
        <v/>
      </c>
      <c r="KP11" s="40" t="str">
        <f t="shared" si="88"/>
        <v/>
      </c>
      <c r="KQ11" s="40" t="str">
        <f t="shared" si="89"/>
        <v/>
      </c>
      <c r="KR11" s="40" t="str">
        <f t="shared" si="90"/>
        <v/>
      </c>
      <c r="KS11" s="40" t="str">
        <f t="shared" si="91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2"/>
        <v/>
      </c>
      <c r="LO11" s="11" t="str">
        <f t="shared" si="93"/>
        <v/>
      </c>
      <c r="LP11" s="11" t="str">
        <f t="shared" si="94"/>
        <v/>
      </c>
      <c r="LQ11" s="11" t="str">
        <f t="shared" si="95"/>
        <v/>
      </c>
      <c r="LR11" s="11" t="str">
        <f t="shared" si="96"/>
        <v/>
      </c>
      <c r="LS11" s="11" t="str">
        <f t="shared" si="97"/>
        <v/>
      </c>
      <c r="LT11" s="11" t="str">
        <f t="shared" si="98"/>
        <v/>
      </c>
      <c r="LU11" s="11" t="str">
        <f t="shared" si="99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0"/>
        <v/>
      </c>
      <c r="MQ11" s="40" t="str">
        <f t="shared" si="101"/>
        <v/>
      </c>
      <c r="MR11" s="40" t="str">
        <f t="shared" si="102"/>
        <v/>
      </c>
      <c r="MS11" s="40" t="str">
        <f t="shared" si="103"/>
        <v/>
      </c>
      <c r="MT11" s="40" t="str">
        <f t="shared" si="104"/>
        <v/>
      </c>
      <c r="MU11" s="40" t="str">
        <f t="shared" si="105"/>
        <v/>
      </c>
      <c r="MV11" s="40" t="str">
        <f t="shared" si="106"/>
        <v/>
      </c>
      <c r="MW11" s="40" t="str">
        <f t="shared" si="107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08"/>
        <v/>
      </c>
      <c r="NS11" s="11" t="str">
        <f t="shared" si="109"/>
        <v/>
      </c>
      <c r="NT11" s="11" t="str">
        <f t="shared" si="110"/>
        <v/>
      </c>
      <c r="NU11" s="11" t="str">
        <f t="shared" si="111"/>
        <v/>
      </c>
      <c r="NV11" s="11" t="str">
        <f t="shared" si="112"/>
        <v/>
      </c>
      <c r="NW11" s="11" t="str">
        <f t="shared" si="113"/>
        <v/>
      </c>
      <c r="NX11" s="11" t="str">
        <f t="shared" si="114"/>
        <v/>
      </c>
      <c r="NY11" s="11" t="str">
        <f t="shared" si="115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6"/>
        <v/>
      </c>
      <c r="OU11" s="40" t="str">
        <f t="shared" si="117"/>
        <v/>
      </c>
      <c r="OV11" s="40" t="str">
        <f t="shared" si="118"/>
        <v/>
      </c>
      <c r="OW11" s="40" t="str">
        <f t="shared" si="119"/>
        <v/>
      </c>
      <c r="OX11" s="40" t="str">
        <f t="shared" si="120"/>
        <v/>
      </c>
      <c r="OY11" s="40" t="str">
        <f t="shared" si="121"/>
        <v/>
      </c>
      <c r="OZ11" s="40" t="str">
        <f t="shared" si="122"/>
        <v/>
      </c>
      <c r="PA11" s="40" t="str">
        <f t="shared" si="123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4"/>
        <v/>
      </c>
      <c r="PW11" s="11" t="str">
        <f t="shared" si="125"/>
        <v/>
      </c>
      <c r="PX11" s="11" t="str">
        <f t="shared" si="126"/>
        <v/>
      </c>
      <c r="PY11" s="11" t="str">
        <f t="shared" si="127"/>
        <v/>
      </c>
      <c r="PZ11" s="11" t="str">
        <f t="shared" si="128"/>
        <v/>
      </c>
      <c r="QA11" s="11" t="str">
        <f t="shared" si="129"/>
        <v/>
      </c>
      <c r="QB11" s="11" t="str">
        <f t="shared" si="130"/>
        <v/>
      </c>
      <c r="QC11" s="11" t="str">
        <f t="shared" si="131"/>
        <v/>
      </c>
      <c r="QD11" s="22">
        <f t="shared" si="132"/>
        <v>16.5</v>
      </c>
      <c r="QE11" s="22">
        <f t="shared" si="133"/>
        <v>4.25</v>
      </c>
      <c r="QF11" s="22">
        <f t="shared" si="134"/>
        <v>0.2</v>
      </c>
      <c r="QG11" s="22">
        <f t="shared" si="135"/>
        <v>0.15</v>
      </c>
      <c r="QH11" s="22">
        <f t="shared" si="136"/>
        <v>12.8</v>
      </c>
      <c r="QI11" s="22">
        <f t="shared" si="137"/>
        <v>3.15</v>
      </c>
      <c r="QJ11" s="22">
        <f t="shared" si="138"/>
        <v>0.2</v>
      </c>
      <c r="QK11" s="22">
        <f t="shared" si="139"/>
        <v>0.5</v>
      </c>
      <c r="QL11" s="22">
        <f t="shared" si="140"/>
        <v>8.0500000000000007</v>
      </c>
      <c r="QM11" s="22">
        <f t="shared" si="141"/>
        <v>0.95</v>
      </c>
      <c r="QN11" s="22">
        <f t="shared" si="142"/>
        <v>0</v>
      </c>
      <c r="QO11" s="22">
        <f t="shared" si="143"/>
        <v>0.15</v>
      </c>
      <c r="QP11" s="22">
        <f t="shared" si="144"/>
        <v>8.6</v>
      </c>
      <c r="QQ11" s="22">
        <f t="shared" si="145"/>
        <v>2.0499999999999998</v>
      </c>
      <c r="QR11" s="22">
        <f t="shared" si="146"/>
        <v>0</v>
      </c>
      <c r="QS11" s="22">
        <f t="shared" si="147"/>
        <v>0.15</v>
      </c>
      <c r="QT11" s="22">
        <f t="shared" si="148"/>
        <v>8.1999999999999993</v>
      </c>
      <c r="QU11" s="22">
        <f t="shared" si="149"/>
        <v>2.15</v>
      </c>
      <c r="QV11" s="22">
        <f t="shared" si="150"/>
        <v>0</v>
      </c>
      <c r="QW11" s="22">
        <f t="shared" si="151"/>
        <v>0.15</v>
      </c>
      <c r="QX11" s="27" t="s">
        <v>46</v>
      </c>
      <c r="QY11" s="40">
        <f t="shared" si="152"/>
        <v>7.4</v>
      </c>
      <c r="QZ11" s="40">
        <f t="shared" si="153"/>
        <v>36.949999999999996</v>
      </c>
      <c r="RA11" s="40">
        <f t="shared" si="154"/>
        <v>9.15</v>
      </c>
      <c r="RB11" s="40">
        <f t="shared" si="155"/>
        <v>8.35</v>
      </c>
      <c r="RC11" s="40">
        <f t="shared" si="156"/>
        <v>46.099999999999994</v>
      </c>
      <c r="RD11" s="40">
        <f t="shared" si="157"/>
        <v>4.1999999999999993</v>
      </c>
      <c r="RE11" s="40">
        <f t="shared" si="158"/>
        <v>21.299999999999997</v>
      </c>
      <c r="RF11" s="40">
        <f t="shared" si="159"/>
        <v>67.399999999999991</v>
      </c>
    </row>
    <row r="12" spans="1:474" x14ac:dyDescent="0.2">
      <c r="A12" s="4" cm="1">
        <f t="array" ref="A12">IF(AND(J12&lt;&gt;"",J12&lt;&gt;"No DD"),SUMPRODUCT((J$4:J$21&lt;&gt;"")*(J$4:J$21&lt;&gt;"No DD")*(F$4:F$21&gt;F12))+1,IF(J12="No DD",SUMPRODUCT((J$4:J$21="No DD")*(F$4:F$21&gt;F12))+1+SUMPRODUCT((J$4:J$21&lt;&gt;"")*(J$4:J$21&lt;&gt;"No DD")),""))</f>
        <v>9</v>
      </c>
      <c r="B12" s="4" cm="1">
        <f t="array" ref="B12">IF(AND(J12&lt;&gt;"",J12&lt;&gt;"No DD",G12=""),SUMPRODUCT((J$4:J$21&lt;&gt;"")*(J$4:J$21&lt;&gt;"No DD")*(G$4:G$21="")*(F$4:F$21&gt;F12))+1,IF(J12="No DD",SUMPRODUCT((J$4:J$21="No DD")*(F$4:F$21&gt;F12)*(G$4:G$21=""))+1+SUMPRODUCT((J$4:J$21&lt;&gt;"")*(G$4:G$21="")*(J$4:J$21&lt;&gt;"No DD")),""))</f>
        <v>5</v>
      </c>
      <c r="C12" s="5" t="s">
        <v>171</v>
      </c>
      <c r="D12" s="4" t="s">
        <v>6</v>
      </c>
      <c r="E12" s="4">
        <v>2006</v>
      </c>
      <c r="F12" s="9">
        <f t="shared" si="0"/>
        <v>123.70000824000419</v>
      </c>
      <c r="G12" s="64"/>
      <c r="H12" s="3" t="str">
        <f t="shared" si="1"/>
        <v/>
      </c>
      <c r="I12" s="3" t="str">
        <f t="shared" si="2"/>
        <v>P</v>
      </c>
      <c r="J12" s="36" t="str">
        <f t="shared" si="3"/>
        <v>No DD</v>
      </c>
      <c r="K12" s="3" t="str">
        <f t="shared" si="4"/>
        <v/>
      </c>
      <c r="L12" s="8">
        <f>IF(COUNT(AQ12,BT12,CW12)&gt;0,LARGE((AQ12,BT12,CW12),1),0)</f>
        <v>42.099999999999994</v>
      </c>
      <c r="M12" s="8" t="str">
        <f t="shared" si="5"/>
        <v>2024 Nationals</v>
      </c>
      <c r="N12" s="8">
        <f>IF(COUNT(AQ12,BT12,CW12)&gt;1,LARGE((AQ12,BT12,CW12),2),0)</f>
        <v>40.299999999999997</v>
      </c>
      <c r="O12" s="8" t="str">
        <f t="shared" si="6"/>
        <v>2025 Elite Canada</v>
      </c>
      <c r="P12" s="8">
        <f t="shared" si="7"/>
        <v>41.3</v>
      </c>
      <c r="Q12" s="8" t="str">
        <f t="shared" si="8"/>
        <v>2024 Nationals</v>
      </c>
      <c r="R12" s="8" t="str">
        <f t="shared" si="9"/>
        <v/>
      </c>
      <c r="S12" s="11" t="str">
        <f t="shared" si="160"/>
        <v/>
      </c>
      <c r="T12" s="8" t="str">
        <f t="shared" si="161"/>
        <v/>
      </c>
      <c r="U12" s="19">
        <v>17.600000000000001</v>
      </c>
      <c r="V12" s="19">
        <v>3.3</v>
      </c>
      <c r="W12" s="19">
        <v>0</v>
      </c>
      <c r="X12" s="19">
        <v>0</v>
      </c>
      <c r="Y12" s="19">
        <v>17.100000000000001</v>
      </c>
      <c r="Z12" s="19">
        <v>3.8</v>
      </c>
      <c r="AA12" s="19">
        <v>0</v>
      </c>
      <c r="AB12" s="19">
        <v>0.3</v>
      </c>
      <c r="AC12" s="19">
        <v>17.100000000000001</v>
      </c>
      <c r="AD12" s="19">
        <v>3.8</v>
      </c>
      <c r="AE12" s="19">
        <v>0</v>
      </c>
      <c r="AF12" s="19">
        <v>0.3</v>
      </c>
      <c r="AG12" s="19">
        <v>17.7</v>
      </c>
      <c r="AH12" s="19">
        <v>3.3</v>
      </c>
      <c r="AI12" s="19">
        <v>0</v>
      </c>
      <c r="AJ12" s="19">
        <v>0</v>
      </c>
      <c r="AK12" s="19">
        <v>16.600000000000001</v>
      </c>
      <c r="AL12" s="19">
        <v>3.8</v>
      </c>
      <c r="AM12" s="19">
        <v>0.4</v>
      </c>
      <c r="AN12" s="19">
        <v>0.3</v>
      </c>
      <c r="AO12" s="27"/>
      <c r="AP12" s="40">
        <f t="shared" si="10"/>
        <v>7.1</v>
      </c>
      <c r="AQ12" s="40">
        <f t="shared" si="11"/>
        <v>42.099999999999994</v>
      </c>
      <c r="AR12" s="40">
        <f t="shared" si="12"/>
        <v>21.200000000000003</v>
      </c>
      <c r="AS12" s="40">
        <f t="shared" si="13"/>
        <v>10.899999999999999</v>
      </c>
      <c r="AT12" s="40">
        <f t="shared" si="14"/>
        <v>63.3</v>
      </c>
      <c r="AU12" s="40">
        <f t="shared" si="15"/>
        <v>7.1</v>
      </c>
      <c r="AV12" s="40">
        <f t="shared" si="16"/>
        <v>41.3</v>
      </c>
      <c r="AW12" s="40">
        <f t="shared" si="17"/>
        <v>104.6</v>
      </c>
      <c r="AX12" s="18">
        <v>14.9</v>
      </c>
      <c r="AY12" s="18">
        <v>2.1</v>
      </c>
      <c r="AZ12" s="18">
        <v>2.9</v>
      </c>
      <c r="BA12" s="18">
        <v>0.3</v>
      </c>
      <c r="BB12" s="18">
        <v>15.8</v>
      </c>
      <c r="BC12" s="18">
        <v>1.9</v>
      </c>
      <c r="BD12" s="18">
        <v>0</v>
      </c>
      <c r="BE12" s="18">
        <v>0.3</v>
      </c>
      <c r="BF12" s="18">
        <v>16.2</v>
      </c>
      <c r="BG12" s="18">
        <v>4.0999999999999996</v>
      </c>
      <c r="BH12" s="18">
        <v>0.2</v>
      </c>
      <c r="BI12" s="18">
        <v>0.3</v>
      </c>
      <c r="BJ12" s="18">
        <v>15.6</v>
      </c>
      <c r="BK12" s="18">
        <v>1.9</v>
      </c>
      <c r="BL12" s="18">
        <v>0</v>
      </c>
      <c r="BM12" s="18">
        <v>0.3</v>
      </c>
      <c r="BN12" s="18">
        <v>16.2</v>
      </c>
      <c r="BO12" s="18">
        <v>1.6</v>
      </c>
      <c r="BP12" s="18">
        <v>1.4</v>
      </c>
      <c r="BQ12" s="18">
        <v>0</v>
      </c>
      <c r="BR12" s="28"/>
      <c r="BS12" s="11">
        <f t="shared" si="18"/>
        <v>4</v>
      </c>
      <c r="BT12" s="11">
        <f t="shared" si="19"/>
        <v>32.4</v>
      </c>
      <c r="BU12" s="11">
        <f t="shared" si="20"/>
        <v>20.399999999999999</v>
      </c>
      <c r="BV12" s="11">
        <f t="shared" si="21"/>
        <v>8.1</v>
      </c>
      <c r="BW12" s="11">
        <f t="shared" si="22"/>
        <v>52.8</v>
      </c>
      <c r="BX12" s="11">
        <f t="shared" si="23"/>
        <v>3.5</v>
      </c>
      <c r="BY12" s="11">
        <f t="shared" si="24"/>
        <v>34.200000000000003</v>
      </c>
      <c r="BZ12" s="11">
        <f t="shared" si="25"/>
        <v>87</v>
      </c>
      <c r="CA12" s="19">
        <v>15.9</v>
      </c>
      <c r="CB12" s="19">
        <v>4.0999999999999996</v>
      </c>
      <c r="CC12" s="19">
        <v>0</v>
      </c>
      <c r="CD12" s="19">
        <v>0</v>
      </c>
      <c r="CE12" s="19">
        <v>16.399999999999999</v>
      </c>
      <c r="CF12" s="19">
        <v>3.9</v>
      </c>
      <c r="CG12" s="19">
        <v>0</v>
      </c>
      <c r="CH12" s="19">
        <v>0</v>
      </c>
      <c r="CI12" s="19"/>
      <c r="CJ12" s="19"/>
      <c r="CK12" s="19"/>
      <c r="CL12" s="19"/>
      <c r="CM12" s="19">
        <v>15.5</v>
      </c>
      <c r="CN12" s="19">
        <v>4.5999999999999996</v>
      </c>
      <c r="CO12" s="19">
        <v>0</v>
      </c>
      <c r="CP12" s="19">
        <v>0</v>
      </c>
      <c r="CQ12" s="19">
        <v>16.2</v>
      </c>
      <c r="CR12" s="19">
        <v>4.0999999999999996</v>
      </c>
      <c r="CS12" s="19">
        <v>0</v>
      </c>
      <c r="CT12" s="19">
        <v>0</v>
      </c>
      <c r="CU12" s="27"/>
      <c r="CV12" s="40">
        <f t="shared" si="26"/>
        <v>8</v>
      </c>
      <c r="CW12" s="40">
        <f t="shared" si="27"/>
        <v>40.299999999999997</v>
      </c>
      <c r="CX12" s="40" t="str">
        <f t="shared" si="28"/>
        <v/>
      </c>
      <c r="CY12" s="40">
        <f t="shared" si="29"/>
        <v>8</v>
      </c>
      <c r="CZ12" s="40">
        <f t="shared" si="30"/>
        <v>40.299999999999997</v>
      </c>
      <c r="DA12" s="40">
        <f t="shared" si="31"/>
        <v>8.6999999999999993</v>
      </c>
      <c r="DB12" s="40">
        <f t="shared" si="32"/>
        <v>40.4</v>
      </c>
      <c r="DC12" s="40">
        <f t="shared" si="33"/>
        <v>80.699999999999989</v>
      </c>
      <c r="DD12" s="50" t="str">
        <f t="shared" si="34"/>
        <v/>
      </c>
      <c r="DE12" s="50" t="str">
        <f t="shared" si="35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6"/>
        <v/>
      </c>
      <c r="EA12" s="40" t="str">
        <f t="shared" si="37"/>
        <v/>
      </c>
      <c r="EB12" s="40" t="str">
        <f t="shared" si="38"/>
        <v/>
      </c>
      <c r="EC12" s="40" t="str">
        <f t="shared" si="39"/>
        <v/>
      </c>
      <c r="ED12" s="40" t="str">
        <f t="shared" si="40"/>
        <v/>
      </c>
      <c r="EE12" s="40" t="str">
        <f t="shared" si="41"/>
        <v/>
      </c>
      <c r="EF12" s="40" t="str">
        <f t="shared" si="42"/>
        <v/>
      </c>
      <c r="EG12" s="40" t="str">
        <f t="shared" si="43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4"/>
        <v/>
      </c>
      <c r="FC12" s="11" t="str">
        <f t="shared" si="45"/>
        <v/>
      </c>
      <c r="FD12" s="11" t="str">
        <f t="shared" si="46"/>
        <v/>
      </c>
      <c r="FE12" s="11" t="str">
        <f t="shared" si="47"/>
        <v/>
      </c>
      <c r="FF12" s="11" t="str">
        <f t="shared" si="48"/>
        <v/>
      </c>
      <c r="FG12" s="11" t="str">
        <f t="shared" si="49"/>
        <v/>
      </c>
      <c r="FH12" s="11" t="str">
        <f t="shared" si="50"/>
        <v/>
      </c>
      <c r="FI12" s="11" t="str">
        <f t="shared" si="51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2"/>
        <v/>
      </c>
      <c r="GE12" s="40" t="str">
        <f t="shared" si="53"/>
        <v/>
      </c>
      <c r="GF12" s="40" t="str">
        <f t="shared" si="54"/>
        <v/>
      </c>
      <c r="GG12" s="40" t="str">
        <f t="shared" si="55"/>
        <v/>
      </c>
      <c r="GH12" s="40" t="str">
        <f t="shared" si="56"/>
        <v/>
      </c>
      <c r="GI12" s="40" t="str">
        <f t="shared" si="57"/>
        <v/>
      </c>
      <c r="GJ12" s="40" t="str">
        <f t="shared" si="58"/>
        <v/>
      </c>
      <c r="GK12" s="40" t="str">
        <f t="shared" si="59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0"/>
        <v/>
      </c>
      <c r="HG12" s="11" t="str">
        <f t="shared" si="61"/>
        <v/>
      </c>
      <c r="HH12" s="11" t="str">
        <f t="shared" si="62"/>
        <v/>
      </c>
      <c r="HI12" s="11" t="str">
        <f t="shared" si="63"/>
        <v/>
      </c>
      <c r="HJ12" s="11" t="str">
        <f t="shared" si="64"/>
        <v/>
      </c>
      <c r="HK12" s="11" t="str">
        <f t="shared" si="65"/>
        <v/>
      </c>
      <c r="HL12" s="11" t="str">
        <f t="shared" si="66"/>
        <v/>
      </c>
      <c r="HM12" s="11" t="str">
        <f t="shared" si="67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68"/>
        <v/>
      </c>
      <c r="II12" s="40" t="str">
        <f t="shared" si="69"/>
        <v/>
      </c>
      <c r="IJ12" s="40" t="str">
        <f t="shared" si="70"/>
        <v/>
      </c>
      <c r="IK12" s="40" t="str">
        <f t="shared" si="71"/>
        <v/>
      </c>
      <c r="IL12" s="40" t="str">
        <f t="shared" si="72"/>
        <v/>
      </c>
      <c r="IM12" s="40" t="str">
        <f t="shared" si="73"/>
        <v/>
      </c>
      <c r="IN12" s="40" t="str">
        <f t="shared" si="74"/>
        <v/>
      </c>
      <c r="IO12" s="40" t="str">
        <f t="shared" si="75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6"/>
        <v/>
      </c>
      <c r="JK12" s="11" t="str">
        <f t="shared" si="77"/>
        <v/>
      </c>
      <c r="JL12" s="11" t="str">
        <f t="shared" si="78"/>
        <v/>
      </c>
      <c r="JM12" s="11" t="str">
        <f t="shared" si="79"/>
        <v/>
      </c>
      <c r="JN12" s="11" t="str">
        <f t="shared" si="80"/>
        <v/>
      </c>
      <c r="JO12" s="11" t="str">
        <f t="shared" si="81"/>
        <v/>
      </c>
      <c r="JP12" s="11" t="str">
        <f t="shared" si="82"/>
        <v/>
      </c>
      <c r="JQ12" s="11" t="str">
        <f t="shared" si="83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4"/>
        <v/>
      </c>
      <c r="KM12" s="40" t="str">
        <f t="shared" si="85"/>
        <v/>
      </c>
      <c r="KN12" s="40" t="str">
        <f t="shared" si="86"/>
        <v/>
      </c>
      <c r="KO12" s="40" t="str">
        <f t="shared" si="87"/>
        <v/>
      </c>
      <c r="KP12" s="40" t="str">
        <f t="shared" si="88"/>
        <v/>
      </c>
      <c r="KQ12" s="40" t="str">
        <f t="shared" si="89"/>
        <v/>
      </c>
      <c r="KR12" s="40" t="str">
        <f t="shared" si="90"/>
        <v/>
      </c>
      <c r="KS12" s="40" t="str">
        <f t="shared" si="91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2"/>
        <v/>
      </c>
      <c r="LO12" s="11" t="str">
        <f t="shared" si="93"/>
        <v/>
      </c>
      <c r="LP12" s="11" t="str">
        <f t="shared" si="94"/>
        <v/>
      </c>
      <c r="LQ12" s="11" t="str">
        <f t="shared" si="95"/>
        <v/>
      </c>
      <c r="LR12" s="11" t="str">
        <f t="shared" si="96"/>
        <v/>
      </c>
      <c r="LS12" s="11" t="str">
        <f t="shared" si="97"/>
        <v/>
      </c>
      <c r="LT12" s="11" t="str">
        <f t="shared" si="98"/>
        <v/>
      </c>
      <c r="LU12" s="11" t="str">
        <f t="shared" si="99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0"/>
        <v/>
      </c>
      <c r="MQ12" s="40" t="str">
        <f t="shared" si="101"/>
        <v/>
      </c>
      <c r="MR12" s="40" t="str">
        <f t="shared" si="102"/>
        <v/>
      </c>
      <c r="MS12" s="40" t="str">
        <f t="shared" si="103"/>
        <v/>
      </c>
      <c r="MT12" s="40" t="str">
        <f t="shared" si="104"/>
        <v/>
      </c>
      <c r="MU12" s="40" t="str">
        <f t="shared" si="105"/>
        <v/>
      </c>
      <c r="MV12" s="40" t="str">
        <f t="shared" si="106"/>
        <v/>
      </c>
      <c r="MW12" s="40" t="str">
        <f t="shared" si="107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08"/>
        <v/>
      </c>
      <c r="NS12" s="11" t="str">
        <f t="shared" si="109"/>
        <v/>
      </c>
      <c r="NT12" s="11" t="str">
        <f t="shared" si="110"/>
        <v/>
      </c>
      <c r="NU12" s="11" t="str">
        <f t="shared" si="111"/>
        <v/>
      </c>
      <c r="NV12" s="11" t="str">
        <f t="shared" si="112"/>
        <v/>
      </c>
      <c r="NW12" s="11" t="str">
        <f t="shared" si="113"/>
        <v/>
      </c>
      <c r="NX12" s="11" t="str">
        <f t="shared" si="114"/>
        <v/>
      </c>
      <c r="NY12" s="11" t="str">
        <f t="shared" si="115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6"/>
        <v/>
      </c>
      <c r="OU12" s="40" t="str">
        <f t="shared" si="117"/>
        <v/>
      </c>
      <c r="OV12" s="40" t="str">
        <f t="shared" si="118"/>
        <v/>
      </c>
      <c r="OW12" s="40" t="str">
        <f t="shared" si="119"/>
        <v/>
      </c>
      <c r="OX12" s="40" t="str">
        <f t="shared" si="120"/>
        <v/>
      </c>
      <c r="OY12" s="40" t="str">
        <f t="shared" si="121"/>
        <v/>
      </c>
      <c r="OZ12" s="40" t="str">
        <f t="shared" si="122"/>
        <v/>
      </c>
      <c r="PA12" s="40" t="str">
        <f t="shared" si="123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4"/>
        <v/>
      </c>
      <c r="PW12" s="11" t="str">
        <f t="shared" si="125"/>
        <v/>
      </c>
      <c r="PX12" s="11" t="str">
        <f t="shared" si="126"/>
        <v/>
      </c>
      <c r="PY12" s="11" t="str">
        <f t="shared" si="127"/>
        <v/>
      </c>
      <c r="PZ12" s="11" t="str">
        <f t="shared" si="128"/>
        <v/>
      </c>
      <c r="QA12" s="11" t="str">
        <f t="shared" si="129"/>
        <v/>
      </c>
      <c r="QB12" s="11" t="str">
        <f t="shared" si="130"/>
        <v/>
      </c>
      <c r="QC12" s="11" t="str">
        <f t="shared" si="131"/>
        <v/>
      </c>
      <c r="QD12" s="22">
        <f t="shared" si="132"/>
        <v>15.4</v>
      </c>
      <c r="QE12" s="22">
        <f t="shared" si="133"/>
        <v>3.0999999999999996</v>
      </c>
      <c r="QF12" s="22">
        <f t="shared" si="134"/>
        <v>1.45</v>
      </c>
      <c r="QG12" s="22">
        <f t="shared" si="135"/>
        <v>0.15</v>
      </c>
      <c r="QH12" s="22">
        <f t="shared" si="136"/>
        <v>16.100000000000001</v>
      </c>
      <c r="QI12" s="22">
        <f t="shared" si="137"/>
        <v>2.9</v>
      </c>
      <c r="QJ12" s="22">
        <f t="shared" si="138"/>
        <v>0</v>
      </c>
      <c r="QK12" s="22">
        <f t="shared" si="139"/>
        <v>0.15</v>
      </c>
      <c r="QL12" s="22">
        <f t="shared" si="140"/>
        <v>8.1</v>
      </c>
      <c r="QM12" s="22">
        <f t="shared" si="141"/>
        <v>2.0499999999999998</v>
      </c>
      <c r="QN12" s="22">
        <f t="shared" si="142"/>
        <v>0.1</v>
      </c>
      <c r="QO12" s="22">
        <f t="shared" si="143"/>
        <v>0.15</v>
      </c>
      <c r="QP12" s="22">
        <f t="shared" si="144"/>
        <v>15.55</v>
      </c>
      <c r="QQ12" s="22">
        <f t="shared" si="145"/>
        <v>3.25</v>
      </c>
      <c r="QR12" s="22">
        <f t="shared" si="146"/>
        <v>0</v>
      </c>
      <c r="QS12" s="22">
        <f t="shared" si="147"/>
        <v>0.15</v>
      </c>
      <c r="QT12" s="22">
        <f t="shared" si="148"/>
        <v>16.2</v>
      </c>
      <c r="QU12" s="22">
        <f t="shared" si="149"/>
        <v>2.8499999999999996</v>
      </c>
      <c r="QV12" s="22">
        <f t="shared" si="150"/>
        <v>0.7</v>
      </c>
      <c r="QW12" s="22">
        <f t="shared" si="151"/>
        <v>0</v>
      </c>
      <c r="QX12" s="27" t="s">
        <v>46</v>
      </c>
      <c r="QY12" s="40">
        <f t="shared" si="152"/>
        <v>6</v>
      </c>
      <c r="QZ12" s="40">
        <f t="shared" si="153"/>
        <v>36.349999999999994</v>
      </c>
      <c r="RA12" s="40">
        <f t="shared" si="154"/>
        <v>10.199999999999999</v>
      </c>
      <c r="RB12" s="40">
        <f t="shared" si="155"/>
        <v>8.0500000000000007</v>
      </c>
      <c r="RC12" s="40">
        <f t="shared" si="156"/>
        <v>46.55</v>
      </c>
      <c r="RD12" s="40">
        <f t="shared" si="157"/>
        <v>6.1</v>
      </c>
      <c r="RE12" s="40">
        <f t="shared" si="158"/>
        <v>37.299999999999997</v>
      </c>
      <c r="RF12" s="40">
        <f t="shared" si="159"/>
        <v>83.85</v>
      </c>
    </row>
    <row r="13" spans="1:474" x14ac:dyDescent="0.2">
      <c r="A13" s="4" t="str" cm="1">
        <f t="array" ref="A13">IF(AND(J13&lt;&gt;"",J13&lt;&gt;"No DD"),SUMPRODUCT((J$4:J$21&lt;&gt;"")*(J$4:J$21&lt;&gt;"No DD")*(F$4:F$21&gt;F13))+1,IF(J13="No DD",SUMPRODUCT((J$4:J$21="No DD")*(F$4:F$21&gt;F13))+1+SUMPRODUCT((J$4:J$21&lt;&gt;"")*(J$4:J$21&lt;&gt;"No DD")),""))</f>
        <v/>
      </c>
      <c r="B13" s="4" t="str" cm="1">
        <f t="array" ref="B13">IF(AND(J13&lt;&gt;"",J13&lt;&gt;"No DD",G13=""),SUMPRODUCT((J$4:J$21&lt;&gt;"")*(J$4:J$21&lt;&gt;"No DD")*(G$4:G$21="")*(F$4:F$21&gt;F13))+1,IF(J13="No DD",SUMPRODUCT((J$4:J$21="No DD")*(F$4:F$21&gt;F13)*(G$4:G$21=""))+1+SUMPRODUCT((J$4:J$21&lt;&gt;"")*(G$4:G$21="")*(J$4:J$21&lt;&gt;"No DD")),""))</f>
        <v/>
      </c>
      <c r="C13" s="5" t="s">
        <v>182</v>
      </c>
      <c r="D13" s="4" t="s">
        <v>4</v>
      </c>
      <c r="E13" s="4">
        <v>2005</v>
      </c>
      <c r="F13" s="9">
        <f t="shared" si="0"/>
        <v>121.7000080100042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41.999999999999993</v>
      </c>
      <c r="M13" s="8" t="str">
        <f t="shared" si="5"/>
        <v>2024 3rd Domestic Trial</v>
      </c>
      <c r="N13" s="8">
        <f>IF(COUNT(AQ13,BT13,CW13)&gt;1,LARGE((AQ13,BT13,CW13),2),0)</f>
        <v>38.099999999999994</v>
      </c>
      <c r="O13" s="8" t="str">
        <f t="shared" si="6"/>
        <v>2025 Elite Canada</v>
      </c>
      <c r="P13" s="8">
        <f t="shared" si="7"/>
        <v>41.6</v>
      </c>
      <c r="Q13" s="8" t="str">
        <f t="shared" si="8"/>
        <v>2024 3rd Domestic Trial</v>
      </c>
      <c r="R13" s="8" t="str">
        <f t="shared" si="9"/>
        <v/>
      </c>
      <c r="S13" s="11" t="str">
        <f t="shared" si="160"/>
        <v/>
      </c>
      <c r="T13" s="8" t="str">
        <f t="shared" si="161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0"/>
        <v/>
      </c>
      <c r="AQ13" s="40" t="str">
        <f t="shared" si="11"/>
        <v/>
      </c>
      <c r="AR13" s="40" t="str">
        <f t="shared" si="12"/>
        <v/>
      </c>
      <c r="AS13" s="40" t="str">
        <f t="shared" si="13"/>
        <v/>
      </c>
      <c r="AT13" s="40" t="str">
        <f t="shared" si="14"/>
        <v/>
      </c>
      <c r="AU13" s="40" t="str">
        <f t="shared" si="15"/>
        <v/>
      </c>
      <c r="AV13" s="40" t="str">
        <f t="shared" si="16"/>
        <v/>
      </c>
      <c r="AW13" s="40" t="str">
        <f t="shared" si="17"/>
        <v/>
      </c>
      <c r="AX13" s="18">
        <v>16.5</v>
      </c>
      <c r="AY13" s="18">
        <v>3.9</v>
      </c>
      <c r="AZ13" s="18">
        <v>0</v>
      </c>
      <c r="BA13" s="18">
        <v>0.3</v>
      </c>
      <c r="BB13" s="18">
        <v>16.899999999999999</v>
      </c>
      <c r="BC13" s="18">
        <v>4.0999999999999996</v>
      </c>
      <c r="BD13" s="18">
        <v>0</v>
      </c>
      <c r="BE13" s="18">
        <v>0.3</v>
      </c>
      <c r="BF13" s="18">
        <v>16.8</v>
      </c>
      <c r="BG13" s="18">
        <v>4.0999999999999996</v>
      </c>
      <c r="BH13" s="18">
        <v>0</v>
      </c>
      <c r="BI13" s="18">
        <v>0.3</v>
      </c>
      <c r="BJ13" s="18">
        <v>16.7</v>
      </c>
      <c r="BK13" s="18">
        <v>3.9</v>
      </c>
      <c r="BL13" s="18">
        <v>0</v>
      </c>
      <c r="BM13" s="18">
        <v>0.3</v>
      </c>
      <c r="BN13" s="18">
        <v>16.3</v>
      </c>
      <c r="BO13" s="18">
        <v>4.0999999999999996</v>
      </c>
      <c r="BP13" s="18">
        <v>0</v>
      </c>
      <c r="BQ13" s="18">
        <v>0.3</v>
      </c>
      <c r="BR13" s="28"/>
      <c r="BS13" s="11">
        <f t="shared" si="18"/>
        <v>8</v>
      </c>
      <c r="BT13" s="11">
        <f t="shared" si="19"/>
        <v>41.999999999999993</v>
      </c>
      <c r="BU13" s="11">
        <f t="shared" si="20"/>
        <v>21.2</v>
      </c>
      <c r="BV13" s="11">
        <f t="shared" si="21"/>
        <v>12.1</v>
      </c>
      <c r="BW13" s="11">
        <f t="shared" si="22"/>
        <v>63.199999999999989</v>
      </c>
      <c r="BX13" s="11">
        <f t="shared" si="23"/>
        <v>8</v>
      </c>
      <c r="BY13" s="11">
        <f t="shared" si="24"/>
        <v>41.6</v>
      </c>
      <c r="BZ13" s="11">
        <f t="shared" si="25"/>
        <v>104.79999999999998</v>
      </c>
      <c r="CA13" s="19">
        <v>16.899999999999999</v>
      </c>
      <c r="CB13" s="19">
        <v>3.9</v>
      </c>
      <c r="CC13" s="19">
        <v>0</v>
      </c>
      <c r="CD13" s="19">
        <v>0</v>
      </c>
      <c r="CE13" s="19">
        <v>16.399999999999999</v>
      </c>
      <c r="CF13" s="19">
        <v>1.9</v>
      </c>
      <c r="CG13" s="19">
        <v>1</v>
      </c>
      <c r="CH13" s="19">
        <v>0</v>
      </c>
      <c r="CI13" s="19"/>
      <c r="CJ13" s="19"/>
      <c r="CK13" s="19"/>
      <c r="CL13" s="19"/>
      <c r="CM13" s="19">
        <v>16</v>
      </c>
      <c r="CN13" s="19">
        <v>4.0999999999999996</v>
      </c>
      <c r="CO13" s="19">
        <v>0.2</v>
      </c>
      <c r="CP13" s="19">
        <v>0</v>
      </c>
      <c r="CQ13" s="19">
        <v>16.600000000000001</v>
      </c>
      <c r="CR13" s="19">
        <v>3.9</v>
      </c>
      <c r="CS13" s="19">
        <v>0</v>
      </c>
      <c r="CT13" s="19">
        <v>0</v>
      </c>
      <c r="CU13" s="27"/>
      <c r="CV13" s="40">
        <f t="shared" si="26"/>
        <v>5.8</v>
      </c>
      <c r="CW13" s="40">
        <f t="shared" si="27"/>
        <v>38.099999999999994</v>
      </c>
      <c r="CX13" s="40" t="str">
        <f t="shared" si="28"/>
        <v/>
      </c>
      <c r="CY13" s="40">
        <f t="shared" si="29"/>
        <v>5.8</v>
      </c>
      <c r="CZ13" s="40">
        <f t="shared" si="30"/>
        <v>38.099999999999994</v>
      </c>
      <c r="DA13" s="40">
        <f t="shared" si="31"/>
        <v>8</v>
      </c>
      <c r="DB13" s="40">
        <f t="shared" si="32"/>
        <v>40.4</v>
      </c>
      <c r="DC13" s="40">
        <f t="shared" si="33"/>
        <v>78.5</v>
      </c>
      <c r="DD13" s="50" t="str">
        <f t="shared" si="34"/>
        <v/>
      </c>
      <c r="DE13" s="50" t="str">
        <f t="shared" si="35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6"/>
        <v/>
      </c>
      <c r="EA13" s="40" t="str">
        <f t="shared" si="37"/>
        <v/>
      </c>
      <c r="EB13" s="40" t="str">
        <f t="shared" si="38"/>
        <v/>
      </c>
      <c r="EC13" s="40" t="str">
        <f t="shared" si="39"/>
        <v/>
      </c>
      <c r="ED13" s="40" t="str">
        <f t="shared" si="40"/>
        <v/>
      </c>
      <c r="EE13" s="40" t="str">
        <f t="shared" si="41"/>
        <v/>
      </c>
      <c r="EF13" s="40" t="str">
        <f t="shared" si="42"/>
        <v/>
      </c>
      <c r="EG13" s="40" t="str">
        <f t="shared" si="43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4"/>
        <v/>
      </c>
      <c r="FC13" s="11" t="str">
        <f t="shared" si="45"/>
        <v/>
      </c>
      <c r="FD13" s="11" t="str">
        <f t="shared" si="46"/>
        <v/>
      </c>
      <c r="FE13" s="11" t="str">
        <f t="shared" si="47"/>
        <v/>
      </c>
      <c r="FF13" s="11" t="str">
        <f t="shared" si="48"/>
        <v/>
      </c>
      <c r="FG13" s="11" t="str">
        <f t="shared" si="49"/>
        <v/>
      </c>
      <c r="FH13" s="11" t="str">
        <f t="shared" si="50"/>
        <v/>
      </c>
      <c r="FI13" s="11" t="str">
        <f t="shared" si="51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2"/>
        <v/>
      </c>
      <c r="GE13" s="40" t="str">
        <f t="shared" si="53"/>
        <v/>
      </c>
      <c r="GF13" s="40" t="str">
        <f t="shared" si="54"/>
        <v/>
      </c>
      <c r="GG13" s="40" t="str">
        <f t="shared" si="55"/>
        <v/>
      </c>
      <c r="GH13" s="40" t="str">
        <f t="shared" si="56"/>
        <v/>
      </c>
      <c r="GI13" s="40" t="str">
        <f t="shared" si="57"/>
        <v/>
      </c>
      <c r="GJ13" s="40" t="str">
        <f t="shared" si="58"/>
        <v/>
      </c>
      <c r="GK13" s="40" t="str">
        <f t="shared" si="59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0"/>
        <v/>
      </c>
      <c r="HG13" s="11" t="str">
        <f t="shared" si="61"/>
        <v/>
      </c>
      <c r="HH13" s="11" t="str">
        <f t="shared" si="62"/>
        <v/>
      </c>
      <c r="HI13" s="11" t="str">
        <f t="shared" si="63"/>
        <v/>
      </c>
      <c r="HJ13" s="11" t="str">
        <f t="shared" si="64"/>
        <v/>
      </c>
      <c r="HK13" s="11" t="str">
        <f t="shared" si="65"/>
        <v/>
      </c>
      <c r="HL13" s="11" t="str">
        <f t="shared" si="66"/>
        <v/>
      </c>
      <c r="HM13" s="11" t="str">
        <f t="shared" si="67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68"/>
        <v/>
      </c>
      <c r="II13" s="40" t="str">
        <f t="shared" si="69"/>
        <v/>
      </c>
      <c r="IJ13" s="40" t="str">
        <f t="shared" si="70"/>
        <v/>
      </c>
      <c r="IK13" s="40" t="str">
        <f t="shared" si="71"/>
        <v/>
      </c>
      <c r="IL13" s="40" t="str">
        <f t="shared" si="72"/>
        <v/>
      </c>
      <c r="IM13" s="40" t="str">
        <f t="shared" si="73"/>
        <v/>
      </c>
      <c r="IN13" s="40" t="str">
        <f t="shared" si="74"/>
        <v/>
      </c>
      <c r="IO13" s="40" t="str">
        <f t="shared" si="75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6"/>
        <v/>
      </c>
      <c r="JK13" s="11" t="str">
        <f t="shared" si="77"/>
        <v/>
      </c>
      <c r="JL13" s="11" t="str">
        <f t="shared" si="78"/>
        <v/>
      </c>
      <c r="JM13" s="11" t="str">
        <f t="shared" si="79"/>
        <v/>
      </c>
      <c r="JN13" s="11" t="str">
        <f t="shared" si="80"/>
        <v/>
      </c>
      <c r="JO13" s="11" t="str">
        <f t="shared" si="81"/>
        <v/>
      </c>
      <c r="JP13" s="11" t="str">
        <f t="shared" si="82"/>
        <v/>
      </c>
      <c r="JQ13" s="11" t="str">
        <f t="shared" si="83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4"/>
        <v/>
      </c>
      <c r="KM13" s="40" t="str">
        <f t="shared" si="85"/>
        <v/>
      </c>
      <c r="KN13" s="40" t="str">
        <f t="shared" si="86"/>
        <v/>
      </c>
      <c r="KO13" s="40" t="str">
        <f t="shared" si="87"/>
        <v/>
      </c>
      <c r="KP13" s="40" t="str">
        <f t="shared" si="88"/>
        <v/>
      </c>
      <c r="KQ13" s="40" t="str">
        <f t="shared" si="89"/>
        <v/>
      </c>
      <c r="KR13" s="40" t="str">
        <f t="shared" si="90"/>
        <v/>
      </c>
      <c r="KS13" s="40" t="str">
        <f t="shared" si="91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2"/>
        <v/>
      </c>
      <c r="LO13" s="11" t="str">
        <f t="shared" si="93"/>
        <v/>
      </c>
      <c r="LP13" s="11" t="str">
        <f t="shared" si="94"/>
        <v/>
      </c>
      <c r="LQ13" s="11" t="str">
        <f t="shared" si="95"/>
        <v/>
      </c>
      <c r="LR13" s="11" t="str">
        <f t="shared" si="96"/>
        <v/>
      </c>
      <c r="LS13" s="11" t="str">
        <f t="shared" si="97"/>
        <v/>
      </c>
      <c r="LT13" s="11" t="str">
        <f t="shared" si="98"/>
        <v/>
      </c>
      <c r="LU13" s="11" t="str">
        <f t="shared" si="99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0"/>
        <v/>
      </c>
      <c r="MQ13" s="40" t="str">
        <f t="shared" si="101"/>
        <v/>
      </c>
      <c r="MR13" s="40" t="str">
        <f t="shared" si="102"/>
        <v/>
      </c>
      <c r="MS13" s="40" t="str">
        <f t="shared" si="103"/>
        <v/>
      </c>
      <c r="MT13" s="40" t="str">
        <f t="shared" si="104"/>
        <v/>
      </c>
      <c r="MU13" s="40" t="str">
        <f t="shared" si="105"/>
        <v/>
      </c>
      <c r="MV13" s="40" t="str">
        <f t="shared" si="106"/>
        <v/>
      </c>
      <c r="MW13" s="40" t="str">
        <f t="shared" si="107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08"/>
        <v/>
      </c>
      <c r="NS13" s="11" t="str">
        <f t="shared" si="109"/>
        <v/>
      </c>
      <c r="NT13" s="11" t="str">
        <f t="shared" si="110"/>
        <v/>
      </c>
      <c r="NU13" s="11" t="str">
        <f t="shared" si="111"/>
        <v/>
      </c>
      <c r="NV13" s="11" t="str">
        <f t="shared" si="112"/>
        <v/>
      </c>
      <c r="NW13" s="11" t="str">
        <f t="shared" si="113"/>
        <v/>
      </c>
      <c r="NX13" s="11" t="str">
        <f t="shared" si="114"/>
        <v/>
      </c>
      <c r="NY13" s="11" t="str">
        <f t="shared" si="115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6"/>
        <v/>
      </c>
      <c r="OU13" s="40" t="str">
        <f t="shared" si="117"/>
        <v/>
      </c>
      <c r="OV13" s="40" t="str">
        <f t="shared" si="118"/>
        <v/>
      </c>
      <c r="OW13" s="40" t="str">
        <f t="shared" si="119"/>
        <v/>
      </c>
      <c r="OX13" s="40" t="str">
        <f t="shared" si="120"/>
        <v/>
      </c>
      <c r="OY13" s="40" t="str">
        <f t="shared" si="121"/>
        <v/>
      </c>
      <c r="OZ13" s="40" t="str">
        <f t="shared" si="122"/>
        <v/>
      </c>
      <c r="PA13" s="40" t="str">
        <f t="shared" si="123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4"/>
        <v/>
      </c>
      <c r="PW13" s="11" t="str">
        <f t="shared" si="125"/>
        <v/>
      </c>
      <c r="PX13" s="11" t="str">
        <f t="shared" si="126"/>
        <v/>
      </c>
      <c r="PY13" s="11" t="str">
        <f t="shared" si="127"/>
        <v/>
      </c>
      <c r="PZ13" s="11" t="str">
        <f t="shared" si="128"/>
        <v/>
      </c>
      <c r="QA13" s="11" t="str">
        <f t="shared" si="129"/>
        <v/>
      </c>
      <c r="QB13" s="11" t="str">
        <f t="shared" si="130"/>
        <v/>
      </c>
      <c r="QC13" s="11" t="str">
        <f t="shared" si="131"/>
        <v/>
      </c>
      <c r="QD13" s="22">
        <f t="shared" si="132"/>
        <v>16.7</v>
      </c>
      <c r="QE13" s="22">
        <f t="shared" si="133"/>
        <v>3.9</v>
      </c>
      <c r="QF13" s="22">
        <f t="shared" si="134"/>
        <v>0</v>
      </c>
      <c r="QG13" s="22">
        <f t="shared" si="135"/>
        <v>0.15</v>
      </c>
      <c r="QH13" s="22">
        <f t="shared" si="136"/>
        <v>16.649999999999999</v>
      </c>
      <c r="QI13" s="22">
        <f t="shared" si="137"/>
        <v>3</v>
      </c>
      <c r="QJ13" s="22">
        <f t="shared" si="138"/>
        <v>0.5</v>
      </c>
      <c r="QK13" s="22">
        <f t="shared" si="139"/>
        <v>0.15</v>
      </c>
      <c r="QL13" s="22">
        <f t="shared" si="140"/>
        <v>8.4</v>
      </c>
      <c r="QM13" s="22">
        <f t="shared" si="141"/>
        <v>2.0499999999999998</v>
      </c>
      <c r="QN13" s="22">
        <f t="shared" si="142"/>
        <v>0</v>
      </c>
      <c r="QO13" s="22">
        <f t="shared" si="143"/>
        <v>0.15</v>
      </c>
      <c r="QP13" s="22">
        <f t="shared" si="144"/>
        <v>16.350000000000001</v>
      </c>
      <c r="QQ13" s="22">
        <f t="shared" si="145"/>
        <v>4</v>
      </c>
      <c r="QR13" s="22">
        <f t="shared" si="146"/>
        <v>0.1</v>
      </c>
      <c r="QS13" s="22">
        <f t="shared" si="147"/>
        <v>0.15</v>
      </c>
      <c r="QT13" s="22">
        <f t="shared" si="148"/>
        <v>16.450000000000003</v>
      </c>
      <c r="QU13" s="22">
        <f t="shared" si="149"/>
        <v>4</v>
      </c>
      <c r="QV13" s="22">
        <f t="shared" si="150"/>
        <v>0</v>
      </c>
      <c r="QW13" s="22">
        <f t="shared" si="151"/>
        <v>0.15</v>
      </c>
      <c r="QX13" s="27" t="s">
        <v>46</v>
      </c>
      <c r="QY13" s="40">
        <f t="shared" si="152"/>
        <v>6.9</v>
      </c>
      <c r="QZ13" s="40">
        <f t="shared" si="153"/>
        <v>40.04999999999999</v>
      </c>
      <c r="RA13" s="40">
        <f t="shared" si="154"/>
        <v>10.6</v>
      </c>
      <c r="RB13" s="40">
        <f t="shared" si="155"/>
        <v>8.9499999999999993</v>
      </c>
      <c r="RC13" s="40">
        <f t="shared" si="156"/>
        <v>50.649999999999991</v>
      </c>
      <c r="RD13" s="40">
        <f t="shared" si="157"/>
        <v>8</v>
      </c>
      <c r="RE13" s="40">
        <f t="shared" si="158"/>
        <v>41</v>
      </c>
      <c r="RF13" s="40">
        <f t="shared" si="159"/>
        <v>91.649999999999991</v>
      </c>
    </row>
    <row r="14" spans="1:474" x14ac:dyDescent="0.2">
      <c r="A14" s="4" cm="1">
        <f t="array" ref="A14">IF(AND(J14&lt;&gt;"",J14&lt;&gt;"No DD"),SUMPRODUCT((J$4:J$21&lt;&gt;"")*(J$4:J$21&lt;&gt;"No DD")*(F$4:F$21&gt;F14))+1,IF(J14="No DD",SUMPRODUCT((J$4:J$21="No DD")*(F$4:F$21&gt;F14))+1+SUMPRODUCT((J$4:J$21&lt;&gt;"")*(J$4:J$21&lt;&gt;"No DD")),""))</f>
        <v>10</v>
      </c>
      <c r="B14" s="4" cm="1">
        <f t="array" ref="B14">IF(AND(J14&lt;&gt;"",J14&lt;&gt;"No DD",G14=""),SUMPRODUCT((J$4:J$21&lt;&gt;"")*(J$4:J$21&lt;&gt;"No DD")*(G$4:G$21="")*(F$4:F$21&gt;F14))+1,IF(J14="No DD",SUMPRODUCT((J$4:J$21="No DD")*(F$4:F$21&gt;F14)*(G$4:G$21=""))+1+SUMPRODUCT((J$4:J$21&lt;&gt;"")*(G$4:G$21="")*(J$4:J$21&lt;&gt;"No DD")),""))</f>
        <v>6</v>
      </c>
      <c r="C14" s="5" t="s">
        <v>169</v>
      </c>
      <c r="D14" s="4" t="s">
        <v>3</v>
      </c>
      <c r="E14" s="4">
        <v>2007</v>
      </c>
      <c r="F14" s="9">
        <f t="shared" si="0"/>
        <v>121.30000763000426</v>
      </c>
      <c r="G14" s="64"/>
      <c r="H14" s="3" t="str">
        <f t="shared" si="1"/>
        <v/>
      </c>
      <c r="I14" s="3" t="str">
        <f t="shared" si="2"/>
        <v>P</v>
      </c>
      <c r="J14" s="36" t="str">
        <f t="shared" si="3"/>
        <v>No DD</v>
      </c>
      <c r="K14" s="3" t="str">
        <f t="shared" si="4"/>
        <v/>
      </c>
      <c r="L14" s="8">
        <f>IF(COUNT(AQ14,BT14,CW14)&gt;0,LARGE((AQ14,BT14,CW14),1),0)</f>
        <v>42.8</v>
      </c>
      <c r="M14" s="8" t="str">
        <f t="shared" si="5"/>
        <v>2024 3rd Domestic Trial</v>
      </c>
      <c r="N14" s="8">
        <f>IF(COUNT(AQ14,BT14,CW14)&gt;1,LARGE((AQ14,BT14,CW14),2),0)</f>
        <v>33.5</v>
      </c>
      <c r="O14" s="8" t="str">
        <f t="shared" si="6"/>
        <v>2024 Nationals</v>
      </c>
      <c r="P14" s="8">
        <f t="shared" si="7"/>
        <v>39.799999999999997</v>
      </c>
      <c r="Q14" s="8" t="str">
        <f t="shared" si="8"/>
        <v>2024 3rd Domestic Trial</v>
      </c>
      <c r="R14" s="8">
        <f t="shared" si="9"/>
        <v>5.1999999999999957</v>
      </c>
      <c r="S14" s="11" t="str">
        <f t="shared" si="160"/>
        <v>(Q1)</v>
      </c>
      <c r="T14" s="8" t="str">
        <f t="shared" si="161"/>
        <v>2024 Coimbra Gym Fest (July 7)</v>
      </c>
      <c r="U14" s="19">
        <v>17.399999999999999</v>
      </c>
      <c r="V14" s="19">
        <v>3.6</v>
      </c>
      <c r="W14" s="19">
        <v>0.2</v>
      </c>
      <c r="X14" s="19">
        <v>0</v>
      </c>
      <c r="Y14" s="19">
        <v>10</v>
      </c>
      <c r="Z14" s="19">
        <v>2.1</v>
      </c>
      <c r="AA14" s="19">
        <v>0</v>
      </c>
      <c r="AB14" s="19">
        <v>0.6</v>
      </c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0"/>
        <v>5.7</v>
      </c>
      <c r="AQ14" s="40">
        <f t="shared" si="11"/>
        <v>33.5</v>
      </c>
      <c r="AR14" s="40" t="str">
        <f t="shared" si="12"/>
        <v/>
      </c>
      <c r="AS14" s="40">
        <f t="shared" si="13"/>
        <v>5.7</v>
      </c>
      <c r="AT14" s="40">
        <f t="shared" si="14"/>
        <v>33.5</v>
      </c>
      <c r="AU14" s="40" t="str">
        <f t="shared" si="15"/>
        <v/>
      </c>
      <c r="AV14" s="40" t="str">
        <f t="shared" si="16"/>
        <v/>
      </c>
      <c r="AW14" s="40">
        <f t="shared" si="17"/>
        <v>33.5</v>
      </c>
      <c r="AX14" s="18">
        <v>18</v>
      </c>
      <c r="AY14" s="18">
        <v>3.4</v>
      </c>
      <c r="AZ14" s="18">
        <v>0.2</v>
      </c>
      <c r="BA14" s="18">
        <v>0</v>
      </c>
      <c r="BB14" s="18">
        <v>17.399999999999999</v>
      </c>
      <c r="BC14" s="18">
        <v>3.6</v>
      </c>
      <c r="BD14" s="18">
        <v>0</v>
      </c>
      <c r="BE14" s="18">
        <v>0.6</v>
      </c>
      <c r="BF14" s="18">
        <v>17.100000000000001</v>
      </c>
      <c r="BG14" s="18">
        <v>3.6</v>
      </c>
      <c r="BH14" s="18">
        <v>0</v>
      </c>
      <c r="BI14" s="18">
        <v>0.6</v>
      </c>
      <c r="BJ14" s="18">
        <v>17.3</v>
      </c>
      <c r="BK14" s="18">
        <v>3.4</v>
      </c>
      <c r="BL14" s="18">
        <v>0.2</v>
      </c>
      <c r="BM14" s="18">
        <v>0</v>
      </c>
      <c r="BN14" s="18">
        <v>15.8</v>
      </c>
      <c r="BO14" s="18">
        <v>3.3</v>
      </c>
      <c r="BP14" s="18">
        <v>0.4</v>
      </c>
      <c r="BQ14" s="18">
        <v>0.6</v>
      </c>
      <c r="BR14" s="28"/>
      <c r="BS14" s="11">
        <f t="shared" si="18"/>
        <v>7</v>
      </c>
      <c r="BT14" s="11">
        <f t="shared" si="19"/>
        <v>42.8</v>
      </c>
      <c r="BU14" s="11">
        <f t="shared" si="20"/>
        <v>21.300000000000004</v>
      </c>
      <c r="BV14" s="11">
        <f t="shared" si="21"/>
        <v>10.6</v>
      </c>
      <c r="BW14" s="11">
        <f t="shared" si="22"/>
        <v>64.099999999999994</v>
      </c>
      <c r="BX14" s="11">
        <f t="shared" si="23"/>
        <v>6.6999999999999993</v>
      </c>
      <c r="BY14" s="11">
        <f t="shared" si="24"/>
        <v>39.799999999999997</v>
      </c>
      <c r="BZ14" s="11">
        <f t="shared" si="25"/>
        <v>103.89999999999999</v>
      </c>
      <c r="CA14" s="19">
        <v>14.5</v>
      </c>
      <c r="CB14" s="19">
        <v>1.6</v>
      </c>
      <c r="CC14" s="19">
        <v>0</v>
      </c>
      <c r="CD14" s="19">
        <v>0</v>
      </c>
      <c r="CE14" s="19">
        <v>16.3</v>
      </c>
      <c r="CF14" s="19">
        <v>1.2</v>
      </c>
      <c r="CG14" s="19">
        <v>0.2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6"/>
        <v>2.8</v>
      </c>
      <c r="CW14" s="40">
        <f t="shared" si="27"/>
        <v>33.400000000000006</v>
      </c>
      <c r="CX14" s="40" t="str">
        <f t="shared" si="28"/>
        <v/>
      </c>
      <c r="CY14" s="40">
        <f t="shared" si="29"/>
        <v>2.8</v>
      </c>
      <c r="CZ14" s="40">
        <f t="shared" si="30"/>
        <v>33.400000000000006</v>
      </c>
      <c r="DA14" s="40" t="str">
        <f t="shared" si="31"/>
        <v/>
      </c>
      <c r="DB14" s="40" t="str">
        <f t="shared" si="32"/>
        <v/>
      </c>
      <c r="DC14" s="40">
        <f t="shared" si="33"/>
        <v>33.400000000000006</v>
      </c>
      <c r="DD14" s="50">
        <f t="shared" si="34"/>
        <v>5.1999999999999957</v>
      </c>
      <c r="DE14" s="50" t="str">
        <f t="shared" si="35"/>
        <v/>
      </c>
      <c r="DF14" s="17">
        <v>15.9</v>
      </c>
      <c r="DG14" s="17">
        <v>3.8</v>
      </c>
      <c r="DH14" s="17">
        <v>0.2</v>
      </c>
      <c r="DI14" s="17">
        <v>0</v>
      </c>
      <c r="DJ14" s="17">
        <v>16.2</v>
      </c>
      <c r="DK14" s="17">
        <v>3.6</v>
      </c>
      <c r="DL14" s="17">
        <v>0.6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>
        <f t="shared" si="36"/>
        <v>7.4</v>
      </c>
      <c r="EA14" s="40">
        <f t="shared" si="37"/>
        <v>38.699999999999996</v>
      </c>
      <c r="EB14" s="40" t="str">
        <f t="shared" si="38"/>
        <v/>
      </c>
      <c r="EC14" s="40">
        <f t="shared" si="39"/>
        <v>7.4</v>
      </c>
      <c r="ED14" s="40">
        <f t="shared" si="40"/>
        <v>38.699999999999996</v>
      </c>
      <c r="EE14" s="40" t="str">
        <f t="shared" si="41"/>
        <v/>
      </c>
      <c r="EF14" s="40" t="str">
        <f t="shared" si="42"/>
        <v/>
      </c>
      <c r="EG14" s="40">
        <f t="shared" si="43"/>
        <v>38.699999999999996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4"/>
        <v/>
      </c>
      <c r="FC14" s="11" t="str">
        <f t="shared" si="45"/>
        <v/>
      </c>
      <c r="FD14" s="11" t="str">
        <f t="shared" si="46"/>
        <v/>
      </c>
      <c r="FE14" s="11" t="str">
        <f t="shared" si="47"/>
        <v/>
      </c>
      <c r="FF14" s="11" t="str">
        <f t="shared" si="48"/>
        <v/>
      </c>
      <c r="FG14" s="11" t="str">
        <f t="shared" si="49"/>
        <v/>
      </c>
      <c r="FH14" s="11" t="str">
        <f t="shared" si="50"/>
        <v/>
      </c>
      <c r="FI14" s="11" t="str">
        <f t="shared" si="51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2"/>
        <v/>
      </c>
      <c r="GE14" s="40" t="str">
        <f t="shared" si="53"/>
        <v/>
      </c>
      <c r="GF14" s="40" t="str">
        <f t="shared" si="54"/>
        <v/>
      </c>
      <c r="GG14" s="40" t="str">
        <f t="shared" si="55"/>
        <v/>
      </c>
      <c r="GH14" s="40" t="str">
        <f t="shared" si="56"/>
        <v/>
      </c>
      <c r="GI14" s="40" t="str">
        <f t="shared" si="57"/>
        <v/>
      </c>
      <c r="GJ14" s="40" t="str">
        <f t="shared" si="58"/>
        <v/>
      </c>
      <c r="GK14" s="40" t="str">
        <f t="shared" si="59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0"/>
        <v/>
      </c>
      <c r="HG14" s="11" t="str">
        <f t="shared" si="61"/>
        <v/>
      </c>
      <c r="HH14" s="11" t="str">
        <f t="shared" si="62"/>
        <v/>
      </c>
      <c r="HI14" s="11" t="str">
        <f t="shared" si="63"/>
        <v/>
      </c>
      <c r="HJ14" s="11" t="str">
        <f t="shared" si="64"/>
        <v/>
      </c>
      <c r="HK14" s="11" t="str">
        <f t="shared" si="65"/>
        <v/>
      </c>
      <c r="HL14" s="11" t="str">
        <f t="shared" si="66"/>
        <v/>
      </c>
      <c r="HM14" s="11" t="str">
        <f t="shared" si="67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68"/>
        <v/>
      </c>
      <c r="II14" s="40" t="str">
        <f t="shared" si="69"/>
        <v/>
      </c>
      <c r="IJ14" s="40" t="str">
        <f t="shared" si="70"/>
        <v/>
      </c>
      <c r="IK14" s="40" t="str">
        <f t="shared" si="71"/>
        <v/>
      </c>
      <c r="IL14" s="40" t="str">
        <f t="shared" si="72"/>
        <v/>
      </c>
      <c r="IM14" s="40" t="str">
        <f t="shared" si="73"/>
        <v/>
      </c>
      <c r="IN14" s="40" t="str">
        <f t="shared" si="74"/>
        <v/>
      </c>
      <c r="IO14" s="40" t="str">
        <f t="shared" si="75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6"/>
        <v/>
      </c>
      <c r="JK14" s="11" t="str">
        <f t="shared" si="77"/>
        <v/>
      </c>
      <c r="JL14" s="11" t="str">
        <f t="shared" si="78"/>
        <v/>
      </c>
      <c r="JM14" s="11" t="str">
        <f t="shared" si="79"/>
        <v/>
      </c>
      <c r="JN14" s="11" t="str">
        <f t="shared" si="80"/>
        <v/>
      </c>
      <c r="JO14" s="11" t="str">
        <f t="shared" si="81"/>
        <v/>
      </c>
      <c r="JP14" s="11" t="str">
        <f t="shared" si="82"/>
        <v/>
      </c>
      <c r="JQ14" s="11" t="str">
        <f t="shared" si="83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4"/>
        <v/>
      </c>
      <c r="KM14" s="40" t="str">
        <f t="shared" si="85"/>
        <v/>
      </c>
      <c r="KN14" s="40" t="str">
        <f t="shared" si="86"/>
        <v/>
      </c>
      <c r="KO14" s="40" t="str">
        <f t="shared" si="87"/>
        <v/>
      </c>
      <c r="KP14" s="40" t="str">
        <f t="shared" si="88"/>
        <v/>
      </c>
      <c r="KQ14" s="40" t="str">
        <f t="shared" si="89"/>
        <v/>
      </c>
      <c r="KR14" s="40" t="str">
        <f t="shared" si="90"/>
        <v/>
      </c>
      <c r="KS14" s="40" t="str">
        <f t="shared" si="91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2"/>
        <v/>
      </c>
      <c r="LO14" s="11" t="str">
        <f t="shared" si="93"/>
        <v/>
      </c>
      <c r="LP14" s="11" t="str">
        <f t="shared" si="94"/>
        <v/>
      </c>
      <c r="LQ14" s="11" t="str">
        <f t="shared" si="95"/>
        <v/>
      </c>
      <c r="LR14" s="11" t="str">
        <f t="shared" si="96"/>
        <v/>
      </c>
      <c r="LS14" s="11" t="str">
        <f t="shared" si="97"/>
        <v/>
      </c>
      <c r="LT14" s="11" t="str">
        <f t="shared" si="98"/>
        <v/>
      </c>
      <c r="LU14" s="11" t="str">
        <f t="shared" si="99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0"/>
        <v/>
      </c>
      <c r="MQ14" s="40" t="str">
        <f t="shared" si="101"/>
        <v/>
      </c>
      <c r="MR14" s="40" t="str">
        <f t="shared" si="102"/>
        <v/>
      </c>
      <c r="MS14" s="40" t="str">
        <f t="shared" si="103"/>
        <v/>
      </c>
      <c r="MT14" s="40" t="str">
        <f t="shared" si="104"/>
        <v/>
      </c>
      <c r="MU14" s="40" t="str">
        <f t="shared" si="105"/>
        <v/>
      </c>
      <c r="MV14" s="40" t="str">
        <f t="shared" si="106"/>
        <v/>
      </c>
      <c r="MW14" s="40" t="str">
        <f t="shared" si="107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08"/>
        <v/>
      </c>
      <c r="NS14" s="11" t="str">
        <f t="shared" si="109"/>
        <v/>
      </c>
      <c r="NT14" s="11" t="str">
        <f t="shared" si="110"/>
        <v/>
      </c>
      <c r="NU14" s="11" t="str">
        <f t="shared" si="111"/>
        <v/>
      </c>
      <c r="NV14" s="11" t="str">
        <f t="shared" si="112"/>
        <v/>
      </c>
      <c r="NW14" s="11" t="str">
        <f t="shared" si="113"/>
        <v/>
      </c>
      <c r="NX14" s="11" t="str">
        <f t="shared" si="114"/>
        <v/>
      </c>
      <c r="NY14" s="11" t="str">
        <f t="shared" si="115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6"/>
        <v/>
      </c>
      <c r="OU14" s="40" t="str">
        <f t="shared" si="117"/>
        <v/>
      </c>
      <c r="OV14" s="40" t="str">
        <f t="shared" si="118"/>
        <v/>
      </c>
      <c r="OW14" s="40" t="str">
        <f t="shared" si="119"/>
        <v/>
      </c>
      <c r="OX14" s="40" t="str">
        <f t="shared" si="120"/>
        <v/>
      </c>
      <c r="OY14" s="40" t="str">
        <f t="shared" si="121"/>
        <v/>
      </c>
      <c r="OZ14" s="40" t="str">
        <f t="shared" si="122"/>
        <v/>
      </c>
      <c r="PA14" s="40" t="str">
        <f t="shared" si="123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4"/>
        <v/>
      </c>
      <c r="PW14" s="11" t="str">
        <f t="shared" si="125"/>
        <v/>
      </c>
      <c r="PX14" s="11" t="str">
        <f t="shared" si="126"/>
        <v/>
      </c>
      <c r="PY14" s="11" t="str">
        <f t="shared" si="127"/>
        <v/>
      </c>
      <c r="PZ14" s="11" t="str">
        <f t="shared" si="128"/>
        <v/>
      </c>
      <c r="QA14" s="11" t="str">
        <f t="shared" si="129"/>
        <v/>
      </c>
      <c r="QB14" s="11" t="str">
        <f t="shared" si="130"/>
        <v/>
      </c>
      <c r="QC14" s="11" t="str">
        <f t="shared" si="131"/>
        <v/>
      </c>
      <c r="QD14" s="22">
        <f t="shared" si="132"/>
        <v>16.25</v>
      </c>
      <c r="QE14" s="22">
        <f t="shared" si="133"/>
        <v>2.5</v>
      </c>
      <c r="QF14" s="22">
        <f t="shared" si="134"/>
        <v>0.1</v>
      </c>
      <c r="QG14" s="22">
        <f t="shared" si="135"/>
        <v>0</v>
      </c>
      <c r="QH14" s="22">
        <f t="shared" si="136"/>
        <v>16.850000000000001</v>
      </c>
      <c r="QI14" s="22">
        <f t="shared" si="137"/>
        <v>2.4</v>
      </c>
      <c r="QJ14" s="22">
        <f t="shared" si="138"/>
        <v>0.1</v>
      </c>
      <c r="QK14" s="22">
        <f t="shared" si="139"/>
        <v>0.3</v>
      </c>
      <c r="QL14" s="22">
        <f t="shared" si="140"/>
        <v>8.5500000000000007</v>
      </c>
      <c r="QM14" s="22">
        <f t="shared" si="141"/>
        <v>1.8</v>
      </c>
      <c r="QN14" s="22">
        <f t="shared" si="142"/>
        <v>0</v>
      </c>
      <c r="QO14" s="22">
        <f t="shared" si="143"/>
        <v>0.3</v>
      </c>
      <c r="QP14" s="22">
        <f t="shared" si="144"/>
        <v>8.65</v>
      </c>
      <c r="QQ14" s="22">
        <f t="shared" si="145"/>
        <v>1.7</v>
      </c>
      <c r="QR14" s="22">
        <f t="shared" si="146"/>
        <v>0.1</v>
      </c>
      <c r="QS14" s="22">
        <f t="shared" si="147"/>
        <v>0</v>
      </c>
      <c r="QT14" s="22">
        <f t="shared" si="148"/>
        <v>7.9</v>
      </c>
      <c r="QU14" s="22">
        <f t="shared" si="149"/>
        <v>1.65</v>
      </c>
      <c r="QV14" s="22">
        <f t="shared" si="150"/>
        <v>0.2</v>
      </c>
      <c r="QW14" s="22">
        <f t="shared" si="151"/>
        <v>0.3</v>
      </c>
      <c r="QX14" s="27" t="s">
        <v>46</v>
      </c>
      <c r="QY14" s="40">
        <f t="shared" si="152"/>
        <v>4.9000000000000004</v>
      </c>
      <c r="QZ14" s="40">
        <f t="shared" si="153"/>
        <v>38.099999999999994</v>
      </c>
      <c r="RA14" s="40">
        <f t="shared" si="154"/>
        <v>10.650000000000002</v>
      </c>
      <c r="RB14" s="40">
        <f t="shared" si="155"/>
        <v>6.7</v>
      </c>
      <c r="RC14" s="40">
        <f t="shared" si="156"/>
        <v>48.75</v>
      </c>
      <c r="RD14" s="40">
        <f t="shared" si="157"/>
        <v>3.3499999999999996</v>
      </c>
      <c r="RE14" s="40">
        <f t="shared" si="158"/>
        <v>19.899999999999999</v>
      </c>
      <c r="RF14" s="40">
        <f t="shared" si="159"/>
        <v>68.650000000000006</v>
      </c>
    </row>
    <row r="15" spans="1:474" x14ac:dyDescent="0.2">
      <c r="A15" s="4" t="str" cm="1">
        <f t="array" ref="A15">IF(AND(J15&lt;&gt;"",J15&lt;&gt;"No DD"),SUMPRODUCT((J$4:J$21&lt;&gt;"")*(J$4:J$21&lt;&gt;"No DD")*(F$4:F$21&gt;F15))+1,IF(J15="No DD",SUMPRODUCT((J$4:J$21="No DD")*(F$4:F$21&gt;F15))+1+SUMPRODUCT((J$4:J$21&lt;&gt;"")*(J$4:J$21&lt;&gt;"No DD")),""))</f>
        <v/>
      </c>
      <c r="B15" s="4" t="str" cm="1">
        <f t="array" ref="B15">IF(AND(J15&lt;&gt;"",J15&lt;&gt;"No DD",G15=""),SUMPRODUCT((J$4:J$21&lt;&gt;"")*(J$4:J$21&lt;&gt;"No DD")*(G$4:G$21="")*(F$4:F$21&gt;F15))+1,IF(J15="No DD",SUMPRODUCT((J$4:J$21="No DD")*(F$4:F$21&gt;F15)*(G$4:G$21=""))+1+SUMPRODUCT((J$4:J$21&lt;&gt;"")*(G$4:G$21="")*(J$4:J$21&lt;&gt;"No DD")),""))</f>
        <v/>
      </c>
      <c r="C15" s="5" t="s">
        <v>63</v>
      </c>
      <c r="D15" s="4" t="s">
        <v>5</v>
      </c>
      <c r="E15" s="4">
        <v>2004</v>
      </c>
      <c r="F15" s="9">
        <f t="shared" si="0"/>
        <v>119.80000771000392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39.200000000000003</v>
      </c>
      <c r="M15" s="8" t="str">
        <f t="shared" si="5"/>
        <v>2025 Elite Canada</v>
      </c>
      <c r="N15" s="8">
        <f>IF(COUNT(AQ15,BT15,CW15)&gt;1,LARGE((AQ15,BT15,CW15),2),0)</f>
        <v>37.9</v>
      </c>
      <c r="O15" s="8" t="str">
        <f t="shared" si="6"/>
        <v>2024 Nationals</v>
      </c>
      <c r="P15" s="8">
        <f t="shared" si="7"/>
        <v>39.5</v>
      </c>
      <c r="Q15" s="8" t="str">
        <f t="shared" si="8"/>
        <v>2024 Nationals</v>
      </c>
      <c r="R15" s="8">
        <f t="shared" si="9"/>
        <v>3.2000000000000028</v>
      </c>
      <c r="S15" s="11" t="str">
        <f t="shared" si="160"/>
        <v>(Q1)</v>
      </c>
      <c r="T15" s="8" t="str">
        <f t="shared" si="161"/>
        <v>2024 World Cup POR (July 7)</v>
      </c>
      <c r="U15" s="19">
        <v>16.5</v>
      </c>
      <c r="V15" s="19">
        <v>3.4</v>
      </c>
      <c r="W15" s="19">
        <v>0.2</v>
      </c>
      <c r="X15" s="19">
        <v>0</v>
      </c>
      <c r="Y15" s="19">
        <v>17.399999999999999</v>
      </c>
      <c r="Z15" s="19">
        <v>3.2</v>
      </c>
      <c r="AA15" s="19">
        <v>2.4</v>
      </c>
      <c r="AB15" s="19">
        <v>0</v>
      </c>
      <c r="AC15" s="19">
        <v>17.600000000000001</v>
      </c>
      <c r="AD15" s="19">
        <v>3.4</v>
      </c>
      <c r="AE15" s="19">
        <v>0.2</v>
      </c>
      <c r="AF15" s="19">
        <v>0</v>
      </c>
      <c r="AG15" s="19">
        <v>15.8</v>
      </c>
      <c r="AH15" s="19">
        <v>3.4</v>
      </c>
      <c r="AI15" s="19">
        <v>0.2</v>
      </c>
      <c r="AJ15" s="19">
        <v>0</v>
      </c>
      <c r="AK15" s="19">
        <v>17.7</v>
      </c>
      <c r="AL15" s="19">
        <v>3.2</v>
      </c>
      <c r="AM15" s="19">
        <v>0.4</v>
      </c>
      <c r="AN15" s="19">
        <v>0</v>
      </c>
      <c r="AO15" s="27"/>
      <c r="AP15" s="40">
        <f t="shared" si="10"/>
        <v>6.6</v>
      </c>
      <c r="AQ15" s="40">
        <f t="shared" si="11"/>
        <v>37.9</v>
      </c>
      <c r="AR15" s="40">
        <f t="shared" si="12"/>
        <v>20.8</v>
      </c>
      <c r="AS15" s="40">
        <f t="shared" si="13"/>
        <v>10</v>
      </c>
      <c r="AT15" s="40">
        <f t="shared" si="14"/>
        <v>58.7</v>
      </c>
      <c r="AU15" s="40">
        <f t="shared" si="15"/>
        <v>6.6</v>
      </c>
      <c r="AV15" s="40">
        <f t="shared" si="16"/>
        <v>39.5</v>
      </c>
      <c r="AW15" s="40">
        <f t="shared" si="17"/>
        <v>98.2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18"/>
        <v/>
      </c>
      <c r="BT15" s="11" t="str">
        <f t="shared" si="19"/>
        <v/>
      </c>
      <c r="BU15" s="11" t="str">
        <f t="shared" si="20"/>
        <v/>
      </c>
      <c r="BV15" s="11" t="str">
        <f t="shared" si="21"/>
        <v/>
      </c>
      <c r="BW15" s="11" t="str">
        <f t="shared" si="22"/>
        <v/>
      </c>
      <c r="BX15" s="11" t="str">
        <f t="shared" si="23"/>
        <v/>
      </c>
      <c r="BY15" s="11" t="str">
        <f t="shared" si="24"/>
        <v/>
      </c>
      <c r="BZ15" s="11" t="str">
        <f t="shared" si="25"/>
        <v/>
      </c>
      <c r="CA15" s="19">
        <v>16.8</v>
      </c>
      <c r="CB15" s="19">
        <v>3.5</v>
      </c>
      <c r="CC15" s="19">
        <v>0.5</v>
      </c>
      <c r="CD15" s="19">
        <v>0.7</v>
      </c>
      <c r="CE15" s="19">
        <v>14.6</v>
      </c>
      <c r="CF15" s="19">
        <v>4.0999999999999996</v>
      </c>
      <c r="CG15" s="19">
        <v>0</v>
      </c>
      <c r="CH15" s="19">
        <v>0</v>
      </c>
      <c r="CI15" s="19"/>
      <c r="CJ15" s="19"/>
      <c r="CK15" s="19"/>
      <c r="CL15" s="19"/>
      <c r="CM15" s="19">
        <v>16.899999999999999</v>
      </c>
      <c r="CN15" s="19">
        <v>3.8</v>
      </c>
      <c r="CO15" s="19">
        <v>0.4</v>
      </c>
      <c r="CP15" s="19">
        <v>0.7</v>
      </c>
      <c r="CQ15" s="19">
        <v>15.5</v>
      </c>
      <c r="CR15" s="19">
        <v>1.9</v>
      </c>
      <c r="CS15" s="19">
        <v>0</v>
      </c>
      <c r="CT15" s="19">
        <v>0</v>
      </c>
      <c r="CU15" s="27"/>
      <c r="CV15" s="40">
        <f t="shared" si="26"/>
        <v>7.6</v>
      </c>
      <c r="CW15" s="40">
        <f t="shared" si="27"/>
        <v>39.200000000000003</v>
      </c>
      <c r="CX15" s="40" t="str">
        <f t="shared" si="28"/>
        <v/>
      </c>
      <c r="CY15" s="40">
        <f t="shared" si="29"/>
        <v>7.6</v>
      </c>
      <c r="CZ15" s="40">
        <f t="shared" si="30"/>
        <v>39.200000000000003</v>
      </c>
      <c r="DA15" s="40">
        <f t="shared" si="31"/>
        <v>5.6999999999999993</v>
      </c>
      <c r="DB15" s="40">
        <f t="shared" si="32"/>
        <v>38.4</v>
      </c>
      <c r="DC15" s="40">
        <f t="shared" si="33"/>
        <v>77.599999999999994</v>
      </c>
      <c r="DD15" s="50">
        <f t="shared" si="34"/>
        <v>3.2000000000000028</v>
      </c>
      <c r="DE15" s="50" t="str">
        <f t="shared" si="35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6"/>
        <v/>
      </c>
      <c r="EA15" s="40" t="str">
        <f t="shared" si="37"/>
        <v/>
      </c>
      <c r="EB15" s="40" t="str">
        <f t="shared" si="38"/>
        <v/>
      </c>
      <c r="EC15" s="40" t="str">
        <f t="shared" si="39"/>
        <v/>
      </c>
      <c r="ED15" s="40" t="str">
        <f t="shared" si="40"/>
        <v/>
      </c>
      <c r="EE15" s="40" t="str">
        <f t="shared" si="41"/>
        <v/>
      </c>
      <c r="EF15" s="40" t="str">
        <f t="shared" si="42"/>
        <v/>
      </c>
      <c r="EG15" s="40" t="str">
        <f t="shared" si="43"/>
        <v/>
      </c>
      <c r="EH15" s="18">
        <v>16.899999999999999</v>
      </c>
      <c r="EI15" s="18">
        <v>3.5</v>
      </c>
      <c r="EJ15" s="18">
        <v>0.4</v>
      </c>
      <c r="EK15" s="18">
        <v>0</v>
      </c>
      <c r="EL15" s="18">
        <v>17.3</v>
      </c>
      <c r="EM15" s="18">
        <v>3.8</v>
      </c>
      <c r="EN15" s="18">
        <v>0</v>
      </c>
      <c r="EO15" s="18">
        <v>0</v>
      </c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>
        <f t="shared" si="44"/>
        <v>7.3</v>
      </c>
      <c r="FC15" s="11">
        <f t="shared" si="45"/>
        <v>41.1</v>
      </c>
      <c r="FD15" s="11" t="str">
        <f t="shared" si="46"/>
        <v/>
      </c>
      <c r="FE15" s="11">
        <f t="shared" si="47"/>
        <v>7.3</v>
      </c>
      <c r="FF15" s="11">
        <f t="shared" si="48"/>
        <v>41.1</v>
      </c>
      <c r="FG15" s="11" t="str">
        <f t="shared" si="49"/>
        <v/>
      </c>
      <c r="FH15" s="11" t="str">
        <f t="shared" si="50"/>
        <v/>
      </c>
      <c r="FI15" s="11">
        <f t="shared" si="51"/>
        <v>41.1</v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2"/>
        <v/>
      </c>
      <c r="GE15" s="40" t="str">
        <f t="shared" si="53"/>
        <v/>
      </c>
      <c r="GF15" s="40" t="str">
        <f t="shared" si="54"/>
        <v/>
      </c>
      <c r="GG15" s="40" t="str">
        <f t="shared" si="55"/>
        <v/>
      </c>
      <c r="GH15" s="40" t="str">
        <f t="shared" si="56"/>
        <v/>
      </c>
      <c r="GI15" s="40" t="str">
        <f t="shared" si="57"/>
        <v/>
      </c>
      <c r="GJ15" s="40" t="str">
        <f t="shared" si="58"/>
        <v/>
      </c>
      <c r="GK15" s="40" t="str">
        <f t="shared" si="59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0"/>
        <v/>
      </c>
      <c r="HG15" s="11" t="str">
        <f t="shared" si="61"/>
        <v/>
      </c>
      <c r="HH15" s="11" t="str">
        <f t="shared" si="62"/>
        <v/>
      </c>
      <c r="HI15" s="11" t="str">
        <f t="shared" si="63"/>
        <v/>
      </c>
      <c r="HJ15" s="11" t="str">
        <f t="shared" si="64"/>
        <v/>
      </c>
      <c r="HK15" s="11" t="str">
        <f t="shared" si="65"/>
        <v/>
      </c>
      <c r="HL15" s="11" t="str">
        <f t="shared" si="66"/>
        <v/>
      </c>
      <c r="HM15" s="11" t="str">
        <f t="shared" si="67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68"/>
        <v/>
      </c>
      <c r="II15" s="40" t="str">
        <f t="shared" si="69"/>
        <v/>
      </c>
      <c r="IJ15" s="40" t="str">
        <f t="shared" si="70"/>
        <v/>
      </c>
      <c r="IK15" s="40" t="str">
        <f t="shared" si="71"/>
        <v/>
      </c>
      <c r="IL15" s="40" t="str">
        <f t="shared" si="72"/>
        <v/>
      </c>
      <c r="IM15" s="40" t="str">
        <f t="shared" si="73"/>
        <v/>
      </c>
      <c r="IN15" s="40" t="str">
        <f t="shared" si="74"/>
        <v/>
      </c>
      <c r="IO15" s="40" t="str">
        <f t="shared" si="75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6"/>
        <v/>
      </c>
      <c r="JK15" s="11" t="str">
        <f t="shared" si="77"/>
        <v/>
      </c>
      <c r="JL15" s="11" t="str">
        <f t="shared" si="78"/>
        <v/>
      </c>
      <c r="JM15" s="11" t="str">
        <f t="shared" si="79"/>
        <v/>
      </c>
      <c r="JN15" s="11" t="str">
        <f t="shared" si="80"/>
        <v/>
      </c>
      <c r="JO15" s="11" t="str">
        <f t="shared" si="81"/>
        <v/>
      </c>
      <c r="JP15" s="11" t="str">
        <f t="shared" si="82"/>
        <v/>
      </c>
      <c r="JQ15" s="11" t="str">
        <f t="shared" si="83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4"/>
        <v/>
      </c>
      <c r="KM15" s="40" t="str">
        <f t="shared" si="85"/>
        <v/>
      </c>
      <c r="KN15" s="40" t="str">
        <f t="shared" si="86"/>
        <v/>
      </c>
      <c r="KO15" s="40" t="str">
        <f t="shared" si="87"/>
        <v/>
      </c>
      <c r="KP15" s="40" t="str">
        <f t="shared" si="88"/>
        <v/>
      </c>
      <c r="KQ15" s="40" t="str">
        <f t="shared" si="89"/>
        <v/>
      </c>
      <c r="KR15" s="40" t="str">
        <f t="shared" si="90"/>
        <v/>
      </c>
      <c r="KS15" s="40" t="str">
        <f t="shared" si="91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2"/>
        <v/>
      </c>
      <c r="LO15" s="11" t="str">
        <f t="shared" si="93"/>
        <v/>
      </c>
      <c r="LP15" s="11" t="str">
        <f t="shared" si="94"/>
        <v/>
      </c>
      <c r="LQ15" s="11" t="str">
        <f t="shared" si="95"/>
        <v/>
      </c>
      <c r="LR15" s="11" t="str">
        <f t="shared" si="96"/>
        <v/>
      </c>
      <c r="LS15" s="11" t="str">
        <f t="shared" si="97"/>
        <v/>
      </c>
      <c r="LT15" s="11" t="str">
        <f t="shared" si="98"/>
        <v/>
      </c>
      <c r="LU15" s="11" t="str">
        <f t="shared" si="99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0"/>
        <v/>
      </c>
      <c r="MQ15" s="40" t="str">
        <f t="shared" si="101"/>
        <v/>
      </c>
      <c r="MR15" s="40" t="str">
        <f t="shared" si="102"/>
        <v/>
      </c>
      <c r="MS15" s="40" t="str">
        <f t="shared" si="103"/>
        <v/>
      </c>
      <c r="MT15" s="40" t="str">
        <f t="shared" si="104"/>
        <v/>
      </c>
      <c r="MU15" s="40" t="str">
        <f t="shared" si="105"/>
        <v/>
      </c>
      <c r="MV15" s="40" t="str">
        <f t="shared" si="106"/>
        <v/>
      </c>
      <c r="MW15" s="40" t="str">
        <f t="shared" si="107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08"/>
        <v/>
      </c>
      <c r="NS15" s="11" t="str">
        <f t="shared" si="109"/>
        <v/>
      </c>
      <c r="NT15" s="11" t="str">
        <f t="shared" si="110"/>
        <v/>
      </c>
      <c r="NU15" s="11" t="str">
        <f t="shared" si="111"/>
        <v/>
      </c>
      <c r="NV15" s="11" t="str">
        <f t="shared" si="112"/>
        <v/>
      </c>
      <c r="NW15" s="11" t="str">
        <f t="shared" si="113"/>
        <v/>
      </c>
      <c r="NX15" s="11" t="str">
        <f t="shared" si="114"/>
        <v/>
      </c>
      <c r="NY15" s="11" t="str">
        <f t="shared" si="115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6"/>
        <v/>
      </c>
      <c r="OU15" s="40" t="str">
        <f t="shared" si="117"/>
        <v/>
      </c>
      <c r="OV15" s="40" t="str">
        <f t="shared" si="118"/>
        <v/>
      </c>
      <c r="OW15" s="40" t="str">
        <f t="shared" si="119"/>
        <v/>
      </c>
      <c r="OX15" s="40" t="str">
        <f t="shared" si="120"/>
        <v/>
      </c>
      <c r="OY15" s="40" t="str">
        <f t="shared" si="121"/>
        <v/>
      </c>
      <c r="OZ15" s="40" t="str">
        <f t="shared" si="122"/>
        <v/>
      </c>
      <c r="PA15" s="40" t="str">
        <f t="shared" si="123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4"/>
        <v/>
      </c>
      <c r="PW15" s="11" t="str">
        <f t="shared" si="125"/>
        <v/>
      </c>
      <c r="PX15" s="11" t="str">
        <f t="shared" si="126"/>
        <v/>
      </c>
      <c r="PY15" s="11" t="str">
        <f t="shared" si="127"/>
        <v/>
      </c>
      <c r="PZ15" s="11" t="str">
        <f t="shared" si="128"/>
        <v/>
      </c>
      <c r="QA15" s="11" t="str">
        <f t="shared" si="129"/>
        <v/>
      </c>
      <c r="QB15" s="11" t="str">
        <f t="shared" si="130"/>
        <v/>
      </c>
      <c r="QC15" s="11" t="str">
        <f t="shared" si="131"/>
        <v/>
      </c>
      <c r="QD15" s="22">
        <f t="shared" si="132"/>
        <v>8.4</v>
      </c>
      <c r="QE15" s="22">
        <f t="shared" si="133"/>
        <v>1.75</v>
      </c>
      <c r="QF15" s="22">
        <f t="shared" si="134"/>
        <v>0.25</v>
      </c>
      <c r="QG15" s="22">
        <f t="shared" si="135"/>
        <v>0.35</v>
      </c>
      <c r="QH15" s="22">
        <f t="shared" si="136"/>
        <v>7.3</v>
      </c>
      <c r="QI15" s="22">
        <f t="shared" si="137"/>
        <v>2.0499999999999998</v>
      </c>
      <c r="QJ15" s="22">
        <f t="shared" si="138"/>
        <v>0</v>
      </c>
      <c r="QK15" s="22">
        <f t="shared" si="139"/>
        <v>0</v>
      </c>
      <c r="QL15" s="22">
        <f t="shared" si="140"/>
        <v>0</v>
      </c>
      <c r="QM15" s="22">
        <f t="shared" si="141"/>
        <v>0</v>
      </c>
      <c r="QN15" s="22">
        <f t="shared" si="142"/>
        <v>0</v>
      </c>
      <c r="QO15" s="22">
        <f t="shared" si="143"/>
        <v>0</v>
      </c>
      <c r="QP15" s="22">
        <f t="shared" si="144"/>
        <v>8.4499999999999993</v>
      </c>
      <c r="QQ15" s="22">
        <f t="shared" si="145"/>
        <v>1.9</v>
      </c>
      <c r="QR15" s="22">
        <f t="shared" si="146"/>
        <v>0.2</v>
      </c>
      <c r="QS15" s="22">
        <f t="shared" si="147"/>
        <v>0.35</v>
      </c>
      <c r="QT15" s="22">
        <f t="shared" si="148"/>
        <v>7.75</v>
      </c>
      <c r="QU15" s="22">
        <f t="shared" si="149"/>
        <v>0.95</v>
      </c>
      <c r="QV15" s="22">
        <f t="shared" si="150"/>
        <v>0</v>
      </c>
      <c r="QW15" s="22">
        <f t="shared" si="151"/>
        <v>0</v>
      </c>
      <c r="QX15" s="27" t="s">
        <v>46</v>
      </c>
      <c r="QY15" s="40">
        <f t="shared" si="152"/>
        <v>3.8</v>
      </c>
      <c r="QZ15" s="40">
        <f t="shared" si="153"/>
        <v>19.600000000000001</v>
      </c>
      <c r="RA15" s="40" t="str">
        <f t="shared" si="154"/>
        <v/>
      </c>
      <c r="RB15" s="40">
        <f t="shared" si="155"/>
        <v>3.8</v>
      </c>
      <c r="RC15" s="40">
        <f t="shared" si="156"/>
        <v>19.600000000000001</v>
      </c>
      <c r="RD15" s="40">
        <f t="shared" si="157"/>
        <v>2.8499999999999996</v>
      </c>
      <c r="RE15" s="40">
        <f t="shared" si="158"/>
        <v>19.2</v>
      </c>
      <c r="RF15" s="40">
        <f t="shared" si="159"/>
        <v>38.799999999999997</v>
      </c>
    </row>
    <row r="16" spans="1:474" x14ac:dyDescent="0.2">
      <c r="A16" s="4" t="str" cm="1">
        <f t="array" ref="A16">IF(AND(J16&lt;&gt;"",J16&lt;&gt;"No DD"),SUMPRODUCT((J$4:J$21&lt;&gt;"")*(J$4:J$21&lt;&gt;"No DD")*(F$4:F$21&gt;F16))+1,IF(J16="No DD",SUMPRODUCT((J$4:J$21="No DD")*(F$4:F$21&gt;F16))+1+SUMPRODUCT((J$4:J$21&lt;&gt;"")*(J$4:J$21&lt;&gt;"No DD")),""))</f>
        <v/>
      </c>
      <c r="B16" s="4" t="str" cm="1">
        <f t="array" ref="B16">IF(AND(J16&lt;&gt;"",J16&lt;&gt;"No DD",G16=""),SUMPRODUCT((J$4:J$21&lt;&gt;"")*(J$4:J$21&lt;&gt;"No DD")*(G$4:G$21="")*(F$4:F$21&gt;F16))+1,IF(J16="No DD",SUMPRODUCT((J$4:J$21="No DD")*(F$4:F$21&gt;F16)*(G$4:G$21=""))+1+SUMPRODUCT((J$4:J$21&lt;&gt;"")*(G$4:G$21="")*(J$4:J$21&lt;&gt;"No DD")),""))</f>
        <v/>
      </c>
      <c r="C16" s="5" t="s">
        <v>221</v>
      </c>
      <c r="D16" s="4" t="s">
        <v>4</v>
      </c>
      <c r="E16" s="4">
        <v>2008</v>
      </c>
      <c r="F16" s="9">
        <f t="shared" si="0"/>
        <v>117.60000790000397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39.79999999999999</v>
      </c>
      <c r="M16" s="8" t="str">
        <f t="shared" si="5"/>
        <v>2024 3rd Domestic Trial</v>
      </c>
      <c r="N16" s="8">
        <f>IF(COUNT(AQ16,BT16,CW16)&gt;1,LARGE((AQ16,BT16,CW16),2),0)</f>
        <v>39.199999999999996</v>
      </c>
      <c r="O16" s="8" t="str">
        <f t="shared" si="6"/>
        <v>2025 Elite Canada</v>
      </c>
      <c r="P16" s="8">
        <f t="shared" si="7"/>
        <v>38.6</v>
      </c>
      <c r="Q16" s="8" t="str">
        <f t="shared" si="8"/>
        <v>2025 Elite Canada</v>
      </c>
      <c r="R16" s="8" t="str">
        <f t="shared" si="9"/>
        <v/>
      </c>
      <c r="S16" s="11" t="str">
        <f t="shared" si="160"/>
        <v/>
      </c>
      <c r="T16" s="8" t="str">
        <f t="shared" si="161"/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 t="shared" si="10"/>
        <v/>
      </c>
      <c r="AQ16" s="40" t="str">
        <f t="shared" si="11"/>
        <v/>
      </c>
      <c r="AR16" s="40" t="str">
        <f t="shared" si="12"/>
        <v/>
      </c>
      <c r="AS16" s="40" t="str">
        <f t="shared" si="13"/>
        <v/>
      </c>
      <c r="AT16" s="40" t="str">
        <f t="shared" si="14"/>
        <v/>
      </c>
      <c r="AU16" s="40" t="str">
        <f t="shared" si="15"/>
        <v/>
      </c>
      <c r="AV16" s="40" t="str">
        <f t="shared" si="16"/>
        <v/>
      </c>
      <c r="AW16" s="40" t="str">
        <f t="shared" si="17"/>
        <v/>
      </c>
      <c r="AX16" s="18">
        <v>15.5</v>
      </c>
      <c r="AY16" s="18">
        <v>3.7</v>
      </c>
      <c r="AZ16" s="18">
        <v>0.2</v>
      </c>
      <c r="BA16" s="18">
        <v>0.6</v>
      </c>
      <c r="BB16" s="18">
        <v>16</v>
      </c>
      <c r="BC16" s="18">
        <v>3.9</v>
      </c>
      <c r="BD16" s="18">
        <v>0</v>
      </c>
      <c r="BE16" s="18">
        <v>0.3</v>
      </c>
      <c r="BF16" s="18"/>
      <c r="BG16" s="18"/>
      <c r="BH16" s="18"/>
      <c r="BI16" s="18"/>
      <c r="BJ16" s="18">
        <v>15.8</v>
      </c>
      <c r="BK16" s="18">
        <v>3.5</v>
      </c>
      <c r="BL16" s="18">
        <v>0.2</v>
      </c>
      <c r="BM16" s="18">
        <v>0.6</v>
      </c>
      <c r="BN16" s="18">
        <v>15.4</v>
      </c>
      <c r="BO16" s="18">
        <v>3.2</v>
      </c>
      <c r="BP16" s="18">
        <v>0.4</v>
      </c>
      <c r="BQ16" s="18">
        <v>0.6</v>
      </c>
      <c r="BR16" s="28"/>
      <c r="BS16" s="11">
        <f t="shared" si="18"/>
        <v>7.6</v>
      </c>
      <c r="BT16" s="11">
        <f t="shared" si="19"/>
        <v>39.79999999999999</v>
      </c>
      <c r="BU16" s="11" t="str">
        <f t="shared" si="20"/>
        <v/>
      </c>
      <c r="BV16" s="11">
        <f t="shared" si="21"/>
        <v>7.6</v>
      </c>
      <c r="BW16" s="11">
        <f t="shared" si="22"/>
        <v>39.79999999999999</v>
      </c>
      <c r="BX16" s="11">
        <f t="shared" si="23"/>
        <v>6.7</v>
      </c>
      <c r="BY16" s="11">
        <f t="shared" si="24"/>
        <v>38.500000000000007</v>
      </c>
      <c r="BZ16" s="11">
        <f t="shared" si="25"/>
        <v>78.3</v>
      </c>
      <c r="CA16" s="19">
        <v>16.3</v>
      </c>
      <c r="CB16" s="19">
        <v>3.4</v>
      </c>
      <c r="CC16" s="19">
        <v>0.2</v>
      </c>
      <c r="CD16" s="19">
        <v>0</v>
      </c>
      <c r="CE16" s="19">
        <v>15.1</v>
      </c>
      <c r="CF16" s="19">
        <v>4.5999999999999996</v>
      </c>
      <c r="CG16" s="19">
        <v>0</v>
      </c>
      <c r="CH16" s="19">
        <v>0</v>
      </c>
      <c r="CI16" s="19"/>
      <c r="CJ16" s="19"/>
      <c r="CK16" s="19"/>
      <c r="CL16" s="19"/>
      <c r="CM16" s="19">
        <v>15.1</v>
      </c>
      <c r="CN16" s="19">
        <v>3.4</v>
      </c>
      <c r="CO16" s="19">
        <v>0</v>
      </c>
      <c r="CP16" s="19">
        <v>0</v>
      </c>
      <c r="CQ16" s="19">
        <v>15.5</v>
      </c>
      <c r="CR16" s="19">
        <v>4.5999999999999996</v>
      </c>
      <c r="CS16" s="19">
        <v>0</v>
      </c>
      <c r="CT16" s="19">
        <v>0</v>
      </c>
      <c r="CU16" s="27"/>
      <c r="CV16" s="40">
        <f t="shared" si="26"/>
        <v>8</v>
      </c>
      <c r="CW16" s="40">
        <f t="shared" si="27"/>
        <v>39.199999999999996</v>
      </c>
      <c r="CX16" s="40" t="str">
        <f t="shared" si="28"/>
        <v/>
      </c>
      <c r="CY16" s="40">
        <f t="shared" si="29"/>
        <v>8</v>
      </c>
      <c r="CZ16" s="40">
        <f t="shared" si="30"/>
        <v>39.199999999999996</v>
      </c>
      <c r="DA16" s="40">
        <f t="shared" si="31"/>
        <v>8</v>
      </c>
      <c r="DB16" s="40">
        <f t="shared" si="32"/>
        <v>38.6</v>
      </c>
      <c r="DC16" s="40">
        <f t="shared" si="33"/>
        <v>77.8</v>
      </c>
      <c r="DD16" s="50" t="str">
        <f t="shared" si="34"/>
        <v/>
      </c>
      <c r="DE16" s="50" t="str">
        <f t="shared" si="35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6"/>
        <v/>
      </c>
      <c r="EA16" s="40" t="str">
        <f t="shared" si="37"/>
        <v/>
      </c>
      <c r="EB16" s="40" t="str">
        <f t="shared" si="38"/>
        <v/>
      </c>
      <c r="EC16" s="40" t="str">
        <f t="shared" si="39"/>
        <v/>
      </c>
      <c r="ED16" s="40" t="str">
        <f t="shared" si="40"/>
        <v/>
      </c>
      <c r="EE16" s="40" t="str">
        <f t="shared" si="41"/>
        <v/>
      </c>
      <c r="EF16" s="40" t="str">
        <f t="shared" si="42"/>
        <v/>
      </c>
      <c r="EG16" s="40" t="str">
        <f t="shared" si="43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4"/>
        <v/>
      </c>
      <c r="FC16" s="11" t="str">
        <f t="shared" si="45"/>
        <v/>
      </c>
      <c r="FD16" s="11" t="str">
        <f t="shared" si="46"/>
        <v/>
      </c>
      <c r="FE16" s="11" t="str">
        <f t="shared" si="47"/>
        <v/>
      </c>
      <c r="FF16" s="11" t="str">
        <f t="shared" si="48"/>
        <v/>
      </c>
      <c r="FG16" s="11" t="str">
        <f t="shared" si="49"/>
        <v/>
      </c>
      <c r="FH16" s="11" t="str">
        <f t="shared" si="50"/>
        <v/>
      </c>
      <c r="FI16" s="11" t="str">
        <f t="shared" si="51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2"/>
        <v/>
      </c>
      <c r="GE16" s="40" t="str">
        <f t="shared" si="53"/>
        <v/>
      </c>
      <c r="GF16" s="40" t="str">
        <f t="shared" si="54"/>
        <v/>
      </c>
      <c r="GG16" s="40" t="str">
        <f t="shared" si="55"/>
        <v/>
      </c>
      <c r="GH16" s="40" t="str">
        <f t="shared" si="56"/>
        <v/>
      </c>
      <c r="GI16" s="40" t="str">
        <f t="shared" si="57"/>
        <v/>
      </c>
      <c r="GJ16" s="40" t="str">
        <f t="shared" si="58"/>
        <v/>
      </c>
      <c r="GK16" s="40" t="str">
        <f t="shared" si="59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0"/>
        <v/>
      </c>
      <c r="HG16" s="11" t="str">
        <f t="shared" si="61"/>
        <v/>
      </c>
      <c r="HH16" s="11" t="str">
        <f t="shared" si="62"/>
        <v/>
      </c>
      <c r="HI16" s="11" t="str">
        <f t="shared" si="63"/>
        <v/>
      </c>
      <c r="HJ16" s="11" t="str">
        <f t="shared" si="64"/>
        <v/>
      </c>
      <c r="HK16" s="11" t="str">
        <f t="shared" si="65"/>
        <v/>
      </c>
      <c r="HL16" s="11" t="str">
        <f t="shared" si="66"/>
        <v/>
      </c>
      <c r="HM16" s="11" t="str">
        <f t="shared" si="67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68"/>
        <v/>
      </c>
      <c r="II16" s="40" t="str">
        <f t="shared" si="69"/>
        <v/>
      </c>
      <c r="IJ16" s="40" t="str">
        <f t="shared" si="70"/>
        <v/>
      </c>
      <c r="IK16" s="40" t="str">
        <f t="shared" si="71"/>
        <v/>
      </c>
      <c r="IL16" s="40" t="str">
        <f t="shared" si="72"/>
        <v/>
      </c>
      <c r="IM16" s="40" t="str">
        <f t="shared" si="73"/>
        <v/>
      </c>
      <c r="IN16" s="40" t="str">
        <f t="shared" si="74"/>
        <v/>
      </c>
      <c r="IO16" s="40" t="str">
        <f t="shared" si="75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6"/>
        <v/>
      </c>
      <c r="JK16" s="11" t="str">
        <f t="shared" si="77"/>
        <v/>
      </c>
      <c r="JL16" s="11" t="str">
        <f t="shared" si="78"/>
        <v/>
      </c>
      <c r="JM16" s="11" t="str">
        <f t="shared" si="79"/>
        <v/>
      </c>
      <c r="JN16" s="11" t="str">
        <f t="shared" si="80"/>
        <v/>
      </c>
      <c r="JO16" s="11" t="str">
        <f t="shared" si="81"/>
        <v/>
      </c>
      <c r="JP16" s="11" t="str">
        <f t="shared" si="82"/>
        <v/>
      </c>
      <c r="JQ16" s="11" t="str">
        <f t="shared" si="83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4"/>
        <v/>
      </c>
      <c r="KM16" s="40" t="str">
        <f t="shared" si="85"/>
        <v/>
      </c>
      <c r="KN16" s="40" t="str">
        <f t="shared" si="86"/>
        <v/>
      </c>
      <c r="KO16" s="40" t="str">
        <f t="shared" si="87"/>
        <v/>
      </c>
      <c r="KP16" s="40" t="str">
        <f t="shared" si="88"/>
        <v/>
      </c>
      <c r="KQ16" s="40" t="str">
        <f t="shared" si="89"/>
        <v/>
      </c>
      <c r="KR16" s="40" t="str">
        <f t="shared" si="90"/>
        <v/>
      </c>
      <c r="KS16" s="40" t="str">
        <f t="shared" si="91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2"/>
        <v/>
      </c>
      <c r="LO16" s="11" t="str">
        <f t="shared" si="93"/>
        <v/>
      </c>
      <c r="LP16" s="11" t="str">
        <f t="shared" si="94"/>
        <v/>
      </c>
      <c r="LQ16" s="11" t="str">
        <f t="shared" si="95"/>
        <v/>
      </c>
      <c r="LR16" s="11" t="str">
        <f t="shared" si="96"/>
        <v/>
      </c>
      <c r="LS16" s="11" t="str">
        <f t="shared" si="97"/>
        <v/>
      </c>
      <c r="LT16" s="11" t="str">
        <f t="shared" si="98"/>
        <v/>
      </c>
      <c r="LU16" s="11" t="str">
        <f t="shared" si="99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0"/>
        <v/>
      </c>
      <c r="MQ16" s="40" t="str">
        <f t="shared" si="101"/>
        <v/>
      </c>
      <c r="MR16" s="40" t="str">
        <f t="shared" si="102"/>
        <v/>
      </c>
      <c r="MS16" s="40" t="str">
        <f t="shared" si="103"/>
        <v/>
      </c>
      <c r="MT16" s="40" t="str">
        <f t="shared" si="104"/>
        <v/>
      </c>
      <c r="MU16" s="40" t="str">
        <f t="shared" si="105"/>
        <v/>
      </c>
      <c r="MV16" s="40" t="str">
        <f t="shared" si="106"/>
        <v/>
      </c>
      <c r="MW16" s="40" t="str">
        <f t="shared" si="107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08"/>
        <v/>
      </c>
      <c r="NS16" s="11" t="str">
        <f t="shared" si="109"/>
        <v/>
      </c>
      <c r="NT16" s="11" t="str">
        <f t="shared" si="110"/>
        <v/>
      </c>
      <c r="NU16" s="11" t="str">
        <f t="shared" si="111"/>
        <v/>
      </c>
      <c r="NV16" s="11" t="str">
        <f t="shared" si="112"/>
        <v/>
      </c>
      <c r="NW16" s="11" t="str">
        <f t="shared" si="113"/>
        <v/>
      </c>
      <c r="NX16" s="11" t="str">
        <f t="shared" si="114"/>
        <v/>
      </c>
      <c r="NY16" s="11" t="str">
        <f t="shared" si="115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6"/>
        <v/>
      </c>
      <c r="OU16" s="40" t="str">
        <f t="shared" si="117"/>
        <v/>
      </c>
      <c r="OV16" s="40" t="str">
        <f t="shared" si="118"/>
        <v/>
      </c>
      <c r="OW16" s="40" t="str">
        <f t="shared" si="119"/>
        <v/>
      </c>
      <c r="OX16" s="40" t="str">
        <f t="shared" si="120"/>
        <v/>
      </c>
      <c r="OY16" s="40" t="str">
        <f t="shared" si="121"/>
        <v/>
      </c>
      <c r="OZ16" s="40" t="str">
        <f t="shared" si="122"/>
        <v/>
      </c>
      <c r="PA16" s="40" t="str">
        <f t="shared" si="123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4"/>
        <v/>
      </c>
      <c r="PW16" s="11" t="str">
        <f t="shared" si="125"/>
        <v/>
      </c>
      <c r="PX16" s="11" t="str">
        <f t="shared" si="126"/>
        <v/>
      </c>
      <c r="PY16" s="11" t="str">
        <f t="shared" si="127"/>
        <v/>
      </c>
      <c r="PZ16" s="11" t="str">
        <f t="shared" si="128"/>
        <v/>
      </c>
      <c r="QA16" s="11" t="str">
        <f t="shared" si="129"/>
        <v/>
      </c>
      <c r="QB16" s="11" t="str">
        <f t="shared" si="130"/>
        <v/>
      </c>
      <c r="QC16" s="11" t="str">
        <f t="shared" si="131"/>
        <v/>
      </c>
      <c r="QD16" s="22">
        <f t="shared" si="132"/>
        <v>15.9</v>
      </c>
      <c r="QE16" s="22">
        <f t="shared" si="133"/>
        <v>3.55</v>
      </c>
      <c r="QF16" s="22">
        <f t="shared" si="134"/>
        <v>0.2</v>
      </c>
      <c r="QG16" s="22">
        <f t="shared" si="135"/>
        <v>0.3</v>
      </c>
      <c r="QH16" s="22">
        <f t="shared" si="136"/>
        <v>15.55</v>
      </c>
      <c r="QI16" s="22">
        <f t="shared" si="137"/>
        <v>4.25</v>
      </c>
      <c r="QJ16" s="22">
        <f t="shared" si="138"/>
        <v>0</v>
      </c>
      <c r="QK16" s="22">
        <f t="shared" si="139"/>
        <v>0.15</v>
      </c>
      <c r="QL16" s="22">
        <f t="shared" si="140"/>
        <v>0</v>
      </c>
      <c r="QM16" s="22">
        <f t="shared" si="141"/>
        <v>0</v>
      </c>
      <c r="QN16" s="22">
        <f t="shared" si="142"/>
        <v>0</v>
      </c>
      <c r="QO16" s="22">
        <f t="shared" si="143"/>
        <v>0</v>
      </c>
      <c r="QP16" s="22">
        <f t="shared" si="144"/>
        <v>15.45</v>
      </c>
      <c r="QQ16" s="22">
        <f t="shared" si="145"/>
        <v>3.45</v>
      </c>
      <c r="QR16" s="22">
        <f t="shared" si="146"/>
        <v>0.1</v>
      </c>
      <c r="QS16" s="22">
        <f t="shared" si="147"/>
        <v>0.3</v>
      </c>
      <c r="QT16" s="22">
        <f t="shared" si="148"/>
        <v>15.45</v>
      </c>
      <c r="QU16" s="22">
        <f t="shared" si="149"/>
        <v>3.9</v>
      </c>
      <c r="QV16" s="22">
        <f t="shared" si="150"/>
        <v>0.2</v>
      </c>
      <c r="QW16" s="22">
        <f t="shared" si="151"/>
        <v>0.3</v>
      </c>
      <c r="QX16" s="27" t="s">
        <v>46</v>
      </c>
      <c r="QY16" s="40">
        <f t="shared" si="152"/>
        <v>7.8</v>
      </c>
      <c r="QZ16" s="40">
        <f t="shared" si="153"/>
        <v>39.499999999999993</v>
      </c>
      <c r="RA16" s="40" t="str">
        <f t="shared" si="154"/>
        <v/>
      </c>
      <c r="RB16" s="40">
        <f t="shared" si="155"/>
        <v>7.8</v>
      </c>
      <c r="RC16" s="40">
        <f t="shared" si="156"/>
        <v>39.499999999999993</v>
      </c>
      <c r="RD16" s="40">
        <f t="shared" si="157"/>
        <v>7.35</v>
      </c>
      <c r="RE16" s="40">
        <f t="shared" si="158"/>
        <v>38.549999999999997</v>
      </c>
      <c r="RF16" s="40">
        <f t="shared" si="159"/>
        <v>78.049999999999983</v>
      </c>
    </row>
    <row r="17" spans="1:474" x14ac:dyDescent="0.2">
      <c r="A17" s="4" cm="1">
        <f t="array" ref="A17">IF(AND(J17&lt;&gt;"",J17&lt;&gt;"No DD"),SUMPRODUCT((J$4:J$21&lt;&gt;"")*(J$4:J$21&lt;&gt;"No DD")*(F$4:F$21&gt;F17))+1,IF(J17="No DD",SUMPRODUCT((J$4:J$21="No DD")*(F$4:F$21&gt;F17))+1+SUMPRODUCT((J$4:J$21&lt;&gt;"")*(J$4:J$21&lt;&gt;"No DD")),""))</f>
        <v>11</v>
      </c>
      <c r="B17" s="4" cm="1">
        <f t="array" ref="B17">IF(AND(J17&lt;&gt;"",J17&lt;&gt;"No DD",G17=""),SUMPRODUCT((J$4:J$21&lt;&gt;"")*(J$4:J$21&lt;&gt;"No DD")*(G$4:G$21="")*(F$4:F$21&gt;F17))+1,IF(J17="No DD",SUMPRODUCT((J$4:J$21="No DD")*(F$4:F$21&gt;F17)*(G$4:G$21=""))+1+SUMPRODUCT((J$4:J$21&lt;&gt;"")*(G$4:G$21="")*(J$4:J$21&lt;&gt;"No DD")),""))</f>
        <v>7</v>
      </c>
      <c r="C17" s="5" t="s">
        <v>212</v>
      </c>
      <c r="D17" s="4" t="s">
        <v>3</v>
      </c>
      <c r="E17" s="4">
        <v>2008</v>
      </c>
      <c r="F17" s="9">
        <f t="shared" si="0"/>
        <v>117.30000751000419</v>
      </c>
      <c r="G17" s="64"/>
      <c r="H17" s="3" t="str">
        <f t="shared" si="1"/>
        <v/>
      </c>
      <c r="I17" s="3" t="str">
        <f t="shared" si="2"/>
        <v>P</v>
      </c>
      <c r="J17" s="36" t="str">
        <f t="shared" si="3"/>
        <v>No DD</v>
      </c>
      <c r="K17" s="3" t="str">
        <f t="shared" si="4"/>
        <v/>
      </c>
      <c r="L17" s="8">
        <f>IF(COUNT(AQ17,BT17,CW17)&gt;0,LARGE((AQ17,BT17,CW17),1),0)</f>
        <v>42.1</v>
      </c>
      <c r="M17" s="8" t="str">
        <f t="shared" si="5"/>
        <v>2024 Nationals</v>
      </c>
      <c r="N17" s="8">
        <f>IF(COUNT(AQ17,BT17,CW17)&gt;1,LARGE((AQ17,BT17,CW17),2),0)</f>
        <v>32.999999999999993</v>
      </c>
      <c r="O17" s="8" t="str">
        <f t="shared" si="6"/>
        <v>2025 Elite Canada</v>
      </c>
      <c r="P17" s="8">
        <f t="shared" si="7"/>
        <v>42.199999999999996</v>
      </c>
      <c r="Q17" s="8" t="str">
        <f t="shared" si="8"/>
        <v>2024 Nationals</v>
      </c>
      <c r="R17" s="8" t="str">
        <f t="shared" si="9"/>
        <v/>
      </c>
      <c r="S17" s="11" t="str">
        <f t="shared" si="160"/>
        <v/>
      </c>
      <c r="T17" s="8" t="str">
        <f t="shared" si="161"/>
        <v/>
      </c>
      <c r="U17" s="19">
        <v>16.600000000000001</v>
      </c>
      <c r="V17" s="19">
        <v>3.9</v>
      </c>
      <c r="W17" s="19">
        <v>0</v>
      </c>
      <c r="X17" s="19">
        <v>0.6</v>
      </c>
      <c r="Y17" s="19">
        <v>16.899999999999999</v>
      </c>
      <c r="Z17" s="19">
        <v>3.5</v>
      </c>
      <c r="AA17" s="19">
        <v>0</v>
      </c>
      <c r="AB17" s="19">
        <v>0.6</v>
      </c>
      <c r="AC17" s="19"/>
      <c r="AD17" s="19"/>
      <c r="AE17" s="19"/>
      <c r="AF17" s="19"/>
      <c r="AG17" s="19">
        <v>16.7</v>
      </c>
      <c r="AH17" s="19">
        <v>3.9</v>
      </c>
      <c r="AI17" s="19">
        <v>0</v>
      </c>
      <c r="AJ17" s="19">
        <v>0.6</v>
      </c>
      <c r="AK17" s="19">
        <v>16.899999999999999</v>
      </c>
      <c r="AL17" s="19">
        <v>3.5</v>
      </c>
      <c r="AM17" s="19">
        <v>0</v>
      </c>
      <c r="AN17" s="19">
        <v>0.6</v>
      </c>
      <c r="AO17" s="27"/>
      <c r="AP17" s="40">
        <f t="shared" si="10"/>
        <v>7.4</v>
      </c>
      <c r="AQ17" s="40">
        <f t="shared" si="11"/>
        <v>42.1</v>
      </c>
      <c r="AR17" s="40" t="str">
        <f t="shared" si="12"/>
        <v/>
      </c>
      <c r="AS17" s="40">
        <f t="shared" si="13"/>
        <v>7.4</v>
      </c>
      <c r="AT17" s="40">
        <f t="shared" si="14"/>
        <v>42.1</v>
      </c>
      <c r="AU17" s="40">
        <f t="shared" si="15"/>
        <v>7.4</v>
      </c>
      <c r="AV17" s="40">
        <f t="shared" si="16"/>
        <v>42.199999999999996</v>
      </c>
      <c r="AW17" s="40">
        <f t="shared" si="17"/>
        <v>84.3</v>
      </c>
      <c r="AX17" s="18">
        <v>17</v>
      </c>
      <c r="AY17" s="18">
        <v>3.2</v>
      </c>
      <c r="AZ17" s="18">
        <v>2.2000000000000002</v>
      </c>
      <c r="BA17" s="18">
        <v>0.3</v>
      </c>
      <c r="BB17" s="18">
        <v>8.6</v>
      </c>
      <c r="BC17" s="18">
        <v>1.2</v>
      </c>
      <c r="BD17" s="18">
        <v>0.2</v>
      </c>
      <c r="BE17" s="18">
        <v>0.3</v>
      </c>
      <c r="BF17" s="18">
        <v>15.5</v>
      </c>
      <c r="BG17" s="18">
        <v>2.8</v>
      </c>
      <c r="BH17" s="18">
        <v>1</v>
      </c>
      <c r="BI17" s="18">
        <v>0.3</v>
      </c>
      <c r="BJ17" s="18">
        <v>16.7</v>
      </c>
      <c r="BK17" s="18">
        <v>2.8</v>
      </c>
      <c r="BL17" s="18">
        <v>0.6</v>
      </c>
      <c r="BM17" s="18">
        <v>0.3</v>
      </c>
      <c r="BN17" s="18">
        <v>14.9</v>
      </c>
      <c r="BO17" s="18">
        <v>1.9</v>
      </c>
      <c r="BP17" s="18">
        <v>0</v>
      </c>
      <c r="BQ17" s="18">
        <v>0.3</v>
      </c>
      <c r="BR17" s="28"/>
      <c r="BS17" s="11">
        <f t="shared" si="18"/>
        <v>4.4000000000000004</v>
      </c>
      <c r="BT17" s="11">
        <f t="shared" si="19"/>
        <v>28.200000000000003</v>
      </c>
      <c r="BU17" s="11">
        <f t="shared" si="20"/>
        <v>17.600000000000001</v>
      </c>
      <c r="BV17" s="11">
        <f t="shared" si="21"/>
        <v>7.2</v>
      </c>
      <c r="BW17" s="11">
        <f t="shared" si="22"/>
        <v>45.800000000000004</v>
      </c>
      <c r="BX17" s="11">
        <f t="shared" si="23"/>
        <v>4.6999999999999993</v>
      </c>
      <c r="BY17" s="11">
        <f t="shared" si="24"/>
        <v>36.299999999999997</v>
      </c>
      <c r="BZ17" s="11">
        <f t="shared" si="25"/>
        <v>82.1</v>
      </c>
      <c r="CA17" s="19">
        <v>15.7</v>
      </c>
      <c r="CB17" s="19">
        <v>1.9</v>
      </c>
      <c r="CC17" s="19">
        <v>0</v>
      </c>
      <c r="CD17" s="19">
        <v>0</v>
      </c>
      <c r="CE17" s="19">
        <v>16</v>
      </c>
      <c r="CF17" s="19">
        <v>2.4</v>
      </c>
      <c r="CG17" s="19">
        <v>3</v>
      </c>
      <c r="CH17" s="19">
        <v>0</v>
      </c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 t="shared" si="26"/>
        <v>4.3</v>
      </c>
      <c r="CW17" s="40">
        <f t="shared" si="27"/>
        <v>32.999999999999993</v>
      </c>
      <c r="CX17" s="40" t="str">
        <f t="shared" si="28"/>
        <v/>
      </c>
      <c r="CY17" s="40">
        <f t="shared" si="29"/>
        <v>4.3</v>
      </c>
      <c r="CZ17" s="40">
        <f t="shared" si="30"/>
        <v>32.999999999999993</v>
      </c>
      <c r="DA17" s="40" t="str">
        <f t="shared" si="31"/>
        <v/>
      </c>
      <c r="DB17" s="40" t="str">
        <f t="shared" si="32"/>
        <v/>
      </c>
      <c r="DC17" s="40">
        <f t="shared" si="33"/>
        <v>32.999999999999993</v>
      </c>
      <c r="DD17" s="50" t="str">
        <f t="shared" si="34"/>
        <v/>
      </c>
      <c r="DE17" s="50" t="str">
        <f t="shared" si="35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6"/>
        <v/>
      </c>
      <c r="EA17" s="40" t="str">
        <f t="shared" si="37"/>
        <v/>
      </c>
      <c r="EB17" s="40" t="str">
        <f t="shared" si="38"/>
        <v/>
      </c>
      <c r="EC17" s="40" t="str">
        <f t="shared" si="39"/>
        <v/>
      </c>
      <c r="ED17" s="40" t="str">
        <f t="shared" si="40"/>
        <v/>
      </c>
      <c r="EE17" s="40" t="str">
        <f t="shared" si="41"/>
        <v/>
      </c>
      <c r="EF17" s="40" t="str">
        <f t="shared" si="42"/>
        <v/>
      </c>
      <c r="EG17" s="40" t="str">
        <f t="shared" si="43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4"/>
        <v/>
      </c>
      <c r="FC17" s="11" t="str">
        <f t="shared" si="45"/>
        <v/>
      </c>
      <c r="FD17" s="11" t="str">
        <f t="shared" si="46"/>
        <v/>
      </c>
      <c r="FE17" s="11" t="str">
        <f t="shared" si="47"/>
        <v/>
      </c>
      <c r="FF17" s="11" t="str">
        <f t="shared" si="48"/>
        <v/>
      </c>
      <c r="FG17" s="11" t="str">
        <f t="shared" si="49"/>
        <v/>
      </c>
      <c r="FH17" s="11" t="str">
        <f t="shared" si="50"/>
        <v/>
      </c>
      <c r="FI17" s="11" t="str">
        <f t="shared" si="51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2"/>
        <v/>
      </c>
      <c r="GE17" s="40" t="str">
        <f t="shared" si="53"/>
        <v/>
      </c>
      <c r="GF17" s="40" t="str">
        <f t="shared" si="54"/>
        <v/>
      </c>
      <c r="GG17" s="40" t="str">
        <f t="shared" si="55"/>
        <v/>
      </c>
      <c r="GH17" s="40" t="str">
        <f t="shared" si="56"/>
        <v/>
      </c>
      <c r="GI17" s="40" t="str">
        <f t="shared" si="57"/>
        <v/>
      </c>
      <c r="GJ17" s="40" t="str">
        <f t="shared" si="58"/>
        <v/>
      </c>
      <c r="GK17" s="40" t="str">
        <f t="shared" si="59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0"/>
        <v/>
      </c>
      <c r="HG17" s="11" t="str">
        <f t="shared" si="61"/>
        <v/>
      </c>
      <c r="HH17" s="11" t="str">
        <f t="shared" si="62"/>
        <v/>
      </c>
      <c r="HI17" s="11" t="str">
        <f t="shared" si="63"/>
        <v/>
      </c>
      <c r="HJ17" s="11" t="str">
        <f t="shared" si="64"/>
        <v/>
      </c>
      <c r="HK17" s="11" t="str">
        <f t="shared" si="65"/>
        <v/>
      </c>
      <c r="HL17" s="11" t="str">
        <f t="shared" si="66"/>
        <v/>
      </c>
      <c r="HM17" s="11" t="str">
        <f t="shared" si="67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68"/>
        <v/>
      </c>
      <c r="II17" s="40" t="str">
        <f t="shared" si="69"/>
        <v/>
      </c>
      <c r="IJ17" s="40" t="str">
        <f t="shared" si="70"/>
        <v/>
      </c>
      <c r="IK17" s="40" t="str">
        <f t="shared" si="71"/>
        <v/>
      </c>
      <c r="IL17" s="40" t="str">
        <f t="shared" si="72"/>
        <v/>
      </c>
      <c r="IM17" s="40" t="str">
        <f t="shared" si="73"/>
        <v/>
      </c>
      <c r="IN17" s="40" t="str">
        <f t="shared" si="74"/>
        <v/>
      </c>
      <c r="IO17" s="40" t="str">
        <f t="shared" si="75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6"/>
        <v/>
      </c>
      <c r="JK17" s="11" t="str">
        <f t="shared" si="77"/>
        <v/>
      </c>
      <c r="JL17" s="11" t="str">
        <f t="shared" si="78"/>
        <v/>
      </c>
      <c r="JM17" s="11" t="str">
        <f t="shared" si="79"/>
        <v/>
      </c>
      <c r="JN17" s="11" t="str">
        <f t="shared" si="80"/>
        <v/>
      </c>
      <c r="JO17" s="11" t="str">
        <f t="shared" si="81"/>
        <v/>
      </c>
      <c r="JP17" s="11" t="str">
        <f t="shared" si="82"/>
        <v/>
      </c>
      <c r="JQ17" s="11" t="str">
        <f t="shared" si="83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4"/>
        <v/>
      </c>
      <c r="KM17" s="40" t="str">
        <f t="shared" si="85"/>
        <v/>
      </c>
      <c r="KN17" s="40" t="str">
        <f t="shared" si="86"/>
        <v/>
      </c>
      <c r="KO17" s="40" t="str">
        <f t="shared" si="87"/>
        <v/>
      </c>
      <c r="KP17" s="40" t="str">
        <f t="shared" si="88"/>
        <v/>
      </c>
      <c r="KQ17" s="40" t="str">
        <f t="shared" si="89"/>
        <v/>
      </c>
      <c r="KR17" s="40" t="str">
        <f t="shared" si="90"/>
        <v/>
      </c>
      <c r="KS17" s="40" t="str">
        <f t="shared" si="91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2"/>
        <v/>
      </c>
      <c r="LO17" s="11" t="str">
        <f t="shared" si="93"/>
        <v/>
      </c>
      <c r="LP17" s="11" t="str">
        <f t="shared" si="94"/>
        <v/>
      </c>
      <c r="LQ17" s="11" t="str">
        <f t="shared" si="95"/>
        <v/>
      </c>
      <c r="LR17" s="11" t="str">
        <f t="shared" si="96"/>
        <v/>
      </c>
      <c r="LS17" s="11" t="str">
        <f t="shared" si="97"/>
        <v/>
      </c>
      <c r="LT17" s="11" t="str">
        <f t="shared" si="98"/>
        <v/>
      </c>
      <c r="LU17" s="11" t="str">
        <f t="shared" si="99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0"/>
        <v/>
      </c>
      <c r="MQ17" s="40" t="str">
        <f t="shared" si="101"/>
        <v/>
      </c>
      <c r="MR17" s="40" t="str">
        <f t="shared" si="102"/>
        <v/>
      </c>
      <c r="MS17" s="40" t="str">
        <f t="shared" si="103"/>
        <v/>
      </c>
      <c r="MT17" s="40" t="str">
        <f t="shared" si="104"/>
        <v/>
      </c>
      <c r="MU17" s="40" t="str">
        <f t="shared" si="105"/>
        <v/>
      </c>
      <c r="MV17" s="40" t="str">
        <f t="shared" si="106"/>
        <v/>
      </c>
      <c r="MW17" s="40" t="str">
        <f t="shared" si="107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08"/>
        <v/>
      </c>
      <c r="NS17" s="11" t="str">
        <f t="shared" si="109"/>
        <v/>
      </c>
      <c r="NT17" s="11" t="str">
        <f t="shared" si="110"/>
        <v/>
      </c>
      <c r="NU17" s="11" t="str">
        <f t="shared" si="111"/>
        <v/>
      </c>
      <c r="NV17" s="11" t="str">
        <f t="shared" si="112"/>
        <v/>
      </c>
      <c r="NW17" s="11" t="str">
        <f t="shared" si="113"/>
        <v/>
      </c>
      <c r="NX17" s="11" t="str">
        <f t="shared" si="114"/>
        <v/>
      </c>
      <c r="NY17" s="11" t="str">
        <f t="shared" si="115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6"/>
        <v/>
      </c>
      <c r="OU17" s="40" t="str">
        <f t="shared" si="117"/>
        <v/>
      </c>
      <c r="OV17" s="40" t="str">
        <f t="shared" si="118"/>
        <v/>
      </c>
      <c r="OW17" s="40" t="str">
        <f t="shared" si="119"/>
        <v/>
      </c>
      <c r="OX17" s="40" t="str">
        <f t="shared" si="120"/>
        <v/>
      </c>
      <c r="OY17" s="40" t="str">
        <f t="shared" si="121"/>
        <v/>
      </c>
      <c r="OZ17" s="40" t="str">
        <f t="shared" si="122"/>
        <v/>
      </c>
      <c r="PA17" s="40" t="str">
        <f t="shared" si="123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4"/>
        <v/>
      </c>
      <c r="PW17" s="11" t="str">
        <f t="shared" si="125"/>
        <v/>
      </c>
      <c r="PX17" s="11" t="str">
        <f t="shared" si="126"/>
        <v/>
      </c>
      <c r="PY17" s="11" t="str">
        <f t="shared" si="127"/>
        <v/>
      </c>
      <c r="PZ17" s="11" t="str">
        <f t="shared" si="128"/>
        <v/>
      </c>
      <c r="QA17" s="11" t="str">
        <f t="shared" si="129"/>
        <v/>
      </c>
      <c r="QB17" s="11" t="str">
        <f t="shared" si="130"/>
        <v/>
      </c>
      <c r="QC17" s="11" t="str">
        <f t="shared" si="131"/>
        <v/>
      </c>
      <c r="QD17" s="22">
        <f t="shared" si="132"/>
        <v>16.350000000000001</v>
      </c>
      <c r="QE17" s="22">
        <f t="shared" si="133"/>
        <v>2.5499999999999998</v>
      </c>
      <c r="QF17" s="22">
        <f t="shared" si="134"/>
        <v>1.1000000000000001</v>
      </c>
      <c r="QG17" s="22">
        <f t="shared" si="135"/>
        <v>0.15</v>
      </c>
      <c r="QH17" s="22">
        <f t="shared" si="136"/>
        <v>12.3</v>
      </c>
      <c r="QI17" s="22">
        <f t="shared" si="137"/>
        <v>1.7999999999999998</v>
      </c>
      <c r="QJ17" s="22">
        <f t="shared" si="138"/>
        <v>1.6</v>
      </c>
      <c r="QK17" s="22">
        <f t="shared" si="139"/>
        <v>0.15</v>
      </c>
      <c r="QL17" s="22">
        <f t="shared" si="140"/>
        <v>7.75</v>
      </c>
      <c r="QM17" s="22">
        <f t="shared" si="141"/>
        <v>1.4</v>
      </c>
      <c r="QN17" s="22">
        <f t="shared" si="142"/>
        <v>0.5</v>
      </c>
      <c r="QO17" s="22">
        <f t="shared" si="143"/>
        <v>0.15</v>
      </c>
      <c r="QP17" s="22">
        <f t="shared" si="144"/>
        <v>8.35</v>
      </c>
      <c r="QQ17" s="22">
        <f t="shared" si="145"/>
        <v>1.4</v>
      </c>
      <c r="QR17" s="22">
        <f t="shared" si="146"/>
        <v>0.3</v>
      </c>
      <c r="QS17" s="22">
        <f t="shared" si="147"/>
        <v>0.15</v>
      </c>
      <c r="QT17" s="22">
        <f t="shared" si="148"/>
        <v>7.45</v>
      </c>
      <c r="QU17" s="22">
        <f t="shared" si="149"/>
        <v>0.95</v>
      </c>
      <c r="QV17" s="22">
        <f t="shared" si="150"/>
        <v>0</v>
      </c>
      <c r="QW17" s="22">
        <f t="shared" si="151"/>
        <v>0.15</v>
      </c>
      <c r="QX17" s="27" t="s">
        <v>46</v>
      </c>
      <c r="QY17" s="40">
        <f t="shared" si="152"/>
        <v>4.3499999999999996</v>
      </c>
      <c r="QZ17" s="40">
        <f t="shared" si="153"/>
        <v>30.599999999999994</v>
      </c>
      <c r="RA17" s="40">
        <f t="shared" si="154"/>
        <v>8.8000000000000007</v>
      </c>
      <c r="RB17" s="40">
        <f t="shared" si="155"/>
        <v>5.75</v>
      </c>
      <c r="RC17" s="40">
        <f t="shared" si="156"/>
        <v>39.399999999999991</v>
      </c>
      <c r="RD17" s="40">
        <f t="shared" si="157"/>
        <v>2.3499999999999996</v>
      </c>
      <c r="RE17" s="40">
        <f t="shared" si="158"/>
        <v>18.149999999999999</v>
      </c>
      <c r="RF17" s="40">
        <f t="shared" si="159"/>
        <v>57.54999999999999</v>
      </c>
    </row>
    <row r="18" spans="1:474" x14ac:dyDescent="0.2">
      <c r="A18" s="4" t="str" cm="1">
        <f t="array" ref="A18">IF(AND(J18&lt;&gt;"",J18&lt;&gt;"No DD"),SUMPRODUCT((J$4:J$21&lt;&gt;"")*(J$4:J$21&lt;&gt;"No DD")*(F$4:F$21&gt;F18))+1,IF(J18="No DD",SUMPRODUCT((J$4:J$21="No DD")*(F$4:F$21&gt;F18))+1+SUMPRODUCT((J$4:J$21&lt;&gt;"")*(J$4:J$21&lt;&gt;"No DD")),""))</f>
        <v/>
      </c>
      <c r="B18" s="4" t="str" cm="1">
        <f t="array" ref="B18">IF(AND(J18&lt;&gt;"",J18&lt;&gt;"No DD",G18=""),SUMPRODUCT((J$4:J$21&lt;&gt;"")*(J$4:J$21&lt;&gt;"No DD")*(G$4:G$21="")*(F$4:F$21&gt;F18))+1,IF(J18="No DD",SUMPRODUCT((J$4:J$21="No DD")*(F$4:F$21&gt;F18)*(G$4:G$21=""))+1+SUMPRODUCT((J$4:J$21&lt;&gt;"")*(G$4:G$21="")*(J$4:J$21&lt;&gt;"No DD")),""))</f>
        <v/>
      </c>
      <c r="C18" s="5" t="s">
        <v>172</v>
      </c>
      <c r="D18" s="4" t="s">
        <v>3</v>
      </c>
      <c r="E18" s="4">
        <v>2006</v>
      </c>
      <c r="F18" s="9">
        <f t="shared" si="0"/>
        <v>78.000003750003756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37.5</v>
      </c>
      <c r="M18" s="8" t="str">
        <f t="shared" si="5"/>
        <v>2024 Nationals</v>
      </c>
      <c r="N18" s="8">
        <f>IF(COUNT(AQ18,BT18,CW18)&gt;1,LARGE((AQ18,BT18,CW18),2),0)</f>
        <v>0</v>
      </c>
      <c r="O18" s="8" t="str">
        <f t="shared" si="6"/>
        <v/>
      </c>
      <c r="P18" s="8">
        <f t="shared" si="7"/>
        <v>40.500000000000007</v>
      </c>
      <c r="Q18" s="8" t="str">
        <f t="shared" si="8"/>
        <v>2024 Nationals</v>
      </c>
      <c r="R18" s="8" t="str">
        <f t="shared" si="9"/>
        <v/>
      </c>
      <c r="S18" s="11" t="str">
        <f t="shared" si="160"/>
        <v/>
      </c>
      <c r="T18" s="8" t="str">
        <f t="shared" si="161"/>
        <v/>
      </c>
      <c r="U18" s="19">
        <v>16.5</v>
      </c>
      <c r="V18" s="19">
        <v>1.2</v>
      </c>
      <c r="W18" s="19">
        <v>0</v>
      </c>
      <c r="X18" s="19">
        <v>0</v>
      </c>
      <c r="Y18" s="19">
        <v>16.3</v>
      </c>
      <c r="Z18" s="19">
        <v>3.2</v>
      </c>
      <c r="AA18" s="19">
        <v>0</v>
      </c>
      <c r="AB18" s="19">
        <v>0.3</v>
      </c>
      <c r="AC18" s="19">
        <v>16.399999999999999</v>
      </c>
      <c r="AD18" s="19">
        <v>3.5</v>
      </c>
      <c r="AE18" s="19">
        <v>0</v>
      </c>
      <c r="AF18" s="19">
        <v>0.6</v>
      </c>
      <c r="AG18" s="19">
        <v>16.8</v>
      </c>
      <c r="AH18" s="19">
        <v>3.2</v>
      </c>
      <c r="AI18" s="19">
        <v>0</v>
      </c>
      <c r="AJ18" s="19">
        <v>0.3</v>
      </c>
      <c r="AK18" s="19">
        <v>16.100000000000001</v>
      </c>
      <c r="AL18" s="19">
        <v>3.5</v>
      </c>
      <c r="AM18" s="19">
        <v>0</v>
      </c>
      <c r="AN18" s="19">
        <v>0.6</v>
      </c>
      <c r="AO18" s="27"/>
      <c r="AP18" s="40">
        <f t="shared" si="10"/>
        <v>4.4000000000000004</v>
      </c>
      <c r="AQ18" s="40">
        <f t="shared" si="11"/>
        <v>37.5</v>
      </c>
      <c r="AR18" s="40">
        <f t="shared" si="12"/>
        <v>20.5</v>
      </c>
      <c r="AS18" s="40">
        <f t="shared" si="13"/>
        <v>7.9</v>
      </c>
      <c r="AT18" s="40">
        <f t="shared" si="14"/>
        <v>58</v>
      </c>
      <c r="AU18" s="40">
        <f t="shared" si="15"/>
        <v>6.7</v>
      </c>
      <c r="AV18" s="40">
        <f t="shared" si="16"/>
        <v>40.500000000000007</v>
      </c>
      <c r="AW18" s="40">
        <f t="shared" si="17"/>
        <v>98.5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18"/>
        <v/>
      </c>
      <c r="BT18" s="11" t="str">
        <f t="shared" si="19"/>
        <v/>
      </c>
      <c r="BU18" s="11" t="str">
        <f t="shared" si="20"/>
        <v/>
      </c>
      <c r="BV18" s="11" t="str">
        <f t="shared" si="21"/>
        <v/>
      </c>
      <c r="BW18" s="11" t="str">
        <f t="shared" si="22"/>
        <v/>
      </c>
      <c r="BX18" s="11" t="str">
        <f t="shared" si="23"/>
        <v/>
      </c>
      <c r="BY18" s="11" t="str">
        <f t="shared" si="24"/>
        <v/>
      </c>
      <c r="BZ18" s="11" t="str">
        <f t="shared" si="25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6"/>
        <v/>
      </c>
      <c r="CW18" s="40" t="str">
        <f t="shared" si="27"/>
        <v/>
      </c>
      <c r="CX18" s="40" t="str">
        <f t="shared" si="28"/>
        <v/>
      </c>
      <c r="CY18" s="40" t="str">
        <f t="shared" si="29"/>
        <v/>
      </c>
      <c r="CZ18" s="40" t="str">
        <f t="shared" si="30"/>
        <v/>
      </c>
      <c r="DA18" s="40" t="str">
        <f t="shared" si="31"/>
        <v/>
      </c>
      <c r="DB18" s="40" t="str">
        <f t="shared" si="32"/>
        <v/>
      </c>
      <c r="DC18" s="40" t="str">
        <f t="shared" si="33"/>
        <v/>
      </c>
      <c r="DD18" s="50" t="str">
        <f t="shared" si="34"/>
        <v/>
      </c>
      <c r="DE18" s="50" t="str">
        <f t="shared" si="35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6"/>
        <v/>
      </c>
      <c r="EA18" s="40" t="str">
        <f t="shared" si="37"/>
        <v/>
      </c>
      <c r="EB18" s="40" t="str">
        <f t="shared" si="38"/>
        <v/>
      </c>
      <c r="EC18" s="40" t="str">
        <f t="shared" si="39"/>
        <v/>
      </c>
      <c r="ED18" s="40" t="str">
        <f t="shared" si="40"/>
        <v/>
      </c>
      <c r="EE18" s="40" t="str">
        <f t="shared" si="41"/>
        <v/>
      </c>
      <c r="EF18" s="40" t="str">
        <f t="shared" si="42"/>
        <v/>
      </c>
      <c r="EG18" s="40" t="str">
        <f t="shared" si="43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4"/>
        <v/>
      </c>
      <c r="FC18" s="11" t="str">
        <f t="shared" si="45"/>
        <v/>
      </c>
      <c r="FD18" s="11" t="str">
        <f t="shared" si="46"/>
        <v/>
      </c>
      <c r="FE18" s="11" t="str">
        <f t="shared" si="47"/>
        <v/>
      </c>
      <c r="FF18" s="11" t="str">
        <f t="shared" si="48"/>
        <v/>
      </c>
      <c r="FG18" s="11" t="str">
        <f t="shared" si="49"/>
        <v/>
      </c>
      <c r="FH18" s="11" t="str">
        <f t="shared" si="50"/>
        <v/>
      </c>
      <c r="FI18" s="11" t="str">
        <f t="shared" si="51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2"/>
        <v/>
      </c>
      <c r="GE18" s="40" t="str">
        <f t="shared" si="53"/>
        <v/>
      </c>
      <c r="GF18" s="40" t="str">
        <f t="shared" si="54"/>
        <v/>
      </c>
      <c r="GG18" s="40" t="str">
        <f t="shared" si="55"/>
        <v/>
      </c>
      <c r="GH18" s="40" t="str">
        <f t="shared" si="56"/>
        <v/>
      </c>
      <c r="GI18" s="40" t="str">
        <f t="shared" si="57"/>
        <v/>
      </c>
      <c r="GJ18" s="40" t="str">
        <f t="shared" si="58"/>
        <v/>
      </c>
      <c r="GK18" s="40" t="str">
        <f t="shared" si="59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0"/>
        <v/>
      </c>
      <c r="HG18" s="11" t="str">
        <f t="shared" si="61"/>
        <v/>
      </c>
      <c r="HH18" s="11" t="str">
        <f t="shared" si="62"/>
        <v/>
      </c>
      <c r="HI18" s="11" t="str">
        <f t="shared" si="63"/>
        <v/>
      </c>
      <c r="HJ18" s="11" t="str">
        <f t="shared" si="64"/>
        <v/>
      </c>
      <c r="HK18" s="11" t="str">
        <f t="shared" si="65"/>
        <v/>
      </c>
      <c r="HL18" s="11" t="str">
        <f t="shared" si="66"/>
        <v/>
      </c>
      <c r="HM18" s="11" t="str">
        <f t="shared" si="67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68"/>
        <v/>
      </c>
      <c r="II18" s="40" t="str">
        <f t="shared" si="69"/>
        <v/>
      </c>
      <c r="IJ18" s="40" t="str">
        <f t="shared" si="70"/>
        <v/>
      </c>
      <c r="IK18" s="40" t="str">
        <f t="shared" si="71"/>
        <v/>
      </c>
      <c r="IL18" s="40" t="str">
        <f t="shared" si="72"/>
        <v/>
      </c>
      <c r="IM18" s="40" t="str">
        <f t="shared" si="73"/>
        <v/>
      </c>
      <c r="IN18" s="40" t="str">
        <f t="shared" si="74"/>
        <v/>
      </c>
      <c r="IO18" s="40" t="str">
        <f t="shared" si="75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6"/>
        <v/>
      </c>
      <c r="JK18" s="11" t="str">
        <f t="shared" si="77"/>
        <v/>
      </c>
      <c r="JL18" s="11" t="str">
        <f t="shared" si="78"/>
        <v/>
      </c>
      <c r="JM18" s="11" t="str">
        <f t="shared" si="79"/>
        <v/>
      </c>
      <c r="JN18" s="11" t="str">
        <f t="shared" si="80"/>
        <v/>
      </c>
      <c r="JO18" s="11" t="str">
        <f t="shared" si="81"/>
        <v/>
      </c>
      <c r="JP18" s="11" t="str">
        <f t="shared" si="82"/>
        <v/>
      </c>
      <c r="JQ18" s="11" t="str">
        <f t="shared" si="83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4"/>
        <v/>
      </c>
      <c r="KM18" s="40" t="str">
        <f t="shared" si="85"/>
        <v/>
      </c>
      <c r="KN18" s="40" t="str">
        <f t="shared" si="86"/>
        <v/>
      </c>
      <c r="KO18" s="40" t="str">
        <f t="shared" si="87"/>
        <v/>
      </c>
      <c r="KP18" s="40" t="str">
        <f t="shared" si="88"/>
        <v/>
      </c>
      <c r="KQ18" s="40" t="str">
        <f t="shared" si="89"/>
        <v/>
      </c>
      <c r="KR18" s="40" t="str">
        <f t="shared" si="90"/>
        <v/>
      </c>
      <c r="KS18" s="40" t="str">
        <f t="shared" si="91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2"/>
        <v/>
      </c>
      <c r="LO18" s="11" t="str">
        <f t="shared" si="93"/>
        <v/>
      </c>
      <c r="LP18" s="11" t="str">
        <f t="shared" si="94"/>
        <v/>
      </c>
      <c r="LQ18" s="11" t="str">
        <f t="shared" si="95"/>
        <v/>
      </c>
      <c r="LR18" s="11" t="str">
        <f t="shared" si="96"/>
        <v/>
      </c>
      <c r="LS18" s="11" t="str">
        <f t="shared" si="97"/>
        <v/>
      </c>
      <c r="LT18" s="11" t="str">
        <f t="shared" si="98"/>
        <v/>
      </c>
      <c r="LU18" s="11" t="str">
        <f t="shared" si="99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0"/>
        <v/>
      </c>
      <c r="MQ18" s="40" t="str">
        <f t="shared" si="101"/>
        <v/>
      </c>
      <c r="MR18" s="40" t="str">
        <f t="shared" si="102"/>
        <v/>
      </c>
      <c r="MS18" s="40" t="str">
        <f t="shared" si="103"/>
        <v/>
      </c>
      <c r="MT18" s="40" t="str">
        <f t="shared" si="104"/>
        <v/>
      </c>
      <c r="MU18" s="40" t="str">
        <f t="shared" si="105"/>
        <v/>
      </c>
      <c r="MV18" s="40" t="str">
        <f t="shared" si="106"/>
        <v/>
      </c>
      <c r="MW18" s="40" t="str">
        <f t="shared" si="107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08"/>
        <v/>
      </c>
      <c r="NS18" s="11" t="str">
        <f t="shared" si="109"/>
        <v/>
      </c>
      <c r="NT18" s="11" t="str">
        <f t="shared" si="110"/>
        <v/>
      </c>
      <c r="NU18" s="11" t="str">
        <f t="shared" si="111"/>
        <v/>
      </c>
      <c r="NV18" s="11" t="str">
        <f t="shared" si="112"/>
        <v/>
      </c>
      <c r="NW18" s="11" t="str">
        <f t="shared" si="113"/>
        <v/>
      </c>
      <c r="NX18" s="11" t="str">
        <f t="shared" si="114"/>
        <v/>
      </c>
      <c r="NY18" s="11" t="str">
        <f t="shared" si="115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6"/>
        <v/>
      </c>
      <c r="OU18" s="40" t="str">
        <f t="shared" si="117"/>
        <v/>
      </c>
      <c r="OV18" s="40" t="str">
        <f t="shared" si="118"/>
        <v/>
      </c>
      <c r="OW18" s="40" t="str">
        <f t="shared" si="119"/>
        <v/>
      </c>
      <c r="OX18" s="40" t="str">
        <f t="shared" si="120"/>
        <v/>
      </c>
      <c r="OY18" s="40" t="str">
        <f t="shared" si="121"/>
        <v/>
      </c>
      <c r="OZ18" s="40" t="str">
        <f t="shared" si="122"/>
        <v/>
      </c>
      <c r="PA18" s="40" t="str">
        <f t="shared" si="123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4"/>
        <v/>
      </c>
      <c r="PW18" s="11" t="str">
        <f t="shared" si="125"/>
        <v/>
      </c>
      <c r="PX18" s="11" t="str">
        <f t="shared" si="126"/>
        <v/>
      </c>
      <c r="PY18" s="11" t="str">
        <f t="shared" si="127"/>
        <v/>
      </c>
      <c r="PZ18" s="11" t="str">
        <f t="shared" si="128"/>
        <v/>
      </c>
      <c r="QA18" s="11" t="str">
        <f t="shared" si="129"/>
        <v/>
      </c>
      <c r="QB18" s="11" t="str">
        <f t="shared" si="130"/>
        <v/>
      </c>
      <c r="QC18" s="11" t="str">
        <f t="shared" si="131"/>
        <v/>
      </c>
      <c r="QD18" s="22">
        <f t="shared" si="132"/>
        <v>0</v>
      </c>
      <c r="QE18" s="22">
        <f t="shared" si="133"/>
        <v>0</v>
      </c>
      <c r="QF18" s="22">
        <f t="shared" si="134"/>
        <v>0</v>
      </c>
      <c r="QG18" s="22">
        <f t="shared" si="135"/>
        <v>0</v>
      </c>
      <c r="QH18" s="22">
        <f t="shared" si="136"/>
        <v>0</v>
      </c>
      <c r="QI18" s="22">
        <f t="shared" si="137"/>
        <v>0</v>
      </c>
      <c r="QJ18" s="22">
        <f t="shared" si="138"/>
        <v>0</v>
      </c>
      <c r="QK18" s="22">
        <f t="shared" si="139"/>
        <v>0</v>
      </c>
      <c r="QL18" s="22">
        <f t="shared" si="140"/>
        <v>0</v>
      </c>
      <c r="QM18" s="22">
        <f t="shared" si="141"/>
        <v>0</v>
      </c>
      <c r="QN18" s="22">
        <f t="shared" si="142"/>
        <v>0</v>
      </c>
      <c r="QO18" s="22">
        <f t="shared" si="143"/>
        <v>0</v>
      </c>
      <c r="QP18" s="22">
        <f t="shared" si="144"/>
        <v>0</v>
      </c>
      <c r="QQ18" s="22">
        <f t="shared" si="145"/>
        <v>0</v>
      </c>
      <c r="QR18" s="22">
        <f t="shared" si="146"/>
        <v>0</v>
      </c>
      <c r="QS18" s="22">
        <f t="shared" si="147"/>
        <v>0</v>
      </c>
      <c r="QT18" s="22">
        <f t="shared" si="148"/>
        <v>0</v>
      </c>
      <c r="QU18" s="22">
        <f t="shared" si="149"/>
        <v>0</v>
      </c>
      <c r="QV18" s="22">
        <f t="shared" si="150"/>
        <v>0</v>
      </c>
      <c r="QW18" s="22">
        <f t="shared" si="151"/>
        <v>0</v>
      </c>
      <c r="QX18" s="27" t="s">
        <v>46</v>
      </c>
      <c r="QY18" s="40" t="str">
        <f t="shared" si="152"/>
        <v/>
      </c>
      <c r="QZ18" s="40" t="str">
        <f t="shared" si="153"/>
        <v/>
      </c>
      <c r="RA18" s="40" t="str">
        <f t="shared" si="154"/>
        <v/>
      </c>
      <c r="RB18" s="40" t="str">
        <f t="shared" si="155"/>
        <v/>
      </c>
      <c r="RC18" s="40" t="str">
        <f t="shared" si="156"/>
        <v/>
      </c>
      <c r="RD18" s="40" t="str">
        <f t="shared" si="157"/>
        <v/>
      </c>
      <c r="RE18" s="40" t="str">
        <f t="shared" si="158"/>
        <v/>
      </c>
      <c r="RF18" s="40" t="str">
        <f t="shared" si="159"/>
        <v/>
      </c>
    </row>
    <row r="19" spans="1:474" x14ac:dyDescent="0.2">
      <c r="A19" s="4" t="str" cm="1">
        <f t="array" ref="A19">IF(AND(J19&lt;&gt;"",J19&lt;&gt;"No DD"),SUMPRODUCT((J$4:J$21&lt;&gt;"")*(J$4:J$21&lt;&gt;"No DD")*(F$4:F$21&gt;F19))+1,IF(J19="No DD",SUMPRODUCT((J$4:J$21="No DD")*(F$4:F$21&gt;F19))+1+SUMPRODUCT((J$4:J$21&lt;&gt;"")*(J$4:J$21&lt;&gt;"No DD")),""))</f>
        <v/>
      </c>
      <c r="B19" s="4" t="str" cm="1">
        <f t="array" ref="B19">IF(AND(J19&lt;&gt;"",J19&lt;&gt;"No DD",G19=""),SUMPRODUCT((J$4:J$21&lt;&gt;"")*(J$4:J$21&lt;&gt;"No DD")*(G$4:G$21="")*(F$4:F$21&gt;F19))+1,IF(J19="No DD",SUMPRODUCT((J$4:J$21="No DD")*(F$4:F$21&gt;F19)*(G$4:G$21=""))+1+SUMPRODUCT((J$4:J$21&lt;&gt;"")*(G$4:G$21="")*(J$4:J$21&lt;&gt;"No DD")),""))</f>
        <v/>
      </c>
      <c r="C19" s="5" t="s">
        <v>220</v>
      </c>
      <c r="D19" s="4" t="s">
        <v>6</v>
      </c>
      <c r="E19" s="4">
        <v>2004</v>
      </c>
      <c r="F19" s="9">
        <f t="shared" si="0"/>
        <v>75.200003630003607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36.299999999999997</v>
      </c>
      <c r="M19" s="8" t="str">
        <f t="shared" si="5"/>
        <v>2025 Elite Canada</v>
      </c>
      <c r="N19" s="8">
        <f>IF(COUNT(AQ19,BT19,CW19)&gt;1,LARGE((AQ19,BT19,CW19),2),0)</f>
        <v>0</v>
      </c>
      <c r="O19" s="8" t="str">
        <f t="shared" si="6"/>
        <v/>
      </c>
      <c r="P19" s="8">
        <f t="shared" si="7"/>
        <v>38.9</v>
      </c>
      <c r="Q19" s="8" t="str">
        <f t="shared" si="8"/>
        <v>2025 Elite Canada</v>
      </c>
      <c r="R19" s="8" t="str">
        <f t="shared" si="9"/>
        <v/>
      </c>
      <c r="S19" s="11" t="str">
        <f t="shared" si="160"/>
        <v/>
      </c>
      <c r="T19" s="8" t="str">
        <f t="shared" si="161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0"/>
        <v/>
      </c>
      <c r="AQ19" s="40" t="str">
        <f t="shared" si="11"/>
        <v/>
      </c>
      <c r="AR19" s="40" t="str">
        <f t="shared" si="12"/>
        <v/>
      </c>
      <c r="AS19" s="40" t="str">
        <f t="shared" si="13"/>
        <v/>
      </c>
      <c r="AT19" s="40" t="str">
        <f t="shared" si="14"/>
        <v/>
      </c>
      <c r="AU19" s="40" t="str">
        <f t="shared" si="15"/>
        <v/>
      </c>
      <c r="AV19" s="40" t="str">
        <f t="shared" si="16"/>
        <v/>
      </c>
      <c r="AW19" s="40" t="str">
        <f t="shared" si="17"/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18"/>
        <v/>
      </c>
      <c r="BT19" s="11" t="str">
        <f t="shared" si="19"/>
        <v/>
      </c>
      <c r="BU19" s="11" t="str">
        <f t="shared" si="20"/>
        <v/>
      </c>
      <c r="BV19" s="11" t="str">
        <f t="shared" si="21"/>
        <v/>
      </c>
      <c r="BW19" s="11" t="str">
        <f t="shared" si="22"/>
        <v/>
      </c>
      <c r="BX19" s="11" t="str">
        <f t="shared" si="23"/>
        <v/>
      </c>
      <c r="BY19" s="11" t="str">
        <f t="shared" si="24"/>
        <v/>
      </c>
      <c r="BZ19" s="11" t="str">
        <f t="shared" si="25"/>
        <v/>
      </c>
      <c r="CA19" s="19">
        <v>15.7</v>
      </c>
      <c r="CB19" s="19">
        <v>1.5</v>
      </c>
      <c r="CC19" s="19">
        <v>0</v>
      </c>
      <c r="CD19" s="19">
        <v>0</v>
      </c>
      <c r="CE19" s="19">
        <v>16.899999999999999</v>
      </c>
      <c r="CF19" s="19">
        <v>2.6</v>
      </c>
      <c r="CG19" s="19">
        <v>0.4</v>
      </c>
      <c r="CH19" s="19">
        <v>0</v>
      </c>
      <c r="CI19" s="19"/>
      <c r="CJ19" s="19"/>
      <c r="CK19" s="19"/>
      <c r="CL19" s="19"/>
      <c r="CM19" s="19">
        <v>16.3</v>
      </c>
      <c r="CN19" s="19">
        <v>3.7</v>
      </c>
      <c r="CO19" s="19">
        <v>0.2</v>
      </c>
      <c r="CP19" s="19">
        <v>0</v>
      </c>
      <c r="CQ19" s="19">
        <v>15.5</v>
      </c>
      <c r="CR19" s="19">
        <v>3.6</v>
      </c>
      <c r="CS19" s="19">
        <v>0</v>
      </c>
      <c r="CT19" s="19">
        <v>0</v>
      </c>
      <c r="CU19" s="27"/>
      <c r="CV19" s="40">
        <f t="shared" si="26"/>
        <v>4.0999999999999996</v>
      </c>
      <c r="CW19" s="40">
        <f t="shared" si="27"/>
        <v>36.299999999999997</v>
      </c>
      <c r="CX19" s="40" t="str">
        <f t="shared" si="28"/>
        <v/>
      </c>
      <c r="CY19" s="40">
        <f t="shared" si="29"/>
        <v>4.0999999999999996</v>
      </c>
      <c r="CZ19" s="40">
        <f t="shared" si="30"/>
        <v>36.299999999999997</v>
      </c>
      <c r="DA19" s="40">
        <f t="shared" si="31"/>
        <v>7.3000000000000007</v>
      </c>
      <c r="DB19" s="40">
        <f t="shared" si="32"/>
        <v>38.9</v>
      </c>
      <c r="DC19" s="40">
        <f t="shared" si="33"/>
        <v>75.199999999999989</v>
      </c>
      <c r="DD19" s="50" t="str">
        <f t="shared" si="34"/>
        <v/>
      </c>
      <c r="DE19" s="50" t="str">
        <f t="shared" si="35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6"/>
        <v/>
      </c>
      <c r="EA19" s="40" t="str">
        <f t="shared" si="37"/>
        <v/>
      </c>
      <c r="EB19" s="40" t="str">
        <f t="shared" si="38"/>
        <v/>
      </c>
      <c r="EC19" s="40" t="str">
        <f t="shared" si="39"/>
        <v/>
      </c>
      <c r="ED19" s="40" t="str">
        <f t="shared" si="40"/>
        <v/>
      </c>
      <c r="EE19" s="40" t="str">
        <f t="shared" si="41"/>
        <v/>
      </c>
      <c r="EF19" s="40" t="str">
        <f t="shared" si="42"/>
        <v/>
      </c>
      <c r="EG19" s="40" t="str">
        <f t="shared" si="43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4"/>
        <v/>
      </c>
      <c r="FC19" s="11" t="str">
        <f t="shared" si="45"/>
        <v/>
      </c>
      <c r="FD19" s="11" t="str">
        <f t="shared" si="46"/>
        <v/>
      </c>
      <c r="FE19" s="11" t="str">
        <f t="shared" si="47"/>
        <v/>
      </c>
      <c r="FF19" s="11" t="str">
        <f t="shared" si="48"/>
        <v/>
      </c>
      <c r="FG19" s="11" t="str">
        <f t="shared" si="49"/>
        <v/>
      </c>
      <c r="FH19" s="11" t="str">
        <f t="shared" si="50"/>
        <v/>
      </c>
      <c r="FI19" s="11" t="str">
        <f t="shared" si="51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2"/>
        <v/>
      </c>
      <c r="GE19" s="40" t="str">
        <f t="shared" si="53"/>
        <v/>
      </c>
      <c r="GF19" s="40" t="str">
        <f t="shared" si="54"/>
        <v/>
      </c>
      <c r="GG19" s="40" t="str">
        <f t="shared" si="55"/>
        <v/>
      </c>
      <c r="GH19" s="40" t="str">
        <f t="shared" si="56"/>
        <v/>
      </c>
      <c r="GI19" s="40" t="str">
        <f t="shared" si="57"/>
        <v/>
      </c>
      <c r="GJ19" s="40" t="str">
        <f t="shared" si="58"/>
        <v/>
      </c>
      <c r="GK19" s="40" t="str">
        <f t="shared" si="59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0"/>
        <v/>
      </c>
      <c r="HG19" s="11" t="str">
        <f t="shared" si="61"/>
        <v/>
      </c>
      <c r="HH19" s="11" t="str">
        <f t="shared" si="62"/>
        <v/>
      </c>
      <c r="HI19" s="11" t="str">
        <f t="shared" si="63"/>
        <v/>
      </c>
      <c r="HJ19" s="11" t="str">
        <f t="shared" si="64"/>
        <v/>
      </c>
      <c r="HK19" s="11" t="str">
        <f t="shared" si="65"/>
        <v/>
      </c>
      <c r="HL19" s="11" t="str">
        <f t="shared" si="66"/>
        <v/>
      </c>
      <c r="HM19" s="11" t="str">
        <f t="shared" si="67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68"/>
        <v/>
      </c>
      <c r="II19" s="40" t="str">
        <f t="shared" si="69"/>
        <v/>
      </c>
      <c r="IJ19" s="40" t="str">
        <f t="shared" si="70"/>
        <v/>
      </c>
      <c r="IK19" s="40" t="str">
        <f t="shared" si="71"/>
        <v/>
      </c>
      <c r="IL19" s="40" t="str">
        <f t="shared" si="72"/>
        <v/>
      </c>
      <c r="IM19" s="40" t="str">
        <f t="shared" si="73"/>
        <v/>
      </c>
      <c r="IN19" s="40" t="str">
        <f t="shared" si="74"/>
        <v/>
      </c>
      <c r="IO19" s="40" t="str">
        <f t="shared" si="75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6"/>
        <v/>
      </c>
      <c r="JK19" s="11" t="str">
        <f t="shared" si="77"/>
        <v/>
      </c>
      <c r="JL19" s="11" t="str">
        <f t="shared" si="78"/>
        <v/>
      </c>
      <c r="JM19" s="11" t="str">
        <f t="shared" si="79"/>
        <v/>
      </c>
      <c r="JN19" s="11" t="str">
        <f t="shared" si="80"/>
        <v/>
      </c>
      <c r="JO19" s="11" t="str">
        <f t="shared" si="81"/>
        <v/>
      </c>
      <c r="JP19" s="11" t="str">
        <f t="shared" si="82"/>
        <v/>
      </c>
      <c r="JQ19" s="11" t="str">
        <f t="shared" si="83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4"/>
        <v/>
      </c>
      <c r="KM19" s="40" t="str">
        <f t="shared" si="85"/>
        <v/>
      </c>
      <c r="KN19" s="40" t="str">
        <f t="shared" si="86"/>
        <v/>
      </c>
      <c r="KO19" s="40" t="str">
        <f t="shared" si="87"/>
        <v/>
      </c>
      <c r="KP19" s="40" t="str">
        <f t="shared" si="88"/>
        <v/>
      </c>
      <c r="KQ19" s="40" t="str">
        <f t="shared" si="89"/>
        <v/>
      </c>
      <c r="KR19" s="40" t="str">
        <f t="shared" si="90"/>
        <v/>
      </c>
      <c r="KS19" s="40" t="str">
        <f t="shared" si="91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2"/>
        <v/>
      </c>
      <c r="LO19" s="11" t="str">
        <f t="shared" si="93"/>
        <v/>
      </c>
      <c r="LP19" s="11" t="str">
        <f t="shared" si="94"/>
        <v/>
      </c>
      <c r="LQ19" s="11" t="str">
        <f t="shared" si="95"/>
        <v/>
      </c>
      <c r="LR19" s="11" t="str">
        <f t="shared" si="96"/>
        <v/>
      </c>
      <c r="LS19" s="11" t="str">
        <f t="shared" si="97"/>
        <v/>
      </c>
      <c r="LT19" s="11" t="str">
        <f t="shared" si="98"/>
        <v/>
      </c>
      <c r="LU19" s="11" t="str">
        <f t="shared" si="99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0"/>
        <v/>
      </c>
      <c r="MQ19" s="40" t="str">
        <f t="shared" si="101"/>
        <v/>
      </c>
      <c r="MR19" s="40" t="str">
        <f t="shared" si="102"/>
        <v/>
      </c>
      <c r="MS19" s="40" t="str">
        <f t="shared" si="103"/>
        <v/>
      </c>
      <c r="MT19" s="40" t="str">
        <f t="shared" si="104"/>
        <v/>
      </c>
      <c r="MU19" s="40" t="str">
        <f t="shared" si="105"/>
        <v/>
      </c>
      <c r="MV19" s="40" t="str">
        <f t="shared" si="106"/>
        <v/>
      </c>
      <c r="MW19" s="40" t="str">
        <f t="shared" si="107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08"/>
        <v/>
      </c>
      <c r="NS19" s="11" t="str">
        <f t="shared" si="109"/>
        <v/>
      </c>
      <c r="NT19" s="11" t="str">
        <f t="shared" si="110"/>
        <v/>
      </c>
      <c r="NU19" s="11" t="str">
        <f t="shared" si="111"/>
        <v/>
      </c>
      <c r="NV19" s="11" t="str">
        <f t="shared" si="112"/>
        <v/>
      </c>
      <c r="NW19" s="11" t="str">
        <f t="shared" si="113"/>
        <v/>
      </c>
      <c r="NX19" s="11" t="str">
        <f t="shared" si="114"/>
        <v/>
      </c>
      <c r="NY19" s="11" t="str">
        <f t="shared" si="115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6"/>
        <v/>
      </c>
      <c r="OU19" s="40" t="str">
        <f t="shared" si="117"/>
        <v/>
      </c>
      <c r="OV19" s="40" t="str">
        <f t="shared" si="118"/>
        <v/>
      </c>
      <c r="OW19" s="40" t="str">
        <f t="shared" si="119"/>
        <v/>
      </c>
      <c r="OX19" s="40" t="str">
        <f t="shared" si="120"/>
        <v/>
      </c>
      <c r="OY19" s="40" t="str">
        <f t="shared" si="121"/>
        <v/>
      </c>
      <c r="OZ19" s="40" t="str">
        <f t="shared" si="122"/>
        <v/>
      </c>
      <c r="PA19" s="40" t="str">
        <f t="shared" si="123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4"/>
        <v/>
      </c>
      <c r="PW19" s="11" t="str">
        <f t="shared" si="125"/>
        <v/>
      </c>
      <c r="PX19" s="11" t="str">
        <f t="shared" si="126"/>
        <v/>
      </c>
      <c r="PY19" s="11" t="str">
        <f t="shared" si="127"/>
        <v/>
      </c>
      <c r="PZ19" s="11" t="str">
        <f t="shared" si="128"/>
        <v/>
      </c>
      <c r="QA19" s="11" t="str">
        <f t="shared" si="129"/>
        <v/>
      </c>
      <c r="QB19" s="11" t="str">
        <f t="shared" si="130"/>
        <v/>
      </c>
      <c r="QC19" s="11" t="str">
        <f t="shared" si="131"/>
        <v/>
      </c>
      <c r="QD19" s="22">
        <f t="shared" si="132"/>
        <v>7.85</v>
      </c>
      <c r="QE19" s="22">
        <f t="shared" si="133"/>
        <v>0.75</v>
      </c>
      <c r="QF19" s="22">
        <f t="shared" si="134"/>
        <v>0</v>
      </c>
      <c r="QG19" s="22">
        <f t="shared" si="135"/>
        <v>0</v>
      </c>
      <c r="QH19" s="22">
        <f t="shared" si="136"/>
        <v>8.4499999999999993</v>
      </c>
      <c r="QI19" s="22">
        <f t="shared" si="137"/>
        <v>1.3</v>
      </c>
      <c r="QJ19" s="22">
        <f t="shared" si="138"/>
        <v>0.2</v>
      </c>
      <c r="QK19" s="22">
        <f t="shared" si="139"/>
        <v>0</v>
      </c>
      <c r="QL19" s="22">
        <f t="shared" si="140"/>
        <v>0</v>
      </c>
      <c r="QM19" s="22">
        <f t="shared" si="141"/>
        <v>0</v>
      </c>
      <c r="QN19" s="22">
        <f t="shared" si="142"/>
        <v>0</v>
      </c>
      <c r="QO19" s="22">
        <f t="shared" si="143"/>
        <v>0</v>
      </c>
      <c r="QP19" s="22">
        <f t="shared" si="144"/>
        <v>8.15</v>
      </c>
      <c r="QQ19" s="22">
        <f t="shared" si="145"/>
        <v>1.85</v>
      </c>
      <c r="QR19" s="22">
        <f t="shared" si="146"/>
        <v>0.1</v>
      </c>
      <c r="QS19" s="22">
        <f t="shared" si="147"/>
        <v>0</v>
      </c>
      <c r="QT19" s="22">
        <f t="shared" si="148"/>
        <v>7.75</v>
      </c>
      <c r="QU19" s="22">
        <f t="shared" si="149"/>
        <v>1.8</v>
      </c>
      <c r="QV19" s="22">
        <f t="shared" si="150"/>
        <v>0</v>
      </c>
      <c r="QW19" s="22">
        <f t="shared" si="151"/>
        <v>0</v>
      </c>
      <c r="QX19" s="27" t="s">
        <v>46</v>
      </c>
      <c r="QY19" s="40">
        <f t="shared" si="152"/>
        <v>2.0499999999999998</v>
      </c>
      <c r="QZ19" s="40">
        <f t="shared" si="153"/>
        <v>18.149999999999999</v>
      </c>
      <c r="RA19" s="40" t="str">
        <f t="shared" si="154"/>
        <v/>
      </c>
      <c r="RB19" s="40">
        <f t="shared" si="155"/>
        <v>2.0499999999999998</v>
      </c>
      <c r="RC19" s="40">
        <f t="shared" si="156"/>
        <v>18.149999999999999</v>
      </c>
      <c r="RD19" s="40">
        <f t="shared" si="157"/>
        <v>3.6500000000000004</v>
      </c>
      <c r="RE19" s="40">
        <f t="shared" si="158"/>
        <v>19.45</v>
      </c>
      <c r="RF19" s="40">
        <f t="shared" si="159"/>
        <v>37.599999999999994</v>
      </c>
    </row>
    <row r="20" spans="1:474" x14ac:dyDescent="0.2">
      <c r="A20" s="4" t="str" cm="1">
        <f t="array" ref="A20">IF(AND(J20&lt;&gt;"",J20&lt;&gt;"No DD"),SUMPRODUCT((J$4:J$21&lt;&gt;"")*(J$4:J$21&lt;&gt;"No DD")*(F$4:F$21&gt;F20))+1,IF(J20="No DD",SUMPRODUCT((J$4:J$21="No DD")*(F$4:F$21&gt;F20))+1+SUMPRODUCT((J$4:J$21&lt;&gt;"")*(J$4:J$21&lt;&gt;"No DD")),""))</f>
        <v/>
      </c>
      <c r="B20" s="4" t="str" cm="1">
        <f t="array" ref="B20">IF(AND(J20&lt;&gt;"",J20&lt;&gt;"No DD",G20=""),SUMPRODUCT((J$4:J$21&lt;&gt;"")*(J$4:J$21&lt;&gt;"No DD")*(G$4:G$21="")*(F$4:F$21&gt;F20))+1,IF(J20="No DD",SUMPRODUCT((J$4:J$21="No DD")*(F$4:F$21&gt;F20)*(G$4:G$21=""))+1+SUMPRODUCT((J$4:J$21&lt;&gt;"")*(G$4:G$21="")*(J$4:J$21&lt;&gt;"No DD")),""))</f>
        <v/>
      </c>
      <c r="C20" s="5" t="s">
        <v>173</v>
      </c>
      <c r="D20" s="4" t="s">
        <v>5</v>
      </c>
      <c r="E20" s="4">
        <v>2007</v>
      </c>
      <c r="F20" s="9">
        <f t="shared" si="0"/>
        <v>74.400003560003569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IF(COUNT(AQ20,BT20,CW20)&gt;0,LARGE((AQ20,BT20,CW20),1),0)</f>
        <v>35.6</v>
      </c>
      <c r="M20" s="8" t="str">
        <f t="shared" si="5"/>
        <v>2024 Nationals</v>
      </c>
      <c r="N20" s="8">
        <f>IF(COUNT(AQ20,BT20,CW20)&gt;1,LARGE((AQ20,BT20,CW20),2),0)</f>
        <v>0</v>
      </c>
      <c r="O20" s="8" t="str">
        <f t="shared" si="6"/>
        <v/>
      </c>
      <c r="P20" s="8">
        <f t="shared" si="7"/>
        <v>38.800000000000004</v>
      </c>
      <c r="Q20" s="8" t="str">
        <f t="shared" si="8"/>
        <v>2024 Nationals</v>
      </c>
      <c r="R20" s="8" t="str">
        <f t="shared" si="9"/>
        <v/>
      </c>
      <c r="S20" s="11" t="str">
        <f t="shared" si="160"/>
        <v/>
      </c>
      <c r="T20" s="8" t="str">
        <f t="shared" si="161"/>
        <v/>
      </c>
      <c r="U20" s="19">
        <v>17.8</v>
      </c>
      <c r="V20" s="19">
        <v>1.5</v>
      </c>
      <c r="W20" s="19">
        <v>1</v>
      </c>
      <c r="X20" s="19">
        <v>0</v>
      </c>
      <c r="Y20" s="19">
        <v>15.6</v>
      </c>
      <c r="Z20" s="19">
        <v>3.5</v>
      </c>
      <c r="AA20" s="19">
        <v>2.4</v>
      </c>
      <c r="AB20" s="19">
        <v>0.6</v>
      </c>
      <c r="AC20" s="19">
        <v>16.3</v>
      </c>
      <c r="AD20" s="19">
        <v>2.9</v>
      </c>
      <c r="AE20" s="19">
        <v>0.1</v>
      </c>
      <c r="AF20" s="19">
        <v>0.3</v>
      </c>
      <c r="AG20" s="19">
        <v>15.5</v>
      </c>
      <c r="AH20" s="19">
        <v>3.5</v>
      </c>
      <c r="AI20" s="19">
        <v>0</v>
      </c>
      <c r="AJ20" s="19">
        <v>0.6</v>
      </c>
      <c r="AK20" s="19">
        <v>15.4</v>
      </c>
      <c r="AL20" s="19">
        <v>3.2</v>
      </c>
      <c r="AM20" s="19">
        <v>0</v>
      </c>
      <c r="AN20" s="19">
        <v>0.6</v>
      </c>
      <c r="AO20" s="27"/>
      <c r="AP20" s="40">
        <f t="shared" si="10"/>
        <v>5</v>
      </c>
      <c r="AQ20" s="40">
        <f t="shared" si="11"/>
        <v>35.6</v>
      </c>
      <c r="AR20" s="40">
        <f t="shared" si="12"/>
        <v>19.399999999999999</v>
      </c>
      <c r="AS20" s="40">
        <f t="shared" si="13"/>
        <v>7.9</v>
      </c>
      <c r="AT20" s="40">
        <f t="shared" si="14"/>
        <v>55</v>
      </c>
      <c r="AU20" s="40">
        <f t="shared" si="15"/>
        <v>6.7</v>
      </c>
      <c r="AV20" s="40">
        <f t="shared" si="16"/>
        <v>38.800000000000004</v>
      </c>
      <c r="AW20" s="40">
        <f t="shared" si="17"/>
        <v>93.800000000000011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18"/>
        <v/>
      </c>
      <c r="BT20" s="11" t="str">
        <f t="shared" si="19"/>
        <v/>
      </c>
      <c r="BU20" s="11" t="str">
        <f t="shared" si="20"/>
        <v/>
      </c>
      <c r="BV20" s="11" t="str">
        <f t="shared" si="21"/>
        <v/>
      </c>
      <c r="BW20" s="11" t="str">
        <f t="shared" si="22"/>
        <v/>
      </c>
      <c r="BX20" s="11" t="str">
        <f t="shared" si="23"/>
        <v/>
      </c>
      <c r="BY20" s="11" t="str">
        <f t="shared" si="24"/>
        <v/>
      </c>
      <c r="BZ20" s="11" t="str">
        <f t="shared" si="25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6"/>
        <v/>
      </c>
      <c r="CW20" s="40" t="str">
        <f t="shared" si="27"/>
        <v/>
      </c>
      <c r="CX20" s="40" t="str">
        <f t="shared" si="28"/>
        <v/>
      </c>
      <c r="CY20" s="40" t="str">
        <f t="shared" si="29"/>
        <v/>
      </c>
      <c r="CZ20" s="40" t="str">
        <f t="shared" si="30"/>
        <v/>
      </c>
      <c r="DA20" s="40" t="str">
        <f t="shared" si="31"/>
        <v/>
      </c>
      <c r="DB20" s="40" t="str">
        <f t="shared" si="32"/>
        <v/>
      </c>
      <c r="DC20" s="40" t="str">
        <f t="shared" si="33"/>
        <v/>
      </c>
      <c r="DD20" s="50" t="str">
        <f t="shared" si="34"/>
        <v/>
      </c>
      <c r="DE20" s="50" t="str">
        <f t="shared" si="35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6"/>
        <v/>
      </c>
      <c r="EA20" s="40" t="str">
        <f t="shared" si="37"/>
        <v/>
      </c>
      <c r="EB20" s="40" t="str">
        <f t="shared" si="38"/>
        <v/>
      </c>
      <c r="EC20" s="40" t="str">
        <f t="shared" si="39"/>
        <v/>
      </c>
      <c r="ED20" s="40" t="str">
        <f t="shared" si="40"/>
        <v/>
      </c>
      <c r="EE20" s="40" t="str">
        <f t="shared" si="41"/>
        <v/>
      </c>
      <c r="EF20" s="40" t="str">
        <f t="shared" si="42"/>
        <v/>
      </c>
      <c r="EG20" s="40" t="str">
        <f t="shared" si="43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4"/>
        <v/>
      </c>
      <c r="FC20" s="11" t="str">
        <f t="shared" si="45"/>
        <v/>
      </c>
      <c r="FD20" s="11" t="str">
        <f t="shared" si="46"/>
        <v/>
      </c>
      <c r="FE20" s="11" t="str">
        <f t="shared" si="47"/>
        <v/>
      </c>
      <c r="FF20" s="11" t="str">
        <f t="shared" si="48"/>
        <v/>
      </c>
      <c r="FG20" s="11" t="str">
        <f t="shared" si="49"/>
        <v/>
      </c>
      <c r="FH20" s="11" t="str">
        <f t="shared" si="50"/>
        <v/>
      </c>
      <c r="FI20" s="11" t="str">
        <f t="shared" si="51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2"/>
        <v/>
      </c>
      <c r="GE20" s="40" t="str">
        <f t="shared" si="53"/>
        <v/>
      </c>
      <c r="GF20" s="40" t="str">
        <f t="shared" si="54"/>
        <v/>
      </c>
      <c r="GG20" s="40" t="str">
        <f t="shared" si="55"/>
        <v/>
      </c>
      <c r="GH20" s="40" t="str">
        <f t="shared" si="56"/>
        <v/>
      </c>
      <c r="GI20" s="40" t="str">
        <f t="shared" si="57"/>
        <v/>
      </c>
      <c r="GJ20" s="40" t="str">
        <f t="shared" si="58"/>
        <v/>
      </c>
      <c r="GK20" s="40" t="str">
        <f t="shared" si="59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0"/>
        <v/>
      </c>
      <c r="HG20" s="11" t="str">
        <f t="shared" si="61"/>
        <v/>
      </c>
      <c r="HH20" s="11" t="str">
        <f t="shared" si="62"/>
        <v/>
      </c>
      <c r="HI20" s="11" t="str">
        <f t="shared" si="63"/>
        <v/>
      </c>
      <c r="HJ20" s="11" t="str">
        <f t="shared" si="64"/>
        <v/>
      </c>
      <c r="HK20" s="11" t="str">
        <f t="shared" si="65"/>
        <v/>
      </c>
      <c r="HL20" s="11" t="str">
        <f t="shared" si="66"/>
        <v/>
      </c>
      <c r="HM20" s="11" t="str">
        <f t="shared" si="67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68"/>
        <v/>
      </c>
      <c r="II20" s="40" t="str">
        <f t="shared" si="69"/>
        <v/>
      </c>
      <c r="IJ20" s="40" t="str">
        <f t="shared" si="70"/>
        <v/>
      </c>
      <c r="IK20" s="40" t="str">
        <f t="shared" si="71"/>
        <v/>
      </c>
      <c r="IL20" s="40" t="str">
        <f t="shared" si="72"/>
        <v/>
      </c>
      <c r="IM20" s="40" t="str">
        <f t="shared" si="73"/>
        <v/>
      </c>
      <c r="IN20" s="40" t="str">
        <f t="shared" si="74"/>
        <v/>
      </c>
      <c r="IO20" s="40" t="str">
        <f t="shared" si="75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6"/>
        <v/>
      </c>
      <c r="JK20" s="11" t="str">
        <f t="shared" si="77"/>
        <v/>
      </c>
      <c r="JL20" s="11" t="str">
        <f t="shared" si="78"/>
        <v/>
      </c>
      <c r="JM20" s="11" t="str">
        <f t="shared" si="79"/>
        <v/>
      </c>
      <c r="JN20" s="11" t="str">
        <f t="shared" si="80"/>
        <v/>
      </c>
      <c r="JO20" s="11" t="str">
        <f t="shared" si="81"/>
        <v/>
      </c>
      <c r="JP20" s="11" t="str">
        <f t="shared" si="82"/>
        <v/>
      </c>
      <c r="JQ20" s="11" t="str">
        <f t="shared" si="83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4"/>
        <v/>
      </c>
      <c r="KM20" s="40" t="str">
        <f t="shared" si="85"/>
        <v/>
      </c>
      <c r="KN20" s="40" t="str">
        <f t="shared" si="86"/>
        <v/>
      </c>
      <c r="KO20" s="40" t="str">
        <f t="shared" si="87"/>
        <v/>
      </c>
      <c r="KP20" s="40" t="str">
        <f t="shared" si="88"/>
        <v/>
      </c>
      <c r="KQ20" s="40" t="str">
        <f t="shared" si="89"/>
        <v/>
      </c>
      <c r="KR20" s="40" t="str">
        <f t="shared" si="90"/>
        <v/>
      </c>
      <c r="KS20" s="40" t="str">
        <f t="shared" si="91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2"/>
        <v/>
      </c>
      <c r="LO20" s="11" t="str">
        <f t="shared" si="93"/>
        <v/>
      </c>
      <c r="LP20" s="11" t="str">
        <f t="shared" si="94"/>
        <v/>
      </c>
      <c r="LQ20" s="11" t="str">
        <f t="shared" si="95"/>
        <v/>
      </c>
      <c r="LR20" s="11" t="str">
        <f t="shared" si="96"/>
        <v/>
      </c>
      <c r="LS20" s="11" t="str">
        <f t="shared" si="97"/>
        <v/>
      </c>
      <c r="LT20" s="11" t="str">
        <f t="shared" si="98"/>
        <v/>
      </c>
      <c r="LU20" s="11" t="str">
        <f t="shared" si="99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0"/>
        <v/>
      </c>
      <c r="MQ20" s="40" t="str">
        <f t="shared" si="101"/>
        <v/>
      </c>
      <c r="MR20" s="40" t="str">
        <f t="shared" si="102"/>
        <v/>
      </c>
      <c r="MS20" s="40" t="str">
        <f t="shared" si="103"/>
        <v/>
      </c>
      <c r="MT20" s="40" t="str">
        <f t="shared" si="104"/>
        <v/>
      </c>
      <c r="MU20" s="40" t="str">
        <f t="shared" si="105"/>
        <v/>
      </c>
      <c r="MV20" s="40" t="str">
        <f t="shared" si="106"/>
        <v/>
      </c>
      <c r="MW20" s="40" t="str">
        <f t="shared" si="107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08"/>
        <v/>
      </c>
      <c r="NS20" s="11" t="str">
        <f t="shared" si="109"/>
        <v/>
      </c>
      <c r="NT20" s="11" t="str">
        <f t="shared" si="110"/>
        <v/>
      </c>
      <c r="NU20" s="11" t="str">
        <f t="shared" si="111"/>
        <v/>
      </c>
      <c r="NV20" s="11" t="str">
        <f t="shared" si="112"/>
        <v/>
      </c>
      <c r="NW20" s="11" t="str">
        <f t="shared" si="113"/>
        <v/>
      </c>
      <c r="NX20" s="11" t="str">
        <f t="shared" si="114"/>
        <v/>
      </c>
      <c r="NY20" s="11" t="str">
        <f t="shared" si="115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6"/>
        <v/>
      </c>
      <c r="OU20" s="40" t="str">
        <f t="shared" si="117"/>
        <v/>
      </c>
      <c r="OV20" s="40" t="str">
        <f t="shared" si="118"/>
        <v/>
      </c>
      <c r="OW20" s="40" t="str">
        <f t="shared" si="119"/>
        <v/>
      </c>
      <c r="OX20" s="40" t="str">
        <f t="shared" si="120"/>
        <v/>
      </c>
      <c r="OY20" s="40" t="str">
        <f t="shared" si="121"/>
        <v/>
      </c>
      <c r="OZ20" s="40" t="str">
        <f t="shared" si="122"/>
        <v/>
      </c>
      <c r="PA20" s="40" t="str">
        <f t="shared" si="123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4"/>
        <v/>
      </c>
      <c r="PW20" s="11" t="str">
        <f t="shared" si="125"/>
        <v/>
      </c>
      <c r="PX20" s="11" t="str">
        <f t="shared" si="126"/>
        <v/>
      </c>
      <c r="PY20" s="11" t="str">
        <f t="shared" si="127"/>
        <v/>
      </c>
      <c r="PZ20" s="11" t="str">
        <f t="shared" si="128"/>
        <v/>
      </c>
      <c r="QA20" s="11" t="str">
        <f t="shared" si="129"/>
        <v/>
      </c>
      <c r="QB20" s="11" t="str">
        <f t="shared" si="130"/>
        <v/>
      </c>
      <c r="QC20" s="11" t="str">
        <f t="shared" si="131"/>
        <v/>
      </c>
      <c r="QD20" s="22">
        <f t="shared" si="132"/>
        <v>0</v>
      </c>
      <c r="QE20" s="22">
        <f t="shared" si="133"/>
        <v>0</v>
      </c>
      <c r="QF20" s="22">
        <f t="shared" si="134"/>
        <v>0</v>
      </c>
      <c r="QG20" s="22">
        <f t="shared" si="135"/>
        <v>0</v>
      </c>
      <c r="QH20" s="22">
        <f t="shared" si="136"/>
        <v>0</v>
      </c>
      <c r="QI20" s="22">
        <f t="shared" si="137"/>
        <v>0</v>
      </c>
      <c r="QJ20" s="22">
        <f t="shared" si="138"/>
        <v>0</v>
      </c>
      <c r="QK20" s="22">
        <f t="shared" si="139"/>
        <v>0</v>
      </c>
      <c r="QL20" s="22">
        <f t="shared" si="140"/>
        <v>0</v>
      </c>
      <c r="QM20" s="22">
        <f t="shared" si="141"/>
        <v>0</v>
      </c>
      <c r="QN20" s="22">
        <f t="shared" si="142"/>
        <v>0</v>
      </c>
      <c r="QO20" s="22">
        <f t="shared" si="143"/>
        <v>0</v>
      </c>
      <c r="QP20" s="22">
        <f t="shared" si="144"/>
        <v>0</v>
      </c>
      <c r="QQ20" s="22">
        <f t="shared" si="145"/>
        <v>0</v>
      </c>
      <c r="QR20" s="22">
        <f t="shared" si="146"/>
        <v>0</v>
      </c>
      <c r="QS20" s="22">
        <f t="shared" si="147"/>
        <v>0</v>
      </c>
      <c r="QT20" s="22">
        <f t="shared" si="148"/>
        <v>0</v>
      </c>
      <c r="QU20" s="22">
        <f t="shared" si="149"/>
        <v>0</v>
      </c>
      <c r="QV20" s="22">
        <f t="shared" si="150"/>
        <v>0</v>
      </c>
      <c r="QW20" s="22">
        <f t="shared" si="151"/>
        <v>0</v>
      </c>
      <c r="QX20" s="27" t="s">
        <v>46</v>
      </c>
      <c r="QY20" s="40" t="str">
        <f t="shared" si="152"/>
        <v/>
      </c>
      <c r="QZ20" s="40" t="str">
        <f t="shared" si="153"/>
        <v/>
      </c>
      <c r="RA20" s="40" t="str">
        <f t="shared" si="154"/>
        <v/>
      </c>
      <c r="RB20" s="40" t="str">
        <f t="shared" si="155"/>
        <v/>
      </c>
      <c r="RC20" s="40" t="str">
        <f t="shared" si="156"/>
        <v/>
      </c>
      <c r="RD20" s="40" t="str">
        <f t="shared" si="157"/>
        <v/>
      </c>
      <c r="RE20" s="40" t="str">
        <f t="shared" si="158"/>
        <v/>
      </c>
      <c r="RF20" s="40" t="str">
        <f t="shared" si="159"/>
        <v/>
      </c>
    </row>
    <row r="21" spans="1:474" ht="17" x14ac:dyDescent="0.2">
      <c r="G21" s="64"/>
      <c r="R21" s="10"/>
      <c r="S21" s="10"/>
      <c r="T21" s="10"/>
    </row>
    <row r="22" spans="1:474" ht="17" x14ac:dyDescent="0.2">
      <c r="G22" s="64"/>
      <c r="R22" s="10"/>
      <c r="S22" s="10"/>
      <c r="T22" s="10"/>
    </row>
    <row r="23" spans="1:474" ht="17" x14ac:dyDescent="0.2">
      <c r="C23" s="23" t="s">
        <v>44</v>
      </c>
      <c r="G23" s="64"/>
      <c r="R23" s="10"/>
      <c r="S23" s="10"/>
      <c r="T23" s="10"/>
      <c r="AP23" s="4"/>
      <c r="AW23" s="42">
        <v>8</v>
      </c>
      <c r="BS23" s="4"/>
      <c r="BZ23" s="42">
        <v>8</v>
      </c>
      <c r="CV23" s="4"/>
      <c r="DC23" s="42">
        <v>8.4</v>
      </c>
      <c r="DZ23" s="4"/>
      <c r="EG23" s="42">
        <v>8</v>
      </c>
      <c r="FB23" s="4"/>
      <c r="FI23" s="42">
        <v>8</v>
      </c>
      <c r="GD23" s="4"/>
      <c r="GK23" s="42">
        <v>8.4</v>
      </c>
      <c r="HF23" s="4"/>
      <c r="HM23" s="42">
        <v>8.4</v>
      </c>
      <c r="IH23" s="4"/>
      <c r="IO23" s="42">
        <v>8.4</v>
      </c>
      <c r="JJ23" s="4"/>
      <c r="JQ23" s="42">
        <v>8.4</v>
      </c>
      <c r="KL23" s="4"/>
      <c r="KS23" s="42">
        <v>8.4</v>
      </c>
      <c r="LN23" s="4"/>
      <c r="LU23" s="42">
        <v>8.4</v>
      </c>
      <c r="MP23" s="4"/>
      <c r="MW23" s="42">
        <v>8.4</v>
      </c>
      <c r="NR23" s="4"/>
      <c r="NY23" s="42">
        <v>8.4</v>
      </c>
      <c r="OT23" s="4"/>
      <c r="PA23" s="42">
        <v>8.4</v>
      </c>
      <c r="PV23" s="4"/>
      <c r="QC23" s="42">
        <v>8.4</v>
      </c>
    </row>
    <row r="24" spans="1:474" ht="17" hidden="1" x14ac:dyDescent="0.2">
      <c r="C24" s="30" t="s">
        <v>43</v>
      </c>
      <c r="G24" s="64"/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DZ24" s="4"/>
      <c r="EG24" s="51">
        <v>1000</v>
      </c>
      <c r="FB24" s="4"/>
      <c r="FI24" s="51">
        <v>1000</v>
      </c>
      <c r="GD24" s="4"/>
      <c r="GK24" s="51">
        <v>1000</v>
      </c>
      <c r="HF24" s="4"/>
      <c r="HM24" s="51">
        <v>1000</v>
      </c>
      <c r="IH24" s="4"/>
      <c r="IO24" s="51">
        <v>1000</v>
      </c>
      <c r="JJ24" s="4"/>
      <c r="JQ24" s="51">
        <v>1000</v>
      </c>
      <c r="KL24" s="4"/>
      <c r="KS24" s="51">
        <v>1000</v>
      </c>
      <c r="LN24" s="4"/>
      <c r="LU24" s="51">
        <v>1000</v>
      </c>
      <c r="MP24" s="4"/>
      <c r="MW24" s="51">
        <v>1000</v>
      </c>
      <c r="NR24" s="4"/>
      <c r="NY24" s="51">
        <v>1000</v>
      </c>
      <c r="OT24" s="4"/>
      <c r="PA24" s="51">
        <v>1000</v>
      </c>
      <c r="PV24" s="4"/>
      <c r="QC24" s="51">
        <v>1000</v>
      </c>
    </row>
    <row r="25" spans="1:474" ht="17" hidden="1" x14ac:dyDescent="0.2">
      <c r="A25" s="5"/>
      <c r="B25" s="5"/>
      <c r="C25" s="31" t="s">
        <v>55</v>
      </c>
      <c r="D25" s="20"/>
      <c r="G25" s="64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DZ25" s="4"/>
      <c r="EG25" s="43">
        <v>1000</v>
      </c>
      <c r="FB25" s="4"/>
      <c r="FI25" s="43">
        <v>1000</v>
      </c>
      <c r="GD25" s="4"/>
      <c r="GK25" s="43">
        <v>1000</v>
      </c>
      <c r="HF25" s="4"/>
      <c r="HM25" s="43">
        <v>1000</v>
      </c>
      <c r="IH25" s="4"/>
      <c r="IO25" s="43">
        <v>1000</v>
      </c>
      <c r="JJ25" s="4"/>
      <c r="JQ25" s="43">
        <v>1000</v>
      </c>
      <c r="KL25" s="4"/>
      <c r="KS25" s="43">
        <v>1000</v>
      </c>
      <c r="LN25" s="4"/>
      <c r="LU25" s="43">
        <v>1000</v>
      </c>
      <c r="MP25" s="4"/>
      <c r="MW25" s="43">
        <v>1000</v>
      </c>
      <c r="NR25" s="4"/>
      <c r="NY25" s="43">
        <v>1000</v>
      </c>
      <c r="OT25" s="4"/>
      <c r="PA25" s="43">
        <v>1000</v>
      </c>
      <c r="PV25" s="4"/>
      <c r="QC25" s="43">
        <v>1000</v>
      </c>
    </row>
    <row r="26" spans="1:474" ht="17" hidden="1" x14ac:dyDescent="0.2">
      <c r="A26" s="5"/>
      <c r="B26" s="5"/>
      <c r="C26" s="35" t="s">
        <v>60</v>
      </c>
      <c r="D26" s="20"/>
      <c r="G26" s="64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DZ26" s="4"/>
      <c r="EG26" s="44">
        <v>1000</v>
      </c>
      <c r="FB26" s="4"/>
      <c r="FI26" s="44">
        <v>1000</v>
      </c>
      <c r="GD26" s="4"/>
      <c r="GK26" s="44">
        <v>1000</v>
      </c>
      <c r="HF26" s="4"/>
      <c r="HM26" s="44">
        <v>1000</v>
      </c>
      <c r="IH26" s="4"/>
      <c r="IO26" s="44">
        <v>1000</v>
      </c>
      <c r="JJ26" s="4"/>
      <c r="JQ26" s="44">
        <v>1000</v>
      </c>
      <c r="KL26" s="4"/>
      <c r="KS26" s="44">
        <v>1000</v>
      </c>
      <c r="LN26" s="4"/>
      <c r="LU26" s="44">
        <v>1000</v>
      </c>
      <c r="MP26" s="4"/>
      <c r="MW26" s="44">
        <v>1000</v>
      </c>
      <c r="NR26" s="4"/>
      <c r="NY26" s="44">
        <v>1000</v>
      </c>
      <c r="OT26" s="4"/>
      <c r="PA26" s="44">
        <v>1000</v>
      </c>
      <c r="PV26" s="4"/>
      <c r="QC26" s="44">
        <v>1000</v>
      </c>
    </row>
    <row r="27" spans="1:474" ht="17" x14ac:dyDescent="0.2">
      <c r="A27" s="5"/>
      <c r="B27" s="5"/>
      <c r="C27" s="34" t="s">
        <v>41</v>
      </c>
      <c r="D27" s="20"/>
      <c r="G27" s="64"/>
      <c r="R27" s="10"/>
      <c r="S27" s="10"/>
      <c r="T27" s="10"/>
      <c r="AP27" s="4"/>
      <c r="AW27" s="45">
        <v>42.1</v>
      </c>
      <c r="BS27" s="4"/>
      <c r="BZ27" s="45">
        <v>42.1</v>
      </c>
      <c r="CV27" s="4"/>
      <c r="DC27" s="45">
        <v>42.8</v>
      </c>
      <c r="DZ27" s="4"/>
      <c r="EG27" s="45">
        <v>42.1</v>
      </c>
      <c r="FB27" s="4"/>
      <c r="FI27" s="45">
        <v>42.1</v>
      </c>
      <c r="GD27" s="4"/>
      <c r="GK27" s="45">
        <v>42.8</v>
      </c>
      <c r="HF27" s="4"/>
      <c r="HM27" s="45">
        <v>42.8</v>
      </c>
      <c r="IH27" s="4"/>
      <c r="IO27" s="45">
        <v>42.8</v>
      </c>
      <c r="JJ27" s="4"/>
      <c r="JQ27" s="45">
        <v>42.8</v>
      </c>
      <c r="KL27" s="4"/>
      <c r="KS27" s="45">
        <v>42.8</v>
      </c>
      <c r="LN27" s="4"/>
      <c r="LU27" s="45">
        <v>42.8</v>
      </c>
      <c r="MP27" s="4"/>
      <c r="MW27" s="45">
        <v>42.8</v>
      </c>
      <c r="NR27" s="4"/>
      <c r="NY27" s="45">
        <v>42.8</v>
      </c>
      <c r="OT27" s="4"/>
      <c r="PA27" s="45">
        <v>42.8</v>
      </c>
      <c r="PV27" s="4"/>
      <c r="QC27" s="45">
        <v>42.8</v>
      </c>
    </row>
    <row r="28" spans="1:474" ht="17" hidden="1" x14ac:dyDescent="0.2">
      <c r="A28" s="5"/>
      <c r="B28" s="5"/>
      <c r="C28" s="24" t="s">
        <v>42</v>
      </c>
      <c r="D28" s="20"/>
      <c r="G28" s="64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DZ28" s="4"/>
      <c r="EG28" s="46">
        <v>1000</v>
      </c>
      <c r="FB28" s="4"/>
      <c r="FI28" s="46">
        <v>1000</v>
      </c>
      <c r="GD28" s="4"/>
      <c r="GK28" s="46">
        <v>1000</v>
      </c>
      <c r="HF28" s="4"/>
      <c r="HM28" s="46">
        <v>1000</v>
      </c>
      <c r="IH28" s="4"/>
      <c r="IO28" s="46">
        <v>1000</v>
      </c>
      <c r="JJ28" s="4"/>
      <c r="JQ28" s="46">
        <v>1000</v>
      </c>
      <c r="KL28" s="4"/>
      <c r="KS28" s="46">
        <v>1000</v>
      </c>
      <c r="LN28" s="4"/>
      <c r="LU28" s="46">
        <v>1000</v>
      </c>
      <c r="MP28" s="4"/>
      <c r="MW28" s="46">
        <v>1000</v>
      </c>
      <c r="NR28" s="4"/>
      <c r="NY28" s="46">
        <v>1000</v>
      </c>
      <c r="OT28" s="4"/>
      <c r="PA28" s="46">
        <v>1000</v>
      </c>
      <c r="PV28" s="4"/>
      <c r="QC28" s="46">
        <v>1000</v>
      </c>
    </row>
    <row r="29" spans="1:474" ht="17" hidden="1" x14ac:dyDescent="0.2">
      <c r="A29" s="5"/>
      <c r="B29" s="5"/>
      <c r="C29" s="33" t="s">
        <v>54</v>
      </c>
      <c r="D29" s="20"/>
      <c r="G29" s="64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DZ29" s="4"/>
      <c r="EG29" s="47">
        <v>1000</v>
      </c>
      <c r="FB29" s="4"/>
      <c r="FI29" s="47">
        <v>1000</v>
      </c>
      <c r="GD29" s="4"/>
      <c r="GK29" s="47">
        <v>1000</v>
      </c>
      <c r="HF29" s="4"/>
      <c r="HM29" s="47">
        <v>1000</v>
      </c>
      <c r="IH29" s="4"/>
      <c r="IO29" s="47">
        <v>1000</v>
      </c>
      <c r="JJ29" s="4"/>
      <c r="JQ29" s="47">
        <v>1000</v>
      </c>
      <c r="KL29" s="4"/>
      <c r="KS29" s="47">
        <v>1000</v>
      </c>
      <c r="LN29" s="4"/>
      <c r="LU29" s="47">
        <v>1000</v>
      </c>
      <c r="MP29" s="4"/>
      <c r="MW29" s="47">
        <v>1000</v>
      </c>
      <c r="NR29" s="4"/>
      <c r="NY29" s="47">
        <v>1000</v>
      </c>
      <c r="OT29" s="4"/>
      <c r="PA29" s="47">
        <v>1000</v>
      </c>
      <c r="PV29" s="4"/>
      <c r="QC29" s="47">
        <v>1000</v>
      </c>
    </row>
    <row r="30" spans="1:474" ht="17" hidden="1" x14ac:dyDescent="0.2">
      <c r="A30" s="5"/>
      <c r="B30" s="5"/>
      <c r="C30" s="25" t="s">
        <v>27</v>
      </c>
      <c r="D30" s="20"/>
      <c r="G30" s="64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DZ30" s="4"/>
      <c r="EG30" s="48">
        <v>1000</v>
      </c>
      <c r="FB30" s="4"/>
      <c r="FI30" s="48">
        <v>1000</v>
      </c>
      <c r="GD30" s="4"/>
      <c r="GK30" s="48">
        <v>1000</v>
      </c>
      <c r="HF30" s="4"/>
      <c r="HM30" s="48">
        <v>1000</v>
      </c>
      <c r="IH30" s="4"/>
      <c r="IO30" s="48">
        <v>1000</v>
      </c>
      <c r="JJ30" s="4"/>
      <c r="JQ30" s="48">
        <v>1000</v>
      </c>
      <c r="KL30" s="4"/>
      <c r="KS30" s="48">
        <v>1000</v>
      </c>
      <c r="LN30" s="4"/>
      <c r="LU30" s="48">
        <v>1000</v>
      </c>
      <c r="MP30" s="4"/>
      <c r="MW30" s="48">
        <v>1000</v>
      </c>
      <c r="NR30" s="4"/>
      <c r="NY30" s="48">
        <v>1000</v>
      </c>
      <c r="OT30" s="4"/>
      <c r="PA30" s="48">
        <v>1000</v>
      </c>
      <c r="PV30" s="4"/>
      <c r="QC30" s="48">
        <v>1000</v>
      </c>
    </row>
    <row r="31" spans="1:474" x14ac:dyDescent="0.2">
      <c r="C31" s="29" t="s">
        <v>47</v>
      </c>
      <c r="D31" s="2"/>
      <c r="G31" s="64"/>
    </row>
    <row r="32" spans="1:474" x14ac:dyDescent="0.2">
      <c r="A32" s="5"/>
      <c r="B32" s="5"/>
      <c r="C32" s="5"/>
      <c r="D32" s="20"/>
      <c r="G32" s="64"/>
      <c r="QE32" s="2"/>
      <c r="QF32" s="2"/>
      <c r="QG32" s="2"/>
      <c r="QH32" s="2"/>
      <c r="QI32" s="2"/>
      <c r="QJ32" s="2"/>
      <c r="QK32" s="2"/>
      <c r="QL32" s="2"/>
      <c r="QM32" s="2"/>
    </row>
    <row r="33" spans="1:7" x14ac:dyDescent="0.2">
      <c r="A33" s="5"/>
      <c r="B33" s="5"/>
      <c r="C33" s="5"/>
      <c r="D33" s="20"/>
      <c r="G33" s="64"/>
    </row>
    <row r="34" spans="1:7" x14ac:dyDescent="0.2">
      <c r="A34" s="5"/>
      <c r="B34" s="5"/>
      <c r="C34" s="5"/>
      <c r="D34" s="20"/>
      <c r="G34" s="64"/>
    </row>
    <row r="35" spans="1:7" x14ac:dyDescent="0.2">
      <c r="A35" s="5"/>
      <c r="B35" s="5"/>
      <c r="C35" s="5"/>
      <c r="D35" s="5"/>
    </row>
    <row r="39" spans="1:7" x14ac:dyDescent="0.2">
      <c r="G39" s="64"/>
    </row>
    <row r="40" spans="1:7" x14ac:dyDescent="0.2">
      <c r="G40" s="64"/>
    </row>
  </sheetData>
  <sheetProtection sheet="1" formatCells="0" formatColumns="0" formatRows="0"/>
  <autoFilter ref="A1:RF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20">
      <sortCondition descending="1" ref="H1:H21"/>
    </sortState>
  </autoFilter>
  <mergeCells count="117">
    <mergeCell ref="A1:A3"/>
    <mergeCell ref="C1:C3"/>
    <mergeCell ref="D1:D3"/>
    <mergeCell ref="E1:E3"/>
    <mergeCell ref="F1:F3"/>
    <mergeCell ref="H1:H3"/>
    <mergeCell ref="O1:O3"/>
    <mergeCell ref="B1:B3"/>
    <mergeCell ref="G1:G3"/>
    <mergeCell ref="P1:P3"/>
    <mergeCell ref="Q1:Q3"/>
    <mergeCell ref="R1:R3"/>
    <mergeCell ref="I1:I3"/>
    <mergeCell ref="J1:J3"/>
    <mergeCell ref="K1:K3"/>
    <mergeCell ref="L1:L3"/>
    <mergeCell ref="M1:M3"/>
    <mergeCell ref="N1:N3"/>
    <mergeCell ref="FJ1:GK1"/>
    <mergeCell ref="GL1:HM1"/>
    <mergeCell ref="HN1:IO1"/>
    <mergeCell ref="IP1:JQ1"/>
    <mergeCell ref="S1:S3"/>
    <mergeCell ref="T1:T3"/>
    <mergeCell ref="U1:AW1"/>
    <mergeCell ref="AX1:BZ1"/>
    <mergeCell ref="CA1:DC1"/>
    <mergeCell ref="DD1:DE1"/>
    <mergeCell ref="BN2:BQ2"/>
    <mergeCell ref="CA2:CD2"/>
    <mergeCell ref="CE2:CH2"/>
    <mergeCell ref="CI2:CL2"/>
    <mergeCell ref="CM2:CP2"/>
    <mergeCell ref="CQ2:CT2"/>
    <mergeCell ref="DF2:DI2"/>
    <mergeCell ref="DJ2:DM2"/>
    <mergeCell ref="DN2:DQ2"/>
    <mergeCell ref="DR2:DU2"/>
    <mergeCell ref="DV2:DY2"/>
    <mergeCell ref="EH2:EK2"/>
    <mergeCell ref="EL2:EO2"/>
    <mergeCell ref="EP2:ES2"/>
    <mergeCell ref="QD1:RF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R1:KS1"/>
    <mergeCell ref="KT1:LU1"/>
    <mergeCell ref="LV1:MW1"/>
    <mergeCell ref="MX1:NY1"/>
    <mergeCell ref="NZ1:PA1"/>
    <mergeCell ref="PB1:QC1"/>
    <mergeCell ref="DF1:EG1"/>
    <mergeCell ref="EH1:FI1"/>
    <mergeCell ref="FJ2:FM2"/>
    <mergeCell ref="FN2:FQ2"/>
    <mergeCell ref="FR2:FU2"/>
    <mergeCell ref="FV2:FY2"/>
    <mergeCell ref="FZ2:GC2"/>
    <mergeCell ref="GL2:GO2"/>
    <mergeCell ref="ET2:EW2"/>
    <mergeCell ref="EX2:FA2"/>
    <mergeCell ref="HV2:HY2"/>
    <mergeCell ref="HZ2:IC2"/>
    <mergeCell ref="ID2:IG2"/>
    <mergeCell ref="IP2:IS2"/>
    <mergeCell ref="IT2:IW2"/>
    <mergeCell ref="IX2:JA2"/>
    <mergeCell ref="GP2:GS2"/>
    <mergeCell ref="GT2:GW2"/>
    <mergeCell ref="GX2:HA2"/>
    <mergeCell ref="HB2:HE2"/>
    <mergeCell ref="HN2:HQ2"/>
    <mergeCell ref="HR2:HU2"/>
    <mergeCell ref="KH2:KK2"/>
    <mergeCell ref="KT2:KW2"/>
    <mergeCell ref="KX2:LA2"/>
    <mergeCell ref="LB2:LE2"/>
    <mergeCell ref="LF2:LI2"/>
    <mergeCell ref="LJ2:LM2"/>
    <mergeCell ref="JB2:JE2"/>
    <mergeCell ref="JF2:JI2"/>
    <mergeCell ref="JR2:JU2"/>
    <mergeCell ref="JV2:JY2"/>
    <mergeCell ref="JZ2:KC2"/>
    <mergeCell ref="KD2:KG2"/>
    <mergeCell ref="NB2:NE2"/>
    <mergeCell ref="NF2:NI2"/>
    <mergeCell ref="NJ2:NM2"/>
    <mergeCell ref="NN2:NQ2"/>
    <mergeCell ref="NZ2:OC2"/>
    <mergeCell ref="OD2:OG2"/>
    <mergeCell ref="LV2:LY2"/>
    <mergeCell ref="LZ2:MC2"/>
    <mergeCell ref="MD2:MG2"/>
    <mergeCell ref="MH2:MK2"/>
    <mergeCell ref="ML2:MO2"/>
    <mergeCell ref="MX2:NA2"/>
    <mergeCell ref="QT2:QW2"/>
    <mergeCell ref="PN2:PQ2"/>
    <mergeCell ref="PR2:PU2"/>
    <mergeCell ref="QD2:QG2"/>
    <mergeCell ref="QH2:QK2"/>
    <mergeCell ref="QL2:QO2"/>
    <mergeCell ref="QP2:QS2"/>
    <mergeCell ref="OH2:OK2"/>
    <mergeCell ref="OL2:OO2"/>
    <mergeCell ref="OP2:OS2"/>
    <mergeCell ref="PB2:PE2"/>
    <mergeCell ref="PF2:PI2"/>
    <mergeCell ref="PJ2:PM2"/>
  </mergeCells>
  <conditionalFormatting sqref="U4:AW20">
    <cfRule type="expression" dxfId="89" priority="31" stopIfTrue="1">
      <formula>IF($AO4&lt;&gt;"",1,0)</formula>
    </cfRule>
  </conditionalFormatting>
  <conditionalFormatting sqref="AX4:BZ20">
    <cfRule type="expression" dxfId="88" priority="30" stopIfTrue="1">
      <formula>IF($BR4&lt;&gt;"",1,0)</formula>
    </cfRule>
  </conditionalFormatting>
  <conditionalFormatting sqref="M1:M1048576 Q1:Q1048576 O1:O1048576">
    <cfRule type="expression" dxfId="87" priority="27">
      <formula>IF(M1=$CA$1,1,0)</formula>
    </cfRule>
    <cfRule type="expression" dxfId="86" priority="28">
      <formula>IF(M1=$AX$1,1,0)</formula>
    </cfRule>
    <cfRule type="expression" dxfId="85" priority="29">
      <formula>IF(M1=$U$1,1,0)</formula>
    </cfRule>
  </conditionalFormatting>
  <conditionalFormatting sqref="CA4:DC20">
    <cfRule type="expression" dxfId="84" priority="3" stopIfTrue="1">
      <formula>IF($CU4&lt;&gt;"",1,0)</formula>
    </cfRule>
  </conditionalFormatting>
  <conditionalFormatting sqref="A4:B1048576">
    <cfRule type="expression" dxfId="83" priority="1">
      <formula>AND($I4="P",$H4="")</formula>
    </cfRule>
    <cfRule type="expression" dxfId="82" priority="25">
      <formula>IF(A4&gt;4,1,0)</formula>
    </cfRule>
  </conditionalFormatting>
  <conditionalFormatting sqref="J1:J1048576">
    <cfRule type="containsText" dxfId="81" priority="20" operator="containsText" text="No DD">
      <formula>NOT(ISERROR(SEARCH("No DD",J1)))</formula>
    </cfRule>
    <cfRule type="containsText" dxfId="80" priority="21" operator="containsText" text="Merit">
      <formula>NOT(ISERROR(SEARCH("Merit",J1)))</formula>
    </cfRule>
    <cfRule type="containsText" dxfId="79" priority="22" operator="containsText" text="Excellence">
      <formula>NOT(ISERROR(SEARCH("Excellence",J1)))</formula>
    </cfRule>
    <cfRule type="containsText" dxfId="78" priority="23" operator="containsText" text="Worlds Team">
      <formula>NOT(ISERROR(SEARCH("Worlds Team",J1)))</formula>
    </cfRule>
    <cfRule type="containsText" dxfId="77" priority="24" operator="containsText" text="National Team">
      <formula>NOT(ISERROR(SEARCH("National Team",J1)))</formula>
    </cfRule>
  </conditionalFormatting>
  <conditionalFormatting sqref="AT31:AT1048576 BW31:BW1048576 ED31:ED1048576 BW1:BW29 CZ1:CZ1048576 ED1:ED29 FF1:FF1048576 GH1:GH1048576 HJ1:HJ1048576 IL1:IL1048576 KP1:KP1048576 LR1:LR1048576 MT1:MT1048576 NV1:NV1048576 OX1:OX1048576 PZ1:PZ1048576 AT1:AT29 JN1:JN1048576">
    <cfRule type="cellIs" dxfId="76" priority="17" operator="between">
      <formula>AW$30</formula>
      <formula>1000</formula>
    </cfRule>
    <cfRule type="cellIs" dxfId="75" priority="18" operator="between">
      <formula>AW$29</formula>
      <formula>AW$30</formula>
    </cfRule>
    <cfRule type="cellIs" dxfId="74" priority="19" operator="between">
      <formula>AW$28</formula>
      <formula>AW$29</formula>
    </cfRule>
  </conditionalFormatting>
  <conditionalFormatting sqref="A1:B3">
    <cfRule type="expression" dxfId="73" priority="2">
      <formula>AND(I1&lt;&gt;"",H1="")</formula>
    </cfRule>
  </conditionalFormatting>
  <conditionalFormatting sqref="PV1:PV1048576 AP1:AP1048576 BS1:BS1048576 CV1:CV1048576 DZ1:DZ1048576 FB1:FB1048576 GD1:GD1048576 HF1:HF1048576 IH1:IH1048576 KL1:KL1048576 LN1:LN1048576 MP1:MP1048576 NR1:NR1048576 OT1:OT1048576 JJ1:JJ1048576">
    <cfRule type="cellIs" dxfId="72" priority="197425" operator="between">
      <formula>AW$23</formula>
      <formula>1000</formula>
    </cfRule>
  </conditionalFormatting>
  <conditionalFormatting sqref="PW1:PW1048576 AQ1:AQ1048576 BT1:BT1048576 CW1:CW1048576 EA1:EA1048576 FC1:FC1048576 GE1:GE1048576 HG1:HG1048576 II1:II1048576 KM1:KM1048576 LO1:LO1048576 MQ1:MQ1048576 NS1:NS1048576 OU1:OU1048576 JK1:JK1048576">
    <cfRule type="cellIs" dxfId="71" priority="197470" operator="between">
      <formula>AW$27</formula>
      <formula>1000</formula>
    </cfRule>
  </conditionalFormatting>
  <conditionalFormatting sqref="AU1:AU1048576 BX1:BX1048576 DA1:DA1048576 EE1:EE1048576 FG1:FG1048576 GI1:GI1048576 HK1:HK1048576 IM1:IM1048576 KQ1:KQ1048576 LS1:LS1048576 MU1:MU1048576 NW1:NW1048576 OY1:OY1048576 QA1:QA1048576 JO1:JO1048576">
    <cfRule type="cellIs" dxfId="70" priority="197515" operator="between">
      <formula>AW$23</formula>
      <formula>AW$24</formula>
    </cfRule>
    <cfRule type="cellIs" dxfId="69" priority="197516" operator="between">
      <formula>AW$24</formula>
      <formula>AW$25</formula>
    </cfRule>
    <cfRule type="cellIs" dxfId="68" priority="197517" operator="between">
      <formula>AW$25</formula>
      <formula>AW$26</formula>
    </cfRule>
    <cfRule type="cellIs" dxfId="67" priority="197518" operator="between">
      <formula>AW$26</formula>
      <formula>1000</formula>
    </cfRule>
  </conditionalFormatting>
  <conditionalFormatting sqref="AV1:AV1048576 BY1:BY1048576 DB1:DB1048576 EF1:EF1048576 FH1:FH1048576 GJ1:GJ1048576 HL1:HL1048576 IN1:IN1048576 KR1:KR1048576 LT1:LT1048576 MV1:MV1048576 NX1:NX1048576 OZ1:OZ1048576 QB1:QB1048576 JP1:JP1048576">
    <cfRule type="cellIs" dxfId="66" priority="197695" operator="between">
      <formula>AW$27</formula>
      <formula>AW$28</formula>
    </cfRule>
    <cfRule type="cellIs" dxfId="65" priority="197696" operator="between">
      <formula>AW$28</formula>
      <formula>AW$29</formula>
    </cfRule>
    <cfRule type="cellIs" dxfId="64" priority="197697" operator="between">
      <formula>AW$29</formula>
      <formula>AW$30</formula>
    </cfRule>
    <cfRule type="cellIs" dxfId="63" priority="197698" operator="between">
      <formula>AW$30</formula>
      <formula>1000</formula>
    </cfRule>
  </conditionalFormatting>
  <conditionalFormatting sqref="AS1:AS1048576 BV1:BV1048576 CY1:CY1048576 FE1:FE1048576 GG1:GG1048576 HI1:HI1048576 IK1:IK1048576 KO1:KO1048576 LQ1:LQ1048576 MS1:MS1048576 NU1:NU1048576 OW1:OW1048576 PY1:PY1048576 EC1:EC1048576 JM1:JM1048576">
    <cfRule type="cellIs" dxfId="62" priority="197875" operator="between">
      <formula>AW$26</formula>
      <formula>1000</formula>
    </cfRule>
    <cfRule type="cellIs" dxfId="61" priority="197876" operator="between">
      <formula>AW$25</formula>
      <formula>AW$26</formula>
    </cfRule>
    <cfRule type="cellIs" dxfId="60" priority="197877" operator="between">
      <formula>AW$24</formula>
      <formula>AW$25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F56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customWidth="1"/>
    <col min="194" max="213" width="10.83203125" hidden="1" customWidth="1"/>
    <col min="214" max="221" width="10.83203125" style="36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186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203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183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184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 t="s">
        <v>200</v>
      </c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 t="s">
        <v>201</v>
      </c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DD"),SUMPRODUCT((J$4:J$42&lt;&gt;"")*(J$4:J$42&lt;&gt;"No DD")*(F$4:F$42&gt;F4))+1,IF(J4="No DD",SUMPRODUCT((J$4:J$42="No DD")*(F$4:F$42&gt;F4))+1+SUMPRODUCT((J$4:J$42&lt;&gt;"")*(J$4:J$42&lt;&gt;"No DD")),""))</f>
        <v>1</v>
      </c>
      <c r="B4" s="4" t="str" cm="1">
        <f t="array" ref="B4">IF(AND(J4&lt;&gt;"",J4&lt;&gt;"No DD",G4=""),SUMPRODUCT((J$4:J$42&lt;&gt;"")*(J$4:J$42&lt;&gt;"No DD")*(G$4:G$42="")*(F$4:F$42&gt;F4))+1,IF(J4="No DD",SUMPRODUCT((J$4:J$42="No DD")*(F$4:F$42&gt;F4)*(G$4:G$42=""))+1+SUMPRODUCT((J$4:J$42&lt;&gt;"")*(G$4:G$42="")*(J$4:J$42&lt;&gt;"No DD")),""))</f>
        <v/>
      </c>
      <c r="C4" s="5" t="s">
        <v>206</v>
      </c>
      <c r="D4" s="4" t="s">
        <v>4</v>
      </c>
      <c r="E4" s="4">
        <v>2008</v>
      </c>
      <c r="F4" s="9">
        <f t="shared" ref="F4:F41" si="0">SUM(L4:R4)+SUM(L4:O4)*0.0000001+SUM(L4)*0.0000000000001</f>
        <v>160.70001081000541</v>
      </c>
      <c r="G4" s="65" t="s">
        <v>46</v>
      </c>
      <c r="H4" s="3" t="str">
        <f t="shared" ref="H4:H41" si="1">IF(OR(AND(AP4&gt;=AW$44,AQ4&gt;=AW$48,AP4&lt;&gt;"",AO4=""),AND(AU4&gt;=AW$44,AV4&gt;=AW$48,AU4&lt;&gt;"",AO4=""),AND(BS4&gt;=BZ$44,BT4&gt;=BZ$48,BS4&lt;&gt;"",BR4=""),AND(BX4&gt;=BZ$44,BY4&gt;=BZ$48,BX4&lt;&gt;"",BR4=""),AND(CV4&gt;=DC$44,CW4&gt;=DC$48,CV4&lt;&gt;"",CU4=""),AND(DA4&gt;=DC$44,DB4&gt;=DC$48,DA4&lt;&gt;""),AND(DZ4&gt;=EG$44,EA4&gt;=EG$48,DZ4&lt;&gt;""),AND(EE4&gt;=EG$44,EF4&gt;=EG$48,EE4&lt;&gt;""),AND(FB4&gt;=FI$44,FC4&gt;=FI$48,FB4&lt;&gt;""),AND(FG4&gt;=FI$44,FH4&gt;=FI$48,FG4&lt;&gt;""),AND(GD4&gt;=GK$44,GE4&gt;=GK$48,GD4&lt;&gt;""),AND(GI4&gt;=GK$44,GJ4&gt;=GK$48,GI4&lt;&gt;""),AND(HF4&gt;=HM$44,HG4&gt;=HM$48,HF4&lt;&gt;""),AND(HK4&gt;=HM$44,HL4&gt;=HM$48,HK4&lt;&gt;""),AND(IH4&gt;=IO$44,II4&gt;=IO$48,IH4&lt;&gt;""),AND(IM4&gt;=IO$44,IN4&gt;=IO$48,IM4&lt;&gt;""),AND(JJ4&gt;=JQ$44,JK4&gt;=JQ$48,JJ4&lt;&gt;""),AND(JO4&gt;=JQ$44,JP4&gt;=JQ$48,JO4&lt;&gt;""),AND(KL4&gt;=KS$44,KM4&gt;=KS$48,KL4&lt;&gt;""),AND(KQ4&gt;=KS$44,KR4&gt;=KS$48,KQ4&lt;&gt;""),AND(LN4&gt;=LU$44,LO4&gt;=LU$48,LN4&lt;&gt;""),AND(LS4&gt;=LU$44,LT4&gt;=LU$48,LS4&lt;&gt;""),AND(MP4&gt;=MW$44,MQ4&gt;=MW$48,MP4&lt;&gt;""),AND(MU4&gt;=MW$44,MV4&gt;=MW$48,MU4&lt;&gt;""),AND(NR4&gt;=NY$44,NS4&gt;=NY$48,NR4&lt;&gt;""),AND(NW4&gt;=NY$44,NX4&gt;=NY$48,NW4&lt;&gt;""),AND(OT4&gt;=PA$44,OU4&gt;=PA$48,OT4&lt;&gt;""),AND(OY4&gt;=PA$44,OZ4&gt;=PA$48,OY4&lt;&gt;""),AND(PV4&gt;=QC$44,PW4&gt;=QC$48,PV4&lt;&gt;""),AND(QA4&gt;=QC$44,QB4&gt;=QC$48,QA4&lt;&gt;"")),"P","")</f>
        <v>P</v>
      </c>
      <c r="I4" s="3" t="str">
        <f t="shared" ref="I4:I41" si="2">IF(OR(AND(AQ4&gt;=AW$48,AQ4&lt;&gt;"",AO4=""),AND(AV4&gt;=AW$48,AV4&lt;&gt;"",AO4=""),AND(BT4&gt;=BZ$48,BT4&lt;&gt;"",BR4=""),AND(BY4&gt;=BZ$48,BY4&lt;&gt;"",BR4=""),AND(CW4&gt;=DC$48,CW4&lt;&gt;"",CU4=""),AND(DB4&gt;=DC$48,DB4&lt;&gt;"",CU4=""),AND(EA4&gt;=EG$48,EA4&lt;&gt;""),AND(EF4&gt;=EG$48,EF4&lt;&gt;""),AND(FC4&gt;=FI$48,FC4&lt;&gt;""),AND(FH4&gt;=FI$48,FH4&lt;&gt;""),AND(GE4&gt;=GK$48,GE4&lt;&gt;""),AND(GJ4&gt;=GK$48,GJ4&lt;&gt;""),AND(HG4&gt;=HM$48,HG4&lt;&gt;""),AND(HL4&gt;=HM$48,HL4&lt;&gt;""),AND(II4&gt;=IO$48,II4&lt;&gt;""),AND(IN4&gt;=IO$48,IN4&lt;&gt;""),AND(JK4&gt;=JQ$48,JK4&lt;&gt;""),AND(JP4&gt;=JQ$48,JP4&lt;&gt;""),AND(KM4&gt;=KS$48,KM4&lt;&gt;""),AND(KR4&gt;=KS$48,KR4&lt;&gt;""),AND(LO4&gt;=LU$48,LO4&lt;&gt;""),AND(LT4&gt;=LU$48,LT4&lt;&gt;""),AND(MQ4&gt;=MW$48,MQ4&lt;&gt;""),AND(MV4&gt;=MW$48,MV4&lt;&gt;""),AND(NS4&gt;=NY$48,NS4&lt;&gt;""),AND(NX4&gt;=NY$48,NX4&lt;&gt;""),AND(OU4&gt;=PA$48,OU4&lt;&gt;""),AND(OZ4&gt;=PA$48,OZ4&lt;&gt;""),AND(PW4&gt;=QC$48,PW4&lt;&gt;""),AND(QB4&gt;=QC$48,QB4&lt;&gt;"")),"P","")</f>
        <v>P</v>
      </c>
      <c r="J4" s="36" t="str">
        <f t="shared" ref="J4:J41" si="3">IF(AND(I4="P",H4=""),"No DD",IF(OR(AND(AS4&gt;=AW$47,AT4&gt;=AW$51,AS4&lt;&gt;"",AO4=""),AND(BV4&gt;=BZ$47,BW4&gt;=BZ$51,BV4&lt;&gt;"",BR4=""),AND(CY4&gt;=DC$47,CZ4&gt;=DC$51,CY4&lt;&gt;"",CU4=""),AND(EC4&gt;=EG$47,ED4&gt;=EG$51,EC4&lt;&gt;""),AND(FE4&gt;=FI$47,FF4&gt;=FI$51,FE4&lt;&gt;""),AND(GG4&gt;=GK$47,GH4&gt;=GK$51,GG4&lt;&gt;""),AND(HI4&gt;=HM$47,HJ4&gt;=HM$51,HI4&lt;&gt;""),AND(IK4&gt;=IO$47,IL4&gt;=IO$51,IK4&lt;&gt;""),AND(JM4&gt;=JQ$47,JN4&gt;=JQ$51,JM4&lt;&gt;""),AND(KO4&gt;=KS$47,KP4&gt;=KS$51,KO4&lt;&gt;""),AND(LQ4&gt;=LU$47,LR4&gt;=LU$51,LQ4&lt;&gt;""),AND(MS4&gt;=MW$47,MT4&gt;=MW$51,MS4&lt;&gt;""),AND(NU4&gt;=NY$47,NV4&gt;=NY$51,NU4&lt;&gt;""),AND(OW4&gt;=PA$47,OX4&gt;=PA$51,OW4&lt;&gt;""),AND(PY4&gt;=QC$47,PZ4&gt;=QC$51,PY4&lt;&gt;"")),"Merit",IF(OR(AND(AS4&gt;=AW$46,AT4&gt;=AW$50,AS4&lt;&gt;"",AO4=""),AND(BV4&gt;=BZ$46,BW4&gt;=BZ$50,BV4&lt;&gt;"",BR4=""),AND(CY4&gt;=DC$46,CZ4&gt;=DC$50,CY4&lt;&gt;"",CU4=""),AND(EC4&gt;=EG$46,ED4&gt;=EG$50,EC4&lt;&gt;""),AND(FE4&gt;=FI$46,FF4&gt;=FI$50,FE4&lt;&gt;""),AND(GG4&gt;=GK$46,GH4&gt;=GK$50,GG4&lt;&gt;""),AND(HI4&gt;=HM$46,HJ4&gt;=HM$50,HI4&lt;&gt;""),AND(IK4&gt;=IO$46,IL4&gt;=IO$50,IK4&lt;&gt;""),AND(JM4&gt;=JQ$46,JN4&gt;=JQ$50,JM4&lt;&gt;""),AND(KO4&gt;=KS$46,KP4&gt;=KS$50,KO4&lt;&gt;""),AND(LQ4&gt;=LU$46,LR4&gt;=LU$50,LQ4&lt;&gt;""),AND(MS4&gt;=MW$46,MT4&gt;=MW$50,MS4&lt;&gt;""),AND(NU4&gt;=NY$46,NV4&gt;=NY$50,NU4&lt;&gt;""),AND(OW4&gt;=PA$46,OX4&gt;=PA$50,OW4&lt;&gt;""),AND(PY4&gt;=QC$46,PZ4&gt;=QC$50,PY4&lt;&gt;"")),"Excellence",IF(K4="P","Worlds Team",IF(H4="P","National Team","")))))</f>
        <v>National Team</v>
      </c>
      <c r="K4" s="3" t="str">
        <f t="shared" ref="K4:K41" si="4">IF(OR(AND(AS4&gt;=AW$45,AT4&gt;=AW$49,AS4&lt;&gt;"",AO4=""),AND(BV4&gt;=BZ$45,BW4&gt;=BZ$49,BV4&lt;&gt;"",BR4=""),AND(CY4&gt;=DC$45,CZ4&gt;=DC$49,CY4&lt;&gt;"",CU4=""),AND(EC4&gt;=EG$45,ED4&gt;=EG$49,EC4&lt;&gt;""),AND(FE4&gt;=FI$45,FF4&gt;=FI$49,FE4&lt;&gt;""),AND(GG4&gt;=GK$45,GH4&gt;=GK$49,GG4&lt;&gt;""),AND(HI4&gt;=HM$45,HJ4&gt;=HM$49,HI4&lt;&gt;""),AND(IK4&gt;=IO$45,IL4&gt;=IO$49,IK4&lt;&gt;""),AND(JM4&gt;=JQ$45,JN4&gt;=JQ$49,JM4&lt;&gt;""),AND(KO4&gt;=KS$45,KP4&gt;=KS$49,KO4&lt;&gt;""),AND(LQ4&gt;=LU$45,LR4&gt;=LU$49,LQ4&lt;&gt;""),AND(MS4&gt;=MW$45,MT4&gt;=MW$49,MS4&lt;&gt;""),AND(NU4&gt;=NY$45,NV4&gt;=NY$49,NU4&lt;&gt;""),AND(OW4&gt;=PA$45,OX4&gt;=PA$49,OW4&lt;&gt;""),AND(PY4&gt;=QC$45,PZ4&gt;=QC$49,PY4&lt;&gt;"")),"P","")</f>
        <v/>
      </c>
      <c r="L4" s="8">
        <f>IF(COUNT(AQ4,BT4,CW4)&gt;0,LARGE((AQ4,BT4,CW4),1),0)</f>
        <v>54.199999999999996</v>
      </c>
      <c r="M4" s="8" t="str">
        <f t="shared" ref="M4:M41" si="5">IF(L4=0,"",IF(L4=CW4,$CA$1,IF(L4=BT4,$AX$1,IF(L4=AQ4,$U$1,""))))</f>
        <v>2025 Elite Canada</v>
      </c>
      <c r="N4" s="8">
        <f>IF(COUNT(AQ4,BT4,CW4)&gt;1,LARGE((AQ4,BT4,CW4),2),0)</f>
        <v>53.9</v>
      </c>
      <c r="O4" s="8" t="str">
        <f t="shared" ref="O4:O41" si="6">IF(N4=0,"",IF(AND(N4=L4,N4=AQ4,N4=BT4),$U$1,IF(AND(N4=L4,N4=AQ4,N4=CW4),$U$1,IF(AND(N4=L4,N4=BT4,N4=CW4),$AX$1,IF(N4=CW4,$CA$1,IF(N4=BT4,$AX$1,IF(N4=AQ4,$U$1,"")))))))</f>
        <v>2024 Nationals</v>
      </c>
      <c r="P4" s="8">
        <f t="shared" ref="P4:P41" si="7">IF(MAX(AV4,BY4,DB4)&gt;0,MAX(AV4,BY4,DB4),0)</f>
        <v>52.499999999999993</v>
      </c>
      <c r="Q4" s="8" t="str">
        <f t="shared" ref="Q4:Q41" si="8">IF(P4=0,"",IF(P4=DB4,$CA$1,IF(P4=BY4,$AX$1,IF(P4=AV4,$U$1,""))))</f>
        <v>2025 Elite Canada</v>
      </c>
      <c r="R4" s="8">
        <f t="shared" ref="R4:R41" si="9">IF(MAX(DD4:DE4)&gt;0,MAX(DD4:DE4),"")</f>
        <v>0.10000000000000853</v>
      </c>
      <c r="S4" s="11" t="str">
        <f>IF(R4="","",IF(R4=DD4,"("&amp;DD$2&amp;")",IF(R4=DE4,"("&amp;DE$2&amp;")")))</f>
        <v>(Final)</v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>2024 Coimbra Gym Fest (July 7)</v>
      </c>
      <c r="U4" s="19">
        <v>18.8</v>
      </c>
      <c r="V4" s="19">
        <v>8</v>
      </c>
      <c r="W4" s="19">
        <v>0</v>
      </c>
      <c r="X4" s="19">
        <v>0</v>
      </c>
      <c r="Y4" s="19">
        <v>18.899999999999999</v>
      </c>
      <c r="Z4" s="19">
        <v>8.4</v>
      </c>
      <c r="AA4" s="19">
        <v>0.2</v>
      </c>
      <c r="AB4" s="19">
        <v>0</v>
      </c>
      <c r="AC4" s="19">
        <v>18</v>
      </c>
      <c r="AD4" s="19">
        <v>8.1</v>
      </c>
      <c r="AE4" s="19">
        <v>0.8</v>
      </c>
      <c r="AF4" s="19">
        <v>0</v>
      </c>
      <c r="AG4" s="19">
        <v>18.2</v>
      </c>
      <c r="AH4" s="19">
        <v>7.3</v>
      </c>
      <c r="AI4" s="19">
        <v>0.2</v>
      </c>
      <c r="AJ4" s="19">
        <v>0</v>
      </c>
      <c r="AK4" s="19">
        <v>18.8</v>
      </c>
      <c r="AL4" s="19">
        <v>8.4</v>
      </c>
      <c r="AM4" s="19">
        <v>0</v>
      </c>
      <c r="AN4" s="19">
        <v>0</v>
      </c>
      <c r="AO4" s="27"/>
      <c r="AP4" s="40">
        <f t="shared" ref="AP4:AP41" si="10">IF(SUM(V4,Z4)&gt;0,SUM(V4,Z4),"")</f>
        <v>16.399999999999999</v>
      </c>
      <c r="AQ4" s="40">
        <f t="shared" ref="AQ4:AQ41" si="11">IF(SUM(U4:V4,X4:Z4,AB4)-W4-AA4&gt;0,SUM(U4:V4,X4:Z4,AB4)-W4-AA4,"")</f>
        <v>53.9</v>
      </c>
      <c r="AR4" s="40">
        <f t="shared" ref="AR4:AR41" si="12">IF(SUM(AC4:AD4,AF4)-AE4&gt;0,SUM(AC4:AD4,AF4)-AE4,"")</f>
        <v>25.3</v>
      </c>
      <c r="AS4" s="40">
        <f t="shared" ref="AS4:AS41" si="13">IF(SUM(V4,Z4,AD4)&gt;0,SUM(V4,Z4,AD4),"")</f>
        <v>24.5</v>
      </c>
      <c r="AT4" s="40">
        <f t="shared" ref="AT4:AT41" si="14">IF(SUM(AQ4,AR4)&gt;0,SUM(AQ4,AR4),"")</f>
        <v>79.2</v>
      </c>
      <c r="AU4" s="40">
        <f t="shared" ref="AU4:AU41" si="15">IF(SUM(AH4,AL4)&gt;0,SUM(AH4,AL4),"")</f>
        <v>15.7</v>
      </c>
      <c r="AV4" s="40">
        <f t="shared" ref="AV4:AV41" si="16">IF(SUM(AG4:AH4,AJ4:AL4,AN4)-SUM(AI4,AM4)&gt;0,SUM(AG4:AH4,AJ4:AL4,AN4)-SUM(AI4,AM4),"")</f>
        <v>52.499999999999993</v>
      </c>
      <c r="AW4" s="40">
        <f t="shared" ref="AW4:AW41" si="17">IF(SUM(AQ4,AR4,AV4)&gt;0,SUM(AQ4,AR4,AV4),"")</f>
        <v>131.69999999999999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8"/>
      <c r="BS4" s="11" t="str">
        <f t="shared" ref="BS4:BS41" si="18">IF(SUM(AY4,BC4)&gt;0,SUM(AY4,BC4),"")</f>
        <v/>
      </c>
      <c r="BT4" s="11" t="str">
        <f t="shared" ref="BT4:BT41" si="19">IF(SUM(AX4:AY4,BA4:BC4,BE4)-AZ4-BD4&gt;0,SUM(AX4:AY4,BA4:BC4,BE4)-AZ4-BD4,"")</f>
        <v/>
      </c>
      <c r="BU4" s="11" t="str">
        <f t="shared" ref="BU4:BU41" si="20">IF(SUM(BF4:BG4,BI4)-BH4&gt;0,SUM(BF4:BG4,BI4)-BH4,"")</f>
        <v/>
      </c>
      <c r="BV4" s="11" t="str">
        <f t="shared" ref="BV4:BV41" si="21">IF(SUM(AY4,BC4,BG4)&gt;0,SUM(AY4,BC4,BG4),"")</f>
        <v/>
      </c>
      <c r="BW4" s="11" t="str">
        <f t="shared" ref="BW4:BW41" si="22">IF(SUM(BT4,BU4)&gt;0,SUM(BT4,BU4),"")</f>
        <v/>
      </c>
      <c r="BX4" s="11" t="str">
        <f t="shared" ref="BX4:BX41" si="23">IF(SUM(BK4,BO4)&gt;0,SUM(BK4,BO4),"")</f>
        <v/>
      </c>
      <c r="BY4" s="11" t="str">
        <f t="shared" ref="BY4:BY41" si="24">IF(SUM(BJ4:BK4,BM4:BO4,BQ4)-SUM(BL4,BP4)&gt;0,SUM(BJ4:BK4,BM4:BO4,BQ4)-SUM(BL4,BP4),"")</f>
        <v/>
      </c>
      <c r="BZ4" s="11" t="str">
        <f t="shared" ref="BZ4:BZ41" si="25">IF(SUM(BT4,BU4,BY4)&gt;0,SUM(BT4,BU4,BY4),"")</f>
        <v/>
      </c>
      <c r="CA4" s="19">
        <v>19</v>
      </c>
      <c r="CB4" s="19">
        <v>8.4</v>
      </c>
      <c r="CC4" s="19">
        <v>0</v>
      </c>
      <c r="CD4" s="19">
        <v>0</v>
      </c>
      <c r="CE4" s="19">
        <v>18.600000000000001</v>
      </c>
      <c r="CF4" s="19">
        <v>8.1</v>
      </c>
      <c r="CG4" s="19">
        <v>0.2</v>
      </c>
      <c r="CH4" s="19">
        <v>0.3</v>
      </c>
      <c r="CI4" s="19"/>
      <c r="CJ4" s="19"/>
      <c r="CK4" s="19"/>
      <c r="CL4" s="19"/>
      <c r="CM4" s="19">
        <v>19</v>
      </c>
      <c r="CN4" s="19">
        <v>8.4</v>
      </c>
      <c r="CO4" s="19">
        <v>0.6</v>
      </c>
      <c r="CP4" s="19">
        <v>0</v>
      </c>
      <c r="CQ4" s="19">
        <v>18.399999999999999</v>
      </c>
      <c r="CR4" s="19">
        <v>7.3</v>
      </c>
      <c r="CS4" s="19">
        <v>0</v>
      </c>
      <c r="CT4" s="19">
        <v>0</v>
      </c>
      <c r="CU4" s="27"/>
      <c r="CV4" s="40">
        <f t="shared" ref="CV4:CV41" si="26">IF(SUM(CB4,CF4)&gt;0,SUM(CB4,CF4),"")</f>
        <v>16.5</v>
      </c>
      <c r="CW4" s="40">
        <f t="shared" ref="CW4:CW41" si="27">IF(SUM(CA4:CB4,CD4:CF4,CH4)-CC4-CG4&gt;0,SUM(CA4:CB4,CD4:CF4,CH4)-CC4-CG4,"")</f>
        <v>54.199999999999996</v>
      </c>
      <c r="CX4" s="40" t="str">
        <f t="shared" ref="CX4:CX41" si="28">IF(SUM(CI4:CJ4,CL4)-CK4&gt;0,SUM(CI4:CJ4,CL4)-CK4,"")</f>
        <v/>
      </c>
      <c r="CY4" s="40">
        <f t="shared" ref="CY4:CY41" si="29">IF(SUM(CB4,CF4,CJ4)&gt;0,SUM(CB4,CF4,CJ4),"")</f>
        <v>16.5</v>
      </c>
      <c r="CZ4" s="40">
        <f t="shared" ref="CZ4:CZ41" si="30">IF(SUM(CW4,CX4)&gt;0,SUM(CW4,CX4),"")</f>
        <v>54.199999999999996</v>
      </c>
      <c r="DA4" s="40">
        <f t="shared" ref="DA4:DA41" si="31">IF(SUM(CN4,CR4)&gt;0,SUM(CN4,CR4),"")</f>
        <v>15.7</v>
      </c>
      <c r="DB4" s="40">
        <f t="shared" ref="DB4:DB41" si="32">IF(SUM(CM4:CN4,CP4:CR4,CT4)-SUM(CO4,CS4)&gt;0,SUM(CM4:CN4,CP4:CR4,CT4)-SUM(CO4,CS4),"")</f>
        <v>52.499999999999993</v>
      </c>
      <c r="DC4" s="40">
        <f t="shared" ref="DC4:DC41" si="33">IF(SUM(CW4,CX4,DB4)&gt;0,SUM(CW4,CX4,DB4),"")</f>
        <v>106.69999999999999</v>
      </c>
      <c r="DD4" s="50" t="str">
        <f t="shared" ref="DD4:DD41" si="34">IF(MAX(EA4,FC4,GE4,HG4,II4,JK4,KM4,LO4,MQ4,NS4,OU4,PW4)-IF(N4="",0,N4)&gt;0.001,MAX(EA4,FC4,GE4,HG4,II4,JK4,KM4,LO4,MQ4,NS4,OU4,PW4)-IF(N4="",0,N4),"")</f>
        <v/>
      </c>
      <c r="DE4" s="50">
        <f t="shared" ref="DE4:DE41" si="35">IF(MAX(EF4,FH4,GJ4,HL4,IN4,JP4,KR4,LT4,MV4,NX4,OZ4,QB4)-IF(P4="",0,P4)&gt;0.001,MAX(EF4,FH4,GJ4,HL4,IN4,JP4,KR4,LT4,MV4,NX4,OZ4,QB4)-IF(P4="",0,P4),"")</f>
        <v>0.10000000000000853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41" si="36">IF(SUM(DG4,DK4)&gt;0,SUM(DG4,DK4),"")</f>
        <v/>
      </c>
      <c r="EA4" s="40" t="str">
        <f t="shared" ref="EA4:EA41" si="37">IF(SUM(DF4:DG4,DI4:DK4,DM4)-DH4-DL4&gt;0,SUM(DF4:DG4,DI4:DK4,DM4)-DH4-DL4,"")</f>
        <v/>
      </c>
      <c r="EB4" s="40" t="str">
        <f t="shared" ref="EB4:EB41" si="38">IF(SUM(DN4:DO4,DQ4)-DP4&gt;0,SUM(DN4:DO4,DQ4)-DP4,"")</f>
        <v/>
      </c>
      <c r="EC4" s="40" t="str">
        <f t="shared" ref="EC4:EC41" si="39">IF(SUM(DG4,DK4,DO4)&gt;0,SUM(DG4,DK4,DO4),"")</f>
        <v/>
      </c>
      <c r="ED4" s="40" t="str">
        <f t="shared" ref="ED4:ED41" si="40">IF(SUM(EA4,EB4)&gt;0,SUM(EA4,EB4),"")</f>
        <v/>
      </c>
      <c r="EE4" s="40" t="str">
        <f t="shared" ref="EE4:EE41" si="41">IF(SUM(DS4,DW4)&gt;0,SUM(DS4,DW4),"")</f>
        <v/>
      </c>
      <c r="EF4" s="40" t="str">
        <f t="shared" ref="EF4:EF41" si="42">IF(SUM(DR4:DS4,DU4:DW4,DY4)-SUM(DT4,DX4)&gt;0,SUM(DR4:DS4,DU4:DW4,DY4)-SUM(DT4,DX4),"")</f>
        <v/>
      </c>
      <c r="EG4" s="40" t="str">
        <f t="shared" ref="EG4:EG41" si="43">IF(SUM(EA4,EB4,EF4)&gt;0,SUM(EA4,EB4,EF4),"")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1" t="str">
        <f t="shared" ref="FB4:FB41" si="44">IF(SUM(EI4,EM4)&gt;0,SUM(EI4,EM4),"")</f>
        <v/>
      </c>
      <c r="FC4" s="11" t="str">
        <f t="shared" ref="FC4:FC41" si="45">IF(SUM(EH4:EI4,EK4:EM4,EO4)-EJ4-EN4&gt;0,SUM(EH4:EI4,EK4:EM4,EO4)-EJ4-EN4,"")</f>
        <v/>
      </c>
      <c r="FD4" s="11" t="str">
        <f t="shared" ref="FD4:FD41" si="46">IF(SUM(EP4:EQ4,ES4)-ER4&gt;0,SUM(EP4:EQ4,ES4)-ER4,"")</f>
        <v/>
      </c>
      <c r="FE4" s="11" t="str">
        <f t="shared" ref="FE4:FE41" si="47">IF(SUM(EI4,EM4,EQ4)&gt;0,SUM(EI4,EM4,EQ4),"")</f>
        <v/>
      </c>
      <c r="FF4" s="11" t="str">
        <f t="shared" ref="FF4:FF41" si="48">IF(SUM(FC4,FD4)&gt;0,SUM(FC4,FD4),"")</f>
        <v/>
      </c>
      <c r="FG4" s="11" t="str">
        <f t="shared" ref="FG4:FG41" si="49">IF(SUM(EU4,EY4)&gt;0,SUM(EU4,EY4),"")</f>
        <v/>
      </c>
      <c r="FH4" s="11" t="str">
        <f t="shared" ref="FH4:FH41" si="50">IF(SUM(ET4:EU4,EW4:EY4,FA4)-SUM(EV4,EZ4)&gt;0,SUM(ET4:EU4,EW4:EY4,FA4)-SUM(EV4,EZ4),"")</f>
        <v/>
      </c>
      <c r="FI4" s="11" t="str">
        <f t="shared" ref="FI4:FI41" si="51">IF(SUM(FC4,FD4,FH4)&gt;0,SUM(FC4,FD4,FH4),"")</f>
        <v/>
      </c>
      <c r="FJ4" s="17">
        <v>19</v>
      </c>
      <c r="FK4" s="17">
        <v>8.4</v>
      </c>
      <c r="FL4" s="17">
        <v>0.2</v>
      </c>
      <c r="FM4" s="17">
        <v>0</v>
      </c>
      <c r="FN4" s="17">
        <v>18.399999999999999</v>
      </c>
      <c r="FO4" s="17">
        <v>8.1</v>
      </c>
      <c r="FP4" s="17">
        <v>0.8</v>
      </c>
      <c r="FQ4" s="17">
        <v>0</v>
      </c>
      <c r="FR4" s="17"/>
      <c r="FS4" s="17"/>
      <c r="FT4" s="17"/>
      <c r="FU4" s="17"/>
      <c r="FV4" s="17">
        <v>18.600000000000001</v>
      </c>
      <c r="FW4" s="17">
        <v>8.4</v>
      </c>
      <c r="FX4" s="17">
        <v>0.2</v>
      </c>
      <c r="FY4" s="17">
        <v>0</v>
      </c>
      <c r="FZ4" s="17">
        <v>17.899999999999999</v>
      </c>
      <c r="GA4" s="17">
        <v>8.1</v>
      </c>
      <c r="GB4" s="17">
        <v>0.2</v>
      </c>
      <c r="GC4" s="17">
        <v>0</v>
      </c>
      <c r="GD4" s="40">
        <f t="shared" ref="GD4:GD41" si="52">IF(SUM(FK4,FO4)&gt;0,SUM(FK4,FO4),"")</f>
        <v>16.5</v>
      </c>
      <c r="GE4" s="40">
        <f t="shared" ref="GE4:GE41" si="53">IF(SUM(FJ4:FK4,FM4:FO4,FQ4)-FL4-FP4&gt;0,SUM(FJ4:FK4,FM4:FO4,FQ4)-FL4-FP4,"")</f>
        <v>52.9</v>
      </c>
      <c r="GF4" s="40" t="str">
        <f t="shared" ref="GF4:GF41" si="54">IF(SUM(FR4:FS4,FU4)-FT4&gt;0,SUM(FR4:FS4,FU4)-FT4,"")</f>
        <v/>
      </c>
      <c r="GG4" s="40">
        <f t="shared" ref="GG4:GG41" si="55">IF(SUM(FK4,FO4,FS4)&gt;0,SUM(FK4,FO4,FS4),"")</f>
        <v>16.5</v>
      </c>
      <c r="GH4" s="40">
        <f t="shared" ref="GH4:GH41" si="56">IF(SUM(GE4,GF4)&gt;0,SUM(GE4,GF4),"")</f>
        <v>52.9</v>
      </c>
      <c r="GI4" s="40">
        <f t="shared" ref="GI4:GI41" si="57">IF(SUM(FW4,GA4)&gt;0,SUM(FW4,GA4),"")</f>
        <v>16.5</v>
      </c>
      <c r="GJ4" s="40">
        <f t="shared" ref="GJ4:GJ41" si="58">IF(SUM(FV4:FW4,FY4:GA4,GC4)-SUM(FX4,GB4)&gt;0,SUM(FV4:FW4,FY4:GA4,GC4)-SUM(FX4,GB4),"")</f>
        <v>52.6</v>
      </c>
      <c r="GK4" s="40">
        <f t="shared" ref="GK4:GK41" si="59">IF(SUM(GE4,GF4,GJ4)&gt;0,SUM(GE4,GF4,GJ4),"")</f>
        <v>105.5</v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41" si="60">IF(SUM(GM4,GQ4)&gt;0,SUM(GM4,GQ4),"")</f>
        <v/>
      </c>
      <c r="HG4" s="11" t="str">
        <f t="shared" ref="HG4:HG41" si="61">IF(SUM(GL4:GM4,GO4:GQ4,GS4)-GN4-GR4&gt;0,SUM(GL4:GM4,GO4:GQ4,GS4)-GN4-GR4,"")</f>
        <v/>
      </c>
      <c r="HH4" s="11" t="str">
        <f t="shared" ref="HH4:HH41" si="62">IF(SUM(GT4:GU4,GW4)-GV4&gt;0,SUM(GT4:GU4,GW4)-GV4,"")</f>
        <v/>
      </c>
      <c r="HI4" s="11" t="str">
        <f t="shared" ref="HI4:HI41" si="63">IF(SUM(GM4,GQ4,GU4)&gt;0,SUM(GM4,GQ4,GU4),"")</f>
        <v/>
      </c>
      <c r="HJ4" s="11" t="str">
        <f t="shared" ref="HJ4:HJ41" si="64">IF(SUM(HG4,HH4)&gt;0,SUM(HG4,HH4),"")</f>
        <v/>
      </c>
      <c r="HK4" s="11" t="str">
        <f t="shared" ref="HK4:HK41" si="65">IF(SUM(GY4,HC4)&gt;0,SUM(GY4,HC4),"")</f>
        <v/>
      </c>
      <c r="HL4" s="11" t="str">
        <f t="shared" ref="HL4:HL41" si="66">IF(SUM(GX4:GY4,HA4:HC4,HE4)-SUM(GZ4,HD4)&gt;0,SUM(GX4:GY4,HA4:HC4,HE4)-SUM(GZ4,HD4),"")</f>
        <v/>
      </c>
      <c r="HM4" s="11" t="str">
        <f t="shared" ref="HM4:HM41" si="67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41" si="68">IF(SUM(HO4,HS4)&gt;0,SUM(HO4,HS4),"")</f>
        <v/>
      </c>
      <c r="II4" s="40" t="str">
        <f t="shared" ref="II4:II41" si="69">IF(SUM(HN4:HO4,HQ4:HS4,HU4)-HP4-HT4&gt;0,SUM(HN4:HO4,HQ4:HS4,HU4)-HP4-HT4,"")</f>
        <v/>
      </c>
      <c r="IJ4" s="40" t="str">
        <f t="shared" ref="IJ4:IJ41" si="70">IF(SUM(HV4:HW4,HY4)-HX4&gt;0,SUM(HV4:HW4,HY4)-HX4,"")</f>
        <v/>
      </c>
      <c r="IK4" s="40" t="str">
        <f t="shared" ref="IK4:IK41" si="71">IF(SUM(HO4,HS4,HW4)&gt;0,SUM(HO4,HS4,HW4),"")</f>
        <v/>
      </c>
      <c r="IL4" s="40" t="str">
        <f t="shared" ref="IL4:IL41" si="72">IF(SUM(II4,IJ4)&gt;0,SUM(II4,IJ4),"")</f>
        <v/>
      </c>
      <c r="IM4" s="40" t="str">
        <f t="shared" ref="IM4:IM41" si="73">IF(SUM(IA4,IE4)&gt;0,SUM(IA4,IE4),"")</f>
        <v/>
      </c>
      <c r="IN4" s="40" t="str">
        <f t="shared" ref="IN4:IN41" si="74">IF(SUM(HZ4:IA4,IC4:IE4,IG4)-SUM(IB4,IF4)&gt;0,SUM(HZ4:IA4,IC4:IE4,IG4)-SUM(IB4,IF4),"")</f>
        <v/>
      </c>
      <c r="IO4" s="40" t="str">
        <f t="shared" ref="IO4:IO41" si="75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41" si="76">IF(SUM(IQ4,IU4)&gt;0,SUM(IQ4,IU4),"")</f>
        <v/>
      </c>
      <c r="JK4" s="11" t="str">
        <f t="shared" ref="JK4:JK41" si="77">IF(SUM(IP4:IQ4,IS4:IU4,IW4)-IR4-IV4&gt;0,SUM(IP4:IQ4,IS4:IU4,IW4)-IR4-IV4,"")</f>
        <v/>
      </c>
      <c r="JL4" s="11" t="str">
        <f t="shared" ref="JL4:JL41" si="78">IF(SUM(IX4:IY4,JA4)-IZ4&gt;0,SUM(IX4:IY4,JA4)-IZ4,"")</f>
        <v/>
      </c>
      <c r="JM4" s="11" t="str">
        <f t="shared" ref="JM4:JM41" si="79">IF(SUM(IQ4,IU4,IY4)&gt;0,SUM(IQ4,IU4,IY4),"")</f>
        <v/>
      </c>
      <c r="JN4" s="11" t="str">
        <f t="shared" ref="JN4:JN41" si="80">IF(SUM(JK4,JL4)&gt;0,SUM(JK4,JL4),"")</f>
        <v/>
      </c>
      <c r="JO4" s="11" t="str">
        <f t="shared" ref="JO4:JO41" si="81">IF(SUM(JC4,JG4)&gt;0,SUM(JC4,JG4),"")</f>
        <v/>
      </c>
      <c r="JP4" s="11" t="str">
        <f t="shared" ref="JP4:JP41" si="82">IF(SUM(JB4:JC4,JE4:JG4,JI4)-SUM(JD4,JH4)&gt;0,SUM(JB4:JC4,JE4:JG4,JI4)-SUM(JD4,JH4),"")</f>
        <v/>
      </c>
      <c r="JQ4" s="11" t="str">
        <f t="shared" ref="JQ4:JQ41" si="83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41" si="84">IF(SUM(JS4,JW4)&gt;0,SUM(JS4,JW4),"")</f>
        <v/>
      </c>
      <c r="KM4" s="40" t="str">
        <f t="shared" ref="KM4:KM41" si="85">IF(SUM(JR4:JS4,JU4:JW4,JY4)-JT4-JX4&gt;0,SUM(JR4:JS4,JU4:JW4,JY4)-JT4-JX4,"")</f>
        <v/>
      </c>
      <c r="KN4" s="40" t="str">
        <f t="shared" ref="KN4:KN41" si="86">IF(SUM(JZ4:KA4,KC4)-KB4&gt;0,SUM(JZ4:KA4,KC4)-KB4,"")</f>
        <v/>
      </c>
      <c r="KO4" s="40" t="str">
        <f t="shared" ref="KO4:KO41" si="87">IF(SUM(JS4,JW4,KA4)&gt;0,SUM(JS4,JW4,KA4),"")</f>
        <v/>
      </c>
      <c r="KP4" s="40" t="str">
        <f t="shared" ref="KP4:KP41" si="88">IF(SUM(KM4,KN4)&gt;0,SUM(KM4,KN4),"")</f>
        <v/>
      </c>
      <c r="KQ4" s="40" t="str">
        <f t="shared" ref="KQ4:KQ41" si="89">IF(SUM(KE4,KI4)&gt;0,SUM(KE4,KI4),"")</f>
        <v/>
      </c>
      <c r="KR4" s="40" t="str">
        <f t="shared" ref="KR4:KR41" si="90">IF(SUM(KD4:KE4,KG4:KI4,KK4)-SUM(KF4,KJ4)&gt;0,SUM(KD4:KE4,KG4:KI4,KK4)-SUM(KF4,KJ4),"")</f>
        <v/>
      </c>
      <c r="KS4" s="40" t="str">
        <f t="shared" ref="KS4:KS41" si="91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41" si="92">IF(SUM(KU4,KY4)&gt;0,SUM(KU4,KY4),"")</f>
        <v/>
      </c>
      <c r="LO4" s="11" t="str">
        <f t="shared" ref="LO4:LO41" si="93">IF(SUM(KT4:KU4,KW4:KY4,LA4)-KV4-KZ4&gt;0,SUM(KT4:KU4,KW4:KY4,LA4)-KV4-KZ4,"")</f>
        <v/>
      </c>
      <c r="LP4" s="11" t="str">
        <f t="shared" ref="LP4:LP41" si="94">IF(SUM(LB4:LC4,LE4)-LD4&gt;0,SUM(LB4:LC4,LE4)-LD4,"")</f>
        <v/>
      </c>
      <c r="LQ4" s="11" t="str">
        <f t="shared" ref="LQ4:LQ41" si="95">IF(SUM(KU4,KY4,LC4)&gt;0,SUM(KU4,KY4,LC4),"")</f>
        <v/>
      </c>
      <c r="LR4" s="11" t="str">
        <f t="shared" ref="LR4:LR41" si="96">IF(SUM(LO4,LP4)&gt;0,SUM(LO4,LP4),"")</f>
        <v/>
      </c>
      <c r="LS4" s="11" t="str">
        <f t="shared" ref="LS4:LS41" si="97">IF(SUM(LG4,LK4)&gt;0,SUM(LG4,LK4),"")</f>
        <v/>
      </c>
      <c r="LT4" s="11" t="str">
        <f t="shared" ref="LT4:LT41" si="98">IF(SUM(LF4:LG4,LI4:LK4,LM4)-SUM(LH4,LL4)&gt;0,SUM(LF4:LG4,LI4:LK4,LM4)-SUM(LH4,LL4),"")</f>
        <v/>
      </c>
      <c r="LU4" s="11" t="str">
        <f t="shared" ref="LU4:LU41" si="99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41" si="100">IF(SUM(LW4,MA4)&gt;0,SUM(LW4,MA4),"")</f>
        <v/>
      </c>
      <c r="MQ4" s="40" t="str">
        <f t="shared" ref="MQ4:MQ41" si="101">IF(SUM(LV4:LW4,LY4:MA4,MC4)-LX4-MB4&gt;0,SUM(LV4:LW4,LY4:MA4,MC4)-LX4-MB4,"")</f>
        <v/>
      </c>
      <c r="MR4" s="40" t="str">
        <f t="shared" ref="MR4:MR41" si="102">IF(SUM(MD4:ME4,MG4)-MF4&gt;0,SUM(MD4:ME4,MG4)-MF4,"")</f>
        <v/>
      </c>
      <c r="MS4" s="40" t="str">
        <f t="shared" ref="MS4:MS41" si="103">IF(SUM(LW4,MA4,ME4)&gt;0,SUM(LW4,MA4,ME4),"")</f>
        <v/>
      </c>
      <c r="MT4" s="40" t="str">
        <f t="shared" ref="MT4:MT41" si="104">IF(SUM(MQ4,MR4)&gt;0,SUM(MQ4,MR4),"")</f>
        <v/>
      </c>
      <c r="MU4" s="40" t="str">
        <f t="shared" ref="MU4:MU41" si="105">IF(SUM(MI4,MM4)&gt;0,SUM(MI4,MM4),"")</f>
        <v/>
      </c>
      <c r="MV4" s="40" t="str">
        <f t="shared" ref="MV4:MV41" si="106">IF(SUM(MH4:MI4,MK4:MM4,MO4)-SUM(MJ4,MN4)&gt;0,SUM(MH4:MI4,MK4:MM4,MO4)-SUM(MJ4,MN4),"")</f>
        <v/>
      </c>
      <c r="MW4" s="40" t="str">
        <f t="shared" ref="MW4:MW41" si="107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41" si="108">IF(SUM(MY4,NC4)&gt;0,SUM(MY4,NC4),"")</f>
        <v/>
      </c>
      <c r="NS4" s="11" t="str">
        <f t="shared" ref="NS4:NS41" si="109">IF(SUM(MX4:MY4,NA4:NC4,NE4)-MZ4-ND4&gt;0,SUM(MX4:MY4,NA4:NC4,NE4)-MZ4-ND4,"")</f>
        <v/>
      </c>
      <c r="NT4" s="11" t="str">
        <f t="shared" ref="NT4:NT41" si="110">IF(SUM(NF4:NG4,NI4)-NH4&gt;0,SUM(NF4:NG4,NI4)-NH4,"")</f>
        <v/>
      </c>
      <c r="NU4" s="11" t="str">
        <f t="shared" ref="NU4:NU41" si="111">IF(SUM(MY4,NC4,NG4)&gt;0,SUM(MY4,NC4,NG4),"")</f>
        <v/>
      </c>
      <c r="NV4" s="11" t="str">
        <f t="shared" ref="NV4:NV41" si="112">IF(SUM(NS4,NT4)&gt;0,SUM(NS4,NT4),"")</f>
        <v/>
      </c>
      <c r="NW4" s="11" t="str">
        <f t="shared" ref="NW4:NW41" si="113">IF(SUM(NK4,NO4)&gt;0,SUM(NK4,NO4),"")</f>
        <v/>
      </c>
      <c r="NX4" s="11" t="str">
        <f t="shared" ref="NX4:NX41" si="114">IF(SUM(NJ4:NK4,NM4:NO4,NQ4)-SUM(NL4,NP4)&gt;0,SUM(NJ4:NK4,NM4:NO4,NQ4)-SUM(NL4,NP4),"")</f>
        <v/>
      </c>
      <c r="NY4" s="11" t="str">
        <f t="shared" ref="NY4:NY41" si="115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41" si="116">IF(SUM(OA4,OE4)&gt;0,SUM(OA4,OE4),"")</f>
        <v/>
      </c>
      <c r="OU4" s="40" t="str">
        <f t="shared" ref="OU4:OU41" si="117">IF(SUM(NZ4:OA4,OC4:OE4,OG4)-OB4-OF4&gt;0,SUM(NZ4:OA4,OC4:OE4,OG4)-OB4-OF4,"")</f>
        <v/>
      </c>
      <c r="OV4" s="40" t="str">
        <f t="shared" ref="OV4:OV41" si="118">IF(SUM(OH4:OI4,OK4)-OJ4&gt;0,SUM(OH4:OI4,OK4)-OJ4,"")</f>
        <v/>
      </c>
      <c r="OW4" s="40" t="str">
        <f t="shared" ref="OW4:OW41" si="119">IF(SUM(OA4,OE4,OI4)&gt;0,SUM(OA4,OE4,OI4),"")</f>
        <v/>
      </c>
      <c r="OX4" s="40" t="str">
        <f t="shared" ref="OX4:OX41" si="120">IF(SUM(OU4,OV4)&gt;0,SUM(OU4,OV4),"")</f>
        <v/>
      </c>
      <c r="OY4" s="40" t="str">
        <f t="shared" ref="OY4:OY41" si="121">IF(SUM(OM4,OQ4)&gt;0,SUM(OM4,OQ4),"")</f>
        <v/>
      </c>
      <c r="OZ4" s="40" t="str">
        <f t="shared" ref="OZ4:OZ41" si="122">IF(SUM(OL4:OM4,OO4:OQ4,OS4)-SUM(ON4,OR4)&gt;0,SUM(OL4:OM4,OO4:OQ4,OS4)-SUM(ON4,OR4),"")</f>
        <v/>
      </c>
      <c r="PA4" s="40" t="str">
        <f t="shared" ref="PA4:PA41" si="123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41" si="124">IF(SUM(PC4,PG4)&gt;0,SUM(PC4,PG4),"")</f>
        <v/>
      </c>
      <c r="PW4" s="11" t="str">
        <f t="shared" ref="PW4:PW41" si="125">IF(SUM(PB4:PC4,PE4:PG4,PI4)-PD4-PH4&gt;0,SUM(PB4:PC4,PE4:PG4,PI4)-PD4-PH4,"")</f>
        <v/>
      </c>
      <c r="PX4" s="11" t="str">
        <f t="shared" ref="PX4:PX41" si="126">IF(SUM(PJ4:PK4,PM4)-PL4&gt;0,SUM(PJ4:PK4,PM4)-PL4,"")</f>
        <v/>
      </c>
      <c r="PY4" s="11" t="str">
        <f t="shared" ref="PY4:PY41" si="127">IF(SUM(PC4,PG4,PK4)&gt;0,SUM(PC4,PG4,PK4),"")</f>
        <v/>
      </c>
      <c r="PZ4" s="11" t="str">
        <f t="shared" ref="PZ4:PZ41" si="128">IF(SUM(PW4,PX4)&gt;0,SUM(PW4,PX4),"")</f>
        <v/>
      </c>
      <c r="QA4" s="11" t="str">
        <f t="shared" ref="QA4:QA41" si="129">IF(SUM(PO4,PS4)&gt;0,SUM(PO4,PS4),"")</f>
        <v/>
      </c>
      <c r="QB4" s="11" t="str">
        <f t="shared" ref="QB4:QB41" si="130">IF(SUM(PN4:PO4,PQ4:PS4,PU4)-SUM(PP4,PT4)&gt;0,SUM(PN4:PO4,PQ4:PS4,PU4)-SUM(PP4,PT4),"")</f>
        <v/>
      </c>
      <c r="QC4" s="11" t="str">
        <f t="shared" ref="QC4:QC41" si="131">IF(SUM(PW4,PX4,QB4)&gt;0,SUM(PW4,PX4,QB4),"")</f>
        <v/>
      </c>
      <c r="QD4" s="22">
        <f t="shared" ref="QD4:QD41" si="132">IF($CU4="P",CA4,(CA4+AX4)/2)</f>
        <v>9.5</v>
      </c>
      <c r="QE4" s="22">
        <f t="shared" ref="QE4:QE41" si="133">IF($CU4="P",CB4,(CB4+AY4)/2)</f>
        <v>4.2</v>
      </c>
      <c r="QF4" s="22">
        <f t="shared" ref="QF4:QF41" si="134">IF($CU4="P",CC4,(CC4+AZ4)/2)</f>
        <v>0</v>
      </c>
      <c r="QG4" s="22">
        <f t="shared" ref="QG4:QG41" si="135">IF($CU4="P",CD4,(CD4+BA4)/2)</f>
        <v>0</v>
      </c>
      <c r="QH4" s="22">
        <f t="shared" ref="QH4:QH41" si="136">IF($CU4="P",CE4,(CE4+BB4)/2)</f>
        <v>9.3000000000000007</v>
      </c>
      <c r="QI4" s="22">
        <f t="shared" ref="QI4:QI41" si="137">IF($CU4="P",CF4,(CF4+BC4)/2)</f>
        <v>4.05</v>
      </c>
      <c r="QJ4" s="22">
        <f t="shared" ref="QJ4:QJ41" si="138">IF($CU4="P",CG4,(CG4+BD4)/2)</f>
        <v>0.1</v>
      </c>
      <c r="QK4" s="22">
        <f t="shared" ref="QK4:QK41" si="139">IF($CU4="P",CH4,(CH4+BE4)/2)</f>
        <v>0.15</v>
      </c>
      <c r="QL4" s="22">
        <f t="shared" ref="QL4:QL41" si="140">IF($CU4="P",CI4,(CI4+BF4)/2)</f>
        <v>0</v>
      </c>
      <c r="QM4" s="22">
        <f t="shared" ref="QM4:QM41" si="141">IF($CU4="P",CJ4,(CJ4+BG4)/2)</f>
        <v>0</v>
      </c>
      <c r="QN4" s="22">
        <f t="shared" ref="QN4:QN41" si="142">IF($CU4="P",CK4,(CK4+BH4)/2)</f>
        <v>0</v>
      </c>
      <c r="QO4" s="22">
        <f t="shared" ref="QO4:QO41" si="143">IF($CU4="P",CL4,(CL4+BI4)/2)</f>
        <v>0</v>
      </c>
      <c r="QP4" s="22">
        <f t="shared" ref="QP4:QP41" si="144">IF($CU4="P",CM4,(CM4+BJ4)/2)</f>
        <v>9.5</v>
      </c>
      <c r="QQ4" s="22">
        <f t="shared" ref="QQ4:QQ41" si="145">IF($CU4="P",CN4,(CN4+BK4)/2)</f>
        <v>4.2</v>
      </c>
      <c r="QR4" s="22">
        <f t="shared" ref="QR4:QR41" si="146">IF($CU4="P",CO4,(CO4+BL4)/2)</f>
        <v>0.3</v>
      </c>
      <c r="QS4" s="22">
        <f t="shared" ref="QS4:QS41" si="147">IF($CU4="P",CP4,(CP4+BM4)/2)</f>
        <v>0</v>
      </c>
      <c r="QT4" s="22">
        <f t="shared" ref="QT4:QT41" si="148">IF($CU4="P",CQ4,(CQ4+BN4)/2)</f>
        <v>9.1999999999999993</v>
      </c>
      <c r="QU4" s="22">
        <f t="shared" ref="QU4:QU41" si="149">IF($CU4="P",CR4,(CR4+BO4)/2)</f>
        <v>3.65</v>
      </c>
      <c r="QV4" s="22">
        <f t="shared" ref="QV4:QV41" si="150">IF($CU4="P",CS4,(CS4+BP4)/2)</f>
        <v>0</v>
      </c>
      <c r="QW4" s="22">
        <f t="shared" ref="QW4:QW41" si="151">IF($CU4="P",CT4,(CT4+BQ4)/2)</f>
        <v>0</v>
      </c>
      <c r="QX4" s="27" t="s">
        <v>46</v>
      </c>
      <c r="QY4" s="40">
        <f t="shared" ref="QY4:QY41" si="152">IF(SUM(QE4,QI4)&gt;0,SUM(QE4,QI4),"")</f>
        <v>8.25</v>
      </c>
      <c r="QZ4" s="40">
        <f t="shared" ref="QZ4:QZ41" si="153">IF(SUM(QD4:QE4,QG4:QI4,QK4)-QF4-QJ4&gt;0,SUM(QD4:QE4,QG4:QI4,QK4)-QF4-QJ4,"")</f>
        <v>27.099999999999998</v>
      </c>
      <c r="RA4" s="40" t="str">
        <f t="shared" ref="RA4:RA41" si="154">IF(SUM(QL4:QM4,QO4)-QN4&gt;0,SUM(QL4:QM4,QO4)-QN4,"")</f>
        <v/>
      </c>
      <c r="RB4" s="40">
        <f t="shared" ref="RB4:RB41" si="155">IF(SUM(QE4,QI4,QM4)&gt;0,SUM(QE4,QI4,QM4),"")</f>
        <v>8.25</v>
      </c>
      <c r="RC4" s="40">
        <f t="shared" ref="RC4:RC41" si="156">IF(SUM(QZ4,RA4)&gt;0,SUM(QZ4,RA4),"")</f>
        <v>27.099999999999998</v>
      </c>
      <c r="RD4" s="40">
        <f t="shared" ref="RD4:RD41" si="157">IF(SUM(QQ4,QU4)&gt;0,SUM(QQ4,QU4),"")</f>
        <v>7.85</v>
      </c>
      <c r="RE4" s="40">
        <f t="shared" ref="RE4:RE41" si="158">IF(SUM(QP4:QQ4,QS4:QU4,QW4)-SUM(QR4,QV4)&gt;0,SUM(QP4:QQ4,QS4:QU4,QW4)-SUM(QR4,QV4),"")</f>
        <v>26.249999999999996</v>
      </c>
      <c r="RF4" s="40">
        <f t="shared" ref="RF4:RF41" si="159">IF(SUM(QZ4,RA4,RE4)&gt;0,SUM(QZ4,RA4,RE4),"")</f>
        <v>53.349999999999994</v>
      </c>
    </row>
    <row r="5" spans="1:474" x14ac:dyDescent="0.2">
      <c r="A5" s="4" cm="1">
        <f t="array" ref="A5">IF(AND(J5&lt;&gt;"",J5&lt;&gt;"No DD"),SUMPRODUCT((J$4:J$42&lt;&gt;"")*(J$4:J$42&lt;&gt;"No DD")*(F$4:F$42&gt;F5))+1,IF(J5="No DD",SUMPRODUCT((J$4:J$42="No DD")*(F$4:F$42&gt;F5))+1+SUMPRODUCT((J$4:J$42&lt;&gt;"")*(J$4:J$42&lt;&gt;"No DD")),""))</f>
        <v>2</v>
      </c>
      <c r="B5" s="4" t="str" cm="1">
        <f t="array" ref="B5">IF(AND(J5&lt;&gt;"",J5&lt;&gt;"No DD",G5=""),SUMPRODUCT((J$4:J$42&lt;&gt;"")*(J$4:J$42&lt;&gt;"No DD")*(G$4:G$42="")*(F$4:F$42&gt;F5))+1,IF(J5="No DD",SUMPRODUCT((J$4:J$42="No DD")*(F$4:F$42&gt;F5)*(G$4:G$42=""))+1+SUMPRODUCT((J$4:J$42&lt;&gt;"")*(G$4:G$42="")*(J$4:J$42&lt;&gt;"No DD")),""))</f>
        <v/>
      </c>
      <c r="C5" s="5" t="s">
        <v>87</v>
      </c>
      <c r="D5" s="4" t="s">
        <v>4</v>
      </c>
      <c r="E5" s="4">
        <v>2004</v>
      </c>
      <c r="F5" s="9">
        <f t="shared" si="0"/>
        <v>160.10001012000529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53</v>
      </c>
      <c r="M5" s="8" t="str">
        <f t="shared" si="5"/>
        <v>2024 Nationals</v>
      </c>
      <c r="N5" s="8">
        <f>IF(COUNT(AQ5,BT5,CW5)&gt;1,LARGE((AQ5,BT5,CW5),2),0)</f>
        <v>48.2</v>
      </c>
      <c r="O5" s="8" t="str">
        <f t="shared" si="6"/>
        <v>2025 Elite Canada</v>
      </c>
      <c r="P5" s="8">
        <f t="shared" si="7"/>
        <v>55.2</v>
      </c>
      <c r="Q5" s="8" t="str">
        <f t="shared" si="8"/>
        <v>2024 3rd Domestic Trial</v>
      </c>
      <c r="R5" s="8">
        <f t="shared" si="9"/>
        <v>3.6999999999999957</v>
      </c>
      <c r="S5" s="11" t="str">
        <f t="shared" ref="S5:S29" si="160">IF(R5="","",IF(R5=DD5,"("&amp;DD$2&amp;")",IF(R5=DE5,"("&amp;DE$2&amp;")")))</f>
        <v>(Q1)</v>
      </c>
      <c r="T5" s="8" t="str">
        <f t="shared" ref="T5:T29" si="161"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>2024 Pan Am Championships (May 19)</v>
      </c>
      <c r="U5" s="19">
        <v>16.600000000000001</v>
      </c>
      <c r="V5" s="19">
        <v>8.9</v>
      </c>
      <c r="W5" s="19">
        <v>0.8</v>
      </c>
      <c r="X5" s="19">
        <v>0.3</v>
      </c>
      <c r="Y5" s="19">
        <v>18.7</v>
      </c>
      <c r="Z5" s="19">
        <v>9.1999999999999993</v>
      </c>
      <c r="AA5" s="19">
        <v>0.2</v>
      </c>
      <c r="AB5" s="19">
        <v>0.3</v>
      </c>
      <c r="AC5" s="19">
        <v>0</v>
      </c>
      <c r="AD5" s="19">
        <v>0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7"/>
      <c r="AP5" s="40">
        <f t="shared" si="10"/>
        <v>18.100000000000001</v>
      </c>
      <c r="AQ5" s="40">
        <f t="shared" si="11"/>
        <v>53</v>
      </c>
      <c r="AR5" s="40" t="str">
        <f t="shared" si="12"/>
        <v/>
      </c>
      <c r="AS5" s="40">
        <f t="shared" si="13"/>
        <v>18.100000000000001</v>
      </c>
      <c r="AT5" s="40">
        <f t="shared" si="14"/>
        <v>53</v>
      </c>
      <c r="AU5" s="40" t="str">
        <f t="shared" si="15"/>
        <v/>
      </c>
      <c r="AV5" s="40" t="str">
        <f t="shared" si="16"/>
        <v/>
      </c>
      <c r="AW5" s="40">
        <f t="shared" si="17"/>
        <v>53</v>
      </c>
      <c r="AX5" s="18">
        <v>17.2</v>
      </c>
      <c r="AY5" s="18">
        <v>3.6</v>
      </c>
      <c r="AZ5" s="18">
        <v>0</v>
      </c>
      <c r="BA5" s="18">
        <v>0</v>
      </c>
      <c r="BB5" s="18">
        <v>18.600000000000001</v>
      </c>
      <c r="BC5" s="18">
        <v>9.1999999999999993</v>
      </c>
      <c r="BD5" s="18">
        <v>0.8</v>
      </c>
      <c r="BE5" s="18">
        <v>0.3</v>
      </c>
      <c r="BF5" s="18">
        <v>18.100000000000001</v>
      </c>
      <c r="BG5" s="18">
        <v>9.3000000000000007</v>
      </c>
      <c r="BH5" s="18">
        <v>0.6</v>
      </c>
      <c r="BI5" s="18">
        <v>0.3</v>
      </c>
      <c r="BJ5" s="18">
        <v>18.399999999999999</v>
      </c>
      <c r="BK5" s="18">
        <v>8.9</v>
      </c>
      <c r="BL5" s="18">
        <v>0.8</v>
      </c>
      <c r="BM5" s="18">
        <v>0.3</v>
      </c>
      <c r="BN5" s="18">
        <v>19.100000000000001</v>
      </c>
      <c r="BO5" s="18">
        <v>9.1999999999999993</v>
      </c>
      <c r="BP5" s="18">
        <v>0.2</v>
      </c>
      <c r="BQ5" s="18">
        <v>0.3</v>
      </c>
      <c r="BR5" s="28"/>
      <c r="BS5" s="11">
        <f t="shared" si="18"/>
        <v>12.799999999999999</v>
      </c>
      <c r="BT5" s="11">
        <f t="shared" si="19"/>
        <v>48.100000000000009</v>
      </c>
      <c r="BU5" s="11">
        <f t="shared" si="20"/>
        <v>27.1</v>
      </c>
      <c r="BV5" s="11">
        <f t="shared" si="21"/>
        <v>22.1</v>
      </c>
      <c r="BW5" s="11">
        <f t="shared" si="22"/>
        <v>75.200000000000017</v>
      </c>
      <c r="BX5" s="11">
        <f t="shared" si="23"/>
        <v>18.100000000000001</v>
      </c>
      <c r="BY5" s="11">
        <f t="shared" si="24"/>
        <v>55.2</v>
      </c>
      <c r="BZ5" s="11">
        <f t="shared" si="25"/>
        <v>130.40000000000003</v>
      </c>
      <c r="CA5" s="19">
        <v>15.3</v>
      </c>
      <c r="CB5" s="19">
        <v>4</v>
      </c>
      <c r="CC5" s="19">
        <v>0</v>
      </c>
      <c r="CD5" s="19">
        <v>0</v>
      </c>
      <c r="CE5" s="19">
        <v>18.3</v>
      </c>
      <c r="CF5" s="19">
        <v>10</v>
      </c>
      <c r="CG5" s="19">
        <v>0</v>
      </c>
      <c r="CH5" s="19">
        <v>0.6</v>
      </c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>
        <f t="shared" si="26"/>
        <v>14</v>
      </c>
      <c r="CW5" s="40">
        <f t="shared" si="27"/>
        <v>48.2</v>
      </c>
      <c r="CX5" s="40" t="str">
        <f t="shared" si="28"/>
        <v/>
      </c>
      <c r="CY5" s="40">
        <f t="shared" si="29"/>
        <v>14</v>
      </c>
      <c r="CZ5" s="40">
        <f t="shared" si="30"/>
        <v>48.2</v>
      </c>
      <c r="DA5" s="40" t="str">
        <f t="shared" si="31"/>
        <v/>
      </c>
      <c r="DB5" s="40" t="str">
        <f t="shared" si="32"/>
        <v/>
      </c>
      <c r="DC5" s="40">
        <f t="shared" si="33"/>
        <v>48.2</v>
      </c>
      <c r="DD5" s="50">
        <f t="shared" si="34"/>
        <v>3.6999999999999957</v>
      </c>
      <c r="DE5" s="50" t="str">
        <f t="shared" si="35"/>
        <v/>
      </c>
      <c r="DF5" s="17">
        <v>18.8</v>
      </c>
      <c r="DG5" s="17">
        <v>9.1999999999999993</v>
      </c>
      <c r="DH5" s="17">
        <v>0.6</v>
      </c>
      <c r="DI5" s="17">
        <v>0</v>
      </c>
      <c r="DJ5" s="17">
        <v>16.399999999999999</v>
      </c>
      <c r="DK5" s="17">
        <v>8.9</v>
      </c>
      <c r="DL5" s="17">
        <v>0.8</v>
      </c>
      <c r="DM5" s="17">
        <v>0</v>
      </c>
      <c r="DN5" s="17"/>
      <c r="DO5" s="17"/>
      <c r="DP5" s="17"/>
      <c r="DQ5" s="17"/>
      <c r="DR5" s="17">
        <v>17.899999999999999</v>
      </c>
      <c r="DS5" s="17">
        <v>8.9</v>
      </c>
      <c r="DT5" s="17">
        <v>0.2</v>
      </c>
      <c r="DU5" s="17">
        <v>0</v>
      </c>
      <c r="DV5" s="17">
        <v>18.5</v>
      </c>
      <c r="DW5" s="17">
        <v>9.1999999999999993</v>
      </c>
      <c r="DX5" s="17">
        <v>0.6</v>
      </c>
      <c r="DY5" s="17">
        <v>0</v>
      </c>
      <c r="DZ5" s="40">
        <f t="shared" si="36"/>
        <v>18.100000000000001</v>
      </c>
      <c r="EA5" s="40">
        <f t="shared" si="37"/>
        <v>51.9</v>
      </c>
      <c r="EB5" s="40" t="str">
        <f t="shared" si="38"/>
        <v/>
      </c>
      <c r="EC5" s="40">
        <f t="shared" si="39"/>
        <v>18.100000000000001</v>
      </c>
      <c r="ED5" s="40">
        <f t="shared" si="40"/>
        <v>51.9</v>
      </c>
      <c r="EE5" s="40">
        <f t="shared" si="41"/>
        <v>18.100000000000001</v>
      </c>
      <c r="EF5" s="40">
        <f t="shared" si="42"/>
        <v>53.7</v>
      </c>
      <c r="EG5" s="40">
        <f t="shared" si="43"/>
        <v>105.6</v>
      </c>
      <c r="EH5" s="18">
        <v>18.3</v>
      </c>
      <c r="EI5" s="18">
        <v>9.1999999999999993</v>
      </c>
      <c r="EJ5" s="18">
        <v>0.4</v>
      </c>
      <c r="EK5" s="18">
        <v>0</v>
      </c>
      <c r="EL5" s="18">
        <v>18.2</v>
      </c>
      <c r="EM5" s="18">
        <v>6.8</v>
      </c>
      <c r="EN5" s="18">
        <v>0.6</v>
      </c>
      <c r="EO5" s="18">
        <v>0</v>
      </c>
      <c r="EP5" s="18"/>
      <c r="EQ5" s="18"/>
      <c r="ER5" s="18"/>
      <c r="ES5" s="18"/>
      <c r="ET5" s="18">
        <v>17.899999999999999</v>
      </c>
      <c r="EU5" s="18">
        <v>4.2</v>
      </c>
      <c r="EV5" s="18">
        <v>1</v>
      </c>
      <c r="EW5" s="18">
        <v>0</v>
      </c>
      <c r="EX5" s="18">
        <v>0</v>
      </c>
      <c r="EY5" s="18">
        <v>0</v>
      </c>
      <c r="EZ5" s="18">
        <v>0</v>
      </c>
      <c r="FA5" s="18">
        <v>0</v>
      </c>
      <c r="FB5" s="11">
        <f t="shared" si="44"/>
        <v>16</v>
      </c>
      <c r="FC5" s="11">
        <f t="shared" si="45"/>
        <v>51.5</v>
      </c>
      <c r="FD5" s="11" t="str">
        <f t="shared" si="46"/>
        <v/>
      </c>
      <c r="FE5" s="11">
        <f t="shared" si="47"/>
        <v>16</v>
      </c>
      <c r="FF5" s="11">
        <f t="shared" si="48"/>
        <v>51.5</v>
      </c>
      <c r="FG5" s="11">
        <f t="shared" si="49"/>
        <v>4.2</v>
      </c>
      <c r="FH5" s="11">
        <f t="shared" si="50"/>
        <v>21.099999999999998</v>
      </c>
      <c r="FI5" s="11">
        <f t="shared" si="51"/>
        <v>72.599999999999994</v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2"/>
        <v/>
      </c>
      <c r="GE5" s="40" t="str">
        <f t="shared" si="53"/>
        <v/>
      </c>
      <c r="GF5" s="40" t="str">
        <f t="shared" si="54"/>
        <v/>
      </c>
      <c r="GG5" s="40" t="str">
        <f t="shared" si="55"/>
        <v/>
      </c>
      <c r="GH5" s="40" t="str">
        <f t="shared" si="56"/>
        <v/>
      </c>
      <c r="GI5" s="40" t="str">
        <f t="shared" si="57"/>
        <v/>
      </c>
      <c r="GJ5" s="40" t="str">
        <f t="shared" si="58"/>
        <v/>
      </c>
      <c r="GK5" s="40" t="str">
        <f t="shared" si="59"/>
        <v/>
      </c>
      <c r="GL5" s="18">
        <v>18.8</v>
      </c>
      <c r="GM5" s="18">
        <v>10</v>
      </c>
      <c r="GN5" s="18">
        <v>1</v>
      </c>
      <c r="GO5" s="18">
        <v>0</v>
      </c>
      <c r="GP5" s="18">
        <v>0</v>
      </c>
      <c r="GQ5" s="18">
        <v>0</v>
      </c>
      <c r="GR5" s="18">
        <v>0</v>
      </c>
      <c r="GS5" s="18">
        <v>0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>
        <f t="shared" si="60"/>
        <v>10</v>
      </c>
      <c r="HG5" s="11">
        <f t="shared" si="61"/>
        <v>27.8</v>
      </c>
      <c r="HH5" s="11" t="str">
        <f t="shared" si="62"/>
        <v/>
      </c>
      <c r="HI5" s="11">
        <f t="shared" si="63"/>
        <v>10</v>
      </c>
      <c r="HJ5" s="11">
        <f t="shared" si="64"/>
        <v>27.8</v>
      </c>
      <c r="HK5" s="11" t="str">
        <f t="shared" si="65"/>
        <v/>
      </c>
      <c r="HL5" s="11" t="str">
        <f t="shared" si="66"/>
        <v/>
      </c>
      <c r="HM5" s="11">
        <f t="shared" si="67"/>
        <v>27.8</v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68"/>
        <v/>
      </c>
      <c r="II5" s="40" t="str">
        <f t="shared" si="69"/>
        <v/>
      </c>
      <c r="IJ5" s="40" t="str">
        <f t="shared" si="70"/>
        <v/>
      </c>
      <c r="IK5" s="40" t="str">
        <f t="shared" si="71"/>
        <v/>
      </c>
      <c r="IL5" s="40" t="str">
        <f t="shared" si="72"/>
        <v/>
      </c>
      <c r="IM5" s="40" t="str">
        <f t="shared" si="73"/>
        <v/>
      </c>
      <c r="IN5" s="40" t="str">
        <f t="shared" si="74"/>
        <v/>
      </c>
      <c r="IO5" s="40" t="str">
        <f t="shared" si="75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6"/>
        <v/>
      </c>
      <c r="JK5" s="11" t="str">
        <f t="shared" si="77"/>
        <v/>
      </c>
      <c r="JL5" s="11" t="str">
        <f t="shared" si="78"/>
        <v/>
      </c>
      <c r="JM5" s="11" t="str">
        <f t="shared" si="79"/>
        <v/>
      </c>
      <c r="JN5" s="11" t="str">
        <f t="shared" si="80"/>
        <v/>
      </c>
      <c r="JO5" s="11" t="str">
        <f t="shared" si="81"/>
        <v/>
      </c>
      <c r="JP5" s="11" t="str">
        <f t="shared" si="82"/>
        <v/>
      </c>
      <c r="JQ5" s="11" t="str">
        <f t="shared" si="83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4"/>
        <v/>
      </c>
      <c r="KM5" s="40" t="str">
        <f t="shared" si="85"/>
        <v/>
      </c>
      <c r="KN5" s="40" t="str">
        <f t="shared" si="86"/>
        <v/>
      </c>
      <c r="KO5" s="40" t="str">
        <f t="shared" si="87"/>
        <v/>
      </c>
      <c r="KP5" s="40" t="str">
        <f t="shared" si="88"/>
        <v/>
      </c>
      <c r="KQ5" s="40" t="str">
        <f t="shared" si="89"/>
        <v/>
      </c>
      <c r="KR5" s="40" t="str">
        <f t="shared" si="90"/>
        <v/>
      </c>
      <c r="KS5" s="40" t="str">
        <f t="shared" si="91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2"/>
        <v/>
      </c>
      <c r="LO5" s="11" t="str">
        <f t="shared" si="93"/>
        <v/>
      </c>
      <c r="LP5" s="11" t="str">
        <f t="shared" si="94"/>
        <v/>
      </c>
      <c r="LQ5" s="11" t="str">
        <f t="shared" si="95"/>
        <v/>
      </c>
      <c r="LR5" s="11" t="str">
        <f t="shared" si="96"/>
        <v/>
      </c>
      <c r="LS5" s="11" t="str">
        <f t="shared" si="97"/>
        <v/>
      </c>
      <c r="LT5" s="11" t="str">
        <f t="shared" si="98"/>
        <v/>
      </c>
      <c r="LU5" s="11" t="str">
        <f t="shared" si="99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0"/>
        <v/>
      </c>
      <c r="MQ5" s="40" t="str">
        <f t="shared" si="101"/>
        <v/>
      </c>
      <c r="MR5" s="40" t="str">
        <f t="shared" si="102"/>
        <v/>
      </c>
      <c r="MS5" s="40" t="str">
        <f t="shared" si="103"/>
        <v/>
      </c>
      <c r="MT5" s="40" t="str">
        <f t="shared" si="104"/>
        <v/>
      </c>
      <c r="MU5" s="40" t="str">
        <f t="shared" si="105"/>
        <v/>
      </c>
      <c r="MV5" s="40" t="str">
        <f t="shared" si="106"/>
        <v/>
      </c>
      <c r="MW5" s="40" t="str">
        <f t="shared" si="107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08"/>
        <v/>
      </c>
      <c r="NS5" s="11" t="str">
        <f t="shared" si="109"/>
        <v/>
      </c>
      <c r="NT5" s="11" t="str">
        <f t="shared" si="110"/>
        <v/>
      </c>
      <c r="NU5" s="11" t="str">
        <f t="shared" si="111"/>
        <v/>
      </c>
      <c r="NV5" s="11" t="str">
        <f t="shared" si="112"/>
        <v/>
      </c>
      <c r="NW5" s="11" t="str">
        <f t="shared" si="113"/>
        <v/>
      </c>
      <c r="NX5" s="11" t="str">
        <f t="shared" si="114"/>
        <v/>
      </c>
      <c r="NY5" s="11" t="str">
        <f t="shared" si="115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6"/>
        <v/>
      </c>
      <c r="OU5" s="40" t="str">
        <f t="shared" si="117"/>
        <v/>
      </c>
      <c r="OV5" s="40" t="str">
        <f t="shared" si="118"/>
        <v/>
      </c>
      <c r="OW5" s="40" t="str">
        <f t="shared" si="119"/>
        <v/>
      </c>
      <c r="OX5" s="40" t="str">
        <f t="shared" si="120"/>
        <v/>
      </c>
      <c r="OY5" s="40" t="str">
        <f t="shared" si="121"/>
        <v/>
      </c>
      <c r="OZ5" s="40" t="str">
        <f t="shared" si="122"/>
        <v/>
      </c>
      <c r="PA5" s="40" t="str">
        <f t="shared" si="123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4"/>
        <v/>
      </c>
      <c r="PW5" s="11" t="str">
        <f t="shared" si="125"/>
        <v/>
      </c>
      <c r="PX5" s="11" t="str">
        <f t="shared" si="126"/>
        <v/>
      </c>
      <c r="PY5" s="11" t="str">
        <f t="shared" si="127"/>
        <v/>
      </c>
      <c r="PZ5" s="11" t="str">
        <f t="shared" si="128"/>
        <v/>
      </c>
      <c r="QA5" s="11" t="str">
        <f t="shared" si="129"/>
        <v/>
      </c>
      <c r="QB5" s="11" t="str">
        <f t="shared" si="130"/>
        <v/>
      </c>
      <c r="QC5" s="11" t="str">
        <f t="shared" si="131"/>
        <v/>
      </c>
      <c r="QD5" s="22">
        <f t="shared" si="132"/>
        <v>16.25</v>
      </c>
      <c r="QE5" s="22">
        <f t="shared" si="133"/>
        <v>3.8</v>
      </c>
      <c r="QF5" s="22">
        <f t="shared" si="134"/>
        <v>0</v>
      </c>
      <c r="QG5" s="22">
        <f t="shared" si="135"/>
        <v>0</v>
      </c>
      <c r="QH5" s="22">
        <f t="shared" si="136"/>
        <v>18.450000000000003</v>
      </c>
      <c r="QI5" s="22">
        <f t="shared" si="137"/>
        <v>9.6</v>
      </c>
      <c r="QJ5" s="22">
        <f t="shared" si="138"/>
        <v>0.4</v>
      </c>
      <c r="QK5" s="22">
        <f t="shared" si="139"/>
        <v>0.44999999999999996</v>
      </c>
      <c r="QL5" s="22">
        <f t="shared" si="140"/>
        <v>9.0500000000000007</v>
      </c>
      <c r="QM5" s="22">
        <f t="shared" si="141"/>
        <v>4.6500000000000004</v>
      </c>
      <c r="QN5" s="22">
        <f t="shared" si="142"/>
        <v>0.3</v>
      </c>
      <c r="QO5" s="22">
        <f t="shared" si="143"/>
        <v>0.15</v>
      </c>
      <c r="QP5" s="22">
        <f t="shared" si="144"/>
        <v>9.1999999999999993</v>
      </c>
      <c r="QQ5" s="22">
        <f t="shared" si="145"/>
        <v>4.45</v>
      </c>
      <c r="QR5" s="22">
        <f t="shared" si="146"/>
        <v>0.4</v>
      </c>
      <c r="QS5" s="22">
        <f t="shared" si="147"/>
        <v>0.15</v>
      </c>
      <c r="QT5" s="22">
        <f t="shared" si="148"/>
        <v>9.5500000000000007</v>
      </c>
      <c r="QU5" s="22">
        <f t="shared" si="149"/>
        <v>4.5999999999999996</v>
      </c>
      <c r="QV5" s="22">
        <f t="shared" si="150"/>
        <v>0.1</v>
      </c>
      <c r="QW5" s="22">
        <f t="shared" si="151"/>
        <v>0.15</v>
      </c>
      <c r="QX5" s="27" t="s">
        <v>46</v>
      </c>
      <c r="QY5" s="40">
        <f t="shared" si="152"/>
        <v>13.399999999999999</v>
      </c>
      <c r="QZ5" s="40">
        <f t="shared" si="153"/>
        <v>48.150000000000006</v>
      </c>
      <c r="RA5" s="40">
        <f t="shared" si="154"/>
        <v>13.55</v>
      </c>
      <c r="RB5" s="40">
        <f t="shared" si="155"/>
        <v>18.049999999999997</v>
      </c>
      <c r="RC5" s="40">
        <f t="shared" si="156"/>
        <v>61.7</v>
      </c>
      <c r="RD5" s="40">
        <f t="shared" si="157"/>
        <v>9.0500000000000007</v>
      </c>
      <c r="RE5" s="40">
        <f t="shared" si="158"/>
        <v>27.6</v>
      </c>
      <c r="RF5" s="40">
        <f t="shared" si="159"/>
        <v>89.300000000000011</v>
      </c>
    </row>
    <row r="6" spans="1:474" x14ac:dyDescent="0.2">
      <c r="A6" s="4" cm="1">
        <f t="array" ref="A6">IF(AND(J6&lt;&gt;"",J6&lt;&gt;"No DD"),SUMPRODUCT((J$4:J$42&lt;&gt;"")*(J$4:J$42&lt;&gt;"No DD")*(F$4:F$42&gt;F6))+1,IF(J6="No DD",SUMPRODUCT((J$4:J$42="No DD")*(F$4:F$42&gt;F6))+1+SUMPRODUCT((J$4:J$42&lt;&gt;"")*(J$4:J$42&lt;&gt;"No DD")),""))</f>
        <v>3</v>
      </c>
      <c r="B6" s="4" t="str" cm="1">
        <f t="array" ref="B6">IF(AND(J6&lt;&gt;"",J6&lt;&gt;"No DD",G6=""),SUMPRODUCT((J$4:J$42&lt;&gt;"")*(J$4:J$42&lt;&gt;"No DD")*(G$4:G$42="")*(F$4:F$42&gt;F6))+1,IF(J6="No DD",SUMPRODUCT((J$4:J$42="No DD")*(F$4:F$42&gt;F6)*(G$4:G$42=""))+1+SUMPRODUCT((J$4:J$42&lt;&gt;"")*(G$4:G$42="")*(J$4:J$42&lt;&gt;"No DD")),""))</f>
        <v/>
      </c>
      <c r="C6" s="5" t="s">
        <v>98</v>
      </c>
      <c r="D6" s="4" t="s">
        <v>5</v>
      </c>
      <c r="E6" s="4">
        <v>2005</v>
      </c>
      <c r="F6" s="9">
        <f t="shared" si="0"/>
        <v>159.7000105700053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53.099999999999994</v>
      </c>
      <c r="M6" s="8" t="str">
        <f t="shared" si="5"/>
        <v>2024 3rd Domestic Trial</v>
      </c>
      <c r="N6" s="8">
        <f>IF(COUNT(AQ6,BT6,CW6)&gt;1,LARGE((AQ6,BT6,CW6),2),0)</f>
        <v>52.600000000000009</v>
      </c>
      <c r="O6" s="8" t="str">
        <f t="shared" si="6"/>
        <v>2025 Elite Canada</v>
      </c>
      <c r="P6" s="8">
        <f t="shared" si="7"/>
        <v>54</v>
      </c>
      <c r="Q6" s="8" t="str">
        <f t="shared" si="8"/>
        <v>2025 Elite Canada</v>
      </c>
      <c r="R6" s="8" t="str">
        <f t="shared" si="9"/>
        <v/>
      </c>
      <c r="S6" s="11" t="str">
        <f t="shared" si="160"/>
        <v/>
      </c>
      <c r="T6" s="8" t="str">
        <f t="shared" si="161"/>
        <v/>
      </c>
      <c r="U6" s="19">
        <v>18.2</v>
      </c>
      <c r="V6" s="19">
        <v>8.4</v>
      </c>
      <c r="W6" s="19">
        <v>0</v>
      </c>
      <c r="X6" s="19">
        <v>0.3</v>
      </c>
      <c r="Y6" s="19">
        <v>18.2</v>
      </c>
      <c r="Z6" s="19">
        <v>6.8</v>
      </c>
      <c r="AA6" s="19">
        <v>0.2</v>
      </c>
      <c r="AB6" s="19">
        <v>0</v>
      </c>
      <c r="AC6" s="19">
        <v>17.399999999999999</v>
      </c>
      <c r="AD6" s="19">
        <v>2.8</v>
      </c>
      <c r="AE6" s="19">
        <v>0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7"/>
      <c r="AP6" s="40">
        <f t="shared" si="10"/>
        <v>15.2</v>
      </c>
      <c r="AQ6" s="40">
        <f t="shared" si="11"/>
        <v>51.699999999999996</v>
      </c>
      <c r="AR6" s="40">
        <f t="shared" si="12"/>
        <v>20.2</v>
      </c>
      <c r="AS6" s="40">
        <f t="shared" si="13"/>
        <v>18</v>
      </c>
      <c r="AT6" s="40">
        <f t="shared" si="14"/>
        <v>71.899999999999991</v>
      </c>
      <c r="AU6" s="40" t="str">
        <f t="shared" si="15"/>
        <v/>
      </c>
      <c r="AV6" s="40" t="str">
        <f t="shared" si="16"/>
        <v/>
      </c>
      <c r="AW6" s="40">
        <f t="shared" si="17"/>
        <v>71.899999999999991</v>
      </c>
      <c r="AX6" s="18">
        <v>18.5</v>
      </c>
      <c r="AY6" s="18">
        <v>8.4</v>
      </c>
      <c r="AZ6" s="18">
        <v>0.6</v>
      </c>
      <c r="BA6" s="18">
        <v>0.3</v>
      </c>
      <c r="BB6" s="18">
        <v>18.899999999999999</v>
      </c>
      <c r="BC6" s="18">
        <v>7.6</v>
      </c>
      <c r="BD6" s="18">
        <v>0</v>
      </c>
      <c r="BE6" s="18">
        <v>0</v>
      </c>
      <c r="BF6" s="18">
        <v>18.399999999999999</v>
      </c>
      <c r="BG6" s="18">
        <v>8.1</v>
      </c>
      <c r="BH6" s="18">
        <v>0</v>
      </c>
      <c r="BI6" s="18">
        <v>0.3</v>
      </c>
      <c r="BJ6" s="18">
        <v>18.399999999999999</v>
      </c>
      <c r="BK6" s="18">
        <v>8.4</v>
      </c>
      <c r="BL6" s="18">
        <v>0.8</v>
      </c>
      <c r="BM6" s="18">
        <v>0.3</v>
      </c>
      <c r="BN6" s="18">
        <v>18.8</v>
      </c>
      <c r="BO6" s="18">
        <v>8</v>
      </c>
      <c r="BP6" s="18">
        <v>0.2</v>
      </c>
      <c r="BQ6" s="18">
        <v>0</v>
      </c>
      <c r="BR6" s="28"/>
      <c r="BS6" s="11">
        <f t="shared" si="18"/>
        <v>16</v>
      </c>
      <c r="BT6" s="11">
        <f t="shared" si="19"/>
        <v>53.099999999999994</v>
      </c>
      <c r="BU6" s="11">
        <f t="shared" si="20"/>
        <v>26.8</v>
      </c>
      <c r="BV6" s="11">
        <f t="shared" si="21"/>
        <v>24.1</v>
      </c>
      <c r="BW6" s="11">
        <f t="shared" si="22"/>
        <v>79.899999999999991</v>
      </c>
      <c r="BX6" s="11">
        <f t="shared" si="23"/>
        <v>16.399999999999999</v>
      </c>
      <c r="BY6" s="11">
        <f t="shared" si="24"/>
        <v>52.9</v>
      </c>
      <c r="BZ6" s="11">
        <f t="shared" si="25"/>
        <v>132.79999999999998</v>
      </c>
      <c r="CA6" s="19">
        <v>18.2</v>
      </c>
      <c r="CB6" s="19">
        <v>8.4</v>
      </c>
      <c r="CC6" s="19">
        <v>0.8</v>
      </c>
      <c r="CD6" s="19">
        <v>0.3</v>
      </c>
      <c r="CE6" s="19">
        <v>18.5</v>
      </c>
      <c r="CF6" s="19">
        <v>8</v>
      </c>
      <c r="CG6" s="19">
        <v>0</v>
      </c>
      <c r="CH6" s="19">
        <v>0</v>
      </c>
      <c r="CI6" s="19"/>
      <c r="CJ6" s="19"/>
      <c r="CK6" s="19"/>
      <c r="CL6" s="19"/>
      <c r="CM6" s="19">
        <v>18.100000000000001</v>
      </c>
      <c r="CN6" s="19">
        <v>8.5</v>
      </c>
      <c r="CO6" s="19">
        <v>0.2</v>
      </c>
      <c r="CP6" s="19">
        <v>0.3</v>
      </c>
      <c r="CQ6" s="19">
        <v>18.8</v>
      </c>
      <c r="CR6" s="19">
        <v>8.8000000000000007</v>
      </c>
      <c r="CS6" s="19">
        <v>0.6</v>
      </c>
      <c r="CT6" s="19">
        <v>0.3</v>
      </c>
      <c r="CU6" s="27"/>
      <c r="CV6" s="40">
        <f t="shared" si="26"/>
        <v>16.399999999999999</v>
      </c>
      <c r="CW6" s="40">
        <f t="shared" si="27"/>
        <v>52.600000000000009</v>
      </c>
      <c r="CX6" s="40" t="str">
        <f t="shared" si="28"/>
        <v/>
      </c>
      <c r="CY6" s="40">
        <f t="shared" si="29"/>
        <v>16.399999999999999</v>
      </c>
      <c r="CZ6" s="40">
        <f t="shared" si="30"/>
        <v>52.600000000000009</v>
      </c>
      <c r="DA6" s="40">
        <f t="shared" si="31"/>
        <v>17.3</v>
      </c>
      <c r="DB6" s="40">
        <f t="shared" si="32"/>
        <v>54</v>
      </c>
      <c r="DC6" s="40">
        <f t="shared" si="33"/>
        <v>106.60000000000001</v>
      </c>
      <c r="DD6" s="50" t="str">
        <f t="shared" si="34"/>
        <v/>
      </c>
      <c r="DE6" s="50" t="str">
        <f t="shared" si="35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6"/>
        <v/>
      </c>
      <c r="EA6" s="40" t="str">
        <f t="shared" si="37"/>
        <v/>
      </c>
      <c r="EB6" s="40" t="str">
        <f t="shared" si="38"/>
        <v/>
      </c>
      <c r="EC6" s="40" t="str">
        <f t="shared" si="39"/>
        <v/>
      </c>
      <c r="ED6" s="40" t="str">
        <f t="shared" si="40"/>
        <v/>
      </c>
      <c r="EE6" s="40" t="str">
        <f t="shared" si="41"/>
        <v/>
      </c>
      <c r="EF6" s="40" t="str">
        <f t="shared" si="42"/>
        <v/>
      </c>
      <c r="EG6" s="40" t="str">
        <f t="shared" si="43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 t="str">
        <f t="shared" si="44"/>
        <v/>
      </c>
      <c r="FC6" s="11" t="str">
        <f t="shared" si="45"/>
        <v/>
      </c>
      <c r="FD6" s="11" t="str">
        <f t="shared" si="46"/>
        <v/>
      </c>
      <c r="FE6" s="11" t="str">
        <f t="shared" si="47"/>
        <v/>
      </c>
      <c r="FF6" s="11" t="str">
        <f t="shared" si="48"/>
        <v/>
      </c>
      <c r="FG6" s="11" t="str">
        <f t="shared" si="49"/>
        <v/>
      </c>
      <c r="FH6" s="11" t="str">
        <f t="shared" si="50"/>
        <v/>
      </c>
      <c r="FI6" s="11" t="str">
        <f t="shared" si="51"/>
        <v/>
      </c>
      <c r="FJ6" s="17">
        <v>18.399999999999999</v>
      </c>
      <c r="FK6" s="17">
        <v>8.4</v>
      </c>
      <c r="FL6" s="17">
        <v>0.8</v>
      </c>
      <c r="FM6" s="17">
        <v>0</v>
      </c>
      <c r="FN6" s="17">
        <v>17.2</v>
      </c>
      <c r="FO6" s="17">
        <v>3.6</v>
      </c>
      <c r="FP6" s="17">
        <v>0</v>
      </c>
      <c r="FQ6" s="17">
        <v>0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>
        <f t="shared" si="52"/>
        <v>12</v>
      </c>
      <c r="GE6" s="40">
        <f t="shared" si="53"/>
        <v>46.800000000000004</v>
      </c>
      <c r="GF6" s="40" t="str">
        <f t="shared" si="54"/>
        <v/>
      </c>
      <c r="GG6" s="40">
        <f t="shared" si="55"/>
        <v>12</v>
      </c>
      <c r="GH6" s="40">
        <f t="shared" si="56"/>
        <v>46.800000000000004</v>
      </c>
      <c r="GI6" s="40" t="str">
        <f t="shared" si="57"/>
        <v/>
      </c>
      <c r="GJ6" s="40" t="str">
        <f t="shared" si="58"/>
        <v/>
      </c>
      <c r="GK6" s="40">
        <f t="shared" si="59"/>
        <v>46.800000000000004</v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0"/>
        <v/>
      </c>
      <c r="HG6" s="11" t="str">
        <f t="shared" si="61"/>
        <v/>
      </c>
      <c r="HH6" s="11" t="str">
        <f t="shared" si="62"/>
        <v/>
      </c>
      <c r="HI6" s="11" t="str">
        <f t="shared" si="63"/>
        <v/>
      </c>
      <c r="HJ6" s="11" t="str">
        <f t="shared" si="64"/>
        <v/>
      </c>
      <c r="HK6" s="11" t="str">
        <f t="shared" si="65"/>
        <v/>
      </c>
      <c r="HL6" s="11" t="str">
        <f t="shared" si="66"/>
        <v/>
      </c>
      <c r="HM6" s="11" t="str">
        <f t="shared" si="67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68"/>
        <v/>
      </c>
      <c r="II6" s="40" t="str">
        <f t="shared" si="69"/>
        <v/>
      </c>
      <c r="IJ6" s="40" t="str">
        <f t="shared" si="70"/>
        <v/>
      </c>
      <c r="IK6" s="40" t="str">
        <f t="shared" si="71"/>
        <v/>
      </c>
      <c r="IL6" s="40" t="str">
        <f t="shared" si="72"/>
        <v/>
      </c>
      <c r="IM6" s="40" t="str">
        <f t="shared" si="73"/>
        <v/>
      </c>
      <c r="IN6" s="40" t="str">
        <f t="shared" si="74"/>
        <v/>
      </c>
      <c r="IO6" s="40" t="str">
        <f t="shared" si="75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6"/>
        <v/>
      </c>
      <c r="JK6" s="11" t="str">
        <f t="shared" si="77"/>
        <v/>
      </c>
      <c r="JL6" s="11" t="str">
        <f t="shared" si="78"/>
        <v/>
      </c>
      <c r="JM6" s="11" t="str">
        <f t="shared" si="79"/>
        <v/>
      </c>
      <c r="JN6" s="11" t="str">
        <f t="shared" si="80"/>
        <v/>
      </c>
      <c r="JO6" s="11" t="str">
        <f t="shared" si="81"/>
        <v/>
      </c>
      <c r="JP6" s="11" t="str">
        <f t="shared" si="82"/>
        <v/>
      </c>
      <c r="JQ6" s="11" t="str">
        <f t="shared" si="83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4"/>
        <v/>
      </c>
      <c r="KM6" s="40" t="str">
        <f t="shared" si="85"/>
        <v/>
      </c>
      <c r="KN6" s="40" t="str">
        <f t="shared" si="86"/>
        <v/>
      </c>
      <c r="KO6" s="40" t="str">
        <f t="shared" si="87"/>
        <v/>
      </c>
      <c r="KP6" s="40" t="str">
        <f t="shared" si="88"/>
        <v/>
      </c>
      <c r="KQ6" s="40" t="str">
        <f t="shared" si="89"/>
        <v/>
      </c>
      <c r="KR6" s="40" t="str">
        <f t="shared" si="90"/>
        <v/>
      </c>
      <c r="KS6" s="40" t="str">
        <f t="shared" si="91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2"/>
        <v/>
      </c>
      <c r="LO6" s="11" t="str">
        <f t="shared" si="93"/>
        <v/>
      </c>
      <c r="LP6" s="11" t="str">
        <f t="shared" si="94"/>
        <v/>
      </c>
      <c r="LQ6" s="11" t="str">
        <f t="shared" si="95"/>
        <v/>
      </c>
      <c r="LR6" s="11" t="str">
        <f t="shared" si="96"/>
        <v/>
      </c>
      <c r="LS6" s="11" t="str">
        <f t="shared" si="97"/>
        <v/>
      </c>
      <c r="LT6" s="11" t="str">
        <f t="shared" si="98"/>
        <v/>
      </c>
      <c r="LU6" s="11" t="str">
        <f t="shared" si="99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0"/>
        <v/>
      </c>
      <c r="MQ6" s="40" t="str">
        <f t="shared" si="101"/>
        <v/>
      </c>
      <c r="MR6" s="40" t="str">
        <f t="shared" si="102"/>
        <v/>
      </c>
      <c r="MS6" s="40" t="str">
        <f t="shared" si="103"/>
        <v/>
      </c>
      <c r="MT6" s="40" t="str">
        <f t="shared" si="104"/>
        <v/>
      </c>
      <c r="MU6" s="40" t="str">
        <f t="shared" si="105"/>
        <v/>
      </c>
      <c r="MV6" s="40" t="str">
        <f t="shared" si="106"/>
        <v/>
      </c>
      <c r="MW6" s="40" t="str">
        <f t="shared" si="107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08"/>
        <v/>
      </c>
      <c r="NS6" s="11" t="str">
        <f t="shared" si="109"/>
        <v/>
      </c>
      <c r="NT6" s="11" t="str">
        <f t="shared" si="110"/>
        <v/>
      </c>
      <c r="NU6" s="11" t="str">
        <f t="shared" si="111"/>
        <v/>
      </c>
      <c r="NV6" s="11" t="str">
        <f t="shared" si="112"/>
        <v/>
      </c>
      <c r="NW6" s="11" t="str">
        <f t="shared" si="113"/>
        <v/>
      </c>
      <c r="NX6" s="11" t="str">
        <f t="shared" si="114"/>
        <v/>
      </c>
      <c r="NY6" s="11" t="str">
        <f t="shared" si="115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6"/>
        <v/>
      </c>
      <c r="OU6" s="40" t="str">
        <f t="shared" si="117"/>
        <v/>
      </c>
      <c r="OV6" s="40" t="str">
        <f t="shared" si="118"/>
        <v/>
      </c>
      <c r="OW6" s="40" t="str">
        <f t="shared" si="119"/>
        <v/>
      </c>
      <c r="OX6" s="40" t="str">
        <f t="shared" si="120"/>
        <v/>
      </c>
      <c r="OY6" s="40" t="str">
        <f t="shared" si="121"/>
        <v/>
      </c>
      <c r="OZ6" s="40" t="str">
        <f t="shared" si="122"/>
        <v/>
      </c>
      <c r="PA6" s="40" t="str">
        <f t="shared" si="123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4"/>
        <v/>
      </c>
      <c r="PW6" s="11" t="str">
        <f t="shared" si="125"/>
        <v/>
      </c>
      <c r="PX6" s="11" t="str">
        <f t="shared" si="126"/>
        <v/>
      </c>
      <c r="PY6" s="11" t="str">
        <f t="shared" si="127"/>
        <v/>
      </c>
      <c r="PZ6" s="11" t="str">
        <f t="shared" si="128"/>
        <v/>
      </c>
      <c r="QA6" s="11" t="str">
        <f t="shared" si="129"/>
        <v/>
      </c>
      <c r="QB6" s="11" t="str">
        <f t="shared" si="130"/>
        <v/>
      </c>
      <c r="QC6" s="11" t="str">
        <f t="shared" si="131"/>
        <v/>
      </c>
      <c r="QD6" s="22">
        <f t="shared" si="132"/>
        <v>18.350000000000001</v>
      </c>
      <c r="QE6" s="22">
        <f t="shared" si="133"/>
        <v>8.4</v>
      </c>
      <c r="QF6" s="22">
        <f t="shared" si="134"/>
        <v>0.7</v>
      </c>
      <c r="QG6" s="22">
        <f t="shared" si="135"/>
        <v>0.3</v>
      </c>
      <c r="QH6" s="22">
        <f t="shared" si="136"/>
        <v>18.7</v>
      </c>
      <c r="QI6" s="22">
        <f t="shared" si="137"/>
        <v>7.8</v>
      </c>
      <c r="QJ6" s="22">
        <f t="shared" si="138"/>
        <v>0</v>
      </c>
      <c r="QK6" s="22">
        <f t="shared" si="139"/>
        <v>0</v>
      </c>
      <c r="QL6" s="22">
        <f t="shared" si="140"/>
        <v>9.1999999999999993</v>
      </c>
      <c r="QM6" s="22">
        <f t="shared" si="141"/>
        <v>4.05</v>
      </c>
      <c r="QN6" s="22">
        <f t="shared" si="142"/>
        <v>0</v>
      </c>
      <c r="QO6" s="22">
        <f t="shared" si="143"/>
        <v>0.15</v>
      </c>
      <c r="QP6" s="22">
        <f t="shared" si="144"/>
        <v>18.25</v>
      </c>
      <c r="QQ6" s="22">
        <f t="shared" si="145"/>
        <v>8.4499999999999993</v>
      </c>
      <c r="QR6" s="22">
        <f t="shared" si="146"/>
        <v>0.5</v>
      </c>
      <c r="QS6" s="22">
        <f t="shared" si="147"/>
        <v>0.3</v>
      </c>
      <c r="QT6" s="22">
        <f t="shared" si="148"/>
        <v>18.8</v>
      </c>
      <c r="QU6" s="22">
        <f t="shared" si="149"/>
        <v>8.4</v>
      </c>
      <c r="QV6" s="22">
        <f t="shared" si="150"/>
        <v>0.4</v>
      </c>
      <c r="QW6" s="22">
        <f t="shared" si="151"/>
        <v>0.15</v>
      </c>
      <c r="QX6" s="27" t="s">
        <v>46</v>
      </c>
      <c r="QY6" s="40">
        <f t="shared" si="152"/>
        <v>16.2</v>
      </c>
      <c r="QZ6" s="40">
        <f t="shared" si="153"/>
        <v>52.849999999999994</v>
      </c>
      <c r="RA6" s="40">
        <f t="shared" si="154"/>
        <v>13.4</v>
      </c>
      <c r="RB6" s="40">
        <f t="shared" si="155"/>
        <v>20.25</v>
      </c>
      <c r="RC6" s="40">
        <f t="shared" si="156"/>
        <v>66.25</v>
      </c>
      <c r="RD6" s="40">
        <f t="shared" si="157"/>
        <v>16.850000000000001</v>
      </c>
      <c r="RE6" s="40">
        <f t="shared" si="158"/>
        <v>53.449999999999996</v>
      </c>
      <c r="RF6" s="40">
        <f t="shared" si="159"/>
        <v>119.69999999999999</v>
      </c>
    </row>
    <row r="7" spans="1:474" x14ac:dyDescent="0.2">
      <c r="A7" s="4" cm="1">
        <f t="array" ref="A7">IF(AND(J7&lt;&gt;"",J7&lt;&gt;"No DD"),SUMPRODUCT((J$4:J$42&lt;&gt;"")*(J$4:J$42&lt;&gt;"No DD")*(F$4:F$42&gt;F7))+1,IF(J7="No DD",SUMPRODUCT((J$4:J$42="No DD")*(F$4:F$42&gt;F7))+1+SUMPRODUCT((J$4:J$42&lt;&gt;"")*(J$4:J$42&lt;&gt;"No DD")),""))</f>
        <v>4</v>
      </c>
      <c r="B7" s="4" t="str" cm="1">
        <f t="array" ref="B7">IF(AND(J7&lt;&gt;"",J7&lt;&gt;"No DD",G7=""),SUMPRODUCT((J$4:J$42&lt;&gt;"")*(J$4:J$42&lt;&gt;"No DD")*(G$4:G$42="")*(F$4:F$42&gt;F7))+1,IF(J7="No DD",SUMPRODUCT((J$4:J$42="No DD")*(F$4:F$42&gt;F7)*(G$4:G$42=""))+1+SUMPRODUCT((J$4:J$42&lt;&gt;"")*(G$4:G$42="")*(J$4:J$42&lt;&gt;"No DD")),""))</f>
        <v/>
      </c>
      <c r="C7" s="5" t="s">
        <v>155</v>
      </c>
      <c r="D7" s="4" t="s">
        <v>4</v>
      </c>
      <c r="E7" s="4">
        <v>2007</v>
      </c>
      <c r="F7" s="9">
        <f t="shared" si="0"/>
        <v>158.10001051000526</v>
      </c>
      <c r="G7" s="64" t="s">
        <v>46</v>
      </c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52.7</v>
      </c>
      <c r="M7" s="8" t="str">
        <f t="shared" si="5"/>
        <v>2025 Elite Canada</v>
      </c>
      <c r="N7" s="8">
        <f>IF(COUNT(AQ7,BT7,CW7)&gt;1,LARGE((AQ7,BT7,CW7),2),0)</f>
        <v>52.4</v>
      </c>
      <c r="O7" s="8" t="str">
        <f t="shared" si="6"/>
        <v>2024 3rd Domestic Trial</v>
      </c>
      <c r="P7" s="8">
        <f t="shared" si="7"/>
        <v>53</v>
      </c>
      <c r="Q7" s="8" t="str">
        <f t="shared" si="8"/>
        <v>2024 Nationals</v>
      </c>
      <c r="R7" s="8" t="str">
        <f t="shared" si="9"/>
        <v/>
      </c>
      <c r="S7" s="11" t="str">
        <f t="shared" si="160"/>
        <v/>
      </c>
      <c r="T7" s="8" t="str">
        <f t="shared" si="161"/>
        <v/>
      </c>
      <c r="U7" s="19">
        <v>18.2</v>
      </c>
      <c r="V7" s="19">
        <v>7.2</v>
      </c>
      <c r="W7" s="19">
        <v>1</v>
      </c>
      <c r="X7" s="19">
        <v>0</v>
      </c>
      <c r="Y7" s="19">
        <v>17</v>
      </c>
      <c r="Z7" s="19">
        <v>8.4</v>
      </c>
      <c r="AA7" s="19">
        <v>1</v>
      </c>
      <c r="AB7" s="19">
        <v>0</v>
      </c>
      <c r="AC7" s="19">
        <v>18</v>
      </c>
      <c r="AD7" s="19">
        <v>6.8</v>
      </c>
      <c r="AE7" s="19">
        <v>0.8</v>
      </c>
      <c r="AF7" s="19">
        <v>0</v>
      </c>
      <c r="AG7" s="19">
        <v>19</v>
      </c>
      <c r="AH7" s="19">
        <v>8.4</v>
      </c>
      <c r="AI7" s="19">
        <v>0</v>
      </c>
      <c r="AJ7" s="19">
        <v>0</v>
      </c>
      <c r="AK7" s="19">
        <v>18.8</v>
      </c>
      <c r="AL7" s="19">
        <v>6.8</v>
      </c>
      <c r="AM7" s="19">
        <v>0</v>
      </c>
      <c r="AN7" s="19">
        <v>0</v>
      </c>
      <c r="AO7" s="27"/>
      <c r="AP7" s="40">
        <f t="shared" si="10"/>
        <v>15.600000000000001</v>
      </c>
      <c r="AQ7" s="40">
        <f t="shared" si="11"/>
        <v>48.8</v>
      </c>
      <c r="AR7" s="40">
        <f t="shared" si="12"/>
        <v>24</v>
      </c>
      <c r="AS7" s="40">
        <f t="shared" si="13"/>
        <v>22.400000000000002</v>
      </c>
      <c r="AT7" s="40">
        <f t="shared" si="14"/>
        <v>72.8</v>
      </c>
      <c r="AU7" s="40">
        <f t="shared" si="15"/>
        <v>15.2</v>
      </c>
      <c r="AV7" s="40">
        <f t="shared" si="16"/>
        <v>53</v>
      </c>
      <c r="AW7" s="40">
        <f t="shared" si="17"/>
        <v>125.8</v>
      </c>
      <c r="AX7" s="18">
        <v>18.7</v>
      </c>
      <c r="AY7" s="18">
        <v>7.2</v>
      </c>
      <c r="AZ7" s="18">
        <v>0.8</v>
      </c>
      <c r="BA7" s="18">
        <v>0</v>
      </c>
      <c r="BB7" s="18">
        <v>18.899999999999999</v>
      </c>
      <c r="BC7" s="18">
        <v>8.4</v>
      </c>
      <c r="BD7" s="18">
        <v>0</v>
      </c>
      <c r="BE7" s="18">
        <v>0</v>
      </c>
      <c r="BF7" s="18">
        <v>18.5</v>
      </c>
      <c r="BG7" s="18">
        <v>7.7</v>
      </c>
      <c r="BH7" s="18">
        <v>0</v>
      </c>
      <c r="BI7" s="18">
        <v>0</v>
      </c>
      <c r="BJ7" s="18">
        <v>17.399999999999999</v>
      </c>
      <c r="BK7" s="18">
        <v>4</v>
      </c>
      <c r="BL7" s="18">
        <v>0</v>
      </c>
      <c r="BM7" s="18">
        <v>0</v>
      </c>
      <c r="BN7" s="18">
        <v>18.2</v>
      </c>
      <c r="BO7" s="18">
        <v>6</v>
      </c>
      <c r="BP7" s="18">
        <v>0</v>
      </c>
      <c r="BQ7" s="18">
        <v>0</v>
      </c>
      <c r="BR7" s="28"/>
      <c r="BS7" s="11">
        <f t="shared" si="18"/>
        <v>15.600000000000001</v>
      </c>
      <c r="BT7" s="11">
        <f t="shared" si="19"/>
        <v>52.4</v>
      </c>
      <c r="BU7" s="11">
        <f t="shared" si="20"/>
        <v>26.2</v>
      </c>
      <c r="BV7" s="11">
        <f t="shared" si="21"/>
        <v>23.3</v>
      </c>
      <c r="BW7" s="11">
        <f t="shared" si="22"/>
        <v>78.599999999999994</v>
      </c>
      <c r="BX7" s="11">
        <f t="shared" si="23"/>
        <v>10</v>
      </c>
      <c r="BY7" s="11">
        <f t="shared" si="24"/>
        <v>45.599999999999994</v>
      </c>
      <c r="BZ7" s="11">
        <f t="shared" si="25"/>
        <v>124.19999999999999</v>
      </c>
      <c r="CA7" s="19">
        <v>18.600000000000001</v>
      </c>
      <c r="CB7" s="19">
        <v>8.4</v>
      </c>
      <c r="CC7" s="19">
        <v>0</v>
      </c>
      <c r="CD7" s="19">
        <v>0</v>
      </c>
      <c r="CE7" s="19">
        <v>18.2</v>
      </c>
      <c r="CF7" s="19">
        <v>7.7</v>
      </c>
      <c r="CG7" s="19">
        <v>0.2</v>
      </c>
      <c r="CH7" s="19">
        <v>0</v>
      </c>
      <c r="CI7" s="19"/>
      <c r="CJ7" s="19"/>
      <c r="CK7" s="19"/>
      <c r="CL7" s="19"/>
      <c r="CM7" s="19">
        <v>18.600000000000001</v>
      </c>
      <c r="CN7" s="19">
        <v>8.4</v>
      </c>
      <c r="CO7" s="19">
        <v>0.6</v>
      </c>
      <c r="CP7" s="19">
        <v>0</v>
      </c>
      <c r="CQ7" s="19">
        <v>18.2</v>
      </c>
      <c r="CR7" s="19">
        <v>7.7</v>
      </c>
      <c r="CS7" s="19">
        <v>0.2</v>
      </c>
      <c r="CT7" s="19">
        <v>0</v>
      </c>
      <c r="CU7" s="27"/>
      <c r="CV7" s="40">
        <f t="shared" si="26"/>
        <v>16.100000000000001</v>
      </c>
      <c r="CW7" s="40">
        <f t="shared" si="27"/>
        <v>52.7</v>
      </c>
      <c r="CX7" s="40" t="str">
        <f t="shared" si="28"/>
        <v/>
      </c>
      <c r="CY7" s="40">
        <f t="shared" si="29"/>
        <v>16.100000000000001</v>
      </c>
      <c r="CZ7" s="40">
        <f t="shared" si="30"/>
        <v>52.7</v>
      </c>
      <c r="DA7" s="40">
        <f t="shared" si="31"/>
        <v>16.100000000000001</v>
      </c>
      <c r="DB7" s="40">
        <f t="shared" si="32"/>
        <v>52.100000000000009</v>
      </c>
      <c r="DC7" s="40">
        <f t="shared" si="33"/>
        <v>104.80000000000001</v>
      </c>
      <c r="DD7" s="50" t="str">
        <f t="shared" si="34"/>
        <v/>
      </c>
      <c r="DE7" s="50" t="str">
        <f t="shared" si="35"/>
        <v/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40" t="str">
        <f t="shared" si="36"/>
        <v/>
      </c>
      <c r="EA7" s="40" t="str">
        <f t="shared" si="37"/>
        <v/>
      </c>
      <c r="EB7" s="40" t="str">
        <f t="shared" si="38"/>
        <v/>
      </c>
      <c r="EC7" s="40" t="str">
        <f t="shared" si="39"/>
        <v/>
      </c>
      <c r="ED7" s="40" t="str">
        <f t="shared" si="40"/>
        <v/>
      </c>
      <c r="EE7" s="40" t="str">
        <f t="shared" si="41"/>
        <v/>
      </c>
      <c r="EF7" s="40" t="str">
        <f t="shared" si="42"/>
        <v/>
      </c>
      <c r="EG7" s="40" t="str">
        <f t="shared" si="43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4"/>
        <v/>
      </c>
      <c r="FC7" s="11" t="str">
        <f t="shared" si="45"/>
        <v/>
      </c>
      <c r="FD7" s="11" t="str">
        <f t="shared" si="46"/>
        <v/>
      </c>
      <c r="FE7" s="11" t="str">
        <f t="shared" si="47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1"/>
        <v/>
      </c>
      <c r="FJ7" s="17">
        <v>0</v>
      </c>
      <c r="FK7" s="17">
        <v>0</v>
      </c>
      <c r="FL7" s="17">
        <v>0</v>
      </c>
      <c r="FM7" s="17">
        <v>0</v>
      </c>
      <c r="FN7" s="17">
        <v>18.8</v>
      </c>
      <c r="FO7" s="17">
        <v>8.4</v>
      </c>
      <c r="FP7" s="17">
        <v>0</v>
      </c>
      <c r="FQ7" s="17">
        <v>0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>
        <f t="shared" si="52"/>
        <v>8.4</v>
      </c>
      <c r="GE7" s="40">
        <f t="shared" si="53"/>
        <v>27.200000000000003</v>
      </c>
      <c r="GF7" s="40" t="str">
        <f t="shared" si="54"/>
        <v/>
      </c>
      <c r="GG7" s="40">
        <f t="shared" si="55"/>
        <v>8.4</v>
      </c>
      <c r="GH7" s="40">
        <f t="shared" si="56"/>
        <v>27.200000000000003</v>
      </c>
      <c r="GI7" s="40" t="str">
        <f t="shared" si="57"/>
        <v/>
      </c>
      <c r="GJ7" s="40" t="str">
        <f t="shared" si="58"/>
        <v/>
      </c>
      <c r="GK7" s="40">
        <f t="shared" si="59"/>
        <v>27.200000000000003</v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0"/>
        <v/>
      </c>
      <c r="HG7" s="11" t="str">
        <f t="shared" si="61"/>
        <v/>
      </c>
      <c r="HH7" s="11" t="str">
        <f t="shared" si="62"/>
        <v/>
      </c>
      <c r="HI7" s="11" t="str">
        <f t="shared" si="63"/>
        <v/>
      </c>
      <c r="HJ7" s="11" t="str">
        <f t="shared" si="64"/>
        <v/>
      </c>
      <c r="HK7" s="11" t="str">
        <f t="shared" si="65"/>
        <v/>
      </c>
      <c r="HL7" s="11" t="str">
        <f t="shared" si="66"/>
        <v/>
      </c>
      <c r="HM7" s="11" t="str">
        <f t="shared" si="67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68"/>
        <v/>
      </c>
      <c r="II7" s="40" t="str">
        <f t="shared" si="69"/>
        <v/>
      </c>
      <c r="IJ7" s="40" t="str">
        <f t="shared" si="70"/>
        <v/>
      </c>
      <c r="IK7" s="40" t="str">
        <f t="shared" si="71"/>
        <v/>
      </c>
      <c r="IL7" s="40" t="str">
        <f t="shared" si="72"/>
        <v/>
      </c>
      <c r="IM7" s="40" t="str">
        <f t="shared" si="73"/>
        <v/>
      </c>
      <c r="IN7" s="40" t="str">
        <f t="shared" si="74"/>
        <v/>
      </c>
      <c r="IO7" s="40" t="str">
        <f t="shared" si="75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6"/>
        <v/>
      </c>
      <c r="JK7" s="11" t="str">
        <f t="shared" si="77"/>
        <v/>
      </c>
      <c r="JL7" s="11" t="str">
        <f t="shared" si="78"/>
        <v/>
      </c>
      <c r="JM7" s="11" t="str">
        <f t="shared" si="79"/>
        <v/>
      </c>
      <c r="JN7" s="11" t="str">
        <f t="shared" si="80"/>
        <v/>
      </c>
      <c r="JO7" s="11" t="str">
        <f t="shared" si="81"/>
        <v/>
      </c>
      <c r="JP7" s="11" t="str">
        <f t="shared" si="82"/>
        <v/>
      </c>
      <c r="JQ7" s="11" t="str">
        <f t="shared" si="83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4"/>
        <v/>
      </c>
      <c r="KM7" s="40" t="str">
        <f t="shared" si="85"/>
        <v/>
      </c>
      <c r="KN7" s="40" t="str">
        <f t="shared" si="86"/>
        <v/>
      </c>
      <c r="KO7" s="40" t="str">
        <f t="shared" si="87"/>
        <v/>
      </c>
      <c r="KP7" s="40" t="str">
        <f t="shared" si="88"/>
        <v/>
      </c>
      <c r="KQ7" s="40" t="str">
        <f t="shared" si="89"/>
        <v/>
      </c>
      <c r="KR7" s="40" t="str">
        <f t="shared" si="90"/>
        <v/>
      </c>
      <c r="KS7" s="40" t="str">
        <f t="shared" si="91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2"/>
        <v/>
      </c>
      <c r="LO7" s="11" t="str">
        <f t="shared" si="93"/>
        <v/>
      </c>
      <c r="LP7" s="11" t="str">
        <f t="shared" si="94"/>
        <v/>
      </c>
      <c r="LQ7" s="11" t="str">
        <f t="shared" si="95"/>
        <v/>
      </c>
      <c r="LR7" s="11" t="str">
        <f t="shared" si="96"/>
        <v/>
      </c>
      <c r="LS7" s="11" t="str">
        <f t="shared" si="97"/>
        <v/>
      </c>
      <c r="LT7" s="11" t="str">
        <f t="shared" si="98"/>
        <v/>
      </c>
      <c r="LU7" s="11" t="str">
        <f t="shared" si="99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0"/>
        <v/>
      </c>
      <c r="MQ7" s="40" t="str">
        <f t="shared" si="101"/>
        <v/>
      </c>
      <c r="MR7" s="40" t="str">
        <f t="shared" si="102"/>
        <v/>
      </c>
      <c r="MS7" s="40" t="str">
        <f t="shared" si="103"/>
        <v/>
      </c>
      <c r="MT7" s="40" t="str">
        <f t="shared" si="104"/>
        <v/>
      </c>
      <c r="MU7" s="40" t="str">
        <f t="shared" si="105"/>
        <v/>
      </c>
      <c r="MV7" s="40" t="str">
        <f t="shared" si="106"/>
        <v/>
      </c>
      <c r="MW7" s="40" t="str">
        <f t="shared" si="107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08"/>
        <v/>
      </c>
      <c r="NS7" s="11" t="str">
        <f t="shared" si="109"/>
        <v/>
      </c>
      <c r="NT7" s="11" t="str">
        <f t="shared" si="110"/>
        <v/>
      </c>
      <c r="NU7" s="11" t="str">
        <f t="shared" si="111"/>
        <v/>
      </c>
      <c r="NV7" s="11" t="str">
        <f t="shared" si="112"/>
        <v/>
      </c>
      <c r="NW7" s="11" t="str">
        <f t="shared" si="113"/>
        <v/>
      </c>
      <c r="NX7" s="11" t="str">
        <f t="shared" si="114"/>
        <v/>
      </c>
      <c r="NY7" s="11" t="str">
        <f t="shared" si="115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6"/>
        <v/>
      </c>
      <c r="OU7" s="40" t="str">
        <f t="shared" si="117"/>
        <v/>
      </c>
      <c r="OV7" s="40" t="str">
        <f t="shared" si="118"/>
        <v/>
      </c>
      <c r="OW7" s="40" t="str">
        <f t="shared" si="119"/>
        <v/>
      </c>
      <c r="OX7" s="40" t="str">
        <f t="shared" si="120"/>
        <v/>
      </c>
      <c r="OY7" s="40" t="str">
        <f t="shared" si="121"/>
        <v/>
      </c>
      <c r="OZ7" s="40" t="str">
        <f t="shared" si="122"/>
        <v/>
      </c>
      <c r="PA7" s="40" t="str">
        <f t="shared" si="123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4"/>
        <v/>
      </c>
      <c r="PW7" s="11" t="str">
        <f t="shared" si="125"/>
        <v/>
      </c>
      <c r="PX7" s="11" t="str">
        <f t="shared" si="126"/>
        <v/>
      </c>
      <c r="PY7" s="11" t="str">
        <f t="shared" si="127"/>
        <v/>
      </c>
      <c r="PZ7" s="11" t="str">
        <f t="shared" si="128"/>
        <v/>
      </c>
      <c r="QA7" s="11" t="str">
        <f t="shared" si="129"/>
        <v/>
      </c>
      <c r="QB7" s="11" t="str">
        <f t="shared" si="130"/>
        <v/>
      </c>
      <c r="QC7" s="11" t="str">
        <f t="shared" si="131"/>
        <v/>
      </c>
      <c r="QD7" s="22">
        <f t="shared" si="132"/>
        <v>18.649999999999999</v>
      </c>
      <c r="QE7" s="22">
        <f t="shared" si="133"/>
        <v>7.8000000000000007</v>
      </c>
      <c r="QF7" s="22">
        <f t="shared" si="134"/>
        <v>0.4</v>
      </c>
      <c r="QG7" s="22">
        <f t="shared" si="135"/>
        <v>0</v>
      </c>
      <c r="QH7" s="22">
        <f t="shared" si="136"/>
        <v>18.549999999999997</v>
      </c>
      <c r="QI7" s="22">
        <f t="shared" si="137"/>
        <v>8.0500000000000007</v>
      </c>
      <c r="QJ7" s="22">
        <f t="shared" si="138"/>
        <v>0.1</v>
      </c>
      <c r="QK7" s="22">
        <f t="shared" si="139"/>
        <v>0</v>
      </c>
      <c r="QL7" s="22">
        <f t="shared" si="140"/>
        <v>9.25</v>
      </c>
      <c r="QM7" s="22">
        <f t="shared" si="141"/>
        <v>3.85</v>
      </c>
      <c r="QN7" s="22">
        <f t="shared" si="142"/>
        <v>0</v>
      </c>
      <c r="QO7" s="22">
        <f t="shared" si="143"/>
        <v>0</v>
      </c>
      <c r="QP7" s="22">
        <f t="shared" si="144"/>
        <v>18</v>
      </c>
      <c r="QQ7" s="22">
        <f t="shared" si="145"/>
        <v>6.2</v>
      </c>
      <c r="QR7" s="22">
        <f t="shared" si="146"/>
        <v>0.3</v>
      </c>
      <c r="QS7" s="22">
        <f t="shared" si="147"/>
        <v>0</v>
      </c>
      <c r="QT7" s="22">
        <f t="shared" si="148"/>
        <v>18.2</v>
      </c>
      <c r="QU7" s="22">
        <f t="shared" si="149"/>
        <v>6.85</v>
      </c>
      <c r="QV7" s="22">
        <f t="shared" si="150"/>
        <v>0.1</v>
      </c>
      <c r="QW7" s="22">
        <f t="shared" si="151"/>
        <v>0</v>
      </c>
      <c r="QX7" s="27" t="s">
        <v>46</v>
      </c>
      <c r="QY7" s="40">
        <f t="shared" si="152"/>
        <v>15.850000000000001</v>
      </c>
      <c r="QZ7" s="40">
        <f t="shared" si="153"/>
        <v>52.55</v>
      </c>
      <c r="RA7" s="40">
        <f t="shared" si="154"/>
        <v>13.1</v>
      </c>
      <c r="RB7" s="40">
        <f t="shared" si="155"/>
        <v>19.700000000000003</v>
      </c>
      <c r="RC7" s="40">
        <f t="shared" si="156"/>
        <v>65.649999999999991</v>
      </c>
      <c r="RD7" s="40">
        <f t="shared" si="157"/>
        <v>13.05</v>
      </c>
      <c r="RE7" s="40">
        <f t="shared" si="158"/>
        <v>48.85</v>
      </c>
      <c r="RF7" s="40">
        <f t="shared" si="159"/>
        <v>114.5</v>
      </c>
    </row>
    <row r="8" spans="1:474" x14ac:dyDescent="0.2">
      <c r="A8" s="4" cm="1">
        <f t="array" ref="A8">IF(AND(J8&lt;&gt;"",J8&lt;&gt;"No DD"),SUMPRODUCT((J$4:J$42&lt;&gt;"")*(J$4:J$42&lt;&gt;"No DD")*(F$4:F$42&gt;F8))+1,IF(J8="No DD",SUMPRODUCT((J$4:J$42="No DD")*(F$4:F$42&gt;F8))+1+SUMPRODUCT((J$4:J$42&lt;&gt;"")*(J$4:J$42&lt;&gt;"No DD")),""))</f>
        <v>5</v>
      </c>
      <c r="B8" s="4" t="str" cm="1">
        <f t="array" ref="B8">IF(AND(J8&lt;&gt;"",J8&lt;&gt;"No DD",G8=""),SUMPRODUCT((J$4:J$42&lt;&gt;"")*(J$4:J$42&lt;&gt;"No DD")*(G$4:G$42="")*(F$4:F$42&gt;F8))+1,IF(J8="No DD",SUMPRODUCT((J$4:J$42="No DD")*(F$4:F$42&gt;F8)*(G$4:G$42=""))+1+SUMPRODUCT((J$4:J$42&lt;&gt;"")*(G$4:G$42="")*(J$4:J$42&lt;&gt;"No DD")),""))</f>
        <v/>
      </c>
      <c r="C8" s="5" t="s">
        <v>113</v>
      </c>
      <c r="D8" s="4" t="s">
        <v>6</v>
      </c>
      <c r="E8" s="4">
        <v>2006</v>
      </c>
      <c r="F8" s="9">
        <f t="shared" si="0"/>
        <v>156.10001051000532</v>
      </c>
      <c r="G8" s="64" t="s">
        <v>46</v>
      </c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52.999999999999993</v>
      </c>
      <c r="M8" s="8" t="str">
        <f t="shared" si="5"/>
        <v>2025 Elite Canada</v>
      </c>
      <c r="N8" s="8">
        <f>IF(COUNT(AQ8,BT8,CW8)&gt;1,LARGE((AQ8,BT8,CW8),2),0)</f>
        <v>52.099999999999994</v>
      </c>
      <c r="O8" s="8" t="str">
        <f t="shared" si="6"/>
        <v>2024 3rd Domestic Trial</v>
      </c>
      <c r="P8" s="8">
        <f t="shared" si="7"/>
        <v>50.499999999999993</v>
      </c>
      <c r="Q8" s="8" t="str">
        <f t="shared" si="8"/>
        <v>2025 Elite Canada</v>
      </c>
      <c r="R8" s="8">
        <f t="shared" si="9"/>
        <v>0.50000000000001421</v>
      </c>
      <c r="S8" s="11" t="str">
        <f t="shared" si="160"/>
        <v>(Q1)</v>
      </c>
      <c r="T8" s="8" t="str">
        <f t="shared" si="161"/>
        <v>2024 Coimbra Gym Fest (July 7)</v>
      </c>
      <c r="U8" s="19">
        <v>18.8</v>
      </c>
      <c r="V8" s="19">
        <v>7.6</v>
      </c>
      <c r="W8" s="19">
        <v>0.6</v>
      </c>
      <c r="X8" s="19">
        <v>0</v>
      </c>
      <c r="Y8" s="19">
        <v>18.2</v>
      </c>
      <c r="Z8" s="19">
        <v>3.2</v>
      </c>
      <c r="AA8" s="19">
        <v>1.6</v>
      </c>
      <c r="AB8" s="19">
        <v>0</v>
      </c>
      <c r="AC8" s="19">
        <v>16.600000000000001</v>
      </c>
      <c r="AD8" s="19">
        <v>7.3</v>
      </c>
      <c r="AE8" s="19">
        <v>0.2</v>
      </c>
      <c r="AF8" s="19">
        <v>0</v>
      </c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0"/>
        <v>10.8</v>
      </c>
      <c r="AQ8" s="40">
        <f t="shared" si="11"/>
        <v>45.599999999999994</v>
      </c>
      <c r="AR8" s="40">
        <f t="shared" si="12"/>
        <v>23.700000000000003</v>
      </c>
      <c r="AS8" s="40">
        <f t="shared" si="13"/>
        <v>18.100000000000001</v>
      </c>
      <c r="AT8" s="40">
        <f t="shared" si="14"/>
        <v>69.3</v>
      </c>
      <c r="AU8" s="40" t="str">
        <f t="shared" si="15"/>
        <v/>
      </c>
      <c r="AV8" s="40" t="str">
        <f t="shared" si="16"/>
        <v/>
      </c>
      <c r="AW8" s="40">
        <f t="shared" si="17"/>
        <v>69.3</v>
      </c>
      <c r="AX8" s="18">
        <v>19</v>
      </c>
      <c r="AY8" s="18">
        <v>8.4</v>
      </c>
      <c r="AZ8" s="18">
        <v>0</v>
      </c>
      <c r="BA8" s="18">
        <v>0</v>
      </c>
      <c r="BB8" s="18">
        <v>18.7</v>
      </c>
      <c r="BC8" s="18">
        <v>6</v>
      </c>
      <c r="BD8" s="18">
        <v>0</v>
      </c>
      <c r="BE8" s="18">
        <v>0</v>
      </c>
      <c r="BF8" s="18">
        <v>18.8</v>
      </c>
      <c r="BG8" s="18">
        <v>7.3</v>
      </c>
      <c r="BH8" s="18">
        <v>0</v>
      </c>
      <c r="BI8" s="18">
        <v>0</v>
      </c>
      <c r="BJ8" s="18">
        <v>17.2</v>
      </c>
      <c r="BK8" s="18">
        <v>4</v>
      </c>
      <c r="BL8" s="18">
        <v>0</v>
      </c>
      <c r="BM8" s="18">
        <v>0</v>
      </c>
      <c r="BN8" s="18">
        <v>18.2</v>
      </c>
      <c r="BO8" s="18">
        <v>7.3</v>
      </c>
      <c r="BP8" s="18">
        <v>0</v>
      </c>
      <c r="BQ8" s="18">
        <v>0</v>
      </c>
      <c r="BR8" s="28"/>
      <c r="BS8" s="11">
        <f t="shared" si="18"/>
        <v>14.4</v>
      </c>
      <c r="BT8" s="11">
        <f t="shared" si="19"/>
        <v>52.099999999999994</v>
      </c>
      <c r="BU8" s="11">
        <f t="shared" si="20"/>
        <v>26.1</v>
      </c>
      <c r="BV8" s="11">
        <f t="shared" si="21"/>
        <v>21.7</v>
      </c>
      <c r="BW8" s="11">
        <f t="shared" si="22"/>
        <v>78.199999999999989</v>
      </c>
      <c r="BX8" s="11">
        <f t="shared" si="23"/>
        <v>11.3</v>
      </c>
      <c r="BY8" s="11">
        <f t="shared" si="24"/>
        <v>46.699999999999996</v>
      </c>
      <c r="BZ8" s="11">
        <f t="shared" si="25"/>
        <v>124.89999999999998</v>
      </c>
      <c r="CA8" s="19">
        <v>19.2</v>
      </c>
      <c r="CB8" s="19">
        <v>8.4</v>
      </c>
      <c r="CC8" s="19">
        <v>0.6</v>
      </c>
      <c r="CD8" s="19">
        <v>0</v>
      </c>
      <c r="CE8" s="19">
        <v>18.7</v>
      </c>
      <c r="CF8" s="19">
        <v>7.3</v>
      </c>
      <c r="CG8" s="19">
        <v>0</v>
      </c>
      <c r="CH8" s="19">
        <v>0</v>
      </c>
      <c r="CI8" s="19"/>
      <c r="CJ8" s="19"/>
      <c r="CK8" s="19"/>
      <c r="CL8" s="19"/>
      <c r="CM8" s="19">
        <v>18.7</v>
      </c>
      <c r="CN8" s="19">
        <v>6</v>
      </c>
      <c r="CO8" s="19">
        <v>1.4</v>
      </c>
      <c r="CP8" s="19">
        <v>0</v>
      </c>
      <c r="CQ8" s="19">
        <v>17.899999999999999</v>
      </c>
      <c r="CR8" s="19">
        <v>9.6</v>
      </c>
      <c r="CS8" s="19">
        <v>0.6</v>
      </c>
      <c r="CT8" s="19">
        <v>0.3</v>
      </c>
      <c r="CU8" s="27"/>
      <c r="CV8" s="40">
        <f t="shared" si="26"/>
        <v>15.7</v>
      </c>
      <c r="CW8" s="40">
        <f t="shared" si="27"/>
        <v>52.999999999999993</v>
      </c>
      <c r="CX8" s="40" t="str">
        <f t="shared" si="28"/>
        <v/>
      </c>
      <c r="CY8" s="40">
        <f t="shared" si="29"/>
        <v>15.7</v>
      </c>
      <c r="CZ8" s="40">
        <f t="shared" si="30"/>
        <v>52.999999999999993</v>
      </c>
      <c r="DA8" s="40">
        <f t="shared" si="31"/>
        <v>15.6</v>
      </c>
      <c r="DB8" s="40">
        <f t="shared" si="32"/>
        <v>50.499999999999993</v>
      </c>
      <c r="DC8" s="40">
        <f t="shared" si="33"/>
        <v>103.49999999999999</v>
      </c>
      <c r="DD8" s="50">
        <f t="shared" si="34"/>
        <v>0.50000000000001421</v>
      </c>
      <c r="DE8" s="50" t="str">
        <f t="shared" si="35"/>
        <v/>
      </c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40" t="str">
        <f t="shared" si="36"/>
        <v/>
      </c>
      <c r="EA8" s="40" t="str">
        <f t="shared" si="37"/>
        <v/>
      </c>
      <c r="EB8" s="40" t="str">
        <f t="shared" si="38"/>
        <v/>
      </c>
      <c r="EC8" s="40" t="str">
        <f t="shared" si="39"/>
        <v/>
      </c>
      <c r="ED8" s="40" t="str">
        <f t="shared" si="40"/>
        <v/>
      </c>
      <c r="EE8" s="40" t="str">
        <f t="shared" si="41"/>
        <v/>
      </c>
      <c r="EF8" s="40" t="str">
        <f t="shared" si="42"/>
        <v/>
      </c>
      <c r="EG8" s="40" t="str">
        <f t="shared" si="43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4"/>
        <v/>
      </c>
      <c r="FC8" s="11" t="str">
        <f t="shared" si="45"/>
        <v/>
      </c>
      <c r="FD8" s="11" t="str">
        <f t="shared" si="46"/>
        <v/>
      </c>
      <c r="FE8" s="11" t="str">
        <f t="shared" si="47"/>
        <v/>
      </c>
      <c r="FF8" s="11" t="str">
        <f t="shared" si="48"/>
        <v/>
      </c>
      <c r="FG8" s="11" t="str">
        <f t="shared" si="49"/>
        <v/>
      </c>
      <c r="FH8" s="11" t="str">
        <f t="shared" si="50"/>
        <v/>
      </c>
      <c r="FI8" s="11" t="str">
        <f t="shared" si="51"/>
        <v/>
      </c>
      <c r="FJ8" s="17">
        <v>19</v>
      </c>
      <c r="FK8" s="17">
        <v>8.4</v>
      </c>
      <c r="FL8" s="17">
        <v>0</v>
      </c>
      <c r="FM8" s="17">
        <v>0</v>
      </c>
      <c r="FN8" s="17">
        <v>18.3</v>
      </c>
      <c r="FO8" s="17">
        <v>7.7</v>
      </c>
      <c r="FP8" s="17">
        <v>0.8</v>
      </c>
      <c r="FQ8" s="17">
        <v>0</v>
      </c>
      <c r="FR8" s="17"/>
      <c r="FS8" s="17"/>
      <c r="FT8" s="17"/>
      <c r="FU8" s="17"/>
      <c r="FV8" s="17">
        <v>18.899999999999999</v>
      </c>
      <c r="FW8" s="17">
        <v>8.4</v>
      </c>
      <c r="FX8" s="17">
        <v>0.6</v>
      </c>
      <c r="FY8" s="17">
        <v>0</v>
      </c>
      <c r="FZ8" s="17">
        <v>16.399999999999999</v>
      </c>
      <c r="GA8" s="17">
        <v>7.7</v>
      </c>
      <c r="GB8" s="17">
        <v>0.8</v>
      </c>
      <c r="GC8" s="17">
        <v>0</v>
      </c>
      <c r="GD8" s="40">
        <f t="shared" si="52"/>
        <v>16.100000000000001</v>
      </c>
      <c r="GE8" s="40">
        <f t="shared" si="53"/>
        <v>52.600000000000009</v>
      </c>
      <c r="GF8" s="40" t="str">
        <f t="shared" si="54"/>
        <v/>
      </c>
      <c r="GG8" s="40">
        <f t="shared" si="55"/>
        <v>16.100000000000001</v>
      </c>
      <c r="GH8" s="40">
        <f t="shared" si="56"/>
        <v>52.600000000000009</v>
      </c>
      <c r="GI8" s="40">
        <f t="shared" si="57"/>
        <v>16.100000000000001</v>
      </c>
      <c r="GJ8" s="40">
        <f t="shared" si="58"/>
        <v>50</v>
      </c>
      <c r="GK8" s="40">
        <f t="shared" si="59"/>
        <v>102.60000000000001</v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0"/>
        <v/>
      </c>
      <c r="HG8" s="11" t="str">
        <f t="shared" si="61"/>
        <v/>
      </c>
      <c r="HH8" s="11" t="str">
        <f t="shared" si="62"/>
        <v/>
      </c>
      <c r="HI8" s="11" t="str">
        <f t="shared" si="63"/>
        <v/>
      </c>
      <c r="HJ8" s="11" t="str">
        <f t="shared" si="64"/>
        <v/>
      </c>
      <c r="HK8" s="11" t="str">
        <f t="shared" si="65"/>
        <v/>
      </c>
      <c r="HL8" s="11" t="str">
        <f t="shared" si="66"/>
        <v/>
      </c>
      <c r="HM8" s="11" t="str">
        <f t="shared" si="67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68"/>
        <v/>
      </c>
      <c r="II8" s="40" t="str">
        <f t="shared" si="69"/>
        <v/>
      </c>
      <c r="IJ8" s="40" t="str">
        <f t="shared" si="70"/>
        <v/>
      </c>
      <c r="IK8" s="40" t="str">
        <f t="shared" si="71"/>
        <v/>
      </c>
      <c r="IL8" s="40" t="str">
        <f t="shared" si="72"/>
        <v/>
      </c>
      <c r="IM8" s="40" t="str">
        <f t="shared" si="73"/>
        <v/>
      </c>
      <c r="IN8" s="40" t="str">
        <f t="shared" si="74"/>
        <v/>
      </c>
      <c r="IO8" s="40" t="str">
        <f t="shared" si="75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6"/>
        <v/>
      </c>
      <c r="JK8" s="11" t="str">
        <f t="shared" si="77"/>
        <v/>
      </c>
      <c r="JL8" s="11" t="str">
        <f t="shared" si="78"/>
        <v/>
      </c>
      <c r="JM8" s="11" t="str">
        <f t="shared" si="79"/>
        <v/>
      </c>
      <c r="JN8" s="11" t="str">
        <f t="shared" si="80"/>
        <v/>
      </c>
      <c r="JO8" s="11" t="str">
        <f t="shared" si="81"/>
        <v/>
      </c>
      <c r="JP8" s="11" t="str">
        <f t="shared" si="82"/>
        <v/>
      </c>
      <c r="JQ8" s="11" t="str">
        <f t="shared" si="83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4"/>
        <v/>
      </c>
      <c r="KM8" s="40" t="str">
        <f t="shared" si="85"/>
        <v/>
      </c>
      <c r="KN8" s="40" t="str">
        <f t="shared" si="86"/>
        <v/>
      </c>
      <c r="KO8" s="40" t="str">
        <f t="shared" si="87"/>
        <v/>
      </c>
      <c r="KP8" s="40" t="str">
        <f t="shared" si="88"/>
        <v/>
      </c>
      <c r="KQ8" s="40" t="str">
        <f t="shared" si="89"/>
        <v/>
      </c>
      <c r="KR8" s="40" t="str">
        <f t="shared" si="90"/>
        <v/>
      </c>
      <c r="KS8" s="40" t="str">
        <f t="shared" si="91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2"/>
        <v/>
      </c>
      <c r="LO8" s="11" t="str">
        <f t="shared" si="93"/>
        <v/>
      </c>
      <c r="LP8" s="11" t="str">
        <f t="shared" si="94"/>
        <v/>
      </c>
      <c r="LQ8" s="11" t="str">
        <f t="shared" si="95"/>
        <v/>
      </c>
      <c r="LR8" s="11" t="str">
        <f t="shared" si="96"/>
        <v/>
      </c>
      <c r="LS8" s="11" t="str">
        <f t="shared" si="97"/>
        <v/>
      </c>
      <c r="LT8" s="11" t="str">
        <f t="shared" si="98"/>
        <v/>
      </c>
      <c r="LU8" s="11" t="str">
        <f t="shared" si="99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0"/>
        <v/>
      </c>
      <c r="MQ8" s="40" t="str">
        <f t="shared" si="101"/>
        <v/>
      </c>
      <c r="MR8" s="40" t="str">
        <f t="shared" si="102"/>
        <v/>
      </c>
      <c r="MS8" s="40" t="str">
        <f t="shared" si="103"/>
        <v/>
      </c>
      <c r="MT8" s="40" t="str">
        <f t="shared" si="104"/>
        <v/>
      </c>
      <c r="MU8" s="40" t="str">
        <f t="shared" si="105"/>
        <v/>
      </c>
      <c r="MV8" s="40" t="str">
        <f t="shared" si="106"/>
        <v/>
      </c>
      <c r="MW8" s="40" t="str">
        <f t="shared" si="107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08"/>
        <v/>
      </c>
      <c r="NS8" s="11" t="str">
        <f t="shared" si="109"/>
        <v/>
      </c>
      <c r="NT8" s="11" t="str">
        <f t="shared" si="110"/>
        <v/>
      </c>
      <c r="NU8" s="11" t="str">
        <f t="shared" si="111"/>
        <v/>
      </c>
      <c r="NV8" s="11" t="str">
        <f t="shared" si="112"/>
        <v/>
      </c>
      <c r="NW8" s="11" t="str">
        <f t="shared" si="113"/>
        <v/>
      </c>
      <c r="NX8" s="11" t="str">
        <f t="shared" si="114"/>
        <v/>
      </c>
      <c r="NY8" s="11" t="str">
        <f t="shared" si="115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6"/>
        <v/>
      </c>
      <c r="OU8" s="40" t="str">
        <f t="shared" si="117"/>
        <v/>
      </c>
      <c r="OV8" s="40" t="str">
        <f t="shared" si="118"/>
        <v/>
      </c>
      <c r="OW8" s="40" t="str">
        <f t="shared" si="119"/>
        <v/>
      </c>
      <c r="OX8" s="40" t="str">
        <f t="shared" si="120"/>
        <v/>
      </c>
      <c r="OY8" s="40" t="str">
        <f t="shared" si="121"/>
        <v/>
      </c>
      <c r="OZ8" s="40" t="str">
        <f t="shared" si="122"/>
        <v/>
      </c>
      <c r="PA8" s="40" t="str">
        <f t="shared" si="123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4"/>
        <v/>
      </c>
      <c r="PW8" s="11" t="str">
        <f t="shared" si="125"/>
        <v/>
      </c>
      <c r="PX8" s="11" t="str">
        <f t="shared" si="126"/>
        <v/>
      </c>
      <c r="PY8" s="11" t="str">
        <f t="shared" si="127"/>
        <v/>
      </c>
      <c r="PZ8" s="11" t="str">
        <f t="shared" si="128"/>
        <v/>
      </c>
      <c r="QA8" s="11" t="str">
        <f t="shared" si="129"/>
        <v/>
      </c>
      <c r="QB8" s="11" t="str">
        <f t="shared" si="130"/>
        <v/>
      </c>
      <c r="QC8" s="11" t="str">
        <f t="shared" si="131"/>
        <v/>
      </c>
      <c r="QD8" s="22">
        <f t="shared" si="132"/>
        <v>19.100000000000001</v>
      </c>
      <c r="QE8" s="22">
        <f t="shared" si="133"/>
        <v>8.4</v>
      </c>
      <c r="QF8" s="22">
        <f t="shared" si="134"/>
        <v>0.3</v>
      </c>
      <c r="QG8" s="22">
        <f t="shared" si="135"/>
        <v>0</v>
      </c>
      <c r="QH8" s="22">
        <f t="shared" si="136"/>
        <v>18.7</v>
      </c>
      <c r="QI8" s="22">
        <f t="shared" si="137"/>
        <v>6.65</v>
      </c>
      <c r="QJ8" s="22">
        <f t="shared" si="138"/>
        <v>0</v>
      </c>
      <c r="QK8" s="22">
        <f t="shared" si="139"/>
        <v>0</v>
      </c>
      <c r="QL8" s="22">
        <f t="shared" si="140"/>
        <v>9.4</v>
      </c>
      <c r="QM8" s="22">
        <f t="shared" si="141"/>
        <v>3.65</v>
      </c>
      <c r="QN8" s="22">
        <f t="shared" si="142"/>
        <v>0</v>
      </c>
      <c r="QO8" s="22">
        <f t="shared" si="143"/>
        <v>0</v>
      </c>
      <c r="QP8" s="22">
        <f t="shared" si="144"/>
        <v>17.95</v>
      </c>
      <c r="QQ8" s="22">
        <f t="shared" si="145"/>
        <v>5</v>
      </c>
      <c r="QR8" s="22">
        <f t="shared" si="146"/>
        <v>0.7</v>
      </c>
      <c r="QS8" s="22">
        <f t="shared" si="147"/>
        <v>0</v>
      </c>
      <c r="QT8" s="22">
        <f t="shared" si="148"/>
        <v>18.049999999999997</v>
      </c>
      <c r="QU8" s="22">
        <f t="shared" si="149"/>
        <v>8.4499999999999993</v>
      </c>
      <c r="QV8" s="22">
        <f t="shared" si="150"/>
        <v>0.3</v>
      </c>
      <c r="QW8" s="22">
        <f t="shared" si="151"/>
        <v>0.15</v>
      </c>
      <c r="QX8" s="27" t="s">
        <v>46</v>
      </c>
      <c r="QY8" s="40">
        <f t="shared" si="152"/>
        <v>15.05</v>
      </c>
      <c r="QZ8" s="40">
        <f t="shared" si="153"/>
        <v>52.550000000000004</v>
      </c>
      <c r="RA8" s="40">
        <f t="shared" si="154"/>
        <v>13.05</v>
      </c>
      <c r="RB8" s="40">
        <f t="shared" si="155"/>
        <v>18.7</v>
      </c>
      <c r="RC8" s="40">
        <f t="shared" si="156"/>
        <v>65.600000000000009</v>
      </c>
      <c r="RD8" s="40">
        <f t="shared" si="157"/>
        <v>13.45</v>
      </c>
      <c r="RE8" s="40">
        <f t="shared" si="158"/>
        <v>48.6</v>
      </c>
      <c r="RF8" s="40">
        <f t="shared" si="159"/>
        <v>114.20000000000002</v>
      </c>
    </row>
    <row r="9" spans="1:474" x14ac:dyDescent="0.2">
      <c r="A9" s="4" cm="1">
        <f t="array" ref="A9">IF(AND(J9&lt;&gt;"",J9&lt;&gt;"No DD"),SUMPRODUCT((J$4:J$42&lt;&gt;"")*(J$4:J$42&lt;&gt;"No DD")*(F$4:F$42&gt;F9))+1,IF(J9="No DD",SUMPRODUCT((J$4:J$42="No DD")*(F$4:F$42&gt;F9))+1+SUMPRODUCT((J$4:J$42&lt;&gt;"")*(J$4:J$42&lt;&gt;"No DD")),""))</f>
        <v>6</v>
      </c>
      <c r="B9" s="4" cm="1">
        <f t="array" ref="B9">IF(AND(J9&lt;&gt;"",J9&lt;&gt;"No DD",G9=""),SUMPRODUCT((J$4:J$42&lt;&gt;"")*(J$4:J$42&lt;&gt;"No DD")*(G$4:G$42="")*(F$4:F$42&gt;F9))+1,IF(J9="No DD",SUMPRODUCT((J$4:J$42="No DD")*(F$4:F$42&gt;F9)*(G$4:G$42=""))+1+SUMPRODUCT((J$4:J$42&lt;&gt;"")*(G$4:G$42="")*(J$4:J$42&lt;&gt;"No DD")),""))</f>
        <v>1</v>
      </c>
      <c r="C9" s="5" t="s">
        <v>153</v>
      </c>
      <c r="D9" s="4" t="s">
        <v>5</v>
      </c>
      <c r="E9" s="4">
        <v>2007</v>
      </c>
      <c r="F9" s="9">
        <f t="shared" si="0"/>
        <v>154.60001005000507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50.5</v>
      </c>
      <c r="M9" s="8" t="str">
        <f t="shared" si="5"/>
        <v>2024 Nationals</v>
      </c>
      <c r="N9" s="8">
        <f>IF(COUNT(AQ9,BT9,CW9)&gt;1,LARGE((AQ9,BT9,CW9),2),0)</f>
        <v>49.999999999999993</v>
      </c>
      <c r="O9" s="8" t="str">
        <f t="shared" si="6"/>
        <v>2025 Elite Canada</v>
      </c>
      <c r="P9" s="8">
        <f t="shared" si="7"/>
        <v>50.800000000000004</v>
      </c>
      <c r="Q9" s="8" t="str">
        <f t="shared" si="8"/>
        <v>2025 Elite Canada</v>
      </c>
      <c r="R9" s="8">
        <f t="shared" si="9"/>
        <v>3.3000000000000043</v>
      </c>
      <c r="S9" s="11" t="str">
        <f t="shared" si="160"/>
        <v>(Q1)</v>
      </c>
      <c r="T9" s="8" t="str">
        <f t="shared" si="161"/>
        <v>2024 Coimbra Gym Fest (July 7)</v>
      </c>
      <c r="U9" s="19">
        <v>16.5</v>
      </c>
      <c r="V9" s="19">
        <v>8.1</v>
      </c>
      <c r="W9" s="19">
        <v>0.2</v>
      </c>
      <c r="X9" s="19">
        <v>0</v>
      </c>
      <c r="Y9" s="19">
        <v>18.899999999999999</v>
      </c>
      <c r="Z9" s="19">
        <v>7.2</v>
      </c>
      <c r="AA9" s="19">
        <v>0</v>
      </c>
      <c r="AB9" s="19">
        <v>0</v>
      </c>
      <c r="AC9" s="19">
        <v>18.7</v>
      </c>
      <c r="AD9" s="19">
        <v>7.2</v>
      </c>
      <c r="AE9" s="19">
        <v>0.6</v>
      </c>
      <c r="AF9" s="19">
        <v>0.3</v>
      </c>
      <c r="AG9" s="19">
        <v>18.600000000000001</v>
      </c>
      <c r="AH9" s="19">
        <v>7.2</v>
      </c>
      <c r="AI9" s="19">
        <v>1</v>
      </c>
      <c r="AJ9" s="19">
        <v>0.3</v>
      </c>
      <c r="AK9" s="19">
        <v>0</v>
      </c>
      <c r="AL9" s="19">
        <v>0</v>
      </c>
      <c r="AM9" s="19">
        <v>0</v>
      </c>
      <c r="AN9" s="19">
        <v>0</v>
      </c>
      <c r="AO9" s="27"/>
      <c r="AP9" s="40">
        <f t="shared" si="10"/>
        <v>15.3</v>
      </c>
      <c r="AQ9" s="40">
        <f t="shared" si="11"/>
        <v>50.5</v>
      </c>
      <c r="AR9" s="40">
        <f t="shared" si="12"/>
        <v>25.599999999999998</v>
      </c>
      <c r="AS9" s="40">
        <f t="shared" si="13"/>
        <v>22.5</v>
      </c>
      <c r="AT9" s="40">
        <f t="shared" si="14"/>
        <v>76.099999999999994</v>
      </c>
      <c r="AU9" s="40">
        <f t="shared" si="15"/>
        <v>7.2</v>
      </c>
      <c r="AV9" s="40">
        <f t="shared" si="16"/>
        <v>25.1</v>
      </c>
      <c r="AW9" s="40">
        <f t="shared" si="17"/>
        <v>101.19999999999999</v>
      </c>
      <c r="AX9" s="18">
        <v>0</v>
      </c>
      <c r="AY9" s="18">
        <v>0</v>
      </c>
      <c r="AZ9" s="18">
        <v>0</v>
      </c>
      <c r="BA9" s="18">
        <v>0</v>
      </c>
      <c r="BB9" s="18">
        <v>17.600000000000001</v>
      </c>
      <c r="BC9" s="18">
        <v>4</v>
      </c>
      <c r="BD9" s="18">
        <v>0</v>
      </c>
      <c r="BE9" s="18">
        <v>0</v>
      </c>
      <c r="BF9" s="18">
        <v>18.399999999999999</v>
      </c>
      <c r="BG9" s="18">
        <v>6</v>
      </c>
      <c r="BH9" s="18">
        <v>0.6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 t="shared" si="18"/>
        <v>4</v>
      </c>
      <c r="BT9" s="11">
        <f t="shared" si="19"/>
        <v>21.6</v>
      </c>
      <c r="BU9" s="11">
        <f t="shared" si="20"/>
        <v>23.799999999999997</v>
      </c>
      <c r="BV9" s="11">
        <f t="shared" si="21"/>
        <v>10</v>
      </c>
      <c r="BW9" s="11">
        <f t="shared" si="22"/>
        <v>45.4</v>
      </c>
      <c r="BX9" s="11" t="str">
        <f t="shared" si="23"/>
        <v/>
      </c>
      <c r="BY9" s="11" t="str">
        <f t="shared" si="24"/>
        <v/>
      </c>
      <c r="BZ9" s="11">
        <f t="shared" si="25"/>
        <v>45.4</v>
      </c>
      <c r="CA9" s="19">
        <v>18.899999999999999</v>
      </c>
      <c r="CB9" s="19">
        <v>6.4</v>
      </c>
      <c r="CC9" s="19">
        <v>0.4</v>
      </c>
      <c r="CD9" s="19">
        <v>0</v>
      </c>
      <c r="CE9" s="19">
        <v>18.600000000000001</v>
      </c>
      <c r="CF9" s="19">
        <v>6.8</v>
      </c>
      <c r="CG9" s="19">
        <v>0.6</v>
      </c>
      <c r="CH9" s="19">
        <v>0.3</v>
      </c>
      <c r="CI9" s="19"/>
      <c r="CJ9" s="19"/>
      <c r="CK9" s="19"/>
      <c r="CL9" s="19"/>
      <c r="CM9" s="19">
        <v>16.8</v>
      </c>
      <c r="CN9" s="19">
        <v>9.3000000000000007</v>
      </c>
      <c r="CO9" s="19">
        <v>1</v>
      </c>
      <c r="CP9" s="19">
        <v>0.3</v>
      </c>
      <c r="CQ9" s="19">
        <v>18.7</v>
      </c>
      <c r="CR9" s="19">
        <v>7.2</v>
      </c>
      <c r="CS9" s="19">
        <v>0.8</v>
      </c>
      <c r="CT9" s="19">
        <v>0.3</v>
      </c>
      <c r="CU9" s="27"/>
      <c r="CV9" s="40">
        <f t="shared" si="26"/>
        <v>13.2</v>
      </c>
      <c r="CW9" s="40">
        <f t="shared" si="27"/>
        <v>49.999999999999993</v>
      </c>
      <c r="CX9" s="40" t="str">
        <f t="shared" si="28"/>
        <v/>
      </c>
      <c r="CY9" s="40">
        <f t="shared" si="29"/>
        <v>13.2</v>
      </c>
      <c r="CZ9" s="40">
        <f t="shared" si="30"/>
        <v>49.999999999999993</v>
      </c>
      <c r="DA9" s="40">
        <f t="shared" si="31"/>
        <v>16.5</v>
      </c>
      <c r="DB9" s="40">
        <f t="shared" si="32"/>
        <v>50.800000000000004</v>
      </c>
      <c r="DC9" s="40">
        <f t="shared" si="33"/>
        <v>100.8</v>
      </c>
      <c r="DD9" s="50">
        <f t="shared" si="34"/>
        <v>3.3000000000000043</v>
      </c>
      <c r="DE9" s="50" t="str">
        <f t="shared" si="35"/>
        <v/>
      </c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 t="str">
        <f t="shared" si="36"/>
        <v/>
      </c>
      <c r="EA9" s="40" t="str">
        <f t="shared" si="37"/>
        <v/>
      </c>
      <c r="EB9" s="40" t="str">
        <f t="shared" si="38"/>
        <v/>
      </c>
      <c r="EC9" s="40" t="str">
        <f t="shared" si="39"/>
        <v/>
      </c>
      <c r="ED9" s="40" t="str">
        <f t="shared" si="40"/>
        <v/>
      </c>
      <c r="EE9" s="40" t="str">
        <f t="shared" si="41"/>
        <v/>
      </c>
      <c r="EF9" s="40" t="str">
        <f t="shared" si="42"/>
        <v/>
      </c>
      <c r="EG9" s="40" t="str">
        <f t="shared" si="43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4"/>
        <v/>
      </c>
      <c r="FC9" s="11" t="str">
        <f t="shared" si="45"/>
        <v/>
      </c>
      <c r="FD9" s="11" t="str">
        <f t="shared" si="46"/>
        <v/>
      </c>
      <c r="FE9" s="11" t="str">
        <f t="shared" si="47"/>
        <v/>
      </c>
      <c r="FF9" s="11" t="str">
        <f t="shared" si="48"/>
        <v/>
      </c>
      <c r="FG9" s="11" t="str">
        <f t="shared" si="49"/>
        <v/>
      </c>
      <c r="FH9" s="11" t="str">
        <f t="shared" si="50"/>
        <v/>
      </c>
      <c r="FI9" s="11" t="str">
        <f t="shared" si="51"/>
        <v/>
      </c>
      <c r="FJ9" s="17">
        <v>18.399999999999999</v>
      </c>
      <c r="FK9" s="17">
        <v>8.8000000000000007</v>
      </c>
      <c r="FL9" s="17">
        <v>0.8</v>
      </c>
      <c r="FM9" s="17">
        <v>0</v>
      </c>
      <c r="FN9" s="17">
        <v>18.399999999999999</v>
      </c>
      <c r="FO9" s="17">
        <v>9.3000000000000007</v>
      </c>
      <c r="FP9" s="17">
        <v>0.8</v>
      </c>
      <c r="FQ9" s="17">
        <v>0</v>
      </c>
      <c r="FR9" s="17"/>
      <c r="FS9" s="17"/>
      <c r="FT9" s="17"/>
      <c r="FU9" s="17"/>
      <c r="FV9" s="17">
        <v>16.5</v>
      </c>
      <c r="FW9" s="17">
        <v>8.5</v>
      </c>
      <c r="FX9" s="17">
        <v>0.6</v>
      </c>
      <c r="FY9" s="17">
        <v>0</v>
      </c>
      <c r="FZ9" s="17"/>
      <c r="GA9" s="17"/>
      <c r="GB9" s="17"/>
      <c r="GC9" s="17"/>
      <c r="GD9" s="40">
        <f t="shared" si="52"/>
        <v>18.100000000000001</v>
      </c>
      <c r="GE9" s="40">
        <f t="shared" si="53"/>
        <v>53.3</v>
      </c>
      <c r="GF9" s="40" t="str">
        <f t="shared" si="54"/>
        <v/>
      </c>
      <c r="GG9" s="40">
        <f t="shared" si="55"/>
        <v>18.100000000000001</v>
      </c>
      <c r="GH9" s="40">
        <f t="shared" si="56"/>
        <v>53.3</v>
      </c>
      <c r="GI9" s="40">
        <f t="shared" si="57"/>
        <v>8.5</v>
      </c>
      <c r="GJ9" s="40">
        <f t="shared" si="58"/>
        <v>24.4</v>
      </c>
      <c r="GK9" s="40">
        <f t="shared" si="59"/>
        <v>77.699999999999989</v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0"/>
        <v/>
      </c>
      <c r="HG9" s="11" t="str">
        <f t="shared" si="61"/>
        <v/>
      </c>
      <c r="HH9" s="11" t="str">
        <f t="shared" si="62"/>
        <v/>
      </c>
      <c r="HI9" s="11" t="str">
        <f t="shared" si="63"/>
        <v/>
      </c>
      <c r="HJ9" s="11" t="str">
        <f t="shared" si="64"/>
        <v/>
      </c>
      <c r="HK9" s="11" t="str">
        <f t="shared" si="65"/>
        <v/>
      </c>
      <c r="HL9" s="11" t="str">
        <f t="shared" si="66"/>
        <v/>
      </c>
      <c r="HM9" s="11" t="str">
        <f t="shared" si="67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68"/>
        <v/>
      </c>
      <c r="II9" s="40" t="str">
        <f t="shared" si="69"/>
        <v/>
      </c>
      <c r="IJ9" s="40" t="str">
        <f t="shared" si="70"/>
        <v/>
      </c>
      <c r="IK9" s="40" t="str">
        <f t="shared" si="71"/>
        <v/>
      </c>
      <c r="IL9" s="40" t="str">
        <f t="shared" si="72"/>
        <v/>
      </c>
      <c r="IM9" s="40" t="str">
        <f t="shared" si="73"/>
        <v/>
      </c>
      <c r="IN9" s="40" t="str">
        <f t="shared" si="74"/>
        <v/>
      </c>
      <c r="IO9" s="40" t="str">
        <f t="shared" si="75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6"/>
        <v/>
      </c>
      <c r="JK9" s="11" t="str">
        <f t="shared" si="77"/>
        <v/>
      </c>
      <c r="JL9" s="11" t="str">
        <f t="shared" si="78"/>
        <v/>
      </c>
      <c r="JM9" s="11" t="str">
        <f t="shared" si="79"/>
        <v/>
      </c>
      <c r="JN9" s="11" t="str">
        <f t="shared" si="80"/>
        <v/>
      </c>
      <c r="JO9" s="11" t="str">
        <f t="shared" si="81"/>
        <v/>
      </c>
      <c r="JP9" s="11" t="str">
        <f t="shared" si="82"/>
        <v/>
      </c>
      <c r="JQ9" s="11" t="str">
        <f t="shared" si="83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4"/>
        <v/>
      </c>
      <c r="KM9" s="40" t="str">
        <f t="shared" si="85"/>
        <v/>
      </c>
      <c r="KN9" s="40" t="str">
        <f t="shared" si="86"/>
        <v/>
      </c>
      <c r="KO9" s="40" t="str">
        <f t="shared" si="87"/>
        <v/>
      </c>
      <c r="KP9" s="40" t="str">
        <f t="shared" si="88"/>
        <v/>
      </c>
      <c r="KQ9" s="40" t="str">
        <f t="shared" si="89"/>
        <v/>
      </c>
      <c r="KR9" s="40" t="str">
        <f t="shared" si="90"/>
        <v/>
      </c>
      <c r="KS9" s="40" t="str">
        <f t="shared" si="91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2"/>
        <v/>
      </c>
      <c r="LO9" s="11" t="str">
        <f t="shared" si="93"/>
        <v/>
      </c>
      <c r="LP9" s="11" t="str">
        <f t="shared" si="94"/>
        <v/>
      </c>
      <c r="LQ9" s="11" t="str">
        <f t="shared" si="95"/>
        <v/>
      </c>
      <c r="LR9" s="11" t="str">
        <f t="shared" si="96"/>
        <v/>
      </c>
      <c r="LS9" s="11" t="str">
        <f t="shared" si="97"/>
        <v/>
      </c>
      <c r="LT9" s="11" t="str">
        <f t="shared" si="98"/>
        <v/>
      </c>
      <c r="LU9" s="11" t="str">
        <f t="shared" si="99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0"/>
        <v/>
      </c>
      <c r="MQ9" s="40" t="str">
        <f t="shared" si="101"/>
        <v/>
      </c>
      <c r="MR9" s="40" t="str">
        <f t="shared" si="102"/>
        <v/>
      </c>
      <c r="MS9" s="40" t="str">
        <f t="shared" si="103"/>
        <v/>
      </c>
      <c r="MT9" s="40" t="str">
        <f t="shared" si="104"/>
        <v/>
      </c>
      <c r="MU9" s="40" t="str">
        <f t="shared" si="105"/>
        <v/>
      </c>
      <c r="MV9" s="40" t="str">
        <f t="shared" si="106"/>
        <v/>
      </c>
      <c r="MW9" s="40" t="str">
        <f t="shared" si="107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08"/>
        <v/>
      </c>
      <c r="NS9" s="11" t="str">
        <f t="shared" si="109"/>
        <v/>
      </c>
      <c r="NT9" s="11" t="str">
        <f t="shared" si="110"/>
        <v/>
      </c>
      <c r="NU9" s="11" t="str">
        <f t="shared" si="111"/>
        <v/>
      </c>
      <c r="NV9" s="11" t="str">
        <f t="shared" si="112"/>
        <v/>
      </c>
      <c r="NW9" s="11" t="str">
        <f t="shared" si="113"/>
        <v/>
      </c>
      <c r="NX9" s="11" t="str">
        <f t="shared" si="114"/>
        <v/>
      </c>
      <c r="NY9" s="11" t="str">
        <f t="shared" si="115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6"/>
        <v/>
      </c>
      <c r="OU9" s="40" t="str">
        <f t="shared" si="117"/>
        <v/>
      </c>
      <c r="OV9" s="40" t="str">
        <f t="shared" si="118"/>
        <v/>
      </c>
      <c r="OW9" s="40" t="str">
        <f t="shared" si="119"/>
        <v/>
      </c>
      <c r="OX9" s="40" t="str">
        <f t="shared" si="120"/>
        <v/>
      </c>
      <c r="OY9" s="40" t="str">
        <f t="shared" si="121"/>
        <v/>
      </c>
      <c r="OZ9" s="40" t="str">
        <f t="shared" si="122"/>
        <v/>
      </c>
      <c r="PA9" s="40" t="str">
        <f t="shared" si="123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4"/>
        <v/>
      </c>
      <c r="PW9" s="11" t="str">
        <f t="shared" si="125"/>
        <v/>
      </c>
      <c r="PX9" s="11" t="str">
        <f t="shared" si="126"/>
        <v/>
      </c>
      <c r="PY9" s="11" t="str">
        <f t="shared" si="127"/>
        <v/>
      </c>
      <c r="PZ9" s="11" t="str">
        <f t="shared" si="128"/>
        <v/>
      </c>
      <c r="QA9" s="11" t="str">
        <f t="shared" si="129"/>
        <v/>
      </c>
      <c r="QB9" s="11" t="str">
        <f t="shared" si="130"/>
        <v/>
      </c>
      <c r="QC9" s="11" t="str">
        <f t="shared" si="131"/>
        <v/>
      </c>
      <c r="QD9" s="22">
        <f t="shared" si="132"/>
        <v>9.4499999999999993</v>
      </c>
      <c r="QE9" s="22">
        <f t="shared" si="133"/>
        <v>3.2</v>
      </c>
      <c r="QF9" s="22">
        <f t="shared" si="134"/>
        <v>0.2</v>
      </c>
      <c r="QG9" s="22">
        <f t="shared" si="135"/>
        <v>0</v>
      </c>
      <c r="QH9" s="22">
        <f t="shared" si="136"/>
        <v>18.100000000000001</v>
      </c>
      <c r="QI9" s="22">
        <f t="shared" si="137"/>
        <v>5.4</v>
      </c>
      <c r="QJ9" s="22">
        <f t="shared" si="138"/>
        <v>0.3</v>
      </c>
      <c r="QK9" s="22">
        <f t="shared" si="139"/>
        <v>0.15</v>
      </c>
      <c r="QL9" s="22">
        <f t="shared" si="140"/>
        <v>9.1999999999999993</v>
      </c>
      <c r="QM9" s="22">
        <f t="shared" si="141"/>
        <v>3</v>
      </c>
      <c r="QN9" s="22">
        <f t="shared" si="142"/>
        <v>0.3</v>
      </c>
      <c r="QO9" s="22">
        <f t="shared" si="143"/>
        <v>0</v>
      </c>
      <c r="QP9" s="22">
        <f t="shared" si="144"/>
        <v>8.4</v>
      </c>
      <c r="QQ9" s="22">
        <f t="shared" si="145"/>
        <v>4.6500000000000004</v>
      </c>
      <c r="QR9" s="22">
        <f t="shared" si="146"/>
        <v>0.5</v>
      </c>
      <c r="QS9" s="22">
        <f t="shared" si="147"/>
        <v>0.15</v>
      </c>
      <c r="QT9" s="22">
        <f t="shared" si="148"/>
        <v>9.35</v>
      </c>
      <c r="QU9" s="22">
        <f t="shared" si="149"/>
        <v>3.6</v>
      </c>
      <c r="QV9" s="22">
        <f t="shared" si="150"/>
        <v>0.4</v>
      </c>
      <c r="QW9" s="22">
        <f t="shared" si="151"/>
        <v>0.15</v>
      </c>
      <c r="QX9" s="27" t="s">
        <v>46</v>
      </c>
      <c r="QY9" s="40">
        <f t="shared" si="152"/>
        <v>8.6000000000000014</v>
      </c>
      <c r="QZ9" s="40">
        <f t="shared" si="153"/>
        <v>35.799999999999997</v>
      </c>
      <c r="RA9" s="40">
        <f t="shared" si="154"/>
        <v>11.899999999999999</v>
      </c>
      <c r="RB9" s="40">
        <f t="shared" si="155"/>
        <v>11.600000000000001</v>
      </c>
      <c r="RC9" s="40">
        <f t="shared" si="156"/>
        <v>47.699999999999996</v>
      </c>
      <c r="RD9" s="40">
        <f t="shared" si="157"/>
        <v>8.25</v>
      </c>
      <c r="RE9" s="40">
        <f t="shared" si="158"/>
        <v>25.400000000000002</v>
      </c>
      <c r="RF9" s="40">
        <f t="shared" si="159"/>
        <v>73.099999999999994</v>
      </c>
    </row>
    <row r="10" spans="1:474" x14ac:dyDescent="0.2">
      <c r="A10" s="4" cm="1">
        <f t="array" ref="A10">IF(AND(J10&lt;&gt;"",J10&lt;&gt;"No DD"),SUMPRODUCT((J$4:J$42&lt;&gt;"")*(J$4:J$42&lt;&gt;"No DD")*(F$4:F$42&gt;F10))+1,IF(J10="No DD",SUMPRODUCT((J$4:J$42="No DD")*(F$4:F$42&gt;F10))+1+SUMPRODUCT((J$4:J$42&lt;&gt;"")*(J$4:J$42&lt;&gt;"No DD")),""))</f>
        <v>7</v>
      </c>
      <c r="B10" s="4" cm="1">
        <f t="array" ref="B10">IF(AND(J10&lt;&gt;"",J10&lt;&gt;"No DD",G10=""),SUMPRODUCT((J$4:J$42&lt;&gt;"")*(J$4:J$42&lt;&gt;"No DD")*(G$4:G$42="")*(F$4:F$42&gt;F10))+1,IF(J10="No DD",SUMPRODUCT((J$4:J$42="No DD")*(F$4:F$42&gt;F10)*(G$4:G$42=""))+1+SUMPRODUCT((J$4:J$42&lt;&gt;"")*(G$4:G$42="")*(J$4:J$42&lt;&gt;"No DD")),""))</f>
        <v>2</v>
      </c>
      <c r="C10" s="5" t="s">
        <v>89</v>
      </c>
      <c r="D10" s="4" t="s">
        <v>4</v>
      </c>
      <c r="E10" s="4">
        <v>2004</v>
      </c>
      <c r="F10" s="9">
        <f t="shared" si="0"/>
        <v>153.70001016000506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50.900000000000006</v>
      </c>
      <c r="M10" s="8" t="str">
        <f t="shared" si="5"/>
        <v>2025 Elite Canada</v>
      </c>
      <c r="N10" s="8">
        <f>IF(COUNT(AQ10,BT10,CW10)&gt;1,LARGE((AQ10,BT10,CW10),2),0)</f>
        <v>50.699999999999996</v>
      </c>
      <c r="O10" s="8" t="str">
        <f t="shared" si="6"/>
        <v>2024 Nationals</v>
      </c>
      <c r="P10" s="8">
        <f t="shared" si="7"/>
        <v>52.099999999999994</v>
      </c>
      <c r="Q10" s="8" t="str">
        <f t="shared" si="8"/>
        <v>2024 Nationals</v>
      </c>
      <c r="R10" s="8" t="str">
        <f t="shared" si="9"/>
        <v/>
      </c>
      <c r="S10" s="11" t="str">
        <f t="shared" si="160"/>
        <v/>
      </c>
      <c r="T10" s="8" t="str">
        <f t="shared" si="161"/>
        <v/>
      </c>
      <c r="U10" s="19">
        <v>18.5</v>
      </c>
      <c r="V10" s="19">
        <v>7.3</v>
      </c>
      <c r="W10" s="19">
        <v>0.2</v>
      </c>
      <c r="X10" s="19">
        <v>0</v>
      </c>
      <c r="Y10" s="19">
        <v>18.5</v>
      </c>
      <c r="Z10" s="19">
        <v>7.2</v>
      </c>
      <c r="AA10" s="19">
        <v>0.6</v>
      </c>
      <c r="AB10" s="19">
        <v>0</v>
      </c>
      <c r="AC10" s="19">
        <v>18.8</v>
      </c>
      <c r="AD10" s="19">
        <v>8.4</v>
      </c>
      <c r="AE10" s="19">
        <v>0</v>
      </c>
      <c r="AF10" s="19">
        <v>0</v>
      </c>
      <c r="AG10" s="19">
        <v>18.2</v>
      </c>
      <c r="AH10" s="19">
        <v>7.6</v>
      </c>
      <c r="AI10" s="19">
        <v>0.2</v>
      </c>
      <c r="AJ10" s="19">
        <v>0</v>
      </c>
      <c r="AK10" s="19">
        <v>18.899999999999999</v>
      </c>
      <c r="AL10" s="19">
        <v>7.6</v>
      </c>
      <c r="AM10" s="19">
        <v>0</v>
      </c>
      <c r="AN10" s="19">
        <v>0</v>
      </c>
      <c r="AO10" s="27"/>
      <c r="AP10" s="40">
        <f t="shared" si="10"/>
        <v>14.5</v>
      </c>
      <c r="AQ10" s="40">
        <f t="shared" si="11"/>
        <v>50.699999999999996</v>
      </c>
      <c r="AR10" s="40">
        <f t="shared" si="12"/>
        <v>27.200000000000003</v>
      </c>
      <c r="AS10" s="40">
        <f t="shared" si="13"/>
        <v>22.9</v>
      </c>
      <c r="AT10" s="40">
        <f t="shared" si="14"/>
        <v>77.900000000000006</v>
      </c>
      <c r="AU10" s="40">
        <f t="shared" si="15"/>
        <v>15.2</v>
      </c>
      <c r="AV10" s="40">
        <f t="shared" si="16"/>
        <v>52.099999999999994</v>
      </c>
      <c r="AW10" s="40">
        <f t="shared" si="17"/>
        <v>130</v>
      </c>
      <c r="AX10" s="18">
        <v>16.399999999999999</v>
      </c>
      <c r="AY10" s="18">
        <v>8.4</v>
      </c>
      <c r="AZ10" s="18">
        <v>1</v>
      </c>
      <c r="BA10" s="18">
        <v>0</v>
      </c>
      <c r="BB10" s="18">
        <v>16.2</v>
      </c>
      <c r="BC10" s="18">
        <v>7.2</v>
      </c>
      <c r="BD10" s="18">
        <v>1</v>
      </c>
      <c r="BE10" s="18">
        <v>0</v>
      </c>
      <c r="BF10" s="18">
        <v>19.2</v>
      </c>
      <c r="BG10" s="18">
        <v>5.6</v>
      </c>
      <c r="BH10" s="18">
        <v>0.4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 t="shared" si="18"/>
        <v>15.600000000000001</v>
      </c>
      <c r="BT10" s="11">
        <f t="shared" si="19"/>
        <v>46.2</v>
      </c>
      <c r="BU10" s="11">
        <f t="shared" si="20"/>
        <v>24.4</v>
      </c>
      <c r="BV10" s="11">
        <f t="shared" si="21"/>
        <v>21.200000000000003</v>
      </c>
      <c r="BW10" s="11">
        <f t="shared" si="22"/>
        <v>70.599999999999994</v>
      </c>
      <c r="BX10" s="11" t="str">
        <f t="shared" si="23"/>
        <v/>
      </c>
      <c r="BY10" s="11" t="str">
        <f t="shared" si="24"/>
        <v/>
      </c>
      <c r="BZ10" s="11">
        <f t="shared" si="25"/>
        <v>70.599999999999994</v>
      </c>
      <c r="CA10" s="19">
        <v>18.399999999999999</v>
      </c>
      <c r="CB10" s="19">
        <v>8</v>
      </c>
      <c r="CC10" s="19">
        <v>0.2</v>
      </c>
      <c r="CD10" s="19">
        <v>0</v>
      </c>
      <c r="CE10" s="19">
        <v>17.8</v>
      </c>
      <c r="CF10" s="19">
        <v>7.7</v>
      </c>
      <c r="CG10" s="19">
        <v>0.8</v>
      </c>
      <c r="CH10" s="19">
        <v>0</v>
      </c>
      <c r="CI10" s="19"/>
      <c r="CJ10" s="19"/>
      <c r="CK10" s="19"/>
      <c r="CL10" s="19"/>
      <c r="CM10" s="19">
        <v>18.100000000000001</v>
      </c>
      <c r="CN10" s="19">
        <v>7.2</v>
      </c>
      <c r="CO10" s="19">
        <v>0.6</v>
      </c>
      <c r="CP10" s="19">
        <v>0</v>
      </c>
      <c r="CQ10" s="19">
        <v>17.899999999999999</v>
      </c>
      <c r="CR10" s="19">
        <v>7.7</v>
      </c>
      <c r="CS10" s="19">
        <v>0.8</v>
      </c>
      <c r="CT10" s="19">
        <v>0</v>
      </c>
      <c r="CU10" s="27"/>
      <c r="CV10" s="40">
        <f t="shared" si="26"/>
        <v>15.7</v>
      </c>
      <c r="CW10" s="40">
        <f t="shared" si="27"/>
        <v>50.900000000000006</v>
      </c>
      <c r="CX10" s="40" t="str">
        <f t="shared" si="28"/>
        <v/>
      </c>
      <c r="CY10" s="40">
        <f t="shared" si="29"/>
        <v>15.7</v>
      </c>
      <c r="CZ10" s="40">
        <f t="shared" si="30"/>
        <v>50.900000000000006</v>
      </c>
      <c r="DA10" s="40">
        <f t="shared" si="31"/>
        <v>14.9</v>
      </c>
      <c r="DB10" s="40">
        <f t="shared" si="32"/>
        <v>49.500000000000007</v>
      </c>
      <c r="DC10" s="40">
        <f t="shared" si="33"/>
        <v>100.4</v>
      </c>
      <c r="DD10" s="50" t="str">
        <f t="shared" si="34"/>
        <v/>
      </c>
      <c r="DE10" s="50" t="str">
        <f t="shared" si="35"/>
        <v/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40" t="str">
        <f t="shared" si="36"/>
        <v/>
      </c>
      <c r="EA10" s="40" t="str">
        <f t="shared" si="37"/>
        <v/>
      </c>
      <c r="EB10" s="40" t="str">
        <f t="shared" si="38"/>
        <v/>
      </c>
      <c r="EC10" s="40" t="str">
        <f t="shared" si="39"/>
        <v/>
      </c>
      <c r="ED10" s="40" t="str">
        <f t="shared" si="40"/>
        <v/>
      </c>
      <c r="EE10" s="40" t="str">
        <f t="shared" si="41"/>
        <v/>
      </c>
      <c r="EF10" s="40" t="str">
        <f t="shared" si="42"/>
        <v/>
      </c>
      <c r="EG10" s="40" t="str">
        <f t="shared" si="43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4"/>
        <v/>
      </c>
      <c r="FC10" s="11" t="str">
        <f t="shared" si="45"/>
        <v/>
      </c>
      <c r="FD10" s="11" t="str">
        <f t="shared" si="46"/>
        <v/>
      </c>
      <c r="FE10" s="11" t="str">
        <f t="shared" si="47"/>
        <v/>
      </c>
      <c r="FF10" s="11" t="str">
        <f t="shared" si="48"/>
        <v/>
      </c>
      <c r="FG10" s="11" t="str">
        <f t="shared" si="49"/>
        <v/>
      </c>
      <c r="FH10" s="11" t="str">
        <f t="shared" si="50"/>
        <v/>
      </c>
      <c r="FI10" s="11" t="str">
        <f t="shared" si="51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2"/>
        <v/>
      </c>
      <c r="GE10" s="40" t="str">
        <f t="shared" si="53"/>
        <v/>
      </c>
      <c r="GF10" s="40" t="str">
        <f t="shared" si="54"/>
        <v/>
      </c>
      <c r="GG10" s="40" t="str">
        <f t="shared" si="55"/>
        <v/>
      </c>
      <c r="GH10" s="40" t="str">
        <f t="shared" si="56"/>
        <v/>
      </c>
      <c r="GI10" s="40" t="str">
        <f t="shared" si="57"/>
        <v/>
      </c>
      <c r="GJ10" s="40" t="str">
        <f t="shared" si="58"/>
        <v/>
      </c>
      <c r="GK10" s="40" t="str">
        <f t="shared" si="59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0"/>
        <v/>
      </c>
      <c r="HG10" s="11" t="str">
        <f t="shared" si="61"/>
        <v/>
      </c>
      <c r="HH10" s="11" t="str">
        <f t="shared" si="62"/>
        <v/>
      </c>
      <c r="HI10" s="11" t="str">
        <f t="shared" si="63"/>
        <v/>
      </c>
      <c r="HJ10" s="11" t="str">
        <f t="shared" si="64"/>
        <v/>
      </c>
      <c r="HK10" s="11" t="str">
        <f t="shared" si="65"/>
        <v/>
      </c>
      <c r="HL10" s="11" t="str">
        <f t="shared" si="66"/>
        <v/>
      </c>
      <c r="HM10" s="11" t="str">
        <f t="shared" si="67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68"/>
        <v/>
      </c>
      <c r="II10" s="40" t="str">
        <f t="shared" si="69"/>
        <v/>
      </c>
      <c r="IJ10" s="40" t="str">
        <f t="shared" si="70"/>
        <v/>
      </c>
      <c r="IK10" s="40" t="str">
        <f t="shared" si="71"/>
        <v/>
      </c>
      <c r="IL10" s="40" t="str">
        <f t="shared" si="72"/>
        <v/>
      </c>
      <c r="IM10" s="40" t="str">
        <f t="shared" si="73"/>
        <v/>
      </c>
      <c r="IN10" s="40" t="str">
        <f t="shared" si="74"/>
        <v/>
      </c>
      <c r="IO10" s="40" t="str">
        <f t="shared" si="75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6"/>
        <v/>
      </c>
      <c r="JK10" s="11" t="str">
        <f t="shared" si="77"/>
        <v/>
      </c>
      <c r="JL10" s="11" t="str">
        <f t="shared" si="78"/>
        <v/>
      </c>
      <c r="JM10" s="11" t="str">
        <f t="shared" si="79"/>
        <v/>
      </c>
      <c r="JN10" s="11" t="str">
        <f t="shared" si="80"/>
        <v/>
      </c>
      <c r="JO10" s="11" t="str">
        <f t="shared" si="81"/>
        <v/>
      </c>
      <c r="JP10" s="11" t="str">
        <f t="shared" si="82"/>
        <v/>
      </c>
      <c r="JQ10" s="11" t="str">
        <f t="shared" si="83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4"/>
        <v/>
      </c>
      <c r="KM10" s="40" t="str">
        <f t="shared" si="85"/>
        <v/>
      </c>
      <c r="KN10" s="40" t="str">
        <f t="shared" si="86"/>
        <v/>
      </c>
      <c r="KO10" s="40" t="str">
        <f t="shared" si="87"/>
        <v/>
      </c>
      <c r="KP10" s="40" t="str">
        <f t="shared" si="88"/>
        <v/>
      </c>
      <c r="KQ10" s="40" t="str">
        <f t="shared" si="89"/>
        <v/>
      </c>
      <c r="KR10" s="40" t="str">
        <f t="shared" si="90"/>
        <v/>
      </c>
      <c r="KS10" s="40" t="str">
        <f t="shared" si="91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2"/>
        <v/>
      </c>
      <c r="LO10" s="11" t="str">
        <f t="shared" si="93"/>
        <v/>
      </c>
      <c r="LP10" s="11" t="str">
        <f t="shared" si="94"/>
        <v/>
      </c>
      <c r="LQ10" s="11" t="str">
        <f t="shared" si="95"/>
        <v/>
      </c>
      <c r="LR10" s="11" t="str">
        <f t="shared" si="96"/>
        <v/>
      </c>
      <c r="LS10" s="11" t="str">
        <f t="shared" si="97"/>
        <v/>
      </c>
      <c r="LT10" s="11" t="str">
        <f t="shared" si="98"/>
        <v/>
      </c>
      <c r="LU10" s="11" t="str">
        <f t="shared" si="99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0"/>
        <v/>
      </c>
      <c r="MQ10" s="40" t="str">
        <f t="shared" si="101"/>
        <v/>
      </c>
      <c r="MR10" s="40" t="str">
        <f t="shared" si="102"/>
        <v/>
      </c>
      <c r="MS10" s="40" t="str">
        <f t="shared" si="103"/>
        <v/>
      </c>
      <c r="MT10" s="40" t="str">
        <f t="shared" si="104"/>
        <v/>
      </c>
      <c r="MU10" s="40" t="str">
        <f t="shared" si="105"/>
        <v/>
      </c>
      <c r="MV10" s="40" t="str">
        <f t="shared" si="106"/>
        <v/>
      </c>
      <c r="MW10" s="40" t="str">
        <f t="shared" si="107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08"/>
        <v/>
      </c>
      <c r="NS10" s="11" t="str">
        <f t="shared" si="109"/>
        <v/>
      </c>
      <c r="NT10" s="11" t="str">
        <f t="shared" si="110"/>
        <v/>
      </c>
      <c r="NU10" s="11" t="str">
        <f t="shared" si="111"/>
        <v/>
      </c>
      <c r="NV10" s="11" t="str">
        <f t="shared" si="112"/>
        <v/>
      </c>
      <c r="NW10" s="11" t="str">
        <f t="shared" si="113"/>
        <v/>
      </c>
      <c r="NX10" s="11" t="str">
        <f t="shared" si="114"/>
        <v/>
      </c>
      <c r="NY10" s="11" t="str">
        <f t="shared" si="115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6"/>
        <v/>
      </c>
      <c r="OU10" s="40" t="str">
        <f t="shared" si="117"/>
        <v/>
      </c>
      <c r="OV10" s="40" t="str">
        <f t="shared" si="118"/>
        <v/>
      </c>
      <c r="OW10" s="40" t="str">
        <f t="shared" si="119"/>
        <v/>
      </c>
      <c r="OX10" s="40" t="str">
        <f t="shared" si="120"/>
        <v/>
      </c>
      <c r="OY10" s="40" t="str">
        <f t="shared" si="121"/>
        <v/>
      </c>
      <c r="OZ10" s="40" t="str">
        <f t="shared" si="122"/>
        <v/>
      </c>
      <c r="PA10" s="40" t="str">
        <f t="shared" si="123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4"/>
        <v/>
      </c>
      <c r="PW10" s="11" t="str">
        <f t="shared" si="125"/>
        <v/>
      </c>
      <c r="PX10" s="11" t="str">
        <f t="shared" si="126"/>
        <v/>
      </c>
      <c r="PY10" s="11" t="str">
        <f t="shared" si="127"/>
        <v/>
      </c>
      <c r="PZ10" s="11" t="str">
        <f t="shared" si="128"/>
        <v/>
      </c>
      <c r="QA10" s="11" t="str">
        <f t="shared" si="129"/>
        <v/>
      </c>
      <c r="QB10" s="11" t="str">
        <f t="shared" si="130"/>
        <v/>
      </c>
      <c r="QC10" s="11" t="str">
        <f t="shared" si="131"/>
        <v/>
      </c>
      <c r="QD10" s="22">
        <f t="shared" si="132"/>
        <v>17.399999999999999</v>
      </c>
      <c r="QE10" s="22">
        <f t="shared" si="133"/>
        <v>8.1999999999999993</v>
      </c>
      <c r="QF10" s="22">
        <f t="shared" si="134"/>
        <v>0.6</v>
      </c>
      <c r="QG10" s="22">
        <f t="shared" si="135"/>
        <v>0</v>
      </c>
      <c r="QH10" s="22">
        <f t="shared" si="136"/>
        <v>17</v>
      </c>
      <c r="QI10" s="22">
        <f t="shared" si="137"/>
        <v>7.45</v>
      </c>
      <c r="QJ10" s="22">
        <f t="shared" si="138"/>
        <v>0.9</v>
      </c>
      <c r="QK10" s="22">
        <f t="shared" si="139"/>
        <v>0</v>
      </c>
      <c r="QL10" s="22">
        <f t="shared" si="140"/>
        <v>9.6</v>
      </c>
      <c r="QM10" s="22">
        <f t="shared" si="141"/>
        <v>2.8</v>
      </c>
      <c r="QN10" s="22">
        <f t="shared" si="142"/>
        <v>0.2</v>
      </c>
      <c r="QO10" s="22">
        <f t="shared" si="143"/>
        <v>0</v>
      </c>
      <c r="QP10" s="22">
        <f t="shared" si="144"/>
        <v>9.0500000000000007</v>
      </c>
      <c r="QQ10" s="22">
        <f t="shared" si="145"/>
        <v>3.6</v>
      </c>
      <c r="QR10" s="22">
        <f t="shared" si="146"/>
        <v>0.3</v>
      </c>
      <c r="QS10" s="22">
        <f t="shared" si="147"/>
        <v>0</v>
      </c>
      <c r="QT10" s="22">
        <f t="shared" si="148"/>
        <v>8.9499999999999993</v>
      </c>
      <c r="QU10" s="22">
        <f t="shared" si="149"/>
        <v>3.85</v>
      </c>
      <c r="QV10" s="22">
        <f t="shared" si="150"/>
        <v>0.4</v>
      </c>
      <c r="QW10" s="22">
        <f t="shared" si="151"/>
        <v>0</v>
      </c>
      <c r="QX10" s="27" t="s">
        <v>46</v>
      </c>
      <c r="QY10" s="40">
        <f t="shared" si="152"/>
        <v>15.649999999999999</v>
      </c>
      <c r="QZ10" s="40">
        <f t="shared" si="153"/>
        <v>48.55</v>
      </c>
      <c r="RA10" s="40">
        <f t="shared" si="154"/>
        <v>12.2</v>
      </c>
      <c r="RB10" s="40">
        <f t="shared" si="155"/>
        <v>18.45</v>
      </c>
      <c r="RC10" s="40">
        <f t="shared" si="156"/>
        <v>60.75</v>
      </c>
      <c r="RD10" s="40">
        <f t="shared" si="157"/>
        <v>7.45</v>
      </c>
      <c r="RE10" s="40">
        <f t="shared" si="158"/>
        <v>24.750000000000004</v>
      </c>
      <c r="RF10" s="40">
        <f t="shared" si="159"/>
        <v>85.5</v>
      </c>
    </row>
    <row r="11" spans="1:474" x14ac:dyDescent="0.2">
      <c r="A11" s="4" cm="1">
        <f t="array" ref="A11">IF(AND(J11&lt;&gt;"",J11&lt;&gt;"No DD"),SUMPRODUCT((J$4:J$42&lt;&gt;"")*(J$4:J$42&lt;&gt;"No DD")*(F$4:F$42&gt;F11))+1,IF(J11="No DD",SUMPRODUCT((J$4:J$42="No DD")*(F$4:F$42&gt;F11))+1+SUMPRODUCT((J$4:J$42&lt;&gt;"")*(J$4:J$42&lt;&gt;"No DD")),""))</f>
        <v>8</v>
      </c>
      <c r="B11" s="4" cm="1">
        <f t="array" ref="B11">IF(AND(J11&lt;&gt;"",J11&lt;&gt;"No DD",G11=""),SUMPRODUCT((J$4:J$42&lt;&gt;"")*(J$4:J$42&lt;&gt;"No DD")*(G$4:G$42="")*(F$4:F$42&gt;F11))+1,IF(J11="No DD",SUMPRODUCT((J$4:J$42="No DD")*(F$4:F$42&gt;F11)*(G$4:G$42=""))+1+SUMPRODUCT((J$4:J$42&lt;&gt;"")*(G$4:G$42="")*(J$4:J$42&lt;&gt;"No DD")),""))</f>
        <v>3</v>
      </c>
      <c r="C11" s="5" t="s">
        <v>106</v>
      </c>
      <c r="D11" s="4" t="s">
        <v>94</v>
      </c>
      <c r="E11" s="4">
        <v>2005</v>
      </c>
      <c r="F11" s="9">
        <f t="shared" si="0"/>
        <v>153.10001038000527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52.500000000000007</v>
      </c>
      <c r="M11" s="8" t="str">
        <f t="shared" si="5"/>
        <v>2024 Nationals</v>
      </c>
      <c r="N11" s="8">
        <f>IF(COUNT(AQ11,BT11,CW11)&gt;1,LARGE((AQ11,BT11,CW11),2),0)</f>
        <v>51.3</v>
      </c>
      <c r="O11" s="8" t="str">
        <f t="shared" si="6"/>
        <v>2024 3rd Domestic Trial</v>
      </c>
      <c r="P11" s="8">
        <f t="shared" si="7"/>
        <v>49.3</v>
      </c>
      <c r="Q11" s="8" t="str">
        <f t="shared" si="8"/>
        <v>2024 Nationals</v>
      </c>
      <c r="R11" s="8" t="str">
        <f t="shared" si="9"/>
        <v/>
      </c>
      <c r="S11" s="11" t="str">
        <f t="shared" si="160"/>
        <v/>
      </c>
      <c r="T11" s="8" t="str">
        <f t="shared" si="161"/>
        <v/>
      </c>
      <c r="U11" s="19">
        <v>19.100000000000001</v>
      </c>
      <c r="V11" s="19">
        <v>8</v>
      </c>
      <c r="W11" s="19">
        <v>0.2</v>
      </c>
      <c r="X11" s="19">
        <v>0.3</v>
      </c>
      <c r="Y11" s="19">
        <v>18.5</v>
      </c>
      <c r="Z11" s="19">
        <v>7.6</v>
      </c>
      <c r="AA11" s="19">
        <v>0.8</v>
      </c>
      <c r="AB11" s="19">
        <v>0</v>
      </c>
      <c r="AC11" s="19">
        <v>17.7</v>
      </c>
      <c r="AD11" s="19">
        <v>2.4</v>
      </c>
      <c r="AE11" s="19">
        <v>0</v>
      </c>
      <c r="AF11" s="19">
        <v>0</v>
      </c>
      <c r="AG11" s="19">
        <v>18.899999999999999</v>
      </c>
      <c r="AH11" s="19">
        <v>8</v>
      </c>
      <c r="AI11" s="19">
        <v>0.2</v>
      </c>
      <c r="AJ11" s="19">
        <v>0.3</v>
      </c>
      <c r="AK11" s="19">
        <v>16.5</v>
      </c>
      <c r="AL11" s="19">
        <v>6.8</v>
      </c>
      <c r="AM11" s="19">
        <v>1</v>
      </c>
      <c r="AN11" s="19">
        <v>0</v>
      </c>
      <c r="AO11" s="27"/>
      <c r="AP11" s="40">
        <f t="shared" si="10"/>
        <v>15.6</v>
      </c>
      <c r="AQ11" s="40">
        <f t="shared" si="11"/>
        <v>52.500000000000007</v>
      </c>
      <c r="AR11" s="40">
        <f t="shared" si="12"/>
        <v>20.099999999999998</v>
      </c>
      <c r="AS11" s="40">
        <f t="shared" si="13"/>
        <v>18</v>
      </c>
      <c r="AT11" s="40">
        <f t="shared" si="14"/>
        <v>72.600000000000009</v>
      </c>
      <c r="AU11" s="40">
        <f t="shared" si="15"/>
        <v>14.8</v>
      </c>
      <c r="AV11" s="40">
        <f t="shared" si="16"/>
        <v>49.3</v>
      </c>
      <c r="AW11" s="40">
        <f t="shared" si="17"/>
        <v>121.9</v>
      </c>
      <c r="AX11" s="18">
        <v>18.899999999999999</v>
      </c>
      <c r="AY11" s="18">
        <v>8</v>
      </c>
      <c r="AZ11" s="18">
        <v>0.6</v>
      </c>
      <c r="BA11" s="18">
        <v>0.3</v>
      </c>
      <c r="BB11" s="18">
        <v>18.5</v>
      </c>
      <c r="BC11" s="18">
        <v>6.8</v>
      </c>
      <c r="BD11" s="18">
        <v>0.6</v>
      </c>
      <c r="BE11" s="18">
        <v>0</v>
      </c>
      <c r="BF11" s="18">
        <v>17.600000000000001</v>
      </c>
      <c r="BG11" s="18">
        <v>2.4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18"/>
        <v>14.8</v>
      </c>
      <c r="BT11" s="11">
        <f t="shared" si="19"/>
        <v>51.3</v>
      </c>
      <c r="BU11" s="11">
        <f t="shared" si="20"/>
        <v>20</v>
      </c>
      <c r="BV11" s="11">
        <f t="shared" si="21"/>
        <v>17.2</v>
      </c>
      <c r="BW11" s="11">
        <f t="shared" si="22"/>
        <v>71.3</v>
      </c>
      <c r="BX11" s="11" t="str">
        <f t="shared" si="23"/>
        <v/>
      </c>
      <c r="BY11" s="11" t="str">
        <f t="shared" si="24"/>
        <v/>
      </c>
      <c r="BZ11" s="11">
        <f t="shared" si="25"/>
        <v>71.3</v>
      </c>
      <c r="CA11" s="19">
        <v>15.4</v>
      </c>
      <c r="CB11" s="19">
        <v>2.8</v>
      </c>
      <c r="CC11" s="19">
        <v>0</v>
      </c>
      <c r="CD11" s="19">
        <v>0</v>
      </c>
      <c r="CE11" s="19">
        <v>18.2</v>
      </c>
      <c r="CF11" s="19">
        <v>7.2</v>
      </c>
      <c r="CG11" s="19">
        <v>0.2</v>
      </c>
      <c r="CH11" s="19">
        <v>0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6"/>
        <v>10</v>
      </c>
      <c r="CW11" s="40">
        <f t="shared" si="27"/>
        <v>43.4</v>
      </c>
      <c r="CX11" s="40" t="str">
        <f t="shared" si="28"/>
        <v/>
      </c>
      <c r="CY11" s="40">
        <f t="shared" si="29"/>
        <v>10</v>
      </c>
      <c r="CZ11" s="40">
        <f t="shared" si="30"/>
        <v>43.4</v>
      </c>
      <c r="DA11" s="40" t="str">
        <f t="shared" si="31"/>
        <v/>
      </c>
      <c r="DB11" s="40" t="str">
        <f t="shared" si="32"/>
        <v/>
      </c>
      <c r="DC11" s="40">
        <f t="shared" si="33"/>
        <v>43.4</v>
      </c>
      <c r="DD11" s="50" t="str">
        <f t="shared" si="34"/>
        <v/>
      </c>
      <c r="DE11" s="50" t="str">
        <f t="shared" si="35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6"/>
        <v/>
      </c>
      <c r="EA11" s="40" t="str">
        <f t="shared" si="37"/>
        <v/>
      </c>
      <c r="EB11" s="40" t="str">
        <f t="shared" si="38"/>
        <v/>
      </c>
      <c r="EC11" s="40" t="str">
        <f t="shared" si="39"/>
        <v/>
      </c>
      <c r="ED11" s="40" t="str">
        <f t="shared" si="40"/>
        <v/>
      </c>
      <c r="EE11" s="40" t="str">
        <f t="shared" si="41"/>
        <v/>
      </c>
      <c r="EF11" s="40" t="str">
        <f t="shared" si="42"/>
        <v/>
      </c>
      <c r="EG11" s="40" t="str">
        <f t="shared" si="43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4"/>
        <v/>
      </c>
      <c r="FC11" s="11" t="str">
        <f t="shared" si="45"/>
        <v/>
      </c>
      <c r="FD11" s="11" t="str">
        <f t="shared" si="46"/>
        <v/>
      </c>
      <c r="FE11" s="11" t="str">
        <f t="shared" si="47"/>
        <v/>
      </c>
      <c r="FF11" s="11" t="str">
        <f t="shared" si="48"/>
        <v/>
      </c>
      <c r="FG11" s="11" t="str">
        <f t="shared" si="49"/>
        <v/>
      </c>
      <c r="FH11" s="11" t="str">
        <f t="shared" si="50"/>
        <v/>
      </c>
      <c r="FI11" s="11" t="str">
        <f t="shared" si="51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2"/>
        <v/>
      </c>
      <c r="GE11" s="40" t="str">
        <f t="shared" si="53"/>
        <v/>
      </c>
      <c r="GF11" s="40" t="str">
        <f t="shared" si="54"/>
        <v/>
      </c>
      <c r="GG11" s="40" t="str">
        <f t="shared" si="55"/>
        <v/>
      </c>
      <c r="GH11" s="40" t="str">
        <f t="shared" si="56"/>
        <v/>
      </c>
      <c r="GI11" s="40" t="str">
        <f t="shared" si="57"/>
        <v/>
      </c>
      <c r="GJ11" s="40" t="str">
        <f t="shared" si="58"/>
        <v/>
      </c>
      <c r="GK11" s="40" t="str">
        <f t="shared" si="59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0"/>
        <v/>
      </c>
      <c r="HG11" s="11" t="str">
        <f t="shared" si="61"/>
        <v/>
      </c>
      <c r="HH11" s="11" t="str">
        <f t="shared" si="62"/>
        <v/>
      </c>
      <c r="HI11" s="11" t="str">
        <f t="shared" si="63"/>
        <v/>
      </c>
      <c r="HJ11" s="11" t="str">
        <f t="shared" si="64"/>
        <v/>
      </c>
      <c r="HK11" s="11" t="str">
        <f t="shared" si="65"/>
        <v/>
      </c>
      <c r="HL11" s="11" t="str">
        <f t="shared" si="66"/>
        <v/>
      </c>
      <c r="HM11" s="11" t="str">
        <f t="shared" si="67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68"/>
        <v/>
      </c>
      <c r="II11" s="40" t="str">
        <f t="shared" si="69"/>
        <v/>
      </c>
      <c r="IJ11" s="40" t="str">
        <f t="shared" si="70"/>
        <v/>
      </c>
      <c r="IK11" s="40" t="str">
        <f t="shared" si="71"/>
        <v/>
      </c>
      <c r="IL11" s="40" t="str">
        <f t="shared" si="72"/>
        <v/>
      </c>
      <c r="IM11" s="40" t="str">
        <f t="shared" si="73"/>
        <v/>
      </c>
      <c r="IN11" s="40" t="str">
        <f t="shared" si="74"/>
        <v/>
      </c>
      <c r="IO11" s="40" t="str">
        <f t="shared" si="75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6"/>
        <v/>
      </c>
      <c r="JK11" s="11" t="str">
        <f t="shared" si="77"/>
        <v/>
      </c>
      <c r="JL11" s="11" t="str">
        <f t="shared" si="78"/>
        <v/>
      </c>
      <c r="JM11" s="11" t="str">
        <f t="shared" si="79"/>
        <v/>
      </c>
      <c r="JN11" s="11" t="str">
        <f t="shared" si="80"/>
        <v/>
      </c>
      <c r="JO11" s="11" t="str">
        <f t="shared" si="81"/>
        <v/>
      </c>
      <c r="JP11" s="11" t="str">
        <f t="shared" si="82"/>
        <v/>
      </c>
      <c r="JQ11" s="11" t="str">
        <f t="shared" si="83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4"/>
        <v/>
      </c>
      <c r="KM11" s="40" t="str">
        <f t="shared" si="85"/>
        <v/>
      </c>
      <c r="KN11" s="40" t="str">
        <f t="shared" si="86"/>
        <v/>
      </c>
      <c r="KO11" s="40" t="str">
        <f t="shared" si="87"/>
        <v/>
      </c>
      <c r="KP11" s="40" t="str">
        <f t="shared" si="88"/>
        <v/>
      </c>
      <c r="KQ11" s="40" t="str">
        <f t="shared" si="89"/>
        <v/>
      </c>
      <c r="KR11" s="40" t="str">
        <f t="shared" si="90"/>
        <v/>
      </c>
      <c r="KS11" s="40" t="str">
        <f t="shared" si="91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2"/>
        <v/>
      </c>
      <c r="LO11" s="11" t="str">
        <f t="shared" si="93"/>
        <v/>
      </c>
      <c r="LP11" s="11" t="str">
        <f t="shared" si="94"/>
        <v/>
      </c>
      <c r="LQ11" s="11" t="str">
        <f t="shared" si="95"/>
        <v/>
      </c>
      <c r="LR11" s="11" t="str">
        <f t="shared" si="96"/>
        <v/>
      </c>
      <c r="LS11" s="11" t="str">
        <f t="shared" si="97"/>
        <v/>
      </c>
      <c r="LT11" s="11" t="str">
        <f t="shared" si="98"/>
        <v/>
      </c>
      <c r="LU11" s="11" t="str">
        <f t="shared" si="99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0"/>
        <v/>
      </c>
      <c r="MQ11" s="40" t="str">
        <f t="shared" si="101"/>
        <v/>
      </c>
      <c r="MR11" s="40" t="str">
        <f t="shared" si="102"/>
        <v/>
      </c>
      <c r="MS11" s="40" t="str">
        <f t="shared" si="103"/>
        <v/>
      </c>
      <c r="MT11" s="40" t="str">
        <f t="shared" si="104"/>
        <v/>
      </c>
      <c r="MU11" s="40" t="str">
        <f t="shared" si="105"/>
        <v/>
      </c>
      <c r="MV11" s="40" t="str">
        <f t="shared" si="106"/>
        <v/>
      </c>
      <c r="MW11" s="40" t="str">
        <f t="shared" si="107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08"/>
        <v/>
      </c>
      <c r="NS11" s="11" t="str">
        <f t="shared" si="109"/>
        <v/>
      </c>
      <c r="NT11" s="11" t="str">
        <f t="shared" si="110"/>
        <v/>
      </c>
      <c r="NU11" s="11" t="str">
        <f t="shared" si="111"/>
        <v/>
      </c>
      <c r="NV11" s="11" t="str">
        <f t="shared" si="112"/>
        <v/>
      </c>
      <c r="NW11" s="11" t="str">
        <f t="shared" si="113"/>
        <v/>
      </c>
      <c r="NX11" s="11" t="str">
        <f t="shared" si="114"/>
        <v/>
      </c>
      <c r="NY11" s="11" t="str">
        <f t="shared" si="115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6"/>
        <v/>
      </c>
      <c r="OU11" s="40" t="str">
        <f t="shared" si="117"/>
        <v/>
      </c>
      <c r="OV11" s="40" t="str">
        <f t="shared" si="118"/>
        <v/>
      </c>
      <c r="OW11" s="40" t="str">
        <f t="shared" si="119"/>
        <v/>
      </c>
      <c r="OX11" s="40" t="str">
        <f t="shared" si="120"/>
        <v/>
      </c>
      <c r="OY11" s="40" t="str">
        <f t="shared" si="121"/>
        <v/>
      </c>
      <c r="OZ11" s="40" t="str">
        <f t="shared" si="122"/>
        <v/>
      </c>
      <c r="PA11" s="40" t="str">
        <f t="shared" si="123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4"/>
        <v/>
      </c>
      <c r="PW11" s="11" t="str">
        <f t="shared" si="125"/>
        <v/>
      </c>
      <c r="PX11" s="11" t="str">
        <f t="shared" si="126"/>
        <v/>
      </c>
      <c r="PY11" s="11" t="str">
        <f t="shared" si="127"/>
        <v/>
      </c>
      <c r="PZ11" s="11" t="str">
        <f t="shared" si="128"/>
        <v/>
      </c>
      <c r="QA11" s="11" t="str">
        <f t="shared" si="129"/>
        <v/>
      </c>
      <c r="QB11" s="11" t="str">
        <f t="shared" si="130"/>
        <v/>
      </c>
      <c r="QC11" s="11" t="str">
        <f t="shared" si="131"/>
        <v/>
      </c>
      <c r="QD11" s="22">
        <f t="shared" si="132"/>
        <v>17.149999999999999</v>
      </c>
      <c r="QE11" s="22">
        <f t="shared" si="133"/>
        <v>5.4</v>
      </c>
      <c r="QF11" s="22">
        <f t="shared" si="134"/>
        <v>0.3</v>
      </c>
      <c r="QG11" s="22">
        <f t="shared" si="135"/>
        <v>0.15</v>
      </c>
      <c r="QH11" s="22">
        <f t="shared" si="136"/>
        <v>18.350000000000001</v>
      </c>
      <c r="QI11" s="22">
        <f t="shared" si="137"/>
        <v>7</v>
      </c>
      <c r="QJ11" s="22">
        <f t="shared" si="138"/>
        <v>0.4</v>
      </c>
      <c r="QK11" s="22">
        <f t="shared" si="139"/>
        <v>0</v>
      </c>
      <c r="QL11" s="22">
        <f t="shared" si="140"/>
        <v>8.8000000000000007</v>
      </c>
      <c r="QM11" s="22">
        <f t="shared" si="141"/>
        <v>1.2</v>
      </c>
      <c r="QN11" s="22">
        <f t="shared" si="142"/>
        <v>0</v>
      </c>
      <c r="QO11" s="22">
        <f t="shared" si="143"/>
        <v>0</v>
      </c>
      <c r="QP11" s="22">
        <f t="shared" si="144"/>
        <v>0</v>
      </c>
      <c r="QQ11" s="22">
        <f t="shared" si="145"/>
        <v>0</v>
      </c>
      <c r="QR11" s="22">
        <f t="shared" si="146"/>
        <v>0</v>
      </c>
      <c r="QS11" s="22">
        <f t="shared" si="147"/>
        <v>0</v>
      </c>
      <c r="QT11" s="22">
        <f t="shared" si="148"/>
        <v>0</v>
      </c>
      <c r="QU11" s="22">
        <f t="shared" si="149"/>
        <v>0</v>
      </c>
      <c r="QV11" s="22">
        <f t="shared" si="150"/>
        <v>0</v>
      </c>
      <c r="QW11" s="22">
        <f t="shared" si="151"/>
        <v>0</v>
      </c>
      <c r="QX11" s="27" t="s">
        <v>46</v>
      </c>
      <c r="QY11" s="40">
        <f t="shared" si="152"/>
        <v>12.4</v>
      </c>
      <c r="QZ11" s="40">
        <f t="shared" si="153"/>
        <v>47.35</v>
      </c>
      <c r="RA11" s="40">
        <f t="shared" si="154"/>
        <v>10</v>
      </c>
      <c r="RB11" s="40">
        <f t="shared" si="155"/>
        <v>13.6</v>
      </c>
      <c r="RC11" s="40">
        <f t="shared" si="156"/>
        <v>57.35</v>
      </c>
      <c r="RD11" s="40" t="str">
        <f t="shared" si="157"/>
        <v/>
      </c>
      <c r="RE11" s="40" t="str">
        <f t="shared" si="158"/>
        <v/>
      </c>
      <c r="RF11" s="40">
        <f t="shared" si="159"/>
        <v>57.35</v>
      </c>
    </row>
    <row r="12" spans="1:474" x14ac:dyDescent="0.2">
      <c r="A12" s="4" cm="1">
        <f t="array" ref="A12">IF(AND(J12&lt;&gt;"",J12&lt;&gt;"No DD"),SUMPRODUCT((J$4:J$42&lt;&gt;"")*(J$4:J$42&lt;&gt;"No DD")*(F$4:F$42&gt;F12))+1,IF(J12="No DD",SUMPRODUCT((J$4:J$42="No DD")*(F$4:F$42&gt;F12))+1+SUMPRODUCT((J$4:J$42&lt;&gt;"")*(J$4:J$42&lt;&gt;"No DD")),""))</f>
        <v>9</v>
      </c>
      <c r="B12" s="4" cm="1">
        <f t="array" ref="B12">IF(AND(J12&lt;&gt;"",J12&lt;&gt;"No DD",G12=""),SUMPRODUCT((J$4:J$42&lt;&gt;"")*(J$4:J$42&lt;&gt;"No DD")*(G$4:G$42="")*(F$4:F$42&gt;F12))+1,IF(J12="No DD",SUMPRODUCT((J$4:J$42="No DD")*(F$4:F$42&gt;F12)*(G$4:G$42=""))+1+SUMPRODUCT((J$4:J$42&lt;&gt;"")*(G$4:G$42="")*(J$4:J$42&lt;&gt;"No DD")),""))</f>
        <v>4</v>
      </c>
      <c r="C12" s="5" t="s">
        <v>213</v>
      </c>
      <c r="D12" s="4" t="s">
        <v>5</v>
      </c>
      <c r="E12" s="4">
        <v>2008</v>
      </c>
      <c r="F12" s="9">
        <f t="shared" si="0"/>
        <v>152.50000979000512</v>
      </c>
      <c r="H12" s="3" t="str">
        <f t="shared" si="1"/>
        <v>P</v>
      </c>
      <c r="I12" s="3" t="str">
        <f t="shared" si="2"/>
        <v>P</v>
      </c>
      <c r="J12" s="36" t="str">
        <f t="shared" si="3"/>
        <v>National Team</v>
      </c>
      <c r="K12" s="3" t="str">
        <f t="shared" si="4"/>
        <v/>
      </c>
      <c r="L12" s="8">
        <f>IF(COUNT(AQ12,BT12,CW12)&gt;0,LARGE((AQ12,BT12,CW12),1),0)</f>
        <v>51.2</v>
      </c>
      <c r="M12" s="8" t="str">
        <f t="shared" si="5"/>
        <v>2024 3rd Domestic Trial</v>
      </c>
      <c r="N12" s="8">
        <f>IF(COUNT(AQ12,BT12,CW12)&gt;1,LARGE((AQ12,BT12,CW12),2),0)</f>
        <v>46.70000000000001</v>
      </c>
      <c r="O12" s="8" t="str">
        <f t="shared" si="6"/>
        <v>2025 Elite Canada</v>
      </c>
      <c r="P12" s="8">
        <f t="shared" si="7"/>
        <v>51.2</v>
      </c>
      <c r="Q12" s="8" t="str">
        <f t="shared" si="8"/>
        <v>2024 3rd Domestic Trial</v>
      </c>
      <c r="R12" s="8">
        <f t="shared" si="9"/>
        <v>3.3999999999999844</v>
      </c>
      <c r="S12" s="11" t="str">
        <f t="shared" si="160"/>
        <v>(Q1)</v>
      </c>
      <c r="T12" s="8" t="str">
        <f t="shared" si="161"/>
        <v>2024 Coimbra Gym Fest (July 7)</v>
      </c>
      <c r="U12" s="19">
        <v>18.2</v>
      </c>
      <c r="V12" s="19">
        <v>6.8</v>
      </c>
      <c r="W12" s="19">
        <v>1</v>
      </c>
      <c r="X12" s="19">
        <v>0</v>
      </c>
      <c r="Y12" s="19">
        <v>18.5</v>
      </c>
      <c r="Z12" s="19">
        <v>3.6</v>
      </c>
      <c r="AA12" s="19">
        <v>0.9</v>
      </c>
      <c r="AB12" s="19">
        <v>0</v>
      </c>
      <c r="AC12" s="19">
        <v>18.399999999999999</v>
      </c>
      <c r="AD12" s="19">
        <v>6</v>
      </c>
      <c r="AE12" s="19">
        <v>0.8</v>
      </c>
      <c r="AF12" s="19">
        <v>0</v>
      </c>
      <c r="AG12" s="19">
        <v>18.8</v>
      </c>
      <c r="AH12" s="19">
        <v>7.2</v>
      </c>
      <c r="AI12" s="19">
        <v>1</v>
      </c>
      <c r="AJ12" s="19">
        <v>0</v>
      </c>
      <c r="AK12" s="19">
        <v>16.2</v>
      </c>
      <c r="AL12" s="19">
        <v>6</v>
      </c>
      <c r="AM12" s="19">
        <v>0.8</v>
      </c>
      <c r="AN12" s="19">
        <v>0</v>
      </c>
      <c r="AO12" s="27"/>
      <c r="AP12" s="40">
        <f t="shared" si="10"/>
        <v>10.4</v>
      </c>
      <c r="AQ12" s="40">
        <f t="shared" si="11"/>
        <v>45.2</v>
      </c>
      <c r="AR12" s="40">
        <f t="shared" si="12"/>
        <v>23.599999999999998</v>
      </c>
      <c r="AS12" s="40">
        <f t="shared" si="13"/>
        <v>16.399999999999999</v>
      </c>
      <c r="AT12" s="40">
        <f t="shared" si="14"/>
        <v>68.8</v>
      </c>
      <c r="AU12" s="40">
        <f t="shared" si="15"/>
        <v>13.2</v>
      </c>
      <c r="AV12" s="40">
        <f t="shared" si="16"/>
        <v>46.400000000000006</v>
      </c>
      <c r="AW12" s="40">
        <f t="shared" si="17"/>
        <v>115.2</v>
      </c>
      <c r="AX12" s="18">
        <v>18.600000000000001</v>
      </c>
      <c r="AY12" s="18">
        <v>7.2</v>
      </c>
      <c r="AZ12" s="18">
        <v>0</v>
      </c>
      <c r="BA12" s="18">
        <v>0</v>
      </c>
      <c r="BB12" s="18">
        <v>18.600000000000001</v>
      </c>
      <c r="BC12" s="18">
        <v>6.8</v>
      </c>
      <c r="BD12" s="18">
        <v>0</v>
      </c>
      <c r="BE12" s="18">
        <v>0</v>
      </c>
      <c r="BF12" s="18">
        <v>18.2</v>
      </c>
      <c r="BG12" s="18">
        <v>6.9</v>
      </c>
      <c r="BH12" s="18">
        <v>0</v>
      </c>
      <c r="BI12" s="18">
        <v>0</v>
      </c>
      <c r="BJ12" s="18">
        <v>18.7</v>
      </c>
      <c r="BK12" s="18">
        <v>7.3</v>
      </c>
      <c r="BL12" s="18">
        <v>0</v>
      </c>
      <c r="BM12" s="18">
        <v>0</v>
      </c>
      <c r="BN12" s="18">
        <v>18.399999999999999</v>
      </c>
      <c r="BO12" s="18">
        <v>7.6</v>
      </c>
      <c r="BP12" s="18">
        <v>0.8</v>
      </c>
      <c r="BQ12" s="18">
        <v>0</v>
      </c>
      <c r="BR12" s="28"/>
      <c r="BS12" s="11">
        <f t="shared" si="18"/>
        <v>14</v>
      </c>
      <c r="BT12" s="11">
        <f t="shared" si="19"/>
        <v>51.2</v>
      </c>
      <c r="BU12" s="11">
        <f t="shared" si="20"/>
        <v>25.1</v>
      </c>
      <c r="BV12" s="11">
        <f t="shared" si="21"/>
        <v>20.9</v>
      </c>
      <c r="BW12" s="11">
        <f t="shared" si="22"/>
        <v>76.300000000000011</v>
      </c>
      <c r="BX12" s="11">
        <f t="shared" si="23"/>
        <v>14.899999999999999</v>
      </c>
      <c r="BY12" s="11">
        <f t="shared" si="24"/>
        <v>51.2</v>
      </c>
      <c r="BZ12" s="11">
        <f t="shared" si="25"/>
        <v>127.50000000000001</v>
      </c>
      <c r="CA12" s="19">
        <v>18.600000000000001</v>
      </c>
      <c r="CB12" s="19">
        <v>7.2</v>
      </c>
      <c r="CC12" s="19">
        <v>0.6</v>
      </c>
      <c r="CD12" s="19">
        <v>0</v>
      </c>
      <c r="CE12" s="19">
        <v>18.100000000000001</v>
      </c>
      <c r="CF12" s="19">
        <v>5.2</v>
      </c>
      <c r="CG12" s="19">
        <v>1.8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 t="shared" si="26"/>
        <v>12.4</v>
      </c>
      <c r="CW12" s="40">
        <f t="shared" si="27"/>
        <v>46.70000000000001</v>
      </c>
      <c r="CX12" s="40" t="str">
        <f t="shared" si="28"/>
        <v/>
      </c>
      <c r="CY12" s="40">
        <f t="shared" si="29"/>
        <v>12.4</v>
      </c>
      <c r="CZ12" s="40">
        <f t="shared" si="30"/>
        <v>46.70000000000001</v>
      </c>
      <c r="DA12" s="40" t="str">
        <f t="shared" si="31"/>
        <v/>
      </c>
      <c r="DB12" s="40" t="str">
        <f t="shared" si="32"/>
        <v/>
      </c>
      <c r="DC12" s="40">
        <f t="shared" si="33"/>
        <v>46.70000000000001</v>
      </c>
      <c r="DD12" s="50">
        <f t="shared" si="34"/>
        <v>3.3999999999999844</v>
      </c>
      <c r="DE12" s="50" t="str">
        <f t="shared" si="35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6"/>
        <v/>
      </c>
      <c r="EA12" s="40" t="str">
        <f t="shared" si="37"/>
        <v/>
      </c>
      <c r="EB12" s="40" t="str">
        <f t="shared" si="38"/>
        <v/>
      </c>
      <c r="EC12" s="40" t="str">
        <f t="shared" si="39"/>
        <v/>
      </c>
      <c r="ED12" s="40" t="str">
        <f t="shared" si="40"/>
        <v/>
      </c>
      <c r="EE12" s="40" t="str">
        <f t="shared" si="41"/>
        <v/>
      </c>
      <c r="EF12" s="40" t="str">
        <f t="shared" si="42"/>
        <v/>
      </c>
      <c r="EG12" s="40" t="str">
        <f t="shared" si="43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4"/>
        <v/>
      </c>
      <c r="FC12" s="11" t="str">
        <f t="shared" si="45"/>
        <v/>
      </c>
      <c r="FD12" s="11" t="str">
        <f t="shared" si="46"/>
        <v/>
      </c>
      <c r="FE12" s="11" t="str">
        <f t="shared" si="47"/>
        <v/>
      </c>
      <c r="FF12" s="11" t="str">
        <f t="shared" si="48"/>
        <v/>
      </c>
      <c r="FG12" s="11" t="str">
        <f t="shared" si="49"/>
        <v/>
      </c>
      <c r="FH12" s="11" t="str">
        <f t="shared" si="50"/>
        <v/>
      </c>
      <c r="FI12" s="11" t="str">
        <f t="shared" si="51"/>
        <v/>
      </c>
      <c r="FJ12" s="17">
        <v>18.600000000000001</v>
      </c>
      <c r="FK12" s="17">
        <v>7.2</v>
      </c>
      <c r="FL12" s="17">
        <v>0.6</v>
      </c>
      <c r="FM12" s="17">
        <v>0</v>
      </c>
      <c r="FN12" s="17">
        <v>18.3</v>
      </c>
      <c r="FO12" s="17">
        <v>6.8</v>
      </c>
      <c r="FP12" s="17">
        <v>0.2</v>
      </c>
      <c r="FQ12" s="17">
        <v>0</v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>
        <f t="shared" si="52"/>
        <v>14</v>
      </c>
      <c r="GE12" s="40">
        <f t="shared" si="53"/>
        <v>50.099999999999994</v>
      </c>
      <c r="GF12" s="40" t="str">
        <f t="shared" si="54"/>
        <v/>
      </c>
      <c r="GG12" s="40">
        <f t="shared" si="55"/>
        <v>14</v>
      </c>
      <c r="GH12" s="40">
        <f t="shared" si="56"/>
        <v>50.099999999999994</v>
      </c>
      <c r="GI12" s="40" t="str">
        <f t="shared" si="57"/>
        <v/>
      </c>
      <c r="GJ12" s="40" t="str">
        <f t="shared" si="58"/>
        <v/>
      </c>
      <c r="GK12" s="40">
        <f t="shared" si="59"/>
        <v>50.099999999999994</v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0"/>
        <v/>
      </c>
      <c r="HG12" s="11" t="str">
        <f t="shared" si="61"/>
        <v/>
      </c>
      <c r="HH12" s="11" t="str">
        <f t="shared" si="62"/>
        <v/>
      </c>
      <c r="HI12" s="11" t="str">
        <f t="shared" si="63"/>
        <v/>
      </c>
      <c r="HJ12" s="11" t="str">
        <f t="shared" si="64"/>
        <v/>
      </c>
      <c r="HK12" s="11" t="str">
        <f t="shared" si="65"/>
        <v/>
      </c>
      <c r="HL12" s="11" t="str">
        <f t="shared" si="66"/>
        <v/>
      </c>
      <c r="HM12" s="11" t="str">
        <f t="shared" si="67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68"/>
        <v/>
      </c>
      <c r="II12" s="40" t="str">
        <f t="shared" si="69"/>
        <v/>
      </c>
      <c r="IJ12" s="40" t="str">
        <f t="shared" si="70"/>
        <v/>
      </c>
      <c r="IK12" s="40" t="str">
        <f t="shared" si="71"/>
        <v/>
      </c>
      <c r="IL12" s="40" t="str">
        <f t="shared" si="72"/>
        <v/>
      </c>
      <c r="IM12" s="40" t="str">
        <f t="shared" si="73"/>
        <v/>
      </c>
      <c r="IN12" s="40" t="str">
        <f t="shared" si="74"/>
        <v/>
      </c>
      <c r="IO12" s="40" t="str">
        <f t="shared" si="75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6"/>
        <v/>
      </c>
      <c r="JK12" s="11" t="str">
        <f t="shared" si="77"/>
        <v/>
      </c>
      <c r="JL12" s="11" t="str">
        <f t="shared" si="78"/>
        <v/>
      </c>
      <c r="JM12" s="11" t="str">
        <f t="shared" si="79"/>
        <v/>
      </c>
      <c r="JN12" s="11" t="str">
        <f t="shared" si="80"/>
        <v/>
      </c>
      <c r="JO12" s="11" t="str">
        <f t="shared" si="81"/>
        <v/>
      </c>
      <c r="JP12" s="11" t="str">
        <f t="shared" si="82"/>
        <v/>
      </c>
      <c r="JQ12" s="11" t="str">
        <f t="shared" si="83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4"/>
        <v/>
      </c>
      <c r="KM12" s="40" t="str">
        <f t="shared" si="85"/>
        <v/>
      </c>
      <c r="KN12" s="40" t="str">
        <f t="shared" si="86"/>
        <v/>
      </c>
      <c r="KO12" s="40" t="str">
        <f t="shared" si="87"/>
        <v/>
      </c>
      <c r="KP12" s="40" t="str">
        <f t="shared" si="88"/>
        <v/>
      </c>
      <c r="KQ12" s="40" t="str">
        <f t="shared" si="89"/>
        <v/>
      </c>
      <c r="KR12" s="40" t="str">
        <f t="shared" si="90"/>
        <v/>
      </c>
      <c r="KS12" s="40" t="str">
        <f t="shared" si="91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2"/>
        <v/>
      </c>
      <c r="LO12" s="11" t="str">
        <f t="shared" si="93"/>
        <v/>
      </c>
      <c r="LP12" s="11" t="str">
        <f t="shared" si="94"/>
        <v/>
      </c>
      <c r="LQ12" s="11" t="str">
        <f t="shared" si="95"/>
        <v/>
      </c>
      <c r="LR12" s="11" t="str">
        <f t="shared" si="96"/>
        <v/>
      </c>
      <c r="LS12" s="11" t="str">
        <f t="shared" si="97"/>
        <v/>
      </c>
      <c r="LT12" s="11" t="str">
        <f t="shared" si="98"/>
        <v/>
      </c>
      <c r="LU12" s="11" t="str">
        <f t="shared" si="99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0"/>
        <v/>
      </c>
      <c r="MQ12" s="40" t="str">
        <f t="shared" si="101"/>
        <v/>
      </c>
      <c r="MR12" s="40" t="str">
        <f t="shared" si="102"/>
        <v/>
      </c>
      <c r="MS12" s="40" t="str">
        <f t="shared" si="103"/>
        <v/>
      </c>
      <c r="MT12" s="40" t="str">
        <f t="shared" si="104"/>
        <v/>
      </c>
      <c r="MU12" s="40" t="str">
        <f t="shared" si="105"/>
        <v/>
      </c>
      <c r="MV12" s="40" t="str">
        <f t="shared" si="106"/>
        <v/>
      </c>
      <c r="MW12" s="40" t="str">
        <f t="shared" si="107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08"/>
        <v/>
      </c>
      <c r="NS12" s="11" t="str">
        <f t="shared" si="109"/>
        <v/>
      </c>
      <c r="NT12" s="11" t="str">
        <f t="shared" si="110"/>
        <v/>
      </c>
      <c r="NU12" s="11" t="str">
        <f t="shared" si="111"/>
        <v/>
      </c>
      <c r="NV12" s="11" t="str">
        <f t="shared" si="112"/>
        <v/>
      </c>
      <c r="NW12" s="11" t="str">
        <f t="shared" si="113"/>
        <v/>
      </c>
      <c r="NX12" s="11" t="str">
        <f t="shared" si="114"/>
        <v/>
      </c>
      <c r="NY12" s="11" t="str">
        <f t="shared" si="115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6"/>
        <v/>
      </c>
      <c r="OU12" s="40" t="str">
        <f t="shared" si="117"/>
        <v/>
      </c>
      <c r="OV12" s="40" t="str">
        <f t="shared" si="118"/>
        <v/>
      </c>
      <c r="OW12" s="40" t="str">
        <f t="shared" si="119"/>
        <v/>
      </c>
      <c r="OX12" s="40" t="str">
        <f t="shared" si="120"/>
        <v/>
      </c>
      <c r="OY12" s="40" t="str">
        <f t="shared" si="121"/>
        <v/>
      </c>
      <c r="OZ12" s="40" t="str">
        <f t="shared" si="122"/>
        <v/>
      </c>
      <c r="PA12" s="40" t="str">
        <f t="shared" si="123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4"/>
        <v/>
      </c>
      <c r="PW12" s="11" t="str">
        <f t="shared" si="125"/>
        <v/>
      </c>
      <c r="PX12" s="11" t="str">
        <f t="shared" si="126"/>
        <v/>
      </c>
      <c r="PY12" s="11" t="str">
        <f t="shared" si="127"/>
        <v/>
      </c>
      <c r="PZ12" s="11" t="str">
        <f t="shared" si="128"/>
        <v/>
      </c>
      <c r="QA12" s="11" t="str">
        <f t="shared" si="129"/>
        <v/>
      </c>
      <c r="QB12" s="11" t="str">
        <f t="shared" si="130"/>
        <v/>
      </c>
      <c r="QC12" s="11" t="str">
        <f t="shared" si="131"/>
        <v/>
      </c>
      <c r="QD12" s="22">
        <f t="shared" si="132"/>
        <v>18.600000000000001</v>
      </c>
      <c r="QE12" s="22">
        <f t="shared" si="133"/>
        <v>7.2</v>
      </c>
      <c r="QF12" s="22">
        <f t="shared" si="134"/>
        <v>0.3</v>
      </c>
      <c r="QG12" s="22">
        <f t="shared" si="135"/>
        <v>0</v>
      </c>
      <c r="QH12" s="22">
        <f t="shared" si="136"/>
        <v>18.350000000000001</v>
      </c>
      <c r="QI12" s="22">
        <f t="shared" si="137"/>
        <v>6</v>
      </c>
      <c r="QJ12" s="22">
        <f t="shared" si="138"/>
        <v>0.9</v>
      </c>
      <c r="QK12" s="22">
        <f t="shared" si="139"/>
        <v>0</v>
      </c>
      <c r="QL12" s="22">
        <f t="shared" si="140"/>
        <v>9.1</v>
      </c>
      <c r="QM12" s="22">
        <f t="shared" si="141"/>
        <v>3.45</v>
      </c>
      <c r="QN12" s="22">
        <f t="shared" si="142"/>
        <v>0</v>
      </c>
      <c r="QO12" s="22">
        <f t="shared" si="143"/>
        <v>0</v>
      </c>
      <c r="QP12" s="22">
        <f t="shared" si="144"/>
        <v>9.35</v>
      </c>
      <c r="QQ12" s="22">
        <f t="shared" si="145"/>
        <v>3.65</v>
      </c>
      <c r="QR12" s="22">
        <f t="shared" si="146"/>
        <v>0</v>
      </c>
      <c r="QS12" s="22">
        <f t="shared" si="147"/>
        <v>0</v>
      </c>
      <c r="QT12" s="22">
        <f t="shared" si="148"/>
        <v>9.1999999999999993</v>
      </c>
      <c r="QU12" s="22">
        <f t="shared" si="149"/>
        <v>3.8</v>
      </c>
      <c r="QV12" s="22">
        <f t="shared" si="150"/>
        <v>0.4</v>
      </c>
      <c r="QW12" s="22">
        <f t="shared" si="151"/>
        <v>0</v>
      </c>
      <c r="QX12" s="27" t="s">
        <v>46</v>
      </c>
      <c r="QY12" s="40">
        <f t="shared" si="152"/>
        <v>13.2</v>
      </c>
      <c r="QZ12" s="40">
        <f t="shared" si="153"/>
        <v>48.95000000000001</v>
      </c>
      <c r="RA12" s="40">
        <f t="shared" si="154"/>
        <v>12.55</v>
      </c>
      <c r="RB12" s="40">
        <f t="shared" si="155"/>
        <v>16.649999999999999</v>
      </c>
      <c r="RC12" s="40">
        <f t="shared" si="156"/>
        <v>61.500000000000014</v>
      </c>
      <c r="RD12" s="40">
        <f t="shared" si="157"/>
        <v>7.4499999999999993</v>
      </c>
      <c r="RE12" s="40">
        <f t="shared" si="158"/>
        <v>25.6</v>
      </c>
      <c r="RF12" s="40">
        <f t="shared" si="159"/>
        <v>87.100000000000023</v>
      </c>
    </row>
    <row r="13" spans="1:474" x14ac:dyDescent="0.2">
      <c r="A13" s="4" cm="1">
        <f t="array" ref="A13">IF(AND(J13&lt;&gt;"",J13&lt;&gt;"No DD"),SUMPRODUCT((J$4:J$42&lt;&gt;"")*(J$4:J$42&lt;&gt;"No DD")*(F$4:F$42&gt;F13))+1,IF(J13="No DD",SUMPRODUCT((J$4:J$42="No DD")*(F$4:F$42&gt;F13))+1+SUMPRODUCT((J$4:J$42&lt;&gt;"")*(J$4:J$42&lt;&gt;"No DD")),""))</f>
        <v>10</v>
      </c>
      <c r="B13" s="4" cm="1">
        <f t="array" ref="B13">IF(AND(J13&lt;&gt;"",J13&lt;&gt;"No DD",G13=""),SUMPRODUCT((J$4:J$42&lt;&gt;"")*(J$4:J$42&lt;&gt;"No DD")*(G$4:G$42="")*(F$4:F$42&gt;F13))+1,IF(J13="No DD",SUMPRODUCT((J$4:J$42="No DD")*(F$4:F$42&gt;F13)*(G$4:G$42=""))+1+SUMPRODUCT((J$4:J$42&lt;&gt;"")*(G$4:G$42="")*(J$4:J$42&lt;&gt;"No DD")),""))</f>
        <v>5</v>
      </c>
      <c r="C13" s="5" t="s">
        <v>214</v>
      </c>
      <c r="D13" s="4" t="s">
        <v>3</v>
      </c>
      <c r="E13" s="4">
        <v>2008</v>
      </c>
      <c r="F13" s="9">
        <f t="shared" si="0"/>
        <v>151.10000999000505</v>
      </c>
      <c r="H13" s="3" t="str">
        <f t="shared" si="1"/>
        <v>P</v>
      </c>
      <c r="I13" s="3" t="str">
        <f t="shared" si="2"/>
        <v>P</v>
      </c>
      <c r="J13" s="36" t="str">
        <f t="shared" si="3"/>
        <v>National Team</v>
      </c>
      <c r="K13" s="3" t="str">
        <f t="shared" si="4"/>
        <v/>
      </c>
      <c r="L13" s="8">
        <f>IF(COUNT(AQ13,BT13,CW13)&gt;0,LARGE((AQ13,BT13,CW13),1),0)</f>
        <v>50.7</v>
      </c>
      <c r="M13" s="8" t="str">
        <f t="shared" si="5"/>
        <v>2025 Elite Canada</v>
      </c>
      <c r="N13" s="8">
        <f>IF(COUNT(AQ13,BT13,CW13)&gt;1,LARGE((AQ13,BT13,CW13),2),0)</f>
        <v>49.199999999999996</v>
      </c>
      <c r="O13" s="8" t="str">
        <f t="shared" si="6"/>
        <v>2024 3rd Domestic Trial</v>
      </c>
      <c r="P13" s="8">
        <f t="shared" si="7"/>
        <v>51.199999999999996</v>
      </c>
      <c r="Q13" s="8" t="str">
        <f t="shared" si="8"/>
        <v>2024 3rd Domestic Trial</v>
      </c>
      <c r="R13" s="8" t="str">
        <f t="shared" si="9"/>
        <v/>
      </c>
      <c r="S13" s="11" t="str">
        <f t="shared" si="160"/>
        <v/>
      </c>
      <c r="T13" s="8" t="str">
        <f t="shared" si="161"/>
        <v/>
      </c>
      <c r="U13" s="19">
        <v>18.899999999999999</v>
      </c>
      <c r="V13" s="19">
        <v>6</v>
      </c>
      <c r="W13" s="19">
        <v>0.2</v>
      </c>
      <c r="X13" s="19">
        <v>0</v>
      </c>
      <c r="Y13" s="19">
        <v>18.7</v>
      </c>
      <c r="Z13" s="19">
        <v>5.6</v>
      </c>
      <c r="AA13" s="19">
        <v>0.2</v>
      </c>
      <c r="AB13" s="19">
        <v>0</v>
      </c>
      <c r="AC13" s="19"/>
      <c r="AD13" s="19"/>
      <c r="AE13" s="19"/>
      <c r="AF13" s="19"/>
      <c r="AG13" s="19">
        <v>18.600000000000001</v>
      </c>
      <c r="AH13" s="19">
        <v>4</v>
      </c>
      <c r="AI13" s="19">
        <v>0</v>
      </c>
      <c r="AJ13" s="19">
        <v>0</v>
      </c>
      <c r="AK13" s="19">
        <v>18.2</v>
      </c>
      <c r="AL13" s="19">
        <v>4.3</v>
      </c>
      <c r="AM13" s="19">
        <v>0.2</v>
      </c>
      <c r="AN13" s="19">
        <v>0</v>
      </c>
      <c r="AO13" s="27"/>
      <c r="AP13" s="40">
        <f t="shared" si="10"/>
        <v>11.6</v>
      </c>
      <c r="AQ13" s="40">
        <f t="shared" si="11"/>
        <v>48.79999999999999</v>
      </c>
      <c r="AR13" s="40" t="str">
        <f t="shared" si="12"/>
        <v/>
      </c>
      <c r="AS13" s="40">
        <f t="shared" si="13"/>
        <v>11.6</v>
      </c>
      <c r="AT13" s="40">
        <f t="shared" si="14"/>
        <v>48.79999999999999</v>
      </c>
      <c r="AU13" s="40">
        <f t="shared" si="15"/>
        <v>8.3000000000000007</v>
      </c>
      <c r="AV13" s="40">
        <f t="shared" si="16"/>
        <v>44.899999999999991</v>
      </c>
      <c r="AW13" s="40">
        <f t="shared" si="17"/>
        <v>93.699999999999989</v>
      </c>
      <c r="AX13" s="18">
        <v>18.2</v>
      </c>
      <c r="AY13" s="18">
        <v>6</v>
      </c>
      <c r="AZ13" s="18">
        <v>0.2</v>
      </c>
      <c r="BA13" s="18">
        <v>0</v>
      </c>
      <c r="BB13" s="18">
        <v>19</v>
      </c>
      <c r="BC13" s="18">
        <v>6.4</v>
      </c>
      <c r="BD13" s="18">
        <v>0.2</v>
      </c>
      <c r="BE13" s="18">
        <v>0</v>
      </c>
      <c r="BF13" s="18">
        <v>17.399999999999999</v>
      </c>
      <c r="BG13" s="18">
        <v>3.2</v>
      </c>
      <c r="BH13" s="18">
        <v>0</v>
      </c>
      <c r="BI13" s="18">
        <v>0</v>
      </c>
      <c r="BJ13" s="18">
        <v>19</v>
      </c>
      <c r="BK13" s="18">
        <v>6.8</v>
      </c>
      <c r="BL13" s="18">
        <v>0.2</v>
      </c>
      <c r="BM13" s="18">
        <v>0</v>
      </c>
      <c r="BN13" s="18">
        <v>19.2</v>
      </c>
      <c r="BO13" s="18">
        <v>6.4</v>
      </c>
      <c r="BP13" s="18">
        <v>0</v>
      </c>
      <c r="BQ13" s="18">
        <v>0</v>
      </c>
      <c r="BR13" s="28"/>
      <c r="BS13" s="11">
        <f t="shared" si="18"/>
        <v>12.4</v>
      </c>
      <c r="BT13" s="11">
        <f t="shared" si="19"/>
        <v>49.199999999999996</v>
      </c>
      <c r="BU13" s="11">
        <f t="shared" si="20"/>
        <v>20.599999999999998</v>
      </c>
      <c r="BV13" s="11">
        <f t="shared" si="21"/>
        <v>15.600000000000001</v>
      </c>
      <c r="BW13" s="11">
        <f t="shared" si="22"/>
        <v>69.8</v>
      </c>
      <c r="BX13" s="11">
        <f t="shared" si="23"/>
        <v>13.2</v>
      </c>
      <c r="BY13" s="11">
        <f t="shared" si="24"/>
        <v>51.199999999999996</v>
      </c>
      <c r="BZ13" s="11">
        <f t="shared" si="25"/>
        <v>121</v>
      </c>
      <c r="CA13" s="19">
        <v>19</v>
      </c>
      <c r="CB13" s="19">
        <v>6.8</v>
      </c>
      <c r="CC13" s="19">
        <v>0</v>
      </c>
      <c r="CD13" s="19">
        <v>0</v>
      </c>
      <c r="CE13" s="19">
        <v>19.100000000000001</v>
      </c>
      <c r="CF13" s="19">
        <v>6.4</v>
      </c>
      <c r="CG13" s="19">
        <v>0.6</v>
      </c>
      <c r="CH13" s="19">
        <v>0</v>
      </c>
      <c r="CI13" s="19"/>
      <c r="CJ13" s="19"/>
      <c r="CK13" s="19"/>
      <c r="CL13" s="19"/>
      <c r="CM13" s="19">
        <v>0</v>
      </c>
      <c r="CN13" s="19">
        <v>0</v>
      </c>
      <c r="CO13" s="19">
        <v>0</v>
      </c>
      <c r="CP13" s="19">
        <v>0</v>
      </c>
      <c r="CQ13" s="19">
        <v>16.3</v>
      </c>
      <c r="CR13" s="19">
        <v>6</v>
      </c>
      <c r="CS13" s="19">
        <v>0.2</v>
      </c>
      <c r="CT13" s="19">
        <v>0</v>
      </c>
      <c r="CU13" s="27"/>
      <c r="CV13" s="40">
        <f t="shared" si="26"/>
        <v>13.2</v>
      </c>
      <c r="CW13" s="40">
        <f t="shared" si="27"/>
        <v>50.7</v>
      </c>
      <c r="CX13" s="40" t="str">
        <f t="shared" si="28"/>
        <v/>
      </c>
      <c r="CY13" s="40">
        <f t="shared" si="29"/>
        <v>13.2</v>
      </c>
      <c r="CZ13" s="40">
        <f t="shared" si="30"/>
        <v>50.7</v>
      </c>
      <c r="DA13" s="40">
        <f t="shared" si="31"/>
        <v>6</v>
      </c>
      <c r="DB13" s="40">
        <f t="shared" si="32"/>
        <v>22.1</v>
      </c>
      <c r="DC13" s="40">
        <f t="shared" si="33"/>
        <v>72.800000000000011</v>
      </c>
      <c r="DD13" s="50" t="str">
        <f t="shared" si="34"/>
        <v/>
      </c>
      <c r="DE13" s="50" t="str">
        <f t="shared" si="35"/>
        <v/>
      </c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40" t="str">
        <f t="shared" si="36"/>
        <v/>
      </c>
      <c r="EA13" s="40" t="str">
        <f t="shared" si="37"/>
        <v/>
      </c>
      <c r="EB13" s="40" t="str">
        <f t="shared" si="38"/>
        <v/>
      </c>
      <c r="EC13" s="40" t="str">
        <f t="shared" si="39"/>
        <v/>
      </c>
      <c r="ED13" s="40" t="str">
        <f t="shared" si="40"/>
        <v/>
      </c>
      <c r="EE13" s="40" t="str">
        <f t="shared" si="41"/>
        <v/>
      </c>
      <c r="EF13" s="40" t="str">
        <f t="shared" si="42"/>
        <v/>
      </c>
      <c r="EG13" s="40" t="str">
        <f t="shared" si="43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4"/>
        <v/>
      </c>
      <c r="FC13" s="11" t="str">
        <f t="shared" si="45"/>
        <v/>
      </c>
      <c r="FD13" s="11" t="str">
        <f t="shared" si="46"/>
        <v/>
      </c>
      <c r="FE13" s="11" t="str">
        <f t="shared" si="47"/>
        <v/>
      </c>
      <c r="FF13" s="11" t="str">
        <f t="shared" si="48"/>
        <v/>
      </c>
      <c r="FG13" s="11" t="str">
        <f t="shared" si="49"/>
        <v/>
      </c>
      <c r="FH13" s="11" t="str">
        <f t="shared" si="50"/>
        <v/>
      </c>
      <c r="FI13" s="11" t="str">
        <f t="shared" si="51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2"/>
        <v/>
      </c>
      <c r="GE13" s="40" t="str">
        <f t="shared" si="53"/>
        <v/>
      </c>
      <c r="GF13" s="40" t="str">
        <f t="shared" si="54"/>
        <v/>
      </c>
      <c r="GG13" s="40" t="str">
        <f t="shared" si="55"/>
        <v/>
      </c>
      <c r="GH13" s="40" t="str">
        <f t="shared" si="56"/>
        <v/>
      </c>
      <c r="GI13" s="40" t="str">
        <f t="shared" si="57"/>
        <v/>
      </c>
      <c r="GJ13" s="40" t="str">
        <f t="shared" si="58"/>
        <v/>
      </c>
      <c r="GK13" s="40" t="str">
        <f t="shared" si="59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0"/>
        <v/>
      </c>
      <c r="HG13" s="11" t="str">
        <f t="shared" si="61"/>
        <v/>
      </c>
      <c r="HH13" s="11" t="str">
        <f t="shared" si="62"/>
        <v/>
      </c>
      <c r="HI13" s="11" t="str">
        <f t="shared" si="63"/>
        <v/>
      </c>
      <c r="HJ13" s="11" t="str">
        <f t="shared" si="64"/>
        <v/>
      </c>
      <c r="HK13" s="11" t="str">
        <f t="shared" si="65"/>
        <v/>
      </c>
      <c r="HL13" s="11" t="str">
        <f t="shared" si="66"/>
        <v/>
      </c>
      <c r="HM13" s="11" t="str">
        <f t="shared" si="67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68"/>
        <v/>
      </c>
      <c r="II13" s="40" t="str">
        <f t="shared" si="69"/>
        <v/>
      </c>
      <c r="IJ13" s="40" t="str">
        <f t="shared" si="70"/>
        <v/>
      </c>
      <c r="IK13" s="40" t="str">
        <f t="shared" si="71"/>
        <v/>
      </c>
      <c r="IL13" s="40" t="str">
        <f t="shared" si="72"/>
        <v/>
      </c>
      <c r="IM13" s="40" t="str">
        <f t="shared" si="73"/>
        <v/>
      </c>
      <c r="IN13" s="40" t="str">
        <f t="shared" si="74"/>
        <v/>
      </c>
      <c r="IO13" s="40" t="str">
        <f t="shared" si="75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6"/>
        <v/>
      </c>
      <c r="JK13" s="11" t="str">
        <f t="shared" si="77"/>
        <v/>
      </c>
      <c r="JL13" s="11" t="str">
        <f t="shared" si="78"/>
        <v/>
      </c>
      <c r="JM13" s="11" t="str">
        <f t="shared" si="79"/>
        <v/>
      </c>
      <c r="JN13" s="11" t="str">
        <f t="shared" si="80"/>
        <v/>
      </c>
      <c r="JO13" s="11" t="str">
        <f t="shared" si="81"/>
        <v/>
      </c>
      <c r="JP13" s="11" t="str">
        <f t="shared" si="82"/>
        <v/>
      </c>
      <c r="JQ13" s="11" t="str">
        <f t="shared" si="83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4"/>
        <v/>
      </c>
      <c r="KM13" s="40" t="str">
        <f t="shared" si="85"/>
        <v/>
      </c>
      <c r="KN13" s="40" t="str">
        <f t="shared" si="86"/>
        <v/>
      </c>
      <c r="KO13" s="40" t="str">
        <f t="shared" si="87"/>
        <v/>
      </c>
      <c r="KP13" s="40" t="str">
        <f t="shared" si="88"/>
        <v/>
      </c>
      <c r="KQ13" s="40" t="str">
        <f t="shared" si="89"/>
        <v/>
      </c>
      <c r="KR13" s="40" t="str">
        <f t="shared" si="90"/>
        <v/>
      </c>
      <c r="KS13" s="40" t="str">
        <f t="shared" si="91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2"/>
        <v/>
      </c>
      <c r="LO13" s="11" t="str">
        <f t="shared" si="93"/>
        <v/>
      </c>
      <c r="LP13" s="11" t="str">
        <f t="shared" si="94"/>
        <v/>
      </c>
      <c r="LQ13" s="11" t="str">
        <f t="shared" si="95"/>
        <v/>
      </c>
      <c r="LR13" s="11" t="str">
        <f t="shared" si="96"/>
        <v/>
      </c>
      <c r="LS13" s="11" t="str">
        <f t="shared" si="97"/>
        <v/>
      </c>
      <c r="LT13" s="11" t="str">
        <f t="shared" si="98"/>
        <v/>
      </c>
      <c r="LU13" s="11" t="str">
        <f t="shared" si="99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0"/>
        <v/>
      </c>
      <c r="MQ13" s="40" t="str">
        <f t="shared" si="101"/>
        <v/>
      </c>
      <c r="MR13" s="40" t="str">
        <f t="shared" si="102"/>
        <v/>
      </c>
      <c r="MS13" s="40" t="str">
        <f t="shared" si="103"/>
        <v/>
      </c>
      <c r="MT13" s="40" t="str">
        <f t="shared" si="104"/>
        <v/>
      </c>
      <c r="MU13" s="40" t="str">
        <f t="shared" si="105"/>
        <v/>
      </c>
      <c r="MV13" s="40" t="str">
        <f t="shared" si="106"/>
        <v/>
      </c>
      <c r="MW13" s="40" t="str">
        <f t="shared" si="107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08"/>
        <v/>
      </c>
      <c r="NS13" s="11" t="str">
        <f t="shared" si="109"/>
        <v/>
      </c>
      <c r="NT13" s="11" t="str">
        <f t="shared" si="110"/>
        <v/>
      </c>
      <c r="NU13" s="11" t="str">
        <f t="shared" si="111"/>
        <v/>
      </c>
      <c r="NV13" s="11" t="str">
        <f t="shared" si="112"/>
        <v/>
      </c>
      <c r="NW13" s="11" t="str">
        <f t="shared" si="113"/>
        <v/>
      </c>
      <c r="NX13" s="11" t="str">
        <f t="shared" si="114"/>
        <v/>
      </c>
      <c r="NY13" s="11" t="str">
        <f t="shared" si="115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6"/>
        <v/>
      </c>
      <c r="OU13" s="40" t="str">
        <f t="shared" si="117"/>
        <v/>
      </c>
      <c r="OV13" s="40" t="str">
        <f t="shared" si="118"/>
        <v/>
      </c>
      <c r="OW13" s="40" t="str">
        <f t="shared" si="119"/>
        <v/>
      </c>
      <c r="OX13" s="40" t="str">
        <f t="shared" si="120"/>
        <v/>
      </c>
      <c r="OY13" s="40" t="str">
        <f t="shared" si="121"/>
        <v/>
      </c>
      <c r="OZ13" s="40" t="str">
        <f t="shared" si="122"/>
        <v/>
      </c>
      <c r="PA13" s="40" t="str">
        <f t="shared" si="123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4"/>
        <v/>
      </c>
      <c r="PW13" s="11" t="str">
        <f t="shared" si="125"/>
        <v/>
      </c>
      <c r="PX13" s="11" t="str">
        <f t="shared" si="126"/>
        <v/>
      </c>
      <c r="PY13" s="11" t="str">
        <f t="shared" si="127"/>
        <v/>
      </c>
      <c r="PZ13" s="11" t="str">
        <f t="shared" si="128"/>
        <v/>
      </c>
      <c r="QA13" s="11" t="str">
        <f t="shared" si="129"/>
        <v/>
      </c>
      <c r="QB13" s="11" t="str">
        <f t="shared" si="130"/>
        <v/>
      </c>
      <c r="QC13" s="11" t="str">
        <f t="shared" si="131"/>
        <v/>
      </c>
      <c r="QD13" s="22">
        <f t="shared" si="132"/>
        <v>18.600000000000001</v>
      </c>
      <c r="QE13" s="22">
        <f t="shared" si="133"/>
        <v>6.4</v>
      </c>
      <c r="QF13" s="22">
        <f t="shared" si="134"/>
        <v>0.1</v>
      </c>
      <c r="QG13" s="22">
        <f t="shared" si="135"/>
        <v>0</v>
      </c>
      <c r="QH13" s="22">
        <f t="shared" si="136"/>
        <v>19.05</v>
      </c>
      <c r="QI13" s="22">
        <f t="shared" si="137"/>
        <v>6.4</v>
      </c>
      <c r="QJ13" s="22">
        <f t="shared" si="138"/>
        <v>0.4</v>
      </c>
      <c r="QK13" s="22">
        <f t="shared" si="139"/>
        <v>0</v>
      </c>
      <c r="QL13" s="22">
        <f t="shared" si="140"/>
        <v>8.6999999999999993</v>
      </c>
      <c r="QM13" s="22">
        <f t="shared" si="141"/>
        <v>1.6</v>
      </c>
      <c r="QN13" s="22">
        <f t="shared" si="142"/>
        <v>0</v>
      </c>
      <c r="QO13" s="22">
        <f t="shared" si="143"/>
        <v>0</v>
      </c>
      <c r="QP13" s="22">
        <f t="shared" si="144"/>
        <v>9.5</v>
      </c>
      <c r="QQ13" s="22">
        <f t="shared" si="145"/>
        <v>3.4</v>
      </c>
      <c r="QR13" s="22">
        <f t="shared" si="146"/>
        <v>0.1</v>
      </c>
      <c r="QS13" s="22">
        <f t="shared" si="147"/>
        <v>0</v>
      </c>
      <c r="QT13" s="22">
        <f t="shared" si="148"/>
        <v>17.75</v>
      </c>
      <c r="QU13" s="22">
        <f t="shared" si="149"/>
        <v>6.2</v>
      </c>
      <c r="QV13" s="22">
        <f t="shared" si="150"/>
        <v>0.1</v>
      </c>
      <c r="QW13" s="22">
        <f t="shared" si="151"/>
        <v>0</v>
      </c>
      <c r="QX13" s="27" t="s">
        <v>46</v>
      </c>
      <c r="QY13" s="40">
        <f t="shared" si="152"/>
        <v>12.8</v>
      </c>
      <c r="QZ13" s="40">
        <f t="shared" si="153"/>
        <v>49.949999999999996</v>
      </c>
      <c r="RA13" s="40">
        <f t="shared" si="154"/>
        <v>10.299999999999999</v>
      </c>
      <c r="RB13" s="40">
        <f t="shared" si="155"/>
        <v>14.4</v>
      </c>
      <c r="RC13" s="40">
        <f t="shared" si="156"/>
        <v>60.249999999999993</v>
      </c>
      <c r="RD13" s="40">
        <f t="shared" si="157"/>
        <v>9.6</v>
      </c>
      <c r="RE13" s="40">
        <f t="shared" si="158"/>
        <v>36.65</v>
      </c>
      <c r="RF13" s="40">
        <f t="shared" si="159"/>
        <v>96.899999999999991</v>
      </c>
    </row>
    <row r="14" spans="1:474" x14ac:dyDescent="0.2">
      <c r="A14" s="4" cm="1">
        <f t="array" ref="A14">IF(AND(J14&lt;&gt;"",J14&lt;&gt;"No DD"),SUMPRODUCT((J$4:J$42&lt;&gt;"")*(J$4:J$42&lt;&gt;"No DD")*(F$4:F$42&gt;F14))+1,IF(J14="No DD",SUMPRODUCT((J$4:J$42="No DD")*(F$4:F$42&gt;F14))+1+SUMPRODUCT((J$4:J$42&lt;&gt;"")*(J$4:J$42&lt;&gt;"No DD")),""))</f>
        <v>11</v>
      </c>
      <c r="B14" s="4" cm="1">
        <f t="array" ref="B14">IF(AND(J14&lt;&gt;"",J14&lt;&gt;"No DD",G14=""),SUMPRODUCT((J$4:J$42&lt;&gt;"")*(J$4:J$42&lt;&gt;"No DD")*(G$4:G$42="")*(F$4:F$42&gt;F14))+1,IF(J14="No DD",SUMPRODUCT((J$4:J$42="No DD")*(F$4:F$42&gt;F14)*(G$4:G$42=""))+1+SUMPRODUCT((J$4:J$42&lt;&gt;"")*(G$4:G$42="")*(J$4:J$42&lt;&gt;"No DD")),""))</f>
        <v>6</v>
      </c>
      <c r="C14" s="5" t="s">
        <v>209</v>
      </c>
      <c r="D14" s="4" t="s">
        <v>4</v>
      </c>
      <c r="E14" s="4">
        <v>2008</v>
      </c>
      <c r="F14" s="9">
        <f t="shared" si="0"/>
        <v>150.35000775000512</v>
      </c>
      <c r="H14" s="3" t="str">
        <f t="shared" si="1"/>
        <v>P</v>
      </c>
      <c r="I14" s="3" t="str">
        <f t="shared" si="2"/>
        <v>P</v>
      </c>
      <c r="J14" s="36" t="str">
        <f t="shared" si="3"/>
        <v>National Team</v>
      </c>
      <c r="K14" s="3" t="str">
        <f t="shared" si="4"/>
        <v/>
      </c>
      <c r="L14" s="8">
        <f>IF(COUNT(AQ14,BT14,CW14)&gt;0,LARGE((AQ14,BT14,CW14),1),0)</f>
        <v>51.1</v>
      </c>
      <c r="M14" s="8" t="str">
        <f t="shared" si="5"/>
        <v>2024 3rd Domestic Trial</v>
      </c>
      <c r="N14" s="8">
        <f>IF(COUNT(AQ14,BT14,CW14)&gt;1,LARGE((AQ14,BT14,CW14),2),0)</f>
        <v>26.4</v>
      </c>
      <c r="O14" s="8" t="str">
        <f t="shared" si="6"/>
        <v>2024 Nationals</v>
      </c>
      <c r="P14" s="8">
        <f t="shared" si="7"/>
        <v>46.15</v>
      </c>
      <c r="Q14" s="8" t="str">
        <f t="shared" si="8"/>
        <v>2024 3rd Domestic Trial</v>
      </c>
      <c r="R14" s="8">
        <f t="shared" si="9"/>
        <v>26.699999999999996</v>
      </c>
      <c r="S14" s="11" t="str">
        <f t="shared" si="160"/>
        <v>(Q1)</v>
      </c>
      <c r="T14" s="8" t="str">
        <f t="shared" si="161"/>
        <v>2024 Coimbra Gym Fest (July 7)</v>
      </c>
      <c r="U14" s="19">
        <v>0</v>
      </c>
      <c r="V14" s="19">
        <v>0</v>
      </c>
      <c r="W14" s="19">
        <v>0</v>
      </c>
      <c r="X14" s="19">
        <v>0</v>
      </c>
      <c r="Y14" s="19">
        <v>18.8</v>
      </c>
      <c r="Z14" s="19">
        <v>7.6</v>
      </c>
      <c r="AA14" s="19">
        <v>0</v>
      </c>
      <c r="AB14" s="19">
        <v>0</v>
      </c>
      <c r="AC14" s="19">
        <v>19.399999999999999</v>
      </c>
      <c r="AD14" s="19">
        <v>7.6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0"/>
        <v>7.6</v>
      </c>
      <c r="AQ14" s="40">
        <f t="shared" si="11"/>
        <v>26.4</v>
      </c>
      <c r="AR14" s="40">
        <f t="shared" si="12"/>
        <v>27</v>
      </c>
      <c r="AS14" s="40">
        <f t="shared" si="13"/>
        <v>15.2</v>
      </c>
      <c r="AT14" s="40">
        <f t="shared" si="14"/>
        <v>53.4</v>
      </c>
      <c r="AU14" s="40" t="str">
        <f t="shared" si="15"/>
        <v/>
      </c>
      <c r="AV14" s="40" t="str">
        <f t="shared" si="16"/>
        <v/>
      </c>
      <c r="AW14" s="40">
        <f t="shared" si="17"/>
        <v>53.4</v>
      </c>
      <c r="AX14" s="18">
        <v>16.7</v>
      </c>
      <c r="AY14" s="18">
        <v>8.1</v>
      </c>
      <c r="AZ14" s="18">
        <v>0</v>
      </c>
      <c r="BA14" s="18">
        <v>0</v>
      </c>
      <c r="BB14" s="18">
        <v>18.7</v>
      </c>
      <c r="BC14" s="18">
        <v>8.4</v>
      </c>
      <c r="BD14" s="18">
        <v>0.8</v>
      </c>
      <c r="BE14" s="18">
        <v>0</v>
      </c>
      <c r="BF14" s="18">
        <v>18.399999999999999</v>
      </c>
      <c r="BG14" s="18">
        <v>8.1</v>
      </c>
      <c r="BH14" s="18">
        <v>0</v>
      </c>
      <c r="BI14" s="18">
        <v>0</v>
      </c>
      <c r="BJ14" s="18">
        <v>19</v>
      </c>
      <c r="BK14" s="18">
        <v>8.4</v>
      </c>
      <c r="BL14" s="18">
        <v>0</v>
      </c>
      <c r="BM14" s="18">
        <v>0</v>
      </c>
      <c r="BN14" s="18">
        <v>18.75</v>
      </c>
      <c r="BO14" s="18">
        <v>0</v>
      </c>
      <c r="BP14" s="18">
        <v>0</v>
      </c>
      <c r="BQ14" s="18">
        <v>0</v>
      </c>
      <c r="BR14" s="28"/>
      <c r="BS14" s="11">
        <f t="shared" si="18"/>
        <v>16.5</v>
      </c>
      <c r="BT14" s="11">
        <f t="shared" si="19"/>
        <v>51.1</v>
      </c>
      <c r="BU14" s="11">
        <f t="shared" si="20"/>
        <v>26.5</v>
      </c>
      <c r="BV14" s="11">
        <f t="shared" si="21"/>
        <v>24.6</v>
      </c>
      <c r="BW14" s="11">
        <f t="shared" si="22"/>
        <v>77.599999999999994</v>
      </c>
      <c r="BX14" s="11">
        <f t="shared" si="23"/>
        <v>8.4</v>
      </c>
      <c r="BY14" s="11">
        <f t="shared" si="24"/>
        <v>46.15</v>
      </c>
      <c r="BZ14" s="11">
        <f t="shared" si="25"/>
        <v>123.75</v>
      </c>
      <c r="CA14" s="19">
        <v>0</v>
      </c>
      <c r="CB14" s="19">
        <v>0</v>
      </c>
      <c r="CC14" s="19">
        <v>0</v>
      </c>
      <c r="CD14" s="19">
        <v>0</v>
      </c>
      <c r="CE14" s="19">
        <v>18.2</v>
      </c>
      <c r="CF14" s="19">
        <v>8.1</v>
      </c>
      <c r="CG14" s="19">
        <v>0.2</v>
      </c>
      <c r="CH14" s="19">
        <v>0</v>
      </c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26"/>
        <v>8.1</v>
      </c>
      <c r="CW14" s="40">
        <f t="shared" si="27"/>
        <v>26.099999999999998</v>
      </c>
      <c r="CX14" s="40" t="str">
        <f t="shared" si="28"/>
        <v/>
      </c>
      <c r="CY14" s="40">
        <f t="shared" si="29"/>
        <v>8.1</v>
      </c>
      <c r="CZ14" s="40">
        <f t="shared" si="30"/>
        <v>26.099999999999998</v>
      </c>
      <c r="DA14" s="40" t="str">
        <f t="shared" si="31"/>
        <v/>
      </c>
      <c r="DB14" s="40" t="str">
        <f t="shared" si="32"/>
        <v/>
      </c>
      <c r="DC14" s="40">
        <f t="shared" si="33"/>
        <v>26.099999999999998</v>
      </c>
      <c r="DD14" s="50">
        <f t="shared" si="34"/>
        <v>26.699999999999996</v>
      </c>
      <c r="DE14" s="50">
        <f t="shared" si="35"/>
        <v>0.45000000000000995</v>
      </c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 t="str">
        <f t="shared" si="36"/>
        <v/>
      </c>
      <c r="EA14" s="40" t="str">
        <f t="shared" si="37"/>
        <v/>
      </c>
      <c r="EB14" s="40" t="str">
        <f t="shared" si="38"/>
        <v/>
      </c>
      <c r="EC14" s="40" t="str">
        <f t="shared" si="39"/>
        <v/>
      </c>
      <c r="ED14" s="40" t="str">
        <f t="shared" si="40"/>
        <v/>
      </c>
      <c r="EE14" s="40" t="str">
        <f t="shared" si="41"/>
        <v/>
      </c>
      <c r="EF14" s="40" t="str">
        <f t="shared" si="42"/>
        <v/>
      </c>
      <c r="EG14" s="40" t="str">
        <f t="shared" si="43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4"/>
        <v/>
      </c>
      <c r="FC14" s="11" t="str">
        <f t="shared" si="45"/>
        <v/>
      </c>
      <c r="FD14" s="11" t="str">
        <f t="shared" si="46"/>
        <v/>
      </c>
      <c r="FE14" s="11" t="str">
        <f t="shared" si="47"/>
        <v/>
      </c>
      <c r="FF14" s="11" t="str">
        <f t="shared" si="48"/>
        <v/>
      </c>
      <c r="FG14" s="11" t="str">
        <f t="shared" si="49"/>
        <v/>
      </c>
      <c r="FH14" s="11" t="str">
        <f t="shared" si="50"/>
        <v/>
      </c>
      <c r="FI14" s="11" t="str">
        <f t="shared" si="51"/>
        <v/>
      </c>
      <c r="FJ14" s="17">
        <v>18.899999999999999</v>
      </c>
      <c r="FK14" s="17">
        <v>8.4</v>
      </c>
      <c r="FL14" s="17">
        <v>0.2</v>
      </c>
      <c r="FM14" s="17">
        <v>0</v>
      </c>
      <c r="FN14" s="17">
        <v>18.3</v>
      </c>
      <c r="FO14" s="17">
        <v>7.7</v>
      </c>
      <c r="FP14" s="17">
        <v>0</v>
      </c>
      <c r="FQ14" s="17">
        <v>0</v>
      </c>
      <c r="FR14" s="17"/>
      <c r="FS14" s="17"/>
      <c r="FT14" s="17"/>
      <c r="FU14" s="17"/>
      <c r="FV14" s="17">
        <v>18.600000000000001</v>
      </c>
      <c r="FW14" s="17">
        <v>8.4</v>
      </c>
      <c r="FX14" s="17">
        <v>0.8</v>
      </c>
      <c r="FY14" s="17">
        <v>0</v>
      </c>
      <c r="FZ14" s="17">
        <v>17.2</v>
      </c>
      <c r="GA14" s="17">
        <v>3.2</v>
      </c>
      <c r="GB14" s="17">
        <v>0</v>
      </c>
      <c r="GC14" s="17">
        <v>0</v>
      </c>
      <c r="GD14" s="40">
        <f t="shared" si="52"/>
        <v>16.100000000000001</v>
      </c>
      <c r="GE14" s="40">
        <f t="shared" si="53"/>
        <v>53.099999999999994</v>
      </c>
      <c r="GF14" s="40" t="str">
        <f t="shared" si="54"/>
        <v/>
      </c>
      <c r="GG14" s="40">
        <f t="shared" si="55"/>
        <v>16.100000000000001</v>
      </c>
      <c r="GH14" s="40">
        <f t="shared" si="56"/>
        <v>53.099999999999994</v>
      </c>
      <c r="GI14" s="40">
        <f t="shared" si="57"/>
        <v>11.600000000000001</v>
      </c>
      <c r="GJ14" s="40">
        <f t="shared" si="58"/>
        <v>46.600000000000009</v>
      </c>
      <c r="GK14" s="40">
        <f t="shared" si="59"/>
        <v>99.7</v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0"/>
        <v/>
      </c>
      <c r="HG14" s="11" t="str">
        <f t="shared" si="61"/>
        <v/>
      </c>
      <c r="HH14" s="11" t="str">
        <f t="shared" si="62"/>
        <v/>
      </c>
      <c r="HI14" s="11" t="str">
        <f t="shared" si="63"/>
        <v/>
      </c>
      <c r="HJ14" s="11" t="str">
        <f t="shared" si="64"/>
        <v/>
      </c>
      <c r="HK14" s="11" t="str">
        <f t="shared" si="65"/>
        <v/>
      </c>
      <c r="HL14" s="11" t="str">
        <f t="shared" si="66"/>
        <v/>
      </c>
      <c r="HM14" s="11" t="str">
        <f t="shared" si="67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68"/>
        <v/>
      </c>
      <c r="II14" s="40" t="str">
        <f t="shared" si="69"/>
        <v/>
      </c>
      <c r="IJ14" s="40" t="str">
        <f t="shared" si="70"/>
        <v/>
      </c>
      <c r="IK14" s="40" t="str">
        <f t="shared" si="71"/>
        <v/>
      </c>
      <c r="IL14" s="40" t="str">
        <f t="shared" si="72"/>
        <v/>
      </c>
      <c r="IM14" s="40" t="str">
        <f t="shared" si="73"/>
        <v/>
      </c>
      <c r="IN14" s="40" t="str">
        <f t="shared" si="74"/>
        <v/>
      </c>
      <c r="IO14" s="40" t="str">
        <f t="shared" si="75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6"/>
        <v/>
      </c>
      <c r="JK14" s="11" t="str">
        <f t="shared" si="77"/>
        <v/>
      </c>
      <c r="JL14" s="11" t="str">
        <f t="shared" si="78"/>
        <v/>
      </c>
      <c r="JM14" s="11" t="str">
        <f t="shared" si="79"/>
        <v/>
      </c>
      <c r="JN14" s="11" t="str">
        <f t="shared" si="80"/>
        <v/>
      </c>
      <c r="JO14" s="11" t="str">
        <f t="shared" si="81"/>
        <v/>
      </c>
      <c r="JP14" s="11" t="str">
        <f t="shared" si="82"/>
        <v/>
      </c>
      <c r="JQ14" s="11" t="str">
        <f t="shared" si="83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4"/>
        <v/>
      </c>
      <c r="KM14" s="40" t="str">
        <f t="shared" si="85"/>
        <v/>
      </c>
      <c r="KN14" s="40" t="str">
        <f t="shared" si="86"/>
        <v/>
      </c>
      <c r="KO14" s="40" t="str">
        <f t="shared" si="87"/>
        <v/>
      </c>
      <c r="KP14" s="40" t="str">
        <f t="shared" si="88"/>
        <v/>
      </c>
      <c r="KQ14" s="40" t="str">
        <f t="shared" si="89"/>
        <v/>
      </c>
      <c r="KR14" s="40" t="str">
        <f t="shared" si="90"/>
        <v/>
      </c>
      <c r="KS14" s="40" t="str">
        <f t="shared" si="91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2"/>
        <v/>
      </c>
      <c r="LO14" s="11" t="str">
        <f t="shared" si="93"/>
        <v/>
      </c>
      <c r="LP14" s="11" t="str">
        <f t="shared" si="94"/>
        <v/>
      </c>
      <c r="LQ14" s="11" t="str">
        <f t="shared" si="95"/>
        <v/>
      </c>
      <c r="LR14" s="11" t="str">
        <f t="shared" si="96"/>
        <v/>
      </c>
      <c r="LS14" s="11" t="str">
        <f t="shared" si="97"/>
        <v/>
      </c>
      <c r="LT14" s="11" t="str">
        <f t="shared" si="98"/>
        <v/>
      </c>
      <c r="LU14" s="11" t="str">
        <f t="shared" si="99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0"/>
        <v/>
      </c>
      <c r="MQ14" s="40" t="str">
        <f t="shared" si="101"/>
        <v/>
      </c>
      <c r="MR14" s="40" t="str">
        <f t="shared" si="102"/>
        <v/>
      </c>
      <c r="MS14" s="40" t="str">
        <f t="shared" si="103"/>
        <v/>
      </c>
      <c r="MT14" s="40" t="str">
        <f t="shared" si="104"/>
        <v/>
      </c>
      <c r="MU14" s="40" t="str">
        <f t="shared" si="105"/>
        <v/>
      </c>
      <c r="MV14" s="40" t="str">
        <f t="shared" si="106"/>
        <v/>
      </c>
      <c r="MW14" s="40" t="str">
        <f t="shared" si="107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08"/>
        <v/>
      </c>
      <c r="NS14" s="11" t="str">
        <f t="shared" si="109"/>
        <v/>
      </c>
      <c r="NT14" s="11" t="str">
        <f t="shared" si="110"/>
        <v/>
      </c>
      <c r="NU14" s="11" t="str">
        <f t="shared" si="111"/>
        <v/>
      </c>
      <c r="NV14" s="11" t="str">
        <f t="shared" si="112"/>
        <v/>
      </c>
      <c r="NW14" s="11" t="str">
        <f t="shared" si="113"/>
        <v/>
      </c>
      <c r="NX14" s="11" t="str">
        <f t="shared" si="114"/>
        <v/>
      </c>
      <c r="NY14" s="11" t="str">
        <f t="shared" si="115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6"/>
        <v/>
      </c>
      <c r="OU14" s="40" t="str">
        <f t="shared" si="117"/>
        <v/>
      </c>
      <c r="OV14" s="40" t="str">
        <f t="shared" si="118"/>
        <v/>
      </c>
      <c r="OW14" s="40" t="str">
        <f t="shared" si="119"/>
        <v/>
      </c>
      <c r="OX14" s="40" t="str">
        <f t="shared" si="120"/>
        <v/>
      </c>
      <c r="OY14" s="40" t="str">
        <f t="shared" si="121"/>
        <v/>
      </c>
      <c r="OZ14" s="40" t="str">
        <f t="shared" si="122"/>
        <v/>
      </c>
      <c r="PA14" s="40" t="str">
        <f t="shared" si="123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4"/>
        <v/>
      </c>
      <c r="PW14" s="11" t="str">
        <f t="shared" si="125"/>
        <v/>
      </c>
      <c r="PX14" s="11" t="str">
        <f t="shared" si="126"/>
        <v/>
      </c>
      <c r="PY14" s="11" t="str">
        <f t="shared" si="127"/>
        <v/>
      </c>
      <c r="PZ14" s="11" t="str">
        <f t="shared" si="128"/>
        <v/>
      </c>
      <c r="QA14" s="11" t="str">
        <f t="shared" si="129"/>
        <v/>
      </c>
      <c r="QB14" s="11" t="str">
        <f t="shared" si="130"/>
        <v/>
      </c>
      <c r="QC14" s="11" t="str">
        <f t="shared" si="131"/>
        <v/>
      </c>
      <c r="QD14" s="22">
        <f t="shared" si="132"/>
        <v>8.35</v>
      </c>
      <c r="QE14" s="22">
        <f t="shared" si="133"/>
        <v>4.05</v>
      </c>
      <c r="QF14" s="22">
        <f t="shared" si="134"/>
        <v>0</v>
      </c>
      <c r="QG14" s="22">
        <f t="shared" si="135"/>
        <v>0</v>
      </c>
      <c r="QH14" s="22">
        <f t="shared" si="136"/>
        <v>18.45</v>
      </c>
      <c r="QI14" s="22">
        <f t="shared" si="137"/>
        <v>8.25</v>
      </c>
      <c r="QJ14" s="22">
        <f t="shared" si="138"/>
        <v>0.5</v>
      </c>
      <c r="QK14" s="22">
        <f t="shared" si="139"/>
        <v>0</v>
      </c>
      <c r="QL14" s="22">
        <f t="shared" si="140"/>
        <v>9.1999999999999993</v>
      </c>
      <c r="QM14" s="22">
        <f t="shared" si="141"/>
        <v>4.05</v>
      </c>
      <c r="QN14" s="22">
        <f t="shared" si="142"/>
        <v>0</v>
      </c>
      <c r="QO14" s="22">
        <f t="shared" si="143"/>
        <v>0</v>
      </c>
      <c r="QP14" s="22">
        <f t="shared" si="144"/>
        <v>9.5</v>
      </c>
      <c r="QQ14" s="22">
        <f t="shared" si="145"/>
        <v>4.2</v>
      </c>
      <c r="QR14" s="22">
        <f t="shared" si="146"/>
        <v>0</v>
      </c>
      <c r="QS14" s="22">
        <f t="shared" si="147"/>
        <v>0</v>
      </c>
      <c r="QT14" s="22">
        <f t="shared" si="148"/>
        <v>9.375</v>
      </c>
      <c r="QU14" s="22">
        <f t="shared" si="149"/>
        <v>0</v>
      </c>
      <c r="QV14" s="22">
        <f t="shared" si="150"/>
        <v>0</v>
      </c>
      <c r="QW14" s="22">
        <f t="shared" si="151"/>
        <v>0</v>
      </c>
      <c r="QX14" s="27" t="s">
        <v>46</v>
      </c>
      <c r="QY14" s="40">
        <f t="shared" si="152"/>
        <v>12.3</v>
      </c>
      <c r="QZ14" s="40">
        <f t="shared" si="153"/>
        <v>38.599999999999994</v>
      </c>
      <c r="RA14" s="40">
        <f t="shared" si="154"/>
        <v>13.25</v>
      </c>
      <c r="RB14" s="40">
        <f t="shared" si="155"/>
        <v>16.350000000000001</v>
      </c>
      <c r="RC14" s="40">
        <f t="shared" si="156"/>
        <v>51.849999999999994</v>
      </c>
      <c r="RD14" s="40">
        <f t="shared" si="157"/>
        <v>4.2</v>
      </c>
      <c r="RE14" s="40">
        <f t="shared" si="158"/>
        <v>23.074999999999999</v>
      </c>
      <c r="RF14" s="40">
        <f t="shared" si="159"/>
        <v>74.924999999999997</v>
      </c>
    </row>
    <row r="15" spans="1:474" x14ac:dyDescent="0.2">
      <c r="A15" s="4" cm="1">
        <f t="array" ref="A15">IF(AND(J15&lt;&gt;"",J15&lt;&gt;"No DD"),SUMPRODUCT((J$4:J$42&lt;&gt;"")*(J$4:J$42&lt;&gt;"No DD")*(F$4:F$42&gt;F15))+1,IF(J15="No DD",SUMPRODUCT((J$4:J$42="No DD")*(F$4:F$42&gt;F15))+1+SUMPRODUCT((J$4:J$42&lt;&gt;"")*(J$4:J$42&lt;&gt;"No DD")),""))</f>
        <v>12</v>
      </c>
      <c r="B15" s="4" cm="1">
        <f t="array" ref="B15">IF(AND(J15&lt;&gt;"",J15&lt;&gt;"No DD",G15=""),SUMPRODUCT((J$4:J$42&lt;&gt;"")*(J$4:J$42&lt;&gt;"No DD")*(G$4:G$42="")*(F$4:F$42&gt;F15))+1,IF(J15="No DD",SUMPRODUCT((J$4:J$42="No DD")*(F$4:F$42&gt;F15)*(G$4:G$42=""))+1+SUMPRODUCT((J$4:J$42&lt;&gt;"")*(G$4:G$42="")*(J$4:J$42&lt;&gt;"No DD")),""))</f>
        <v>7</v>
      </c>
      <c r="C15" s="5" t="s">
        <v>204</v>
      </c>
      <c r="D15" s="4" t="s">
        <v>31</v>
      </c>
      <c r="E15" s="4">
        <v>2007</v>
      </c>
      <c r="F15" s="9">
        <f t="shared" si="0"/>
        <v>150.30000999000507</v>
      </c>
      <c r="G15" s="64"/>
      <c r="H15" s="3" t="str">
        <f t="shared" si="1"/>
        <v>P</v>
      </c>
      <c r="I15" s="3" t="str">
        <f t="shared" si="2"/>
        <v>P</v>
      </c>
      <c r="J15" s="36" t="str">
        <f t="shared" si="3"/>
        <v>National Team</v>
      </c>
      <c r="K15" s="3" t="str">
        <f t="shared" si="4"/>
        <v/>
      </c>
      <c r="L15" s="8">
        <f>IF(COUNT(AQ15,BT15,CW15)&gt;0,LARGE((AQ15,BT15,CW15),1),0)</f>
        <v>50.999999999999993</v>
      </c>
      <c r="M15" s="8" t="str">
        <f t="shared" si="5"/>
        <v>2025 Elite Canada</v>
      </c>
      <c r="N15" s="8">
        <f>IF(COUNT(AQ15,BT15,CW15)&gt;1,LARGE((AQ15,BT15,CW15),2),0)</f>
        <v>48.899999999999991</v>
      </c>
      <c r="O15" s="8" t="str">
        <f t="shared" si="6"/>
        <v>2024 3rd Domestic Trial</v>
      </c>
      <c r="P15" s="8">
        <f t="shared" si="7"/>
        <v>50.4</v>
      </c>
      <c r="Q15" s="8" t="str">
        <f t="shared" si="8"/>
        <v>2025 Elite Canada</v>
      </c>
      <c r="R15" s="8" t="str">
        <f t="shared" si="9"/>
        <v/>
      </c>
      <c r="S15" s="11" t="str">
        <f t="shared" si="160"/>
        <v/>
      </c>
      <c r="T15" s="8" t="str">
        <f t="shared" si="161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0"/>
        <v/>
      </c>
      <c r="AQ15" s="40" t="str">
        <f t="shared" si="11"/>
        <v/>
      </c>
      <c r="AR15" s="40" t="str">
        <f t="shared" si="12"/>
        <v/>
      </c>
      <c r="AS15" s="40" t="str">
        <f t="shared" si="13"/>
        <v/>
      </c>
      <c r="AT15" s="40" t="str">
        <f t="shared" si="14"/>
        <v/>
      </c>
      <c r="AU15" s="40" t="str">
        <f t="shared" si="15"/>
        <v/>
      </c>
      <c r="AV15" s="40" t="str">
        <f t="shared" si="16"/>
        <v/>
      </c>
      <c r="AW15" s="40" t="str">
        <f t="shared" si="17"/>
        <v/>
      </c>
      <c r="AX15" s="18">
        <v>18.7</v>
      </c>
      <c r="AY15" s="18">
        <v>5.6</v>
      </c>
      <c r="AZ15" s="18">
        <v>0.2</v>
      </c>
      <c r="BA15" s="18">
        <v>0</v>
      </c>
      <c r="BB15" s="18">
        <v>18.8</v>
      </c>
      <c r="BC15" s="18">
        <v>6</v>
      </c>
      <c r="BD15" s="18">
        <v>0</v>
      </c>
      <c r="BE15" s="18">
        <v>0</v>
      </c>
      <c r="BF15" s="18">
        <v>18.8</v>
      </c>
      <c r="BG15" s="18">
        <v>4</v>
      </c>
      <c r="BH15" s="18">
        <v>0</v>
      </c>
      <c r="BI15" s="18">
        <v>0</v>
      </c>
      <c r="BJ15" s="18">
        <v>19</v>
      </c>
      <c r="BK15" s="18">
        <v>5.6</v>
      </c>
      <c r="BL15" s="18">
        <v>0</v>
      </c>
      <c r="BM15" s="18">
        <v>0</v>
      </c>
      <c r="BN15" s="18">
        <v>18.600000000000001</v>
      </c>
      <c r="BO15" s="18">
        <v>6</v>
      </c>
      <c r="BP15" s="18">
        <v>0.6</v>
      </c>
      <c r="BQ15" s="18">
        <v>0</v>
      </c>
      <c r="BR15" s="28"/>
      <c r="BS15" s="11">
        <f t="shared" si="18"/>
        <v>11.6</v>
      </c>
      <c r="BT15" s="11">
        <f t="shared" si="19"/>
        <v>48.899999999999991</v>
      </c>
      <c r="BU15" s="11">
        <f t="shared" si="20"/>
        <v>22.8</v>
      </c>
      <c r="BV15" s="11">
        <f t="shared" si="21"/>
        <v>15.6</v>
      </c>
      <c r="BW15" s="11">
        <f t="shared" si="22"/>
        <v>71.699999999999989</v>
      </c>
      <c r="BX15" s="11">
        <f t="shared" si="23"/>
        <v>11.6</v>
      </c>
      <c r="BY15" s="11">
        <f t="shared" si="24"/>
        <v>48.6</v>
      </c>
      <c r="BZ15" s="11">
        <f t="shared" si="25"/>
        <v>120.29999999999998</v>
      </c>
      <c r="CA15" s="19">
        <v>18.8</v>
      </c>
      <c r="CB15" s="19">
        <v>7.2</v>
      </c>
      <c r="CC15" s="19">
        <v>0.2</v>
      </c>
      <c r="CD15" s="19">
        <v>0</v>
      </c>
      <c r="CE15" s="19">
        <v>18.600000000000001</v>
      </c>
      <c r="CF15" s="19">
        <v>6.8</v>
      </c>
      <c r="CG15" s="19">
        <v>0.2</v>
      </c>
      <c r="CH15" s="19">
        <v>0</v>
      </c>
      <c r="CI15" s="19"/>
      <c r="CJ15" s="19"/>
      <c r="CK15" s="19"/>
      <c r="CL15" s="19"/>
      <c r="CM15" s="19">
        <v>18.5</v>
      </c>
      <c r="CN15" s="19">
        <v>7.2</v>
      </c>
      <c r="CO15" s="19">
        <v>0</v>
      </c>
      <c r="CP15" s="19">
        <v>0</v>
      </c>
      <c r="CQ15" s="19">
        <v>18.5</v>
      </c>
      <c r="CR15" s="19">
        <v>6.8</v>
      </c>
      <c r="CS15" s="19">
        <v>0.6</v>
      </c>
      <c r="CT15" s="19">
        <v>0</v>
      </c>
      <c r="CU15" s="27"/>
      <c r="CV15" s="40">
        <f t="shared" si="26"/>
        <v>14</v>
      </c>
      <c r="CW15" s="40">
        <f t="shared" si="27"/>
        <v>50.999999999999993</v>
      </c>
      <c r="CX15" s="40" t="str">
        <f t="shared" si="28"/>
        <v/>
      </c>
      <c r="CY15" s="40">
        <f t="shared" si="29"/>
        <v>14</v>
      </c>
      <c r="CZ15" s="40">
        <f t="shared" si="30"/>
        <v>50.999999999999993</v>
      </c>
      <c r="DA15" s="40">
        <f t="shared" si="31"/>
        <v>14</v>
      </c>
      <c r="DB15" s="40">
        <f t="shared" si="32"/>
        <v>50.4</v>
      </c>
      <c r="DC15" s="40">
        <f t="shared" si="33"/>
        <v>101.39999999999999</v>
      </c>
      <c r="DD15" s="50" t="str">
        <f t="shared" si="34"/>
        <v/>
      </c>
      <c r="DE15" s="50" t="str">
        <f t="shared" si="35"/>
        <v/>
      </c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 t="str">
        <f t="shared" si="36"/>
        <v/>
      </c>
      <c r="EA15" s="40" t="str">
        <f t="shared" si="37"/>
        <v/>
      </c>
      <c r="EB15" s="40" t="str">
        <f t="shared" si="38"/>
        <v/>
      </c>
      <c r="EC15" s="40" t="str">
        <f t="shared" si="39"/>
        <v/>
      </c>
      <c r="ED15" s="40" t="str">
        <f t="shared" si="40"/>
        <v/>
      </c>
      <c r="EE15" s="40" t="str">
        <f t="shared" si="41"/>
        <v/>
      </c>
      <c r="EF15" s="40" t="str">
        <f t="shared" si="42"/>
        <v/>
      </c>
      <c r="EG15" s="40" t="str">
        <f t="shared" si="43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4"/>
        <v/>
      </c>
      <c r="FC15" s="11" t="str">
        <f t="shared" si="45"/>
        <v/>
      </c>
      <c r="FD15" s="11" t="str">
        <f t="shared" si="46"/>
        <v/>
      </c>
      <c r="FE15" s="11" t="str">
        <f t="shared" si="47"/>
        <v/>
      </c>
      <c r="FF15" s="11" t="str">
        <f t="shared" si="48"/>
        <v/>
      </c>
      <c r="FG15" s="11" t="str">
        <f t="shared" si="49"/>
        <v/>
      </c>
      <c r="FH15" s="11" t="str">
        <f t="shared" si="50"/>
        <v/>
      </c>
      <c r="FI15" s="11" t="str">
        <f t="shared" si="51"/>
        <v/>
      </c>
      <c r="FJ15" s="17">
        <v>18.8</v>
      </c>
      <c r="FK15" s="17">
        <v>3.5</v>
      </c>
      <c r="FL15" s="17">
        <v>0</v>
      </c>
      <c r="FM15" s="17">
        <v>0</v>
      </c>
      <c r="FN15" s="17">
        <v>18.399999999999999</v>
      </c>
      <c r="FO15" s="17">
        <v>4.3</v>
      </c>
      <c r="FP15" s="17">
        <v>0</v>
      </c>
      <c r="FQ15" s="17">
        <v>0</v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>
        <f t="shared" si="52"/>
        <v>7.8</v>
      </c>
      <c r="GE15" s="40">
        <f t="shared" si="53"/>
        <v>45</v>
      </c>
      <c r="GF15" s="40" t="str">
        <f t="shared" si="54"/>
        <v/>
      </c>
      <c r="GG15" s="40">
        <f t="shared" si="55"/>
        <v>7.8</v>
      </c>
      <c r="GH15" s="40">
        <f t="shared" si="56"/>
        <v>45</v>
      </c>
      <c r="GI15" s="40" t="str">
        <f t="shared" si="57"/>
        <v/>
      </c>
      <c r="GJ15" s="40" t="str">
        <f t="shared" si="58"/>
        <v/>
      </c>
      <c r="GK15" s="40">
        <f t="shared" si="59"/>
        <v>45</v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0"/>
        <v/>
      </c>
      <c r="HG15" s="11" t="str">
        <f t="shared" si="61"/>
        <v/>
      </c>
      <c r="HH15" s="11" t="str">
        <f t="shared" si="62"/>
        <v/>
      </c>
      <c r="HI15" s="11" t="str">
        <f t="shared" si="63"/>
        <v/>
      </c>
      <c r="HJ15" s="11" t="str">
        <f t="shared" si="64"/>
        <v/>
      </c>
      <c r="HK15" s="11" t="str">
        <f t="shared" si="65"/>
        <v/>
      </c>
      <c r="HL15" s="11" t="str">
        <f t="shared" si="66"/>
        <v/>
      </c>
      <c r="HM15" s="11" t="str">
        <f t="shared" si="67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68"/>
        <v/>
      </c>
      <c r="II15" s="40" t="str">
        <f t="shared" si="69"/>
        <v/>
      </c>
      <c r="IJ15" s="40" t="str">
        <f t="shared" si="70"/>
        <v/>
      </c>
      <c r="IK15" s="40" t="str">
        <f t="shared" si="71"/>
        <v/>
      </c>
      <c r="IL15" s="40" t="str">
        <f t="shared" si="72"/>
        <v/>
      </c>
      <c r="IM15" s="40" t="str">
        <f t="shared" si="73"/>
        <v/>
      </c>
      <c r="IN15" s="40" t="str">
        <f t="shared" si="74"/>
        <v/>
      </c>
      <c r="IO15" s="40" t="str">
        <f t="shared" si="75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6"/>
        <v/>
      </c>
      <c r="JK15" s="11" t="str">
        <f t="shared" si="77"/>
        <v/>
      </c>
      <c r="JL15" s="11" t="str">
        <f t="shared" si="78"/>
        <v/>
      </c>
      <c r="JM15" s="11" t="str">
        <f t="shared" si="79"/>
        <v/>
      </c>
      <c r="JN15" s="11" t="str">
        <f t="shared" si="80"/>
        <v/>
      </c>
      <c r="JO15" s="11" t="str">
        <f t="shared" si="81"/>
        <v/>
      </c>
      <c r="JP15" s="11" t="str">
        <f t="shared" si="82"/>
        <v/>
      </c>
      <c r="JQ15" s="11" t="str">
        <f t="shared" si="83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4"/>
        <v/>
      </c>
      <c r="KM15" s="40" t="str">
        <f t="shared" si="85"/>
        <v/>
      </c>
      <c r="KN15" s="40" t="str">
        <f t="shared" si="86"/>
        <v/>
      </c>
      <c r="KO15" s="40" t="str">
        <f t="shared" si="87"/>
        <v/>
      </c>
      <c r="KP15" s="40" t="str">
        <f t="shared" si="88"/>
        <v/>
      </c>
      <c r="KQ15" s="40" t="str">
        <f t="shared" si="89"/>
        <v/>
      </c>
      <c r="KR15" s="40" t="str">
        <f t="shared" si="90"/>
        <v/>
      </c>
      <c r="KS15" s="40" t="str">
        <f t="shared" si="91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2"/>
        <v/>
      </c>
      <c r="LO15" s="11" t="str">
        <f t="shared" si="93"/>
        <v/>
      </c>
      <c r="LP15" s="11" t="str">
        <f t="shared" si="94"/>
        <v/>
      </c>
      <c r="LQ15" s="11" t="str">
        <f t="shared" si="95"/>
        <v/>
      </c>
      <c r="LR15" s="11" t="str">
        <f t="shared" si="96"/>
        <v/>
      </c>
      <c r="LS15" s="11" t="str">
        <f t="shared" si="97"/>
        <v/>
      </c>
      <c r="LT15" s="11" t="str">
        <f t="shared" si="98"/>
        <v/>
      </c>
      <c r="LU15" s="11" t="str">
        <f t="shared" si="99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0"/>
        <v/>
      </c>
      <c r="MQ15" s="40" t="str">
        <f t="shared" si="101"/>
        <v/>
      </c>
      <c r="MR15" s="40" t="str">
        <f t="shared" si="102"/>
        <v/>
      </c>
      <c r="MS15" s="40" t="str">
        <f t="shared" si="103"/>
        <v/>
      </c>
      <c r="MT15" s="40" t="str">
        <f t="shared" si="104"/>
        <v/>
      </c>
      <c r="MU15" s="40" t="str">
        <f t="shared" si="105"/>
        <v/>
      </c>
      <c r="MV15" s="40" t="str">
        <f t="shared" si="106"/>
        <v/>
      </c>
      <c r="MW15" s="40" t="str">
        <f t="shared" si="107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08"/>
        <v/>
      </c>
      <c r="NS15" s="11" t="str">
        <f t="shared" si="109"/>
        <v/>
      </c>
      <c r="NT15" s="11" t="str">
        <f t="shared" si="110"/>
        <v/>
      </c>
      <c r="NU15" s="11" t="str">
        <f t="shared" si="111"/>
        <v/>
      </c>
      <c r="NV15" s="11" t="str">
        <f t="shared" si="112"/>
        <v/>
      </c>
      <c r="NW15" s="11" t="str">
        <f t="shared" si="113"/>
        <v/>
      </c>
      <c r="NX15" s="11" t="str">
        <f t="shared" si="114"/>
        <v/>
      </c>
      <c r="NY15" s="11" t="str">
        <f t="shared" si="115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6"/>
        <v/>
      </c>
      <c r="OU15" s="40" t="str">
        <f t="shared" si="117"/>
        <v/>
      </c>
      <c r="OV15" s="40" t="str">
        <f t="shared" si="118"/>
        <v/>
      </c>
      <c r="OW15" s="40" t="str">
        <f t="shared" si="119"/>
        <v/>
      </c>
      <c r="OX15" s="40" t="str">
        <f t="shared" si="120"/>
        <v/>
      </c>
      <c r="OY15" s="40" t="str">
        <f t="shared" si="121"/>
        <v/>
      </c>
      <c r="OZ15" s="40" t="str">
        <f t="shared" si="122"/>
        <v/>
      </c>
      <c r="PA15" s="40" t="str">
        <f t="shared" si="123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4"/>
        <v/>
      </c>
      <c r="PW15" s="11" t="str">
        <f t="shared" si="125"/>
        <v/>
      </c>
      <c r="PX15" s="11" t="str">
        <f t="shared" si="126"/>
        <v/>
      </c>
      <c r="PY15" s="11" t="str">
        <f t="shared" si="127"/>
        <v/>
      </c>
      <c r="PZ15" s="11" t="str">
        <f t="shared" si="128"/>
        <v/>
      </c>
      <c r="QA15" s="11" t="str">
        <f t="shared" si="129"/>
        <v/>
      </c>
      <c r="QB15" s="11" t="str">
        <f t="shared" si="130"/>
        <v/>
      </c>
      <c r="QC15" s="11" t="str">
        <f t="shared" si="131"/>
        <v/>
      </c>
      <c r="QD15" s="22">
        <f t="shared" si="132"/>
        <v>18.75</v>
      </c>
      <c r="QE15" s="22">
        <f t="shared" si="133"/>
        <v>6.4</v>
      </c>
      <c r="QF15" s="22">
        <f t="shared" si="134"/>
        <v>0.2</v>
      </c>
      <c r="QG15" s="22">
        <f t="shared" si="135"/>
        <v>0</v>
      </c>
      <c r="QH15" s="22">
        <f t="shared" si="136"/>
        <v>18.700000000000003</v>
      </c>
      <c r="QI15" s="22">
        <f t="shared" si="137"/>
        <v>6.4</v>
      </c>
      <c r="QJ15" s="22">
        <f t="shared" si="138"/>
        <v>0.1</v>
      </c>
      <c r="QK15" s="22">
        <f t="shared" si="139"/>
        <v>0</v>
      </c>
      <c r="QL15" s="22">
        <f t="shared" si="140"/>
        <v>9.4</v>
      </c>
      <c r="QM15" s="22">
        <f t="shared" si="141"/>
        <v>2</v>
      </c>
      <c r="QN15" s="22">
        <f t="shared" si="142"/>
        <v>0</v>
      </c>
      <c r="QO15" s="22">
        <f t="shared" si="143"/>
        <v>0</v>
      </c>
      <c r="QP15" s="22">
        <f t="shared" si="144"/>
        <v>18.75</v>
      </c>
      <c r="QQ15" s="22">
        <f t="shared" si="145"/>
        <v>6.4</v>
      </c>
      <c r="QR15" s="22">
        <f t="shared" si="146"/>
        <v>0</v>
      </c>
      <c r="QS15" s="22">
        <f t="shared" si="147"/>
        <v>0</v>
      </c>
      <c r="QT15" s="22">
        <f t="shared" si="148"/>
        <v>18.55</v>
      </c>
      <c r="QU15" s="22">
        <f t="shared" si="149"/>
        <v>6.4</v>
      </c>
      <c r="QV15" s="22">
        <f t="shared" si="150"/>
        <v>0.6</v>
      </c>
      <c r="QW15" s="22">
        <f t="shared" si="151"/>
        <v>0</v>
      </c>
      <c r="QX15" s="27" t="s">
        <v>46</v>
      </c>
      <c r="QY15" s="40">
        <f t="shared" si="152"/>
        <v>12.8</v>
      </c>
      <c r="QZ15" s="40">
        <f t="shared" si="153"/>
        <v>49.949999999999996</v>
      </c>
      <c r="RA15" s="40">
        <f t="shared" si="154"/>
        <v>11.4</v>
      </c>
      <c r="RB15" s="40">
        <f t="shared" si="155"/>
        <v>14.8</v>
      </c>
      <c r="RC15" s="40">
        <f t="shared" si="156"/>
        <v>61.349999999999994</v>
      </c>
      <c r="RD15" s="40">
        <f t="shared" si="157"/>
        <v>12.8</v>
      </c>
      <c r="RE15" s="40">
        <f t="shared" si="158"/>
        <v>49.5</v>
      </c>
      <c r="RF15" s="40">
        <f t="shared" si="159"/>
        <v>110.85</v>
      </c>
    </row>
    <row r="16" spans="1:474" x14ac:dyDescent="0.2">
      <c r="A16" s="4" cm="1">
        <f t="array" ref="A16">IF(AND(J16&lt;&gt;"",J16&lt;&gt;"No DD"),SUMPRODUCT((J$4:J$42&lt;&gt;"")*(J$4:J$42&lt;&gt;"No DD")*(F$4:F$42&gt;F16))+1,IF(J16="No DD",SUMPRODUCT((J$4:J$42="No DD")*(F$4:F$42&gt;F16))+1+SUMPRODUCT((J$4:J$42&lt;&gt;"")*(J$4:J$42&lt;&gt;"No DD")),""))</f>
        <v>13</v>
      </c>
      <c r="B16" s="4" cm="1">
        <f t="array" ref="B16">IF(AND(J16&lt;&gt;"",J16&lt;&gt;"No DD",G16=""),SUMPRODUCT((J$4:J$42&lt;&gt;"")*(J$4:J$42&lt;&gt;"No DD")*(G$4:G$42="")*(F$4:F$42&gt;F16))+1,IF(J16="No DD",SUMPRODUCT((J$4:J$42="No DD")*(F$4:F$42&gt;F16)*(G$4:G$42=""))+1+SUMPRODUCT((J$4:J$42&lt;&gt;"")*(G$4:G$42="")*(J$4:J$42&lt;&gt;"No DD")),""))</f>
        <v>8</v>
      </c>
      <c r="C16" s="5" t="s">
        <v>159</v>
      </c>
      <c r="D16" s="4" t="s">
        <v>5</v>
      </c>
      <c r="E16" s="4">
        <v>2007</v>
      </c>
      <c r="F16" s="9">
        <f t="shared" si="0"/>
        <v>149.50000997000504</v>
      </c>
      <c r="G16" s="64"/>
      <c r="H16" s="3" t="str">
        <f t="shared" si="1"/>
        <v>P</v>
      </c>
      <c r="I16" s="3" t="str">
        <f t="shared" si="2"/>
        <v>P</v>
      </c>
      <c r="J16" s="36" t="str">
        <f t="shared" si="3"/>
        <v>National Team</v>
      </c>
      <c r="K16" s="3" t="str">
        <f t="shared" si="4"/>
        <v/>
      </c>
      <c r="L16" s="8">
        <f>IF(COUNT(AQ16,BT16,CW16)&gt;0,LARGE((AQ16,BT16,CW16),1),0)</f>
        <v>50.4</v>
      </c>
      <c r="M16" s="8" t="str">
        <f t="shared" si="5"/>
        <v>2024 3rd Domestic Trial</v>
      </c>
      <c r="N16" s="8">
        <f>IF(COUNT(AQ16,BT16,CW16)&gt;1,LARGE((AQ16,BT16,CW16),2),0)</f>
        <v>49.29999999999999</v>
      </c>
      <c r="O16" s="8" t="str">
        <f t="shared" si="6"/>
        <v>2024 Nationals</v>
      </c>
      <c r="P16" s="8">
        <f t="shared" si="7"/>
        <v>49.800000000000004</v>
      </c>
      <c r="Q16" s="8" t="str">
        <f t="shared" si="8"/>
        <v>2024 3rd Domestic Trial</v>
      </c>
      <c r="R16" s="8" t="str">
        <f t="shared" si="9"/>
        <v/>
      </c>
      <c r="S16" s="11" t="str">
        <f t="shared" si="160"/>
        <v/>
      </c>
      <c r="T16" s="8" t="str">
        <f t="shared" si="161"/>
        <v/>
      </c>
      <c r="U16" s="19">
        <v>18.2</v>
      </c>
      <c r="V16" s="19">
        <v>6</v>
      </c>
      <c r="W16" s="19">
        <v>0.2</v>
      </c>
      <c r="X16" s="19">
        <v>0</v>
      </c>
      <c r="Y16" s="19">
        <v>18.899999999999999</v>
      </c>
      <c r="Z16" s="19">
        <v>6.4</v>
      </c>
      <c r="AA16" s="19">
        <v>0</v>
      </c>
      <c r="AB16" s="19">
        <v>0</v>
      </c>
      <c r="AC16" s="19">
        <v>18.2</v>
      </c>
      <c r="AD16" s="19">
        <v>6</v>
      </c>
      <c r="AE16" s="19">
        <v>0</v>
      </c>
      <c r="AF16" s="19">
        <v>0</v>
      </c>
      <c r="AG16" s="19">
        <v>17.899999999999999</v>
      </c>
      <c r="AH16" s="19">
        <v>6</v>
      </c>
      <c r="AI16" s="19">
        <v>0.8</v>
      </c>
      <c r="AJ16" s="19">
        <v>0</v>
      </c>
      <c r="AK16" s="19">
        <v>18.8</v>
      </c>
      <c r="AL16" s="19">
        <v>6.4</v>
      </c>
      <c r="AM16" s="19">
        <v>0</v>
      </c>
      <c r="AN16" s="19">
        <v>0</v>
      </c>
      <c r="AO16" s="27"/>
      <c r="AP16" s="40">
        <f t="shared" si="10"/>
        <v>12.4</v>
      </c>
      <c r="AQ16" s="40">
        <f t="shared" si="11"/>
        <v>49.29999999999999</v>
      </c>
      <c r="AR16" s="40">
        <f t="shared" si="12"/>
        <v>24.2</v>
      </c>
      <c r="AS16" s="40">
        <f t="shared" si="13"/>
        <v>18.399999999999999</v>
      </c>
      <c r="AT16" s="40">
        <f t="shared" si="14"/>
        <v>73.499999999999986</v>
      </c>
      <c r="AU16" s="40">
        <f t="shared" si="15"/>
        <v>12.4</v>
      </c>
      <c r="AV16" s="40">
        <f t="shared" si="16"/>
        <v>48.300000000000004</v>
      </c>
      <c r="AW16" s="40">
        <f t="shared" si="17"/>
        <v>121.79999999999998</v>
      </c>
      <c r="AX16" s="18">
        <v>18.7</v>
      </c>
      <c r="AY16" s="18">
        <v>6.8</v>
      </c>
      <c r="AZ16" s="18">
        <v>0</v>
      </c>
      <c r="BA16" s="18">
        <v>0</v>
      </c>
      <c r="BB16" s="18">
        <v>18.5</v>
      </c>
      <c r="BC16" s="18">
        <v>6.4</v>
      </c>
      <c r="BD16" s="18">
        <v>0</v>
      </c>
      <c r="BE16" s="18">
        <v>0</v>
      </c>
      <c r="BF16" s="18">
        <v>18.399999999999999</v>
      </c>
      <c r="BG16" s="18">
        <v>6</v>
      </c>
      <c r="BH16" s="18">
        <v>0</v>
      </c>
      <c r="BI16" s="18">
        <v>0</v>
      </c>
      <c r="BJ16" s="18">
        <v>18.8</v>
      </c>
      <c r="BK16" s="18">
        <v>6.8</v>
      </c>
      <c r="BL16" s="18">
        <v>0.6</v>
      </c>
      <c r="BM16" s="18">
        <v>0</v>
      </c>
      <c r="BN16" s="18">
        <v>18.600000000000001</v>
      </c>
      <c r="BO16" s="18">
        <v>6.4</v>
      </c>
      <c r="BP16" s="18">
        <v>0.2</v>
      </c>
      <c r="BQ16" s="18">
        <v>0</v>
      </c>
      <c r="BR16" s="28"/>
      <c r="BS16" s="11">
        <f t="shared" si="18"/>
        <v>13.2</v>
      </c>
      <c r="BT16" s="11">
        <f t="shared" si="19"/>
        <v>50.4</v>
      </c>
      <c r="BU16" s="11">
        <f t="shared" si="20"/>
        <v>24.4</v>
      </c>
      <c r="BV16" s="11">
        <f t="shared" si="21"/>
        <v>19.2</v>
      </c>
      <c r="BW16" s="11">
        <f t="shared" si="22"/>
        <v>74.8</v>
      </c>
      <c r="BX16" s="11">
        <f t="shared" si="23"/>
        <v>13.2</v>
      </c>
      <c r="BY16" s="11">
        <f t="shared" si="24"/>
        <v>49.800000000000004</v>
      </c>
      <c r="BZ16" s="11">
        <f t="shared" si="25"/>
        <v>124.6</v>
      </c>
      <c r="CA16" s="19">
        <v>18.2</v>
      </c>
      <c r="CB16" s="19">
        <v>6.4</v>
      </c>
      <c r="CC16" s="19">
        <v>0.6</v>
      </c>
      <c r="CD16" s="19">
        <v>0</v>
      </c>
      <c r="CE16" s="19">
        <v>17.8</v>
      </c>
      <c r="CF16" s="19">
        <v>6</v>
      </c>
      <c r="CG16" s="19">
        <v>1.6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6"/>
        <v>12.4</v>
      </c>
      <c r="CW16" s="40">
        <f t="shared" si="27"/>
        <v>46.2</v>
      </c>
      <c r="CX16" s="40" t="str">
        <f t="shared" si="28"/>
        <v/>
      </c>
      <c r="CY16" s="40">
        <f t="shared" si="29"/>
        <v>12.4</v>
      </c>
      <c r="CZ16" s="40">
        <f t="shared" si="30"/>
        <v>46.2</v>
      </c>
      <c r="DA16" s="40" t="str">
        <f t="shared" si="31"/>
        <v/>
      </c>
      <c r="DB16" s="40" t="str">
        <f t="shared" si="32"/>
        <v/>
      </c>
      <c r="DC16" s="40">
        <f t="shared" si="33"/>
        <v>46.2</v>
      </c>
      <c r="DD16" s="50" t="str">
        <f t="shared" si="34"/>
        <v/>
      </c>
      <c r="DE16" s="50" t="str">
        <f t="shared" si="35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6"/>
        <v/>
      </c>
      <c r="EA16" s="40" t="str">
        <f t="shared" si="37"/>
        <v/>
      </c>
      <c r="EB16" s="40" t="str">
        <f t="shared" si="38"/>
        <v/>
      </c>
      <c r="EC16" s="40" t="str">
        <f t="shared" si="39"/>
        <v/>
      </c>
      <c r="ED16" s="40" t="str">
        <f t="shared" si="40"/>
        <v/>
      </c>
      <c r="EE16" s="40" t="str">
        <f t="shared" si="41"/>
        <v/>
      </c>
      <c r="EF16" s="40" t="str">
        <f t="shared" si="42"/>
        <v/>
      </c>
      <c r="EG16" s="40" t="str">
        <f t="shared" si="43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4"/>
        <v/>
      </c>
      <c r="FC16" s="11" t="str">
        <f t="shared" si="45"/>
        <v/>
      </c>
      <c r="FD16" s="11" t="str">
        <f t="shared" si="46"/>
        <v/>
      </c>
      <c r="FE16" s="11" t="str">
        <f t="shared" si="47"/>
        <v/>
      </c>
      <c r="FF16" s="11" t="str">
        <f t="shared" si="48"/>
        <v/>
      </c>
      <c r="FG16" s="11" t="str">
        <f t="shared" si="49"/>
        <v/>
      </c>
      <c r="FH16" s="11" t="str">
        <f t="shared" si="50"/>
        <v/>
      </c>
      <c r="FI16" s="11" t="str">
        <f t="shared" si="51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2"/>
        <v/>
      </c>
      <c r="GE16" s="40" t="str">
        <f t="shared" si="53"/>
        <v/>
      </c>
      <c r="GF16" s="40" t="str">
        <f t="shared" si="54"/>
        <v/>
      </c>
      <c r="GG16" s="40" t="str">
        <f t="shared" si="55"/>
        <v/>
      </c>
      <c r="GH16" s="40" t="str">
        <f t="shared" si="56"/>
        <v/>
      </c>
      <c r="GI16" s="40" t="str">
        <f t="shared" si="57"/>
        <v/>
      </c>
      <c r="GJ16" s="40" t="str">
        <f t="shared" si="58"/>
        <v/>
      </c>
      <c r="GK16" s="40" t="str">
        <f t="shared" si="59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0"/>
        <v/>
      </c>
      <c r="HG16" s="11" t="str">
        <f t="shared" si="61"/>
        <v/>
      </c>
      <c r="HH16" s="11" t="str">
        <f t="shared" si="62"/>
        <v/>
      </c>
      <c r="HI16" s="11" t="str">
        <f t="shared" si="63"/>
        <v/>
      </c>
      <c r="HJ16" s="11" t="str">
        <f t="shared" si="64"/>
        <v/>
      </c>
      <c r="HK16" s="11" t="str">
        <f t="shared" si="65"/>
        <v/>
      </c>
      <c r="HL16" s="11" t="str">
        <f t="shared" si="66"/>
        <v/>
      </c>
      <c r="HM16" s="11" t="str">
        <f t="shared" si="67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68"/>
        <v/>
      </c>
      <c r="II16" s="40" t="str">
        <f t="shared" si="69"/>
        <v/>
      </c>
      <c r="IJ16" s="40" t="str">
        <f t="shared" si="70"/>
        <v/>
      </c>
      <c r="IK16" s="40" t="str">
        <f t="shared" si="71"/>
        <v/>
      </c>
      <c r="IL16" s="40" t="str">
        <f t="shared" si="72"/>
        <v/>
      </c>
      <c r="IM16" s="40" t="str">
        <f t="shared" si="73"/>
        <v/>
      </c>
      <c r="IN16" s="40" t="str">
        <f t="shared" si="74"/>
        <v/>
      </c>
      <c r="IO16" s="40" t="str">
        <f t="shared" si="75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6"/>
        <v/>
      </c>
      <c r="JK16" s="11" t="str">
        <f t="shared" si="77"/>
        <v/>
      </c>
      <c r="JL16" s="11" t="str">
        <f t="shared" si="78"/>
        <v/>
      </c>
      <c r="JM16" s="11" t="str">
        <f t="shared" si="79"/>
        <v/>
      </c>
      <c r="JN16" s="11" t="str">
        <f t="shared" si="80"/>
        <v/>
      </c>
      <c r="JO16" s="11" t="str">
        <f t="shared" si="81"/>
        <v/>
      </c>
      <c r="JP16" s="11" t="str">
        <f t="shared" si="82"/>
        <v/>
      </c>
      <c r="JQ16" s="11" t="str">
        <f t="shared" si="83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4"/>
        <v/>
      </c>
      <c r="KM16" s="40" t="str">
        <f t="shared" si="85"/>
        <v/>
      </c>
      <c r="KN16" s="40" t="str">
        <f t="shared" si="86"/>
        <v/>
      </c>
      <c r="KO16" s="40" t="str">
        <f t="shared" si="87"/>
        <v/>
      </c>
      <c r="KP16" s="40" t="str">
        <f t="shared" si="88"/>
        <v/>
      </c>
      <c r="KQ16" s="40" t="str">
        <f t="shared" si="89"/>
        <v/>
      </c>
      <c r="KR16" s="40" t="str">
        <f t="shared" si="90"/>
        <v/>
      </c>
      <c r="KS16" s="40" t="str">
        <f t="shared" si="91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2"/>
        <v/>
      </c>
      <c r="LO16" s="11" t="str">
        <f t="shared" si="93"/>
        <v/>
      </c>
      <c r="LP16" s="11" t="str">
        <f t="shared" si="94"/>
        <v/>
      </c>
      <c r="LQ16" s="11" t="str">
        <f t="shared" si="95"/>
        <v/>
      </c>
      <c r="LR16" s="11" t="str">
        <f t="shared" si="96"/>
        <v/>
      </c>
      <c r="LS16" s="11" t="str">
        <f t="shared" si="97"/>
        <v/>
      </c>
      <c r="LT16" s="11" t="str">
        <f t="shared" si="98"/>
        <v/>
      </c>
      <c r="LU16" s="11" t="str">
        <f t="shared" si="99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0"/>
        <v/>
      </c>
      <c r="MQ16" s="40" t="str">
        <f t="shared" si="101"/>
        <v/>
      </c>
      <c r="MR16" s="40" t="str">
        <f t="shared" si="102"/>
        <v/>
      </c>
      <c r="MS16" s="40" t="str">
        <f t="shared" si="103"/>
        <v/>
      </c>
      <c r="MT16" s="40" t="str">
        <f t="shared" si="104"/>
        <v/>
      </c>
      <c r="MU16" s="40" t="str">
        <f t="shared" si="105"/>
        <v/>
      </c>
      <c r="MV16" s="40" t="str">
        <f t="shared" si="106"/>
        <v/>
      </c>
      <c r="MW16" s="40" t="str">
        <f t="shared" si="107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08"/>
        <v/>
      </c>
      <c r="NS16" s="11" t="str">
        <f t="shared" si="109"/>
        <v/>
      </c>
      <c r="NT16" s="11" t="str">
        <f t="shared" si="110"/>
        <v/>
      </c>
      <c r="NU16" s="11" t="str">
        <f t="shared" si="111"/>
        <v/>
      </c>
      <c r="NV16" s="11" t="str">
        <f t="shared" si="112"/>
        <v/>
      </c>
      <c r="NW16" s="11" t="str">
        <f t="shared" si="113"/>
        <v/>
      </c>
      <c r="NX16" s="11" t="str">
        <f t="shared" si="114"/>
        <v/>
      </c>
      <c r="NY16" s="11" t="str">
        <f t="shared" si="115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6"/>
        <v/>
      </c>
      <c r="OU16" s="40" t="str">
        <f t="shared" si="117"/>
        <v/>
      </c>
      <c r="OV16" s="40" t="str">
        <f t="shared" si="118"/>
        <v/>
      </c>
      <c r="OW16" s="40" t="str">
        <f t="shared" si="119"/>
        <v/>
      </c>
      <c r="OX16" s="40" t="str">
        <f t="shared" si="120"/>
        <v/>
      </c>
      <c r="OY16" s="40" t="str">
        <f t="shared" si="121"/>
        <v/>
      </c>
      <c r="OZ16" s="40" t="str">
        <f t="shared" si="122"/>
        <v/>
      </c>
      <c r="PA16" s="40" t="str">
        <f t="shared" si="123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4"/>
        <v/>
      </c>
      <c r="PW16" s="11" t="str">
        <f t="shared" si="125"/>
        <v/>
      </c>
      <c r="PX16" s="11" t="str">
        <f t="shared" si="126"/>
        <v/>
      </c>
      <c r="PY16" s="11" t="str">
        <f t="shared" si="127"/>
        <v/>
      </c>
      <c r="PZ16" s="11" t="str">
        <f t="shared" si="128"/>
        <v/>
      </c>
      <c r="QA16" s="11" t="str">
        <f t="shared" si="129"/>
        <v/>
      </c>
      <c r="QB16" s="11" t="str">
        <f t="shared" si="130"/>
        <v/>
      </c>
      <c r="QC16" s="11" t="str">
        <f t="shared" si="131"/>
        <v/>
      </c>
      <c r="QD16" s="22">
        <f t="shared" si="132"/>
        <v>18.45</v>
      </c>
      <c r="QE16" s="22">
        <f t="shared" si="133"/>
        <v>6.6</v>
      </c>
      <c r="QF16" s="22">
        <f t="shared" si="134"/>
        <v>0.3</v>
      </c>
      <c r="QG16" s="22">
        <f t="shared" si="135"/>
        <v>0</v>
      </c>
      <c r="QH16" s="22">
        <f t="shared" si="136"/>
        <v>18.149999999999999</v>
      </c>
      <c r="QI16" s="22">
        <f t="shared" si="137"/>
        <v>6.2</v>
      </c>
      <c r="QJ16" s="22">
        <f t="shared" si="138"/>
        <v>0.8</v>
      </c>
      <c r="QK16" s="22">
        <f t="shared" si="139"/>
        <v>0</v>
      </c>
      <c r="QL16" s="22">
        <f t="shared" si="140"/>
        <v>9.1999999999999993</v>
      </c>
      <c r="QM16" s="22">
        <f t="shared" si="141"/>
        <v>3</v>
      </c>
      <c r="QN16" s="22">
        <f t="shared" si="142"/>
        <v>0</v>
      </c>
      <c r="QO16" s="22">
        <f t="shared" si="143"/>
        <v>0</v>
      </c>
      <c r="QP16" s="22">
        <f t="shared" si="144"/>
        <v>9.4</v>
      </c>
      <c r="QQ16" s="22">
        <f t="shared" si="145"/>
        <v>3.4</v>
      </c>
      <c r="QR16" s="22">
        <f t="shared" si="146"/>
        <v>0.3</v>
      </c>
      <c r="QS16" s="22">
        <f t="shared" si="147"/>
        <v>0</v>
      </c>
      <c r="QT16" s="22">
        <f t="shared" si="148"/>
        <v>9.3000000000000007</v>
      </c>
      <c r="QU16" s="22">
        <f t="shared" si="149"/>
        <v>3.2</v>
      </c>
      <c r="QV16" s="22">
        <f t="shared" si="150"/>
        <v>0.1</v>
      </c>
      <c r="QW16" s="22">
        <f t="shared" si="151"/>
        <v>0</v>
      </c>
      <c r="QX16" s="27" t="s">
        <v>46</v>
      </c>
      <c r="QY16" s="40">
        <f t="shared" si="152"/>
        <v>12.8</v>
      </c>
      <c r="QZ16" s="40">
        <f t="shared" si="153"/>
        <v>48.300000000000004</v>
      </c>
      <c r="RA16" s="40">
        <f t="shared" si="154"/>
        <v>12.2</v>
      </c>
      <c r="RB16" s="40">
        <f t="shared" si="155"/>
        <v>15.8</v>
      </c>
      <c r="RC16" s="40">
        <f t="shared" si="156"/>
        <v>60.5</v>
      </c>
      <c r="RD16" s="40">
        <f t="shared" si="157"/>
        <v>6.6</v>
      </c>
      <c r="RE16" s="40">
        <f t="shared" si="158"/>
        <v>24.900000000000002</v>
      </c>
      <c r="RF16" s="40">
        <f t="shared" si="159"/>
        <v>85.4</v>
      </c>
    </row>
    <row r="17" spans="1:474" x14ac:dyDescent="0.2">
      <c r="A17" s="4" cm="1">
        <f t="array" ref="A17">IF(AND(J17&lt;&gt;"",J17&lt;&gt;"No DD"),SUMPRODUCT((J$4:J$42&lt;&gt;"")*(J$4:J$42&lt;&gt;"No DD")*(F$4:F$42&gt;F17))+1,IF(J17="No DD",SUMPRODUCT((J$4:J$42="No DD")*(F$4:F$42&gt;F17))+1+SUMPRODUCT((J$4:J$42&lt;&gt;"")*(J$4:J$42&lt;&gt;"No DD")),""))</f>
        <v>14</v>
      </c>
      <c r="B17" s="4" cm="1">
        <f t="array" ref="B17">IF(AND(J17&lt;&gt;"",J17&lt;&gt;"No DD",G17=""),SUMPRODUCT((J$4:J$42&lt;&gt;"")*(J$4:J$42&lt;&gt;"No DD")*(G$4:G$42="")*(F$4:F$42&gt;F17))+1,IF(J17="No DD",SUMPRODUCT((J$4:J$42="No DD")*(F$4:F$42&gt;F17)*(G$4:G$42=""))+1+SUMPRODUCT((J$4:J$42&lt;&gt;"")*(G$4:G$42="")*(J$4:J$42&lt;&gt;"No DD")),""))</f>
        <v>9</v>
      </c>
      <c r="C17" s="5" t="s">
        <v>174</v>
      </c>
      <c r="D17" s="4" t="s">
        <v>94</v>
      </c>
      <c r="E17" s="4">
        <v>2007</v>
      </c>
      <c r="F17" s="9">
        <f t="shared" si="0"/>
        <v>149.30000989000499</v>
      </c>
      <c r="G17" s="64"/>
      <c r="H17" s="3" t="str">
        <f t="shared" si="1"/>
        <v>P</v>
      </c>
      <c r="I17" s="3" t="str">
        <f t="shared" si="2"/>
        <v>P</v>
      </c>
      <c r="J17" s="36" t="str">
        <f t="shared" si="3"/>
        <v>National Team</v>
      </c>
      <c r="K17" s="3" t="str">
        <f t="shared" si="4"/>
        <v/>
      </c>
      <c r="L17" s="8">
        <f>IF(COUNT(AQ17,BT17,CW17)&gt;0,LARGE((AQ17,BT17,CW17),1),0)</f>
        <v>49.999999999999993</v>
      </c>
      <c r="M17" s="8" t="str">
        <f t="shared" si="5"/>
        <v>2025 Elite Canada</v>
      </c>
      <c r="N17" s="8">
        <f>IF(COUNT(AQ17,BT17,CW17)&gt;1,LARGE((AQ17,BT17,CW17),2),0)</f>
        <v>48.9</v>
      </c>
      <c r="O17" s="8" t="str">
        <f t="shared" si="6"/>
        <v>2024 3rd Domestic Trial</v>
      </c>
      <c r="P17" s="8">
        <f t="shared" si="7"/>
        <v>50.4</v>
      </c>
      <c r="Q17" s="8" t="str">
        <f t="shared" si="8"/>
        <v>2025 Elite Canada</v>
      </c>
      <c r="R17" s="8" t="str">
        <f t="shared" si="9"/>
        <v/>
      </c>
      <c r="S17" s="11" t="str">
        <f t="shared" si="160"/>
        <v/>
      </c>
      <c r="T17" s="8" t="str">
        <f t="shared" si="161"/>
        <v/>
      </c>
      <c r="U17" s="19">
        <v>18.7</v>
      </c>
      <c r="V17" s="19">
        <v>6</v>
      </c>
      <c r="W17" s="19">
        <v>0</v>
      </c>
      <c r="X17" s="19">
        <v>0</v>
      </c>
      <c r="Y17" s="19">
        <v>18.7</v>
      </c>
      <c r="Z17" s="19">
        <v>5.6</v>
      </c>
      <c r="AA17" s="19">
        <v>0.6</v>
      </c>
      <c r="AB17" s="19">
        <v>0</v>
      </c>
      <c r="AC17" s="19">
        <v>18.8</v>
      </c>
      <c r="AD17" s="19">
        <v>4</v>
      </c>
      <c r="AE17" s="19">
        <v>0</v>
      </c>
      <c r="AF17" s="19">
        <v>0</v>
      </c>
      <c r="AG17" s="19">
        <v>18.5</v>
      </c>
      <c r="AH17" s="19">
        <v>6</v>
      </c>
      <c r="AI17" s="19">
        <v>0</v>
      </c>
      <c r="AJ17" s="19">
        <v>0</v>
      </c>
      <c r="AK17" s="19">
        <v>18.3</v>
      </c>
      <c r="AL17" s="19">
        <v>5.6</v>
      </c>
      <c r="AM17" s="19">
        <v>0</v>
      </c>
      <c r="AN17" s="19">
        <v>0</v>
      </c>
      <c r="AO17" s="27"/>
      <c r="AP17" s="40">
        <f t="shared" si="10"/>
        <v>11.6</v>
      </c>
      <c r="AQ17" s="40">
        <f t="shared" si="11"/>
        <v>48.4</v>
      </c>
      <c r="AR17" s="40">
        <f t="shared" si="12"/>
        <v>22.8</v>
      </c>
      <c r="AS17" s="40">
        <f t="shared" si="13"/>
        <v>15.6</v>
      </c>
      <c r="AT17" s="40">
        <f t="shared" si="14"/>
        <v>71.2</v>
      </c>
      <c r="AU17" s="40">
        <f t="shared" si="15"/>
        <v>11.6</v>
      </c>
      <c r="AV17" s="40">
        <f t="shared" si="16"/>
        <v>48.4</v>
      </c>
      <c r="AW17" s="40">
        <f t="shared" si="17"/>
        <v>119.6</v>
      </c>
      <c r="AX17" s="18">
        <v>18.7</v>
      </c>
      <c r="AY17" s="18">
        <v>6</v>
      </c>
      <c r="AZ17" s="18">
        <v>0.6</v>
      </c>
      <c r="BA17" s="18">
        <v>0</v>
      </c>
      <c r="BB17" s="18">
        <v>18.8</v>
      </c>
      <c r="BC17" s="18">
        <v>6</v>
      </c>
      <c r="BD17" s="18">
        <v>0</v>
      </c>
      <c r="BE17" s="18">
        <v>0</v>
      </c>
      <c r="BF17" s="18">
        <v>18.600000000000001</v>
      </c>
      <c r="BG17" s="18">
        <v>5.6</v>
      </c>
      <c r="BH17" s="18">
        <v>0.2</v>
      </c>
      <c r="BI17" s="18">
        <v>0</v>
      </c>
      <c r="BJ17" s="18">
        <v>18.8</v>
      </c>
      <c r="BK17" s="18">
        <v>6</v>
      </c>
      <c r="BL17" s="18">
        <v>0.2</v>
      </c>
      <c r="BM17" s="18">
        <v>0</v>
      </c>
      <c r="BN17" s="18">
        <v>18.600000000000001</v>
      </c>
      <c r="BO17" s="18">
        <v>5.6</v>
      </c>
      <c r="BP17" s="18">
        <v>0.6</v>
      </c>
      <c r="BQ17" s="18">
        <v>0</v>
      </c>
      <c r="BR17" s="28"/>
      <c r="BS17" s="11">
        <f t="shared" si="18"/>
        <v>12</v>
      </c>
      <c r="BT17" s="11">
        <f t="shared" si="19"/>
        <v>48.9</v>
      </c>
      <c r="BU17" s="11">
        <f t="shared" si="20"/>
        <v>24.000000000000004</v>
      </c>
      <c r="BV17" s="11">
        <f t="shared" si="21"/>
        <v>17.600000000000001</v>
      </c>
      <c r="BW17" s="11">
        <f t="shared" si="22"/>
        <v>72.900000000000006</v>
      </c>
      <c r="BX17" s="11">
        <f t="shared" si="23"/>
        <v>11.6</v>
      </c>
      <c r="BY17" s="11">
        <f t="shared" si="24"/>
        <v>48.20000000000001</v>
      </c>
      <c r="BZ17" s="11">
        <f t="shared" si="25"/>
        <v>121.10000000000002</v>
      </c>
      <c r="CA17" s="19">
        <v>18.600000000000001</v>
      </c>
      <c r="CB17" s="19">
        <v>6.8</v>
      </c>
      <c r="CC17" s="19">
        <v>0.2</v>
      </c>
      <c r="CD17" s="19">
        <v>0</v>
      </c>
      <c r="CE17" s="19">
        <v>18.600000000000001</v>
      </c>
      <c r="CF17" s="19">
        <v>6.4</v>
      </c>
      <c r="CG17" s="19">
        <v>0.2</v>
      </c>
      <c r="CH17" s="19">
        <v>0</v>
      </c>
      <c r="CI17" s="19"/>
      <c r="CJ17" s="19"/>
      <c r="CK17" s="19"/>
      <c r="CL17" s="19"/>
      <c r="CM17" s="19">
        <v>18.5</v>
      </c>
      <c r="CN17" s="19">
        <v>6.8</v>
      </c>
      <c r="CO17" s="19">
        <v>0.2</v>
      </c>
      <c r="CP17" s="19">
        <v>0</v>
      </c>
      <c r="CQ17" s="19">
        <v>18.899999999999999</v>
      </c>
      <c r="CR17" s="19">
        <v>6.4</v>
      </c>
      <c r="CS17" s="19">
        <v>0</v>
      </c>
      <c r="CT17" s="19">
        <v>0</v>
      </c>
      <c r="CU17" s="27"/>
      <c r="CV17" s="40">
        <f t="shared" si="26"/>
        <v>13.2</v>
      </c>
      <c r="CW17" s="40">
        <f t="shared" si="27"/>
        <v>49.999999999999993</v>
      </c>
      <c r="CX17" s="40" t="str">
        <f t="shared" si="28"/>
        <v/>
      </c>
      <c r="CY17" s="40">
        <f t="shared" si="29"/>
        <v>13.2</v>
      </c>
      <c r="CZ17" s="40">
        <f t="shared" si="30"/>
        <v>49.999999999999993</v>
      </c>
      <c r="DA17" s="40">
        <f t="shared" si="31"/>
        <v>13.2</v>
      </c>
      <c r="DB17" s="40">
        <f t="shared" si="32"/>
        <v>50.4</v>
      </c>
      <c r="DC17" s="40">
        <f t="shared" si="33"/>
        <v>100.39999999999999</v>
      </c>
      <c r="DD17" s="50" t="str">
        <f t="shared" si="34"/>
        <v/>
      </c>
      <c r="DE17" s="50" t="str">
        <f t="shared" si="35"/>
        <v/>
      </c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 t="str">
        <f t="shared" si="36"/>
        <v/>
      </c>
      <c r="EA17" s="40" t="str">
        <f t="shared" si="37"/>
        <v/>
      </c>
      <c r="EB17" s="40" t="str">
        <f t="shared" si="38"/>
        <v/>
      </c>
      <c r="EC17" s="40" t="str">
        <f t="shared" si="39"/>
        <v/>
      </c>
      <c r="ED17" s="40" t="str">
        <f t="shared" si="40"/>
        <v/>
      </c>
      <c r="EE17" s="40" t="str">
        <f t="shared" si="41"/>
        <v/>
      </c>
      <c r="EF17" s="40" t="str">
        <f t="shared" si="42"/>
        <v/>
      </c>
      <c r="EG17" s="40" t="str">
        <f t="shared" si="43"/>
        <v/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4"/>
        <v/>
      </c>
      <c r="FC17" s="11" t="str">
        <f t="shared" si="45"/>
        <v/>
      </c>
      <c r="FD17" s="11" t="str">
        <f t="shared" si="46"/>
        <v/>
      </c>
      <c r="FE17" s="11" t="str">
        <f t="shared" si="47"/>
        <v/>
      </c>
      <c r="FF17" s="11" t="str">
        <f t="shared" si="48"/>
        <v/>
      </c>
      <c r="FG17" s="11" t="str">
        <f t="shared" si="49"/>
        <v/>
      </c>
      <c r="FH17" s="11" t="str">
        <f t="shared" si="50"/>
        <v/>
      </c>
      <c r="FI17" s="11" t="str">
        <f t="shared" si="51"/>
        <v/>
      </c>
      <c r="FJ17" s="17">
        <v>18.600000000000001</v>
      </c>
      <c r="FK17" s="17">
        <v>6.4</v>
      </c>
      <c r="FL17" s="17">
        <v>0</v>
      </c>
      <c r="FM17" s="17">
        <v>0</v>
      </c>
      <c r="FN17" s="17">
        <v>17.2</v>
      </c>
      <c r="FO17" s="17">
        <v>3.2</v>
      </c>
      <c r="FP17" s="17">
        <v>0</v>
      </c>
      <c r="FQ17" s="17">
        <v>0</v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>
        <f t="shared" si="52"/>
        <v>9.6000000000000014</v>
      </c>
      <c r="GE17" s="40">
        <f t="shared" si="53"/>
        <v>45.400000000000006</v>
      </c>
      <c r="GF17" s="40" t="str">
        <f t="shared" si="54"/>
        <v/>
      </c>
      <c r="GG17" s="40">
        <f t="shared" si="55"/>
        <v>9.6000000000000014</v>
      </c>
      <c r="GH17" s="40">
        <f t="shared" si="56"/>
        <v>45.400000000000006</v>
      </c>
      <c r="GI17" s="40" t="str">
        <f t="shared" si="57"/>
        <v/>
      </c>
      <c r="GJ17" s="40" t="str">
        <f t="shared" si="58"/>
        <v/>
      </c>
      <c r="GK17" s="40">
        <f t="shared" si="59"/>
        <v>45.400000000000006</v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0"/>
        <v/>
      </c>
      <c r="HG17" s="11" t="str">
        <f t="shared" si="61"/>
        <v/>
      </c>
      <c r="HH17" s="11" t="str">
        <f t="shared" si="62"/>
        <v/>
      </c>
      <c r="HI17" s="11" t="str">
        <f t="shared" si="63"/>
        <v/>
      </c>
      <c r="HJ17" s="11" t="str">
        <f t="shared" si="64"/>
        <v/>
      </c>
      <c r="HK17" s="11" t="str">
        <f t="shared" si="65"/>
        <v/>
      </c>
      <c r="HL17" s="11" t="str">
        <f t="shared" si="66"/>
        <v/>
      </c>
      <c r="HM17" s="11" t="str">
        <f t="shared" si="67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68"/>
        <v/>
      </c>
      <c r="II17" s="40" t="str">
        <f t="shared" si="69"/>
        <v/>
      </c>
      <c r="IJ17" s="40" t="str">
        <f t="shared" si="70"/>
        <v/>
      </c>
      <c r="IK17" s="40" t="str">
        <f t="shared" si="71"/>
        <v/>
      </c>
      <c r="IL17" s="40" t="str">
        <f t="shared" si="72"/>
        <v/>
      </c>
      <c r="IM17" s="40" t="str">
        <f t="shared" si="73"/>
        <v/>
      </c>
      <c r="IN17" s="40" t="str">
        <f t="shared" si="74"/>
        <v/>
      </c>
      <c r="IO17" s="40" t="str">
        <f t="shared" si="75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6"/>
        <v/>
      </c>
      <c r="JK17" s="11" t="str">
        <f t="shared" si="77"/>
        <v/>
      </c>
      <c r="JL17" s="11" t="str">
        <f t="shared" si="78"/>
        <v/>
      </c>
      <c r="JM17" s="11" t="str">
        <f t="shared" si="79"/>
        <v/>
      </c>
      <c r="JN17" s="11" t="str">
        <f t="shared" si="80"/>
        <v/>
      </c>
      <c r="JO17" s="11" t="str">
        <f t="shared" si="81"/>
        <v/>
      </c>
      <c r="JP17" s="11" t="str">
        <f t="shared" si="82"/>
        <v/>
      </c>
      <c r="JQ17" s="11" t="str">
        <f t="shared" si="83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4"/>
        <v/>
      </c>
      <c r="KM17" s="40" t="str">
        <f t="shared" si="85"/>
        <v/>
      </c>
      <c r="KN17" s="40" t="str">
        <f t="shared" si="86"/>
        <v/>
      </c>
      <c r="KO17" s="40" t="str">
        <f t="shared" si="87"/>
        <v/>
      </c>
      <c r="KP17" s="40" t="str">
        <f t="shared" si="88"/>
        <v/>
      </c>
      <c r="KQ17" s="40" t="str">
        <f t="shared" si="89"/>
        <v/>
      </c>
      <c r="KR17" s="40" t="str">
        <f t="shared" si="90"/>
        <v/>
      </c>
      <c r="KS17" s="40" t="str">
        <f t="shared" si="91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2"/>
        <v/>
      </c>
      <c r="LO17" s="11" t="str">
        <f t="shared" si="93"/>
        <v/>
      </c>
      <c r="LP17" s="11" t="str">
        <f t="shared" si="94"/>
        <v/>
      </c>
      <c r="LQ17" s="11" t="str">
        <f t="shared" si="95"/>
        <v/>
      </c>
      <c r="LR17" s="11" t="str">
        <f t="shared" si="96"/>
        <v/>
      </c>
      <c r="LS17" s="11" t="str">
        <f t="shared" si="97"/>
        <v/>
      </c>
      <c r="LT17" s="11" t="str">
        <f t="shared" si="98"/>
        <v/>
      </c>
      <c r="LU17" s="11" t="str">
        <f t="shared" si="99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0"/>
        <v/>
      </c>
      <c r="MQ17" s="40" t="str">
        <f t="shared" si="101"/>
        <v/>
      </c>
      <c r="MR17" s="40" t="str">
        <f t="shared" si="102"/>
        <v/>
      </c>
      <c r="MS17" s="40" t="str">
        <f t="shared" si="103"/>
        <v/>
      </c>
      <c r="MT17" s="40" t="str">
        <f t="shared" si="104"/>
        <v/>
      </c>
      <c r="MU17" s="40" t="str">
        <f t="shared" si="105"/>
        <v/>
      </c>
      <c r="MV17" s="40" t="str">
        <f t="shared" si="106"/>
        <v/>
      </c>
      <c r="MW17" s="40" t="str">
        <f t="shared" si="107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08"/>
        <v/>
      </c>
      <c r="NS17" s="11" t="str">
        <f t="shared" si="109"/>
        <v/>
      </c>
      <c r="NT17" s="11" t="str">
        <f t="shared" si="110"/>
        <v/>
      </c>
      <c r="NU17" s="11" t="str">
        <f t="shared" si="111"/>
        <v/>
      </c>
      <c r="NV17" s="11" t="str">
        <f t="shared" si="112"/>
        <v/>
      </c>
      <c r="NW17" s="11" t="str">
        <f t="shared" si="113"/>
        <v/>
      </c>
      <c r="NX17" s="11" t="str">
        <f t="shared" si="114"/>
        <v/>
      </c>
      <c r="NY17" s="11" t="str">
        <f t="shared" si="115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6"/>
        <v/>
      </c>
      <c r="OU17" s="40" t="str">
        <f t="shared" si="117"/>
        <v/>
      </c>
      <c r="OV17" s="40" t="str">
        <f t="shared" si="118"/>
        <v/>
      </c>
      <c r="OW17" s="40" t="str">
        <f t="shared" si="119"/>
        <v/>
      </c>
      <c r="OX17" s="40" t="str">
        <f t="shared" si="120"/>
        <v/>
      </c>
      <c r="OY17" s="40" t="str">
        <f t="shared" si="121"/>
        <v/>
      </c>
      <c r="OZ17" s="40" t="str">
        <f t="shared" si="122"/>
        <v/>
      </c>
      <c r="PA17" s="40" t="str">
        <f t="shared" si="123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4"/>
        <v/>
      </c>
      <c r="PW17" s="11" t="str">
        <f t="shared" si="125"/>
        <v/>
      </c>
      <c r="PX17" s="11" t="str">
        <f t="shared" si="126"/>
        <v/>
      </c>
      <c r="PY17" s="11" t="str">
        <f t="shared" si="127"/>
        <v/>
      </c>
      <c r="PZ17" s="11" t="str">
        <f t="shared" si="128"/>
        <v/>
      </c>
      <c r="QA17" s="11" t="str">
        <f t="shared" si="129"/>
        <v/>
      </c>
      <c r="QB17" s="11" t="str">
        <f t="shared" si="130"/>
        <v/>
      </c>
      <c r="QC17" s="11" t="str">
        <f t="shared" si="131"/>
        <v/>
      </c>
      <c r="QD17" s="22">
        <f t="shared" si="132"/>
        <v>18.649999999999999</v>
      </c>
      <c r="QE17" s="22">
        <f t="shared" si="133"/>
        <v>6.4</v>
      </c>
      <c r="QF17" s="22">
        <f t="shared" si="134"/>
        <v>0.4</v>
      </c>
      <c r="QG17" s="22">
        <f t="shared" si="135"/>
        <v>0</v>
      </c>
      <c r="QH17" s="22">
        <f t="shared" si="136"/>
        <v>18.700000000000003</v>
      </c>
      <c r="QI17" s="22">
        <f t="shared" si="137"/>
        <v>6.2</v>
      </c>
      <c r="QJ17" s="22">
        <f t="shared" si="138"/>
        <v>0.1</v>
      </c>
      <c r="QK17" s="22">
        <f t="shared" si="139"/>
        <v>0</v>
      </c>
      <c r="QL17" s="22">
        <f t="shared" si="140"/>
        <v>9.3000000000000007</v>
      </c>
      <c r="QM17" s="22">
        <f t="shared" si="141"/>
        <v>2.8</v>
      </c>
      <c r="QN17" s="22">
        <f t="shared" si="142"/>
        <v>0.1</v>
      </c>
      <c r="QO17" s="22">
        <f t="shared" si="143"/>
        <v>0</v>
      </c>
      <c r="QP17" s="22">
        <f t="shared" si="144"/>
        <v>18.649999999999999</v>
      </c>
      <c r="QQ17" s="22">
        <f t="shared" si="145"/>
        <v>6.4</v>
      </c>
      <c r="QR17" s="22">
        <f t="shared" si="146"/>
        <v>0.2</v>
      </c>
      <c r="QS17" s="22">
        <f t="shared" si="147"/>
        <v>0</v>
      </c>
      <c r="QT17" s="22">
        <f t="shared" si="148"/>
        <v>18.75</v>
      </c>
      <c r="QU17" s="22">
        <f t="shared" si="149"/>
        <v>6</v>
      </c>
      <c r="QV17" s="22">
        <f t="shared" si="150"/>
        <v>0.3</v>
      </c>
      <c r="QW17" s="22">
        <f t="shared" si="151"/>
        <v>0</v>
      </c>
      <c r="QX17" s="27" t="s">
        <v>46</v>
      </c>
      <c r="QY17" s="40">
        <f t="shared" si="152"/>
        <v>12.600000000000001</v>
      </c>
      <c r="QZ17" s="40">
        <f t="shared" si="153"/>
        <v>49.45</v>
      </c>
      <c r="RA17" s="40">
        <f t="shared" si="154"/>
        <v>12.000000000000002</v>
      </c>
      <c r="RB17" s="40">
        <f t="shared" si="155"/>
        <v>15.400000000000002</v>
      </c>
      <c r="RC17" s="40">
        <f t="shared" si="156"/>
        <v>61.45</v>
      </c>
      <c r="RD17" s="40">
        <f t="shared" si="157"/>
        <v>12.4</v>
      </c>
      <c r="RE17" s="40">
        <f t="shared" si="158"/>
        <v>49.3</v>
      </c>
      <c r="RF17" s="40">
        <f t="shared" si="159"/>
        <v>110.75</v>
      </c>
    </row>
    <row r="18" spans="1:474" x14ac:dyDescent="0.2">
      <c r="A18" s="4" cm="1">
        <f t="array" ref="A18">IF(AND(J18&lt;&gt;"",J18&lt;&gt;"No DD"),SUMPRODUCT((J$4:J$42&lt;&gt;"")*(J$4:J$42&lt;&gt;"No DD")*(F$4:F$42&gt;F18))+1,IF(J18="No DD",SUMPRODUCT((J$4:J$42="No DD")*(F$4:F$42&gt;F18))+1+SUMPRODUCT((J$4:J$42&lt;&gt;"")*(J$4:J$42&lt;&gt;"No DD")),""))</f>
        <v>15</v>
      </c>
      <c r="B18" s="4" cm="1">
        <f t="array" ref="B18">IF(AND(J18&lt;&gt;"",J18&lt;&gt;"No DD",G18=""),SUMPRODUCT((J$4:J$42&lt;&gt;"")*(J$4:J$42&lt;&gt;"No DD")*(G$4:G$42="")*(F$4:F$42&gt;F18))+1,IF(J18="No DD",SUMPRODUCT((J$4:J$42="No DD")*(F$4:F$42&gt;F18)*(G$4:G$42=""))+1+SUMPRODUCT((J$4:J$42&lt;&gt;"")*(G$4:G$42="")*(J$4:J$42&lt;&gt;"No DD")),""))</f>
        <v>10</v>
      </c>
      <c r="C18" s="5" t="s">
        <v>157</v>
      </c>
      <c r="D18" s="4" t="s">
        <v>5</v>
      </c>
      <c r="E18" s="4">
        <v>2007</v>
      </c>
      <c r="F18" s="9">
        <f t="shared" si="0"/>
        <v>148.80000990000505</v>
      </c>
      <c r="G18" s="64"/>
      <c r="H18" s="3" t="str">
        <f t="shared" si="1"/>
        <v>P</v>
      </c>
      <c r="I18" s="3" t="str">
        <f t="shared" si="2"/>
        <v>P</v>
      </c>
      <c r="J18" s="36" t="str">
        <f t="shared" si="3"/>
        <v>National Team</v>
      </c>
      <c r="K18" s="3" t="str">
        <f t="shared" si="4"/>
        <v/>
      </c>
      <c r="L18" s="8">
        <f>IF(COUNT(AQ18,BT18,CW18)&gt;0,LARGE((AQ18,BT18,CW18),1),0)</f>
        <v>50.4</v>
      </c>
      <c r="M18" s="8" t="str">
        <f t="shared" si="5"/>
        <v>2024 3rd Domestic Trial</v>
      </c>
      <c r="N18" s="8">
        <f>IF(COUNT(AQ18,BT18,CW18)&gt;1,LARGE((AQ18,BT18,CW18),2),0)</f>
        <v>48.6</v>
      </c>
      <c r="O18" s="8" t="str">
        <f t="shared" si="6"/>
        <v>2024 Nationals</v>
      </c>
      <c r="P18" s="8">
        <f t="shared" si="7"/>
        <v>49.800000000000004</v>
      </c>
      <c r="Q18" s="8" t="str">
        <f t="shared" si="8"/>
        <v>2024 3rd Domestic Trial</v>
      </c>
      <c r="R18" s="8" t="str">
        <f t="shared" si="9"/>
        <v/>
      </c>
      <c r="S18" s="11" t="str">
        <f t="shared" si="160"/>
        <v/>
      </c>
      <c r="T18" s="8" t="str">
        <f t="shared" si="161"/>
        <v/>
      </c>
      <c r="U18" s="19">
        <v>18.399999999999999</v>
      </c>
      <c r="V18" s="19">
        <v>6.8</v>
      </c>
      <c r="W18" s="19">
        <v>0</v>
      </c>
      <c r="X18" s="19">
        <v>0</v>
      </c>
      <c r="Y18" s="19">
        <v>18.2</v>
      </c>
      <c r="Z18" s="19">
        <v>5.6</v>
      </c>
      <c r="AA18" s="19">
        <v>0.4</v>
      </c>
      <c r="AB18" s="19">
        <v>0</v>
      </c>
      <c r="AC18" s="19">
        <v>17.2</v>
      </c>
      <c r="AD18" s="19">
        <v>3.2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 t="shared" si="10"/>
        <v>12.399999999999999</v>
      </c>
      <c r="AQ18" s="40">
        <f t="shared" si="11"/>
        <v>48.6</v>
      </c>
      <c r="AR18" s="40">
        <f t="shared" si="12"/>
        <v>20.399999999999999</v>
      </c>
      <c r="AS18" s="40">
        <f t="shared" si="13"/>
        <v>15.599999999999998</v>
      </c>
      <c r="AT18" s="40">
        <f t="shared" si="14"/>
        <v>69</v>
      </c>
      <c r="AU18" s="40" t="str">
        <f t="shared" si="15"/>
        <v/>
      </c>
      <c r="AV18" s="40" t="str">
        <f t="shared" si="16"/>
        <v/>
      </c>
      <c r="AW18" s="40">
        <f t="shared" si="17"/>
        <v>69</v>
      </c>
      <c r="AX18" s="18">
        <v>18.8</v>
      </c>
      <c r="AY18" s="18">
        <v>6</v>
      </c>
      <c r="AZ18" s="18">
        <v>0.2</v>
      </c>
      <c r="BA18" s="18">
        <v>0</v>
      </c>
      <c r="BB18" s="18">
        <v>18.8</v>
      </c>
      <c r="BC18" s="18">
        <v>7.2</v>
      </c>
      <c r="BD18" s="18">
        <v>0.2</v>
      </c>
      <c r="BE18" s="18">
        <v>0</v>
      </c>
      <c r="BF18" s="18">
        <v>18.600000000000001</v>
      </c>
      <c r="BG18" s="18">
        <v>5.6</v>
      </c>
      <c r="BH18" s="18">
        <v>0.4</v>
      </c>
      <c r="BI18" s="18">
        <v>0</v>
      </c>
      <c r="BJ18" s="18">
        <v>19</v>
      </c>
      <c r="BK18" s="18">
        <v>6</v>
      </c>
      <c r="BL18" s="18">
        <v>0</v>
      </c>
      <c r="BM18" s="18">
        <v>0</v>
      </c>
      <c r="BN18" s="18">
        <v>18.399999999999999</v>
      </c>
      <c r="BO18" s="18">
        <v>7.2</v>
      </c>
      <c r="BP18" s="18">
        <v>0.8</v>
      </c>
      <c r="BQ18" s="18">
        <v>0</v>
      </c>
      <c r="BR18" s="28"/>
      <c r="BS18" s="11">
        <f t="shared" si="18"/>
        <v>13.2</v>
      </c>
      <c r="BT18" s="11">
        <f t="shared" si="19"/>
        <v>50.4</v>
      </c>
      <c r="BU18" s="11">
        <f t="shared" si="20"/>
        <v>23.800000000000004</v>
      </c>
      <c r="BV18" s="11">
        <f t="shared" si="21"/>
        <v>18.799999999999997</v>
      </c>
      <c r="BW18" s="11">
        <f t="shared" si="22"/>
        <v>74.2</v>
      </c>
      <c r="BX18" s="11">
        <f t="shared" si="23"/>
        <v>13.2</v>
      </c>
      <c r="BY18" s="11">
        <f t="shared" si="24"/>
        <v>49.800000000000004</v>
      </c>
      <c r="BZ18" s="11">
        <f t="shared" si="25"/>
        <v>124</v>
      </c>
      <c r="CA18" s="19">
        <v>18</v>
      </c>
      <c r="CB18" s="19">
        <v>6.8</v>
      </c>
      <c r="CC18" s="19">
        <v>0.2</v>
      </c>
      <c r="CD18" s="19">
        <v>0</v>
      </c>
      <c r="CE18" s="19">
        <v>18.3</v>
      </c>
      <c r="CF18" s="19">
        <v>6.4</v>
      </c>
      <c r="CG18" s="19">
        <v>1.2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6"/>
        <v>13.2</v>
      </c>
      <c r="CW18" s="40">
        <f t="shared" si="27"/>
        <v>48.099999999999994</v>
      </c>
      <c r="CX18" s="40" t="str">
        <f t="shared" si="28"/>
        <v/>
      </c>
      <c r="CY18" s="40">
        <f t="shared" si="29"/>
        <v>13.2</v>
      </c>
      <c r="CZ18" s="40">
        <f t="shared" si="30"/>
        <v>48.099999999999994</v>
      </c>
      <c r="DA18" s="40" t="str">
        <f t="shared" si="31"/>
        <v/>
      </c>
      <c r="DB18" s="40" t="str">
        <f t="shared" si="32"/>
        <v/>
      </c>
      <c r="DC18" s="40">
        <f t="shared" si="33"/>
        <v>48.099999999999994</v>
      </c>
      <c r="DD18" s="50" t="str">
        <f t="shared" si="34"/>
        <v/>
      </c>
      <c r="DE18" s="50" t="str">
        <f t="shared" si="35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6"/>
        <v/>
      </c>
      <c r="EA18" s="40" t="str">
        <f t="shared" si="37"/>
        <v/>
      </c>
      <c r="EB18" s="40" t="str">
        <f t="shared" si="38"/>
        <v/>
      </c>
      <c r="EC18" s="40" t="str">
        <f t="shared" si="39"/>
        <v/>
      </c>
      <c r="ED18" s="40" t="str">
        <f t="shared" si="40"/>
        <v/>
      </c>
      <c r="EE18" s="40" t="str">
        <f t="shared" si="41"/>
        <v/>
      </c>
      <c r="EF18" s="40" t="str">
        <f t="shared" si="42"/>
        <v/>
      </c>
      <c r="EG18" s="40" t="str">
        <f t="shared" si="43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4"/>
        <v/>
      </c>
      <c r="FC18" s="11" t="str">
        <f t="shared" si="45"/>
        <v/>
      </c>
      <c r="FD18" s="11" t="str">
        <f t="shared" si="46"/>
        <v/>
      </c>
      <c r="FE18" s="11" t="str">
        <f t="shared" si="47"/>
        <v/>
      </c>
      <c r="FF18" s="11" t="str">
        <f t="shared" si="48"/>
        <v/>
      </c>
      <c r="FG18" s="11" t="str">
        <f t="shared" si="49"/>
        <v/>
      </c>
      <c r="FH18" s="11" t="str">
        <f t="shared" si="50"/>
        <v/>
      </c>
      <c r="FI18" s="11" t="str">
        <f t="shared" si="51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2"/>
        <v/>
      </c>
      <c r="GE18" s="40" t="str">
        <f t="shared" si="53"/>
        <v/>
      </c>
      <c r="GF18" s="40" t="str">
        <f t="shared" si="54"/>
        <v/>
      </c>
      <c r="GG18" s="40" t="str">
        <f t="shared" si="55"/>
        <v/>
      </c>
      <c r="GH18" s="40" t="str">
        <f t="shared" si="56"/>
        <v/>
      </c>
      <c r="GI18" s="40" t="str">
        <f t="shared" si="57"/>
        <v/>
      </c>
      <c r="GJ18" s="40" t="str">
        <f t="shared" si="58"/>
        <v/>
      </c>
      <c r="GK18" s="40" t="str">
        <f t="shared" si="59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0"/>
        <v/>
      </c>
      <c r="HG18" s="11" t="str">
        <f t="shared" si="61"/>
        <v/>
      </c>
      <c r="HH18" s="11" t="str">
        <f t="shared" si="62"/>
        <v/>
      </c>
      <c r="HI18" s="11" t="str">
        <f t="shared" si="63"/>
        <v/>
      </c>
      <c r="HJ18" s="11" t="str">
        <f t="shared" si="64"/>
        <v/>
      </c>
      <c r="HK18" s="11" t="str">
        <f t="shared" si="65"/>
        <v/>
      </c>
      <c r="HL18" s="11" t="str">
        <f t="shared" si="66"/>
        <v/>
      </c>
      <c r="HM18" s="11" t="str">
        <f t="shared" si="67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68"/>
        <v/>
      </c>
      <c r="II18" s="40" t="str">
        <f t="shared" si="69"/>
        <v/>
      </c>
      <c r="IJ18" s="40" t="str">
        <f t="shared" si="70"/>
        <v/>
      </c>
      <c r="IK18" s="40" t="str">
        <f t="shared" si="71"/>
        <v/>
      </c>
      <c r="IL18" s="40" t="str">
        <f t="shared" si="72"/>
        <v/>
      </c>
      <c r="IM18" s="40" t="str">
        <f t="shared" si="73"/>
        <v/>
      </c>
      <c r="IN18" s="40" t="str">
        <f t="shared" si="74"/>
        <v/>
      </c>
      <c r="IO18" s="40" t="str">
        <f t="shared" si="75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6"/>
        <v/>
      </c>
      <c r="JK18" s="11" t="str">
        <f t="shared" si="77"/>
        <v/>
      </c>
      <c r="JL18" s="11" t="str">
        <f t="shared" si="78"/>
        <v/>
      </c>
      <c r="JM18" s="11" t="str">
        <f t="shared" si="79"/>
        <v/>
      </c>
      <c r="JN18" s="11" t="str">
        <f t="shared" si="80"/>
        <v/>
      </c>
      <c r="JO18" s="11" t="str">
        <f t="shared" si="81"/>
        <v/>
      </c>
      <c r="JP18" s="11" t="str">
        <f t="shared" si="82"/>
        <v/>
      </c>
      <c r="JQ18" s="11" t="str">
        <f t="shared" si="83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4"/>
        <v/>
      </c>
      <c r="KM18" s="40" t="str">
        <f t="shared" si="85"/>
        <v/>
      </c>
      <c r="KN18" s="40" t="str">
        <f t="shared" si="86"/>
        <v/>
      </c>
      <c r="KO18" s="40" t="str">
        <f t="shared" si="87"/>
        <v/>
      </c>
      <c r="KP18" s="40" t="str">
        <f t="shared" si="88"/>
        <v/>
      </c>
      <c r="KQ18" s="40" t="str">
        <f t="shared" si="89"/>
        <v/>
      </c>
      <c r="KR18" s="40" t="str">
        <f t="shared" si="90"/>
        <v/>
      </c>
      <c r="KS18" s="40" t="str">
        <f t="shared" si="91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2"/>
        <v/>
      </c>
      <c r="LO18" s="11" t="str">
        <f t="shared" si="93"/>
        <v/>
      </c>
      <c r="LP18" s="11" t="str">
        <f t="shared" si="94"/>
        <v/>
      </c>
      <c r="LQ18" s="11" t="str">
        <f t="shared" si="95"/>
        <v/>
      </c>
      <c r="LR18" s="11" t="str">
        <f t="shared" si="96"/>
        <v/>
      </c>
      <c r="LS18" s="11" t="str">
        <f t="shared" si="97"/>
        <v/>
      </c>
      <c r="LT18" s="11" t="str">
        <f t="shared" si="98"/>
        <v/>
      </c>
      <c r="LU18" s="11" t="str">
        <f t="shared" si="99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0"/>
        <v/>
      </c>
      <c r="MQ18" s="40" t="str">
        <f t="shared" si="101"/>
        <v/>
      </c>
      <c r="MR18" s="40" t="str">
        <f t="shared" si="102"/>
        <v/>
      </c>
      <c r="MS18" s="40" t="str">
        <f t="shared" si="103"/>
        <v/>
      </c>
      <c r="MT18" s="40" t="str">
        <f t="shared" si="104"/>
        <v/>
      </c>
      <c r="MU18" s="40" t="str">
        <f t="shared" si="105"/>
        <v/>
      </c>
      <c r="MV18" s="40" t="str">
        <f t="shared" si="106"/>
        <v/>
      </c>
      <c r="MW18" s="40" t="str">
        <f t="shared" si="107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08"/>
        <v/>
      </c>
      <c r="NS18" s="11" t="str">
        <f t="shared" si="109"/>
        <v/>
      </c>
      <c r="NT18" s="11" t="str">
        <f t="shared" si="110"/>
        <v/>
      </c>
      <c r="NU18" s="11" t="str">
        <f t="shared" si="111"/>
        <v/>
      </c>
      <c r="NV18" s="11" t="str">
        <f t="shared" si="112"/>
        <v/>
      </c>
      <c r="NW18" s="11" t="str">
        <f t="shared" si="113"/>
        <v/>
      </c>
      <c r="NX18" s="11" t="str">
        <f t="shared" si="114"/>
        <v/>
      </c>
      <c r="NY18" s="11" t="str">
        <f t="shared" si="115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6"/>
        <v/>
      </c>
      <c r="OU18" s="40" t="str">
        <f t="shared" si="117"/>
        <v/>
      </c>
      <c r="OV18" s="40" t="str">
        <f t="shared" si="118"/>
        <v/>
      </c>
      <c r="OW18" s="40" t="str">
        <f t="shared" si="119"/>
        <v/>
      </c>
      <c r="OX18" s="40" t="str">
        <f t="shared" si="120"/>
        <v/>
      </c>
      <c r="OY18" s="40" t="str">
        <f t="shared" si="121"/>
        <v/>
      </c>
      <c r="OZ18" s="40" t="str">
        <f t="shared" si="122"/>
        <v/>
      </c>
      <c r="PA18" s="40" t="str">
        <f t="shared" si="123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4"/>
        <v/>
      </c>
      <c r="PW18" s="11" t="str">
        <f t="shared" si="125"/>
        <v/>
      </c>
      <c r="PX18" s="11" t="str">
        <f t="shared" si="126"/>
        <v/>
      </c>
      <c r="PY18" s="11" t="str">
        <f t="shared" si="127"/>
        <v/>
      </c>
      <c r="PZ18" s="11" t="str">
        <f t="shared" si="128"/>
        <v/>
      </c>
      <c r="QA18" s="11" t="str">
        <f t="shared" si="129"/>
        <v/>
      </c>
      <c r="QB18" s="11" t="str">
        <f t="shared" si="130"/>
        <v/>
      </c>
      <c r="QC18" s="11" t="str">
        <f t="shared" si="131"/>
        <v/>
      </c>
      <c r="QD18" s="22">
        <f t="shared" si="132"/>
        <v>18.399999999999999</v>
      </c>
      <c r="QE18" s="22">
        <f t="shared" si="133"/>
        <v>6.4</v>
      </c>
      <c r="QF18" s="22">
        <f t="shared" si="134"/>
        <v>0.2</v>
      </c>
      <c r="QG18" s="22">
        <f t="shared" si="135"/>
        <v>0</v>
      </c>
      <c r="QH18" s="22">
        <f t="shared" si="136"/>
        <v>18.55</v>
      </c>
      <c r="QI18" s="22">
        <f t="shared" si="137"/>
        <v>6.8000000000000007</v>
      </c>
      <c r="QJ18" s="22">
        <f t="shared" si="138"/>
        <v>0.7</v>
      </c>
      <c r="QK18" s="22">
        <f t="shared" si="139"/>
        <v>0</v>
      </c>
      <c r="QL18" s="22">
        <f t="shared" si="140"/>
        <v>9.3000000000000007</v>
      </c>
      <c r="QM18" s="22">
        <f t="shared" si="141"/>
        <v>2.8</v>
      </c>
      <c r="QN18" s="22">
        <f t="shared" si="142"/>
        <v>0.2</v>
      </c>
      <c r="QO18" s="22">
        <f t="shared" si="143"/>
        <v>0</v>
      </c>
      <c r="QP18" s="22">
        <f t="shared" si="144"/>
        <v>9.5</v>
      </c>
      <c r="QQ18" s="22">
        <f t="shared" si="145"/>
        <v>3</v>
      </c>
      <c r="QR18" s="22">
        <f t="shared" si="146"/>
        <v>0</v>
      </c>
      <c r="QS18" s="22">
        <f t="shared" si="147"/>
        <v>0</v>
      </c>
      <c r="QT18" s="22">
        <f t="shared" si="148"/>
        <v>9.1999999999999993</v>
      </c>
      <c r="QU18" s="22">
        <f t="shared" si="149"/>
        <v>3.6</v>
      </c>
      <c r="QV18" s="22">
        <f t="shared" si="150"/>
        <v>0.4</v>
      </c>
      <c r="QW18" s="22">
        <f t="shared" si="151"/>
        <v>0</v>
      </c>
      <c r="QX18" s="27" t="s">
        <v>46</v>
      </c>
      <c r="QY18" s="40">
        <f t="shared" si="152"/>
        <v>13.200000000000001</v>
      </c>
      <c r="QZ18" s="40">
        <f t="shared" si="153"/>
        <v>49.249999999999986</v>
      </c>
      <c r="RA18" s="40">
        <f t="shared" si="154"/>
        <v>11.900000000000002</v>
      </c>
      <c r="RB18" s="40">
        <f t="shared" si="155"/>
        <v>16</v>
      </c>
      <c r="RC18" s="40">
        <f t="shared" si="156"/>
        <v>61.149999999999991</v>
      </c>
      <c r="RD18" s="40">
        <f t="shared" si="157"/>
        <v>6.6</v>
      </c>
      <c r="RE18" s="40">
        <f t="shared" si="158"/>
        <v>24.900000000000002</v>
      </c>
      <c r="RF18" s="40">
        <f t="shared" si="159"/>
        <v>86.05</v>
      </c>
    </row>
    <row r="19" spans="1:474" x14ac:dyDescent="0.2">
      <c r="A19" s="4" cm="1">
        <f t="array" ref="A19">IF(AND(J19&lt;&gt;"",J19&lt;&gt;"No DD"),SUMPRODUCT((J$4:J$42&lt;&gt;"")*(J$4:J$42&lt;&gt;"No DD")*(F$4:F$42&gt;F19))+1,IF(J19="No DD",SUMPRODUCT((J$4:J$42="No DD")*(F$4:F$42&gt;F19))+1+SUMPRODUCT((J$4:J$42&lt;&gt;"")*(J$4:J$42&lt;&gt;"No DD")),""))</f>
        <v>16</v>
      </c>
      <c r="B19" s="4" cm="1">
        <f t="array" ref="B19">IF(AND(J19&lt;&gt;"",J19&lt;&gt;"No DD",G19=""),SUMPRODUCT((J$4:J$42&lt;&gt;"")*(J$4:J$42&lt;&gt;"No DD")*(G$4:G$42="")*(F$4:F$42&gt;F19))+1,IF(J19="No DD",SUMPRODUCT((J$4:J$42="No DD")*(F$4:F$42&gt;F19)*(G$4:G$42=""))+1+SUMPRODUCT((J$4:J$42&lt;&gt;"")*(G$4:G$42="")*(J$4:J$42&lt;&gt;"No DD")),""))</f>
        <v>11</v>
      </c>
      <c r="C19" s="5" t="s">
        <v>149</v>
      </c>
      <c r="D19" s="4" t="s">
        <v>4</v>
      </c>
      <c r="E19" s="4">
        <v>2007</v>
      </c>
      <c r="F19" s="9">
        <f t="shared" si="0"/>
        <v>148.00000975000512</v>
      </c>
      <c r="G19" s="64"/>
      <c r="H19" s="3" t="str">
        <f t="shared" si="1"/>
        <v>P</v>
      </c>
      <c r="I19" s="3" t="str">
        <f t="shared" si="2"/>
        <v>P</v>
      </c>
      <c r="J19" s="36" t="str">
        <f t="shared" si="3"/>
        <v>National Team</v>
      </c>
      <c r="K19" s="3" t="str">
        <f t="shared" si="4"/>
        <v/>
      </c>
      <c r="L19" s="8">
        <f>IF(COUNT(AQ19,BT19,CW19)&gt;0,LARGE((AQ19,BT19,CW19),1),0)</f>
        <v>51.099999999999994</v>
      </c>
      <c r="M19" s="8" t="str">
        <f t="shared" si="5"/>
        <v>2024 3rd Domestic Trial</v>
      </c>
      <c r="N19" s="8">
        <f>IF(COUNT(AQ19,BT19,CW19)&gt;1,LARGE((AQ19,BT19,CW19),2),0)</f>
        <v>46.4</v>
      </c>
      <c r="O19" s="8" t="str">
        <f t="shared" si="6"/>
        <v>2025 Elite Canada</v>
      </c>
      <c r="P19" s="8">
        <f t="shared" si="7"/>
        <v>50.5</v>
      </c>
      <c r="Q19" s="8" t="str">
        <f t="shared" si="8"/>
        <v>2024 3rd Domestic Trial</v>
      </c>
      <c r="R19" s="8" t="str">
        <f t="shared" si="9"/>
        <v/>
      </c>
      <c r="S19" s="11" t="str">
        <f t="shared" si="160"/>
        <v/>
      </c>
      <c r="T19" s="8" t="str">
        <f t="shared" si="161"/>
        <v/>
      </c>
      <c r="U19" s="19">
        <v>18.2</v>
      </c>
      <c r="V19" s="19">
        <v>7.2</v>
      </c>
      <c r="W19" s="19">
        <v>0.8</v>
      </c>
      <c r="X19" s="19">
        <v>0</v>
      </c>
      <c r="Y19" s="19">
        <v>17.2</v>
      </c>
      <c r="Z19" s="19">
        <v>2.4</v>
      </c>
      <c r="AA19" s="19">
        <v>0</v>
      </c>
      <c r="AB19" s="19">
        <v>0</v>
      </c>
      <c r="AC19" s="19">
        <v>16.399999999999999</v>
      </c>
      <c r="AD19" s="19">
        <v>6.8</v>
      </c>
      <c r="AE19" s="19">
        <v>0.8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 t="shared" si="10"/>
        <v>9.6</v>
      </c>
      <c r="AQ19" s="40">
        <f t="shared" si="11"/>
        <v>44.199999999999996</v>
      </c>
      <c r="AR19" s="40">
        <f t="shared" si="12"/>
        <v>22.4</v>
      </c>
      <c r="AS19" s="40">
        <f t="shared" si="13"/>
        <v>16.399999999999999</v>
      </c>
      <c r="AT19" s="40">
        <f t="shared" si="14"/>
        <v>66.599999999999994</v>
      </c>
      <c r="AU19" s="40" t="str">
        <f t="shared" si="15"/>
        <v/>
      </c>
      <c r="AV19" s="40" t="str">
        <f t="shared" si="16"/>
        <v/>
      </c>
      <c r="AW19" s="40">
        <f t="shared" si="17"/>
        <v>66.599999999999994</v>
      </c>
      <c r="AX19" s="18">
        <v>18.899999999999999</v>
      </c>
      <c r="AY19" s="18">
        <v>7.2</v>
      </c>
      <c r="AZ19" s="18">
        <v>0.6</v>
      </c>
      <c r="BA19" s="18">
        <v>0</v>
      </c>
      <c r="BB19" s="18">
        <v>18.8</v>
      </c>
      <c r="BC19" s="18">
        <v>6.8</v>
      </c>
      <c r="BD19" s="18">
        <v>0</v>
      </c>
      <c r="BE19" s="18">
        <v>0</v>
      </c>
      <c r="BF19" s="18">
        <v>18.7</v>
      </c>
      <c r="BG19" s="18">
        <v>6</v>
      </c>
      <c r="BH19" s="18">
        <v>0</v>
      </c>
      <c r="BI19" s="18">
        <v>0</v>
      </c>
      <c r="BJ19" s="18">
        <v>18.7</v>
      </c>
      <c r="BK19" s="18">
        <v>7.2</v>
      </c>
      <c r="BL19" s="18">
        <v>0.6</v>
      </c>
      <c r="BM19" s="18">
        <v>0</v>
      </c>
      <c r="BN19" s="18">
        <v>18.600000000000001</v>
      </c>
      <c r="BO19" s="18">
        <v>6.8</v>
      </c>
      <c r="BP19" s="18">
        <v>0.2</v>
      </c>
      <c r="BQ19" s="18">
        <v>0</v>
      </c>
      <c r="BR19" s="28"/>
      <c r="BS19" s="11">
        <f t="shared" si="18"/>
        <v>14</v>
      </c>
      <c r="BT19" s="11">
        <f t="shared" si="19"/>
        <v>51.099999999999994</v>
      </c>
      <c r="BU19" s="11">
        <f t="shared" si="20"/>
        <v>24.7</v>
      </c>
      <c r="BV19" s="11">
        <f t="shared" si="21"/>
        <v>20</v>
      </c>
      <c r="BW19" s="11">
        <f t="shared" si="22"/>
        <v>75.8</v>
      </c>
      <c r="BX19" s="11">
        <f t="shared" si="23"/>
        <v>14</v>
      </c>
      <c r="BY19" s="11">
        <f t="shared" si="24"/>
        <v>50.5</v>
      </c>
      <c r="BZ19" s="11">
        <f t="shared" si="25"/>
        <v>126.3</v>
      </c>
      <c r="CA19" s="19">
        <v>19</v>
      </c>
      <c r="CB19" s="19">
        <v>7.2</v>
      </c>
      <c r="CC19" s="19">
        <v>0.2</v>
      </c>
      <c r="CD19" s="19">
        <v>0</v>
      </c>
      <c r="CE19" s="19">
        <v>16.2</v>
      </c>
      <c r="CF19" s="19">
        <v>6</v>
      </c>
      <c r="CG19" s="19">
        <v>1.8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>
        <f t="shared" si="26"/>
        <v>13.2</v>
      </c>
      <c r="CW19" s="40">
        <f t="shared" si="27"/>
        <v>46.4</v>
      </c>
      <c r="CX19" s="40" t="str">
        <f t="shared" si="28"/>
        <v/>
      </c>
      <c r="CY19" s="40">
        <f t="shared" si="29"/>
        <v>13.2</v>
      </c>
      <c r="CZ19" s="40">
        <f t="shared" si="30"/>
        <v>46.4</v>
      </c>
      <c r="DA19" s="40" t="str">
        <f t="shared" si="31"/>
        <v/>
      </c>
      <c r="DB19" s="40" t="str">
        <f t="shared" si="32"/>
        <v/>
      </c>
      <c r="DC19" s="40">
        <f t="shared" si="33"/>
        <v>46.4</v>
      </c>
      <c r="DD19" s="50" t="str">
        <f t="shared" si="34"/>
        <v/>
      </c>
      <c r="DE19" s="50" t="str">
        <f t="shared" si="35"/>
        <v/>
      </c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40" t="str">
        <f t="shared" si="36"/>
        <v/>
      </c>
      <c r="EA19" s="40" t="str">
        <f t="shared" si="37"/>
        <v/>
      </c>
      <c r="EB19" s="40" t="str">
        <f t="shared" si="38"/>
        <v/>
      </c>
      <c r="EC19" s="40" t="str">
        <f t="shared" si="39"/>
        <v/>
      </c>
      <c r="ED19" s="40" t="str">
        <f t="shared" si="40"/>
        <v/>
      </c>
      <c r="EE19" s="40" t="str">
        <f t="shared" si="41"/>
        <v/>
      </c>
      <c r="EF19" s="40" t="str">
        <f t="shared" si="42"/>
        <v/>
      </c>
      <c r="EG19" s="40" t="str">
        <f t="shared" si="43"/>
        <v/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4"/>
        <v/>
      </c>
      <c r="FC19" s="11" t="str">
        <f t="shared" si="45"/>
        <v/>
      </c>
      <c r="FD19" s="11" t="str">
        <f t="shared" si="46"/>
        <v/>
      </c>
      <c r="FE19" s="11" t="str">
        <f t="shared" si="47"/>
        <v/>
      </c>
      <c r="FF19" s="11" t="str">
        <f t="shared" si="48"/>
        <v/>
      </c>
      <c r="FG19" s="11" t="str">
        <f t="shared" si="49"/>
        <v/>
      </c>
      <c r="FH19" s="11" t="str">
        <f t="shared" si="50"/>
        <v/>
      </c>
      <c r="FI19" s="11" t="str">
        <f t="shared" si="51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2"/>
        <v/>
      </c>
      <c r="GE19" s="40" t="str">
        <f t="shared" si="53"/>
        <v/>
      </c>
      <c r="GF19" s="40" t="str">
        <f t="shared" si="54"/>
        <v/>
      </c>
      <c r="GG19" s="40" t="str">
        <f t="shared" si="55"/>
        <v/>
      </c>
      <c r="GH19" s="40" t="str">
        <f t="shared" si="56"/>
        <v/>
      </c>
      <c r="GI19" s="40" t="str">
        <f t="shared" si="57"/>
        <v/>
      </c>
      <c r="GJ19" s="40" t="str">
        <f t="shared" si="58"/>
        <v/>
      </c>
      <c r="GK19" s="40" t="str">
        <f t="shared" si="59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0"/>
        <v/>
      </c>
      <c r="HG19" s="11" t="str">
        <f t="shared" si="61"/>
        <v/>
      </c>
      <c r="HH19" s="11" t="str">
        <f t="shared" si="62"/>
        <v/>
      </c>
      <c r="HI19" s="11" t="str">
        <f t="shared" si="63"/>
        <v/>
      </c>
      <c r="HJ19" s="11" t="str">
        <f t="shared" si="64"/>
        <v/>
      </c>
      <c r="HK19" s="11" t="str">
        <f t="shared" si="65"/>
        <v/>
      </c>
      <c r="HL19" s="11" t="str">
        <f t="shared" si="66"/>
        <v/>
      </c>
      <c r="HM19" s="11" t="str">
        <f t="shared" si="67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68"/>
        <v/>
      </c>
      <c r="II19" s="40" t="str">
        <f t="shared" si="69"/>
        <v/>
      </c>
      <c r="IJ19" s="40" t="str">
        <f t="shared" si="70"/>
        <v/>
      </c>
      <c r="IK19" s="40" t="str">
        <f t="shared" si="71"/>
        <v/>
      </c>
      <c r="IL19" s="40" t="str">
        <f t="shared" si="72"/>
        <v/>
      </c>
      <c r="IM19" s="40" t="str">
        <f t="shared" si="73"/>
        <v/>
      </c>
      <c r="IN19" s="40" t="str">
        <f t="shared" si="74"/>
        <v/>
      </c>
      <c r="IO19" s="40" t="str">
        <f t="shared" si="75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6"/>
        <v/>
      </c>
      <c r="JK19" s="11" t="str">
        <f t="shared" si="77"/>
        <v/>
      </c>
      <c r="JL19" s="11" t="str">
        <f t="shared" si="78"/>
        <v/>
      </c>
      <c r="JM19" s="11" t="str">
        <f t="shared" si="79"/>
        <v/>
      </c>
      <c r="JN19" s="11" t="str">
        <f t="shared" si="80"/>
        <v/>
      </c>
      <c r="JO19" s="11" t="str">
        <f t="shared" si="81"/>
        <v/>
      </c>
      <c r="JP19" s="11" t="str">
        <f t="shared" si="82"/>
        <v/>
      </c>
      <c r="JQ19" s="11" t="str">
        <f t="shared" si="83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4"/>
        <v/>
      </c>
      <c r="KM19" s="40" t="str">
        <f t="shared" si="85"/>
        <v/>
      </c>
      <c r="KN19" s="40" t="str">
        <f t="shared" si="86"/>
        <v/>
      </c>
      <c r="KO19" s="40" t="str">
        <f t="shared" si="87"/>
        <v/>
      </c>
      <c r="KP19" s="40" t="str">
        <f t="shared" si="88"/>
        <v/>
      </c>
      <c r="KQ19" s="40" t="str">
        <f t="shared" si="89"/>
        <v/>
      </c>
      <c r="KR19" s="40" t="str">
        <f t="shared" si="90"/>
        <v/>
      </c>
      <c r="KS19" s="40" t="str">
        <f t="shared" si="91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2"/>
        <v/>
      </c>
      <c r="LO19" s="11" t="str">
        <f t="shared" si="93"/>
        <v/>
      </c>
      <c r="LP19" s="11" t="str">
        <f t="shared" si="94"/>
        <v/>
      </c>
      <c r="LQ19" s="11" t="str">
        <f t="shared" si="95"/>
        <v/>
      </c>
      <c r="LR19" s="11" t="str">
        <f t="shared" si="96"/>
        <v/>
      </c>
      <c r="LS19" s="11" t="str">
        <f t="shared" si="97"/>
        <v/>
      </c>
      <c r="LT19" s="11" t="str">
        <f t="shared" si="98"/>
        <v/>
      </c>
      <c r="LU19" s="11" t="str">
        <f t="shared" si="99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0"/>
        <v/>
      </c>
      <c r="MQ19" s="40" t="str">
        <f t="shared" si="101"/>
        <v/>
      </c>
      <c r="MR19" s="40" t="str">
        <f t="shared" si="102"/>
        <v/>
      </c>
      <c r="MS19" s="40" t="str">
        <f t="shared" si="103"/>
        <v/>
      </c>
      <c r="MT19" s="40" t="str">
        <f t="shared" si="104"/>
        <v/>
      </c>
      <c r="MU19" s="40" t="str">
        <f t="shared" si="105"/>
        <v/>
      </c>
      <c r="MV19" s="40" t="str">
        <f t="shared" si="106"/>
        <v/>
      </c>
      <c r="MW19" s="40" t="str">
        <f t="shared" si="107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08"/>
        <v/>
      </c>
      <c r="NS19" s="11" t="str">
        <f t="shared" si="109"/>
        <v/>
      </c>
      <c r="NT19" s="11" t="str">
        <f t="shared" si="110"/>
        <v/>
      </c>
      <c r="NU19" s="11" t="str">
        <f t="shared" si="111"/>
        <v/>
      </c>
      <c r="NV19" s="11" t="str">
        <f t="shared" si="112"/>
        <v/>
      </c>
      <c r="NW19" s="11" t="str">
        <f t="shared" si="113"/>
        <v/>
      </c>
      <c r="NX19" s="11" t="str">
        <f t="shared" si="114"/>
        <v/>
      </c>
      <c r="NY19" s="11" t="str">
        <f t="shared" si="115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6"/>
        <v/>
      </c>
      <c r="OU19" s="40" t="str">
        <f t="shared" si="117"/>
        <v/>
      </c>
      <c r="OV19" s="40" t="str">
        <f t="shared" si="118"/>
        <v/>
      </c>
      <c r="OW19" s="40" t="str">
        <f t="shared" si="119"/>
        <v/>
      </c>
      <c r="OX19" s="40" t="str">
        <f t="shared" si="120"/>
        <v/>
      </c>
      <c r="OY19" s="40" t="str">
        <f t="shared" si="121"/>
        <v/>
      </c>
      <c r="OZ19" s="40" t="str">
        <f t="shared" si="122"/>
        <v/>
      </c>
      <c r="PA19" s="40" t="str">
        <f t="shared" si="123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4"/>
        <v/>
      </c>
      <c r="PW19" s="11" t="str">
        <f t="shared" si="125"/>
        <v/>
      </c>
      <c r="PX19" s="11" t="str">
        <f t="shared" si="126"/>
        <v/>
      </c>
      <c r="PY19" s="11" t="str">
        <f t="shared" si="127"/>
        <v/>
      </c>
      <c r="PZ19" s="11" t="str">
        <f t="shared" si="128"/>
        <v/>
      </c>
      <c r="QA19" s="11" t="str">
        <f t="shared" si="129"/>
        <v/>
      </c>
      <c r="QB19" s="11" t="str">
        <f t="shared" si="130"/>
        <v/>
      </c>
      <c r="QC19" s="11" t="str">
        <f t="shared" si="131"/>
        <v/>
      </c>
      <c r="QD19" s="22">
        <f t="shared" si="132"/>
        <v>18.95</v>
      </c>
      <c r="QE19" s="22">
        <f t="shared" si="133"/>
        <v>7.2</v>
      </c>
      <c r="QF19" s="22">
        <f t="shared" si="134"/>
        <v>0.4</v>
      </c>
      <c r="QG19" s="22">
        <f t="shared" si="135"/>
        <v>0</v>
      </c>
      <c r="QH19" s="22">
        <f t="shared" si="136"/>
        <v>17.5</v>
      </c>
      <c r="QI19" s="22">
        <f t="shared" si="137"/>
        <v>6.4</v>
      </c>
      <c r="QJ19" s="22">
        <f t="shared" si="138"/>
        <v>0.9</v>
      </c>
      <c r="QK19" s="22">
        <f t="shared" si="139"/>
        <v>0</v>
      </c>
      <c r="QL19" s="22">
        <f t="shared" si="140"/>
        <v>9.35</v>
      </c>
      <c r="QM19" s="22">
        <f t="shared" si="141"/>
        <v>3</v>
      </c>
      <c r="QN19" s="22">
        <f t="shared" si="142"/>
        <v>0</v>
      </c>
      <c r="QO19" s="22">
        <f t="shared" si="143"/>
        <v>0</v>
      </c>
      <c r="QP19" s="22">
        <f t="shared" si="144"/>
        <v>9.35</v>
      </c>
      <c r="QQ19" s="22">
        <f t="shared" si="145"/>
        <v>3.6</v>
      </c>
      <c r="QR19" s="22">
        <f t="shared" si="146"/>
        <v>0.3</v>
      </c>
      <c r="QS19" s="22">
        <f t="shared" si="147"/>
        <v>0</v>
      </c>
      <c r="QT19" s="22">
        <f t="shared" si="148"/>
        <v>9.3000000000000007</v>
      </c>
      <c r="QU19" s="22">
        <f t="shared" si="149"/>
        <v>3.4</v>
      </c>
      <c r="QV19" s="22">
        <f t="shared" si="150"/>
        <v>0.1</v>
      </c>
      <c r="QW19" s="22">
        <f t="shared" si="151"/>
        <v>0</v>
      </c>
      <c r="QX19" s="27" t="s">
        <v>46</v>
      </c>
      <c r="QY19" s="40">
        <f t="shared" si="152"/>
        <v>13.600000000000001</v>
      </c>
      <c r="QZ19" s="40">
        <f t="shared" si="153"/>
        <v>48.75</v>
      </c>
      <c r="RA19" s="40">
        <f t="shared" si="154"/>
        <v>12.35</v>
      </c>
      <c r="RB19" s="40">
        <f t="shared" si="155"/>
        <v>16.600000000000001</v>
      </c>
      <c r="RC19" s="40">
        <f t="shared" si="156"/>
        <v>61.1</v>
      </c>
      <c r="RD19" s="40">
        <f t="shared" si="157"/>
        <v>7</v>
      </c>
      <c r="RE19" s="40">
        <f t="shared" si="158"/>
        <v>25.25</v>
      </c>
      <c r="RF19" s="40">
        <f t="shared" si="159"/>
        <v>86.35</v>
      </c>
    </row>
    <row r="20" spans="1:474" x14ac:dyDescent="0.2">
      <c r="A20" s="4" cm="1">
        <f t="array" ref="A20">IF(AND(J20&lt;&gt;"",J20&lt;&gt;"No DD"),SUMPRODUCT((J$4:J$42&lt;&gt;"")*(J$4:J$42&lt;&gt;"No DD")*(F$4:F$42&gt;F20))+1,IF(J20="No DD",SUMPRODUCT((J$4:J$42="No DD")*(F$4:F$42&gt;F20))+1+SUMPRODUCT((J$4:J$42&lt;&gt;"")*(J$4:J$42&lt;&gt;"No DD")),""))</f>
        <v>17</v>
      </c>
      <c r="B20" s="4" cm="1">
        <f t="array" ref="B20">IF(AND(J20&lt;&gt;"",J20&lt;&gt;"No DD",G20=""),SUMPRODUCT((J$4:J$42&lt;&gt;"")*(J$4:J$42&lt;&gt;"No DD")*(G$4:G$42="")*(F$4:F$42&gt;F20))+1,IF(J20="No DD",SUMPRODUCT((J$4:J$42="No DD")*(F$4:F$42&gt;F20)*(G$4:G$42=""))+1+SUMPRODUCT((J$4:J$42&lt;&gt;"")*(G$4:G$42="")*(J$4:J$42&lt;&gt;"No DD")),""))</f>
        <v>12</v>
      </c>
      <c r="C20" s="5" t="s">
        <v>103</v>
      </c>
      <c r="D20" s="4" t="s">
        <v>4</v>
      </c>
      <c r="E20" s="4">
        <v>2005</v>
      </c>
      <c r="F20" s="9">
        <f t="shared" si="0"/>
        <v>147.7000097100053</v>
      </c>
      <c r="G20" s="64"/>
      <c r="H20" s="3" t="str">
        <f t="shared" si="1"/>
        <v>P</v>
      </c>
      <c r="I20" s="3" t="str">
        <f t="shared" si="2"/>
        <v>P</v>
      </c>
      <c r="J20" s="36" t="str">
        <f t="shared" si="3"/>
        <v>National Team</v>
      </c>
      <c r="K20" s="3" t="str">
        <f t="shared" si="4"/>
        <v/>
      </c>
      <c r="L20" s="8">
        <f>IF(COUNT(AQ20,BT20,CW20)&gt;0,LARGE((AQ20,BT20,CW20),1),0)</f>
        <v>53.1</v>
      </c>
      <c r="M20" s="8" t="str">
        <f t="shared" si="5"/>
        <v>2024 3rd Domestic Trial</v>
      </c>
      <c r="N20" s="8">
        <f>IF(COUNT(AQ20,BT20,CW20)&gt;1,LARGE((AQ20,BT20,CW20),2),0)</f>
        <v>43.999999999999993</v>
      </c>
      <c r="O20" s="8" t="str">
        <f t="shared" si="6"/>
        <v>2024 Nationals</v>
      </c>
      <c r="P20" s="8">
        <f t="shared" si="7"/>
        <v>50.6</v>
      </c>
      <c r="Q20" s="8" t="str">
        <f t="shared" si="8"/>
        <v>2024 3rd Domestic Trial</v>
      </c>
      <c r="R20" s="8" t="str">
        <f t="shared" si="9"/>
        <v/>
      </c>
      <c r="S20" s="11" t="str">
        <f t="shared" si="160"/>
        <v/>
      </c>
      <c r="T20" s="8" t="str">
        <f t="shared" si="161"/>
        <v/>
      </c>
      <c r="U20" s="19">
        <v>16.3</v>
      </c>
      <c r="V20" s="19">
        <v>2.9</v>
      </c>
      <c r="W20" s="19">
        <v>2</v>
      </c>
      <c r="X20" s="19">
        <v>0</v>
      </c>
      <c r="Y20" s="19">
        <v>18.399999999999999</v>
      </c>
      <c r="Z20" s="19">
        <v>8.1</v>
      </c>
      <c r="AA20" s="19">
        <v>0</v>
      </c>
      <c r="AB20" s="19">
        <v>0.3</v>
      </c>
      <c r="AC20" s="19">
        <v>18.399999999999999</v>
      </c>
      <c r="AD20" s="19">
        <v>6</v>
      </c>
      <c r="AE20" s="19">
        <v>0.6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7"/>
      <c r="AP20" s="40">
        <f t="shared" si="10"/>
        <v>11</v>
      </c>
      <c r="AQ20" s="40">
        <f t="shared" si="11"/>
        <v>43.999999999999993</v>
      </c>
      <c r="AR20" s="40">
        <f t="shared" si="12"/>
        <v>23.799999999999997</v>
      </c>
      <c r="AS20" s="40">
        <f t="shared" si="13"/>
        <v>17</v>
      </c>
      <c r="AT20" s="40">
        <f t="shared" si="14"/>
        <v>67.799999999999983</v>
      </c>
      <c r="AU20" s="40" t="str">
        <f t="shared" si="15"/>
        <v/>
      </c>
      <c r="AV20" s="40" t="str">
        <f t="shared" si="16"/>
        <v/>
      </c>
      <c r="AW20" s="40">
        <f t="shared" si="17"/>
        <v>67.799999999999983</v>
      </c>
      <c r="AX20" s="18">
        <v>18.899999999999999</v>
      </c>
      <c r="AY20" s="18">
        <v>7.7</v>
      </c>
      <c r="AZ20" s="18">
        <v>0</v>
      </c>
      <c r="BA20" s="18">
        <v>0.3</v>
      </c>
      <c r="BB20" s="18">
        <v>19</v>
      </c>
      <c r="BC20" s="18">
        <v>7.2</v>
      </c>
      <c r="BD20" s="18">
        <v>0</v>
      </c>
      <c r="BE20" s="18">
        <v>0</v>
      </c>
      <c r="BF20" s="18">
        <v>18.600000000000001</v>
      </c>
      <c r="BG20" s="18">
        <v>7.2</v>
      </c>
      <c r="BH20" s="18">
        <v>0.6</v>
      </c>
      <c r="BI20" s="18">
        <v>0</v>
      </c>
      <c r="BJ20" s="18">
        <v>18.5</v>
      </c>
      <c r="BK20" s="18">
        <v>6.9</v>
      </c>
      <c r="BL20" s="18">
        <v>0.2</v>
      </c>
      <c r="BM20" s="18">
        <v>0</v>
      </c>
      <c r="BN20" s="18">
        <v>18.399999999999999</v>
      </c>
      <c r="BO20" s="18">
        <v>7.2</v>
      </c>
      <c r="BP20" s="18">
        <v>0.2</v>
      </c>
      <c r="BQ20" s="18">
        <v>0</v>
      </c>
      <c r="BR20" s="28"/>
      <c r="BS20" s="11">
        <f t="shared" si="18"/>
        <v>14.9</v>
      </c>
      <c r="BT20" s="11">
        <f t="shared" si="19"/>
        <v>53.1</v>
      </c>
      <c r="BU20" s="11">
        <f t="shared" si="20"/>
        <v>25.2</v>
      </c>
      <c r="BV20" s="11">
        <f t="shared" si="21"/>
        <v>22.1</v>
      </c>
      <c r="BW20" s="11">
        <f t="shared" si="22"/>
        <v>78.3</v>
      </c>
      <c r="BX20" s="11">
        <f t="shared" si="23"/>
        <v>14.100000000000001</v>
      </c>
      <c r="BY20" s="11">
        <f t="shared" si="24"/>
        <v>50.6</v>
      </c>
      <c r="BZ20" s="11">
        <f t="shared" si="25"/>
        <v>128.9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6"/>
        <v/>
      </c>
      <c r="CW20" s="40" t="str">
        <f t="shared" si="27"/>
        <v/>
      </c>
      <c r="CX20" s="40" t="str">
        <f t="shared" si="28"/>
        <v/>
      </c>
      <c r="CY20" s="40" t="str">
        <f t="shared" si="29"/>
        <v/>
      </c>
      <c r="CZ20" s="40" t="str">
        <f t="shared" si="30"/>
        <v/>
      </c>
      <c r="DA20" s="40" t="str">
        <f t="shared" si="31"/>
        <v/>
      </c>
      <c r="DB20" s="40" t="str">
        <f t="shared" si="32"/>
        <v/>
      </c>
      <c r="DC20" s="40" t="str">
        <f t="shared" si="33"/>
        <v/>
      </c>
      <c r="DD20" s="50" t="str">
        <f t="shared" si="34"/>
        <v/>
      </c>
      <c r="DE20" s="50" t="str">
        <f t="shared" si="35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6"/>
        <v/>
      </c>
      <c r="EA20" s="40" t="str">
        <f t="shared" si="37"/>
        <v/>
      </c>
      <c r="EB20" s="40" t="str">
        <f t="shared" si="38"/>
        <v/>
      </c>
      <c r="EC20" s="40" t="str">
        <f t="shared" si="39"/>
        <v/>
      </c>
      <c r="ED20" s="40" t="str">
        <f t="shared" si="40"/>
        <v/>
      </c>
      <c r="EE20" s="40" t="str">
        <f t="shared" si="41"/>
        <v/>
      </c>
      <c r="EF20" s="40" t="str">
        <f t="shared" si="42"/>
        <v/>
      </c>
      <c r="EG20" s="40" t="str">
        <f t="shared" si="43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4"/>
        <v/>
      </c>
      <c r="FC20" s="11" t="str">
        <f t="shared" si="45"/>
        <v/>
      </c>
      <c r="FD20" s="11" t="str">
        <f t="shared" si="46"/>
        <v/>
      </c>
      <c r="FE20" s="11" t="str">
        <f t="shared" si="47"/>
        <v/>
      </c>
      <c r="FF20" s="11" t="str">
        <f t="shared" si="48"/>
        <v/>
      </c>
      <c r="FG20" s="11" t="str">
        <f t="shared" si="49"/>
        <v/>
      </c>
      <c r="FH20" s="11" t="str">
        <f t="shared" si="50"/>
        <v/>
      </c>
      <c r="FI20" s="11" t="str">
        <f t="shared" si="51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2"/>
        <v/>
      </c>
      <c r="GE20" s="40" t="str">
        <f t="shared" si="53"/>
        <v/>
      </c>
      <c r="GF20" s="40" t="str">
        <f t="shared" si="54"/>
        <v/>
      </c>
      <c r="GG20" s="40" t="str">
        <f t="shared" si="55"/>
        <v/>
      </c>
      <c r="GH20" s="40" t="str">
        <f t="shared" si="56"/>
        <v/>
      </c>
      <c r="GI20" s="40" t="str">
        <f t="shared" si="57"/>
        <v/>
      </c>
      <c r="GJ20" s="40" t="str">
        <f t="shared" si="58"/>
        <v/>
      </c>
      <c r="GK20" s="40" t="str">
        <f t="shared" si="59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0"/>
        <v/>
      </c>
      <c r="HG20" s="11" t="str">
        <f t="shared" si="61"/>
        <v/>
      </c>
      <c r="HH20" s="11" t="str">
        <f t="shared" si="62"/>
        <v/>
      </c>
      <c r="HI20" s="11" t="str">
        <f t="shared" si="63"/>
        <v/>
      </c>
      <c r="HJ20" s="11" t="str">
        <f t="shared" si="64"/>
        <v/>
      </c>
      <c r="HK20" s="11" t="str">
        <f t="shared" si="65"/>
        <v/>
      </c>
      <c r="HL20" s="11" t="str">
        <f t="shared" si="66"/>
        <v/>
      </c>
      <c r="HM20" s="11" t="str">
        <f t="shared" si="67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68"/>
        <v/>
      </c>
      <c r="II20" s="40" t="str">
        <f t="shared" si="69"/>
        <v/>
      </c>
      <c r="IJ20" s="40" t="str">
        <f t="shared" si="70"/>
        <v/>
      </c>
      <c r="IK20" s="40" t="str">
        <f t="shared" si="71"/>
        <v/>
      </c>
      <c r="IL20" s="40" t="str">
        <f t="shared" si="72"/>
        <v/>
      </c>
      <c r="IM20" s="40" t="str">
        <f t="shared" si="73"/>
        <v/>
      </c>
      <c r="IN20" s="40" t="str">
        <f t="shared" si="74"/>
        <v/>
      </c>
      <c r="IO20" s="40" t="str">
        <f t="shared" si="75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6"/>
        <v/>
      </c>
      <c r="JK20" s="11" t="str">
        <f t="shared" si="77"/>
        <v/>
      </c>
      <c r="JL20" s="11" t="str">
        <f t="shared" si="78"/>
        <v/>
      </c>
      <c r="JM20" s="11" t="str">
        <f t="shared" si="79"/>
        <v/>
      </c>
      <c r="JN20" s="11" t="str">
        <f t="shared" si="80"/>
        <v/>
      </c>
      <c r="JO20" s="11" t="str">
        <f t="shared" si="81"/>
        <v/>
      </c>
      <c r="JP20" s="11" t="str">
        <f t="shared" si="82"/>
        <v/>
      </c>
      <c r="JQ20" s="11" t="str">
        <f t="shared" si="83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4"/>
        <v/>
      </c>
      <c r="KM20" s="40" t="str">
        <f t="shared" si="85"/>
        <v/>
      </c>
      <c r="KN20" s="40" t="str">
        <f t="shared" si="86"/>
        <v/>
      </c>
      <c r="KO20" s="40" t="str">
        <f t="shared" si="87"/>
        <v/>
      </c>
      <c r="KP20" s="40" t="str">
        <f t="shared" si="88"/>
        <v/>
      </c>
      <c r="KQ20" s="40" t="str">
        <f t="shared" si="89"/>
        <v/>
      </c>
      <c r="KR20" s="40" t="str">
        <f t="shared" si="90"/>
        <v/>
      </c>
      <c r="KS20" s="40" t="str">
        <f t="shared" si="91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2"/>
        <v/>
      </c>
      <c r="LO20" s="11" t="str">
        <f t="shared" si="93"/>
        <v/>
      </c>
      <c r="LP20" s="11" t="str">
        <f t="shared" si="94"/>
        <v/>
      </c>
      <c r="LQ20" s="11" t="str">
        <f t="shared" si="95"/>
        <v/>
      </c>
      <c r="LR20" s="11" t="str">
        <f t="shared" si="96"/>
        <v/>
      </c>
      <c r="LS20" s="11" t="str">
        <f t="shared" si="97"/>
        <v/>
      </c>
      <c r="LT20" s="11" t="str">
        <f t="shared" si="98"/>
        <v/>
      </c>
      <c r="LU20" s="11" t="str">
        <f t="shared" si="99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0"/>
        <v/>
      </c>
      <c r="MQ20" s="40" t="str">
        <f t="shared" si="101"/>
        <v/>
      </c>
      <c r="MR20" s="40" t="str">
        <f t="shared" si="102"/>
        <v/>
      </c>
      <c r="MS20" s="40" t="str">
        <f t="shared" si="103"/>
        <v/>
      </c>
      <c r="MT20" s="40" t="str">
        <f t="shared" si="104"/>
        <v/>
      </c>
      <c r="MU20" s="40" t="str">
        <f t="shared" si="105"/>
        <v/>
      </c>
      <c r="MV20" s="40" t="str">
        <f t="shared" si="106"/>
        <v/>
      </c>
      <c r="MW20" s="40" t="str">
        <f t="shared" si="107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08"/>
        <v/>
      </c>
      <c r="NS20" s="11" t="str">
        <f t="shared" si="109"/>
        <v/>
      </c>
      <c r="NT20" s="11" t="str">
        <f t="shared" si="110"/>
        <v/>
      </c>
      <c r="NU20" s="11" t="str">
        <f t="shared" si="111"/>
        <v/>
      </c>
      <c r="NV20" s="11" t="str">
        <f t="shared" si="112"/>
        <v/>
      </c>
      <c r="NW20" s="11" t="str">
        <f t="shared" si="113"/>
        <v/>
      </c>
      <c r="NX20" s="11" t="str">
        <f t="shared" si="114"/>
        <v/>
      </c>
      <c r="NY20" s="11" t="str">
        <f t="shared" si="115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6"/>
        <v/>
      </c>
      <c r="OU20" s="40" t="str">
        <f t="shared" si="117"/>
        <v/>
      </c>
      <c r="OV20" s="40" t="str">
        <f t="shared" si="118"/>
        <v/>
      </c>
      <c r="OW20" s="40" t="str">
        <f t="shared" si="119"/>
        <v/>
      </c>
      <c r="OX20" s="40" t="str">
        <f t="shared" si="120"/>
        <v/>
      </c>
      <c r="OY20" s="40" t="str">
        <f t="shared" si="121"/>
        <v/>
      </c>
      <c r="OZ20" s="40" t="str">
        <f t="shared" si="122"/>
        <v/>
      </c>
      <c r="PA20" s="40" t="str">
        <f t="shared" si="123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4"/>
        <v/>
      </c>
      <c r="PW20" s="11" t="str">
        <f t="shared" si="125"/>
        <v/>
      </c>
      <c r="PX20" s="11" t="str">
        <f t="shared" si="126"/>
        <v/>
      </c>
      <c r="PY20" s="11" t="str">
        <f t="shared" si="127"/>
        <v/>
      </c>
      <c r="PZ20" s="11" t="str">
        <f t="shared" si="128"/>
        <v/>
      </c>
      <c r="QA20" s="11" t="str">
        <f t="shared" si="129"/>
        <v/>
      </c>
      <c r="QB20" s="11" t="str">
        <f t="shared" si="130"/>
        <v/>
      </c>
      <c r="QC20" s="11" t="str">
        <f t="shared" si="131"/>
        <v/>
      </c>
      <c r="QD20" s="22">
        <f t="shared" si="132"/>
        <v>9.4499999999999993</v>
      </c>
      <c r="QE20" s="22">
        <f t="shared" si="133"/>
        <v>3.85</v>
      </c>
      <c r="QF20" s="22">
        <f t="shared" si="134"/>
        <v>0</v>
      </c>
      <c r="QG20" s="22">
        <f t="shared" si="135"/>
        <v>0.15</v>
      </c>
      <c r="QH20" s="22">
        <f t="shared" si="136"/>
        <v>9.5</v>
      </c>
      <c r="QI20" s="22">
        <f t="shared" si="137"/>
        <v>3.6</v>
      </c>
      <c r="QJ20" s="22">
        <f t="shared" si="138"/>
        <v>0</v>
      </c>
      <c r="QK20" s="22">
        <f t="shared" si="139"/>
        <v>0</v>
      </c>
      <c r="QL20" s="22">
        <f t="shared" si="140"/>
        <v>9.3000000000000007</v>
      </c>
      <c r="QM20" s="22">
        <f t="shared" si="141"/>
        <v>3.6</v>
      </c>
      <c r="QN20" s="22">
        <f t="shared" si="142"/>
        <v>0.3</v>
      </c>
      <c r="QO20" s="22">
        <f t="shared" si="143"/>
        <v>0</v>
      </c>
      <c r="QP20" s="22">
        <f t="shared" si="144"/>
        <v>9.25</v>
      </c>
      <c r="QQ20" s="22">
        <f t="shared" si="145"/>
        <v>3.45</v>
      </c>
      <c r="QR20" s="22">
        <f t="shared" si="146"/>
        <v>0.1</v>
      </c>
      <c r="QS20" s="22">
        <f t="shared" si="147"/>
        <v>0</v>
      </c>
      <c r="QT20" s="22">
        <f t="shared" si="148"/>
        <v>9.1999999999999993</v>
      </c>
      <c r="QU20" s="22">
        <f t="shared" si="149"/>
        <v>3.6</v>
      </c>
      <c r="QV20" s="22">
        <f t="shared" si="150"/>
        <v>0.1</v>
      </c>
      <c r="QW20" s="22">
        <f t="shared" si="151"/>
        <v>0</v>
      </c>
      <c r="QX20" s="27" t="s">
        <v>46</v>
      </c>
      <c r="QY20" s="40">
        <f t="shared" si="152"/>
        <v>7.45</v>
      </c>
      <c r="QZ20" s="40">
        <f t="shared" si="153"/>
        <v>26.55</v>
      </c>
      <c r="RA20" s="40">
        <f t="shared" si="154"/>
        <v>12.6</v>
      </c>
      <c r="RB20" s="40">
        <f t="shared" si="155"/>
        <v>11.05</v>
      </c>
      <c r="RC20" s="40">
        <f t="shared" si="156"/>
        <v>39.15</v>
      </c>
      <c r="RD20" s="40">
        <f t="shared" si="157"/>
        <v>7.0500000000000007</v>
      </c>
      <c r="RE20" s="40">
        <f t="shared" si="158"/>
        <v>25.3</v>
      </c>
      <c r="RF20" s="40">
        <f t="shared" si="159"/>
        <v>64.45</v>
      </c>
    </row>
    <row r="21" spans="1:474" x14ac:dyDescent="0.2">
      <c r="A21" s="4" cm="1">
        <f t="array" ref="A21">IF(AND(J21&lt;&gt;"",J21&lt;&gt;"No DD"),SUMPRODUCT((J$4:J$42&lt;&gt;"")*(J$4:J$42&lt;&gt;"No DD")*(F$4:F$42&gt;F21))+1,IF(J21="No DD",SUMPRODUCT((J$4:J$42="No DD")*(F$4:F$42&gt;F21))+1+SUMPRODUCT((J$4:J$42&lt;&gt;"")*(J$4:J$42&lt;&gt;"No DD")),""))</f>
        <v>18</v>
      </c>
      <c r="B21" s="4" cm="1">
        <f t="array" ref="B21">IF(AND(J21&lt;&gt;"",J21&lt;&gt;"No DD",G21=""),SUMPRODUCT((J$4:J$42&lt;&gt;"")*(J$4:J$42&lt;&gt;"No DD")*(G$4:G$42="")*(F$4:F$42&gt;F21))+1,IF(J21="No DD",SUMPRODUCT((J$4:J$42="No DD")*(F$4:F$42&gt;F21)*(G$4:G$42=""))+1+SUMPRODUCT((J$4:J$42&lt;&gt;"")*(G$4:G$42="")*(J$4:J$42&lt;&gt;"No DD")),""))</f>
        <v>13</v>
      </c>
      <c r="C21" s="5" t="s">
        <v>148</v>
      </c>
      <c r="D21" s="4" t="s">
        <v>4</v>
      </c>
      <c r="E21" s="4">
        <v>2007</v>
      </c>
      <c r="F21" s="9">
        <f t="shared" si="0"/>
        <v>145.10000955000487</v>
      </c>
      <c r="G21" s="64"/>
      <c r="H21" s="3" t="str">
        <f t="shared" si="1"/>
        <v>P</v>
      </c>
      <c r="I21" s="3" t="str">
        <f t="shared" si="2"/>
        <v>P</v>
      </c>
      <c r="J21" s="36" t="str">
        <f t="shared" si="3"/>
        <v>National Team</v>
      </c>
      <c r="K21" s="3" t="str">
        <f t="shared" si="4"/>
        <v/>
      </c>
      <c r="L21" s="8">
        <f>IF(COUNT(AQ21,BT21,CW21)&gt;0,LARGE((AQ21,BT21,CW21),1),0)</f>
        <v>48.999999999999993</v>
      </c>
      <c r="M21" s="8" t="str">
        <f t="shared" si="5"/>
        <v>2024 Nationals</v>
      </c>
      <c r="N21" s="8">
        <f>IF(COUNT(AQ21,BT21,CW21)&gt;1,LARGE((AQ21,BT21,CW21),2),0)</f>
        <v>46.5</v>
      </c>
      <c r="O21" s="8" t="str">
        <f t="shared" si="6"/>
        <v>2025 Elite Canada</v>
      </c>
      <c r="P21" s="8">
        <f t="shared" si="7"/>
        <v>49.6</v>
      </c>
      <c r="Q21" s="8" t="str">
        <f t="shared" si="8"/>
        <v>2024 Nationals</v>
      </c>
      <c r="R21" s="8" t="str">
        <f t="shared" si="9"/>
        <v/>
      </c>
      <c r="S21" s="11" t="str">
        <f t="shared" si="160"/>
        <v/>
      </c>
      <c r="T21" s="8" t="str">
        <f t="shared" si="161"/>
        <v/>
      </c>
      <c r="U21" s="19">
        <v>18.600000000000001</v>
      </c>
      <c r="V21" s="19">
        <v>6.4</v>
      </c>
      <c r="W21" s="19">
        <v>0.2</v>
      </c>
      <c r="X21" s="19">
        <v>0</v>
      </c>
      <c r="Y21" s="19">
        <v>18.8</v>
      </c>
      <c r="Z21" s="19">
        <v>6</v>
      </c>
      <c r="AA21" s="19">
        <v>0.6</v>
      </c>
      <c r="AB21" s="19">
        <v>0</v>
      </c>
      <c r="AC21" s="19">
        <v>19.100000000000001</v>
      </c>
      <c r="AD21" s="19">
        <v>5.6</v>
      </c>
      <c r="AE21" s="19">
        <v>0.4</v>
      </c>
      <c r="AF21" s="19">
        <v>0</v>
      </c>
      <c r="AG21" s="19">
        <v>18.8</v>
      </c>
      <c r="AH21" s="19">
        <v>6.4</v>
      </c>
      <c r="AI21" s="19">
        <v>0.6</v>
      </c>
      <c r="AJ21" s="19">
        <v>0</v>
      </c>
      <c r="AK21" s="19">
        <v>19</v>
      </c>
      <c r="AL21" s="19">
        <v>6</v>
      </c>
      <c r="AM21" s="19">
        <v>0</v>
      </c>
      <c r="AN21" s="19">
        <v>0</v>
      </c>
      <c r="AO21" s="27"/>
      <c r="AP21" s="40">
        <f t="shared" si="10"/>
        <v>12.4</v>
      </c>
      <c r="AQ21" s="40">
        <f t="shared" si="11"/>
        <v>48.999999999999993</v>
      </c>
      <c r="AR21" s="40">
        <f t="shared" si="12"/>
        <v>24.300000000000004</v>
      </c>
      <c r="AS21" s="40">
        <f t="shared" si="13"/>
        <v>18</v>
      </c>
      <c r="AT21" s="40">
        <f t="shared" si="14"/>
        <v>73.3</v>
      </c>
      <c r="AU21" s="40">
        <f t="shared" si="15"/>
        <v>12.4</v>
      </c>
      <c r="AV21" s="40">
        <f t="shared" si="16"/>
        <v>49.6</v>
      </c>
      <c r="AW21" s="40">
        <f t="shared" si="17"/>
        <v>122.9</v>
      </c>
      <c r="AX21" s="18">
        <v>19.2</v>
      </c>
      <c r="AY21" s="18">
        <v>6</v>
      </c>
      <c r="AZ21" s="18">
        <v>0</v>
      </c>
      <c r="BA21" s="18">
        <v>0</v>
      </c>
      <c r="BB21" s="18">
        <v>17.399999999999999</v>
      </c>
      <c r="BC21" s="18">
        <v>3.2</v>
      </c>
      <c r="BD21" s="18">
        <v>0</v>
      </c>
      <c r="BE21" s="18">
        <v>0</v>
      </c>
      <c r="BF21" s="18">
        <v>18.899999999999999</v>
      </c>
      <c r="BG21" s="18">
        <v>6.4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 t="shared" si="18"/>
        <v>9.1999999999999993</v>
      </c>
      <c r="BT21" s="11">
        <f t="shared" si="19"/>
        <v>45.8</v>
      </c>
      <c r="BU21" s="11">
        <f t="shared" si="20"/>
        <v>24.699999999999996</v>
      </c>
      <c r="BV21" s="11">
        <f t="shared" si="21"/>
        <v>15.6</v>
      </c>
      <c r="BW21" s="11">
        <f t="shared" si="22"/>
        <v>70.5</v>
      </c>
      <c r="BX21" s="11" t="str">
        <f t="shared" si="23"/>
        <v/>
      </c>
      <c r="BY21" s="11" t="str">
        <f t="shared" si="24"/>
        <v/>
      </c>
      <c r="BZ21" s="11">
        <f t="shared" si="25"/>
        <v>70.5</v>
      </c>
      <c r="CA21" s="19">
        <v>18.899999999999999</v>
      </c>
      <c r="CB21" s="19">
        <v>5.6</v>
      </c>
      <c r="CC21" s="19">
        <v>1.6</v>
      </c>
      <c r="CD21" s="19">
        <v>0</v>
      </c>
      <c r="CE21" s="19">
        <v>19</v>
      </c>
      <c r="CF21" s="19">
        <v>5.6</v>
      </c>
      <c r="CG21" s="19">
        <v>1</v>
      </c>
      <c r="CH21" s="19">
        <v>0</v>
      </c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26"/>
        <v>11.2</v>
      </c>
      <c r="CW21" s="40">
        <f t="shared" si="27"/>
        <v>46.5</v>
      </c>
      <c r="CX21" s="40" t="str">
        <f t="shared" si="28"/>
        <v/>
      </c>
      <c r="CY21" s="40">
        <f t="shared" si="29"/>
        <v>11.2</v>
      </c>
      <c r="CZ21" s="40">
        <f t="shared" si="30"/>
        <v>46.5</v>
      </c>
      <c r="DA21" s="40" t="str">
        <f t="shared" si="31"/>
        <v/>
      </c>
      <c r="DB21" s="40" t="str">
        <f t="shared" si="32"/>
        <v/>
      </c>
      <c r="DC21" s="40">
        <f t="shared" si="33"/>
        <v>46.5</v>
      </c>
      <c r="DD21" s="50" t="str">
        <f t="shared" si="34"/>
        <v/>
      </c>
      <c r="DE21" s="50" t="str">
        <f t="shared" si="35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6"/>
        <v/>
      </c>
      <c r="EA21" s="40" t="str">
        <f t="shared" si="37"/>
        <v/>
      </c>
      <c r="EB21" s="40" t="str">
        <f t="shared" si="38"/>
        <v/>
      </c>
      <c r="EC21" s="40" t="str">
        <f t="shared" si="39"/>
        <v/>
      </c>
      <c r="ED21" s="40" t="str">
        <f t="shared" si="40"/>
        <v/>
      </c>
      <c r="EE21" s="40" t="str">
        <f t="shared" si="41"/>
        <v/>
      </c>
      <c r="EF21" s="40" t="str">
        <f t="shared" si="42"/>
        <v/>
      </c>
      <c r="EG21" s="40" t="str">
        <f t="shared" si="43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4"/>
        <v/>
      </c>
      <c r="FC21" s="11" t="str">
        <f t="shared" si="45"/>
        <v/>
      </c>
      <c r="FD21" s="11" t="str">
        <f t="shared" si="46"/>
        <v/>
      </c>
      <c r="FE21" s="11" t="str">
        <f t="shared" si="47"/>
        <v/>
      </c>
      <c r="FF21" s="11" t="str">
        <f t="shared" si="48"/>
        <v/>
      </c>
      <c r="FG21" s="11" t="str">
        <f t="shared" si="49"/>
        <v/>
      </c>
      <c r="FH21" s="11" t="str">
        <f t="shared" si="50"/>
        <v/>
      </c>
      <c r="FI21" s="11" t="str">
        <f t="shared" si="51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2"/>
        <v/>
      </c>
      <c r="GE21" s="40" t="str">
        <f t="shared" si="53"/>
        <v/>
      </c>
      <c r="GF21" s="40" t="str">
        <f t="shared" si="54"/>
        <v/>
      </c>
      <c r="GG21" s="40" t="str">
        <f t="shared" si="55"/>
        <v/>
      </c>
      <c r="GH21" s="40" t="str">
        <f t="shared" si="56"/>
        <v/>
      </c>
      <c r="GI21" s="40" t="str">
        <f t="shared" si="57"/>
        <v/>
      </c>
      <c r="GJ21" s="40" t="str">
        <f t="shared" si="58"/>
        <v/>
      </c>
      <c r="GK21" s="40" t="str">
        <f t="shared" si="59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0"/>
        <v/>
      </c>
      <c r="HG21" s="11" t="str">
        <f t="shared" si="61"/>
        <v/>
      </c>
      <c r="HH21" s="11" t="str">
        <f t="shared" si="62"/>
        <v/>
      </c>
      <c r="HI21" s="11" t="str">
        <f t="shared" si="63"/>
        <v/>
      </c>
      <c r="HJ21" s="11" t="str">
        <f t="shared" si="64"/>
        <v/>
      </c>
      <c r="HK21" s="11" t="str">
        <f t="shared" si="65"/>
        <v/>
      </c>
      <c r="HL21" s="11" t="str">
        <f t="shared" si="66"/>
        <v/>
      </c>
      <c r="HM21" s="11" t="str">
        <f t="shared" si="67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68"/>
        <v/>
      </c>
      <c r="II21" s="40" t="str">
        <f t="shared" si="69"/>
        <v/>
      </c>
      <c r="IJ21" s="40" t="str">
        <f t="shared" si="70"/>
        <v/>
      </c>
      <c r="IK21" s="40" t="str">
        <f t="shared" si="71"/>
        <v/>
      </c>
      <c r="IL21" s="40" t="str">
        <f t="shared" si="72"/>
        <v/>
      </c>
      <c r="IM21" s="40" t="str">
        <f t="shared" si="73"/>
        <v/>
      </c>
      <c r="IN21" s="40" t="str">
        <f t="shared" si="74"/>
        <v/>
      </c>
      <c r="IO21" s="40" t="str">
        <f t="shared" si="75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6"/>
        <v/>
      </c>
      <c r="JK21" s="11" t="str">
        <f t="shared" si="77"/>
        <v/>
      </c>
      <c r="JL21" s="11" t="str">
        <f t="shared" si="78"/>
        <v/>
      </c>
      <c r="JM21" s="11" t="str">
        <f t="shared" si="79"/>
        <v/>
      </c>
      <c r="JN21" s="11" t="str">
        <f t="shared" si="80"/>
        <v/>
      </c>
      <c r="JO21" s="11" t="str">
        <f t="shared" si="81"/>
        <v/>
      </c>
      <c r="JP21" s="11" t="str">
        <f t="shared" si="82"/>
        <v/>
      </c>
      <c r="JQ21" s="11" t="str">
        <f t="shared" si="83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4"/>
        <v/>
      </c>
      <c r="KM21" s="40" t="str">
        <f t="shared" si="85"/>
        <v/>
      </c>
      <c r="KN21" s="40" t="str">
        <f t="shared" si="86"/>
        <v/>
      </c>
      <c r="KO21" s="40" t="str">
        <f t="shared" si="87"/>
        <v/>
      </c>
      <c r="KP21" s="40" t="str">
        <f t="shared" si="88"/>
        <v/>
      </c>
      <c r="KQ21" s="40" t="str">
        <f t="shared" si="89"/>
        <v/>
      </c>
      <c r="KR21" s="40" t="str">
        <f t="shared" si="90"/>
        <v/>
      </c>
      <c r="KS21" s="40" t="str">
        <f t="shared" si="91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2"/>
        <v/>
      </c>
      <c r="LO21" s="11" t="str">
        <f t="shared" si="93"/>
        <v/>
      </c>
      <c r="LP21" s="11" t="str">
        <f t="shared" si="94"/>
        <v/>
      </c>
      <c r="LQ21" s="11" t="str">
        <f t="shared" si="95"/>
        <v/>
      </c>
      <c r="LR21" s="11" t="str">
        <f t="shared" si="96"/>
        <v/>
      </c>
      <c r="LS21" s="11" t="str">
        <f t="shared" si="97"/>
        <v/>
      </c>
      <c r="LT21" s="11" t="str">
        <f t="shared" si="98"/>
        <v/>
      </c>
      <c r="LU21" s="11" t="str">
        <f t="shared" si="99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0"/>
        <v/>
      </c>
      <c r="MQ21" s="40" t="str">
        <f t="shared" si="101"/>
        <v/>
      </c>
      <c r="MR21" s="40" t="str">
        <f t="shared" si="102"/>
        <v/>
      </c>
      <c r="MS21" s="40" t="str">
        <f t="shared" si="103"/>
        <v/>
      </c>
      <c r="MT21" s="40" t="str">
        <f t="shared" si="104"/>
        <v/>
      </c>
      <c r="MU21" s="40" t="str">
        <f t="shared" si="105"/>
        <v/>
      </c>
      <c r="MV21" s="40" t="str">
        <f t="shared" si="106"/>
        <v/>
      </c>
      <c r="MW21" s="40" t="str">
        <f t="shared" si="107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08"/>
        <v/>
      </c>
      <c r="NS21" s="11" t="str">
        <f t="shared" si="109"/>
        <v/>
      </c>
      <c r="NT21" s="11" t="str">
        <f t="shared" si="110"/>
        <v/>
      </c>
      <c r="NU21" s="11" t="str">
        <f t="shared" si="111"/>
        <v/>
      </c>
      <c r="NV21" s="11" t="str">
        <f t="shared" si="112"/>
        <v/>
      </c>
      <c r="NW21" s="11" t="str">
        <f t="shared" si="113"/>
        <v/>
      </c>
      <c r="NX21" s="11" t="str">
        <f t="shared" si="114"/>
        <v/>
      </c>
      <c r="NY21" s="11" t="str">
        <f t="shared" si="115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6"/>
        <v/>
      </c>
      <c r="OU21" s="40" t="str">
        <f t="shared" si="117"/>
        <v/>
      </c>
      <c r="OV21" s="40" t="str">
        <f t="shared" si="118"/>
        <v/>
      </c>
      <c r="OW21" s="40" t="str">
        <f t="shared" si="119"/>
        <v/>
      </c>
      <c r="OX21" s="40" t="str">
        <f t="shared" si="120"/>
        <v/>
      </c>
      <c r="OY21" s="40" t="str">
        <f t="shared" si="121"/>
        <v/>
      </c>
      <c r="OZ21" s="40" t="str">
        <f t="shared" si="122"/>
        <v/>
      </c>
      <c r="PA21" s="40" t="str">
        <f t="shared" si="123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4"/>
        <v/>
      </c>
      <c r="PW21" s="11" t="str">
        <f t="shared" si="125"/>
        <v/>
      </c>
      <c r="PX21" s="11" t="str">
        <f t="shared" si="126"/>
        <v/>
      </c>
      <c r="PY21" s="11" t="str">
        <f t="shared" si="127"/>
        <v/>
      </c>
      <c r="PZ21" s="11" t="str">
        <f t="shared" si="128"/>
        <v/>
      </c>
      <c r="QA21" s="11" t="str">
        <f t="shared" si="129"/>
        <v/>
      </c>
      <c r="QB21" s="11" t="str">
        <f t="shared" si="130"/>
        <v/>
      </c>
      <c r="QC21" s="11" t="str">
        <f t="shared" si="131"/>
        <v/>
      </c>
      <c r="QD21" s="22">
        <f t="shared" si="132"/>
        <v>19.049999999999997</v>
      </c>
      <c r="QE21" s="22">
        <f t="shared" si="133"/>
        <v>5.8</v>
      </c>
      <c r="QF21" s="22">
        <f t="shared" si="134"/>
        <v>0.8</v>
      </c>
      <c r="QG21" s="22">
        <f t="shared" si="135"/>
        <v>0</v>
      </c>
      <c r="QH21" s="22">
        <f t="shared" si="136"/>
        <v>18.2</v>
      </c>
      <c r="QI21" s="22">
        <f t="shared" si="137"/>
        <v>4.4000000000000004</v>
      </c>
      <c r="QJ21" s="22">
        <f t="shared" si="138"/>
        <v>0.5</v>
      </c>
      <c r="QK21" s="22">
        <f t="shared" si="139"/>
        <v>0</v>
      </c>
      <c r="QL21" s="22">
        <f t="shared" si="140"/>
        <v>9.4499999999999993</v>
      </c>
      <c r="QM21" s="22">
        <f t="shared" si="141"/>
        <v>3.2</v>
      </c>
      <c r="QN21" s="22">
        <f t="shared" si="142"/>
        <v>0.3</v>
      </c>
      <c r="QO21" s="22">
        <f t="shared" si="143"/>
        <v>0</v>
      </c>
      <c r="QP21" s="22">
        <f t="shared" si="144"/>
        <v>0</v>
      </c>
      <c r="QQ21" s="22">
        <f t="shared" si="145"/>
        <v>0</v>
      </c>
      <c r="QR21" s="22">
        <f t="shared" si="146"/>
        <v>0</v>
      </c>
      <c r="QS21" s="22">
        <f t="shared" si="147"/>
        <v>0</v>
      </c>
      <c r="QT21" s="22">
        <f t="shared" si="148"/>
        <v>0</v>
      </c>
      <c r="QU21" s="22">
        <f t="shared" si="149"/>
        <v>0</v>
      </c>
      <c r="QV21" s="22">
        <f t="shared" si="150"/>
        <v>0</v>
      </c>
      <c r="QW21" s="22">
        <f t="shared" si="151"/>
        <v>0</v>
      </c>
      <c r="QX21" s="27" t="s">
        <v>46</v>
      </c>
      <c r="QY21" s="40">
        <f t="shared" si="152"/>
        <v>10.199999999999999</v>
      </c>
      <c r="QZ21" s="40">
        <f t="shared" si="153"/>
        <v>46.15</v>
      </c>
      <c r="RA21" s="40">
        <f t="shared" si="154"/>
        <v>12.349999999999998</v>
      </c>
      <c r="RB21" s="40">
        <f t="shared" si="155"/>
        <v>13.399999999999999</v>
      </c>
      <c r="RC21" s="40">
        <f t="shared" si="156"/>
        <v>58.5</v>
      </c>
      <c r="RD21" s="40" t="str">
        <f t="shared" si="157"/>
        <v/>
      </c>
      <c r="RE21" s="40" t="str">
        <f t="shared" si="158"/>
        <v/>
      </c>
      <c r="RF21" s="40">
        <f t="shared" si="159"/>
        <v>58.5</v>
      </c>
    </row>
    <row r="22" spans="1:474" x14ac:dyDescent="0.2">
      <c r="A22" s="4" cm="1">
        <f t="array" ref="A22">IF(AND(J22&lt;&gt;"",J22&lt;&gt;"No DD"),SUMPRODUCT((J$4:J$42&lt;&gt;"")*(J$4:J$42&lt;&gt;"No DD")*(F$4:F$42&gt;F22))+1,IF(J22="No DD",SUMPRODUCT((J$4:J$42="No DD")*(F$4:F$42&gt;F22))+1+SUMPRODUCT((J$4:J$42&lt;&gt;"")*(J$4:J$42&lt;&gt;"No DD")),""))</f>
        <v>19</v>
      </c>
      <c r="B22" s="4" cm="1">
        <f t="array" ref="B22">IF(AND(J22&lt;&gt;"",J22&lt;&gt;"No DD",G22=""),SUMPRODUCT((J$4:J$42&lt;&gt;"")*(J$4:J$42&lt;&gt;"No DD")*(G$4:G$42="")*(F$4:F$42&gt;F22))+1,IF(J22="No DD",SUMPRODUCT((J$4:J$42="No DD")*(F$4:F$42&gt;F22)*(G$4:G$42=""))+1+SUMPRODUCT((J$4:J$42&lt;&gt;"")*(G$4:G$42="")*(J$4:J$42&lt;&gt;"No DD")),""))</f>
        <v>14</v>
      </c>
      <c r="C22" s="5" t="s">
        <v>215</v>
      </c>
      <c r="D22" s="4" t="s">
        <v>4</v>
      </c>
      <c r="E22" s="4">
        <v>2008</v>
      </c>
      <c r="F22" s="9">
        <f t="shared" si="0"/>
        <v>139.40000937000491</v>
      </c>
      <c r="H22" s="3" t="str">
        <f t="shared" si="1"/>
        <v>P</v>
      </c>
      <c r="I22" s="3" t="str">
        <f t="shared" si="2"/>
        <v>P</v>
      </c>
      <c r="J22" s="36" t="str">
        <f t="shared" si="3"/>
        <v>National Team</v>
      </c>
      <c r="K22" s="3" t="str">
        <f t="shared" si="4"/>
        <v/>
      </c>
      <c r="L22" s="8">
        <f>IF(COUNT(AQ22,BT22,CW22)&gt;0,LARGE((AQ22,BT22,CW22),1),0)</f>
        <v>49.399999999999991</v>
      </c>
      <c r="M22" s="8" t="str">
        <f t="shared" si="5"/>
        <v>2024 Nationals</v>
      </c>
      <c r="N22" s="8">
        <f>IF(COUNT(AQ22,BT22,CW22)&gt;1,LARGE((AQ22,BT22,CW22),2),0)</f>
        <v>44.300000000000004</v>
      </c>
      <c r="O22" s="8" t="str">
        <f t="shared" si="6"/>
        <v>2025 Elite Canada</v>
      </c>
      <c r="P22" s="8">
        <f t="shared" si="7"/>
        <v>45.7</v>
      </c>
      <c r="Q22" s="8" t="str">
        <f t="shared" si="8"/>
        <v>2024 Nationals</v>
      </c>
      <c r="R22" s="8" t="str">
        <f t="shared" si="9"/>
        <v/>
      </c>
      <c r="S22" s="11" t="str">
        <f t="shared" si="160"/>
        <v/>
      </c>
      <c r="T22" s="8" t="str">
        <f t="shared" si="161"/>
        <v/>
      </c>
      <c r="U22" s="19">
        <v>17.7</v>
      </c>
      <c r="V22" s="19">
        <v>6.8</v>
      </c>
      <c r="W22" s="19">
        <v>0</v>
      </c>
      <c r="X22" s="19">
        <v>0</v>
      </c>
      <c r="Y22" s="19">
        <v>18.3</v>
      </c>
      <c r="Z22" s="19">
        <v>6.8</v>
      </c>
      <c r="AA22" s="19">
        <v>0.2</v>
      </c>
      <c r="AB22" s="19">
        <v>0</v>
      </c>
      <c r="AC22" s="19">
        <v>18.5</v>
      </c>
      <c r="AD22" s="19">
        <v>4.8</v>
      </c>
      <c r="AE22" s="19">
        <v>0.6</v>
      </c>
      <c r="AF22" s="19">
        <v>0</v>
      </c>
      <c r="AG22" s="19">
        <v>17.8</v>
      </c>
      <c r="AH22" s="19">
        <v>7.6</v>
      </c>
      <c r="AI22" s="19">
        <v>0.2</v>
      </c>
      <c r="AJ22" s="19">
        <v>0</v>
      </c>
      <c r="AK22" s="19">
        <v>17.3</v>
      </c>
      <c r="AL22" s="19">
        <v>3.2</v>
      </c>
      <c r="AM22" s="19">
        <v>0</v>
      </c>
      <c r="AN22" s="19">
        <v>0</v>
      </c>
      <c r="AO22" s="27"/>
      <c r="AP22" s="40">
        <f t="shared" si="10"/>
        <v>13.6</v>
      </c>
      <c r="AQ22" s="40">
        <f t="shared" si="11"/>
        <v>49.399999999999991</v>
      </c>
      <c r="AR22" s="40">
        <f t="shared" si="12"/>
        <v>22.7</v>
      </c>
      <c r="AS22" s="40">
        <f t="shared" si="13"/>
        <v>18.399999999999999</v>
      </c>
      <c r="AT22" s="40">
        <f t="shared" si="14"/>
        <v>72.099999999999994</v>
      </c>
      <c r="AU22" s="40">
        <f t="shared" si="15"/>
        <v>10.8</v>
      </c>
      <c r="AV22" s="40">
        <f t="shared" si="16"/>
        <v>45.7</v>
      </c>
      <c r="AW22" s="40">
        <f t="shared" si="17"/>
        <v>117.8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18"/>
        <v/>
      </c>
      <c r="BT22" s="11" t="str">
        <f t="shared" si="19"/>
        <v/>
      </c>
      <c r="BU22" s="11" t="str">
        <f t="shared" si="20"/>
        <v/>
      </c>
      <c r="BV22" s="11" t="str">
        <f t="shared" si="21"/>
        <v/>
      </c>
      <c r="BW22" s="11" t="str">
        <f t="shared" si="22"/>
        <v/>
      </c>
      <c r="BX22" s="11" t="str">
        <f t="shared" si="23"/>
        <v/>
      </c>
      <c r="BY22" s="11" t="str">
        <f t="shared" si="24"/>
        <v/>
      </c>
      <c r="BZ22" s="11" t="str">
        <f t="shared" si="25"/>
        <v/>
      </c>
      <c r="CA22" s="19">
        <v>18.600000000000001</v>
      </c>
      <c r="CB22" s="19">
        <v>7.3</v>
      </c>
      <c r="CC22" s="19">
        <v>0</v>
      </c>
      <c r="CD22" s="19">
        <v>0</v>
      </c>
      <c r="CE22" s="19">
        <v>15.2</v>
      </c>
      <c r="CF22" s="19">
        <v>3.2</v>
      </c>
      <c r="CG22" s="19">
        <v>0</v>
      </c>
      <c r="CH22" s="19">
        <v>0</v>
      </c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26"/>
        <v>10.5</v>
      </c>
      <c r="CW22" s="40">
        <f t="shared" si="27"/>
        <v>44.300000000000004</v>
      </c>
      <c r="CX22" s="40" t="str">
        <f t="shared" si="28"/>
        <v/>
      </c>
      <c r="CY22" s="40">
        <f t="shared" si="29"/>
        <v>10.5</v>
      </c>
      <c r="CZ22" s="40">
        <f t="shared" si="30"/>
        <v>44.300000000000004</v>
      </c>
      <c r="DA22" s="40" t="str">
        <f t="shared" si="31"/>
        <v/>
      </c>
      <c r="DB22" s="40" t="str">
        <f t="shared" si="32"/>
        <v/>
      </c>
      <c r="DC22" s="40">
        <f t="shared" si="33"/>
        <v>44.300000000000004</v>
      </c>
      <c r="DD22" s="50" t="str">
        <f t="shared" si="34"/>
        <v/>
      </c>
      <c r="DE22" s="50" t="str">
        <f t="shared" si="35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6"/>
        <v/>
      </c>
      <c r="EA22" s="40" t="str">
        <f t="shared" si="37"/>
        <v/>
      </c>
      <c r="EB22" s="40" t="str">
        <f t="shared" si="38"/>
        <v/>
      </c>
      <c r="EC22" s="40" t="str">
        <f t="shared" si="39"/>
        <v/>
      </c>
      <c r="ED22" s="40" t="str">
        <f t="shared" si="40"/>
        <v/>
      </c>
      <c r="EE22" s="40" t="str">
        <f t="shared" si="41"/>
        <v/>
      </c>
      <c r="EF22" s="40" t="str">
        <f t="shared" si="42"/>
        <v/>
      </c>
      <c r="EG22" s="40" t="str">
        <f t="shared" si="43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4"/>
        <v/>
      </c>
      <c r="FC22" s="11" t="str">
        <f t="shared" si="45"/>
        <v/>
      </c>
      <c r="FD22" s="11" t="str">
        <f t="shared" si="46"/>
        <v/>
      </c>
      <c r="FE22" s="11" t="str">
        <f t="shared" si="47"/>
        <v/>
      </c>
      <c r="FF22" s="11" t="str">
        <f t="shared" si="48"/>
        <v/>
      </c>
      <c r="FG22" s="11" t="str">
        <f t="shared" si="49"/>
        <v/>
      </c>
      <c r="FH22" s="11" t="str">
        <f t="shared" si="50"/>
        <v/>
      </c>
      <c r="FI22" s="11" t="str">
        <f t="shared" si="51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2"/>
        <v/>
      </c>
      <c r="GE22" s="40" t="str">
        <f t="shared" si="53"/>
        <v/>
      </c>
      <c r="GF22" s="40" t="str">
        <f t="shared" si="54"/>
        <v/>
      </c>
      <c r="GG22" s="40" t="str">
        <f t="shared" si="55"/>
        <v/>
      </c>
      <c r="GH22" s="40" t="str">
        <f t="shared" si="56"/>
        <v/>
      </c>
      <c r="GI22" s="40" t="str">
        <f t="shared" si="57"/>
        <v/>
      </c>
      <c r="GJ22" s="40" t="str">
        <f t="shared" si="58"/>
        <v/>
      </c>
      <c r="GK22" s="40" t="str">
        <f t="shared" si="59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0"/>
        <v/>
      </c>
      <c r="HG22" s="11" t="str">
        <f t="shared" si="61"/>
        <v/>
      </c>
      <c r="HH22" s="11" t="str">
        <f t="shared" si="62"/>
        <v/>
      </c>
      <c r="HI22" s="11" t="str">
        <f t="shared" si="63"/>
        <v/>
      </c>
      <c r="HJ22" s="11" t="str">
        <f t="shared" si="64"/>
        <v/>
      </c>
      <c r="HK22" s="11" t="str">
        <f t="shared" si="65"/>
        <v/>
      </c>
      <c r="HL22" s="11" t="str">
        <f t="shared" si="66"/>
        <v/>
      </c>
      <c r="HM22" s="11" t="str">
        <f t="shared" si="67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68"/>
        <v/>
      </c>
      <c r="II22" s="40" t="str">
        <f t="shared" si="69"/>
        <v/>
      </c>
      <c r="IJ22" s="40" t="str">
        <f t="shared" si="70"/>
        <v/>
      </c>
      <c r="IK22" s="40" t="str">
        <f t="shared" si="71"/>
        <v/>
      </c>
      <c r="IL22" s="40" t="str">
        <f t="shared" si="72"/>
        <v/>
      </c>
      <c r="IM22" s="40" t="str">
        <f t="shared" si="73"/>
        <v/>
      </c>
      <c r="IN22" s="40" t="str">
        <f t="shared" si="74"/>
        <v/>
      </c>
      <c r="IO22" s="40" t="str">
        <f t="shared" si="75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6"/>
        <v/>
      </c>
      <c r="JK22" s="11" t="str">
        <f t="shared" si="77"/>
        <v/>
      </c>
      <c r="JL22" s="11" t="str">
        <f t="shared" si="78"/>
        <v/>
      </c>
      <c r="JM22" s="11" t="str">
        <f t="shared" si="79"/>
        <v/>
      </c>
      <c r="JN22" s="11" t="str">
        <f t="shared" si="80"/>
        <v/>
      </c>
      <c r="JO22" s="11" t="str">
        <f t="shared" si="81"/>
        <v/>
      </c>
      <c r="JP22" s="11" t="str">
        <f t="shared" si="82"/>
        <v/>
      </c>
      <c r="JQ22" s="11" t="str">
        <f t="shared" si="83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4"/>
        <v/>
      </c>
      <c r="KM22" s="40" t="str">
        <f t="shared" si="85"/>
        <v/>
      </c>
      <c r="KN22" s="40" t="str">
        <f t="shared" si="86"/>
        <v/>
      </c>
      <c r="KO22" s="40" t="str">
        <f t="shared" si="87"/>
        <v/>
      </c>
      <c r="KP22" s="40" t="str">
        <f t="shared" si="88"/>
        <v/>
      </c>
      <c r="KQ22" s="40" t="str">
        <f t="shared" si="89"/>
        <v/>
      </c>
      <c r="KR22" s="40" t="str">
        <f t="shared" si="90"/>
        <v/>
      </c>
      <c r="KS22" s="40" t="str">
        <f t="shared" si="91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2"/>
        <v/>
      </c>
      <c r="LO22" s="11" t="str">
        <f t="shared" si="93"/>
        <v/>
      </c>
      <c r="LP22" s="11" t="str">
        <f t="shared" si="94"/>
        <v/>
      </c>
      <c r="LQ22" s="11" t="str">
        <f t="shared" si="95"/>
        <v/>
      </c>
      <c r="LR22" s="11" t="str">
        <f t="shared" si="96"/>
        <v/>
      </c>
      <c r="LS22" s="11" t="str">
        <f t="shared" si="97"/>
        <v/>
      </c>
      <c r="LT22" s="11" t="str">
        <f t="shared" si="98"/>
        <v/>
      </c>
      <c r="LU22" s="11" t="str">
        <f t="shared" si="99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0"/>
        <v/>
      </c>
      <c r="MQ22" s="40" t="str">
        <f t="shared" si="101"/>
        <v/>
      </c>
      <c r="MR22" s="40" t="str">
        <f t="shared" si="102"/>
        <v/>
      </c>
      <c r="MS22" s="40" t="str">
        <f t="shared" si="103"/>
        <v/>
      </c>
      <c r="MT22" s="40" t="str">
        <f t="shared" si="104"/>
        <v/>
      </c>
      <c r="MU22" s="40" t="str">
        <f t="shared" si="105"/>
        <v/>
      </c>
      <c r="MV22" s="40" t="str">
        <f t="shared" si="106"/>
        <v/>
      </c>
      <c r="MW22" s="40" t="str">
        <f t="shared" si="107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08"/>
        <v/>
      </c>
      <c r="NS22" s="11" t="str">
        <f t="shared" si="109"/>
        <v/>
      </c>
      <c r="NT22" s="11" t="str">
        <f t="shared" si="110"/>
        <v/>
      </c>
      <c r="NU22" s="11" t="str">
        <f t="shared" si="111"/>
        <v/>
      </c>
      <c r="NV22" s="11" t="str">
        <f t="shared" si="112"/>
        <v/>
      </c>
      <c r="NW22" s="11" t="str">
        <f t="shared" si="113"/>
        <v/>
      </c>
      <c r="NX22" s="11" t="str">
        <f t="shared" si="114"/>
        <v/>
      </c>
      <c r="NY22" s="11" t="str">
        <f t="shared" si="115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6"/>
        <v/>
      </c>
      <c r="OU22" s="40" t="str">
        <f t="shared" si="117"/>
        <v/>
      </c>
      <c r="OV22" s="40" t="str">
        <f t="shared" si="118"/>
        <v/>
      </c>
      <c r="OW22" s="40" t="str">
        <f t="shared" si="119"/>
        <v/>
      </c>
      <c r="OX22" s="40" t="str">
        <f t="shared" si="120"/>
        <v/>
      </c>
      <c r="OY22" s="40" t="str">
        <f t="shared" si="121"/>
        <v/>
      </c>
      <c r="OZ22" s="40" t="str">
        <f t="shared" si="122"/>
        <v/>
      </c>
      <c r="PA22" s="40" t="str">
        <f t="shared" si="123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4"/>
        <v/>
      </c>
      <c r="PW22" s="11" t="str">
        <f t="shared" si="125"/>
        <v/>
      </c>
      <c r="PX22" s="11" t="str">
        <f t="shared" si="126"/>
        <v/>
      </c>
      <c r="PY22" s="11" t="str">
        <f t="shared" si="127"/>
        <v/>
      </c>
      <c r="PZ22" s="11" t="str">
        <f t="shared" si="128"/>
        <v/>
      </c>
      <c r="QA22" s="11" t="str">
        <f t="shared" si="129"/>
        <v/>
      </c>
      <c r="QB22" s="11" t="str">
        <f t="shared" si="130"/>
        <v/>
      </c>
      <c r="QC22" s="11" t="str">
        <f t="shared" si="131"/>
        <v/>
      </c>
      <c r="QD22" s="22">
        <f t="shared" si="132"/>
        <v>9.3000000000000007</v>
      </c>
      <c r="QE22" s="22">
        <f t="shared" si="133"/>
        <v>3.65</v>
      </c>
      <c r="QF22" s="22">
        <f t="shared" si="134"/>
        <v>0</v>
      </c>
      <c r="QG22" s="22">
        <f t="shared" si="135"/>
        <v>0</v>
      </c>
      <c r="QH22" s="22">
        <f t="shared" si="136"/>
        <v>7.6</v>
      </c>
      <c r="QI22" s="22">
        <f t="shared" si="137"/>
        <v>1.6</v>
      </c>
      <c r="QJ22" s="22">
        <f t="shared" si="138"/>
        <v>0</v>
      </c>
      <c r="QK22" s="22">
        <f t="shared" si="139"/>
        <v>0</v>
      </c>
      <c r="QL22" s="22">
        <f t="shared" si="140"/>
        <v>0</v>
      </c>
      <c r="QM22" s="22">
        <f t="shared" si="141"/>
        <v>0</v>
      </c>
      <c r="QN22" s="22">
        <f t="shared" si="142"/>
        <v>0</v>
      </c>
      <c r="QO22" s="22">
        <f t="shared" si="143"/>
        <v>0</v>
      </c>
      <c r="QP22" s="22">
        <f t="shared" si="144"/>
        <v>0</v>
      </c>
      <c r="QQ22" s="22">
        <f t="shared" si="145"/>
        <v>0</v>
      </c>
      <c r="QR22" s="22">
        <f t="shared" si="146"/>
        <v>0</v>
      </c>
      <c r="QS22" s="22">
        <f t="shared" si="147"/>
        <v>0</v>
      </c>
      <c r="QT22" s="22">
        <f t="shared" si="148"/>
        <v>0</v>
      </c>
      <c r="QU22" s="22">
        <f t="shared" si="149"/>
        <v>0</v>
      </c>
      <c r="QV22" s="22">
        <f t="shared" si="150"/>
        <v>0</v>
      </c>
      <c r="QW22" s="22">
        <f t="shared" si="151"/>
        <v>0</v>
      </c>
      <c r="QX22" s="27" t="s">
        <v>46</v>
      </c>
      <c r="QY22" s="40">
        <f t="shared" si="152"/>
        <v>5.25</v>
      </c>
      <c r="QZ22" s="40">
        <f t="shared" si="153"/>
        <v>22.150000000000002</v>
      </c>
      <c r="RA22" s="40" t="str">
        <f t="shared" si="154"/>
        <v/>
      </c>
      <c r="RB22" s="40">
        <f t="shared" si="155"/>
        <v>5.25</v>
      </c>
      <c r="RC22" s="40">
        <f t="shared" si="156"/>
        <v>22.150000000000002</v>
      </c>
      <c r="RD22" s="40" t="str">
        <f t="shared" si="157"/>
        <v/>
      </c>
      <c r="RE22" s="40" t="str">
        <f t="shared" si="158"/>
        <v/>
      </c>
      <c r="RF22" s="40">
        <f t="shared" si="159"/>
        <v>22.150000000000002</v>
      </c>
    </row>
    <row r="23" spans="1:474" x14ac:dyDescent="0.2">
      <c r="A23" s="4" cm="1">
        <f t="array" ref="A23">IF(AND(J23&lt;&gt;"",J23&lt;&gt;"No DD"),SUMPRODUCT((J$4:J$42&lt;&gt;"")*(J$4:J$42&lt;&gt;"No DD")*(F$4:F$42&gt;F23))+1,IF(J23="No DD",SUMPRODUCT((J$4:J$42="No DD")*(F$4:F$42&gt;F23))+1+SUMPRODUCT((J$4:J$42&lt;&gt;"")*(J$4:J$42&lt;&gt;"No DD")),""))</f>
        <v>20</v>
      </c>
      <c r="B23" s="4" cm="1">
        <f t="array" ref="B23">IF(AND(J23&lt;&gt;"",J23&lt;&gt;"No DD",G23=""),SUMPRODUCT((J$4:J$42&lt;&gt;"")*(J$4:J$42&lt;&gt;"No DD")*(G$4:G$42="")*(F$4:F$42&gt;F23))+1,IF(J23="No DD",SUMPRODUCT((J$4:J$42="No DD")*(F$4:F$42&gt;F23)*(G$4:G$42=""))+1+SUMPRODUCT((J$4:J$42&lt;&gt;"")*(G$4:G$42="")*(J$4:J$42&lt;&gt;"No DD")),""))</f>
        <v>15</v>
      </c>
      <c r="C23" s="5" t="s">
        <v>105</v>
      </c>
      <c r="D23" s="4" t="s">
        <v>6</v>
      </c>
      <c r="E23" s="4">
        <v>2004</v>
      </c>
      <c r="F23" s="9">
        <f t="shared" si="0"/>
        <v>100.50000512000511</v>
      </c>
      <c r="G23" s="64"/>
      <c r="H23" s="3" t="str">
        <f t="shared" si="1"/>
        <v>P</v>
      </c>
      <c r="I23" s="3" t="str">
        <f t="shared" si="2"/>
        <v>P</v>
      </c>
      <c r="J23" s="36" t="str">
        <f t="shared" si="3"/>
        <v>National Team</v>
      </c>
      <c r="K23" s="3" t="str">
        <f t="shared" si="4"/>
        <v/>
      </c>
      <c r="L23" s="8">
        <f>IF(COUNT(AQ23,BT23,CW23)&gt;0,LARGE((AQ23,BT23,CW23),1),0)</f>
        <v>51.2</v>
      </c>
      <c r="M23" s="8" t="str">
        <f t="shared" si="5"/>
        <v>2024 Nationals</v>
      </c>
      <c r="N23" s="8">
        <f>IF(COUNT(AQ23,BT23,CW23)&gt;1,LARGE((AQ23,BT23,CW23),2),0)</f>
        <v>0</v>
      </c>
      <c r="O23" s="8" t="str">
        <f t="shared" si="6"/>
        <v/>
      </c>
      <c r="P23" s="8">
        <f t="shared" si="7"/>
        <v>0</v>
      </c>
      <c r="Q23" s="8" t="str">
        <f t="shared" si="8"/>
        <v/>
      </c>
      <c r="R23" s="8">
        <f t="shared" si="9"/>
        <v>49.3</v>
      </c>
      <c r="S23" s="11" t="str">
        <f t="shared" si="160"/>
        <v>(Q1)</v>
      </c>
      <c r="T23" s="8" t="str">
        <f t="shared" si="161"/>
        <v>2024 Coimbra Gym Fest (July 7)</v>
      </c>
      <c r="U23" s="19">
        <v>18.7</v>
      </c>
      <c r="V23" s="19">
        <v>6.9</v>
      </c>
      <c r="W23" s="19">
        <v>0</v>
      </c>
      <c r="X23" s="19">
        <v>0</v>
      </c>
      <c r="Y23" s="19">
        <v>19</v>
      </c>
      <c r="Z23" s="19">
        <v>7.2</v>
      </c>
      <c r="AA23" s="19">
        <v>0.6</v>
      </c>
      <c r="AB23" s="19">
        <v>0</v>
      </c>
      <c r="AC23" s="19">
        <v>17.3</v>
      </c>
      <c r="AD23" s="19">
        <v>3.2</v>
      </c>
      <c r="AE23" s="19">
        <v>0.2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10"/>
        <v>14.100000000000001</v>
      </c>
      <c r="AQ23" s="40">
        <f t="shared" si="11"/>
        <v>51.2</v>
      </c>
      <c r="AR23" s="40">
        <f t="shared" si="12"/>
        <v>20.3</v>
      </c>
      <c r="AS23" s="40">
        <f t="shared" si="13"/>
        <v>17.3</v>
      </c>
      <c r="AT23" s="40">
        <f t="shared" si="14"/>
        <v>71.5</v>
      </c>
      <c r="AU23" s="40" t="str">
        <f t="shared" si="15"/>
        <v/>
      </c>
      <c r="AV23" s="40" t="str">
        <f t="shared" si="16"/>
        <v/>
      </c>
      <c r="AW23" s="40">
        <f t="shared" si="17"/>
        <v>71.5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18"/>
        <v/>
      </c>
      <c r="BT23" s="11" t="str">
        <f t="shared" si="19"/>
        <v/>
      </c>
      <c r="BU23" s="11" t="str">
        <f t="shared" si="20"/>
        <v/>
      </c>
      <c r="BV23" s="11" t="str">
        <f t="shared" si="21"/>
        <v/>
      </c>
      <c r="BW23" s="11" t="str">
        <f t="shared" si="22"/>
        <v/>
      </c>
      <c r="BX23" s="11" t="str">
        <f t="shared" si="23"/>
        <v/>
      </c>
      <c r="BY23" s="11" t="str">
        <f t="shared" si="24"/>
        <v/>
      </c>
      <c r="BZ23" s="11" t="str">
        <f t="shared" si="25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6"/>
        <v/>
      </c>
      <c r="CW23" s="40" t="str">
        <f t="shared" si="27"/>
        <v/>
      </c>
      <c r="CX23" s="40" t="str">
        <f t="shared" si="28"/>
        <v/>
      </c>
      <c r="CY23" s="40" t="str">
        <f t="shared" si="29"/>
        <v/>
      </c>
      <c r="CZ23" s="40" t="str">
        <f t="shared" si="30"/>
        <v/>
      </c>
      <c r="DA23" s="40" t="str">
        <f t="shared" si="31"/>
        <v/>
      </c>
      <c r="DB23" s="40" t="str">
        <f t="shared" si="32"/>
        <v/>
      </c>
      <c r="DC23" s="40" t="str">
        <f t="shared" si="33"/>
        <v/>
      </c>
      <c r="DD23" s="50">
        <f t="shared" si="34"/>
        <v>49.3</v>
      </c>
      <c r="DE23" s="50" t="str">
        <f t="shared" si="35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6"/>
        <v/>
      </c>
      <c r="EA23" s="40" t="str">
        <f t="shared" si="37"/>
        <v/>
      </c>
      <c r="EB23" s="40" t="str">
        <f t="shared" si="38"/>
        <v/>
      </c>
      <c r="EC23" s="40" t="str">
        <f t="shared" si="39"/>
        <v/>
      </c>
      <c r="ED23" s="40" t="str">
        <f t="shared" si="40"/>
        <v/>
      </c>
      <c r="EE23" s="40" t="str">
        <f t="shared" si="41"/>
        <v/>
      </c>
      <c r="EF23" s="40" t="str">
        <f t="shared" si="42"/>
        <v/>
      </c>
      <c r="EG23" s="40" t="str">
        <f t="shared" si="43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4"/>
        <v/>
      </c>
      <c r="FC23" s="11" t="str">
        <f t="shared" si="45"/>
        <v/>
      </c>
      <c r="FD23" s="11" t="str">
        <f t="shared" si="46"/>
        <v/>
      </c>
      <c r="FE23" s="11" t="str">
        <f t="shared" si="47"/>
        <v/>
      </c>
      <c r="FF23" s="11" t="str">
        <f t="shared" si="48"/>
        <v/>
      </c>
      <c r="FG23" s="11" t="str">
        <f t="shared" si="49"/>
        <v/>
      </c>
      <c r="FH23" s="11" t="str">
        <f t="shared" si="50"/>
        <v/>
      </c>
      <c r="FI23" s="11" t="str">
        <f t="shared" si="51"/>
        <v/>
      </c>
      <c r="FJ23" s="17">
        <v>18.5</v>
      </c>
      <c r="FK23" s="17">
        <v>4.8</v>
      </c>
      <c r="FL23" s="17">
        <v>0</v>
      </c>
      <c r="FM23" s="17">
        <v>0</v>
      </c>
      <c r="FN23" s="17">
        <v>18.7</v>
      </c>
      <c r="FO23" s="17">
        <v>7.3</v>
      </c>
      <c r="FP23" s="17">
        <v>0</v>
      </c>
      <c r="FQ23" s="17">
        <v>0</v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>
        <f t="shared" si="52"/>
        <v>12.1</v>
      </c>
      <c r="GE23" s="40">
        <f t="shared" si="53"/>
        <v>49.3</v>
      </c>
      <c r="GF23" s="40" t="str">
        <f t="shared" si="54"/>
        <v/>
      </c>
      <c r="GG23" s="40">
        <f t="shared" si="55"/>
        <v>12.1</v>
      </c>
      <c r="GH23" s="40">
        <f t="shared" si="56"/>
        <v>49.3</v>
      </c>
      <c r="GI23" s="40" t="str">
        <f t="shared" si="57"/>
        <v/>
      </c>
      <c r="GJ23" s="40" t="str">
        <f t="shared" si="58"/>
        <v/>
      </c>
      <c r="GK23" s="40">
        <f t="shared" si="59"/>
        <v>49.3</v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0"/>
        <v/>
      </c>
      <c r="HG23" s="11" t="str">
        <f t="shared" si="61"/>
        <v/>
      </c>
      <c r="HH23" s="11" t="str">
        <f t="shared" si="62"/>
        <v/>
      </c>
      <c r="HI23" s="11" t="str">
        <f t="shared" si="63"/>
        <v/>
      </c>
      <c r="HJ23" s="11" t="str">
        <f t="shared" si="64"/>
        <v/>
      </c>
      <c r="HK23" s="11" t="str">
        <f t="shared" si="65"/>
        <v/>
      </c>
      <c r="HL23" s="11" t="str">
        <f t="shared" si="66"/>
        <v/>
      </c>
      <c r="HM23" s="11" t="str">
        <f t="shared" si="67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68"/>
        <v/>
      </c>
      <c r="II23" s="40" t="str">
        <f t="shared" si="69"/>
        <v/>
      </c>
      <c r="IJ23" s="40" t="str">
        <f t="shared" si="70"/>
        <v/>
      </c>
      <c r="IK23" s="40" t="str">
        <f t="shared" si="71"/>
        <v/>
      </c>
      <c r="IL23" s="40" t="str">
        <f t="shared" si="72"/>
        <v/>
      </c>
      <c r="IM23" s="40" t="str">
        <f t="shared" si="73"/>
        <v/>
      </c>
      <c r="IN23" s="40" t="str">
        <f t="shared" si="74"/>
        <v/>
      </c>
      <c r="IO23" s="40" t="str">
        <f t="shared" si="75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6"/>
        <v/>
      </c>
      <c r="JK23" s="11" t="str">
        <f t="shared" si="77"/>
        <v/>
      </c>
      <c r="JL23" s="11" t="str">
        <f t="shared" si="78"/>
        <v/>
      </c>
      <c r="JM23" s="11" t="str">
        <f t="shared" si="79"/>
        <v/>
      </c>
      <c r="JN23" s="11" t="str">
        <f t="shared" si="80"/>
        <v/>
      </c>
      <c r="JO23" s="11" t="str">
        <f t="shared" si="81"/>
        <v/>
      </c>
      <c r="JP23" s="11" t="str">
        <f t="shared" si="82"/>
        <v/>
      </c>
      <c r="JQ23" s="11" t="str">
        <f t="shared" si="83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4"/>
        <v/>
      </c>
      <c r="KM23" s="40" t="str">
        <f t="shared" si="85"/>
        <v/>
      </c>
      <c r="KN23" s="40" t="str">
        <f t="shared" si="86"/>
        <v/>
      </c>
      <c r="KO23" s="40" t="str">
        <f t="shared" si="87"/>
        <v/>
      </c>
      <c r="KP23" s="40" t="str">
        <f t="shared" si="88"/>
        <v/>
      </c>
      <c r="KQ23" s="40" t="str">
        <f t="shared" si="89"/>
        <v/>
      </c>
      <c r="KR23" s="40" t="str">
        <f t="shared" si="90"/>
        <v/>
      </c>
      <c r="KS23" s="40" t="str">
        <f t="shared" si="91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2"/>
        <v/>
      </c>
      <c r="LO23" s="11" t="str">
        <f t="shared" si="93"/>
        <v/>
      </c>
      <c r="LP23" s="11" t="str">
        <f t="shared" si="94"/>
        <v/>
      </c>
      <c r="LQ23" s="11" t="str">
        <f t="shared" si="95"/>
        <v/>
      </c>
      <c r="LR23" s="11" t="str">
        <f t="shared" si="96"/>
        <v/>
      </c>
      <c r="LS23" s="11" t="str">
        <f t="shared" si="97"/>
        <v/>
      </c>
      <c r="LT23" s="11" t="str">
        <f t="shared" si="98"/>
        <v/>
      </c>
      <c r="LU23" s="11" t="str">
        <f t="shared" si="99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0"/>
        <v/>
      </c>
      <c r="MQ23" s="40" t="str">
        <f t="shared" si="101"/>
        <v/>
      </c>
      <c r="MR23" s="40" t="str">
        <f t="shared" si="102"/>
        <v/>
      </c>
      <c r="MS23" s="40" t="str">
        <f t="shared" si="103"/>
        <v/>
      </c>
      <c r="MT23" s="40" t="str">
        <f t="shared" si="104"/>
        <v/>
      </c>
      <c r="MU23" s="40" t="str">
        <f t="shared" si="105"/>
        <v/>
      </c>
      <c r="MV23" s="40" t="str">
        <f t="shared" si="106"/>
        <v/>
      </c>
      <c r="MW23" s="40" t="str">
        <f t="shared" si="107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08"/>
        <v/>
      </c>
      <c r="NS23" s="11" t="str">
        <f t="shared" si="109"/>
        <v/>
      </c>
      <c r="NT23" s="11" t="str">
        <f t="shared" si="110"/>
        <v/>
      </c>
      <c r="NU23" s="11" t="str">
        <f t="shared" si="111"/>
        <v/>
      </c>
      <c r="NV23" s="11" t="str">
        <f t="shared" si="112"/>
        <v/>
      </c>
      <c r="NW23" s="11" t="str">
        <f t="shared" si="113"/>
        <v/>
      </c>
      <c r="NX23" s="11" t="str">
        <f t="shared" si="114"/>
        <v/>
      </c>
      <c r="NY23" s="11" t="str">
        <f t="shared" si="115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6"/>
        <v/>
      </c>
      <c r="OU23" s="40" t="str">
        <f t="shared" si="117"/>
        <v/>
      </c>
      <c r="OV23" s="40" t="str">
        <f t="shared" si="118"/>
        <v/>
      </c>
      <c r="OW23" s="40" t="str">
        <f t="shared" si="119"/>
        <v/>
      </c>
      <c r="OX23" s="40" t="str">
        <f t="shared" si="120"/>
        <v/>
      </c>
      <c r="OY23" s="40" t="str">
        <f t="shared" si="121"/>
        <v/>
      </c>
      <c r="OZ23" s="40" t="str">
        <f t="shared" si="122"/>
        <v/>
      </c>
      <c r="PA23" s="40" t="str">
        <f t="shared" si="123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4"/>
        <v/>
      </c>
      <c r="PW23" s="11" t="str">
        <f t="shared" si="125"/>
        <v/>
      </c>
      <c r="PX23" s="11" t="str">
        <f t="shared" si="126"/>
        <v/>
      </c>
      <c r="PY23" s="11" t="str">
        <f t="shared" si="127"/>
        <v/>
      </c>
      <c r="PZ23" s="11" t="str">
        <f t="shared" si="128"/>
        <v/>
      </c>
      <c r="QA23" s="11" t="str">
        <f t="shared" si="129"/>
        <v/>
      </c>
      <c r="QB23" s="11" t="str">
        <f t="shared" si="130"/>
        <v/>
      </c>
      <c r="QC23" s="11" t="str">
        <f t="shared" si="131"/>
        <v/>
      </c>
      <c r="QD23" s="22">
        <f t="shared" si="132"/>
        <v>0</v>
      </c>
      <c r="QE23" s="22">
        <f t="shared" si="133"/>
        <v>0</v>
      </c>
      <c r="QF23" s="22">
        <f t="shared" si="134"/>
        <v>0</v>
      </c>
      <c r="QG23" s="22">
        <f t="shared" si="135"/>
        <v>0</v>
      </c>
      <c r="QH23" s="22">
        <f t="shared" si="136"/>
        <v>0</v>
      </c>
      <c r="QI23" s="22">
        <f t="shared" si="137"/>
        <v>0</v>
      </c>
      <c r="QJ23" s="22">
        <f t="shared" si="138"/>
        <v>0</v>
      </c>
      <c r="QK23" s="22">
        <f t="shared" si="139"/>
        <v>0</v>
      </c>
      <c r="QL23" s="22">
        <f t="shared" si="140"/>
        <v>0</v>
      </c>
      <c r="QM23" s="22">
        <f t="shared" si="141"/>
        <v>0</v>
      </c>
      <c r="QN23" s="22">
        <f t="shared" si="142"/>
        <v>0</v>
      </c>
      <c r="QO23" s="22">
        <f t="shared" si="143"/>
        <v>0</v>
      </c>
      <c r="QP23" s="22">
        <f t="shared" si="144"/>
        <v>0</v>
      </c>
      <c r="QQ23" s="22">
        <f t="shared" si="145"/>
        <v>0</v>
      </c>
      <c r="QR23" s="22">
        <f t="shared" si="146"/>
        <v>0</v>
      </c>
      <c r="QS23" s="22">
        <f t="shared" si="147"/>
        <v>0</v>
      </c>
      <c r="QT23" s="22">
        <f t="shared" si="148"/>
        <v>0</v>
      </c>
      <c r="QU23" s="22">
        <f t="shared" si="149"/>
        <v>0</v>
      </c>
      <c r="QV23" s="22">
        <f t="shared" si="150"/>
        <v>0</v>
      </c>
      <c r="QW23" s="22">
        <f t="shared" si="151"/>
        <v>0</v>
      </c>
      <c r="QX23" s="27" t="s">
        <v>46</v>
      </c>
      <c r="QY23" s="40" t="str">
        <f t="shared" si="152"/>
        <v/>
      </c>
      <c r="QZ23" s="40" t="str">
        <f t="shared" si="153"/>
        <v/>
      </c>
      <c r="RA23" s="40" t="str">
        <f t="shared" si="154"/>
        <v/>
      </c>
      <c r="RB23" s="40" t="str">
        <f t="shared" si="155"/>
        <v/>
      </c>
      <c r="RC23" s="40" t="str">
        <f t="shared" si="156"/>
        <v/>
      </c>
      <c r="RD23" s="40" t="str">
        <f t="shared" si="157"/>
        <v/>
      </c>
      <c r="RE23" s="40" t="str">
        <f t="shared" si="158"/>
        <v/>
      </c>
      <c r="RF23" s="40" t="str">
        <f t="shared" si="159"/>
        <v/>
      </c>
    </row>
    <row r="24" spans="1:474" x14ac:dyDescent="0.2">
      <c r="A24" s="4" cm="1">
        <f t="array" ref="A24">IF(AND(J24&lt;&gt;"",J24&lt;&gt;"No DD"),SUMPRODUCT((J$4:J$42&lt;&gt;"")*(J$4:J$42&lt;&gt;"No DD")*(F$4:F$42&gt;F24))+1,IF(J24="No DD",SUMPRODUCT((J$4:J$42="No DD")*(F$4:F$42&gt;F24))+1+SUMPRODUCT((J$4:J$42&lt;&gt;"")*(J$4:J$42&lt;&gt;"No DD")),""))</f>
        <v>21</v>
      </c>
      <c r="B24" s="4" cm="1">
        <f t="array" ref="B24">IF(AND(J24&lt;&gt;"",J24&lt;&gt;"No DD",G24=""),SUMPRODUCT((J$4:J$42&lt;&gt;"")*(J$4:J$42&lt;&gt;"No DD")*(G$4:G$42="")*(F$4:F$42&gt;F24))+1,IF(J24="No DD",SUMPRODUCT((J$4:J$42="No DD")*(F$4:F$42&gt;F24)*(G$4:G$42=""))+1+SUMPRODUCT((J$4:J$42&lt;&gt;"")*(G$4:G$42="")*(J$4:J$42&lt;&gt;"No DD")),""))</f>
        <v>16</v>
      </c>
      <c r="C24" s="5" t="s">
        <v>127</v>
      </c>
      <c r="D24" s="4" t="s">
        <v>5</v>
      </c>
      <c r="E24" s="4">
        <v>2006</v>
      </c>
      <c r="F24" s="9">
        <f t="shared" si="0"/>
        <v>95.900009590004927</v>
      </c>
      <c r="G24" s="64"/>
      <c r="H24" s="3" t="str">
        <f t="shared" si="1"/>
        <v>P</v>
      </c>
      <c r="I24" s="3" t="str">
        <f t="shared" si="2"/>
        <v>P</v>
      </c>
      <c r="J24" s="36" t="str">
        <f t="shared" si="3"/>
        <v>National Team</v>
      </c>
      <c r="K24" s="3" t="str">
        <f t="shared" si="4"/>
        <v/>
      </c>
      <c r="L24" s="8">
        <f>IF(COUNT(AQ24,BT24,CW24)&gt;0,LARGE((AQ24,BT24,CW24),1),0)</f>
        <v>49.099999999999994</v>
      </c>
      <c r="M24" s="8" t="str">
        <f t="shared" si="5"/>
        <v>2024 3rd Domestic Trial</v>
      </c>
      <c r="N24" s="8">
        <f>IF(COUNT(AQ24,BT24,CW24)&gt;1,LARGE((AQ24,BT24,CW24),2),0)</f>
        <v>46.800000000000004</v>
      </c>
      <c r="O24" s="8" t="str">
        <f t="shared" si="6"/>
        <v>2025 Elite Canada</v>
      </c>
      <c r="P24" s="8">
        <f t="shared" si="7"/>
        <v>0</v>
      </c>
      <c r="Q24" s="8" t="str">
        <f t="shared" si="8"/>
        <v/>
      </c>
      <c r="R24" s="8" t="str">
        <f t="shared" si="9"/>
        <v/>
      </c>
      <c r="S24" s="11" t="str">
        <f t="shared" si="160"/>
        <v/>
      </c>
      <c r="T24" s="8" t="str">
        <f t="shared" si="161"/>
        <v/>
      </c>
      <c r="U24" s="19">
        <v>18</v>
      </c>
      <c r="V24" s="19">
        <v>4.4000000000000004</v>
      </c>
      <c r="W24" s="19">
        <v>1</v>
      </c>
      <c r="X24" s="19">
        <v>0</v>
      </c>
      <c r="Y24" s="19">
        <v>17.399999999999999</v>
      </c>
      <c r="Z24" s="19">
        <v>2.8</v>
      </c>
      <c r="AA24" s="19">
        <v>0</v>
      </c>
      <c r="AB24" s="19">
        <v>0</v>
      </c>
      <c r="AC24" s="19">
        <v>17</v>
      </c>
      <c r="AD24" s="19">
        <v>3.2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 t="shared" si="10"/>
        <v>7.2</v>
      </c>
      <c r="AQ24" s="40">
        <f t="shared" si="11"/>
        <v>41.599999999999994</v>
      </c>
      <c r="AR24" s="40">
        <f t="shared" si="12"/>
        <v>20.2</v>
      </c>
      <c r="AS24" s="40">
        <f t="shared" si="13"/>
        <v>10.4</v>
      </c>
      <c r="AT24" s="40">
        <f t="shared" si="14"/>
        <v>61.8</v>
      </c>
      <c r="AU24" s="40" t="str">
        <f t="shared" si="15"/>
        <v/>
      </c>
      <c r="AV24" s="40" t="str">
        <f t="shared" si="16"/>
        <v/>
      </c>
      <c r="AW24" s="40">
        <f t="shared" si="17"/>
        <v>61.8</v>
      </c>
      <c r="AX24" s="18">
        <v>18.7</v>
      </c>
      <c r="AY24" s="18">
        <v>6</v>
      </c>
      <c r="AZ24" s="18">
        <v>0</v>
      </c>
      <c r="BA24" s="18">
        <v>0</v>
      </c>
      <c r="BB24" s="18">
        <v>18.600000000000001</v>
      </c>
      <c r="BC24" s="18">
        <v>6</v>
      </c>
      <c r="BD24" s="18">
        <v>0.2</v>
      </c>
      <c r="BE24" s="18">
        <v>0</v>
      </c>
      <c r="BF24" s="18">
        <v>17.100000000000001</v>
      </c>
      <c r="BG24" s="18">
        <v>3.2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18"/>
        <v>12</v>
      </c>
      <c r="BT24" s="11">
        <f t="shared" si="19"/>
        <v>49.099999999999994</v>
      </c>
      <c r="BU24" s="11">
        <f t="shared" si="20"/>
        <v>20.3</v>
      </c>
      <c r="BV24" s="11">
        <f t="shared" si="21"/>
        <v>15.2</v>
      </c>
      <c r="BW24" s="11">
        <f t="shared" si="22"/>
        <v>69.399999999999991</v>
      </c>
      <c r="BX24" s="11" t="str">
        <f t="shared" si="23"/>
        <v/>
      </c>
      <c r="BY24" s="11" t="str">
        <f t="shared" si="24"/>
        <v/>
      </c>
      <c r="BZ24" s="11">
        <f t="shared" si="25"/>
        <v>69.399999999999991</v>
      </c>
      <c r="CA24" s="19">
        <v>17.7</v>
      </c>
      <c r="CB24" s="19">
        <v>5.6</v>
      </c>
      <c r="CC24" s="19">
        <v>1.6</v>
      </c>
      <c r="CD24" s="19">
        <v>0</v>
      </c>
      <c r="CE24" s="19">
        <v>18.7</v>
      </c>
      <c r="CF24" s="19">
        <v>7.2</v>
      </c>
      <c r="CG24" s="19">
        <v>0.8</v>
      </c>
      <c r="CH24" s="19">
        <v>0</v>
      </c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 t="shared" si="26"/>
        <v>12.8</v>
      </c>
      <c r="CW24" s="40">
        <f t="shared" si="27"/>
        <v>46.800000000000004</v>
      </c>
      <c r="CX24" s="40" t="str">
        <f t="shared" si="28"/>
        <v/>
      </c>
      <c r="CY24" s="40">
        <f t="shared" si="29"/>
        <v>12.8</v>
      </c>
      <c r="CZ24" s="40">
        <f t="shared" si="30"/>
        <v>46.800000000000004</v>
      </c>
      <c r="DA24" s="40" t="str">
        <f t="shared" si="31"/>
        <v/>
      </c>
      <c r="DB24" s="40" t="str">
        <f t="shared" si="32"/>
        <v/>
      </c>
      <c r="DC24" s="40">
        <f t="shared" si="33"/>
        <v>46.800000000000004</v>
      </c>
      <c r="DD24" s="50" t="str">
        <f t="shared" si="34"/>
        <v/>
      </c>
      <c r="DE24" s="50" t="str">
        <f t="shared" si="35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6"/>
        <v/>
      </c>
      <c r="EA24" s="40" t="str">
        <f t="shared" si="37"/>
        <v/>
      </c>
      <c r="EB24" s="40" t="str">
        <f t="shared" si="38"/>
        <v/>
      </c>
      <c r="EC24" s="40" t="str">
        <f t="shared" si="39"/>
        <v/>
      </c>
      <c r="ED24" s="40" t="str">
        <f t="shared" si="40"/>
        <v/>
      </c>
      <c r="EE24" s="40" t="str">
        <f t="shared" si="41"/>
        <v/>
      </c>
      <c r="EF24" s="40" t="str">
        <f t="shared" si="42"/>
        <v/>
      </c>
      <c r="EG24" s="40" t="str">
        <f t="shared" si="43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4"/>
        <v/>
      </c>
      <c r="FC24" s="11" t="str">
        <f t="shared" si="45"/>
        <v/>
      </c>
      <c r="FD24" s="11" t="str">
        <f t="shared" si="46"/>
        <v/>
      </c>
      <c r="FE24" s="11" t="str">
        <f t="shared" si="47"/>
        <v/>
      </c>
      <c r="FF24" s="11" t="str">
        <f t="shared" si="48"/>
        <v/>
      </c>
      <c r="FG24" s="11" t="str">
        <f t="shared" si="49"/>
        <v/>
      </c>
      <c r="FH24" s="11" t="str">
        <f t="shared" si="50"/>
        <v/>
      </c>
      <c r="FI24" s="11" t="str">
        <f t="shared" si="51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2"/>
        <v/>
      </c>
      <c r="GE24" s="40" t="str">
        <f t="shared" si="53"/>
        <v/>
      </c>
      <c r="GF24" s="40" t="str">
        <f t="shared" si="54"/>
        <v/>
      </c>
      <c r="GG24" s="40" t="str">
        <f t="shared" si="55"/>
        <v/>
      </c>
      <c r="GH24" s="40" t="str">
        <f t="shared" si="56"/>
        <v/>
      </c>
      <c r="GI24" s="40" t="str">
        <f t="shared" si="57"/>
        <v/>
      </c>
      <c r="GJ24" s="40" t="str">
        <f t="shared" si="58"/>
        <v/>
      </c>
      <c r="GK24" s="40" t="str">
        <f t="shared" si="59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0"/>
        <v/>
      </c>
      <c r="HG24" s="11" t="str">
        <f t="shared" si="61"/>
        <v/>
      </c>
      <c r="HH24" s="11" t="str">
        <f t="shared" si="62"/>
        <v/>
      </c>
      <c r="HI24" s="11" t="str">
        <f t="shared" si="63"/>
        <v/>
      </c>
      <c r="HJ24" s="11" t="str">
        <f t="shared" si="64"/>
        <v/>
      </c>
      <c r="HK24" s="11" t="str">
        <f t="shared" si="65"/>
        <v/>
      </c>
      <c r="HL24" s="11" t="str">
        <f t="shared" si="66"/>
        <v/>
      </c>
      <c r="HM24" s="11" t="str">
        <f t="shared" si="67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68"/>
        <v/>
      </c>
      <c r="II24" s="40" t="str">
        <f t="shared" si="69"/>
        <v/>
      </c>
      <c r="IJ24" s="40" t="str">
        <f t="shared" si="70"/>
        <v/>
      </c>
      <c r="IK24" s="40" t="str">
        <f t="shared" si="71"/>
        <v/>
      </c>
      <c r="IL24" s="40" t="str">
        <f t="shared" si="72"/>
        <v/>
      </c>
      <c r="IM24" s="40" t="str">
        <f t="shared" si="73"/>
        <v/>
      </c>
      <c r="IN24" s="40" t="str">
        <f t="shared" si="74"/>
        <v/>
      </c>
      <c r="IO24" s="40" t="str">
        <f t="shared" si="75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6"/>
        <v/>
      </c>
      <c r="JK24" s="11" t="str">
        <f t="shared" si="77"/>
        <v/>
      </c>
      <c r="JL24" s="11" t="str">
        <f t="shared" si="78"/>
        <v/>
      </c>
      <c r="JM24" s="11" t="str">
        <f t="shared" si="79"/>
        <v/>
      </c>
      <c r="JN24" s="11" t="str">
        <f t="shared" si="80"/>
        <v/>
      </c>
      <c r="JO24" s="11" t="str">
        <f t="shared" si="81"/>
        <v/>
      </c>
      <c r="JP24" s="11" t="str">
        <f t="shared" si="82"/>
        <v/>
      </c>
      <c r="JQ24" s="11" t="str">
        <f t="shared" si="83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4"/>
        <v/>
      </c>
      <c r="KM24" s="40" t="str">
        <f t="shared" si="85"/>
        <v/>
      </c>
      <c r="KN24" s="40" t="str">
        <f t="shared" si="86"/>
        <v/>
      </c>
      <c r="KO24" s="40" t="str">
        <f t="shared" si="87"/>
        <v/>
      </c>
      <c r="KP24" s="40" t="str">
        <f t="shared" si="88"/>
        <v/>
      </c>
      <c r="KQ24" s="40" t="str">
        <f t="shared" si="89"/>
        <v/>
      </c>
      <c r="KR24" s="40" t="str">
        <f t="shared" si="90"/>
        <v/>
      </c>
      <c r="KS24" s="40" t="str">
        <f t="shared" si="91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2"/>
        <v/>
      </c>
      <c r="LO24" s="11" t="str">
        <f t="shared" si="93"/>
        <v/>
      </c>
      <c r="LP24" s="11" t="str">
        <f t="shared" si="94"/>
        <v/>
      </c>
      <c r="LQ24" s="11" t="str">
        <f t="shared" si="95"/>
        <v/>
      </c>
      <c r="LR24" s="11" t="str">
        <f t="shared" si="96"/>
        <v/>
      </c>
      <c r="LS24" s="11" t="str">
        <f t="shared" si="97"/>
        <v/>
      </c>
      <c r="LT24" s="11" t="str">
        <f t="shared" si="98"/>
        <v/>
      </c>
      <c r="LU24" s="11" t="str">
        <f t="shared" si="99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0"/>
        <v/>
      </c>
      <c r="MQ24" s="40" t="str">
        <f t="shared" si="101"/>
        <v/>
      </c>
      <c r="MR24" s="40" t="str">
        <f t="shared" si="102"/>
        <v/>
      </c>
      <c r="MS24" s="40" t="str">
        <f t="shared" si="103"/>
        <v/>
      </c>
      <c r="MT24" s="40" t="str">
        <f t="shared" si="104"/>
        <v/>
      </c>
      <c r="MU24" s="40" t="str">
        <f t="shared" si="105"/>
        <v/>
      </c>
      <c r="MV24" s="40" t="str">
        <f t="shared" si="106"/>
        <v/>
      </c>
      <c r="MW24" s="40" t="str">
        <f t="shared" si="107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08"/>
        <v/>
      </c>
      <c r="NS24" s="11" t="str">
        <f t="shared" si="109"/>
        <v/>
      </c>
      <c r="NT24" s="11" t="str">
        <f t="shared" si="110"/>
        <v/>
      </c>
      <c r="NU24" s="11" t="str">
        <f t="shared" si="111"/>
        <v/>
      </c>
      <c r="NV24" s="11" t="str">
        <f t="shared" si="112"/>
        <v/>
      </c>
      <c r="NW24" s="11" t="str">
        <f t="shared" si="113"/>
        <v/>
      </c>
      <c r="NX24" s="11" t="str">
        <f t="shared" si="114"/>
        <v/>
      </c>
      <c r="NY24" s="11" t="str">
        <f t="shared" si="115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6"/>
        <v/>
      </c>
      <c r="OU24" s="40" t="str">
        <f t="shared" si="117"/>
        <v/>
      </c>
      <c r="OV24" s="40" t="str">
        <f t="shared" si="118"/>
        <v/>
      </c>
      <c r="OW24" s="40" t="str">
        <f t="shared" si="119"/>
        <v/>
      </c>
      <c r="OX24" s="40" t="str">
        <f t="shared" si="120"/>
        <v/>
      </c>
      <c r="OY24" s="40" t="str">
        <f t="shared" si="121"/>
        <v/>
      </c>
      <c r="OZ24" s="40" t="str">
        <f t="shared" si="122"/>
        <v/>
      </c>
      <c r="PA24" s="40" t="str">
        <f t="shared" si="123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4"/>
        <v/>
      </c>
      <c r="PW24" s="11" t="str">
        <f t="shared" si="125"/>
        <v/>
      </c>
      <c r="PX24" s="11" t="str">
        <f t="shared" si="126"/>
        <v/>
      </c>
      <c r="PY24" s="11" t="str">
        <f t="shared" si="127"/>
        <v/>
      </c>
      <c r="PZ24" s="11" t="str">
        <f t="shared" si="128"/>
        <v/>
      </c>
      <c r="QA24" s="11" t="str">
        <f t="shared" si="129"/>
        <v/>
      </c>
      <c r="QB24" s="11" t="str">
        <f t="shared" si="130"/>
        <v/>
      </c>
      <c r="QC24" s="11" t="str">
        <f t="shared" si="131"/>
        <v/>
      </c>
      <c r="QD24" s="22">
        <f t="shared" si="132"/>
        <v>18.2</v>
      </c>
      <c r="QE24" s="22">
        <f t="shared" si="133"/>
        <v>5.8</v>
      </c>
      <c r="QF24" s="22">
        <f t="shared" si="134"/>
        <v>0.8</v>
      </c>
      <c r="QG24" s="22">
        <f t="shared" si="135"/>
        <v>0</v>
      </c>
      <c r="QH24" s="22">
        <f t="shared" si="136"/>
        <v>18.649999999999999</v>
      </c>
      <c r="QI24" s="22">
        <f t="shared" si="137"/>
        <v>6.6</v>
      </c>
      <c r="QJ24" s="22">
        <f t="shared" si="138"/>
        <v>0.5</v>
      </c>
      <c r="QK24" s="22">
        <f t="shared" si="139"/>
        <v>0</v>
      </c>
      <c r="QL24" s="22">
        <f t="shared" si="140"/>
        <v>8.5500000000000007</v>
      </c>
      <c r="QM24" s="22">
        <f t="shared" si="141"/>
        <v>1.6</v>
      </c>
      <c r="QN24" s="22">
        <f t="shared" si="142"/>
        <v>0</v>
      </c>
      <c r="QO24" s="22">
        <f t="shared" si="143"/>
        <v>0</v>
      </c>
      <c r="QP24" s="22">
        <f t="shared" si="144"/>
        <v>0</v>
      </c>
      <c r="QQ24" s="22">
        <f t="shared" si="145"/>
        <v>0</v>
      </c>
      <c r="QR24" s="22">
        <f t="shared" si="146"/>
        <v>0</v>
      </c>
      <c r="QS24" s="22">
        <f t="shared" si="147"/>
        <v>0</v>
      </c>
      <c r="QT24" s="22">
        <f t="shared" si="148"/>
        <v>0</v>
      </c>
      <c r="QU24" s="22">
        <f t="shared" si="149"/>
        <v>0</v>
      </c>
      <c r="QV24" s="22">
        <f t="shared" si="150"/>
        <v>0</v>
      </c>
      <c r="QW24" s="22">
        <f t="shared" si="151"/>
        <v>0</v>
      </c>
      <c r="QX24" s="27" t="s">
        <v>46</v>
      </c>
      <c r="QY24" s="40">
        <f t="shared" si="152"/>
        <v>12.399999999999999</v>
      </c>
      <c r="QZ24" s="40">
        <f t="shared" si="153"/>
        <v>47.95</v>
      </c>
      <c r="RA24" s="40">
        <f t="shared" si="154"/>
        <v>10.15</v>
      </c>
      <c r="RB24" s="40">
        <f t="shared" si="155"/>
        <v>13.999999999999998</v>
      </c>
      <c r="RC24" s="40">
        <f t="shared" si="156"/>
        <v>58.1</v>
      </c>
      <c r="RD24" s="40" t="str">
        <f t="shared" si="157"/>
        <v/>
      </c>
      <c r="RE24" s="40" t="str">
        <f t="shared" si="158"/>
        <v/>
      </c>
      <c r="RF24" s="40">
        <f t="shared" si="159"/>
        <v>58.1</v>
      </c>
    </row>
    <row r="25" spans="1:474" x14ac:dyDescent="0.2">
      <c r="A25" s="4" t="str" cm="1">
        <f t="array" ref="A25">IF(AND(J25&lt;&gt;"",J25&lt;&gt;"No DD"),SUMPRODUCT((J$4:J$42&lt;&gt;"")*(J$4:J$42&lt;&gt;"No DD")*(F$4:F$42&gt;F25))+1,IF(J25="No DD",SUMPRODUCT((J$4:J$42="No DD")*(F$4:F$42&gt;F25))+1+SUMPRODUCT((J$4:J$42&lt;&gt;"")*(J$4:J$42&lt;&gt;"No DD")),""))</f>
        <v/>
      </c>
      <c r="B25" s="4" t="str" cm="1">
        <f t="array" ref="B25">IF(AND(J25&lt;&gt;"",J25&lt;&gt;"No DD",G25=""),SUMPRODUCT((J$4:J$42&lt;&gt;"")*(J$4:J$42&lt;&gt;"No DD")*(G$4:G$42="")*(F$4:F$42&gt;F25))+1,IF(J25="No DD",SUMPRODUCT((J$4:J$42="No DD")*(F$4:F$42&gt;F25)*(G$4:G$42=""))+1+SUMPRODUCT((J$4:J$42&lt;&gt;"")*(G$4:G$42="")*(J$4:J$42&lt;&gt;"No DD")),""))</f>
        <v/>
      </c>
      <c r="C25" s="5" t="s">
        <v>97</v>
      </c>
      <c r="D25" s="4" t="s">
        <v>3</v>
      </c>
      <c r="E25" s="4">
        <v>2005</v>
      </c>
      <c r="F25" s="9">
        <f t="shared" si="0"/>
        <v>147.30000968000502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50.099999999999994</v>
      </c>
      <c r="M25" s="8" t="str">
        <f t="shared" si="5"/>
        <v>2025 Elite Canada</v>
      </c>
      <c r="N25" s="8">
        <f>IF(COUNT(AQ25,BT25,CW25)&gt;1,LARGE((AQ25,BT25,CW25),2),0)</f>
        <v>46.7</v>
      </c>
      <c r="O25" s="8" t="str">
        <f t="shared" si="6"/>
        <v>2024 3rd Domestic Trial</v>
      </c>
      <c r="P25" s="8">
        <f t="shared" si="7"/>
        <v>50.5</v>
      </c>
      <c r="Q25" s="8" t="str">
        <f t="shared" si="8"/>
        <v>2025 Elite Canada</v>
      </c>
      <c r="R25" s="8" t="str">
        <f t="shared" si="9"/>
        <v/>
      </c>
      <c r="S25" s="11" t="str">
        <f t="shared" si="160"/>
        <v/>
      </c>
      <c r="T25" s="8" t="str">
        <f t="shared" si="161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0"/>
        <v/>
      </c>
      <c r="AQ25" s="40" t="str">
        <f t="shared" si="11"/>
        <v/>
      </c>
      <c r="AR25" s="40" t="str">
        <f t="shared" si="12"/>
        <v/>
      </c>
      <c r="AS25" s="40" t="str">
        <f t="shared" si="13"/>
        <v/>
      </c>
      <c r="AT25" s="40" t="str">
        <f t="shared" si="14"/>
        <v/>
      </c>
      <c r="AU25" s="40" t="str">
        <f t="shared" si="15"/>
        <v/>
      </c>
      <c r="AV25" s="40" t="str">
        <f t="shared" si="16"/>
        <v/>
      </c>
      <c r="AW25" s="40" t="str">
        <f t="shared" si="17"/>
        <v/>
      </c>
      <c r="AX25" s="18">
        <v>19</v>
      </c>
      <c r="AY25" s="18">
        <v>7.2</v>
      </c>
      <c r="AZ25" s="18">
        <v>0</v>
      </c>
      <c r="BA25" s="18">
        <v>0</v>
      </c>
      <c r="BB25" s="18">
        <v>17.3</v>
      </c>
      <c r="BC25" s="18">
        <v>3.2</v>
      </c>
      <c r="BD25" s="18">
        <v>0</v>
      </c>
      <c r="BE25" s="18">
        <v>0</v>
      </c>
      <c r="BF25" s="18">
        <v>16.8</v>
      </c>
      <c r="BG25" s="18">
        <v>6.9</v>
      </c>
      <c r="BH25" s="18">
        <v>0.2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 t="shared" si="18"/>
        <v>10.4</v>
      </c>
      <c r="BT25" s="11">
        <f t="shared" si="19"/>
        <v>46.7</v>
      </c>
      <c r="BU25" s="11">
        <f t="shared" si="20"/>
        <v>23.500000000000004</v>
      </c>
      <c r="BV25" s="11">
        <f t="shared" si="21"/>
        <v>17.3</v>
      </c>
      <c r="BW25" s="11">
        <f t="shared" si="22"/>
        <v>70.2</v>
      </c>
      <c r="BX25" s="11" t="str">
        <f t="shared" si="23"/>
        <v/>
      </c>
      <c r="BY25" s="11" t="str">
        <f t="shared" si="24"/>
        <v/>
      </c>
      <c r="BZ25" s="11">
        <f t="shared" si="25"/>
        <v>70.2</v>
      </c>
      <c r="CA25" s="19">
        <v>18.600000000000001</v>
      </c>
      <c r="CB25" s="19">
        <v>7.2</v>
      </c>
      <c r="CC25" s="19">
        <v>0.8</v>
      </c>
      <c r="CD25" s="19">
        <v>0</v>
      </c>
      <c r="CE25" s="19">
        <v>18.5</v>
      </c>
      <c r="CF25" s="19">
        <v>6.8</v>
      </c>
      <c r="CG25" s="19">
        <v>0.2</v>
      </c>
      <c r="CH25" s="19">
        <v>0</v>
      </c>
      <c r="CI25" s="19"/>
      <c r="CJ25" s="19"/>
      <c r="CK25" s="19"/>
      <c r="CL25" s="19"/>
      <c r="CM25" s="19">
        <v>19.2</v>
      </c>
      <c r="CN25" s="19">
        <v>7.2</v>
      </c>
      <c r="CO25" s="19">
        <v>0</v>
      </c>
      <c r="CP25" s="19">
        <v>0</v>
      </c>
      <c r="CQ25" s="19">
        <v>18.100000000000001</v>
      </c>
      <c r="CR25" s="19">
        <v>6.8</v>
      </c>
      <c r="CS25" s="19">
        <v>0.8</v>
      </c>
      <c r="CT25" s="19">
        <v>0</v>
      </c>
      <c r="CU25" s="27"/>
      <c r="CV25" s="40">
        <f t="shared" si="26"/>
        <v>14</v>
      </c>
      <c r="CW25" s="40">
        <f t="shared" si="27"/>
        <v>50.099999999999994</v>
      </c>
      <c r="CX25" s="40" t="str">
        <f t="shared" si="28"/>
        <v/>
      </c>
      <c r="CY25" s="40">
        <f t="shared" si="29"/>
        <v>14</v>
      </c>
      <c r="CZ25" s="40">
        <f t="shared" si="30"/>
        <v>50.099999999999994</v>
      </c>
      <c r="DA25" s="40">
        <f t="shared" si="31"/>
        <v>14</v>
      </c>
      <c r="DB25" s="40">
        <f t="shared" si="32"/>
        <v>50.5</v>
      </c>
      <c r="DC25" s="40">
        <f t="shared" si="33"/>
        <v>100.6</v>
      </c>
      <c r="DD25" s="50" t="str">
        <f t="shared" si="34"/>
        <v/>
      </c>
      <c r="DE25" s="50" t="str">
        <f t="shared" si="35"/>
        <v/>
      </c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 t="str">
        <f t="shared" si="36"/>
        <v/>
      </c>
      <c r="EA25" s="40" t="str">
        <f t="shared" si="37"/>
        <v/>
      </c>
      <c r="EB25" s="40" t="str">
        <f t="shared" si="38"/>
        <v/>
      </c>
      <c r="EC25" s="40" t="str">
        <f t="shared" si="39"/>
        <v/>
      </c>
      <c r="ED25" s="40" t="str">
        <f t="shared" si="40"/>
        <v/>
      </c>
      <c r="EE25" s="40" t="str">
        <f t="shared" si="41"/>
        <v/>
      </c>
      <c r="EF25" s="40" t="str">
        <f t="shared" si="42"/>
        <v/>
      </c>
      <c r="EG25" s="40" t="str">
        <f t="shared" si="43"/>
        <v/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4"/>
        <v/>
      </c>
      <c r="FC25" s="11" t="str">
        <f t="shared" si="45"/>
        <v/>
      </c>
      <c r="FD25" s="11" t="str">
        <f t="shared" si="46"/>
        <v/>
      </c>
      <c r="FE25" s="11" t="str">
        <f t="shared" si="47"/>
        <v/>
      </c>
      <c r="FF25" s="11" t="str">
        <f t="shared" si="48"/>
        <v/>
      </c>
      <c r="FG25" s="11" t="str">
        <f t="shared" si="49"/>
        <v/>
      </c>
      <c r="FH25" s="11" t="str">
        <f t="shared" si="50"/>
        <v/>
      </c>
      <c r="FI25" s="11" t="str">
        <f t="shared" si="51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2"/>
        <v/>
      </c>
      <c r="GE25" s="40" t="str">
        <f t="shared" si="53"/>
        <v/>
      </c>
      <c r="GF25" s="40" t="str">
        <f t="shared" si="54"/>
        <v/>
      </c>
      <c r="GG25" s="40" t="str">
        <f t="shared" si="55"/>
        <v/>
      </c>
      <c r="GH25" s="40" t="str">
        <f t="shared" si="56"/>
        <v/>
      </c>
      <c r="GI25" s="40" t="str">
        <f t="shared" si="57"/>
        <v/>
      </c>
      <c r="GJ25" s="40" t="str">
        <f t="shared" si="58"/>
        <v/>
      </c>
      <c r="GK25" s="40" t="str">
        <f t="shared" si="59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0"/>
        <v/>
      </c>
      <c r="HG25" s="11" t="str">
        <f t="shared" si="61"/>
        <v/>
      </c>
      <c r="HH25" s="11" t="str">
        <f t="shared" si="62"/>
        <v/>
      </c>
      <c r="HI25" s="11" t="str">
        <f t="shared" si="63"/>
        <v/>
      </c>
      <c r="HJ25" s="11" t="str">
        <f t="shared" si="64"/>
        <v/>
      </c>
      <c r="HK25" s="11" t="str">
        <f t="shared" si="65"/>
        <v/>
      </c>
      <c r="HL25" s="11" t="str">
        <f t="shared" si="66"/>
        <v/>
      </c>
      <c r="HM25" s="11" t="str">
        <f t="shared" si="67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68"/>
        <v/>
      </c>
      <c r="II25" s="40" t="str">
        <f t="shared" si="69"/>
        <v/>
      </c>
      <c r="IJ25" s="40" t="str">
        <f t="shared" si="70"/>
        <v/>
      </c>
      <c r="IK25" s="40" t="str">
        <f t="shared" si="71"/>
        <v/>
      </c>
      <c r="IL25" s="40" t="str">
        <f t="shared" si="72"/>
        <v/>
      </c>
      <c r="IM25" s="40" t="str">
        <f t="shared" si="73"/>
        <v/>
      </c>
      <c r="IN25" s="40" t="str">
        <f t="shared" si="74"/>
        <v/>
      </c>
      <c r="IO25" s="40" t="str">
        <f t="shared" si="75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6"/>
        <v/>
      </c>
      <c r="JK25" s="11" t="str">
        <f t="shared" si="77"/>
        <v/>
      </c>
      <c r="JL25" s="11" t="str">
        <f t="shared" si="78"/>
        <v/>
      </c>
      <c r="JM25" s="11" t="str">
        <f t="shared" si="79"/>
        <v/>
      </c>
      <c r="JN25" s="11" t="str">
        <f t="shared" si="80"/>
        <v/>
      </c>
      <c r="JO25" s="11" t="str">
        <f t="shared" si="81"/>
        <v/>
      </c>
      <c r="JP25" s="11" t="str">
        <f t="shared" si="82"/>
        <v/>
      </c>
      <c r="JQ25" s="11" t="str">
        <f t="shared" si="83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4"/>
        <v/>
      </c>
      <c r="KM25" s="40" t="str">
        <f t="shared" si="85"/>
        <v/>
      </c>
      <c r="KN25" s="40" t="str">
        <f t="shared" si="86"/>
        <v/>
      </c>
      <c r="KO25" s="40" t="str">
        <f t="shared" si="87"/>
        <v/>
      </c>
      <c r="KP25" s="40" t="str">
        <f t="shared" si="88"/>
        <v/>
      </c>
      <c r="KQ25" s="40" t="str">
        <f t="shared" si="89"/>
        <v/>
      </c>
      <c r="KR25" s="40" t="str">
        <f t="shared" si="90"/>
        <v/>
      </c>
      <c r="KS25" s="40" t="str">
        <f t="shared" si="91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2"/>
        <v/>
      </c>
      <c r="LO25" s="11" t="str">
        <f t="shared" si="93"/>
        <v/>
      </c>
      <c r="LP25" s="11" t="str">
        <f t="shared" si="94"/>
        <v/>
      </c>
      <c r="LQ25" s="11" t="str">
        <f t="shared" si="95"/>
        <v/>
      </c>
      <c r="LR25" s="11" t="str">
        <f t="shared" si="96"/>
        <v/>
      </c>
      <c r="LS25" s="11" t="str">
        <f t="shared" si="97"/>
        <v/>
      </c>
      <c r="LT25" s="11" t="str">
        <f t="shared" si="98"/>
        <v/>
      </c>
      <c r="LU25" s="11" t="str">
        <f t="shared" si="99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0"/>
        <v/>
      </c>
      <c r="MQ25" s="40" t="str">
        <f t="shared" si="101"/>
        <v/>
      </c>
      <c r="MR25" s="40" t="str">
        <f t="shared" si="102"/>
        <v/>
      </c>
      <c r="MS25" s="40" t="str">
        <f t="shared" si="103"/>
        <v/>
      </c>
      <c r="MT25" s="40" t="str">
        <f t="shared" si="104"/>
        <v/>
      </c>
      <c r="MU25" s="40" t="str">
        <f t="shared" si="105"/>
        <v/>
      </c>
      <c r="MV25" s="40" t="str">
        <f t="shared" si="106"/>
        <v/>
      </c>
      <c r="MW25" s="40" t="str">
        <f t="shared" si="107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08"/>
        <v/>
      </c>
      <c r="NS25" s="11" t="str">
        <f t="shared" si="109"/>
        <v/>
      </c>
      <c r="NT25" s="11" t="str">
        <f t="shared" si="110"/>
        <v/>
      </c>
      <c r="NU25" s="11" t="str">
        <f t="shared" si="111"/>
        <v/>
      </c>
      <c r="NV25" s="11" t="str">
        <f t="shared" si="112"/>
        <v/>
      </c>
      <c r="NW25" s="11" t="str">
        <f t="shared" si="113"/>
        <v/>
      </c>
      <c r="NX25" s="11" t="str">
        <f t="shared" si="114"/>
        <v/>
      </c>
      <c r="NY25" s="11" t="str">
        <f t="shared" si="115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6"/>
        <v/>
      </c>
      <c r="OU25" s="40" t="str">
        <f t="shared" si="117"/>
        <v/>
      </c>
      <c r="OV25" s="40" t="str">
        <f t="shared" si="118"/>
        <v/>
      </c>
      <c r="OW25" s="40" t="str">
        <f t="shared" si="119"/>
        <v/>
      </c>
      <c r="OX25" s="40" t="str">
        <f t="shared" si="120"/>
        <v/>
      </c>
      <c r="OY25" s="40" t="str">
        <f t="shared" si="121"/>
        <v/>
      </c>
      <c r="OZ25" s="40" t="str">
        <f t="shared" si="122"/>
        <v/>
      </c>
      <c r="PA25" s="40" t="str">
        <f t="shared" si="123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4"/>
        <v/>
      </c>
      <c r="PW25" s="11" t="str">
        <f t="shared" si="125"/>
        <v/>
      </c>
      <c r="PX25" s="11" t="str">
        <f t="shared" si="126"/>
        <v/>
      </c>
      <c r="PY25" s="11" t="str">
        <f t="shared" si="127"/>
        <v/>
      </c>
      <c r="PZ25" s="11" t="str">
        <f t="shared" si="128"/>
        <v/>
      </c>
      <c r="QA25" s="11" t="str">
        <f t="shared" si="129"/>
        <v/>
      </c>
      <c r="QB25" s="11" t="str">
        <f t="shared" si="130"/>
        <v/>
      </c>
      <c r="QC25" s="11" t="str">
        <f t="shared" si="131"/>
        <v/>
      </c>
      <c r="QD25" s="22">
        <f t="shared" si="132"/>
        <v>18.8</v>
      </c>
      <c r="QE25" s="22">
        <f t="shared" si="133"/>
        <v>7.2</v>
      </c>
      <c r="QF25" s="22">
        <f t="shared" si="134"/>
        <v>0.4</v>
      </c>
      <c r="QG25" s="22">
        <f t="shared" si="135"/>
        <v>0</v>
      </c>
      <c r="QH25" s="22">
        <f t="shared" si="136"/>
        <v>17.899999999999999</v>
      </c>
      <c r="QI25" s="22">
        <f t="shared" si="137"/>
        <v>5</v>
      </c>
      <c r="QJ25" s="22">
        <f t="shared" si="138"/>
        <v>0.1</v>
      </c>
      <c r="QK25" s="22">
        <f t="shared" si="139"/>
        <v>0</v>
      </c>
      <c r="QL25" s="22">
        <f t="shared" si="140"/>
        <v>8.4</v>
      </c>
      <c r="QM25" s="22">
        <f t="shared" si="141"/>
        <v>3.45</v>
      </c>
      <c r="QN25" s="22">
        <f t="shared" si="142"/>
        <v>0.1</v>
      </c>
      <c r="QO25" s="22">
        <f t="shared" si="143"/>
        <v>0</v>
      </c>
      <c r="QP25" s="22">
        <f t="shared" si="144"/>
        <v>9.6</v>
      </c>
      <c r="QQ25" s="22">
        <f t="shared" si="145"/>
        <v>3.6</v>
      </c>
      <c r="QR25" s="22">
        <f t="shared" si="146"/>
        <v>0</v>
      </c>
      <c r="QS25" s="22">
        <f t="shared" si="147"/>
        <v>0</v>
      </c>
      <c r="QT25" s="22">
        <f t="shared" si="148"/>
        <v>9.0500000000000007</v>
      </c>
      <c r="QU25" s="22">
        <f t="shared" si="149"/>
        <v>3.4</v>
      </c>
      <c r="QV25" s="22">
        <f t="shared" si="150"/>
        <v>0.4</v>
      </c>
      <c r="QW25" s="22">
        <f t="shared" si="151"/>
        <v>0</v>
      </c>
      <c r="QX25" s="27" t="s">
        <v>46</v>
      </c>
      <c r="QY25" s="40">
        <f t="shared" si="152"/>
        <v>12.2</v>
      </c>
      <c r="QZ25" s="40">
        <f t="shared" si="153"/>
        <v>48.4</v>
      </c>
      <c r="RA25" s="40">
        <f t="shared" si="154"/>
        <v>11.750000000000002</v>
      </c>
      <c r="RB25" s="40">
        <f t="shared" si="155"/>
        <v>15.649999999999999</v>
      </c>
      <c r="RC25" s="40">
        <f t="shared" si="156"/>
        <v>60.15</v>
      </c>
      <c r="RD25" s="40">
        <f t="shared" si="157"/>
        <v>7</v>
      </c>
      <c r="RE25" s="40">
        <f t="shared" si="158"/>
        <v>25.25</v>
      </c>
      <c r="RF25" s="40">
        <f t="shared" si="159"/>
        <v>85.4</v>
      </c>
    </row>
    <row r="26" spans="1:474" x14ac:dyDescent="0.2">
      <c r="A26" s="4" t="str" cm="1">
        <f t="array" ref="A26">IF(AND(J26&lt;&gt;"",J26&lt;&gt;"No DD"),SUMPRODUCT((J$4:J$42&lt;&gt;"")*(J$4:J$42&lt;&gt;"No DD")*(F$4:F$42&gt;F26))+1,IF(J26="No DD",SUMPRODUCT((J$4:J$42="No DD")*(F$4:F$42&gt;F26))+1+SUMPRODUCT((J$4:J$42&lt;&gt;"")*(J$4:J$42&lt;&gt;"No DD")),""))</f>
        <v/>
      </c>
      <c r="B26" s="4" t="str" cm="1">
        <f t="array" ref="B26">IF(AND(J26&lt;&gt;"",J26&lt;&gt;"No DD",G26=""),SUMPRODUCT((J$4:J$42&lt;&gt;"")*(J$4:J$42&lt;&gt;"No DD")*(G$4:G$42="")*(F$4:F$42&gt;F26))+1,IF(J26="No DD",SUMPRODUCT((J$4:J$42="No DD")*(F$4:F$42&gt;F26)*(G$4:G$42=""))+1+SUMPRODUCT((J$4:J$42&lt;&gt;"")*(G$4:G$42="")*(J$4:J$42&lt;&gt;"No DD")),""))</f>
        <v/>
      </c>
      <c r="C26" s="5" t="s">
        <v>175</v>
      </c>
      <c r="D26" s="4" t="s">
        <v>4</v>
      </c>
      <c r="E26" s="4">
        <v>2005</v>
      </c>
      <c r="F26" s="9">
        <f t="shared" si="0"/>
        <v>136.40000888000472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47.3</v>
      </c>
      <c r="M26" s="8" t="str">
        <f t="shared" si="5"/>
        <v>2024 Nationals</v>
      </c>
      <c r="N26" s="8">
        <f>IF(COUNT(AQ26,BT26,CW26)&gt;1,LARGE((AQ26,BT26,CW26),2),0)</f>
        <v>41.500000000000007</v>
      </c>
      <c r="O26" s="8" t="str">
        <f t="shared" si="6"/>
        <v>2025 Elite Canada</v>
      </c>
      <c r="P26" s="8">
        <f t="shared" si="7"/>
        <v>47.6</v>
      </c>
      <c r="Q26" s="8" t="str">
        <f t="shared" si="8"/>
        <v>2024 Nationals</v>
      </c>
      <c r="R26" s="8" t="str">
        <f t="shared" si="9"/>
        <v/>
      </c>
      <c r="S26" s="11" t="str">
        <f t="shared" si="160"/>
        <v/>
      </c>
      <c r="T26" s="8" t="str">
        <f t="shared" si="161"/>
        <v/>
      </c>
      <c r="U26" s="19">
        <v>17.899999999999999</v>
      </c>
      <c r="V26" s="19">
        <v>6</v>
      </c>
      <c r="W26" s="19">
        <v>0.6</v>
      </c>
      <c r="X26" s="19">
        <v>0</v>
      </c>
      <c r="Y26" s="19">
        <v>18</v>
      </c>
      <c r="Z26" s="19">
        <v>6</v>
      </c>
      <c r="AA26" s="19">
        <v>0</v>
      </c>
      <c r="AB26" s="19">
        <v>0</v>
      </c>
      <c r="AC26" s="19">
        <v>17</v>
      </c>
      <c r="AD26" s="19">
        <v>2.4</v>
      </c>
      <c r="AE26" s="19">
        <v>0</v>
      </c>
      <c r="AF26" s="19">
        <v>0</v>
      </c>
      <c r="AG26" s="19">
        <v>18.2</v>
      </c>
      <c r="AH26" s="19">
        <v>6</v>
      </c>
      <c r="AI26" s="19">
        <v>0.8</v>
      </c>
      <c r="AJ26" s="19">
        <v>0</v>
      </c>
      <c r="AK26" s="19">
        <v>18.600000000000001</v>
      </c>
      <c r="AL26" s="19">
        <v>5.6</v>
      </c>
      <c r="AM26" s="19">
        <v>0</v>
      </c>
      <c r="AN26" s="19">
        <v>0</v>
      </c>
      <c r="AO26" s="27"/>
      <c r="AP26" s="40">
        <f t="shared" si="10"/>
        <v>12</v>
      </c>
      <c r="AQ26" s="40">
        <f t="shared" si="11"/>
        <v>47.3</v>
      </c>
      <c r="AR26" s="40">
        <f t="shared" si="12"/>
        <v>19.399999999999999</v>
      </c>
      <c r="AS26" s="40">
        <f t="shared" si="13"/>
        <v>14.4</v>
      </c>
      <c r="AT26" s="40">
        <f t="shared" si="14"/>
        <v>66.699999999999989</v>
      </c>
      <c r="AU26" s="40">
        <f t="shared" si="15"/>
        <v>11.6</v>
      </c>
      <c r="AV26" s="40">
        <f t="shared" si="16"/>
        <v>47.6</v>
      </c>
      <c r="AW26" s="40">
        <f t="shared" si="17"/>
        <v>114.29999999999998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18"/>
        <v/>
      </c>
      <c r="BT26" s="11" t="str">
        <f t="shared" si="19"/>
        <v/>
      </c>
      <c r="BU26" s="11" t="str">
        <f t="shared" si="20"/>
        <v/>
      </c>
      <c r="BV26" s="11" t="str">
        <f t="shared" si="21"/>
        <v/>
      </c>
      <c r="BW26" s="11" t="str">
        <f t="shared" si="22"/>
        <v/>
      </c>
      <c r="BX26" s="11" t="str">
        <f t="shared" si="23"/>
        <v/>
      </c>
      <c r="BY26" s="11" t="str">
        <f t="shared" si="24"/>
        <v/>
      </c>
      <c r="BZ26" s="11" t="str">
        <f t="shared" si="25"/>
        <v/>
      </c>
      <c r="CA26" s="19">
        <v>15.1</v>
      </c>
      <c r="CB26" s="19">
        <v>3.2</v>
      </c>
      <c r="CC26" s="19">
        <v>0</v>
      </c>
      <c r="CD26" s="19">
        <v>0</v>
      </c>
      <c r="CE26" s="19">
        <v>18.8</v>
      </c>
      <c r="CF26" s="19">
        <v>5.2</v>
      </c>
      <c r="CG26" s="19">
        <v>0.8</v>
      </c>
      <c r="CH26" s="19">
        <v>0</v>
      </c>
      <c r="CI26" s="19"/>
      <c r="CJ26" s="19"/>
      <c r="CK26" s="19"/>
      <c r="CL26" s="19"/>
      <c r="CM26" s="19">
        <v>18.100000000000001</v>
      </c>
      <c r="CN26" s="19">
        <v>6.4</v>
      </c>
      <c r="CO26" s="19">
        <v>0.8</v>
      </c>
      <c r="CP26" s="19">
        <v>0</v>
      </c>
      <c r="CQ26" s="19">
        <v>17.399999999999999</v>
      </c>
      <c r="CR26" s="19">
        <v>5.2</v>
      </c>
      <c r="CS26" s="19">
        <v>0.8</v>
      </c>
      <c r="CT26" s="19">
        <v>0</v>
      </c>
      <c r="CU26" s="27"/>
      <c r="CV26" s="40">
        <f t="shared" si="26"/>
        <v>8.4</v>
      </c>
      <c r="CW26" s="40">
        <f t="shared" si="27"/>
        <v>41.500000000000007</v>
      </c>
      <c r="CX26" s="40" t="str">
        <f t="shared" si="28"/>
        <v/>
      </c>
      <c r="CY26" s="40">
        <f t="shared" si="29"/>
        <v>8.4</v>
      </c>
      <c r="CZ26" s="40">
        <f t="shared" si="30"/>
        <v>41.500000000000007</v>
      </c>
      <c r="DA26" s="40">
        <f t="shared" si="31"/>
        <v>11.600000000000001</v>
      </c>
      <c r="DB26" s="40">
        <f t="shared" si="32"/>
        <v>45.5</v>
      </c>
      <c r="DC26" s="40">
        <f t="shared" si="33"/>
        <v>87</v>
      </c>
      <c r="DD26" s="50" t="str">
        <f t="shared" si="34"/>
        <v/>
      </c>
      <c r="DE26" s="50" t="str">
        <f t="shared" si="35"/>
        <v/>
      </c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 t="str">
        <f t="shared" si="36"/>
        <v/>
      </c>
      <c r="EA26" s="40" t="str">
        <f t="shared" si="37"/>
        <v/>
      </c>
      <c r="EB26" s="40" t="str">
        <f t="shared" si="38"/>
        <v/>
      </c>
      <c r="EC26" s="40" t="str">
        <f t="shared" si="39"/>
        <v/>
      </c>
      <c r="ED26" s="40" t="str">
        <f t="shared" si="40"/>
        <v/>
      </c>
      <c r="EE26" s="40" t="str">
        <f t="shared" si="41"/>
        <v/>
      </c>
      <c r="EF26" s="40" t="str">
        <f t="shared" si="42"/>
        <v/>
      </c>
      <c r="EG26" s="40" t="str">
        <f t="shared" si="43"/>
        <v/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4"/>
        <v/>
      </c>
      <c r="FC26" s="11" t="str">
        <f t="shared" si="45"/>
        <v/>
      </c>
      <c r="FD26" s="11" t="str">
        <f t="shared" si="46"/>
        <v/>
      </c>
      <c r="FE26" s="11" t="str">
        <f t="shared" si="47"/>
        <v/>
      </c>
      <c r="FF26" s="11" t="str">
        <f t="shared" si="48"/>
        <v/>
      </c>
      <c r="FG26" s="11" t="str">
        <f t="shared" si="49"/>
        <v/>
      </c>
      <c r="FH26" s="11" t="str">
        <f t="shared" si="50"/>
        <v/>
      </c>
      <c r="FI26" s="11" t="str">
        <f t="shared" si="51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2"/>
        <v/>
      </c>
      <c r="GE26" s="40" t="str">
        <f t="shared" si="53"/>
        <v/>
      </c>
      <c r="GF26" s="40" t="str">
        <f t="shared" si="54"/>
        <v/>
      </c>
      <c r="GG26" s="40" t="str">
        <f t="shared" si="55"/>
        <v/>
      </c>
      <c r="GH26" s="40" t="str">
        <f t="shared" si="56"/>
        <v/>
      </c>
      <c r="GI26" s="40" t="str">
        <f t="shared" si="57"/>
        <v/>
      </c>
      <c r="GJ26" s="40" t="str">
        <f t="shared" si="58"/>
        <v/>
      </c>
      <c r="GK26" s="40" t="str">
        <f t="shared" si="59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0"/>
        <v/>
      </c>
      <c r="HG26" s="11" t="str">
        <f t="shared" si="61"/>
        <v/>
      </c>
      <c r="HH26" s="11" t="str">
        <f t="shared" si="62"/>
        <v/>
      </c>
      <c r="HI26" s="11" t="str">
        <f t="shared" si="63"/>
        <v/>
      </c>
      <c r="HJ26" s="11" t="str">
        <f t="shared" si="64"/>
        <v/>
      </c>
      <c r="HK26" s="11" t="str">
        <f t="shared" si="65"/>
        <v/>
      </c>
      <c r="HL26" s="11" t="str">
        <f t="shared" si="66"/>
        <v/>
      </c>
      <c r="HM26" s="11" t="str">
        <f t="shared" si="67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68"/>
        <v/>
      </c>
      <c r="II26" s="40" t="str">
        <f t="shared" si="69"/>
        <v/>
      </c>
      <c r="IJ26" s="40" t="str">
        <f t="shared" si="70"/>
        <v/>
      </c>
      <c r="IK26" s="40" t="str">
        <f t="shared" si="71"/>
        <v/>
      </c>
      <c r="IL26" s="40" t="str">
        <f t="shared" si="72"/>
        <v/>
      </c>
      <c r="IM26" s="40" t="str">
        <f t="shared" si="73"/>
        <v/>
      </c>
      <c r="IN26" s="40" t="str">
        <f t="shared" si="74"/>
        <v/>
      </c>
      <c r="IO26" s="40" t="str">
        <f t="shared" si="75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6"/>
        <v/>
      </c>
      <c r="JK26" s="11" t="str">
        <f t="shared" si="77"/>
        <v/>
      </c>
      <c r="JL26" s="11" t="str">
        <f t="shared" si="78"/>
        <v/>
      </c>
      <c r="JM26" s="11" t="str">
        <f t="shared" si="79"/>
        <v/>
      </c>
      <c r="JN26" s="11" t="str">
        <f t="shared" si="80"/>
        <v/>
      </c>
      <c r="JO26" s="11" t="str">
        <f t="shared" si="81"/>
        <v/>
      </c>
      <c r="JP26" s="11" t="str">
        <f t="shared" si="82"/>
        <v/>
      </c>
      <c r="JQ26" s="11" t="str">
        <f t="shared" si="83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4"/>
        <v/>
      </c>
      <c r="KM26" s="40" t="str">
        <f t="shared" si="85"/>
        <v/>
      </c>
      <c r="KN26" s="40" t="str">
        <f t="shared" si="86"/>
        <v/>
      </c>
      <c r="KO26" s="40" t="str">
        <f t="shared" si="87"/>
        <v/>
      </c>
      <c r="KP26" s="40" t="str">
        <f t="shared" si="88"/>
        <v/>
      </c>
      <c r="KQ26" s="40" t="str">
        <f t="shared" si="89"/>
        <v/>
      </c>
      <c r="KR26" s="40" t="str">
        <f t="shared" si="90"/>
        <v/>
      </c>
      <c r="KS26" s="40" t="str">
        <f t="shared" si="91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2"/>
        <v/>
      </c>
      <c r="LO26" s="11" t="str">
        <f t="shared" si="93"/>
        <v/>
      </c>
      <c r="LP26" s="11" t="str">
        <f t="shared" si="94"/>
        <v/>
      </c>
      <c r="LQ26" s="11" t="str">
        <f t="shared" si="95"/>
        <v/>
      </c>
      <c r="LR26" s="11" t="str">
        <f t="shared" si="96"/>
        <v/>
      </c>
      <c r="LS26" s="11" t="str">
        <f t="shared" si="97"/>
        <v/>
      </c>
      <c r="LT26" s="11" t="str">
        <f t="shared" si="98"/>
        <v/>
      </c>
      <c r="LU26" s="11" t="str">
        <f t="shared" si="99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0"/>
        <v/>
      </c>
      <c r="MQ26" s="40" t="str">
        <f t="shared" si="101"/>
        <v/>
      </c>
      <c r="MR26" s="40" t="str">
        <f t="shared" si="102"/>
        <v/>
      </c>
      <c r="MS26" s="40" t="str">
        <f t="shared" si="103"/>
        <v/>
      </c>
      <c r="MT26" s="40" t="str">
        <f t="shared" si="104"/>
        <v/>
      </c>
      <c r="MU26" s="40" t="str">
        <f t="shared" si="105"/>
        <v/>
      </c>
      <c r="MV26" s="40" t="str">
        <f t="shared" si="106"/>
        <v/>
      </c>
      <c r="MW26" s="40" t="str">
        <f t="shared" si="107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08"/>
        <v/>
      </c>
      <c r="NS26" s="11" t="str">
        <f t="shared" si="109"/>
        <v/>
      </c>
      <c r="NT26" s="11" t="str">
        <f t="shared" si="110"/>
        <v/>
      </c>
      <c r="NU26" s="11" t="str">
        <f t="shared" si="111"/>
        <v/>
      </c>
      <c r="NV26" s="11" t="str">
        <f t="shared" si="112"/>
        <v/>
      </c>
      <c r="NW26" s="11" t="str">
        <f t="shared" si="113"/>
        <v/>
      </c>
      <c r="NX26" s="11" t="str">
        <f t="shared" si="114"/>
        <v/>
      </c>
      <c r="NY26" s="11" t="str">
        <f t="shared" si="115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6"/>
        <v/>
      </c>
      <c r="OU26" s="40" t="str">
        <f t="shared" si="117"/>
        <v/>
      </c>
      <c r="OV26" s="40" t="str">
        <f t="shared" si="118"/>
        <v/>
      </c>
      <c r="OW26" s="40" t="str">
        <f t="shared" si="119"/>
        <v/>
      </c>
      <c r="OX26" s="40" t="str">
        <f t="shared" si="120"/>
        <v/>
      </c>
      <c r="OY26" s="40" t="str">
        <f t="shared" si="121"/>
        <v/>
      </c>
      <c r="OZ26" s="40" t="str">
        <f t="shared" si="122"/>
        <v/>
      </c>
      <c r="PA26" s="40" t="str">
        <f t="shared" si="123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4"/>
        <v/>
      </c>
      <c r="PW26" s="11" t="str">
        <f t="shared" si="125"/>
        <v/>
      </c>
      <c r="PX26" s="11" t="str">
        <f t="shared" si="126"/>
        <v/>
      </c>
      <c r="PY26" s="11" t="str">
        <f t="shared" si="127"/>
        <v/>
      </c>
      <c r="PZ26" s="11" t="str">
        <f t="shared" si="128"/>
        <v/>
      </c>
      <c r="QA26" s="11" t="str">
        <f t="shared" si="129"/>
        <v/>
      </c>
      <c r="QB26" s="11" t="str">
        <f t="shared" si="130"/>
        <v/>
      </c>
      <c r="QC26" s="11" t="str">
        <f t="shared" si="131"/>
        <v/>
      </c>
      <c r="QD26" s="22">
        <f t="shared" si="132"/>
        <v>7.55</v>
      </c>
      <c r="QE26" s="22">
        <f t="shared" si="133"/>
        <v>1.6</v>
      </c>
      <c r="QF26" s="22">
        <f t="shared" si="134"/>
        <v>0</v>
      </c>
      <c r="QG26" s="22">
        <f t="shared" si="135"/>
        <v>0</v>
      </c>
      <c r="QH26" s="22">
        <f t="shared" si="136"/>
        <v>9.4</v>
      </c>
      <c r="QI26" s="22">
        <f t="shared" si="137"/>
        <v>2.6</v>
      </c>
      <c r="QJ26" s="22">
        <f t="shared" si="138"/>
        <v>0.4</v>
      </c>
      <c r="QK26" s="22">
        <f t="shared" si="139"/>
        <v>0</v>
      </c>
      <c r="QL26" s="22">
        <f t="shared" si="140"/>
        <v>0</v>
      </c>
      <c r="QM26" s="22">
        <f t="shared" si="141"/>
        <v>0</v>
      </c>
      <c r="QN26" s="22">
        <f t="shared" si="142"/>
        <v>0</v>
      </c>
      <c r="QO26" s="22">
        <f t="shared" si="143"/>
        <v>0</v>
      </c>
      <c r="QP26" s="22">
        <f t="shared" si="144"/>
        <v>9.0500000000000007</v>
      </c>
      <c r="QQ26" s="22">
        <f t="shared" si="145"/>
        <v>3.2</v>
      </c>
      <c r="QR26" s="22">
        <f t="shared" si="146"/>
        <v>0.4</v>
      </c>
      <c r="QS26" s="22">
        <f t="shared" si="147"/>
        <v>0</v>
      </c>
      <c r="QT26" s="22">
        <f t="shared" si="148"/>
        <v>8.6999999999999993</v>
      </c>
      <c r="QU26" s="22">
        <f t="shared" si="149"/>
        <v>2.6</v>
      </c>
      <c r="QV26" s="22">
        <f t="shared" si="150"/>
        <v>0.4</v>
      </c>
      <c r="QW26" s="22">
        <f t="shared" si="151"/>
        <v>0</v>
      </c>
      <c r="QX26" s="27" t="s">
        <v>46</v>
      </c>
      <c r="QY26" s="40">
        <f t="shared" si="152"/>
        <v>4.2</v>
      </c>
      <c r="QZ26" s="40">
        <f t="shared" si="153"/>
        <v>20.750000000000004</v>
      </c>
      <c r="RA26" s="40" t="str">
        <f t="shared" si="154"/>
        <v/>
      </c>
      <c r="RB26" s="40">
        <f t="shared" si="155"/>
        <v>4.2</v>
      </c>
      <c r="RC26" s="40">
        <f t="shared" si="156"/>
        <v>20.750000000000004</v>
      </c>
      <c r="RD26" s="40">
        <f t="shared" si="157"/>
        <v>5.8000000000000007</v>
      </c>
      <c r="RE26" s="40">
        <f t="shared" si="158"/>
        <v>22.75</v>
      </c>
      <c r="RF26" s="40">
        <f t="shared" si="159"/>
        <v>43.5</v>
      </c>
    </row>
    <row r="27" spans="1:474" x14ac:dyDescent="0.2">
      <c r="A27" s="4" t="str" cm="1">
        <f t="array" ref="A27">IF(AND(J27&lt;&gt;"",J27&lt;&gt;"No DD"),SUMPRODUCT((J$4:J$42&lt;&gt;"")*(J$4:J$42&lt;&gt;"No DD")*(F$4:F$42&gt;F27))+1,IF(J27="No DD",SUMPRODUCT((J$4:J$42="No DD")*(F$4:F$42&gt;F27))+1+SUMPRODUCT((J$4:J$42&lt;&gt;"")*(J$4:J$42&lt;&gt;"No DD")),""))</f>
        <v/>
      </c>
      <c r="B27" s="4" t="str" cm="1">
        <f t="array" ref="B27">IF(AND(J27&lt;&gt;"",J27&lt;&gt;"No DD",G27=""),SUMPRODUCT((J$4:J$42&lt;&gt;"")*(J$4:J$42&lt;&gt;"No DD")*(G$4:G$42="")*(F$4:F$42&gt;F27))+1,IF(J27="No DD",SUMPRODUCT((J$4:J$42="No DD")*(F$4:F$42&gt;F27)*(G$4:G$42=""))+1+SUMPRODUCT((J$4:J$42&lt;&gt;"")*(G$4:G$42="")*(J$4:J$42&lt;&gt;"No DD")),""))</f>
        <v/>
      </c>
      <c r="C27" s="5" t="s">
        <v>225</v>
      </c>
      <c r="D27" s="4" t="s">
        <v>5</v>
      </c>
      <c r="E27" s="4">
        <v>2008</v>
      </c>
      <c r="F27" s="9">
        <f t="shared" si="0"/>
        <v>132.80000883000446</v>
      </c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44.2</v>
      </c>
      <c r="M27" s="8" t="str">
        <f t="shared" si="5"/>
        <v>2024 3rd Domestic Trial</v>
      </c>
      <c r="N27" s="8">
        <f>IF(COUNT(AQ27,BT27,CW27)&gt;1,LARGE((AQ27,BT27,CW27),2),0)</f>
        <v>44.1</v>
      </c>
      <c r="O27" s="8" t="str">
        <f t="shared" si="6"/>
        <v>2025 Elite Canada</v>
      </c>
      <c r="P27" s="8">
        <f t="shared" si="7"/>
        <v>44.5</v>
      </c>
      <c r="Q27" s="8" t="str">
        <f t="shared" si="8"/>
        <v>2024 3rd Domestic Trial</v>
      </c>
      <c r="R27" s="8" t="str">
        <f t="shared" si="9"/>
        <v/>
      </c>
      <c r="S27" s="11" t="str">
        <f t="shared" si="160"/>
        <v/>
      </c>
      <c r="T27" s="8" t="str">
        <f t="shared" si="16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0"/>
        <v/>
      </c>
      <c r="AQ27" s="40" t="str">
        <f t="shared" si="11"/>
        <v/>
      </c>
      <c r="AR27" s="40" t="str">
        <f t="shared" si="12"/>
        <v/>
      </c>
      <c r="AS27" s="40" t="str">
        <f t="shared" si="13"/>
        <v/>
      </c>
      <c r="AT27" s="40" t="str">
        <f t="shared" si="14"/>
        <v/>
      </c>
      <c r="AU27" s="40" t="str">
        <f t="shared" si="15"/>
        <v/>
      </c>
      <c r="AV27" s="40" t="str">
        <f t="shared" si="16"/>
        <v/>
      </c>
      <c r="AW27" s="40" t="str">
        <f t="shared" si="17"/>
        <v/>
      </c>
      <c r="AX27" s="18">
        <v>17.600000000000001</v>
      </c>
      <c r="AY27" s="18">
        <v>4.4000000000000004</v>
      </c>
      <c r="AZ27" s="18">
        <v>0</v>
      </c>
      <c r="BA27" s="18">
        <v>0</v>
      </c>
      <c r="BB27" s="18">
        <v>18.600000000000001</v>
      </c>
      <c r="BC27" s="18">
        <v>3.6</v>
      </c>
      <c r="BD27" s="18">
        <v>0</v>
      </c>
      <c r="BE27" s="18">
        <v>0</v>
      </c>
      <c r="BF27" s="18"/>
      <c r="BG27" s="18"/>
      <c r="BH27" s="18"/>
      <c r="BI27" s="18"/>
      <c r="BJ27" s="18">
        <v>18.2</v>
      </c>
      <c r="BK27" s="18">
        <v>4.3</v>
      </c>
      <c r="BL27" s="18">
        <v>0.2</v>
      </c>
      <c r="BM27" s="18">
        <v>0</v>
      </c>
      <c r="BN27" s="18">
        <v>18.5</v>
      </c>
      <c r="BO27" s="18">
        <v>3.7</v>
      </c>
      <c r="BP27" s="18">
        <v>0</v>
      </c>
      <c r="BQ27" s="18">
        <v>0</v>
      </c>
      <c r="BR27" s="28"/>
      <c r="BS27" s="11">
        <f t="shared" si="18"/>
        <v>8</v>
      </c>
      <c r="BT27" s="11">
        <f t="shared" si="19"/>
        <v>44.2</v>
      </c>
      <c r="BU27" s="11" t="str">
        <f t="shared" si="20"/>
        <v/>
      </c>
      <c r="BV27" s="11">
        <f t="shared" si="21"/>
        <v>8</v>
      </c>
      <c r="BW27" s="11">
        <f t="shared" si="22"/>
        <v>44.2</v>
      </c>
      <c r="BX27" s="11">
        <f t="shared" si="23"/>
        <v>8</v>
      </c>
      <c r="BY27" s="11">
        <f t="shared" si="24"/>
        <v>44.5</v>
      </c>
      <c r="BZ27" s="11">
        <f t="shared" si="25"/>
        <v>88.7</v>
      </c>
      <c r="CA27" s="19">
        <v>17.600000000000001</v>
      </c>
      <c r="CB27" s="19">
        <v>4.4000000000000004</v>
      </c>
      <c r="CC27" s="19">
        <v>0.8</v>
      </c>
      <c r="CD27" s="19">
        <v>0</v>
      </c>
      <c r="CE27" s="19">
        <v>18.899999999999999</v>
      </c>
      <c r="CF27" s="19">
        <v>4.3</v>
      </c>
      <c r="CG27" s="19">
        <v>0.3</v>
      </c>
      <c r="CH27" s="19">
        <v>0</v>
      </c>
      <c r="CI27" s="19"/>
      <c r="CJ27" s="19"/>
      <c r="CK27" s="19"/>
      <c r="CL27" s="19"/>
      <c r="CM27" s="19">
        <v>17.600000000000001</v>
      </c>
      <c r="CN27" s="19">
        <v>4.8</v>
      </c>
      <c r="CO27" s="19">
        <v>0.6</v>
      </c>
      <c r="CP27" s="19">
        <v>0</v>
      </c>
      <c r="CQ27" s="19">
        <v>15.1</v>
      </c>
      <c r="CR27" s="19">
        <v>2.4</v>
      </c>
      <c r="CS27" s="19">
        <v>0</v>
      </c>
      <c r="CT27" s="19">
        <v>0</v>
      </c>
      <c r="CU27" s="27"/>
      <c r="CV27" s="40">
        <f t="shared" si="26"/>
        <v>8.6999999999999993</v>
      </c>
      <c r="CW27" s="40">
        <f t="shared" si="27"/>
        <v>44.1</v>
      </c>
      <c r="CX27" s="40" t="str">
        <f t="shared" si="28"/>
        <v/>
      </c>
      <c r="CY27" s="40">
        <f t="shared" si="29"/>
        <v>8.6999999999999993</v>
      </c>
      <c r="CZ27" s="40">
        <f t="shared" si="30"/>
        <v>44.1</v>
      </c>
      <c r="DA27" s="40">
        <f t="shared" si="31"/>
        <v>7.1999999999999993</v>
      </c>
      <c r="DB27" s="40">
        <f t="shared" si="32"/>
        <v>39.299999999999997</v>
      </c>
      <c r="DC27" s="40">
        <f t="shared" si="33"/>
        <v>83.4</v>
      </c>
      <c r="DD27" s="50" t="str">
        <f t="shared" si="34"/>
        <v/>
      </c>
      <c r="DE27" s="50" t="str">
        <f t="shared" si="35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6"/>
        <v/>
      </c>
      <c r="EA27" s="40" t="str">
        <f t="shared" si="37"/>
        <v/>
      </c>
      <c r="EB27" s="40" t="str">
        <f t="shared" si="38"/>
        <v/>
      </c>
      <c r="EC27" s="40" t="str">
        <f t="shared" si="39"/>
        <v/>
      </c>
      <c r="ED27" s="40" t="str">
        <f t="shared" si="40"/>
        <v/>
      </c>
      <c r="EE27" s="40" t="str">
        <f t="shared" si="41"/>
        <v/>
      </c>
      <c r="EF27" s="40" t="str">
        <f t="shared" si="42"/>
        <v/>
      </c>
      <c r="EG27" s="40" t="str">
        <f t="shared" si="43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4"/>
        <v/>
      </c>
      <c r="FC27" s="11" t="str">
        <f t="shared" si="45"/>
        <v/>
      </c>
      <c r="FD27" s="11" t="str">
        <f t="shared" si="46"/>
        <v/>
      </c>
      <c r="FE27" s="11" t="str">
        <f t="shared" si="47"/>
        <v/>
      </c>
      <c r="FF27" s="11" t="str">
        <f t="shared" si="48"/>
        <v/>
      </c>
      <c r="FG27" s="11" t="str">
        <f t="shared" si="49"/>
        <v/>
      </c>
      <c r="FH27" s="11" t="str">
        <f t="shared" si="50"/>
        <v/>
      </c>
      <c r="FI27" s="11" t="str">
        <f t="shared" si="51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2"/>
        <v/>
      </c>
      <c r="GE27" s="40" t="str">
        <f t="shared" si="53"/>
        <v/>
      </c>
      <c r="GF27" s="40" t="str">
        <f t="shared" si="54"/>
        <v/>
      </c>
      <c r="GG27" s="40" t="str">
        <f t="shared" si="55"/>
        <v/>
      </c>
      <c r="GH27" s="40" t="str">
        <f t="shared" si="56"/>
        <v/>
      </c>
      <c r="GI27" s="40" t="str">
        <f t="shared" si="57"/>
        <v/>
      </c>
      <c r="GJ27" s="40" t="str">
        <f t="shared" si="58"/>
        <v/>
      </c>
      <c r="GK27" s="40" t="str">
        <f t="shared" si="59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0"/>
        <v/>
      </c>
      <c r="HG27" s="11" t="str">
        <f t="shared" si="61"/>
        <v/>
      </c>
      <c r="HH27" s="11" t="str">
        <f t="shared" si="62"/>
        <v/>
      </c>
      <c r="HI27" s="11" t="str">
        <f t="shared" si="63"/>
        <v/>
      </c>
      <c r="HJ27" s="11" t="str">
        <f t="shared" si="64"/>
        <v/>
      </c>
      <c r="HK27" s="11" t="str">
        <f t="shared" si="65"/>
        <v/>
      </c>
      <c r="HL27" s="11" t="str">
        <f t="shared" si="66"/>
        <v/>
      </c>
      <c r="HM27" s="11" t="str">
        <f t="shared" si="67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68"/>
        <v/>
      </c>
      <c r="II27" s="40" t="str">
        <f t="shared" si="69"/>
        <v/>
      </c>
      <c r="IJ27" s="40" t="str">
        <f t="shared" si="70"/>
        <v/>
      </c>
      <c r="IK27" s="40" t="str">
        <f t="shared" si="71"/>
        <v/>
      </c>
      <c r="IL27" s="40" t="str">
        <f t="shared" si="72"/>
        <v/>
      </c>
      <c r="IM27" s="40" t="str">
        <f t="shared" si="73"/>
        <v/>
      </c>
      <c r="IN27" s="40" t="str">
        <f t="shared" si="74"/>
        <v/>
      </c>
      <c r="IO27" s="40" t="str">
        <f t="shared" si="75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6"/>
        <v/>
      </c>
      <c r="JK27" s="11" t="str">
        <f t="shared" si="77"/>
        <v/>
      </c>
      <c r="JL27" s="11" t="str">
        <f t="shared" si="78"/>
        <v/>
      </c>
      <c r="JM27" s="11" t="str">
        <f t="shared" si="79"/>
        <v/>
      </c>
      <c r="JN27" s="11" t="str">
        <f t="shared" si="80"/>
        <v/>
      </c>
      <c r="JO27" s="11" t="str">
        <f t="shared" si="81"/>
        <v/>
      </c>
      <c r="JP27" s="11" t="str">
        <f t="shared" si="82"/>
        <v/>
      </c>
      <c r="JQ27" s="11" t="str">
        <f t="shared" si="83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4"/>
        <v/>
      </c>
      <c r="KM27" s="40" t="str">
        <f t="shared" si="85"/>
        <v/>
      </c>
      <c r="KN27" s="40" t="str">
        <f t="shared" si="86"/>
        <v/>
      </c>
      <c r="KO27" s="40" t="str">
        <f t="shared" si="87"/>
        <v/>
      </c>
      <c r="KP27" s="40" t="str">
        <f t="shared" si="88"/>
        <v/>
      </c>
      <c r="KQ27" s="40" t="str">
        <f t="shared" si="89"/>
        <v/>
      </c>
      <c r="KR27" s="40" t="str">
        <f t="shared" si="90"/>
        <v/>
      </c>
      <c r="KS27" s="40" t="str">
        <f t="shared" si="91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2"/>
        <v/>
      </c>
      <c r="LO27" s="11" t="str">
        <f t="shared" si="93"/>
        <v/>
      </c>
      <c r="LP27" s="11" t="str">
        <f t="shared" si="94"/>
        <v/>
      </c>
      <c r="LQ27" s="11" t="str">
        <f t="shared" si="95"/>
        <v/>
      </c>
      <c r="LR27" s="11" t="str">
        <f t="shared" si="96"/>
        <v/>
      </c>
      <c r="LS27" s="11" t="str">
        <f t="shared" si="97"/>
        <v/>
      </c>
      <c r="LT27" s="11" t="str">
        <f t="shared" si="98"/>
        <v/>
      </c>
      <c r="LU27" s="11" t="str">
        <f t="shared" si="99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0"/>
        <v/>
      </c>
      <c r="MQ27" s="40" t="str">
        <f t="shared" si="101"/>
        <v/>
      </c>
      <c r="MR27" s="40" t="str">
        <f t="shared" si="102"/>
        <v/>
      </c>
      <c r="MS27" s="40" t="str">
        <f t="shared" si="103"/>
        <v/>
      </c>
      <c r="MT27" s="40" t="str">
        <f t="shared" si="104"/>
        <v/>
      </c>
      <c r="MU27" s="40" t="str">
        <f t="shared" si="105"/>
        <v/>
      </c>
      <c r="MV27" s="40" t="str">
        <f t="shared" si="106"/>
        <v/>
      </c>
      <c r="MW27" s="40" t="str">
        <f t="shared" si="107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08"/>
        <v/>
      </c>
      <c r="NS27" s="11" t="str">
        <f t="shared" si="109"/>
        <v/>
      </c>
      <c r="NT27" s="11" t="str">
        <f t="shared" si="110"/>
        <v/>
      </c>
      <c r="NU27" s="11" t="str">
        <f t="shared" si="111"/>
        <v/>
      </c>
      <c r="NV27" s="11" t="str">
        <f t="shared" si="112"/>
        <v/>
      </c>
      <c r="NW27" s="11" t="str">
        <f t="shared" si="113"/>
        <v/>
      </c>
      <c r="NX27" s="11" t="str">
        <f t="shared" si="114"/>
        <v/>
      </c>
      <c r="NY27" s="11" t="str">
        <f t="shared" si="115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6"/>
        <v/>
      </c>
      <c r="OU27" s="40" t="str">
        <f t="shared" si="117"/>
        <v/>
      </c>
      <c r="OV27" s="40" t="str">
        <f t="shared" si="118"/>
        <v/>
      </c>
      <c r="OW27" s="40" t="str">
        <f t="shared" si="119"/>
        <v/>
      </c>
      <c r="OX27" s="40" t="str">
        <f t="shared" si="120"/>
        <v/>
      </c>
      <c r="OY27" s="40" t="str">
        <f t="shared" si="121"/>
        <v/>
      </c>
      <c r="OZ27" s="40" t="str">
        <f t="shared" si="122"/>
        <v/>
      </c>
      <c r="PA27" s="40" t="str">
        <f t="shared" si="123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4"/>
        <v/>
      </c>
      <c r="PW27" s="11" t="str">
        <f t="shared" si="125"/>
        <v/>
      </c>
      <c r="PX27" s="11" t="str">
        <f t="shared" si="126"/>
        <v/>
      </c>
      <c r="PY27" s="11" t="str">
        <f t="shared" si="127"/>
        <v/>
      </c>
      <c r="PZ27" s="11" t="str">
        <f t="shared" si="128"/>
        <v/>
      </c>
      <c r="QA27" s="11" t="str">
        <f t="shared" si="129"/>
        <v/>
      </c>
      <c r="QB27" s="11" t="str">
        <f t="shared" si="130"/>
        <v/>
      </c>
      <c r="QC27" s="11" t="str">
        <f t="shared" si="131"/>
        <v/>
      </c>
      <c r="QD27" s="22">
        <f t="shared" si="132"/>
        <v>17.600000000000001</v>
      </c>
      <c r="QE27" s="22">
        <f t="shared" si="133"/>
        <v>4.4000000000000004</v>
      </c>
      <c r="QF27" s="22">
        <f t="shared" si="134"/>
        <v>0.4</v>
      </c>
      <c r="QG27" s="22">
        <f t="shared" si="135"/>
        <v>0</v>
      </c>
      <c r="QH27" s="22">
        <f t="shared" si="136"/>
        <v>18.75</v>
      </c>
      <c r="QI27" s="22">
        <f t="shared" si="137"/>
        <v>3.95</v>
      </c>
      <c r="QJ27" s="22">
        <f t="shared" si="138"/>
        <v>0.15</v>
      </c>
      <c r="QK27" s="22">
        <f t="shared" si="139"/>
        <v>0</v>
      </c>
      <c r="QL27" s="22">
        <f t="shared" si="140"/>
        <v>0</v>
      </c>
      <c r="QM27" s="22">
        <f t="shared" si="141"/>
        <v>0</v>
      </c>
      <c r="QN27" s="22">
        <f t="shared" si="142"/>
        <v>0</v>
      </c>
      <c r="QO27" s="22">
        <f t="shared" si="143"/>
        <v>0</v>
      </c>
      <c r="QP27" s="22">
        <f t="shared" si="144"/>
        <v>17.899999999999999</v>
      </c>
      <c r="QQ27" s="22">
        <f t="shared" si="145"/>
        <v>4.55</v>
      </c>
      <c r="QR27" s="22">
        <f t="shared" si="146"/>
        <v>0.4</v>
      </c>
      <c r="QS27" s="22">
        <f t="shared" si="147"/>
        <v>0</v>
      </c>
      <c r="QT27" s="22">
        <f t="shared" si="148"/>
        <v>16.8</v>
      </c>
      <c r="QU27" s="22">
        <f t="shared" si="149"/>
        <v>3.05</v>
      </c>
      <c r="QV27" s="22">
        <f t="shared" si="150"/>
        <v>0</v>
      </c>
      <c r="QW27" s="22">
        <f t="shared" si="151"/>
        <v>0</v>
      </c>
      <c r="QX27" s="27" t="s">
        <v>46</v>
      </c>
      <c r="QY27" s="40">
        <f t="shared" si="152"/>
        <v>8.3500000000000014</v>
      </c>
      <c r="QZ27" s="40">
        <f t="shared" si="153"/>
        <v>44.150000000000006</v>
      </c>
      <c r="RA27" s="40" t="str">
        <f t="shared" si="154"/>
        <v/>
      </c>
      <c r="RB27" s="40">
        <f t="shared" si="155"/>
        <v>8.3500000000000014</v>
      </c>
      <c r="RC27" s="40">
        <f t="shared" si="156"/>
        <v>44.150000000000006</v>
      </c>
      <c r="RD27" s="40">
        <f t="shared" si="157"/>
        <v>7.6</v>
      </c>
      <c r="RE27" s="40">
        <f t="shared" si="158"/>
        <v>41.9</v>
      </c>
      <c r="RF27" s="40">
        <f t="shared" si="159"/>
        <v>86.050000000000011</v>
      </c>
    </row>
    <row r="28" spans="1:474" x14ac:dyDescent="0.2">
      <c r="A28" s="4" t="str" cm="1">
        <f t="array" ref="A28">IF(AND(J28&lt;&gt;"",J28&lt;&gt;"No DD"),SUMPRODUCT((J$4:J$42&lt;&gt;"")*(J$4:J$42&lt;&gt;"No DD")*(F$4:F$42&gt;F28))+1,IF(J28="No DD",SUMPRODUCT((J$4:J$42="No DD")*(F$4:F$42&gt;F28))+1+SUMPRODUCT((J$4:J$42&lt;&gt;"")*(J$4:J$42&lt;&gt;"No DD")),""))</f>
        <v/>
      </c>
      <c r="B28" s="4" t="str" cm="1">
        <f t="array" ref="B28">IF(AND(J28&lt;&gt;"",J28&lt;&gt;"No DD",G28=""),SUMPRODUCT((J$4:J$42&lt;&gt;"")*(J$4:J$42&lt;&gt;"No DD")*(G$4:G$42="")*(F$4:F$42&gt;F28))+1,IF(J28="No DD",SUMPRODUCT((J$4:J$42="No DD")*(F$4:F$42&gt;F28)*(G$4:G$42=""))+1+SUMPRODUCT((J$4:J$42&lt;&gt;"")*(G$4:G$42="")*(J$4:J$42&lt;&gt;"No DD")),""))</f>
        <v/>
      </c>
      <c r="C28" s="5" t="s">
        <v>224</v>
      </c>
      <c r="D28" s="4" t="s">
        <v>3</v>
      </c>
      <c r="E28" s="4">
        <v>2008</v>
      </c>
      <c r="F28" s="9">
        <f t="shared" si="0"/>
        <v>128.80000828000468</v>
      </c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46.9</v>
      </c>
      <c r="M28" s="8" t="str">
        <f t="shared" si="5"/>
        <v>2024 3rd Domestic Trial</v>
      </c>
      <c r="N28" s="8">
        <f>IF(COUNT(AQ28,BT28,CW28)&gt;1,LARGE((AQ28,BT28,CW28),2),0)</f>
        <v>35.9</v>
      </c>
      <c r="O28" s="8" t="str">
        <f t="shared" si="6"/>
        <v>2025 Elite Canada</v>
      </c>
      <c r="P28" s="8">
        <f t="shared" si="7"/>
        <v>45.999999999999993</v>
      </c>
      <c r="Q28" s="8" t="str">
        <f t="shared" si="8"/>
        <v>2024 3rd Domestic Trial</v>
      </c>
      <c r="R28" s="8" t="str">
        <f t="shared" si="9"/>
        <v/>
      </c>
      <c r="S28" s="11" t="str">
        <f t="shared" si="160"/>
        <v/>
      </c>
      <c r="T28" s="8" t="str">
        <f t="shared" si="16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0"/>
        <v/>
      </c>
      <c r="AQ28" s="40" t="str">
        <f t="shared" si="11"/>
        <v/>
      </c>
      <c r="AR28" s="40" t="str">
        <f t="shared" si="12"/>
        <v/>
      </c>
      <c r="AS28" s="40" t="str">
        <f t="shared" si="13"/>
        <v/>
      </c>
      <c r="AT28" s="40" t="str">
        <f t="shared" si="14"/>
        <v/>
      </c>
      <c r="AU28" s="40" t="str">
        <f t="shared" si="15"/>
        <v/>
      </c>
      <c r="AV28" s="40" t="str">
        <f t="shared" si="16"/>
        <v/>
      </c>
      <c r="AW28" s="40" t="str">
        <f t="shared" si="17"/>
        <v/>
      </c>
      <c r="AX28" s="18">
        <v>18</v>
      </c>
      <c r="AY28" s="18">
        <v>5.6</v>
      </c>
      <c r="AZ28" s="18">
        <v>0.6</v>
      </c>
      <c r="BA28" s="18">
        <v>0</v>
      </c>
      <c r="BB28" s="18">
        <v>18.7</v>
      </c>
      <c r="BC28" s="18">
        <v>5.2</v>
      </c>
      <c r="BD28" s="18">
        <v>0</v>
      </c>
      <c r="BE28" s="18">
        <v>0</v>
      </c>
      <c r="BF28" s="18"/>
      <c r="BG28" s="18"/>
      <c r="BH28" s="18"/>
      <c r="BI28" s="18"/>
      <c r="BJ28" s="18">
        <v>18.399999999999999</v>
      </c>
      <c r="BK28" s="18">
        <v>4.3</v>
      </c>
      <c r="BL28" s="18">
        <v>0.2</v>
      </c>
      <c r="BM28" s="18">
        <v>0</v>
      </c>
      <c r="BN28" s="18">
        <v>18.7</v>
      </c>
      <c r="BO28" s="18">
        <v>4.8</v>
      </c>
      <c r="BP28" s="18">
        <v>0</v>
      </c>
      <c r="BQ28" s="18">
        <v>0</v>
      </c>
      <c r="BR28" s="28"/>
      <c r="BS28" s="11">
        <f t="shared" si="18"/>
        <v>10.8</v>
      </c>
      <c r="BT28" s="11">
        <f t="shared" si="19"/>
        <v>46.9</v>
      </c>
      <c r="BU28" s="11" t="str">
        <f t="shared" si="20"/>
        <v/>
      </c>
      <c r="BV28" s="11">
        <f t="shared" si="21"/>
        <v>10.8</v>
      </c>
      <c r="BW28" s="11">
        <f t="shared" si="22"/>
        <v>46.9</v>
      </c>
      <c r="BX28" s="11">
        <f t="shared" si="23"/>
        <v>9.1</v>
      </c>
      <c r="BY28" s="11">
        <f t="shared" si="24"/>
        <v>45.999999999999993</v>
      </c>
      <c r="BZ28" s="11">
        <f t="shared" si="25"/>
        <v>92.899999999999991</v>
      </c>
      <c r="CA28" s="19">
        <v>15.4</v>
      </c>
      <c r="CB28" s="19">
        <v>2.4</v>
      </c>
      <c r="CC28" s="19">
        <v>0</v>
      </c>
      <c r="CD28" s="19">
        <v>0</v>
      </c>
      <c r="CE28" s="19">
        <v>15.3</v>
      </c>
      <c r="CF28" s="19">
        <v>2.8</v>
      </c>
      <c r="CG28" s="19">
        <v>0</v>
      </c>
      <c r="CH28" s="19">
        <v>0</v>
      </c>
      <c r="CI28" s="19"/>
      <c r="CJ28" s="19"/>
      <c r="CK28" s="19"/>
      <c r="CL28" s="19"/>
      <c r="CM28" s="19">
        <v>18.2</v>
      </c>
      <c r="CN28" s="19">
        <v>6</v>
      </c>
      <c r="CO28" s="19">
        <v>0.6</v>
      </c>
      <c r="CP28" s="19">
        <v>0</v>
      </c>
      <c r="CQ28" s="19">
        <v>15.4</v>
      </c>
      <c r="CR28" s="19">
        <v>2.8</v>
      </c>
      <c r="CS28" s="19">
        <v>0</v>
      </c>
      <c r="CT28" s="19">
        <v>0</v>
      </c>
      <c r="CU28" s="27"/>
      <c r="CV28" s="40">
        <f t="shared" si="26"/>
        <v>5.1999999999999993</v>
      </c>
      <c r="CW28" s="40">
        <f t="shared" si="27"/>
        <v>35.9</v>
      </c>
      <c r="CX28" s="40" t="str">
        <f t="shared" si="28"/>
        <v/>
      </c>
      <c r="CY28" s="40">
        <f t="shared" si="29"/>
        <v>5.1999999999999993</v>
      </c>
      <c r="CZ28" s="40">
        <f t="shared" si="30"/>
        <v>35.9</v>
      </c>
      <c r="DA28" s="40">
        <f t="shared" si="31"/>
        <v>8.8000000000000007</v>
      </c>
      <c r="DB28" s="40">
        <f t="shared" si="32"/>
        <v>41.8</v>
      </c>
      <c r="DC28" s="40">
        <f t="shared" si="33"/>
        <v>77.699999999999989</v>
      </c>
      <c r="DD28" s="50" t="str">
        <f t="shared" si="34"/>
        <v/>
      </c>
      <c r="DE28" s="50" t="str">
        <f t="shared" si="35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6"/>
        <v/>
      </c>
      <c r="EA28" s="40" t="str">
        <f t="shared" si="37"/>
        <v/>
      </c>
      <c r="EB28" s="40" t="str">
        <f t="shared" si="38"/>
        <v/>
      </c>
      <c r="EC28" s="40" t="str">
        <f t="shared" si="39"/>
        <v/>
      </c>
      <c r="ED28" s="40" t="str">
        <f t="shared" si="40"/>
        <v/>
      </c>
      <c r="EE28" s="40" t="str">
        <f t="shared" si="41"/>
        <v/>
      </c>
      <c r="EF28" s="40" t="str">
        <f t="shared" si="42"/>
        <v/>
      </c>
      <c r="EG28" s="40" t="str">
        <f t="shared" si="43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4"/>
        <v/>
      </c>
      <c r="FC28" s="11" t="str">
        <f t="shared" si="45"/>
        <v/>
      </c>
      <c r="FD28" s="11" t="str">
        <f t="shared" si="46"/>
        <v/>
      </c>
      <c r="FE28" s="11" t="str">
        <f t="shared" si="47"/>
        <v/>
      </c>
      <c r="FF28" s="11" t="str">
        <f t="shared" si="48"/>
        <v/>
      </c>
      <c r="FG28" s="11" t="str">
        <f t="shared" si="49"/>
        <v/>
      </c>
      <c r="FH28" s="11" t="str">
        <f t="shared" si="50"/>
        <v/>
      </c>
      <c r="FI28" s="11" t="str">
        <f t="shared" si="51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2"/>
        <v/>
      </c>
      <c r="GE28" s="40" t="str">
        <f t="shared" si="53"/>
        <v/>
      </c>
      <c r="GF28" s="40" t="str">
        <f t="shared" si="54"/>
        <v/>
      </c>
      <c r="GG28" s="40" t="str">
        <f t="shared" si="55"/>
        <v/>
      </c>
      <c r="GH28" s="40" t="str">
        <f t="shared" si="56"/>
        <v/>
      </c>
      <c r="GI28" s="40" t="str">
        <f t="shared" si="57"/>
        <v/>
      </c>
      <c r="GJ28" s="40" t="str">
        <f t="shared" si="58"/>
        <v/>
      </c>
      <c r="GK28" s="40" t="str">
        <f t="shared" si="59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0"/>
        <v/>
      </c>
      <c r="HG28" s="11" t="str">
        <f t="shared" si="61"/>
        <v/>
      </c>
      <c r="HH28" s="11" t="str">
        <f t="shared" si="62"/>
        <v/>
      </c>
      <c r="HI28" s="11" t="str">
        <f t="shared" si="63"/>
        <v/>
      </c>
      <c r="HJ28" s="11" t="str">
        <f t="shared" si="64"/>
        <v/>
      </c>
      <c r="HK28" s="11" t="str">
        <f t="shared" si="65"/>
        <v/>
      </c>
      <c r="HL28" s="11" t="str">
        <f t="shared" si="66"/>
        <v/>
      </c>
      <c r="HM28" s="11" t="str">
        <f t="shared" si="67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68"/>
        <v/>
      </c>
      <c r="II28" s="40" t="str">
        <f t="shared" si="69"/>
        <v/>
      </c>
      <c r="IJ28" s="40" t="str">
        <f t="shared" si="70"/>
        <v/>
      </c>
      <c r="IK28" s="40" t="str">
        <f t="shared" si="71"/>
        <v/>
      </c>
      <c r="IL28" s="40" t="str">
        <f t="shared" si="72"/>
        <v/>
      </c>
      <c r="IM28" s="40" t="str">
        <f t="shared" si="73"/>
        <v/>
      </c>
      <c r="IN28" s="40" t="str">
        <f t="shared" si="74"/>
        <v/>
      </c>
      <c r="IO28" s="40" t="str">
        <f t="shared" si="75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6"/>
        <v/>
      </c>
      <c r="JK28" s="11" t="str">
        <f t="shared" si="77"/>
        <v/>
      </c>
      <c r="JL28" s="11" t="str">
        <f t="shared" si="78"/>
        <v/>
      </c>
      <c r="JM28" s="11" t="str">
        <f t="shared" si="79"/>
        <v/>
      </c>
      <c r="JN28" s="11" t="str">
        <f t="shared" si="80"/>
        <v/>
      </c>
      <c r="JO28" s="11" t="str">
        <f t="shared" si="81"/>
        <v/>
      </c>
      <c r="JP28" s="11" t="str">
        <f t="shared" si="82"/>
        <v/>
      </c>
      <c r="JQ28" s="11" t="str">
        <f t="shared" si="83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4"/>
        <v/>
      </c>
      <c r="KM28" s="40" t="str">
        <f t="shared" si="85"/>
        <v/>
      </c>
      <c r="KN28" s="40" t="str">
        <f t="shared" si="86"/>
        <v/>
      </c>
      <c r="KO28" s="40" t="str">
        <f t="shared" si="87"/>
        <v/>
      </c>
      <c r="KP28" s="40" t="str">
        <f t="shared" si="88"/>
        <v/>
      </c>
      <c r="KQ28" s="40" t="str">
        <f t="shared" si="89"/>
        <v/>
      </c>
      <c r="KR28" s="40" t="str">
        <f t="shared" si="90"/>
        <v/>
      </c>
      <c r="KS28" s="40" t="str">
        <f t="shared" si="91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2"/>
        <v/>
      </c>
      <c r="LO28" s="11" t="str">
        <f t="shared" si="93"/>
        <v/>
      </c>
      <c r="LP28" s="11" t="str">
        <f t="shared" si="94"/>
        <v/>
      </c>
      <c r="LQ28" s="11" t="str">
        <f t="shared" si="95"/>
        <v/>
      </c>
      <c r="LR28" s="11" t="str">
        <f t="shared" si="96"/>
        <v/>
      </c>
      <c r="LS28" s="11" t="str">
        <f t="shared" si="97"/>
        <v/>
      </c>
      <c r="LT28" s="11" t="str">
        <f t="shared" si="98"/>
        <v/>
      </c>
      <c r="LU28" s="11" t="str">
        <f t="shared" si="99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0"/>
        <v/>
      </c>
      <c r="MQ28" s="40" t="str">
        <f t="shared" si="101"/>
        <v/>
      </c>
      <c r="MR28" s="40" t="str">
        <f t="shared" si="102"/>
        <v/>
      </c>
      <c r="MS28" s="40" t="str">
        <f t="shared" si="103"/>
        <v/>
      </c>
      <c r="MT28" s="40" t="str">
        <f t="shared" si="104"/>
        <v/>
      </c>
      <c r="MU28" s="40" t="str">
        <f t="shared" si="105"/>
        <v/>
      </c>
      <c r="MV28" s="40" t="str">
        <f t="shared" si="106"/>
        <v/>
      </c>
      <c r="MW28" s="40" t="str">
        <f t="shared" si="107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08"/>
        <v/>
      </c>
      <c r="NS28" s="11" t="str">
        <f t="shared" si="109"/>
        <v/>
      </c>
      <c r="NT28" s="11" t="str">
        <f t="shared" si="110"/>
        <v/>
      </c>
      <c r="NU28" s="11" t="str">
        <f t="shared" si="111"/>
        <v/>
      </c>
      <c r="NV28" s="11" t="str">
        <f t="shared" si="112"/>
        <v/>
      </c>
      <c r="NW28" s="11" t="str">
        <f t="shared" si="113"/>
        <v/>
      </c>
      <c r="NX28" s="11" t="str">
        <f t="shared" si="114"/>
        <v/>
      </c>
      <c r="NY28" s="11" t="str">
        <f t="shared" si="115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6"/>
        <v/>
      </c>
      <c r="OU28" s="40" t="str">
        <f t="shared" si="117"/>
        <v/>
      </c>
      <c r="OV28" s="40" t="str">
        <f t="shared" si="118"/>
        <v/>
      </c>
      <c r="OW28" s="40" t="str">
        <f t="shared" si="119"/>
        <v/>
      </c>
      <c r="OX28" s="40" t="str">
        <f t="shared" si="120"/>
        <v/>
      </c>
      <c r="OY28" s="40" t="str">
        <f t="shared" si="121"/>
        <v/>
      </c>
      <c r="OZ28" s="40" t="str">
        <f t="shared" si="122"/>
        <v/>
      </c>
      <c r="PA28" s="40" t="str">
        <f t="shared" si="123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4"/>
        <v/>
      </c>
      <c r="PW28" s="11" t="str">
        <f t="shared" si="125"/>
        <v/>
      </c>
      <c r="PX28" s="11" t="str">
        <f t="shared" si="126"/>
        <v/>
      </c>
      <c r="PY28" s="11" t="str">
        <f t="shared" si="127"/>
        <v/>
      </c>
      <c r="PZ28" s="11" t="str">
        <f t="shared" si="128"/>
        <v/>
      </c>
      <c r="QA28" s="11" t="str">
        <f t="shared" si="129"/>
        <v/>
      </c>
      <c r="QB28" s="11" t="str">
        <f t="shared" si="130"/>
        <v/>
      </c>
      <c r="QC28" s="11" t="str">
        <f t="shared" si="131"/>
        <v/>
      </c>
      <c r="QD28" s="22">
        <f t="shared" si="132"/>
        <v>16.7</v>
      </c>
      <c r="QE28" s="22">
        <f t="shared" si="133"/>
        <v>4</v>
      </c>
      <c r="QF28" s="22">
        <f t="shared" si="134"/>
        <v>0.3</v>
      </c>
      <c r="QG28" s="22">
        <f t="shared" si="135"/>
        <v>0</v>
      </c>
      <c r="QH28" s="22">
        <f t="shared" si="136"/>
        <v>17</v>
      </c>
      <c r="QI28" s="22">
        <f t="shared" si="137"/>
        <v>4</v>
      </c>
      <c r="QJ28" s="22">
        <f t="shared" si="138"/>
        <v>0</v>
      </c>
      <c r="QK28" s="22">
        <f t="shared" si="139"/>
        <v>0</v>
      </c>
      <c r="QL28" s="22">
        <f t="shared" si="140"/>
        <v>0</v>
      </c>
      <c r="QM28" s="22">
        <f t="shared" si="141"/>
        <v>0</v>
      </c>
      <c r="QN28" s="22">
        <f t="shared" si="142"/>
        <v>0</v>
      </c>
      <c r="QO28" s="22">
        <f t="shared" si="143"/>
        <v>0</v>
      </c>
      <c r="QP28" s="22">
        <f t="shared" si="144"/>
        <v>18.299999999999997</v>
      </c>
      <c r="QQ28" s="22">
        <f t="shared" si="145"/>
        <v>5.15</v>
      </c>
      <c r="QR28" s="22">
        <f t="shared" si="146"/>
        <v>0.4</v>
      </c>
      <c r="QS28" s="22">
        <f t="shared" si="147"/>
        <v>0</v>
      </c>
      <c r="QT28" s="22">
        <f t="shared" si="148"/>
        <v>17.05</v>
      </c>
      <c r="QU28" s="22">
        <f t="shared" si="149"/>
        <v>3.8</v>
      </c>
      <c r="QV28" s="22">
        <f t="shared" si="150"/>
        <v>0</v>
      </c>
      <c r="QW28" s="22">
        <f t="shared" si="151"/>
        <v>0</v>
      </c>
      <c r="QX28" s="27" t="s">
        <v>46</v>
      </c>
      <c r="QY28" s="40">
        <f t="shared" si="152"/>
        <v>8</v>
      </c>
      <c r="QZ28" s="40">
        <f t="shared" si="153"/>
        <v>41.400000000000006</v>
      </c>
      <c r="RA28" s="40" t="str">
        <f t="shared" si="154"/>
        <v/>
      </c>
      <c r="RB28" s="40">
        <f t="shared" si="155"/>
        <v>8</v>
      </c>
      <c r="RC28" s="40">
        <f t="shared" si="156"/>
        <v>41.400000000000006</v>
      </c>
      <c r="RD28" s="40">
        <f t="shared" si="157"/>
        <v>8.9499999999999993</v>
      </c>
      <c r="RE28" s="40">
        <f t="shared" si="158"/>
        <v>43.9</v>
      </c>
      <c r="RF28" s="40">
        <f t="shared" si="159"/>
        <v>85.300000000000011</v>
      </c>
    </row>
    <row r="29" spans="1:474" x14ac:dyDescent="0.2">
      <c r="A29" s="4" t="str" cm="1">
        <f t="array" ref="A29">IF(AND(J29&lt;&gt;"",J29&lt;&gt;"No DD"),SUMPRODUCT((J$4:J$42&lt;&gt;"")*(J$4:J$42&lt;&gt;"No DD")*(F$4:F$42&gt;F29))+1,IF(J29="No DD",SUMPRODUCT((J$4:J$42="No DD")*(F$4:F$42&gt;F29))+1+SUMPRODUCT((J$4:J$42&lt;&gt;"")*(J$4:J$42&lt;&gt;"No DD")),""))</f>
        <v/>
      </c>
      <c r="B29" s="4" t="str" cm="1">
        <f t="array" ref="B29">IF(AND(J29&lt;&gt;"",J29&lt;&gt;"No DD",G29=""),SUMPRODUCT((J$4:J$42&lt;&gt;"")*(J$4:J$42&lt;&gt;"No DD")*(G$4:G$42="")*(F$4:F$42&gt;F29))+1,IF(J29="No DD",SUMPRODUCT((J$4:J$42="No DD")*(F$4:F$42&gt;F29)*(G$4:G$42=""))+1+SUMPRODUCT((J$4:J$42&lt;&gt;"")*(G$4:G$42="")*(J$4:J$42&lt;&gt;"No DD")),""))</f>
        <v/>
      </c>
      <c r="C29" s="5" t="s">
        <v>223</v>
      </c>
      <c r="D29" s="4" t="s">
        <v>4</v>
      </c>
      <c r="E29" s="4">
        <v>2008</v>
      </c>
      <c r="F29" s="9">
        <f t="shared" si="0"/>
        <v>128.10000828000452</v>
      </c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44.9</v>
      </c>
      <c r="M29" s="8" t="str">
        <f t="shared" si="5"/>
        <v>2025 Elite Canada</v>
      </c>
      <c r="N29" s="8">
        <f>IF(COUNT(AQ29,BT29,CW29)&gt;1,LARGE((AQ29,BT29,CW29),2),0)</f>
        <v>37.900000000000006</v>
      </c>
      <c r="O29" s="8" t="str">
        <f t="shared" si="6"/>
        <v>2024 3rd Domestic Trial</v>
      </c>
      <c r="P29" s="8">
        <f t="shared" si="7"/>
        <v>45.3</v>
      </c>
      <c r="Q29" s="8" t="str">
        <f t="shared" si="8"/>
        <v>2025 Elite Canada</v>
      </c>
      <c r="R29" s="8" t="str">
        <f t="shared" si="9"/>
        <v/>
      </c>
      <c r="S29" s="11" t="str">
        <f t="shared" si="160"/>
        <v/>
      </c>
      <c r="T29" s="8" t="str">
        <f t="shared" si="161"/>
        <v/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 t="shared" si="10"/>
        <v/>
      </c>
      <c r="AQ29" s="40" t="str">
        <f t="shared" si="11"/>
        <v/>
      </c>
      <c r="AR29" s="40" t="str">
        <f t="shared" si="12"/>
        <v/>
      </c>
      <c r="AS29" s="40" t="str">
        <f t="shared" si="13"/>
        <v/>
      </c>
      <c r="AT29" s="40" t="str">
        <f t="shared" si="14"/>
        <v/>
      </c>
      <c r="AU29" s="40" t="str">
        <f t="shared" si="15"/>
        <v/>
      </c>
      <c r="AV29" s="40" t="str">
        <f t="shared" si="16"/>
        <v/>
      </c>
      <c r="AW29" s="40" t="str">
        <f t="shared" si="17"/>
        <v/>
      </c>
      <c r="AX29" s="18">
        <v>17.2</v>
      </c>
      <c r="AY29" s="18">
        <v>2.4</v>
      </c>
      <c r="AZ29" s="18">
        <v>0</v>
      </c>
      <c r="BA29" s="18">
        <v>0</v>
      </c>
      <c r="BB29" s="18">
        <v>17.600000000000001</v>
      </c>
      <c r="BC29" s="18">
        <v>0.7</v>
      </c>
      <c r="BD29" s="18">
        <v>0</v>
      </c>
      <c r="BE29" s="18">
        <v>0</v>
      </c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 t="shared" si="18"/>
        <v>3.0999999999999996</v>
      </c>
      <c r="BT29" s="11">
        <f t="shared" si="19"/>
        <v>37.900000000000006</v>
      </c>
      <c r="BU29" s="11" t="str">
        <f t="shared" si="20"/>
        <v/>
      </c>
      <c r="BV29" s="11">
        <f t="shared" si="21"/>
        <v>3.0999999999999996</v>
      </c>
      <c r="BW29" s="11">
        <f t="shared" si="22"/>
        <v>37.900000000000006</v>
      </c>
      <c r="BX29" s="11" t="str">
        <f t="shared" si="23"/>
        <v/>
      </c>
      <c r="BY29" s="11" t="str">
        <f t="shared" si="24"/>
        <v/>
      </c>
      <c r="BZ29" s="11">
        <f t="shared" si="25"/>
        <v>37.900000000000006</v>
      </c>
      <c r="CA29" s="19">
        <v>16.600000000000001</v>
      </c>
      <c r="CB29" s="19">
        <v>6</v>
      </c>
      <c r="CC29" s="19">
        <v>0.2</v>
      </c>
      <c r="CD29" s="19">
        <v>0</v>
      </c>
      <c r="CE29" s="19">
        <v>18.5</v>
      </c>
      <c r="CF29" s="19">
        <v>4.3</v>
      </c>
      <c r="CG29" s="19">
        <v>0.3</v>
      </c>
      <c r="CH29" s="19">
        <v>0</v>
      </c>
      <c r="CI29" s="19"/>
      <c r="CJ29" s="19"/>
      <c r="CK29" s="19"/>
      <c r="CL29" s="19"/>
      <c r="CM29" s="19">
        <v>18.100000000000001</v>
      </c>
      <c r="CN29" s="19">
        <v>6</v>
      </c>
      <c r="CO29" s="19">
        <v>0.6</v>
      </c>
      <c r="CP29" s="19">
        <v>0</v>
      </c>
      <c r="CQ29" s="19">
        <v>18.399999999999999</v>
      </c>
      <c r="CR29" s="19">
        <v>4.3</v>
      </c>
      <c r="CS29" s="19">
        <v>0.9</v>
      </c>
      <c r="CT29" s="19">
        <v>0</v>
      </c>
      <c r="CU29" s="27"/>
      <c r="CV29" s="40">
        <f t="shared" si="26"/>
        <v>10.3</v>
      </c>
      <c r="CW29" s="40">
        <f t="shared" si="27"/>
        <v>44.9</v>
      </c>
      <c r="CX29" s="40" t="str">
        <f t="shared" si="28"/>
        <v/>
      </c>
      <c r="CY29" s="40">
        <f t="shared" si="29"/>
        <v>10.3</v>
      </c>
      <c r="CZ29" s="40">
        <f t="shared" si="30"/>
        <v>44.9</v>
      </c>
      <c r="DA29" s="40">
        <f t="shared" si="31"/>
        <v>10.3</v>
      </c>
      <c r="DB29" s="40">
        <f t="shared" si="32"/>
        <v>45.3</v>
      </c>
      <c r="DC29" s="40">
        <f t="shared" si="33"/>
        <v>90.199999999999989</v>
      </c>
      <c r="DD29" s="50" t="str">
        <f t="shared" si="34"/>
        <v/>
      </c>
      <c r="DE29" s="50" t="str">
        <f t="shared" si="35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6"/>
        <v/>
      </c>
      <c r="EA29" s="40" t="str">
        <f t="shared" si="37"/>
        <v/>
      </c>
      <c r="EB29" s="40" t="str">
        <f t="shared" si="38"/>
        <v/>
      </c>
      <c r="EC29" s="40" t="str">
        <f t="shared" si="39"/>
        <v/>
      </c>
      <c r="ED29" s="40" t="str">
        <f t="shared" si="40"/>
        <v/>
      </c>
      <c r="EE29" s="40" t="str">
        <f t="shared" si="41"/>
        <v/>
      </c>
      <c r="EF29" s="40" t="str">
        <f t="shared" si="42"/>
        <v/>
      </c>
      <c r="EG29" s="40" t="str">
        <f t="shared" si="43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4"/>
        <v/>
      </c>
      <c r="FC29" s="11" t="str">
        <f t="shared" si="45"/>
        <v/>
      </c>
      <c r="FD29" s="11" t="str">
        <f t="shared" si="46"/>
        <v/>
      </c>
      <c r="FE29" s="11" t="str">
        <f t="shared" si="47"/>
        <v/>
      </c>
      <c r="FF29" s="11" t="str">
        <f t="shared" si="48"/>
        <v/>
      </c>
      <c r="FG29" s="11" t="str">
        <f t="shared" si="49"/>
        <v/>
      </c>
      <c r="FH29" s="11" t="str">
        <f t="shared" si="50"/>
        <v/>
      </c>
      <c r="FI29" s="11" t="str">
        <f t="shared" si="51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2"/>
        <v/>
      </c>
      <c r="GE29" s="40" t="str">
        <f t="shared" si="53"/>
        <v/>
      </c>
      <c r="GF29" s="40" t="str">
        <f t="shared" si="54"/>
        <v/>
      </c>
      <c r="GG29" s="40" t="str">
        <f t="shared" si="55"/>
        <v/>
      </c>
      <c r="GH29" s="40" t="str">
        <f t="shared" si="56"/>
        <v/>
      </c>
      <c r="GI29" s="40" t="str">
        <f t="shared" si="57"/>
        <v/>
      </c>
      <c r="GJ29" s="40" t="str">
        <f t="shared" si="58"/>
        <v/>
      </c>
      <c r="GK29" s="40" t="str">
        <f t="shared" si="59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0"/>
        <v/>
      </c>
      <c r="HG29" s="11" t="str">
        <f t="shared" si="61"/>
        <v/>
      </c>
      <c r="HH29" s="11" t="str">
        <f t="shared" si="62"/>
        <v/>
      </c>
      <c r="HI29" s="11" t="str">
        <f t="shared" si="63"/>
        <v/>
      </c>
      <c r="HJ29" s="11" t="str">
        <f t="shared" si="64"/>
        <v/>
      </c>
      <c r="HK29" s="11" t="str">
        <f t="shared" si="65"/>
        <v/>
      </c>
      <c r="HL29" s="11" t="str">
        <f t="shared" si="66"/>
        <v/>
      </c>
      <c r="HM29" s="11" t="str">
        <f t="shared" si="67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68"/>
        <v/>
      </c>
      <c r="II29" s="40" t="str">
        <f t="shared" si="69"/>
        <v/>
      </c>
      <c r="IJ29" s="40" t="str">
        <f t="shared" si="70"/>
        <v/>
      </c>
      <c r="IK29" s="40" t="str">
        <f t="shared" si="71"/>
        <v/>
      </c>
      <c r="IL29" s="40" t="str">
        <f t="shared" si="72"/>
        <v/>
      </c>
      <c r="IM29" s="40" t="str">
        <f t="shared" si="73"/>
        <v/>
      </c>
      <c r="IN29" s="40" t="str">
        <f t="shared" si="74"/>
        <v/>
      </c>
      <c r="IO29" s="40" t="str">
        <f t="shared" si="75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6"/>
        <v/>
      </c>
      <c r="JK29" s="11" t="str">
        <f t="shared" si="77"/>
        <v/>
      </c>
      <c r="JL29" s="11" t="str">
        <f t="shared" si="78"/>
        <v/>
      </c>
      <c r="JM29" s="11" t="str">
        <f t="shared" si="79"/>
        <v/>
      </c>
      <c r="JN29" s="11" t="str">
        <f t="shared" si="80"/>
        <v/>
      </c>
      <c r="JO29" s="11" t="str">
        <f t="shared" si="81"/>
        <v/>
      </c>
      <c r="JP29" s="11" t="str">
        <f t="shared" si="82"/>
        <v/>
      </c>
      <c r="JQ29" s="11" t="str">
        <f t="shared" si="83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4"/>
        <v/>
      </c>
      <c r="KM29" s="40" t="str">
        <f t="shared" si="85"/>
        <v/>
      </c>
      <c r="KN29" s="40" t="str">
        <f t="shared" si="86"/>
        <v/>
      </c>
      <c r="KO29" s="40" t="str">
        <f t="shared" si="87"/>
        <v/>
      </c>
      <c r="KP29" s="40" t="str">
        <f t="shared" si="88"/>
        <v/>
      </c>
      <c r="KQ29" s="40" t="str">
        <f t="shared" si="89"/>
        <v/>
      </c>
      <c r="KR29" s="40" t="str">
        <f t="shared" si="90"/>
        <v/>
      </c>
      <c r="KS29" s="40" t="str">
        <f t="shared" si="91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2"/>
        <v/>
      </c>
      <c r="LO29" s="11" t="str">
        <f t="shared" si="93"/>
        <v/>
      </c>
      <c r="LP29" s="11" t="str">
        <f t="shared" si="94"/>
        <v/>
      </c>
      <c r="LQ29" s="11" t="str">
        <f t="shared" si="95"/>
        <v/>
      </c>
      <c r="LR29" s="11" t="str">
        <f t="shared" si="96"/>
        <v/>
      </c>
      <c r="LS29" s="11" t="str">
        <f t="shared" si="97"/>
        <v/>
      </c>
      <c r="LT29" s="11" t="str">
        <f t="shared" si="98"/>
        <v/>
      </c>
      <c r="LU29" s="11" t="str">
        <f t="shared" si="99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0"/>
        <v/>
      </c>
      <c r="MQ29" s="40" t="str">
        <f t="shared" si="101"/>
        <v/>
      </c>
      <c r="MR29" s="40" t="str">
        <f t="shared" si="102"/>
        <v/>
      </c>
      <c r="MS29" s="40" t="str">
        <f t="shared" si="103"/>
        <v/>
      </c>
      <c r="MT29" s="40" t="str">
        <f t="shared" si="104"/>
        <v/>
      </c>
      <c r="MU29" s="40" t="str">
        <f t="shared" si="105"/>
        <v/>
      </c>
      <c r="MV29" s="40" t="str">
        <f t="shared" si="106"/>
        <v/>
      </c>
      <c r="MW29" s="40" t="str">
        <f t="shared" si="107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08"/>
        <v/>
      </c>
      <c r="NS29" s="11" t="str">
        <f t="shared" si="109"/>
        <v/>
      </c>
      <c r="NT29" s="11" t="str">
        <f t="shared" si="110"/>
        <v/>
      </c>
      <c r="NU29" s="11" t="str">
        <f t="shared" si="111"/>
        <v/>
      </c>
      <c r="NV29" s="11" t="str">
        <f t="shared" si="112"/>
        <v/>
      </c>
      <c r="NW29" s="11" t="str">
        <f t="shared" si="113"/>
        <v/>
      </c>
      <c r="NX29" s="11" t="str">
        <f t="shared" si="114"/>
        <v/>
      </c>
      <c r="NY29" s="11" t="str">
        <f t="shared" si="115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6"/>
        <v/>
      </c>
      <c r="OU29" s="40" t="str">
        <f t="shared" si="117"/>
        <v/>
      </c>
      <c r="OV29" s="40" t="str">
        <f t="shared" si="118"/>
        <v/>
      </c>
      <c r="OW29" s="40" t="str">
        <f t="shared" si="119"/>
        <v/>
      </c>
      <c r="OX29" s="40" t="str">
        <f t="shared" si="120"/>
        <v/>
      </c>
      <c r="OY29" s="40" t="str">
        <f t="shared" si="121"/>
        <v/>
      </c>
      <c r="OZ29" s="40" t="str">
        <f t="shared" si="122"/>
        <v/>
      </c>
      <c r="PA29" s="40" t="str">
        <f t="shared" si="123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4"/>
        <v/>
      </c>
      <c r="PW29" s="11" t="str">
        <f t="shared" si="125"/>
        <v/>
      </c>
      <c r="PX29" s="11" t="str">
        <f t="shared" si="126"/>
        <v/>
      </c>
      <c r="PY29" s="11" t="str">
        <f t="shared" si="127"/>
        <v/>
      </c>
      <c r="PZ29" s="11" t="str">
        <f t="shared" si="128"/>
        <v/>
      </c>
      <c r="QA29" s="11" t="str">
        <f t="shared" si="129"/>
        <v/>
      </c>
      <c r="QB29" s="11" t="str">
        <f t="shared" si="130"/>
        <v/>
      </c>
      <c r="QC29" s="11" t="str">
        <f t="shared" si="131"/>
        <v/>
      </c>
      <c r="QD29" s="22">
        <f t="shared" si="132"/>
        <v>16.899999999999999</v>
      </c>
      <c r="QE29" s="22">
        <f t="shared" si="133"/>
        <v>4.2</v>
      </c>
      <c r="QF29" s="22">
        <f t="shared" si="134"/>
        <v>0.1</v>
      </c>
      <c r="QG29" s="22">
        <f t="shared" si="135"/>
        <v>0</v>
      </c>
      <c r="QH29" s="22">
        <f t="shared" si="136"/>
        <v>18.05</v>
      </c>
      <c r="QI29" s="22">
        <f t="shared" si="137"/>
        <v>2.5</v>
      </c>
      <c r="QJ29" s="22">
        <f t="shared" si="138"/>
        <v>0.15</v>
      </c>
      <c r="QK29" s="22">
        <f t="shared" si="139"/>
        <v>0</v>
      </c>
      <c r="QL29" s="22">
        <f t="shared" si="140"/>
        <v>0</v>
      </c>
      <c r="QM29" s="22">
        <f t="shared" si="141"/>
        <v>0</v>
      </c>
      <c r="QN29" s="22">
        <f t="shared" si="142"/>
        <v>0</v>
      </c>
      <c r="QO29" s="22">
        <f t="shared" si="143"/>
        <v>0</v>
      </c>
      <c r="QP29" s="22">
        <f t="shared" si="144"/>
        <v>9.0500000000000007</v>
      </c>
      <c r="QQ29" s="22">
        <f t="shared" si="145"/>
        <v>3</v>
      </c>
      <c r="QR29" s="22">
        <f t="shared" si="146"/>
        <v>0.3</v>
      </c>
      <c r="QS29" s="22">
        <f t="shared" si="147"/>
        <v>0</v>
      </c>
      <c r="QT29" s="22">
        <f t="shared" si="148"/>
        <v>9.1999999999999993</v>
      </c>
      <c r="QU29" s="22">
        <f t="shared" si="149"/>
        <v>2.15</v>
      </c>
      <c r="QV29" s="22">
        <f t="shared" si="150"/>
        <v>0.45</v>
      </c>
      <c r="QW29" s="22">
        <f t="shared" si="151"/>
        <v>0</v>
      </c>
      <c r="QX29" s="27" t="s">
        <v>46</v>
      </c>
      <c r="QY29" s="40">
        <f t="shared" si="152"/>
        <v>6.7</v>
      </c>
      <c r="QZ29" s="40">
        <f t="shared" si="153"/>
        <v>41.4</v>
      </c>
      <c r="RA29" s="40" t="str">
        <f t="shared" si="154"/>
        <v/>
      </c>
      <c r="RB29" s="40">
        <f t="shared" si="155"/>
        <v>6.7</v>
      </c>
      <c r="RC29" s="40">
        <f t="shared" si="156"/>
        <v>41.4</v>
      </c>
      <c r="RD29" s="40">
        <f t="shared" si="157"/>
        <v>5.15</v>
      </c>
      <c r="RE29" s="40">
        <f t="shared" si="158"/>
        <v>22.65</v>
      </c>
      <c r="RF29" s="40">
        <f t="shared" si="159"/>
        <v>64.05</v>
      </c>
    </row>
    <row r="30" spans="1:474" x14ac:dyDescent="0.2">
      <c r="A30" s="4" t="str" cm="1">
        <f t="array" ref="A30">IF(AND(J30&lt;&gt;"",J30&lt;&gt;"No DD"),SUMPRODUCT((J$4:J$42&lt;&gt;"")*(J$4:J$42&lt;&gt;"No DD")*(F$4:F$42&gt;F30))+1,IF(J30="No DD",SUMPRODUCT((J$4:J$42="No DD")*(F$4:F$42&gt;F30))+1+SUMPRODUCT((J$4:J$42&lt;&gt;"")*(J$4:J$42&lt;&gt;"No DD")),""))</f>
        <v/>
      </c>
      <c r="B30" s="4" t="str" cm="1">
        <f t="array" ref="B30">IF(AND(J30&lt;&gt;"",J30&lt;&gt;"No DD",G30=""),SUMPRODUCT((J$4:J$42&lt;&gt;"")*(J$4:J$42&lt;&gt;"No DD")*(G$4:G$42="")*(F$4:F$42&gt;F30))+1,IF(J30="No DD",SUMPRODUCT((J$4:J$42="No DD")*(F$4:F$42&gt;F30)*(G$4:G$42=""))+1+SUMPRODUCT((J$4:J$42&lt;&gt;"")*(G$4:G$42="")*(J$4:J$42&lt;&gt;"No DD")),""))</f>
        <v/>
      </c>
      <c r="C30" s="5" t="s">
        <v>120</v>
      </c>
      <c r="D30" s="4" t="s">
        <v>6</v>
      </c>
      <c r="E30" s="4">
        <v>2004</v>
      </c>
      <c r="F30" s="9">
        <f t="shared" si="0"/>
        <v>99.300004920004923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49.2</v>
      </c>
      <c r="M30" s="8" t="str">
        <f t="shared" si="5"/>
        <v>2025 Elite Canada</v>
      </c>
      <c r="N30" s="8">
        <f>IF(COUNT(AQ30,BT30,CW30)&gt;1,LARGE((AQ30,BT30,CW30),2),0)</f>
        <v>0</v>
      </c>
      <c r="O30" s="8" t="str">
        <f t="shared" si="6"/>
        <v/>
      </c>
      <c r="P30" s="8">
        <f t="shared" si="7"/>
        <v>50.1</v>
      </c>
      <c r="Q30" s="8" t="str">
        <f t="shared" si="8"/>
        <v>2025 Elite Canada</v>
      </c>
      <c r="R30" s="8" t="str">
        <f t="shared" si="9"/>
        <v/>
      </c>
      <c r="S30" s="11" t="str">
        <f>IF(R30="","",IF(R30=DD30,"("&amp;DD$2&amp;")",IF(R30=DE30,"("&amp;DE$2&amp;")")))</f>
        <v/>
      </c>
      <c r="T30" s="8" t="str">
        <f>IF(R30="","",IF(R30=DD30,IF(R30+IF(N30="",0,N30)=PW30,$PB$1,IF(R30+IF(N30="",0,N30)=OU30,$NZ$1,IF(R30+IF(N30="",0,N30)=NS30,$MX$1,IF(R30+IF(N30="",0,N30)=MQ30,$LV$1,IF(R30+IF(N30="",0,N30)=LO30,$KT$1,IF(R30+IF(N30="",0,N30)=KM30,$JR$1,IF(R30+IF(N30="",0,N30)=JK30,$IP$1,IF(R30+IF(N30="",0,N30)=II30,$HN$1,IF(R30+IF(N30="",0,N30)=HG30,$GL$1,IF(R30+IF(N30="",0,N30)=GE30,$FJ$1,IF(R30+IF(N30="",0,N30)=FC30,$EH$1,IF(R30+IF(N30="",0,N30)=EA30,$DF$1)))))))))))),IF(R30=DE30,IF(R30+IF(P30="",0,P30)=QB30,$PB$1,IF(R30+IF(P30="",0,P30)=OZ30,$NZ$1,IF(R30+IF(P30="",0,P30)=NX30,$MX$1,IF(R30+IF(P30="",0,P30)=MV30,$LV$1,IF(R30+IF(P30="",0,P30)=LT30,$KT$1,IF(R30+IF(P30="",0,P30)=KR30,$JR$1,IF(R30+IF(P30="",0,P30)=JP30,$IP$1,IF(R30+IF(P30="",0,P30)=IN30,$HN$1,IF(R30+IF(P30="",0,P30)=HL30,$GL$1,IF(R30+IF(P30="",0,P30)=GJ30,$FJ$1,IF(R30+IF(P30="",0,P30)=FH30,$EH$1,IF(R30+IF(P30="",0,P30)=EF30,$DF$1)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10"/>
        <v/>
      </c>
      <c r="AQ30" s="40" t="str">
        <f t="shared" si="11"/>
        <v/>
      </c>
      <c r="AR30" s="40" t="str">
        <f t="shared" si="12"/>
        <v/>
      </c>
      <c r="AS30" s="40" t="str">
        <f t="shared" si="13"/>
        <v/>
      </c>
      <c r="AT30" s="40" t="str">
        <f t="shared" si="14"/>
        <v/>
      </c>
      <c r="AU30" s="40" t="str">
        <f t="shared" si="15"/>
        <v/>
      </c>
      <c r="AV30" s="40" t="str">
        <f t="shared" si="16"/>
        <v/>
      </c>
      <c r="AW30" s="40" t="str">
        <f t="shared" si="17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18"/>
        <v/>
      </c>
      <c r="BT30" s="11" t="str">
        <f t="shared" si="19"/>
        <v/>
      </c>
      <c r="BU30" s="11" t="str">
        <f t="shared" si="20"/>
        <v/>
      </c>
      <c r="BV30" s="11" t="str">
        <f t="shared" si="21"/>
        <v/>
      </c>
      <c r="BW30" s="11" t="str">
        <f t="shared" si="22"/>
        <v/>
      </c>
      <c r="BX30" s="11" t="str">
        <f t="shared" si="23"/>
        <v/>
      </c>
      <c r="BY30" s="11" t="str">
        <f t="shared" si="24"/>
        <v/>
      </c>
      <c r="BZ30" s="11" t="str">
        <f t="shared" si="25"/>
        <v/>
      </c>
      <c r="CA30" s="19">
        <v>18.600000000000001</v>
      </c>
      <c r="CB30" s="19">
        <v>6.8</v>
      </c>
      <c r="CC30" s="19">
        <v>0.8</v>
      </c>
      <c r="CD30" s="19">
        <v>0</v>
      </c>
      <c r="CE30" s="19">
        <v>18</v>
      </c>
      <c r="CF30" s="19">
        <v>6.8</v>
      </c>
      <c r="CG30" s="19">
        <v>0.2</v>
      </c>
      <c r="CH30" s="19">
        <v>0</v>
      </c>
      <c r="CI30" s="19"/>
      <c r="CJ30" s="19"/>
      <c r="CK30" s="19"/>
      <c r="CL30" s="19"/>
      <c r="CM30" s="19">
        <v>19.100000000000001</v>
      </c>
      <c r="CN30" s="19">
        <v>6.8</v>
      </c>
      <c r="CO30" s="19">
        <v>0</v>
      </c>
      <c r="CP30" s="19">
        <v>0</v>
      </c>
      <c r="CQ30" s="19">
        <v>18</v>
      </c>
      <c r="CR30" s="19">
        <v>6.8</v>
      </c>
      <c r="CS30" s="19">
        <v>0.6</v>
      </c>
      <c r="CT30" s="19">
        <v>0</v>
      </c>
      <c r="CU30" s="27"/>
      <c r="CV30" s="40">
        <f t="shared" si="26"/>
        <v>13.6</v>
      </c>
      <c r="CW30" s="40">
        <f t="shared" si="27"/>
        <v>49.2</v>
      </c>
      <c r="CX30" s="40" t="str">
        <f t="shared" si="28"/>
        <v/>
      </c>
      <c r="CY30" s="40">
        <f t="shared" si="29"/>
        <v>13.6</v>
      </c>
      <c r="CZ30" s="40">
        <f t="shared" si="30"/>
        <v>49.2</v>
      </c>
      <c r="DA30" s="40">
        <f t="shared" si="31"/>
        <v>13.6</v>
      </c>
      <c r="DB30" s="40">
        <f t="shared" si="32"/>
        <v>50.1</v>
      </c>
      <c r="DC30" s="40">
        <f t="shared" si="33"/>
        <v>99.300000000000011</v>
      </c>
      <c r="DD30" s="50" t="str">
        <f t="shared" si="34"/>
        <v/>
      </c>
      <c r="DE30" s="50" t="str">
        <f t="shared" si="35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6"/>
        <v/>
      </c>
      <c r="EA30" s="40" t="str">
        <f t="shared" si="37"/>
        <v/>
      </c>
      <c r="EB30" s="40" t="str">
        <f t="shared" si="38"/>
        <v/>
      </c>
      <c r="EC30" s="40" t="str">
        <f t="shared" si="39"/>
        <v/>
      </c>
      <c r="ED30" s="40" t="str">
        <f t="shared" si="40"/>
        <v/>
      </c>
      <c r="EE30" s="40" t="str">
        <f t="shared" si="41"/>
        <v/>
      </c>
      <c r="EF30" s="40" t="str">
        <f t="shared" si="42"/>
        <v/>
      </c>
      <c r="EG30" s="40" t="str">
        <f t="shared" si="43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4"/>
        <v/>
      </c>
      <c r="FC30" s="11" t="str">
        <f t="shared" si="45"/>
        <v/>
      </c>
      <c r="FD30" s="11" t="str">
        <f t="shared" si="46"/>
        <v/>
      </c>
      <c r="FE30" s="11" t="str">
        <f t="shared" si="47"/>
        <v/>
      </c>
      <c r="FF30" s="11" t="str">
        <f t="shared" si="48"/>
        <v/>
      </c>
      <c r="FG30" s="11" t="str">
        <f t="shared" si="49"/>
        <v/>
      </c>
      <c r="FH30" s="11" t="str">
        <f t="shared" si="50"/>
        <v/>
      </c>
      <c r="FI30" s="11" t="str">
        <f t="shared" si="51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2"/>
        <v/>
      </c>
      <c r="GE30" s="40" t="str">
        <f t="shared" si="53"/>
        <v/>
      </c>
      <c r="GF30" s="40" t="str">
        <f t="shared" si="54"/>
        <v/>
      </c>
      <c r="GG30" s="40" t="str">
        <f t="shared" si="55"/>
        <v/>
      </c>
      <c r="GH30" s="40" t="str">
        <f t="shared" si="56"/>
        <v/>
      </c>
      <c r="GI30" s="40" t="str">
        <f t="shared" si="57"/>
        <v/>
      </c>
      <c r="GJ30" s="40" t="str">
        <f t="shared" si="58"/>
        <v/>
      </c>
      <c r="GK30" s="40" t="str">
        <f t="shared" si="59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0"/>
        <v/>
      </c>
      <c r="HG30" s="11" t="str">
        <f t="shared" si="61"/>
        <v/>
      </c>
      <c r="HH30" s="11" t="str">
        <f t="shared" si="62"/>
        <v/>
      </c>
      <c r="HI30" s="11" t="str">
        <f t="shared" si="63"/>
        <v/>
      </c>
      <c r="HJ30" s="11" t="str">
        <f t="shared" si="64"/>
        <v/>
      </c>
      <c r="HK30" s="11" t="str">
        <f t="shared" si="65"/>
        <v/>
      </c>
      <c r="HL30" s="11" t="str">
        <f t="shared" si="66"/>
        <v/>
      </c>
      <c r="HM30" s="11" t="str">
        <f t="shared" si="67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68"/>
        <v/>
      </c>
      <c r="II30" s="40" t="str">
        <f t="shared" si="69"/>
        <v/>
      </c>
      <c r="IJ30" s="40" t="str">
        <f t="shared" si="70"/>
        <v/>
      </c>
      <c r="IK30" s="40" t="str">
        <f t="shared" si="71"/>
        <v/>
      </c>
      <c r="IL30" s="40" t="str">
        <f t="shared" si="72"/>
        <v/>
      </c>
      <c r="IM30" s="40" t="str">
        <f t="shared" si="73"/>
        <v/>
      </c>
      <c r="IN30" s="40" t="str">
        <f t="shared" si="74"/>
        <v/>
      </c>
      <c r="IO30" s="40" t="str">
        <f t="shared" si="75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6"/>
        <v/>
      </c>
      <c r="JK30" s="11" t="str">
        <f t="shared" si="77"/>
        <v/>
      </c>
      <c r="JL30" s="11" t="str">
        <f t="shared" si="78"/>
        <v/>
      </c>
      <c r="JM30" s="11" t="str">
        <f t="shared" si="79"/>
        <v/>
      </c>
      <c r="JN30" s="11" t="str">
        <f t="shared" si="80"/>
        <v/>
      </c>
      <c r="JO30" s="11" t="str">
        <f t="shared" si="81"/>
        <v/>
      </c>
      <c r="JP30" s="11" t="str">
        <f t="shared" si="82"/>
        <v/>
      </c>
      <c r="JQ30" s="11" t="str">
        <f t="shared" si="83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4"/>
        <v/>
      </c>
      <c r="KM30" s="40" t="str">
        <f t="shared" si="85"/>
        <v/>
      </c>
      <c r="KN30" s="40" t="str">
        <f t="shared" si="86"/>
        <v/>
      </c>
      <c r="KO30" s="40" t="str">
        <f t="shared" si="87"/>
        <v/>
      </c>
      <c r="KP30" s="40" t="str">
        <f t="shared" si="88"/>
        <v/>
      </c>
      <c r="KQ30" s="40" t="str">
        <f t="shared" si="89"/>
        <v/>
      </c>
      <c r="KR30" s="40" t="str">
        <f t="shared" si="90"/>
        <v/>
      </c>
      <c r="KS30" s="40" t="str">
        <f t="shared" si="91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2"/>
        <v/>
      </c>
      <c r="LO30" s="11" t="str">
        <f t="shared" si="93"/>
        <v/>
      </c>
      <c r="LP30" s="11" t="str">
        <f t="shared" si="94"/>
        <v/>
      </c>
      <c r="LQ30" s="11" t="str">
        <f t="shared" si="95"/>
        <v/>
      </c>
      <c r="LR30" s="11" t="str">
        <f t="shared" si="96"/>
        <v/>
      </c>
      <c r="LS30" s="11" t="str">
        <f t="shared" si="97"/>
        <v/>
      </c>
      <c r="LT30" s="11" t="str">
        <f t="shared" si="98"/>
        <v/>
      </c>
      <c r="LU30" s="11" t="str">
        <f t="shared" si="99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0"/>
        <v/>
      </c>
      <c r="MQ30" s="40" t="str">
        <f t="shared" si="101"/>
        <v/>
      </c>
      <c r="MR30" s="40" t="str">
        <f t="shared" si="102"/>
        <v/>
      </c>
      <c r="MS30" s="40" t="str">
        <f t="shared" si="103"/>
        <v/>
      </c>
      <c r="MT30" s="40" t="str">
        <f t="shared" si="104"/>
        <v/>
      </c>
      <c r="MU30" s="40" t="str">
        <f t="shared" si="105"/>
        <v/>
      </c>
      <c r="MV30" s="40" t="str">
        <f t="shared" si="106"/>
        <v/>
      </c>
      <c r="MW30" s="40" t="str">
        <f t="shared" si="107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08"/>
        <v/>
      </c>
      <c r="NS30" s="11" t="str">
        <f t="shared" si="109"/>
        <v/>
      </c>
      <c r="NT30" s="11" t="str">
        <f t="shared" si="110"/>
        <v/>
      </c>
      <c r="NU30" s="11" t="str">
        <f t="shared" si="111"/>
        <v/>
      </c>
      <c r="NV30" s="11" t="str">
        <f t="shared" si="112"/>
        <v/>
      </c>
      <c r="NW30" s="11" t="str">
        <f t="shared" si="113"/>
        <v/>
      </c>
      <c r="NX30" s="11" t="str">
        <f t="shared" si="114"/>
        <v/>
      </c>
      <c r="NY30" s="11" t="str">
        <f t="shared" si="115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6"/>
        <v/>
      </c>
      <c r="OU30" s="40" t="str">
        <f t="shared" si="117"/>
        <v/>
      </c>
      <c r="OV30" s="40" t="str">
        <f t="shared" si="118"/>
        <v/>
      </c>
      <c r="OW30" s="40" t="str">
        <f t="shared" si="119"/>
        <v/>
      </c>
      <c r="OX30" s="40" t="str">
        <f t="shared" si="120"/>
        <v/>
      </c>
      <c r="OY30" s="40" t="str">
        <f t="shared" si="121"/>
        <v/>
      </c>
      <c r="OZ30" s="40" t="str">
        <f t="shared" si="122"/>
        <v/>
      </c>
      <c r="PA30" s="40" t="str">
        <f t="shared" si="123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4"/>
        <v/>
      </c>
      <c r="PW30" s="11" t="str">
        <f t="shared" si="125"/>
        <v/>
      </c>
      <c r="PX30" s="11" t="str">
        <f t="shared" si="126"/>
        <v/>
      </c>
      <c r="PY30" s="11" t="str">
        <f t="shared" si="127"/>
        <v/>
      </c>
      <c r="PZ30" s="11" t="str">
        <f t="shared" si="128"/>
        <v/>
      </c>
      <c r="QA30" s="11" t="str">
        <f t="shared" si="129"/>
        <v/>
      </c>
      <c r="QB30" s="11" t="str">
        <f t="shared" si="130"/>
        <v/>
      </c>
      <c r="QC30" s="11" t="str">
        <f t="shared" si="131"/>
        <v/>
      </c>
      <c r="QD30" s="22">
        <f t="shared" si="132"/>
        <v>9.3000000000000007</v>
      </c>
      <c r="QE30" s="22">
        <f t="shared" si="133"/>
        <v>3.4</v>
      </c>
      <c r="QF30" s="22">
        <f t="shared" si="134"/>
        <v>0.4</v>
      </c>
      <c r="QG30" s="22">
        <f t="shared" si="135"/>
        <v>0</v>
      </c>
      <c r="QH30" s="22">
        <f t="shared" si="136"/>
        <v>9</v>
      </c>
      <c r="QI30" s="22">
        <f t="shared" si="137"/>
        <v>3.4</v>
      </c>
      <c r="QJ30" s="22">
        <f t="shared" si="138"/>
        <v>0.1</v>
      </c>
      <c r="QK30" s="22">
        <f t="shared" si="139"/>
        <v>0</v>
      </c>
      <c r="QL30" s="22">
        <f t="shared" si="140"/>
        <v>0</v>
      </c>
      <c r="QM30" s="22">
        <f t="shared" si="141"/>
        <v>0</v>
      </c>
      <c r="QN30" s="22">
        <f t="shared" si="142"/>
        <v>0</v>
      </c>
      <c r="QO30" s="22">
        <f t="shared" si="143"/>
        <v>0</v>
      </c>
      <c r="QP30" s="22">
        <f t="shared" si="144"/>
        <v>9.5500000000000007</v>
      </c>
      <c r="QQ30" s="22">
        <f t="shared" si="145"/>
        <v>3.4</v>
      </c>
      <c r="QR30" s="22">
        <f t="shared" si="146"/>
        <v>0</v>
      </c>
      <c r="QS30" s="22">
        <f t="shared" si="147"/>
        <v>0</v>
      </c>
      <c r="QT30" s="22">
        <f t="shared" si="148"/>
        <v>9</v>
      </c>
      <c r="QU30" s="22">
        <f t="shared" si="149"/>
        <v>3.4</v>
      </c>
      <c r="QV30" s="22">
        <f t="shared" si="150"/>
        <v>0.3</v>
      </c>
      <c r="QW30" s="22">
        <f t="shared" si="151"/>
        <v>0</v>
      </c>
      <c r="QX30" s="27" t="s">
        <v>46</v>
      </c>
      <c r="QY30" s="40">
        <f t="shared" si="152"/>
        <v>6.8</v>
      </c>
      <c r="QZ30" s="40">
        <f t="shared" si="153"/>
        <v>24.6</v>
      </c>
      <c r="RA30" s="40" t="str">
        <f t="shared" si="154"/>
        <v/>
      </c>
      <c r="RB30" s="40">
        <f t="shared" si="155"/>
        <v>6.8</v>
      </c>
      <c r="RC30" s="40">
        <f t="shared" si="156"/>
        <v>24.6</v>
      </c>
      <c r="RD30" s="40">
        <f t="shared" si="157"/>
        <v>6.8</v>
      </c>
      <c r="RE30" s="40">
        <f t="shared" si="158"/>
        <v>25.05</v>
      </c>
      <c r="RF30" s="40">
        <f t="shared" si="159"/>
        <v>49.650000000000006</v>
      </c>
    </row>
    <row r="31" spans="1:474" x14ac:dyDescent="0.2">
      <c r="A31" s="4" cm="1">
        <f t="array" ref="A31">IF(AND(J31&lt;&gt;"",J31&lt;&gt;"No DD"),SUMPRODUCT((J$4:J$42&lt;&gt;"")*(J$4:J$42&lt;&gt;"No DD")*(F$4:F$42&gt;F31))+1,IF(J31="No DD",SUMPRODUCT((J$4:J$42="No DD")*(F$4:F$42&gt;F31))+1+SUMPRODUCT((J$4:J$42&lt;&gt;"")*(J$4:J$42&lt;&gt;"No DD")),""))</f>
        <v>22</v>
      </c>
      <c r="B31" s="4" cm="1">
        <f t="array" ref="B31">IF(AND(J31&lt;&gt;"",J31&lt;&gt;"No DD",G31=""),SUMPRODUCT((J$4:J$42&lt;&gt;"")*(J$4:J$42&lt;&gt;"No DD")*(G$4:G$42="")*(F$4:F$42&gt;F31))+1,IF(J31="No DD",SUMPRODUCT((J$4:J$42="No DD")*(F$4:F$42&gt;F31)*(G$4:G$42=""))+1+SUMPRODUCT((J$4:J$42&lt;&gt;"")*(G$4:G$42="")*(J$4:J$42&lt;&gt;"No DD")),""))</f>
        <v>17</v>
      </c>
      <c r="C31" s="5" t="s">
        <v>160</v>
      </c>
      <c r="D31" s="4" t="s">
        <v>6</v>
      </c>
      <c r="E31" s="4">
        <v>2007</v>
      </c>
      <c r="F31" s="9">
        <f t="shared" si="0"/>
        <v>96.400004840004854</v>
      </c>
      <c r="H31" s="3" t="str">
        <f t="shared" si="1"/>
        <v/>
      </c>
      <c r="I31" s="3" t="str">
        <f t="shared" si="2"/>
        <v>P</v>
      </c>
      <c r="J31" s="36" t="str">
        <f t="shared" si="3"/>
        <v>No DD</v>
      </c>
      <c r="K31" s="3" t="str">
        <f t="shared" si="4"/>
        <v/>
      </c>
      <c r="L31" s="8">
        <f>IF(COUNT(AQ31,BT31,CW31)&gt;0,LARGE((AQ31,BT31,CW31),1),0)</f>
        <v>48.400000000000006</v>
      </c>
      <c r="M31" s="8" t="str">
        <f t="shared" si="5"/>
        <v>2024 Nationals</v>
      </c>
      <c r="N31" s="8">
        <f>IF(COUNT(AQ31,BT31,CW31)&gt;1,LARGE((AQ31,BT31,CW31),2),0)</f>
        <v>0</v>
      </c>
      <c r="O31" s="8" t="str">
        <f t="shared" si="6"/>
        <v/>
      </c>
      <c r="P31" s="8">
        <f t="shared" si="7"/>
        <v>48</v>
      </c>
      <c r="Q31" s="8" t="str">
        <f t="shared" si="8"/>
        <v>2024 Nationals</v>
      </c>
      <c r="R31" s="8" t="str">
        <f t="shared" si="9"/>
        <v/>
      </c>
      <c r="S31" s="11" t="str">
        <f t="shared" ref="S31:S41" si="162">IF(R31="","",IF(R31=DD31,"("&amp;DD$2&amp;")",IF(R31=DE31,"("&amp;DE$2&amp;")")))</f>
        <v/>
      </c>
      <c r="T31" s="8" t="str">
        <f t="shared" ref="T31:T41" si="163">IF(R31="","",IF(R31=DD31,IF(R31+IF(N31="",0,N31)=PW31,$PB$1,IF(R31+IF(N31="",0,N31)=OU31,$NZ$1,IF(R31+IF(N31="",0,N31)=NS31,$MX$1,IF(R31+IF(N31="",0,N31)=MQ31,$LV$1,IF(R31+IF(N31="",0,N31)=LO31,$KT$1,IF(R31+IF(N31="",0,N31)=KM31,$JR$1,IF(R31+IF(N31="",0,N31)=JK31,$IP$1,IF(R31+IF(N31="",0,N31)=II31,$HN$1,IF(R31+IF(N31="",0,N31)=HG31,$GL$1,IF(R31+IF(N31="",0,N31)=GE31,$FJ$1,IF(R31+IF(N31="",0,N31)=FC31,$EH$1,IF(R31+IF(N31="",0,N31)=EA31,$DF$1)))))))))))),IF(R31=DE31,IF(R31+IF(P31="",0,P31)=QB31,$PB$1,IF(R31+IF(P31="",0,P31)=OZ31,$NZ$1,IF(R31+IF(P31="",0,P31)=NX31,$MX$1,IF(R31+IF(P31="",0,P31)=MV31,$LV$1,IF(R31+IF(P31="",0,P31)=LT31,$KT$1,IF(R31+IF(P31="",0,P31)=KR31,$JR$1,IF(R31+IF(P31="",0,P31)=JP31,$IP$1,IF(R31+IF(P31="",0,P31)=IN31,$HN$1,IF(R31+IF(P31="",0,P31)=HL31,$GL$1,IF(R31+IF(P31="",0,P31)=GJ31,$FJ$1,IF(R31+IF(P31="",0,P31)=FH31,$EH$1,IF(R31+IF(P31="",0,P31)=EF31,$DF$1)))))))))))))))</f>
        <v/>
      </c>
      <c r="U31" s="19">
        <v>19</v>
      </c>
      <c r="V31" s="19">
        <v>5.2</v>
      </c>
      <c r="W31" s="19">
        <v>0</v>
      </c>
      <c r="X31" s="19">
        <v>0</v>
      </c>
      <c r="Y31" s="19">
        <v>19</v>
      </c>
      <c r="Z31" s="19">
        <v>5.2</v>
      </c>
      <c r="AA31" s="19">
        <v>0</v>
      </c>
      <c r="AB31" s="19">
        <v>0</v>
      </c>
      <c r="AC31" s="19">
        <v>18.5</v>
      </c>
      <c r="AD31" s="19">
        <v>3.9</v>
      </c>
      <c r="AE31" s="19">
        <v>0.2</v>
      </c>
      <c r="AF31" s="19">
        <v>0</v>
      </c>
      <c r="AG31" s="19">
        <v>18.899999999999999</v>
      </c>
      <c r="AH31" s="19">
        <v>5.2</v>
      </c>
      <c r="AI31" s="19">
        <v>0.2</v>
      </c>
      <c r="AJ31" s="19">
        <v>0</v>
      </c>
      <c r="AK31" s="19">
        <v>18.899999999999999</v>
      </c>
      <c r="AL31" s="19">
        <v>5.2</v>
      </c>
      <c r="AM31" s="19">
        <v>0</v>
      </c>
      <c r="AN31" s="19">
        <v>0</v>
      </c>
      <c r="AO31" s="27"/>
      <c r="AP31" s="40">
        <f t="shared" si="10"/>
        <v>10.4</v>
      </c>
      <c r="AQ31" s="40">
        <f t="shared" si="11"/>
        <v>48.400000000000006</v>
      </c>
      <c r="AR31" s="40">
        <f t="shared" si="12"/>
        <v>22.2</v>
      </c>
      <c r="AS31" s="40">
        <f t="shared" si="13"/>
        <v>14.3</v>
      </c>
      <c r="AT31" s="40">
        <f t="shared" si="14"/>
        <v>70.600000000000009</v>
      </c>
      <c r="AU31" s="40">
        <f t="shared" si="15"/>
        <v>10.4</v>
      </c>
      <c r="AV31" s="40">
        <f t="shared" si="16"/>
        <v>48</v>
      </c>
      <c r="AW31" s="40">
        <f t="shared" si="17"/>
        <v>118.60000000000001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18"/>
        <v/>
      </c>
      <c r="BT31" s="11" t="str">
        <f t="shared" si="19"/>
        <v/>
      </c>
      <c r="BU31" s="11" t="str">
        <f t="shared" si="20"/>
        <v/>
      </c>
      <c r="BV31" s="11" t="str">
        <f t="shared" si="21"/>
        <v/>
      </c>
      <c r="BW31" s="11" t="str">
        <f t="shared" si="22"/>
        <v/>
      </c>
      <c r="BX31" s="11" t="str">
        <f t="shared" si="23"/>
        <v/>
      </c>
      <c r="BY31" s="11" t="str">
        <f t="shared" si="24"/>
        <v/>
      </c>
      <c r="BZ31" s="11" t="str">
        <f t="shared" si="25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6"/>
        <v/>
      </c>
      <c r="CW31" s="40" t="str">
        <f t="shared" si="27"/>
        <v/>
      </c>
      <c r="CX31" s="40" t="str">
        <f t="shared" si="28"/>
        <v/>
      </c>
      <c r="CY31" s="40" t="str">
        <f t="shared" si="29"/>
        <v/>
      </c>
      <c r="CZ31" s="40" t="str">
        <f t="shared" si="30"/>
        <v/>
      </c>
      <c r="DA31" s="40" t="str">
        <f t="shared" si="31"/>
        <v/>
      </c>
      <c r="DB31" s="40" t="str">
        <f t="shared" si="32"/>
        <v/>
      </c>
      <c r="DC31" s="40" t="str">
        <f t="shared" si="33"/>
        <v/>
      </c>
      <c r="DD31" s="50" t="str">
        <f t="shared" si="34"/>
        <v/>
      </c>
      <c r="DE31" s="50" t="str">
        <f t="shared" si="35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6"/>
        <v/>
      </c>
      <c r="EA31" s="40" t="str">
        <f t="shared" si="37"/>
        <v/>
      </c>
      <c r="EB31" s="40" t="str">
        <f t="shared" si="38"/>
        <v/>
      </c>
      <c r="EC31" s="40" t="str">
        <f t="shared" si="39"/>
        <v/>
      </c>
      <c r="ED31" s="40" t="str">
        <f t="shared" si="40"/>
        <v/>
      </c>
      <c r="EE31" s="40" t="str">
        <f t="shared" si="41"/>
        <v/>
      </c>
      <c r="EF31" s="40" t="str">
        <f t="shared" si="42"/>
        <v/>
      </c>
      <c r="EG31" s="40" t="str">
        <f t="shared" si="43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4"/>
        <v/>
      </c>
      <c r="FC31" s="11" t="str">
        <f t="shared" si="45"/>
        <v/>
      </c>
      <c r="FD31" s="11" t="str">
        <f t="shared" si="46"/>
        <v/>
      </c>
      <c r="FE31" s="11" t="str">
        <f t="shared" si="47"/>
        <v/>
      </c>
      <c r="FF31" s="11" t="str">
        <f t="shared" si="48"/>
        <v/>
      </c>
      <c r="FG31" s="11" t="str">
        <f t="shared" si="49"/>
        <v/>
      </c>
      <c r="FH31" s="11" t="str">
        <f t="shared" si="50"/>
        <v/>
      </c>
      <c r="FI31" s="11" t="str">
        <f t="shared" si="51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2"/>
        <v/>
      </c>
      <c r="GE31" s="40" t="str">
        <f t="shared" si="53"/>
        <v/>
      </c>
      <c r="GF31" s="40" t="str">
        <f t="shared" si="54"/>
        <v/>
      </c>
      <c r="GG31" s="40" t="str">
        <f t="shared" si="55"/>
        <v/>
      </c>
      <c r="GH31" s="40" t="str">
        <f t="shared" si="56"/>
        <v/>
      </c>
      <c r="GI31" s="40" t="str">
        <f t="shared" si="57"/>
        <v/>
      </c>
      <c r="GJ31" s="40" t="str">
        <f t="shared" si="58"/>
        <v/>
      </c>
      <c r="GK31" s="40" t="str">
        <f t="shared" si="59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0"/>
        <v/>
      </c>
      <c r="HG31" s="11" t="str">
        <f t="shared" si="61"/>
        <v/>
      </c>
      <c r="HH31" s="11" t="str">
        <f t="shared" si="62"/>
        <v/>
      </c>
      <c r="HI31" s="11" t="str">
        <f t="shared" si="63"/>
        <v/>
      </c>
      <c r="HJ31" s="11" t="str">
        <f t="shared" si="64"/>
        <v/>
      </c>
      <c r="HK31" s="11" t="str">
        <f t="shared" si="65"/>
        <v/>
      </c>
      <c r="HL31" s="11" t="str">
        <f t="shared" si="66"/>
        <v/>
      </c>
      <c r="HM31" s="11" t="str">
        <f t="shared" si="67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68"/>
        <v/>
      </c>
      <c r="II31" s="40" t="str">
        <f t="shared" si="69"/>
        <v/>
      </c>
      <c r="IJ31" s="40" t="str">
        <f t="shared" si="70"/>
        <v/>
      </c>
      <c r="IK31" s="40" t="str">
        <f t="shared" si="71"/>
        <v/>
      </c>
      <c r="IL31" s="40" t="str">
        <f t="shared" si="72"/>
        <v/>
      </c>
      <c r="IM31" s="40" t="str">
        <f t="shared" si="73"/>
        <v/>
      </c>
      <c r="IN31" s="40" t="str">
        <f t="shared" si="74"/>
        <v/>
      </c>
      <c r="IO31" s="40" t="str">
        <f t="shared" si="75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6"/>
        <v/>
      </c>
      <c r="JK31" s="11" t="str">
        <f t="shared" si="77"/>
        <v/>
      </c>
      <c r="JL31" s="11" t="str">
        <f t="shared" si="78"/>
        <v/>
      </c>
      <c r="JM31" s="11" t="str">
        <f t="shared" si="79"/>
        <v/>
      </c>
      <c r="JN31" s="11" t="str">
        <f t="shared" si="80"/>
        <v/>
      </c>
      <c r="JO31" s="11" t="str">
        <f t="shared" si="81"/>
        <v/>
      </c>
      <c r="JP31" s="11" t="str">
        <f t="shared" si="82"/>
        <v/>
      </c>
      <c r="JQ31" s="11" t="str">
        <f t="shared" si="83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4"/>
        <v/>
      </c>
      <c r="KM31" s="40" t="str">
        <f t="shared" si="85"/>
        <v/>
      </c>
      <c r="KN31" s="40" t="str">
        <f t="shared" si="86"/>
        <v/>
      </c>
      <c r="KO31" s="40" t="str">
        <f t="shared" si="87"/>
        <v/>
      </c>
      <c r="KP31" s="40" t="str">
        <f t="shared" si="88"/>
        <v/>
      </c>
      <c r="KQ31" s="40" t="str">
        <f t="shared" si="89"/>
        <v/>
      </c>
      <c r="KR31" s="40" t="str">
        <f t="shared" si="90"/>
        <v/>
      </c>
      <c r="KS31" s="40" t="str">
        <f t="shared" si="91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2"/>
        <v/>
      </c>
      <c r="LO31" s="11" t="str">
        <f t="shared" si="93"/>
        <v/>
      </c>
      <c r="LP31" s="11" t="str">
        <f t="shared" si="94"/>
        <v/>
      </c>
      <c r="LQ31" s="11" t="str">
        <f t="shared" si="95"/>
        <v/>
      </c>
      <c r="LR31" s="11" t="str">
        <f t="shared" si="96"/>
        <v/>
      </c>
      <c r="LS31" s="11" t="str">
        <f t="shared" si="97"/>
        <v/>
      </c>
      <c r="LT31" s="11" t="str">
        <f t="shared" si="98"/>
        <v/>
      </c>
      <c r="LU31" s="11" t="str">
        <f t="shared" si="99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0"/>
        <v/>
      </c>
      <c r="MQ31" s="40" t="str">
        <f t="shared" si="101"/>
        <v/>
      </c>
      <c r="MR31" s="40" t="str">
        <f t="shared" si="102"/>
        <v/>
      </c>
      <c r="MS31" s="40" t="str">
        <f t="shared" si="103"/>
        <v/>
      </c>
      <c r="MT31" s="40" t="str">
        <f t="shared" si="104"/>
        <v/>
      </c>
      <c r="MU31" s="40" t="str">
        <f t="shared" si="105"/>
        <v/>
      </c>
      <c r="MV31" s="40" t="str">
        <f t="shared" si="106"/>
        <v/>
      </c>
      <c r="MW31" s="40" t="str">
        <f t="shared" si="107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08"/>
        <v/>
      </c>
      <c r="NS31" s="11" t="str">
        <f t="shared" si="109"/>
        <v/>
      </c>
      <c r="NT31" s="11" t="str">
        <f t="shared" si="110"/>
        <v/>
      </c>
      <c r="NU31" s="11" t="str">
        <f t="shared" si="111"/>
        <v/>
      </c>
      <c r="NV31" s="11" t="str">
        <f t="shared" si="112"/>
        <v/>
      </c>
      <c r="NW31" s="11" t="str">
        <f t="shared" si="113"/>
        <v/>
      </c>
      <c r="NX31" s="11" t="str">
        <f t="shared" si="114"/>
        <v/>
      </c>
      <c r="NY31" s="11" t="str">
        <f t="shared" si="115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6"/>
        <v/>
      </c>
      <c r="OU31" s="40" t="str">
        <f t="shared" si="117"/>
        <v/>
      </c>
      <c r="OV31" s="40" t="str">
        <f t="shared" si="118"/>
        <v/>
      </c>
      <c r="OW31" s="40" t="str">
        <f t="shared" si="119"/>
        <v/>
      </c>
      <c r="OX31" s="40" t="str">
        <f t="shared" si="120"/>
        <v/>
      </c>
      <c r="OY31" s="40" t="str">
        <f t="shared" si="121"/>
        <v/>
      </c>
      <c r="OZ31" s="40" t="str">
        <f t="shared" si="122"/>
        <v/>
      </c>
      <c r="PA31" s="40" t="str">
        <f t="shared" si="123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4"/>
        <v/>
      </c>
      <c r="PW31" s="11" t="str">
        <f t="shared" si="125"/>
        <v/>
      </c>
      <c r="PX31" s="11" t="str">
        <f t="shared" si="126"/>
        <v/>
      </c>
      <c r="PY31" s="11" t="str">
        <f t="shared" si="127"/>
        <v/>
      </c>
      <c r="PZ31" s="11" t="str">
        <f t="shared" si="128"/>
        <v/>
      </c>
      <c r="QA31" s="11" t="str">
        <f t="shared" si="129"/>
        <v/>
      </c>
      <c r="QB31" s="11" t="str">
        <f t="shared" si="130"/>
        <v/>
      </c>
      <c r="QC31" s="11" t="str">
        <f t="shared" si="131"/>
        <v/>
      </c>
      <c r="QD31" s="22">
        <f t="shared" si="132"/>
        <v>0</v>
      </c>
      <c r="QE31" s="22">
        <f t="shared" si="133"/>
        <v>0</v>
      </c>
      <c r="QF31" s="22">
        <f t="shared" si="134"/>
        <v>0</v>
      </c>
      <c r="QG31" s="22">
        <f t="shared" si="135"/>
        <v>0</v>
      </c>
      <c r="QH31" s="22">
        <f t="shared" si="136"/>
        <v>0</v>
      </c>
      <c r="QI31" s="22">
        <f t="shared" si="137"/>
        <v>0</v>
      </c>
      <c r="QJ31" s="22">
        <f t="shared" si="138"/>
        <v>0</v>
      </c>
      <c r="QK31" s="22">
        <f t="shared" si="139"/>
        <v>0</v>
      </c>
      <c r="QL31" s="22">
        <f t="shared" si="140"/>
        <v>0</v>
      </c>
      <c r="QM31" s="22">
        <f t="shared" si="141"/>
        <v>0</v>
      </c>
      <c r="QN31" s="22">
        <f t="shared" si="142"/>
        <v>0</v>
      </c>
      <c r="QO31" s="22">
        <f t="shared" si="143"/>
        <v>0</v>
      </c>
      <c r="QP31" s="22">
        <f t="shared" si="144"/>
        <v>0</v>
      </c>
      <c r="QQ31" s="22">
        <f t="shared" si="145"/>
        <v>0</v>
      </c>
      <c r="QR31" s="22">
        <f t="shared" si="146"/>
        <v>0</v>
      </c>
      <c r="QS31" s="22">
        <f t="shared" si="147"/>
        <v>0</v>
      </c>
      <c r="QT31" s="22">
        <f t="shared" si="148"/>
        <v>0</v>
      </c>
      <c r="QU31" s="22">
        <f t="shared" si="149"/>
        <v>0</v>
      </c>
      <c r="QV31" s="22">
        <f t="shared" si="150"/>
        <v>0</v>
      </c>
      <c r="QW31" s="22">
        <f t="shared" si="151"/>
        <v>0</v>
      </c>
      <c r="QX31" s="27" t="s">
        <v>46</v>
      </c>
      <c r="QY31" s="40" t="str">
        <f t="shared" si="152"/>
        <v/>
      </c>
      <c r="QZ31" s="40" t="str">
        <f t="shared" si="153"/>
        <v/>
      </c>
      <c r="RA31" s="40" t="str">
        <f t="shared" si="154"/>
        <v/>
      </c>
      <c r="RB31" s="40" t="str">
        <f t="shared" si="155"/>
        <v/>
      </c>
      <c r="RC31" s="40" t="str">
        <f t="shared" si="156"/>
        <v/>
      </c>
      <c r="RD31" s="40" t="str">
        <f t="shared" si="157"/>
        <v/>
      </c>
      <c r="RE31" s="40" t="str">
        <f t="shared" si="158"/>
        <v/>
      </c>
      <c r="RF31" s="40" t="str">
        <f t="shared" si="159"/>
        <v/>
      </c>
    </row>
    <row r="32" spans="1:474" x14ac:dyDescent="0.2">
      <c r="A32" s="4" t="str" cm="1">
        <f t="array" ref="A32">IF(AND(J32&lt;&gt;"",J32&lt;&gt;"No DD"),SUMPRODUCT((J$4:J$42&lt;&gt;"")*(J$4:J$42&lt;&gt;"No DD")*(F$4:F$42&gt;F32))+1,IF(J32="No DD",SUMPRODUCT((J$4:J$42="No DD")*(F$4:F$42&gt;F32))+1+SUMPRODUCT((J$4:J$42&lt;&gt;"")*(J$4:J$42&lt;&gt;"No DD")),""))</f>
        <v/>
      </c>
      <c r="B32" s="4" t="str" cm="1">
        <f t="array" ref="B32">IF(AND(J32&lt;&gt;"",J32&lt;&gt;"No DD",G32=""),SUMPRODUCT((J$4:J$42&lt;&gt;"")*(J$4:J$42&lt;&gt;"No DD")*(G$4:G$42="")*(F$4:F$42&gt;F32))+1,IF(J32="No DD",SUMPRODUCT((J$4:J$42="No DD")*(F$4:F$42&gt;F32)*(G$4:G$42=""))+1+SUMPRODUCT((J$4:J$42&lt;&gt;"")*(G$4:G$42="")*(J$4:J$42&lt;&gt;"No DD")),""))</f>
        <v/>
      </c>
      <c r="C32" s="5" t="s">
        <v>176</v>
      </c>
      <c r="D32" s="4" t="s">
        <v>6</v>
      </c>
      <c r="E32" s="4">
        <v>2005</v>
      </c>
      <c r="F32" s="9">
        <f t="shared" si="0"/>
        <v>93.500004620004617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46.199999999999996</v>
      </c>
      <c r="M32" s="8" t="str">
        <f t="shared" si="5"/>
        <v>2024 Nationals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0</v>
      </c>
      <c r="Q32" s="8" t="str">
        <f t="shared" si="8"/>
        <v/>
      </c>
      <c r="R32" s="8">
        <f t="shared" si="9"/>
        <v>47.3</v>
      </c>
      <c r="S32" s="11" t="str">
        <f t="shared" si="162"/>
        <v>(Q1)</v>
      </c>
      <c r="T32" s="8" t="str">
        <f t="shared" si="163"/>
        <v>2024 Coimbra Gym Fest (July 7)</v>
      </c>
      <c r="U32" s="19">
        <v>18.8</v>
      </c>
      <c r="V32" s="19">
        <v>5.2</v>
      </c>
      <c r="W32" s="19">
        <v>0.2</v>
      </c>
      <c r="X32" s="19">
        <v>0</v>
      </c>
      <c r="Y32" s="19">
        <v>18.399999999999999</v>
      </c>
      <c r="Z32" s="19">
        <v>4.8</v>
      </c>
      <c r="AA32" s="19">
        <v>0.8</v>
      </c>
      <c r="AB32" s="19">
        <v>0</v>
      </c>
      <c r="AC32" s="19">
        <v>17.600000000000001</v>
      </c>
      <c r="AD32" s="19">
        <v>0.7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 t="shared" si="10"/>
        <v>10</v>
      </c>
      <c r="AQ32" s="40">
        <f t="shared" si="11"/>
        <v>46.199999999999996</v>
      </c>
      <c r="AR32" s="40">
        <f t="shared" si="12"/>
        <v>18.3</v>
      </c>
      <c r="AS32" s="40">
        <f t="shared" si="13"/>
        <v>10.7</v>
      </c>
      <c r="AT32" s="40">
        <f t="shared" si="14"/>
        <v>64.5</v>
      </c>
      <c r="AU32" s="40" t="str">
        <f t="shared" si="15"/>
        <v/>
      </c>
      <c r="AV32" s="40" t="str">
        <f t="shared" si="16"/>
        <v/>
      </c>
      <c r="AW32" s="40">
        <f t="shared" si="17"/>
        <v>64.5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18"/>
        <v/>
      </c>
      <c r="BT32" s="11" t="str">
        <f t="shared" si="19"/>
        <v/>
      </c>
      <c r="BU32" s="11" t="str">
        <f t="shared" si="20"/>
        <v/>
      </c>
      <c r="BV32" s="11" t="str">
        <f t="shared" si="21"/>
        <v/>
      </c>
      <c r="BW32" s="11" t="str">
        <f t="shared" si="22"/>
        <v/>
      </c>
      <c r="BX32" s="11" t="str">
        <f t="shared" si="23"/>
        <v/>
      </c>
      <c r="BY32" s="11" t="str">
        <f t="shared" si="24"/>
        <v/>
      </c>
      <c r="BZ32" s="11" t="str">
        <f t="shared" si="25"/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 t="shared" si="26"/>
        <v/>
      </c>
      <c r="CW32" s="40" t="str">
        <f t="shared" si="27"/>
        <v/>
      </c>
      <c r="CX32" s="40" t="str">
        <f t="shared" si="28"/>
        <v/>
      </c>
      <c r="CY32" s="40" t="str">
        <f t="shared" si="29"/>
        <v/>
      </c>
      <c r="CZ32" s="40" t="str">
        <f t="shared" si="30"/>
        <v/>
      </c>
      <c r="DA32" s="40" t="str">
        <f t="shared" si="31"/>
        <v/>
      </c>
      <c r="DB32" s="40" t="str">
        <f t="shared" si="32"/>
        <v/>
      </c>
      <c r="DC32" s="40" t="str">
        <f t="shared" si="33"/>
        <v/>
      </c>
      <c r="DD32" s="50">
        <f t="shared" si="34"/>
        <v>47.3</v>
      </c>
      <c r="DE32" s="50" t="str">
        <f t="shared" si="35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6"/>
        <v/>
      </c>
      <c r="EA32" s="40" t="str">
        <f t="shared" si="37"/>
        <v/>
      </c>
      <c r="EB32" s="40" t="str">
        <f t="shared" si="38"/>
        <v/>
      </c>
      <c r="EC32" s="40" t="str">
        <f t="shared" si="39"/>
        <v/>
      </c>
      <c r="ED32" s="40" t="str">
        <f t="shared" si="40"/>
        <v/>
      </c>
      <c r="EE32" s="40" t="str">
        <f t="shared" si="41"/>
        <v/>
      </c>
      <c r="EF32" s="40" t="str">
        <f t="shared" si="42"/>
        <v/>
      </c>
      <c r="EG32" s="40" t="str">
        <f t="shared" si="43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4"/>
        <v/>
      </c>
      <c r="FC32" s="11" t="str">
        <f t="shared" si="45"/>
        <v/>
      </c>
      <c r="FD32" s="11" t="str">
        <f t="shared" si="46"/>
        <v/>
      </c>
      <c r="FE32" s="11" t="str">
        <f t="shared" si="47"/>
        <v/>
      </c>
      <c r="FF32" s="11" t="str">
        <f t="shared" si="48"/>
        <v/>
      </c>
      <c r="FG32" s="11" t="str">
        <f t="shared" si="49"/>
        <v/>
      </c>
      <c r="FH32" s="11" t="str">
        <f t="shared" si="50"/>
        <v/>
      </c>
      <c r="FI32" s="11" t="str">
        <f t="shared" si="51"/>
        <v/>
      </c>
      <c r="FJ32" s="17">
        <v>18.399999999999999</v>
      </c>
      <c r="FK32" s="17">
        <v>5.6</v>
      </c>
      <c r="FL32" s="17">
        <v>0</v>
      </c>
      <c r="FM32" s="17">
        <v>0</v>
      </c>
      <c r="FN32" s="17">
        <v>18.7</v>
      </c>
      <c r="FO32" s="17">
        <v>4.8</v>
      </c>
      <c r="FP32" s="17">
        <v>0.2</v>
      </c>
      <c r="FQ32" s="17">
        <v>0</v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>
        <f t="shared" si="52"/>
        <v>10.399999999999999</v>
      </c>
      <c r="GE32" s="40">
        <f t="shared" si="53"/>
        <v>47.3</v>
      </c>
      <c r="GF32" s="40" t="str">
        <f t="shared" si="54"/>
        <v/>
      </c>
      <c r="GG32" s="40">
        <f t="shared" si="55"/>
        <v>10.399999999999999</v>
      </c>
      <c r="GH32" s="40">
        <f t="shared" si="56"/>
        <v>47.3</v>
      </c>
      <c r="GI32" s="40" t="str">
        <f t="shared" si="57"/>
        <v/>
      </c>
      <c r="GJ32" s="40" t="str">
        <f t="shared" si="58"/>
        <v/>
      </c>
      <c r="GK32" s="40">
        <f t="shared" si="59"/>
        <v>47.3</v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0"/>
        <v/>
      </c>
      <c r="HG32" s="11" t="str">
        <f t="shared" si="61"/>
        <v/>
      </c>
      <c r="HH32" s="11" t="str">
        <f t="shared" si="62"/>
        <v/>
      </c>
      <c r="HI32" s="11" t="str">
        <f t="shared" si="63"/>
        <v/>
      </c>
      <c r="HJ32" s="11" t="str">
        <f t="shared" si="64"/>
        <v/>
      </c>
      <c r="HK32" s="11" t="str">
        <f t="shared" si="65"/>
        <v/>
      </c>
      <c r="HL32" s="11" t="str">
        <f t="shared" si="66"/>
        <v/>
      </c>
      <c r="HM32" s="11" t="str">
        <f t="shared" si="67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68"/>
        <v/>
      </c>
      <c r="II32" s="40" t="str">
        <f t="shared" si="69"/>
        <v/>
      </c>
      <c r="IJ32" s="40" t="str">
        <f t="shared" si="70"/>
        <v/>
      </c>
      <c r="IK32" s="40" t="str">
        <f t="shared" si="71"/>
        <v/>
      </c>
      <c r="IL32" s="40" t="str">
        <f t="shared" si="72"/>
        <v/>
      </c>
      <c r="IM32" s="40" t="str">
        <f t="shared" si="73"/>
        <v/>
      </c>
      <c r="IN32" s="40" t="str">
        <f t="shared" si="74"/>
        <v/>
      </c>
      <c r="IO32" s="40" t="str">
        <f t="shared" si="75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6"/>
        <v/>
      </c>
      <c r="JK32" s="11" t="str">
        <f t="shared" si="77"/>
        <v/>
      </c>
      <c r="JL32" s="11" t="str">
        <f t="shared" si="78"/>
        <v/>
      </c>
      <c r="JM32" s="11" t="str">
        <f t="shared" si="79"/>
        <v/>
      </c>
      <c r="JN32" s="11" t="str">
        <f t="shared" si="80"/>
        <v/>
      </c>
      <c r="JO32" s="11" t="str">
        <f t="shared" si="81"/>
        <v/>
      </c>
      <c r="JP32" s="11" t="str">
        <f t="shared" si="82"/>
        <v/>
      </c>
      <c r="JQ32" s="11" t="str">
        <f t="shared" si="83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4"/>
        <v/>
      </c>
      <c r="KM32" s="40" t="str">
        <f t="shared" si="85"/>
        <v/>
      </c>
      <c r="KN32" s="40" t="str">
        <f t="shared" si="86"/>
        <v/>
      </c>
      <c r="KO32" s="40" t="str">
        <f t="shared" si="87"/>
        <v/>
      </c>
      <c r="KP32" s="40" t="str">
        <f t="shared" si="88"/>
        <v/>
      </c>
      <c r="KQ32" s="40" t="str">
        <f t="shared" si="89"/>
        <v/>
      </c>
      <c r="KR32" s="40" t="str">
        <f t="shared" si="90"/>
        <v/>
      </c>
      <c r="KS32" s="40" t="str">
        <f t="shared" si="91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2"/>
        <v/>
      </c>
      <c r="LO32" s="11" t="str">
        <f t="shared" si="93"/>
        <v/>
      </c>
      <c r="LP32" s="11" t="str">
        <f t="shared" si="94"/>
        <v/>
      </c>
      <c r="LQ32" s="11" t="str">
        <f t="shared" si="95"/>
        <v/>
      </c>
      <c r="LR32" s="11" t="str">
        <f t="shared" si="96"/>
        <v/>
      </c>
      <c r="LS32" s="11" t="str">
        <f t="shared" si="97"/>
        <v/>
      </c>
      <c r="LT32" s="11" t="str">
        <f t="shared" si="98"/>
        <v/>
      </c>
      <c r="LU32" s="11" t="str">
        <f t="shared" si="99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0"/>
        <v/>
      </c>
      <c r="MQ32" s="40" t="str">
        <f t="shared" si="101"/>
        <v/>
      </c>
      <c r="MR32" s="40" t="str">
        <f t="shared" si="102"/>
        <v/>
      </c>
      <c r="MS32" s="40" t="str">
        <f t="shared" si="103"/>
        <v/>
      </c>
      <c r="MT32" s="40" t="str">
        <f t="shared" si="104"/>
        <v/>
      </c>
      <c r="MU32" s="40" t="str">
        <f t="shared" si="105"/>
        <v/>
      </c>
      <c r="MV32" s="40" t="str">
        <f t="shared" si="106"/>
        <v/>
      </c>
      <c r="MW32" s="40" t="str">
        <f t="shared" si="107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08"/>
        <v/>
      </c>
      <c r="NS32" s="11" t="str">
        <f t="shared" si="109"/>
        <v/>
      </c>
      <c r="NT32" s="11" t="str">
        <f t="shared" si="110"/>
        <v/>
      </c>
      <c r="NU32" s="11" t="str">
        <f t="shared" si="111"/>
        <v/>
      </c>
      <c r="NV32" s="11" t="str">
        <f t="shared" si="112"/>
        <v/>
      </c>
      <c r="NW32" s="11" t="str">
        <f t="shared" si="113"/>
        <v/>
      </c>
      <c r="NX32" s="11" t="str">
        <f t="shared" si="114"/>
        <v/>
      </c>
      <c r="NY32" s="11" t="str">
        <f t="shared" si="115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6"/>
        <v/>
      </c>
      <c r="OU32" s="40" t="str">
        <f t="shared" si="117"/>
        <v/>
      </c>
      <c r="OV32" s="40" t="str">
        <f t="shared" si="118"/>
        <v/>
      </c>
      <c r="OW32" s="40" t="str">
        <f t="shared" si="119"/>
        <v/>
      </c>
      <c r="OX32" s="40" t="str">
        <f t="shared" si="120"/>
        <v/>
      </c>
      <c r="OY32" s="40" t="str">
        <f t="shared" si="121"/>
        <v/>
      </c>
      <c r="OZ32" s="40" t="str">
        <f t="shared" si="122"/>
        <v/>
      </c>
      <c r="PA32" s="40" t="str">
        <f t="shared" si="123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4"/>
        <v/>
      </c>
      <c r="PW32" s="11" t="str">
        <f t="shared" si="125"/>
        <v/>
      </c>
      <c r="PX32" s="11" t="str">
        <f t="shared" si="126"/>
        <v/>
      </c>
      <c r="PY32" s="11" t="str">
        <f t="shared" si="127"/>
        <v/>
      </c>
      <c r="PZ32" s="11" t="str">
        <f t="shared" si="128"/>
        <v/>
      </c>
      <c r="QA32" s="11" t="str">
        <f t="shared" si="129"/>
        <v/>
      </c>
      <c r="QB32" s="11" t="str">
        <f t="shared" si="130"/>
        <v/>
      </c>
      <c r="QC32" s="11" t="str">
        <f t="shared" si="131"/>
        <v/>
      </c>
      <c r="QD32" s="22">
        <f t="shared" si="132"/>
        <v>0</v>
      </c>
      <c r="QE32" s="22">
        <f t="shared" si="133"/>
        <v>0</v>
      </c>
      <c r="QF32" s="22">
        <f t="shared" si="134"/>
        <v>0</v>
      </c>
      <c r="QG32" s="22">
        <f t="shared" si="135"/>
        <v>0</v>
      </c>
      <c r="QH32" s="22">
        <f t="shared" si="136"/>
        <v>0</v>
      </c>
      <c r="QI32" s="22">
        <f t="shared" si="137"/>
        <v>0</v>
      </c>
      <c r="QJ32" s="22">
        <f t="shared" si="138"/>
        <v>0</v>
      </c>
      <c r="QK32" s="22">
        <f t="shared" si="139"/>
        <v>0</v>
      </c>
      <c r="QL32" s="22">
        <f t="shared" si="140"/>
        <v>0</v>
      </c>
      <c r="QM32" s="22">
        <f t="shared" si="141"/>
        <v>0</v>
      </c>
      <c r="QN32" s="22">
        <f t="shared" si="142"/>
        <v>0</v>
      </c>
      <c r="QO32" s="22">
        <f t="shared" si="143"/>
        <v>0</v>
      </c>
      <c r="QP32" s="22">
        <f t="shared" si="144"/>
        <v>0</v>
      </c>
      <c r="QQ32" s="22">
        <f t="shared" si="145"/>
        <v>0</v>
      </c>
      <c r="QR32" s="22">
        <f t="shared" si="146"/>
        <v>0</v>
      </c>
      <c r="QS32" s="22">
        <f t="shared" si="147"/>
        <v>0</v>
      </c>
      <c r="QT32" s="22">
        <f t="shared" si="148"/>
        <v>0</v>
      </c>
      <c r="QU32" s="22">
        <f t="shared" si="149"/>
        <v>0</v>
      </c>
      <c r="QV32" s="22">
        <f t="shared" si="150"/>
        <v>0</v>
      </c>
      <c r="QW32" s="22">
        <f t="shared" si="151"/>
        <v>0</v>
      </c>
      <c r="QX32" s="27" t="s">
        <v>46</v>
      </c>
      <c r="QY32" s="40" t="str">
        <f t="shared" si="152"/>
        <v/>
      </c>
      <c r="QZ32" s="40" t="str">
        <f t="shared" si="153"/>
        <v/>
      </c>
      <c r="RA32" s="40" t="str">
        <f t="shared" si="154"/>
        <v/>
      </c>
      <c r="RB32" s="40" t="str">
        <f t="shared" si="155"/>
        <v/>
      </c>
      <c r="RC32" s="40" t="str">
        <f t="shared" si="156"/>
        <v/>
      </c>
      <c r="RD32" s="40" t="str">
        <f t="shared" si="157"/>
        <v/>
      </c>
      <c r="RE32" s="40" t="str">
        <f t="shared" si="158"/>
        <v/>
      </c>
      <c r="RF32" s="40" t="str">
        <f t="shared" si="159"/>
        <v/>
      </c>
    </row>
    <row r="33" spans="1:474" x14ac:dyDescent="0.2">
      <c r="A33" s="4" t="str" cm="1">
        <f t="array" ref="A33">IF(AND(J33&lt;&gt;"",J33&lt;&gt;"No DD"),SUMPRODUCT((J$4:J$42&lt;&gt;"")*(J$4:J$42&lt;&gt;"No DD")*(F$4:F$42&gt;F33))+1,IF(J33="No DD",SUMPRODUCT((J$4:J$42="No DD")*(F$4:F$42&gt;F33))+1+SUMPRODUCT((J$4:J$42&lt;&gt;"")*(J$4:J$42&lt;&gt;"No DD")),""))</f>
        <v/>
      </c>
      <c r="B33" s="4" t="str" cm="1">
        <f t="array" ref="B33">IF(AND(J33&lt;&gt;"",J33&lt;&gt;"No DD",G33=""),SUMPRODUCT((J$4:J$42&lt;&gt;"")*(J$4:J$42&lt;&gt;"No DD")*(G$4:G$42="")*(F$4:F$42&gt;F33))+1,IF(J33="No DD",SUMPRODUCT((J$4:J$42="No DD")*(F$4:F$42&gt;F33)*(G$4:G$42=""))+1+SUMPRODUCT((J$4:J$42&lt;&gt;"")*(G$4:G$42="")*(J$4:J$42&lt;&gt;"No DD")),""))</f>
        <v/>
      </c>
      <c r="C33" s="5" t="s">
        <v>222</v>
      </c>
      <c r="D33" s="4" t="s">
        <v>5</v>
      </c>
      <c r="E33" s="4">
        <v>2005</v>
      </c>
      <c r="F33" s="9">
        <f t="shared" si="0"/>
        <v>93.200004650004644</v>
      </c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IF(COUNT(AQ33,BT33,CW33)&gt;0,LARGE((AQ33,BT33,CW33),1),0)</f>
        <v>46.5</v>
      </c>
      <c r="M33" s="8" t="str">
        <f t="shared" si="5"/>
        <v>2025 Elite Canada</v>
      </c>
      <c r="N33" s="8">
        <f>IF(COUNT(AQ33,BT33,CW33)&gt;1,LARGE((AQ33,BT33,CW33),2),0)</f>
        <v>0</v>
      </c>
      <c r="O33" s="8" t="str">
        <f t="shared" si="6"/>
        <v/>
      </c>
      <c r="P33" s="8">
        <f t="shared" si="7"/>
        <v>46.7</v>
      </c>
      <c r="Q33" s="8" t="str">
        <f t="shared" si="8"/>
        <v>2025 Elite Canada</v>
      </c>
      <c r="R33" s="8" t="str">
        <f t="shared" si="9"/>
        <v/>
      </c>
      <c r="S33" s="11" t="str">
        <f t="shared" si="162"/>
        <v/>
      </c>
      <c r="T33" s="8" t="str">
        <f t="shared" si="163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10"/>
        <v/>
      </c>
      <c r="AQ33" s="40" t="str">
        <f t="shared" si="11"/>
        <v/>
      </c>
      <c r="AR33" s="40" t="str">
        <f t="shared" si="12"/>
        <v/>
      </c>
      <c r="AS33" s="40" t="str">
        <f t="shared" si="13"/>
        <v/>
      </c>
      <c r="AT33" s="40" t="str">
        <f t="shared" si="14"/>
        <v/>
      </c>
      <c r="AU33" s="40" t="str">
        <f t="shared" si="15"/>
        <v/>
      </c>
      <c r="AV33" s="40" t="str">
        <f t="shared" si="16"/>
        <v/>
      </c>
      <c r="AW33" s="40" t="str">
        <f t="shared" si="17"/>
        <v/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18"/>
        <v/>
      </c>
      <c r="BT33" s="11" t="str">
        <f t="shared" si="19"/>
        <v/>
      </c>
      <c r="BU33" s="11" t="str">
        <f t="shared" si="20"/>
        <v/>
      </c>
      <c r="BV33" s="11" t="str">
        <f t="shared" si="21"/>
        <v/>
      </c>
      <c r="BW33" s="11" t="str">
        <f t="shared" si="22"/>
        <v/>
      </c>
      <c r="BX33" s="11" t="str">
        <f t="shared" si="23"/>
        <v/>
      </c>
      <c r="BY33" s="11" t="str">
        <f t="shared" si="24"/>
        <v/>
      </c>
      <c r="BZ33" s="11" t="str">
        <f t="shared" si="25"/>
        <v/>
      </c>
      <c r="CA33" s="19">
        <v>18.7</v>
      </c>
      <c r="CB33" s="19">
        <v>4.4000000000000004</v>
      </c>
      <c r="CC33" s="19">
        <v>0.2</v>
      </c>
      <c r="CD33" s="19">
        <v>0</v>
      </c>
      <c r="CE33" s="19">
        <v>18.399999999999999</v>
      </c>
      <c r="CF33" s="19">
        <v>5.2</v>
      </c>
      <c r="CG33" s="19">
        <v>0</v>
      </c>
      <c r="CH33" s="19">
        <v>0</v>
      </c>
      <c r="CI33" s="19"/>
      <c r="CJ33" s="19"/>
      <c r="CK33" s="19"/>
      <c r="CL33" s="19"/>
      <c r="CM33" s="19">
        <v>18.8</v>
      </c>
      <c r="CN33" s="19">
        <v>5.2</v>
      </c>
      <c r="CO33" s="19">
        <v>0.2</v>
      </c>
      <c r="CP33" s="19">
        <v>0</v>
      </c>
      <c r="CQ33" s="19">
        <v>18.5</v>
      </c>
      <c r="CR33" s="19">
        <v>5.2</v>
      </c>
      <c r="CS33" s="19">
        <v>0.8</v>
      </c>
      <c r="CT33" s="19">
        <v>0</v>
      </c>
      <c r="CU33" s="27"/>
      <c r="CV33" s="40">
        <f t="shared" si="26"/>
        <v>9.6000000000000014</v>
      </c>
      <c r="CW33" s="40">
        <f t="shared" si="27"/>
        <v>46.5</v>
      </c>
      <c r="CX33" s="40" t="str">
        <f t="shared" si="28"/>
        <v/>
      </c>
      <c r="CY33" s="40">
        <f t="shared" si="29"/>
        <v>9.6000000000000014</v>
      </c>
      <c r="CZ33" s="40">
        <f t="shared" si="30"/>
        <v>46.5</v>
      </c>
      <c r="DA33" s="40">
        <f t="shared" si="31"/>
        <v>10.4</v>
      </c>
      <c r="DB33" s="40">
        <f t="shared" si="32"/>
        <v>46.7</v>
      </c>
      <c r="DC33" s="40">
        <f t="shared" si="33"/>
        <v>93.2</v>
      </c>
      <c r="DD33" s="50" t="str">
        <f t="shared" si="34"/>
        <v/>
      </c>
      <c r="DE33" s="50" t="str">
        <f t="shared" si="35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6"/>
        <v/>
      </c>
      <c r="EA33" s="40" t="str">
        <f t="shared" si="37"/>
        <v/>
      </c>
      <c r="EB33" s="40" t="str">
        <f t="shared" si="38"/>
        <v/>
      </c>
      <c r="EC33" s="40" t="str">
        <f t="shared" si="39"/>
        <v/>
      </c>
      <c r="ED33" s="40" t="str">
        <f t="shared" si="40"/>
        <v/>
      </c>
      <c r="EE33" s="40" t="str">
        <f t="shared" si="41"/>
        <v/>
      </c>
      <c r="EF33" s="40" t="str">
        <f t="shared" si="42"/>
        <v/>
      </c>
      <c r="EG33" s="40" t="str">
        <f t="shared" si="43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4"/>
        <v/>
      </c>
      <c r="FC33" s="11" t="str">
        <f t="shared" si="45"/>
        <v/>
      </c>
      <c r="FD33" s="11" t="str">
        <f t="shared" si="46"/>
        <v/>
      </c>
      <c r="FE33" s="11" t="str">
        <f t="shared" si="47"/>
        <v/>
      </c>
      <c r="FF33" s="11" t="str">
        <f t="shared" si="48"/>
        <v/>
      </c>
      <c r="FG33" s="11" t="str">
        <f t="shared" si="49"/>
        <v/>
      </c>
      <c r="FH33" s="11" t="str">
        <f t="shared" si="50"/>
        <v/>
      </c>
      <c r="FI33" s="11" t="str">
        <f t="shared" si="51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2"/>
        <v/>
      </c>
      <c r="GE33" s="40" t="str">
        <f t="shared" si="53"/>
        <v/>
      </c>
      <c r="GF33" s="40" t="str">
        <f t="shared" si="54"/>
        <v/>
      </c>
      <c r="GG33" s="40" t="str">
        <f t="shared" si="55"/>
        <v/>
      </c>
      <c r="GH33" s="40" t="str">
        <f t="shared" si="56"/>
        <v/>
      </c>
      <c r="GI33" s="40" t="str">
        <f t="shared" si="57"/>
        <v/>
      </c>
      <c r="GJ33" s="40" t="str">
        <f t="shared" si="58"/>
        <v/>
      </c>
      <c r="GK33" s="40" t="str">
        <f t="shared" si="59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60"/>
        <v/>
      </c>
      <c r="HG33" s="11" t="str">
        <f t="shared" si="61"/>
        <v/>
      </c>
      <c r="HH33" s="11" t="str">
        <f t="shared" si="62"/>
        <v/>
      </c>
      <c r="HI33" s="11" t="str">
        <f t="shared" si="63"/>
        <v/>
      </c>
      <c r="HJ33" s="11" t="str">
        <f t="shared" si="64"/>
        <v/>
      </c>
      <c r="HK33" s="11" t="str">
        <f t="shared" si="65"/>
        <v/>
      </c>
      <c r="HL33" s="11" t="str">
        <f t="shared" si="66"/>
        <v/>
      </c>
      <c r="HM33" s="11" t="str">
        <f t="shared" si="67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68"/>
        <v/>
      </c>
      <c r="II33" s="40" t="str">
        <f t="shared" si="69"/>
        <v/>
      </c>
      <c r="IJ33" s="40" t="str">
        <f t="shared" si="70"/>
        <v/>
      </c>
      <c r="IK33" s="40" t="str">
        <f t="shared" si="71"/>
        <v/>
      </c>
      <c r="IL33" s="40" t="str">
        <f t="shared" si="72"/>
        <v/>
      </c>
      <c r="IM33" s="40" t="str">
        <f t="shared" si="73"/>
        <v/>
      </c>
      <c r="IN33" s="40" t="str">
        <f t="shared" si="74"/>
        <v/>
      </c>
      <c r="IO33" s="40" t="str">
        <f t="shared" si="75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6"/>
        <v/>
      </c>
      <c r="JK33" s="11" t="str">
        <f t="shared" si="77"/>
        <v/>
      </c>
      <c r="JL33" s="11" t="str">
        <f t="shared" si="78"/>
        <v/>
      </c>
      <c r="JM33" s="11" t="str">
        <f t="shared" si="79"/>
        <v/>
      </c>
      <c r="JN33" s="11" t="str">
        <f t="shared" si="80"/>
        <v/>
      </c>
      <c r="JO33" s="11" t="str">
        <f t="shared" si="81"/>
        <v/>
      </c>
      <c r="JP33" s="11" t="str">
        <f t="shared" si="82"/>
        <v/>
      </c>
      <c r="JQ33" s="11" t="str">
        <f t="shared" si="83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4"/>
        <v/>
      </c>
      <c r="KM33" s="40" t="str">
        <f t="shared" si="85"/>
        <v/>
      </c>
      <c r="KN33" s="40" t="str">
        <f t="shared" si="86"/>
        <v/>
      </c>
      <c r="KO33" s="40" t="str">
        <f t="shared" si="87"/>
        <v/>
      </c>
      <c r="KP33" s="40" t="str">
        <f t="shared" si="88"/>
        <v/>
      </c>
      <c r="KQ33" s="40" t="str">
        <f t="shared" si="89"/>
        <v/>
      </c>
      <c r="KR33" s="40" t="str">
        <f t="shared" si="90"/>
        <v/>
      </c>
      <c r="KS33" s="40" t="str">
        <f t="shared" si="91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2"/>
        <v/>
      </c>
      <c r="LO33" s="11" t="str">
        <f t="shared" si="93"/>
        <v/>
      </c>
      <c r="LP33" s="11" t="str">
        <f t="shared" si="94"/>
        <v/>
      </c>
      <c r="LQ33" s="11" t="str">
        <f t="shared" si="95"/>
        <v/>
      </c>
      <c r="LR33" s="11" t="str">
        <f t="shared" si="96"/>
        <v/>
      </c>
      <c r="LS33" s="11" t="str">
        <f t="shared" si="97"/>
        <v/>
      </c>
      <c r="LT33" s="11" t="str">
        <f t="shared" si="98"/>
        <v/>
      </c>
      <c r="LU33" s="11" t="str">
        <f t="shared" si="99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100"/>
        <v/>
      </c>
      <c r="MQ33" s="40" t="str">
        <f t="shared" si="101"/>
        <v/>
      </c>
      <c r="MR33" s="40" t="str">
        <f t="shared" si="102"/>
        <v/>
      </c>
      <c r="MS33" s="40" t="str">
        <f t="shared" si="103"/>
        <v/>
      </c>
      <c r="MT33" s="40" t="str">
        <f t="shared" si="104"/>
        <v/>
      </c>
      <c r="MU33" s="40" t="str">
        <f t="shared" si="105"/>
        <v/>
      </c>
      <c r="MV33" s="40" t="str">
        <f t="shared" si="106"/>
        <v/>
      </c>
      <c r="MW33" s="40" t="str">
        <f t="shared" si="107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08"/>
        <v/>
      </c>
      <c r="NS33" s="11" t="str">
        <f t="shared" si="109"/>
        <v/>
      </c>
      <c r="NT33" s="11" t="str">
        <f t="shared" si="110"/>
        <v/>
      </c>
      <c r="NU33" s="11" t="str">
        <f t="shared" si="111"/>
        <v/>
      </c>
      <c r="NV33" s="11" t="str">
        <f t="shared" si="112"/>
        <v/>
      </c>
      <c r="NW33" s="11" t="str">
        <f t="shared" si="113"/>
        <v/>
      </c>
      <c r="NX33" s="11" t="str">
        <f t="shared" si="114"/>
        <v/>
      </c>
      <c r="NY33" s="11" t="str">
        <f t="shared" si="115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6"/>
        <v/>
      </c>
      <c r="OU33" s="40" t="str">
        <f t="shared" si="117"/>
        <v/>
      </c>
      <c r="OV33" s="40" t="str">
        <f t="shared" si="118"/>
        <v/>
      </c>
      <c r="OW33" s="40" t="str">
        <f t="shared" si="119"/>
        <v/>
      </c>
      <c r="OX33" s="40" t="str">
        <f t="shared" si="120"/>
        <v/>
      </c>
      <c r="OY33" s="40" t="str">
        <f t="shared" si="121"/>
        <v/>
      </c>
      <c r="OZ33" s="40" t="str">
        <f t="shared" si="122"/>
        <v/>
      </c>
      <c r="PA33" s="40" t="str">
        <f t="shared" si="123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4"/>
        <v/>
      </c>
      <c r="PW33" s="11" t="str">
        <f t="shared" si="125"/>
        <v/>
      </c>
      <c r="PX33" s="11" t="str">
        <f t="shared" si="126"/>
        <v/>
      </c>
      <c r="PY33" s="11" t="str">
        <f t="shared" si="127"/>
        <v/>
      </c>
      <c r="PZ33" s="11" t="str">
        <f t="shared" si="128"/>
        <v/>
      </c>
      <c r="QA33" s="11" t="str">
        <f t="shared" si="129"/>
        <v/>
      </c>
      <c r="QB33" s="11" t="str">
        <f t="shared" si="130"/>
        <v/>
      </c>
      <c r="QC33" s="11" t="str">
        <f t="shared" si="131"/>
        <v/>
      </c>
      <c r="QD33" s="22">
        <f t="shared" si="132"/>
        <v>9.35</v>
      </c>
      <c r="QE33" s="22">
        <f t="shared" si="133"/>
        <v>2.2000000000000002</v>
      </c>
      <c r="QF33" s="22">
        <f t="shared" si="134"/>
        <v>0.1</v>
      </c>
      <c r="QG33" s="22">
        <f t="shared" si="135"/>
        <v>0</v>
      </c>
      <c r="QH33" s="22">
        <f t="shared" si="136"/>
        <v>9.1999999999999993</v>
      </c>
      <c r="QI33" s="22">
        <f t="shared" si="137"/>
        <v>2.6</v>
      </c>
      <c r="QJ33" s="22">
        <f t="shared" si="138"/>
        <v>0</v>
      </c>
      <c r="QK33" s="22">
        <f t="shared" si="139"/>
        <v>0</v>
      </c>
      <c r="QL33" s="22">
        <f t="shared" si="140"/>
        <v>0</v>
      </c>
      <c r="QM33" s="22">
        <f t="shared" si="141"/>
        <v>0</v>
      </c>
      <c r="QN33" s="22">
        <f t="shared" si="142"/>
        <v>0</v>
      </c>
      <c r="QO33" s="22">
        <f t="shared" si="143"/>
        <v>0</v>
      </c>
      <c r="QP33" s="22">
        <f t="shared" si="144"/>
        <v>9.4</v>
      </c>
      <c r="QQ33" s="22">
        <f t="shared" si="145"/>
        <v>2.6</v>
      </c>
      <c r="QR33" s="22">
        <f t="shared" si="146"/>
        <v>0.1</v>
      </c>
      <c r="QS33" s="22">
        <f t="shared" si="147"/>
        <v>0</v>
      </c>
      <c r="QT33" s="22">
        <f t="shared" si="148"/>
        <v>9.25</v>
      </c>
      <c r="QU33" s="22">
        <f t="shared" si="149"/>
        <v>2.6</v>
      </c>
      <c r="QV33" s="22">
        <f t="shared" si="150"/>
        <v>0.4</v>
      </c>
      <c r="QW33" s="22">
        <f t="shared" si="151"/>
        <v>0</v>
      </c>
      <c r="QX33" s="27" t="s">
        <v>46</v>
      </c>
      <c r="QY33" s="40">
        <f t="shared" si="152"/>
        <v>4.8000000000000007</v>
      </c>
      <c r="QZ33" s="40">
        <f t="shared" si="153"/>
        <v>23.25</v>
      </c>
      <c r="RA33" s="40" t="str">
        <f t="shared" si="154"/>
        <v/>
      </c>
      <c r="RB33" s="40">
        <f t="shared" si="155"/>
        <v>4.8000000000000007</v>
      </c>
      <c r="RC33" s="40">
        <f t="shared" si="156"/>
        <v>23.25</v>
      </c>
      <c r="RD33" s="40">
        <f t="shared" si="157"/>
        <v>5.2</v>
      </c>
      <c r="RE33" s="40">
        <f t="shared" si="158"/>
        <v>23.35</v>
      </c>
      <c r="RF33" s="40">
        <f t="shared" si="159"/>
        <v>46.6</v>
      </c>
    </row>
    <row r="34" spans="1:474" x14ac:dyDescent="0.2">
      <c r="A34" s="4" t="str" cm="1">
        <f t="array" ref="A34">IF(AND(J34&lt;&gt;"",J34&lt;&gt;"No DD"),SUMPRODUCT((J$4:J$42&lt;&gt;"")*(J$4:J$42&lt;&gt;"No DD")*(F$4:F$42&gt;F34))+1,IF(J34="No DD",SUMPRODUCT((J$4:J$42="No DD")*(F$4:F$42&gt;F34))+1+SUMPRODUCT((J$4:J$42&lt;&gt;"")*(J$4:J$42&lt;&gt;"No DD")),""))</f>
        <v/>
      </c>
      <c r="B34" s="4" t="str" cm="1">
        <f t="array" ref="B34">IF(AND(J34&lt;&gt;"",J34&lt;&gt;"No DD",G34=""),SUMPRODUCT((J$4:J$42&lt;&gt;"")*(J$4:J$42&lt;&gt;"No DD")*(G$4:G$42="")*(F$4:F$42&gt;F34))+1,IF(J34="No DD",SUMPRODUCT((J$4:J$42="No DD")*(F$4:F$42&gt;F34)*(G$4:G$42=""))+1+SUMPRODUCT((J$4:J$42&lt;&gt;"")*(G$4:G$42="")*(J$4:J$42&lt;&gt;"No DD")),""))</f>
        <v/>
      </c>
      <c r="C34" s="5" t="s">
        <v>189</v>
      </c>
      <c r="D34" s="4" t="s">
        <v>3</v>
      </c>
      <c r="E34" s="4">
        <v>2007</v>
      </c>
      <c r="F34" s="9">
        <f t="shared" si="0"/>
        <v>91.500004550004547</v>
      </c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IF(COUNT(AQ34,BT34,CW34)&gt;0,LARGE((AQ34,BT34,CW34),1),0)</f>
        <v>45.499999999999993</v>
      </c>
      <c r="M34" s="8" t="str">
        <f t="shared" si="5"/>
        <v>2024 Nationals</v>
      </c>
      <c r="N34" s="8">
        <f>IF(COUNT(AQ34,BT34,CW34)&gt;1,LARGE((AQ34,BT34,CW34),2),0)</f>
        <v>0</v>
      </c>
      <c r="O34" s="8" t="str">
        <f t="shared" si="6"/>
        <v/>
      </c>
      <c r="P34" s="8">
        <f t="shared" si="7"/>
        <v>46</v>
      </c>
      <c r="Q34" s="8" t="str">
        <f t="shared" si="8"/>
        <v>2024 Nationals</v>
      </c>
      <c r="R34" s="8" t="str">
        <f t="shared" si="9"/>
        <v/>
      </c>
      <c r="S34" s="11" t="str">
        <f t="shared" si="162"/>
        <v/>
      </c>
      <c r="T34" s="8" t="str">
        <f t="shared" si="163"/>
        <v/>
      </c>
      <c r="U34" s="19">
        <v>18.2</v>
      </c>
      <c r="V34" s="19">
        <v>4.8</v>
      </c>
      <c r="W34" s="19">
        <v>0</v>
      </c>
      <c r="X34" s="19">
        <v>0</v>
      </c>
      <c r="Y34" s="19">
        <v>18.8</v>
      </c>
      <c r="Z34" s="19">
        <v>4.3</v>
      </c>
      <c r="AA34" s="19">
        <v>0.6</v>
      </c>
      <c r="AB34" s="19">
        <v>0</v>
      </c>
      <c r="AC34" s="19">
        <v>18.100000000000001</v>
      </c>
      <c r="AD34" s="19">
        <v>4.8</v>
      </c>
      <c r="AE34" s="19">
        <v>0</v>
      </c>
      <c r="AF34" s="19">
        <v>0</v>
      </c>
      <c r="AG34" s="19">
        <v>18.600000000000001</v>
      </c>
      <c r="AH34" s="19">
        <v>5.2</v>
      </c>
      <c r="AI34" s="19">
        <v>0.6</v>
      </c>
      <c r="AJ34" s="19">
        <v>0</v>
      </c>
      <c r="AK34" s="19">
        <v>18.7</v>
      </c>
      <c r="AL34" s="19">
        <v>4.3</v>
      </c>
      <c r="AM34" s="19">
        <v>0.2</v>
      </c>
      <c r="AN34" s="19">
        <v>0</v>
      </c>
      <c r="AO34" s="27"/>
      <c r="AP34" s="40">
        <f t="shared" si="10"/>
        <v>9.1</v>
      </c>
      <c r="AQ34" s="40">
        <f t="shared" si="11"/>
        <v>45.499999999999993</v>
      </c>
      <c r="AR34" s="40">
        <f t="shared" si="12"/>
        <v>22.900000000000002</v>
      </c>
      <c r="AS34" s="40">
        <f t="shared" si="13"/>
        <v>13.899999999999999</v>
      </c>
      <c r="AT34" s="40">
        <f t="shared" si="14"/>
        <v>68.399999999999991</v>
      </c>
      <c r="AU34" s="40">
        <f t="shared" si="15"/>
        <v>9.5</v>
      </c>
      <c r="AV34" s="40">
        <f t="shared" si="16"/>
        <v>46</v>
      </c>
      <c r="AW34" s="40">
        <f t="shared" si="17"/>
        <v>114.39999999999999</v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18"/>
        <v/>
      </c>
      <c r="BT34" s="11" t="str">
        <f t="shared" si="19"/>
        <v/>
      </c>
      <c r="BU34" s="11" t="str">
        <f t="shared" si="20"/>
        <v/>
      </c>
      <c r="BV34" s="11" t="str">
        <f t="shared" si="21"/>
        <v/>
      </c>
      <c r="BW34" s="11" t="str">
        <f t="shared" si="22"/>
        <v/>
      </c>
      <c r="BX34" s="11" t="str">
        <f t="shared" si="23"/>
        <v/>
      </c>
      <c r="BY34" s="11" t="str">
        <f t="shared" si="24"/>
        <v/>
      </c>
      <c r="BZ34" s="11" t="str">
        <f t="shared" si="25"/>
        <v/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 t="shared" si="26"/>
        <v/>
      </c>
      <c r="CW34" s="40" t="str">
        <f t="shared" si="27"/>
        <v/>
      </c>
      <c r="CX34" s="40" t="str">
        <f t="shared" si="28"/>
        <v/>
      </c>
      <c r="CY34" s="40" t="str">
        <f t="shared" si="29"/>
        <v/>
      </c>
      <c r="CZ34" s="40" t="str">
        <f t="shared" si="30"/>
        <v/>
      </c>
      <c r="DA34" s="40" t="str">
        <f t="shared" si="31"/>
        <v/>
      </c>
      <c r="DB34" s="40" t="str">
        <f t="shared" si="32"/>
        <v/>
      </c>
      <c r="DC34" s="40" t="str">
        <f t="shared" si="33"/>
        <v/>
      </c>
      <c r="DD34" s="50" t="str">
        <f t="shared" si="34"/>
        <v/>
      </c>
      <c r="DE34" s="50" t="str">
        <f t="shared" si="35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6"/>
        <v/>
      </c>
      <c r="EA34" s="40" t="str">
        <f t="shared" si="37"/>
        <v/>
      </c>
      <c r="EB34" s="40" t="str">
        <f t="shared" si="38"/>
        <v/>
      </c>
      <c r="EC34" s="40" t="str">
        <f t="shared" si="39"/>
        <v/>
      </c>
      <c r="ED34" s="40" t="str">
        <f t="shared" si="40"/>
        <v/>
      </c>
      <c r="EE34" s="40" t="str">
        <f t="shared" si="41"/>
        <v/>
      </c>
      <c r="EF34" s="40" t="str">
        <f t="shared" si="42"/>
        <v/>
      </c>
      <c r="EG34" s="40" t="str">
        <f t="shared" si="43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4"/>
        <v/>
      </c>
      <c r="FC34" s="11" t="str">
        <f t="shared" si="45"/>
        <v/>
      </c>
      <c r="FD34" s="11" t="str">
        <f t="shared" si="46"/>
        <v/>
      </c>
      <c r="FE34" s="11" t="str">
        <f t="shared" si="47"/>
        <v/>
      </c>
      <c r="FF34" s="11" t="str">
        <f t="shared" si="48"/>
        <v/>
      </c>
      <c r="FG34" s="11" t="str">
        <f t="shared" si="49"/>
        <v/>
      </c>
      <c r="FH34" s="11" t="str">
        <f t="shared" si="50"/>
        <v/>
      </c>
      <c r="FI34" s="11" t="str">
        <f t="shared" si="51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2"/>
        <v/>
      </c>
      <c r="GE34" s="40" t="str">
        <f t="shared" si="53"/>
        <v/>
      </c>
      <c r="GF34" s="40" t="str">
        <f t="shared" si="54"/>
        <v/>
      </c>
      <c r="GG34" s="40" t="str">
        <f t="shared" si="55"/>
        <v/>
      </c>
      <c r="GH34" s="40" t="str">
        <f t="shared" si="56"/>
        <v/>
      </c>
      <c r="GI34" s="40" t="str">
        <f t="shared" si="57"/>
        <v/>
      </c>
      <c r="GJ34" s="40" t="str">
        <f t="shared" si="58"/>
        <v/>
      </c>
      <c r="GK34" s="40" t="str">
        <f t="shared" si="59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60"/>
        <v/>
      </c>
      <c r="HG34" s="11" t="str">
        <f t="shared" si="61"/>
        <v/>
      </c>
      <c r="HH34" s="11" t="str">
        <f t="shared" si="62"/>
        <v/>
      </c>
      <c r="HI34" s="11" t="str">
        <f t="shared" si="63"/>
        <v/>
      </c>
      <c r="HJ34" s="11" t="str">
        <f t="shared" si="64"/>
        <v/>
      </c>
      <c r="HK34" s="11" t="str">
        <f t="shared" si="65"/>
        <v/>
      </c>
      <c r="HL34" s="11" t="str">
        <f t="shared" si="66"/>
        <v/>
      </c>
      <c r="HM34" s="11" t="str">
        <f t="shared" si="67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68"/>
        <v/>
      </c>
      <c r="II34" s="40" t="str">
        <f t="shared" si="69"/>
        <v/>
      </c>
      <c r="IJ34" s="40" t="str">
        <f t="shared" si="70"/>
        <v/>
      </c>
      <c r="IK34" s="40" t="str">
        <f t="shared" si="71"/>
        <v/>
      </c>
      <c r="IL34" s="40" t="str">
        <f t="shared" si="72"/>
        <v/>
      </c>
      <c r="IM34" s="40" t="str">
        <f t="shared" si="73"/>
        <v/>
      </c>
      <c r="IN34" s="40" t="str">
        <f t="shared" si="74"/>
        <v/>
      </c>
      <c r="IO34" s="40" t="str">
        <f t="shared" si="75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6"/>
        <v/>
      </c>
      <c r="JK34" s="11" t="str">
        <f t="shared" si="77"/>
        <v/>
      </c>
      <c r="JL34" s="11" t="str">
        <f t="shared" si="78"/>
        <v/>
      </c>
      <c r="JM34" s="11" t="str">
        <f t="shared" si="79"/>
        <v/>
      </c>
      <c r="JN34" s="11" t="str">
        <f t="shared" si="80"/>
        <v/>
      </c>
      <c r="JO34" s="11" t="str">
        <f t="shared" si="81"/>
        <v/>
      </c>
      <c r="JP34" s="11" t="str">
        <f t="shared" si="82"/>
        <v/>
      </c>
      <c r="JQ34" s="11" t="str">
        <f t="shared" si="83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4"/>
        <v/>
      </c>
      <c r="KM34" s="40" t="str">
        <f t="shared" si="85"/>
        <v/>
      </c>
      <c r="KN34" s="40" t="str">
        <f t="shared" si="86"/>
        <v/>
      </c>
      <c r="KO34" s="40" t="str">
        <f t="shared" si="87"/>
        <v/>
      </c>
      <c r="KP34" s="40" t="str">
        <f t="shared" si="88"/>
        <v/>
      </c>
      <c r="KQ34" s="40" t="str">
        <f t="shared" si="89"/>
        <v/>
      </c>
      <c r="KR34" s="40" t="str">
        <f t="shared" si="90"/>
        <v/>
      </c>
      <c r="KS34" s="40" t="str">
        <f t="shared" si="91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2"/>
        <v/>
      </c>
      <c r="LO34" s="11" t="str">
        <f t="shared" si="93"/>
        <v/>
      </c>
      <c r="LP34" s="11" t="str">
        <f t="shared" si="94"/>
        <v/>
      </c>
      <c r="LQ34" s="11" t="str">
        <f t="shared" si="95"/>
        <v/>
      </c>
      <c r="LR34" s="11" t="str">
        <f t="shared" si="96"/>
        <v/>
      </c>
      <c r="LS34" s="11" t="str">
        <f t="shared" si="97"/>
        <v/>
      </c>
      <c r="LT34" s="11" t="str">
        <f t="shared" si="98"/>
        <v/>
      </c>
      <c r="LU34" s="11" t="str">
        <f t="shared" si="99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100"/>
        <v/>
      </c>
      <c r="MQ34" s="40" t="str">
        <f t="shared" si="101"/>
        <v/>
      </c>
      <c r="MR34" s="40" t="str">
        <f t="shared" si="102"/>
        <v/>
      </c>
      <c r="MS34" s="40" t="str">
        <f t="shared" si="103"/>
        <v/>
      </c>
      <c r="MT34" s="40" t="str">
        <f t="shared" si="104"/>
        <v/>
      </c>
      <c r="MU34" s="40" t="str">
        <f t="shared" si="105"/>
        <v/>
      </c>
      <c r="MV34" s="40" t="str">
        <f t="shared" si="106"/>
        <v/>
      </c>
      <c r="MW34" s="40" t="str">
        <f t="shared" si="107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08"/>
        <v/>
      </c>
      <c r="NS34" s="11" t="str">
        <f t="shared" si="109"/>
        <v/>
      </c>
      <c r="NT34" s="11" t="str">
        <f t="shared" si="110"/>
        <v/>
      </c>
      <c r="NU34" s="11" t="str">
        <f t="shared" si="111"/>
        <v/>
      </c>
      <c r="NV34" s="11" t="str">
        <f t="shared" si="112"/>
        <v/>
      </c>
      <c r="NW34" s="11" t="str">
        <f t="shared" si="113"/>
        <v/>
      </c>
      <c r="NX34" s="11" t="str">
        <f t="shared" si="114"/>
        <v/>
      </c>
      <c r="NY34" s="11" t="str">
        <f t="shared" si="115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6"/>
        <v/>
      </c>
      <c r="OU34" s="40" t="str">
        <f t="shared" si="117"/>
        <v/>
      </c>
      <c r="OV34" s="40" t="str">
        <f t="shared" si="118"/>
        <v/>
      </c>
      <c r="OW34" s="40" t="str">
        <f t="shared" si="119"/>
        <v/>
      </c>
      <c r="OX34" s="40" t="str">
        <f t="shared" si="120"/>
        <v/>
      </c>
      <c r="OY34" s="40" t="str">
        <f t="shared" si="121"/>
        <v/>
      </c>
      <c r="OZ34" s="40" t="str">
        <f t="shared" si="122"/>
        <v/>
      </c>
      <c r="PA34" s="40" t="str">
        <f t="shared" si="123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4"/>
        <v/>
      </c>
      <c r="PW34" s="11" t="str">
        <f t="shared" si="125"/>
        <v/>
      </c>
      <c r="PX34" s="11" t="str">
        <f t="shared" si="126"/>
        <v/>
      </c>
      <c r="PY34" s="11" t="str">
        <f t="shared" si="127"/>
        <v/>
      </c>
      <c r="PZ34" s="11" t="str">
        <f t="shared" si="128"/>
        <v/>
      </c>
      <c r="QA34" s="11" t="str">
        <f t="shared" si="129"/>
        <v/>
      </c>
      <c r="QB34" s="11" t="str">
        <f t="shared" si="130"/>
        <v/>
      </c>
      <c r="QC34" s="11" t="str">
        <f t="shared" si="131"/>
        <v/>
      </c>
      <c r="QD34" s="22">
        <f t="shared" si="132"/>
        <v>0</v>
      </c>
      <c r="QE34" s="22">
        <f t="shared" si="133"/>
        <v>0</v>
      </c>
      <c r="QF34" s="22">
        <f t="shared" si="134"/>
        <v>0</v>
      </c>
      <c r="QG34" s="22">
        <f t="shared" si="135"/>
        <v>0</v>
      </c>
      <c r="QH34" s="22">
        <f t="shared" si="136"/>
        <v>0</v>
      </c>
      <c r="QI34" s="22">
        <f t="shared" si="137"/>
        <v>0</v>
      </c>
      <c r="QJ34" s="22">
        <f t="shared" si="138"/>
        <v>0</v>
      </c>
      <c r="QK34" s="22">
        <f t="shared" si="139"/>
        <v>0</v>
      </c>
      <c r="QL34" s="22">
        <f t="shared" si="140"/>
        <v>0</v>
      </c>
      <c r="QM34" s="22">
        <f t="shared" si="141"/>
        <v>0</v>
      </c>
      <c r="QN34" s="22">
        <f t="shared" si="142"/>
        <v>0</v>
      </c>
      <c r="QO34" s="22">
        <f t="shared" si="143"/>
        <v>0</v>
      </c>
      <c r="QP34" s="22">
        <f t="shared" si="144"/>
        <v>0</v>
      </c>
      <c r="QQ34" s="22">
        <f t="shared" si="145"/>
        <v>0</v>
      </c>
      <c r="QR34" s="22">
        <f t="shared" si="146"/>
        <v>0</v>
      </c>
      <c r="QS34" s="22">
        <f t="shared" si="147"/>
        <v>0</v>
      </c>
      <c r="QT34" s="22">
        <f t="shared" si="148"/>
        <v>0</v>
      </c>
      <c r="QU34" s="22">
        <f t="shared" si="149"/>
        <v>0</v>
      </c>
      <c r="QV34" s="22">
        <f t="shared" si="150"/>
        <v>0</v>
      </c>
      <c r="QW34" s="22">
        <f t="shared" si="151"/>
        <v>0</v>
      </c>
      <c r="QX34" s="27" t="s">
        <v>46</v>
      </c>
      <c r="QY34" s="40" t="str">
        <f t="shared" si="152"/>
        <v/>
      </c>
      <c r="QZ34" s="40" t="str">
        <f t="shared" si="153"/>
        <v/>
      </c>
      <c r="RA34" s="40" t="str">
        <f t="shared" si="154"/>
        <v/>
      </c>
      <c r="RB34" s="40" t="str">
        <f t="shared" si="155"/>
        <v/>
      </c>
      <c r="RC34" s="40" t="str">
        <f t="shared" si="156"/>
        <v/>
      </c>
      <c r="RD34" s="40" t="str">
        <f t="shared" si="157"/>
        <v/>
      </c>
      <c r="RE34" s="40" t="str">
        <f t="shared" si="158"/>
        <v/>
      </c>
      <c r="RF34" s="40" t="str">
        <f t="shared" si="159"/>
        <v/>
      </c>
    </row>
    <row r="35" spans="1:474" x14ac:dyDescent="0.2">
      <c r="A35" s="4" t="str" cm="1">
        <f t="array" ref="A35">IF(AND(J35&lt;&gt;"",J35&lt;&gt;"No DD"),SUMPRODUCT((J$4:J$42&lt;&gt;"")*(J$4:J$42&lt;&gt;"No DD")*(F$4:F$42&gt;F35))+1,IF(J35="No DD",SUMPRODUCT((J$4:J$42="No DD")*(F$4:F$42&gt;F35))+1+SUMPRODUCT((J$4:J$42&lt;&gt;"")*(J$4:J$42&lt;&gt;"No DD")),""))</f>
        <v/>
      </c>
      <c r="B35" s="4" t="str" cm="1">
        <f t="array" ref="B35">IF(AND(J35&lt;&gt;"",J35&lt;&gt;"No DD",G35=""),SUMPRODUCT((J$4:J$42&lt;&gt;"")*(J$4:J$42&lt;&gt;"No DD")*(G$4:G$42="")*(F$4:F$42&gt;F35))+1,IF(J35="No DD",SUMPRODUCT((J$4:J$42="No DD")*(F$4:F$42&gt;F35)*(G$4:G$42=""))+1+SUMPRODUCT((J$4:J$42&lt;&gt;"")*(G$4:G$42="")*(J$4:J$42&lt;&gt;"No DD")),""))</f>
        <v/>
      </c>
      <c r="C35" s="5" t="s">
        <v>130</v>
      </c>
      <c r="D35" s="4" t="s">
        <v>3</v>
      </c>
      <c r="E35" s="4">
        <v>2006</v>
      </c>
      <c r="F35" s="9">
        <f t="shared" si="0"/>
        <v>90.600004460004456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IF(COUNT(AQ35,BT35,CW35)&gt;0,LARGE((AQ35,BT35,CW35),1),0)</f>
        <v>44.6</v>
      </c>
      <c r="M35" s="8" t="str">
        <f t="shared" si="5"/>
        <v>2024 Nationals</v>
      </c>
      <c r="N35" s="8">
        <f>IF(COUNT(AQ35,BT35,CW35)&gt;1,LARGE((AQ35,BT35,CW35),2),0)</f>
        <v>0</v>
      </c>
      <c r="O35" s="8" t="str">
        <f t="shared" si="6"/>
        <v/>
      </c>
      <c r="P35" s="8">
        <f t="shared" si="7"/>
        <v>45.999999999999993</v>
      </c>
      <c r="Q35" s="8" t="str">
        <f t="shared" si="8"/>
        <v>2024 Nationals</v>
      </c>
      <c r="R35" s="8" t="str">
        <f t="shared" si="9"/>
        <v/>
      </c>
      <c r="S35" s="11" t="str">
        <f t="shared" si="162"/>
        <v/>
      </c>
      <c r="T35" s="8" t="str">
        <f t="shared" si="163"/>
        <v/>
      </c>
      <c r="U35" s="19">
        <v>17.600000000000001</v>
      </c>
      <c r="V35" s="19">
        <v>5.2</v>
      </c>
      <c r="W35" s="19">
        <v>1</v>
      </c>
      <c r="X35" s="19">
        <v>0</v>
      </c>
      <c r="Y35" s="19">
        <v>18.2</v>
      </c>
      <c r="Z35" s="19">
        <v>5.2</v>
      </c>
      <c r="AA35" s="19">
        <v>0.6</v>
      </c>
      <c r="AB35" s="19">
        <v>0</v>
      </c>
      <c r="AC35" s="19">
        <v>18.2</v>
      </c>
      <c r="AD35" s="19">
        <v>4</v>
      </c>
      <c r="AE35" s="19">
        <v>0.2</v>
      </c>
      <c r="AF35" s="19">
        <v>0</v>
      </c>
      <c r="AG35" s="19">
        <v>18.2</v>
      </c>
      <c r="AH35" s="19">
        <v>5.2</v>
      </c>
      <c r="AI35" s="19">
        <v>0.6</v>
      </c>
      <c r="AJ35" s="19">
        <v>0</v>
      </c>
      <c r="AK35" s="19">
        <v>18.2</v>
      </c>
      <c r="AL35" s="19">
        <v>5.6</v>
      </c>
      <c r="AM35" s="19">
        <v>0.6</v>
      </c>
      <c r="AN35" s="19">
        <v>0</v>
      </c>
      <c r="AO35" s="27"/>
      <c r="AP35" s="40">
        <f t="shared" si="10"/>
        <v>10.4</v>
      </c>
      <c r="AQ35" s="40">
        <f t="shared" si="11"/>
        <v>44.6</v>
      </c>
      <c r="AR35" s="40">
        <f t="shared" si="12"/>
        <v>22</v>
      </c>
      <c r="AS35" s="40">
        <f t="shared" si="13"/>
        <v>14.4</v>
      </c>
      <c r="AT35" s="40">
        <f t="shared" si="14"/>
        <v>66.599999999999994</v>
      </c>
      <c r="AU35" s="40">
        <f t="shared" si="15"/>
        <v>10.8</v>
      </c>
      <c r="AV35" s="40">
        <f t="shared" si="16"/>
        <v>45.999999999999993</v>
      </c>
      <c r="AW35" s="40">
        <f t="shared" si="17"/>
        <v>112.6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18"/>
        <v/>
      </c>
      <c r="BT35" s="11" t="str">
        <f t="shared" si="19"/>
        <v/>
      </c>
      <c r="BU35" s="11" t="str">
        <f t="shared" si="20"/>
        <v/>
      </c>
      <c r="BV35" s="11" t="str">
        <f t="shared" si="21"/>
        <v/>
      </c>
      <c r="BW35" s="11" t="str">
        <f t="shared" si="22"/>
        <v/>
      </c>
      <c r="BX35" s="11" t="str">
        <f t="shared" si="23"/>
        <v/>
      </c>
      <c r="BY35" s="11" t="str">
        <f t="shared" si="24"/>
        <v/>
      </c>
      <c r="BZ35" s="11" t="str">
        <f t="shared" si="25"/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 t="shared" si="26"/>
        <v/>
      </c>
      <c r="CW35" s="40" t="str">
        <f t="shared" si="27"/>
        <v/>
      </c>
      <c r="CX35" s="40" t="str">
        <f t="shared" si="28"/>
        <v/>
      </c>
      <c r="CY35" s="40" t="str">
        <f t="shared" si="29"/>
        <v/>
      </c>
      <c r="CZ35" s="40" t="str">
        <f t="shared" si="30"/>
        <v/>
      </c>
      <c r="DA35" s="40" t="str">
        <f t="shared" si="31"/>
        <v/>
      </c>
      <c r="DB35" s="40" t="str">
        <f t="shared" si="32"/>
        <v/>
      </c>
      <c r="DC35" s="40" t="str">
        <f t="shared" si="33"/>
        <v/>
      </c>
      <c r="DD35" s="50" t="str">
        <f t="shared" si="34"/>
        <v/>
      </c>
      <c r="DE35" s="50" t="str">
        <f t="shared" si="35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6"/>
        <v/>
      </c>
      <c r="EA35" s="40" t="str">
        <f t="shared" si="37"/>
        <v/>
      </c>
      <c r="EB35" s="40" t="str">
        <f t="shared" si="38"/>
        <v/>
      </c>
      <c r="EC35" s="40" t="str">
        <f t="shared" si="39"/>
        <v/>
      </c>
      <c r="ED35" s="40" t="str">
        <f t="shared" si="40"/>
        <v/>
      </c>
      <c r="EE35" s="40" t="str">
        <f t="shared" si="41"/>
        <v/>
      </c>
      <c r="EF35" s="40" t="str">
        <f t="shared" si="42"/>
        <v/>
      </c>
      <c r="EG35" s="40" t="str">
        <f t="shared" si="43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4"/>
        <v/>
      </c>
      <c r="FC35" s="11" t="str">
        <f t="shared" si="45"/>
        <v/>
      </c>
      <c r="FD35" s="11" t="str">
        <f t="shared" si="46"/>
        <v/>
      </c>
      <c r="FE35" s="11" t="str">
        <f t="shared" si="47"/>
        <v/>
      </c>
      <c r="FF35" s="11" t="str">
        <f t="shared" si="48"/>
        <v/>
      </c>
      <c r="FG35" s="11" t="str">
        <f t="shared" si="49"/>
        <v/>
      </c>
      <c r="FH35" s="11" t="str">
        <f t="shared" si="50"/>
        <v/>
      </c>
      <c r="FI35" s="11" t="str">
        <f t="shared" si="51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2"/>
        <v/>
      </c>
      <c r="GE35" s="40" t="str">
        <f t="shared" si="53"/>
        <v/>
      </c>
      <c r="GF35" s="40" t="str">
        <f t="shared" si="54"/>
        <v/>
      </c>
      <c r="GG35" s="40" t="str">
        <f t="shared" si="55"/>
        <v/>
      </c>
      <c r="GH35" s="40" t="str">
        <f t="shared" si="56"/>
        <v/>
      </c>
      <c r="GI35" s="40" t="str">
        <f t="shared" si="57"/>
        <v/>
      </c>
      <c r="GJ35" s="40" t="str">
        <f t="shared" si="58"/>
        <v/>
      </c>
      <c r="GK35" s="40" t="str">
        <f t="shared" si="59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60"/>
        <v/>
      </c>
      <c r="HG35" s="11" t="str">
        <f t="shared" si="61"/>
        <v/>
      </c>
      <c r="HH35" s="11" t="str">
        <f t="shared" si="62"/>
        <v/>
      </c>
      <c r="HI35" s="11" t="str">
        <f t="shared" si="63"/>
        <v/>
      </c>
      <c r="HJ35" s="11" t="str">
        <f t="shared" si="64"/>
        <v/>
      </c>
      <c r="HK35" s="11" t="str">
        <f t="shared" si="65"/>
        <v/>
      </c>
      <c r="HL35" s="11" t="str">
        <f t="shared" si="66"/>
        <v/>
      </c>
      <c r="HM35" s="11" t="str">
        <f t="shared" si="67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68"/>
        <v/>
      </c>
      <c r="II35" s="40" t="str">
        <f t="shared" si="69"/>
        <v/>
      </c>
      <c r="IJ35" s="40" t="str">
        <f t="shared" si="70"/>
        <v/>
      </c>
      <c r="IK35" s="40" t="str">
        <f t="shared" si="71"/>
        <v/>
      </c>
      <c r="IL35" s="40" t="str">
        <f t="shared" si="72"/>
        <v/>
      </c>
      <c r="IM35" s="40" t="str">
        <f t="shared" si="73"/>
        <v/>
      </c>
      <c r="IN35" s="40" t="str">
        <f t="shared" si="74"/>
        <v/>
      </c>
      <c r="IO35" s="40" t="str">
        <f t="shared" si="75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6"/>
        <v/>
      </c>
      <c r="JK35" s="11" t="str">
        <f t="shared" si="77"/>
        <v/>
      </c>
      <c r="JL35" s="11" t="str">
        <f t="shared" si="78"/>
        <v/>
      </c>
      <c r="JM35" s="11" t="str">
        <f t="shared" si="79"/>
        <v/>
      </c>
      <c r="JN35" s="11" t="str">
        <f t="shared" si="80"/>
        <v/>
      </c>
      <c r="JO35" s="11" t="str">
        <f t="shared" si="81"/>
        <v/>
      </c>
      <c r="JP35" s="11" t="str">
        <f t="shared" si="82"/>
        <v/>
      </c>
      <c r="JQ35" s="11" t="str">
        <f t="shared" si="83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4"/>
        <v/>
      </c>
      <c r="KM35" s="40" t="str">
        <f t="shared" si="85"/>
        <v/>
      </c>
      <c r="KN35" s="40" t="str">
        <f t="shared" si="86"/>
        <v/>
      </c>
      <c r="KO35" s="40" t="str">
        <f t="shared" si="87"/>
        <v/>
      </c>
      <c r="KP35" s="40" t="str">
        <f t="shared" si="88"/>
        <v/>
      </c>
      <c r="KQ35" s="40" t="str">
        <f t="shared" si="89"/>
        <v/>
      </c>
      <c r="KR35" s="40" t="str">
        <f t="shared" si="90"/>
        <v/>
      </c>
      <c r="KS35" s="40" t="str">
        <f t="shared" si="91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2"/>
        <v/>
      </c>
      <c r="LO35" s="11" t="str">
        <f t="shared" si="93"/>
        <v/>
      </c>
      <c r="LP35" s="11" t="str">
        <f t="shared" si="94"/>
        <v/>
      </c>
      <c r="LQ35" s="11" t="str">
        <f t="shared" si="95"/>
        <v/>
      </c>
      <c r="LR35" s="11" t="str">
        <f t="shared" si="96"/>
        <v/>
      </c>
      <c r="LS35" s="11" t="str">
        <f t="shared" si="97"/>
        <v/>
      </c>
      <c r="LT35" s="11" t="str">
        <f t="shared" si="98"/>
        <v/>
      </c>
      <c r="LU35" s="11" t="str">
        <f t="shared" si="99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100"/>
        <v/>
      </c>
      <c r="MQ35" s="40" t="str">
        <f t="shared" si="101"/>
        <v/>
      </c>
      <c r="MR35" s="40" t="str">
        <f t="shared" si="102"/>
        <v/>
      </c>
      <c r="MS35" s="40" t="str">
        <f t="shared" si="103"/>
        <v/>
      </c>
      <c r="MT35" s="40" t="str">
        <f t="shared" si="104"/>
        <v/>
      </c>
      <c r="MU35" s="40" t="str">
        <f t="shared" si="105"/>
        <v/>
      </c>
      <c r="MV35" s="40" t="str">
        <f t="shared" si="106"/>
        <v/>
      </c>
      <c r="MW35" s="40" t="str">
        <f t="shared" si="107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08"/>
        <v/>
      </c>
      <c r="NS35" s="11" t="str">
        <f t="shared" si="109"/>
        <v/>
      </c>
      <c r="NT35" s="11" t="str">
        <f t="shared" si="110"/>
        <v/>
      </c>
      <c r="NU35" s="11" t="str">
        <f t="shared" si="111"/>
        <v/>
      </c>
      <c r="NV35" s="11" t="str">
        <f t="shared" si="112"/>
        <v/>
      </c>
      <c r="NW35" s="11" t="str">
        <f t="shared" si="113"/>
        <v/>
      </c>
      <c r="NX35" s="11" t="str">
        <f t="shared" si="114"/>
        <v/>
      </c>
      <c r="NY35" s="11" t="str">
        <f t="shared" si="115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6"/>
        <v/>
      </c>
      <c r="OU35" s="40" t="str">
        <f t="shared" si="117"/>
        <v/>
      </c>
      <c r="OV35" s="40" t="str">
        <f t="shared" si="118"/>
        <v/>
      </c>
      <c r="OW35" s="40" t="str">
        <f t="shared" si="119"/>
        <v/>
      </c>
      <c r="OX35" s="40" t="str">
        <f t="shared" si="120"/>
        <v/>
      </c>
      <c r="OY35" s="40" t="str">
        <f t="shared" si="121"/>
        <v/>
      </c>
      <c r="OZ35" s="40" t="str">
        <f t="shared" si="122"/>
        <v/>
      </c>
      <c r="PA35" s="40" t="str">
        <f t="shared" si="123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4"/>
        <v/>
      </c>
      <c r="PW35" s="11" t="str">
        <f t="shared" si="125"/>
        <v/>
      </c>
      <c r="PX35" s="11" t="str">
        <f t="shared" si="126"/>
        <v/>
      </c>
      <c r="PY35" s="11" t="str">
        <f t="shared" si="127"/>
        <v/>
      </c>
      <c r="PZ35" s="11" t="str">
        <f t="shared" si="128"/>
        <v/>
      </c>
      <c r="QA35" s="11" t="str">
        <f t="shared" si="129"/>
        <v/>
      </c>
      <c r="QB35" s="11" t="str">
        <f t="shared" si="130"/>
        <v/>
      </c>
      <c r="QC35" s="11" t="str">
        <f t="shared" si="131"/>
        <v/>
      </c>
      <c r="QD35" s="22">
        <f t="shared" si="132"/>
        <v>0</v>
      </c>
      <c r="QE35" s="22">
        <f t="shared" si="133"/>
        <v>0</v>
      </c>
      <c r="QF35" s="22">
        <f t="shared" si="134"/>
        <v>0</v>
      </c>
      <c r="QG35" s="22">
        <f t="shared" si="135"/>
        <v>0</v>
      </c>
      <c r="QH35" s="22">
        <f t="shared" si="136"/>
        <v>0</v>
      </c>
      <c r="QI35" s="22">
        <f t="shared" si="137"/>
        <v>0</v>
      </c>
      <c r="QJ35" s="22">
        <f t="shared" si="138"/>
        <v>0</v>
      </c>
      <c r="QK35" s="22">
        <f t="shared" si="139"/>
        <v>0</v>
      </c>
      <c r="QL35" s="22">
        <f t="shared" si="140"/>
        <v>0</v>
      </c>
      <c r="QM35" s="22">
        <f t="shared" si="141"/>
        <v>0</v>
      </c>
      <c r="QN35" s="22">
        <f t="shared" si="142"/>
        <v>0</v>
      </c>
      <c r="QO35" s="22">
        <f t="shared" si="143"/>
        <v>0</v>
      </c>
      <c r="QP35" s="22">
        <f t="shared" si="144"/>
        <v>0</v>
      </c>
      <c r="QQ35" s="22">
        <f t="shared" si="145"/>
        <v>0</v>
      </c>
      <c r="QR35" s="22">
        <f t="shared" si="146"/>
        <v>0</v>
      </c>
      <c r="QS35" s="22">
        <f t="shared" si="147"/>
        <v>0</v>
      </c>
      <c r="QT35" s="22">
        <f t="shared" si="148"/>
        <v>0</v>
      </c>
      <c r="QU35" s="22">
        <f t="shared" si="149"/>
        <v>0</v>
      </c>
      <c r="QV35" s="22">
        <f t="shared" si="150"/>
        <v>0</v>
      </c>
      <c r="QW35" s="22">
        <f t="shared" si="151"/>
        <v>0</v>
      </c>
      <c r="QX35" s="27" t="s">
        <v>46</v>
      </c>
      <c r="QY35" s="40" t="str">
        <f t="shared" si="152"/>
        <v/>
      </c>
      <c r="QZ35" s="40" t="str">
        <f t="shared" si="153"/>
        <v/>
      </c>
      <c r="RA35" s="40" t="str">
        <f t="shared" si="154"/>
        <v/>
      </c>
      <c r="RB35" s="40" t="str">
        <f t="shared" si="155"/>
        <v/>
      </c>
      <c r="RC35" s="40" t="str">
        <f t="shared" si="156"/>
        <v/>
      </c>
      <c r="RD35" s="40" t="str">
        <f t="shared" si="157"/>
        <v/>
      </c>
      <c r="RE35" s="40" t="str">
        <f t="shared" si="158"/>
        <v/>
      </c>
      <c r="RF35" s="40" t="str">
        <f t="shared" si="159"/>
        <v/>
      </c>
    </row>
    <row r="36" spans="1:474" x14ac:dyDescent="0.2">
      <c r="A36" s="4" t="str" cm="1">
        <f t="array" ref="A36">IF(AND(J36&lt;&gt;"",J36&lt;&gt;"No DD"),SUMPRODUCT((J$4:J$42&lt;&gt;"")*(J$4:J$42&lt;&gt;"No DD")*(F$4:F$42&gt;F36))+1,IF(J36="No DD",SUMPRODUCT((J$4:J$42="No DD")*(F$4:F$42&gt;F36))+1+SUMPRODUCT((J$4:J$42&lt;&gt;"")*(J$4:J$42&lt;&gt;"No DD")),""))</f>
        <v/>
      </c>
      <c r="B36" s="4" t="str" cm="1">
        <f t="array" ref="B36">IF(AND(J36&lt;&gt;"",J36&lt;&gt;"No DD",G36=""),SUMPRODUCT((J$4:J$42&lt;&gt;"")*(J$4:J$42&lt;&gt;"No DD")*(G$4:G$42="")*(F$4:F$42&gt;F36))+1,IF(J36="No DD",SUMPRODUCT((J$4:J$42="No DD")*(F$4:F$42&gt;F36)*(G$4:G$42=""))+1+SUMPRODUCT((J$4:J$42&lt;&gt;"")*(G$4:G$42="")*(J$4:J$42&lt;&gt;"No DD")),""))</f>
        <v/>
      </c>
      <c r="C36" s="5" t="s">
        <v>177</v>
      </c>
      <c r="D36" s="4" t="s">
        <v>4</v>
      </c>
      <c r="E36" s="4">
        <v>2006</v>
      </c>
      <c r="F36" s="9">
        <f t="shared" si="0"/>
        <v>85.600004470004478</v>
      </c>
      <c r="G36" s="64"/>
      <c r="H36" s="3" t="str">
        <f t="shared" si="1"/>
        <v/>
      </c>
      <c r="I36" s="3" t="str">
        <f t="shared" si="2"/>
        <v/>
      </c>
      <c r="J36" s="36" t="str">
        <f t="shared" si="3"/>
        <v/>
      </c>
      <c r="K36" s="3" t="str">
        <f t="shared" si="4"/>
        <v/>
      </c>
      <c r="L36" s="8">
        <f>IF(COUNT(AQ36,BT36,CW36)&gt;0,LARGE((AQ36,BT36,CW36),1),0)</f>
        <v>44.70000000000001</v>
      </c>
      <c r="M36" s="8" t="str">
        <f t="shared" si="5"/>
        <v>2024 Nationals</v>
      </c>
      <c r="N36" s="8">
        <f>IF(COUNT(AQ36,BT36,CW36)&gt;1,LARGE((AQ36,BT36,CW36),2),0)</f>
        <v>0</v>
      </c>
      <c r="O36" s="8" t="str">
        <f t="shared" si="6"/>
        <v/>
      </c>
      <c r="P36" s="8">
        <f t="shared" si="7"/>
        <v>40.9</v>
      </c>
      <c r="Q36" s="8" t="str">
        <f t="shared" si="8"/>
        <v>2024 Nationals</v>
      </c>
      <c r="R36" s="8" t="str">
        <f t="shared" si="9"/>
        <v/>
      </c>
      <c r="S36" s="11" t="str">
        <f t="shared" si="162"/>
        <v/>
      </c>
      <c r="T36" s="8" t="str">
        <f t="shared" si="163"/>
        <v/>
      </c>
      <c r="U36" s="19">
        <v>18.2</v>
      </c>
      <c r="V36" s="19">
        <v>4.4000000000000004</v>
      </c>
      <c r="W36" s="19">
        <v>0.8</v>
      </c>
      <c r="X36" s="19">
        <v>0</v>
      </c>
      <c r="Y36" s="19">
        <v>18.3</v>
      </c>
      <c r="Z36" s="19">
        <v>5.2</v>
      </c>
      <c r="AA36" s="19">
        <v>0.6</v>
      </c>
      <c r="AB36" s="19">
        <v>0</v>
      </c>
      <c r="AC36" s="19">
        <v>18</v>
      </c>
      <c r="AD36" s="19">
        <v>4.3</v>
      </c>
      <c r="AE36" s="19">
        <v>0.2</v>
      </c>
      <c r="AF36" s="19">
        <v>0</v>
      </c>
      <c r="AG36" s="19">
        <v>18.3</v>
      </c>
      <c r="AH36" s="19">
        <v>5.2</v>
      </c>
      <c r="AI36" s="19">
        <v>0.2</v>
      </c>
      <c r="AJ36" s="19">
        <v>0</v>
      </c>
      <c r="AK36" s="19">
        <v>17.899999999999999</v>
      </c>
      <c r="AL36" s="19">
        <v>2</v>
      </c>
      <c r="AM36" s="19">
        <v>2.2999999999999998</v>
      </c>
      <c r="AN36" s="19">
        <v>0</v>
      </c>
      <c r="AO36" s="27"/>
      <c r="AP36" s="40">
        <f t="shared" si="10"/>
        <v>9.6000000000000014</v>
      </c>
      <c r="AQ36" s="40">
        <f t="shared" si="11"/>
        <v>44.70000000000001</v>
      </c>
      <c r="AR36" s="40">
        <f t="shared" si="12"/>
        <v>22.1</v>
      </c>
      <c r="AS36" s="40">
        <f t="shared" si="13"/>
        <v>13.900000000000002</v>
      </c>
      <c r="AT36" s="40">
        <f t="shared" si="14"/>
        <v>66.800000000000011</v>
      </c>
      <c r="AU36" s="40">
        <f t="shared" si="15"/>
        <v>7.2</v>
      </c>
      <c r="AV36" s="40">
        <f t="shared" si="16"/>
        <v>40.9</v>
      </c>
      <c r="AW36" s="40">
        <f t="shared" si="17"/>
        <v>107.70000000000002</v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18"/>
        <v/>
      </c>
      <c r="BT36" s="11" t="str">
        <f t="shared" si="19"/>
        <v/>
      </c>
      <c r="BU36" s="11" t="str">
        <f t="shared" si="20"/>
        <v/>
      </c>
      <c r="BV36" s="11" t="str">
        <f t="shared" si="21"/>
        <v/>
      </c>
      <c r="BW36" s="11" t="str">
        <f t="shared" si="22"/>
        <v/>
      </c>
      <c r="BX36" s="11" t="str">
        <f t="shared" si="23"/>
        <v/>
      </c>
      <c r="BY36" s="11" t="str">
        <f t="shared" si="24"/>
        <v/>
      </c>
      <c r="BZ36" s="11" t="str">
        <f t="shared" si="25"/>
        <v/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 t="shared" si="26"/>
        <v/>
      </c>
      <c r="CW36" s="40" t="str">
        <f t="shared" si="27"/>
        <v/>
      </c>
      <c r="CX36" s="40" t="str">
        <f t="shared" si="28"/>
        <v/>
      </c>
      <c r="CY36" s="40" t="str">
        <f t="shared" si="29"/>
        <v/>
      </c>
      <c r="CZ36" s="40" t="str">
        <f t="shared" si="30"/>
        <v/>
      </c>
      <c r="DA36" s="40" t="str">
        <f t="shared" si="31"/>
        <v/>
      </c>
      <c r="DB36" s="40" t="str">
        <f t="shared" si="32"/>
        <v/>
      </c>
      <c r="DC36" s="40" t="str">
        <f t="shared" si="33"/>
        <v/>
      </c>
      <c r="DD36" s="50" t="str">
        <f t="shared" si="34"/>
        <v/>
      </c>
      <c r="DE36" s="50" t="str">
        <f t="shared" si="35"/>
        <v/>
      </c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40" t="str">
        <f t="shared" si="36"/>
        <v/>
      </c>
      <c r="EA36" s="40" t="str">
        <f t="shared" si="37"/>
        <v/>
      </c>
      <c r="EB36" s="40" t="str">
        <f t="shared" si="38"/>
        <v/>
      </c>
      <c r="EC36" s="40" t="str">
        <f t="shared" si="39"/>
        <v/>
      </c>
      <c r="ED36" s="40" t="str">
        <f t="shared" si="40"/>
        <v/>
      </c>
      <c r="EE36" s="40" t="str">
        <f t="shared" si="41"/>
        <v/>
      </c>
      <c r="EF36" s="40" t="str">
        <f t="shared" si="42"/>
        <v/>
      </c>
      <c r="EG36" s="40" t="str">
        <f t="shared" si="43"/>
        <v/>
      </c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1" t="str">
        <f t="shared" si="44"/>
        <v/>
      </c>
      <c r="FC36" s="11" t="str">
        <f t="shared" si="45"/>
        <v/>
      </c>
      <c r="FD36" s="11" t="str">
        <f t="shared" si="46"/>
        <v/>
      </c>
      <c r="FE36" s="11" t="str">
        <f t="shared" si="47"/>
        <v/>
      </c>
      <c r="FF36" s="11" t="str">
        <f t="shared" si="48"/>
        <v/>
      </c>
      <c r="FG36" s="11" t="str">
        <f t="shared" si="49"/>
        <v/>
      </c>
      <c r="FH36" s="11" t="str">
        <f t="shared" si="50"/>
        <v/>
      </c>
      <c r="FI36" s="11" t="str">
        <f t="shared" si="51"/>
        <v/>
      </c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40" t="str">
        <f t="shared" si="52"/>
        <v/>
      </c>
      <c r="GE36" s="40" t="str">
        <f t="shared" si="53"/>
        <v/>
      </c>
      <c r="GF36" s="40" t="str">
        <f t="shared" si="54"/>
        <v/>
      </c>
      <c r="GG36" s="40" t="str">
        <f t="shared" si="55"/>
        <v/>
      </c>
      <c r="GH36" s="40" t="str">
        <f t="shared" si="56"/>
        <v/>
      </c>
      <c r="GI36" s="40" t="str">
        <f t="shared" si="57"/>
        <v/>
      </c>
      <c r="GJ36" s="40" t="str">
        <f t="shared" si="58"/>
        <v/>
      </c>
      <c r="GK36" s="40" t="str">
        <f t="shared" si="59"/>
        <v/>
      </c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1" t="str">
        <f t="shared" si="60"/>
        <v/>
      </c>
      <c r="HG36" s="11" t="str">
        <f t="shared" si="61"/>
        <v/>
      </c>
      <c r="HH36" s="11" t="str">
        <f t="shared" si="62"/>
        <v/>
      </c>
      <c r="HI36" s="11" t="str">
        <f t="shared" si="63"/>
        <v/>
      </c>
      <c r="HJ36" s="11" t="str">
        <f t="shared" si="64"/>
        <v/>
      </c>
      <c r="HK36" s="11" t="str">
        <f t="shared" si="65"/>
        <v/>
      </c>
      <c r="HL36" s="11" t="str">
        <f t="shared" si="66"/>
        <v/>
      </c>
      <c r="HM36" s="11" t="str">
        <f t="shared" si="67"/>
        <v/>
      </c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40" t="str">
        <f t="shared" si="68"/>
        <v/>
      </c>
      <c r="II36" s="40" t="str">
        <f t="shared" si="69"/>
        <v/>
      </c>
      <c r="IJ36" s="40" t="str">
        <f t="shared" si="70"/>
        <v/>
      </c>
      <c r="IK36" s="40" t="str">
        <f t="shared" si="71"/>
        <v/>
      </c>
      <c r="IL36" s="40" t="str">
        <f t="shared" si="72"/>
        <v/>
      </c>
      <c r="IM36" s="40" t="str">
        <f t="shared" si="73"/>
        <v/>
      </c>
      <c r="IN36" s="40" t="str">
        <f t="shared" si="74"/>
        <v/>
      </c>
      <c r="IO36" s="40" t="str">
        <f t="shared" si="75"/>
        <v/>
      </c>
      <c r="IP36" s="18"/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1" t="str">
        <f t="shared" si="76"/>
        <v/>
      </c>
      <c r="JK36" s="11" t="str">
        <f t="shared" si="77"/>
        <v/>
      </c>
      <c r="JL36" s="11" t="str">
        <f t="shared" si="78"/>
        <v/>
      </c>
      <c r="JM36" s="11" t="str">
        <f t="shared" si="79"/>
        <v/>
      </c>
      <c r="JN36" s="11" t="str">
        <f t="shared" si="80"/>
        <v/>
      </c>
      <c r="JO36" s="11" t="str">
        <f t="shared" si="81"/>
        <v/>
      </c>
      <c r="JP36" s="11" t="str">
        <f t="shared" si="82"/>
        <v/>
      </c>
      <c r="JQ36" s="11" t="str">
        <f t="shared" si="83"/>
        <v/>
      </c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40" t="str">
        <f t="shared" si="84"/>
        <v/>
      </c>
      <c r="KM36" s="40" t="str">
        <f t="shared" si="85"/>
        <v/>
      </c>
      <c r="KN36" s="40" t="str">
        <f t="shared" si="86"/>
        <v/>
      </c>
      <c r="KO36" s="40" t="str">
        <f t="shared" si="87"/>
        <v/>
      </c>
      <c r="KP36" s="40" t="str">
        <f t="shared" si="88"/>
        <v/>
      </c>
      <c r="KQ36" s="40" t="str">
        <f t="shared" si="89"/>
        <v/>
      </c>
      <c r="KR36" s="40" t="str">
        <f t="shared" si="90"/>
        <v/>
      </c>
      <c r="KS36" s="40" t="str">
        <f t="shared" si="91"/>
        <v/>
      </c>
      <c r="KT36" s="18"/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1" t="str">
        <f t="shared" si="92"/>
        <v/>
      </c>
      <c r="LO36" s="11" t="str">
        <f t="shared" si="93"/>
        <v/>
      </c>
      <c r="LP36" s="11" t="str">
        <f t="shared" si="94"/>
        <v/>
      </c>
      <c r="LQ36" s="11" t="str">
        <f t="shared" si="95"/>
        <v/>
      </c>
      <c r="LR36" s="11" t="str">
        <f t="shared" si="96"/>
        <v/>
      </c>
      <c r="LS36" s="11" t="str">
        <f t="shared" si="97"/>
        <v/>
      </c>
      <c r="LT36" s="11" t="str">
        <f t="shared" si="98"/>
        <v/>
      </c>
      <c r="LU36" s="11" t="str">
        <f t="shared" si="99"/>
        <v/>
      </c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40" t="str">
        <f t="shared" si="100"/>
        <v/>
      </c>
      <c r="MQ36" s="40" t="str">
        <f t="shared" si="101"/>
        <v/>
      </c>
      <c r="MR36" s="40" t="str">
        <f t="shared" si="102"/>
        <v/>
      </c>
      <c r="MS36" s="40" t="str">
        <f t="shared" si="103"/>
        <v/>
      </c>
      <c r="MT36" s="40" t="str">
        <f t="shared" si="104"/>
        <v/>
      </c>
      <c r="MU36" s="40" t="str">
        <f t="shared" si="105"/>
        <v/>
      </c>
      <c r="MV36" s="40" t="str">
        <f t="shared" si="106"/>
        <v/>
      </c>
      <c r="MW36" s="40" t="str">
        <f t="shared" si="107"/>
        <v/>
      </c>
      <c r="MX36" s="18"/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1" t="str">
        <f t="shared" si="108"/>
        <v/>
      </c>
      <c r="NS36" s="11" t="str">
        <f t="shared" si="109"/>
        <v/>
      </c>
      <c r="NT36" s="11" t="str">
        <f t="shared" si="110"/>
        <v/>
      </c>
      <c r="NU36" s="11" t="str">
        <f t="shared" si="111"/>
        <v/>
      </c>
      <c r="NV36" s="11" t="str">
        <f t="shared" si="112"/>
        <v/>
      </c>
      <c r="NW36" s="11" t="str">
        <f t="shared" si="113"/>
        <v/>
      </c>
      <c r="NX36" s="11" t="str">
        <f t="shared" si="114"/>
        <v/>
      </c>
      <c r="NY36" s="11" t="str">
        <f t="shared" si="115"/>
        <v/>
      </c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40" t="str">
        <f t="shared" si="116"/>
        <v/>
      </c>
      <c r="OU36" s="40" t="str">
        <f t="shared" si="117"/>
        <v/>
      </c>
      <c r="OV36" s="40" t="str">
        <f t="shared" si="118"/>
        <v/>
      </c>
      <c r="OW36" s="40" t="str">
        <f t="shared" si="119"/>
        <v/>
      </c>
      <c r="OX36" s="40" t="str">
        <f t="shared" si="120"/>
        <v/>
      </c>
      <c r="OY36" s="40" t="str">
        <f t="shared" si="121"/>
        <v/>
      </c>
      <c r="OZ36" s="40" t="str">
        <f t="shared" si="122"/>
        <v/>
      </c>
      <c r="PA36" s="40" t="str">
        <f t="shared" si="123"/>
        <v/>
      </c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1" t="str">
        <f t="shared" si="124"/>
        <v/>
      </c>
      <c r="PW36" s="11" t="str">
        <f t="shared" si="125"/>
        <v/>
      </c>
      <c r="PX36" s="11" t="str">
        <f t="shared" si="126"/>
        <v/>
      </c>
      <c r="PY36" s="11" t="str">
        <f t="shared" si="127"/>
        <v/>
      </c>
      <c r="PZ36" s="11" t="str">
        <f t="shared" si="128"/>
        <v/>
      </c>
      <c r="QA36" s="11" t="str">
        <f t="shared" si="129"/>
        <v/>
      </c>
      <c r="QB36" s="11" t="str">
        <f t="shared" si="130"/>
        <v/>
      </c>
      <c r="QC36" s="11" t="str">
        <f t="shared" si="131"/>
        <v/>
      </c>
      <c r="QD36" s="22">
        <f t="shared" si="132"/>
        <v>0</v>
      </c>
      <c r="QE36" s="22">
        <f t="shared" si="133"/>
        <v>0</v>
      </c>
      <c r="QF36" s="22">
        <f t="shared" si="134"/>
        <v>0</v>
      </c>
      <c r="QG36" s="22">
        <f t="shared" si="135"/>
        <v>0</v>
      </c>
      <c r="QH36" s="22">
        <f t="shared" si="136"/>
        <v>0</v>
      </c>
      <c r="QI36" s="22">
        <f t="shared" si="137"/>
        <v>0</v>
      </c>
      <c r="QJ36" s="22">
        <f t="shared" si="138"/>
        <v>0</v>
      </c>
      <c r="QK36" s="22">
        <f t="shared" si="139"/>
        <v>0</v>
      </c>
      <c r="QL36" s="22">
        <f t="shared" si="140"/>
        <v>0</v>
      </c>
      <c r="QM36" s="22">
        <f t="shared" si="141"/>
        <v>0</v>
      </c>
      <c r="QN36" s="22">
        <f t="shared" si="142"/>
        <v>0</v>
      </c>
      <c r="QO36" s="22">
        <f t="shared" si="143"/>
        <v>0</v>
      </c>
      <c r="QP36" s="22">
        <f t="shared" si="144"/>
        <v>0</v>
      </c>
      <c r="QQ36" s="22">
        <f t="shared" si="145"/>
        <v>0</v>
      </c>
      <c r="QR36" s="22">
        <f t="shared" si="146"/>
        <v>0</v>
      </c>
      <c r="QS36" s="22">
        <f t="shared" si="147"/>
        <v>0</v>
      </c>
      <c r="QT36" s="22">
        <f t="shared" si="148"/>
        <v>0</v>
      </c>
      <c r="QU36" s="22">
        <f t="shared" si="149"/>
        <v>0</v>
      </c>
      <c r="QV36" s="22">
        <f t="shared" si="150"/>
        <v>0</v>
      </c>
      <c r="QW36" s="22">
        <f t="shared" si="151"/>
        <v>0</v>
      </c>
      <c r="QX36" s="27" t="s">
        <v>46</v>
      </c>
      <c r="QY36" s="40" t="str">
        <f t="shared" si="152"/>
        <v/>
      </c>
      <c r="QZ36" s="40" t="str">
        <f t="shared" si="153"/>
        <v/>
      </c>
      <c r="RA36" s="40" t="str">
        <f t="shared" si="154"/>
        <v/>
      </c>
      <c r="RB36" s="40" t="str">
        <f t="shared" si="155"/>
        <v/>
      </c>
      <c r="RC36" s="40" t="str">
        <f t="shared" si="156"/>
        <v/>
      </c>
      <c r="RD36" s="40" t="str">
        <f t="shared" si="157"/>
        <v/>
      </c>
      <c r="RE36" s="40" t="str">
        <f t="shared" si="158"/>
        <v/>
      </c>
      <c r="RF36" s="40" t="str">
        <f t="shared" si="159"/>
        <v/>
      </c>
    </row>
    <row r="37" spans="1:474" x14ac:dyDescent="0.2">
      <c r="A37" s="4" t="str" cm="1">
        <f t="array" ref="A37">IF(AND(J37&lt;&gt;"",J37&lt;&gt;"No DD"),SUMPRODUCT((J$4:J$42&lt;&gt;"")*(J$4:J$42&lt;&gt;"No DD")*(F$4:F$42&gt;F37))+1,IF(J37="No DD",SUMPRODUCT((J$4:J$42="No DD")*(F$4:F$42&gt;F37))+1+SUMPRODUCT((J$4:J$42&lt;&gt;"")*(J$4:J$42&lt;&gt;"No DD")),""))</f>
        <v/>
      </c>
      <c r="B37" s="4" t="str" cm="1">
        <f t="array" ref="B37">IF(AND(J37&lt;&gt;"",J37&lt;&gt;"No DD",G37=""),SUMPRODUCT((J$4:J$42&lt;&gt;"")*(J$4:J$42&lt;&gt;"No DD")*(G$4:G$42="")*(F$4:F$42&gt;F37))+1,IF(J37="No DD",SUMPRODUCT((J$4:J$42="No DD")*(F$4:F$42&gt;F37)*(G$4:G$42=""))+1+SUMPRODUCT((J$4:J$42&lt;&gt;"")*(G$4:G$42="")*(J$4:J$42&lt;&gt;"No DD")),""))</f>
        <v/>
      </c>
      <c r="C37" s="5" t="s">
        <v>194</v>
      </c>
      <c r="D37" s="4" t="s">
        <v>6</v>
      </c>
      <c r="E37" s="4">
        <v>2006</v>
      </c>
      <c r="F37" s="9">
        <f t="shared" si="0"/>
        <v>79.000007900004292</v>
      </c>
      <c r="H37" s="3" t="str">
        <f t="shared" si="1"/>
        <v/>
      </c>
      <c r="I37" s="3" t="str">
        <f t="shared" si="2"/>
        <v/>
      </c>
      <c r="J37" s="36" t="str">
        <f t="shared" si="3"/>
        <v/>
      </c>
      <c r="K37" s="3" t="str">
        <f t="shared" si="4"/>
        <v/>
      </c>
      <c r="L37" s="8">
        <f>IF(COUNT(AQ37,BT37,CW37)&gt;0,LARGE((AQ37,BT37,CW37),1),0)</f>
        <v>42.900000000000006</v>
      </c>
      <c r="M37" s="8" t="str">
        <f t="shared" si="5"/>
        <v>2024 Nationals</v>
      </c>
      <c r="N37" s="8">
        <f>IF(COUNT(AQ37,BT37,CW37)&gt;1,LARGE((AQ37,BT37,CW37),2),0)</f>
        <v>36.099999999999994</v>
      </c>
      <c r="O37" s="8" t="str">
        <f t="shared" si="6"/>
        <v>2025 Elite Canada</v>
      </c>
      <c r="P37" s="8">
        <f t="shared" si="7"/>
        <v>0</v>
      </c>
      <c r="Q37" s="8" t="str">
        <f t="shared" si="8"/>
        <v/>
      </c>
      <c r="R37" s="8" t="str">
        <f t="shared" si="9"/>
        <v/>
      </c>
      <c r="S37" s="11" t="str">
        <f t="shared" si="162"/>
        <v/>
      </c>
      <c r="T37" s="8" t="str">
        <f t="shared" si="163"/>
        <v/>
      </c>
      <c r="U37" s="19">
        <v>18.8</v>
      </c>
      <c r="V37" s="19">
        <v>3.5</v>
      </c>
      <c r="W37" s="19">
        <v>0</v>
      </c>
      <c r="X37" s="19">
        <v>0</v>
      </c>
      <c r="Y37" s="19">
        <v>16.600000000000001</v>
      </c>
      <c r="Z37" s="19">
        <v>4.8</v>
      </c>
      <c r="AA37" s="19">
        <v>0.8</v>
      </c>
      <c r="AB37" s="19">
        <v>0</v>
      </c>
      <c r="AC37" s="19">
        <v>18.2</v>
      </c>
      <c r="AD37" s="19">
        <v>4.8</v>
      </c>
      <c r="AE37" s="19">
        <v>0.6</v>
      </c>
      <c r="AF37" s="19">
        <v>0</v>
      </c>
      <c r="AG37" s="19"/>
      <c r="AH37" s="19"/>
      <c r="AI37" s="19"/>
      <c r="AJ37" s="19"/>
      <c r="AK37" s="19"/>
      <c r="AL37" s="19"/>
      <c r="AM37" s="19"/>
      <c r="AN37" s="19"/>
      <c r="AO37" s="27"/>
      <c r="AP37" s="40">
        <f t="shared" si="10"/>
        <v>8.3000000000000007</v>
      </c>
      <c r="AQ37" s="40">
        <f t="shared" si="11"/>
        <v>42.900000000000006</v>
      </c>
      <c r="AR37" s="40">
        <f t="shared" si="12"/>
        <v>22.4</v>
      </c>
      <c r="AS37" s="40">
        <f t="shared" si="13"/>
        <v>13.100000000000001</v>
      </c>
      <c r="AT37" s="40">
        <f t="shared" si="14"/>
        <v>65.300000000000011</v>
      </c>
      <c r="AU37" s="40" t="str">
        <f t="shared" si="15"/>
        <v/>
      </c>
      <c r="AV37" s="40" t="str">
        <f t="shared" si="16"/>
        <v/>
      </c>
      <c r="AW37" s="40">
        <f t="shared" si="17"/>
        <v>65.300000000000011</v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 t="shared" si="18"/>
        <v/>
      </c>
      <c r="BT37" s="11" t="str">
        <f t="shared" si="19"/>
        <v/>
      </c>
      <c r="BU37" s="11" t="str">
        <f t="shared" si="20"/>
        <v/>
      </c>
      <c r="BV37" s="11" t="str">
        <f t="shared" si="21"/>
        <v/>
      </c>
      <c r="BW37" s="11" t="str">
        <f t="shared" si="22"/>
        <v/>
      </c>
      <c r="BX37" s="11" t="str">
        <f t="shared" si="23"/>
        <v/>
      </c>
      <c r="BY37" s="11" t="str">
        <f t="shared" si="24"/>
        <v/>
      </c>
      <c r="BZ37" s="11" t="str">
        <f t="shared" si="25"/>
        <v/>
      </c>
      <c r="CA37" s="19">
        <v>15.6</v>
      </c>
      <c r="CB37" s="19">
        <v>2.4</v>
      </c>
      <c r="CC37" s="19">
        <v>0</v>
      </c>
      <c r="CD37" s="19">
        <v>0</v>
      </c>
      <c r="CE37" s="19">
        <v>15.3</v>
      </c>
      <c r="CF37" s="19">
        <v>2.8</v>
      </c>
      <c r="CG37" s="19">
        <v>0</v>
      </c>
      <c r="CH37" s="19">
        <v>0</v>
      </c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>
        <f t="shared" si="26"/>
        <v>5.1999999999999993</v>
      </c>
      <c r="CW37" s="40">
        <f t="shared" si="27"/>
        <v>36.099999999999994</v>
      </c>
      <c r="CX37" s="40" t="str">
        <f t="shared" si="28"/>
        <v/>
      </c>
      <c r="CY37" s="40">
        <f t="shared" si="29"/>
        <v>5.1999999999999993</v>
      </c>
      <c r="CZ37" s="40">
        <f t="shared" si="30"/>
        <v>36.099999999999994</v>
      </c>
      <c r="DA37" s="40" t="str">
        <f t="shared" si="31"/>
        <v/>
      </c>
      <c r="DB37" s="40" t="str">
        <f t="shared" si="32"/>
        <v/>
      </c>
      <c r="DC37" s="40">
        <f t="shared" si="33"/>
        <v>36.099999999999994</v>
      </c>
      <c r="DD37" s="50" t="str">
        <f t="shared" si="34"/>
        <v/>
      </c>
      <c r="DE37" s="50" t="str">
        <f t="shared" si="35"/>
        <v/>
      </c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40" t="str">
        <f t="shared" si="36"/>
        <v/>
      </c>
      <c r="EA37" s="40" t="str">
        <f t="shared" si="37"/>
        <v/>
      </c>
      <c r="EB37" s="40" t="str">
        <f t="shared" si="38"/>
        <v/>
      </c>
      <c r="EC37" s="40" t="str">
        <f t="shared" si="39"/>
        <v/>
      </c>
      <c r="ED37" s="40" t="str">
        <f t="shared" si="40"/>
        <v/>
      </c>
      <c r="EE37" s="40" t="str">
        <f t="shared" si="41"/>
        <v/>
      </c>
      <c r="EF37" s="40" t="str">
        <f t="shared" si="42"/>
        <v/>
      </c>
      <c r="EG37" s="40" t="str">
        <f t="shared" si="43"/>
        <v/>
      </c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1" t="str">
        <f t="shared" si="44"/>
        <v/>
      </c>
      <c r="FC37" s="11" t="str">
        <f t="shared" si="45"/>
        <v/>
      </c>
      <c r="FD37" s="11" t="str">
        <f t="shared" si="46"/>
        <v/>
      </c>
      <c r="FE37" s="11" t="str">
        <f t="shared" si="47"/>
        <v/>
      </c>
      <c r="FF37" s="11" t="str">
        <f t="shared" si="48"/>
        <v/>
      </c>
      <c r="FG37" s="11" t="str">
        <f t="shared" si="49"/>
        <v/>
      </c>
      <c r="FH37" s="11" t="str">
        <f t="shared" si="50"/>
        <v/>
      </c>
      <c r="FI37" s="11" t="str">
        <f t="shared" si="51"/>
        <v/>
      </c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40" t="str">
        <f t="shared" si="52"/>
        <v/>
      </c>
      <c r="GE37" s="40" t="str">
        <f t="shared" si="53"/>
        <v/>
      </c>
      <c r="GF37" s="40" t="str">
        <f t="shared" si="54"/>
        <v/>
      </c>
      <c r="GG37" s="40" t="str">
        <f t="shared" si="55"/>
        <v/>
      </c>
      <c r="GH37" s="40" t="str">
        <f t="shared" si="56"/>
        <v/>
      </c>
      <c r="GI37" s="40" t="str">
        <f t="shared" si="57"/>
        <v/>
      </c>
      <c r="GJ37" s="40" t="str">
        <f t="shared" si="58"/>
        <v/>
      </c>
      <c r="GK37" s="40" t="str">
        <f t="shared" si="59"/>
        <v/>
      </c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1" t="str">
        <f t="shared" si="60"/>
        <v/>
      </c>
      <c r="HG37" s="11" t="str">
        <f t="shared" si="61"/>
        <v/>
      </c>
      <c r="HH37" s="11" t="str">
        <f t="shared" si="62"/>
        <v/>
      </c>
      <c r="HI37" s="11" t="str">
        <f t="shared" si="63"/>
        <v/>
      </c>
      <c r="HJ37" s="11" t="str">
        <f t="shared" si="64"/>
        <v/>
      </c>
      <c r="HK37" s="11" t="str">
        <f t="shared" si="65"/>
        <v/>
      </c>
      <c r="HL37" s="11" t="str">
        <f t="shared" si="66"/>
        <v/>
      </c>
      <c r="HM37" s="11" t="str">
        <f t="shared" si="67"/>
        <v/>
      </c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40" t="str">
        <f t="shared" si="68"/>
        <v/>
      </c>
      <c r="II37" s="40" t="str">
        <f t="shared" si="69"/>
        <v/>
      </c>
      <c r="IJ37" s="40" t="str">
        <f t="shared" si="70"/>
        <v/>
      </c>
      <c r="IK37" s="40" t="str">
        <f t="shared" si="71"/>
        <v/>
      </c>
      <c r="IL37" s="40" t="str">
        <f t="shared" si="72"/>
        <v/>
      </c>
      <c r="IM37" s="40" t="str">
        <f t="shared" si="73"/>
        <v/>
      </c>
      <c r="IN37" s="40" t="str">
        <f t="shared" si="74"/>
        <v/>
      </c>
      <c r="IO37" s="40" t="str">
        <f t="shared" si="75"/>
        <v/>
      </c>
      <c r="IP37" s="18"/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1" t="str">
        <f t="shared" si="76"/>
        <v/>
      </c>
      <c r="JK37" s="11" t="str">
        <f t="shared" si="77"/>
        <v/>
      </c>
      <c r="JL37" s="11" t="str">
        <f t="shared" si="78"/>
        <v/>
      </c>
      <c r="JM37" s="11" t="str">
        <f t="shared" si="79"/>
        <v/>
      </c>
      <c r="JN37" s="11" t="str">
        <f t="shared" si="80"/>
        <v/>
      </c>
      <c r="JO37" s="11" t="str">
        <f t="shared" si="81"/>
        <v/>
      </c>
      <c r="JP37" s="11" t="str">
        <f t="shared" si="82"/>
        <v/>
      </c>
      <c r="JQ37" s="11" t="str">
        <f t="shared" si="83"/>
        <v/>
      </c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40" t="str">
        <f t="shared" si="84"/>
        <v/>
      </c>
      <c r="KM37" s="40" t="str">
        <f t="shared" si="85"/>
        <v/>
      </c>
      <c r="KN37" s="40" t="str">
        <f t="shared" si="86"/>
        <v/>
      </c>
      <c r="KO37" s="40" t="str">
        <f t="shared" si="87"/>
        <v/>
      </c>
      <c r="KP37" s="40" t="str">
        <f t="shared" si="88"/>
        <v/>
      </c>
      <c r="KQ37" s="40" t="str">
        <f t="shared" si="89"/>
        <v/>
      </c>
      <c r="KR37" s="40" t="str">
        <f t="shared" si="90"/>
        <v/>
      </c>
      <c r="KS37" s="40" t="str">
        <f t="shared" si="91"/>
        <v/>
      </c>
      <c r="KT37" s="18"/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1" t="str">
        <f t="shared" si="92"/>
        <v/>
      </c>
      <c r="LO37" s="11" t="str">
        <f t="shared" si="93"/>
        <v/>
      </c>
      <c r="LP37" s="11" t="str">
        <f t="shared" si="94"/>
        <v/>
      </c>
      <c r="LQ37" s="11" t="str">
        <f t="shared" si="95"/>
        <v/>
      </c>
      <c r="LR37" s="11" t="str">
        <f t="shared" si="96"/>
        <v/>
      </c>
      <c r="LS37" s="11" t="str">
        <f t="shared" si="97"/>
        <v/>
      </c>
      <c r="LT37" s="11" t="str">
        <f t="shared" si="98"/>
        <v/>
      </c>
      <c r="LU37" s="11" t="str">
        <f t="shared" si="99"/>
        <v/>
      </c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40" t="str">
        <f t="shared" si="100"/>
        <v/>
      </c>
      <c r="MQ37" s="40" t="str">
        <f t="shared" si="101"/>
        <v/>
      </c>
      <c r="MR37" s="40" t="str">
        <f t="shared" si="102"/>
        <v/>
      </c>
      <c r="MS37" s="40" t="str">
        <f t="shared" si="103"/>
        <v/>
      </c>
      <c r="MT37" s="40" t="str">
        <f t="shared" si="104"/>
        <v/>
      </c>
      <c r="MU37" s="40" t="str">
        <f t="shared" si="105"/>
        <v/>
      </c>
      <c r="MV37" s="40" t="str">
        <f t="shared" si="106"/>
        <v/>
      </c>
      <c r="MW37" s="40" t="str">
        <f t="shared" si="107"/>
        <v/>
      </c>
      <c r="MX37" s="18"/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1" t="str">
        <f t="shared" si="108"/>
        <v/>
      </c>
      <c r="NS37" s="11" t="str">
        <f t="shared" si="109"/>
        <v/>
      </c>
      <c r="NT37" s="11" t="str">
        <f t="shared" si="110"/>
        <v/>
      </c>
      <c r="NU37" s="11" t="str">
        <f t="shared" si="111"/>
        <v/>
      </c>
      <c r="NV37" s="11" t="str">
        <f t="shared" si="112"/>
        <v/>
      </c>
      <c r="NW37" s="11" t="str">
        <f t="shared" si="113"/>
        <v/>
      </c>
      <c r="NX37" s="11" t="str">
        <f t="shared" si="114"/>
        <v/>
      </c>
      <c r="NY37" s="11" t="str">
        <f t="shared" si="115"/>
        <v/>
      </c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40" t="str">
        <f t="shared" si="116"/>
        <v/>
      </c>
      <c r="OU37" s="40" t="str">
        <f t="shared" si="117"/>
        <v/>
      </c>
      <c r="OV37" s="40" t="str">
        <f t="shared" si="118"/>
        <v/>
      </c>
      <c r="OW37" s="40" t="str">
        <f t="shared" si="119"/>
        <v/>
      </c>
      <c r="OX37" s="40" t="str">
        <f t="shared" si="120"/>
        <v/>
      </c>
      <c r="OY37" s="40" t="str">
        <f t="shared" si="121"/>
        <v/>
      </c>
      <c r="OZ37" s="40" t="str">
        <f t="shared" si="122"/>
        <v/>
      </c>
      <c r="PA37" s="40" t="str">
        <f t="shared" si="123"/>
        <v/>
      </c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1" t="str">
        <f t="shared" si="124"/>
        <v/>
      </c>
      <c r="PW37" s="11" t="str">
        <f t="shared" si="125"/>
        <v/>
      </c>
      <c r="PX37" s="11" t="str">
        <f t="shared" si="126"/>
        <v/>
      </c>
      <c r="PY37" s="11" t="str">
        <f t="shared" si="127"/>
        <v/>
      </c>
      <c r="PZ37" s="11" t="str">
        <f t="shared" si="128"/>
        <v/>
      </c>
      <c r="QA37" s="11" t="str">
        <f t="shared" si="129"/>
        <v/>
      </c>
      <c r="QB37" s="11" t="str">
        <f t="shared" si="130"/>
        <v/>
      </c>
      <c r="QC37" s="11" t="str">
        <f t="shared" si="131"/>
        <v/>
      </c>
      <c r="QD37" s="22">
        <f t="shared" si="132"/>
        <v>7.8</v>
      </c>
      <c r="QE37" s="22">
        <f t="shared" si="133"/>
        <v>1.2</v>
      </c>
      <c r="QF37" s="22">
        <f t="shared" si="134"/>
        <v>0</v>
      </c>
      <c r="QG37" s="22">
        <f t="shared" si="135"/>
        <v>0</v>
      </c>
      <c r="QH37" s="22">
        <f t="shared" si="136"/>
        <v>7.65</v>
      </c>
      <c r="QI37" s="22">
        <f t="shared" si="137"/>
        <v>1.4</v>
      </c>
      <c r="QJ37" s="22">
        <f t="shared" si="138"/>
        <v>0</v>
      </c>
      <c r="QK37" s="22">
        <f t="shared" si="139"/>
        <v>0</v>
      </c>
      <c r="QL37" s="22">
        <f t="shared" si="140"/>
        <v>0</v>
      </c>
      <c r="QM37" s="22">
        <f t="shared" si="141"/>
        <v>0</v>
      </c>
      <c r="QN37" s="22">
        <f t="shared" si="142"/>
        <v>0</v>
      </c>
      <c r="QO37" s="22">
        <f t="shared" si="143"/>
        <v>0</v>
      </c>
      <c r="QP37" s="22">
        <f t="shared" si="144"/>
        <v>0</v>
      </c>
      <c r="QQ37" s="22">
        <f t="shared" si="145"/>
        <v>0</v>
      </c>
      <c r="QR37" s="22">
        <f t="shared" si="146"/>
        <v>0</v>
      </c>
      <c r="QS37" s="22">
        <f t="shared" si="147"/>
        <v>0</v>
      </c>
      <c r="QT37" s="22">
        <f t="shared" si="148"/>
        <v>0</v>
      </c>
      <c r="QU37" s="22">
        <f t="shared" si="149"/>
        <v>0</v>
      </c>
      <c r="QV37" s="22">
        <f t="shared" si="150"/>
        <v>0</v>
      </c>
      <c r="QW37" s="22">
        <f t="shared" si="151"/>
        <v>0</v>
      </c>
      <c r="QX37" s="27" t="s">
        <v>46</v>
      </c>
      <c r="QY37" s="40">
        <f t="shared" si="152"/>
        <v>2.5999999999999996</v>
      </c>
      <c r="QZ37" s="40">
        <f t="shared" si="153"/>
        <v>18.049999999999997</v>
      </c>
      <c r="RA37" s="40" t="str">
        <f t="shared" si="154"/>
        <v/>
      </c>
      <c r="RB37" s="40">
        <f t="shared" si="155"/>
        <v>2.5999999999999996</v>
      </c>
      <c r="RC37" s="40">
        <f t="shared" si="156"/>
        <v>18.049999999999997</v>
      </c>
      <c r="RD37" s="40" t="str">
        <f t="shared" si="157"/>
        <v/>
      </c>
      <c r="RE37" s="40" t="str">
        <f t="shared" si="158"/>
        <v/>
      </c>
      <c r="RF37" s="40">
        <f t="shared" si="159"/>
        <v>18.049999999999997</v>
      </c>
    </row>
    <row r="38" spans="1:474" x14ac:dyDescent="0.2">
      <c r="A38" s="4" t="str" cm="1">
        <f t="array" ref="A38">IF(AND(J38&lt;&gt;"",J38&lt;&gt;"No DD"),SUMPRODUCT((J$4:J$42&lt;&gt;"")*(J$4:J$42&lt;&gt;"No DD")*(F$4:F$42&gt;F38))+1,IF(J38="No DD",SUMPRODUCT((J$4:J$42="No DD")*(F$4:F$42&gt;F38))+1+SUMPRODUCT((J$4:J$42&lt;&gt;"")*(J$4:J$42&lt;&gt;"No DD")),""))</f>
        <v/>
      </c>
      <c r="B38" s="4" t="str" cm="1">
        <f t="array" ref="B38">IF(AND(J38&lt;&gt;"",J38&lt;&gt;"No DD",G38=""),SUMPRODUCT((J$4:J$42&lt;&gt;"")*(J$4:J$42&lt;&gt;"No DD")*(G$4:G$42="")*(F$4:F$42&gt;F38))+1,IF(J38="No DD",SUMPRODUCT((J$4:J$42="No DD")*(F$4:F$42&gt;F38)*(G$4:G$42=""))+1+SUMPRODUCT((J$4:J$42&lt;&gt;"")*(G$4:G$42="")*(J$4:J$42&lt;&gt;"No DD")),""))</f>
        <v/>
      </c>
      <c r="C38" s="5" t="s">
        <v>156</v>
      </c>
      <c r="D38" s="4" t="s">
        <v>5</v>
      </c>
      <c r="E38" s="4">
        <v>2007</v>
      </c>
      <c r="F38" s="9">
        <f t="shared" si="0"/>
        <v>70.300007030004636</v>
      </c>
      <c r="G38" s="64"/>
      <c r="H38" s="3" t="str">
        <f t="shared" si="1"/>
        <v/>
      </c>
      <c r="I38" s="3" t="str">
        <f t="shared" si="2"/>
        <v/>
      </c>
      <c r="J38" s="36" t="str">
        <f t="shared" si="3"/>
        <v/>
      </c>
      <c r="K38" s="3" t="str">
        <f t="shared" si="4"/>
        <v/>
      </c>
      <c r="L38" s="8">
        <f>IF(COUNT(AQ38,BT38,CW38)&gt;0,LARGE((AQ38,BT38,CW38),1),0)</f>
        <v>46.3</v>
      </c>
      <c r="M38" s="8" t="str">
        <f t="shared" si="5"/>
        <v>2024 3rd Domestic Trial</v>
      </c>
      <c r="N38" s="8">
        <f>IF(COUNT(AQ38,BT38,CW38)&gt;1,LARGE((AQ38,BT38,CW38),2),0)</f>
        <v>24</v>
      </c>
      <c r="O38" s="8" t="str">
        <f t="shared" si="6"/>
        <v>2024 Nationals</v>
      </c>
      <c r="P38" s="8">
        <f t="shared" si="7"/>
        <v>0</v>
      </c>
      <c r="Q38" s="8" t="str">
        <f t="shared" si="8"/>
        <v/>
      </c>
      <c r="R38" s="8" t="str">
        <f t="shared" si="9"/>
        <v/>
      </c>
      <c r="S38" s="11" t="str">
        <f t="shared" si="162"/>
        <v/>
      </c>
      <c r="T38" s="8" t="str">
        <f t="shared" si="163"/>
        <v/>
      </c>
      <c r="U38" s="19">
        <v>0</v>
      </c>
      <c r="V38" s="19">
        <v>0</v>
      </c>
      <c r="W38" s="19">
        <v>0</v>
      </c>
      <c r="X38" s="19">
        <v>0</v>
      </c>
      <c r="Y38" s="19">
        <v>18</v>
      </c>
      <c r="Z38" s="19">
        <v>6.8</v>
      </c>
      <c r="AA38" s="19">
        <v>0.8</v>
      </c>
      <c r="AB38" s="19">
        <v>0</v>
      </c>
      <c r="AC38" s="19">
        <v>17.399999999999999</v>
      </c>
      <c r="AD38" s="19">
        <v>3.6</v>
      </c>
      <c r="AE38" s="19">
        <v>0</v>
      </c>
      <c r="AF38" s="19">
        <v>0</v>
      </c>
      <c r="AG38" s="19"/>
      <c r="AH38" s="19"/>
      <c r="AI38" s="19"/>
      <c r="AJ38" s="19"/>
      <c r="AK38" s="19"/>
      <c r="AL38" s="19"/>
      <c r="AM38" s="19"/>
      <c r="AN38" s="19"/>
      <c r="AO38" s="27"/>
      <c r="AP38" s="40">
        <f t="shared" si="10"/>
        <v>6.8</v>
      </c>
      <c r="AQ38" s="40">
        <f t="shared" si="11"/>
        <v>24</v>
      </c>
      <c r="AR38" s="40">
        <f t="shared" si="12"/>
        <v>21</v>
      </c>
      <c r="AS38" s="40">
        <f t="shared" si="13"/>
        <v>10.4</v>
      </c>
      <c r="AT38" s="40">
        <f t="shared" si="14"/>
        <v>45</v>
      </c>
      <c r="AU38" s="40" t="str">
        <f t="shared" si="15"/>
        <v/>
      </c>
      <c r="AV38" s="40" t="str">
        <f t="shared" si="16"/>
        <v/>
      </c>
      <c r="AW38" s="40">
        <f t="shared" si="17"/>
        <v>45</v>
      </c>
      <c r="AX38" s="18">
        <v>16.7</v>
      </c>
      <c r="AY38" s="18">
        <v>6</v>
      </c>
      <c r="AZ38" s="18">
        <v>1</v>
      </c>
      <c r="BA38" s="18">
        <v>0</v>
      </c>
      <c r="BB38" s="18">
        <v>18.8</v>
      </c>
      <c r="BC38" s="18">
        <v>6.4</v>
      </c>
      <c r="BD38" s="18">
        <v>0.6</v>
      </c>
      <c r="BE38" s="18">
        <v>0</v>
      </c>
      <c r="BF38" s="18">
        <v>18.8</v>
      </c>
      <c r="BG38" s="18">
        <v>5.6</v>
      </c>
      <c r="BH38" s="18">
        <v>0.4</v>
      </c>
      <c r="BI38" s="18">
        <v>0</v>
      </c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 t="shared" si="18"/>
        <v>12.4</v>
      </c>
      <c r="BT38" s="11">
        <f t="shared" si="19"/>
        <v>46.3</v>
      </c>
      <c r="BU38" s="11">
        <f t="shared" si="20"/>
        <v>24</v>
      </c>
      <c r="BV38" s="11">
        <f t="shared" si="21"/>
        <v>18</v>
      </c>
      <c r="BW38" s="11">
        <f t="shared" si="22"/>
        <v>70.3</v>
      </c>
      <c r="BX38" s="11" t="str">
        <f t="shared" si="23"/>
        <v/>
      </c>
      <c r="BY38" s="11" t="str">
        <f t="shared" si="24"/>
        <v/>
      </c>
      <c r="BZ38" s="11">
        <f t="shared" si="25"/>
        <v>70.3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 t="shared" si="26"/>
        <v/>
      </c>
      <c r="CW38" s="40" t="str">
        <f t="shared" si="27"/>
        <v/>
      </c>
      <c r="CX38" s="40" t="str">
        <f t="shared" si="28"/>
        <v/>
      </c>
      <c r="CY38" s="40" t="str">
        <f t="shared" si="29"/>
        <v/>
      </c>
      <c r="CZ38" s="40" t="str">
        <f t="shared" si="30"/>
        <v/>
      </c>
      <c r="DA38" s="40" t="str">
        <f t="shared" si="31"/>
        <v/>
      </c>
      <c r="DB38" s="40" t="str">
        <f t="shared" si="32"/>
        <v/>
      </c>
      <c r="DC38" s="40" t="str">
        <f t="shared" si="33"/>
        <v/>
      </c>
      <c r="DD38" s="50" t="str">
        <f t="shared" si="34"/>
        <v/>
      </c>
      <c r="DE38" s="50" t="str">
        <f t="shared" si="35"/>
        <v/>
      </c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40" t="str">
        <f t="shared" si="36"/>
        <v/>
      </c>
      <c r="EA38" s="40" t="str">
        <f t="shared" si="37"/>
        <v/>
      </c>
      <c r="EB38" s="40" t="str">
        <f t="shared" si="38"/>
        <v/>
      </c>
      <c r="EC38" s="40" t="str">
        <f t="shared" si="39"/>
        <v/>
      </c>
      <c r="ED38" s="40" t="str">
        <f t="shared" si="40"/>
        <v/>
      </c>
      <c r="EE38" s="40" t="str">
        <f t="shared" si="41"/>
        <v/>
      </c>
      <c r="EF38" s="40" t="str">
        <f t="shared" si="42"/>
        <v/>
      </c>
      <c r="EG38" s="40" t="str">
        <f t="shared" si="43"/>
        <v/>
      </c>
      <c r="EH38" s="18"/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1" t="str">
        <f t="shared" si="44"/>
        <v/>
      </c>
      <c r="FC38" s="11" t="str">
        <f t="shared" si="45"/>
        <v/>
      </c>
      <c r="FD38" s="11" t="str">
        <f t="shared" si="46"/>
        <v/>
      </c>
      <c r="FE38" s="11" t="str">
        <f t="shared" si="47"/>
        <v/>
      </c>
      <c r="FF38" s="11" t="str">
        <f t="shared" si="48"/>
        <v/>
      </c>
      <c r="FG38" s="11" t="str">
        <f t="shared" si="49"/>
        <v/>
      </c>
      <c r="FH38" s="11" t="str">
        <f t="shared" si="50"/>
        <v/>
      </c>
      <c r="FI38" s="11" t="str">
        <f t="shared" si="51"/>
        <v/>
      </c>
      <c r="FJ38" s="17"/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40" t="str">
        <f t="shared" si="52"/>
        <v/>
      </c>
      <c r="GE38" s="40" t="str">
        <f t="shared" si="53"/>
        <v/>
      </c>
      <c r="GF38" s="40" t="str">
        <f t="shared" si="54"/>
        <v/>
      </c>
      <c r="GG38" s="40" t="str">
        <f t="shared" si="55"/>
        <v/>
      </c>
      <c r="GH38" s="40" t="str">
        <f t="shared" si="56"/>
        <v/>
      </c>
      <c r="GI38" s="40" t="str">
        <f t="shared" si="57"/>
        <v/>
      </c>
      <c r="GJ38" s="40" t="str">
        <f t="shared" si="58"/>
        <v/>
      </c>
      <c r="GK38" s="40" t="str">
        <f t="shared" si="59"/>
        <v/>
      </c>
      <c r="GL38" s="18"/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1" t="str">
        <f t="shared" si="60"/>
        <v/>
      </c>
      <c r="HG38" s="11" t="str">
        <f t="shared" si="61"/>
        <v/>
      </c>
      <c r="HH38" s="11" t="str">
        <f t="shared" si="62"/>
        <v/>
      </c>
      <c r="HI38" s="11" t="str">
        <f t="shared" si="63"/>
        <v/>
      </c>
      <c r="HJ38" s="11" t="str">
        <f t="shared" si="64"/>
        <v/>
      </c>
      <c r="HK38" s="11" t="str">
        <f t="shared" si="65"/>
        <v/>
      </c>
      <c r="HL38" s="11" t="str">
        <f t="shared" si="66"/>
        <v/>
      </c>
      <c r="HM38" s="11" t="str">
        <f t="shared" si="67"/>
        <v/>
      </c>
      <c r="HN38" s="17"/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40" t="str">
        <f t="shared" si="68"/>
        <v/>
      </c>
      <c r="II38" s="40" t="str">
        <f t="shared" si="69"/>
        <v/>
      </c>
      <c r="IJ38" s="40" t="str">
        <f t="shared" si="70"/>
        <v/>
      </c>
      <c r="IK38" s="40" t="str">
        <f t="shared" si="71"/>
        <v/>
      </c>
      <c r="IL38" s="40" t="str">
        <f t="shared" si="72"/>
        <v/>
      </c>
      <c r="IM38" s="40" t="str">
        <f t="shared" si="73"/>
        <v/>
      </c>
      <c r="IN38" s="40" t="str">
        <f t="shared" si="74"/>
        <v/>
      </c>
      <c r="IO38" s="40" t="str">
        <f t="shared" si="75"/>
        <v/>
      </c>
      <c r="IP38" s="18"/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1" t="str">
        <f t="shared" si="76"/>
        <v/>
      </c>
      <c r="JK38" s="11" t="str">
        <f t="shared" si="77"/>
        <v/>
      </c>
      <c r="JL38" s="11" t="str">
        <f t="shared" si="78"/>
        <v/>
      </c>
      <c r="JM38" s="11" t="str">
        <f t="shared" si="79"/>
        <v/>
      </c>
      <c r="JN38" s="11" t="str">
        <f t="shared" si="80"/>
        <v/>
      </c>
      <c r="JO38" s="11" t="str">
        <f t="shared" si="81"/>
        <v/>
      </c>
      <c r="JP38" s="11" t="str">
        <f t="shared" si="82"/>
        <v/>
      </c>
      <c r="JQ38" s="11" t="str">
        <f t="shared" si="83"/>
        <v/>
      </c>
      <c r="JR38" s="17"/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40" t="str">
        <f t="shared" si="84"/>
        <v/>
      </c>
      <c r="KM38" s="40" t="str">
        <f t="shared" si="85"/>
        <v/>
      </c>
      <c r="KN38" s="40" t="str">
        <f t="shared" si="86"/>
        <v/>
      </c>
      <c r="KO38" s="40" t="str">
        <f t="shared" si="87"/>
        <v/>
      </c>
      <c r="KP38" s="40" t="str">
        <f t="shared" si="88"/>
        <v/>
      </c>
      <c r="KQ38" s="40" t="str">
        <f t="shared" si="89"/>
        <v/>
      </c>
      <c r="KR38" s="40" t="str">
        <f t="shared" si="90"/>
        <v/>
      </c>
      <c r="KS38" s="40" t="str">
        <f t="shared" si="91"/>
        <v/>
      </c>
      <c r="KT38" s="18"/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1" t="str">
        <f t="shared" si="92"/>
        <v/>
      </c>
      <c r="LO38" s="11" t="str">
        <f t="shared" si="93"/>
        <v/>
      </c>
      <c r="LP38" s="11" t="str">
        <f t="shared" si="94"/>
        <v/>
      </c>
      <c r="LQ38" s="11" t="str">
        <f t="shared" si="95"/>
        <v/>
      </c>
      <c r="LR38" s="11" t="str">
        <f t="shared" si="96"/>
        <v/>
      </c>
      <c r="LS38" s="11" t="str">
        <f t="shared" si="97"/>
        <v/>
      </c>
      <c r="LT38" s="11" t="str">
        <f t="shared" si="98"/>
        <v/>
      </c>
      <c r="LU38" s="11" t="str">
        <f t="shared" si="99"/>
        <v/>
      </c>
      <c r="LV38" s="17"/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40" t="str">
        <f t="shared" si="100"/>
        <v/>
      </c>
      <c r="MQ38" s="40" t="str">
        <f t="shared" si="101"/>
        <v/>
      </c>
      <c r="MR38" s="40" t="str">
        <f t="shared" si="102"/>
        <v/>
      </c>
      <c r="MS38" s="40" t="str">
        <f t="shared" si="103"/>
        <v/>
      </c>
      <c r="MT38" s="40" t="str">
        <f t="shared" si="104"/>
        <v/>
      </c>
      <c r="MU38" s="40" t="str">
        <f t="shared" si="105"/>
        <v/>
      </c>
      <c r="MV38" s="40" t="str">
        <f t="shared" si="106"/>
        <v/>
      </c>
      <c r="MW38" s="40" t="str">
        <f t="shared" si="107"/>
        <v/>
      </c>
      <c r="MX38" s="18"/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1" t="str">
        <f t="shared" si="108"/>
        <v/>
      </c>
      <c r="NS38" s="11" t="str">
        <f t="shared" si="109"/>
        <v/>
      </c>
      <c r="NT38" s="11" t="str">
        <f t="shared" si="110"/>
        <v/>
      </c>
      <c r="NU38" s="11" t="str">
        <f t="shared" si="111"/>
        <v/>
      </c>
      <c r="NV38" s="11" t="str">
        <f t="shared" si="112"/>
        <v/>
      </c>
      <c r="NW38" s="11" t="str">
        <f t="shared" si="113"/>
        <v/>
      </c>
      <c r="NX38" s="11" t="str">
        <f t="shared" si="114"/>
        <v/>
      </c>
      <c r="NY38" s="11" t="str">
        <f t="shared" si="115"/>
        <v/>
      </c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40" t="str">
        <f t="shared" si="116"/>
        <v/>
      </c>
      <c r="OU38" s="40" t="str">
        <f t="shared" si="117"/>
        <v/>
      </c>
      <c r="OV38" s="40" t="str">
        <f t="shared" si="118"/>
        <v/>
      </c>
      <c r="OW38" s="40" t="str">
        <f t="shared" si="119"/>
        <v/>
      </c>
      <c r="OX38" s="40" t="str">
        <f t="shared" si="120"/>
        <v/>
      </c>
      <c r="OY38" s="40" t="str">
        <f t="shared" si="121"/>
        <v/>
      </c>
      <c r="OZ38" s="40" t="str">
        <f t="shared" si="122"/>
        <v/>
      </c>
      <c r="PA38" s="40" t="str">
        <f t="shared" si="123"/>
        <v/>
      </c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1" t="str">
        <f t="shared" si="124"/>
        <v/>
      </c>
      <c r="PW38" s="11" t="str">
        <f t="shared" si="125"/>
        <v/>
      </c>
      <c r="PX38" s="11" t="str">
        <f t="shared" si="126"/>
        <v/>
      </c>
      <c r="PY38" s="11" t="str">
        <f t="shared" si="127"/>
        <v/>
      </c>
      <c r="PZ38" s="11" t="str">
        <f t="shared" si="128"/>
        <v/>
      </c>
      <c r="QA38" s="11" t="str">
        <f t="shared" si="129"/>
        <v/>
      </c>
      <c r="QB38" s="11" t="str">
        <f t="shared" si="130"/>
        <v/>
      </c>
      <c r="QC38" s="11" t="str">
        <f t="shared" si="131"/>
        <v/>
      </c>
      <c r="QD38" s="22">
        <f t="shared" si="132"/>
        <v>8.35</v>
      </c>
      <c r="QE38" s="22">
        <f t="shared" si="133"/>
        <v>3</v>
      </c>
      <c r="QF38" s="22">
        <f t="shared" si="134"/>
        <v>0.5</v>
      </c>
      <c r="QG38" s="22">
        <f t="shared" si="135"/>
        <v>0</v>
      </c>
      <c r="QH38" s="22">
        <f t="shared" si="136"/>
        <v>9.4</v>
      </c>
      <c r="QI38" s="22">
        <f t="shared" si="137"/>
        <v>3.2</v>
      </c>
      <c r="QJ38" s="22">
        <f t="shared" si="138"/>
        <v>0.3</v>
      </c>
      <c r="QK38" s="22">
        <f t="shared" si="139"/>
        <v>0</v>
      </c>
      <c r="QL38" s="22">
        <f t="shared" si="140"/>
        <v>9.4</v>
      </c>
      <c r="QM38" s="22">
        <f t="shared" si="141"/>
        <v>2.8</v>
      </c>
      <c r="QN38" s="22">
        <f t="shared" si="142"/>
        <v>0.2</v>
      </c>
      <c r="QO38" s="22">
        <f t="shared" si="143"/>
        <v>0</v>
      </c>
      <c r="QP38" s="22">
        <f t="shared" si="144"/>
        <v>0</v>
      </c>
      <c r="QQ38" s="22">
        <f t="shared" si="145"/>
        <v>0</v>
      </c>
      <c r="QR38" s="22">
        <f t="shared" si="146"/>
        <v>0</v>
      </c>
      <c r="QS38" s="22">
        <f t="shared" si="147"/>
        <v>0</v>
      </c>
      <c r="QT38" s="22">
        <f t="shared" si="148"/>
        <v>0</v>
      </c>
      <c r="QU38" s="22">
        <f t="shared" si="149"/>
        <v>0</v>
      </c>
      <c r="QV38" s="22">
        <f t="shared" si="150"/>
        <v>0</v>
      </c>
      <c r="QW38" s="22">
        <f t="shared" si="151"/>
        <v>0</v>
      </c>
      <c r="QX38" s="27" t="s">
        <v>46</v>
      </c>
      <c r="QY38" s="40">
        <f t="shared" si="152"/>
        <v>6.2</v>
      </c>
      <c r="QZ38" s="40">
        <f t="shared" si="153"/>
        <v>23.15</v>
      </c>
      <c r="RA38" s="40">
        <f t="shared" si="154"/>
        <v>12</v>
      </c>
      <c r="RB38" s="40">
        <f t="shared" si="155"/>
        <v>9</v>
      </c>
      <c r="RC38" s="40">
        <f t="shared" si="156"/>
        <v>35.15</v>
      </c>
      <c r="RD38" s="40" t="str">
        <f t="shared" si="157"/>
        <v/>
      </c>
      <c r="RE38" s="40" t="str">
        <f t="shared" si="158"/>
        <v/>
      </c>
      <c r="RF38" s="40">
        <f t="shared" si="159"/>
        <v>35.15</v>
      </c>
    </row>
    <row r="39" spans="1:474" x14ac:dyDescent="0.2">
      <c r="A39" s="4" t="str" cm="1">
        <f t="array" ref="A39">IF(AND(J39&lt;&gt;"",J39&lt;&gt;"No DD"),SUMPRODUCT((J$4:J$42&lt;&gt;"")*(J$4:J$42&lt;&gt;"No DD")*(F$4:F$42&gt;F39))+1,IF(J39="No DD",SUMPRODUCT((J$4:J$42="No DD")*(F$4:F$42&gt;F39))+1+SUMPRODUCT((J$4:J$42&lt;&gt;"")*(J$4:J$42&lt;&gt;"No DD")),""))</f>
        <v/>
      </c>
      <c r="B39" s="4" t="str" cm="1">
        <f t="array" ref="B39">IF(AND(J39&lt;&gt;"",J39&lt;&gt;"No DD",G39=""),SUMPRODUCT((J$4:J$42&lt;&gt;"")*(J$4:J$42&lt;&gt;"No DD")*(G$4:G$42="")*(F$4:F$42&gt;F39))+1,IF(J39="No DD",SUMPRODUCT((J$4:J$42="No DD")*(F$4:F$42&gt;F39)*(G$4:G$42=""))+1+SUMPRODUCT((J$4:J$42&lt;&gt;"")*(G$4:G$42="")*(J$4:J$42&lt;&gt;"No DD")),""))</f>
        <v/>
      </c>
      <c r="C39" s="5" t="s">
        <v>161</v>
      </c>
      <c r="D39" s="4" t="s">
        <v>5</v>
      </c>
      <c r="E39" s="4">
        <v>2007</v>
      </c>
      <c r="F39" s="9">
        <f t="shared" si="0"/>
        <v>67.200004610004612</v>
      </c>
      <c r="H39" s="3" t="str">
        <f t="shared" si="1"/>
        <v/>
      </c>
      <c r="I39" s="3" t="str">
        <f t="shared" si="2"/>
        <v/>
      </c>
      <c r="J39" s="36" t="str">
        <f t="shared" si="3"/>
        <v/>
      </c>
      <c r="K39" s="3" t="str">
        <f t="shared" si="4"/>
        <v/>
      </c>
      <c r="L39" s="8">
        <f>IF(COUNT(AQ39,BT39,CW39)&gt;0,LARGE((AQ39,BT39,CW39),1),0)</f>
        <v>46.1</v>
      </c>
      <c r="M39" s="8" t="str">
        <f t="shared" si="5"/>
        <v>2024 Nationals</v>
      </c>
      <c r="N39" s="8">
        <f>IF(COUNT(AQ39,BT39,CW39)&gt;1,LARGE((AQ39,BT39,CW39),2),0)</f>
        <v>0</v>
      </c>
      <c r="O39" s="8" t="str">
        <f t="shared" si="6"/>
        <v/>
      </c>
      <c r="P39" s="8">
        <f t="shared" si="7"/>
        <v>21.1</v>
      </c>
      <c r="Q39" s="8" t="str">
        <f t="shared" si="8"/>
        <v>2024 Nationals</v>
      </c>
      <c r="R39" s="8" t="str">
        <f t="shared" si="9"/>
        <v/>
      </c>
      <c r="S39" s="11" t="str">
        <f t="shared" si="162"/>
        <v/>
      </c>
      <c r="T39" s="8" t="str">
        <f t="shared" si="163"/>
        <v/>
      </c>
      <c r="U39" s="19">
        <v>18.100000000000001</v>
      </c>
      <c r="V39" s="19">
        <v>5.2</v>
      </c>
      <c r="W39" s="19">
        <v>0</v>
      </c>
      <c r="X39" s="19">
        <v>0</v>
      </c>
      <c r="Y39" s="19">
        <v>18</v>
      </c>
      <c r="Z39" s="19">
        <v>5.6</v>
      </c>
      <c r="AA39" s="19">
        <v>0.8</v>
      </c>
      <c r="AB39" s="19">
        <v>0</v>
      </c>
      <c r="AC39" s="19">
        <v>18.8</v>
      </c>
      <c r="AD39" s="19">
        <v>4.3</v>
      </c>
      <c r="AE39" s="19">
        <v>0</v>
      </c>
      <c r="AF39" s="19">
        <v>0</v>
      </c>
      <c r="AG39" s="19">
        <v>0</v>
      </c>
      <c r="AH39" s="19">
        <v>0</v>
      </c>
      <c r="AI39" s="19">
        <v>0</v>
      </c>
      <c r="AJ39" s="19">
        <v>0</v>
      </c>
      <c r="AK39" s="19">
        <v>16.5</v>
      </c>
      <c r="AL39" s="19">
        <v>4.8</v>
      </c>
      <c r="AM39" s="19">
        <v>0.2</v>
      </c>
      <c r="AN39" s="19">
        <v>0</v>
      </c>
      <c r="AO39" s="27"/>
      <c r="AP39" s="40">
        <f t="shared" si="10"/>
        <v>10.8</v>
      </c>
      <c r="AQ39" s="40">
        <f t="shared" si="11"/>
        <v>46.1</v>
      </c>
      <c r="AR39" s="40">
        <f t="shared" si="12"/>
        <v>23.1</v>
      </c>
      <c r="AS39" s="40">
        <f t="shared" si="13"/>
        <v>15.100000000000001</v>
      </c>
      <c r="AT39" s="40">
        <f t="shared" si="14"/>
        <v>69.2</v>
      </c>
      <c r="AU39" s="40">
        <f t="shared" si="15"/>
        <v>4.8</v>
      </c>
      <c r="AV39" s="40">
        <f t="shared" si="16"/>
        <v>21.1</v>
      </c>
      <c r="AW39" s="40">
        <f t="shared" si="17"/>
        <v>90.300000000000011</v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 t="shared" si="18"/>
        <v/>
      </c>
      <c r="BT39" s="11" t="str">
        <f t="shared" si="19"/>
        <v/>
      </c>
      <c r="BU39" s="11" t="str">
        <f t="shared" si="20"/>
        <v/>
      </c>
      <c r="BV39" s="11" t="str">
        <f t="shared" si="21"/>
        <v/>
      </c>
      <c r="BW39" s="11" t="str">
        <f t="shared" si="22"/>
        <v/>
      </c>
      <c r="BX39" s="11" t="str">
        <f t="shared" si="23"/>
        <v/>
      </c>
      <c r="BY39" s="11" t="str">
        <f t="shared" si="24"/>
        <v/>
      </c>
      <c r="BZ39" s="11" t="str">
        <f t="shared" si="25"/>
        <v/>
      </c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27"/>
      <c r="CV39" s="40" t="str">
        <f t="shared" si="26"/>
        <v/>
      </c>
      <c r="CW39" s="40" t="str">
        <f t="shared" si="27"/>
        <v/>
      </c>
      <c r="CX39" s="40" t="str">
        <f t="shared" si="28"/>
        <v/>
      </c>
      <c r="CY39" s="40" t="str">
        <f t="shared" si="29"/>
        <v/>
      </c>
      <c r="CZ39" s="40" t="str">
        <f t="shared" si="30"/>
        <v/>
      </c>
      <c r="DA39" s="40" t="str">
        <f t="shared" si="31"/>
        <v/>
      </c>
      <c r="DB39" s="40" t="str">
        <f t="shared" si="32"/>
        <v/>
      </c>
      <c r="DC39" s="40" t="str">
        <f t="shared" si="33"/>
        <v/>
      </c>
      <c r="DD39" s="50" t="str">
        <f t="shared" si="34"/>
        <v/>
      </c>
      <c r="DE39" s="50" t="str">
        <f t="shared" si="35"/>
        <v/>
      </c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40" t="str">
        <f t="shared" si="36"/>
        <v/>
      </c>
      <c r="EA39" s="40" t="str">
        <f t="shared" si="37"/>
        <v/>
      </c>
      <c r="EB39" s="40" t="str">
        <f t="shared" si="38"/>
        <v/>
      </c>
      <c r="EC39" s="40" t="str">
        <f t="shared" si="39"/>
        <v/>
      </c>
      <c r="ED39" s="40" t="str">
        <f t="shared" si="40"/>
        <v/>
      </c>
      <c r="EE39" s="40" t="str">
        <f t="shared" si="41"/>
        <v/>
      </c>
      <c r="EF39" s="40" t="str">
        <f t="shared" si="42"/>
        <v/>
      </c>
      <c r="EG39" s="40" t="str">
        <f t="shared" si="43"/>
        <v/>
      </c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1" t="str">
        <f t="shared" si="44"/>
        <v/>
      </c>
      <c r="FC39" s="11" t="str">
        <f t="shared" si="45"/>
        <v/>
      </c>
      <c r="FD39" s="11" t="str">
        <f t="shared" si="46"/>
        <v/>
      </c>
      <c r="FE39" s="11" t="str">
        <f t="shared" si="47"/>
        <v/>
      </c>
      <c r="FF39" s="11" t="str">
        <f t="shared" si="48"/>
        <v/>
      </c>
      <c r="FG39" s="11" t="str">
        <f t="shared" si="49"/>
        <v/>
      </c>
      <c r="FH39" s="11" t="str">
        <f t="shared" si="50"/>
        <v/>
      </c>
      <c r="FI39" s="11" t="str">
        <f t="shared" si="51"/>
        <v/>
      </c>
      <c r="FJ39" s="17"/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40" t="str">
        <f t="shared" si="52"/>
        <v/>
      </c>
      <c r="GE39" s="40" t="str">
        <f t="shared" si="53"/>
        <v/>
      </c>
      <c r="GF39" s="40" t="str">
        <f t="shared" si="54"/>
        <v/>
      </c>
      <c r="GG39" s="40" t="str">
        <f t="shared" si="55"/>
        <v/>
      </c>
      <c r="GH39" s="40" t="str">
        <f t="shared" si="56"/>
        <v/>
      </c>
      <c r="GI39" s="40" t="str">
        <f t="shared" si="57"/>
        <v/>
      </c>
      <c r="GJ39" s="40" t="str">
        <f t="shared" si="58"/>
        <v/>
      </c>
      <c r="GK39" s="40" t="str">
        <f t="shared" si="59"/>
        <v/>
      </c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1" t="str">
        <f t="shared" si="60"/>
        <v/>
      </c>
      <c r="HG39" s="11" t="str">
        <f t="shared" si="61"/>
        <v/>
      </c>
      <c r="HH39" s="11" t="str">
        <f t="shared" si="62"/>
        <v/>
      </c>
      <c r="HI39" s="11" t="str">
        <f t="shared" si="63"/>
        <v/>
      </c>
      <c r="HJ39" s="11" t="str">
        <f t="shared" si="64"/>
        <v/>
      </c>
      <c r="HK39" s="11" t="str">
        <f t="shared" si="65"/>
        <v/>
      </c>
      <c r="HL39" s="11" t="str">
        <f t="shared" si="66"/>
        <v/>
      </c>
      <c r="HM39" s="11" t="str">
        <f t="shared" si="67"/>
        <v/>
      </c>
      <c r="HN39" s="17"/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40" t="str">
        <f t="shared" si="68"/>
        <v/>
      </c>
      <c r="II39" s="40" t="str">
        <f t="shared" si="69"/>
        <v/>
      </c>
      <c r="IJ39" s="40" t="str">
        <f t="shared" si="70"/>
        <v/>
      </c>
      <c r="IK39" s="40" t="str">
        <f t="shared" si="71"/>
        <v/>
      </c>
      <c r="IL39" s="40" t="str">
        <f t="shared" si="72"/>
        <v/>
      </c>
      <c r="IM39" s="40" t="str">
        <f t="shared" si="73"/>
        <v/>
      </c>
      <c r="IN39" s="40" t="str">
        <f t="shared" si="74"/>
        <v/>
      </c>
      <c r="IO39" s="40" t="str">
        <f t="shared" si="75"/>
        <v/>
      </c>
      <c r="IP39" s="18"/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1" t="str">
        <f t="shared" si="76"/>
        <v/>
      </c>
      <c r="JK39" s="11" t="str">
        <f t="shared" si="77"/>
        <v/>
      </c>
      <c r="JL39" s="11" t="str">
        <f t="shared" si="78"/>
        <v/>
      </c>
      <c r="JM39" s="11" t="str">
        <f t="shared" si="79"/>
        <v/>
      </c>
      <c r="JN39" s="11" t="str">
        <f t="shared" si="80"/>
        <v/>
      </c>
      <c r="JO39" s="11" t="str">
        <f t="shared" si="81"/>
        <v/>
      </c>
      <c r="JP39" s="11" t="str">
        <f t="shared" si="82"/>
        <v/>
      </c>
      <c r="JQ39" s="11" t="str">
        <f t="shared" si="83"/>
        <v/>
      </c>
      <c r="JR39" s="17"/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40" t="str">
        <f t="shared" si="84"/>
        <v/>
      </c>
      <c r="KM39" s="40" t="str">
        <f t="shared" si="85"/>
        <v/>
      </c>
      <c r="KN39" s="40" t="str">
        <f t="shared" si="86"/>
        <v/>
      </c>
      <c r="KO39" s="40" t="str">
        <f t="shared" si="87"/>
        <v/>
      </c>
      <c r="KP39" s="40" t="str">
        <f t="shared" si="88"/>
        <v/>
      </c>
      <c r="KQ39" s="40" t="str">
        <f t="shared" si="89"/>
        <v/>
      </c>
      <c r="KR39" s="40" t="str">
        <f t="shared" si="90"/>
        <v/>
      </c>
      <c r="KS39" s="40" t="str">
        <f t="shared" si="91"/>
        <v/>
      </c>
      <c r="KT39" s="18"/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1" t="str">
        <f t="shared" si="92"/>
        <v/>
      </c>
      <c r="LO39" s="11" t="str">
        <f t="shared" si="93"/>
        <v/>
      </c>
      <c r="LP39" s="11" t="str">
        <f t="shared" si="94"/>
        <v/>
      </c>
      <c r="LQ39" s="11" t="str">
        <f t="shared" si="95"/>
        <v/>
      </c>
      <c r="LR39" s="11" t="str">
        <f t="shared" si="96"/>
        <v/>
      </c>
      <c r="LS39" s="11" t="str">
        <f t="shared" si="97"/>
        <v/>
      </c>
      <c r="LT39" s="11" t="str">
        <f t="shared" si="98"/>
        <v/>
      </c>
      <c r="LU39" s="11" t="str">
        <f t="shared" si="99"/>
        <v/>
      </c>
      <c r="LV39" s="17"/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40" t="str">
        <f t="shared" si="100"/>
        <v/>
      </c>
      <c r="MQ39" s="40" t="str">
        <f t="shared" si="101"/>
        <v/>
      </c>
      <c r="MR39" s="40" t="str">
        <f t="shared" si="102"/>
        <v/>
      </c>
      <c r="MS39" s="40" t="str">
        <f t="shared" si="103"/>
        <v/>
      </c>
      <c r="MT39" s="40" t="str">
        <f t="shared" si="104"/>
        <v/>
      </c>
      <c r="MU39" s="40" t="str">
        <f t="shared" si="105"/>
        <v/>
      </c>
      <c r="MV39" s="40" t="str">
        <f t="shared" si="106"/>
        <v/>
      </c>
      <c r="MW39" s="40" t="str">
        <f t="shared" si="107"/>
        <v/>
      </c>
      <c r="MX39" s="18"/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1" t="str">
        <f t="shared" si="108"/>
        <v/>
      </c>
      <c r="NS39" s="11" t="str">
        <f t="shared" si="109"/>
        <v/>
      </c>
      <c r="NT39" s="11" t="str">
        <f t="shared" si="110"/>
        <v/>
      </c>
      <c r="NU39" s="11" t="str">
        <f t="shared" si="111"/>
        <v/>
      </c>
      <c r="NV39" s="11" t="str">
        <f t="shared" si="112"/>
        <v/>
      </c>
      <c r="NW39" s="11" t="str">
        <f t="shared" si="113"/>
        <v/>
      </c>
      <c r="NX39" s="11" t="str">
        <f t="shared" si="114"/>
        <v/>
      </c>
      <c r="NY39" s="11" t="str">
        <f t="shared" si="115"/>
        <v/>
      </c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40" t="str">
        <f t="shared" si="116"/>
        <v/>
      </c>
      <c r="OU39" s="40" t="str">
        <f t="shared" si="117"/>
        <v/>
      </c>
      <c r="OV39" s="40" t="str">
        <f t="shared" si="118"/>
        <v/>
      </c>
      <c r="OW39" s="40" t="str">
        <f t="shared" si="119"/>
        <v/>
      </c>
      <c r="OX39" s="40" t="str">
        <f t="shared" si="120"/>
        <v/>
      </c>
      <c r="OY39" s="40" t="str">
        <f t="shared" si="121"/>
        <v/>
      </c>
      <c r="OZ39" s="40" t="str">
        <f t="shared" si="122"/>
        <v/>
      </c>
      <c r="PA39" s="40" t="str">
        <f t="shared" si="123"/>
        <v/>
      </c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1" t="str">
        <f t="shared" si="124"/>
        <v/>
      </c>
      <c r="PW39" s="11" t="str">
        <f t="shared" si="125"/>
        <v/>
      </c>
      <c r="PX39" s="11" t="str">
        <f t="shared" si="126"/>
        <v/>
      </c>
      <c r="PY39" s="11" t="str">
        <f t="shared" si="127"/>
        <v/>
      </c>
      <c r="PZ39" s="11" t="str">
        <f t="shared" si="128"/>
        <v/>
      </c>
      <c r="QA39" s="11" t="str">
        <f t="shared" si="129"/>
        <v/>
      </c>
      <c r="QB39" s="11" t="str">
        <f t="shared" si="130"/>
        <v/>
      </c>
      <c r="QC39" s="11" t="str">
        <f t="shared" si="131"/>
        <v/>
      </c>
      <c r="QD39" s="22">
        <f t="shared" si="132"/>
        <v>0</v>
      </c>
      <c r="QE39" s="22">
        <f t="shared" si="133"/>
        <v>0</v>
      </c>
      <c r="QF39" s="22">
        <f t="shared" si="134"/>
        <v>0</v>
      </c>
      <c r="QG39" s="22">
        <f t="shared" si="135"/>
        <v>0</v>
      </c>
      <c r="QH39" s="22">
        <f t="shared" si="136"/>
        <v>0</v>
      </c>
      <c r="QI39" s="22">
        <f t="shared" si="137"/>
        <v>0</v>
      </c>
      <c r="QJ39" s="22">
        <f t="shared" si="138"/>
        <v>0</v>
      </c>
      <c r="QK39" s="22">
        <f t="shared" si="139"/>
        <v>0</v>
      </c>
      <c r="QL39" s="22">
        <f t="shared" si="140"/>
        <v>0</v>
      </c>
      <c r="QM39" s="22">
        <f t="shared" si="141"/>
        <v>0</v>
      </c>
      <c r="QN39" s="22">
        <f t="shared" si="142"/>
        <v>0</v>
      </c>
      <c r="QO39" s="22">
        <f t="shared" si="143"/>
        <v>0</v>
      </c>
      <c r="QP39" s="22">
        <f t="shared" si="144"/>
        <v>0</v>
      </c>
      <c r="QQ39" s="22">
        <f t="shared" si="145"/>
        <v>0</v>
      </c>
      <c r="QR39" s="22">
        <f t="shared" si="146"/>
        <v>0</v>
      </c>
      <c r="QS39" s="22">
        <f t="shared" si="147"/>
        <v>0</v>
      </c>
      <c r="QT39" s="22">
        <f t="shared" si="148"/>
        <v>0</v>
      </c>
      <c r="QU39" s="22">
        <f t="shared" si="149"/>
        <v>0</v>
      </c>
      <c r="QV39" s="22">
        <f t="shared" si="150"/>
        <v>0</v>
      </c>
      <c r="QW39" s="22">
        <f t="shared" si="151"/>
        <v>0</v>
      </c>
      <c r="QX39" s="27" t="s">
        <v>46</v>
      </c>
      <c r="QY39" s="40" t="str">
        <f t="shared" si="152"/>
        <v/>
      </c>
      <c r="QZ39" s="40" t="str">
        <f t="shared" si="153"/>
        <v/>
      </c>
      <c r="RA39" s="40" t="str">
        <f t="shared" si="154"/>
        <v/>
      </c>
      <c r="RB39" s="40" t="str">
        <f t="shared" si="155"/>
        <v/>
      </c>
      <c r="RC39" s="40" t="str">
        <f t="shared" si="156"/>
        <v/>
      </c>
      <c r="RD39" s="40" t="str">
        <f t="shared" si="157"/>
        <v/>
      </c>
      <c r="RE39" s="40" t="str">
        <f t="shared" si="158"/>
        <v/>
      </c>
      <c r="RF39" s="40" t="str">
        <f t="shared" si="159"/>
        <v/>
      </c>
    </row>
    <row r="40" spans="1:474" x14ac:dyDescent="0.2">
      <c r="A40" s="4" t="str" cm="1">
        <f t="array" ref="A40">IF(AND(J40&lt;&gt;"",J40&lt;&gt;"No DD"),SUMPRODUCT((J$4:J$42&lt;&gt;"")*(J$4:J$42&lt;&gt;"No DD")*(F$4:F$42&gt;F40))+1,IF(J40="No DD",SUMPRODUCT((J$4:J$42="No DD")*(F$4:F$42&gt;F40))+1+SUMPRODUCT((J$4:J$42&lt;&gt;"")*(J$4:J$42&lt;&gt;"No DD")),""))</f>
        <v/>
      </c>
      <c r="B40" s="4" t="str" cm="1">
        <f t="array" ref="B40">IF(AND(J40&lt;&gt;"",J40&lt;&gt;"No DD",G40=""),SUMPRODUCT((J$4:J$42&lt;&gt;"")*(J$4:J$42&lt;&gt;"No DD")*(G$4:G$42="")*(F$4:F$42&gt;F40))+1,IF(J40="No DD",SUMPRODUCT((J$4:J$42="No DD")*(F$4:F$42&gt;F40)*(G$4:G$42=""))+1+SUMPRODUCT((J$4:J$42&lt;&gt;"")*(G$4:G$42="")*(J$4:J$42&lt;&gt;"No DD")),""))</f>
        <v/>
      </c>
      <c r="C40" s="5" t="s">
        <v>195</v>
      </c>
      <c r="D40" s="4" t="s">
        <v>3</v>
      </c>
      <c r="E40" s="4">
        <v>2006</v>
      </c>
      <c r="F40" s="9">
        <f t="shared" si="0"/>
        <v>45.600004560004557</v>
      </c>
      <c r="H40" s="3" t="str">
        <f t="shared" si="1"/>
        <v/>
      </c>
      <c r="I40" s="3" t="str">
        <f t="shared" si="2"/>
        <v/>
      </c>
      <c r="J40" s="36" t="str">
        <f t="shared" si="3"/>
        <v/>
      </c>
      <c r="K40" s="3" t="str">
        <f t="shared" si="4"/>
        <v/>
      </c>
      <c r="L40" s="8">
        <f>IF(COUNT(AQ40,BT40,CW40)&gt;0,LARGE((AQ40,BT40,CW40),1),0)</f>
        <v>45.599999999999994</v>
      </c>
      <c r="M40" s="8" t="str">
        <f t="shared" si="5"/>
        <v>2024 Nationals</v>
      </c>
      <c r="N40" s="8">
        <f>IF(COUNT(AQ40,BT40,CW40)&gt;1,LARGE((AQ40,BT40,CW40),2),0)</f>
        <v>0</v>
      </c>
      <c r="O40" s="8" t="str">
        <f t="shared" si="6"/>
        <v/>
      </c>
      <c r="P40" s="8">
        <f t="shared" si="7"/>
        <v>0</v>
      </c>
      <c r="Q40" s="8" t="str">
        <f t="shared" si="8"/>
        <v/>
      </c>
      <c r="R40" s="8" t="str">
        <f t="shared" si="9"/>
        <v/>
      </c>
      <c r="S40" s="11" t="str">
        <f t="shared" si="162"/>
        <v/>
      </c>
      <c r="T40" s="8" t="str">
        <f t="shared" si="163"/>
        <v/>
      </c>
      <c r="U40" s="19">
        <v>19</v>
      </c>
      <c r="V40" s="19">
        <v>3.5</v>
      </c>
      <c r="W40" s="19">
        <v>0</v>
      </c>
      <c r="X40" s="19">
        <v>0</v>
      </c>
      <c r="Y40" s="19">
        <v>18.3</v>
      </c>
      <c r="Z40" s="19">
        <v>4.8</v>
      </c>
      <c r="AA40" s="19">
        <v>0</v>
      </c>
      <c r="AB40" s="19">
        <v>0</v>
      </c>
      <c r="AC40" s="19">
        <v>18.2</v>
      </c>
      <c r="AD40" s="19">
        <v>2</v>
      </c>
      <c r="AE40" s="19">
        <v>1</v>
      </c>
      <c r="AF40" s="19">
        <v>0</v>
      </c>
      <c r="AG40" s="19"/>
      <c r="AH40" s="19"/>
      <c r="AI40" s="19"/>
      <c r="AJ40" s="19"/>
      <c r="AK40" s="19"/>
      <c r="AL40" s="19"/>
      <c r="AM40" s="19"/>
      <c r="AN40" s="19"/>
      <c r="AO40" s="27"/>
      <c r="AP40" s="40">
        <f t="shared" si="10"/>
        <v>8.3000000000000007</v>
      </c>
      <c r="AQ40" s="40">
        <f t="shared" si="11"/>
        <v>45.599999999999994</v>
      </c>
      <c r="AR40" s="40">
        <f t="shared" si="12"/>
        <v>19.2</v>
      </c>
      <c r="AS40" s="40">
        <f t="shared" si="13"/>
        <v>10.3</v>
      </c>
      <c r="AT40" s="40">
        <f t="shared" si="14"/>
        <v>64.8</v>
      </c>
      <c r="AU40" s="40" t="str">
        <f t="shared" si="15"/>
        <v/>
      </c>
      <c r="AV40" s="40" t="str">
        <f t="shared" si="16"/>
        <v/>
      </c>
      <c r="AW40" s="40">
        <f t="shared" si="17"/>
        <v>64.8</v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28"/>
      <c r="BS40" s="11" t="str">
        <f t="shared" si="18"/>
        <v/>
      </c>
      <c r="BT40" s="11" t="str">
        <f t="shared" si="19"/>
        <v/>
      </c>
      <c r="BU40" s="11" t="str">
        <f t="shared" si="20"/>
        <v/>
      </c>
      <c r="BV40" s="11" t="str">
        <f t="shared" si="21"/>
        <v/>
      </c>
      <c r="BW40" s="11" t="str">
        <f t="shared" si="22"/>
        <v/>
      </c>
      <c r="BX40" s="11" t="str">
        <f t="shared" si="23"/>
        <v/>
      </c>
      <c r="BY40" s="11" t="str">
        <f t="shared" si="24"/>
        <v/>
      </c>
      <c r="BZ40" s="11" t="str">
        <f t="shared" si="25"/>
        <v/>
      </c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27"/>
      <c r="CV40" s="40" t="str">
        <f t="shared" si="26"/>
        <v/>
      </c>
      <c r="CW40" s="40" t="str">
        <f t="shared" si="27"/>
        <v/>
      </c>
      <c r="CX40" s="40" t="str">
        <f t="shared" si="28"/>
        <v/>
      </c>
      <c r="CY40" s="40" t="str">
        <f t="shared" si="29"/>
        <v/>
      </c>
      <c r="CZ40" s="40" t="str">
        <f t="shared" si="30"/>
        <v/>
      </c>
      <c r="DA40" s="40" t="str">
        <f t="shared" si="31"/>
        <v/>
      </c>
      <c r="DB40" s="40" t="str">
        <f t="shared" si="32"/>
        <v/>
      </c>
      <c r="DC40" s="40" t="str">
        <f t="shared" si="33"/>
        <v/>
      </c>
      <c r="DD40" s="50" t="str">
        <f t="shared" si="34"/>
        <v/>
      </c>
      <c r="DE40" s="50" t="str">
        <f t="shared" si="35"/>
        <v/>
      </c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40" t="str">
        <f t="shared" si="36"/>
        <v/>
      </c>
      <c r="EA40" s="40" t="str">
        <f t="shared" si="37"/>
        <v/>
      </c>
      <c r="EB40" s="40" t="str">
        <f t="shared" si="38"/>
        <v/>
      </c>
      <c r="EC40" s="40" t="str">
        <f t="shared" si="39"/>
        <v/>
      </c>
      <c r="ED40" s="40" t="str">
        <f t="shared" si="40"/>
        <v/>
      </c>
      <c r="EE40" s="40" t="str">
        <f t="shared" si="41"/>
        <v/>
      </c>
      <c r="EF40" s="40" t="str">
        <f t="shared" si="42"/>
        <v/>
      </c>
      <c r="EG40" s="40" t="str">
        <f t="shared" si="43"/>
        <v/>
      </c>
      <c r="EH40" s="18"/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1" t="str">
        <f t="shared" si="44"/>
        <v/>
      </c>
      <c r="FC40" s="11" t="str">
        <f t="shared" si="45"/>
        <v/>
      </c>
      <c r="FD40" s="11" t="str">
        <f t="shared" si="46"/>
        <v/>
      </c>
      <c r="FE40" s="11" t="str">
        <f t="shared" si="47"/>
        <v/>
      </c>
      <c r="FF40" s="11" t="str">
        <f t="shared" si="48"/>
        <v/>
      </c>
      <c r="FG40" s="11" t="str">
        <f t="shared" si="49"/>
        <v/>
      </c>
      <c r="FH40" s="11" t="str">
        <f t="shared" si="50"/>
        <v/>
      </c>
      <c r="FI40" s="11" t="str">
        <f t="shared" si="51"/>
        <v/>
      </c>
      <c r="FJ40" s="17"/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40" t="str">
        <f t="shared" si="52"/>
        <v/>
      </c>
      <c r="GE40" s="40" t="str">
        <f t="shared" si="53"/>
        <v/>
      </c>
      <c r="GF40" s="40" t="str">
        <f t="shared" si="54"/>
        <v/>
      </c>
      <c r="GG40" s="40" t="str">
        <f t="shared" si="55"/>
        <v/>
      </c>
      <c r="GH40" s="40" t="str">
        <f t="shared" si="56"/>
        <v/>
      </c>
      <c r="GI40" s="40" t="str">
        <f t="shared" si="57"/>
        <v/>
      </c>
      <c r="GJ40" s="40" t="str">
        <f t="shared" si="58"/>
        <v/>
      </c>
      <c r="GK40" s="40" t="str">
        <f t="shared" si="59"/>
        <v/>
      </c>
      <c r="GL40" s="18"/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1" t="str">
        <f t="shared" si="60"/>
        <v/>
      </c>
      <c r="HG40" s="11" t="str">
        <f t="shared" si="61"/>
        <v/>
      </c>
      <c r="HH40" s="11" t="str">
        <f t="shared" si="62"/>
        <v/>
      </c>
      <c r="HI40" s="11" t="str">
        <f t="shared" si="63"/>
        <v/>
      </c>
      <c r="HJ40" s="11" t="str">
        <f t="shared" si="64"/>
        <v/>
      </c>
      <c r="HK40" s="11" t="str">
        <f t="shared" si="65"/>
        <v/>
      </c>
      <c r="HL40" s="11" t="str">
        <f t="shared" si="66"/>
        <v/>
      </c>
      <c r="HM40" s="11" t="str">
        <f t="shared" si="67"/>
        <v/>
      </c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40" t="str">
        <f t="shared" si="68"/>
        <v/>
      </c>
      <c r="II40" s="40" t="str">
        <f t="shared" si="69"/>
        <v/>
      </c>
      <c r="IJ40" s="40" t="str">
        <f t="shared" si="70"/>
        <v/>
      </c>
      <c r="IK40" s="40" t="str">
        <f t="shared" si="71"/>
        <v/>
      </c>
      <c r="IL40" s="40" t="str">
        <f t="shared" si="72"/>
        <v/>
      </c>
      <c r="IM40" s="40" t="str">
        <f t="shared" si="73"/>
        <v/>
      </c>
      <c r="IN40" s="40" t="str">
        <f t="shared" si="74"/>
        <v/>
      </c>
      <c r="IO40" s="40" t="str">
        <f t="shared" si="75"/>
        <v/>
      </c>
      <c r="IP40" s="18"/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1" t="str">
        <f t="shared" si="76"/>
        <v/>
      </c>
      <c r="JK40" s="11" t="str">
        <f t="shared" si="77"/>
        <v/>
      </c>
      <c r="JL40" s="11" t="str">
        <f t="shared" si="78"/>
        <v/>
      </c>
      <c r="JM40" s="11" t="str">
        <f t="shared" si="79"/>
        <v/>
      </c>
      <c r="JN40" s="11" t="str">
        <f t="shared" si="80"/>
        <v/>
      </c>
      <c r="JO40" s="11" t="str">
        <f t="shared" si="81"/>
        <v/>
      </c>
      <c r="JP40" s="11" t="str">
        <f t="shared" si="82"/>
        <v/>
      </c>
      <c r="JQ40" s="11" t="str">
        <f t="shared" si="83"/>
        <v/>
      </c>
      <c r="JR40" s="17"/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40" t="str">
        <f t="shared" si="84"/>
        <v/>
      </c>
      <c r="KM40" s="40" t="str">
        <f t="shared" si="85"/>
        <v/>
      </c>
      <c r="KN40" s="40" t="str">
        <f t="shared" si="86"/>
        <v/>
      </c>
      <c r="KO40" s="40" t="str">
        <f t="shared" si="87"/>
        <v/>
      </c>
      <c r="KP40" s="40" t="str">
        <f t="shared" si="88"/>
        <v/>
      </c>
      <c r="KQ40" s="40" t="str">
        <f t="shared" si="89"/>
        <v/>
      </c>
      <c r="KR40" s="40" t="str">
        <f t="shared" si="90"/>
        <v/>
      </c>
      <c r="KS40" s="40" t="str">
        <f t="shared" si="91"/>
        <v/>
      </c>
      <c r="KT40" s="18"/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1" t="str">
        <f t="shared" si="92"/>
        <v/>
      </c>
      <c r="LO40" s="11" t="str">
        <f t="shared" si="93"/>
        <v/>
      </c>
      <c r="LP40" s="11" t="str">
        <f t="shared" si="94"/>
        <v/>
      </c>
      <c r="LQ40" s="11" t="str">
        <f t="shared" si="95"/>
        <v/>
      </c>
      <c r="LR40" s="11" t="str">
        <f t="shared" si="96"/>
        <v/>
      </c>
      <c r="LS40" s="11" t="str">
        <f t="shared" si="97"/>
        <v/>
      </c>
      <c r="LT40" s="11" t="str">
        <f t="shared" si="98"/>
        <v/>
      </c>
      <c r="LU40" s="11" t="str">
        <f t="shared" si="99"/>
        <v/>
      </c>
      <c r="LV40" s="17"/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40" t="str">
        <f t="shared" si="100"/>
        <v/>
      </c>
      <c r="MQ40" s="40" t="str">
        <f t="shared" si="101"/>
        <v/>
      </c>
      <c r="MR40" s="40" t="str">
        <f t="shared" si="102"/>
        <v/>
      </c>
      <c r="MS40" s="40" t="str">
        <f t="shared" si="103"/>
        <v/>
      </c>
      <c r="MT40" s="40" t="str">
        <f t="shared" si="104"/>
        <v/>
      </c>
      <c r="MU40" s="40" t="str">
        <f t="shared" si="105"/>
        <v/>
      </c>
      <c r="MV40" s="40" t="str">
        <f t="shared" si="106"/>
        <v/>
      </c>
      <c r="MW40" s="40" t="str">
        <f t="shared" si="107"/>
        <v/>
      </c>
      <c r="MX40" s="18"/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1" t="str">
        <f t="shared" si="108"/>
        <v/>
      </c>
      <c r="NS40" s="11" t="str">
        <f t="shared" si="109"/>
        <v/>
      </c>
      <c r="NT40" s="11" t="str">
        <f t="shared" si="110"/>
        <v/>
      </c>
      <c r="NU40" s="11" t="str">
        <f t="shared" si="111"/>
        <v/>
      </c>
      <c r="NV40" s="11" t="str">
        <f t="shared" si="112"/>
        <v/>
      </c>
      <c r="NW40" s="11" t="str">
        <f t="shared" si="113"/>
        <v/>
      </c>
      <c r="NX40" s="11" t="str">
        <f t="shared" si="114"/>
        <v/>
      </c>
      <c r="NY40" s="11" t="str">
        <f t="shared" si="115"/>
        <v/>
      </c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40" t="str">
        <f t="shared" si="116"/>
        <v/>
      </c>
      <c r="OU40" s="40" t="str">
        <f t="shared" si="117"/>
        <v/>
      </c>
      <c r="OV40" s="40" t="str">
        <f t="shared" si="118"/>
        <v/>
      </c>
      <c r="OW40" s="40" t="str">
        <f t="shared" si="119"/>
        <v/>
      </c>
      <c r="OX40" s="40" t="str">
        <f t="shared" si="120"/>
        <v/>
      </c>
      <c r="OY40" s="40" t="str">
        <f t="shared" si="121"/>
        <v/>
      </c>
      <c r="OZ40" s="40" t="str">
        <f t="shared" si="122"/>
        <v/>
      </c>
      <c r="PA40" s="40" t="str">
        <f t="shared" si="123"/>
        <v/>
      </c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1" t="str">
        <f t="shared" si="124"/>
        <v/>
      </c>
      <c r="PW40" s="11" t="str">
        <f t="shared" si="125"/>
        <v/>
      </c>
      <c r="PX40" s="11" t="str">
        <f t="shared" si="126"/>
        <v/>
      </c>
      <c r="PY40" s="11" t="str">
        <f t="shared" si="127"/>
        <v/>
      </c>
      <c r="PZ40" s="11" t="str">
        <f t="shared" si="128"/>
        <v/>
      </c>
      <c r="QA40" s="11" t="str">
        <f t="shared" si="129"/>
        <v/>
      </c>
      <c r="QB40" s="11" t="str">
        <f t="shared" si="130"/>
        <v/>
      </c>
      <c r="QC40" s="11" t="str">
        <f t="shared" si="131"/>
        <v/>
      </c>
      <c r="QD40" s="22">
        <f t="shared" si="132"/>
        <v>0</v>
      </c>
      <c r="QE40" s="22">
        <f t="shared" si="133"/>
        <v>0</v>
      </c>
      <c r="QF40" s="22">
        <f t="shared" si="134"/>
        <v>0</v>
      </c>
      <c r="QG40" s="22">
        <f t="shared" si="135"/>
        <v>0</v>
      </c>
      <c r="QH40" s="22">
        <f t="shared" si="136"/>
        <v>0</v>
      </c>
      <c r="QI40" s="22">
        <f t="shared" si="137"/>
        <v>0</v>
      </c>
      <c r="QJ40" s="22">
        <f t="shared" si="138"/>
        <v>0</v>
      </c>
      <c r="QK40" s="22">
        <f t="shared" si="139"/>
        <v>0</v>
      </c>
      <c r="QL40" s="22">
        <f t="shared" si="140"/>
        <v>0</v>
      </c>
      <c r="QM40" s="22">
        <f t="shared" si="141"/>
        <v>0</v>
      </c>
      <c r="QN40" s="22">
        <f t="shared" si="142"/>
        <v>0</v>
      </c>
      <c r="QO40" s="22">
        <f t="shared" si="143"/>
        <v>0</v>
      </c>
      <c r="QP40" s="22">
        <f t="shared" si="144"/>
        <v>0</v>
      </c>
      <c r="QQ40" s="22">
        <f t="shared" si="145"/>
        <v>0</v>
      </c>
      <c r="QR40" s="22">
        <f t="shared" si="146"/>
        <v>0</v>
      </c>
      <c r="QS40" s="22">
        <f t="shared" si="147"/>
        <v>0</v>
      </c>
      <c r="QT40" s="22">
        <f t="shared" si="148"/>
        <v>0</v>
      </c>
      <c r="QU40" s="22">
        <f t="shared" si="149"/>
        <v>0</v>
      </c>
      <c r="QV40" s="22">
        <f t="shared" si="150"/>
        <v>0</v>
      </c>
      <c r="QW40" s="22">
        <f t="shared" si="151"/>
        <v>0</v>
      </c>
      <c r="QX40" s="27" t="s">
        <v>46</v>
      </c>
      <c r="QY40" s="40" t="str">
        <f t="shared" si="152"/>
        <v/>
      </c>
      <c r="QZ40" s="40" t="str">
        <f t="shared" si="153"/>
        <v/>
      </c>
      <c r="RA40" s="40" t="str">
        <f t="shared" si="154"/>
        <v/>
      </c>
      <c r="RB40" s="40" t="str">
        <f t="shared" si="155"/>
        <v/>
      </c>
      <c r="RC40" s="40" t="str">
        <f t="shared" si="156"/>
        <v/>
      </c>
      <c r="RD40" s="40" t="str">
        <f t="shared" si="157"/>
        <v/>
      </c>
      <c r="RE40" s="40" t="str">
        <f t="shared" si="158"/>
        <v/>
      </c>
      <c r="RF40" s="40" t="str">
        <f t="shared" si="159"/>
        <v/>
      </c>
    </row>
    <row r="41" spans="1:474" x14ac:dyDescent="0.2">
      <c r="A41" s="4" t="str" cm="1">
        <f t="array" ref="A41">IF(AND(J41&lt;&gt;"",J41&lt;&gt;"No DD"),SUMPRODUCT((J$4:J$42&lt;&gt;"")*(J$4:J$42&lt;&gt;"No DD")*(F$4:F$42&gt;F41))+1,IF(J41="No DD",SUMPRODUCT((J$4:J$42="No DD")*(F$4:F$42&gt;F41))+1+SUMPRODUCT((J$4:J$42&lt;&gt;"")*(J$4:J$42&lt;&gt;"No DD")),""))</f>
        <v/>
      </c>
      <c r="B41" s="4" t="str" cm="1">
        <f t="array" ref="B41">IF(AND(J41&lt;&gt;"",J41&lt;&gt;"No DD",G41=""),SUMPRODUCT((J$4:J$42&lt;&gt;"")*(J$4:J$42&lt;&gt;"No DD")*(G$4:G$42="")*(F$4:F$42&gt;F41))+1,IF(J41="No DD",SUMPRODUCT((J$4:J$42="No DD")*(F$4:F$42&gt;F41)*(G$4:G$42=""))+1+SUMPRODUCT((J$4:J$42&lt;&gt;"")*(G$4:G$42="")*(J$4:J$42&lt;&gt;"No DD")),""))</f>
        <v/>
      </c>
      <c r="C41" s="5" t="s">
        <v>119</v>
      </c>
      <c r="D41" s="4" t="s">
        <v>3</v>
      </c>
      <c r="E41" s="4">
        <v>2006</v>
      </c>
      <c r="F41" s="9">
        <f t="shared" si="0"/>
        <v>44.200004420004426</v>
      </c>
      <c r="G41" s="64"/>
      <c r="H41" s="3" t="str">
        <f t="shared" si="1"/>
        <v/>
      </c>
      <c r="I41" s="3" t="str">
        <f t="shared" si="2"/>
        <v/>
      </c>
      <c r="J41" s="36" t="str">
        <f t="shared" si="3"/>
        <v/>
      </c>
      <c r="K41" s="3" t="str">
        <f t="shared" si="4"/>
        <v/>
      </c>
      <c r="L41" s="8">
        <f>IF(COUNT(AQ41,BT41,CW41)&gt;0,LARGE((AQ41,BT41,CW41),1),0)</f>
        <v>44.2</v>
      </c>
      <c r="M41" s="8" t="str">
        <f t="shared" si="5"/>
        <v>2024 Nationals</v>
      </c>
      <c r="N41" s="8">
        <f>IF(COUNT(AQ41,BT41,CW41)&gt;1,LARGE((AQ41,BT41,CW41),2),0)</f>
        <v>0</v>
      </c>
      <c r="O41" s="8" t="str">
        <f t="shared" si="6"/>
        <v/>
      </c>
      <c r="P41" s="8">
        <f t="shared" si="7"/>
        <v>0</v>
      </c>
      <c r="Q41" s="8" t="str">
        <f t="shared" si="8"/>
        <v/>
      </c>
      <c r="R41" s="8" t="str">
        <f t="shared" si="9"/>
        <v/>
      </c>
      <c r="S41" s="11" t="str">
        <f t="shared" si="162"/>
        <v/>
      </c>
      <c r="T41" s="8" t="str">
        <f t="shared" si="163"/>
        <v/>
      </c>
      <c r="U41" s="19">
        <v>17.399999999999999</v>
      </c>
      <c r="V41" s="19">
        <v>3.6</v>
      </c>
      <c r="W41" s="19">
        <v>0</v>
      </c>
      <c r="X41" s="19">
        <v>0</v>
      </c>
      <c r="Y41" s="19">
        <v>18</v>
      </c>
      <c r="Z41" s="19">
        <v>6</v>
      </c>
      <c r="AA41" s="19">
        <v>0.8</v>
      </c>
      <c r="AB41" s="19">
        <v>0</v>
      </c>
      <c r="AC41" s="19">
        <v>18.600000000000001</v>
      </c>
      <c r="AD41" s="19">
        <v>2.8</v>
      </c>
      <c r="AE41" s="19">
        <v>0.5</v>
      </c>
      <c r="AF41" s="19">
        <v>0</v>
      </c>
      <c r="AG41" s="19"/>
      <c r="AH41" s="19"/>
      <c r="AI41" s="19"/>
      <c r="AJ41" s="19"/>
      <c r="AK41" s="19"/>
      <c r="AL41" s="19"/>
      <c r="AM41" s="19"/>
      <c r="AN41" s="19"/>
      <c r="AO41" s="27"/>
      <c r="AP41" s="40">
        <f t="shared" si="10"/>
        <v>9.6</v>
      </c>
      <c r="AQ41" s="40">
        <f t="shared" si="11"/>
        <v>44.2</v>
      </c>
      <c r="AR41" s="40">
        <f t="shared" si="12"/>
        <v>20.900000000000002</v>
      </c>
      <c r="AS41" s="40">
        <f t="shared" si="13"/>
        <v>12.399999999999999</v>
      </c>
      <c r="AT41" s="40">
        <f t="shared" si="14"/>
        <v>65.100000000000009</v>
      </c>
      <c r="AU41" s="40" t="str">
        <f t="shared" si="15"/>
        <v/>
      </c>
      <c r="AV41" s="40" t="str">
        <f t="shared" si="16"/>
        <v/>
      </c>
      <c r="AW41" s="40">
        <f t="shared" si="17"/>
        <v>65.100000000000009</v>
      </c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28"/>
      <c r="BS41" s="11" t="str">
        <f t="shared" si="18"/>
        <v/>
      </c>
      <c r="BT41" s="11" t="str">
        <f t="shared" si="19"/>
        <v/>
      </c>
      <c r="BU41" s="11" t="str">
        <f t="shared" si="20"/>
        <v/>
      </c>
      <c r="BV41" s="11" t="str">
        <f t="shared" si="21"/>
        <v/>
      </c>
      <c r="BW41" s="11" t="str">
        <f t="shared" si="22"/>
        <v/>
      </c>
      <c r="BX41" s="11" t="str">
        <f t="shared" si="23"/>
        <v/>
      </c>
      <c r="BY41" s="11" t="str">
        <f t="shared" si="24"/>
        <v/>
      </c>
      <c r="BZ41" s="11" t="str">
        <f t="shared" si="25"/>
        <v/>
      </c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27"/>
      <c r="CV41" s="40" t="str">
        <f t="shared" si="26"/>
        <v/>
      </c>
      <c r="CW41" s="40" t="str">
        <f t="shared" si="27"/>
        <v/>
      </c>
      <c r="CX41" s="40" t="str">
        <f t="shared" si="28"/>
        <v/>
      </c>
      <c r="CY41" s="40" t="str">
        <f t="shared" si="29"/>
        <v/>
      </c>
      <c r="CZ41" s="40" t="str">
        <f t="shared" si="30"/>
        <v/>
      </c>
      <c r="DA41" s="40" t="str">
        <f t="shared" si="31"/>
        <v/>
      </c>
      <c r="DB41" s="40" t="str">
        <f t="shared" si="32"/>
        <v/>
      </c>
      <c r="DC41" s="40" t="str">
        <f t="shared" si="33"/>
        <v/>
      </c>
      <c r="DD41" s="50" t="str">
        <f t="shared" si="34"/>
        <v/>
      </c>
      <c r="DE41" s="50" t="str">
        <f t="shared" si="35"/>
        <v/>
      </c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40" t="str">
        <f t="shared" si="36"/>
        <v/>
      </c>
      <c r="EA41" s="40" t="str">
        <f t="shared" si="37"/>
        <v/>
      </c>
      <c r="EB41" s="40" t="str">
        <f t="shared" si="38"/>
        <v/>
      </c>
      <c r="EC41" s="40" t="str">
        <f t="shared" si="39"/>
        <v/>
      </c>
      <c r="ED41" s="40" t="str">
        <f t="shared" si="40"/>
        <v/>
      </c>
      <c r="EE41" s="40" t="str">
        <f t="shared" si="41"/>
        <v/>
      </c>
      <c r="EF41" s="40" t="str">
        <f t="shared" si="42"/>
        <v/>
      </c>
      <c r="EG41" s="40" t="str">
        <f t="shared" si="43"/>
        <v/>
      </c>
      <c r="EH41" s="18"/>
      <c r="EI41" s="18"/>
      <c r="EJ41" s="18"/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1" t="str">
        <f t="shared" si="44"/>
        <v/>
      </c>
      <c r="FC41" s="11" t="str">
        <f t="shared" si="45"/>
        <v/>
      </c>
      <c r="FD41" s="11" t="str">
        <f t="shared" si="46"/>
        <v/>
      </c>
      <c r="FE41" s="11" t="str">
        <f t="shared" si="47"/>
        <v/>
      </c>
      <c r="FF41" s="11" t="str">
        <f t="shared" si="48"/>
        <v/>
      </c>
      <c r="FG41" s="11" t="str">
        <f t="shared" si="49"/>
        <v/>
      </c>
      <c r="FH41" s="11" t="str">
        <f t="shared" si="50"/>
        <v/>
      </c>
      <c r="FI41" s="11" t="str">
        <f t="shared" si="51"/>
        <v/>
      </c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40" t="str">
        <f t="shared" si="52"/>
        <v/>
      </c>
      <c r="GE41" s="40" t="str">
        <f t="shared" si="53"/>
        <v/>
      </c>
      <c r="GF41" s="40" t="str">
        <f t="shared" si="54"/>
        <v/>
      </c>
      <c r="GG41" s="40" t="str">
        <f t="shared" si="55"/>
        <v/>
      </c>
      <c r="GH41" s="40" t="str">
        <f t="shared" si="56"/>
        <v/>
      </c>
      <c r="GI41" s="40" t="str">
        <f t="shared" si="57"/>
        <v/>
      </c>
      <c r="GJ41" s="40" t="str">
        <f t="shared" si="58"/>
        <v/>
      </c>
      <c r="GK41" s="40" t="str">
        <f t="shared" si="59"/>
        <v/>
      </c>
      <c r="GL41" s="18"/>
      <c r="GM41" s="18"/>
      <c r="GN41" s="18"/>
      <c r="GO41" s="18"/>
      <c r="GP41" s="18"/>
      <c r="GQ41" s="18"/>
      <c r="GR41" s="18"/>
      <c r="GS41" s="18"/>
      <c r="GT41" s="18"/>
      <c r="GU41" s="18"/>
      <c r="GV41" s="18"/>
      <c r="GW41" s="18"/>
      <c r="GX41" s="18"/>
      <c r="GY41" s="18"/>
      <c r="GZ41" s="18"/>
      <c r="HA41" s="18"/>
      <c r="HB41" s="18"/>
      <c r="HC41" s="18"/>
      <c r="HD41" s="18"/>
      <c r="HE41" s="18"/>
      <c r="HF41" s="11" t="str">
        <f t="shared" si="60"/>
        <v/>
      </c>
      <c r="HG41" s="11" t="str">
        <f t="shared" si="61"/>
        <v/>
      </c>
      <c r="HH41" s="11" t="str">
        <f t="shared" si="62"/>
        <v/>
      </c>
      <c r="HI41" s="11" t="str">
        <f t="shared" si="63"/>
        <v/>
      </c>
      <c r="HJ41" s="11" t="str">
        <f t="shared" si="64"/>
        <v/>
      </c>
      <c r="HK41" s="11" t="str">
        <f t="shared" si="65"/>
        <v/>
      </c>
      <c r="HL41" s="11" t="str">
        <f t="shared" si="66"/>
        <v/>
      </c>
      <c r="HM41" s="11" t="str">
        <f t="shared" si="67"/>
        <v/>
      </c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40" t="str">
        <f t="shared" si="68"/>
        <v/>
      </c>
      <c r="II41" s="40" t="str">
        <f t="shared" si="69"/>
        <v/>
      </c>
      <c r="IJ41" s="40" t="str">
        <f t="shared" si="70"/>
        <v/>
      </c>
      <c r="IK41" s="40" t="str">
        <f t="shared" si="71"/>
        <v/>
      </c>
      <c r="IL41" s="40" t="str">
        <f t="shared" si="72"/>
        <v/>
      </c>
      <c r="IM41" s="40" t="str">
        <f t="shared" si="73"/>
        <v/>
      </c>
      <c r="IN41" s="40" t="str">
        <f t="shared" si="74"/>
        <v/>
      </c>
      <c r="IO41" s="40" t="str">
        <f t="shared" si="75"/>
        <v/>
      </c>
      <c r="IP41" s="18"/>
      <c r="IQ41" s="18"/>
      <c r="IR41" s="18"/>
      <c r="IS41" s="18"/>
      <c r="IT41" s="18"/>
      <c r="IU41" s="18"/>
      <c r="IV41" s="18"/>
      <c r="IW41" s="18"/>
      <c r="IX41" s="18"/>
      <c r="IY41" s="18"/>
      <c r="IZ41" s="18"/>
      <c r="JA41" s="18"/>
      <c r="JB41" s="18"/>
      <c r="JC41" s="18"/>
      <c r="JD41" s="18"/>
      <c r="JE41" s="18"/>
      <c r="JF41" s="18"/>
      <c r="JG41" s="18"/>
      <c r="JH41" s="18"/>
      <c r="JI41" s="18"/>
      <c r="JJ41" s="11" t="str">
        <f t="shared" si="76"/>
        <v/>
      </c>
      <c r="JK41" s="11" t="str">
        <f t="shared" si="77"/>
        <v/>
      </c>
      <c r="JL41" s="11" t="str">
        <f t="shared" si="78"/>
        <v/>
      </c>
      <c r="JM41" s="11" t="str">
        <f t="shared" si="79"/>
        <v/>
      </c>
      <c r="JN41" s="11" t="str">
        <f t="shared" si="80"/>
        <v/>
      </c>
      <c r="JO41" s="11" t="str">
        <f t="shared" si="81"/>
        <v/>
      </c>
      <c r="JP41" s="11" t="str">
        <f t="shared" si="82"/>
        <v/>
      </c>
      <c r="JQ41" s="11" t="str">
        <f t="shared" si="83"/>
        <v/>
      </c>
      <c r="JR41" s="17"/>
      <c r="JS41" s="17"/>
      <c r="JT41" s="17"/>
      <c r="JU41" s="17"/>
      <c r="JV41" s="17"/>
      <c r="JW41" s="17"/>
      <c r="JX41" s="17"/>
      <c r="JY41" s="17"/>
      <c r="JZ41" s="17"/>
      <c r="KA41" s="17"/>
      <c r="KB41" s="17"/>
      <c r="KC41" s="17"/>
      <c r="KD41" s="17"/>
      <c r="KE41" s="17"/>
      <c r="KF41" s="17"/>
      <c r="KG41" s="17"/>
      <c r="KH41" s="17"/>
      <c r="KI41" s="17"/>
      <c r="KJ41" s="17"/>
      <c r="KK41" s="17"/>
      <c r="KL41" s="40" t="str">
        <f t="shared" si="84"/>
        <v/>
      </c>
      <c r="KM41" s="40" t="str">
        <f t="shared" si="85"/>
        <v/>
      </c>
      <c r="KN41" s="40" t="str">
        <f t="shared" si="86"/>
        <v/>
      </c>
      <c r="KO41" s="40" t="str">
        <f t="shared" si="87"/>
        <v/>
      </c>
      <c r="KP41" s="40" t="str">
        <f t="shared" si="88"/>
        <v/>
      </c>
      <c r="KQ41" s="40" t="str">
        <f t="shared" si="89"/>
        <v/>
      </c>
      <c r="KR41" s="40" t="str">
        <f t="shared" si="90"/>
        <v/>
      </c>
      <c r="KS41" s="40" t="str">
        <f t="shared" si="91"/>
        <v/>
      </c>
      <c r="KT41" s="18"/>
      <c r="KU41" s="18"/>
      <c r="KV41" s="18"/>
      <c r="KW41" s="18"/>
      <c r="KX41" s="18"/>
      <c r="KY41" s="18"/>
      <c r="KZ41" s="18"/>
      <c r="LA41" s="18"/>
      <c r="LB41" s="18"/>
      <c r="LC41" s="18"/>
      <c r="LD41" s="18"/>
      <c r="LE41" s="18"/>
      <c r="LF41" s="18"/>
      <c r="LG41" s="18"/>
      <c r="LH41" s="18"/>
      <c r="LI41" s="18"/>
      <c r="LJ41" s="18"/>
      <c r="LK41" s="18"/>
      <c r="LL41" s="18"/>
      <c r="LM41" s="18"/>
      <c r="LN41" s="11" t="str">
        <f t="shared" si="92"/>
        <v/>
      </c>
      <c r="LO41" s="11" t="str">
        <f t="shared" si="93"/>
        <v/>
      </c>
      <c r="LP41" s="11" t="str">
        <f t="shared" si="94"/>
        <v/>
      </c>
      <c r="LQ41" s="11" t="str">
        <f t="shared" si="95"/>
        <v/>
      </c>
      <c r="LR41" s="11" t="str">
        <f t="shared" si="96"/>
        <v/>
      </c>
      <c r="LS41" s="11" t="str">
        <f t="shared" si="97"/>
        <v/>
      </c>
      <c r="LT41" s="11" t="str">
        <f t="shared" si="98"/>
        <v/>
      </c>
      <c r="LU41" s="11" t="str">
        <f t="shared" si="99"/>
        <v/>
      </c>
      <c r="LV41" s="17"/>
      <c r="LW41" s="17"/>
      <c r="LX41" s="17"/>
      <c r="LY41" s="17"/>
      <c r="LZ41" s="17"/>
      <c r="MA41" s="17"/>
      <c r="MB41" s="17"/>
      <c r="MC41" s="17"/>
      <c r="MD41" s="17"/>
      <c r="ME41" s="17"/>
      <c r="MF41" s="17"/>
      <c r="MG41" s="17"/>
      <c r="MH41" s="17"/>
      <c r="MI41" s="17"/>
      <c r="MJ41" s="17"/>
      <c r="MK41" s="17"/>
      <c r="ML41" s="17"/>
      <c r="MM41" s="17"/>
      <c r="MN41" s="17"/>
      <c r="MO41" s="17"/>
      <c r="MP41" s="40" t="str">
        <f t="shared" si="100"/>
        <v/>
      </c>
      <c r="MQ41" s="40" t="str">
        <f t="shared" si="101"/>
        <v/>
      </c>
      <c r="MR41" s="40" t="str">
        <f t="shared" si="102"/>
        <v/>
      </c>
      <c r="MS41" s="40" t="str">
        <f t="shared" si="103"/>
        <v/>
      </c>
      <c r="MT41" s="40" t="str">
        <f t="shared" si="104"/>
        <v/>
      </c>
      <c r="MU41" s="40" t="str">
        <f t="shared" si="105"/>
        <v/>
      </c>
      <c r="MV41" s="40" t="str">
        <f t="shared" si="106"/>
        <v/>
      </c>
      <c r="MW41" s="40" t="str">
        <f t="shared" si="107"/>
        <v/>
      </c>
      <c r="MX41" s="18"/>
      <c r="MY41" s="18"/>
      <c r="MZ41" s="18"/>
      <c r="NA41" s="18"/>
      <c r="NB41" s="18"/>
      <c r="NC41" s="18"/>
      <c r="ND41" s="18"/>
      <c r="NE41" s="18"/>
      <c r="NF41" s="18"/>
      <c r="NG41" s="18"/>
      <c r="NH41" s="18"/>
      <c r="NI41" s="18"/>
      <c r="NJ41" s="18"/>
      <c r="NK41" s="18"/>
      <c r="NL41" s="18"/>
      <c r="NM41" s="18"/>
      <c r="NN41" s="18"/>
      <c r="NO41" s="18"/>
      <c r="NP41" s="18"/>
      <c r="NQ41" s="18"/>
      <c r="NR41" s="11" t="str">
        <f t="shared" si="108"/>
        <v/>
      </c>
      <c r="NS41" s="11" t="str">
        <f t="shared" si="109"/>
        <v/>
      </c>
      <c r="NT41" s="11" t="str">
        <f t="shared" si="110"/>
        <v/>
      </c>
      <c r="NU41" s="11" t="str">
        <f t="shared" si="111"/>
        <v/>
      </c>
      <c r="NV41" s="11" t="str">
        <f t="shared" si="112"/>
        <v/>
      </c>
      <c r="NW41" s="11" t="str">
        <f t="shared" si="113"/>
        <v/>
      </c>
      <c r="NX41" s="11" t="str">
        <f t="shared" si="114"/>
        <v/>
      </c>
      <c r="NY41" s="11" t="str">
        <f t="shared" si="115"/>
        <v/>
      </c>
      <c r="NZ41" s="17"/>
      <c r="OA41" s="17"/>
      <c r="OB41" s="17"/>
      <c r="OC41" s="17"/>
      <c r="OD41" s="17"/>
      <c r="OE41" s="17"/>
      <c r="OF41" s="17"/>
      <c r="OG41" s="17"/>
      <c r="OH41" s="17"/>
      <c r="OI41" s="17"/>
      <c r="OJ41" s="17"/>
      <c r="OK41" s="17"/>
      <c r="OL41" s="17"/>
      <c r="OM41" s="17"/>
      <c r="ON41" s="17"/>
      <c r="OO41" s="17"/>
      <c r="OP41" s="17"/>
      <c r="OQ41" s="17"/>
      <c r="OR41" s="17"/>
      <c r="OS41" s="17"/>
      <c r="OT41" s="40" t="str">
        <f t="shared" si="116"/>
        <v/>
      </c>
      <c r="OU41" s="40" t="str">
        <f t="shared" si="117"/>
        <v/>
      </c>
      <c r="OV41" s="40" t="str">
        <f t="shared" si="118"/>
        <v/>
      </c>
      <c r="OW41" s="40" t="str">
        <f t="shared" si="119"/>
        <v/>
      </c>
      <c r="OX41" s="40" t="str">
        <f t="shared" si="120"/>
        <v/>
      </c>
      <c r="OY41" s="40" t="str">
        <f t="shared" si="121"/>
        <v/>
      </c>
      <c r="OZ41" s="40" t="str">
        <f t="shared" si="122"/>
        <v/>
      </c>
      <c r="PA41" s="40" t="str">
        <f t="shared" si="123"/>
        <v/>
      </c>
      <c r="PB41" s="18"/>
      <c r="PC41" s="18"/>
      <c r="PD41" s="18"/>
      <c r="PE41" s="18"/>
      <c r="PF41" s="18"/>
      <c r="PG41" s="18"/>
      <c r="PH41" s="18"/>
      <c r="PI41" s="18"/>
      <c r="PJ41" s="18"/>
      <c r="PK41" s="18"/>
      <c r="PL41" s="18"/>
      <c r="PM41" s="18"/>
      <c r="PN41" s="18"/>
      <c r="PO41" s="18"/>
      <c r="PP41" s="18"/>
      <c r="PQ41" s="18"/>
      <c r="PR41" s="18"/>
      <c r="PS41" s="18"/>
      <c r="PT41" s="18"/>
      <c r="PU41" s="18"/>
      <c r="PV41" s="11" t="str">
        <f t="shared" si="124"/>
        <v/>
      </c>
      <c r="PW41" s="11" t="str">
        <f t="shared" si="125"/>
        <v/>
      </c>
      <c r="PX41" s="11" t="str">
        <f t="shared" si="126"/>
        <v/>
      </c>
      <c r="PY41" s="11" t="str">
        <f t="shared" si="127"/>
        <v/>
      </c>
      <c r="PZ41" s="11" t="str">
        <f t="shared" si="128"/>
        <v/>
      </c>
      <c r="QA41" s="11" t="str">
        <f t="shared" si="129"/>
        <v/>
      </c>
      <c r="QB41" s="11" t="str">
        <f t="shared" si="130"/>
        <v/>
      </c>
      <c r="QC41" s="11" t="str">
        <f t="shared" si="131"/>
        <v/>
      </c>
      <c r="QD41" s="22">
        <f t="shared" si="132"/>
        <v>0</v>
      </c>
      <c r="QE41" s="22">
        <f t="shared" si="133"/>
        <v>0</v>
      </c>
      <c r="QF41" s="22">
        <f t="shared" si="134"/>
        <v>0</v>
      </c>
      <c r="QG41" s="22">
        <f t="shared" si="135"/>
        <v>0</v>
      </c>
      <c r="QH41" s="22">
        <f t="shared" si="136"/>
        <v>0</v>
      </c>
      <c r="QI41" s="22">
        <f t="shared" si="137"/>
        <v>0</v>
      </c>
      <c r="QJ41" s="22">
        <f t="shared" si="138"/>
        <v>0</v>
      </c>
      <c r="QK41" s="22">
        <f t="shared" si="139"/>
        <v>0</v>
      </c>
      <c r="QL41" s="22">
        <f t="shared" si="140"/>
        <v>0</v>
      </c>
      <c r="QM41" s="22">
        <f t="shared" si="141"/>
        <v>0</v>
      </c>
      <c r="QN41" s="22">
        <f t="shared" si="142"/>
        <v>0</v>
      </c>
      <c r="QO41" s="22">
        <f t="shared" si="143"/>
        <v>0</v>
      </c>
      <c r="QP41" s="22">
        <f t="shared" si="144"/>
        <v>0</v>
      </c>
      <c r="QQ41" s="22">
        <f t="shared" si="145"/>
        <v>0</v>
      </c>
      <c r="QR41" s="22">
        <f t="shared" si="146"/>
        <v>0</v>
      </c>
      <c r="QS41" s="22">
        <f t="shared" si="147"/>
        <v>0</v>
      </c>
      <c r="QT41" s="22">
        <f t="shared" si="148"/>
        <v>0</v>
      </c>
      <c r="QU41" s="22">
        <f t="shared" si="149"/>
        <v>0</v>
      </c>
      <c r="QV41" s="22">
        <f t="shared" si="150"/>
        <v>0</v>
      </c>
      <c r="QW41" s="22">
        <f t="shared" si="151"/>
        <v>0</v>
      </c>
      <c r="QX41" s="27" t="s">
        <v>46</v>
      </c>
      <c r="QY41" s="40" t="str">
        <f t="shared" si="152"/>
        <v/>
      </c>
      <c r="QZ41" s="40" t="str">
        <f t="shared" si="153"/>
        <v/>
      </c>
      <c r="RA41" s="40" t="str">
        <f t="shared" si="154"/>
        <v/>
      </c>
      <c r="RB41" s="40" t="str">
        <f t="shared" si="155"/>
        <v/>
      </c>
      <c r="RC41" s="40" t="str">
        <f t="shared" si="156"/>
        <v/>
      </c>
      <c r="RD41" s="40" t="str">
        <f t="shared" si="157"/>
        <v/>
      </c>
      <c r="RE41" s="40" t="str">
        <f t="shared" si="158"/>
        <v/>
      </c>
      <c r="RF41" s="40" t="str">
        <f t="shared" si="159"/>
        <v/>
      </c>
    </row>
    <row r="42" spans="1:474" ht="17" x14ac:dyDescent="0.2">
      <c r="R42" s="10"/>
      <c r="S42" s="10"/>
      <c r="T42" s="10"/>
    </row>
    <row r="43" spans="1:474" ht="17" x14ac:dyDescent="0.2">
      <c r="R43" s="10"/>
      <c r="S43" s="10"/>
      <c r="T43" s="10"/>
    </row>
    <row r="44" spans="1:474" ht="17" x14ac:dyDescent="0.2">
      <c r="C44" s="23" t="s">
        <v>44</v>
      </c>
      <c r="R44" s="10"/>
      <c r="S44" s="10"/>
      <c r="T44" s="10"/>
      <c r="AP44" s="4"/>
      <c r="AW44" s="42">
        <v>11.2</v>
      </c>
      <c r="BS44" s="4"/>
      <c r="BZ44" s="42">
        <v>11.2</v>
      </c>
      <c r="CV44" s="4"/>
      <c r="DC44" s="42">
        <v>14.8</v>
      </c>
      <c r="DZ44" s="4"/>
      <c r="EG44" s="42">
        <v>11.2</v>
      </c>
      <c r="FB44" s="4"/>
      <c r="FI44" s="42">
        <v>11.2</v>
      </c>
      <c r="GD44" s="4"/>
      <c r="GK44" s="42">
        <v>11.2</v>
      </c>
      <c r="HF44" s="4"/>
      <c r="HM44" s="42">
        <v>11.2</v>
      </c>
      <c r="IH44" s="4"/>
      <c r="IO44" s="42">
        <v>14.8</v>
      </c>
      <c r="JJ44" s="4"/>
      <c r="JQ44" s="42">
        <v>14.8</v>
      </c>
      <c r="KL44" s="4"/>
      <c r="KS44" s="42">
        <v>14.8</v>
      </c>
      <c r="LN44" s="4"/>
      <c r="LU44" s="42">
        <v>14.8</v>
      </c>
      <c r="MP44" s="4"/>
      <c r="MW44" s="42">
        <v>14.8</v>
      </c>
      <c r="NR44" s="4"/>
      <c r="NY44" s="42">
        <v>14.8</v>
      </c>
      <c r="OT44" s="4"/>
      <c r="PA44" s="42">
        <v>14.8</v>
      </c>
      <c r="PV44" s="4"/>
      <c r="QC44" s="42">
        <v>14.8</v>
      </c>
    </row>
    <row r="45" spans="1:474" ht="17" hidden="1" x14ac:dyDescent="0.2">
      <c r="C45" s="30" t="s">
        <v>43</v>
      </c>
      <c r="R45" s="10"/>
      <c r="S45" s="10"/>
      <c r="T45" s="10"/>
      <c r="AP45" s="4"/>
      <c r="AW45" s="51">
        <v>1000</v>
      </c>
      <c r="BS45" s="4"/>
      <c r="BZ45" s="51">
        <v>1000</v>
      </c>
      <c r="CV45" s="4"/>
      <c r="DC45" s="51">
        <v>1000</v>
      </c>
      <c r="DZ45" s="4"/>
      <c r="EG45" s="51">
        <v>1000</v>
      </c>
      <c r="FB45" s="4"/>
      <c r="FI45" s="51">
        <v>1000</v>
      </c>
      <c r="GD45" s="4"/>
      <c r="GK45" s="51">
        <v>1000</v>
      </c>
      <c r="HF45" s="4"/>
      <c r="HM45" s="51">
        <v>1000</v>
      </c>
      <c r="IH45" s="4"/>
      <c r="IO45" s="51">
        <v>1000</v>
      </c>
      <c r="JJ45" s="4"/>
      <c r="JQ45" s="51">
        <v>1000</v>
      </c>
      <c r="KL45" s="4"/>
      <c r="KS45" s="51">
        <v>1000</v>
      </c>
      <c r="LN45" s="4"/>
      <c r="LU45" s="51">
        <v>1000</v>
      </c>
      <c r="MP45" s="4"/>
      <c r="MW45" s="51">
        <v>1000</v>
      </c>
      <c r="NR45" s="4"/>
      <c r="NY45" s="51">
        <v>1000</v>
      </c>
      <c r="OT45" s="4"/>
      <c r="PA45" s="51">
        <v>1000</v>
      </c>
      <c r="PV45" s="4"/>
      <c r="QC45" s="51">
        <v>1000</v>
      </c>
    </row>
    <row r="46" spans="1:474" ht="17" hidden="1" x14ac:dyDescent="0.2">
      <c r="A46" s="5"/>
      <c r="B46" s="5"/>
      <c r="C46" s="31" t="s">
        <v>55</v>
      </c>
      <c r="D46" s="20"/>
      <c r="R46" s="10"/>
      <c r="S46" s="10"/>
      <c r="T46" s="10"/>
      <c r="AP46" s="4"/>
      <c r="AW46" s="43">
        <v>1000</v>
      </c>
      <c r="BS46" s="4"/>
      <c r="BZ46" s="43">
        <v>1000</v>
      </c>
      <c r="CV46" s="4"/>
      <c r="DC46" s="43">
        <v>1000</v>
      </c>
      <c r="DZ46" s="4"/>
      <c r="EG46" s="43">
        <v>1000</v>
      </c>
      <c r="FB46" s="4"/>
      <c r="FI46" s="43">
        <v>1000</v>
      </c>
      <c r="GD46" s="4"/>
      <c r="GK46" s="43">
        <v>1000</v>
      </c>
      <c r="HF46" s="4"/>
      <c r="HM46" s="43">
        <v>1000</v>
      </c>
      <c r="IH46" s="4"/>
      <c r="IO46" s="43">
        <v>1000</v>
      </c>
      <c r="JJ46" s="4"/>
      <c r="JQ46" s="43">
        <v>1000</v>
      </c>
      <c r="KL46" s="4"/>
      <c r="KS46" s="43">
        <v>1000</v>
      </c>
      <c r="LN46" s="4"/>
      <c r="LU46" s="43">
        <v>1000</v>
      </c>
      <c r="MP46" s="4"/>
      <c r="MW46" s="43">
        <v>1000</v>
      </c>
      <c r="NR46" s="4"/>
      <c r="NY46" s="43">
        <v>1000</v>
      </c>
      <c r="OT46" s="4"/>
      <c r="PA46" s="43">
        <v>1000</v>
      </c>
      <c r="PV46" s="4"/>
      <c r="QC46" s="43">
        <v>1000</v>
      </c>
    </row>
    <row r="47" spans="1:474" ht="17" hidden="1" x14ac:dyDescent="0.2">
      <c r="A47" s="5"/>
      <c r="B47" s="5"/>
      <c r="C47" s="35" t="s">
        <v>60</v>
      </c>
      <c r="D47" s="20"/>
      <c r="R47" s="10"/>
      <c r="S47" s="10"/>
      <c r="T47" s="10"/>
      <c r="AP47" s="4"/>
      <c r="AW47" s="62">
        <v>1000</v>
      </c>
      <c r="BS47" s="4"/>
      <c r="BZ47" s="62">
        <v>1000</v>
      </c>
      <c r="CV47" s="4"/>
      <c r="DC47" s="62">
        <v>1000</v>
      </c>
      <c r="DZ47" s="4"/>
      <c r="EG47" s="62">
        <v>1000</v>
      </c>
      <c r="FB47" s="4"/>
      <c r="FI47" s="62">
        <v>1000</v>
      </c>
      <c r="GD47" s="4"/>
      <c r="GK47" s="62">
        <v>1000</v>
      </c>
      <c r="HF47" s="4"/>
      <c r="HM47" s="62">
        <v>1000</v>
      </c>
      <c r="IH47" s="4"/>
      <c r="IO47" s="62">
        <v>1000</v>
      </c>
      <c r="JJ47" s="4"/>
      <c r="JQ47" s="62">
        <v>1000</v>
      </c>
      <c r="KL47" s="4"/>
      <c r="KS47" s="62">
        <v>1000</v>
      </c>
      <c r="LN47" s="4"/>
      <c r="LU47" s="62">
        <v>1000</v>
      </c>
      <c r="MP47" s="4"/>
      <c r="MW47" s="62">
        <v>1000</v>
      </c>
      <c r="NR47" s="4"/>
      <c r="NY47" s="62">
        <v>1000</v>
      </c>
      <c r="OT47" s="4"/>
      <c r="PA47" s="62">
        <v>1000</v>
      </c>
      <c r="PV47" s="4"/>
      <c r="QC47" s="62">
        <v>1000</v>
      </c>
    </row>
    <row r="48" spans="1:474" ht="17" x14ac:dyDescent="0.2">
      <c r="A48" s="5"/>
      <c r="B48" s="5"/>
      <c r="C48" s="34" t="s">
        <v>41</v>
      </c>
      <c r="D48" s="20"/>
      <c r="R48" s="10"/>
      <c r="S48" s="10"/>
      <c r="T48" s="10"/>
      <c r="AP48" s="4"/>
      <c r="AW48" s="63">
        <v>48</v>
      </c>
      <c r="BS48" s="4"/>
      <c r="BZ48" s="63">
        <v>48</v>
      </c>
      <c r="CV48" s="4"/>
      <c r="DC48" s="63">
        <v>51.6</v>
      </c>
      <c r="DZ48" s="4"/>
      <c r="EG48" s="63">
        <v>48</v>
      </c>
      <c r="FB48" s="4"/>
      <c r="FI48" s="63">
        <v>48</v>
      </c>
      <c r="GD48" s="4"/>
      <c r="GK48" s="63">
        <v>48</v>
      </c>
      <c r="HF48" s="4"/>
      <c r="HM48" s="63">
        <v>48</v>
      </c>
      <c r="IH48" s="4"/>
      <c r="IO48" s="63">
        <v>51.6</v>
      </c>
      <c r="JJ48" s="4"/>
      <c r="JQ48" s="63">
        <v>51.6</v>
      </c>
      <c r="KL48" s="4"/>
      <c r="KS48" s="63">
        <v>51.6</v>
      </c>
      <c r="LN48" s="4"/>
      <c r="LU48" s="63">
        <v>51.6</v>
      </c>
      <c r="MP48" s="4"/>
      <c r="MW48" s="63">
        <v>51.6</v>
      </c>
      <c r="NR48" s="4"/>
      <c r="NY48" s="63">
        <v>51.6</v>
      </c>
      <c r="OT48" s="4"/>
      <c r="PA48" s="63">
        <v>51.6</v>
      </c>
      <c r="PV48" s="4"/>
      <c r="QC48" s="63">
        <v>51.6</v>
      </c>
    </row>
    <row r="49" spans="1:455" ht="17" hidden="1" x14ac:dyDescent="0.2">
      <c r="A49" s="5"/>
      <c r="B49" s="5"/>
      <c r="C49" s="24" t="s">
        <v>42</v>
      </c>
      <c r="D49" s="20"/>
      <c r="R49" s="10"/>
      <c r="S49" s="10"/>
      <c r="T49" s="10"/>
      <c r="AP49" s="4"/>
      <c r="AW49" s="46">
        <v>1000</v>
      </c>
      <c r="BS49" s="4"/>
      <c r="BZ49" s="46">
        <v>1000</v>
      </c>
      <c r="CV49" s="4"/>
      <c r="DC49" s="46">
        <v>1000</v>
      </c>
      <c r="DZ49" s="4"/>
      <c r="EG49" s="46">
        <v>1000</v>
      </c>
      <c r="FB49" s="4"/>
      <c r="FI49" s="46">
        <v>1000</v>
      </c>
      <c r="GD49" s="4"/>
      <c r="GK49" s="46">
        <v>1000</v>
      </c>
      <c r="HF49" s="4"/>
      <c r="HM49" s="46">
        <v>1000</v>
      </c>
      <c r="IH49" s="4"/>
      <c r="IO49" s="46">
        <v>1000</v>
      </c>
      <c r="JJ49" s="4"/>
      <c r="JQ49" s="46">
        <v>1000</v>
      </c>
      <c r="KL49" s="4"/>
      <c r="KS49" s="46">
        <v>1000</v>
      </c>
      <c r="LN49" s="4"/>
      <c r="LU49" s="46">
        <v>1000</v>
      </c>
      <c r="MP49" s="4"/>
      <c r="MW49" s="46">
        <v>1000</v>
      </c>
      <c r="NR49" s="4"/>
      <c r="NY49" s="46">
        <v>1000</v>
      </c>
      <c r="OT49" s="4"/>
      <c r="PA49" s="46">
        <v>1000</v>
      </c>
      <c r="PV49" s="4"/>
      <c r="QC49" s="46">
        <v>1000</v>
      </c>
    </row>
    <row r="50" spans="1:455" ht="17" hidden="1" x14ac:dyDescent="0.2">
      <c r="A50" s="5"/>
      <c r="B50" s="5"/>
      <c r="C50" s="33" t="s">
        <v>54</v>
      </c>
      <c r="D50" s="20"/>
      <c r="R50" s="10"/>
      <c r="S50" s="10"/>
      <c r="T50" s="10"/>
      <c r="AP50" s="4"/>
      <c r="AW50" s="47">
        <v>1000</v>
      </c>
      <c r="BS50" s="4"/>
      <c r="BZ50" s="47">
        <v>1000</v>
      </c>
      <c r="CV50" s="4"/>
      <c r="DC50" s="47">
        <v>1000</v>
      </c>
      <c r="DZ50" s="4"/>
      <c r="EG50" s="47">
        <v>1000</v>
      </c>
      <c r="FB50" s="4"/>
      <c r="FI50" s="47">
        <v>1000</v>
      </c>
      <c r="GD50" s="4"/>
      <c r="GK50" s="47">
        <v>1000</v>
      </c>
      <c r="HF50" s="4"/>
      <c r="HM50" s="47">
        <v>1000</v>
      </c>
      <c r="IH50" s="4"/>
      <c r="IO50" s="47">
        <v>1000</v>
      </c>
      <c r="JJ50" s="4"/>
      <c r="JQ50" s="47">
        <v>1000</v>
      </c>
      <c r="KL50" s="4"/>
      <c r="KS50" s="47">
        <v>1000</v>
      </c>
      <c r="LN50" s="4"/>
      <c r="LU50" s="47">
        <v>1000</v>
      </c>
      <c r="MP50" s="4"/>
      <c r="MW50" s="47">
        <v>1000</v>
      </c>
      <c r="NR50" s="4"/>
      <c r="NY50" s="47">
        <v>1000</v>
      </c>
      <c r="OT50" s="4"/>
      <c r="PA50" s="47">
        <v>1000</v>
      </c>
      <c r="PV50" s="4"/>
      <c r="QC50" s="47">
        <v>1000</v>
      </c>
    </row>
    <row r="51" spans="1:455" ht="17" hidden="1" x14ac:dyDescent="0.2">
      <c r="A51" s="5"/>
      <c r="B51" s="5"/>
      <c r="C51" s="25" t="s">
        <v>27</v>
      </c>
      <c r="D51" s="20"/>
      <c r="R51" s="10"/>
      <c r="S51" s="10"/>
      <c r="T51" s="10"/>
      <c r="AP51" s="4"/>
      <c r="AW51" s="48">
        <v>1000</v>
      </c>
      <c r="BS51" s="4"/>
      <c r="BZ51" s="48">
        <v>1000</v>
      </c>
      <c r="CV51" s="4"/>
      <c r="DC51" s="48">
        <v>1000</v>
      </c>
      <c r="DZ51" s="4"/>
      <c r="EG51" s="48">
        <v>1000</v>
      </c>
      <c r="FB51" s="4"/>
      <c r="FI51" s="48">
        <v>1000</v>
      </c>
      <c r="GD51" s="4"/>
      <c r="GK51" s="48">
        <v>1000</v>
      </c>
      <c r="HF51" s="4"/>
      <c r="HM51" s="48">
        <v>1000</v>
      </c>
      <c r="IH51" s="4"/>
      <c r="IO51" s="48">
        <v>1000</v>
      </c>
      <c r="JJ51" s="4"/>
      <c r="JQ51" s="48">
        <v>1000</v>
      </c>
      <c r="KL51" s="4"/>
      <c r="KS51" s="48">
        <v>1000</v>
      </c>
      <c r="LN51" s="4"/>
      <c r="LU51" s="48">
        <v>1000</v>
      </c>
      <c r="MP51" s="4"/>
      <c r="MW51" s="48">
        <v>1000</v>
      </c>
      <c r="NR51" s="4"/>
      <c r="NY51" s="48">
        <v>1000</v>
      </c>
      <c r="OT51" s="4"/>
      <c r="PA51" s="48">
        <v>1000</v>
      </c>
      <c r="PV51" s="4"/>
      <c r="QC51" s="48">
        <v>1000</v>
      </c>
    </row>
    <row r="52" spans="1:455" x14ac:dyDescent="0.2">
      <c r="C52" s="29" t="s">
        <v>47</v>
      </c>
      <c r="D52" s="2"/>
    </row>
    <row r="53" spans="1:455" x14ac:dyDescent="0.2">
      <c r="A53" s="5"/>
      <c r="B53" s="5"/>
      <c r="C53" s="5"/>
      <c r="D53" s="20"/>
      <c r="QE53" s="2"/>
      <c r="QF53" s="2"/>
      <c r="QG53" s="2"/>
      <c r="QH53" s="2"/>
      <c r="QI53" s="2"/>
      <c r="QJ53" s="2"/>
      <c r="QK53" s="2"/>
      <c r="QL53" s="2"/>
      <c r="QM53" s="2"/>
    </row>
    <row r="54" spans="1:455" x14ac:dyDescent="0.2">
      <c r="A54" s="5"/>
      <c r="B54" s="5"/>
      <c r="C54" s="5"/>
      <c r="D54" s="20"/>
    </row>
    <row r="55" spans="1:455" x14ac:dyDescent="0.2">
      <c r="A55" s="5"/>
      <c r="B55" s="5"/>
      <c r="C55" s="5"/>
      <c r="D55" s="20"/>
    </row>
    <row r="56" spans="1:455" x14ac:dyDescent="0.2">
      <c r="A56" s="5"/>
      <c r="B56" s="5"/>
      <c r="C56" s="5"/>
      <c r="D56" s="5"/>
    </row>
  </sheetData>
  <sheetProtection sheet="1" formatCells="0" formatColumns="0" formatRows="0"/>
  <autoFilter ref="A1:RF4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41">
      <sortCondition descending="1" ref="H1:H42"/>
    </sortState>
  </autoFilter>
  <mergeCells count="117">
    <mergeCell ref="LF2:LI2"/>
    <mergeCell ref="LJ2:LM2"/>
    <mergeCell ref="LV2:LY2"/>
    <mergeCell ref="LZ2:MC2"/>
    <mergeCell ref="MD2:MG2"/>
    <mergeCell ref="MH2:MK2"/>
    <mergeCell ref="JZ2:KC2"/>
    <mergeCell ref="KD2:KG2"/>
    <mergeCell ref="KH2:KK2"/>
    <mergeCell ref="KT2:KW2"/>
    <mergeCell ref="KX2:LA2"/>
    <mergeCell ref="LB2:LE2"/>
    <mergeCell ref="NZ2:OC2"/>
    <mergeCell ref="OD2:OG2"/>
    <mergeCell ref="OH2:OK2"/>
    <mergeCell ref="OL2:OO2"/>
    <mergeCell ref="OP2:OS2"/>
    <mergeCell ref="PB2:PE2"/>
    <mergeCell ref="ML2:MO2"/>
    <mergeCell ref="MX2:NA2"/>
    <mergeCell ref="NB2:NE2"/>
    <mergeCell ref="NF2:NI2"/>
    <mergeCell ref="NJ2:NM2"/>
    <mergeCell ref="NN2:NQ2"/>
    <mergeCell ref="QL2:QO2"/>
    <mergeCell ref="QP2:QS2"/>
    <mergeCell ref="QT2:QW2"/>
    <mergeCell ref="PF2:PI2"/>
    <mergeCell ref="PJ2:PM2"/>
    <mergeCell ref="PN2:PQ2"/>
    <mergeCell ref="PR2:PU2"/>
    <mergeCell ref="QD2:QG2"/>
    <mergeCell ref="QH2:QK2"/>
    <mergeCell ref="FJ2:FM2"/>
    <mergeCell ref="FN2:FQ2"/>
    <mergeCell ref="FR2:FU2"/>
    <mergeCell ref="FV2:FY2"/>
    <mergeCell ref="IT2:IW2"/>
    <mergeCell ref="IX2:JA2"/>
    <mergeCell ref="JB2:JE2"/>
    <mergeCell ref="JF2:JI2"/>
    <mergeCell ref="JR2:JU2"/>
    <mergeCell ref="HR2:HU2"/>
    <mergeCell ref="HV2:HY2"/>
    <mergeCell ref="HZ2:IC2"/>
    <mergeCell ref="ID2:IG2"/>
    <mergeCell ref="IP2:IS2"/>
    <mergeCell ref="JV2:JY2"/>
    <mergeCell ref="HN2:HQ2"/>
    <mergeCell ref="CA2:CD2"/>
    <mergeCell ref="LV1:MW1"/>
    <mergeCell ref="MX1:NY1"/>
    <mergeCell ref="NZ1:PA1"/>
    <mergeCell ref="DN2:DQ2"/>
    <mergeCell ref="DR2:DU2"/>
    <mergeCell ref="DV2:DY2"/>
    <mergeCell ref="EH2:EK2"/>
    <mergeCell ref="EL2:EO2"/>
    <mergeCell ref="EP2:ES2"/>
    <mergeCell ref="CE2:CH2"/>
    <mergeCell ref="CI2:CL2"/>
    <mergeCell ref="CM2:CP2"/>
    <mergeCell ref="CQ2:CT2"/>
    <mergeCell ref="DF2:DI2"/>
    <mergeCell ref="DJ2:DM2"/>
    <mergeCell ref="FZ2:GC2"/>
    <mergeCell ref="GL2:GO2"/>
    <mergeCell ref="GP2:GS2"/>
    <mergeCell ref="GT2:GW2"/>
    <mergeCell ref="GX2:HA2"/>
    <mergeCell ref="HB2:HE2"/>
    <mergeCell ref="ET2:EW2"/>
    <mergeCell ref="EX2:FA2"/>
    <mergeCell ref="PB1:QC1"/>
    <mergeCell ref="QD1:RF1"/>
    <mergeCell ref="U2:X2"/>
    <mergeCell ref="Y2:AB2"/>
    <mergeCell ref="AC2:AF2"/>
    <mergeCell ref="AG2:AJ2"/>
    <mergeCell ref="AK2:AN2"/>
    <mergeCell ref="FJ1:GK1"/>
    <mergeCell ref="GL1:HM1"/>
    <mergeCell ref="HN1:IO1"/>
    <mergeCell ref="IP1:JQ1"/>
    <mergeCell ref="JR1:KS1"/>
    <mergeCell ref="KT1:LU1"/>
    <mergeCell ref="U1:AW1"/>
    <mergeCell ref="AX1:BZ1"/>
    <mergeCell ref="CA1:DC1"/>
    <mergeCell ref="DD1:DE1"/>
    <mergeCell ref="DF1:EG1"/>
    <mergeCell ref="EH1:FI1"/>
    <mergeCell ref="AX2:BA2"/>
    <mergeCell ref="BB2:BE2"/>
    <mergeCell ref="BF2:BI2"/>
    <mergeCell ref="BJ2:BM2"/>
    <mergeCell ref="BN2:BQ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U4:AW41">
    <cfRule type="expression" dxfId="59" priority="7" stopIfTrue="1">
      <formula>IF($AO4&lt;&gt;"",1,0)</formula>
    </cfRule>
  </conditionalFormatting>
  <conditionalFormatting sqref="AX4:BZ41">
    <cfRule type="expression" dxfId="58" priority="12" stopIfTrue="1">
      <formula>IF($BR4&lt;&gt;"",1,0)</formula>
    </cfRule>
  </conditionalFormatting>
  <conditionalFormatting sqref="M1:M1048576 Q1:Q1048576 O1:O1048576">
    <cfRule type="expression" dxfId="57" priority="19">
      <formula>IF(M1=$CA$1,1,0)</formula>
    </cfRule>
    <cfRule type="expression" dxfId="56" priority="20">
      <formula>IF(M1=$AX$1,1,0)</formula>
    </cfRule>
    <cfRule type="expression" dxfId="55" priority="21">
      <formula>IF(M1=$U$1,1,0)</formula>
    </cfRule>
  </conditionalFormatting>
  <conditionalFormatting sqref="CA4:DC41">
    <cfRule type="expression" dxfId="54" priority="13" stopIfTrue="1">
      <formula>IF($CU4&lt;&gt;"",1,0)</formula>
    </cfRule>
  </conditionalFormatting>
  <conditionalFormatting sqref="A4:B1048576">
    <cfRule type="expression" dxfId="53" priority="1">
      <formula>AND($I4="P",$H4="")</formula>
    </cfRule>
    <cfRule type="expression" dxfId="52" priority="22" stopIfTrue="1">
      <formula>IF(A4&gt;4,1,0)</formula>
    </cfRule>
  </conditionalFormatting>
  <conditionalFormatting sqref="J1:J1048576">
    <cfRule type="containsText" dxfId="51" priority="14" operator="containsText" text="No DD">
      <formula>NOT(ISERROR(SEARCH("No DD",J1)))</formula>
    </cfRule>
    <cfRule type="containsText" dxfId="50" priority="15" operator="containsText" text="Merit">
      <formula>NOT(ISERROR(SEARCH("Merit",J1)))</formula>
    </cfRule>
    <cfRule type="containsText" dxfId="49" priority="16" operator="containsText" text="Excellence">
      <formula>NOT(ISERROR(SEARCH("Excellence",J1)))</formula>
    </cfRule>
    <cfRule type="containsText" dxfId="48" priority="17" operator="containsText" text="Worlds Team">
      <formula>NOT(ISERROR(SEARCH("Worlds Team",J1)))</formula>
    </cfRule>
    <cfRule type="containsText" dxfId="47" priority="18" operator="containsText" text="National Team">
      <formula>NOT(ISERROR(SEARCH("National Team",J1)))</formula>
    </cfRule>
  </conditionalFormatting>
  <conditionalFormatting sqref="AT52:AT1048576 BW52:BW1048576 ED52:ED1048576 FF52:FF1048576 BW1:BW50 CZ1:CZ1048576 ED1:ED50 FF1:FF50 GH1:GH1048576 HJ1:HJ1048576 IL1:IL1048576 JN1:JN1048576 KP1:KP1048576 LR1:LR1048576 MT1:MT1048576 NV1:NV1048576 OX1:OX1048576 PZ1:PZ1048576 AT1:AT50">
    <cfRule type="cellIs" dxfId="46" priority="59088" operator="between">
      <formula>AW$51</formula>
      <formula>1000</formula>
    </cfRule>
    <cfRule type="cellIs" dxfId="45" priority="59089" operator="between">
      <formula>AW$50</formula>
      <formula>AW$51</formula>
    </cfRule>
    <cfRule type="cellIs" dxfId="44" priority="59090" operator="between">
      <formula>AW$49</formula>
      <formula>AW$50</formula>
    </cfRule>
  </conditionalFormatting>
  <conditionalFormatting sqref="A1:B3">
    <cfRule type="expression" dxfId="4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42" priority="189253" operator="between">
      <formula>AW$44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41" priority="189298" operator="between">
      <formula>AW$48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40" priority="189343" operator="between">
      <formula>AW$44</formula>
      <formula>AW$45</formula>
    </cfRule>
    <cfRule type="cellIs" dxfId="39" priority="189344" operator="between">
      <formula>AW$45</formula>
      <formula>AW$46</formula>
    </cfRule>
    <cfRule type="cellIs" dxfId="38" priority="189345" operator="between">
      <formula>AW$46</formula>
      <formula>AW$47</formula>
    </cfRule>
    <cfRule type="cellIs" dxfId="37" priority="189346" operator="between">
      <formula>AW$47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36" priority="189523" operator="between">
      <formula>AW$48</formula>
      <formula>AW$49</formula>
    </cfRule>
    <cfRule type="cellIs" dxfId="35" priority="189524" operator="between">
      <formula>AW$49</formula>
      <formula>AW$50</formula>
    </cfRule>
    <cfRule type="cellIs" dxfId="34" priority="189525" operator="between">
      <formula>AW$50</formula>
      <formula>AW$51</formula>
    </cfRule>
    <cfRule type="cellIs" dxfId="33" priority="189526" operator="between">
      <formula>AW$51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32" priority="189703" operator="between">
      <formula>AW$47</formula>
      <formula>1000</formula>
    </cfRule>
    <cfRule type="cellIs" dxfId="31" priority="189704" operator="between">
      <formula>AW$46</formula>
      <formula>AW$47</formula>
    </cfRule>
    <cfRule type="cellIs" dxfId="30" priority="189705" operator="between">
      <formula>AW$45</formula>
      <formula>AW$46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F52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19.5" bestFit="1" customWidth="1"/>
    <col min="4" max="4" width="8.1640625" bestFit="1" customWidth="1"/>
    <col min="5" max="5" width="12" customWidth="1"/>
    <col min="7" max="7" width="10.83203125" style="65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09" width="10.83203125" style="36" customWidth="1"/>
    <col min="110" max="129" width="10.83203125" hidden="1" customWidth="1"/>
    <col min="130" max="137" width="10.83203125" style="36" customWidth="1"/>
    <col min="138" max="157" width="10.83203125" hidden="1" customWidth="1"/>
    <col min="158" max="165" width="10.83203125" style="36" customWidth="1"/>
    <col min="166" max="185" width="10.83203125" hidden="1" customWidth="1"/>
    <col min="186" max="193" width="10.83203125" style="36" hidden="1" customWidth="1"/>
    <col min="194" max="213" width="10.83203125" hidden="1" customWidth="1"/>
    <col min="214" max="221" width="10.83203125" style="36" hidden="1" customWidth="1"/>
    <col min="222" max="241" width="10.83203125" hidden="1" customWidth="1"/>
    <col min="242" max="249" width="10.83203125" style="36" hidden="1" customWidth="1"/>
    <col min="250" max="269" width="10.83203125" hidden="1" customWidth="1"/>
    <col min="270" max="277" width="10.83203125" style="36" hidden="1" customWidth="1"/>
    <col min="278" max="297" width="10.83203125" hidden="1" customWidth="1"/>
    <col min="298" max="305" width="10.83203125" style="36" hidden="1" customWidth="1"/>
    <col min="306" max="325" width="10.83203125" hidden="1" customWidth="1"/>
    <col min="326" max="333" width="10.83203125" style="36" hidden="1" customWidth="1"/>
    <col min="334" max="353" width="10.83203125" hidden="1" customWidth="1"/>
    <col min="354" max="361" width="10.83203125" style="36" hidden="1" customWidth="1"/>
    <col min="362" max="381" width="10.83203125" hidden="1" customWidth="1"/>
    <col min="382" max="389" width="10.83203125" style="36" hidden="1" customWidth="1"/>
    <col min="390" max="409" width="10.83203125" hidden="1" customWidth="1"/>
    <col min="410" max="417" width="10.83203125" style="36" hidden="1" customWidth="1"/>
    <col min="418" max="437" width="10.83203125" hidden="1" customWidth="1"/>
    <col min="438" max="445" width="10.83203125" style="36" hidden="1" customWidth="1"/>
    <col min="446" max="466" width="10.83203125" hidden="1" customWidth="1"/>
    <col min="467" max="474" width="10.83203125" style="36" hidden="1" customWidth="1"/>
  </cols>
  <sheetData>
    <row r="1" spans="1:474" ht="16" customHeight="1" x14ac:dyDescent="0.2">
      <c r="A1" s="76" t="s">
        <v>145</v>
      </c>
      <c r="B1" s="76" t="s">
        <v>146</v>
      </c>
      <c r="C1" s="72" t="s">
        <v>22</v>
      </c>
      <c r="D1" s="72" t="s">
        <v>0</v>
      </c>
      <c r="E1" s="72" t="s">
        <v>48</v>
      </c>
      <c r="F1" s="72" t="s">
        <v>2</v>
      </c>
      <c r="G1" s="76" t="s">
        <v>147</v>
      </c>
      <c r="H1" s="76" t="s">
        <v>53</v>
      </c>
      <c r="I1" s="76" t="s">
        <v>8</v>
      </c>
      <c r="J1" s="72" t="s">
        <v>9</v>
      </c>
      <c r="K1" s="76" t="s">
        <v>62</v>
      </c>
      <c r="L1" s="73" t="s">
        <v>84</v>
      </c>
      <c r="M1" s="74" t="s">
        <v>25</v>
      </c>
      <c r="N1" s="73" t="s">
        <v>85</v>
      </c>
      <c r="O1" s="74" t="s">
        <v>25</v>
      </c>
      <c r="P1" s="74" t="s">
        <v>10</v>
      </c>
      <c r="Q1" s="74" t="s">
        <v>25</v>
      </c>
      <c r="R1" s="75" t="s">
        <v>11</v>
      </c>
      <c r="S1" s="74" t="s">
        <v>26</v>
      </c>
      <c r="T1" s="74" t="s">
        <v>25</v>
      </c>
      <c r="U1" s="69" t="s">
        <v>186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0" t="s">
        <v>203</v>
      </c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69" t="s">
        <v>217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1" t="s">
        <v>52</v>
      </c>
      <c r="DE1" s="71"/>
      <c r="DF1" s="69" t="s">
        <v>200</v>
      </c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70" t="s">
        <v>201</v>
      </c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69" t="s">
        <v>56</v>
      </c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</row>
    <row r="2" spans="1:474" x14ac:dyDescent="0.2">
      <c r="A2" s="76"/>
      <c r="B2" s="76"/>
      <c r="C2" s="72"/>
      <c r="D2" s="72"/>
      <c r="E2" s="72"/>
      <c r="F2" s="72"/>
      <c r="G2" s="76"/>
      <c r="H2" s="76"/>
      <c r="I2" s="76"/>
      <c r="J2" s="72"/>
      <c r="K2" s="76"/>
      <c r="L2" s="73"/>
      <c r="M2" s="74"/>
      <c r="N2" s="73"/>
      <c r="O2" s="74"/>
      <c r="P2" s="74"/>
      <c r="Q2" s="74"/>
      <c r="R2" s="75"/>
      <c r="S2" s="74"/>
      <c r="T2" s="74"/>
      <c r="U2" s="67" t="s">
        <v>76</v>
      </c>
      <c r="V2" s="67"/>
      <c r="W2" s="67"/>
      <c r="X2" s="67"/>
      <c r="Y2" s="67" t="s">
        <v>77</v>
      </c>
      <c r="Z2" s="67"/>
      <c r="AA2" s="67"/>
      <c r="AB2" s="67"/>
      <c r="AC2" s="67" t="s">
        <v>78</v>
      </c>
      <c r="AD2" s="67"/>
      <c r="AE2" s="67"/>
      <c r="AF2" s="67"/>
      <c r="AG2" s="67" t="s">
        <v>79</v>
      </c>
      <c r="AH2" s="67"/>
      <c r="AI2" s="67"/>
      <c r="AJ2" s="67"/>
      <c r="AK2" s="77" t="s">
        <v>80</v>
      </c>
      <c r="AL2" s="77"/>
      <c r="AM2" s="77"/>
      <c r="AN2" s="77"/>
      <c r="AO2" s="14"/>
      <c r="AP2" s="14" t="s">
        <v>81</v>
      </c>
      <c r="AQ2" s="14" t="s">
        <v>82</v>
      </c>
      <c r="AR2" s="14" t="s">
        <v>78</v>
      </c>
      <c r="AS2" s="14" t="s">
        <v>86</v>
      </c>
      <c r="AT2" s="14" t="s">
        <v>21</v>
      </c>
      <c r="AU2" s="14" t="s">
        <v>57</v>
      </c>
      <c r="AV2" s="14" t="s">
        <v>83</v>
      </c>
      <c r="AW2" s="14" t="s">
        <v>15</v>
      </c>
      <c r="AX2" s="68" t="s">
        <v>76</v>
      </c>
      <c r="AY2" s="68"/>
      <c r="AZ2" s="68"/>
      <c r="BA2" s="68"/>
      <c r="BB2" s="68" t="s">
        <v>77</v>
      </c>
      <c r="BC2" s="68"/>
      <c r="BD2" s="68"/>
      <c r="BE2" s="68"/>
      <c r="BF2" s="68" t="s">
        <v>78</v>
      </c>
      <c r="BG2" s="68"/>
      <c r="BH2" s="68"/>
      <c r="BI2" s="68"/>
      <c r="BJ2" s="68" t="s">
        <v>79</v>
      </c>
      <c r="BK2" s="68"/>
      <c r="BL2" s="68"/>
      <c r="BM2" s="68"/>
      <c r="BN2" s="78" t="s">
        <v>80</v>
      </c>
      <c r="BO2" s="78"/>
      <c r="BP2" s="78"/>
      <c r="BQ2" s="78"/>
      <c r="BR2" s="13"/>
      <c r="BS2" s="13" t="s">
        <v>81</v>
      </c>
      <c r="BT2" s="13" t="s">
        <v>82</v>
      </c>
      <c r="BU2" s="13" t="s">
        <v>78</v>
      </c>
      <c r="BV2" s="13" t="s">
        <v>86</v>
      </c>
      <c r="BW2" s="13" t="s">
        <v>21</v>
      </c>
      <c r="BX2" s="13" t="s">
        <v>57</v>
      </c>
      <c r="BY2" s="13" t="s">
        <v>83</v>
      </c>
      <c r="BZ2" s="13" t="s">
        <v>15</v>
      </c>
      <c r="CA2" s="67" t="s">
        <v>76</v>
      </c>
      <c r="CB2" s="67"/>
      <c r="CC2" s="67"/>
      <c r="CD2" s="67"/>
      <c r="CE2" s="67" t="s">
        <v>77</v>
      </c>
      <c r="CF2" s="67"/>
      <c r="CG2" s="67"/>
      <c r="CH2" s="67"/>
      <c r="CI2" s="67" t="s">
        <v>78</v>
      </c>
      <c r="CJ2" s="67"/>
      <c r="CK2" s="67"/>
      <c r="CL2" s="67"/>
      <c r="CM2" s="67" t="s">
        <v>79</v>
      </c>
      <c r="CN2" s="67"/>
      <c r="CO2" s="67"/>
      <c r="CP2" s="67"/>
      <c r="CQ2" s="77" t="s">
        <v>80</v>
      </c>
      <c r="CR2" s="77"/>
      <c r="CS2" s="77"/>
      <c r="CT2" s="77"/>
      <c r="CU2" s="14"/>
      <c r="CV2" s="14" t="s">
        <v>81</v>
      </c>
      <c r="CW2" s="14" t="s">
        <v>82</v>
      </c>
      <c r="CX2" s="14" t="s">
        <v>78</v>
      </c>
      <c r="CY2" s="14" t="s">
        <v>86</v>
      </c>
      <c r="CZ2" s="14" t="s">
        <v>21</v>
      </c>
      <c r="DA2" s="14" t="s">
        <v>57</v>
      </c>
      <c r="DB2" s="14" t="s">
        <v>83</v>
      </c>
      <c r="DC2" s="14" t="s">
        <v>15</v>
      </c>
      <c r="DD2" s="49" t="s">
        <v>82</v>
      </c>
      <c r="DE2" s="49" t="s">
        <v>20</v>
      </c>
      <c r="DF2" s="67" t="s">
        <v>76</v>
      </c>
      <c r="DG2" s="67"/>
      <c r="DH2" s="67"/>
      <c r="DI2" s="67"/>
      <c r="DJ2" s="67" t="s">
        <v>77</v>
      </c>
      <c r="DK2" s="67"/>
      <c r="DL2" s="67"/>
      <c r="DM2" s="67"/>
      <c r="DN2" s="67" t="s">
        <v>78</v>
      </c>
      <c r="DO2" s="67"/>
      <c r="DP2" s="67"/>
      <c r="DQ2" s="67"/>
      <c r="DR2" s="67" t="s">
        <v>79</v>
      </c>
      <c r="DS2" s="67"/>
      <c r="DT2" s="67"/>
      <c r="DU2" s="67"/>
      <c r="DV2" s="79" t="s">
        <v>80</v>
      </c>
      <c r="DW2" s="79"/>
      <c r="DX2" s="79"/>
      <c r="DY2" s="79"/>
      <c r="DZ2" s="14" t="s">
        <v>81</v>
      </c>
      <c r="EA2" s="14" t="s">
        <v>82</v>
      </c>
      <c r="EB2" s="14" t="s">
        <v>78</v>
      </c>
      <c r="EC2" s="14" t="s">
        <v>86</v>
      </c>
      <c r="ED2" s="14" t="s">
        <v>21</v>
      </c>
      <c r="EE2" s="14" t="s">
        <v>57</v>
      </c>
      <c r="EF2" s="14" t="s">
        <v>83</v>
      </c>
      <c r="EG2" s="14" t="s">
        <v>15</v>
      </c>
      <c r="EH2" s="68" t="s">
        <v>76</v>
      </c>
      <c r="EI2" s="68"/>
      <c r="EJ2" s="68"/>
      <c r="EK2" s="68"/>
      <c r="EL2" s="68" t="s">
        <v>77</v>
      </c>
      <c r="EM2" s="68"/>
      <c r="EN2" s="68"/>
      <c r="EO2" s="68"/>
      <c r="EP2" s="68" t="s">
        <v>78</v>
      </c>
      <c r="EQ2" s="68"/>
      <c r="ER2" s="68"/>
      <c r="ES2" s="68"/>
      <c r="ET2" s="68" t="s">
        <v>79</v>
      </c>
      <c r="EU2" s="68"/>
      <c r="EV2" s="68"/>
      <c r="EW2" s="68"/>
      <c r="EX2" s="78" t="s">
        <v>80</v>
      </c>
      <c r="EY2" s="78"/>
      <c r="EZ2" s="78"/>
      <c r="FA2" s="78"/>
      <c r="FB2" s="13" t="s">
        <v>81</v>
      </c>
      <c r="FC2" s="13" t="s">
        <v>82</v>
      </c>
      <c r="FD2" s="13" t="s">
        <v>78</v>
      </c>
      <c r="FE2" s="13" t="s">
        <v>86</v>
      </c>
      <c r="FF2" s="13" t="s">
        <v>21</v>
      </c>
      <c r="FG2" s="13" t="s">
        <v>57</v>
      </c>
      <c r="FH2" s="13" t="s">
        <v>83</v>
      </c>
      <c r="FI2" s="13" t="s">
        <v>15</v>
      </c>
      <c r="FJ2" s="67" t="s">
        <v>76</v>
      </c>
      <c r="FK2" s="67"/>
      <c r="FL2" s="67"/>
      <c r="FM2" s="67"/>
      <c r="FN2" s="67" t="s">
        <v>77</v>
      </c>
      <c r="FO2" s="67"/>
      <c r="FP2" s="67"/>
      <c r="FQ2" s="67"/>
      <c r="FR2" s="67" t="s">
        <v>78</v>
      </c>
      <c r="FS2" s="67"/>
      <c r="FT2" s="67"/>
      <c r="FU2" s="67"/>
      <c r="FV2" s="67" t="s">
        <v>79</v>
      </c>
      <c r="FW2" s="67"/>
      <c r="FX2" s="67"/>
      <c r="FY2" s="67"/>
      <c r="FZ2" s="79" t="s">
        <v>80</v>
      </c>
      <c r="GA2" s="79"/>
      <c r="GB2" s="79"/>
      <c r="GC2" s="79"/>
      <c r="GD2" s="14" t="s">
        <v>81</v>
      </c>
      <c r="GE2" s="14" t="s">
        <v>82</v>
      </c>
      <c r="GF2" s="14" t="s">
        <v>78</v>
      </c>
      <c r="GG2" s="14" t="s">
        <v>86</v>
      </c>
      <c r="GH2" s="14" t="s">
        <v>21</v>
      </c>
      <c r="GI2" s="14" t="s">
        <v>57</v>
      </c>
      <c r="GJ2" s="14" t="s">
        <v>83</v>
      </c>
      <c r="GK2" s="14" t="s">
        <v>15</v>
      </c>
      <c r="GL2" s="68" t="s">
        <v>76</v>
      </c>
      <c r="GM2" s="68"/>
      <c r="GN2" s="68"/>
      <c r="GO2" s="68"/>
      <c r="GP2" s="68" t="s">
        <v>77</v>
      </c>
      <c r="GQ2" s="68"/>
      <c r="GR2" s="68"/>
      <c r="GS2" s="68"/>
      <c r="GT2" s="68" t="s">
        <v>78</v>
      </c>
      <c r="GU2" s="68"/>
      <c r="GV2" s="68"/>
      <c r="GW2" s="68"/>
      <c r="GX2" s="68" t="s">
        <v>79</v>
      </c>
      <c r="GY2" s="68"/>
      <c r="GZ2" s="68"/>
      <c r="HA2" s="68"/>
      <c r="HB2" s="78" t="s">
        <v>80</v>
      </c>
      <c r="HC2" s="78"/>
      <c r="HD2" s="78"/>
      <c r="HE2" s="78"/>
      <c r="HF2" s="13" t="s">
        <v>81</v>
      </c>
      <c r="HG2" s="13" t="s">
        <v>82</v>
      </c>
      <c r="HH2" s="13" t="s">
        <v>78</v>
      </c>
      <c r="HI2" s="13" t="s">
        <v>86</v>
      </c>
      <c r="HJ2" s="13" t="s">
        <v>21</v>
      </c>
      <c r="HK2" s="13" t="s">
        <v>57</v>
      </c>
      <c r="HL2" s="13" t="s">
        <v>83</v>
      </c>
      <c r="HM2" s="13" t="s">
        <v>15</v>
      </c>
      <c r="HN2" s="67" t="s">
        <v>76</v>
      </c>
      <c r="HO2" s="67"/>
      <c r="HP2" s="67"/>
      <c r="HQ2" s="67"/>
      <c r="HR2" s="67" t="s">
        <v>77</v>
      </c>
      <c r="HS2" s="67"/>
      <c r="HT2" s="67"/>
      <c r="HU2" s="67"/>
      <c r="HV2" s="67" t="s">
        <v>78</v>
      </c>
      <c r="HW2" s="67"/>
      <c r="HX2" s="67"/>
      <c r="HY2" s="67"/>
      <c r="HZ2" s="67" t="s">
        <v>79</v>
      </c>
      <c r="IA2" s="67"/>
      <c r="IB2" s="67"/>
      <c r="IC2" s="67"/>
      <c r="ID2" s="79" t="s">
        <v>80</v>
      </c>
      <c r="IE2" s="79"/>
      <c r="IF2" s="79"/>
      <c r="IG2" s="79"/>
      <c r="IH2" s="14" t="s">
        <v>81</v>
      </c>
      <c r="II2" s="14" t="s">
        <v>82</v>
      </c>
      <c r="IJ2" s="14" t="s">
        <v>78</v>
      </c>
      <c r="IK2" s="14" t="s">
        <v>86</v>
      </c>
      <c r="IL2" s="14" t="s">
        <v>21</v>
      </c>
      <c r="IM2" s="14" t="s">
        <v>57</v>
      </c>
      <c r="IN2" s="14" t="s">
        <v>83</v>
      </c>
      <c r="IO2" s="14" t="s">
        <v>15</v>
      </c>
      <c r="IP2" s="68" t="s">
        <v>76</v>
      </c>
      <c r="IQ2" s="68"/>
      <c r="IR2" s="68"/>
      <c r="IS2" s="68"/>
      <c r="IT2" s="68" t="s">
        <v>77</v>
      </c>
      <c r="IU2" s="68"/>
      <c r="IV2" s="68"/>
      <c r="IW2" s="68"/>
      <c r="IX2" s="68" t="s">
        <v>78</v>
      </c>
      <c r="IY2" s="68"/>
      <c r="IZ2" s="68"/>
      <c r="JA2" s="68"/>
      <c r="JB2" s="68" t="s">
        <v>79</v>
      </c>
      <c r="JC2" s="68"/>
      <c r="JD2" s="68"/>
      <c r="JE2" s="68"/>
      <c r="JF2" s="78" t="s">
        <v>80</v>
      </c>
      <c r="JG2" s="78"/>
      <c r="JH2" s="78"/>
      <c r="JI2" s="78"/>
      <c r="JJ2" s="13" t="s">
        <v>81</v>
      </c>
      <c r="JK2" s="13" t="s">
        <v>82</v>
      </c>
      <c r="JL2" s="13" t="s">
        <v>78</v>
      </c>
      <c r="JM2" s="13" t="s">
        <v>86</v>
      </c>
      <c r="JN2" s="13" t="s">
        <v>21</v>
      </c>
      <c r="JO2" s="13" t="s">
        <v>57</v>
      </c>
      <c r="JP2" s="13" t="s">
        <v>83</v>
      </c>
      <c r="JQ2" s="13" t="s">
        <v>15</v>
      </c>
      <c r="JR2" s="67" t="s">
        <v>76</v>
      </c>
      <c r="JS2" s="67"/>
      <c r="JT2" s="67"/>
      <c r="JU2" s="67"/>
      <c r="JV2" s="67" t="s">
        <v>77</v>
      </c>
      <c r="JW2" s="67"/>
      <c r="JX2" s="67"/>
      <c r="JY2" s="67"/>
      <c r="JZ2" s="67" t="s">
        <v>78</v>
      </c>
      <c r="KA2" s="67"/>
      <c r="KB2" s="67"/>
      <c r="KC2" s="67"/>
      <c r="KD2" s="67" t="s">
        <v>79</v>
      </c>
      <c r="KE2" s="67"/>
      <c r="KF2" s="67"/>
      <c r="KG2" s="67"/>
      <c r="KH2" s="79" t="s">
        <v>80</v>
      </c>
      <c r="KI2" s="79"/>
      <c r="KJ2" s="79"/>
      <c r="KK2" s="79"/>
      <c r="KL2" s="14" t="s">
        <v>81</v>
      </c>
      <c r="KM2" s="14" t="s">
        <v>82</v>
      </c>
      <c r="KN2" s="14" t="s">
        <v>78</v>
      </c>
      <c r="KO2" s="14" t="s">
        <v>86</v>
      </c>
      <c r="KP2" s="14" t="s">
        <v>21</v>
      </c>
      <c r="KQ2" s="14" t="s">
        <v>57</v>
      </c>
      <c r="KR2" s="14" t="s">
        <v>83</v>
      </c>
      <c r="KS2" s="14" t="s">
        <v>15</v>
      </c>
      <c r="KT2" s="68" t="s">
        <v>76</v>
      </c>
      <c r="KU2" s="68"/>
      <c r="KV2" s="68"/>
      <c r="KW2" s="68"/>
      <c r="KX2" s="68" t="s">
        <v>77</v>
      </c>
      <c r="KY2" s="68"/>
      <c r="KZ2" s="68"/>
      <c r="LA2" s="68"/>
      <c r="LB2" s="68" t="s">
        <v>78</v>
      </c>
      <c r="LC2" s="68"/>
      <c r="LD2" s="68"/>
      <c r="LE2" s="68"/>
      <c r="LF2" s="68" t="s">
        <v>79</v>
      </c>
      <c r="LG2" s="68"/>
      <c r="LH2" s="68"/>
      <c r="LI2" s="68"/>
      <c r="LJ2" s="78" t="s">
        <v>80</v>
      </c>
      <c r="LK2" s="78"/>
      <c r="LL2" s="78"/>
      <c r="LM2" s="78"/>
      <c r="LN2" s="13" t="s">
        <v>81</v>
      </c>
      <c r="LO2" s="13" t="s">
        <v>82</v>
      </c>
      <c r="LP2" s="13" t="s">
        <v>78</v>
      </c>
      <c r="LQ2" s="13" t="s">
        <v>86</v>
      </c>
      <c r="LR2" s="13" t="s">
        <v>21</v>
      </c>
      <c r="LS2" s="13" t="s">
        <v>57</v>
      </c>
      <c r="LT2" s="13" t="s">
        <v>83</v>
      </c>
      <c r="LU2" s="13" t="s">
        <v>15</v>
      </c>
      <c r="LV2" s="67" t="s">
        <v>76</v>
      </c>
      <c r="LW2" s="67"/>
      <c r="LX2" s="67"/>
      <c r="LY2" s="67"/>
      <c r="LZ2" s="67" t="s">
        <v>77</v>
      </c>
      <c r="MA2" s="67"/>
      <c r="MB2" s="67"/>
      <c r="MC2" s="67"/>
      <c r="MD2" s="67" t="s">
        <v>78</v>
      </c>
      <c r="ME2" s="67"/>
      <c r="MF2" s="67"/>
      <c r="MG2" s="67"/>
      <c r="MH2" s="67" t="s">
        <v>79</v>
      </c>
      <c r="MI2" s="67"/>
      <c r="MJ2" s="67"/>
      <c r="MK2" s="67"/>
      <c r="ML2" s="79" t="s">
        <v>80</v>
      </c>
      <c r="MM2" s="79"/>
      <c r="MN2" s="79"/>
      <c r="MO2" s="79"/>
      <c r="MP2" s="14" t="s">
        <v>81</v>
      </c>
      <c r="MQ2" s="14" t="s">
        <v>82</v>
      </c>
      <c r="MR2" s="14" t="s">
        <v>78</v>
      </c>
      <c r="MS2" s="14" t="s">
        <v>86</v>
      </c>
      <c r="MT2" s="14" t="s">
        <v>21</v>
      </c>
      <c r="MU2" s="14" t="s">
        <v>57</v>
      </c>
      <c r="MV2" s="14" t="s">
        <v>83</v>
      </c>
      <c r="MW2" s="14" t="s">
        <v>15</v>
      </c>
      <c r="MX2" s="68" t="s">
        <v>76</v>
      </c>
      <c r="MY2" s="68"/>
      <c r="MZ2" s="68"/>
      <c r="NA2" s="68"/>
      <c r="NB2" s="68" t="s">
        <v>77</v>
      </c>
      <c r="NC2" s="68"/>
      <c r="ND2" s="68"/>
      <c r="NE2" s="68"/>
      <c r="NF2" s="68" t="s">
        <v>78</v>
      </c>
      <c r="NG2" s="68"/>
      <c r="NH2" s="68"/>
      <c r="NI2" s="68"/>
      <c r="NJ2" s="68" t="s">
        <v>79</v>
      </c>
      <c r="NK2" s="68"/>
      <c r="NL2" s="68"/>
      <c r="NM2" s="68"/>
      <c r="NN2" s="78" t="s">
        <v>80</v>
      </c>
      <c r="NO2" s="78"/>
      <c r="NP2" s="78"/>
      <c r="NQ2" s="78"/>
      <c r="NR2" s="13" t="s">
        <v>81</v>
      </c>
      <c r="NS2" s="13" t="s">
        <v>82</v>
      </c>
      <c r="NT2" s="13" t="s">
        <v>78</v>
      </c>
      <c r="NU2" s="13" t="s">
        <v>86</v>
      </c>
      <c r="NV2" s="13" t="s">
        <v>21</v>
      </c>
      <c r="NW2" s="13" t="s">
        <v>57</v>
      </c>
      <c r="NX2" s="13" t="s">
        <v>83</v>
      </c>
      <c r="NY2" s="13" t="s">
        <v>15</v>
      </c>
      <c r="NZ2" s="67" t="s">
        <v>76</v>
      </c>
      <c r="OA2" s="67"/>
      <c r="OB2" s="67"/>
      <c r="OC2" s="67"/>
      <c r="OD2" s="67" t="s">
        <v>77</v>
      </c>
      <c r="OE2" s="67"/>
      <c r="OF2" s="67"/>
      <c r="OG2" s="67"/>
      <c r="OH2" s="67" t="s">
        <v>78</v>
      </c>
      <c r="OI2" s="67"/>
      <c r="OJ2" s="67"/>
      <c r="OK2" s="67"/>
      <c r="OL2" s="67" t="s">
        <v>79</v>
      </c>
      <c r="OM2" s="67"/>
      <c r="ON2" s="67"/>
      <c r="OO2" s="67"/>
      <c r="OP2" s="79" t="s">
        <v>80</v>
      </c>
      <c r="OQ2" s="79"/>
      <c r="OR2" s="79"/>
      <c r="OS2" s="79"/>
      <c r="OT2" s="14" t="s">
        <v>81</v>
      </c>
      <c r="OU2" s="14" t="s">
        <v>82</v>
      </c>
      <c r="OV2" s="14" t="s">
        <v>78</v>
      </c>
      <c r="OW2" s="14" t="s">
        <v>86</v>
      </c>
      <c r="OX2" s="14" t="s">
        <v>21</v>
      </c>
      <c r="OY2" s="14" t="s">
        <v>57</v>
      </c>
      <c r="OZ2" s="14" t="s">
        <v>83</v>
      </c>
      <c r="PA2" s="14" t="s">
        <v>15</v>
      </c>
      <c r="PB2" s="68" t="s">
        <v>76</v>
      </c>
      <c r="PC2" s="68"/>
      <c r="PD2" s="68"/>
      <c r="PE2" s="68"/>
      <c r="PF2" s="68" t="s">
        <v>77</v>
      </c>
      <c r="PG2" s="68"/>
      <c r="PH2" s="68"/>
      <c r="PI2" s="68"/>
      <c r="PJ2" s="68" t="s">
        <v>78</v>
      </c>
      <c r="PK2" s="68"/>
      <c r="PL2" s="68"/>
      <c r="PM2" s="68"/>
      <c r="PN2" s="68" t="s">
        <v>79</v>
      </c>
      <c r="PO2" s="68"/>
      <c r="PP2" s="68"/>
      <c r="PQ2" s="68"/>
      <c r="PR2" s="78" t="s">
        <v>80</v>
      </c>
      <c r="PS2" s="78"/>
      <c r="PT2" s="78"/>
      <c r="PU2" s="78"/>
      <c r="PV2" s="13" t="s">
        <v>81</v>
      </c>
      <c r="PW2" s="13" t="s">
        <v>82</v>
      </c>
      <c r="PX2" s="13" t="s">
        <v>78</v>
      </c>
      <c r="PY2" s="13" t="s">
        <v>86</v>
      </c>
      <c r="PZ2" s="13" t="s">
        <v>21</v>
      </c>
      <c r="QA2" s="13" t="s">
        <v>57</v>
      </c>
      <c r="QB2" s="13" t="s">
        <v>83</v>
      </c>
      <c r="QC2" s="13" t="s">
        <v>15</v>
      </c>
      <c r="QD2" s="67" t="s">
        <v>76</v>
      </c>
      <c r="QE2" s="67"/>
      <c r="QF2" s="67"/>
      <c r="QG2" s="67"/>
      <c r="QH2" s="67" t="s">
        <v>77</v>
      </c>
      <c r="QI2" s="67"/>
      <c r="QJ2" s="67"/>
      <c r="QK2" s="67"/>
      <c r="QL2" s="67" t="s">
        <v>78</v>
      </c>
      <c r="QM2" s="67"/>
      <c r="QN2" s="67"/>
      <c r="QO2" s="67"/>
      <c r="QP2" s="67" t="s">
        <v>79</v>
      </c>
      <c r="QQ2" s="67"/>
      <c r="QR2" s="67"/>
      <c r="QS2" s="67"/>
      <c r="QT2" s="77" t="s">
        <v>80</v>
      </c>
      <c r="QU2" s="77"/>
      <c r="QV2" s="77"/>
      <c r="QW2" s="77"/>
      <c r="QX2" s="14"/>
      <c r="QY2" s="14" t="s">
        <v>81</v>
      </c>
      <c r="QZ2" s="14" t="s">
        <v>82</v>
      </c>
      <c r="RA2" s="14" t="s">
        <v>78</v>
      </c>
      <c r="RB2" s="14" t="s">
        <v>86</v>
      </c>
      <c r="RC2" s="14" t="s">
        <v>21</v>
      </c>
      <c r="RD2" s="14" t="s">
        <v>57</v>
      </c>
      <c r="RE2" s="14" t="s">
        <v>83</v>
      </c>
      <c r="RF2" s="14" t="s">
        <v>15</v>
      </c>
    </row>
    <row r="3" spans="1:474" x14ac:dyDescent="0.2">
      <c r="A3" s="76"/>
      <c r="B3" s="76"/>
      <c r="C3" s="72"/>
      <c r="D3" s="72"/>
      <c r="E3" s="72"/>
      <c r="F3" s="72"/>
      <c r="G3" s="76"/>
      <c r="H3" s="76"/>
      <c r="I3" s="76"/>
      <c r="J3" s="72"/>
      <c r="K3" s="76"/>
      <c r="L3" s="73"/>
      <c r="M3" s="74"/>
      <c r="N3" s="73"/>
      <c r="O3" s="74"/>
      <c r="P3" s="74"/>
      <c r="Q3" s="74"/>
      <c r="R3" s="75"/>
      <c r="S3" s="74"/>
      <c r="T3" s="74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14" t="s">
        <v>12</v>
      </c>
      <c r="DG3" s="14" t="s">
        <v>7</v>
      </c>
      <c r="DH3" s="14" t="s">
        <v>23</v>
      </c>
      <c r="DI3" s="14" t="s">
        <v>24</v>
      </c>
      <c r="DJ3" s="14" t="s">
        <v>12</v>
      </c>
      <c r="DK3" s="14" t="s">
        <v>7</v>
      </c>
      <c r="DL3" s="14" t="s">
        <v>23</v>
      </c>
      <c r="DM3" s="14" t="s">
        <v>24</v>
      </c>
      <c r="DN3" s="14" t="s">
        <v>12</v>
      </c>
      <c r="DO3" s="14" t="s">
        <v>7</v>
      </c>
      <c r="DP3" s="14" t="s">
        <v>23</v>
      </c>
      <c r="DQ3" s="14" t="s">
        <v>24</v>
      </c>
      <c r="DR3" s="14" t="s">
        <v>12</v>
      </c>
      <c r="DS3" s="14" t="s">
        <v>7</v>
      </c>
      <c r="DT3" s="14" t="s">
        <v>23</v>
      </c>
      <c r="DU3" s="14" t="s">
        <v>24</v>
      </c>
      <c r="DV3" s="15" t="s">
        <v>12</v>
      </c>
      <c r="DW3" s="15" t="s">
        <v>7</v>
      </c>
      <c r="DX3" s="15" t="s">
        <v>23</v>
      </c>
      <c r="DY3" s="15" t="s">
        <v>24</v>
      </c>
      <c r="DZ3" s="14"/>
      <c r="EA3" s="14"/>
      <c r="EB3" s="14"/>
      <c r="EC3" s="14"/>
      <c r="ED3" s="14"/>
      <c r="EE3" s="14"/>
      <c r="EF3" s="14"/>
      <c r="EG3" s="14"/>
      <c r="EH3" s="13" t="s">
        <v>12</v>
      </c>
      <c r="EI3" s="13" t="s">
        <v>7</v>
      </c>
      <c r="EJ3" s="13" t="s">
        <v>23</v>
      </c>
      <c r="EK3" s="13" t="s">
        <v>24</v>
      </c>
      <c r="EL3" s="13" t="s">
        <v>12</v>
      </c>
      <c r="EM3" s="13" t="s">
        <v>7</v>
      </c>
      <c r="EN3" s="13" t="s">
        <v>23</v>
      </c>
      <c r="EO3" s="13" t="s">
        <v>24</v>
      </c>
      <c r="EP3" s="13" t="s">
        <v>12</v>
      </c>
      <c r="EQ3" s="13" t="s">
        <v>7</v>
      </c>
      <c r="ER3" s="13" t="s">
        <v>23</v>
      </c>
      <c r="ES3" s="13" t="s">
        <v>24</v>
      </c>
      <c r="ET3" s="13" t="s">
        <v>12</v>
      </c>
      <c r="EU3" s="13" t="s">
        <v>7</v>
      </c>
      <c r="EV3" s="13" t="s">
        <v>23</v>
      </c>
      <c r="EW3" s="13" t="s">
        <v>24</v>
      </c>
      <c r="EX3" s="16" t="s">
        <v>12</v>
      </c>
      <c r="EY3" s="16" t="s">
        <v>7</v>
      </c>
      <c r="EZ3" s="16" t="s">
        <v>23</v>
      </c>
      <c r="FA3" s="16" t="s">
        <v>24</v>
      </c>
      <c r="FB3" s="13"/>
      <c r="FC3" s="13"/>
      <c r="FD3" s="13"/>
      <c r="FE3" s="13"/>
      <c r="FF3" s="13"/>
      <c r="FG3" s="13"/>
      <c r="FH3" s="13"/>
      <c r="FI3" s="13"/>
      <c r="FJ3" s="14" t="s">
        <v>12</v>
      </c>
      <c r="FK3" s="14" t="s">
        <v>7</v>
      </c>
      <c r="FL3" s="14" t="s">
        <v>23</v>
      </c>
      <c r="FM3" s="14" t="s">
        <v>24</v>
      </c>
      <c r="FN3" s="14" t="s">
        <v>12</v>
      </c>
      <c r="FO3" s="14" t="s">
        <v>7</v>
      </c>
      <c r="FP3" s="14" t="s">
        <v>23</v>
      </c>
      <c r="FQ3" s="14" t="s">
        <v>24</v>
      </c>
      <c r="FR3" s="14" t="s">
        <v>12</v>
      </c>
      <c r="FS3" s="14" t="s">
        <v>7</v>
      </c>
      <c r="FT3" s="14" t="s">
        <v>23</v>
      </c>
      <c r="FU3" s="14" t="s">
        <v>24</v>
      </c>
      <c r="FV3" s="14" t="s">
        <v>12</v>
      </c>
      <c r="FW3" s="14" t="s">
        <v>7</v>
      </c>
      <c r="FX3" s="14" t="s">
        <v>23</v>
      </c>
      <c r="FY3" s="14" t="s">
        <v>24</v>
      </c>
      <c r="FZ3" s="15" t="s">
        <v>12</v>
      </c>
      <c r="GA3" s="15" t="s">
        <v>7</v>
      </c>
      <c r="GB3" s="15" t="s">
        <v>23</v>
      </c>
      <c r="GC3" s="15" t="s">
        <v>24</v>
      </c>
      <c r="GD3" s="14"/>
      <c r="GE3" s="14"/>
      <c r="GF3" s="14"/>
      <c r="GG3" s="14"/>
      <c r="GH3" s="14"/>
      <c r="GI3" s="14"/>
      <c r="GJ3" s="14"/>
      <c r="GK3" s="14"/>
      <c r="GL3" s="13" t="s">
        <v>12</v>
      </c>
      <c r="GM3" s="13" t="s">
        <v>7</v>
      </c>
      <c r="GN3" s="13" t="s">
        <v>23</v>
      </c>
      <c r="GO3" s="13" t="s">
        <v>24</v>
      </c>
      <c r="GP3" s="13" t="s">
        <v>12</v>
      </c>
      <c r="GQ3" s="13" t="s">
        <v>7</v>
      </c>
      <c r="GR3" s="13" t="s">
        <v>23</v>
      </c>
      <c r="GS3" s="13" t="s">
        <v>24</v>
      </c>
      <c r="GT3" s="13" t="s">
        <v>12</v>
      </c>
      <c r="GU3" s="13" t="s">
        <v>7</v>
      </c>
      <c r="GV3" s="13" t="s">
        <v>23</v>
      </c>
      <c r="GW3" s="13" t="s">
        <v>24</v>
      </c>
      <c r="GX3" s="13" t="s">
        <v>12</v>
      </c>
      <c r="GY3" s="13" t="s">
        <v>7</v>
      </c>
      <c r="GZ3" s="13" t="s">
        <v>23</v>
      </c>
      <c r="HA3" s="13" t="s">
        <v>24</v>
      </c>
      <c r="HB3" s="16" t="s">
        <v>12</v>
      </c>
      <c r="HC3" s="16" t="s">
        <v>7</v>
      </c>
      <c r="HD3" s="16" t="s">
        <v>23</v>
      </c>
      <c r="HE3" s="16" t="s">
        <v>24</v>
      </c>
      <c r="HF3" s="13"/>
      <c r="HG3" s="13"/>
      <c r="HH3" s="13"/>
      <c r="HI3" s="13"/>
      <c r="HJ3" s="13"/>
      <c r="HK3" s="13"/>
      <c r="HL3" s="13"/>
      <c r="HM3" s="13"/>
      <c r="HN3" s="14" t="s">
        <v>12</v>
      </c>
      <c r="HO3" s="14" t="s">
        <v>7</v>
      </c>
      <c r="HP3" s="14" t="s">
        <v>23</v>
      </c>
      <c r="HQ3" s="14" t="s">
        <v>24</v>
      </c>
      <c r="HR3" s="14" t="s">
        <v>12</v>
      </c>
      <c r="HS3" s="14" t="s">
        <v>7</v>
      </c>
      <c r="HT3" s="14" t="s">
        <v>23</v>
      </c>
      <c r="HU3" s="14" t="s">
        <v>24</v>
      </c>
      <c r="HV3" s="14" t="s">
        <v>12</v>
      </c>
      <c r="HW3" s="14" t="s">
        <v>7</v>
      </c>
      <c r="HX3" s="14" t="s">
        <v>23</v>
      </c>
      <c r="HY3" s="14" t="s">
        <v>24</v>
      </c>
      <c r="HZ3" s="14" t="s">
        <v>12</v>
      </c>
      <c r="IA3" s="14" t="s">
        <v>7</v>
      </c>
      <c r="IB3" s="14" t="s">
        <v>23</v>
      </c>
      <c r="IC3" s="14" t="s">
        <v>24</v>
      </c>
      <c r="ID3" s="15" t="s">
        <v>12</v>
      </c>
      <c r="IE3" s="15" t="s">
        <v>7</v>
      </c>
      <c r="IF3" s="15" t="s">
        <v>23</v>
      </c>
      <c r="IG3" s="15" t="s">
        <v>24</v>
      </c>
      <c r="IH3" s="14"/>
      <c r="II3" s="14"/>
      <c r="IJ3" s="14"/>
      <c r="IK3" s="14"/>
      <c r="IL3" s="14"/>
      <c r="IM3" s="14"/>
      <c r="IN3" s="14"/>
      <c r="IO3" s="14"/>
      <c r="IP3" s="13" t="s">
        <v>12</v>
      </c>
      <c r="IQ3" s="13" t="s">
        <v>7</v>
      </c>
      <c r="IR3" s="13" t="s">
        <v>23</v>
      </c>
      <c r="IS3" s="13" t="s">
        <v>24</v>
      </c>
      <c r="IT3" s="13" t="s">
        <v>12</v>
      </c>
      <c r="IU3" s="13" t="s">
        <v>7</v>
      </c>
      <c r="IV3" s="13" t="s">
        <v>23</v>
      </c>
      <c r="IW3" s="13" t="s">
        <v>24</v>
      </c>
      <c r="IX3" s="13" t="s">
        <v>12</v>
      </c>
      <c r="IY3" s="13" t="s">
        <v>7</v>
      </c>
      <c r="IZ3" s="13" t="s">
        <v>23</v>
      </c>
      <c r="JA3" s="13" t="s">
        <v>24</v>
      </c>
      <c r="JB3" s="13" t="s">
        <v>12</v>
      </c>
      <c r="JC3" s="13" t="s">
        <v>7</v>
      </c>
      <c r="JD3" s="13" t="s">
        <v>23</v>
      </c>
      <c r="JE3" s="13" t="s">
        <v>24</v>
      </c>
      <c r="JF3" s="16" t="s">
        <v>12</v>
      </c>
      <c r="JG3" s="16" t="s">
        <v>7</v>
      </c>
      <c r="JH3" s="16" t="s">
        <v>23</v>
      </c>
      <c r="JI3" s="16" t="s">
        <v>24</v>
      </c>
      <c r="JJ3" s="13"/>
      <c r="JK3" s="13"/>
      <c r="JL3" s="13"/>
      <c r="JM3" s="13"/>
      <c r="JN3" s="13"/>
      <c r="JO3" s="13"/>
      <c r="JP3" s="13"/>
      <c r="JQ3" s="13"/>
      <c r="JR3" s="14" t="s">
        <v>12</v>
      </c>
      <c r="JS3" s="14" t="s">
        <v>7</v>
      </c>
      <c r="JT3" s="14" t="s">
        <v>23</v>
      </c>
      <c r="JU3" s="14" t="s">
        <v>24</v>
      </c>
      <c r="JV3" s="14" t="s">
        <v>12</v>
      </c>
      <c r="JW3" s="14" t="s">
        <v>7</v>
      </c>
      <c r="JX3" s="14" t="s">
        <v>23</v>
      </c>
      <c r="JY3" s="14" t="s">
        <v>24</v>
      </c>
      <c r="JZ3" s="14" t="s">
        <v>12</v>
      </c>
      <c r="KA3" s="14" t="s">
        <v>7</v>
      </c>
      <c r="KB3" s="14" t="s">
        <v>23</v>
      </c>
      <c r="KC3" s="14" t="s">
        <v>24</v>
      </c>
      <c r="KD3" s="14" t="s">
        <v>12</v>
      </c>
      <c r="KE3" s="14" t="s">
        <v>7</v>
      </c>
      <c r="KF3" s="14" t="s">
        <v>23</v>
      </c>
      <c r="KG3" s="14" t="s">
        <v>24</v>
      </c>
      <c r="KH3" s="15" t="s">
        <v>12</v>
      </c>
      <c r="KI3" s="15" t="s">
        <v>7</v>
      </c>
      <c r="KJ3" s="15" t="s">
        <v>23</v>
      </c>
      <c r="KK3" s="15" t="s">
        <v>24</v>
      </c>
      <c r="KL3" s="14"/>
      <c r="KM3" s="14"/>
      <c r="KN3" s="14"/>
      <c r="KO3" s="14"/>
      <c r="KP3" s="14"/>
      <c r="KQ3" s="14"/>
      <c r="KR3" s="14"/>
      <c r="KS3" s="14"/>
      <c r="KT3" s="13" t="s">
        <v>12</v>
      </c>
      <c r="KU3" s="13" t="s">
        <v>7</v>
      </c>
      <c r="KV3" s="13" t="s">
        <v>23</v>
      </c>
      <c r="KW3" s="13" t="s">
        <v>24</v>
      </c>
      <c r="KX3" s="13" t="s">
        <v>12</v>
      </c>
      <c r="KY3" s="13" t="s">
        <v>7</v>
      </c>
      <c r="KZ3" s="13" t="s">
        <v>23</v>
      </c>
      <c r="LA3" s="13" t="s">
        <v>24</v>
      </c>
      <c r="LB3" s="13" t="s">
        <v>12</v>
      </c>
      <c r="LC3" s="13" t="s">
        <v>7</v>
      </c>
      <c r="LD3" s="13" t="s">
        <v>23</v>
      </c>
      <c r="LE3" s="13" t="s">
        <v>24</v>
      </c>
      <c r="LF3" s="13" t="s">
        <v>12</v>
      </c>
      <c r="LG3" s="13" t="s">
        <v>7</v>
      </c>
      <c r="LH3" s="13" t="s">
        <v>23</v>
      </c>
      <c r="LI3" s="13" t="s">
        <v>24</v>
      </c>
      <c r="LJ3" s="16" t="s">
        <v>12</v>
      </c>
      <c r="LK3" s="16" t="s">
        <v>7</v>
      </c>
      <c r="LL3" s="16" t="s">
        <v>23</v>
      </c>
      <c r="LM3" s="16" t="s">
        <v>24</v>
      </c>
      <c r="LN3" s="13"/>
      <c r="LO3" s="13"/>
      <c r="LP3" s="13"/>
      <c r="LQ3" s="13"/>
      <c r="LR3" s="13"/>
      <c r="LS3" s="13"/>
      <c r="LT3" s="13"/>
      <c r="LU3" s="13"/>
      <c r="LV3" s="14" t="s">
        <v>12</v>
      </c>
      <c r="LW3" s="14" t="s">
        <v>7</v>
      </c>
      <c r="LX3" s="14" t="s">
        <v>23</v>
      </c>
      <c r="LY3" s="14" t="s">
        <v>24</v>
      </c>
      <c r="LZ3" s="14" t="s">
        <v>12</v>
      </c>
      <c r="MA3" s="14" t="s">
        <v>7</v>
      </c>
      <c r="MB3" s="14" t="s">
        <v>23</v>
      </c>
      <c r="MC3" s="14" t="s">
        <v>24</v>
      </c>
      <c r="MD3" s="14" t="s">
        <v>12</v>
      </c>
      <c r="ME3" s="14" t="s">
        <v>7</v>
      </c>
      <c r="MF3" s="14" t="s">
        <v>23</v>
      </c>
      <c r="MG3" s="14" t="s">
        <v>24</v>
      </c>
      <c r="MH3" s="14" t="s">
        <v>12</v>
      </c>
      <c r="MI3" s="14" t="s">
        <v>7</v>
      </c>
      <c r="MJ3" s="14" t="s">
        <v>23</v>
      </c>
      <c r="MK3" s="14" t="s">
        <v>24</v>
      </c>
      <c r="ML3" s="15" t="s">
        <v>12</v>
      </c>
      <c r="MM3" s="15" t="s">
        <v>7</v>
      </c>
      <c r="MN3" s="15" t="s">
        <v>23</v>
      </c>
      <c r="MO3" s="15" t="s">
        <v>24</v>
      </c>
      <c r="MP3" s="14"/>
      <c r="MQ3" s="14"/>
      <c r="MR3" s="14"/>
      <c r="MS3" s="14"/>
      <c r="MT3" s="14"/>
      <c r="MU3" s="14"/>
      <c r="MV3" s="14"/>
      <c r="MW3" s="14"/>
      <c r="MX3" s="13" t="s">
        <v>12</v>
      </c>
      <c r="MY3" s="13" t="s">
        <v>7</v>
      </c>
      <c r="MZ3" s="13" t="s">
        <v>23</v>
      </c>
      <c r="NA3" s="13" t="s">
        <v>24</v>
      </c>
      <c r="NB3" s="13" t="s">
        <v>12</v>
      </c>
      <c r="NC3" s="13" t="s">
        <v>7</v>
      </c>
      <c r="ND3" s="13" t="s">
        <v>23</v>
      </c>
      <c r="NE3" s="13" t="s">
        <v>24</v>
      </c>
      <c r="NF3" s="13" t="s">
        <v>12</v>
      </c>
      <c r="NG3" s="13" t="s">
        <v>7</v>
      </c>
      <c r="NH3" s="13" t="s">
        <v>23</v>
      </c>
      <c r="NI3" s="13" t="s">
        <v>24</v>
      </c>
      <c r="NJ3" s="13" t="s">
        <v>12</v>
      </c>
      <c r="NK3" s="13" t="s">
        <v>7</v>
      </c>
      <c r="NL3" s="13" t="s">
        <v>23</v>
      </c>
      <c r="NM3" s="13" t="s">
        <v>24</v>
      </c>
      <c r="NN3" s="16" t="s">
        <v>12</v>
      </c>
      <c r="NO3" s="16" t="s">
        <v>7</v>
      </c>
      <c r="NP3" s="16" t="s">
        <v>23</v>
      </c>
      <c r="NQ3" s="16" t="s">
        <v>24</v>
      </c>
      <c r="NR3" s="13"/>
      <c r="NS3" s="13"/>
      <c r="NT3" s="13"/>
      <c r="NU3" s="13"/>
      <c r="NV3" s="13"/>
      <c r="NW3" s="13"/>
      <c r="NX3" s="13"/>
      <c r="NY3" s="13"/>
      <c r="NZ3" s="14" t="s">
        <v>12</v>
      </c>
      <c r="OA3" s="14" t="s">
        <v>7</v>
      </c>
      <c r="OB3" s="14" t="s">
        <v>23</v>
      </c>
      <c r="OC3" s="14" t="s">
        <v>24</v>
      </c>
      <c r="OD3" s="14" t="s">
        <v>12</v>
      </c>
      <c r="OE3" s="14" t="s">
        <v>7</v>
      </c>
      <c r="OF3" s="14" t="s">
        <v>23</v>
      </c>
      <c r="OG3" s="14" t="s">
        <v>24</v>
      </c>
      <c r="OH3" s="14" t="s">
        <v>12</v>
      </c>
      <c r="OI3" s="14" t="s">
        <v>7</v>
      </c>
      <c r="OJ3" s="14" t="s">
        <v>23</v>
      </c>
      <c r="OK3" s="14" t="s">
        <v>24</v>
      </c>
      <c r="OL3" s="14" t="s">
        <v>12</v>
      </c>
      <c r="OM3" s="14" t="s">
        <v>7</v>
      </c>
      <c r="ON3" s="14" t="s">
        <v>23</v>
      </c>
      <c r="OO3" s="14" t="s">
        <v>24</v>
      </c>
      <c r="OP3" s="15" t="s">
        <v>12</v>
      </c>
      <c r="OQ3" s="15" t="s">
        <v>7</v>
      </c>
      <c r="OR3" s="15" t="s">
        <v>23</v>
      </c>
      <c r="OS3" s="15" t="s">
        <v>24</v>
      </c>
      <c r="OT3" s="14"/>
      <c r="OU3" s="14"/>
      <c r="OV3" s="14"/>
      <c r="OW3" s="14"/>
      <c r="OX3" s="14"/>
      <c r="OY3" s="14"/>
      <c r="OZ3" s="14"/>
      <c r="PA3" s="14"/>
      <c r="PB3" s="13" t="s">
        <v>12</v>
      </c>
      <c r="PC3" s="13" t="s">
        <v>7</v>
      </c>
      <c r="PD3" s="13" t="s">
        <v>23</v>
      </c>
      <c r="PE3" s="13" t="s">
        <v>24</v>
      </c>
      <c r="PF3" s="13" t="s">
        <v>12</v>
      </c>
      <c r="PG3" s="13" t="s">
        <v>7</v>
      </c>
      <c r="PH3" s="13" t="s">
        <v>23</v>
      </c>
      <c r="PI3" s="13" t="s">
        <v>24</v>
      </c>
      <c r="PJ3" s="13" t="s">
        <v>12</v>
      </c>
      <c r="PK3" s="13" t="s">
        <v>7</v>
      </c>
      <c r="PL3" s="13" t="s">
        <v>23</v>
      </c>
      <c r="PM3" s="13" t="s">
        <v>24</v>
      </c>
      <c r="PN3" s="13" t="s">
        <v>12</v>
      </c>
      <c r="PO3" s="13" t="s">
        <v>7</v>
      </c>
      <c r="PP3" s="13" t="s">
        <v>23</v>
      </c>
      <c r="PQ3" s="13" t="s">
        <v>24</v>
      </c>
      <c r="PR3" s="16" t="s">
        <v>12</v>
      </c>
      <c r="PS3" s="16" t="s">
        <v>7</v>
      </c>
      <c r="PT3" s="16" t="s">
        <v>23</v>
      </c>
      <c r="PU3" s="16" t="s">
        <v>24</v>
      </c>
      <c r="PV3" s="13"/>
      <c r="PW3" s="13"/>
      <c r="PX3" s="13"/>
      <c r="PY3" s="13"/>
      <c r="PZ3" s="13"/>
      <c r="QA3" s="13"/>
      <c r="QB3" s="13"/>
      <c r="QC3" s="13"/>
      <c r="QD3" s="14" t="s">
        <v>12</v>
      </c>
      <c r="QE3" s="14" t="s">
        <v>7</v>
      </c>
      <c r="QF3" s="14" t="s">
        <v>23</v>
      </c>
      <c r="QG3" s="14" t="s">
        <v>24</v>
      </c>
      <c r="QH3" s="14" t="s">
        <v>12</v>
      </c>
      <c r="QI3" s="14" t="s">
        <v>7</v>
      </c>
      <c r="QJ3" s="14" t="s">
        <v>23</v>
      </c>
      <c r="QK3" s="14" t="s">
        <v>24</v>
      </c>
      <c r="QL3" s="14" t="s">
        <v>12</v>
      </c>
      <c r="QM3" s="14" t="s">
        <v>7</v>
      </c>
      <c r="QN3" s="14" t="s">
        <v>23</v>
      </c>
      <c r="QO3" s="14" t="s">
        <v>24</v>
      </c>
      <c r="QP3" s="14" t="s">
        <v>12</v>
      </c>
      <c r="QQ3" s="14" t="s">
        <v>7</v>
      </c>
      <c r="QR3" s="14" t="s">
        <v>23</v>
      </c>
      <c r="QS3" s="14" t="s">
        <v>24</v>
      </c>
      <c r="QT3" s="21" t="s">
        <v>12</v>
      </c>
      <c r="QU3" s="21" t="s">
        <v>7</v>
      </c>
      <c r="QV3" s="21" t="s">
        <v>23</v>
      </c>
      <c r="QW3" s="21" t="s">
        <v>24</v>
      </c>
      <c r="QX3" s="14" t="s">
        <v>45</v>
      </c>
      <c r="QY3" s="14"/>
      <c r="QZ3" s="14"/>
      <c r="RA3" s="14"/>
      <c r="RB3" s="14"/>
      <c r="RC3" s="14"/>
      <c r="RD3" s="14"/>
      <c r="RE3" s="14"/>
      <c r="RF3" s="14"/>
    </row>
    <row r="4" spans="1:474" x14ac:dyDescent="0.2">
      <c r="A4" s="4" cm="1">
        <f t="array" ref="A4">IF(AND(J4&lt;&gt;"",J4&lt;&gt;"No DD"),SUMPRODUCT((J$4:J$36&lt;&gt;"")*(J$4:J$36&lt;&gt;"No DD")*(F$4:F$36&gt;F4))+1,IF(J4="No DD",SUMPRODUCT((J$4:J$36="No DD")*(F$4:F$36&gt;F4))+1+SUMPRODUCT((J$4:J$36&lt;&gt;"")*(J$4:J$36&lt;&gt;"No DD")),""))</f>
        <v>1</v>
      </c>
      <c r="B4" s="4" t="str" cm="1">
        <f t="array" ref="B4">IF(AND(J4&lt;&gt;"",J4&lt;&gt;"No DD",G4=""),SUMPRODUCT((J$4:J$36&lt;&gt;"")*(J$4:J$36&lt;&gt;"No DD")*(G$4:G$36="")*(F$4:F$36&gt;F4))+1,IF(J4="No DD",SUMPRODUCT((J$4:J$36="No DD")*(F$4:F$36&gt;F4)*(G$4:G$36=""))+1+SUMPRODUCT((J$4:J$36&lt;&gt;"")*(G$4:G$36="")*(J$4:J$36&lt;&gt;"No DD")),""))</f>
        <v/>
      </c>
      <c r="C4" s="5" t="s">
        <v>152</v>
      </c>
      <c r="D4" s="4" t="s">
        <v>5</v>
      </c>
      <c r="E4" s="4">
        <v>2007</v>
      </c>
      <c r="F4" s="9">
        <f t="shared" ref="F4:F35" si="0">SUM(L4:R4)+SUM(L4:O4)*0.0000001+SUM(L4)*0.0000000000001</f>
        <v>153.00001016500508</v>
      </c>
      <c r="G4" s="64" t="s">
        <v>46</v>
      </c>
      <c r="H4" s="3" t="str">
        <f t="shared" ref="H4:H35" si="1">IF(OR(AND(AP4&gt;=AW$38,AQ4&gt;=AW$42,AP4&lt;&gt;"",AO4=""),AND(AU4&gt;=AW$38,AV4&gt;=AW$42,AU4&lt;&gt;"",AO4=""),AND(BS4&gt;=BZ$38,BT4&gt;=BZ$42,BS4&lt;&gt;"",BR4=""),AND(BX4&gt;=BZ$38,BY4&gt;=BZ$42,BX4&lt;&gt;"",BR4=""),AND(CV4&gt;=DC$38,CW4&gt;=DC$42,CV4&lt;&gt;"",CU4=""),AND(DA4&gt;=DC$38,DB4&gt;=DC$42,DA4&lt;&gt;""),AND(DZ4&gt;=EG$38,EA4&gt;=EG$42,DZ4&lt;&gt;""),AND(EE4&gt;=EG$38,EF4&gt;=EG$42,EE4&lt;&gt;""),AND(FB4&gt;=FI$38,FC4&gt;=FI$42,FB4&lt;&gt;""),AND(FG4&gt;=FI$38,FH4&gt;=FI$42,FG4&lt;&gt;""),AND(GD4&gt;=GK$38,GE4&gt;=GK$42,GD4&lt;&gt;""),AND(GI4&gt;=GK$38,GJ4&gt;=GK$42,GI4&lt;&gt;""),AND(HF4&gt;=HM$38,HG4&gt;=HM$42,HF4&lt;&gt;""),AND(HK4&gt;=HM$38,HL4&gt;=HM$42,HK4&lt;&gt;""),AND(IH4&gt;=IO$38,II4&gt;=IO$42,IH4&lt;&gt;""),AND(IM4&gt;=IO$38,IN4&gt;=IO$42,IM4&lt;&gt;""),AND(JJ4&gt;=JQ$38,JK4&gt;=JQ$42,JJ4&lt;&gt;""),AND(JO4&gt;=JQ$38,JP4&gt;=JQ$42,JO4&lt;&gt;""),AND(KL4&gt;=KS$38,KM4&gt;=KS$42,KL4&lt;&gt;""),AND(KQ4&gt;=KS$38,KR4&gt;=KS$42,KQ4&lt;&gt;""),AND(LN4&gt;=LU$38,LO4&gt;=LU$42,LN4&lt;&gt;""),AND(LS4&gt;=LU$38,LT4&gt;=LU$42,LS4&lt;&gt;""),AND(MP4&gt;=MW$38,MQ4&gt;=MW$42,MP4&lt;&gt;""),AND(MU4&gt;=MW$38,MV4&gt;=MW$42,MU4&lt;&gt;""),AND(NR4&gt;=NY$38,NS4&gt;=NY$42,NR4&lt;&gt;""),AND(NW4&gt;=NY$38,NX4&gt;=NY$42,NW4&lt;&gt;""),AND(OT4&gt;=PA$38,OU4&gt;=PA$42,OT4&lt;&gt;""),AND(OY4&gt;=PA$38,OZ4&gt;=PA$42,OY4&lt;&gt;""),AND(PV4&gt;=QC$38,PW4&gt;=QC$42,PV4&lt;&gt;""),AND(QA4&gt;=QC$38,QB4&gt;=QC$42,QA4&lt;&gt;"")),"P","")</f>
        <v>P</v>
      </c>
      <c r="I4" s="3" t="str">
        <f t="shared" ref="I4:I35" si="2">IF(OR(AND(AQ4&gt;=AW$42,AQ4&lt;&gt;"",AO4=""),AND(AV4&gt;=AW$42,AV4&lt;&gt;"",AO4=""),AND(BT4&gt;=BZ$42,BT4&lt;&gt;"",BR4=""),AND(BY4&gt;=BZ$42,BY4&lt;&gt;"",BR4=""),AND(CW4&gt;=DC$42,CW4&lt;&gt;"",CU4=""),AND(DB4&gt;=DC$42,DB4&lt;&gt;"",CU4=""),AND(EA4&gt;=EG$42,EA4&lt;&gt;""),AND(EF4&gt;=EG$42,EF4&lt;&gt;""),AND(FC4&gt;=FI$42,FC4&lt;&gt;""),AND(FH4&gt;=FI$42,FH4&lt;&gt;""),AND(GE4&gt;=GK$42,GE4&lt;&gt;""),AND(GJ4&gt;=GK$42,GJ4&lt;&gt;""),AND(HG4&gt;=HM$42,HG4&lt;&gt;""),AND(HL4&gt;=HM$42,HL4&lt;&gt;""),AND(II4&gt;=IO$42,II4&lt;&gt;""),AND(IN4&gt;=IO$42,IN4&lt;&gt;""),AND(JK4&gt;=JQ$42,JK4&lt;&gt;""),AND(JP4&gt;=JQ$42,JP4&lt;&gt;""),AND(KM4&gt;=KS$42,KM4&lt;&gt;""),AND(KR4&gt;=KS$42,KR4&lt;&gt;""),AND(LO4&gt;=LU$42,LO4&lt;&gt;""),AND(LT4&gt;=LU$42,LT4&lt;&gt;""),AND(MQ4&gt;=MW$42,MQ4&lt;&gt;""),AND(MV4&gt;=MW$42,MV4&lt;&gt;""),AND(NS4&gt;=NY$42,NS4&lt;&gt;""),AND(NX4&gt;=NY$42,NX4&lt;&gt;""),AND(OU4&gt;=PA$42,OU4&lt;&gt;""),AND(OZ4&gt;=PA$42,OZ4&lt;&gt;""),AND(PW4&gt;=QC$42,PW4&lt;&gt;""),AND(QB4&gt;=QC$42,QB4&lt;&gt;"")),"P","")</f>
        <v>P</v>
      </c>
      <c r="J4" s="36" t="str">
        <f t="shared" ref="J4:J35" si="3">IF(AND(I4="P",H4=""),"No DD",IF(OR(AND(AS4&gt;=AW$41,AT4&gt;=AW$45,AS4&lt;&gt;"",AO4=""),AND(BV4&gt;=BZ$41,BW4&gt;=BZ$45,BV4&lt;&gt;"",BR4=""),AND(CY4&gt;=DC$41,CZ4&gt;=DC$45,CY4&lt;&gt;"",CU4=""),AND(EC4&gt;=EG$41,ED4&gt;=EG$45,EC4&lt;&gt;""),AND(FE4&gt;=FI$41,FF4&gt;=FI$45,FE4&lt;&gt;""),AND(GG4&gt;=GK$41,GH4&gt;=GK$45,GG4&lt;&gt;""),AND(HI4&gt;=HM$41,HJ4&gt;=HM$45,HI4&lt;&gt;""),AND(IK4&gt;=IO$41,IL4&gt;=IO$45,IK4&lt;&gt;""),AND(JM4&gt;=JQ$41,JN4&gt;=JQ$45,JM4&lt;&gt;""),AND(KO4&gt;=KS$41,KP4&gt;=KS$45,KO4&lt;&gt;""),AND(LQ4&gt;=LU$41,LR4&gt;=LU$45,LQ4&lt;&gt;""),AND(MS4&gt;=MW$41,MT4&gt;=MW$45,MS4&lt;&gt;""),AND(NU4&gt;=NY$41,NV4&gt;=NY$45,NU4&lt;&gt;""),AND(OW4&gt;=PA$41,OX4&gt;=PA$45,OW4&lt;&gt;""),AND(PY4&gt;=QC$41,PZ4&gt;=QC$45,PY4&lt;&gt;"")),"Merit",IF(OR(AND(AS4&gt;=AW$40,AT4&gt;=AW$44,AS4&lt;&gt;"",AO4=""),AND(BV4&gt;=BZ$40,BW4&gt;=BZ$44,BV4&lt;&gt;"",BR4=""),AND(CY4&gt;=DC$40,CZ4&gt;=DC$44,CY4&lt;&gt;"",CU4=""),AND(EC4&gt;=EG$40,ED4&gt;=EG$44,EC4&lt;&gt;""),AND(FE4&gt;=FI$40,FF4&gt;=FI$44,FE4&lt;&gt;""),AND(GG4&gt;=GK$40,GH4&gt;=GK$44,GG4&lt;&gt;""),AND(HI4&gt;=HM$40,HJ4&gt;=HM$44,HI4&lt;&gt;""),AND(IK4&gt;=IO$40,IL4&gt;=IO$44,IK4&lt;&gt;""),AND(JM4&gt;=JQ$40,JN4&gt;=JQ$44,JM4&lt;&gt;""),AND(KO4&gt;=KS$40,KP4&gt;=KS$44,KO4&lt;&gt;""),AND(LQ4&gt;=LU$40,LR4&gt;=LU$44,LQ4&lt;&gt;""),AND(MS4&gt;=MW$40,MT4&gt;=MW$44,MS4&lt;&gt;""),AND(NU4&gt;=NY$40,NV4&gt;=NY$44,NU4&lt;&gt;""),AND(OW4&gt;=PA$40,OX4&gt;=PA$44,OW4&lt;&gt;""),AND(PY4&gt;=QC$40,PZ4&gt;=QC$44,PY4&lt;&gt;"")),"Excellence",IF(K4="P","Worlds Team",IF(H4="P","National Team","")))))</f>
        <v>National Team</v>
      </c>
      <c r="K4" s="3" t="str">
        <f t="shared" ref="K4:K35" si="4">IF(OR(AND(AS4&gt;=AW$39,AT4&gt;=AW$43,AS4&lt;&gt;"",AO4=""),AND(BV4&gt;=BZ$39,BW4&gt;=BZ$43,BV4&lt;&gt;"",BR4=""),AND(CY4&gt;=DC$39,CZ4&gt;=DC$43,CY4&lt;&gt;"",CU4=""),AND(EC4&gt;=EG$39,ED4&gt;=EG$43,EC4&lt;&gt;""),AND(FE4&gt;=FI$39,FF4&gt;=FI$43,FE4&lt;&gt;""),AND(GG4&gt;=GK$39,GH4&gt;=GK$43,GG4&lt;&gt;""),AND(HI4&gt;=HM$39,HJ4&gt;=HM$43,HI4&lt;&gt;""),AND(IK4&gt;=IO$39,IL4&gt;=IO$43,IK4&lt;&gt;""),AND(JM4&gt;=JQ$39,JN4&gt;=JQ$43,JM4&lt;&gt;""),AND(KO4&gt;=KS$39,KP4&gt;=KS$43,KO4&lt;&gt;""),AND(LQ4&gt;=LU$39,LR4&gt;=LU$43,LQ4&lt;&gt;""),AND(MS4&gt;=MW$39,MT4&gt;=MW$43,MS4&lt;&gt;""),AND(NU4&gt;=NY$39,NV4&gt;=NY$43,NU4&lt;&gt;""),AND(OW4&gt;=PA$39,OX4&gt;=PA$43,OW4&lt;&gt;""),AND(PY4&gt;=QC$39,PZ4&gt;=QC$43,PY4&lt;&gt;"")),"P","")</f>
        <v/>
      </c>
      <c r="L4" s="8">
        <f>IF(COUNT(AQ4,BT4,CW4)&gt;0,LARGE((AQ4,BT4,CW4),1),0)</f>
        <v>51</v>
      </c>
      <c r="M4" s="8" t="str">
        <f t="shared" ref="M4:M35" si="5">IF(L4=0,"",IF(L4=CW4,$CA$1,IF(L4=BT4,$AX$1,IF(L4=AQ4,$U$1,""))))</f>
        <v>2024 Nationals</v>
      </c>
      <c r="N4" s="8">
        <f>IF(COUNT(AQ4,BT4,CW4)&gt;1,LARGE((AQ4,BT4,CW4),2),0)</f>
        <v>50.65</v>
      </c>
      <c r="O4" s="8" t="str">
        <f t="shared" ref="O4:O35" si="6">IF(N4=0,"",IF(AND(N4=L4,N4=AQ4,N4=BT4),$U$1,IF(AND(N4=L4,N4=AQ4,N4=CW4),$U$1,IF(AND(N4=L4,N4=BT4,N4=CW4),$AX$1,IF(N4=CW4,$CA$1,IF(N4=BT4,$AX$1,IF(N4=AQ4,$U$1,"")))))))</f>
        <v>2024 3rd Domestic Trial</v>
      </c>
      <c r="P4" s="8">
        <f t="shared" ref="P4:P35" si="7">IF(MAX(AV4,BY4,DB4)&gt;0,MAX(AV4,BY4,DB4),0)</f>
        <v>51.35</v>
      </c>
      <c r="Q4" s="8" t="str">
        <f t="shared" ref="Q4:Q35" si="8">IF(P4=0,"",IF(P4=DB4,$CA$1,IF(P4=BY4,$AX$1,IF(P4=AV4,$U$1,""))))</f>
        <v>2024 3rd Domestic Trial</v>
      </c>
      <c r="R4" s="8" t="str">
        <f t="shared" ref="R4:R35" si="9">IF(MAX(DD4:DE4)&gt;0,MAX(DD4:DE4),"")</f>
        <v/>
      </c>
      <c r="S4" s="11" t="str">
        <f>IF(R4="","",IF(R4=DD4,"("&amp;DD$2&amp;")",IF(R4=DE4,"("&amp;DE$2&amp;")")))</f>
        <v/>
      </c>
      <c r="T4" s="8" t="str">
        <f>IF(R4="","",IF(R4=DD4,IF(R4+IF(N4="",0,N4)=PW4,$PB$1,IF(R4+IF(N4="",0,N4)=OU4,$NZ$1,IF(R4+IF(N4="",0,N4)=NS4,$MX$1,IF(R4+IF(N4="",0,N4)=MQ4,$LV$1,IF(R4+IF(N4="",0,N4)=LO4,$KT$1,IF(R4+IF(N4="",0,N4)=KM4,$JR$1,IF(R4+IF(N4="",0,N4)=JK4,$IP$1,IF(R4+IF(N4="",0,N4)=II4,$HN$1,IF(R4+IF(N4="",0,N4)=HG4,$GL$1,IF(R4+IF(N4="",0,N4)=GE4,$FJ$1,IF(R4+IF(N4="",0,N4)=FC4,$EH$1,IF(R4+IF(N4="",0,N4)=EA4,$DF$1)))))))))))),IF(R4=DE4,IF(R4+IF(P4="",0,P4)=QB4,$PB$1,IF(R4+IF(P4="",0,P4)=OZ4,$NZ$1,IF(R4+IF(P4="",0,P4)=NX4,$MX$1,IF(R4+IF(P4="",0,P4)=MV4,$LV$1,IF(R4+IF(P4="",0,P4)=LT4,$KT$1,IF(R4+IF(P4="",0,P4)=KR4,$JR$1,IF(R4+IF(P4="",0,P4)=JP4,$IP$1,IF(R4+IF(P4="",0,P4)=IN4,$HN$1,IF(R4+IF(P4="",0,P4)=HL4,$GL$1,IF(R4+IF(P4="",0,P4)=GJ4,$FJ$1,IF(R4+IF(P4="",0,P4)=FH4,$EH$1,IF(R4+IF(P4="",0,P4)=EF4,$DF$1)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18.5</v>
      </c>
      <c r="Z4" s="19">
        <v>6.4</v>
      </c>
      <c r="AA4" s="19">
        <v>0</v>
      </c>
      <c r="AB4" s="19">
        <v>0</v>
      </c>
      <c r="AC4" s="19">
        <v>18.2</v>
      </c>
      <c r="AD4" s="19">
        <v>5.2</v>
      </c>
      <c r="AE4" s="19">
        <v>0.6</v>
      </c>
      <c r="AF4" s="19">
        <v>0.3</v>
      </c>
      <c r="AG4" s="19">
        <v>18.8</v>
      </c>
      <c r="AH4" s="19">
        <v>6.8</v>
      </c>
      <c r="AI4" s="19">
        <v>0</v>
      </c>
      <c r="AJ4" s="19">
        <v>0.3</v>
      </c>
      <c r="AK4" s="19">
        <v>18.899999999999999</v>
      </c>
      <c r="AL4" s="19">
        <v>6.4</v>
      </c>
      <c r="AM4" s="19">
        <v>0</v>
      </c>
      <c r="AN4" s="19">
        <v>0</v>
      </c>
      <c r="AO4" s="27"/>
      <c r="AP4" s="40">
        <f t="shared" ref="AP4:AP35" si="10">IF(SUM(V4,Z4)&gt;0,SUM(V4,Z4),"")</f>
        <v>13.2</v>
      </c>
      <c r="AQ4" s="40">
        <f t="shared" ref="AQ4:AQ35" si="11">IF(SUM(U4:V4,X4:Z4,AB4)-W4-AA4&gt;0,SUM(U4:V4,X4:Z4,AB4)-W4-AA4,"")</f>
        <v>51</v>
      </c>
      <c r="AR4" s="40">
        <f t="shared" ref="AR4:AR35" si="12">IF(SUM(AC4:AD4,AF4)-AE4&gt;0,SUM(AC4:AD4,AF4)-AE4,"")</f>
        <v>23.099999999999998</v>
      </c>
      <c r="AS4" s="40">
        <f t="shared" ref="AS4:AS35" si="13">IF(SUM(V4,Z4,AD4)&gt;0,SUM(V4,Z4,AD4),"")</f>
        <v>18.399999999999999</v>
      </c>
      <c r="AT4" s="40">
        <f t="shared" ref="AT4:AT35" si="14">IF(SUM(AQ4,AR4)&gt;0,SUM(AQ4,AR4),"")</f>
        <v>74.099999999999994</v>
      </c>
      <c r="AU4" s="40">
        <f t="shared" ref="AU4:AU35" si="15">IF(SUM(AH4,AL4)&gt;0,SUM(AH4,AL4),"")</f>
        <v>13.2</v>
      </c>
      <c r="AV4" s="40">
        <f t="shared" ref="AV4:AV35" si="16">IF(SUM(AG4:AH4,AJ4:AL4,AN4)-SUM(AI4,AM4)&gt;0,SUM(AG4:AH4,AJ4:AL4,AN4)-SUM(AI4,AM4),"")</f>
        <v>51.199999999999996</v>
      </c>
      <c r="AW4" s="40">
        <f t="shared" ref="AW4:AW35" si="17">IF(SUM(AQ4,AR4,AV4)&gt;0,SUM(AQ4,AR4,AV4),"")</f>
        <v>125.29999999999998</v>
      </c>
      <c r="AX4" s="18">
        <v>18.899999999999999</v>
      </c>
      <c r="AY4" s="18">
        <v>6.8</v>
      </c>
      <c r="AZ4" s="18">
        <v>0</v>
      </c>
      <c r="BA4" s="18">
        <v>0.3</v>
      </c>
      <c r="BB4" s="18">
        <v>18.55</v>
      </c>
      <c r="BC4" s="18">
        <v>6.4</v>
      </c>
      <c r="BD4" s="18">
        <v>0.3</v>
      </c>
      <c r="BE4" s="18">
        <v>0</v>
      </c>
      <c r="BF4" s="18">
        <v>18.299999999999997</v>
      </c>
      <c r="BG4" s="18">
        <v>5.6</v>
      </c>
      <c r="BH4" s="18">
        <v>0.6</v>
      </c>
      <c r="BI4" s="18">
        <v>0.3</v>
      </c>
      <c r="BJ4" s="18">
        <v>18.899999999999999</v>
      </c>
      <c r="BK4" s="18">
        <v>6.8</v>
      </c>
      <c r="BL4" s="18">
        <v>0</v>
      </c>
      <c r="BM4" s="18">
        <v>0.3</v>
      </c>
      <c r="BN4" s="18">
        <v>18.95</v>
      </c>
      <c r="BO4" s="18">
        <v>6.4</v>
      </c>
      <c r="BP4" s="18">
        <v>0</v>
      </c>
      <c r="BQ4" s="18">
        <v>0</v>
      </c>
      <c r="BR4" s="28" t="s">
        <v>46</v>
      </c>
      <c r="BS4" s="11">
        <f t="shared" ref="BS4:BS35" si="18">IF(SUM(AY4,BC4)&gt;0,SUM(AY4,BC4),"")</f>
        <v>13.2</v>
      </c>
      <c r="BT4" s="11">
        <f t="shared" ref="BT4:BT35" si="19">IF(SUM(AX4:AY4,BA4:BC4,BE4)-AZ4-BD4&gt;0,SUM(AX4:AY4,BA4:BC4,BE4)-AZ4-BD4,"")</f>
        <v>50.65</v>
      </c>
      <c r="BU4" s="11">
        <f t="shared" ref="BU4:BU35" si="20">IF(SUM(BF4:BG4,BI4)-BH4&gt;0,SUM(BF4:BG4,BI4)-BH4,"")</f>
        <v>23.599999999999998</v>
      </c>
      <c r="BV4" s="11">
        <f t="shared" ref="BV4:BV35" si="21">IF(SUM(AY4,BC4,BG4)&gt;0,SUM(AY4,BC4,BG4),"")</f>
        <v>18.799999999999997</v>
      </c>
      <c r="BW4" s="11">
        <f t="shared" ref="BW4:BW35" si="22">IF(SUM(BT4,BU4)&gt;0,SUM(BT4,BU4),"")</f>
        <v>74.25</v>
      </c>
      <c r="BX4" s="11">
        <f t="shared" ref="BX4:BX35" si="23">IF(SUM(BK4,BO4)&gt;0,SUM(BK4,BO4),"")</f>
        <v>13.2</v>
      </c>
      <c r="BY4" s="11">
        <f t="shared" ref="BY4:BY35" si="24">IF(SUM(BJ4:BK4,BM4:BO4,BQ4)-SUM(BL4,BP4)&gt;0,SUM(BJ4:BK4,BM4:BO4,BQ4)-SUM(BL4,BP4),"")</f>
        <v>51.35</v>
      </c>
      <c r="BZ4" s="11">
        <f t="shared" ref="BZ4:BZ35" si="25">IF(SUM(BT4,BU4,BY4)&gt;0,SUM(BT4,BU4,BY4),"")</f>
        <v>125.6</v>
      </c>
      <c r="CA4" s="19">
        <v>18.760000000000002</v>
      </c>
      <c r="CB4" s="19">
        <v>6.8</v>
      </c>
      <c r="CC4" s="19">
        <v>0.8</v>
      </c>
      <c r="CD4" s="19">
        <v>0.3</v>
      </c>
      <c r="CE4" s="19">
        <v>18.399999999999999</v>
      </c>
      <c r="CF4" s="19">
        <v>4.8</v>
      </c>
      <c r="CG4" s="19">
        <v>0</v>
      </c>
      <c r="CH4" s="19">
        <v>0</v>
      </c>
      <c r="CI4" s="19"/>
      <c r="CJ4" s="19"/>
      <c r="CK4" s="19"/>
      <c r="CL4" s="19"/>
      <c r="CM4" s="19">
        <v>18.2</v>
      </c>
      <c r="CN4" s="19">
        <v>7.2</v>
      </c>
      <c r="CO4" s="19">
        <v>0.2</v>
      </c>
      <c r="CP4" s="19">
        <v>0.3</v>
      </c>
      <c r="CQ4" s="19">
        <v>18.600000000000001</v>
      </c>
      <c r="CR4" s="19">
        <v>6</v>
      </c>
      <c r="CS4" s="19">
        <v>0</v>
      </c>
      <c r="CT4" s="19">
        <v>0</v>
      </c>
      <c r="CU4" s="27"/>
      <c r="CV4" s="40">
        <f t="shared" ref="CV4:CV35" si="26">IF(SUM(CB4,CF4)&gt;0,SUM(CB4,CF4),"")</f>
        <v>11.6</v>
      </c>
      <c r="CW4" s="40">
        <f t="shared" ref="CW4:CW35" si="27">IF(SUM(CA4:CB4,CD4:CF4,CH4)-CC4-CG4&gt;0,SUM(CA4:CB4,CD4:CF4,CH4)-CC4-CG4,"")</f>
        <v>48.260000000000005</v>
      </c>
      <c r="CX4" s="40" t="str">
        <f t="shared" ref="CX4:CX35" si="28">IF(SUM(CI4:CJ4,CL4)-CK4&gt;0,SUM(CI4:CJ4,CL4)-CK4,"")</f>
        <v/>
      </c>
      <c r="CY4" s="40">
        <f t="shared" ref="CY4:CY35" si="29">IF(SUM(CB4,CF4,CJ4)&gt;0,SUM(CB4,CF4,CJ4),"")</f>
        <v>11.6</v>
      </c>
      <c r="CZ4" s="40">
        <f t="shared" ref="CZ4:CZ35" si="30">IF(SUM(CW4,CX4)&gt;0,SUM(CW4,CX4),"")</f>
        <v>48.260000000000005</v>
      </c>
      <c r="DA4" s="40">
        <f t="shared" ref="DA4:DA35" si="31">IF(SUM(CN4,CR4)&gt;0,SUM(CN4,CR4),"")</f>
        <v>13.2</v>
      </c>
      <c r="DB4" s="40">
        <f t="shared" ref="DB4:DB35" si="32">IF(SUM(CM4:CN4,CP4:CR4,CT4)-SUM(CO4,CS4)&gt;0,SUM(CM4:CN4,CP4:CR4,CT4)-SUM(CO4,CS4),"")</f>
        <v>50.099999999999994</v>
      </c>
      <c r="DC4" s="40">
        <f t="shared" ref="DC4:DC35" si="33">IF(SUM(CW4,CX4,DB4)&gt;0,SUM(CW4,CX4,DB4),"")</f>
        <v>98.36</v>
      </c>
      <c r="DD4" s="50" t="str">
        <f t="shared" ref="DD4:DD35" si="34">IF(MAX(EA4,FC4,GE4,HG4,II4,JK4,KM4,LO4,MQ4,NS4,OU4,PW4)-IF(N4="",0,N4)&gt;0.001,MAX(EA4,FC4,GE4,HG4,II4,JK4,KM4,LO4,MQ4,NS4,OU4,PW4)-IF(N4="",0,N4),"")</f>
        <v/>
      </c>
      <c r="DE4" s="50" t="str">
        <f t="shared" ref="DE4:DE35" si="35">IF(MAX(EF4,FH4,GJ4,HL4,IN4,JP4,KR4,LT4,MV4,NX4,OZ4,QB4)-IF(P4="",0,P4)&gt;0.001,MAX(EF4,FH4,GJ4,HL4,IN4,JP4,KR4,LT4,MV4,NX4,OZ4,QB4)-IF(P4="",0,P4),"")</f>
        <v/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40" t="str">
        <f t="shared" ref="DZ4:DZ35" si="36">IF(SUM(DG4,DK4)&gt;0,SUM(DG4,DK4),"")</f>
        <v/>
      </c>
      <c r="EA4" s="40" t="str">
        <f t="shared" ref="EA4:EA35" si="37">IF(SUM(DF4:DG4,DI4:DK4,DM4)-DH4-DL4&gt;0,SUM(DF4:DG4,DI4:DK4,DM4)-DH4-DL4,"")</f>
        <v/>
      </c>
      <c r="EB4" s="40" t="str">
        <f t="shared" ref="EB4:EB35" si="38">IF(SUM(DN4:DO4,DQ4)-DP4&gt;0,SUM(DN4:DO4,DQ4)-DP4,"")</f>
        <v/>
      </c>
      <c r="EC4" s="40" t="str">
        <f t="shared" ref="EC4:EC35" si="39">IF(SUM(DG4,DK4,DO4)&gt;0,SUM(DG4,DK4,DO4),"")</f>
        <v/>
      </c>
      <c r="ED4" s="40" t="str">
        <f t="shared" ref="ED4:ED35" si="40">IF(SUM(EA4,EB4)&gt;0,SUM(EA4,EB4),"")</f>
        <v/>
      </c>
      <c r="EE4" s="40" t="str">
        <f t="shared" ref="EE4:EE35" si="41">IF(SUM(DS4,DW4)&gt;0,SUM(DS4,DW4),"")</f>
        <v/>
      </c>
      <c r="EF4" s="40" t="str">
        <f t="shared" ref="EF4:EF35" si="42">IF(SUM(DR4:DS4,DU4:DW4,DY4)-SUM(DT4,DX4)&gt;0,SUM(DR4:DS4,DU4:DW4,DY4)-SUM(DT4,DX4),"")</f>
        <v/>
      </c>
      <c r="EG4" s="40" t="str">
        <f t="shared" ref="EG4:EG35" si="43">IF(SUM(EA4,EB4,EF4)&gt;0,SUM(EA4,EB4,EF4),"")</f>
        <v/>
      </c>
      <c r="EH4" s="18">
        <v>18.8</v>
      </c>
      <c r="EI4" s="18">
        <v>7.2</v>
      </c>
      <c r="EJ4" s="18">
        <v>0</v>
      </c>
      <c r="EK4" s="18">
        <v>0</v>
      </c>
      <c r="EL4" s="18">
        <v>18.600000000000001</v>
      </c>
      <c r="EM4" s="18">
        <v>6</v>
      </c>
      <c r="EN4" s="18">
        <v>0.2</v>
      </c>
      <c r="EO4" s="18">
        <v>0</v>
      </c>
      <c r="EP4" s="18"/>
      <c r="EQ4" s="18"/>
      <c r="ER4" s="18"/>
      <c r="ES4" s="18"/>
      <c r="ET4" s="18">
        <v>19</v>
      </c>
      <c r="EU4" s="18">
        <v>7.2</v>
      </c>
      <c r="EV4" s="18">
        <v>0</v>
      </c>
      <c r="EW4" s="18">
        <v>0</v>
      </c>
      <c r="EX4" s="18">
        <v>18.600000000000001</v>
      </c>
      <c r="EY4" s="18">
        <v>6</v>
      </c>
      <c r="EZ4" s="18">
        <v>0.6</v>
      </c>
      <c r="FA4" s="18">
        <v>0</v>
      </c>
      <c r="FB4" s="11">
        <f t="shared" ref="FB4:FB35" si="44">IF(SUM(EI4,EM4)&gt;0,SUM(EI4,EM4),"")</f>
        <v>13.2</v>
      </c>
      <c r="FC4" s="11">
        <f t="shared" ref="FC4:FC35" si="45">IF(SUM(EH4:EI4,EK4:EM4,EO4)-EJ4-EN4&gt;0,SUM(EH4:EI4,EK4:EM4,EO4)-EJ4-EN4,"")</f>
        <v>50.4</v>
      </c>
      <c r="FD4" s="11" t="str">
        <f t="shared" ref="FD4:FD35" si="46">IF(SUM(EP4:EQ4,ES4)-ER4&gt;0,SUM(EP4:EQ4,ES4)-ER4,"")</f>
        <v/>
      </c>
      <c r="FE4" s="11">
        <f t="shared" ref="FE4:FE35" si="47">IF(SUM(EI4,EM4,EQ4)&gt;0,SUM(EI4,EM4,EQ4),"")</f>
        <v>13.2</v>
      </c>
      <c r="FF4" s="11">
        <f t="shared" ref="FF4:FF35" si="48">IF(SUM(FC4,FD4)&gt;0,SUM(FC4,FD4),"")</f>
        <v>50.4</v>
      </c>
      <c r="FG4" s="11">
        <f t="shared" ref="FG4:FG35" si="49">IF(SUM(EU4,EY4)&gt;0,SUM(EU4,EY4),"")</f>
        <v>13.2</v>
      </c>
      <c r="FH4" s="11">
        <f t="shared" ref="FH4:FH35" si="50">IF(SUM(ET4:EU4,EW4:EY4,FA4)-SUM(EV4,EZ4)&gt;0,SUM(ET4:EU4,EW4:EY4,FA4)-SUM(EV4,EZ4),"")</f>
        <v>50.199999999999996</v>
      </c>
      <c r="FI4" s="11">
        <f t="shared" ref="FI4:FI35" si="51">IF(SUM(FC4,FD4,FH4)&gt;0,SUM(FC4,FD4,FH4),"")</f>
        <v>100.6</v>
      </c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40" t="str">
        <f t="shared" ref="GD4:GD35" si="52">IF(SUM(FK4,FO4)&gt;0,SUM(FK4,FO4),"")</f>
        <v/>
      </c>
      <c r="GE4" s="40" t="str">
        <f t="shared" ref="GE4:GE35" si="53">IF(SUM(FJ4:FK4,FM4:FO4,FQ4)-FL4-FP4&gt;0,SUM(FJ4:FK4,FM4:FO4,FQ4)-FL4-FP4,"")</f>
        <v/>
      </c>
      <c r="GF4" s="40" t="str">
        <f t="shared" ref="GF4:GF35" si="54">IF(SUM(FR4:FS4,FU4)-FT4&gt;0,SUM(FR4:FS4,FU4)-FT4,"")</f>
        <v/>
      </c>
      <c r="GG4" s="40" t="str">
        <f t="shared" ref="GG4:GG35" si="55">IF(SUM(FK4,FO4,FS4)&gt;0,SUM(FK4,FO4,FS4),"")</f>
        <v/>
      </c>
      <c r="GH4" s="40" t="str">
        <f t="shared" ref="GH4:GH35" si="56">IF(SUM(GE4,GF4)&gt;0,SUM(GE4,GF4),"")</f>
        <v/>
      </c>
      <c r="GI4" s="40" t="str">
        <f t="shared" ref="GI4:GI35" si="57">IF(SUM(FW4,GA4)&gt;0,SUM(FW4,GA4),"")</f>
        <v/>
      </c>
      <c r="GJ4" s="40" t="str">
        <f t="shared" ref="GJ4:GJ35" si="58">IF(SUM(FV4:FW4,FY4:GA4,GC4)-SUM(FX4,GB4)&gt;0,SUM(FV4:FW4,FY4:GA4,GC4)-SUM(FX4,GB4),"")</f>
        <v/>
      </c>
      <c r="GK4" s="40" t="str">
        <f t="shared" ref="GK4:GK35" si="59">IF(SUM(GE4,GF4,GJ4)&gt;0,SUM(GE4,GF4,GJ4),"")</f>
        <v/>
      </c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1" t="str">
        <f t="shared" ref="HF4:HF35" si="60">IF(SUM(GM4,GQ4)&gt;0,SUM(GM4,GQ4),"")</f>
        <v/>
      </c>
      <c r="HG4" s="11" t="str">
        <f t="shared" ref="HG4:HG35" si="61">IF(SUM(GL4:GM4,GO4:GQ4,GS4)-GN4-GR4&gt;0,SUM(GL4:GM4,GO4:GQ4,GS4)-GN4-GR4,"")</f>
        <v/>
      </c>
      <c r="HH4" s="11" t="str">
        <f t="shared" ref="HH4:HH35" si="62">IF(SUM(GT4:GU4,GW4)-GV4&gt;0,SUM(GT4:GU4,GW4)-GV4,"")</f>
        <v/>
      </c>
      <c r="HI4" s="11" t="str">
        <f t="shared" ref="HI4:HI35" si="63">IF(SUM(GM4,GQ4,GU4)&gt;0,SUM(GM4,GQ4,GU4),"")</f>
        <v/>
      </c>
      <c r="HJ4" s="11" t="str">
        <f t="shared" ref="HJ4:HJ35" si="64">IF(SUM(HG4,HH4)&gt;0,SUM(HG4,HH4),"")</f>
        <v/>
      </c>
      <c r="HK4" s="11" t="str">
        <f t="shared" ref="HK4:HK35" si="65">IF(SUM(GY4,HC4)&gt;0,SUM(GY4,HC4),"")</f>
        <v/>
      </c>
      <c r="HL4" s="11" t="str">
        <f t="shared" ref="HL4:HL35" si="66">IF(SUM(GX4:GY4,HA4:HC4,HE4)-SUM(GZ4,HD4)&gt;0,SUM(GX4:GY4,HA4:HC4,HE4)-SUM(GZ4,HD4),"")</f>
        <v/>
      </c>
      <c r="HM4" s="11" t="str">
        <f t="shared" ref="HM4:HM35" si="67">IF(SUM(HG4,HH4,HL4)&gt;0,SUM(HG4,HH4,HL4),"")</f>
        <v/>
      </c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40" t="str">
        <f t="shared" ref="IH4:IH35" si="68">IF(SUM(HO4,HS4)&gt;0,SUM(HO4,HS4),"")</f>
        <v/>
      </c>
      <c r="II4" s="40" t="str">
        <f t="shared" ref="II4:II35" si="69">IF(SUM(HN4:HO4,HQ4:HS4,HU4)-HP4-HT4&gt;0,SUM(HN4:HO4,HQ4:HS4,HU4)-HP4-HT4,"")</f>
        <v/>
      </c>
      <c r="IJ4" s="40" t="str">
        <f t="shared" ref="IJ4:IJ35" si="70">IF(SUM(HV4:HW4,HY4)-HX4&gt;0,SUM(HV4:HW4,HY4)-HX4,"")</f>
        <v/>
      </c>
      <c r="IK4" s="40" t="str">
        <f t="shared" ref="IK4:IK35" si="71">IF(SUM(HO4,HS4,HW4)&gt;0,SUM(HO4,HS4,HW4),"")</f>
        <v/>
      </c>
      <c r="IL4" s="40" t="str">
        <f t="shared" ref="IL4:IL35" si="72">IF(SUM(II4,IJ4)&gt;0,SUM(II4,IJ4),"")</f>
        <v/>
      </c>
      <c r="IM4" s="40" t="str">
        <f t="shared" ref="IM4:IM35" si="73">IF(SUM(IA4,IE4)&gt;0,SUM(IA4,IE4),"")</f>
        <v/>
      </c>
      <c r="IN4" s="40" t="str">
        <f t="shared" ref="IN4:IN35" si="74">IF(SUM(HZ4:IA4,IC4:IE4,IG4)-SUM(IB4,IF4)&gt;0,SUM(HZ4:IA4,IC4:IE4,IG4)-SUM(IB4,IF4),"")</f>
        <v/>
      </c>
      <c r="IO4" s="40" t="str">
        <f t="shared" ref="IO4:IO35" si="75">IF(SUM(II4,IJ4,IN4)&gt;0,SUM(II4,IJ4,IN4),"")</f>
        <v/>
      </c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1" t="str">
        <f t="shared" ref="JJ4:JJ35" si="76">IF(SUM(IQ4,IU4)&gt;0,SUM(IQ4,IU4),"")</f>
        <v/>
      </c>
      <c r="JK4" s="11" t="str">
        <f t="shared" ref="JK4:JK35" si="77">IF(SUM(IP4:IQ4,IS4:IU4,IW4)-IR4-IV4&gt;0,SUM(IP4:IQ4,IS4:IU4,IW4)-IR4-IV4,"")</f>
        <v/>
      </c>
      <c r="JL4" s="11" t="str">
        <f t="shared" ref="JL4:JL35" si="78">IF(SUM(IX4:IY4,JA4)-IZ4&gt;0,SUM(IX4:IY4,JA4)-IZ4,"")</f>
        <v/>
      </c>
      <c r="JM4" s="11" t="str">
        <f t="shared" ref="JM4:JM35" si="79">IF(SUM(IQ4,IU4,IY4)&gt;0,SUM(IQ4,IU4,IY4),"")</f>
        <v/>
      </c>
      <c r="JN4" s="11" t="str">
        <f t="shared" ref="JN4:JN35" si="80">IF(SUM(JK4,JL4)&gt;0,SUM(JK4,JL4),"")</f>
        <v/>
      </c>
      <c r="JO4" s="11" t="str">
        <f t="shared" ref="JO4:JO35" si="81">IF(SUM(JC4,JG4)&gt;0,SUM(JC4,JG4),"")</f>
        <v/>
      </c>
      <c r="JP4" s="11" t="str">
        <f t="shared" ref="JP4:JP35" si="82">IF(SUM(JB4:JC4,JE4:JG4,JI4)-SUM(JD4,JH4)&gt;0,SUM(JB4:JC4,JE4:JG4,JI4)-SUM(JD4,JH4),"")</f>
        <v/>
      </c>
      <c r="JQ4" s="11" t="str">
        <f t="shared" ref="JQ4:JQ35" si="83">IF(SUM(JK4,JL4,JP4)&gt;0,SUM(JK4,JL4,JP4),"")</f>
        <v/>
      </c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40" t="str">
        <f t="shared" ref="KL4:KL35" si="84">IF(SUM(JS4,JW4)&gt;0,SUM(JS4,JW4),"")</f>
        <v/>
      </c>
      <c r="KM4" s="40" t="str">
        <f t="shared" ref="KM4:KM35" si="85">IF(SUM(JR4:JS4,JU4:JW4,JY4)-JT4-JX4&gt;0,SUM(JR4:JS4,JU4:JW4,JY4)-JT4-JX4,"")</f>
        <v/>
      </c>
      <c r="KN4" s="40" t="str">
        <f t="shared" ref="KN4:KN35" si="86">IF(SUM(JZ4:KA4,KC4)-KB4&gt;0,SUM(JZ4:KA4,KC4)-KB4,"")</f>
        <v/>
      </c>
      <c r="KO4" s="40" t="str">
        <f t="shared" ref="KO4:KO35" si="87">IF(SUM(JS4,JW4,KA4)&gt;0,SUM(JS4,JW4,KA4),"")</f>
        <v/>
      </c>
      <c r="KP4" s="40" t="str">
        <f t="shared" ref="KP4:KP35" si="88">IF(SUM(KM4,KN4)&gt;0,SUM(KM4,KN4),"")</f>
        <v/>
      </c>
      <c r="KQ4" s="40" t="str">
        <f t="shared" ref="KQ4:KQ35" si="89">IF(SUM(KE4,KI4)&gt;0,SUM(KE4,KI4),"")</f>
        <v/>
      </c>
      <c r="KR4" s="40" t="str">
        <f t="shared" ref="KR4:KR35" si="90">IF(SUM(KD4:KE4,KG4:KI4,KK4)-SUM(KF4,KJ4)&gt;0,SUM(KD4:KE4,KG4:KI4,KK4)-SUM(KF4,KJ4),"")</f>
        <v/>
      </c>
      <c r="KS4" s="40" t="str">
        <f t="shared" ref="KS4:KS35" si="91">IF(SUM(KM4,KN4,KR4)&gt;0,SUM(KM4,KN4,KR4),"")</f>
        <v/>
      </c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1" t="str">
        <f t="shared" ref="LN4:LN35" si="92">IF(SUM(KU4,KY4)&gt;0,SUM(KU4,KY4),"")</f>
        <v/>
      </c>
      <c r="LO4" s="11" t="str">
        <f t="shared" ref="LO4:LO35" si="93">IF(SUM(KT4:KU4,KW4:KY4,LA4)-KV4-KZ4&gt;0,SUM(KT4:KU4,KW4:KY4,LA4)-KV4-KZ4,"")</f>
        <v/>
      </c>
      <c r="LP4" s="11" t="str">
        <f t="shared" ref="LP4:LP35" si="94">IF(SUM(LB4:LC4,LE4)-LD4&gt;0,SUM(LB4:LC4,LE4)-LD4,"")</f>
        <v/>
      </c>
      <c r="LQ4" s="11" t="str">
        <f t="shared" ref="LQ4:LQ35" si="95">IF(SUM(KU4,KY4,LC4)&gt;0,SUM(KU4,KY4,LC4),"")</f>
        <v/>
      </c>
      <c r="LR4" s="11" t="str">
        <f t="shared" ref="LR4:LR35" si="96">IF(SUM(LO4,LP4)&gt;0,SUM(LO4,LP4),"")</f>
        <v/>
      </c>
      <c r="LS4" s="11" t="str">
        <f t="shared" ref="LS4:LS35" si="97">IF(SUM(LG4,LK4)&gt;0,SUM(LG4,LK4),"")</f>
        <v/>
      </c>
      <c r="LT4" s="11" t="str">
        <f t="shared" ref="LT4:LT35" si="98">IF(SUM(LF4:LG4,LI4:LK4,LM4)-SUM(LH4,LL4)&gt;0,SUM(LF4:LG4,LI4:LK4,LM4)-SUM(LH4,LL4),"")</f>
        <v/>
      </c>
      <c r="LU4" s="11" t="str">
        <f t="shared" ref="LU4:LU35" si="99">IF(SUM(LO4,LP4,LT4)&gt;0,SUM(LO4,LP4,LT4),"")</f>
        <v/>
      </c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40" t="str">
        <f t="shared" ref="MP4:MP35" si="100">IF(SUM(LW4,MA4)&gt;0,SUM(LW4,MA4),"")</f>
        <v/>
      </c>
      <c r="MQ4" s="40" t="str">
        <f t="shared" ref="MQ4:MQ35" si="101">IF(SUM(LV4:LW4,LY4:MA4,MC4)-LX4-MB4&gt;0,SUM(LV4:LW4,LY4:MA4,MC4)-LX4-MB4,"")</f>
        <v/>
      </c>
      <c r="MR4" s="40" t="str">
        <f t="shared" ref="MR4:MR35" si="102">IF(SUM(MD4:ME4,MG4)-MF4&gt;0,SUM(MD4:ME4,MG4)-MF4,"")</f>
        <v/>
      </c>
      <c r="MS4" s="40" t="str">
        <f t="shared" ref="MS4:MS35" si="103">IF(SUM(LW4,MA4,ME4)&gt;0,SUM(LW4,MA4,ME4),"")</f>
        <v/>
      </c>
      <c r="MT4" s="40" t="str">
        <f t="shared" ref="MT4:MT35" si="104">IF(SUM(MQ4,MR4)&gt;0,SUM(MQ4,MR4),"")</f>
        <v/>
      </c>
      <c r="MU4" s="40" t="str">
        <f t="shared" ref="MU4:MU35" si="105">IF(SUM(MI4,MM4)&gt;0,SUM(MI4,MM4),"")</f>
        <v/>
      </c>
      <c r="MV4" s="40" t="str">
        <f t="shared" ref="MV4:MV35" si="106">IF(SUM(MH4:MI4,MK4:MM4,MO4)-SUM(MJ4,MN4)&gt;0,SUM(MH4:MI4,MK4:MM4,MO4)-SUM(MJ4,MN4),"")</f>
        <v/>
      </c>
      <c r="MW4" s="40" t="str">
        <f t="shared" ref="MW4:MW35" si="107">IF(SUM(MQ4,MR4,MV4)&gt;0,SUM(MQ4,MR4,MV4),"")</f>
        <v/>
      </c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1" t="str">
        <f t="shared" ref="NR4:NR35" si="108">IF(SUM(MY4,NC4)&gt;0,SUM(MY4,NC4),"")</f>
        <v/>
      </c>
      <c r="NS4" s="11" t="str">
        <f t="shared" ref="NS4:NS35" si="109">IF(SUM(MX4:MY4,NA4:NC4,NE4)-MZ4-ND4&gt;0,SUM(MX4:MY4,NA4:NC4,NE4)-MZ4-ND4,"")</f>
        <v/>
      </c>
      <c r="NT4" s="11" t="str">
        <f t="shared" ref="NT4:NT35" si="110">IF(SUM(NF4:NG4,NI4)-NH4&gt;0,SUM(NF4:NG4,NI4)-NH4,"")</f>
        <v/>
      </c>
      <c r="NU4" s="11" t="str">
        <f t="shared" ref="NU4:NU35" si="111">IF(SUM(MY4,NC4,NG4)&gt;0,SUM(MY4,NC4,NG4),"")</f>
        <v/>
      </c>
      <c r="NV4" s="11" t="str">
        <f t="shared" ref="NV4:NV35" si="112">IF(SUM(NS4,NT4)&gt;0,SUM(NS4,NT4),"")</f>
        <v/>
      </c>
      <c r="NW4" s="11" t="str">
        <f t="shared" ref="NW4:NW35" si="113">IF(SUM(NK4,NO4)&gt;0,SUM(NK4,NO4),"")</f>
        <v/>
      </c>
      <c r="NX4" s="11" t="str">
        <f t="shared" ref="NX4:NX35" si="114">IF(SUM(NJ4:NK4,NM4:NO4,NQ4)-SUM(NL4,NP4)&gt;0,SUM(NJ4:NK4,NM4:NO4,NQ4)-SUM(NL4,NP4),"")</f>
        <v/>
      </c>
      <c r="NY4" s="11" t="str">
        <f t="shared" ref="NY4:NY35" si="115">IF(SUM(NS4,NT4,NX4)&gt;0,SUM(NS4,NT4,NX4),"")</f>
        <v/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40" t="str">
        <f t="shared" ref="OT4:OT35" si="116">IF(SUM(OA4,OE4)&gt;0,SUM(OA4,OE4),"")</f>
        <v/>
      </c>
      <c r="OU4" s="40" t="str">
        <f t="shared" ref="OU4:OU35" si="117">IF(SUM(NZ4:OA4,OC4:OE4,OG4)-OB4-OF4&gt;0,SUM(NZ4:OA4,OC4:OE4,OG4)-OB4-OF4,"")</f>
        <v/>
      </c>
      <c r="OV4" s="40" t="str">
        <f t="shared" ref="OV4:OV35" si="118">IF(SUM(OH4:OI4,OK4)-OJ4&gt;0,SUM(OH4:OI4,OK4)-OJ4,"")</f>
        <v/>
      </c>
      <c r="OW4" s="40" t="str">
        <f t="shared" ref="OW4:OW35" si="119">IF(SUM(OA4,OE4,OI4)&gt;0,SUM(OA4,OE4,OI4),"")</f>
        <v/>
      </c>
      <c r="OX4" s="40" t="str">
        <f t="shared" ref="OX4:OX35" si="120">IF(SUM(OU4,OV4)&gt;0,SUM(OU4,OV4),"")</f>
        <v/>
      </c>
      <c r="OY4" s="40" t="str">
        <f t="shared" ref="OY4:OY35" si="121">IF(SUM(OM4,OQ4)&gt;0,SUM(OM4,OQ4),"")</f>
        <v/>
      </c>
      <c r="OZ4" s="40" t="str">
        <f t="shared" ref="OZ4:OZ35" si="122">IF(SUM(OL4:OM4,OO4:OQ4,OS4)-SUM(ON4,OR4)&gt;0,SUM(OL4:OM4,OO4:OQ4,OS4)-SUM(ON4,OR4),"")</f>
        <v/>
      </c>
      <c r="PA4" s="40" t="str">
        <f t="shared" ref="PA4:PA35" si="123">IF(SUM(OU4,OV4,OZ4)&gt;0,SUM(OU4,OV4,OZ4),"")</f>
        <v/>
      </c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1" t="str">
        <f t="shared" ref="PV4:PV35" si="124">IF(SUM(PC4,PG4)&gt;0,SUM(PC4,PG4),"")</f>
        <v/>
      </c>
      <c r="PW4" s="11" t="str">
        <f t="shared" ref="PW4:PW35" si="125">IF(SUM(PB4:PC4,PE4:PG4,PI4)-PD4-PH4&gt;0,SUM(PB4:PC4,PE4:PG4,PI4)-PD4-PH4,"")</f>
        <v/>
      </c>
      <c r="PX4" s="11" t="str">
        <f t="shared" ref="PX4:PX35" si="126">IF(SUM(PJ4:PK4,PM4)-PL4&gt;0,SUM(PJ4:PK4,PM4)-PL4,"")</f>
        <v/>
      </c>
      <c r="PY4" s="11" t="str">
        <f t="shared" ref="PY4:PY35" si="127">IF(SUM(PC4,PG4,PK4)&gt;0,SUM(PC4,PG4,PK4),"")</f>
        <v/>
      </c>
      <c r="PZ4" s="11" t="str">
        <f t="shared" ref="PZ4:PZ35" si="128">IF(SUM(PW4,PX4)&gt;0,SUM(PW4,PX4),"")</f>
        <v/>
      </c>
      <c r="QA4" s="11" t="str">
        <f t="shared" ref="QA4:QA35" si="129">IF(SUM(PO4,PS4)&gt;0,SUM(PO4,PS4),"")</f>
        <v/>
      </c>
      <c r="QB4" s="11" t="str">
        <f t="shared" ref="QB4:QB35" si="130">IF(SUM(PN4:PO4,PQ4:PS4,PU4)-SUM(PP4,PT4)&gt;0,SUM(PN4:PO4,PQ4:PS4,PU4)-SUM(PP4,PT4),"")</f>
        <v/>
      </c>
      <c r="QC4" s="11" t="str">
        <f t="shared" ref="QC4:QC35" si="131">IF(SUM(PW4,PX4,QB4)&gt;0,SUM(PW4,PX4,QB4),"")</f>
        <v/>
      </c>
      <c r="QD4" s="22">
        <f t="shared" ref="QD4:QD35" si="132">IF($CU4="P",CA4,(CA4+AX4)/2)</f>
        <v>18.829999999999998</v>
      </c>
      <c r="QE4" s="22">
        <f t="shared" ref="QE4:QE35" si="133">IF($CU4="P",CB4,(CB4+AY4)/2)</f>
        <v>6.8</v>
      </c>
      <c r="QF4" s="22">
        <f t="shared" ref="QF4:QF35" si="134">IF($CU4="P",CC4,(CC4+AZ4)/2)</f>
        <v>0.4</v>
      </c>
      <c r="QG4" s="22">
        <f t="shared" ref="QG4:QG35" si="135">IF($CU4="P",CD4,(CD4+BA4)/2)</f>
        <v>0.3</v>
      </c>
      <c r="QH4" s="22">
        <f t="shared" ref="QH4:QH35" si="136">IF($CU4="P",CE4,(CE4+BB4)/2)</f>
        <v>18.475000000000001</v>
      </c>
      <c r="QI4" s="22">
        <f t="shared" ref="QI4:QI35" si="137">IF($CU4="P",CF4,(CF4+BC4)/2)</f>
        <v>5.6</v>
      </c>
      <c r="QJ4" s="22">
        <f t="shared" ref="QJ4:QJ35" si="138">IF($CU4="P",CG4,(CG4+BD4)/2)</f>
        <v>0.15</v>
      </c>
      <c r="QK4" s="22">
        <f t="shared" ref="QK4:QK35" si="139">IF($CU4="P",CH4,(CH4+BE4)/2)</f>
        <v>0</v>
      </c>
      <c r="QL4" s="22">
        <f t="shared" ref="QL4:QL35" si="140">IF($CU4="P",CI4,(CI4+BF4)/2)</f>
        <v>9.1499999999999986</v>
      </c>
      <c r="QM4" s="22">
        <f t="shared" ref="QM4:QM35" si="141">IF($CU4="P",CJ4,(CJ4+BG4)/2)</f>
        <v>2.8</v>
      </c>
      <c r="QN4" s="22">
        <f t="shared" ref="QN4:QN35" si="142">IF($CU4="P",CK4,(CK4+BH4)/2)</f>
        <v>0.3</v>
      </c>
      <c r="QO4" s="22">
        <f t="shared" ref="QO4:QO35" si="143">IF($CU4="P",CL4,(CL4+BI4)/2)</f>
        <v>0.15</v>
      </c>
      <c r="QP4" s="22">
        <f t="shared" ref="QP4:QP35" si="144">IF($CU4="P",CM4,(CM4+BJ4)/2)</f>
        <v>18.549999999999997</v>
      </c>
      <c r="QQ4" s="22">
        <f t="shared" ref="QQ4:QQ35" si="145">IF($CU4="P",CN4,(CN4+BK4)/2)</f>
        <v>7</v>
      </c>
      <c r="QR4" s="22">
        <f t="shared" ref="QR4:QR35" si="146">IF($CU4="P",CO4,(CO4+BL4)/2)</f>
        <v>0.1</v>
      </c>
      <c r="QS4" s="22">
        <f t="shared" ref="QS4:QS35" si="147">IF($CU4="P",CP4,(CP4+BM4)/2)</f>
        <v>0.3</v>
      </c>
      <c r="QT4" s="22">
        <f t="shared" ref="QT4:QT35" si="148">IF($CU4="P",CQ4,(CQ4+BN4)/2)</f>
        <v>18.774999999999999</v>
      </c>
      <c r="QU4" s="22">
        <f t="shared" ref="QU4:QU35" si="149">IF($CU4="P",CR4,(CR4+BO4)/2)</f>
        <v>6.2</v>
      </c>
      <c r="QV4" s="22">
        <f t="shared" ref="QV4:QV35" si="150">IF($CU4="P",CS4,(CS4+BP4)/2)</f>
        <v>0</v>
      </c>
      <c r="QW4" s="22">
        <f t="shared" ref="QW4:QW35" si="151">IF($CU4="P",CT4,(CT4+BQ4)/2)</f>
        <v>0</v>
      </c>
      <c r="QX4" s="27" t="s">
        <v>46</v>
      </c>
      <c r="QY4" s="40">
        <f t="shared" ref="QY4:QY35" si="152">IF(SUM(QE4,QI4)&gt;0,SUM(QE4,QI4),"")</f>
        <v>12.399999999999999</v>
      </c>
      <c r="QZ4" s="40">
        <f t="shared" ref="QZ4:QZ35" si="153">IF(SUM(QD4:QE4,QG4:QI4,QK4)-QF4-QJ4&gt;0,SUM(QD4:QE4,QG4:QI4,QK4)-QF4-QJ4,"")</f>
        <v>49.455000000000005</v>
      </c>
      <c r="RA4" s="40">
        <f t="shared" ref="RA4:RA35" si="154">IF(SUM(QL4:QM4,QO4)-QN4&gt;0,SUM(QL4:QM4,QO4)-QN4,"")</f>
        <v>11.799999999999999</v>
      </c>
      <c r="RB4" s="40">
        <f t="shared" ref="RB4:RB35" si="155">IF(SUM(QE4,QI4,QM4)&gt;0,SUM(QE4,QI4,QM4),"")</f>
        <v>15.2</v>
      </c>
      <c r="RC4" s="40">
        <f t="shared" ref="RC4:RC35" si="156">IF(SUM(QZ4,RA4)&gt;0,SUM(QZ4,RA4),"")</f>
        <v>61.255000000000003</v>
      </c>
      <c r="RD4" s="40">
        <f t="shared" ref="RD4:RD35" si="157">IF(SUM(QQ4,QU4)&gt;0,SUM(QQ4,QU4),"")</f>
        <v>13.2</v>
      </c>
      <c r="RE4" s="40">
        <f t="shared" ref="RE4:RE35" si="158">IF(SUM(QP4:QQ4,QS4:QU4,QW4)-SUM(QR4,QV4)&gt;0,SUM(QP4:QQ4,QS4:QU4,QW4)-SUM(QR4,QV4),"")</f>
        <v>50.725000000000001</v>
      </c>
      <c r="RF4" s="40">
        <f t="shared" ref="RF4:RF35" si="159">IF(SUM(QZ4,RA4,RE4)&gt;0,SUM(QZ4,RA4,RE4),"")</f>
        <v>111.98</v>
      </c>
    </row>
    <row r="5" spans="1:474" x14ac:dyDescent="0.2">
      <c r="A5" s="4" cm="1">
        <f t="array" ref="A5">IF(AND(J5&lt;&gt;"",J5&lt;&gt;"No DD"),SUMPRODUCT((J$4:J$36&lt;&gt;"")*(J$4:J$36&lt;&gt;"No DD")*(F$4:F$36&gt;F5))+1,IF(J5="No DD",SUMPRODUCT((J$4:J$36="No DD")*(F$4:F$36&gt;F5))+1+SUMPRODUCT((J$4:J$36&lt;&gt;"")*(J$4:J$36&lt;&gt;"No DD")),""))</f>
        <v>2</v>
      </c>
      <c r="B5" s="4" t="str" cm="1">
        <f t="array" ref="B5">IF(AND(J5&lt;&gt;"",J5&lt;&gt;"No DD",G5=""),SUMPRODUCT((J$4:J$36&lt;&gt;"")*(J$4:J$36&lt;&gt;"No DD")*(G$4:G$36="")*(F$4:F$36&gt;F5))+1,IF(J5="No DD",SUMPRODUCT((J$4:J$36="No DD")*(F$4:F$36&gt;F5)*(G$4:G$36=""))+1+SUMPRODUCT((J$4:J$36&lt;&gt;"")*(G$4:G$36="")*(J$4:J$36&lt;&gt;"No DD")),""))</f>
        <v/>
      </c>
      <c r="C5" s="5" t="s">
        <v>122</v>
      </c>
      <c r="D5" s="4" t="s">
        <v>4</v>
      </c>
      <c r="E5" s="4">
        <v>2005</v>
      </c>
      <c r="F5" s="9">
        <f t="shared" si="0"/>
        <v>149.80000993000505</v>
      </c>
      <c r="G5" s="64" t="s">
        <v>46</v>
      </c>
      <c r="H5" s="3" t="str">
        <f t="shared" si="1"/>
        <v>P</v>
      </c>
      <c r="I5" s="3" t="str">
        <f t="shared" si="2"/>
        <v>P</v>
      </c>
      <c r="J5" s="36" t="str">
        <f t="shared" si="3"/>
        <v>National Team</v>
      </c>
      <c r="K5" s="3" t="str">
        <f t="shared" si="4"/>
        <v/>
      </c>
      <c r="L5" s="8">
        <f>IF(COUNT(AQ5,BT5,CW5)&gt;0,LARGE((AQ5,BT5,CW5),1),0)</f>
        <v>50.599999999999994</v>
      </c>
      <c r="M5" s="8" t="str">
        <f t="shared" si="5"/>
        <v>2024 3rd Domestic Trial</v>
      </c>
      <c r="N5" s="8">
        <f>IF(COUNT(AQ5,BT5,CW5)&gt;1,LARGE((AQ5,BT5,CW5),2),0)</f>
        <v>48.699999999999996</v>
      </c>
      <c r="O5" s="8" t="str">
        <f t="shared" si="6"/>
        <v>2025 Elite Canada</v>
      </c>
      <c r="P5" s="8">
        <f t="shared" si="7"/>
        <v>50.5</v>
      </c>
      <c r="Q5" s="8" t="str">
        <f t="shared" si="8"/>
        <v>2025 Elite Canada</v>
      </c>
      <c r="R5" s="8" t="str">
        <f t="shared" si="9"/>
        <v/>
      </c>
      <c r="S5" s="11" t="str">
        <f t="shared" ref="S5:S35" si="160">IF(R5="","",IF(R5=DD5,"("&amp;DD$2&amp;")",IF(R5=DE5,"("&amp;DE$2&amp;")")))</f>
        <v/>
      </c>
      <c r="T5" s="8" t="str">
        <f t="shared" ref="T5:T35" si="161">IF(R5="","",IF(R5=DD5,IF(R5+IF(N5="",0,N5)=PW5,$PB$1,IF(R5+IF(N5="",0,N5)=OU5,$NZ$1,IF(R5+IF(N5="",0,N5)=NS5,$MX$1,IF(R5+IF(N5="",0,N5)=MQ5,$LV$1,IF(R5+IF(N5="",0,N5)=LO5,$KT$1,IF(R5+IF(N5="",0,N5)=KM5,$JR$1,IF(R5+IF(N5="",0,N5)=JK5,$IP$1,IF(R5+IF(N5="",0,N5)=II5,$HN$1,IF(R5+IF(N5="",0,N5)=HG5,$GL$1,IF(R5+IF(N5="",0,N5)=GE5,$FJ$1,IF(R5+IF(N5="",0,N5)=FC5,$EH$1,IF(R5+IF(N5="",0,N5)=EA5,$DF$1)))))))))))),IF(R5=DE5,IF(R5+IF(P5="",0,P5)=QB5,$PB$1,IF(R5+IF(P5="",0,P5)=OZ5,$NZ$1,IF(R5+IF(P5="",0,P5)=NX5,$MX$1,IF(R5+IF(P5="",0,P5)=MV5,$LV$1,IF(R5+IF(P5="",0,P5)=LT5,$KT$1,IF(R5+IF(P5="",0,P5)=KR5,$JR$1,IF(R5+IF(P5="",0,P5)=JP5,$IP$1,IF(R5+IF(P5="",0,P5)=IN5,$HN$1,IF(R5+IF(P5="",0,P5)=HL5,$GL$1,IF(R5+IF(P5="",0,P5)=GJ5,$FJ$1,IF(R5+IF(P5="",0,P5)=FH5,$EH$1,IF(R5+IF(P5="",0,P5)=EF5,$DF$1)))))))))))))))</f>
        <v/>
      </c>
      <c r="U5" s="19">
        <v>17.399999999999999</v>
      </c>
      <c r="V5" s="19">
        <v>2.4</v>
      </c>
      <c r="W5" s="19">
        <v>0</v>
      </c>
      <c r="X5" s="19">
        <v>0</v>
      </c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27"/>
      <c r="AP5" s="40">
        <f t="shared" si="10"/>
        <v>2.4</v>
      </c>
      <c r="AQ5" s="40">
        <f t="shared" si="11"/>
        <v>19.799999999999997</v>
      </c>
      <c r="AR5" s="40" t="str">
        <f t="shared" si="12"/>
        <v/>
      </c>
      <c r="AS5" s="40">
        <f t="shared" si="13"/>
        <v>2.4</v>
      </c>
      <c r="AT5" s="40">
        <f t="shared" si="14"/>
        <v>19.799999999999997</v>
      </c>
      <c r="AU5" s="40" t="str">
        <f t="shared" si="15"/>
        <v/>
      </c>
      <c r="AV5" s="40" t="str">
        <f t="shared" si="16"/>
        <v/>
      </c>
      <c r="AW5" s="40">
        <f t="shared" si="17"/>
        <v>19.799999999999997</v>
      </c>
      <c r="AX5" s="18">
        <v>18.7</v>
      </c>
      <c r="AY5" s="18">
        <v>6.8</v>
      </c>
      <c r="AZ5" s="18">
        <v>0.6</v>
      </c>
      <c r="BA5" s="18">
        <v>0.3</v>
      </c>
      <c r="BB5" s="18">
        <v>19</v>
      </c>
      <c r="BC5" s="18">
        <v>6.4</v>
      </c>
      <c r="BD5" s="18">
        <v>0</v>
      </c>
      <c r="BE5" s="18">
        <v>0</v>
      </c>
      <c r="BF5" s="18">
        <v>18.600000000000001</v>
      </c>
      <c r="BG5" s="18">
        <v>5.2</v>
      </c>
      <c r="BH5" s="18">
        <v>0.6</v>
      </c>
      <c r="BI5" s="18">
        <v>0</v>
      </c>
      <c r="BJ5" s="18">
        <v>18.2</v>
      </c>
      <c r="BK5" s="18">
        <v>6.8</v>
      </c>
      <c r="BL5" s="18">
        <v>0.2</v>
      </c>
      <c r="BM5" s="18">
        <v>0.3</v>
      </c>
      <c r="BN5" s="18">
        <v>18.399999999999999</v>
      </c>
      <c r="BO5" s="18">
        <v>6.4</v>
      </c>
      <c r="BP5" s="18">
        <v>0.6</v>
      </c>
      <c r="BQ5" s="18">
        <v>0</v>
      </c>
      <c r="BR5" s="28"/>
      <c r="BS5" s="11">
        <f t="shared" si="18"/>
        <v>13.2</v>
      </c>
      <c r="BT5" s="11">
        <f t="shared" si="19"/>
        <v>50.599999999999994</v>
      </c>
      <c r="BU5" s="11">
        <f t="shared" si="20"/>
        <v>23.2</v>
      </c>
      <c r="BV5" s="11">
        <f t="shared" si="21"/>
        <v>18.399999999999999</v>
      </c>
      <c r="BW5" s="11">
        <f t="shared" si="22"/>
        <v>73.8</v>
      </c>
      <c r="BX5" s="11">
        <f t="shared" si="23"/>
        <v>13.2</v>
      </c>
      <c r="BY5" s="11">
        <f t="shared" si="24"/>
        <v>49.300000000000004</v>
      </c>
      <c r="BZ5" s="11">
        <f t="shared" si="25"/>
        <v>123.1</v>
      </c>
      <c r="CA5" s="19">
        <v>18.399999999999999</v>
      </c>
      <c r="CB5" s="19">
        <v>6</v>
      </c>
      <c r="CC5" s="19">
        <v>0.2</v>
      </c>
      <c r="CD5" s="19">
        <v>0.3</v>
      </c>
      <c r="CE5" s="19">
        <v>18.600000000000001</v>
      </c>
      <c r="CF5" s="19">
        <v>6.4</v>
      </c>
      <c r="CG5" s="19">
        <v>0.8</v>
      </c>
      <c r="CH5" s="19">
        <v>0</v>
      </c>
      <c r="CI5" s="19"/>
      <c r="CJ5" s="19"/>
      <c r="CK5" s="19"/>
      <c r="CL5" s="19"/>
      <c r="CM5" s="19">
        <v>18.600000000000001</v>
      </c>
      <c r="CN5" s="19">
        <v>6.8</v>
      </c>
      <c r="CO5" s="19">
        <v>0.2</v>
      </c>
      <c r="CP5" s="19">
        <v>0.3</v>
      </c>
      <c r="CQ5" s="19">
        <v>18.600000000000001</v>
      </c>
      <c r="CR5" s="19">
        <v>6.4</v>
      </c>
      <c r="CS5" s="19">
        <v>0</v>
      </c>
      <c r="CT5" s="19">
        <v>0</v>
      </c>
      <c r="CU5" s="27"/>
      <c r="CV5" s="40">
        <f t="shared" si="26"/>
        <v>12.4</v>
      </c>
      <c r="CW5" s="40">
        <f t="shared" si="27"/>
        <v>48.699999999999996</v>
      </c>
      <c r="CX5" s="40" t="str">
        <f t="shared" si="28"/>
        <v/>
      </c>
      <c r="CY5" s="40">
        <f t="shared" si="29"/>
        <v>12.4</v>
      </c>
      <c r="CZ5" s="40">
        <f t="shared" si="30"/>
        <v>48.699999999999996</v>
      </c>
      <c r="DA5" s="40">
        <f t="shared" si="31"/>
        <v>13.2</v>
      </c>
      <c r="DB5" s="40">
        <f t="shared" si="32"/>
        <v>50.5</v>
      </c>
      <c r="DC5" s="40">
        <f t="shared" si="33"/>
        <v>99.199999999999989</v>
      </c>
      <c r="DD5" s="50" t="str">
        <f t="shared" si="34"/>
        <v/>
      </c>
      <c r="DE5" s="50" t="str">
        <f t="shared" si="35"/>
        <v/>
      </c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40" t="str">
        <f t="shared" si="36"/>
        <v/>
      </c>
      <c r="EA5" s="40" t="str">
        <f t="shared" si="37"/>
        <v/>
      </c>
      <c r="EB5" s="40" t="str">
        <f t="shared" si="38"/>
        <v/>
      </c>
      <c r="EC5" s="40" t="str">
        <f t="shared" si="39"/>
        <v/>
      </c>
      <c r="ED5" s="40" t="str">
        <f t="shared" si="40"/>
        <v/>
      </c>
      <c r="EE5" s="40" t="str">
        <f t="shared" si="41"/>
        <v/>
      </c>
      <c r="EF5" s="40" t="str">
        <f t="shared" si="42"/>
        <v/>
      </c>
      <c r="EG5" s="40" t="str">
        <f t="shared" si="43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1" t="str">
        <f t="shared" si="44"/>
        <v/>
      </c>
      <c r="FC5" s="11" t="str">
        <f t="shared" si="45"/>
        <v/>
      </c>
      <c r="FD5" s="11" t="str">
        <f t="shared" si="46"/>
        <v/>
      </c>
      <c r="FE5" s="11" t="str">
        <f t="shared" si="47"/>
        <v/>
      </c>
      <c r="FF5" s="11" t="str">
        <f t="shared" si="48"/>
        <v/>
      </c>
      <c r="FG5" s="11" t="str">
        <f t="shared" si="49"/>
        <v/>
      </c>
      <c r="FH5" s="11" t="str">
        <f t="shared" si="50"/>
        <v/>
      </c>
      <c r="FI5" s="11" t="str">
        <f t="shared" si="51"/>
        <v/>
      </c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40" t="str">
        <f t="shared" si="52"/>
        <v/>
      </c>
      <c r="GE5" s="40" t="str">
        <f t="shared" si="53"/>
        <v/>
      </c>
      <c r="GF5" s="40" t="str">
        <f t="shared" si="54"/>
        <v/>
      </c>
      <c r="GG5" s="40" t="str">
        <f t="shared" si="55"/>
        <v/>
      </c>
      <c r="GH5" s="40" t="str">
        <f t="shared" si="56"/>
        <v/>
      </c>
      <c r="GI5" s="40" t="str">
        <f t="shared" si="57"/>
        <v/>
      </c>
      <c r="GJ5" s="40" t="str">
        <f t="shared" si="58"/>
        <v/>
      </c>
      <c r="GK5" s="40" t="str">
        <f t="shared" si="59"/>
        <v/>
      </c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1" t="str">
        <f t="shared" si="60"/>
        <v/>
      </c>
      <c r="HG5" s="11" t="str">
        <f t="shared" si="61"/>
        <v/>
      </c>
      <c r="HH5" s="11" t="str">
        <f t="shared" si="62"/>
        <v/>
      </c>
      <c r="HI5" s="11" t="str">
        <f t="shared" si="63"/>
        <v/>
      </c>
      <c r="HJ5" s="11" t="str">
        <f t="shared" si="64"/>
        <v/>
      </c>
      <c r="HK5" s="11" t="str">
        <f t="shared" si="65"/>
        <v/>
      </c>
      <c r="HL5" s="11" t="str">
        <f t="shared" si="66"/>
        <v/>
      </c>
      <c r="HM5" s="11" t="str">
        <f t="shared" si="67"/>
        <v/>
      </c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40" t="str">
        <f t="shared" si="68"/>
        <v/>
      </c>
      <c r="II5" s="40" t="str">
        <f t="shared" si="69"/>
        <v/>
      </c>
      <c r="IJ5" s="40" t="str">
        <f t="shared" si="70"/>
        <v/>
      </c>
      <c r="IK5" s="40" t="str">
        <f t="shared" si="71"/>
        <v/>
      </c>
      <c r="IL5" s="40" t="str">
        <f t="shared" si="72"/>
        <v/>
      </c>
      <c r="IM5" s="40" t="str">
        <f t="shared" si="73"/>
        <v/>
      </c>
      <c r="IN5" s="40" t="str">
        <f t="shared" si="74"/>
        <v/>
      </c>
      <c r="IO5" s="40" t="str">
        <f t="shared" si="75"/>
        <v/>
      </c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1" t="str">
        <f t="shared" si="76"/>
        <v/>
      </c>
      <c r="JK5" s="11" t="str">
        <f t="shared" si="77"/>
        <v/>
      </c>
      <c r="JL5" s="11" t="str">
        <f t="shared" si="78"/>
        <v/>
      </c>
      <c r="JM5" s="11" t="str">
        <f t="shared" si="79"/>
        <v/>
      </c>
      <c r="JN5" s="11" t="str">
        <f t="shared" si="80"/>
        <v/>
      </c>
      <c r="JO5" s="11" t="str">
        <f t="shared" si="81"/>
        <v/>
      </c>
      <c r="JP5" s="11" t="str">
        <f t="shared" si="82"/>
        <v/>
      </c>
      <c r="JQ5" s="11" t="str">
        <f t="shared" si="83"/>
        <v/>
      </c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40" t="str">
        <f t="shared" si="84"/>
        <v/>
      </c>
      <c r="KM5" s="40" t="str">
        <f t="shared" si="85"/>
        <v/>
      </c>
      <c r="KN5" s="40" t="str">
        <f t="shared" si="86"/>
        <v/>
      </c>
      <c r="KO5" s="40" t="str">
        <f t="shared" si="87"/>
        <v/>
      </c>
      <c r="KP5" s="40" t="str">
        <f t="shared" si="88"/>
        <v/>
      </c>
      <c r="KQ5" s="40" t="str">
        <f t="shared" si="89"/>
        <v/>
      </c>
      <c r="KR5" s="40" t="str">
        <f t="shared" si="90"/>
        <v/>
      </c>
      <c r="KS5" s="40" t="str">
        <f t="shared" si="91"/>
        <v/>
      </c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1" t="str">
        <f t="shared" si="92"/>
        <v/>
      </c>
      <c r="LO5" s="11" t="str">
        <f t="shared" si="93"/>
        <v/>
      </c>
      <c r="LP5" s="11" t="str">
        <f t="shared" si="94"/>
        <v/>
      </c>
      <c r="LQ5" s="11" t="str">
        <f t="shared" si="95"/>
        <v/>
      </c>
      <c r="LR5" s="11" t="str">
        <f t="shared" si="96"/>
        <v/>
      </c>
      <c r="LS5" s="11" t="str">
        <f t="shared" si="97"/>
        <v/>
      </c>
      <c r="LT5" s="11" t="str">
        <f t="shared" si="98"/>
        <v/>
      </c>
      <c r="LU5" s="11" t="str">
        <f t="shared" si="99"/>
        <v/>
      </c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40" t="str">
        <f t="shared" si="100"/>
        <v/>
      </c>
      <c r="MQ5" s="40" t="str">
        <f t="shared" si="101"/>
        <v/>
      </c>
      <c r="MR5" s="40" t="str">
        <f t="shared" si="102"/>
        <v/>
      </c>
      <c r="MS5" s="40" t="str">
        <f t="shared" si="103"/>
        <v/>
      </c>
      <c r="MT5" s="40" t="str">
        <f t="shared" si="104"/>
        <v/>
      </c>
      <c r="MU5" s="40" t="str">
        <f t="shared" si="105"/>
        <v/>
      </c>
      <c r="MV5" s="40" t="str">
        <f t="shared" si="106"/>
        <v/>
      </c>
      <c r="MW5" s="40" t="str">
        <f t="shared" si="107"/>
        <v/>
      </c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1" t="str">
        <f t="shared" si="108"/>
        <v/>
      </c>
      <c r="NS5" s="11" t="str">
        <f t="shared" si="109"/>
        <v/>
      </c>
      <c r="NT5" s="11" t="str">
        <f t="shared" si="110"/>
        <v/>
      </c>
      <c r="NU5" s="11" t="str">
        <f t="shared" si="111"/>
        <v/>
      </c>
      <c r="NV5" s="11" t="str">
        <f t="shared" si="112"/>
        <v/>
      </c>
      <c r="NW5" s="11" t="str">
        <f t="shared" si="113"/>
        <v/>
      </c>
      <c r="NX5" s="11" t="str">
        <f t="shared" si="114"/>
        <v/>
      </c>
      <c r="NY5" s="11" t="str">
        <f t="shared" si="115"/>
        <v/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40" t="str">
        <f t="shared" si="116"/>
        <v/>
      </c>
      <c r="OU5" s="40" t="str">
        <f t="shared" si="117"/>
        <v/>
      </c>
      <c r="OV5" s="40" t="str">
        <f t="shared" si="118"/>
        <v/>
      </c>
      <c r="OW5" s="40" t="str">
        <f t="shared" si="119"/>
        <v/>
      </c>
      <c r="OX5" s="40" t="str">
        <f t="shared" si="120"/>
        <v/>
      </c>
      <c r="OY5" s="40" t="str">
        <f t="shared" si="121"/>
        <v/>
      </c>
      <c r="OZ5" s="40" t="str">
        <f t="shared" si="122"/>
        <v/>
      </c>
      <c r="PA5" s="40" t="str">
        <f t="shared" si="123"/>
        <v/>
      </c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1" t="str">
        <f t="shared" si="124"/>
        <v/>
      </c>
      <c r="PW5" s="11" t="str">
        <f t="shared" si="125"/>
        <v/>
      </c>
      <c r="PX5" s="11" t="str">
        <f t="shared" si="126"/>
        <v/>
      </c>
      <c r="PY5" s="11" t="str">
        <f t="shared" si="127"/>
        <v/>
      </c>
      <c r="PZ5" s="11" t="str">
        <f t="shared" si="128"/>
        <v/>
      </c>
      <c r="QA5" s="11" t="str">
        <f t="shared" si="129"/>
        <v/>
      </c>
      <c r="QB5" s="11" t="str">
        <f t="shared" si="130"/>
        <v/>
      </c>
      <c r="QC5" s="11" t="str">
        <f t="shared" si="131"/>
        <v/>
      </c>
      <c r="QD5" s="22">
        <f t="shared" si="132"/>
        <v>18.549999999999997</v>
      </c>
      <c r="QE5" s="22">
        <f t="shared" si="133"/>
        <v>6.4</v>
      </c>
      <c r="QF5" s="22">
        <f t="shared" si="134"/>
        <v>0.4</v>
      </c>
      <c r="QG5" s="22">
        <f t="shared" si="135"/>
        <v>0.3</v>
      </c>
      <c r="QH5" s="22">
        <f t="shared" si="136"/>
        <v>18.8</v>
      </c>
      <c r="QI5" s="22">
        <f t="shared" si="137"/>
        <v>6.4</v>
      </c>
      <c r="QJ5" s="22">
        <f t="shared" si="138"/>
        <v>0.4</v>
      </c>
      <c r="QK5" s="22">
        <f t="shared" si="139"/>
        <v>0</v>
      </c>
      <c r="QL5" s="22">
        <f t="shared" si="140"/>
        <v>9.3000000000000007</v>
      </c>
      <c r="QM5" s="22">
        <f t="shared" si="141"/>
        <v>2.6</v>
      </c>
      <c r="QN5" s="22">
        <f t="shared" si="142"/>
        <v>0.3</v>
      </c>
      <c r="QO5" s="22">
        <f t="shared" si="143"/>
        <v>0</v>
      </c>
      <c r="QP5" s="22">
        <f t="shared" si="144"/>
        <v>18.399999999999999</v>
      </c>
      <c r="QQ5" s="22">
        <f t="shared" si="145"/>
        <v>6.8</v>
      </c>
      <c r="QR5" s="22">
        <f t="shared" si="146"/>
        <v>0.2</v>
      </c>
      <c r="QS5" s="22">
        <f t="shared" si="147"/>
        <v>0.3</v>
      </c>
      <c r="QT5" s="22">
        <f t="shared" si="148"/>
        <v>18.5</v>
      </c>
      <c r="QU5" s="22">
        <f t="shared" si="149"/>
        <v>6.4</v>
      </c>
      <c r="QV5" s="22">
        <f t="shared" si="150"/>
        <v>0.3</v>
      </c>
      <c r="QW5" s="22">
        <f t="shared" si="151"/>
        <v>0</v>
      </c>
      <c r="QX5" s="27" t="s">
        <v>46</v>
      </c>
      <c r="QY5" s="40">
        <f t="shared" si="152"/>
        <v>12.8</v>
      </c>
      <c r="QZ5" s="40">
        <f t="shared" si="153"/>
        <v>49.65</v>
      </c>
      <c r="RA5" s="40">
        <f t="shared" si="154"/>
        <v>11.6</v>
      </c>
      <c r="RB5" s="40">
        <f t="shared" si="155"/>
        <v>15.4</v>
      </c>
      <c r="RC5" s="40">
        <f t="shared" si="156"/>
        <v>61.25</v>
      </c>
      <c r="RD5" s="40">
        <f t="shared" si="157"/>
        <v>13.2</v>
      </c>
      <c r="RE5" s="40">
        <f t="shared" si="158"/>
        <v>49.9</v>
      </c>
      <c r="RF5" s="40">
        <f t="shared" si="159"/>
        <v>111.15</v>
      </c>
    </row>
    <row r="6" spans="1:474" x14ac:dyDescent="0.2">
      <c r="A6" s="4" cm="1">
        <f t="array" ref="A6">IF(AND(J6&lt;&gt;"",J6&lt;&gt;"No DD"),SUMPRODUCT((J$4:J$36&lt;&gt;"")*(J$4:J$36&lt;&gt;"No DD")*(F$4:F$36&gt;F6))+1,IF(J6="No DD",SUMPRODUCT((J$4:J$36="No DD")*(F$4:F$36&gt;F6))+1+SUMPRODUCT((J$4:J$36&lt;&gt;"")*(J$4:J$36&lt;&gt;"No DD")),""))</f>
        <v>3</v>
      </c>
      <c r="B6" s="4" t="str" cm="1">
        <f t="array" ref="B6">IF(AND(J6&lt;&gt;"",J6&lt;&gt;"No DD",G6=""),SUMPRODUCT((J$4:J$36&lt;&gt;"")*(J$4:J$36&lt;&gt;"No DD")*(G$4:G$36="")*(F$4:F$36&gt;F6))+1,IF(J6="No DD",SUMPRODUCT((J$4:J$36="No DD")*(F$4:F$36&gt;F6)*(G$4:G$36=""))+1+SUMPRODUCT((J$4:J$36&lt;&gt;"")*(G$4:G$36="")*(J$4:J$36&lt;&gt;"No DD")),""))</f>
        <v/>
      </c>
      <c r="C6" s="5" t="s">
        <v>63</v>
      </c>
      <c r="D6" s="4" t="s">
        <v>5</v>
      </c>
      <c r="E6" s="4">
        <v>2004</v>
      </c>
      <c r="F6" s="9">
        <f t="shared" si="0"/>
        <v>145.5000099100051</v>
      </c>
      <c r="G6" s="64" t="s">
        <v>46</v>
      </c>
      <c r="H6" s="3" t="str">
        <f t="shared" si="1"/>
        <v>P</v>
      </c>
      <c r="I6" s="3" t="str">
        <f t="shared" si="2"/>
        <v>P</v>
      </c>
      <c r="J6" s="36" t="str">
        <f t="shared" si="3"/>
        <v>National Team</v>
      </c>
      <c r="K6" s="3" t="str">
        <f t="shared" si="4"/>
        <v/>
      </c>
      <c r="L6" s="8">
        <f>IF(COUNT(AQ6,BT6,CW6)&gt;0,LARGE((AQ6,BT6,CW6),1),0)</f>
        <v>51.1</v>
      </c>
      <c r="M6" s="8" t="str">
        <f t="shared" si="5"/>
        <v>2025 Elite Canada</v>
      </c>
      <c r="N6" s="8">
        <f>IF(COUNT(AQ6,BT6,CW6)&gt;1,LARGE((AQ6,BT6,CW6),2),0)</f>
        <v>48</v>
      </c>
      <c r="O6" s="8" t="str">
        <f t="shared" si="6"/>
        <v>2024 Nationals</v>
      </c>
      <c r="P6" s="8">
        <f t="shared" si="7"/>
        <v>44.7</v>
      </c>
      <c r="Q6" s="8" t="str">
        <f t="shared" si="8"/>
        <v>2024 Nationals</v>
      </c>
      <c r="R6" s="8">
        <f t="shared" si="9"/>
        <v>1.7000000000000028</v>
      </c>
      <c r="S6" s="11" t="str">
        <f t="shared" si="160"/>
        <v>(Q1)</v>
      </c>
      <c r="T6" s="8" t="str">
        <f t="shared" si="161"/>
        <v>2024 World Cup POR (July 7)</v>
      </c>
      <c r="U6" s="19">
        <v>17</v>
      </c>
      <c r="V6" s="19">
        <v>6.8</v>
      </c>
      <c r="W6" s="19">
        <v>0.8</v>
      </c>
      <c r="X6" s="19">
        <v>0.3</v>
      </c>
      <c r="Y6" s="19">
        <v>18.600000000000001</v>
      </c>
      <c r="Z6" s="19">
        <v>6</v>
      </c>
      <c r="AA6" s="19">
        <v>0.2</v>
      </c>
      <c r="AB6" s="19">
        <v>0.3</v>
      </c>
      <c r="AC6" s="19">
        <v>18.399999999999999</v>
      </c>
      <c r="AD6" s="19">
        <v>5.6</v>
      </c>
      <c r="AE6" s="19">
        <v>0.2</v>
      </c>
      <c r="AF6" s="19">
        <v>0</v>
      </c>
      <c r="AG6" s="19">
        <v>17.600000000000001</v>
      </c>
      <c r="AH6" s="19">
        <v>2.4</v>
      </c>
      <c r="AI6" s="19">
        <v>0</v>
      </c>
      <c r="AJ6" s="19">
        <v>0</v>
      </c>
      <c r="AK6" s="19">
        <v>19.100000000000001</v>
      </c>
      <c r="AL6" s="19">
        <v>5.6</v>
      </c>
      <c r="AM6" s="19">
        <v>0</v>
      </c>
      <c r="AN6" s="19">
        <v>0</v>
      </c>
      <c r="AO6" s="27"/>
      <c r="AP6" s="40">
        <f t="shared" si="10"/>
        <v>12.8</v>
      </c>
      <c r="AQ6" s="40">
        <f t="shared" si="11"/>
        <v>48</v>
      </c>
      <c r="AR6" s="40">
        <f t="shared" si="12"/>
        <v>23.8</v>
      </c>
      <c r="AS6" s="40">
        <f t="shared" si="13"/>
        <v>18.399999999999999</v>
      </c>
      <c r="AT6" s="40">
        <f t="shared" si="14"/>
        <v>71.8</v>
      </c>
      <c r="AU6" s="40">
        <f t="shared" si="15"/>
        <v>8</v>
      </c>
      <c r="AV6" s="40">
        <f t="shared" si="16"/>
        <v>44.7</v>
      </c>
      <c r="AW6" s="40">
        <f t="shared" si="17"/>
        <v>116.5</v>
      </c>
      <c r="AX6" s="18">
        <v>18.399999999999999</v>
      </c>
      <c r="AY6" s="18">
        <v>6.8</v>
      </c>
      <c r="AZ6" s="18">
        <v>0</v>
      </c>
      <c r="BA6" s="18">
        <v>0.3</v>
      </c>
      <c r="BB6" s="18">
        <v>0</v>
      </c>
      <c r="BC6" s="18">
        <v>0</v>
      </c>
      <c r="BD6" s="18">
        <v>0</v>
      </c>
      <c r="BE6" s="18">
        <v>0</v>
      </c>
      <c r="BF6" s="18">
        <v>19.100000000000001</v>
      </c>
      <c r="BG6" s="18">
        <v>5.6</v>
      </c>
      <c r="BH6" s="18">
        <v>0.6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 t="shared" si="18"/>
        <v>6.8</v>
      </c>
      <c r="BT6" s="11">
        <f t="shared" si="19"/>
        <v>25.5</v>
      </c>
      <c r="BU6" s="11">
        <f t="shared" si="20"/>
        <v>24.1</v>
      </c>
      <c r="BV6" s="11">
        <f t="shared" si="21"/>
        <v>12.399999999999999</v>
      </c>
      <c r="BW6" s="11">
        <f t="shared" si="22"/>
        <v>49.6</v>
      </c>
      <c r="BX6" s="11" t="str">
        <f t="shared" si="23"/>
        <v/>
      </c>
      <c r="BY6" s="11" t="str">
        <f t="shared" si="24"/>
        <v/>
      </c>
      <c r="BZ6" s="11">
        <f t="shared" si="25"/>
        <v>49.6</v>
      </c>
      <c r="CA6" s="19">
        <v>19</v>
      </c>
      <c r="CB6" s="19">
        <v>6.8</v>
      </c>
      <c r="CC6" s="19">
        <v>0.2</v>
      </c>
      <c r="CD6" s="19">
        <v>0.3</v>
      </c>
      <c r="CE6" s="19">
        <v>18.8</v>
      </c>
      <c r="CF6" s="19">
        <v>6.4</v>
      </c>
      <c r="CG6" s="19">
        <v>0</v>
      </c>
      <c r="CH6" s="19">
        <v>0</v>
      </c>
      <c r="CI6" s="19"/>
      <c r="CJ6" s="19"/>
      <c r="CK6" s="19"/>
      <c r="CL6" s="19"/>
      <c r="CM6" s="19">
        <v>18.8</v>
      </c>
      <c r="CN6" s="19">
        <v>6.8</v>
      </c>
      <c r="CO6" s="19">
        <v>0.2</v>
      </c>
      <c r="CP6" s="19">
        <v>0.3</v>
      </c>
      <c r="CQ6" s="19">
        <v>15.6</v>
      </c>
      <c r="CR6" s="19">
        <v>2.8</v>
      </c>
      <c r="CS6" s="19">
        <v>0</v>
      </c>
      <c r="CT6" s="19">
        <v>0</v>
      </c>
      <c r="CU6" s="27"/>
      <c r="CV6" s="40">
        <f t="shared" si="26"/>
        <v>13.2</v>
      </c>
      <c r="CW6" s="40">
        <f t="shared" si="27"/>
        <v>51.1</v>
      </c>
      <c r="CX6" s="40" t="str">
        <f t="shared" si="28"/>
        <v/>
      </c>
      <c r="CY6" s="40">
        <f t="shared" si="29"/>
        <v>13.2</v>
      </c>
      <c r="CZ6" s="40">
        <f t="shared" si="30"/>
        <v>51.1</v>
      </c>
      <c r="DA6" s="40">
        <f t="shared" si="31"/>
        <v>9.6</v>
      </c>
      <c r="DB6" s="40">
        <f t="shared" si="32"/>
        <v>44.099999999999994</v>
      </c>
      <c r="DC6" s="40">
        <f t="shared" si="33"/>
        <v>95.199999999999989</v>
      </c>
      <c r="DD6" s="50">
        <f t="shared" si="34"/>
        <v>1.7000000000000028</v>
      </c>
      <c r="DE6" s="50" t="str">
        <f t="shared" si="35"/>
        <v/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40" t="str">
        <f t="shared" si="36"/>
        <v/>
      </c>
      <c r="EA6" s="40" t="str">
        <f t="shared" si="37"/>
        <v/>
      </c>
      <c r="EB6" s="40" t="str">
        <f t="shared" si="38"/>
        <v/>
      </c>
      <c r="EC6" s="40" t="str">
        <f t="shared" si="39"/>
        <v/>
      </c>
      <c r="ED6" s="40" t="str">
        <f t="shared" si="40"/>
        <v/>
      </c>
      <c r="EE6" s="40" t="str">
        <f t="shared" si="41"/>
        <v/>
      </c>
      <c r="EF6" s="40" t="str">
        <f t="shared" si="42"/>
        <v/>
      </c>
      <c r="EG6" s="40" t="str">
        <f t="shared" si="43"/>
        <v/>
      </c>
      <c r="EH6" s="18">
        <v>18.8</v>
      </c>
      <c r="EI6" s="18">
        <v>6.8</v>
      </c>
      <c r="EJ6" s="18">
        <v>0.8</v>
      </c>
      <c r="EK6" s="18">
        <v>0</v>
      </c>
      <c r="EL6" s="18">
        <v>18.5</v>
      </c>
      <c r="EM6" s="18">
        <v>6.4</v>
      </c>
      <c r="EN6" s="18">
        <v>0</v>
      </c>
      <c r="EO6" s="18">
        <v>0</v>
      </c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1">
        <f t="shared" si="44"/>
        <v>13.2</v>
      </c>
      <c r="FC6" s="11">
        <f t="shared" si="45"/>
        <v>49.7</v>
      </c>
      <c r="FD6" s="11" t="str">
        <f t="shared" si="46"/>
        <v/>
      </c>
      <c r="FE6" s="11">
        <f t="shared" si="47"/>
        <v>13.2</v>
      </c>
      <c r="FF6" s="11">
        <f t="shared" si="48"/>
        <v>49.7</v>
      </c>
      <c r="FG6" s="11" t="str">
        <f t="shared" si="49"/>
        <v/>
      </c>
      <c r="FH6" s="11" t="str">
        <f t="shared" si="50"/>
        <v/>
      </c>
      <c r="FI6" s="11">
        <f t="shared" si="51"/>
        <v>49.7</v>
      </c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40" t="str">
        <f t="shared" si="52"/>
        <v/>
      </c>
      <c r="GE6" s="40" t="str">
        <f t="shared" si="53"/>
        <v/>
      </c>
      <c r="GF6" s="40" t="str">
        <f t="shared" si="54"/>
        <v/>
      </c>
      <c r="GG6" s="40" t="str">
        <f t="shared" si="55"/>
        <v/>
      </c>
      <c r="GH6" s="40" t="str">
        <f t="shared" si="56"/>
        <v/>
      </c>
      <c r="GI6" s="40" t="str">
        <f t="shared" si="57"/>
        <v/>
      </c>
      <c r="GJ6" s="40" t="str">
        <f t="shared" si="58"/>
        <v/>
      </c>
      <c r="GK6" s="40" t="str">
        <f t="shared" si="59"/>
        <v/>
      </c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1" t="str">
        <f t="shared" si="60"/>
        <v/>
      </c>
      <c r="HG6" s="11" t="str">
        <f t="shared" si="61"/>
        <v/>
      </c>
      <c r="HH6" s="11" t="str">
        <f t="shared" si="62"/>
        <v/>
      </c>
      <c r="HI6" s="11" t="str">
        <f t="shared" si="63"/>
        <v/>
      </c>
      <c r="HJ6" s="11" t="str">
        <f t="shared" si="64"/>
        <v/>
      </c>
      <c r="HK6" s="11" t="str">
        <f t="shared" si="65"/>
        <v/>
      </c>
      <c r="HL6" s="11" t="str">
        <f t="shared" si="66"/>
        <v/>
      </c>
      <c r="HM6" s="11" t="str">
        <f t="shared" si="67"/>
        <v/>
      </c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40" t="str">
        <f t="shared" si="68"/>
        <v/>
      </c>
      <c r="II6" s="40" t="str">
        <f t="shared" si="69"/>
        <v/>
      </c>
      <c r="IJ6" s="40" t="str">
        <f t="shared" si="70"/>
        <v/>
      </c>
      <c r="IK6" s="40" t="str">
        <f t="shared" si="71"/>
        <v/>
      </c>
      <c r="IL6" s="40" t="str">
        <f t="shared" si="72"/>
        <v/>
      </c>
      <c r="IM6" s="40" t="str">
        <f t="shared" si="73"/>
        <v/>
      </c>
      <c r="IN6" s="40" t="str">
        <f t="shared" si="74"/>
        <v/>
      </c>
      <c r="IO6" s="40" t="str">
        <f t="shared" si="75"/>
        <v/>
      </c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1" t="str">
        <f t="shared" si="76"/>
        <v/>
      </c>
      <c r="JK6" s="11" t="str">
        <f t="shared" si="77"/>
        <v/>
      </c>
      <c r="JL6" s="11" t="str">
        <f t="shared" si="78"/>
        <v/>
      </c>
      <c r="JM6" s="11" t="str">
        <f t="shared" si="79"/>
        <v/>
      </c>
      <c r="JN6" s="11" t="str">
        <f t="shared" si="80"/>
        <v/>
      </c>
      <c r="JO6" s="11" t="str">
        <f t="shared" si="81"/>
        <v/>
      </c>
      <c r="JP6" s="11" t="str">
        <f t="shared" si="82"/>
        <v/>
      </c>
      <c r="JQ6" s="11" t="str">
        <f t="shared" si="83"/>
        <v/>
      </c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40" t="str">
        <f t="shared" si="84"/>
        <v/>
      </c>
      <c r="KM6" s="40" t="str">
        <f t="shared" si="85"/>
        <v/>
      </c>
      <c r="KN6" s="40" t="str">
        <f t="shared" si="86"/>
        <v/>
      </c>
      <c r="KO6" s="40" t="str">
        <f t="shared" si="87"/>
        <v/>
      </c>
      <c r="KP6" s="40" t="str">
        <f t="shared" si="88"/>
        <v/>
      </c>
      <c r="KQ6" s="40" t="str">
        <f t="shared" si="89"/>
        <v/>
      </c>
      <c r="KR6" s="40" t="str">
        <f t="shared" si="90"/>
        <v/>
      </c>
      <c r="KS6" s="40" t="str">
        <f t="shared" si="91"/>
        <v/>
      </c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1" t="str">
        <f t="shared" si="92"/>
        <v/>
      </c>
      <c r="LO6" s="11" t="str">
        <f t="shared" si="93"/>
        <v/>
      </c>
      <c r="LP6" s="11" t="str">
        <f t="shared" si="94"/>
        <v/>
      </c>
      <c r="LQ6" s="11" t="str">
        <f t="shared" si="95"/>
        <v/>
      </c>
      <c r="LR6" s="11" t="str">
        <f t="shared" si="96"/>
        <v/>
      </c>
      <c r="LS6" s="11" t="str">
        <f t="shared" si="97"/>
        <v/>
      </c>
      <c r="LT6" s="11" t="str">
        <f t="shared" si="98"/>
        <v/>
      </c>
      <c r="LU6" s="11" t="str">
        <f t="shared" si="99"/>
        <v/>
      </c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40" t="str">
        <f t="shared" si="100"/>
        <v/>
      </c>
      <c r="MQ6" s="40" t="str">
        <f t="shared" si="101"/>
        <v/>
      </c>
      <c r="MR6" s="40" t="str">
        <f t="shared" si="102"/>
        <v/>
      </c>
      <c r="MS6" s="40" t="str">
        <f t="shared" si="103"/>
        <v/>
      </c>
      <c r="MT6" s="40" t="str">
        <f t="shared" si="104"/>
        <v/>
      </c>
      <c r="MU6" s="40" t="str">
        <f t="shared" si="105"/>
        <v/>
      </c>
      <c r="MV6" s="40" t="str">
        <f t="shared" si="106"/>
        <v/>
      </c>
      <c r="MW6" s="40" t="str">
        <f t="shared" si="107"/>
        <v/>
      </c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1" t="str">
        <f t="shared" si="108"/>
        <v/>
      </c>
      <c r="NS6" s="11" t="str">
        <f t="shared" si="109"/>
        <v/>
      </c>
      <c r="NT6" s="11" t="str">
        <f t="shared" si="110"/>
        <v/>
      </c>
      <c r="NU6" s="11" t="str">
        <f t="shared" si="111"/>
        <v/>
      </c>
      <c r="NV6" s="11" t="str">
        <f t="shared" si="112"/>
        <v/>
      </c>
      <c r="NW6" s="11" t="str">
        <f t="shared" si="113"/>
        <v/>
      </c>
      <c r="NX6" s="11" t="str">
        <f t="shared" si="114"/>
        <v/>
      </c>
      <c r="NY6" s="11" t="str">
        <f t="shared" si="115"/>
        <v/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40" t="str">
        <f t="shared" si="116"/>
        <v/>
      </c>
      <c r="OU6" s="40" t="str">
        <f t="shared" si="117"/>
        <v/>
      </c>
      <c r="OV6" s="40" t="str">
        <f t="shared" si="118"/>
        <v/>
      </c>
      <c r="OW6" s="40" t="str">
        <f t="shared" si="119"/>
        <v/>
      </c>
      <c r="OX6" s="40" t="str">
        <f t="shared" si="120"/>
        <v/>
      </c>
      <c r="OY6" s="40" t="str">
        <f t="shared" si="121"/>
        <v/>
      </c>
      <c r="OZ6" s="40" t="str">
        <f t="shared" si="122"/>
        <v/>
      </c>
      <c r="PA6" s="40" t="str">
        <f t="shared" si="123"/>
        <v/>
      </c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1" t="str">
        <f t="shared" si="124"/>
        <v/>
      </c>
      <c r="PW6" s="11" t="str">
        <f t="shared" si="125"/>
        <v/>
      </c>
      <c r="PX6" s="11" t="str">
        <f t="shared" si="126"/>
        <v/>
      </c>
      <c r="PY6" s="11" t="str">
        <f t="shared" si="127"/>
        <v/>
      </c>
      <c r="PZ6" s="11" t="str">
        <f t="shared" si="128"/>
        <v/>
      </c>
      <c r="QA6" s="11" t="str">
        <f t="shared" si="129"/>
        <v/>
      </c>
      <c r="QB6" s="11" t="str">
        <f t="shared" si="130"/>
        <v/>
      </c>
      <c r="QC6" s="11" t="str">
        <f t="shared" si="131"/>
        <v/>
      </c>
      <c r="QD6" s="22">
        <f t="shared" si="132"/>
        <v>18.7</v>
      </c>
      <c r="QE6" s="22">
        <f t="shared" si="133"/>
        <v>6.8</v>
      </c>
      <c r="QF6" s="22">
        <f t="shared" si="134"/>
        <v>0.1</v>
      </c>
      <c r="QG6" s="22">
        <f t="shared" si="135"/>
        <v>0.3</v>
      </c>
      <c r="QH6" s="22">
        <f t="shared" si="136"/>
        <v>9.4</v>
      </c>
      <c r="QI6" s="22">
        <f t="shared" si="137"/>
        <v>3.2</v>
      </c>
      <c r="QJ6" s="22">
        <f t="shared" si="138"/>
        <v>0</v>
      </c>
      <c r="QK6" s="22">
        <f t="shared" si="139"/>
        <v>0</v>
      </c>
      <c r="QL6" s="22">
        <f t="shared" si="140"/>
        <v>9.5500000000000007</v>
      </c>
      <c r="QM6" s="22">
        <f t="shared" si="141"/>
        <v>2.8</v>
      </c>
      <c r="QN6" s="22">
        <f t="shared" si="142"/>
        <v>0.3</v>
      </c>
      <c r="QO6" s="22">
        <f t="shared" si="143"/>
        <v>0</v>
      </c>
      <c r="QP6" s="22">
        <f t="shared" si="144"/>
        <v>9.4</v>
      </c>
      <c r="QQ6" s="22">
        <f t="shared" si="145"/>
        <v>3.4</v>
      </c>
      <c r="QR6" s="22">
        <f t="shared" si="146"/>
        <v>0.1</v>
      </c>
      <c r="QS6" s="22">
        <f t="shared" si="147"/>
        <v>0.15</v>
      </c>
      <c r="QT6" s="22">
        <f t="shared" si="148"/>
        <v>7.8</v>
      </c>
      <c r="QU6" s="22">
        <f t="shared" si="149"/>
        <v>1.4</v>
      </c>
      <c r="QV6" s="22">
        <f t="shared" si="150"/>
        <v>0</v>
      </c>
      <c r="QW6" s="22">
        <f t="shared" si="151"/>
        <v>0</v>
      </c>
      <c r="QX6" s="27" t="s">
        <v>46</v>
      </c>
      <c r="QY6" s="40">
        <f t="shared" si="152"/>
        <v>10</v>
      </c>
      <c r="QZ6" s="40">
        <f t="shared" si="153"/>
        <v>38.300000000000004</v>
      </c>
      <c r="RA6" s="40">
        <f t="shared" si="154"/>
        <v>12.05</v>
      </c>
      <c r="RB6" s="40">
        <f t="shared" si="155"/>
        <v>12.8</v>
      </c>
      <c r="RC6" s="40">
        <f t="shared" si="156"/>
        <v>50.350000000000009</v>
      </c>
      <c r="RD6" s="40">
        <f t="shared" si="157"/>
        <v>4.8</v>
      </c>
      <c r="RE6" s="40">
        <f t="shared" si="158"/>
        <v>22.049999999999997</v>
      </c>
      <c r="RF6" s="40">
        <f t="shared" si="159"/>
        <v>72.400000000000006</v>
      </c>
    </row>
    <row r="7" spans="1:474" x14ac:dyDescent="0.2">
      <c r="A7" s="4" cm="1">
        <f t="array" ref="A7">IF(AND(J7&lt;&gt;"",J7&lt;&gt;"No DD"),SUMPRODUCT((J$4:J$36&lt;&gt;"")*(J$4:J$36&lt;&gt;"No DD")*(F$4:F$36&gt;F7))+1,IF(J7="No DD",SUMPRODUCT((J$4:J$36="No DD")*(F$4:F$36&gt;F7))+1+SUMPRODUCT((J$4:J$36&lt;&gt;"")*(J$4:J$36&lt;&gt;"No DD")),""))</f>
        <v>4</v>
      </c>
      <c r="B7" s="4" cm="1">
        <f t="array" ref="B7">IF(AND(J7&lt;&gt;"",J7&lt;&gt;"No DD",G7=""),SUMPRODUCT((J$4:J$36&lt;&gt;"")*(J$4:J$36&lt;&gt;"No DD")*(G$4:G$36="")*(F$4:F$36&gt;F7))+1,IF(J7="No DD",SUMPRODUCT((J$4:J$36="No DD")*(F$4:F$36&gt;F7)*(G$4:G$36=""))+1+SUMPRODUCT((J$4:J$36&lt;&gt;"")*(G$4:G$36="")*(J$4:J$36&lt;&gt;"No DD")),""))</f>
        <v>1</v>
      </c>
      <c r="C7" s="5" t="s">
        <v>207</v>
      </c>
      <c r="D7" s="4" t="s">
        <v>5</v>
      </c>
      <c r="E7" s="4">
        <v>2008</v>
      </c>
      <c r="F7" s="9">
        <f t="shared" si="0"/>
        <v>144.10000928000503</v>
      </c>
      <c r="G7" s="64"/>
      <c r="H7" s="3" t="str">
        <f t="shared" si="1"/>
        <v>P</v>
      </c>
      <c r="I7" s="3" t="str">
        <f t="shared" si="2"/>
        <v>P</v>
      </c>
      <c r="J7" s="36" t="str">
        <f t="shared" si="3"/>
        <v>National Team</v>
      </c>
      <c r="K7" s="3" t="str">
        <f t="shared" si="4"/>
        <v/>
      </c>
      <c r="L7" s="8">
        <f>IF(COUNT(AQ7,BT7,CW7)&gt;0,LARGE((AQ7,BT7,CW7),1),0)</f>
        <v>49.900000000000006</v>
      </c>
      <c r="M7" s="8" t="str">
        <f t="shared" si="5"/>
        <v>2024 Nationals</v>
      </c>
      <c r="N7" s="8">
        <f>IF(COUNT(AQ7,BT7,CW7)&gt;1,LARGE((AQ7,BT7,CW7),2),0)</f>
        <v>42.900000000000006</v>
      </c>
      <c r="O7" s="8" t="str">
        <f t="shared" si="6"/>
        <v>2024 3rd Domestic Trial</v>
      </c>
      <c r="P7" s="8">
        <f t="shared" si="7"/>
        <v>44.8</v>
      </c>
      <c r="Q7" s="8" t="str">
        <f t="shared" si="8"/>
        <v>2024 Nationals</v>
      </c>
      <c r="R7" s="8">
        <f t="shared" si="9"/>
        <v>6.4999999999999929</v>
      </c>
      <c r="S7" s="11" t="str">
        <f t="shared" si="160"/>
        <v>(Q1)</v>
      </c>
      <c r="T7" s="8" t="str">
        <f t="shared" si="161"/>
        <v>2024 Coimbra Gym Fest (July 7)</v>
      </c>
      <c r="U7" s="19">
        <v>18.600000000000001</v>
      </c>
      <c r="V7" s="19">
        <v>6</v>
      </c>
      <c r="W7" s="19">
        <v>0</v>
      </c>
      <c r="X7" s="19">
        <v>0</v>
      </c>
      <c r="Y7" s="19">
        <v>18.3</v>
      </c>
      <c r="Z7" s="19">
        <v>7.2</v>
      </c>
      <c r="AA7" s="19">
        <v>0.2</v>
      </c>
      <c r="AB7" s="19">
        <v>0</v>
      </c>
      <c r="AC7" s="19">
        <v>18.3</v>
      </c>
      <c r="AD7" s="19">
        <v>4.4000000000000004</v>
      </c>
      <c r="AE7" s="19">
        <v>1</v>
      </c>
      <c r="AF7" s="19">
        <v>0</v>
      </c>
      <c r="AG7" s="19">
        <v>17.399999999999999</v>
      </c>
      <c r="AH7" s="19">
        <v>2.4</v>
      </c>
      <c r="AI7" s="19">
        <v>0</v>
      </c>
      <c r="AJ7" s="19">
        <v>0</v>
      </c>
      <c r="AK7" s="19">
        <v>18.600000000000001</v>
      </c>
      <c r="AL7" s="19">
        <v>6.4</v>
      </c>
      <c r="AM7" s="19">
        <v>0</v>
      </c>
      <c r="AN7" s="19">
        <v>0</v>
      </c>
      <c r="AO7" s="27"/>
      <c r="AP7" s="40">
        <f t="shared" si="10"/>
        <v>13.2</v>
      </c>
      <c r="AQ7" s="40">
        <f t="shared" si="11"/>
        <v>49.900000000000006</v>
      </c>
      <c r="AR7" s="40">
        <f t="shared" si="12"/>
        <v>21.700000000000003</v>
      </c>
      <c r="AS7" s="40">
        <f t="shared" si="13"/>
        <v>17.600000000000001</v>
      </c>
      <c r="AT7" s="40">
        <f t="shared" si="14"/>
        <v>71.600000000000009</v>
      </c>
      <c r="AU7" s="40">
        <f t="shared" si="15"/>
        <v>8.8000000000000007</v>
      </c>
      <c r="AV7" s="40">
        <f t="shared" si="16"/>
        <v>44.8</v>
      </c>
      <c r="AW7" s="40">
        <f t="shared" si="17"/>
        <v>116.4</v>
      </c>
      <c r="AX7" s="18">
        <v>17.8</v>
      </c>
      <c r="AY7" s="18">
        <v>4.4000000000000004</v>
      </c>
      <c r="AZ7" s="18">
        <v>0.6</v>
      </c>
      <c r="BA7" s="18">
        <v>0</v>
      </c>
      <c r="BB7" s="18">
        <v>19</v>
      </c>
      <c r="BC7" s="18">
        <v>3.1</v>
      </c>
      <c r="BD7" s="18">
        <v>0.8</v>
      </c>
      <c r="BE7" s="18">
        <v>0</v>
      </c>
      <c r="BF7" s="18">
        <v>16.2</v>
      </c>
      <c r="BG7" s="18">
        <v>2.8</v>
      </c>
      <c r="BH7" s="18">
        <v>1.2</v>
      </c>
      <c r="BI7" s="18">
        <v>0</v>
      </c>
      <c r="BJ7" s="18">
        <v>17.8</v>
      </c>
      <c r="BK7" s="18">
        <v>5.6</v>
      </c>
      <c r="BL7" s="18">
        <v>1</v>
      </c>
      <c r="BM7" s="18">
        <v>0</v>
      </c>
      <c r="BN7" s="18">
        <v>17.2</v>
      </c>
      <c r="BO7" s="18">
        <v>2.4</v>
      </c>
      <c r="BP7" s="18">
        <v>0</v>
      </c>
      <c r="BQ7" s="18">
        <v>0</v>
      </c>
      <c r="BR7" s="28"/>
      <c r="BS7" s="11">
        <f t="shared" si="18"/>
        <v>7.5</v>
      </c>
      <c r="BT7" s="11">
        <f t="shared" si="19"/>
        <v>42.900000000000006</v>
      </c>
      <c r="BU7" s="11">
        <f t="shared" si="20"/>
        <v>17.8</v>
      </c>
      <c r="BV7" s="11">
        <f t="shared" si="21"/>
        <v>10.3</v>
      </c>
      <c r="BW7" s="11">
        <f t="shared" si="22"/>
        <v>60.7</v>
      </c>
      <c r="BX7" s="11">
        <f t="shared" si="23"/>
        <v>8</v>
      </c>
      <c r="BY7" s="11">
        <f t="shared" si="24"/>
        <v>41.999999999999993</v>
      </c>
      <c r="BZ7" s="11">
        <f t="shared" si="25"/>
        <v>102.69999999999999</v>
      </c>
      <c r="CA7" s="19">
        <v>18.7</v>
      </c>
      <c r="CB7" s="19">
        <v>5.2</v>
      </c>
      <c r="CC7" s="19">
        <v>0</v>
      </c>
      <c r="CD7" s="19">
        <v>0</v>
      </c>
      <c r="CE7" s="19">
        <v>15.2</v>
      </c>
      <c r="CF7" s="19">
        <v>0</v>
      </c>
      <c r="CG7" s="19">
        <v>0</v>
      </c>
      <c r="CH7" s="19">
        <v>0</v>
      </c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6"/>
        <v>5.2</v>
      </c>
      <c r="CW7" s="40">
        <f t="shared" si="27"/>
        <v>39.099999999999994</v>
      </c>
      <c r="CX7" s="40" t="str">
        <f t="shared" si="28"/>
        <v/>
      </c>
      <c r="CY7" s="40">
        <f t="shared" si="29"/>
        <v>5.2</v>
      </c>
      <c r="CZ7" s="40">
        <f t="shared" si="30"/>
        <v>39.099999999999994</v>
      </c>
      <c r="DA7" s="40" t="str">
        <f t="shared" si="31"/>
        <v/>
      </c>
      <c r="DB7" s="40" t="str">
        <f t="shared" si="32"/>
        <v/>
      </c>
      <c r="DC7" s="40">
        <f t="shared" si="33"/>
        <v>39.099999999999994</v>
      </c>
      <c r="DD7" s="50">
        <f t="shared" si="34"/>
        <v>6.4999999999999929</v>
      </c>
      <c r="DE7" s="50">
        <f t="shared" si="35"/>
        <v>4.8000000000000043</v>
      </c>
      <c r="DF7" s="17">
        <v>18.2</v>
      </c>
      <c r="DG7" s="17">
        <v>6</v>
      </c>
      <c r="DH7" s="17">
        <v>0.6</v>
      </c>
      <c r="DI7" s="17">
        <v>0</v>
      </c>
      <c r="DJ7" s="17">
        <v>18.600000000000001</v>
      </c>
      <c r="DK7" s="17">
        <v>7.2</v>
      </c>
      <c r="DL7" s="17">
        <v>0</v>
      </c>
      <c r="DM7" s="17">
        <v>0</v>
      </c>
      <c r="DN7" s="17"/>
      <c r="DO7" s="17"/>
      <c r="DP7" s="17"/>
      <c r="DQ7" s="17"/>
      <c r="DR7" s="17">
        <v>18.600000000000001</v>
      </c>
      <c r="DS7" s="17">
        <v>6</v>
      </c>
      <c r="DT7" s="17">
        <v>0</v>
      </c>
      <c r="DU7" s="17">
        <v>0</v>
      </c>
      <c r="DV7" s="17">
        <v>18</v>
      </c>
      <c r="DW7" s="17">
        <v>7.2</v>
      </c>
      <c r="DX7" s="17">
        <v>0.2</v>
      </c>
      <c r="DY7" s="17">
        <v>0</v>
      </c>
      <c r="DZ7" s="40">
        <f t="shared" si="36"/>
        <v>13.2</v>
      </c>
      <c r="EA7" s="40">
        <f t="shared" si="37"/>
        <v>49.4</v>
      </c>
      <c r="EB7" s="40" t="str">
        <f t="shared" si="38"/>
        <v/>
      </c>
      <c r="EC7" s="40">
        <f t="shared" si="39"/>
        <v>13.2</v>
      </c>
      <c r="ED7" s="40">
        <f t="shared" si="40"/>
        <v>49.4</v>
      </c>
      <c r="EE7" s="40">
        <f t="shared" si="41"/>
        <v>13.2</v>
      </c>
      <c r="EF7" s="40">
        <f t="shared" si="42"/>
        <v>49.6</v>
      </c>
      <c r="EG7" s="40">
        <f t="shared" si="43"/>
        <v>99</v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1" t="str">
        <f t="shared" si="44"/>
        <v/>
      </c>
      <c r="FC7" s="11" t="str">
        <f t="shared" si="45"/>
        <v/>
      </c>
      <c r="FD7" s="11" t="str">
        <f t="shared" si="46"/>
        <v/>
      </c>
      <c r="FE7" s="11" t="str">
        <f t="shared" si="47"/>
        <v/>
      </c>
      <c r="FF7" s="11" t="str">
        <f t="shared" si="48"/>
        <v/>
      </c>
      <c r="FG7" s="11" t="str">
        <f t="shared" si="49"/>
        <v/>
      </c>
      <c r="FH7" s="11" t="str">
        <f t="shared" si="50"/>
        <v/>
      </c>
      <c r="FI7" s="11" t="str">
        <f t="shared" si="51"/>
        <v/>
      </c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40" t="str">
        <f t="shared" si="52"/>
        <v/>
      </c>
      <c r="GE7" s="40" t="str">
        <f t="shared" si="53"/>
        <v/>
      </c>
      <c r="GF7" s="40" t="str">
        <f t="shared" si="54"/>
        <v/>
      </c>
      <c r="GG7" s="40" t="str">
        <f t="shared" si="55"/>
        <v/>
      </c>
      <c r="GH7" s="40" t="str">
        <f t="shared" si="56"/>
        <v/>
      </c>
      <c r="GI7" s="40" t="str">
        <f t="shared" si="57"/>
        <v/>
      </c>
      <c r="GJ7" s="40" t="str">
        <f t="shared" si="58"/>
        <v/>
      </c>
      <c r="GK7" s="40" t="str">
        <f t="shared" si="59"/>
        <v/>
      </c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1" t="str">
        <f t="shared" si="60"/>
        <v/>
      </c>
      <c r="HG7" s="11" t="str">
        <f t="shared" si="61"/>
        <v/>
      </c>
      <c r="HH7" s="11" t="str">
        <f t="shared" si="62"/>
        <v/>
      </c>
      <c r="HI7" s="11" t="str">
        <f t="shared" si="63"/>
        <v/>
      </c>
      <c r="HJ7" s="11" t="str">
        <f t="shared" si="64"/>
        <v/>
      </c>
      <c r="HK7" s="11" t="str">
        <f t="shared" si="65"/>
        <v/>
      </c>
      <c r="HL7" s="11" t="str">
        <f t="shared" si="66"/>
        <v/>
      </c>
      <c r="HM7" s="11" t="str">
        <f t="shared" si="67"/>
        <v/>
      </c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40" t="str">
        <f t="shared" si="68"/>
        <v/>
      </c>
      <c r="II7" s="40" t="str">
        <f t="shared" si="69"/>
        <v/>
      </c>
      <c r="IJ7" s="40" t="str">
        <f t="shared" si="70"/>
        <v/>
      </c>
      <c r="IK7" s="40" t="str">
        <f t="shared" si="71"/>
        <v/>
      </c>
      <c r="IL7" s="40" t="str">
        <f t="shared" si="72"/>
        <v/>
      </c>
      <c r="IM7" s="40" t="str">
        <f t="shared" si="73"/>
        <v/>
      </c>
      <c r="IN7" s="40" t="str">
        <f t="shared" si="74"/>
        <v/>
      </c>
      <c r="IO7" s="40" t="str">
        <f t="shared" si="75"/>
        <v/>
      </c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1" t="str">
        <f t="shared" si="76"/>
        <v/>
      </c>
      <c r="JK7" s="11" t="str">
        <f t="shared" si="77"/>
        <v/>
      </c>
      <c r="JL7" s="11" t="str">
        <f t="shared" si="78"/>
        <v/>
      </c>
      <c r="JM7" s="11" t="str">
        <f t="shared" si="79"/>
        <v/>
      </c>
      <c r="JN7" s="11" t="str">
        <f t="shared" si="80"/>
        <v/>
      </c>
      <c r="JO7" s="11" t="str">
        <f t="shared" si="81"/>
        <v/>
      </c>
      <c r="JP7" s="11" t="str">
        <f t="shared" si="82"/>
        <v/>
      </c>
      <c r="JQ7" s="11" t="str">
        <f t="shared" si="83"/>
        <v/>
      </c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40" t="str">
        <f t="shared" si="84"/>
        <v/>
      </c>
      <c r="KM7" s="40" t="str">
        <f t="shared" si="85"/>
        <v/>
      </c>
      <c r="KN7" s="40" t="str">
        <f t="shared" si="86"/>
        <v/>
      </c>
      <c r="KO7" s="40" t="str">
        <f t="shared" si="87"/>
        <v/>
      </c>
      <c r="KP7" s="40" t="str">
        <f t="shared" si="88"/>
        <v/>
      </c>
      <c r="KQ7" s="40" t="str">
        <f t="shared" si="89"/>
        <v/>
      </c>
      <c r="KR7" s="40" t="str">
        <f t="shared" si="90"/>
        <v/>
      </c>
      <c r="KS7" s="40" t="str">
        <f t="shared" si="91"/>
        <v/>
      </c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1" t="str">
        <f t="shared" si="92"/>
        <v/>
      </c>
      <c r="LO7" s="11" t="str">
        <f t="shared" si="93"/>
        <v/>
      </c>
      <c r="LP7" s="11" t="str">
        <f t="shared" si="94"/>
        <v/>
      </c>
      <c r="LQ7" s="11" t="str">
        <f t="shared" si="95"/>
        <v/>
      </c>
      <c r="LR7" s="11" t="str">
        <f t="shared" si="96"/>
        <v/>
      </c>
      <c r="LS7" s="11" t="str">
        <f t="shared" si="97"/>
        <v/>
      </c>
      <c r="LT7" s="11" t="str">
        <f t="shared" si="98"/>
        <v/>
      </c>
      <c r="LU7" s="11" t="str">
        <f t="shared" si="99"/>
        <v/>
      </c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40" t="str">
        <f t="shared" si="100"/>
        <v/>
      </c>
      <c r="MQ7" s="40" t="str">
        <f t="shared" si="101"/>
        <v/>
      </c>
      <c r="MR7" s="40" t="str">
        <f t="shared" si="102"/>
        <v/>
      </c>
      <c r="MS7" s="40" t="str">
        <f t="shared" si="103"/>
        <v/>
      </c>
      <c r="MT7" s="40" t="str">
        <f t="shared" si="104"/>
        <v/>
      </c>
      <c r="MU7" s="40" t="str">
        <f t="shared" si="105"/>
        <v/>
      </c>
      <c r="MV7" s="40" t="str">
        <f t="shared" si="106"/>
        <v/>
      </c>
      <c r="MW7" s="40" t="str">
        <f t="shared" si="107"/>
        <v/>
      </c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1" t="str">
        <f t="shared" si="108"/>
        <v/>
      </c>
      <c r="NS7" s="11" t="str">
        <f t="shared" si="109"/>
        <v/>
      </c>
      <c r="NT7" s="11" t="str">
        <f t="shared" si="110"/>
        <v/>
      </c>
      <c r="NU7" s="11" t="str">
        <f t="shared" si="111"/>
        <v/>
      </c>
      <c r="NV7" s="11" t="str">
        <f t="shared" si="112"/>
        <v/>
      </c>
      <c r="NW7" s="11" t="str">
        <f t="shared" si="113"/>
        <v/>
      </c>
      <c r="NX7" s="11" t="str">
        <f t="shared" si="114"/>
        <v/>
      </c>
      <c r="NY7" s="11" t="str">
        <f t="shared" si="115"/>
        <v/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40" t="str">
        <f t="shared" si="116"/>
        <v/>
      </c>
      <c r="OU7" s="40" t="str">
        <f t="shared" si="117"/>
        <v/>
      </c>
      <c r="OV7" s="40" t="str">
        <f t="shared" si="118"/>
        <v/>
      </c>
      <c r="OW7" s="40" t="str">
        <f t="shared" si="119"/>
        <v/>
      </c>
      <c r="OX7" s="40" t="str">
        <f t="shared" si="120"/>
        <v/>
      </c>
      <c r="OY7" s="40" t="str">
        <f t="shared" si="121"/>
        <v/>
      </c>
      <c r="OZ7" s="40" t="str">
        <f t="shared" si="122"/>
        <v/>
      </c>
      <c r="PA7" s="40" t="str">
        <f t="shared" si="123"/>
        <v/>
      </c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1" t="str">
        <f t="shared" si="124"/>
        <v/>
      </c>
      <c r="PW7" s="11" t="str">
        <f t="shared" si="125"/>
        <v/>
      </c>
      <c r="PX7" s="11" t="str">
        <f t="shared" si="126"/>
        <v/>
      </c>
      <c r="PY7" s="11" t="str">
        <f t="shared" si="127"/>
        <v/>
      </c>
      <c r="PZ7" s="11" t="str">
        <f t="shared" si="128"/>
        <v/>
      </c>
      <c r="QA7" s="11" t="str">
        <f t="shared" si="129"/>
        <v/>
      </c>
      <c r="QB7" s="11" t="str">
        <f t="shared" si="130"/>
        <v/>
      </c>
      <c r="QC7" s="11" t="str">
        <f t="shared" si="131"/>
        <v/>
      </c>
      <c r="QD7" s="22">
        <f t="shared" si="132"/>
        <v>18.25</v>
      </c>
      <c r="QE7" s="22">
        <f t="shared" si="133"/>
        <v>4.8000000000000007</v>
      </c>
      <c r="QF7" s="22">
        <f t="shared" si="134"/>
        <v>0.3</v>
      </c>
      <c r="QG7" s="22">
        <f t="shared" si="135"/>
        <v>0</v>
      </c>
      <c r="QH7" s="22">
        <f t="shared" si="136"/>
        <v>17.100000000000001</v>
      </c>
      <c r="QI7" s="22">
        <f t="shared" si="137"/>
        <v>1.55</v>
      </c>
      <c r="QJ7" s="22">
        <f t="shared" si="138"/>
        <v>0.4</v>
      </c>
      <c r="QK7" s="22">
        <f t="shared" si="139"/>
        <v>0</v>
      </c>
      <c r="QL7" s="22">
        <f t="shared" si="140"/>
        <v>8.1</v>
      </c>
      <c r="QM7" s="22">
        <f t="shared" si="141"/>
        <v>1.4</v>
      </c>
      <c r="QN7" s="22">
        <f t="shared" si="142"/>
        <v>0.6</v>
      </c>
      <c r="QO7" s="22">
        <f t="shared" si="143"/>
        <v>0</v>
      </c>
      <c r="QP7" s="22">
        <f t="shared" si="144"/>
        <v>8.9</v>
      </c>
      <c r="QQ7" s="22">
        <f t="shared" si="145"/>
        <v>2.8</v>
      </c>
      <c r="QR7" s="22">
        <f t="shared" si="146"/>
        <v>0.5</v>
      </c>
      <c r="QS7" s="22">
        <f t="shared" si="147"/>
        <v>0</v>
      </c>
      <c r="QT7" s="22">
        <f t="shared" si="148"/>
        <v>8.6</v>
      </c>
      <c r="QU7" s="22">
        <f t="shared" si="149"/>
        <v>1.2</v>
      </c>
      <c r="QV7" s="22">
        <f t="shared" si="150"/>
        <v>0</v>
      </c>
      <c r="QW7" s="22">
        <f t="shared" si="151"/>
        <v>0</v>
      </c>
      <c r="QX7" s="27" t="s">
        <v>46</v>
      </c>
      <c r="QY7" s="40">
        <f t="shared" si="152"/>
        <v>6.3500000000000005</v>
      </c>
      <c r="QZ7" s="40">
        <f t="shared" si="153"/>
        <v>41.000000000000007</v>
      </c>
      <c r="RA7" s="40">
        <f t="shared" si="154"/>
        <v>8.9</v>
      </c>
      <c r="RB7" s="40">
        <f t="shared" si="155"/>
        <v>7.75</v>
      </c>
      <c r="RC7" s="40">
        <f t="shared" si="156"/>
        <v>49.900000000000006</v>
      </c>
      <c r="RD7" s="40">
        <f t="shared" si="157"/>
        <v>4</v>
      </c>
      <c r="RE7" s="40">
        <f t="shared" si="158"/>
        <v>20.999999999999996</v>
      </c>
      <c r="RF7" s="40">
        <f t="shared" si="159"/>
        <v>70.900000000000006</v>
      </c>
    </row>
    <row r="8" spans="1:474" x14ac:dyDescent="0.2">
      <c r="A8" s="4" cm="1">
        <f t="array" ref="A8">IF(AND(J8&lt;&gt;"",J8&lt;&gt;"No DD"),SUMPRODUCT((J$4:J$36&lt;&gt;"")*(J$4:J$36&lt;&gt;"No DD")*(F$4:F$36&gt;F8))+1,IF(J8="No DD",SUMPRODUCT((J$4:J$36="No DD")*(F$4:F$36&gt;F8))+1+SUMPRODUCT((J$4:J$36&lt;&gt;"")*(J$4:J$36&lt;&gt;"No DD")),""))</f>
        <v>5</v>
      </c>
      <c r="B8" s="4" cm="1">
        <f t="array" ref="B8">IF(AND(J8&lt;&gt;"",J8&lt;&gt;"No DD",G8=""),SUMPRODUCT((J$4:J$36&lt;&gt;"")*(J$4:J$36&lt;&gt;"No DD")*(G$4:G$36="")*(F$4:F$36&gt;F8))+1,IF(J8="No DD",SUMPRODUCT((J$4:J$36="No DD")*(F$4:F$36&gt;F8)*(G$4:G$36=""))+1+SUMPRODUCT((J$4:J$36&lt;&gt;"")*(G$4:G$36="")*(J$4:J$36&lt;&gt;"No DD")),""))</f>
        <v>2</v>
      </c>
      <c r="C8" s="5" t="s">
        <v>129</v>
      </c>
      <c r="D8" s="4" t="s">
        <v>5</v>
      </c>
      <c r="E8" s="4">
        <v>2006</v>
      </c>
      <c r="F8" s="9">
        <f t="shared" si="0"/>
        <v>141.90000467000468</v>
      </c>
      <c r="G8" s="64"/>
      <c r="H8" s="3" t="str">
        <f t="shared" si="1"/>
        <v>P</v>
      </c>
      <c r="I8" s="3" t="str">
        <f t="shared" si="2"/>
        <v>P</v>
      </c>
      <c r="J8" s="36" t="str">
        <f t="shared" si="3"/>
        <v>National Team</v>
      </c>
      <c r="K8" s="3" t="str">
        <f t="shared" si="4"/>
        <v/>
      </c>
      <c r="L8" s="8">
        <f>IF(COUNT(AQ8,BT8,CW8)&gt;0,LARGE((AQ8,BT8,CW8),1),0)</f>
        <v>46.699999999999989</v>
      </c>
      <c r="M8" s="8" t="str">
        <f t="shared" si="5"/>
        <v>2024 Nationals</v>
      </c>
      <c r="N8" s="8">
        <f>IF(COUNT(AQ8,BT8,CW8)&gt;1,LARGE((AQ8,BT8,CW8),2),0)</f>
        <v>0</v>
      </c>
      <c r="O8" s="8" t="str">
        <f t="shared" si="6"/>
        <v/>
      </c>
      <c r="P8" s="8">
        <f t="shared" si="7"/>
        <v>46.800000000000004</v>
      </c>
      <c r="Q8" s="8" t="str">
        <f t="shared" si="8"/>
        <v>2024 Nationals</v>
      </c>
      <c r="R8" s="8">
        <f t="shared" si="9"/>
        <v>48.4</v>
      </c>
      <c r="S8" s="11" t="str">
        <f t="shared" si="160"/>
        <v>(Q1)</v>
      </c>
      <c r="T8" s="8" t="str">
        <f t="shared" si="161"/>
        <v>2024 Coimbra Gym Fest (July 7)</v>
      </c>
      <c r="U8" s="19">
        <v>19</v>
      </c>
      <c r="V8" s="19">
        <v>5.2</v>
      </c>
      <c r="W8" s="19">
        <v>0.2</v>
      </c>
      <c r="X8" s="19">
        <v>0</v>
      </c>
      <c r="Y8" s="19">
        <v>18.399999999999999</v>
      </c>
      <c r="Z8" s="19">
        <v>4.8</v>
      </c>
      <c r="AA8" s="19">
        <v>0.8</v>
      </c>
      <c r="AB8" s="19">
        <v>0.3</v>
      </c>
      <c r="AC8" s="19">
        <v>19.100000000000001</v>
      </c>
      <c r="AD8" s="19">
        <v>4.3</v>
      </c>
      <c r="AE8" s="19">
        <v>0.2</v>
      </c>
      <c r="AF8" s="19">
        <v>0</v>
      </c>
      <c r="AG8" s="19">
        <v>18.899999999999999</v>
      </c>
      <c r="AH8" s="19">
        <v>5.2</v>
      </c>
      <c r="AI8" s="19">
        <v>0.6</v>
      </c>
      <c r="AJ8" s="19">
        <v>0</v>
      </c>
      <c r="AK8" s="19">
        <v>18.600000000000001</v>
      </c>
      <c r="AL8" s="19">
        <v>5.2</v>
      </c>
      <c r="AM8" s="19">
        <v>0.8</v>
      </c>
      <c r="AN8" s="19">
        <v>0.3</v>
      </c>
      <c r="AO8" s="27"/>
      <c r="AP8" s="40">
        <f t="shared" si="10"/>
        <v>10</v>
      </c>
      <c r="AQ8" s="40">
        <f t="shared" si="11"/>
        <v>46.699999999999989</v>
      </c>
      <c r="AR8" s="40">
        <f t="shared" si="12"/>
        <v>23.200000000000003</v>
      </c>
      <c r="AS8" s="40">
        <f t="shared" si="13"/>
        <v>14.3</v>
      </c>
      <c r="AT8" s="40">
        <f t="shared" si="14"/>
        <v>69.899999999999991</v>
      </c>
      <c r="AU8" s="40">
        <f t="shared" si="15"/>
        <v>10.4</v>
      </c>
      <c r="AV8" s="40">
        <f t="shared" si="16"/>
        <v>46.800000000000004</v>
      </c>
      <c r="AW8" s="40">
        <f t="shared" si="17"/>
        <v>116.69999999999999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18"/>
        <v/>
      </c>
      <c r="BT8" s="11" t="str">
        <f t="shared" si="19"/>
        <v/>
      </c>
      <c r="BU8" s="11" t="str">
        <f t="shared" si="20"/>
        <v/>
      </c>
      <c r="BV8" s="11" t="str">
        <f t="shared" si="21"/>
        <v/>
      </c>
      <c r="BW8" s="11" t="str">
        <f t="shared" si="22"/>
        <v/>
      </c>
      <c r="BX8" s="11" t="str">
        <f t="shared" si="23"/>
        <v/>
      </c>
      <c r="BY8" s="11" t="str">
        <f t="shared" si="24"/>
        <v/>
      </c>
      <c r="BZ8" s="11" t="str">
        <f t="shared" si="25"/>
        <v/>
      </c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27"/>
      <c r="CV8" s="40" t="str">
        <f t="shared" si="26"/>
        <v/>
      </c>
      <c r="CW8" s="40" t="str">
        <f t="shared" si="27"/>
        <v/>
      </c>
      <c r="CX8" s="40" t="str">
        <f t="shared" si="28"/>
        <v/>
      </c>
      <c r="CY8" s="40" t="str">
        <f t="shared" si="29"/>
        <v/>
      </c>
      <c r="CZ8" s="40" t="str">
        <f t="shared" si="30"/>
        <v/>
      </c>
      <c r="DA8" s="40" t="str">
        <f t="shared" si="31"/>
        <v/>
      </c>
      <c r="DB8" s="40" t="str">
        <f t="shared" si="32"/>
        <v/>
      </c>
      <c r="DC8" s="40" t="str">
        <f t="shared" si="33"/>
        <v/>
      </c>
      <c r="DD8" s="50">
        <f t="shared" si="34"/>
        <v>48.4</v>
      </c>
      <c r="DE8" s="50">
        <f t="shared" si="35"/>
        <v>0.59999999999999432</v>
      </c>
      <c r="DF8" s="17">
        <v>18.8</v>
      </c>
      <c r="DG8" s="17">
        <v>6</v>
      </c>
      <c r="DH8" s="17">
        <v>0.6</v>
      </c>
      <c r="DI8" s="17">
        <v>0</v>
      </c>
      <c r="DJ8" s="17">
        <v>18.8</v>
      </c>
      <c r="DK8" s="17">
        <v>5.6</v>
      </c>
      <c r="DL8" s="17">
        <v>0.2</v>
      </c>
      <c r="DM8" s="17">
        <v>0</v>
      </c>
      <c r="DN8" s="17"/>
      <c r="DO8" s="17"/>
      <c r="DP8" s="17"/>
      <c r="DQ8" s="17"/>
      <c r="DR8" s="17">
        <v>18.3</v>
      </c>
      <c r="DS8" s="17">
        <v>6</v>
      </c>
      <c r="DT8" s="17">
        <v>0.8</v>
      </c>
      <c r="DU8" s="17">
        <v>0</v>
      </c>
      <c r="DV8" s="17">
        <v>18.5</v>
      </c>
      <c r="DW8" s="17">
        <v>5.6</v>
      </c>
      <c r="DX8" s="17">
        <v>0.2</v>
      </c>
      <c r="DY8" s="17">
        <v>0</v>
      </c>
      <c r="DZ8" s="40">
        <f t="shared" si="36"/>
        <v>11.6</v>
      </c>
      <c r="EA8" s="40">
        <f t="shared" si="37"/>
        <v>48.4</v>
      </c>
      <c r="EB8" s="40" t="str">
        <f t="shared" si="38"/>
        <v/>
      </c>
      <c r="EC8" s="40">
        <f t="shared" si="39"/>
        <v>11.6</v>
      </c>
      <c r="ED8" s="40">
        <f t="shared" si="40"/>
        <v>48.4</v>
      </c>
      <c r="EE8" s="40">
        <f t="shared" si="41"/>
        <v>11.6</v>
      </c>
      <c r="EF8" s="40">
        <f t="shared" si="42"/>
        <v>47.4</v>
      </c>
      <c r="EG8" s="40">
        <f t="shared" si="43"/>
        <v>95.8</v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1" t="str">
        <f t="shared" si="44"/>
        <v/>
      </c>
      <c r="FC8" s="11" t="str">
        <f t="shared" si="45"/>
        <v/>
      </c>
      <c r="FD8" s="11" t="str">
        <f t="shared" si="46"/>
        <v/>
      </c>
      <c r="FE8" s="11" t="str">
        <f t="shared" si="47"/>
        <v/>
      </c>
      <c r="FF8" s="11" t="str">
        <f t="shared" si="48"/>
        <v/>
      </c>
      <c r="FG8" s="11" t="str">
        <f t="shared" si="49"/>
        <v/>
      </c>
      <c r="FH8" s="11" t="str">
        <f t="shared" si="50"/>
        <v/>
      </c>
      <c r="FI8" s="11" t="str">
        <f t="shared" si="51"/>
        <v/>
      </c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40" t="str">
        <f t="shared" si="52"/>
        <v/>
      </c>
      <c r="GE8" s="40" t="str">
        <f t="shared" si="53"/>
        <v/>
      </c>
      <c r="GF8" s="40" t="str">
        <f t="shared" si="54"/>
        <v/>
      </c>
      <c r="GG8" s="40" t="str">
        <f t="shared" si="55"/>
        <v/>
      </c>
      <c r="GH8" s="40" t="str">
        <f t="shared" si="56"/>
        <v/>
      </c>
      <c r="GI8" s="40" t="str">
        <f t="shared" si="57"/>
        <v/>
      </c>
      <c r="GJ8" s="40" t="str">
        <f t="shared" si="58"/>
        <v/>
      </c>
      <c r="GK8" s="40" t="str">
        <f t="shared" si="59"/>
        <v/>
      </c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1" t="str">
        <f t="shared" si="60"/>
        <v/>
      </c>
      <c r="HG8" s="11" t="str">
        <f t="shared" si="61"/>
        <v/>
      </c>
      <c r="HH8" s="11" t="str">
        <f t="shared" si="62"/>
        <v/>
      </c>
      <c r="HI8" s="11" t="str">
        <f t="shared" si="63"/>
        <v/>
      </c>
      <c r="HJ8" s="11" t="str">
        <f t="shared" si="64"/>
        <v/>
      </c>
      <c r="HK8" s="11" t="str">
        <f t="shared" si="65"/>
        <v/>
      </c>
      <c r="HL8" s="11" t="str">
        <f t="shared" si="66"/>
        <v/>
      </c>
      <c r="HM8" s="11" t="str">
        <f t="shared" si="67"/>
        <v/>
      </c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40" t="str">
        <f t="shared" si="68"/>
        <v/>
      </c>
      <c r="II8" s="40" t="str">
        <f t="shared" si="69"/>
        <v/>
      </c>
      <c r="IJ8" s="40" t="str">
        <f t="shared" si="70"/>
        <v/>
      </c>
      <c r="IK8" s="40" t="str">
        <f t="shared" si="71"/>
        <v/>
      </c>
      <c r="IL8" s="40" t="str">
        <f t="shared" si="72"/>
        <v/>
      </c>
      <c r="IM8" s="40" t="str">
        <f t="shared" si="73"/>
        <v/>
      </c>
      <c r="IN8" s="40" t="str">
        <f t="shared" si="74"/>
        <v/>
      </c>
      <c r="IO8" s="40" t="str">
        <f t="shared" si="75"/>
        <v/>
      </c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1" t="str">
        <f t="shared" si="76"/>
        <v/>
      </c>
      <c r="JK8" s="11" t="str">
        <f t="shared" si="77"/>
        <v/>
      </c>
      <c r="JL8" s="11" t="str">
        <f t="shared" si="78"/>
        <v/>
      </c>
      <c r="JM8" s="11" t="str">
        <f t="shared" si="79"/>
        <v/>
      </c>
      <c r="JN8" s="11" t="str">
        <f t="shared" si="80"/>
        <v/>
      </c>
      <c r="JO8" s="11" t="str">
        <f t="shared" si="81"/>
        <v/>
      </c>
      <c r="JP8" s="11" t="str">
        <f t="shared" si="82"/>
        <v/>
      </c>
      <c r="JQ8" s="11" t="str">
        <f t="shared" si="83"/>
        <v/>
      </c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40" t="str">
        <f t="shared" si="84"/>
        <v/>
      </c>
      <c r="KM8" s="40" t="str">
        <f t="shared" si="85"/>
        <v/>
      </c>
      <c r="KN8" s="40" t="str">
        <f t="shared" si="86"/>
        <v/>
      </c>
      <c r="KO8" s="40" t="str">
        <f t="shared" si="87"/>
        <v/>
      </c>
      <c r="KP8" s="40" t="str">
        <f t="shared" si="88"/>
        <v/>
      </c>
      <c r="KQ8" s="40" t="str">
        <f t="shared" si="89"/>
        <v/>
      </c>
      <c r="KR8" s="40" t="str">
        <f t="shared" si="90"/>
        <v/>
      </c>
      <c r="KS8" s="40" t="str">
        <f t="shared" si="91"/>
        <v/>
      </c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1" t="str">
        <f t="shared" si="92"/>
        <v/>
      </c>
      <c r="LO8" s="11" t="str">
        <f t="shared" si="93"/>
        <v/>
      </c>
      <c r="LP8" s="11" t="str">
        <f t="shared" si="94"/>
        <v/>
      </c>
      <c r="LQ8" s="11" t="str">
        <f t="shared" si="95"/>
        <v/>
      </c>
      <c r="LR8" s="11" t="str">
        <f t="shared" si="96"/>
        <v/>
      </c>
      <c r="LS8" s="11" t="str">
        <f t="shared" si="97"/>
        <v/>
      </c>
      <c r="LT8" s="11" t="str">
        <f t="shared" si="98"/>
        <v/>
      </c>
      <c r="LU8" s="11" t="str">
        <f t="shared" si="99"/>
        <v/>
      </c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40" t="str">
        <f t="shared" si="100"/>
        <v/>
      </c>
      <c r="MQ8" s="40" t="str">
        <f t="shared" si="101"/>
        <v/>
      </c>
      <c r="MR8" s="40" t="str">
        <f t="shared" si="102"/>
        <v/>
      </c>
      <c r="MS8" s="40" t="str">
        <f t="shared" si="103"/>
        <v/>
      </c>
      <c r="MT8" s="40" t="str">
        <f t="shared" si="104"/>
        <v/>
      </c>
      <c r="MU8" s="40" t="str">
        <f t="shared" si="105"/>
        <v/>
      </c>
      <c r="MV8" s="40" t="str">
        <f t="shared" si="106"/>
        <v/>
      </c>
      <c r="MW8" s="40" t="str">
        <f t="shared" si="107"/>
        <v/>
      </c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1" t="str">
        <f t="shared" si="108"/>
        <v/>
      </c>
      <c r="NS8" s="11" t="str">
        <f t="shared" si="109"/>
        <v/>
      </c>
      <c r="NT8" s="11" t="str">
        <f t="shared" si="110"/>
        <v/>
      </c>
      <c r="NU8" s="11" t="str">
        <f t="shared" si="111"/>
        <v/>
      </c>
      <c r="NV8" s="11" t="str">
        <f t="shared" si="112"/>
        <v/>
      </c>
      <c r="NW8" s="11" t="str">
        <f t="shared" si="113"/>
        <v/>
      </c>
      <c r="NX8" s="11" t="str">
        <f t="shared" si="114"/>
        <v/>
      </c>
      <c r="NY8" s="11" t="str">
        <f t="shared" si="115"/>
        <v/>
      </c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40" t="str">
        <f t="shared" si="116"/>
        <v/>
      </c>
      <c r="OU8" s="40" t="str">
        <f t="shared" si="117"/>
        <v/>
      </c>
      <c r="OV8" s="40" t="str">
        <f t="shared" si="118"/>
        <v/>
      </c>
      <c r="OW8" s="40" t="str">
        <f t="shared" si="119"/>
        <v/>
      </c>
      <c r="OX8" s="40" t="str">
        <f t="shared" si="120"/>
        <v/>
      </c>
      <c r="OY8" s="40" t="str">
        <f t="shared" si="121"/>
        <v/>
      </c>
      <c r="OZ8" s="40" t="str">
        <f t="shared" si="122"/>
        <v/>
      </c>
      <c r="PA8" s="40" t="str">
        <f t="shared" si="123"/>
        <v/>
      </c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1" t="str">
        <f t="shared" si="124"/>
        <v/>
      </c>
      <c r="PW8" s="11" t="str">
        <f t="shared" si="125"/>
        <v/>
      </c>
      <c r="PX8" s="11" t="str">
        <f t="shared" si="126"/>
        <v/>
      </c>
      <c r="PY8" s="11" t="str">
        <f t="shared" si="127"/>
        <v/>
      </c>
      <c r="PZ8" s="11" t="str">
        <f t="shared" si="128"/>
        <v/>
      </c>
      <c r="QA8" s="11" t="str">
        <f t="shared" si="129"/>
        <v/>
      </c>
      <c r="QB8" s="11" t="str">
        <f t="shared" si="130"/>
        <v/>
      </c>
      <c r="QC8" s="11" t="str">
        <f t="shared" si="131"/>
        <v/>
      </c>
      <c r="QD8" s="22">
        <f t="shared" si="132"/>
        <v>0</v>
      </c>
      <c r="QE8" s="22">
        <f t="shared" si="133"/>
        <v>0</v>
      </c>
      <c r="QF8" s="22">
        <f t="shared" si="134"/>
        <v>0</v>
      </c>
      <c r="QG8" s="22">
        <f t="shared" si="135"/>
        <v>0</v>
      </c>
      <c r="QH8" s="22">
        <f t="shared" si="136"/>
        <v>0</v>
      </c>
      <c r="QI8" s="22">
        <f t="shared" si="137"/>
        <v>0</v>
      </c>
      <c r="QJ8" s="22">
        <f t="shared" si="138"/>
        <v>0</v>
      </c>
      <c r="QK8" s="22">
        <f t="shared" si="139"/>
        <v>0</v>
      </c>
      <c r="QL8" s="22">
        <f t="shared" si="140"/>
        <v>0</v>
      </c>
      <c r="QM8" s="22">
        <f t="shared" si="141"/>
        <v>0</v>
      </c>
      <c r="QN8" s="22">
        <f t="shared" si="142"/>
        <v>0</v>
      </c>
      <c r="QO8" s="22">
        <f t="shared" si="143"/>
        <v>0</v>
      </c>
      <c r="QP8" s="22">
        <f t="shared" si="144"/>
        <v>0</v>
      </c>
      <c r="QQ8" s="22">
        <f t="shared" si="145"/>
        <v>0</v>
      </c>
      <c r="QR8" s="22">
        <f t="shared" si="146"/>
        <v>0</v>
      </c>
      <c r="QS8" s="22">
        <f t="shared" si="147"/>
        <v>0</v>
      </c>
      <c r="QT8" s="22">
        <f t="shared" si="148"/>
        <v>0</v>
      </c>
      <c r="QU8" s="22">
        <f t="shared" si="149"/>
        <v>0</v>
      </c>
      <c r="QV8" s="22">
        <f t="shared" si="150"/>
        <v>0</v>
      </c>
      <c r="QW8" s="22">
        <f t="shared" si="151"/>
        <v>0</v>
      </c>
      <c r="QX8" s="27" t="s">
        <v>46</v>
      </c>
      <c r="QY8" s="40" t="str">
        <f t="shared" si="152"/>
        <v/>
      </c>
      <c r="QZ8" s="40" t="str">
        <f t="shared" si="153"/>
        <v/>
      </c>
      <c r="RA8" s="40" t="str">
        <f t="shared" si="154"/>
        <v/>
      </c>
      <c r="RB8" s="40" t="str">
        <f t="shared" si="155"/>
        <v/>
      </c>
      <c r="RC8" s="40" t="str">
        <f t="shared" si="156"/>
        <v/>
      </c>
      <c r="RD8" s="40" t="str">
        <f t="shared" si="157"/>
        <v/>
      </c>
      <c r="RE8" s="40" t="str">
        <f t="shared" si="158"/>
        <v/>
      </c>
      <c r="RF8" s="40" t="str">
        <f t="shared" si="159"/>
        <v/>
      </c>
    </row>
    <row r="9" spans="1:474" x14ac:dyDescent="0.2">
      <c r="A9" s="4" cm="1">
        <f t="array" ref="A9">IF(AND(J9&lt;&gt;"",J9&lt;&gt;"No DD"),SUMPRODUCT((J$4:J$36&lt;&gt;"")*(J$4:J$36&lt;&gt;"No DD")*(F$4:F$36&gt;F9))+1,IF(J9="No DD",SUMPRODUCT((J$4:J$36="No DD")*(F$4:F$36&gt;F9))+1+SUMPRODUCT((J$4:J$36&lt;&gt;"")*(J$4:J$36&lt;&gt;"No DD")),""))</f>
        <v>6</v>
      </c>
      <c r="B9" s="4" cm="1">
        <f t="array" ref="B9">IF(AND(J9&lt;&gt;"",J9&lt;&gt;"No DD",G9=""),SUMPRODUCT((J$4:J$36&lt;&gt;"")*(J$4:J$36&lt;&gt;"No DD")*(G$4:G$36="")*(F$4:F$36&gt;F9))+1,IF(J9="No DD",SUMPRODUCT((J$4:J$36="No DD")*(F$4:F$36&gt;F9)*(G$4:G$36=""))+1+SUMPRODUCT((J$4:J$36&lt;&gt;"")*(G$4:G$36="")*(J$4:J$36&lt;&gt;"No DD")),""))</f>
        <v>3</v>
      </c>
      <c r="C9" s="5" t="s">
        <v>208</v>
      </c>
      <c r="D9" s="4" t="s">
        <v>4</v>
      </c>
      <c r="E9" s="4">
        <v>2008</v>
      </c>
      <c r="F9" s="9">
        <f t="shared" si="0"/>
        <v>140.10000942000485</v>
      </c>
      <c r="G9" s="64"/>
      <c r="H9" s="3" t="str">
        <f t="shared" si="1"/>
        <v>P</v>
      </c>
      <c r="I9" s="3" t="str">
        <f t="shared" si="2"/>
        <v>P</v>
      </c>
      <c r="J9" s="36" t="str">
        <f t="shared" si="3"/>
        <v>National Team</v>
      </c>
      <c r="K9" s="3" t="str">
        <f t="shared" si="4"/>
        <v/>
      </c>
      <c r="L9" s="8">
        <f>IF(COUNT(AQ9,BT9,CW9)&gt;0,LARGE((AQ9,BT9,CW9),1),0)</f>
        <v>48.5</v>
      </c>
      <c r="M9" s="8" t="str">
        <f t="shared" si="5"/>
        <v>2025 Elite Canada</v>
      </c>
      <c r="N9" s="8">
        <f>IF(COUNT(AQ9,BT9,CW9)&gt;1,LARGE((AQ9,BT9,CW9),2),0)</f>
        <v>45.699999999999996</v>
      </c>
      <c r="O9" s="8" t="str">
        <f t="shared" si="6"/>
        <v>2024 Nationals</v>
      </c>
      <c r="P9" s="8">
        <f t="shared" si="7"/>
        <v>45.8</v>
      </c>
      <c r="Q9" s="8" t="str">
        <f t="shared" si="8"/>
        <v>2024 Nationals</v>
      </c>
      <c r="R9" s="8">
        <f t="shared" si="9"/>
        <v>0.10000000000000142</v>
      </c>
      <c r="S9" s="11" t="str">
        <f t="shared" si="160"/>
        <v>(Q1)</v>
      </c>
      <c r="T9" s="8" t="str">
        <f t="shared" si="161"/>
        <v>2024 Coimbra Gym Fest (July 7)</v>
      </c>
      <c r="U9" s="19">
        <v>18.3</v>
      </c>
      <c r="V9" s="19">
        <v>5.2</v>
      </c>
      <c r="W9" s="19">
        <v>0.6</v>
      </c>
      <c r="X9" s="19">
        <v>0</v>
      </c>
      <c r="Y9" s="19">
        <v>17.8</v>
      </c>
      <c r="Z9" s="19">
        <v>5.2</v>
      </c>
      <c r="AA9" s="19">
        <v>0.2</v>
      </c>
      <c r="AB9" s="19">
        <v>0</v>
      </c>
      <c r="AC9" s="19">
        <v>17.600000000000001</v>
      </c>
      <c r="AD9" s="19">
        <v>1.2</v>
      </c>
      <c r="AE9" s="19">
        <v>0</v>
      </c>
      <c r="AF9" s="19">
        <v>0</v>
      </c>
      <c r="AG9" s="19">
        <v>18.899999999999999</v>
      </c>
      <c r="AH9" s="19">
        <v>3.4</v>
      </c>
      <c r="AI9" s="19">
        <v>0.5</v>
      </c>
      <c r="AJ9" s="19">
        <v>0</v>
      </c>
      <c r="AK9" s="19">
        <v>18</v>
      </c>
      <c r="AL9" s="19">
        <v>6</v>
      </c>
      <c r="AM9" s="19">
        <v>0</v>
      </c>
      <c r="AN9" s="19">
        <v>0</v>
      </c>
      <c r="AO9" s="27"/>
      <c r="AP9" s="40">
        <f t="shared" si="10"/>
        <v>10.4</v>
      </c>
      <c r="AQ9" s="40">
        <f t="shared" si="11"/>
        <v>45.699999999999996</v>
      </c>
      <c r="AR9" s="40">
        <f t="shared" si="12"/>
        <v>18.8</v>
      </c>
      <c r="AS9" s="40">
        <f t="shared" si="13"/>
        <v>11.6</v>
      </c>
      <c r="AT9" s="40">
        <f t="shared" si="14"/>
        <v>64.5</v>
      </c>
      <c r="AU9" s="40">
        <f t="shared" si="15"/>
        <v>9.4</v>
      </c>
      <c r="AV9" s="40">
        <f t="shared" si="16"/>
        <v>45.8</v>
      </c>
      <c r="AW9" s="40">
        <f t="shared" si="17"/>
        <v>110.3</v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18"/>
        <v/>
      </c>
      <c r="BT9" s="11" t="str">
        <f t="shared" si="19"/>
        <v/>
      </c>
      <c r="BU9" s="11" t="str">
        <f t="shared" si="20"/>
        <v/>
      </c>
      <c r="BV9" s="11" t="str">
        <f t="shared" si="21"/>
        <v/>
      </c>
      <c r="BW9" s="11" t="str">
        <f t="shared" si="22"/>
        <v/>
      </c>
      <c r="BX9" s="11" t="str">
        <f t="shared" si="23"/>
        <v/>
      </c>
      <c r="BY9" s="11" t="str">
        <f t="shared" si="24"/>
        <v/>
      </c>
      <c r="BZ9" s="11" t="str">
        <f t="shared" si="25"/>
        <v/>
      </c>
      <c r="CA9" s="19">
        <v>18.8</v>
      </c>
      <c r="CB9" s="19">
        <v>5.6</v>
      </c>
      <c r="CC9" s="19">
        <v>0</v>
      </c>
      <c r="CD9" s="19">
        <v>0</v>
      </c>
      <c r="CE9" s="19">
        <v>18.5</v>
      </c>
      <c r="CF9" s="19">
        <v>5.6</v>
      </c>
      <c r="CG9" s="19">
        <v>0</v>
      </c>
      <c r="CH9" s="19">
        <v>0</v>
      </c>
      <c r="CI9" s="19"/>
      <c r="CJ9" s="19"/>
      <c r="CK9" s="19"/>
      <c r="CL9" s="19"/>
      <c r="CM9" s="19">
        <v>16.600000000000001</v>
      </c>
      <c r="CN9" s="19">
        <v>4.8</v>
      </c>
      <c r="CO9" s="19">
        <v>0.8</v>
      </c>
      <c r="CP9" s="19">
        <v>0</v>
      </c>
      <c r="CQ9" s="19">
        <v>15.4</v>
      </c>
      <c r="CR9" s="19">
        <v>2.4</v>
      </c>
      <c r="CS9" s="19">
        <v>0</v>
      </c>
      <c r="CT9" s="19">
        <v>0</v>
      </c>
      <c r="CU9" s="27"/>
      <c r="CV9" s="40">
        <f t="shared" si="26"/>
        <v>11.2</v>
      </c>
      <c r="CW9" s="40">
        <f t="shared" si="27"/>
        <v>48.5</v>
      </c>
      <c r="CX9" s="40" t="str">
        <f t="shared" si="28"/>
        <v/>
      </c>
      <c r="CY9" s="40">
        <f t="shared" si="29"/>
        <v>11.2</v>
      </c>
      <c r="CZ9" s="40">
        <f t="shared" si="30"/>
        <v>48.5</v>
      </c>
      <c r="DA9" s="40">
        <f t="shared" si="31"/>
        <v>7.1999999999999993</v>
      </c>
      <c r="DB9" s="40">
        <f t="shared" si="32"/>
        <v>38.400000000000006</v>
      </c>
      <c r="DC9" s="40">
        <f t="shared" si="33"/>
        <v>86.9</v>
      </c>
      <c r="DD9" s="50">
        <f t="shared" si="34"/>
        <v>0.10000000000000142</v>
      </c>
      <c r="DE9" s="50" t="str">
        <f t="shared" si="35"/>
        <v/>
      </c>
      <c r="DF9" s="17">
        <v>18.399999999999999</v>
      </c>
      <c r="DG9" s="17">
        <v>5.2</v>
      </c>
      <c r="DH9" s="17">
        <v>0.2</v>
      </c>
      <c r="DI9" s="17">
        <v>0</v>
      </c>
      <c r="DJ9" s="17">
        <v>16.600000000000001</v>
      </c>
      <c r="DK9" s="17">
        <v>6</v>
      </c>
      <c r="DL9" s="17">
        <v>0.2</v>
      </c>
      <c r="DM9" s="17">
        <v>0</v>
      </c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40">
        <f t="shared" si="36"/>
        <v>11.2</v>
      </c>
      <c r="EA9" s="40">
        <f t="shared" si="37"/>
        <v>45.8</v>
      </c>
      <c r="EB9" s="40" t="str">
        <f t="shared" si="38"/>
        <v/>
      </c>
      <c r="EC9" s="40">
        <f t="shared" si="39"/>
        <v>11.2</v>
      </c>
      <c r="ED9" s="40">
        <f t="shared" si="40"/>
        <v>45.8</v>
      </c>
      <c r="EE9" s="40" t="str">
        <f t="shared" si="41"/>
        <v/>
      </c>
      <c r="EF9" s="40" t="str">
        <f t="shared" si="42"/>
        <v/>
      </c>
      <c r="EG9" s="40">
        <f t="shared" si="43"/>
        <v>45.8</v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1" t="str">
        <f t="shared" si="44"/>
        <v/>
      </c>
      <c r="FC9" s="11" t="str">
        <f t="shared" si="45"/>
        <v/>
      </c>
      <c r="FD9" s="11" t="str">
        <f t="shared" si="46"/>
        <v/>
      </c>
      <c r="FE9" s="11" t="str">
        <f t="shared" si="47"/>
        <v/>
      </c>
      <c r="FF9" s="11" t="str">
        <f t="shared" si="48"/>
        <v/>
      </c>
      <c r="FG9" s="11" t="str">
        <f t="shared" si="49"/>
        <v/>
      </c>
      <c r="FH9" s="11" t="str">
        <f t="shared" si="50"/>
        <v/>
      </c>
      <c r="FI9" s="11" t="str">
        <f t="shared" si="51"/>
        <v/>
      </c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40" t="str">
        <f t="shared" si="52"/>
        <v/>
      </c>
      <c r="GE9" s="40" t="str">
        <f t="shared" si="53"/>
        <v/>
      </c>
      <c r="GF9" s="40" t="str">
        <f t="shared" si="54"/>
        <v/>
      </c>
      <c r="GG9" s="40" t="str">
        <f t="shared" si="55"/>
        <v/>
      </c>
      <c r="GH9" s="40" t="str">
        <f t="shared" si="56"/>
        <v/>
      </c>
      <c r="GI9" s="40" t="str">
        <f t="shared" si="57"/>
        <v/>
      </c>
      <c r="GJ9" s="40" t="str">
        <f t="shared" si="58"/>
        <v/>
      </c>
      <c r="GK9" s="40" t="str">
        <f t="shared" si="59"/>
        <v/>
      </c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1" t="str">
        <f t="shared" si="60"/>
        <v/>
      </c>
      <c r="HG9" s="11" t="str">
        <f t="shared" si="61"/>
        <v/>
      </c>
      <c r="HH9" s="11" t="str">
        <f t="shared" si="62"/>
        <v/>
      </c>
      <c r="HI9" s="11" t="str">
        <f t="shared" si="63"/>
        <v/>
      </c>
      <c r="HJ9" s="11" t="str">
        <f t="shared" si="64"/>
        <v/>
      </c>
      <c r="HK9" s="11" t="str">
        <f t="shared" si="65"/>
        <v/>
      </c>
      <c r="HL9" s="11" t="str">
        <f t="shared" si="66"/>
        <v/>
      </c>
      <c r="HM9" s="11" t="str">
        <f t="shared" si="67"/>
        <v/>
      </c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40" t="str">
        <f t="shared" si="68"/>
        <v/>
      </c>
      <c r="II9" s="40" t="str">
        <f t="shared" si="69"/>
        <v/>
      </c>
      <c r="IJ9" s="40" t="str">
        <f t="shared" si="70"/>
        <v/>
      </c>
      <c r="IK9" s="40" t="str">
        <f t="shared" si="71"/>
        <v/>
      </c>
      <c r="IL9" s="40" t="str">
        <f t="shared" si="72"/>
        <v/>
      </c>
      <c r="IM9" s="40" t="str">
        <f t="shared" si="73"/>
        <v/>
      </c>
      <c r="IN9" s="40" t="str">
        <f t="shared" si="74"/>
        <v/>
      </c>
      <c r="IO9" s="40" t="str">
        <f t="shared" si="75"/>
        <v/>
      </c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1" t="str">
        <f t="shared" si="76"/>
        <v/>
      </c>
      <c r="JK9" s="11" t="str">
        <f t="shared" si="77"/>
        <v/>
      </c>
      <c r="JL9" s="11" t="str">
        <f t="shared" si="78"/>
        <v/>
      </c>
      <c r="JM9" s="11" t="str">
        <f t="shared" si="79"/>
        <v/>
      </c>
      <c r="JN9" s="11" t="str">
        <f t="shared" si="80"/>
        <v/>
      </c>
      <c r="JO9" s="11" t="str">
        <f t="shared" si="81"/>
        <v/>
      </c>
      <c r="JP9" s="11" t="str">
        <f t="shared" si="82"/>
        <v/>
      </c>
      <c r="JQ9" s="11" t="str">
        <f t="shared" si="83"/>
        <v/>
      </c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40" t="str">
        <f t="shared" si="84"/>
        <v/>
      </c>
      <c r="KM9" s="40" t="str">
        <f t="shared" si="85"/>
        <v/>
      </c>
      <c r="KN9" s="40" t="str">
        <f t="shared" si="86"/>
        <v/>
      </c>
      <c r="KO9" s="40" t="str">
        <f t="shared" si="87"/>
        <v/>
      </c>
      <c r="KP9" s="40" t="str">
        <f t="shared" si="88"/>
        <v/>
      </c>
      <c r="KQ9" s="40" t="str">
        <f t="shared" si="89"/>
        <v/>
      </c>
      <c r="KR9" s="40" t="str">
        <f t="shared" si="90"/>
        <v/>
      </c>
      <c r="KS9" s="40" t="str">
        <f t="shared" si="91"/>
        <v/>
      </c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1" t="str">
        <f t="shared" si="92"/>
        <v/>
      </c>
      <c r="LO9" s="11" t="str">
        <f t="shared" si="93"/>
        <v/>
      </c>
      <c r="LP9" s="11" t="str">
        <f t="shared" si="94"/>
        <v/>
      </c>
      <c r="LQ9" s="11" t="str">
        <f t="shared" si="95"/>
        <v/>
      </c>
      <c r="LR9" s="11" t="str">
        <f t="shared" si="96"/>
        <v/>
      </c>
      <c r="LS9" s="11" t="str">
        <f t="shared" si="97"/>
        <v/>
      </c>
      <c r="LT9" s="11" t="str">
        <f t="shared" si="98"/>
        <v/>
      </c>
      <c r="LU9" s="11" t="str">
        <f t="shared" si="99"/>
        <v/>
      </c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40" t="str">
        <f t="shared" si="100"/>
        <v/>
      </c>
      <c r="MQ9" s="40" t="str">
        <f t="shared" si="101"/>
        <v/>
      </c>
      <c r="MR9" s="40" t="str">
        <f t="shared" si="102"/>
        <v/>
      </c>
      <c r="MS9" s="40" t="str">
        <f t="shared" si="103"/>
        <v/>
      </c>
      <c r="MT9" s="40" t="str">
        <f t="shared" si="104"/>
        <v/>
      </c>
      <c r="MU9" s="40" t="str">
        <f t="shared" si="105"/>
        <v/>
      </c>
      <c r="MV9" s="40" t="str">
        <f t="shared" si="106"/>
        <v/>
      </c>
      <c r="MW9" s="40" t="str">
        <f t="shared" si="107"/>
        <v/>
      </c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1" t="str">
        <f t="shared" si="108"/>
        <v/>
      </c>
      <c r="NS9" s="11" t="str">
        <f t="shared" si="109"/>
        <v/>
      </c>
      <c r="NT9" s="11" t="str">
        <f t="shared" si="110"/>
        <v/>
      </c>
      <c r="NU9" s="11" t="str">
        <f t="shared" si="111"/>
        <v/>
      </c>
      <c r="NV9" s="11" t="str">
        <f t="shared" si="112"/>
        <v/>
      </c>
      <c r="NW9" s="11" t="str">
        <f t="shared" si="113"/>
        <v/>
      </c>
      <c r="NX9" s="11" t="str">
        <f t="shared" si="114"/>
        <v/>
      </c>
      <c r="NY9" s="11" t="str">
        <f t="shared" si="115"/>
        <v/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40" t="str">
        <f t="shared" si="116"/>
        <v/>
      </c>
      <c r="OU9" s="40" t="str">
        <f t="shared" si="117"/>
        <v/>
      </c>
      <c r="OV9" s="40" t="str">
        <f t="shared" si="118"/>
        <v/>
      </c>
      <c r="OW9" s="40" t="str">
        <f t="shared" si="119"/>
        <v/>
      </c>
      <c r="OX9" s="40" t="str">
        <f t="shared" si="120"/>
        <v/>
      </c>
      <c r="OY9" s="40" t="str">
        <f t="shared" si="121"/>
        <v/>
      </c>
      <c r="OZ9" s="40" t="str">
        <f t="shared" si="122"/>
        <v/>
      </c>
      <c r="PA9" s="40" t="str">
        <f t="shared" si="123"/>
        <v/>
      </c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1" t="str">
        <f t="shared" si="124"/>
        <v/>
      </c>
      <c r="PW9" s="11" t="str">
        <f t="shared" si="125"/>
        <v/>
      </c>
      <c r="PX9" s="11" t="str">
        <f t="shared" si="126"/>
        <v/>
      </c>
      <c r="PY9" s="11" t="str">
        <f t="shared" si="127"/>
        <v/>
      </c>
      <c r="PZ9" s="11" t="str">
        <f t="shared" si="128"/>
        <v/>
      </c>
      <c r="QA9" s="11" t="str">
        <f t="shared" si="129"/>
        <v/>
      </c>
      <c r="QB9" s="11" t="str">
        <f t="shared" si="130"/>
        <v/>
      </c>
      <c r="QC9" s="11" t="str">
        <f t="shared" si="131"/>
        <v/>
      </c>
      <c r="QD9" s="22">
        <f t="shared" si="132"/>
        <v>9.4</v>
      </c>
      <c r="QE9" s="22">
        <f t="shared" si="133"/>
        <v>2.8</v>
      </c>
      <c r="QF9" s="22">
        <f t="shared" si="134"/>
        <v>0</v>
      </c>
      <c r="QG9" s="22">
        <f t="shared" si="135"/>
        <v>0</v>
      </c>
      <c r="QH9" s="22">
        <f t="shared" si="136"/>
        <v>9.25</v>
      </c>
      <c r="QI9" s="22">
        <f t="shared" si="137"/>
        <v>2.8</v>
      </c>
      <c r="QJ9" s="22">
        <f t="shared" si="138"/>
        <v>0</v>
      </c>
      <c r="QK9" s="22">
        <f t="shared" si="139"/>
        <v>0</v>
      </c>
      <c r="QL9" s="22">
        <f t="shared" si="140"/>
        <v>0</v>
      </c>
      <c r="QM9" s="22">
        <f t="shared" si="141"/>
        <v>0</v>
      </c>
      <c r="QN9" s="22">
        <f t="shared" si="142"/>
        <v>0</v>
      </c>
      <c r="QO9" s="22">
        <f t="shared" si="143"/>
        <v>0</v>
      </c>
      <c r="QP9" s="22">
        <f t="shared" si="144"/>
        <v>8.3000000000000007</v>
      </c>
      <c r="QQ9" s="22">
        <f t="shared" si="145"/>
        <v>2.4</v>
      </c>
      <c r="QR9" s="22">
        <f t="shared" si="146"/>
        <v>0.4</v>
      </c>
      <c r="QS9" s="22">
        <f t="shared" si="147"/>
        <v>0</v>
      </c>
      <c r="QT9" s="22">
        <f t="shared" si="148"/>
        <v>7.7</v>
      </c>
      <c r="QU9" s="22">
        <f t="shared" si="149"/>
        <v>1.2</v>
      </c>
      <c r="QV9" s="22">
        <f t="shared" si="150"/>
        <v>0</v>
      </c>
      <c r="QW9" s="22">
        <f t="shared" si="151"/>
        <v>0</v>
      </c>
      <c r="QX9" s="27" t="s">
        <v>46</v>
      </c>
      <c r="QY9" s="40">
        <f t="shared" si="152"/>
        <v>5.6</v>
      </c>
      <c r="QZ9" s="40">
        <f t="shared" si="153"/>
        <v>24.25</v>
      </c>
      <c r="RA9" s="40" t="str">
        <f t="shared" si="154"/>
        <v/>
      </c>
      <c r="RB9" s="40">
        <f t="shared" si="155"/>
        <v>5.6</v>
      </c>
      <c r="RC9" s="40">
        <f t="shared" si="156"/>
        <v>24.25</v>
      </c>
      <c r="RD9" s="40">
        <f t="shared" si="157"/>
        <v>3.5999999999999996</v>
      </c>
      <c r="RE9" s="40">
        <f t="shared" si="158"/>
        <v>19.200000000000003</v>
      </c>
      <c r="RF9" s="40">
        <f t="shared" si="159"/>
        <v>43.45</v>
      </c>
    </row>
    <row r="10" spans="1:474" x14ac:dyDescent="0.2">
      <c r="A10" s="4" cm="1">
        <f t="array" ref="A10">IF(AND(J10&lt;&gt;"",J10&lt;&gt;"No DD"),SUMPRODUCT((J$4:J$36&lt;&gt;"")*(J$4:J$36&lt;&gt;"No DD")*(F$4:F$36&gt;F10))+1,IF(J10="No DD",SUMPRODUCT((J$4:J$36="No DD")*(F$4:F$36&gt;F10))+1+SUMPRODUCT((J$4:J$36&lt;&gt;"")*(J$4:J$36&lt;&gt;"No DD")),""))</f>
        <v>7</v>
      </c>
      <c r="B10" s="4" cm="1">
        <f t="array" ref="B10">IF(AND(J10&lt;&gt;"",J10&lt;&gt;"No DD",G10=""),SUMPRODUCT((J$4:J$36&lt;&gt;"")*(J$4:J$36&lt;&gt;"No DD")*(G$4:G$36="")*(F$4:F$36&gt;F10))+1,IF(J10="No DD",SUMPRODUCT((J$4:J$36="No DD")*(F$4:F$36&gt;F10)*(G$4:G$36=""))+1+SUMPRODUCT((J$4:J$36&lt;&gt;"")*(G$4:G$36="")*(J$4:J$36&lt;&gt;"No DD")),""))</f>
        <v>4</v>
      </c>
      <c r="C10" s="5" t="s">
        <v>109</v>
      </c>
      <c r="D10" s="4" t="s">
        <v>31</v>
      </c>
      <c r="E10" s="4">
        <v>2005</v>
      </c>
      <c r="F10" s="9">
        <f t="shared" si="0"/>
        <v>137.90000703000473</v>
      </c>
      <c r="G10" s="64"/>
      <c r="H10" s="3" t="str">
        <f t="shared" si="1"/>
        <v>P</v>
      </c>
      <c r="I10" s="3" t="str">
        <f t="shared" si="2"/>
        <v>P</v>
      </c>
      <c r="J10" s="36" t="str">
        <f t="shared" si="3"/>
        <v>National Team</v>
      </c>
      <c r="K10" s="3" t="str">
        <f t="shared" si="4"/>
        <v/>
      </c>
      <c r="L10" s="8">
        <f>IF(COUNT(AQ10,BT10,CW10)&gt;0,LARGE((AQ10,BT10,CW10),1),0)</f>
        <v>47.1</v>
      </c>
      <c r="M10" s="8" t="str">
        <f t="shared" si="5"/>
        <v>2025 Elite Canada</v>
      </c>
      <c r="N10" s="8">
        <f>IF(COUNT(AQ10,BT10,CW10)&gt;1,LARGE((AQ10,BT10,CW10),2),0)</f>
        <v>23.2</v>
      </c>
      <c r="O10" s="8" t="str">
        <f t="shared" si="6"/>
        <v>2024 Nationals</v>
      </c>
      <c r="P10" s="8">
        <f t="shared" si="7"/>
        <v>46.7</v>
      </c>
      <c r="Q10" s="8" t="str">
        <f t="shared" si="8"/>
        <v>2025 Elite Canada</v>
      </c>
      <c r="R10" s="8">
        <f t="shared" si="9"/>
        <v>20.899999999999995</v>
      </c>
      <c r="S10" s="11" t="str">
        <f t="shared" si="160"/>
        <v>(Q1)</v>
      </c>
      <c r="T10" s="8" t="str">
        <f t="shared" si="161"/>
        <v>2024 Coimbra Gym Fest (July 7)</v>
      </c>
      <c r="U10" s="19">
        <v>0</v>
      </c>
      <c r="V10" s="19">
        <v>0</v>
      </c>
      <c r="W10" s="19">
        <v>0</v>
      </c>
      <c r="X10" s="19">
        <v>0</v>
      </c>
      <c r="Y10" s="19">
        <v>18.2</v>
      </c>
      <c r="Z10" s="19">
        <v>5.2</v>
      </c>
      <c r="AA10" s="19">
        <v>0.2</v>
      </c>
      <c r="AB10" s="19">
        <v>0</v>
      </c>
      <c r="AC10" s="19">
        <v>18.399999999999999</v>
      </c>
      <c r="AD10" s="19">
        <v>2.8</v>
      </c>
      <c r="AE10" s="19">
        <v>0.2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 t="shared" si="10"/>
        <v>5.2</v>
      </c>
      <c r="AQ10" s="40">
        <f t="shared" si="11"/>
        <v>23.2</v>
      </c>
      <c r="AR10" s="40">
        <f t="shared" si="12"/>
        <v>21</v>
      </c>
      <c r="AS10" s="40">
        <f t="shared" si="13"/>
        <v>8</v>
      </c>
      <c r="AT10" s="40">
        <f t="shared" si="14"/>
        <v>44.2</v>
      </c>
      <c r="AU10" s="40" t="str">
        <f t="shared" si="15"/>
        <v/>
      </c>
      <c r="AV10" s="40" t="str">
        <f t="shared" si="16"/>
        <v/>
      </c>
      <c r="AW10" s="40">
        <f t="shared" si="17"/>
        <v>44.2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18"/>
        <v/>
      </c>
      <c r="BT10" s="11" t="str">
        <f t="shared" si="19"/>
        <v/>
      </c>
      <c r="BU10" s="11" t="str">
        <f t="shared" si="20"/>
        <v/>
      </c>
      <c r="BV10" s="11" t="str">
        <f t="shared" si="21"/>
        <v/>
      </c>
      <c r="BW10" s="11" t="str">
        <f t="shared" si="22"/>
        <v/>
      </c>
      <c r="BX10" s="11" t="str">
        <f t="shared" si="23"/>
        <v/>
      </c>
      <c r="BY10" s="11" t="str">
        <f t="shared" si="24"/>
        <v/>
      </c>
      <c r="BZ10" s="11" t="str">
        <f t="shared" si="25"/>
        <v/>
      </c>
      <c r="CA10" s="19">
        <v>18.3</v>
      </c>
      <c r="CB10" s="19">
        <v>5.6</v>
      </c>
      <c r="CC10" s="19">
        <v>0.6</v>
      </c>
      <c r="CD10" s="19">
        <v>0.3</v>
      </c>
      <c r="CE10" s="19">
        <v>18.5</v>
      </c>
      <c r="CF10" s="19">
        <v>5.2</v>
      </c>
      <c r="CG10" s="19">
        <v>0.2</v>
      </c>
      <c r="CH10" s="19">
        <v>0</v>
      </c>
      <c r="CI10" s="19"/>
      <c r="CJ10" s="19"/>
      <c r="CK10" s="19"/>
      <c r="CL10" s="19"/>
      <c r="CM10" s="19">
        <v>18.5</v>
      </c>
      <c r="CN10" s="19">
        <v>5.6</v>
      </c>
      <c r="CO10" s="19">
        <v>0.6</v>
      </c>
      <c r="CP10" s="19">
        <v>0.3</v>
      </c>
      <c r="CQ10" s="19">
        <v>17.7</v>
      </c>
      <c r="CR10" s="19">
        <v>5.2</v>
      </c>
      <c r="CS10" s="19">
        <v>0</v>
      </c>
      <c r="CT10" s="19">
        <v>0</v>
      </c>
      <c r="CU10" s="27"/>
      <c r="CV10" s="40">
        <f t="shared" si="26"/>
        <v>10.8</v>
      </c>
      <c r="CW10" s="40">
        <f t="shared" si="27"/>
        <v>47.1</v>
      </c>
      <c r="CX10" s="40" t="str">
        <f t="shared" si="28"/>
        <v/>
      </c>
      <c r="CY10" s="40">
        <f t="shared" si="29"/>
        <v>10.8</v>
      </c>
      <c r="CZ10" s="40">
        <f t="shared" si="30"/>
        <v>47.1</v>
      </c>
      <c r="DA10" s="40">
        <f t="shared" si="31"/>
        <v>10.8</v>
      </c>
      <c r="DB10" s="40">
        <f t="shared" si="32"/>
        <v>46.7</v>
      </c>
      <c r="DC10" s="40">
        <f t="shared" si="33"/>
        <v>93.800000000000011</v>
      </c>
      <c r="DD10" s="50">
        <f t="shared" si="34"/>
        <v>20.899999999999995</v>
      </c>
      <c r="DE10" s="50" t="str">
        <f t="shared" si="35"/>
        <v/>
      </c>
      <c r="DF10" s="17">
        <v>16.2</v>
      </c>
      <c r="DG10" s="17">
        <v>5.6</v>
      </c>
      <c r="DH10" s="17">
        <v>1</v>
      </c>
      <c r="DI10" s="17">
        <v>0</v>
      </c>
      <c r="DJ10" s="17">
        <v>18.3</v>
      </c>
      <c r="DK10" s="17">
        <v>5.2</v>
      </c>
      <c r="DL10" s="17">
        <v>0.2</v>
      </c>
      <c r="DM10" s="17">
        <v>0</v>
      </c>
      <c r="DN10" s="17"/>
      <c r="DO10" s="17"/>
      <c r="DP10" s="17"/>
      <c r="DQ10" s="17"/>
      <c r="DR10" s="17">
        <v>0</v>
      </c>
      <c r="DS10" s="17">
        <v>0</v>
      </c>
      <c r="DT10" s="17">
        <v>0</v>
      </c>
      <c r="DU10" s="17">
        <v>0</v>
      </c>
      <c r="DV10" s="17"/>
      <c r="DW10" s="17"/>
      <c r="DX10" s="17"/>
      <c r="DY10" s="17"/>
      <c r="DZ10" s="40">
        <f t="shared" si="36"/>
        <v>10.8</v>
      </c>
      <c r="EA10" s="40">
        <f t="shared" si="37"/>
        <v>44.099999999999994</v>
      </c>
      <c r="EB10" s="40" t="str">
        <f t="shared" si="38"/>
        <v/>
      </c>
      <c r="EC10" s="40">
        <f t="shared" si="39"/>
        <v>10.8</v>
      </c>
      <c r="ED10" s="40">
        <f t="shared" si="40"/>
        <v>44.099999999999994</v>
      </c>
      <c r="EE10" s="40" t="str">
        <f t="shared" si="41"/>
        <v/>
      </c>
      <c r="EF10" s="40" t="str">
        <f t="shared" si="42"/>
        <v/>
      </c>
      <c r="EG10" s="40">
        <f t="shared" si="43"/>
        <v>44.099999999999994</v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1" t="str">
        <f t="shared" si="44"/>
        <v/>
      </c>
      <c r="FC10" s="11" t="str">
        <f t="shared" si="45"/>
        <v/>
      </c>
      <c r="FD10" s="11" t="str">
        <f t="shared" si="46"/>
        <v/>
      </c>
      <c r="FE10" s="11" t="str">
        <f t="shared" si="47"/>
        <v/>
      </c>
      <c r="FF10" s="11" t="str">
        <f t="shared" si="48"/>
        <v/>
      </c>
      <c r="FG10" s="11" t="str">
        <f t="shared" si="49"/>
        <v/>
      </c>
      <c r="FH10" s="11" t="str">
        <f t="shared" si="50"/>
        <v/>
      </c>
      <c r="FI10" s="11" t="str">
        <f t="shared" si="51"/>
        <v/>
      </c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40" t="str">
        <f t="shared" si="52"/>
        <v/>
      </c>
      <c r="GE10" s="40" t="str">
        <f t="shared" si="53"/>
        <v/>
      </c>
      <c r="GF10" s="40" t="str">
        <f t="shared" si="54"/>
        <v/>
      </c>
      <c r="GG10" s="40" t="str">
        <f t="shared" si="55"/>
        <v/>
      </c>
      <c r="GH10" s="40" t="str">
        <f t="shared" si="56"/>
        <v/>
      </c>
      <c r="GI10" s="40" t="str">
        <f t="shared" si="57"/>
        <v/>
      </c>
      <c r="GJ10" s="40" t="str">
        <f t="shared" si="58"/>
        <v/>
      </c>
      <c r="GK10" s="40" t="str">
        <f t="shared" si="59"/>
        <v/>
      </c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1" t="str">
        <f t="shared" si="60"/>
        <v/>
      </c>
      <c r="HG10" s="11" t="str">
        <f t="shared" si="61"/>
        <v/>
      </c>
      <c r="HH10" s="11" t="str">
        <f t="shared" si="62"/>
        <v/>
      </c>
      <c r="HI10" s="11" t="str">
        <f t="shared" si="63"/>
        <v/>
      </c>
      <c r="HJ10" s="11" t="str">
        <f t="shared" si="64"/>
        <v/>
      </c>
      <c r="HK10" s="11" t="str">
        <f t="shared" si="65"/>
        <v/>
      </c>
      <c r="HL10" s="11" t="str">
        <f t="shared" si="66"/>
        <v/>
      </c>
      <c r="HM10" s="11" t="str">
        <f t="shared" si="67"/>
        <v/>
      </c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40" t="str">
        <f t="shared" si="68"/>
        <v/>
      </c>
      <c r="II10" s="40" t="str">
        <f t="shared" si="69"/>
        <v/>
      </c>
      <c r="IJ10" s="40" t="str">
        <f t="shared" si="70"/>
        <v/>
      </c>
      <c r="IK10" s="40" t="str">
        <f t="shared" si="71"/>
        <v/>
      </c>
      <c r="IL10" s="40" t="str">
        <f t="shared" si="72"/>
        <v/>
      </c>
      <c r="IM10" s="40" t="str">
        <f t="shared" si="73"/>
        <v/>
      </c>
      <c r="IN10" s="40" t="str">
        <f t="shared" si="74"/>
        <v/>
      </c>
      <c r="IO10" s="40" t="str">
        <f t="shared" si="75"/>
        <v/>
      </c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1" t="str">
        <f t="shared" si="76"/>
        <v/>
      </c>
      <c r="JK10" s="11" t="str">
        <f t="shared" si="77"/>
        <v/>
      </c>
      <c r="JL10" s="11" t="str">
        <f t="shared" si="78"/>
        <v/>
      </c>
      <c r="JM10" s="11" t="str">
        <f t="shared" si="79"/>
        <v/>
      </c>
      <c r="JN10" s="11" t="str">
        <f t="shared" si="80"/>
        <v/>
      </c>
      <c r="JO10" s="11" t="str">
        <f t="shared" si="81"/>
        <v/>
      </c>
      <c r="JP10" s="11" t="str">
        <f t="shared" si="82"/>
        <v/>
      </c>
      <c r="JQ10" s="11" t="str">
        <f t="shared" si="83"/>
        <v/>
      </c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40" t="str">
        <f t="shared" si="84"/>
        <v/>
      </c>
      <c r="KM10" s="40" t="str">
        <f t="shared" si="85"/>
        <v/>
      </c>
      <c r="KN10" s="40" t="str">
        <f t="shared" si="86"/>
        <v/>
      </c>
      <c r="KO10" s="40" t="str">
        <f t="shared" si="87"/>
        <v/>
      </c>
      <c r="KP10" s="40" t="str">
        <f t="shared" si="88"/>
        <v/>
      </c>
      <c r="KQ10" s="40" t="str">
        <f t="shared" si="89"/>
        <v/>
      </c>
      <c r="KR10" s="40" t="str">
        <f t="shared" si="90"/>
        <v/>
      </c>
      <c r="KS10" s="40" t="str">
        <f t="shared" si="91"/>
        <v/>
      </c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1" t="str">
        <f t="shared" si="92"/>
        <v/>
      </c>
      <c r="LO10" s="11" t="str">
        <f t="shared" si="93"/>
        <v/>
      </c>
      <c r="LP10" s="11" t="str">
        <f t="shared" si="94"/>
        <v/>
      </c>
      <c r="LQ10" s="11" t="str">
        <f t="shared" si="95"/>
        <v/>
      </c>
      <c r="LR10" s="11" t="str">
        <f t="shared" si="96"/>
        <v/>
      </c>
      <c r="LS10" s="11" t="str">
        <f t="shared" si="97"/>
        <v/>
      </c>
      <c r="LT10" s="11" t="str">
        <f t="shared" si="98"/>
        <v/>
      </c>
      <c r="LU10" s="11" t="str">
        <f t="shared" si="99"/>
        <v/>
      </c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40" t="str">
        <f t="shared" si="100"/>
        <v/>
      </c>
      <c r="MQ10" s="40" t="str">
        <f t="shared" si="101"/>
        <v/>
      </c>
      <c r="MR10" s="40" t="str">
        <f t="shared" si="102"/>
        <v/>
      </c>
      <c r="MS10" s="40" t="str">
        <f t="shared" si="103"/>
        <v/>
      </c>
      <c r="MT10" s="40" t="str">
        <f t="shared" si="104"/>
        <v/>
      </c>
      <c r="MU10" s="40" t="str">
        <f t="shared" si="105"/>
        <v/>
      </c>
      <c r="MV10" s="40" t="str">
        <f t="shared" si="106"/>
        <v/>
      </c>
      <c r="MW10" s="40" t="str">
        <f t="shared" si="107"/>
        <v/>
      </c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1" t="str">
        <f t="shared" si="108"/>
        <v/>
      </c>
      <c r="NS10" s="11" t="str">
        <f t="shared" si="109"/>
        <v/>
      </c>
      <c r="NT10" s="11" t="str">
        <f t="shared" si="110"/>
        <v/>
      </c>
      <c r="NU10" s="11" t="str">
        <f t="shared" si="111"/>
        <v/>
      </c>
      <c r="NV10" s="11" t="str">
        <f t="shared" si="112"/>
        <v/>
      </c>
      <c r="NW10" s="11" t="str">
        <f t="shared" si="113"/>
        <v/>
      </c>
      <c r="NX10" s="11" t="str">
        <f t="shared" si="114"/>
        <v/>
      </c>
      <c r="NY10" s="11" t="str">
        <f t="shared" si="115"/>
        <v/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40" t="str">
        <f t="shared" si="116"/>
        <v/>
      </c>
      <c r="OU10" s="40" t="str">
        <f t="shared" si="117"/>
        <v/>
      </c>
      <c r="OV10" s="40" t="str">
        <f t="shared" si="118"/>
        <v/>
      </c>
      <c r="OW10" s="40" t="str">
        <f t="shared" si="119"/>
        <v/>
      </c>
      <c r="OX10" s="40" t="str">
        <f t="shared" si="120"/>
        <v/>
      </c>
      <c r="OY10" s="40" t="str">
        <f t="shared" si="121"/>
        <v/>
      </c>
      <c r="OZ10" s="40" t="str">
        <f t="shared" si="122"/>
        <v/>
      </c>
      <c r="PA10" s="40" t="str">
        <f t="shared" si="123"/>
        <v/>
      </c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1" t="str">
        <f t="shared" si="124"/>
        <v/>
      </c>
      <c r="PW10" s="11" t="str">
        <f t="shared" si="125"/>
        <v/>
      </c>
      <c r="PX10" s="11" t="str">
        <f t="shared" si="126"/>
        <v/>
      </c>
      <c r="PY10" s="11" t="str">
        <f t="shared" si="127"/>
        <v/>
      </c>
      <c r="PZ10" s="11" t="str">
        <f t="shared" si="128"/>
        <v/>
      </c>
      <c r="QA10" s="11" t="str">
        <f t="shared" si="129"/>
        <v/>
      </c>
      <c r="QB10" s="11" t="str">
        <f t="shared" si="130"/>
        <v/>
      </c>
      <c r="QC10" s="11" t="str">
        <f t="shared" si="131"/>
        <v/>
      </c>
      <c r="QD10" s="22">
        <f t="shared" si="132"/>
        <v>9.15</v>
      </c>
      <c r="QE10" s="22">
        <f t="shared" si="133"/>
        <v>2.8</v>
      </c>
      <c r="QF10" s="22">
        <f t="shared" si="134"/>
        <v>0.3</v>
      </c>
      <c r="QG10" s="22">
        <f t="shared" si="135"/>
        <v>0.15</v>
      </c>
      <c r="QH10" s="22">
        <f t="shared" si="136"/>
        <v>9.25</v>
      </c>
      <c r="QI10" s="22">
        <f t="shared" si="137"/>
        <v>2.6</v>
      </c>
      <c r="QJ10" s="22">
        <f t="shared" si="138"/>
        <v>0.1</v>
      </c>
      <c r="QK10" s="22">
        <f t="shared" si="139"/>
        <v>0</v>
      </c>
      <c r="QL10" s="22">
        <f t="shared" si="140"/>
        <v>0</v>
      </c>
      <c r="QM10" s="22">
        <f t="shared" si="141"/>
        <v>0</v>
      </c>
      <c r="QN10" s="22">
        <f t="shared" si="142"/>
        <v>0</v>
      </c>
      <c r="QO10" s="22">
        <f t="shared" si="143"/>
        <v>0</v>
      </c>
      <c r="QP10" s="22">
        <f t="shared" si="144"/>
        <v>9.25</v>
      </c>
      <c r="QQ10" s="22">
        <f t="shared" si="145"/>
        <v>2.8</v>
      </c>
      <c r="QR10" s="22">
        <f t="shared" si="146"/>
        <v>0.3</v>
      </c>
      <c r="QS10" s="22">
        <f t="shared" si="147"/>
        <v>0.15</v>
      </c>
      <c r="QT10" s="22">
        <f t="shared" si="148"/>
        <v>8.85</v>
      </c>
      <c r="QU10" s="22">
        <f t="shared" si="149"/>
        <v>2.6</v>
      </c>
      <c r="QV10" s="22">
        <f t="shared" si="150"/>
        <v>0</v>
      </c>
      <c r="QW10" s="22">
        <f t="shared" si="151"/>
        <v>0</v>
      </c>
      <c r="QX10" s="27" t="s">
        <v>46</v>
      </c>
      <c r="QY10" s="40">
        <f t="shared" si="152"/>
        <v>5.4</v>
      </c>
      <c r="QZ10" s="40">
        <f t="shared" si="153"/>
        <v>23.55</v>
      </c>
      <c r="RA10" s="40" t="str">
        <f t="shared" si="154"/>
        <v/>
      </c>
      <c r="RB10" s="40">
        <f t="shared" si="155"/>
        <v>5.4</v>
      </c>
      <c r="RC10" s="40">
        <f t="shared" si="156"/>
        <v>23.55</v>
      </c>
      <c r="RD10" s="40">
        <f t="shared" si="157"/>
        <v>5.4</v>
      </c>
      <c r="RE10" s="40">
        <f t="shared" si="158"/>
        <v>23.35</v>
      </c>
      <c r="RF10" s="40">
        <f t="shared" si="159"/>
        <v>46.900000000000006</v>
      </c>
    </row>
    <row r="11" spans="1:474" x14ac:dyDescent="0.2">
      <c r="A11" s="4" cm="1">
        <f t="array" ref="A11">IF(AND(J11&lt;&gt;"",J11&lt;&gt;"No DD"),SUMPRODUCT((J$4:J$36&lt;&gt;"")*(J$4:J$36&lt;&gt;"No DD")*(F$4:F$36&gt;F11))+1,IF(J11="No DD",SUMPRODUCT((J$4:J$36="No DD")*(F$4:F$36&gt;F11))+1+SUMPRODUCT((J$4:J$36&lt;&gt;"")*(J$4:J$36&lt;&gt;"No DD")),""))</f>
        <v>8</v>
      </c>
      <c r="B11" s="4" cm="1">
        <f t="array" ref="B11">IF(AND(J11&lt;&gt;"",J11&lt;&gt;"No DD",G11=""),SUMPRODUCT((J$4:J$36&lt;&gt;"")*(J$4:J$36&lt;&gt;"No DD")*(G$4:G$36="")*(F$4:F$36&gt;F11))+1,IF(J11="No DD",SUMPRODUCT((J$4:J$36="No DD")*(F$4:F$36&gt;F11)*(G$4:G$36=""))+1+SUMPRODUCT((J$4:J$36&lt;&gt;"")*(G$4:G$36="")*(J$4:J$36&lt;&gt;"No DD")),""))</f>
        <v>5</v>
      </c>
      <c r="C11" s="5" t="s">
        <v>230</v>
      </c>
      <c r="D11" s="4" t="s">
        <v>5</v>
      </c>
      <c r="E11" s="4">
        <v>2008</v>
      </c>
      <c r="F11" s="9">
        <f t="shared" si="0"/>
        <v>47.200004720004721</v>
      </c>
      <c r="G11" s="64"/>
      <c r="H11" s="3" t="str">
        <f t="shared" si="1"/>
        <v>P</v>
      </c>
      <c r="I11" s="3" t="str">
        <f t="shared" si="2"/>
        <v>P</v>
      </c>
      <c r="J11" s="36" t="str">
        <f t="shared" si="3"/>
        <v>National Team</v>
      </c>
      <c r="K11" s="3" t="str">
        <f t="shared" si="4"/>
        <v/>
      </c>
      <c r="L11" s="8">
        <f>IF(COUNT(AQ11,BT11,CW11)&gt;0,LARGE((AQ11,BT11,CW11),1),0)</f>
        <v>47.2</v>
      </c>
      <c r="M11" s="8" t="str">
        <f t="shared" si="5"/>
        <v>2025 Elite Canada</v>
      </c>
      <c r="N11" s="8">
        <f>IF(COUNT(AQ11,BT11,CW11)&gt;1,LARGE((AQ11,BT11,CW11),2),0)</f>
        <v>0</v>
      </c>
      <c r="O11" s="8" t="str">
        <f t="shared" si="6"/>
        <v/>
      </c>
      <c r="P11" s="8">
        <f t="shared" si="7"/>
        <v>0</v>
      </c>
      <c r="Q11" s="8" t="str">
        <f t="shared" si="8"/>
        <v/>
      </c>
      <c r="R11" s="8" t="str">
        <f t="shared" si="9"/>
        <v/>
      </c>
      <c r="S11" s="11" t="str">
        <f t="shared" si="160"/>
        <v/>
      </c>
      <c r="T11" s="8" t="str">
        <f t="shared" si="161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0"/>
        <v/>
      </c>
      <c r="AQ11" s="40" t="str">
        <f t="shared" si="11"/>
        <v/>
      </c>
      <c r="AR11" s="40" t="str">
        <f t="shared" si="12"/>
        <v/>
      </c>
      <c r="AS11" s="40" t="str">
        <f t="shared" si="13"/>
        <v/>
      </c>
      <c r="AT11" s="40" t="str">
        <f t="shared" si="14"/>
        <v/>
      </c>
      <c r="AU11" s="40" t="str">
        <f t="shared" si="15"/>
        <v/>
      </c>
      <c r="AV11" s="40" t="str">
        <f t="shared" si="16"/>
        <v/>
      </c>
      <c r="AW11" s="40" t="str">
        <f t="shared" si="17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18"/>
        <v/>
      </c>
      <c r="BT11" s="11" t="str">
        <f t="shared" si="19"/>
        <v/>
      </c>
      <c r="BU11" s="11" t="str">
        <f t="shared" si="20"/>
        <v/>
      </c>
      <c r="BV11" s="11" t="str">
        <f t="shared" si="21"/>
        <v/>
      </c>
      <c r="BW11" s="11" t="str">
        <f t="shared" si="22"/>
        <v/>
      </c>
      <c r="BX11" s="11" t="str">
        <f t="shared" si="23"/>
        <v/>
      </c>
      <c r="BY11" s="11" t="str">
        <f t="shared" si="24"/>
        <v/>
      </c>
      <c r="BZ11" s="11" t="str">
        <f t="shared" si="25"/>
        <v/>
      </c>
      <c r="CA11" s="19">
        <v>18.600000000000001</v>
      </c>
      <c r="CB11" s="19">
        <v>5.2</v>
      </c>
      <c r="CC11" s="19">
        <v>0</v>
      </c>
      <c r="CD11" s="19">
        <v>0</v>
      </c>
      <c r="CE11" s="19">
        <v>18.2</v>
      </c>
      <c r="CF11" s="19">
        <v>5.2</v>
      </c>
      <c r="CG11" s="19">
        <v>0</v>
      </c>
      <c r="CH11" s="19">
        <v>0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6"/>
        <v>10.4</v>
      </c>
      <c r="CW11" s="40">
        <f t="shared" si="27"/>
        <v>47.2</v>
      </c>
      <c r="CX11" s="40" t="str">
        <f t="shared" si="28"/>
        <v/>
      </c>
      <c r="CY11" s="40">
        <f t="shared" si="29"/>
        <v>10.4</v>
      </c>
      <c r="CZ11" s="40">
        <f t="shared" si="30"/>
        <v>47.2</v>
      </c>
      <c r="DA11" s="40" t="str">
        <f t="shared" si="31"/>
        <v/>
      </c>
      <c r="DB11" s="40" t="str">
        <f t="shared" si="32"/>
        <v/>
      </c>
      <c r="DC11" s="40">
        <f t="shared" si="33"/>
        <v>47.2</v>
      </c>
      <c r="DD11" s="50" t="str">
        <f t="shared" si="34"/>
        <v/>
      </c>
      <c r="DE11" s="50" t="str">
        <f t="shared" si="35"/>
        <v/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40" t="str">
        <f t="shared" si="36"/>
        <v/>
      </c>
      <c r="EA11" s="40" t="str">
        <f t="shared" si="37"/>
        <v/>
      </c>
      <c r="EB11" s="40" t="str">
        <f t="shared" si="38"/>
        <v/>
      </c>
      <c r="EC11" s="40" t="str">
        <f t="shared" si="39"/>
        <v/>
      </c>
      <c r="ED11" s="40" t="str">
        <f t="shared" si="40"/>
        <v/>
      </c>
      <c r="EE11" s="40" t="str">
        <f t="shared" si="41"/>
        <v/>
      </c>
      <c r="EF11" s="40" t="str">
        <f t="shared" si="42"/>
        <v/>
      </c>
      <c r="EG11" s="40" t="str">
        <f t="shared" si="43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1" t="str">
        <f t="shared" si="44"/>
        <v/>
      </c>
      <c r="FC11" s="11" t="str">
        <f t="shared" si="45"/>
        <v/>
      </c>
      <c r="FD11" s="11" t="str">
        <f t="shared" si="46"/>
        <v/>
      </c>
      <c r="FE11" s="11" t="str">
        <f t="shared" si="47"/>
        <v/>
      </c>
      <c r="FF11" s="11" t="str">
        <f t="shared" si="48"/>
        <v/>
      </c>
      <c r="FG11" s="11" t="str">
        <f t="shared" si="49"/>
        <v/>
      </c>
      <c r="FH11" s="11" t="str">
        <f t="shared" si="50"/>
        <v/>
      </c>
      <c r="FI11" s="11" t="str">
        <f t="shared" si="51"/>
        <v/>
      </c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40" t="str">
        <f t="shared" si="52"/>
        <v/>
      </c>
      <c r="GE11" s="40" t="str">
        <f t="shared" si="53"/>
        <v/>
      </c>
      <c r="GF11" s="40" t="str">
        <f t="shared" si="54"/>
        <v/>
      </c>
      <c r="GG11" s="40" t="str">
        <f t="shared" si="55"/>
        <v/>
      </c>
      <c r="GH11" s="40" t="str">
        <f t="shared" si="56"/>
        <v/>
      </c>
      <c r="GI11" s="40" t="str">
        <f t="shared" si="57"/>
        <v/>
      </c>
      <c r="GJ11" s="40" t="str">
        <f t="shared" si="58"/>
        <v/>
      </c>
      <c r="GK11" s="40" t="str">
        <f t="shared" si="59"/>
        <v/>
      </c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1" t="str">
        <f t="shared" si="60"/>
        <v/>
      </c>
      <c r="HG11" s="11" t="str">
        <f t="shared" si="61"/>
        <v/>
      </c>
      <c r="HH11" s="11" t="str">
        <f t="shared" si="62"/>
        <v/>
      </c>
      <c r="HI11" s="11" t="str">
        <f t="shared" si="63"/>
        <v/>
      </c>
      <c r="HJ11" s="11" t="str">
        <f t="shared" si="64"/>
        <v/>
      </c>
      <c r="HK11" s="11" t="str">
        <f t="shared" si="65"/>
        <v/>
      </c>
      <c r="HL11" s="11" t="str">
        <f t="shared" si="66"/>
        <v/>
      </c>
      <c r="HM11" s="11" t="str">
        <f t="shared" si="67"/>
        <v/>
      </c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40" t="str">
        <f t="shared" si="68"/>
        <v/>
      </c>
      <c r="II11" s="40" t="str">
        <f t="shared" si="69"/>
        <v/>
      </c>
      <c r="IJ11" s="40" t="str">
        <f t="shared" si="70"/>
        <v/>
      </c>
      <c r="IK11" s="40" t="str">
        <f t="shared" si="71"/>
        <v/>
      </c>
      <c r="IL11" s="40" t="str">
        <f t="shared" si="72"/>
        <v/>
      </c>
      <c r="IM11" s="40" t="str">
        <f t="shared" si="73"/>
        <v/>
      </c>
      <c r="IN11" s="40" t="str">
        <f t="shared" si="74"/>
        <v/>
      </c>
      <c r="IO11" s="40" t="str">
        <f t="shared" si="75"/>
        <v/>
      </c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1" t="str">
        <f t="shared" si="76"/>
        <v/>
      </c>
      <c r="JK11" s="11" t="str">
        <f t="shared" si="77"/>
        <v/>
      </c>
      <c r="JL11" s="11" t="str">
        <f t="shared" si="78"/>
        <v/>
      </c>
      <c r="JM11" s="11" t="str">
        <f t="shared" si="79"/>
        <v/>
      </c>
      <c r="JN11" s="11" t="str">
        <f t="shared" si="80"/>
        <v/>
      </c>
      <c r="JO11" s="11" t="str">
        <f t="shared" si="81"/>
        <v/>
      </c>
      <c r="JP11" s="11" t="str">
        <f t="shared" si="82"/>
        <v/>
      </c>
      <c r="JQ11" s="11" t="str">
        <f t="shared" si="83"/>
        <v/>
      </c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40" t="str">
        <f t="shared" si="84"/>
        <v/>
      </c>
      <c r="KM11" s="40" t="str">
        <f t="shared" si="85"/>
        <v/>
      </c>
      <c r="KN11" s="40" t="str">
        <f t="shared" si="86"/>
        <v/>
      </c>
      <c r="KO11" s="40" t="str">
        <f t="shared" si="87"/>
        <v/>
      </c>
      <c r="KP11" s="40" t="str">
        <f t="shared" si="88"/>
        <v/>
      </c>
      <c r="KQ11" s="40" t="str">
        <f t="shared" si="89"/>
        <v/>
      </c>
      <c r="KR11" s="40" t="str">
        <f t="shared" si="90"/>
        <v/>
      </c>
      <c r="KS11" s="40" t="str">
        <f t="shared" si="91"/>
        <v/>
      </c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1" t="str">
        <f t="shared" si="92"/>
        <v/>
      </c>
      <c r="LO11" s="11" t="str">
        <f t="shared" si="93"/>
        <v/>
      </c>
      <c r="LP11" s="11" t="str">
        <f t="shared" si="94"/>
        <v/>
      </c>
      <c r="LQ11" s="11" t="str">
        <f t="shared" si="95"/>
        <v/>
      </c>
      <c r="LR11" s="11" t="str">
        <f t="shared" si="96"/>
        <v/>
      </c>
      <c r="LS11" s="11" t="str">
        <f t="shared" si="97"/>
        <v/>
      </c>
      <c r="LT11" s="11" t="str">
        <f t="shared" si="98"/>
        <v/>
      </c>
      <c r="LU11" s="11" t="str">
        <f t="shared" si="99"/>
        <v/>
      </c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40" t="str">
        <f t="shared" si="100"/>
        <v/>
      </c>
      <c r="MQ11" s="40" t="str">
        <f t="shared" si="101"/>
        <v/>
      </c>
      <c r="MR11" s="40" t="str">
        <f t="shared" si="102"/>
        <v/>
      </c>
      <c r="MS11" s="40" t="str">
        <f t="shared" si="103"/>
        <v/>
      </c>
      <c r="MT11" s="40" t="str">
        <f t="shared" si="104"/>
        <v/>
      </c>
      <c r="MU11" s="40" t="str">
        <f t="shared" si="105"/>
        <v/>
      </c>
      <c r="MV11" s="40" t="str">
        <f t="shared" si="106"/>
        <v/>
      </c>
      <c r="MW11" s="40" t="str">
        <f t="shared" si="107"/>
        <v/>
      </c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1" t="str">
        <f t="shared" si="108"/>
        <v/>
      </c>
      <c r="NS11" s="11" t="str">
        <f t="shared" si="109"/>
        <v/>
      </c>
      <c r="NT11" s="11" t="str">
        <f t="shared" si="110"/>
        <v/>
      </c>
      <c r="NU11" s="11" t="str">
        <f t="shared" si="111"/>
        <v/>
      </c>
      <c r="NV11" s="11" t="str">
        <f t="shared" si="112"/>
        <v/>
      </c>
      <c r="NW11" s="11" t="str">
        <f t="shared" si="113"/>
        <v/>
      </c>
      <c r="NX11" s="11" t="str">
        <f t="shared" si="114"/>
        <v/>
      </c>
      <c r="NY11" s="11" t="str">
        <f t="shared" si="115"/>
        <v/>
      </c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40" t="str">
        <f t="shared" si="116"/>
        <v/>
      </c>
      <c r="OU11" s="40" t="str">
        <f t="shared" si="117"/>
        <v/>
      </c>
      <c r="OV11" s="40" t="str">
        <f t="shared" si="118"/>
        <v/>
      </c>
      <c r="OW11" s="40" t="str">
        <f t="shared" si="119"/>
        <v/>
      </c>
      <c r="OX11" s="40" t="str">
        <f t="shared" si="120"/>
        <v/>
      </c>
      <c r="OY11" s="40" t="str">
        <f t="shared" si="121"/>
        <v/>
      </c>
      <c r="OZ11" s="40" t="str">
        <f t="shared" si="122"/>
        <v/>
      </c>
      <c r="PA11" s="40" t="str">
        <f t="shared" si="123"/>
        <v/>
      </c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1" t="str">
        <f t="shared" si="124"/>
        <v/>
      </c>
      <c r="PW11" s="11" t="str">
        <f t="shared" si="125"/>
        <v/>
      </c>
      <c r="PX11" s="11" t="str">
        <f t="shared" si="126"/>
        <v/>
      </c>
      <c r="PY11" s="11" t="str">
        <f t="shared" si="127"/>
        <v/>
      </c>
      <c r="PZ11" s="11" t="str">
        <f t="shared" si="128"/>
        <v/>
      </c>
      <c r="QA11" s="11" t="str">
        <f t="shared" si="129"/>
        <v/>
      </c>
      <c r="QB11" s="11" t="str">
        <f t="shared" si="130"/>
        <v/>
      </c>
      <c r="QC11" s="11" t="str">
        <f t="shared" si="131"/>
        <v/>
      </c>
      <c r="QD11" s="22">
        <f t="shared" si="132"/>
        <v>9.3000000000000007</v>
      </c>
      <c r="QE11" s="22">
        <f t="shared" si="133"/>
        <v>2.6</v>
      </c>
      <c r="QF11" s="22">
        <f t="shared" si="134"/>
        <v>0</v>
      </c>
      <c r="QG11" s="22">
        <f t="shared" si="135"/>
        <v>0</v>
      </c>
      <c r="QH11" s="22">
        <f t="shared" si="136"/>
        <v>9.1</v>
      </c>
      <c r="QI11" s="22">
        <f t="shared" si="137"/>
        <v>2.6</v>
      </c>
      <c r="QJ11" s="22">
        <f t="shared" si="138"/>
        <v>0</v>
      </c>
      <c r="QK11" s="22">
        <f t="shared" si="139"/>
        <v>0</v>
      </c>
      <c r="QL11" s="22">
        <f t="shared" si="140"/>
        <v>0</v>
      </c>
      <c r="QM11" s="22">
        <f t="shared" si="141"/>
        <v>0</v>
      </c>
      <c r="QN11" s="22">
        <f t="shared" si="142"/>
        <v>0</v>
      </c>
      <c r="QO11" s="22">
        <f t="shared" si="143"/>
        <v>0</v>
      </c>
      <c r="QP11" s="22">
        <f t="shared" si="144"/>
        <v>0</v>
      </c>
      <c r="QQ11" s="22">
        <f t="shared" si="145"/>
        <v>0</v>
      </c>
      <c r="QR11" s="22">
        <f t="shared" si="146"/>
        <v>0</v>
      </c>
      <c r="QS11" s="22">
        <f t="shared" si="147"/>
        <v>0</v>
      </c>
      <c r="QT11" s="22">
        <f t="shared" si="148"/>
        <v>0</v>
      </c>
      <c r="QU11" s="22">
        <f t="shared" si="149"/>
        <v>0</v>
      </c>
      <c r="QV11" s="22">
        <f t="shared" si="150"/>
        <v>0</v>
      </c>
      <c r="QW11" s="22">
        <f t="shared" si="151"/>
        <v>0</v>
      </c>
      <c r="QX11" s="27" t="s">
        <v>46</v>
      </c>
      <c r="QY11" s="40">
        <f t="shared" si="152"/>
        <v>5.2</v>
      </c>
      <c r="QZ11" s="40">
        <f t="shared" si="153"/>
        <v>23.6</v>
      </c>
      <c r="RA11" s="40" t="str">
        <f t="shared" si="154"/>
        <v/>
      </c>
      <c r="RB11" s="40">
        <f t="shared" si="155"/>
        <v>5.2</v>
      </c>
      <c r="RC11" s="40">
        <f t="shared" si="156"/>
        <v>23.6</v>
      </c>
      <c r="RD11" s="40" t="str">
        <f t="shared" si="157"/>
        <v/>
      </c>
      <c r="RE11" s="40" t="str">
        <f t="shared" si="158"/>
        <v/>
      </c>
      <c r="RF11" s="40">
        <f t="shared" si="159"/>
        <v>23.6</v>
      </c>
    </row>
    <row r="12" spans="1:474" x14ac:dyDescent="0.2">
      <c r="A12" s="4" t="str" cm="1">
        <f t="array" ref="A12">IF(AND(J12&lt;&gt;"",J12&lt;&gt;"No DD"),SUMPRODUCT((J$4:J$36&lt;&gt;"")*(J$4:J$36&lt;&gt;"No DD")*(F$4:F$36&gt;F12))+1,IF(J12="No DD",SUMPRODUCT((J$4:J$36="No DD")*(F$4:F$36&gt;F12))+1+SUMPRODUCT((J$4:J$36&lt;&gt;"")*(J$4:J$36&lt;&gt;"No DD")),""))</f>
        <v/>
      </c>
      <c r="B12" s="4" t="str" cm="1">
        <f t="array" ref="B12">IF(AND(J12&lt;&gt;"",J12&lt;&gt;"No DD",G12=""),SUMPRODUCT((J$4:J$36&lt;&gt;"")*(J$4:J$36&lt;&gt;"No DD")*(G$4:G$36="")*(F$4:F$36&gt;F12))+1,IF(J12="No DD",SUMPRODUCT((J$4:J$36="No DD")*(F$4:F$36&gt;F12)*(G$4:G$36=""))+1+SUMPRODUCT((J$4:J$36&lt;&gt;"")*(G$4:G$36="")*(J$4:J$36&lt;&gt;"No DD")),""))</f>
        <v/>
      </c>
      <c r="C12" s="5" t="s">
        <v>107</v>
      </c>
      <c r="D12" s="4" t="s">
        <v>5</v>
      </c>
      <c r="E12" s="4">
        <v>2005</v>
      </c>
      <c r="F12" s="9">
        <f t="shared" si="0"/>
        <v>134.10000880000462</v>
      </c>
      <c r="G12" s="64"/>
      <c r="H12" s="3" t="str">
        <f t="shared" si="1"/>
        <v/>
      </c>
      <c r="I12" s="3" t="str">
        <f t="shared" si="2"/>
        <v/>
      </c>
      <c r="J12" s="36" t="str">
        <f t="shared" si="3"/>
        <v/>
      </c>
      <c r="K12" s="3" t="str">
        <f t="shared" si="4"/>
        <v/>
      </c>
      <c r="L12" s="8">
        <f>IF(COUNT(AQ12,BT12,CW12)&gt;0,LARGE((AQ12,BT12,CW12),1),0)</f>
        <v>46.199999999999996</v>
      </c>
      <c r="M12" s="8" t="str">
        <f t="shared" si="5"/>
        <v>2025 Elite Canada</v>
      </c>
      <c r="N12" s="8">
        <f>IF(COUNT(AQ12,BT12,CW12)&gt;1,LARGE((AQ12,BT12,CW12),2),0)</f>
        <v>41.800000000000004</v>
      </c>
      <c r="O12" s="8" t="str">
        <f t="shared" si="6"/>
        <v>2024 Nationals</v>
      </c>
      <c r="P12" s="8">
        <f t="shared" si="7"/>
        <v>46.1</v>
      </c>
      <c r="Q12" s="8" t="str">
        <f t="shared" si="8"/>
        <v>2025 Elite Canada</v>
      </c>
      <c r="R12" s="8" t="str">
        <f t="shared" si="9"/>
        <v/>
      </c>
      <c r="S12" s="11" t="str">
        <f t="shared" si="160"/>
        <v/>
      </c>
      <c r="T12" s="8" t="str">
        <f t="shared" si="161"/>
        <v/>
      </c>
      <c r="U12" s="19">
        <v>18</v>
      </c>
      <c r="V12" s="19">
        <v>4.4000000000000004</v>
      </c>
      <c r="W12" s="19">
        <v>0</v>
      </c>
      <c r="X12" s="19">
        <v>0</v>
      </c>
      <c r="Y12" s="19">
        <v>17.8</v>
      </c>
      <c r="Z12" s="19">
        <v>2.4</v>
      </c>
      <c r="AA12" s="19">
        <v>0.8</v>
      </c>
      <c r="AB12" s="19">
        <v>0</v>
      </c>
      <c r="AC12" s="19">
        <v>17.100000000000001</v>
      </c>
      <c r="AD12" s="19">
        <v>2.4</v>
      </c>
      <c r="AE12" s="19">
        <v>0.2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 t="shared" si="10"/>
        <v>6.8000000000000007</v>
      </c>
      <c r="AQ12" s="40">
        <f t="shared" si="11"/>
        <v>41.800000000000004</v>
      </c>
      <c r="AR12" s="40">
        <f t="shared" si="12"/>
        <v>19.3</v>
      </c>
      <c r="AS12" s="40">
        <f t="shared" si="13"/>
        <v>9.2000000000000011</v>
      </c>
      <c r="AT12" s="40">
        <f t="shared" si="14"/>
        <v>61.100000000000009</v>
      </c>
      <c r="AU12" s="40" t="str">
        <f t="shared" si="15"/>
        <v/>
      </c>
      <c r="AV12" s="40" t="str">
        <f t="shared" si="16"/>
        <v/>
      </c>
      <c r="AW12" s="40">
        <f t="shared" si="17"/>
        <v>61.100000000000009</v>
      </c>
      <c r="AX12" s="18">
        <v>16.2</v>
      </c>
      <c r="AY12" s="18">
        <v>5.2</v>
      </c>
      <c r="AZ12" s="18">
        <v>0.2</v>
      </c>
      <c r="BA12" s="18">
        <v>0.3</v>
      </c>
      <c r="BB12" s="18">
        <v>17.2</v>
      </c>
      <c r="BC12" s="18">
        <v>2.4</v>
      </c>
      <c r="BD12" s="18">
        <v>0</v>
      </c>
      <c r="BE12" s="18">
        <v>0</v>
      </c>
      <c r="BF12" s="18">
        <v>16.600000000000001</v>
      </c>
      <c r="BG12" s="18">
        <v>3</v>
      </c>
      <c r="BH12" s="18">
        <v>0.2</v>
      </c>
      <c r="BI12" s="18">
        <v>0</v>
      </c>
      <c r="BJ12" s="18">
        <v>17.2</v>
      </c>
      <c r="BK12" s="18">
        <v>2.8</v>
      </c>
      <c r="BL12" s="18">
        <v>0</v>
      </c>
      <c r="BM12" s="18">
        <v>0.3</v>
      </c>
      <c r="BN12" s="18">
        <v>17.2</v>
      </c>
      <c r="BO12" s="18">
        <v>2.4</v>
      </c>
      <c r="BP12" s="18">
        <v>0</v>
      </c>
      <c r="BQ12" s="18">
        <v>0</v>
      </c>
      <c r="BR12" s="28"/>
      <c r="BS12" s="11">
        <f t="shared" si="18"/>
        <v>7.6</v>
      </c>
      <c r="BT12" s="11">
        <f t="shared" si="19"/>
        <v>41.099999999999994</v>
      </c>
      <c r="BU12" s="11">
        <f t="shared" si="20"/>
        <v>19.400000000000002</v>
      </c>
      <c r="BV12" s="11">
        <f t="shared" si="21"/>
        <v>10.6</v>
      </c>
      <c r="BW12" s="11">
        <f t="shared" si="22"/>
        <v>60.5</v>
      </c>
      <c r="BX12" s="11">
        <f t="shared" si="23"/>
        <v>5.1999999999999993</v>
      </c>
      <c r="BY12" s="11">
        <f t="shared" si="24"/>
        <v>39.9</v>
      </c>
      <c r="BZ12" s="11">
        <f t="shared" si="25"/>
        <v>100.4</v>
      </c>
      <c r="CA12" s="19">
        <v>18.3</v>
      </c>
      <c r="CB12" s="19">
        <v>4.8</v>
      </c>
      <c r="CC12" s="19">
        <v>0</v>
      </c>
      <c r="CD12" s="19">
        <v>0.3</v>
      </c>
      <c r="CE12" s="19">
        <v>18.600000000000001</v>
      </c>
      <c r="CF12" s="19">
        <v>4.8</v>
      </c>
      <c r="CG12" s="19">
        <v>0.6</v>
      </c>
      <c r="CH12" s="19">
        <v>0</v>
      </c>
      <c r="CI12" s="19"/>
      <c r="CJ12" s="19"/>
      <c r="CK12" s="19"/>
      <c r="CL12" s="19"/>
      <c r="CM12" s="19">
        <v>18.100000000000001</v>
      </c>
      <c r="CN12" s="19">
        <v>4.8</v>
      </c>
      <c r="CO12" s="19">
        <v>0</v>
      </c>
      <c r="CP12" s="19">
        <v>0.3</v>
      </c>
      <c r="CQ12" s="19">
        <v>18.100000000000001</v>
      </c>
      <c r="CR12" s="19">
        <v>4.8</v>
      </c>
      <c r="CS12" s="19">
        <v>0</v>
      </c>
      <c r="CT12" s="19">
        <v>0</v>
      </c>
      <c r="CU12" s="27"/>
      <c r="CV12" s="40">
        <f t="shared" si="26"/>
        <v>9.6</v>
      </c>
      <c r="CW12" s="40">
        <f t="shared" si="27"/>
        <v>46.199999999999996</v>
      </c>
      <c r="CX12" s="40" t="str">
        <f t="shared" si="28"/>
        <v/>
      </c>
      <c r="CY12" s="40">
        <f t="shared" si="29"/>
        <v>9.6</v>
      </c>
      <c r="CZ12" s="40">
        <f t="shared" si="30"/>
        <v>46.199999999999996</v>
      </c>
      <c r="DA12" s="40">
        <f t="shared" si="31"/>
        <v>9.6</v>
      </c>
      <c r="DB12" s="40">
        <f t="shared" si="32"/>
        <v>46.1</v>
      </c>
      <c r="DC12" s="40">
        <f t="shared" si="33"/>
        <v>92.3</v>
      </c>
      <c r="DD12" s="50" t="str">
        <f t="shared" si="34"/>
        <v/>
      </c>
      <c r="DE12" s="50" t="str">
        <f t="shared" si="35"/>
        <v/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40" t="str">
        <f t="shared" si="36"/>
        <v/>
      </c>
      <c r="EA12" s="40" t="str">
        <f t="shared" si="37"/>
        <v/>
      </c>
      <c r="EB12" s="40" t="str">
        <f t="shared" si="38"/>
        <v/>
      </c>
      <c r="EC12" s="40" t="str">
        <f t="shared" si="39"/>
        <v/>
      </c>
      <c r="ED12" s="40" t="str">
        <f t="shared" si="40"/>
        <v/>
      </c>
      <c r="EE12" s="40" t="str">
        <f t="shared" si="41"/>
        <v/>
      </c>
      <c r="EF12" s="40" t="str">
        <f t="shared" si="42"/>
        <v/>
      </c>
      <c r="EG12" s="40" t="str">
        <f t="shared" si="43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1" t="str">
        <f t="shared" si="44"/>
        <v/>
      </c>
      <c r="FC12" s="11" t="str">
        <f t="shared" si="45"/>
        <v/>
      </c>
      <c r="FD12" s="11" t="str">
        <f t="shared" si="46"/>
        <v/>
      </c>
      <c r="FE12" s="11" t="str">
        <f t="shared" si="47"/>
        <v/>
      </c>
      <c r="FF12" s="11" t="str">
        <f t="shared" si="48"/>
        <v/>
      </c>
      <c r="FG12" s="11" t="str">
        <f t="shared" si="49"/>
        <v/>
      </c>
      <c r="FH12" s="11" t="str">
        <f t="shared" si="50"/>
        <v/>
      </c>
      <c r="FI12" s="11" t="str">
        <f t="shared" si="51"/>
        <v/>
      </c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40" t="str">
        <f t="shared" si="52"/>
        <v/>
      </c>
      <c r="GE12" s="40" t="str">
        <f t="shared" si="53"/>
        <v/>
      </c>
      <c r="GF12" s="40" t="str">
        <f t="shared" si="54"/>
        <v/>
      </c>
      <c r="GG12" s="40" t="str">
        <f t="shared" si="55"/>
        <v/>
      </c>
      <c r="GH12" s="40" t="str">
        <f t="shared" si="56"/>
        <v/>
      </c>
      <c r="GI12" s="40" t="str">
        <f t="shared" si="57"/>
        <v/>
      </c>
      <c r="GJ12" s="40" t="str">
        <f t="shared" si="58"/>
        <v/>
      </c>
      <c r="GK12" s="40" t="str">
        <f t="shared" si="59"/>
        <v/>
      </c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1" t="str">
        <f t="shared" si="60"/>
        <v/>
      </c>
      <c r="HG12" s="11" t="str">
        <f t="shared" si="61"/>
        <v/>
      </c>
      <c r="HH12" s="11" t="str">
        <f t="shared" si="62"/>
        <v/>
      </c>
      <c r="HI12" s="11" t="str">
        <f t="shared" si="63"/>
        <v/>
      </c>
      <c r="HJ12" s="11" t="str">
        <f t="shared" si="64"/>
        <v/>
      </c>
      <c r="HK12" s="11" t="str">
        <f t="shared" si="65"/>
        <v/>
      </c>
      <c r="HL12" s="11" t="str">
        <f t="shared" si="66"/>
        <v/>
      </c>
      <c r="HM12" s="11" t="str">
        <f t="shared" si="67"/>
        <v/>
      </c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40" t="str">
        <f t="shared" si="68"/>
        <v/>
      </c>
      <c r="II12" s="40" t="str">
        <f t="shared" si="69"/>
        <v/>
      </c>
      <c r="IJ12" s="40" t="str">
        <f t="shared" si="70"/>
        <v/>
      </c>
      <c r="IK12" s="40" t="str">
        <f t="shared" si="71"/>
        <v/>
      </c>
      <c r="IL12" s="40" t="str">
        <f t="shared" si="72"/>
        <v/>
      </c>
      <c r="IM12" s="40" t="str">
        <f t="shared" si="73"/>
        <v/>
      </c>
      <c r="IN12" s="40" t="str">
        <f t="shared" si="74"/>
        <v/>
      </c>
      <c r="IO12" s="40" t="str">
        <f t="shared" si="75"/>
        <v/>
      </c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1" t="str">
        <f t="shared" si="76"/>
        <v/>
      </c>
      <c r="JK12" s="11" t="str">
        <f t="shared" si="77"/>
        <v/>
      </c>
      <c r="JL12" s="11" t="str">
        <f t="shared" si="78"/>
        <v/>
      </c>
      <c r="JM12" s="11" t="str">
        <f t="shared" si="79"/>
        <v/>
      </c>
      <c r="JN12" s="11" t="str">
        <f t="shared" si="80"/>
        <v/>
      </c>
      <c r="JO12" s="11" t="str">
        <f t="shared" si="81"/>
        <v/>
      </c>
      <c r="JP12" s="11" t="str">
        <f t="shared" si="82"/>
        <v/>
      </c>
      <c r="JQ12" s="11" t="str">
        <f t="shared" si="83"/>
        <v/>
      </c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40" t="str">
        <f t="shared" si="84"/>
        <v/>
      </c>
      <c r="KM12" s="40" t="str">
        <f t="shared" si="85"/>
        <v/>
      </c>
      <c r="KN12" s="40" t="str">
        <f t="shared" si="86"/>
        <v/>
      </c>
      <c r="KO12" s="40" t="str">
        <f t="shared" si="87"/>
        <v/>
      </c>
      <c r="KP12" s="40" t="str">
        <f t="shared" si="88"/>
        <v/>
      </c>
      <c r="KQ12" s="40" t="str">
        <f t="shared" si="89"/>
        <v/>
      </c>
      <c r="KR12" s="40" t="str">
        <f t="shared" si="90"/>
        <v/>
      </c>
      <c r="KS12" s="40" t="str">
        <f t="shared" si="91"/>
        <v/>
      </c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1" t="str">
        <f t="shared" si="92"/>
        <v/>
      </c>
      <c r="LO12" s="11" t="str">
        <f t="shared" si="93"/>
        <v/>
      </c>
      <c r="LP12" s="11" t="str">
        <f t="shared" si="94"/>
        <v/>
      </c>
      <c r="LQ12" s="11" t="str">
        <f t="shared" si="95"/>
        <v/>
      </c>
      <c r="LR12" s="11" t="str">
        <f t="shared" si="96"/>
        <v/>
      </c>
      <c r="LS12" s="11" t="str">
        <f t="shared" si="97"/>
        <v/>
      </c>
      <c r="LT12" s="11" t="str">
        <f t="shared" si="98"/>
        <v/>
      </c>
      <c r="LU12" s="11" t="str">
        <f t="shared" si="99"/>
        <v/>
      </c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40" t="str">
        <f t="shared" si="100"/>
        <v/>
      </c>
      <c r="MQ12" s="40" t="str">
        <f t="shared" si="101"/>
        <v/>
      </c>
      <c r="MR12" s="40" t="str">
        <f t="shared" si="102"/>
        <v/>
      </c>
      <c r="MS12" s="40" t="str">
        <f t="shared" si="103"/>
        <v/>
      </c>
      <c r="MT12" s="40" t="str">
        <f t="shared" si="104"/>
        <v/>
      </c>
      <c r="MU12" s="40" t="str">
        <f t="shared" si="105"/>
        <v/>
      </c>
      <c r="MV12" s="40" t="str">
        <f t="shared" si="106"/>
        <v/>
      </c>
      <c r="MW12" s="40" t="str">
        <f t="shared" si="107"/>
        <v/>
      </c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1" t="str">
        <f t="shared" si="108"/>
        <v/>
      </c>
      <c r="NS12" s="11" t="str">
        <f t="shared" si="109"/>
        <v/>
      </c>
      <c r="NT12" s="11" t="str">
        <f t="shared" si="110"/>
        <v/>
      </c>
      <c r="NU12" s="11" t="str">
        <f t="shared" si="111"/>
        <v/>
      </c>
      <c r="NV12" s="11" t="str">
        <f t="shared" si="112"/>
        <v/>
      </c>
      <c r="NW12" s="11" t="str">
        <f t="shared" si="113"/>
        <v/>
      </c>
      <c r="NX12" s="11" t="str">
        <f t="shared" si="114"/>
        <v/>
      </c>
      <c r="NY12" s="11" t="str">
        <f t="shared" si="115"/>
        <v/>
      </c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40" t="str">
        <f t="shared" si="116"/>
        <v/>
      </c>
      <c r="OU12" s="40" t="str">
        <f t="shared" si="117"/>
        <v/>
      </c>
      <c r="OV12" s="40" t="str">
        <f t="shared" si="118"/>
        <v/>
      </c>
      <c r="OW12" s="40" t="str">
        <f t="shared" si="119"/>
        <v/>
      </c>
      <c r="OX12" s="40" t="str">
        <f t="shared" si="120"/>
        <v/>
      </c>
      <c r="OY12" s="40" t="str">
        <f t="shared" si="121"/>
        <v/>
      </c>
      <c r="OZ12" s="40" t="str">
        <f t="shared" si="122"/>
        <v/>
      </c>
      <c r="PA12" s="40" t="str">
        <f t="shared" si="123"/>
        <v/>
      </c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1" t="str">
        <f t="shared" si="124"/>
        <v/>
      </c>
      <c r="PW12" s="11" t="str">
        <f t="shared" si="125"/>
        <v/>
      </c>
      <c r="PX12" s="11" t="str">
        <f t="shared" si="126"/>
        <v/>
      </c>
      <c r="PY12" s="11" t="str">
        <f t="shared" si="127"/>
        <v/>
      </c>
      <c r="PZ12" s="11" t="str">
        <f t="shared" si="128"/>
        <v/>
      </c>
      <c r="QA12" s="11" t="str">
        <f t="shared" si="129"/>
        <v/>
      </c>
      <c r="QB12" s="11" t="str">
        <f t="shared" si="130"/>
        <v/>
      </c>
      <c r="QC12" s="11" t="str">
        <f t="shared" si="131"/>
        <v/>
      </c>
      <c r="QD12" s="22">
        <f t="shared" si="132"/>
        <v>17.25</v>
      </c>
      <c r="QE12" s="22">
        <f t="shared" si="133"/>
        <v>5</v>
      </c>
      <c r="QF12" s="22">
        <f t="shared" si="134"/>
        <v>0.1</v>
      </c>
      <c r="QG12" s="22">
        <f t="shared" si="135"/>
        <v>0.3</v>
      </c>
      <c r="QH12" s="22">
        <f t="shared" si="136"/>
        <v>17.899999999999999</v>
      </c>
      <c r="QI12" s="22">
        <f t="shared" si="137"/>
        <v>3.5999999999999996</v>
      </c>
      <c r="QJ12" s="22">
        <f t="shared" si="138"/>
        <v>0.3</v>
      </c>
      <c r="QK12" s="22">
        <f t="shared" si="139"/>
        <v>0</v>
      </c>
      <c r="QL12" s="22">
        <f t="shared" si="140"/>
        <v>8.3000000000000007</v>
      </c>
      <c r="QM12" s="22">
        <f t="shared" si="141"/>
        <v>1.5</v>
      </c>
      <c r="QN12" s="22">
        <f t="shared" si="142"/>
        <v>0.1</v>
      </c>
      <c r="QO12" s="22">
        <f t="shared" si="143"/>
        <v>0</v>
      </c>
      <c r="QP12" s="22">
        <f t="shared" si="144"/>
        <v>17.649999999999999</v>
      </c>
      <c r="QQ12" s="22">
        <f t="shared" si="145"/>
        <v>3.8</v>
      </c>
      <c r="QR12" s="22">
        <f t="shared" si="146"/>
        <v>0</v>
      </c>
      <c r="QS12" s="22">
        <f t="shared" si="147"/>
        <v>0.3</v>
      </c>
      <c r="QT12" s="22">
        <f t="shared" si="148"/>
        <v>17.649999999999999</v>
      </c>
      <c r="QU12" s="22">
        <f t="shared" si="149"/>
        <v>3.5999999999999996</v>
      </c>
      <c r="QV12" s="22">
        <f t="shared" si="150"/>
        <v>0</v>
      </c>
      <c r="QW12" s="22">
        <f t="shared" si="151"/>
        <v>0</v>
      </c>
      <c r="QX12" s="27" t="s">
        <v>46</v>
      </c>
      <c r="QY12" s="40">
        <f t="shared" si="152"/>
        <v>8.6</v>
      </c>
      <c r="QZ12" s="40">
        <f t="shared" si="153"/>
        <v>43.650000000000006</v>
      </c>
      <c r="RA12" s="40">
        <f t="shared" si="154"/>
        <v>9.7000000000000011</v>
      </c>
      <c r="RB12" s="40">
        <f t="shared" si="155"/>
        <v>10.1</v>
      </c>
      <c r="RC12" s="40">
        <f t="shared" si="156"/>
        <v>53.350000000000009</v>
      </c>
      <c r="RD12" s="40">
        <f t="shared" si="157"/>
        <v>7.3999999999999995</v>
      </c>
      <c r="RE12" s="40">
        <f t="shared" si="158"/>
        <v>43</v>
      </c>
      <c r="RF12" s="40">
        <f t="shared" si="159"/>
        <v>96.350000000000009</v>
      </c>
    </row>
    <row r="13" spans="1:474" x14ac:dyDescent="0.2">
      <c r="A13" s="4" t="str" cm="1">
        <f t="array" ref="A13">IF(AND(J13&lt;&gt;"",J13&lt;&gt;"No DD"),SUMPRODUCT((J$4:J$36&lt;&gt;"")*(J$4:J$36&lt;&gt;"No DD")*(F$4:F$36&gt;F13))+1,IF(J13="No DD",SUMPRODUCT((J$4:J$36="No DD")*(F$4:F$36&gt;F13))+1+SUMPRODUCT((J$4:J$36&lt;&gt;"")*(J$4:J$36&lt;&gt;"No DD")),""))</f>
        <v/>
      </c>
      <c r="B13" s="4" t="str" cm="1">
        <f t="array" ref="B13">IF(AND(J13&lt;&gt;"",J13&lt;&gt;"No DD",G13=""),SUMPRODUCT((J$4:J$36&lt;&gt;"")*(J$4:J$36&lt;&gt;"No DD")*(G$4:G$36="")*(F$4:F$36&gt;F13))+1,IF(J13="No DD",SUMPRODUCT((J$4:J$36="No DD")*(F$4:F$36&gt;F13)*(G$4:G$36=""))+1+SUMPRODUCT((J$4:J$36&lt;&gt;"")*(G$4:G$36="")*(J$4:J$36&lt;&gt;"No DD")),""))</f>
        <v/>
      </c>
      <c r="C13" s="5" t="s">
        <v>182</v>
      </c>
      <c r="D13" s="4" t="s">
        <v>31</v>
      </c>
      <c r="E13" s="4">
        <v>2005</v>
      </c>
      <c r="F13" s="9">
        <f t="shared" si="0"/>
        <v>133.0000084600043</v>
      </c>
      <c r="G13" s="64"/>
      <c r="H13" s="3" t="str">
        <f t="shared" si="1"/>
        <v/>
      </c>
      <c r="I13" s="3" t="str">
        <f t="shared" si="2"/>
        <v/>
      </c>
      <c r="J13" s="36" t="str">
        <f t="shared" si="3"/>
        <v/>
      </c>
      <c r="K13" s="3" t="str">
        <f t="shared" si="4"/>
        <v/>
      </c>
      <c r="L13" s="8">
        <f>IF(COUNT(AQ13,BT13,CW13)&gt;0,LARGE((AQ13,BT13,CW13),1),0)</f>
        <v>42.999999999999993</v>
      </c>
      <c r="M13" s="8" t="str">
        <f t="shared" si="5"/>
        <v>2024 3rd Domestic Trial</v>
      </c>
      <c r="N13" s="8">
        <f>IF(COUNT(AQ13,BT13,CW13)&gt;1,LARGE((AQ13,BT13,CW13),2),0)</f>
        <v>41.6</v>
      </c>
      <c r="O13" s="8" t="str">
        <f t="shared" si="6"/>
        <v>2025 Elite Canada</v>
      </c>
      <c r="P13" s="8">
        <f t="shared" si="7"/>
        <v>45.800000000000011</v>
      </c>
      <c r="Q13" s="8" t="str">
        <f t="shared" si="8"/>
        <v>2024 3rd Domestic Trial</v>
      </c>
      <c r="R13" s="8">
        <f t="shared" si="9"/>
        <v>2.5999999999999943</v>
      </c>
      <c r="S13" s="11" t="str">
        <f t="shared" si="160"/>
        <v>(Q1)</v>
      </c>
      <c r="T13" s="8" t="str">
        <f t="shared" si="161"/>
        <v>2024 Coimbra Gym Fest (July 7)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0"/>
        <v/>
      </c>
      <c r="AQ13" s="40" t="str">
        <f t="shared" si="11"/>
        <v/>
      </c>
      <c r="AR13" s="40" t="str">
        <f t="shared" si="12"/>
        <v/>
      </c>
      <c r="AS13" s="40" t="str">
        <f t="shared" si="13"/>
        <v/>
      </c>
      <c r="AT13" s="40" t="str">
        <f t="shared" si="14"/>
        <v/>
      </c>
      <c r="AU13" s="40" t="str">
        <f t="shared" si="15"/>
        <v/>
      </c>
      <c r="AV13" s="40" t="str">
        <f t="shared" si="16"/>
        <v/>
      </c>
      <c r="AW13" s="40" t="str">
        <f t="shared" si="17"/>
        <v/>
      </c>
      <c r="AX13" s="18">
        <v>18.100000000000001</v>
      </c>
      <c r="AY13" s="18">
        <v>4.8</v>
      </c>
      <c r="AZ13" s="18">
        <v>0.2</v>
      </c>
      <c r="BA13" s="18">
        <v>0</v>
      </c>
      <c r="BB13" s="18">
        <v>17.2</v>
      </c>
      <c r="BC13" s="18">
        <v>2.8</v>
      </c>
      <c r="BD13" s="18">
        <v>0</v>
      </c>
      <c r="BE13" s="18">
        <v>0.3</v>
      </c>
      <c r="BF13" s="18">
        <v>19</v>
      </c>
      <c r="BG13" s="18">
        <v>4.3</v>
      </c>
      <c r="BH13" s="18">
        <v>0.6</v>
      </c>
      <c r="BI13" s="18">
        <v>0</v>
      </c>
      <c r="BJ13" s="18">
        <v>18.2</v>
      </c>
      <c r="BK13" s="18">
        <v>4.8</v>
      </c>
      <c r="BL13" s="18">
        <v>0.6</v>
      </c>
      <c r="BM13" s="18">
        <v>0.3</v>
      </c>
      <c r="BN13" s="18">
        <v>18.100000000000001</v>
      </c>
      <c r="BO13" s="18">
        <v>5.2</v>
      </c>
      <c r="BP13" s="18">
        <v>0.2</v>
      </c>
      <c r="BQ13" s="18">
        <v>0</v>
      </c>
      <c r="BR13" s="28"/>
      <c r="BS13" s="11">
        <f t="shared" si="18"/>
        <v>7.6</v>
      </c>
      <c r="BT13" s="11">
        <f t="shared" si="19"/>
        <v>42.999999999999993</v>
      </c>
      <c r="BU13" s="11">
        <f t="shared" si="20"/>
        <v>22.7</v>
      </c>
      <c r="BV13" s="11">
        <f t="shared" si="21"/>
        <v>11.899999999999999</v>
      </c>
      <c r="BW13" s="11">
        <f t="shared" si="22"/>
        <v>65.699999999999989</v>
      </c>
      <c r="BX13" s="11">
        <f t="shared" si="23"/>
        <v>10</v>
      </c>
      <c r="BY13" s="11">
        <f t="shared" si="24"/>
        <v>45.800000000000011</v>
      </c>
      <c r="BZ13" s="11">
        <f t="shared" si="25"/>
        <v>111.5</v>
      </c>
      <c r="CA13" s="19">
        <v>15.2</v>
      </c>
      <c r="CB13" s="19">
        <v>2.8</v>
      </c>
      <c r="CC13" s="19">
        <v>0</v>
      </c>
      <c r="CD13" s="19">
        <v>0.3</v>
      </c>
      <c r="CE13" s="19">
        <v>17.899999999999999</v>
      </c>
      <c r="CF13" s="19">
        <v>5.6</v>
      </c>
      <c r="CG13" s="19">
        <v>0.2</v>
      </c>
      <c r="CH13" s="19">
        <v>0</v>
      </c>
      <c r="CI13" s="19"/>
      <c r="CJ13" s="19"/>
      <c r="CK13" s="19"/>
      <c r="CL13" s="19"/>
      <c r="CM13" s="19">
        <v>18.100000000000001</v>
      </c>
      <c r="CN13" s="19">
        <v>5.2</v>
      </c>
      <c r="CO13" s="19">
        <v>0.8</v>
      </c>
      <c r="CP13" s="19">
        <v>0.3</v>
      </c>
      <c r="CQ13" s="19">
        <v>17.8</v>
      </c>
      <c r="CR13" s="19">
        <v>5.6</v>
      </c>
      <c r="CS13" s="19">
        <v>0.6</v>
      </c>
      <c r="CT13" s="19">
        <v>0</v>
      </c>
      <c r="CU13" s="27"/>
      <c r="CV13" s="40">
        <f t="shared" si="26"/>
        <v>8.3999999999999986</v>
      </c>
      <c r="CW13" s="40">
        <f t="shared" si="27"/>
        <v>41.6</v>
      </c>
      <c r="CX13" s="40" t="str">
        <f t="shared" si="28"/>
        <v/>
      </c>
      <c r="CY13" s="40">
        <f t="shared" si="29"/>
        <v>8.3999999999999986</v>
      </c>
      <c r="CZ13" s="40">
        <f t="shared" si="30"/>
        <v>41.6</v>
      </c>
      <c r="DA13" s="40">
        <f t="shared" si="31"/>
        <v>10.8</v>
      </c>
      <c r="DB13" s="40">
        <f t="shared" si="32"/>
        <v>45.600000000000009</v>
      </c>
      <c r="DC13" s="40">
        <f t="shared" si="33"/>
        <v>87.200000000000017</v>
      </c>
      <c r="DD13" s="50">
        <f t="shared" si="34"/>
        <v>2.5999999999999943</v>
      </c>
      <c r="DE13" s="50" t="str">
        <f t="shared" si="35"/>
        <v/>
      </c>
      <c r="DF13" s="17">
        <v>18.3</v>
      </c>
      <c r="DG13" s="17">
        <v>3.9</v>
      </c>
      <c r="DH13" s="17">
        <v>0.2</v>
      </c>
      <c r="DI13" s="17">
        <v>0</v>
      </c>
      <c r="DJ13" s="17">
        <v>18.600000000000001</v>
      </c>
      <c r="DK13" s="17">
        <v>3.6</v>
      </c>
      <c r="DL13" s="17">
        <v>0</v>
      </c>
      <c r="DM13" s="17">
        <v>0</v>
      </c>
      <c r="DN13" s="17"/>
      <c r="DO13" s="17"/>
      <c r="DP13" s="17"/>
      <c r="DQ13" s="17"/>
      <c r="DR13" s="17">
        <v>18.3</v>
      </c>
      <c r="DS13" s="17">
        <v>4</v>
      </c>
      <c r="DT13" s="17">
        <v>0</v>
      </c>
      <c r="DU13" s="17">
        <v>0</v>
      </c>
      <c r="DV13" s="17"/>
      <c r="DW13" s="17"/>
      <c r="DX13" s="17"/>
      <c r="DY13" s="17"/>
      <c r="DZ13" s="40">
        <f t="shared" si="36"/>
        <v>7.5</v>
      </c>
      <c r="EA13" s="40">
        <f t="shared" si="37"/>
        <v>44.199999999999996</v>
      </c>
      <c r="EB13" s="40" t="str">
        <f t="shared" si="38"/>
        <v/>
      </c>
      <c r="EC13" s="40">
        <f t="shared" si="39"/>
        <v>7.5</v>
      </c>
      <c r="ED13" s="40">
        <f t="shared" si="40"/>
        <v>44.199999999999996</v>
      </c>
      <c r="EE13" s="40">
        <f t="shared" si="41"/>
        <v>4</v>
      </c>
      <c r="EF13" s="40">
        <f t="shared" si="42"/>
        <v>22.3</v>
      </c>
      <c r="EG13" s="40">
        <f t="shared" si="43"/>
        <v>66.5</v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1" t="str">
        <f t="shared" si="44"/>
        <v/>
      </c>
      <c r="FC13" s="11" t="str">
        <f t="shared" si="45"/>
        <v/>
      </c>
      <c r="FD13" s="11" t="str">
        <f t="shared" si="46"/>
        <v/>
      </c>
      <c r="FE13" s="11" t="str">
        <f t="shared" si="47"/>
        <v/>
      </c>
      <c r="FF13" s="11" t="str">
        <f t="shared" si="48"/>
        <v/>
      </c>
      <c r="FG13" s="11" t="str">
        <f t="shared" si="49"/>
        <v/>
      </c>
      <c r="FH13" s="11" t="str">
        <f t="shared" si="50"/>
        <v/>
      </c>
      <c r="FI13" s="11" t="str">
        <f t="shared" si="51"/>
        <v/>
      </c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40" t="str">
        <f t="shared" si="52"/>
        <v/>
      </c>
      <c r="GE13" s="40" t="str">
        <f t="shared" si="53"/>
        <v/>
      </c>
      <c r="GF13" s="40" t="str">
        <f t="shared" si="54"/>
        <v/>
      </c>
      <c r="GG13" s="40" t="str">
        <f t="shared" si="55"/>
        <v/>
      </c>
      <c r="GH13" s="40" t="str">
        <f t="shared" si="56"/>
        <v/>
      </c>
      <c r="GI13" s="40" t="str">
        <f t="shared" si="57"/>
        <v/>
      </c>
      <c r="GJ13" s="40" t="str">
        <f t="shared" si="58"/>
        <v/>
      </c>
      <c r="GK13" s="40" t="str">
        <f t="shared" si="59"/>
        <v/>
      </c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1" t="str">
        <f t="shared" si="60"/>
        <v/>
      </c>
      <c r="HG13" s="11" t="str">
        <f t="shared" si="61"/>
        <v/>
      </c>
      <c r="HH13" s="11" t="str">
        <f t="shared" si="62"/>
        <v/>
      </c>
      <c r="HI13" s="11" t="str">
        <f t="shared" si="63"/>
        <v/>
      </c>
      <c r="HJ13" s="11" t="str">
        <f t="shared" si="64"/>
        <v/>
      </c>
      <c r="HK13" s="11" t="str">
        <f t="shared" si="65"/>
        <v/>
      </c>
      <c r="HL13" s="11" t="str">
        <f t="shared" si="66"/>
        <v/>
      </c>
      <c r="HM13" s="11" t="str">
        <f t="shared" si="67"/>
        <v/>
      </c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40" t="str">
        <f t="shared" si="68"/>
        <v/>
      </c>
      <c r="II13" s="40" t="str">
        <f t="shared" si="69"/>
        <v/>
      </c>
      <c r="IJ13" s="40" t="str">
        <f t="shared" si="70"/>
        <v/>
      </c>
      <c r="IK13" s="40" t="str">
        <f t="shared" si="71"/>
        <v/>
      </c>
      <c r="IL13" s="40" t="str">
        <f t="shared" si="72"/>
        <v/>
      </c>
      <c r="IM13" s="40" t="str">
        <f t="shared" si="73"/>
        <v/>
      </c>
      <c r="IN13" s="40" t="str">
        <f t="shared" si="74"/>
        <v/>
      </c>
      <c r="IO13" s="40" t="str">
        <f t="shared" si="75"/>
        <v/>
      </c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1" t="str">
        <f t="shared" si="76"/>
        <v/>
      </c>
      <c r="JK13" s="11" t="str">
        <f t="shared" si="77"/>
        <v/>
      </c>
      <c r="JL13" s="11" t="str">
        <f t="shared" si="78"/>
        <v/>
      </c>
      <c r="JM13" s="11" t="str">
        <f t="shared" si="79"/>
        <v/>
      </c>
      <c r="JN13" s="11" t="str">
        <f t="shared" si="80"/>
        <v/>
      </c>
      <c r="JO13" s="11" t="str">
        <f t="shared" si="81"/>
        <v/>
      </c>
      <c r="JP13" s="11" t="str">
        <f t="shared" si="82"/>
        <v/>
      </c>
      <c r="JQ13" s="11" t="str">
        <f t="shared" si="83"/>
        <v/>
      </c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40" t="str">
        <f t="shared" si="84"/>
        <v/>
      </c>
      <c r="KM13" s="40" t="str">
        <f t="shared" si="85"/>
        <v/>
      </c>
      <c r="KN13" s="40" t="str">
        <f t="shared" si="86"/>
        <v/>
      </c>
      <c r="KO13" s="40" t="str">
        <f t="shared" si="87"/>
        <v/>
      </c>
      <c r="KP13" s="40" t="str">
        <f t="shared" si="88"/>
        <v/>
      </c>
      <c r="KQ13" s="40" t="str">
        <f t="shared" si="89"/>
        <v/>
      </c>
      <c r="KR13" s="40" t="str">
        <f t="shared" si="90"/>
        <v/>
      </c>
      <c r="KS13" s="40" t="str">
        <f t="shared" si="91"/>
        <v/>
      </c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1" t="str">
        <f t="shared" si="92"/>
        <v/>
      </c>
      <c r="LO13" s="11" t="str">
        <f t="shared" si="93"/>
        <v/>
      </c>
      <c r="LP13" s="11" t="str">
        <f t="shared" si="94"/>
        <v/>
      </c>
      <c r="LQ13" s="11" t="str">
        <f t="shared" si="95"/>
        <v/>
      </c>
      <c r="LR13" s="11" t="str">
        <f t="shared" si="96"/>
        <v/>
      </c>
      <c r="LS13" s="11" t="str">
        <f t="shared" si="97"/>
        <v/>
      </c>
      <c r="LT13" s="11" t="str">
        <f t="shared" si="98"/>
        <v/>
      </c>
      <c r="LU13" s="11" t="str">
        <f t="shared" si="99"/>
        <v/>
      </c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40" t="str">
        <f t="shared" si="100"/>
        <v/>
      </c>
      <c r="MQ13" s="40" t="str">
        <f t="shared" si="101"/>
        <v/>
      </c>
      <c r="MR13" s="40" t="str">
        <f t="shared" si="102"/>
        <v/>
      </c>
      <c r="MS13" s="40" t="str">
        <f t="shared" si="103"/>
        <v/>
      </c>
      <c r="MT13" s="40" t="str">
        <f t="shared" si="104"/>
        <v/>
      </c>
      <c r="MU13" s="40" t="str">
        <f t="shared" si="105"/>
        <v/>
      </c>
      <c r="MV13" s="40" t="str">
        <f t="shared" si="106"/>
        <v/>
      </c>
      <c r="MW13" s="40" t="str">
        <f t="shared" si="107"/>
        <v/>
      </c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1" t="str">
        <f t="shared" si="108"/>
        <v/>
      </c>
      <c r="NS13" s="11" t="str">
        <f t="shared" si="109"/>
        <v/>
      </c>
      <c r="NT13" s="11" t="str">
        <f t="shared" si="110"/>
        <v/>
      </c>
      <c r="NU13" s="11" t="str">
        <f t="shared" si="111"/>
        <v/>
      </c>
      <c r="NV13" s="11" t="str">
        <f t="shared" si="112"/>
        <v/>
      </c>
      <c r="NW13" s="11" t="str">
        <f t="shared" si="113"/>
        <v/>
      </c>
      <c r="NX13" s="11" t="str">
        <f t="shared" si="114"/>
        <v/>
      </c>
      <c r="NY13" s="11" t="str">
        <f t="shared" si="115"/>
        <v/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40" t="str">
        <f t="shared" si="116"/>
        <v/>
      </c>
      <c r="OU13" s="40" t="str">
        <f t="shared" si="117"/>
        <v/>
      </c>
      <c r="OV13" s="40" t="str">
        <f t="shared" si="118"/>
        <v/>
      </c>
      <c r="OW13" s="40" t="str">
        <f t="shared" si="119"/>
        <v/>
      </c>
      <c r="OX13" s="40" t="str">
        <f t="shared" si="120"/>
        <v/>
      </c>
      <c r="OY13" s="40" t="str">
        <f t="shared" si="121"/>
        <v/>
      </c>
      <c r="OZ13" s="40" t="str">
        <f t="shared" si="122"/>
        <v/>
      </c>
      <c r="PA13" s="40" t="str">
        <f t="shared" si="123"/>
        <v/>
      </c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1" t="str">
        <f t="shared" si="124"/>
        <v/>
      </c>
      <c r="PW13" s="11" t="str">
        <f t="shared" si="125"/>
        <v/>
      </c>
      <c r="PX13" s="11" t="str">
        <f t="shared" si="126"/>
        <v/>
      </c>
      <c r="PY13" s="11" t="str">
        <f t="shared" si="127"/>
        <v/>
      </c>
      <c r="PZ13" s="11" t="str">
        <f t="shared" si="128"/>
        <v/>
      </c>
      <c r="QA13" s="11" t="str">
        <f t="shared" si="129"/>
        <v/>
      </c>
      <c r="QB13" s="11" t="str">
        <f t="shared" si="130"/>
        <v/>
      </c>
      <c r="QC13" s="11" t="str">
        <f t="shared" si="131"/>
        <v/>
      </c>
      <c r="QD13" s="22">
        <f t="shared" si="132"/>
        <v>16.649999999999999</v>
      </c>
      <c r="QE13" s="22">
        <f t="shared" si="133"/>
        <v>3.8</v>
      </c>
      <c r="QF13" s="22">
        <f t="shared" si="134"/>
        <v>0.1</v>
      </c>
      <c r="QG13" s="22">
        <f t="shared" si="135"/>
        <v>0.15</v>
      </c>
      <c r="QH13" s="22">
        <f t="shared" si="136"/>
        <v>17.549999999999997</v>
      </c>
      <c r="QI13" s="22">
        <f t="shared" si="137"/>
        <v>4.1999999999999993</v>
      </c>
      <c r="QJ13" s="22">
        <f t="shared" si="138"/>
        <v>0.1</v>
      </c>
      <c r="QK13" s="22">
        <f t="shared" si="139"/>
        <v>0.15</v>
      </c>
      <c r="QL13" s="22">
        <f t="shared" si="140"/>
        <v>9.5</v>
      </c>
      <c r="QM13" s="22">
        <f t="shared" si="141"/>
        <v>2.15</v>
      </c>
      <c r="QN13" s="22">
        <f t="shared" si="142"/>
        <v>0.3</v>
      </c>
      <c r="QO13" s="22">
        <f t="shared" si="143"/>
        <v>0</v>
      </c>
      <c r="QP13" s="22">
        <f t="shared" si="144"/>
        <v>18.149999999999999</v>
      </c>
      <c r="QQ13" s="22">
        <f t="shared" si="145"/>
        <v>5</v>
      </c>
      <c r="QR13" s="22">
        <f t="shared" si="146"/>
        <v>0.7</v>
      </c>
      <c r="QS13" s="22">
        <f t="shared" si="147"/>
        <v>0.3</v>
      </c>
      <c r="QT13" s="22">
        <f t="shared" si="148"/>
        <v>17.950000000000003</v>
      </c>
      <c r="QU13" s="22">
        <f t="shared" si="149"/>
        <v>5.4</v>
      </c>
      <c r="QV13" s="22">
        <f t="shared" si="150"/>
        <v>0.4</v>
      </c>
      <c r="QW13" s="22">
        <f t="shared" si="151"/>
        <v>0</v>
      </c>
      <c r="QX13" s="27" t="s">
        <v>46</v>
      </c>
      <c r="QY13" s="40">
        <f t="shared" si="152"/>
        <v>7.9999999999999991</v>
      </c>
      <c r="QZ13" s="40">
        <f t="shared" si="153"/>
        <v>42.29999999999999</v>
      </c>
      <c r="RA13" s="40">
        <f t="shared" si="154"/>
        <v>11.35</v>
      </c>
      <c r="RB13" s="40">
        <f t="shared" si="155"/>
        <v>10.149999999999999</v>
      </c>
      <c r="RC13" s="40">
        <f t="shared" si="156"/>
        <v>53.649999999999991</v>
      </c>
      <c r="RD13" s="40">
        <f t="shared" si="157"/>
        <v>10.4</v>
      </c>
      <c r="RE13" s="40">
        <f t="shared" si="158"/>
        <v>45.7</v>
      </c>
      <c r="RF13" s="40">
        <f t="shared" si="159"/>
        <v>99.35</v>
      </c>
    </row>
    <row r="14" spans="1:474" x14ac:dyDescent="0.2">
      <c r="A14" s="4" t="str" cm="1">
        <f t="array" ref="A14">IF(AND(J14&lt;&gt;"",J14&lt;&gt;"No DD"),SUMPRODUCT((J$4:J$36&lt;&gt;"")*(J$4:J$36&lt;&gt;"No DD")*(F$4:F$36&gt;F14))+1,IF(J14="No DD",SUMPRODUCT((J$4:J$36="No DD")*(F$4:F$36&gt;F14))+1+SUMPRODUCT((J$4:J$36&lt;&gt;"")*(J$4:J$36&lt;&gt;"No DD")),""))</f>
        <v/>
      </c>
      <c r="B14" s="4" t="str" cm="1">
        <f t="array" ref="B14">IF(AND(J14&lt;&gt;"",J14&lt;&gt;"No DD",G14=""),SUMPRODUCT((J$4:J$36&lt;&gt;"")*(J$4:J$36&lt;&gt;"No DD")*(G$4:G$36="")*(F$4:F$36&gt;F14))+1,IF(J14="No DD",SUMPRODUCT((J$4:J$36="No DD")*(F$4:F$36&gt;F14)*(G$4:G$36=""))+1+SUMPRODUCT((J$4:J$36&lt;&gt;"")*(G$4:G$36="")*(J$4:J$36&lt;&gt;"No DD")),""))</f>
        <v/>
      </c>
      <c r="C14" s="5" t="s">
        <v>178</v>
      </c>
      <c r="D14" s="4" t="s">
        <v>31</v>
      </c>
      <c r="E14" s="4">
        <v>2005</v>
      </c>
      <c r="F14" s="9">
        <f t="shared" si="0"/>
        <v>132.50000447000446</v>
      </c>
      <c r="G14" s="64"/>
      <c r="H14" s="3" t="str">
        <f t="shared" si="1"/>
        <v/>
      </c>
      <c r="I14" s="3" t="str">
        <f t="shared" si="2"/>
        <v/>
      </c>
      <c r="J14" s="36" t="str">
        <f t="shared" si="3"/>
        <v/>
      </c>
      <c r="K14" s="3" t="str">
        <f t="shared" si="4"/>
        <v/>
      </c>
      <c r="L14" s="8">
        <f>IF(COUNT(AQ14,BT14,CW14)&gt;0,LARGE((AQ14,BT14,CW14),1),0)</f>
        <v>44.699999999999996</v>
      </c>
      <c r="M14" s="8" t="str">
        <f t="shared" si="5"/>
        <v>2024 Nationals</v>
      </c>
      <c r="N14" s="8">
        <f>IF(COUNT(AQ14,BT14,CW14)&gt;1,LARGE((AQ14,BT14,CW14),2),0)</f>
        <v>0</v>
      </c>
      <c r="O14" s="8" t="str">
        <f t="shared" si="6"/>
        <v/>
      </c>
      <c r="P14" s="8">
        <f t="shared" si="7"/>
        <v>44.2</v>
      </c>
      <c r="Q14" s="8" t="str">
        <f t="shared" si="8"/>
        <v>2024 Nationals</v>
      </c>
      <c r="R14" s="8">
        <f t="shared" si="9"/>
        <v>43.6</v>
      </c>
      <c r="S14" s="11" t="str">
        <f t="shared" si="160"/>
        <v>(Q1)</v>
      </c>
      <c r="T14" s="8" t="str">
        <f t="shared" si="161"/>
        <v>2024 Coimbra Gym Fest (July 7)</v>
      </c>
      <c r="U14" s="19">
        <v>19</v>
      </c>
      <c r="V14" s="19">
        <v>3.6</v>
      </c>
      <c r="W14" s="19">
        <v>0.6</v>
      </c>
      <c r="X14" s="19">
        <v>0</v>
      </c>
      <c r="Y14" s="19">
        <v>19.2</v>
      </c>
      <c r="Z14" s="19">
        <v>3.5</v>
      </c>
      <c r="AA14" s="19">
        <v>0</v>
      </c>
      <c r="AB14" s="19">
        <v>0</v>
      </c>
      <c r="AC14" s="19">
        <v>16.899999999999999</v>
      </c>
      <c r="AD14" s="19">
        <v>2.7</v>
      </c>
      <c r="AE14" s="19">
        <v>0.5</v>
      </c>
      <c r="AF14" s="19">
        <v>0</v>
      </c>
      <c r="AG14" s="19">
        <v>18.5</v>
      </c>
      <c r="AH14" s="19">
        <v>3.6</v>
      </c>
      <c r="AI14" s="19">
        <v>0</v>
      </c>
      <c r="AJ14" s="19">
        <v>0</v>
      </c>
      <c r="AK14" s="19">
        <v>18.600000000000001</v>
      </c>
      <c r="AL14" s="19">
        <v>3.5</v>
      </c>
      <c r="AM14" s="19">
        <v>0</v>
      </c>
      <c r="AN14" s="19">
        <v>0</v>
      </c>
      <c r="AO14" s="27"/>
      <c r="AP14" s="40">
        <f t="shared" si="10"/>
        <v>7.1</v>
      </c>
      <c r="AQ14" s="40">
        <f t="shared" si="11"/>
        <v>44.699999999999996</v>
      </c>
      <c r="AR14" s="40">
        <f t="shared" si="12"/>
        <v>19.099999999999998</v>
      </c>
      <c r="AS14" s="40">
        <f t="shared" si="13"/>
        <v>9.8000000000000007</v>
      </c>
      <c r="AT14" s="40">
        <f t="shared" si="14"/>
        <v>63.8</v>
      </c>
      <c r="AU14" s="40">
        <f t="shared" si="15"/>
        <v>7.1</v>
      </c>
      <c r="AV14" s="40">
        <f t="shared" si="16"/>
        <v>44.2</v>
      </c>
      <c r="AW14" s="40">
        <f t="shared" si="17"/>
        <v>108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18"/>
        <v/>
      </c>
      <c r="BT14" s="11" t="str">
        <f t="shared" si="19"/>
        <v/>
      </c>
      <c r="BU14" s="11" t="str">
        <f t="shared" si="20"/>
        <v/>
      </c>
      <c r="BV14" s="11" t="str">
        <f t="shared" si="21"/>
        <v/>
      </c>
      <c r="BW14" s="11" t="str">
        <f t="shared" si="22"/>
        <v/>
      </c>
      <c r="BX14" s="11" t="str">
        <f t="shared" si="23"/>
        <v/>
      </c>
      <c r="BY14" s="11" t="str">
        <f t="shared" si="24"/>
        <v/>
      </c>
      <c r="BZ14" s="11" t="str">
        <f t="shared" si="25"/>
        <v/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 t="shared" si="26"/>
        <v/>
      </c>
      <c r="CW14" s="40" t="str">
        <f t="shared" si="27"/>
        <v/>
      </c>
      <c r="CX14" s="40" t="str">
        <f t="shared" si="28"/>
        <v/>
      </c>
      <c r="CY14" s="40" t="str">
        <f t="shared" si="29"/>
        <v/>
      </c>
      <c r="CZ14" s="40" t="str">
        <f t="shared" si="30"/>
        <v/>
      </c>
      <c r="DA14" s="40" t="str">
        <f t="shared" si="31"/>
        <v/>
      </c>
      <c r="DB14" s="40" t="str">
        <f t="shared" si="32"/>
        <v/>
      </c>
      <c r="DC14" s="40" t="str">
        <f t="shared" si="33"/>
        <v/>
      </c>
      <c r="DD14" s="50">
        <f t="shared" si="34"/>
        <v>43.6</v>
      </c>
      <c r="DE14" s="50" t="str">
        <f t="shared" si="35"/>
        <v/>
      </c>
      <c r="DF14" s="17">
        <v>18.8</v>
      </c>
      <c r="DG14" s="17">
        <v>3.5</v>
      </c>
      <c r="DH14" s="17">
        <v>0.8</v>
      </c>
      <c r="DI14" s="17">
        <v>0</v>
      </c>
      <c r="DJ14" s="17">
        <v>18.5</v>
      </c>
      <c r="DK14" s="17">
        <v>3.6</v>
      </c>
      <c r="DL14" s="17">
        <v>0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40">
        <f t="shared" si="36"/>
        <v>7.1</v>
      </c>
      <c r="EA14" s="40">
        <f t="shared" si="37"/>
        <v>43.6</v>
      </c>
      <c r="EB14" s="40" t="str">
        <f t="shared" si="38"/>
        <v/>
      </c>
      <c r="EC14" s="40">
        <f t="shared" si="39"/>
        <v>7.1</v>
      </c>
      <c r="ED14" s="40">
        <f t="shared" si="40"/>
        <v>43.6</v>
      </c>
      <c r="EE14" s="40" t="str">
        <f t="shared" si="41"/>
        <v/>
      </c>
      <c r="EF14" s="40" t="str">
        <f t="shared" si="42"/>
        <v/>
      </c>
      <c r="EG14" s="40">
        <f t="shared" si="43"/>
        <v>43.6</v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1" t="str">
        <f t="shared" si="44"/>
        <v/>
      </c>
      <c r="FC14" s="11" t="str">
        <f t="shared" si="45"/>
        <v/>
      </c>
      <c r="FD14" s="11" t="str">
        <f t="shared" si="46"/>
        <v/>
      </c>
      <c r="FE14" s="11" t="str">
        <f t="shared" si="47"/>
        <v/>
      </c>
      <c r="FF14" s="11" t="str">
        <f t="shared" si="48"/>
        <v/>
      </c>
      <c r="FG14" s="11" t="str">
        <f t="shared" si="49"/>
        <v/>
      </c>
      <c r="FH14" s="11" t="str">
        <f t="shared" si="50"/>
        <v/>
      </c>
      <c r="FI14" s="11" t="str">
        <f t="shared" si="51"/>
        <v/>
      </c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40" t="str">
        <f t="shared" si="52"/>
        <v/>
      </c>
      <c r="GE14" s="40" t="str">
        <f t="shared" si="53"/>
        <v/>
      </c>
      <c r="GF14" s="40" t="str">
        <f t="shared" si="54"/>
        <v/>
      </c>
      <c r="GG14" s="40" t="str">
        <f t="shared" si="55"/>
        <v/>
      </c>
      <c r="GH14" s="40" t="str">
        <f t="shared" si="56"/>
        <v/>
      </c>
      <c r="GI14" s="40" t="str">
        <f t="shared" si="57"/>
        <v/>
      </c>
      <c r="GJ14" s="40" t="str">
        <f t="shared" si="58"/>
        <v/>
      </c>
      <c r="GK14" s="40" t="str">
        <f t="shared" si="59"/>
        <v/>
      </c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1" t="str">
        <f t="shared" si="60"/>
        <v/>
      </c>
      <c r="HG14" s="11" t="str">
        <f t="shared" si="61"/>
        <v/>
      </c>
      <c r="HH14" s="11" t="str">
        <f t="shared" si="62"/>
        <v/>
      </c>
      <c r="HI14" s="11" t="str">
        <f t="shared" si="63"/>
        <v/>
      </c>
      <c r="HJ14" s="11" t="str">
        <f t="shared" si="64"/>
        <v/>
      </c>
      <c r="HK14" s="11" t="str">
        <f t="shared" si="65"/>
        <v/>
      </c>
      <c r="HL14" s="11" t="str">
        <f t="shared" si="66"/>
        <v/>
      </c>
      <c r="HM14" s="11" t="str">
        <f t="shared" si="67"/>
        <v/>
      </c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40" t="str">
        <f t="shared" si="68"/>
        <v/>
      </c>
      <c r="II14" s="40" t="str">
        <f t="shared" si="69"/>
        <v/>
      </c>
      <c r="IJ14" s="40" t="str">
        <f t="shared" si="70"/>
        <v/>
      </c>
      <c r="IK14" s="40" t="str">
        <f t="shared" si="71"/>
        <v/>
      </c>
      <c r="IL14" s="40" t="str">
        <f t="shared" si="72"/>
        <v/>
      </c>
      <c r="IM14" s="40" t="str">
        <f t="shared" si="73"/>
        <v/>
      </c>
      <c r="IN14" s="40" t="str">
        <f t="shared" si="74"/>
        <v/>
      </c>
      <c r="IO14" s="40" t="str">
        <f t="shared" si="75"/>
        <v/>
      </c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1" t="str">
        <f t="shared" si="76"/>
        <v/>
      </c>
      <c r="JK14" s="11" t="str">
        <f t="shared" si="77"/>
        <v/>
      </c>
      <c r="JL14" s="11" t="str">
        <f t="shared" si="78"/>
        <v/>
      </c>
      <c r="JM14" s="11" t="str">
        <f t="shared" si="79"/>
        <v/>
      </c>
      <c r="JN14" s="11" t="str">
        <f t="shared" si="80"/>
        <v/>
      </c>
      <c r="JO14" s="11" t="str">
        <f t="shared" si="81"/>
        <v/>
      </c>
      <c r="JP14" s="11" t="str">
        <f t="shared" si="82"/>
        <v/>
      </c>
      <c r="JQ14" s="11" t="str">
        <f t="shared" si="83"/>
        <v/>
      </c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40" t="str">
        <f t="shared" si="84"/>
        <v/>
      </c>
      <c r="KM14" s="40" t="str">
        <f t="shared" si="85"/>
        <v/>
      </c>
      <c r="KN14" s="40" t="str">
        <f t="shared" si="86"/>
        <v/>
      </c>
      <c r="KO14" s="40" t="str">
        <f t="shared" si="87"/>
        <v/>
      </c>
      <c r="KP14" s="40" t="str">
        <f t="shared" si="88"/>
        <v/>
      </c>
      <c r="KQ14" s="40" t="str">
        <f t="shared" si="89"/>
        <v/>
      </c>
      <c r="KR14" s="40" t="str">
        <f t="shared" si="90"/>
        <v/>
      </c>
      <c r="KS14" s="40" t="str">
        <f t="shared" si="91"/>
        <v/>
      </c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1" t="str">
        <f t="shared" si="92"/>
        <v/>
      </c>
      <c r="LO14" s="11" t="str">
        <f t="shared" si="93"/>
        <v/>
      </c>
      <c r="LP14" s="11" t="str">
        <f t="shared" si="94"/>
        <v/>
      </c>
      <c r="LQ14" s="11" t="str">
        <f t="shared" si="95"/>
        <v/>
      </c>
      <c r="LR14" s="11" t="str">
        <f t="shared" si="96"/>
        <v/>
      </c>
      <c r="LS14" s="11" t="str">
        <f t="shared" si="97"/>
        <v/>
      </c>
      <c r="LT14" s="11" t="str">
        <f t="shared" si="98"/>
        <v/>
      </c>
      <c r="LU14" s="11" t="str">
        <f t="shared" si="99"/>
        <v/>
      </c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40" t="str">
        <f t="shared" si="100"/>
        <v/>
      </c>
      <c r="MQ14" s="40" t="str">
        <f t="shared" si="101"/>
        <v/>
      </c>
      <c r="MR14" s="40" t="str">
        <f t="shared" si="102"/>
        <v/>
      </c>
      <c r="MS14" s="40" t="str">
        <f t="shared" si="103"/>
        <v/>
      </c>
      <c r="MT14" s="40" t="str">
        <f t="shared" si="104"/>
        <v/>
      </c>
      <c r="MU14" s="40" t="str">
        <f t="shared" si="105"/>
        <v/>
      </c>
      <c r="MV14" s="40" t="str">
        <f t="shared" si="106"/>
        <v/>
      </c>
      <c r="MW14" s="40" t="str">
        <f t="shared" si="107"/>
        <v/>
      </c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1" t="str">
        <f t="shared" si="108"/>
        <v/>
      </c>
      <c r="NS14" s="11" t="str">
        <f t="shared" si="109"/>
        <v/>
      </c>
      <c r="NT14" s="11" t="str">
        <f t="shared" si="110"/>
        <v/>
      </c>
      <c r="NU14" s="11" t="str">
        <f t="shared" si="111"/>
        <v/>
      </c>
      <c r="NV14" s="11" t="str">
        <f t="shared" si="112"/>
        <v/>
      </c>
      <c r="NW14" s="11" t="str">
        <f t="shared" si="113"/>
        <v/>
      </c>
      <c r="NX14" s="11" t="str">
        <f t="shared" si="114"/>
        <v/>
      </c>
      <c r="NY14" s="11" t="str">
        <f t="shared" si="115"/>
        <v/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40" t="str">
        <f t="shared" si="116"/>
        <v/>
      </c>
      <c r="OU14" s="40" t="str">
        <f t="shared" si="117"/>
        <v/>
      </c>
      <c r="OV14" s="40" t="str">
        <f t="shared" si="118"/>
        <v/>
      </c>
      <c r="OW14" s="40" t="str">
        <f t="shared" si="119"/>
        <v/>
      </c>
      <c r="OX14" s="40" t="str">
        <f t="shared" si="120"/>
        <v/>
      </c>
      <c r="OY14" s="40" t="str">
        <f t="shared" si="121"/>
        <v/>
      </c>
      <c r="OZ14" s="40" t="str">
        <f t="shared" si="122"/>
        <v/>
      </c>
      <c r="PA14" s="40" t="str">
        <f t="shared" si="123"/>
        <v/>
      </c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1" t="str">
        <f t="shared" si="124"/>
        <v/>
      </c>
      <c r="PW14" s="11" t="str">
        <f t="shared" si="125"/>
        <v/>
      </c>
      <c r="PX14" s="11" t="str">
        <f t="shared" si="126"/>
        <v/>
      </c>
      <c r="PY14" s="11" t="str">
        <f t="shared" si="127"/>
        <v/>
      </c>
      <c r="PZ14" s="11" t="str">
        <f t="shared" si="128"/>
        <v/>
      </c>
      <c r="QA14" s="11" t="str">
        <f t="shared" si="129"/>
        <v/>
      </c>
      <c r="QB14" s="11" t="str">
        <f t="shared" si="130"/>
        <v/>
      </c>
      <c r="QC14" s="11" t="str">
        <f t="shared" si="131"/>
        <v/>
      </c>
      <c r="QD14" s="22">
        <f t="shared" si="132"/>
        <v>0</v>
      </c>
      <c r="QE14" s="22">
        <f t="shared" si="133"/>
        <v>0</v>
      </c>
      <c r="QF14" s="22">
        <f t="shared" si="134"/>
        <v>0</v>
      </c>
      <c r="QG14" s="22">
        <f t="shared" si="135"/>
        <v>0</v>
      </c>
      <c r="QH14" s="22">
        <f t="shared" si="136"/>
        <v>0</v>
      </c>
      <c r="QI14" s="22">
        <f t="shared" si="137"/>
        <v>0</v>
      </c>
      <c r="QJ14" s="22">
        <f t="shared" si="138"/>
        <v>0</v>
      </c>
      <c r="QK14" s="22">
        <f t="shared" si="139"/>
        <v>0</v>
      </c>
      <c r="QL14" s="22">
        <f t="shared" si="140"/>
        <v>0</v>
      </c>
      <c r="QM14" s="22">
        <f t="shared" si="141"/>
        <v>0</v>
      </c>
      <c r="QN14" s="22">
        <f t="shared" si="142"/>
        <v>0</v>
      </c>
      <c r="QO14" s="22">
        <f t="shared" si="143"/>
        <v>0</v>
      </c>
      <c r="QP14" s="22">
        <f t="shared" si="144"/>
        <v>0</v>
      </c>
      <c r="QQ14" s="22">
        <f t="shared" si="145"/>
        <v>0</v>
      </c>
      <c r="QR14" s="22">
        <f t="shared" si="146"/>
        <v>0</v>
      </c>
      <c r="QS14" s="22">
        <f t="shared" si="147"/>
        <v>0</v>
      </c>
      <c r="QT14" s="22">
        <f t="shared" si="148"/>
        <v>0</v>
      </c>
      <c r="QU14" s="22">
        <f t="shared" si="149"/>
        <v>0</v>
      </c>
      <c r="QV14" s="22">
        <f t="shared" si="150"/>
        <v>0</v>
      </c>
      <c r="QW14" s="22">
        <f t="shared" si="151"/>
        <v>0</v>
      </c>
      <c r="QX14" s="27" t="s">
        <v>46</v>
      </c>
      <c r="QY14" s="40" t="str">
        <f t="shared" si="152"/>
        <v/>
      </c>
      <c r="QZ14" s="40" t="str">
        <f t="shared" si="153"/>
        <v/>
      </c>
      <c r="RA14" s="40" t="str">
        <f t="shared" si="154"/>
        <v/>
      </c>
      <c r="RB14" s="40" t="str">
        <f t="shared" si="155"/>
        <v/>
      </c>
      <c r="RC14" s="40" t="str">
        <f t="shared" si="156"/>
        <v/>
      </c>
      <c r="RD14" s="40" t="str">
        <f t="shared" si="157"/>
        <v/>
      </c>
      <c r="RE14" s="40" t="str">
        <f t="shared" si="158"/>
        <v/>
      </c>
      <c r="RF14" s="40" t="str">
        <f t="shared" si="159"/>
        <v/>
      </c>
    </row>
    <row r="15" spans="1:474" x14ac:dyDescent="0.2">
      <c r="A15" s="4" t="str" cm="1">
        <f t="array" ref="A15">IF(AND(J15&lt;&gt;"",J15&lt;&gt;"No DD"),SUMPRODUCT((J$4:J$36&lt;&gt;"")*(J$4:J$36&lt;&gt;"No DD")*(F$4:F$36&gt;F15))+1,IF(J15="No DD",SUMPRODUCT((J$4:J$36="No DD")*(F$4:F$36&gt;F15))+1+SUMPRODUCT((J$4:J$36&lt;&gt;"")*(J$4:J$36&lt;&gt;"No DD")),""))</f>
        <v/>
      </c>
      <c r="B15" s="4" t="str" cm="1">
        <f t="array" ref="B15">IF(AND(J15&lt;&gt;"",J15&lt;&gt;"No DD",G15=""),SUMPRODUCT((J$4:J$36&lt;&gt;"")*(J$4:J$36&lt;&gt;"No DD")*(G$4:G$36="")*(F$4:F$36&gt;F15))+1,IF(J15="No DD",SUMPRODUCT((J$4:J$36="No DD")*(F$4:F$36&gt;F15)*(G$4:G$36=""))+1+SUMPRODUCT((J$4:J$36&lt;&gt;"")*(G$4:G$36="")*(J$4:J$36&lt;&gt;"No DD")),""))</f>
        <v/>
      </c>
      <c r="C15" s="5" t="s">
        <v>162</v>
      </c>
      <c r="D15" s="4" t="s">
        <v>6</v>
      </c>
      <c r="E15" s="4">
        <v>2007</v>
      </c>
      <c r="F15" s="9">
        <f t="shared" si="0"/>
        <v>131.20000872000435</v>
      </c>
      <c r="G15" s="64"/>
      <c r="H15" s="3" t="str">
        <f t="shared" si="1"/>
        <v/>
      </c>
      <c r="I15" s="3" t="str">
        <f t="shared" si="2"/>
        <v/>
      </c>
      <c r="J15" s="36" t="str">
        <f t="shared" si="3"/>
        <v/>
      </c>
      <c r="K15" s="3" t="str">
        <f t="shared" si="4"/>
        <v/>
      </c>
      <c r="L15" s="8">
        <f>IF(COUNT(AQ15,BT15,CW15)&gt;0,LARGE((AQ15,BT15,CW15),1),0)</f>
        <v>43.6</v>
      </c>
      <c r="M15" s="8" t="str">
        <f t="shared" si="5"/>
        <v>2025 Elite Canada</v>
      </c>
      <c r="N15" s="8">
        <f>IF(COUNT(AQ15,BT15,CW15)&gt;1,LARGE((AQ15,BT15,CW15),2),0)</f>
        <v>43.599999999999994</v>
      </c>
      <c r="O15" s="8" t="str">
        <f t="shared" si="6"/>
        <v>2024 Nationals</v>
      </c>
      <c r="P15" s="8">
        <f t="shared" si="7"/>
        <v>44</v>
      </c>
      <c r="Q15" s="8" t="str">
        <f t="shared" si="8"/>
        <v>2025 Elite Canada</v>
      </c>
      <c r="R15" s="8" t="str">
        <f t="shared" si="9"/>
        <v/>
      </c>
      <c r="S15" s="11" t="str">
        <f t="shared" si="160"/>
        <v/>
      </c>
      <c r="T15" s="8" t="str">
        <f t="shared" si="161"/>
        <v/>
      </c>
      <c r="U15" s="19">
        <v>18.899999999999999</v>
      </c>
      <c r="V15" s="19">
        <v>3.4</v>
      </c>
      <c r="W15" s="19">
        <v>0.6</v>
      </c>
      <c r="X15" s="19">
        <v>0</v>
      </c>
      <c r="Y15" s="19">
        <v>18.399999999999999</v>
      </c>
      <c r="Z15" s="19">
        <v>3.5</v>
      </c>
      <c r="AA15" s="19">
        <v>0</v>
      </c>
      <c r="AB15" s="19">
        <v>0</v>
      </c>
      <c r="AC15" s="19">
        <v>18.7</v>
      </c>
      <c r="AD15" s="19">
        <v>2.7</v>
      </c>
      <c r="AE15" s="19">
        <v>0.3</v>
      </c>
      <c r="AF15" s="19">
        <v>0</v>
      </c>
      <c r="AG15" s="19">
        <v>17.600000000000001</v>
      </c>
      <c r="AH15" s="19">
        <v>0.7</v>
      </c>
      <c r="AI15" s="19">
        <v>0</v>
      </c>
      <c r="AJ15" s="19">
        <v>0</v>
      </c>
      <c r="AK15" s="19">
        <v>18.399999999999999</v>
      </c>
      <c r="AL15" s="19">
        <v>3.1</v>
      </c>
      <c r="AM15" s="19">
        <v>0</v>
      </c>
      <c r="AN15" s="19">
        <v>0</v>
      </c>
      <c r="AO15" s="27"/>
      <c r="AP15" s="40">
        <f t="shared" si="10"/>
        <v>6.9</v>
      </c>
      <c r="AQ15" s="40">
        <f t="shared" si="11"/>
        <v>43.599999999999994</v>
      </c>
      <c r="AR15" s="40">
        <f t="shared" si="12"/>
        <v>21.099999999999998</v>
      </c>
      <c r="AS15" s="40">
        <f t="shared" si="13"/>
        <v>9.6000000000000014</v>
      </c>
      <c r="AT15" s="40">
        <f t="shared" si="14"/>
        <v>64.699999999999989</v>
      </c>
      <c r="AU15" s="40">
        <f t="shared" si="15"/>
        <v>3.8</v>
      </c>
      <c r="AV15" s="40">
        <f t="shared" si="16"/>
        <v>39.800000000000004</v>
      </c>
      <c r="AW15" s="40">
        <f t="shared" si="17"/>
        <v>104.5</v>
      </c>
      <c r="AX15" s="18">
        <v>17.399999999999999</v>
      </c>
      <c r="AY15" s="18">
        <v>0.7</v>
      </c>
      <c r="AZ15" s="18">
        <v>0</v>
      </c>
      <c r="BA15" s="18">
        <v>0</v>
      </c>
      <c r="BB15" s="18">
        <v>18.8</v>
      </c>
      <c r="BC15" s="18">
        <v>3</v>
      </c>
      <c r="BD15" s="18">
        <v>0</v>
      </c>
      <c r="BE15" s="18">
        <v>0</v>
      </c>
      <c r="BF15" s="18">
        <v>18.899999999999999</v>
      </c>
      <c r="BG15" s="18">
        <v>3.4</v>
      </c>
      <c r="BH15" s="18">
        <v>0.6</v>
      </c>
      <c r="BI15" s="18">
        <v>0</v>
      </c>
      <c r="BJ15" s="18">
        <v>18.8</v>
      </c>
      <c r="BK15" s="18">
        <v>3.5</v>
      </c>
      <c r="BL15" s="18">
        <v>0.2</v>
      </c>
      <c r="BM15" s="18">
        <v>0</v>
      </c>
      <c r="BN15" s="18">
        <v>18.600000000000001</v>
      </c>
      <c r="BO15" s="18">
        <v>3</v>
      </c>
      <c r="BP15" s="18">
        <v>0.6</v>
      </c>
      <c r="BQ15" s="18">
        <v>0</v>
      </c>
      <c r="BR15" s="28"/>
      <c r="BS15" s="11">
        <f t="shared" si="18"/>
        <v>3.7</v>
      </c>
      <c r="BT15" s="11">
        <f t="shared" si="19"/>
        <v>39.9</v>
      </c>
      <c r="BU15" s="11">
        <f t="shared" si="20"/>
        <v>21.699999999999996</v>
      </c>
      <c r="BV15" s="11">
        <f t="shared" si="21"/>
        <v>7.1</v>
      </c>
      <c r="BW15" s="11">
        <f t="shared" si="22"/>
        <v>61.599999999999994</v>
      </c>
      <c r="BX15" s="11">
        <f t="shared" si="23"/>
        <v>6.5</v>
      </c>
      <c r="BY15" s="11">
        <f t="shared" si="24"/>
        <v>43.100000000000009</v>
      </c>
      <c r="BZ15" s="11">
        <f t="shared" si="25"/>
        <v>104.7</v>
      </c>
      <c r="CA15" s="19">
        <v>18.8</v>
      </c>
      <c r="CB15" s="19">
        <v>3.5</v>
      </c>
      <c r="CC15" s="19">
        <v>0</v>
      </c>
      <c r="CD15" s="19">
        <v>0</v>
      </c>
      <c r="CE15" s="19">
        <v>18.3</v>
      </c>
      <c r="CF15" s="19">
        <v>3.6</v>
      </c>
      <c r="CG15" s="19">
        <v>0.6</v>
      </c>
      <c r="CH15" s="19">
        <v>0</v>
      </c>
      <c r="CI15" s="19"/>
      <c r="CJ15" s="19"/>
      <c r="CK15" s="19"/>
      <c r="CL15" s="19"/>
      <c r="CM15" s="19">
        <v>18.399999999999999</v>
      </c>
      <c r="CN15" s="19">
        <v>3.5</v>
      </c>
      <c r="CO15" s="19">
        <v>0</v>
      </c>
      <c r="CP15" s="19">
        <v>0</v>
      </c>
      <c r="CQ15" s="19">
        <v>18.5</v>
      </c>
      <c r="CR15" s="19">
        <v>3.6</v>
      </c>
      <c r="CS15" s="19">
        <v>0</v>
      </c>
      <c r="CT15" s="19">
        <v>0</v>
      </c>
      <c r="CU15" s="27"/>
      <c r="CV15" s="40">
        <f t="shared" si="26"/>
        <v>7.1</v>
      </c>
      <c r="CW15" s="40">
        <f t="shared" si="27"/>
        <v>43.6</v>
      </c>
      <c r="CX15" s="40" t="str">
        <f t="shared" si="28"/>
        <v/>
      </c>
      <c r="CY15" s="40">
        <f t="shared" si="29"/>
        <v>7.1</v>
      </c>
      <c r="CZ15" s="40">
        <f t="shared" si="30"/>
        <v>43.6</v>
      </c>
      <c r="DA15" s="40">
        <f t="shared" si="31"/>
        <v>7.1</v>
      </c>
      <c r="DB15" s="40">
        <f t="shared" si="32"/>
        <v>44</v>
      </c>
      <c r="DC15" s="40">
        <f t="shared" si="33"/>
        <v>87.6</v>
      </c>
      <c r="DD15" s="50" t="str">
        <f t="shared" si="34"/>
        <v/>
      </c>
      <c r="DE15" s="50" t="str">
        <f t="shared" si="35"/>
        <v/>
      </c>
      <c r="DF15" s="17">
        <v>18.2</v>
      </c>
      <c r="DG15" s="17">
        <v>3.4</v>
      </c>
      <c r="DH15" s="17">
        <v>0</v>
      </c>
      <c r="DI15" s="17">
        <v>0</v>
      </c>
      <c r="DJ15" s="17">
        <v>18.5</v>
      </c>
      <c r="DK15" s="17">
        <v>3.7</v>
      </c>
      <c r="DL15" s="17">
        <v>0.2</v>
      </c>
      <c r="DM15" s="17">
        <v>0</v>
      </c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40">
        <f t="shared" si="36"/>
        <v>7.1</v>
      </c>
      <c r="EA15" s="40">
        <f t="shared" si="37"/>
        <v>43.599999999999994</v>
      </c>
      <c r="EB15" s="40" t="str">
        <f t="shared" si="38"/>
        <v/>
      </c>
      <c r="EC15" s="40">
        <f t="shared" si="39"/>
        <v>7.1</v>
      </c>
      <c r="ED15" s="40">
        <f t="shared" si="40"/>
        <v>43.599999999999994</v>
      </c>
      <c r="EE15" s="40" t="str">
        <f t="shared" si="41"/>
        <v/>
      </c>
      <c r="EF15" s="40" t="str">
        <f t="shared" si="42"/>
        <v/>
      </c>
      <c r="EG15" s="40">
        <f t="shared" si="43"/>
        <v>43.599999999999994</v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1" t="str">
        <f t="shared" si="44"/>
        <v/>
      </c>
      <c r="FC15" s="11" t="str">
        <f t="shared" si="45"/>
        <v/>
      </c>
      <c r="FD15" s="11" t="str">
        <f t="shared" si="46"/>
        <v/>
      </c>
      <c r="FE15" s="11" t="str">
        <f t="shared" si="47"/>
        <v/>
      </c>
      <c r="FF15" s="11" t="str">
        <f t="shared" si="48"/>
        <v/>
      </c>
      <c r="FG15" s="11" t="str">
        <f t="shared" si="49"/>
        <v/>
      </c>
      <c r="FH15" s="11" t="str">
        <f t="shared" si="50"/>
        <v/>
      </c>
      <c r="FI15" s="11" t="str">
        <f t="shared" si="51"/>
        <v/>
      </c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40" t="str">
        <f t="shared" si="52"/>
        <v/>
      </c>
      <c r="GE15" s="40" t="str">
        <f t="shared" si="53"/>
        <v/>
      </c>
      <c r="GF15" s="40" t="str">
        <f t="shared" si="54"/>
        <v/>
      </c>
      <c r="GG15" s="40" t="str">
        <f t="shared" si="55"/>
        <v/>
      </c>
      <c r="GH15" s="40" t="str">
        <f t="shared" si="56"/>
        <v/>
      </c>
      <c r="GI15" s="40" t="str">
        <f t="shared" si="57"/>
        <v/>
      </c>
      <c r="GJ15" s="40" t="str">
        <f t="shared" si="58"/>
        <v/>
      </c>
      <c r="GK15" s="40" t="str">
        <f t="shared" si="59"/>
        <v/>
      </c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1" t="str">
        <f t="shared" si="60"/>
        <v/>
      </c>
      <c r="HG15" s="11" t="str">
        <f t="shared" si="61"/>
        <v/>
      </c>
      <c r="HH15" s="11" t="str">
        <f t="shared" si="62"/>
        <v/>
      </c>
      <c r="HI15" s="11" t="str">
        <f t="shared" si="63"/>
        <v/>
      </c>
      <c r="HJ15" s="11" t="str">
        <f t="shared" si="64"/>
        <v/>
      </c>
      <c r="HK15" s="11" t="str">
        <f t="shared" si="65"/>
        <v/>
      </c>
      <c r="HL15" s="11" t="str">
        <f t="shared" si="66"/>
        <v/>
      </c>
      <c r="HM15" s="11" t="str">
        <f t="shared" si="67"/>
        <v/>
      </c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40" t="str">
        <f t="shared" si="68"/>
        <v/>
      </c>
      <c r="II15" s="40" t="str">
        <f t="shared" si="69"/>
        <v/>
      </c>
      <c r="IJ15" s="40" t="str">
        <f t="shared" si="70"/>
        <v/>
      </c>
      <c r="IK15" s="40" t="str">
        <f t="shared" si="71"/>
        <v/>
      </c>
      <c r="IL15" s="40" t="str">
        <f t="shared" si="72"/>
        <v/>
      </c>
      <c r="IM15" s="40" t="str">
        <f t="shared" si="73"/>
        <v/>
      </c>
      <c r="IN15" s="40" t="str">
        <f t="shared" si="74"/>
        <v/>
      </c>
      <c r="IO15" s="40" t="str">
        <f t="shared" si="75"/>
        <v/>
      </c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1" t="str">
        <f t="shared" si="76"/>
        <v/>
      </c>
      <c r="JK15" s="11" t="str">
        <f t="shared" si="77"/>
        <v/>
      </c>
      <c r="JL15" s="11" t="str">
        <f t="shared" si="78"/>
        <v/>
      </c>
      <c r="JM15" s="11" t="str">
        <f t="shared" si="79"/>
        <v/>
      </c>
      <c r="JN15" s="11" t="str">
        <f t="shared" si="80"/>
        <v/>
      </c>
      <c r="JO15" s="11" t="str">
        <f t="shared" si="81"/>
        <v/>
      </c>
      <c r="JP15" s="11" t="str">
        <f t="shared" si="82"/>
        <v/>
      </c>
      <c r="JQ15" s="11" t="str">
        <f t="shared" si="83"/>
        <v/>
      </c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40" t="str">
        <f t="shared" si="84"/>
        <v/>
      </c>
      <c r="KM15" s="40" t="str">
        <f t="shared" si="85"/>
        <v/>
      </c>
      <c r="KN15" s="40" t="str">
        <f t="shared" si="86"/>
        <v/>
      </c>
      <c r="KO15" s="40" t="str">
        <f t="shared" si="87"/>
        <v/>
      </c>
      <c r="KP15" s="40" t="str">
        <f t="shared" si="88"/>
        <v/>
      </c>
      <c r="KQ15" s="40" t="str">
        <f t="shared" si="89"/>
        <v/>
      </c>
      <c r="KR15" s="40" t="str">
        <f t="shared" si="90"/>
        <v/>
      </c>
      <c r="KS15" s="40" t="str">
        <f t="shared" si="91"/>
        <v/>
      </c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1" t="str">
        <f t="shared" si="92"/>
        <v/>
      </c>
      <c r="LO15" s="11" t="str">
        <f t="shared" si="93"/>
        <v/>
      </c>
      <c r="LP15" s="11" t="str">
        <f t="shared" si="94"/>
        <v/>
      </c>
      <c r="LQ15" s="11" t="str">
        <f t="shared" si="95"/>
        <v/>
      </c>
      <c r="LR15" s="11" t="str">
        <f t="shared" si="96"/>
        <v/>
      </c>
      <c r="LS15" s="11" t="str">
        <f t="shared" si="97"/>
        <v/>
      </c>
      <c r="LT15" s="11" t="str">
        <f t="shared" si="98"/>
        <v/>
      </c>
      <c r="LU15" s="11" t="str">
        <f t="shared" si="99"/>
        <v/>
      </c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40" t="str">
        <f t="shared" si="100"/>
        <v/>
      </c>
      <c r="MQ15" s="40" t="str">
        <f t="shared" si="101"/>
        <v/>
      </c>
      <c r="MR15" s="40" t="str">
        <f t="shared" si="102"/>
        <v/>
      </c>
      <c r="MS15" s="40" t="str">
        <f t="shared" si="103"/>
        <v/>
      </c>
      <c r="MT15" s="40" t="str">
        <f t="shared" si="104"/>
        <v/>
      </c>
      <c r="MU15" s="40" t="str">
        <f t="shared" si="105"/>
        <v/>
      </c>
      <c r="MV15" s="40" t="str">
        <f t="shared" si="106"/>
        <v/>
      </c>
      <c r="MW15" s="40" t="str">
        <f t="shared" si="107"/>
        <v/>
      </c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1" t="str">
        <f t="shared" si="108"/>
        <v/>
      </c>
      <c r="NS15" s="11" t="str">
        <f t="shared" si="109"/>
        <v/>
      </c>
      <c r="NT15" s="11" t="str">
        <f t="shared" si="110"/>
        <v/>
      </c>
      <c r="NU15" s="11" t="str">
        <f t="shared" si="111"/>
        <v/>
      </c>
      <c r="NV15" s="11" t="str">
        <f t="shared" si="112"/>
        <v/>
      </c>
      <c r="NW15" s="11" t="str">
        <f t="shared" si="113"/>
        <v/>
      </c>
      <c r="NX15" s="11" t="str">
        <f t="shared" si="114"/>
        <v/>
      </c>
      <c r="NY15" s="11" t="str">
        <f t="shared" si="115"/>
        <v/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40" t="str">
        <f t="shared" si="116"/>
        <v/>
      </c>
      <c r="OU15" s="40" t="str">
        <f t="shared" si="117"/>
        <v/>
      </c>
      <c r="OV15" s="40" t="str">
        <f t="shared" si="118"/>
        <v/>
      </c>
      <c r="OW15" s="40" t="str">
        <f t="shared" si="119"/>
        <v/>
      </c>
      <c r="OX15" s="40" t="str">
        <f t="shared" si="120"/>
        <v/>
      </c>
      <c r="OY15" s="40" t="str">
        <f t="shared" si="121"/>
        <v/>
      </c>
      <c r="OZ15" s="40" t="str">
        <f t="shared" si="122"/>
        <v/>
      </c>
      <c r="PA15" s="40" t="str">
        <f t="shared" si="123"/>
        <v/>
      </c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1" t="str">
        <f t="shared" si="124"/>
        <v/>
      </c>
      <c r="PW15" s="11" t="str">
        <f t="shared" si="125"/>
        <v/>
      </c>
      <c r="PX15" s="11" t="str">
        <f t="shared" si="126"/>
        <v/>
      </c>
      <c r="PY15" s="11" t="str">
        <f t="shared" si="127"/>
        <v/>
      </c>
      <c r="PZ15" s="11" t="str">
        <f t="shared" si="128"/>
        <v/>
      </c>
      <c r="QA15" s="11" t="str">
        <f t="shared" si="129"/>
        <v/>
      </c>
      <c r="QB15" s="11" t="str">
        <f t="shared" si="130"/>
        <v/>
      </c>
      <c r="QC15" s="11" t="str">
        <f t="shared" si="131"/>
        <v/>
      </c>
      <c r="QD15" s="22">
        <f t="shared" si="132"/>
        <v>18.100000000000001</v>
      </c>
      <c r="QE15" s="22">
        <f t="shared" si="133"/>
        <v>2.1</v>
      </c>
      <c r="QF15" s="22">
        <f t="shared" si="134"/>
        <v>0</v>
      </c>
      <c r="QG15" s="22">
        <f t="shared" si="135"/>
        <v>0</v>
      </c>
      <c r="QH15" s="22">
        <f t="shared" si="136"/>
        <v>18.55</v>
      </c>
      <c r="QI15" s="22">
        <f t="shared" si="137"/>
        <v>3.3</v>
      </c>
      <c r="QJ15" s="22">
        <f t="shared" si="138"/>
        <v>0.3</v>
      </c>
      <c r="QK15" s="22">
        <f t="shared" si="139"/>
        <v>0</v>
      </c>
      <c r="QL15" s="22">
        <f t="shared" si="140"/>
        <v>9.4499999999999993</v>
      </c>
      <c r="QM15" s="22">
        <f t="shared" si="141"/>
        <v>1.7</v>
      </c>
      <c r="QN15" s="22">
        <f t="shared" si="142"/>
        <v>0.3</v>
      </c>
      <c r="QO15" s="22">
        <f t="shared" si="143"/>
        <v>0</v>
      </c>
      <c r="QP15" s="22">
        <f t="shared" si="144"/>
        <v>18.600000000000001</v>
      </c>
      <c r="QQ15" s="22">
        <f t="shared" si="145"/>
        <v>3.5</v>
      </c>
      <c r="QR15" s="22">
        <f t="shared" si="146"/>
        <v>0.1</v>
      </c>
      <c r="QS15" s="22">
        <f t="shared" si="147"/>
        <v>0</v>
      </c>
      <c r="QT15" s="22">
        <f t="shared" si="148"/>
        <v>18.55</v>
      </c>
      <c r="QU15" s="22">
        <f t="shared" si="149"/>
        <v>3.3</v>
      </c>
      <c r="QV15" s="22">
        <f t="shared" si="150"/>
        <v>0.3</v>
      </c>
      <c r="QW15" s="22">
        <f t="shared" si="151"/>
        <v>0</v>
      </c>
      <c r="QX15" s="27" t="s">
        <v>46</v>
      </c>
      <c r="QY15" s="40">
        <f t="shared" si="152"/>
        <v>5.4</v>
      </c>
      <c r="QZ15" s="40">
        <f t="shared" si="153"/>
        <v>41.75</v>
      </c>
      <c r="RA15" s="40">
        <f t="shared" si="154"/>
        <v>10.849999999999998</v>
      </c>
      <c r="RB15" s="40">
        <f t="shared" si="155"/>
        <v>7.1000000000000005</v>
      </c>
      <c r="RC15" s="40">
        <f t="shared" si="156"/>
        <v>52.599999999999994</v>
      </c>
      <c r="RD15" s="40">
        <f t="shared" si="157"/>
        <v>6.8</v>
      </c>
      <c r="RE15" s="40">
        <f t="shared" si="158"/>
        <v>43.550000000000004</v>
      </c>
      <c r="RF15" s="40">
        <f t="shared" si="159"/>
        <v>96.15</v>
      </c>
    </row>
    <row r="16" spans="1:474" x14ac:dyDescent="0.2">
      <c r="A16" s="4" t="str" cm="1">
        <f t="array" ref="A16">IF(AND(J16&lt;&gt;"",J16&lt;&gt;"No DD"),SUMPRODUCT((J$4:J$36&lt;&gt;"")*(J$4:J$36&lt;&gt;"No DD")*(F$4:F$36&gt;F16))+1,IF(J16="No DD",SUMPRODUCT((J$4:J$36="No DD")*(F$4:F$36&gt;F16))+1+SUMPRODUCT((J$4:J$36&lt;&gt;"")*(J$4:J$36&lt;&gt;"No DD")),""))</f>
        <v/>
      </c>
      <c r="B16" s="4" t="str" cm="1">
        <f t="array" ref="B16">IF(AND(J16&lt;&gt;"",J16&lt;&gt;"No DD",G16=""),SUMPRODUCT((J$4:J$36&lt;&gt;"")*(J$4:J$36&lt;&gt;"No DD")*(G$4:G$36="")*(F$4:F$36&gt;F16))+1,IF(J16="No DD",SUMPRODUCT((J$4:J$36="No DD")*(F$4:F$36&gt;F16)*(G$4:G$36=""))+1+SUMPRODUCT((J$4:J$36&lt;&gt;"")*(G$4:G$36="")*(J$4:J$36&lt;&gt;"No DD")),""))</f>
        <v/>
      </c>
      <c r="C16" s="5" t="s">
        <v>216</v>
      </c>
      <c r="D16" s="4" t="s">
        <v>5</v>
      </c>
      <c r="E16" s="4">
        <v>2008</v>
      </c>
      <c r="F16" s="9">
        <f t="shared" si="0"/>
        <v>128.20000827000428</v>
      </c>
      <c r="G16" s="64"/>
      <c r="H16" s="3" t="str">
        <f t="shared" si="1"/>
        <v/>
      </c>
      <c r="I16" s="3" t="str">
        <f t="shared" si="2"/>
        <v/>
      </c>
      <c r="J16" s="36" t="str">
        <f t="shared" si="3"/>
        <v/>
      </c>
      <c r="K16" s="3" t="str">
        <f t="shared" si="4"/>
        <v/>
      </c>
      <c r="L16" s="8">
        <f>IF(COUNT(AQ16,BT16,CW16)&gt;0,LARGE((AQ16,BT16,CW16),1),0)</f>
        <v>42.6</v>
      </c>
      <c r="M16" s="8" t="str">
        <f t="shared" si="5"/>
        <v>2024 3rd Domestic Trial</v>
      </c>
      <c r="N16" s="8">
        <f>IF(COUNT(AQ16,BT16,CW16)&gt;1,LARGE((AQ16,BT16,CW16),2),0)</f>
        <v>40.1</v>
      </c>
      <c r="O16" s="8" t="str">
        <f t="shared" si="6"/>
        <v>2024 Nationals</v>
      </c>
      <c r="P16" s="8">
        <f t="shared" si="7"/>
        <v>45.500000000000007</v>
      </c>
      <c r="Q16" s="8" t="str">
        <f t="shared" si="8"/>
        <v>2024 3rd Domestic Trial</v>
      </c>
      <c r="R16" s="8" t="str">
        <f t="shared" si="9"/>
        <v/>
      </c>
      <c r="S16" s="11" t="str">
        <f t="shared" si="160"/>
        <v/>
      </c>
      <c r="T16" s="8" t="str">
        <f t="shared" si="161"/>
        <v/>
      </c>
      <c r="U16" s="19">
        <v>17.3</v>
      </c>
      <c r="V16" s="19">
        <v>2.4</v>
      </c>
      <c r="W16" s="19">
        <v>0</v>
      </c>
      <c r="X16" s="19">
        <v>0</v>
      </c>
      <c r="Y16" s="19">
        <v>16.2</v>
      </c>
      <c r="Z16" s="19">
        <v>5.2</v>
      </c>
      <c r="AA16" s="19">
        <v>1</v>
      </c>
      <c r="AB16" s="19">
        <v>0</v>
      </c>
      <c r="AC16" s="19">
        <v>19.2</v>
      </c>
      <c r="AD16" s="19">
        <v>3.5</v>
      </c>
      <c r="AE16" s="19">
        <v>0.4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0"/>
        <v>7.6</v>
      </c>
      <c r="AQ16" s="40">
        <f t="shared" si="11"/>
        <v>40.1</v>
      </c>
      <c r="AR16" s="40">
        <f t="shared" si="12"/>
        <v>22.3</v>
      </c>
      <c r="AS16" s="40">
        <f t="shared" si="13"/>
        <v>11.1</v>
      </c>
      <c r="AT16" s="40">
        <f t="shared" si="14"/>
        <v>62.400000000000006</v>
      </c>
      <c r="AU16" s="40" t="str">
        <f t="shared" si="15"/>
        <v/>
      </c>
      <c r="AV16" s="40" t="str">
        <f t="shared" si="16"/>
        <v/>
      </c>
      <c r="AW16" s="40">
        <f t="shared" si="17"/>
        <v>62.400000000000006</v>
      </c>
      <c r="AX16" s="18">
        <v>17.399999999999999</v>
      </c>
      <c r="AY16" s="18">
        <v>2.4</v>
      </c>
      <c r="AZ16" s="18">
        <v>0</v>
      </c>
      <c r="BA16" s="18">
        <v>0</v>
      </c>
      <c r="BB16" s="18">
        <v>18.2</v>
      </c>
      <c r="BC16" s="18">
        <v>5.2</v>
      </c>
      <c r="BD16" s="18">
        <v>0.6</v>
      </c>
      <c r="BE16" s="18">
        <v>0</v>
      </c>
      <c r="BF16" s="18">
        <v>18.7</v>
      </c>
      <c r="BG16" s="18">
        <v>2.8</v>
      </c>
      <c r="BH16" s="18">
        <v>0</v>
      </c>
      <c r="BI16" s="18">
        <v>0</v>
      </c>
      <c r="BJ16" s="18">
        <v>16.8</v>
      </c>
      <c r="BK16" s="18">
        <v>5.2</v>
      </c>
      <c r="BL16" s="18">
        <v>0.2</v>
      </c>
      <c r="BM16" s="18">
        <v>0</v>
      </c>
      <c r="BN16" s="18">
        <v>18.7</v>
      </c>
      <c r="BO16" s="18">
        <v>5.2</v>
      </c>
      <c r="BP16" s="18">
        <v>0.2</v>
      </c>
      <c r="BQ16" s="18">
        <v>0</v>
      </c>
      <c r="BR16" s="28"/>
      <c r="BS16" s="11">
        <f t="shared" si="18"/>
        <v>7.6</v>
      </c>
      <c r="BT16" s="11">
        <f t="shared" si="19"/>
        <v>42.6</v>
      </c>
      <c r="BU16" s="11">
        <f t="shared" si="20"/>
        <v>21.5</v>
      </c>
      <c r="BV16" s="11">
        <f t="shared" si="21"/>
        <v>10.399999999999999</v>
      </c>
      <c r="BW16" s="11">
        <f t="shared" si="22"/>
        <v>64.099999999999994</v>
      </c>
      <c r="BX16" s="11">
        <f t="shared" si="23"/>
        <v>10.4</v>
      </c>
      <c r="BY16" s="11">
        <f t="shared" si="24"/>
        <v>45.500000000000007</v>
      </c>
      <c r="BZ16" s="11">
        <f t="shared" si="25"/>
        <v>109.6</v>
      </c>
      <c r="CA16" s="19">
        <v>15.2</v>
      </c>
      <c r="CB16" s="19">
        <v>2.4</v>
      </c>
      <c r="CC16" s="19">
        <v>0</v>
      </c>
      <c r="CD16" s="19">
        <v>0</v>
      </c>
      <c r="CE16" s="19">
        <v>15.2</v>
      </c>
      <c r="CF16" s="19">
        <v>0</v>
      </c>
      <c r="CG16" s="19">
        <v>0</v>
      </c>
      <c r="CH16" s="19">
        <v>0</v>
      </c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26"/>
        <v>2.4</v>
      </c>
      <c r="CW16" s="40">
        <f t="shared" si="27"/>
        <v>32.799999999999997</v>
      </c>
      <c r="CX16" s="40" t="str">
        <f t="shared" si="28"/>
        <v/>
      </c>
      <c r="CY16" s="40">
        <f t="shared" si="29"/>
        <v>2.4</v>
      </c>
      <c r="CZ16" s="40">
        <f t="shared" si="30"/>
        <v>32.799999999999997</v>
      </c>
      <c r="DA16" s="40" t="str">
        <f t="shared" si="31"/>
        <v/>
      </c>
      <c r="DB16" s="40" t="str">
        <f t="shared" si="32"/>
        <v/>
      </c>
      <c r="DC16" s="40">
        <f t="shared" si="33"/>
        <v>32.799999999999997</v>
      </c>
      <c r="DD16" s="50" t="str">
        <f t="shared" si="34"/>
        <v/>
      </c>
      <c r="DE16" s="50" t="str">
        <f t="shared" si="35"/>
        <v/>
      </c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40" t="str">
        <f t="shared" si="36"/>
        <v/>
      </c>
      <c r="EA16" s="40" t="str">
        <f t="shared" si="37"/>
        <v/>
      </c>
      <c r="EB16" s="40" t="str">
        <f t="shared" si="38"/>
        <v/>
      </c>
      <c r="EC16" s="40" t="str">
        <f t="shared" si="39"/>
        <v/>
      </c>
      <c r="ED16" s="40" t="str">
        <f t="shared" si="40"/>
        <v/>
      </c>
      <c r="EE16" s="40" t="str">
        <f t="shared" si="41"/>
        <v/>
      </c>
      <c r="EF16" s="40" t="str">
        <f t="shared" si="42"/>
        <v/>
      </c>
      <c r="EG16" s="40" t="str">
        <f t="shared" si="43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1" t="str">
        <f t="shared" si="44"/>
        <v/>
      </c>
      <c r="FC16" s="11" t="str">
        <f t="shared" si="45"/>
        <v/>
      </c>
      <c r="FD16" s="11" t="str">
        <f t="shared" si="46"/>
        <v/>
      </c>
      <c r="FE16" s="11" t="str">
        <f t="shared" si="47"/>
        <v/>
      </c>
      <c r="FF16" s="11" t="str">
        <f t="shared" si="48"/>
        <v/>
      </c>
      <c r="FG16" s="11" t="str">
        <f t="shared" si="49"/>
        <v/>
      </c>
      <c r="FH16" s="11" t="str">
        <f t="shared" si="50"/>
        <v/>
      </c>
      <c r="FI16" s="11" t="str">
        <f t="shared" si="51"/>
        <v/>
      </c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40" t="str">
        <f t="shared" si="52"/>
        <v/>
      </c>
      <c r="GE16" s="40" t="str">
        <f t="shared" si="53"/>
        <v/>
      </c>
      <c r="GF16" s="40" t="str">
        <f t="shared" si="54"/>
        <v/>
      </c>
      <c r="GG16" s="40" t="str">
        <f t="shared" si="55"/>
        <v/>
      </c>
      <c r="GH16" s="40" t="str">
        <f t="shared" si="56"/>
        <v/>
      </c>
      <c r="GI16" s="40" t="str">
        <f t="shared" si="57"/>
        <v/>
      </c>
      <c r="GJ16" s="40" t="str">
        <f t="shared" si="58"/>
        <v/>
      </c>
      <c r="GK16" s="40" t="str">
        <f t="shared" si="59"/>
        <v/>
      </c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1" t="str">
        <f t="shared" si="60"/>
        <v/>
      </c>
      <c r="HG16" s="11" t="str">
        <f t="shared" si="61"/>
        <v/>
      </c>
      <c r="HH16" s="11" t="str">
        <f t="shared" si="62"/>
        <v/>
      </c>
      <c r="HI16" s="11" t="str">
        <f t="shared" si="63"/>
        <v/>
      </c>
      <c r="HJ16" s="11" t="str">
        <f t="shared" si="64"/>
        <v/>
      </c>
      <c r="HK16" s="11" t="str">
        <f t="shared" si="65"/>
        <v/>
      </c>
      <c r="HL16" s="11" t="str">
        <f t="shared" si="66"/>
        <v/>
      </c>
      <c r="HM16" s="11" t="str">
        <f t="shared" si="67"/>
        <v/>
      </c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40" t="str">
        <f t="shared" si="68"/>
        <v/>
      </c>
      <c r="II16" s="40" t="str">
        <f t="shared" si="69"/>
        <v/>
      </c>
      <c r="IJ16" s="40" t="str">
        <f t="shared" si="70"/>
        <v/>
      </c>
      <c r="IK16" s="40" t="str">
        <f t="shared" si="71"/>
        <v/>
      </c>
      <c r="IL16" s="40" t="str">
        <f t="shared" si="72"/>
        <v/>
      </c>
      <c r="IM16" s="40" t="str">
        <f t="shared" si="73"/>
        <v/>
      </c>
      <c r="IN16" s="40" t="str">
        <f t="shared" si="74"/>
        <v/>
      </c>
      <c r="IO16" s="40" t="str">
        <f t="shared" si="75"/>
        <v/>
      </c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1" t="str">
        <f t="shared" si="76"/>
        <v/>
      </c>
      <c r="JK16" s="11" t="str">
        <f t="shared" si="77"/>
        <v/>
      </c>
      <c r="JL16" s="11" t="str">
        <f t="shared" si="78"/>
        <v/>
      </c>
      <c r="JM16" s="11" t="str">
        <f t="shared" si="79"/>
        <v/>
      </c>
      <c r="JN16" s="11" t="str">
        <f t="shared" si="80"/>
        <v/>
      </c>
      <c r="JO16" s="11" t="str">
        <f t="shared" si="81"/>
        <v/>
      </c>
      <c r="JP16" s="11" t="str">
        <f t="shared" si="82"/>
        <v/>
      </c>
      <c r="JQ16" s="11" t="str">
        <f t="shared" si="83"/>
        <v/>
      </c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40" t="str">
        <f t="shared" si="84"/>
        <v/>
      </c>
      <c r="KM16" s="40" t="str">
        <f t="shared" si="85"/>
        <v/>
      </c>
      <c r="KN16" s="40" t="str">
        <f t="shared" si="86"/>
        <v/>
      </c>
      <c r="KO16" s="40" t="str">
        <f t="shared" si="87"/>
        <v/>
      </c>
      <c r="KP16" s="40" t="str">
        <f t="shared" si="88"/>
        <v/>
      </c>
      <c r="KQ16" s="40" t="str">
        <f t="shared" si="89"/>
        <v/>
      </c>
      <c r="KR16" s="40" t="str">
        <f t="shared" si="90"/>
        <v/>
      </c>
      <c r="KS16" s="40" t="str">
        <f t="shared" si="91"/>
        <v/>
      </c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1" t="str">
        <f t="shared" si="92"/>
        <v/>
      </c>
      <c r="LO16" s="11" t="str">
        <f t="shared" si="93"/>
        <v/>
      </c>
      <c r="LP16" s="11" t="str">
        <f t="shared" si="94"/>
        <v/>
      </c>
      <c r="LQ16" s="11" t="str">
        <f t="shared" si="95"/>
        <v/>
      </c>
      <c r="LR16" s="11" t="str">
        <f t="shared" si="96"/>
        <v/>
      </c>
      <c r="LS16" s="11" t="str">
        <f t="shared" si="97"/>
        <v/>
      </c>
      <c r="LT16" s="11" t="str">
        <f t="shared" si="98"/>
        <v/>
      </c>
      <c r="LU16" s="11" t="str">
        <f t="shared" si="99"/>
        <v/>
      </c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40" t="str">
        <f t="shared" si="100"/>
        <v/>
      </c>
      <c r="MQ16" s="40" t="str">
        <f t="shared" si="101"/>
        <v/>
      </c>
      <c r="MR16" s="40" t="str">
        <f t="shared" si="102"/>
        <v/>
      </c>
      <c r="MS16" s="40" t="str">
        <f t="shared" si="103"/>
        <v/>
      </c>
      <c r="MT16" s="40" t="str">
        <f t="shared" si="104"/>
        <v/>
      </c>
      <c r="MU16" s="40" t="str">
        <f t="shared" si="105"/>
        <v/>
      </c>
      <c r="MV16" s="40" t="str">
        <f t="shared" si="106"/>
        <v/>
      </c>
      <c r="MW16" s="40" t="str">
        <f t="shared" si="107"/>
        <v/>
      </c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1" t="str">
        <f t="shared" si="108"/>
        <v/>
      </c>
      <c r="NS16" s="11" t="str">
        <f t="shared" si="109"/>
        <v/>
      </c>
      <c r="NT16" s="11" t="str">
        <f t="shared" si="110"/>
        <v/>
      </c>
      <c r="NU16" s="11" t="str">
        <f t="shared" si="111"/>
        <v/>
      </c>
      <c r="NV16" s="11" t="str">
        <f t="shared" si="112"/>
        <v/>
      </c>
      <c r="NW16" s="11" t="str">
        <f t="shared" si="113"/>
        <v/>
      </c>
      <c r="NX16" s="11" t="str">
        <f t="shared" si="114"/>
        <v/>
      </c>
      <c r="NY16" s="11" t="str">
        <f t="shared" si="115"/>
        <v/>
      </c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40" t="str">
        <f t="shared" si="116"/>
        <v/>
      </c>
      <c r="OU16" s="40" t="str">
        <f t="shared" si="117"/>
        <v/>
      </c>
      <c r="OV16" s="40" t="str">
        <f t="shared" si="118"/>
        <v/>
      </c>
      <c r="OW16" s="40" t="str">
        <f t="shared" si="119"/>
        <v/>
      </c>
      <c r="OX16" s="40" t="str">
        <f t="shared" si="120"/>
        <v/>
      </c>
      <c r="OY16" s="40" t="str">
        <f t="shared" si="121"/>
        <v/>
      </c>
      <c r="OZ16" s="40" t="str">
        <f t="shared" si="122"/>
        <v/>
      </c>
      <c r="PA16" s="40" t="str">
        <f t="shared" si="123"/>
        <v/>
      </c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1" t="str">
        <f t="shared" si="124"/>
        <v/>
      </c>
      <c r="PW16" s="11" t="str">
        <f t="shared" si="125"/>
        <v/>
      </c>
      <c r="PX16" s="11" t="str">
        <f t="shared" si="126"/>
        <v/>
      </c>
      <c r="PY16" s="11" t="str">
        <f t="shared" si="127"/>
        <v/>
      </c>
      <c r="PZ16" s="11" t="str">
        <f t="shared" si="128"/>
        <v/>
      </c>
      <c r="QA16" s="11" t="str">
        <f t="shared" si="129"/>
        <v/>
      </c>
      <c r="QB16" s="11" t="str">
        <f t="shared" si="130"/>
        <v/>
      </c>
      <c r="QC16" s="11" t="str">
        <f t="shared" si="131"/>
        <v/>
      </c>
      <c r="QD16" s="22">
        <f t="shared" si="132"/>
        <v>16.299999999999997</v>
      </c>
      <c r="QE16" s="22">
        <f t="shared" si="133"/>
        <v>2.4</v>
      </c>
      <c r="QF16" s="22">
        <f t="shared" si="134"/>
        <v>0</v>
      </c>
      <c r="QG16" s="22">
        <f t="shared" si="135"/>
        <v>0</v>
      </c>
      <c r="QH16" s="22">
        <f t="shared" si="136"/>
        <v>16.7</v>
      </c>
      <c r="QI16" s="22">
        <f t="shared" si="137"/>
        <v>2.6</v>
      </c>
      <c r="QJ16" s="22">
        <f t="shared" si="138"/>
        <v>0.3</v>
      </c>
      <c r="QK16" s="22">
        <f t="shared" si="139"/>
        <v>0</v>
      </c>
      <c r="QL16" s="22">
        <f t="shared" si="140"/>
        <v>9.35</v>
      </c>
      <c r="QM16" s="22">
        <f t="shared" si="141"/>
        <v>1.4</v>
      </c>
      <c r="QN16" s="22">
        <f t="shared" si="142"/>
        <v>0</v>
      </c>
      <c r="QO16" s="22">
        <f t="shared" si="143"/>
        <v>0</v>
      </c>
      <c r="QP16" s="22">
        <f t="shared" si="144"/>
        <v>8.4</v>
      </c>
      <c r="QQ16" s="22">
        <f t="shared" si="145"/>
        <v>2.6</v>
      </c>
      <c r="QR16" s="22">
        <f t="shared" si="146"/>
        <v>0.1</v>
      </c>
      <c r="QS16" s="22">
        <f t="shared" si="147"/>
        <v>0</v>
      </c>
      <c r="QT16" s="22">
        <f t="shared" si="148"/>
        <v>9.35</v>
      </c>
      <c r="QU16" s="22">
        <f t="shared" si="149"/>
        <v>2.6</v>
      </c>
      <c r="QV16" s="22">
        <f t="shared" si="150"/>
        <v>0.1</v>
      </c>
      <c r="QW16" s="22">
        <f t="shared" si="151"/>
        <v>0</v>
      </c>
      <c r="QX16" s="27" t="s">
        <v>46</v>
      </c>
      <c r="QY16" s="40">
        <f t="shared" si="152"/>
        <v>5</v>
      </c>
      <c r="QZ16" s="40">
        <f t="shared" si="153"/>
        <v>37.699999999999996</v>
      </c>
      <c r="RA16" s="40">
        <f t="shared" si="154"/>
        <v>10.75</v>
      </c>
      <c r="RB16" s="40">
        <f t="shared" si="155"/>
        <v>6.4</v>
      </c>
      <c r="RC16" s="40">
        <f t="shared" si="156"/>
        <v>48.449999999999996</v>
      </c>
      <c r="RD16" s="40">
        <f t="shared" si="157"/>
        <v>5.2</v>
      </c>
      <c r="RE16" s="40">
        <f t="shared" si="158"/>
        <v>22.750000000000004</v>
      </c>
      <c r="RF16" s="40">
        <f t="shared" si="159"/>
        <v>71.2</v>
      </c>
    </row>
    <row r="17" spans="1:474" x14ac:dyDescent="0.2">
      <c r="A17" s="4" t="str" cm="1">
        <f t="array" ref="A17">IF(AND(J17&lt;&gt;"",J17&lt;&gt;"No DD"),SUMPRODUCT((J$4:J$36&lt;&gt;"")*(J$4:J$36&lt;&gt;"No DD")*(F$4:F$36&gt;F17))+1,IF(J17="No DD",SUMPRODUCT((J$4:J$36="No DD")*(F$4:F$36&gt;F17))+1+SUMPRODUCT((J$4:J$36&lt;&gt;"")*(J$4:J$36&lt;&gt;"No DD")),""))</f>
        <v/>
      </c>
      <c r="B17" s="4" t="str" cm="1">
        <f t="array" ref="B17">IF(AND(J17&lt;&gt;"",J17&lt;&gt;"No DD",G17=""),SUMPRODUCT((J$4:J$36&lt;&gt;"")*(J$4:J$36&lt;&gt;"No DD")*(G$4:G$36="")*(F$4:F$36&gt;F17))+1,IF(J17="No DD",SUMPRODUCT((J$4:J$36="No DD")*(F$4:F$36&gt;F17)*(G$4:G$36=""))+1+SUMPRODUCT((J$4:J$36&lt;&gt;"")*(G$4:G$36="")*(J$4:J$36&lt;&gt;"No DD")),""))</f>
        <v/>
      </c>
      <c r="C17" s="5" t="s">
        <v>202</v>
      </c>
      <c r="D17" s="4" t="s">
        <v>94</v>
      </c>
      <c r="E17" s="4">
        <v>2004</v>
      </c>
      <c r="F17" s="9">
        <f t="shared" si="0"/>
        <v>127.50000853000449</v>
      </c>
      <c r="G17" s="64"/>
      <c r="H17" s="3" t="str">
        <f t="shared" si="1"/>
        <v/>
      </c>
      <c r="I17" s="3" t="str">
        <f t="shared" si="2"/>
        <v/>
      </c>
      <c r="J17" s="36" t="str">
        <f t="shared" si="3"/>
        <v/>
      </c>
      <c r="K17" s="3" t="str">
        <f t="shared" si="4"/>
        <v/>
      </c>
      <c r="L17" s="8">
        <f>IF(COUNT(AQ17,BT17,CW17)&gt;0,LARGE((AQ17,BT17,CW17),1),0)</f>
        <v>44.9</v>
      </c>
      <c r="M17" s="8" t="str">
        <f t="shared" si="5"/>
        <v>2025 Elite Canada</v>
      </c>
      <c r="N17" s="8">
        <f>IF(COUNT(AQ17,BT17,CW17)&gt;1,LARGE((AQ17,BT17,CW17),2),0)</f>
        <v>40.4</v>
      </c>
      <c r="O17" s="8" t="str">
        <f t="shared" si="6"/>
        <v>2024 3rd Domestic Trial</v>
      </c>
      <c r="P17" s="8">
        <f t="shared" si="7"/>
        <v>39.299999999999997</v>
      </c>
      <c r="Q17" s="8" t="str">
        <f t="shared" si="8"/>
        <v>2024 3rd Domestic Trial</v>
      </c>
      <c r="R17" s="8">
        <f t="shared" si="9"/>
        <v>2.8999999999999986</v>
      </c>
      <c r="S17" s="11" t="str">
        <f t="shared" si="160"/>
        <v>(Q1)</v>
      </c>
      <c r="T17" s="8" t="str">
        <f t="shared" si="161"/>
        <v>2024 Coimbra Gym Fest (July 7)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0"/>
        <v/>
      </c>
      <c r="AQ17" s="40" t="str">
        <f t="shared" si="11"/>
        <v/>
      </c>
      <c r="AR17" s="40" t="str">
        <f t="shared" si="12"/>
        <v/>
      </c>
      <c r="AS17" s="40" t="str">
        <f t="shared" si="13"/>
        <v/>
      </c>
      <c r="AT17" s="40" t="str">
        <f t="shared" si="14"/>
        <v/>
      </c>
      <c r="AU17" s="40" t="str">
        <f t="shared" si="15"/>
        <v/>
      </c>
      <c r="AV17" s="40" t="str">
        <f t="shared" si="16"/>
        <v/>
      </c>
      <c r="AW17" s="40" t="str">
        <f t="shared" si="17"/>
        <v/>
      </c>
      <c r="AX17" s="18">
        <v>18.2</v>
      </c>
      <c r="AY17" s="18">
        <v>4.4000000000000004</v>
      </c>
      <c r="AZ17" s="18">
        <v>0.6</v>
      </c>
      <c r="BA17" s="18">
        <v>0</v>
      </c>
      <c r="BB17" s="18">
        <v>17.7</v>
      </c>
      <c r="BC17" s="18">
        <v>0.7</v>
      </c>
      <c r="BD17" s="18">
        <v>0</v>
      </c>
      <c r="BE17" s="18">
        <v>0</v>
      </c>
      <c r="BF17" s="18">
        <v>18.399999999999999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0.8</v>
      </c>
      <c r="BM17" s="18">
        <v>0</v>
      </c>
      <c r="BN17" s="18">
        <v>18.3</v>
      </c>
      <c r="BO17" s="18">
        <v>0.7</v>
      </c>
      <c r="BP17" s="18">
        <v>1.2</v>
      </c>
      <c r="BQ17" s="18">
        <v>0</v>
      </c>
      <c r="BR17" s="28"/>
      <c r="BS17" s="11">
        <f t="shared" si="18"/>
        <v>5.1000000000000005</v>
      </c>
      <c r="BT17" s="11">
        <f t="shared" si="19"/>
        <v>40.4</v>
      </c>
      <c r="BU17" s="11">
        <f t="shared" si="20"/>
        <v>21.9</v>
      </c>
      <c r="BV17" s="11">
        <f t="shared" si="21"/>
        <v>8.6000000000000014</v>
      </c>
      <c r="BW17" s="11">
        <f t="shared" si="22"/>
        <v>62.3</v>
      </c>
      <c r="BX17" s="11">
        <f t="shared" si="23"/>
        <v>5.1000000000000005</v>
      </c>
      <c r="BY17" s="11">
        <f t="shared" si="24"/>
        <v>39.299999999999997</v>
      </c>
      <c r="BZ17" s="11">
        <f t="shared" si="25"/>
        <v>101.6</v>
      </c>
      <c r="CA17" s="19">
        <v>18.2</v>
      </c>
      <c r="CB17" s="19">
        <v>4.4000000000000004</v>
      </c>
      <c r="CC17" s="19">
        <v>0.2</v>
      </c>
      <c r="CD17" s="19">
        <v>0</v>
      </c>
      <c r="CE17" s="19">
        <v>19</v>
      </c>
      <c r="CF17" s="19">
        <v>3.5</v>
      </c>
      <c r="CG17" s="19">
        <v>0</v>
      </c>
      <c r="CH17" s="19">
        <v>0</v>
      </c>
      <c r="CI17" s="19"/>
      <c r="CJ17" s="19"/>
      <c r="CK17" s="19"/>
      <c r="CL17" s="19"/>
      <c r="CM17" s="19">
        <v>18</v>
      </c>
      <c r="CN17" s="19">
        <v>4.4000000000000004</v>
      </c>
      <c r="CO17" s="19">
        <v>0.2</v>
      </c>
      <c r="CP17" s="19">
        <v>0</v>
      </c>
      <c r="CQ17" s="19">
        <v>15.6</v>
      </c>
      <c r="CR17" s="19">
        <v>0.7</v>
      </c>
      <c r="CS17" s="19">
        <v>0</v>
      </c>
      <c r="CT17" s="19">
        <v>0</v>
      </c>
      <c r="CU17" s="27"/>
      <c r="CV17" s="40">
        <f t="shared" si="26"/>
        <v>7.9</v>
      </c>
      <c r="CW17" s="40">
        <f t="shared" si="27"/>
        <v>44.9</v>
      </c>
      <c r="CX17" s="40" t="str">
        <f t="shared" si="28"/>
        <v/>
      </c>
      <c r="CY17" s="40">
        <f t="shared" si="29"/>
        <v>7.9</v>
      </c>
      <c r="CZ17" s="40">
        <f t="shared" si="30"/>
        <v>44.9</v>
      </c>
      <c r="DA17" s="40">
        <f t="shared" si="31"/>
        <v>5.1000000000000005</v>
      </c>
      <c r="DB17" s="40">
        <f t="shared" si="32"/>
        <v>38.5</v>
      </c>
      <c r="DC17" s="40">
        <f t="shared" si="33"/>
        <v>83.4</v>
      </c>
      <c r="DD17" s="50">
        <f t="shared" si="34"/>
        <v>2.8999999999999986</v>
      </c>
      <c r="DE17" s="50" t="str">
        <f t="shared" si="35"/>
        <v/>
      </c>
      <c r="DF17" s="17">
        <v>18.399999999999999</v>
      </c>
      <c r="DG17" s="17">
        <v>3.5</v>
      </c>
      <c r="DH17" s="17">
        <v>0.6</v>
      </c>
      <c r="DI17" s="17">
        <v>0</v>
      </c>
      <c r="DJ17" s="17">
        <v>18.5</v>
      </c>
      <c r="DK17" s="17">
        <v>3.7</v>
      </c>
      <c r="DL17" s="17">
        <v>0.2</v>
      </c>
      <c r="DM17" s="17">
        <v>0</v>
      </c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40">
        <f t="shared" si="36"/>
        <v>7.2</v>
      </c>
      <c r="EA17" s="40">
        <f t="shared" si="37"/>
        <v>43.3</v>
      </c>
      <c r="EB17" s="40" t="str">
        <f t="shared" si="38"/>
        <v/>
      </c>
      <c r="EC17" s="40">
        <f t="shared" si="39"/>
        <v>7.2</v>
      </c>
      <c r="ED17" s="40">
        <f t="shared" si="40"/>
        <v>43.3</v>
      </c>
      <c r="EE17" s="40" t="str">
        <f t="shared" si="41"/>
        <v/>
      </c>
      <c r="EF17" s="40" t="str">
        <f t="shared" si="42"/>
        <v/>
      </c>
      <c r="EG17" s="40">
        <f t="shared" si="43"/>
        <v>43.3</v>
      </c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1" t="str">
        <f t="shared" si="44"/>
        <v/>
      </c>
      <c r="FC17" s="11" t="str">
        <f t="shared" si="45"/>
        <v/>
      </c>
      <c r="FD17" s="11" t="str">
        <f t="shared" si="46"/>
        <v/>
      </c>
      <c r="FE17" s="11" t="str">
        <f t="shared" si="47"/>
        <v/>
      </c>
      <c r="FF17" s="11" t="str">
        <f t="shared" si="48"/>
        <v/>
      </c>
      <c r="FG17" s="11" t="str">
        <f t="shared" si="49"/>
        <v/>
      </c>
      <c r="FH17" s="11" t="str">
        <f t="shared" si="50"/>
        <v/>
      </c>
      <c r="FI17" s="11" t="str">
        <f t="shared" si="51"/>
        <v/>
      </c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40" t="str">
        <f t="shared" si="52"/>
        <v/>
      </c>
      <c r="GE17" s="40" t="str">
        <f t="shared" si="53"/>
        <v/>
      </c>
      <c r="GF17" s="40" t="str">
        <f t="shared" si="54"/>
        <v/>
      </c>
      <c r="GG17" s="40" t="str">
        <f t="shared" si="55"/>
        <v/>
      </c>
      <c r="GH17" s="40" t="str">
        <f t="shared" si="56"/>
        <v/>
      </c>
      <c r="GI17" s="40" t="str">
        <f t="shared" si="57"/>
        <v/>
      </c>
      <c r="GJ17" s="40" t="str">
        <f t="shared" si="58"/>
        <v/>
      </c>
      <c r="GK17" s="40" t="str">
        <f t="shared" si="59"/>
        <v/>
      </c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1" t="str">
        <f t="shared" si="60"/>
        <v/>
      </c>
      <c r="HG17" s="11" t="str">
        <f t="shared" si="61"/>
        <v/>
      </c>
      <c r="HH17" s="11" t="str">
        <f t="shared" si="62"/>
        <v/>
      </c>
      <c r="HI17" s="11" t="str">
        <f t="shared" si="63"/>
        <v/>
      </c>
      <c r="HJ17" s="11" t="str">
        <f t="shared" si="64"/>
        <v/>
      </c>
      <c r="HK17" s="11" t="str">
        <f t="shared" si="65"/>
        <v/>
      </c>
      <c r="HL17" s="11" t="str">
        <f t="shared" si="66"/>
        <v/>
      </c>
      <c r="HM17" s="11" t="str">
        <f t="shared" si="67"/>
        <v/>
      </c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40" t="str">
        <f t="shared" si="68"/>
        <v/>
      </c>
      <c r="II17" s="40" t="str">
        <f t="shared" si="69"/>
        <v/>
      </c>
      <c r="IJ17" s="40" t="str">
        <f t="shared" si="70"/>
        <v/>
      </c>
      <c r="IK17" s="40" t="str">
        <f t="shared" si="71"/>
        <v/>
      </c>
      <c r="IL17" s="40" t="str">
        <f t="shared" si="72"/>
        <v/>
      </c>
      <c r="IM17" s="40" t="str">
        <f t="shared" si="73"/>
        <v/>
      </c>
      <c r="IN17" s="40" t="str">
        <f t="shared" si="74"/>
        <v/>
      </c>
      <c r="IO17" s="40" t="str">
        <f t="shared" si="75"/>
        <v/>
      </c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1" t="str">
        <f t="shared" si="76"/>
        <v/>
      </c>
      <c r="JK17" s="11" t="str">
        <f t="shared" si="77"/>
        <v/>
      </c>
      <c r="JL17" s="11" t="str">
        <f t="shared" si="78"/>
        <v/>
      </c>
      <c r="JM17" s="11" t="str">
        <f t="shared" si="79"/>
        <v/>
      </c>
      <c r="JN17" s="11" t="str">
        <f t="shared" si="80"/>
        <v/>
      </c>
      <c r="JO17" s="11" t="str">
        <f t="shared" si="81"/>
        <v/>
      </c>
      <c r="JP17" s="11" t="str">
        <f t="shared" si="82"/>
        <v/>
      </c>
      <c r="JQ17" s="11" t="str">
        <f t="shared" si="83"/>
        <v/>
      </c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40" t="str">
        <f t="shared" si="84"/>
        <v/>
      </c>
      <c r="KM17" s="40" t="str">
        <f t="shared" si="85"/>
        <v/>
      </c>
      <c r="KN17" s="40" t="str">
        <f t="shared" si="86"/>
        <v/>
      </c>
      <c r="KO17" s="40" t="str">
        <f t="shared" si="87"/>
        <v/>
      </c>
      <c r="KP17" s="40" t="str">
        <f t="shared" si="88"/>
        <v/>
      </c>
      <c r="KQ17" s="40" t="str">
        <f t="shared" si="89"/>
        <v/>
      </c>
      <c r="KR17" s="40" t="str">
        <f t="shared" si="90"/>
        <v/>
      </c>
      <c r="KS17" s="40" t="str">
        <f t="shared" si="91"/>
        <v/>
      </c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1" t="str">
        <f t="shared" si="92"/>
        <v/>
      </c>
      <c r="LO17" s="11" t="str">
        <f t="shared" si="93"/>
        <v/>
      </c>
      <c r="LP17" s="11" t="str">
        <f t="shared" si="94"/>
        <v/>
      </c>
      <c r="LQ17" s="11" t="str">
        <f t="shared" si="95"/>
        <v/>
      </c>
      <c r="LR17" s="11" t="str">
        <f t="shared" si="96"/>
        <v/>
      </c>
      <c r="LS17" s="11" t="str">
        <f t="shared" si="97"/>
        <v/>
      </c>
      <c r="LT17" s="11" t="str">
        <f t="shared" si="98"/>
        <v/>
      </c>
      <c r="LU17" s="11" t="str">
        <f t="shared" si="99"/>
        <v/>
      </c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40" t="str">
        <f t="shared" si="100"/>
        <v/>
      </c>
      <c r="MQ17" s="40" t="str">
        <f t="shared" si="101"/>
        <v/>
      </c>
      <c r="MR17" s="40" t="str">
        <f t="shared" si="102"/>
        <v/>
      </c>
      <c r="MS17" s="40" t="str">
        <f t="shared" si="103"/>
        <v/>
      </c>
      <c r="MT17" s="40" t="str">
        <f t="shared" si="104"/>
        <v/>
      </c>
      <c r="MU17" s="40" t="str">
        <f t="shared" si="105"/>
        <v/>
      </c>
      <c r="MV17" s="40" t="str">
        <f t="shared" si="106"/>
        <v/>
      </c>
      <c r="MW17" s="40" t="str">
        <f t="shared" si="107"/>
        <v/>
      </c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1" t="str">
        <f t="shared" si="108"/>
        <v/>
      </c>
      <c r="NS17" s="11" t="str">
        <f t="shared" si="109"/>
        <v/>
      </c>
      <c r="NT17" s="11" t="str">
        <f t="shared" si="110"/>
        <v/>
      </c>
      <c r="NU17" s="11" t="str">
        <f t="shared" si="111"/>
        <v/>
      </c>
      <c r="NV17" s="11" t="str">
        <f t="shared" si="112"/>
        <v/>
      </c>
      <c r="NW17" s="11" t="str">
        <f t="shared" si="113"/>
        <v/>
      </c>
      <c r="NX17" s="11" t="str">
        <f t="shared" si="114"/>
        <v/>
      </c>
      <c r="NY17" s="11" t="str">
        <f t="shared" si="115"/>
        <v/>
      </c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40" t="str">
        <f t="shared" si="116"/>
        <v/>
      </c>
      <c r="OU17" s="40" t="str">
        <f t="shared" si="117"/>
        <v/>
      </c>
      <c r="OV17" s="40" t="str">
        <f t="shared" si="118"/>
        <v/>
      </c>
      <c r="OW17" s="40" t="str">
        <f t="shared" si="119"/>
        <v/>
      </c>
      <c r="OX17" s="40" t="str">
        <f t="shared" si="120"/>
        <v/>
      </c>
      <c r="OY17" s="40" t="str">
        <f t="shared" si="121"/>
        <v/>
      </c>
      <c r="OZ17" s="40" t="str">
        <f t="shared" si="122"/>
        <v/>
      </c>
      <c r="PA17" s="40" t="str">
        <f t="shared" si="123"/>
        <v/>
      </c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1" t="str">
        <f t="shared" si="124"/>
        <v/>
      </c>
      <c r="PW17" s="11" t="str">
        <f t="shared" si="125"/>
        <v/>
      </c>
      <c r="PX17" s="11" t="str">
        <f t="shared" si="126"/>
        <v/>
      </c>
      <c r="PY17" s="11" t="str">
        <f t="shared" si="127"/>
        <v/>
      </c>
      <c r="PZ17" s="11" t="str">
        <f t="shared" si="128"/>
        <v/>
      </c>
      <c r="QA17" s="11" t="str">
        <f t="shared" si="129"/>
        <v/>
      </c>
      <c r="QB17" s="11" t="str">
        <f t="shared" si="130"/>
        <v/>
      </c>
      <c r="QC17" s="11" t="str">
        <f t="shared" si="131"/>
        <v/>
      </c>
      <c r="QD17" s="22">
        <f t="shared" si="132"/>
        <v>18.2</v>
      </c>
      <c r="QE17" s="22">
        <f t="shared" si="133"/>
        <v>4.4000000000000004</v>
      </c>
      <c r="QF17" s="22">
        <f t="shared" si="134"/>
        <v>0.4</v>
      </c>
      <c r="QG17" s="22">
        <f t="shared" si="135"/>
        <v>0</v>
      </c>
      <c r="QH17" s="22">
        <f t="shared" si="136"/>
        <v>18.350000000000001</v>
      </c>
      <c r="QI17" s="22">
        <f t="shared" si="137"/>
        <v>2.1</v>
      </c>
      <c r="QJ17" s="22">
        <f t="shared" si="138"/>
        <v>0</v>
      </c>
      <c r="QK17" s="22">
        <f t="shared" si="139"/>
        <v>0</v>
      </c>
      <c r="QL17" s="22">
        <f t="shared" si="140"/>
        <v>9.1999999999999993</v>
      </c>
      <c r="QM17" s="22">
        <f t="shared" si="141"/>
        <v>1.75</v>
      </c>
      <c r="QN17" s="22">
        <f t="shared" si="142"/>
        <v>0</v>
      </c>
      <c r="QO17" s="22">
        <f t="shared" si="143"/>
        <v>0</v>
      </c>
      <c r="QP17" s="22">
        <f t="shared" si="144"/>
        <v>17.95</v>
      </c>
      <c r="QQ17" s="22">
        <f t="shared" si="145"/>
        <v>4.4000000000000004</v>
      </c>
      <c r="QR17" s="22">
        <f t="shared" si="146"/>
        <v>0.5</v>
      </c>
      <c r="QS17" s="22">
        <f t="shared" si="147"/>
        <v>0</v>
      </c>
      <c r="QT17" s="22">
        <f t="shared" si="148"/>
        <v>16.95</v>
      </c>
      <c r="QU17" s="22">
        <f t="shared" si="149"/>
        <v>0.7</v>
      </c>
      <c r="QV17" s="22">
        <f t="shared" si="150"/>
        <v>0.6</v>
      </c>
      <c r="QW17" s="22">
        <f t="shared" si="151"/>
        <v>0</v>
      </c>
      <c r="QX17" s="27" t="s">
        <v>46</v>
      </c>
      <c r="QY17" s="40">
        <f t="shared" si="152"/>
        <v>6.5</v>
      </c>
      <c r="QZ17" s="40">
        <f t="shared" si="153"/>
        <v>42.650000000000006</v>
      </c>
      <c r="RA17" s="40">
        <f t="shared" si="154"/>
        <v>10.95</v>
      </c>
      <c r="RB17" s="40">
        <f t="shared" si="155"/>
        <v>8.25</v>
      </c>
      <c r="RC17" s="40">
        <f t="shared" si="156"/>
        <v>53.600000000000009</v>
      </c>
      <c r="RD17" s="40">
        <f t="shared" si="157"/>
        <v>5.1000000000000005</v>
      </c>
      <c r="RE17" s="40">
        <f t="shared" si="158"/>
        <v>38.9</v>
      </c>
      <c r="RF17" s="40">
        <f t="shared" si="159"/>
        <v>92.5</v>
      </c>
    </row>
    <row r="18" spans="1:474" x14ac:dyDescent="0.2">
      <c r="A18" s="4" t="str" cm="1">
        <f t="array" ref="A18">IF(AND(J18&lt;&gt;"",J18&lt;&gt;"No DD"),SUMPRODUCT((J$4:J$36&lt;&gt;"")*(J$4:J$36&lt;&gt;"No DD")*(F$4:F$36&gt;F18))+1,IF(J18="No DD",SUMPRODUCT((J$4:J$36="No DD")*(F$4:F$36&gt;F18))+1+SUMPRODUCT((J$4:J$36&lt;&gt;"")*(J$4:J$36&lt;&gt;"No DD")),""))</f>
        <v/>
      </c>
      <c r="B18" s="4" t="str" cm="1">
        <f t="array" ref="B18">IF(AND(J18&lt;&gt;"",J18&lt;&gt;"No DD",G18=""),SUMPRODUCT((J$4:J$36&lt;&gt;"")*(J$4:J$36&lt;&gt;"No DD")*(G$4:G$36="")*(F$4:F$36&gt;F18))+1,IF(J18="No DD",SUMPRODUCT((J$4:J$36="No DD")*(F$4:F$36&gt;F18)*(G$4:G$36=""))+1+SUMPRODUCT((J$4:J$36&lt;&gt;"")*(G$4:G$36="")*(J$4:J$36&lt;&gt;"No DD")),""))</f>
        <v/>
      </c>
      <c r="C18" s="5" t="s">
        <v>118</v>
      </c>
      <c r="D18" s="4" t="s">
        <v>31</v>
      </c>
      <c r="E18" s="4">
        <v>2006</v>
      </c>
      <c r="F18" s="9">
        <f t="shared" si="0"/>
        <v>118.20000766000433</v>
      </c>
      <c r="G18" s="64"/>
      <c r="H18" s="3" t="str">
        <f t="shared" si="1"/>
        <v/>
      </c>
      <c r="I18" s="3" t="str">
        <f t="shared" si="2"/>
        <v/>
      </c>
      <c r="J18" s="36" t="str">
        <f t="shared" si="3"/>
        <v/>
      </c>
      <c r="K18" s="3" t="str">
        <f t="shared" si="4"/>
        <v/>
      </c>
      <c r="L18" s="8">
        <f>IF(COUNT(AQ18,BT18,CW18)&gt;0,LARGE((AQ18,BT18,CW18),1),0)</f>
        <v>43.5</v>
      </c>
      <c r="M18" s="8" t="str">
        <f t="shared" si="5"/>
        <v>2024 Nationals</v>
      </c>
      <c r="N18" s="8">
        <f>IF(COUNT(AQ18,BT18,CW18)&gt;1,LARGE((AQ18,BT18,CW18),2),0)</f>
        <v>33.1</v>
      </c>
      <c r="O18" s="8" t="str">
        <f t="shared" si="6"/>
        <v>2025 Elite Canada</v>
      </c>
      <c r="P18" s="8">
        <f t="shared" si="7"/>
        <v>41.6</v>
      </c>
      <c r="Q18" s="8" t="str">
        <f t="shared" si="8"/>
        <v>2024 Nationals</v>
      </c>
      <c r="R18" s="8" t="str">
        <f t="shared" si="9"/>
        <v/>
      </c>
      <c r="S18" s="11" t="str">
        <f t="shared" si="160"/>
        <v/>
      </c>
      <c r="T18" s="8" t="str">
        <f t="shared" si="161"/>
        <v/>
      </c>
      <c r="U18" s="19">
        <v>18.8</v>
      </c>
      <c r="V18" s="19">
        <v>3.2</v>
      </c>
      <c r="W18" s="19">
        <v>0</v>
      </c>
      <c r="X18" s="19">
        <v>0</v>
      </c>
      <c r="Y18" s="19">
        <v>18.399999999999999</v>
      </c>
      <c r="Z18" s="19">
        <v>3.1</v>
      </c>
      <c r="AA18" s="19">
        <v>0</v>
      </c>
      <c r="AB18" s="19">
        <v>0</v>
      </c>
      <c r="AC18" s="19">
        <v>18.600000000000001</v>
      </c>
      <c r="AD18" s="19">
        <v>3.3</v>
      </c>
      <c r="AE18" s="19">
        <v>0</v>
      </c>
      <c r="AF18" s="19">
        <v>0</v>
      </c>
      <c r="AG18" s="19">
        <v>18.7</v>
      </c>
      <c r="AH18" s="19">
        <v>3.2</v>
      </c>
      <c r="AI18" s="19">
        <v>0</v>
      </c>
      <c r="AJ18" s="19">
        <v>0</v>
      </c>
      <c r="AK18" s="19">
        <v>16.600000000000001</v>
      </c>
      <c r="AL18" s="19">
        <v>3.1</v>
      </c>
      <c r="AM18" s="19">
        <v>0</v>
      </c>
      <c r="AN18" s="19">
        <v>0</v>
      </c>
      <c r="AO18" s="27"/>
      <c r="AP18" s="40">
        <f t="shared" si="10"/>
        <v>6.3000000000000007</v>
      </c>
      <c r="AQ18" s="40">
        <f t="shared" si="11"/>
        <v>43.5</v>
      </c>
      <c r="AR18" s="40">
        <f t="shared" si="12"/>
        <v>21.900000000000002</v>
      </c>
      <c r="AS18" s="40">
        <f t="shared" si="13"/>
        <v>9.6000000000000014</v>
      </c>
      <c r="AT18" s="40">
        <f t="shared" si="14"/>
        <v>65.400000000000006</v>
      </c>
      <c r="AU18" s="40">
        <f t="shared" si="15"/>
        <v>6.3000000000000007</v>
      </c>
      <c r="AV18" s="40">
        <f t="shared" si="16"/>
        <v>41.6</v>
      </c>
      <c r="AW18" s="40">
        <f t="shared" si="17"/>
        <v>107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18"/>
        <v/>
      </c>
      <c r="BT18" s="11" t="str">
        <f t="shared" si="19"/>
        <v/>
      </c>
      <c r="BU18" s="11" t="str">
        <f t="shared" si="20"/>
        <v/>
      </c>
      <c r="BV18" s="11" t="str">
        <f t="shared" si="21"/>
        <v/>
      </c>
      <c r="BW18" s="11" t="str">
        <f t="shared" si="22"/>
        <v/>
      </c>
      <c r="BX18" s="11" t="str">
        <f t="shared" si="23"/>
        <v/>
      </c>
      <c r="BY18" s="11" t="str">
        <f t="shared" si="24"/>
        <v/>
      </c>
      <c r="BZ18" s="11" t="str">
        <f t="shared" si="25"/>
        <v/>
      </c>
      <c r="CA18" s="19">
        <v>15.6</v>
      </c>
      <c r="CB18" s="19">
        <v>1.2</v>
      </c>
      <c r="CC18" s="19">
        <v>0</v>
      </c>
      <c r="CD18" s="19">
        <v>0</v>
      </c>
      <c r="CE18" s="19">
        <v>15.4</v>
      </c>
      <c r="CF18" s="19">
        <v>0.9</v>
      </c>
      <c r="CG18" s="19">
        <v>0</v>
      </c>
      <c r="CH18" s="19">
        <v>0</v>
      </c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6"/>
        <v>2.1</v>
      </c>
      <c r="CW18" s="40">
        <f t="shared" si="27"/>
        <v>33.1</v>
      </c>
      <c r="CX18" s="40" t="str">
        <f t="shared" si="28"/>
        <v/>
      </c>
      <c r="CY18" s="40">
        <f t="shared" si="29"/>
        <v>2.1</v>
      </c>
      <c r="CZ18" s="40">
        <f t="shared" si="30"/>
        <v>33.1</v>
      </c>
      <c r="DA18" s="40" t="str">
        <f t="shared" si="31"/>
        <v/>
      </c>
      <c r="DB18" s="40" t="str">
        <f t="shared" si="32"/>
        <v/>
      </c>
      <c r="DC18" s="40">
        <f t="shared" si="33"/>
        <v>33.1</v>
      </c>
      <c r="DD18" s="50" t="str">
        <f t="shared" si="34"/>
        <v/>
      </c>
      <c r="DE18" s="50" t="str">
        <f t="shared" si="35"/>
        <v/>
      </c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40" t="str">
        <f t="shared" si="36"/>
        <v/>
      </c>
      <c r="EA18" s="40" t="str">
        <f t="shared" si="37"/>
        <v/>
      </c>
      <c r="EB18" s="40" t="str">
        <f t="shared" si="38"/>
        <v/>
      </c>
      <c r="EC18" s="40" t="str">
        <f t="shared" si="39"/>
        <v/>
      </c>
      <c r="ED18" s="40" t="str">
        <f t="shared" si="40"/>
        <v/>
      </c>
      <c r="EE18" s="40" t="str">
        <f t="shared" si="41"/>
        <v/>
      </c>
      <c r="EF18" s="40" t="str">
        <f t="shared" si="42"/>
        <v/>
      </c>
      <c r="EG18" s="40" t="str">
        <f t="shared" si="43"/>
        <v/>
      </c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1" t="str">
        <f t="shared" si="44"/>
        <v/>
      </c>
      <c r="FC18" s="11" t="str">
        <f t="shared" si="45"/>
        <v/>
      </c>
      <c r="FD18" s="11" t="str">
        <f t="shared" si="46"/>
        <v/>
      </c>
      <c r="FE18" s="11" t="str">
        <f t="shared" si="47"/>
        <v/>
      </c>
      <c r="FF18" s="11" t="str">
        <f t="shared" si="48"/>
        <v/>
      </c>
      <c r="FG18" s="11" t="str">
        <f t="shared" si="49"/>
        <v/>
      </c>
      <c r="FH18" s="11" t="str">
        <f t="shared" si="50"/>
        <v/>
      </c>
      <c r="FI18" s="11" t="str">
        <f t="shared" si="51"/>
        <v/>
      </c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40" t="str">
        <f t="shared" si="52"/>
        <v/>
      </c>
      <c r="GE18" s="40" t="str">
        <f t="shared" si="53"/>
        <v/>
      </c>
      <c r="GF18" s="40" t="str">
        <f t="shared" si="54"/>
        <v/>
      </c>
      <c r="GG18" s="40" t="str">
        <f t="shared" si="55"/>
        <v/>
      </c>
      <c r="GH18" s="40" t="str">
        <f t="shared" si="56"/>
        <v/>
      </c>
      <c r="GI18" s="40" t="str">
        <f t="shared" si="57"/>
        <v/>
      </c>
      <c r="GJ18" s="40" t="str">
        <f t="shared" si="58"/>
        <v/>
      </c>
      <c r="GK18" s="40" t="str">
        <f t="shared" si="59"/>
        <v/>
      </c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1" t="str">
        <f t="shared" si="60"/>
        <v/>
      </c>
      <c r="HG18" s="11" t="str">
        <f t="shared" si="61"/>
        <v/>
      </c>
      <c r="HH18" s="11" t="str">
        <f t="shared" si="62"/>
        <v/>
      </c>
      <c r="HI18" s="11" t="str">
        <f t="shared" si="63"/>
        <v/>
      </c>
      <c r="HJ18" s="11" t="str">
        <f t="shared" si="64"/>
        <v/>
      </c>
      <c r="HK18" s="11" t="str">
        <f t="shared" si="65"/>
        <v/>
      </c>
      <c r="HL18" s="11" t="str">
        <f t="shared" si="66"/>
        <v/>
      </c>
      <c r="HM18" s="11" t="str">
        <f t="shared" si="67"/>
        <v/>
      </c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40" t="str">
        <f t="shared" si="68"/>
        <v/>
      </c>
      <c r="II18" s="40" t="str">
        <f t="shared" si="69"/>
        <v/>
      </c>
      <c r="IJ18" s="40" t="str">
        <f t="shared" si="70"/>
        <v/>
      </c>
      <c r="IK18" s="40" t="str">
        <f t="shared" si="71"/>
        <v/>
      </c>
      <c r="IL18" s="40" t="str">
        <f t="shared" si="72"/>
        <v/>
      </c>
      <c r="IM18" s="40" t="str">
        <f t="shared" si="73"/>
        <v/>
      </c>
      <c r="IN18" s="40" t="str">
        <f t="shared" si="74"/>
        <v/>
      </c>
      <c r="IO18" s="40" t="str">
        <f t="shared" si="75"/>
        <v/>
      </c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1" t="str">
        <f t="shared" si="76"/>
        <v/>
      </c>
      <c r="JK18" s="11" t="str">
        <f t="shared" si="77"/>
        <v/>
      </c>
      <c r="JL18" s="11" t="str">
        <f t="shared" si="78"/>
        <v/>
      </c>
      <c r="JM18" s="11" t="str">
        <f t="shared" si="79"/>
        <v/>
      </c>
      <c r="JN18" s="11" t="str">
        <f t="shared" si="80"/>
        <v/>
      </c>
      <c r="JO18" s="11" t="str">
        <f t="shared" si="81"/>
        <v/>
      </c>
      <c r="JP18" s="11" t="str">
        <f t="shared" si="82"/>
        <v/>
      </c>
      <c r="JQ18" s="11" t="str">
        <f t="shared" si="83"/>
        <v/>
      </c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40" t="str">
        <f t="shared" si="84"/>
        <v/>
      </c>
      <c r="KM18" s="40" t="str">
        <f t="shared" si="85"/>
        <v/>
      </c>
      <c r="KN18" s="40" t="str">
        <f t="shared" si="86"/>
        <v/>
      </c>
      <c r="KO18" s="40" t="str">
        <f t="shared" si="87"/>
        <v/>
      </c>
      <c r="KP18" s="40" t="str">
        <f t="shared" si="88"/>
        <v/>
      </c>
      <c r="KQ18" s="40" t="str">
        <f t="shared" si="89"/>
        <v/>
      </c>
      <c r="KR18" s="40" t="str">
        <f t="shared" si="90"/>
        <v/>
      </c>
      <c r="KS18" s="40" t="str">
        <f t="shared" si="91"/>
        <v/>
      </c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1" t="str">
        <f t="shared" si="92"/>
        <v/>
      </c>
      <c r="LO18" s="11" t="str">
        <f t="shared" si="93"/>
        <v/>
      </c>
      <c r="LP18" s="11" t="str">
        <f t="shared" si="94"/>
        <v/>
      </c>
      <c r="LQ18" s="11" t="str">
        <f t="shared" si="95"/>
        <v/>
      </c>
      <c r="LR18" s="11" t="str">
        <f t="shared" si="96"/>
        <v/>
      </c>
      <c r="LS18" s="11" t="str">
        <f t="shared" si="97"/>
        <v/>
      </c>
      <c r="LT18" s="11" t="str">
        <f t="shared" si="98"/>
        <v/>
      </c>
      <c r="LU18" s="11" t="str">
        <f t="shared" si="99"/>
        <v/>
      </c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40" t="str">
        <f t="shared" si="100"/>
        <v/>
      </c>
      <c r="MQ18" s="40" t="str">
        <f t="shared" si="101"/>
        <v/>
      </c>
      <c r="MR18" s="40" t="str">
        <f t="shared" si="102"/>
        <v/>
      </c>
      <c r="MS18" s="40" t="str">
        <f t="shared" si="103"/>
        <v/>
      </c>
      <c r="MT18" s="40" t="str">
        <f t="shared" si="104"/>
        <v/>
      </c>
      <c r="MU18" s="40" t="str">
        <f t="shared" si="105"/>
        <v/>
      </c>
      <c r="MV18" s="40" t="str">
        <f t="shared" si="106"/>
        <v/>
      </c>
      <c r="MW18" s="40" t="str">
        <f t="shared" si="107"/>
        <v/>
      </c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1" t="str">
        <f t="shared" si="108"/>
        <v/>
      </c>
      <c r="NS18" s="11" t="str">
        <f t="shared" si="109"/>
        <v/>
      </c>
      <c r="NT18" s="11" t="str">
        <f t="shared" si="110"/>
        <v/>
      </c>
      <c r="NU18" s="11" t="str">
        <f t="shared" si="111"/>
        <v/>
      </c>
      <c r="NV18" s="11" t="str">
        <f t="shared" si="112"/>
        <v/>
      </c>
      <c r="NW18" s="11" t="str">
        <f t="shared" si="113"/>
        <v/>
      </c>
      <c r="NX18" s="11" t="str">
        <f t="shared" si="114"/>
        <v/>
      </c>
      <c r="NY18" s="11" t="str">
        <f t="shared" si="115"/>
        <v/>
      </c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40" t="str">
        <f t="shared" si="116"/>
        <v/>
      </c>
      <c r="OU18" s="40" t="str">
        <f t="shared" si="117"/>
        <v/>
      </c>
      <c r="OV18" s="40" t="str">
        <f t="shared" si="118"/>
        <v/>
      </c>
      <c r="OW18" s="40" t="str">
        <f t="shared" si="119"/>
        <v/>
      </c>
      <c r="OX18" s="40" t="str">
        <f t="shared" si="120"/>
        <v/>
      </c>
      <c r="OY18" s="40" t="str">
        <f t="shared" si="121"/>
        <v/>
      </c>
      <c r="OZ18" s="40" t="str">
        <f t="shared" si="122"/>
        <v/>
      </c>
      <c r="PA18" s="40" t="str">
        <f t="shared" si="123"/>
        <v/>
      </c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1" t="str">
        <f t="shared" si="124"/>
        <v/>
      </c>
      <c r="PW18" s="11" t="str">
        <f t="shared" si="125"/>
        <v/>
      </c>
      <c r="PX18" s="11" t="str">
        <f t="shared" si="126"/>
        <v/>
      </c>
      <c r="PY18" s="11" t="str">
        <f t="shared" si="127"/>
        <v/>
      </c>
      <c r="PZ18" s="11" t="str">
        <f t="shared" si="128"/>
        <v/>
      </c>
      <c r="QA18" s="11" t="str">
        <f t="shared" si="129"/>
        <v/>
      </c>
      <c r="QB18" s="11" t="str">
        <f t="shared" si="130"/>
        <v/>
      </c>
      <c r="QC18" s="11" t="str">
        <f t="shared" si="131"/>
        <v/>
      </c>
      <c r="QD18" s="22">
        <f t="shared" si="132"/>
        <v>7.8</v>
      </c>
      <c r="QE18" s="22">
        <f t="shared" si="133"/>
        <v>0.6</v>
      </c>
      <c r="QF18" s="22">
        <f t="shared" si="134"/>
        <v>0</v>
      </c>
      <c r="QG18" s="22">
        <f t="shared" si="135"/>
        <v>0</v>
      </c>
      <c r="QH18" s="22">
        <f t="shared" si="136"/>
        <v>7.7</v>
      </c>
      <c r="QI18" s="22">
        <f t="shared" si="137"/>
        <v>0.45</v>
      </c>
      <c r="QJ18" s="22">
        <f t="shared" si="138"/>
        <v>0</v>
      </c>
      <c r="QK18" s="22">
        <f t="shared" si="139"/>
        <v>0</v>
      </c>
      <c r="QL18" s="22">
        <f t="shared" si="140"/>
        <v>0</v>
      </c>
      <c r="QM18" s="22">
        <f t="shared" si="141"/>
        <v>0</v>
      </c>
      <c r="QN18" s="22">
        <f t="shared" si="142"/>
        <v>0</v>
      </c>
      <c r="QO18" s="22">
        <f t="shared" si="143"/>
        <v>0</v>
      </c>
      <c r="QP18" s="22">
        <f t="shared" si="144"/>
        <v>0</v>
      </c>
      <c r="QQ18" s="22">
        <f t="shared" si="145"/>
        <v>0</v>
      </c>
      <c r="QR18" s="22">
        <f t="shared" si="146"/>
        <v>0</v>
      </c>
      <c r="QS18" s="22">
        <f t="shared" si="147"/>
        <v>0</v>
      </c>
      <c r="QT18" s="22">
        <f t="shared" si="148"/>
        <v>0</v>
      </c>
      <c r="QU18" s="22">
        <f t="shared" si="149"/>
        <v>0</v>
      </c>
      <c r="QV18" s="22">
        <f t="shared" si="150"/>
        <v>0</v>
      </c>
      <c r="QW18" s="22">
        <f t="shared" si="151"/>
        <v>0</v>
      </c>
      <c r="QX18" s="27" t="s">
        <v>46</v>
      </c>
      <c r="QY18" s="40">
        <f t="shared" si="152"/>
        <v>1.05</v>
      </c>
      <c r="QZ18" s="40">
        <f t="shared" si="153"/>
        <v>16.55</v>
      </c>
      <c r="RA18" s="40" t="str">
        <f t="shared" si="154"/>
        <v/>
      </c>
      <c r="RB18" s="40">
        <f t="shared" si="155"/>
        <v>1.05</v>
      </c>
      <c r="RC18" s="40">
        <f t="shared" si="156"/>
        <v>16.55</v>
      </c>
      <c r="RD18" s="40" t="str">
        <f t="shared" si="157"/>
        <v/>
      </c>
      <c r="RE18" s="40" t="str">
        <f t="shared" si="158"/>
        <v/>
      </c>
      <c r="RF18" s="40">
        <f t="shared" si="159"/>
        <v>16.55</v>
      </c>
    </row>
    <row r="19" spans="1:474" x14ac:dyDescent="0.2">
      <c r="A19" s="4" t="str" cm="1">
        <f t="array" ref="A19">IF(AND(J19&lt;&gt;"",J19&lt;&gt;"No DD"),SUMPRODUCT((J$4:J$36&lt;&gt;"")*(J$4:J$36&lt;&gt;"No DD")*(F$4:F$36&gt;F19))+1,IF(J19="No DD",SUMPRODUCT((J$4:J$36="No DD")*(F$4:F$36&gt;F19))+1+SUMPRODUCT((J$4:J$36&lt;&gt;"")*(J$4:J$36&lt;&gt;"No DD")),""))</f>
        <v/>
      </c>
      <c r="B19" s="4" t="str" cm="1">
        <f t="array" ref="B19">IF(AND(J19&lt;&gt;"",J19&lt;&gt;"No DD",G19=""),SUMPRODUCT((J$4:J$36&lt;&gt;"")*(J$4:J$36&lt;&gt;"No DD")*(G$4:G$36="")*(F$4:F$36&gt;F19))+1,IF(J19="No DD",SUMPRODUCT((J$4:J$36="No DD")*(F$4:F$36&gt;F19)*(G$4:G$36=""))+1+SUMPRODUCT((J$4:J$36&lt;&gt;"")*(G$4:G$36="")*(J$4:J$36&lt;&gt;"No DD")),""))</f>
        <v/>
      </c>
      <c r="C19" s="5" t="s">
        <v>128</v>
      </c>
      <c r="D19" s="4" t="s">
        <v>31</v>
      </c>
      <c r="E19" s="4">
        <v>2006</v>
      </c>
      <c r="F19" s="9">
        <f t="shared" si="0"/>
        <v>111.40000442000442</v>
      </c>
      <c r="G19" s="64"/>
      <c r="H19" s="3" t="str">
        <f t="shared" si="1"/>
        <v/>
      </c>
      <c r="I19" s="3" t="str">
        <f t="shared" si="2"/>
        <v/>
      </c>
      <c r="J19" s="36" t="str">
        <f t="shared" si="3"/>
        <v/>
      </c>
      <c r="K19" s="3" t="str">
        <f t="shared" si="4"/>
        <v/>
      </c>
      <c r="L19" s="8">
        <f>IF(COUNT(AQ19,BT19,CW19)&gt;0,LARGE((AQ19,BT19,CW19),1),0)</f>
        <v>44.2</v>
      </c>
      <c r="M19" s="8" t="str">
        <f t="shared" si="5"/>
        <v>2024 Nationals</v>
      </c>
      <c r="N19" s="8">
        <f>IF(COUNT(AQ19,BT19,CW19)&gt;1,LARGE((AQ19,BT19,CW19),2),0)</f>
        <v>0</v>
      </c>
      <c r="O19" s="8" t="str">
        <f t="shared" si="6"/>
        <v/>
      </c>
      <c r="P19" s="8">
        <f t="shared" si="7"/>
        <v>22.2</v>
      </c>
      <c r="Q19" s="8" t="str">
        <f t="shared" si="8"/>
        <v>2024 Nationals</v>
      </c>
      <c r="R19" s="8">
        <f t="shared" si="9"/>
        <v>45</v>
      </c>
      <c r="S19" s="11" t="str">
        <f t="shared" si="160"/>
        <v>(Q1)</v>
      </c>
      <c r="T19" s="8" t="str">
        <f t="shared" si="161"/>
        <v>2024 Coimbra Gym Fest (July 7)</v>
      </c>
      <c r="U19" s="19">
        <v>19</v>
      </c>
      <c r="V19" s="19">
        <v>3.5</v>
      </c>
      <c r="W19" s="19">
        <v>0</v>
      </c>
      <c r="X19" s="19">
        <v>0</v>
      </c>
      <c r="Y19" s="19">
        <v>18.600000000000001</v>
      </c>
      <c r="Z19" s="19">
        <v>3.7</v>
      </c>
      <c r="AA19" s="19">
        <v>0.6</v>
      </c>
      <c r="AB19" s="19">
        <v>0</v>
      </c>
      <c r="AC19" s="19">
        <v>18.2</v>
      </c>
      <c r="AD19" s="19">
        <v>4.4000000000000004</v>
      </c>
      <c r="AE19" s="19">
        <v>0.2</v>
      </c>
      <c r="AF19" s="19">
        <v>0</v>
      </c>
      <c r="AG19" s="19">
        <v>18.7</v>
      </c>
      <c r="AH19" s="19">
        <v>3.5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7"/>
      <c r="AP19" s="40">
        <f t="shared" si="10"/>
        <v>7.2</v>
      </c>
      <c r="AQ19" s="40">
        <f t="shared" si="11"/>
        <v>44.2</v>
      </c>
      <c r="AR19" s="40">
        <f t="shared" si="12"/>
        <v>22.400000000000002</v>
      </c>
      <c r="AS19" s="40">
        <f t="shared" si="13"/>
        <v>11.600000000000001</v>
      </c>
      <c r="AT19" s="40">
        <f t="shared" si="14"/>
        <v>66.600000000000009</v>
      </c>
      <c r="AU19" s="40">
        <f t="shared" si="15"/>
        <v>3.5</v>
      </c>
      <c r="AV19" s="40">
        <f t="shared" si="16"/>
        <v>22.2</v>
      </c>
      <c r="AW19" s="40">
        <f t="shared" si="17"/>
        <v>88.800000000000011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18"/>
        <v/>
      </c>
      <c r="BT19" s="11" t="str">
        <f t="shared" si="19"/>
        <v/>
      </c>
      <c r="BU19" s="11" t="str">
        <f t="shared" si="20"/>
        <v/>
      </c>
      <c r="BV19" s="11" t="str">
        <f t="shared" si="21"/>
        <v/>
      </c>
      <c r="BW19" s="11" t="str">
        <f t="shared" si="22"/>
        <v/>
      </c>
      <c r="BX19" s="11" t="str">
        <f t="shared" si="23"/>
        <v/>
      </c>
      <c r="BY19" s="11" t="str">
        <f t="shared" si="24"/>
        <v/>
      </c>
      <c r="BZ19" s="11" t="str">
        <f t="shared" si="25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6"/>
        <v/>
      </c>
      <c r="CW19" s="40" t="str">
        <f t="shared" si="27"/>
        <v/>
      </c>
      <c r="CX19" s="40" t="str">
        <f t="shared" si="28"/>
        <v/>
      </c>
      <c r="CY19" s="40" t="str">
        <f t="shared" si="29"/>
        <v/>
      </c>
      <c r="CZ19" s="40" t="str">
        <f t="shared" si="30"/>
        <v/>
      </c>
      <c r="DA19" s="40" t="str">
        <f t="shared" si="31"/>
        <v/>
      </c>
      <c r="DB19" s="40" t="str">
        <f t="shared" si="32"/>
        <v/>
      </c>
      <c r="DC19" s="40" t="str">
        <f t="shared" si="33"/>
        <v/>
      </c>
      <c r="DD19" s="50">
        <f t="shared" si="34"/>
        <v>45</v>
      </c>
      <c r="DE19" s="50" t="str">
        <f t="shared" si="35"/>
        <v/>
      </c>
      <c r="DF19" s="17">
        <v>18.3</v>
      </c>
      <c r="DG19" s="17">
        <v>4.4000000000000004</v>
      </c>
      <c r="DH19" s="17">
        <v>0.2</v>
      </c>
      <c r="DI19" s="17">
        <v>0</v>
      </c>
      <c r="DJ19" s="17">
        <v>19</v>
      </c>
      <c r="DK19" s="17">
        <v>3.5</v>
      </c>
      <c r="DL19" s="17">
        <v>0</v>
      </c>
      <c r="DM19" s="17">
        <v>0</v>
      </c>
      <c r="DN19" s="17"/>
      <c r="DO19" s="17"/>
      <c r="DP19" s="17"/>
      <c r="DQ19" s="17"/>
      <c r="DR19" s="17">
        <v>17.399999999999999</v>
      </c>
      <c r="DS19" s="17">
        <v>2.4</v>
      </c>
      <c r="DT19" s="17">
        <v>0</v>
      </c>
      <c r="DU19" s="17">
        <v>0</v>
      </c>
      <c r="DV19" s="17"/>
      <c r="DW19" s="17"/>
      <c r="DX19" s="17"/>
      <c r="DY19" s="17"/>
      <c r="DZ19" s="40">
        <f t="shared" si="36"/>
        <v>7.9</v>
      </c>
      <c r="EA19" s="40">
        <f t="shared" si="37"/>
        <v>45</v>
      </c>
      <c r="EB19" s="40" t="str">
        <f t="shared" si="38"/>
        <v/>
      </c>
      <c r="EC19" s="40">
        <f t="shared" si="39"/>
        <v>7.9</v>
      </c>
      <c r="ED19" s="40">
        <f t="shared" si="40"/>
        <v>45</v>
      </c>
      <c r="EE19" s="40">
        <f t="shared" si="41"/>
        <v>2.4</v>
      </c>
      <c r="EF19" s="40">
        <f t="shared" si="42"/>
        <v>19.799999999999997</v>
      </c>
      <c r="EG19" s="40">
        <f t="shared" si="43"/>
        <v>64.8</v>
      </c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1" t="str">
        <f t="shared" si="44"/>
        <v/>
      </c>
      <c r="FC19" s="11" t="str">
        <f t="shared" si="45"/>
        <v/>
      </c>
      <c r="FD19" s="11" t="str">
        <f t="shared" si="46"/>
        <v/>
      </c>
      <c r="FE19" s="11" t="str">
        <f t="shared" si="47"/>
        <v/>
      </c>
      <c r="FF19" s="11" t="str">
        <f t="shared" si="48"/>
        <v/>
      </c>
      <c r="FG19" s="11" t="str">
        <f t="shared" si="49"/>
        <v/>
      </c>
      <c r="FH19" s="11" t="str">
        <f t="shared" si="50"/>
        <v/>
      </c>
      <c r="FI19" s="11" t="str">
        <f t="shared" si="51"/>
        <v/>
      </c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40" t="str">
        <f t="shared" si="52"/>
        <v/>
      </c>
      <c r="GE19" s="40" t="str">
        <f t="shared" si="53"/>
        <v/>
      </c>
      <c r="GF19" s="40" t="str">
        <f t="shared" si="54"/>
        <v/>
      </c>
      <c r="GG19" s="40" t="str">
        <f t="shared" si="55"/>
        <v/>
      </c>
      <c r="GH19" s="40" t="str">
        <f t="shared" si="56"/>
        <v/>
      </c>
      <c r="GI19" s="40" t="str">
        <f t="shared" si="57"/>
        <v/>
      </c>
      <c r="GJ19" s="40" t="str">
        <f t="shared" si="58"/>
        <v/>
      </c>
      <c r="GK19" s="40" t="str">
        <f t="shared" si="59"/>
        <v/>
      </c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1" t="str">
        <f t="shared" si="60"/>
        <v/>
      </c>
      <c r="HG19" s="11" t="str">
        <f t="shared" si="61"/>
        <v/>
      </c>
      <c r="HH19" s="11" t="str">
        <f t="shared" si="62"/>
        <v/>
      </c>
      <c r="HI19" s="11" t="str">
        <f t="shared" si="63"/>
        <v/>
      </c>
      <c r="HJ19" s="11" t="str">
        <f t="shared" si="64"/>
        <v/>
      </c>
      <c r="HK19" s="11" t="str">
        <f t="shared" si="65"/>
        <v/>
      </c>
      <c r="HL19" s="11" t="str">
        <f t="shared" si="66"/>
        <v/>
      </c>
      <c r="HM19" s="11" t="str">
        <f t="shared" si="67"/>
        <v/>
      </c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40" t="str">
        <f t="shared" si="68"/>
        <v/>
      </c>
      <c r="II19" s="40" t="str">
        <f t="shared" si="69"/>
        <v/>
      </c>
      <c r="IJ19" s="40" t="str">
        <f t="shared" si="70"/>
        <v/>
      </c>
      <c r="IK19" s="40" t="str">
        <f t="shared" si="71"/>
        <v/>
      </c>
      <c r="IL19" s="40" t="str">
        <f t="shared" si="72"/>
        <v/>
      </c>
      <c r="IM19" s="40" t="str">
        <f t="shared" si="73"/>
        <v/>
      </c>
      <c r="IN19" s="40" t="str">
        <f t="shared" si="74"/>
        <v/>
      </c>
      <c r="IO19" s="40" t="str">
        <f t="shared" si="75"/>
        <v/>
      </c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1" t="str">
        <f t="shared" si="76"/>
        <v/>
      </c>
      <c r="JK19" s="11" t="str">
        <f t="shared" si="77"/>
        <v/>
      </c>
      <c r="JL19" s="11" t="str">
        <f t="shared" si="78"/>
        <v/>
      </c>
      <c r="JM19" s="11" t="str">
        <f t="shared" si="79"/>
        <v/>
      </c>
      <c r="JN19" s="11" t="str">
        <f t="shared" si="80"/>
        <v/>
      </c>
      <c r="JO19" s="11" t="str">
        <f t="shared" si="81"/>
        <v/>
      </c>
      <c r="JP19" s="11" t="str">
        <f t="shared" si="82"/>
        <v/>
      </c>
      <c r="JQ19" s="11" t="str">
        <f t="shared" si="83"/>
        <v/>
      </c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40" t="str">
        <f t="shared" si="84"/>
        <v/>
      </c>
      <c r="KM19" s="40" t="str">
        <f t="shared" si="85"/>
        <v/>
      </c>
      <c r="KN19" s="40" t="str">
        <f t="shared" si="86"/>
        <v/>
      </c>
      <c r="KO19" s="40" t="str">
        <f t="shared" si="87"/>
        <v/>
      </c>
      <c r="KP19" s="40" t="str">
        <f t="shared" si="88"/>
        <v/>
      </c>
      <c r="KQ19" s="40" t="str">
        <f t="shared" si="89"/>
        <v/>
      </c>
      <c r="KR19" s="40" t="str">
        <f t="shared" si="90"/>
        <v/>
      </c>
      <c r="KS19" s="40" t="str">
        <f t="shared" si="91"/>
        <v/>
      </c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1" t="str">
        <f t="shared" si="92"/>
        <v/>
      </c>
      <c r="LO19" s="11" t="str">
        <f t="shared" si="93"/>
        <v/>
      </c>
      <c r="LP19" s="11" t="str">
        <f t="shared" si="94"/>
        <v/>
      </c>
      <c r="LQ19" s="11" t="str">
        <f t="shared" si="95"/>
        <v/>
      </c>
      <c r="LR19" s="11" t="str">
        <f t="shared" si="96"/>
        <v/>
      </c>
      <c r="LS19" s="11" t="str">
        <f t="shared" si="97"/>
        <v/>
      </c>
      <c r="LT19" s="11" t="str">
        <f t="shared" si="98"/>
        <v/>
      </c>
      <c r="LU19" s="11" t="str">
        <f t="shared" si="99"/>
        <v/>
      </c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40" t="str">
        <f t="shared" si="100"/>
        <v/>
      </c>
      <c r="MQ19" s="40" t="str">
        <f t="shared" si="101"/>
        <v/>
      </c>
      <c r="MR19" s="40" t="str">
        <f t="shared" si="102"/>
        <v/>
      </c>
      <c r="MS19" s="40" t="str">
        <f t="shared" si="103"/>
        <v/>
      </c>
      <c r="MT19" s="40" t="str">
        <f t="shared" si="104"/>
        <v/>
      </c>
      <c r="MU19" s="40" t="str">
        <f t="shared" si="105"/>
        <v/>
      </c>
      <c r="MV19" s="40" t="str">
        <f t="shared" si="106"/>
        <v/>
      </c>
      <c r="MW19" s="40" t="str">
        <f t="shared" si="107"/>
        <v/>
      </c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1" t="str">
        <f t="shared" si="108"/>
        <v/>
      </c>
      <c r="NS19" s="11" t="str">
        <f t="shared" si="109"/>
        <v/>
      </c>
      <c r="NT19" s="11" t="str">
        <f t="shared" si="110"/>
        <v/>
      </c>
      <c r="NU19" s="11" t="str">
        <f t="shared" si="111"/>
        <v/>
      </c>
      <c r="NV19" s="11" t="str">
        <f t="shared" si="112"/>
        <v/>
      </c>
      <c r="NW19" s="11" t="str">
        <f t="shared" si="113"/>
        <v/>
      </c>
      <c r="NX19" s="11" t="str">
        <f t="shared" si="114"/>
        <v/>
      </c>
      <c r="NY19" s="11" t="str">
        <f t="shared" si="115"/>
        <v/>
      </c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40" t="str">
        <f t="shared" si="116"/>
        <v/>
      </c>
      <c r="OU19" s="40" t="str">
        <f t="shared" si="117"/>
        <v/>
      </c>
      <c r="OV19" s="40" t="str">
        <f t="shared" si="118"/>
        <v/>
      </c>
      <c r="OW19" s="40" t="str">
        <f t="shared" si="119"/>
        <v/>
      </c>
      <c r="OX19" s="40" t="str">
        <f t="shared" si="120"/>
        <v/>
      </c>
      <c r="OY19" s="40" t="str">
        <f t="shared" si="121"/>
        <v/>
      </c>
      <c r="OZ19" s="40" t="str">
        <f t="shared" si="122"/>
        <v/>
      </c>
      <c r="PA19" s="40" t="str">
        <f t="shared" si="123"/>
        <v/>
      </c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1" t="str">
        <f t="shared" si="124"/>
        <v/>
      </c>
      <c r="PW19" s="11" t="str">
        <f t="shared" si="125"/>
        <v/>
      </c>
      <c r="PX19" s="11" t="str">
        <f t="shared" si="126"/>
        <v/>
      </c>
      <c r="PY19" s="11" t="str">
        <f t="shared" si="127"/>
        <v/>
      </c>
      <c r="PZ19" s="11" t="str">
        <f t="shared" si="128"/>
        <v/>
      </c>
      <c r="QA19" s="11" t="str">
        <f t="shared" si="129"/>
        <v/>
      </c>
      <c r="QB19" s="11" t="str">
        <f t="shared" si="130"/>
        <v/>
      </c>
      <c r="QC19" s="11" t="str">
        <f t="shared" si="131"/>
        <v/>
      </c>
      <c r="QD19" s="22">
        <f t="shared" si="132"/>
        <v>0</v>
      </c>
      <c r="QE19" s="22">
        <f t="shared" si="133"/>
        <v>0</v>
      </c>
      <c r="QF19" s="22">
        <f t="shared" si="134"/>
        <v>0</v>
      </c>
      <c r="QG19" s="22">
        <f t="shared" si="135"/>
        <v>0</v>
      </c>
      <c r="QH19" s="22">
        <f t="shared" si="136"/>
        <v>0</v>
      </c>
      <c r="QI19" s="22">
        <f t="shared" si="137"/>
        <v>0</v>
      </c>
      <c r="QJ19" s="22">
        <f t="shared" si="138"/>
        <v>0</v>
      </c>
      <c r="QK19" s="22">
        <f t="shared" si="139"/>
        <v>0</v>
      </c>
      <c r="QL19" s="22">
        <f t="shared" si="140"/>
        <v>0</v>
      </c>
      <c r="QM19" s="22">
        <f t="shared" si="141"/>
        <v>0</v>
      </c>
      <c r="QN19" s="22">
        <f t="shared" si="142"/>
        <v>0</v>
      </c>
      <c r="QO19" s="22">
        <f t="shared" si="143"/>
        <v>0</v>
      </c>
      <c r="QP19" s="22">
        <f t="shared" si="144"/>
        <v>0</v>
      </c>
      <c r="QQ19" s="22">
        <f t="shared" si="145"/>
        <v>0</v>
      </c>
      <c r="QR19" s="22">
        <f t="shared" si="146"/>
        <v>0</v>
      </c>
      <c r="QS19" s="22">
        <f t="shared" si="147"/>
        <v>0</v>
      </c>
      <c r="QT19" s="22">
        <f t="shared" si="148"/>
        <v>0</v>
      </c>
      <c r="QU19" s="22">
        <f t="shared" si="149"/>
        <v>0</v>
      </c>
      <c r="QV19" s="22">
        <f t="shared" si="150"/>
        <v>0</v>
      </c>
      <c r="QW19" s="22">
        <f t="shared" si="151"/>
        <v>0</v>
      </c>
      <c r="QX19" s="27" t="s">
        <v>46</v>
      </c>
      <c r="QY19" s="40" t="str">
        <f t="shared" si="152"/>
        <v/>
      </c>
      <c r="QZ19" s="40" t="str">
        <f t="shared" si="153"/>
        <v/>
      </c>
      <c r="RA19" s="40" t="str">
        <f t="shared" si="154"/>
        <v/>
      </c>
      <c r="RB19" s="40" t="str">
        <f t="shared" si="155"/>
        <v/>
      </c>
      <c r="RC19" s="40" t="str">
        <f t="shared" si="156"/>
        <v/>
      </c>
      <c r="RD19" s="40" t="str">
        <f t="shared" si="157"/>
        <v/>
      </c>
      <c r="RE19" s="40" t="str">
        <f t="shared" si="158"/>
        <v/>
      </c>
      <c r="RF19" s="40" t="str">
        <f t="shared" si="159"/>
        <v/>
      </c>
    </row>
    <row r="20" spans="1:474" x14ac:dyDescent="0.2">
      <c r="A20" s="4" t="str" cm="1">
        <f t="array" ref="A20">IF(AND(J20&lt;&gt;"",J20&lt;&gt;"No DD"),SUMPRODUCT((J$4:J$36&lt;&gt;"")*(J$4:J$36&lt;&gt;"No DD")*(F$4:F$36&gt;F20))+1,IF(J20="No DD",SUMPRODUCT((J$4:J$36="No DD")*(F$4:F$36&gt;F20))+1+SUMPRODUCT((J$4:J$36&lt;&gt;"")*(J$4:J$36&lt;&gt;"No DD")),""))</f>
        <v/>
      </c>
      <c r="B20" s="4" t="str" cm="1">
        <f t="array" ref="B20">IF(AND(J20&lt;&gt;"",J20&lt;&gt;"No DD",G20=""),SUMPRODUCT((J$4:J$36&lt;&gt;"")*(J$4:J$36&lt;&gt;"No DD")*(G$4:G$36="")*(F$4:F$36&gt;F20))+1,IF(J20="No DD",SUMPRODUCT((J$4:J$36="No DD")*(F$4:F$36&gt;F20)*(G$4:G$36=""))+1+SUMPRODUCT((J$4:J$36&lt;&gt;"")*(G$4:G$36="")*(J$4:J$36&lt;&gt;"No DD")),""))</f>
        <v/>
      </c>
      <c r="C20" s="5" t="s">
        <v>226</v>
      </c>
      <c r="D20" s="4" t="s">
        <v>31</v>
      </c>
      <c r="E20" s="4">
        <v>2007</v>
      </c>
      <c r="F20" s="9">
        <f t="shared" si="0"/>
        <v>90.500004510004501</v>
      </c>
      <c r="G20" s="64"/>
      <c r="H20" s="3" t="str">
        <f t="shared" si="1"/>
        <v/>
      </c>
      <c r="I20" s="3" t="str">
        <f t="shared" si="2"/>
        <v/>
      </c>
      <c r="J20" s="36" t="str">
        <f t="shared" si="3"/>
        <v/>
      </c>
      <c r="K20" s="3" t="str">
        <f t="shared" si="4"/>
        <v/>
      </c>
      <c r="L20" s="8">
        <f>IF(COUNT(AQ20,BT20,CW20)&gt;0,LARGE((AQ20,BT20,CW20),1),0)</f>
        <v>45.099999999999994</v>
      </c>
      <c r="M20" s="8" t="str">
        <f t="shared" si="5"/>
        <v>2025 Elite Canada</v>
      </c>
      <c r="N20" s="8">
        <f>IF(COUNT(AQ20,BT20,CW20)&gt;1,LARGE((AQ20,BT20,CW20),2),0)</f>
        <v>0</v>
      </c>
      <c r="O20" s="8" t="str">
        <f t="shared" si="6"/>
        <v/>
      </c>
      <c r="P20" s="8">
        <f t="shared" si="7"/>
        <v>45.4</v>
      </c>
      <c r="Q20" s="8" t="str">
        <f t="shared" si="8"/>
        <v>2025 Elite Canada</v>
      </c>
      <c r="R20" s="8" t="str">
        <f t="shared" si="9"/>
        <v/>
      </c>
      <c r="S20" s="11" t="str">
        <f t="shared" si="160"/>
        <v/>
      </c>
      <c r="T20" s="8" t="str">
        <f t="shared" si="16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0"/>
        <v/>
      </c>
      <c r="AQ20" s="40" t="str">
        <f t="shared" si="11"/>
        <v/>
      </c>
      <c r="AR20" s="40" t="str">
        <f t="shared" si="12"/>
        <v/>
      </c>
      <c r="AS20" s="40" t="str">
        <f t="shared" si="13"/>
        <v/>
      </c>
      <c r="AT20" s="40" t="str">
        <f t="shared" si="14"/>
        <v/>
      </c>
      <c r="AU20" s="40" t="str">
        <f t="shared" si="15"/>
        <v/>
      </c>
      <c r="AV20" s="40" t="str">
        <f t="shared" si="16"/>
        <v/>
      </c>
      <c r="AW20" s="40" t="str">
        <f t="shared" si="17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18"/>
        <v/>
      </c>
      <c r="BT20" s="11" t="str">
        <f t="shared" si="19"/>
        <v/>
      </c>
      <c r="BU20" s="11" t="str">
        <f t="shared" si="20"/>
        <v/>
      </c>
      <c r="BV20" s="11" t="str">
        <f t="shared" si="21"/>
        <v/>
      </c>
      <c r="BW20" s="11" t="str">
        <f t="shared" si="22"/>
        <v/>
      </c>
      <c r="BX20" s="11" t="str">
        <f t="shared" si="23"/>
        <v/>
      </c>
      <c r="BY20" s="11" t="str">
        <f t="shared" si="24"/>
        <v/>
      </c>
      <c r="BZ20" s="11" t="str">
        <f t="shared" si="25"/>
        <v/>
      </c>
      <c r="CA20" s="19">
        <v>18.3</v>
      </c>
      <c r="CB20" s="19">
        <v>4.8</v>
      </c>
      <c r="CC20" s="19">
        <v>1</v>
      </c>
      <c r="CD20" s="19">
        <v>0.3</v>
      </c>
      <c r="CE20" s="19">
        <v>18.100000000000001</v>
      </c>
      <c r="CF20" s="19">
        <v>4.8</v>
      </c>
      <c r="CG20" s="19">
        <v>0.2</v>
      </c>
      <c r="CH20" s="19">
        <v>0</v>
      </c>
      <c r="CI20" s="19"/>
      <c r="CJ20" s="19"/>
      <c r="CK20" s="19"/>
      <c r="CL20" s="19"/>
      <c r="CM20" s="19">
        <v>18.3</v>
      </c>
      <c r="CN20" s="19">
        <v>5.2</v>
      </c>
      <c r="CO20" s="19">
        <v>0.8</v>
      </c>
      <c r="CP20" s="19">
        <v>0.3</v>
      </c>
      <c r="CQ20" s="19">
        <v>18.2</v>
      </c>
      <c r="CR20" s="19">
        <v>4.4000000000000004</v>
      </c>
      <c r="CS20" s="19">
        <v>0.2</v>
      </c>
      <c r="CT20" s="19">
        <v>0</v>
      </c>
      <c r="CU20" s="27"/>
      <c r="CV20" s="40">
        <f t="shared" si="26"/>
        <v>9.6</v>
      </c>
      <c r="CW20" s="40">
        <f t="shared" si="27"/>
        <v>45.099999999999994</v>
      </c>
      <c r="CX20" s="40" t="str">
        <f t="shared" si="28"/>
        <v/>
      </c>
      <c r="CY20" s="40">
        <f t="shared" si="29"/>
        <v>9.6</v>
      </c>
      <c r="CZ20" s="40">
        <f t="shared" si="30"/>
        <v>45.099999999999994</v>
      </c>
      <c r="DA20" s="40">
        <f t="shared" si="31"/>
        <v>9.6000000000000014</v>
      </c>
      <c r="DB20" s="40">
        <f t="shared" si="32"/>
        <v>45.4</v>
      </c>
      <c r="DC20" s="40">
        <f t="shared" si="33"/>
        <v>90.5</v>
      </c>
      <c r="DD20" s="50" t="str">
        <f t="shared" si="34"/>
        <v/>
      </c>
      <c r="DE20" s="50" t="str">
        <f t="shared" si="35"/>
        <v/>
      </c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40" t="str">
        <f t="shared" si="36"/>
        <v/>
      </c>
      <c r="EA20" s="40" t="str">
        <f t="shared" si="37"/>
        <v/>
      </c>
      <c r="EB20" s="40" t="str">
        <f t="shared" si="38"/>
        <v/>
      </c>
      <c r="EC20" s="40" t="str">
        <f t="shared" si="39"/>
        <v/>
      </c>
      <c r="ED20" s="40" t="str">
        <f t="shared" si="40"/>
        <v/>
      </c>
      <c r="EE20" s="40" t="str">
        <f t="shared" si="41"/>
        <v/>
      </c>
      <c r="EF20" s="40" t="str">
        <f t="shared" si="42"/>
        <v/>
      </c>
      <c r="EG20" s="40" t="str">
        <f t="shared" si="43"/>
        <v/>
      </c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1" t="str">
        <f t="shared" si="44"/>
        <v/>
      </c>
      <c r="FC20" s="11" t="str">
        <f t="shared" si="45"/>
        <v/>
      </c>
      <c r="FD20" s="11" t="str">
        <f t="shared" si="46"/>
        <v/>
      </c>
      <c r="FE20" s="11" t="str">
        <f t="shared" si="47"/>
        <v/>
      </c>
      <c r="FF20" s="11" t="str">
        <f t="shared" si="48"/>
        <v/>
      </c>
      <c r="FG20" s="11" t="str">
        <f t="shared" si="49"/>
        <v/>
      </c>
      <c r="FH20" s="11" t="str">
        <f t="shared" si="50"/>
        <v/>
      </c>
      <c r="FI20" s="11" t="str">
        <f t="shared" si="51"/>
        <v/>
      </c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40" t="str">
        <f t="shared" si="52"/>
        <v/>
      </c>
      <c r="GE20" s="40" t="str">
        <f t="shared" si="53"/>
        <v/>
      </c>
      <c r="GF20" s="40" t="str">
        <f t="shared" si="54"/>
        <v/>
      </c>
      <c r="GG20" s="40" t="str">
        <f t="shared" si="55"/>
        <v/>
      </c>
      <c r="GH20" s="40" t="str">
        <f t="shared" si="56"/>
        <v/>
      </c>
      <c r="GI20" s="40" t="str">
        <f t="shared" si="57"/>
        <v/>
      </c>
      <c r="GJ20" s="40" t="str">
        <f t="shared" si="58"/>
        <v/>
      </c>
      <c r="GK20" s="40" t="str">
        <f t="shared" si="59"/>
        <v/>
      </c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1" t="str">
        <f t="shared" si="60"/>
        <v/>
      </c>
      <c r="HG20" s="11" t="str">
        <f t="shared" si="61"/>
        <v/>
      </c>
      <c r="HH20" s="11" t="str">
        <f t="shared" si="62"/>
        <v/>
      </c>
      <c r="HI20" s="11" t="str">
        <f t="shared" si="63"/>
        <v/>
      </c>
      <c r="HJ20" s="11" t="str">
        <f t="shared" si="64"/>
        <v/>
      </c>
      <c r="HK20" s="11" t="str">
        <f t="shared" si="65"/>
        <v/>
      </c>
      <c r="HL20" s="11" t="str">
        <f t="shared" si="66"/>
        <v/>
      </c>
      <c r="HM20" s="11" t="str">
        <f t="shared" si="67"/>
        <v/>
      </c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40" t="str">
        <f t="shared" si="68"/>
        <v/>
      </c>
      <c r="II20" s="40" t="str">
        <f t="shared" si="69"/>
        <v/>
      </c>
      <c r="IJ20" s="40" t="str">
        <f t="shared" si="70"/>
        <v/>
      </c>
      <c r="IK20" s="40" t="str">
        <f t="shared" si="71"/>
        <v/>
      </c>
      <c r="IL20" s="40" t="str">
        <f t="shared" si="72"/>
        <v/>
      </c>
      <c r="IM20" s="40" t="str">
        <f t="shared" si="73"/>
        <v/>
      </c>
      <c r="IN20" s="40" t="str">
        <f t="shared" si="74"/>
        <v/>
      </c>
      <c r="IO20" s="40" t="str">
        <f t="shared" si="75"/>
        <v/>
      </c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1" t="str">
        <f t="shared" si="76"/>
        <v/>
      </c>
      <c r="JK20" s="11" t="str">
        <f t="shared" si="77"/>
        <v/>
      </c>
      <c r="JL20" s="11" t="str">
        <f t="shared" si="78"/>
        <v/>
      </c>
      <c r="JM20" s="11" t="str">
        <f t="shared" si="79"/>
        <v/>
      </c>
      <c r="JN20" s="11" t="str">
        <f t="shared" si="80"/>
        <v/>
      </c>
      <c r="JO20" s="11" t="str">
        <f t="shared" si="81"/>
        <v/>
      </c>
      <c r="JP20" s="11" t="str">
        <f t="shared" si="82"/>
        <v/>
      </c>
      <c r="JQ20" s="11" t="str">
        <f t="shared" si="83"/>
        <v/>
      </c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40" t="str">
        <f t="shared" si="84"/>
        <v/>
      </c>
      <c r="KM20" s="40" t="str">
        <f t="shared" si="85"/>
        <v/>
      </c>
      <c r="KN20" s="40" t="str">
        <f t="shared" si="86"/>
        <v/>
      </c>
      <c r="KO20" s="40" t="str">
        <f t="shared" si="87"/>
        <v/>
      </c>
      <c r="KP20" s="40" t="str">
        <f t="shared" si="88"/>
        <v/>
      </c>
      <c r="KQ20" s="40" t="str">
        <f t="shared" si="89"/>
        <v/>
      </c>
      <c r="KR20" s="40" t="str">
        <f t="shared" si="90"/>
        <v/>
      </c>
      <c r="KS20" s="40" t="str">
        <f t="shared" si="91"/>
        <v/>
      </c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1" t="str">
        <f t="shared" si="92"/>
        <v/>
      </c>
      <c r="LO20" s="11" t="str">
        <f t="shared" si="93"/>
        <v/>
      </c>
      <c r="LP20" s="11" t="str">
        <f t="shared" si="94"/>
        <v/>
      </c>
      <c r="LQ20" s="11" t="str">
        <f t="shared" si="95"/>
        <v/>
      </c>
      <c r="LR20" s="11" t="str">
        <f t="shared" si="96"/>
        <v/>
      </c>
      <c r="LS20" s="11" t="str">
        <f t="shared" si="97"/>
        <v/>
      </c>
      <c r="LT20" s="11" t="str">
        <f t="shared" si="98"/>
        <v/>
      </c>
      <c r="LU20" s="11" t="str">
        <f t="shared" si="99"/>
        <v/>
      </c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40" t="str">
        <f t="shared" si="100"/>
        <v/>
      </c>
      <c r="MQ20" s="40" t="str">
        <f t="shared" si="101"/>
        <v/>
      </c>
      <c r="MR20" s="40" t="str">
        <f t="shared" si="102"/>
        <v/>
      </c>
      <c r="MS20" s="40" t="str">
        <f t="shared" si="103"/>
        <v/>
      </c>
      <c r="MT20" s="40" t="str">
        <f t="shared" si="104"/>
        <v/>
      </c>
      <c r="MU20" s="40" t="str">
        <f t="shared" si="105"/>
        <v/>
      </c>
      <c r="MV20" s="40" t="str">
        <f t="shared" si="106"/>
        <v/>
      </c>
      <c r="MW20" s="40" t="str">
        <f t="shared" si="107"/>
        <v/>
      </c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1" t="str">
        <f t="shared" si="108"/>
        <v/>
      </c>
      <c r="NS20" s="11" t="str">
        <f t="shared" si="109"/>
        <v/>
      </c>
      <c r="NT20" s="11" t="str">
        <f t="shared" si="110"/>
        <v/>
      </c>
      <c r="NU20" s="11" t="str">
        <f t="shared" si="111"/>
        <v/>
      </c>
      <c r="NV20" s="11" t="str">
        <f t="shared" si="112"/>
        <v/>
      </c>
      <c r="NW20" s="11" t="str">
        <f t="shared" si="113"/>
        <v/>
      </c>
      <c r="NX20" s="11" t="str">
        <f t="shared" si="114"/>
        <v/>
      </c>
      <c r="NY20" s="11" t="str">
        <f t="shared" si="115"/>
        <v/>
      </c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40" t="str">
        <f t="shared" si="116"/>
        <v/>
      </c>
      <c r="OU20" s="40" t="str">
        <f t="shared" si="117"/>
        <v/>
      </c>
      <c r="OV20" s="40" t="str">
        <f t="shared" si="118"/>
        <v/>
      </c>
      <c r="OW20" s="40" t="str">
        <f t="shared" si="119"/>
        <v/>
      </c>
      <c r="OX20" s="40" t="str">
        <f t="shared" si="120"/>
        <v/>
      </c>
      <c r="OY20" s="40" t="str">
        <f t="shared" si="121"/>
        <v/>
      </c>
      <c r="OZ20" s="40" t="str">
        <f t="shared" si="122"/>
        <v/>
      </c>
      <c r="PA20" s="40" t="str">
        <f t="shared" si="123"/>
        <v/>
      </c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1" t="str">
        <f t="shared" si="124"/>
        <v/>
      </c>
      <c r="PW20" s="11" t="str">
        <f t="shared" si="125"/>
        <v/>
      </c>
      <c r="PX20" s="11" t="str">
        <f t="shared" si="126"/>
        <v/>
      </c>
      <c r="PY20" s="11" t="str">
        <f t="shared" si="127"/>
        <v/>
      </c>
      <c r="PZ20" s="11" t="str">
        <f t="shared" si="128"/>
        <v/>
      </c>
      <c r="QA20" s="11" t="str">
        <f t="shared" si="129"/>
        <v/>
      </c>
      <c r="QB20" s="11" t="str">
        <f t="shared" si="130"/>
        <v/>
      </c>
      <c r="QC20" s="11" t="str">
        <f t="shared" si="131"/>
        <v/>
      </c>
      <c r="QD20" s="22">
        <f t="shared" si="132"/>
        <v>9.15</v>
      </c>
      <c r="QE20" s="22">
        <f t="shared" si="133"/>
        <v>2.4</v>
      </c>
      <c r="QF20" s="22">
        <f t="shared" si="134"/>
        <v>0.5</v>
      </c>
      <c r="QG20" s="22">
        <f t="shared" si="135"/>
        <v>0.15</v>
      </c>
      <c r="QH20" s="22">
        <f t="shared" si="136"/>
        <v>9.0500000000000007</v>
      </c>
      <c r="QI20" s="22">
        <f t="shared" si="137"/>
        <v>2.4</v>
      </c>
      <c r="QJ20" s="22">
        <f t="shared" si="138"/>
        <v>0.1</v>
      </c>
      <c r="QK20" s="22">
        <f t="shared" si="139"/>
        <v>0</v>
      </c>
      <c r="QL20" s="22">
        <f t="shared" si="140"/>
        <v>0</v>
      </c>
      <c r="QM20" s="22">
        <f t="shared" si="141"/>
        <v>0</v>
      </c>
      <c r="QN20" s="22">
        <f t="shared" si="142"/>
        <v>0</v>
      </c>
      <c r="QO20" s="22">
        <f t="shared" si="143"/>
        <v>0</v>
      </c>
      <c r="QP20" s="22">
        <f t="shared" si="144"/>
        <v>9.15</v>
      </c>
      <c r="QQ20" s="22">
        <f t="shared" si="145"/>
        <v>2.6</v>
      </c>
      <c r="QR20" s="22">
        <f t="shared" si="146"/>
        <v>0.4</v>
      </c>
      <c r="QS20" s="22">
        <f t="shared" si="147"/>
        <v>0.15</v>
      </c>
      <c r="QT20" s="22">
        <f t="shared" si="148"/>
        <v>9.1</v>
      </c>
      <c r="QU20" s="22">
        <f t="shared" si="149"/>
        <v>2.2000000000000002</v>
      </c>
      <c r="QV20" s="22">
        <f t="shared" si="150"/>
        <v>0.1</v>
      </c>
      <c r="QW20" s="22">
        <f t="shared" si="151"/>
        <v>0</v>
      </c>
      <c r="QX20" s="27" t="s">
        <v>46</v>
      </c>
      <c r="QY20" s="40">
        <f t="shared" si="152"/>
        <v>4.8</v>
      </c>
      <c r="QZ20" s="40">
        <f t="shared" si="153"/>
        <v>22.549999999999997</v>
      </c>
      <c r="RA20" s="40" t="str">
        <f t="shared" si="154"/>
        <v/>
      </c>
      <c r="RB20" s="40">
        <f t="shared" si="155"/>
        <v>4.8</v>
      </c>
      <c r="RC20" s="40">
        <f t="shared" si="156"/>
        <v>22.549999999999997</v>
      </c>
      <c r="RD20" s="40">
        <f t="shared" si="157"/>
        <v>4.8000000000000007</v>
      </c>
      <c r="RE20" s="40">
        <f t="shared" si="158"/>
        <v>22.7</v>
      </c>
      <c r="RF20" s="40">
        <f t="shared" si="159"/>
        <v>45.25</v>
      </c>
    </row>
    <row r="21" spans="1:474" x14ac:dyDescent="0.2">
      <c r="A21" s="4" t="str" cm="1">
        <f t="array" ref="A21">IF(AND(J21&lt;&gt;"",J21&lt;&gt;"No DD"),SUMPRODUCT((J$4:J$36&lt;&gt;"")*(J$4:J$36&lt;&gt;"No DD")*(F$4:F$36&gt;F21))+1,IF(J21="No DD",SUMPRODUCT((J$4:J$36="No DD")*(F$4:F$36&gt;F21))+1+SUMPRODUCT((J$4:J$36&lt;&gt;"")*(J$4:J$36&lt;&gt;"No DD")),""))</f>
        <v/>
      </c>
      <c r="B21" s="4" t="str" cm="1">
        <f t="array" ref="B21">IF(AND(J21&lt;&gt;"",J21&lt;&gt;"No DD",G21=""),SUMPRODUCT((J$4:J$36&lt;&gt;"")*(J$4:J$36&lt;&gt;"No DD")*(G$4:G$36="")*(F$4:F$36&gt;F21))+1,IF(J21="No DD",SUMPRODUCT((J$4:J$36="No DD")*(F$4:F$36&gt;F21)*(G$4:G$36=""))+1+SUMPRODUCT((J$4:J$36&lt;&gt;"")*(G$4:G$36="")*(J$4:J$36&lt;&gt;"No DD")),""))</f>
        <v/>
      </c>
      <c r="C21" s="5" t="s">
        <v>228</v>
      </c>
      <c r="D21" s="4" t="s">
        <v>4</v>
      </c>
      <c r="E21" s="4">
        <v>2005</v>
      </c>
      <c r="F21" s="9">
        <f t="shared" si="0"/>
        <v>88.600004420004424</v>
      </c>
      <c r="G21" s="64"/>
      <c r="H21" s="3" t="str">
        <f t="shared" si="1"/>
        <v/>
      </c>
      <c r="I21" s="3" t="str">
        <f t="shared" si="2"/>
        <v/>
      </c>
      <c r="J21" s="36" t="str">
        <f t="shared" si="3"/>
        <v/>
      </c>
      <c r="K21" s="3" t="str">
        <f t="shared" si="4"/>
        <v/>
      </c>
      <c r="L21" s="8">
        <f>IF(COUNT(AQ21,BT21,CW21)&gt;0,LARGE((AQ21,BT21,CW21),1),0)</f>
        <v>44.2</v>
      </c>
      <c r="M21" s="8" t="str">
        <f t="shared" si="5"/>
        <v>2025 Elite Canada</v>
      </c>
      <c r="N21" s="8">
        <f>IF(COUNT(AQ21,BT21,CW21)&gt;1,LARGE((AQ21,BT21,CW21),2),0)</f>
        <v>0</v>
      </c>
      <c r="O21" s="8" t="str">
        <f t="shared" si="6"/>
        <v/>
      </c>
      <c r="P21" s="8">
        <f t="shared" si="7"/>
        <v>44.400000000000006</v>
      </c>
      <c r="Q21" s="8" t="str">
        <f t="shared" si="8"/>
        <v>2025 Elite Canada</v>
      </c>
      <c r="R21" s="8" t="str">
        <f t="shared" si="9"/>
        <v/>
      </c>
      <c r="S21" s="11" t="str">
        <f t="shared" si="160"/>
        <v/>
      </c>
      <c r="T21" s="8" t="str">
        <f t="shared" si="16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0"/>
        <v/>
      </c>
      <c r="AQ21" s="40" t="str">
        <f t="shared" si="11"/>
        <v/>
      </c>
      <c r="AR21" s="40" t="str">
        <f t="shared" si="12"/>
        <v/>
      </c>
      <c r="AS21" s="40" t="str">
        <f t="shared" si="13"/>
        <v/>
      </c>
      <c r="AT21" s="40" t="str">
        <f t="shared" si="14"/>
        <v/>
      </c>
      <c r="AU21" s="40" t="str">
        <f t="shared" si="15"/>
        <v/>
      </c>
      <c r="AV21" s="40" t="str">
        <f t="shared" si="16"/>
        <v/>
      </c>
      <c r="AW21" s="40" t="str">
        <f t="shared" si="17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18"/>
        <v/>
      </c>
      <c r="BT21" s="11" t="str">
        <f t="shared" si="19"/>
        <v/>
      </c>
      <c r="BU21" s="11" t="str">
        <f t="shared" si="20"/>
        <v/>
      </c>
      <c r="BV21" s="11" t="str">
        <f t="shared" si="21"/>
        <v/>
      </c>
      <c r="BW21" s="11" t="str">
        <f t="shared" si="22"/>
        <v/>
      </c>
      <c r="BX21" s="11" t="str">
        <f t="shared" si="23"/>
        <v/>
      </c>
      <c r="BY21" s="11" t="str">
        <f t="shared" si="24"/>
        <v/>
      </c>
      <c r="BZ21" s="11" t="str">
        <f t="shared" si="25"/>
        <v/>
      </c>
      <c r="CA21" s="19">
        <v>18.3</v>
      </c>
      <c r="CB21" s="19">
        <v>3.5</v>
      </c>
      <c r="CC21" s="19">
        <v>0</v>
      </c>
      <c r="CD21" s="19">
        <v>0</v>
      </c>
      <c r="CE21" s="19">
        <v>18.899999999999999</v>
      </c>
      <c r="CF21" s="19">
        <v>3.5</v>
      </c>
      <c r="CG21" s="19">
        <v>0</v>
      </c>
      <c r="CH21" s="19">
        <v>0</v>
      </c>
      <c r="CI21" s="19"/>
      <c r="CJ21" s="19"/>
      <c r="CK21" s="19"/>
      <c r="CL21" s="19"/>
      <c r="CM21" s="19">
        <v>18.3</v>
      </c>
      <c r="CN21" s="19">
        <v>3.5</v>
      </c>
      <c r="CO21" s="19">
        <v>0</v>
      </c>
      <c r="CP21" s="19">
        <v>0</v>
      </c>
      <c r="CQ21" s="19">
        <v>19.100000000000001</v>
      </c>
      <c r="CR21" s="19">
        <v>3.5</v>
      </c>
      <c r="CS21" s="19">
        <v>0</v>
      </c>
      <c r="CT21" s="19">
        <v>0</v>
      </c>
      <c r="CU21" s="27"/>
      <c r="CV21" s="40">
        <f t="shared" si="26"/>
        <v>7</v>
      </c>
      <c r="CW21" s="40">
        <f t="shared" si="27"/>
        <v>44.2</v>
      </c>
      <c r="CX21" s="40" t="str">
        <f t="shared" si="28"/>
        <v/>
      </c>
      <c r="CY21" s="40">
        <f t="shared" si="29"/>
        <v>7</v>
      </c>
      <c r="CZ21" s="40">
        <f t="shared" si="30"/>
        <v>44.2</v>
      </c>
      <c r="DA21" s="40">
        <f t="shared" si="31"/>
        <v>7</v>
      </c>
      <c r="DB21" s="40">
        <f t="shared" si="32"/>
        <v>44.400000000000006</v>
      </c>
      <c r="DC21" s="40">
        <f t="shared" si="33"/>
        <v>88.600000000000009</v>
      </c>
      <c r="DD21" s="50" t="str">
        <f t="shared" si="34"/>
        <v/>
      </c>
      <c r="DE21" s="50" t="str">
        <f t="shared" si="35"/>
        <v/>
      </c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40" t="str">
        <f t="shared" si="36"/>
        <v/>
      </c>
      <c r="EA21" s="40" t="str">
        <f t="shared" si="37"/>
        <v/>
      </c>
      <c r="EB21" s="40" t="str">
        <f t="shared" si="38"/>
        <v/>
      </c>
      <c r="EC21" s="40" t="str">
        <f t="shared" si="39"/>
        <v/>
      </c>
      <c r="ED21" s="40" t="str">
        <f t="shared" si="40"/>
        <v/>
      </c>
      <c r="EE21" s="40" t="str">
        <f t="shared" si="41"/>
        <v/>
      </c>
      <c r="EF21" s="40" t="str">
        <f t="shared" si="42"/>
        <v/>
      </c>
      <c r="EG21" s="40" t="str">
        <f t="shared" si="43"/>
        <v/>
      </c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1" t="str">
        <f t="shared" si="44"/>
        <v/>
      </c>
      <c r="FC21" s="11" t="str">
        <f t="shared" si="45"/>
        <v/>
      </c>
      <c r="FD21" s="11" t="str">
        <f t="shared" si="46"/>
        <v/>
      </c>
      <c r="FE21" s="11" t="str">
        <f t="shared" si="47"/>
        <v/>
      </c>
      <c r="FF21" s="11" t="str">
        <f t="shared" si="48"/>
        <v/>
      </c>
      <c r="FG21" s="11" t="str">
        <f t="shared" si="49"/>
        <v/>
      </c>
      <c r="FH21" s="11" t="str">
        <f t="shared" si="50"/>
        <v/>
      </c>
      <c r="FI21" s="11" t="str">
        <f t="shared" si="51"/>
        <v/>
      </c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40" t="str">
        <f t="shared" si="52"/>
        <v/>
      </c>
      <c r="GE21" s="40" t="str">
        <f t="shared" si="53"/>
        <v/>
      </c>
      <c r="GF21" s="40" t="str">
        <f t="shared" si="54"/>
        <v/>
      </c>
      <c r="GG21" s="40" t="str">
        <f t="shared" si="55"/>
        <v/>
      </c>
      <c r="GH21" s="40" t="str">
        <f t="shared" si="56"/>
        <v/>
      </c>
      <c r="GI21" s="40" t="str">
        <f t="shared" si="57"/>
        <v/>
      </c>
      <c r="GJ21" s="40" t="str">
        <f t="shared" si="58"/>
        <v/>
      </c>
      <c r="GK21" s="40" t="str">
        <f t="shared" si="59"/>
        <v/>
      </c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1" t="str">
        <f t="shared" si="60"/>
        <v/>
      </c>
      <c r="HG21" s="11" t="str">
        <f t="shared" si="61"/>
        <v/>
      </c>
      <c r="HH21" s="11" t="str">
        <f t="shared" si="62"/>
        <v/>
      </c>
      <c r="HI21" s="11" t="str">
        <f t="shared" si="63"/>
        <v/>
      </c>
      <c r="HJ21" s="11" t="str">
        <f t="shared" si="64"/>
        <v/>
      </c>
      <c r="HK21" s="11" t="str">
        <f t="shared" si="65"/>
        <v/>
      </c>
      <c r="HL21" s="11" t="str">
        <f t="shared" si="66"/>
        <v/>
      </c>
      <c r="HM21" s="11" t="str">
        <f t="shared" si="67"/>
        <v/>
      </c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40" t="str">
        <f t="shared" si="68"/>
        <v/>
      </c>
      <c r="II21" s="40" t="str">
        <f t="shared" si="69"/>
        <v/>
      </c>
      <c r="IJ21" s="40" t="str">
        <f t="shared" si="70"/>
        <v/>
      </c>
      <c r="IK21" s="40" t="str">
        <f t="shared" si="71"/>
        <v/>
      </c>
      <c r="IL21" s="40" t="str">
        <f t="shared" si="72"/>
        <v/>
      </c>
      <c r="IM21" s="40" t="str">
        <f t="shared" si="73"/>
        <v/>
      </c>
      <c r="IN21" s="40" t="str">
        <f t="shared" si="74"/>
        <v/>
      </c>
      <c r="IO21" s="40" t="str">
        <f t="shared" si="75"/>
        <v/>
      </c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1" t="str">
        <f t="shared" si="76"/>
        <v/>
      </c>
      <c r="JK21" s="11" t="str">
        <f t="shared" si="77"/>
        <v/>
      </c>
      <c r="JL21" s="11" t="str">
        <f t="shared" si="78"/>
        <v/>
      </c>
      <c r="JM21" s="11" t="str">
        <f t="shared" si="79"/>
        <v/>
      </c>
      <c r="JN21" s="11" t="str">
        <f t="shared" si="80"/>
        <v/>
      </c>
      <c r="JO21" s="11" t="str">
        <f t="shared" si="81"/>
        <v/>
      </c>
      <c r="JP21" s="11" t="str">
        <f t="shared" si="82"/>
        <v/>
      </c>
      <c r="JQ21" s="11" t="str">
        <f t="shared" si="83"/>
        <v/>
      </c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40" t="str">
        <f t="shared" si="84"/>
        <v/>
      </c>
      <c r="KM21" s="40" t="str">
        <f t="shared" si="85"/>
        <v/>
      </c>
      <c r="KN21" s="40" t="str">
        <f t="shared" si="86"/>
        <v/>
      </c>
      <c r="KO21" s="40" t="str">
        <f t="shared" si="87"/>
        <v/>
      </c>
      <c r="KP21" s="40" t="str">
        <f t="shared" si="88"/>
        <v/>
      </c>
      <c r="KQ21" s="40" t="str">
        <f t="shared" si="89"/>
        <v/>
      </c>
      <c r="KR21" s="40" t="str">
        <f t="shared" si="90"/>
        <v/>
      </c>
      <c r="KS21" s="40" t="str">
        <f t="shared" si="91"/>
        <v/>
      </c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1" t="str">
        <f t="shared" si="92"/>
        <v/>
      </c>
      <c r="LO21" s="11" t="str">
        <f t="shared" si="93"/>
        <v/>
      </c>
      <c r="LP21" s="11" t="str">
        <f t="shared" si="94"/>
        <v/>
      </c>
      <c r="LQ21" s="11" t="str">
        <f t="shared" si="95"/>
        <v/>
      </c>
      <c r="LR21" s="11" t="str">
        <f t="shared" si="96"/>
        <v/>
      </c>
      <c r="LS21" s="11" t="str">
        <f t="shared" si="97"/>
        <v/>
      </c>
      <c r="LT21" s="11" t="str">
        <f t="shared" si="98"/>
        <v/>
      </c>
      <c r="LU21" s="11" t="str">
        <f t="shared" si="99"/>
        <v/>
      </c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40" t="str">
        <f t="shared" si="100"/>
        <v/>
      </c>
      <c r="MQ21" s="40" t="str">
        <f t="shared" si="101"/>
        <v/>
      </c>
      <c r="MR21" s="40" t="str">
        <f t="shared" si="102"/>
        <v/>
      </c>
      <c r="MS21" s="40" t="str">
        <f t="shared" si="103"/>
        <v/>
      </c>
      <c r="MT21" s="40" t="str">
        <f t="shared" si="104"/>
        <v/>
      </c>
      <c r="MU21" s="40" t="str">
        <f t="shared" si="105"/>
        <v/>
      </c>
      <c r="MV21" s="40" t="str">
        <f t="shared" si="106"/>
        <v/>
      </c>
      <c r="MW21" s="40" t="str">
        <f t="shared" si="107"/>
        <v/>
      </c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1" t="str">
        <f t="shared" si="108"/>
        <v/>
      </c>
      <c r="NS21" s="11" t="str">
        <f t="shared" si="109"/>
        <v/>
      </c>
      <c r="NT21" s="11" t="str">
        <f t="shared" si="110"/>
        <v/>
      </c>
      <c r="NU21" s="11" t="str">
        <f t="shared" si="111"/>
        <v/>
      </c>
      <c r="NV21" s="11" t="str">
        <f t="shared" si="112"/>
        <v/>
      </c>
      <c r="NW21" s="11" t="str">
        <f t="shared" si="113"/>
        <v/>
      </c>
      <c r="NX21" s="11" t="str">
        <f t="shared" si="114"/>
        <v/>
      </c>
      <c r="NY21" s="11" t="str">
        <f t="shared" si="115"/>
        <v/>
      </c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40" t="str">
        <f t="shared" si="116"/>
        <v/>
      </c>
      <c r="OU21" s="40" t="str">
        <f t="shared" si="117"/>
        <v/>
      </c>
      <c r="OV21" s="40" t="str">
        <f t="shared" si="118"/>
        <v/>
      </c>
      <c r="OW21" s="40" t="str">
        <f t="shared" si="119"/>
        <v/>
      </c>
      <c r="OX21" s="40" t="str">
        <f t="shared" si="120"/>
        <v/>
      </c>
      <c r="OY21" s="40" t="str">
        <f t="shared" si="121"/>
        <v/>
      </c>
      <c r="OZ21" s="40" t="str">
        <f t="shared" si="122"/>
        <v/>
      </c>
      <c r="PA21" s="40" t="str">
        <f t="shared" si="123"/>
        <v/>
      </c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1" t="str">
        <f t="shared" si="124"/>
        <v/>
      </c>
      <c r="PW21" s="11" t="str">
        <f t="shared" si="125"/>
        <v/>
      </c>
      <c r="PX21" s="11" t="str">
        <f t="shared" si="126"/>
        <v/>
      </c>
      <c r="PY21" s="11" t="str">
        <f t="shared" si="127"/>
        <v/>
      </c>
      <c r="PZ21" s="11" t="str">
        <f t="shared" si="128"/>
        <v/>
      </c>
      <c r="QA21" s="11" t="str">
        <f t="shared" si="129"/>
        <v/>
      </c>
      <c r="QB21" s="11" t="str">
        <f t="shared" si="130"/>
        <v/>
      </c>
      <c r="QC21" s="11" t="str">
        <f t="shared" si="131"/>
        <v/>
      </c>
      <c r="QD21" s="22">
        <f t="shared" si="132"/>
        <v>9.15</v>
      </c>
      <c r="QE21" s="22">
        <f t="shared" si="133"/>
        <v>1.75</v>
      </c>
      <c r="QF21" s="22">
        <f t="shared" si="134"/>
        <v>0</v>
      </c>
      <c r="QG21" s="22">
        <f t="shared" si="135"/>
        <v>0</v>
      </c>
      <c r="QH21" s="22">
        <f t="shared" si="136"/>
        <v>9.4499999999999993</v>
      </c>
      <c r="QI21" s="22">
        <f t="shared" si="137"/>
        <v>1.75</v>
      </c>
      <c r="QJ21" s="22">
        <f t="shared" si="138"/>
        <v>0</v>
      </c>
      <c r="QK21" s="22">
        <f t="shared" si="139"/>
        <v>0</v>
      </c>
      <c r="QL21" s="22">
        <f t="shared" si="140"/>
        <v>0</v>
      </c>
      <c r="QM21" s="22">
        <f t="shared" si="141"/>
        <v>0</v>
      </c>
      <c r="QN21" s="22">
        <f t="shared" si="142"/>
        <v>0</v>
      </c>
      <c r="QO21" s="22">
        <f t="shared" si="143"/>
        <v>0</v>
      </c>
      <c r="QP21" s="22">
        <f t="shared" si="144"/>
        <v>9.15</v>
      </c>
      <c r="QQ21" s="22">
        <f t="shared" si="145"/>
        <v>1.75</v>
      </c>
      <c r="QR21" s="22">
        <f t="shared" si="146"/>
        <v>0</v>
      </c>
      <c r="QS21" s="22">
        <f t="shared" si="147"/>
        <v>0</v>
      </c>
      <c r="QT21" s="22">
        <f t="shared" si="148"/>
        <v>9.5500000000000007</v>
      </c>
      <c r="QU21" s="22">
        <f t="shared" si="149"/>
        <v>1.75</v>
      </c>
      <c r="QV21" s="22">
        <f t="shared" si="150"/>
        <v>0</v>
      </c>
      <c r="QW21" s="22">
        <f t="shared" si="151"/>
        <v>0</v>
      </c>
      <c r="QX21" s="27" t="s">
        <v>46</v>
      </c>
      <c r="QY21" s="40">
        <f t="shared" si="152"/>
        <v>3.5</v>
      </c>
      <c r="QZ21" s="40">
        <f t="shared" si="153"/>
        <v>22.1</v>
      </c>
      <c r="RA21" s="40" t="str">
        <f t="shared" si="154"/>
        <v/>
      </c>
      <c r="RB21" s="40">
        <f t="shared" si="155"/>
        <v>3.5</v>
      </c>
      <c r="RC21" s="40">
        <f t="shared" si="156"/>
        <v>22.1</v>
      </c>
      <c r="RD21" s="40">
        <f t="shared" si="157"/>
        <v>3.5</v>
      </c>
      <c r="RE21" s="40">
        <f t="shared" si="158"/>
        <v>22.200000000000003</v>
      </c>
      <c r="RF21" s="40">
        <f t="shared" si="159"/>
        <v>44.300000000000004</v>
      </c>
    </row>
    <row r="22" spans="1:474" x14ac:dyDescent="0.2">
      <c r="A22" s="4" t="str" cm="1">
        <f t="array" ref="A22">IF(AND(J22&lt;&gt;"",J22&lt;&gt;"No DD"),SUMPRODUCT((J$4:J$36&lt;&gt;"")*(J$4:J$36&lt;&gt;"No DD")*(F$4:F$36&gt;F22))+1,IF(J22="No DD",SUMPRODUCT((J$4:J$36="No DD")*(F$4:F$36&gt;F22))+1+SUMPRODUCT((J$4:J$36&lt;&gt;"")*(J$4:J$36&lt;&gt;"No DD")),""))</f>
        <v/>
      </c>
      <c r="B22" s="4" t="str" cm="1">
        <f t="array" ref="B22">IF(AND(J22&lt;&gt;"",J22&lt;&gt;"No DD",G22=""),SUMPRODUCT((J$4:J$36&lt;&gt;"")*(J$4:J$36&lt;&gt;"No DD")*(G$4:G$36="")*(F$4:F$36&gt;F22))+1,IF(J22="No DD",SUMPRODUCT((J$4:J$36="No DD")*(F$4:F$36&gt;F22)*(G$4:G$36=""))+1+SUMPRODUCT((J$4:J$36&lt;&gt;"")*(G$4:G$36="")*(J$4:J$36&lt;&gt;"No DD")),""))</f>
        <v/>
      </c>
      <c r="C22" s="5" t="s">
        <v>172</v>
      </c>
      <c r="D22" s="4" t="s">
        <v>3</v>
      </c>
      <c r="E22" s="4">
        <v>2006</v>
      </c>
      <c r="F22" s="9">
        <f t="shared" si="0"/>
        <v>87.40000427000426</v>
      </c>
      <c r="G22" s="64"/>
      <c r="H22" s="3" t="str">
        <f t="shared" si="1"/>
        <v/>
      </c>
      <c r="I22" s="3" t="str">
        <f t="shared" si="2"/>
        <v/>
      </c>
      <c r="J22" s="36" t="str">
        <f t="shared" si="3"/>
        <v/>
      </c>
      <c r="K22" s="3" t="str">
        <f t="shared" si="4"/>
        <v/>
      </c>
      <c r="L22" s="8">
        <f>IF(COUNT(AQ22,BT22,CW22)&gt;0,LARGE((AQ22,BT22,CW22),1),0)</f>
        <v>42.699999999999996</v>
      </c>
      <c r="M22" s="8" t="str">
        <f t="shared" si="5"/>
        <v>2024 Nationals</v>
      </c>
      <c r="N22" s="8">
        <f>IF(COUNT(AQ22,BT22,CW22)&gt;1,LARGE((AQ22,BT22,CW22),2),0)</f>
        <v>0</v>
      </c>
      <c r="O22" s="8" t="str">
        <f t="shared" si="6"/>
        <v/>
      </c>
      <c r="P22" s="8">
        <f t="shared" si="7"/>
        <v>44.699999999999996</v>
      </c>
      <c r="Q22" s="8" t="str">
        <f t="shared" si="8"/>
        <v>2024 Nationals</v>
      </c>
      <c r="R22" s="8" t="str">
        <f t="shared" si="9"/>
        <v/>
      </c>
      <c r="S22" s="11" t="str">
        <f t="shared" si="160"/>
        <v/>
      </c>
      <c r="T22" s="8" t="str">
        <f t="shared" si="161"/>
        <v/>
      </c>
      <c r="U22" s="19">
        <v>18.399999999999999</v>
      </c>
      <c r="V22" s="19">
        <v>4.8</v>
      </c>
      <c r="W22" s="19">
        <v>0.8</v>
      </c>
      <c r="X22" s="19">
        <v>0</v>
      </c>
      <c r="Y22" s="19">
        <v>17.2</v>
      </c>
      <c r="Z22" s="19">
        <v>2.8</v>
      </c>
      <c r="AA22" s="19">
        <v>0</v>
      </c>
      <c r="AB22" s="19">
        <v>0.3</v>
      </c>
      <c r="AC22" s="19">
        <v>17.8</v>
      </c>
      <c r="AD22" s="19">
        <v>3.2</v>
      </c>
      <c r="AE22" s="19">
        <v>0.8</v>
      </c>
      <c r="AF22" s="19">
        <v>0</v>
      </c>
      <c r="AG22" s="19">
        <v>18</v>
      </c>
      <c r="AH22" s="19">
        <v>5.2</v>
      </c>
      <c r="AI22" s="19">
        <v>0.6</v>
      </c>
      <c r="AJ22" s="19">
        <v>0</v>
      </c>
      <c r="AK22" s="19">
        <v>17.8</v>
      </c>
      <c r="AL22" s="19">
        <v>4.8</v>
      </c>
      <c r="AM22" s="19">
        <v>0.8</v>
      </c>
      <c r="AN22" s="19">
        <v>0.3</v>
      </c>
      <c r="AO22" s="27"/>
      <c r="AP22" s="40">
        <f t="shared" si="10"/>
        <v>7.6</v>
      </c>
      <c r="AQ22" s="40">
        <f t="shared" si="11"/>
        <v>42.699999999999996</v>
      </c>
      <c r="AR22" s="40">
        <f t="shared" si="12"/>
        <v>20.2</v>
      </c>
      <c r="AS22" s="40">
        <f t="shared" si="13"/>
        <v>10.8</v>
      </c>
      <c r="AT22" s="40">
        <f t="shared" si="14"/>
        <v>62.899999999999991</v>
      </c>
      <c r="AU22" s="40">
        <f t="shared" si="15"/>
        <v>10</v>
      </c>
      <c r="AV22" s="40">
        <f t="shared" si="16"/>
        <v>44.699999999999996</v>
      </c>
      <c r="AW22" s="40">
        <f t="shared" si="17"/>
        <v>107.6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18"/>
        <v/>
      </c>
      <c r="BT22" s="11" t="str">
        <f t="shared" si="19"/>
        <v/>
      </c>
      <c r="BU22" s="11" t="str">
        <f t="shared" si="20"/>
        <v/>
      </c>
      <c r="BV22" s="11" t="str">
        <f t="shared" si="21"/>
        <v/>
      </c>
      <c r="BW22" s="11" t="str">
        <f t="shared" si="22"/>
        <v/>
      </c>
      <c r="BX22" s="11" t="str">
        <f t="shared" si="23"/>
        <v/>
      </c>
      <c r="BY22" s="11" t="str">
        <f t="shared" si="24"/>
        <v/>
      </c>
      <c r="BZ22" s="11" t="str">
        <f t="shared" si="25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6"/>
        <v/>
      </c>
      <c r="CW22" s="40" t="str">
        <f t="shared" si="27"/>
        <v/>
      </c>
      <c r="CX22" s="40" t="str">
        <f t="shared" si="28"/>
        <v/>
      </c>
      <c r="CY22" s="40" t="str">
        <f t="shared" si="29"/>
        <v/>
      </c>
      <c r="CZ22" s="40" t="str">
        <f t="shared" si="30"/>
        <v/>
      </c>
      <c r="DA22" s="40" t="str">
        <f t="shared" si="31"/>
        <v/>
      </c>
      <c r="DB22" s="40" t="str">
        <f t="shared" si="32"/>
        <v/>
      </c>
      <c r="DC22" s="40" t="str">
        <f t="shared" si="33"/>
        <v/>
      </c>
      <c r="DD22" s="50" t="str">
        <f t="shared" si="34"/>
        <v/>
      </c>
      <c r="DE22" s="50" t="str">
        <f t="shared" si="35"/>
        <v/>
      </c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40" t="str">
        <f t="shared" si="36"/>
        <v/>
      </c>
      <c r="EA22" s="40" t="str">
        <f t="shared" si="37"/>
        <v/>
      </c>
      <c r="EB22" s="40" t="str">
        <f t="shared" si="38"/>
        <v/>
      </c>
      <c r="EC22" s="40" t="str">
        <f t="shared" si="39"/>
        <v/>
      </c>
      <c r="ED22" s="40" t="str">
        <f t="shared" si="40"/>
        <v/>
      </c>
      <c r="EE22" s="40" t="str">
        <f t="shared" si="41"/>
        <v/>
      </c>
      <c r="EF22" s="40" t="str">
        <f t="shared" si="42"/>
        <v/>
      </c>
      <c r="EG22" s="40" t="str">
        <f t="shared" si="43"/>
        <v/>
      </c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1" t="str">
        <f t="shared" si="44"/>
        <v/>
      </c>
      <c r="FC22" s="11" t="str">
        <f t="shared" si="45"/>
        <v/>
      </c>
      <c r="FD22" s="11" t="str">
        <f t="shared" si="46"/>
        <v/>
      </c>
      <c r="FE22" s="11" t="str">
        <f t="shared" si="47"/>
        <v/>
      </c>
      <c r="FF22" s="11" t="str">
        <f t="shared" si="48"/>
        <v/>
      </c>
      <c r="FG22" s="11" t="str">
        <f t="shared" si="49"/>
        <v/>
      </c>
      <c r="FH22" s="11" t="str">
        <f t="shared" si="50"/>
        <v/>
      </c>
      <c r="FI22" s="11" t="str">
        <f t="shared" si="51"/>
        <v/>
      </c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40" t="str">
        <f t="shared" si="52"/>
        <v/>
      </c>
      <c r="GE22" s="40" t="str">
        <f t="shared" si="53"/>
        <v/>
      </c>
      <c r="GF22" s="40" t="str">
        <f t="shared" si="54"/>
        <v/>
      </c>
      <c r="GG22" s="40" t="str">
        <f t="shared" si="55"/>
        <v/>
      </c>
      <c r="GH22" s="40" t="str">
        <f t="shared" si="56"/>
        <v/>
      </c>
      <c r="GI22" s="40" t="str">
        <f t="shared" si="57"/>
        <v/>
      </c>
      <c r="GJ22" s="40" t="str">
        <f t="shared" si="58"/>
        <v/>
      </c>
      <c r="GK22" s="40" t="str">
        <f t="shared" si="59"/>
        <v/>
      </c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1" t="str">
        <f t="shared" si="60"/>
        <v/>
      </c>
      <c r="HG22" s="11" t="str">
        <f t="shared" si="61"/>
        <v/>
      </c>
      <c r="HH22" s="11" t="str">
        <f t="shared" si="62"/>
        <v/>
      </c>
      <c r="HI22" s="11" t="str">
        <f t="shared" si="63"/>
        <v/>
      </c>
      <c r="HJ22" s="11" t="str">
        <f t="shared" si="64"/>
        <v/>
      </c>
      <c r="HK22" s="11" t="str">
        <f t="shared" si="65"/>
        <v/>
      </c>
      <c r="HL22" s="11" t="str">
        <f t="shared" si="66"/>
        <v/>
      </c>
      <c r="HM22" s="11" t="str">
        <f t="shared" si="67"/>
        <v/>
      </c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40" t="str">
        <f t="shared" si="68"/>
        <v/>
      </c>
      <c r="II22" s="40" t="str">
        <f t="shared" si="69"/>
        <v/>
      </c>
      <c r="IJ22" s="40" t="str">
        <f t="shared" si="70"/>
        <v/>
      </c>
      <c r="IK22" s="40" t="str">
        <f t="shared" si="71"/>
        <v/>
      </c>
      <c r="IL22" s="40" t="str">
        <f t="shared" si="72"/>
        <v/>
      </c>
      <c r="IM22" s="40" t="str">
        <f t="shared" si="73"/>
        <v/>
      </c>
      <c r="IN22" s="40" t="str">
        <f t="shared" si="74"/>
        <v/>
      </c>
      <c r="IO22" s="40" t="str">
        <f t="shared" si="75"/>
        <v/>
      </c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1" t="str">
        <f t="shared" si="76"/>
        <v/>
      </c>
      <c r="JK22" s="11" t="str">
        <f t="shared" si="77"/>
        <v/>
      </c>
      <c r="JL22" s="11" t="str">
        <f t="shared" si="78"/>
        <v/>
      </c>
      <c r="JM22" s="11" t="str">
        <f t="shared" si="79"/>
        <v/>
      </c>
      <c r="JN22" s="11" t="str">
        <f t="shared" si="80"/>
        <v/>
      </c>
      <c r="JO22" s="11" t="str">
        <f t="shared" si="81"/>
        <v/>
      </c>
      <c r="JP22" s="11" t="str">
        <f t="shared" si="82"/>
        <v/>
      </c>
      <c r="JQ22" s="11" t="str">
        <f t="shared" si="83"/>
        <v/>
      </c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40" t="str">
        <f t="shared" si="84"/>
        <v/>
      </c>
      <c r="KM22" s="40" t="str">
        <f t="shared" si="85"/>
        <v/>
      </c>
      <c r="KN22" s="40" t="str">
        <f t="shared" si="86"/>
        <v/>
      </c>
      <c r="KO22" s="40" t="str">
        <f t="shared" si="87"/>
        <v/>
      </c>
      <c r="KP22" s="40" t="str">
        <f t="shared" si="88"/>
        <v/>
      </c>
      <c r="KQ22" s="40" t="str">
        <f t="shared" si="89"/>
        <v/>
      </c>
      <c r="KR22" s="40" t="str">
        <f t="shared" si="90"/>
        <v/>
      </c>
      <c r="KS22" s="40" t="str">
        <f t="shared" si="91"/>
        <v/>
      </c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1" t="str">
        <f t="shared" si="92"/>
        <v/>
      </c>
      <c r="LO22" s="11" t="str">
        <f t="shared" si="93"/>
        <v/>
      </c>
      <c r="LP22" s="11" t="str">
        <f t="shared" si="94"/>
        <v/>
      </c>
      <c r="LQ22" s="11" t="str">
        <f t="shared" si="95"/>
        <v/>
      </c>
      <c r="LR22" s="11" t="str">
        <f t="shared" si="96"/>
        <v/>
      </c>
      <c r="LS22" s="11" t="str">
        <f t="shared" si="97"/>
        <v/>
      </c>
      <c r="LT22" s="11" t="str">
        <f t="shared" si="98"/>
        <v/>
      </c>
      <c r="LU22" s="11" t="str">
        <f t="shared" si="99"/>
        <v/>
      </c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40" t="str">
        <f t="shared" si="100"/>
        <v/>
      </c>
      <c r="MQ22" s="40" t="str">
        <f t="shared" si="101"/>
        <v/>
      </c>
      <c r="MR22" s="40" t="str">
        <f t="shared" si="102"/>
        <v/>
      </c>
      <c r="MS22" s="40" t="str">
        <f t="shared" si="103"/>
        <v/>
      </c>
      <c r="MT22" s="40" t="str">
        <f t="shared" si="104"/>
        <v/>
      </c>
      <c r="MU22" s="40" t="str">
        <f t="shared" si="105"/>
        <v/>
      </c>
      <c r="MV22" s="40" t="str">
        <f t="shared" si="106"/>
        <v/>
      </c>
      <c r="MW22" s="40" t="str">
        <f t="shared" si="107"/>
        <v/>
      </c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1" t="str">
        <f t="shared" si="108"/>
        <v/>
      </c>
      <c r="NS22" s="11" t="str">
        <f t="shared" si="109"/>
        <v/>
      </c>
      <c r="NT22" s="11" t="str">
        <f t="shared" si="110"/>
        <v/>
      </c>
      <c r="NU22" s="11" t="str">
        <f t="shared" si="111"/>
        <v/>
      </c>
      <c r="NV22" s="11" t="str">
        <f t="shared" si="112"/>
        <v/>
      </c>
      <c r="NW22" s="11" t="str">
        <f t="shared" si="113"/>
        <v/>
      </c>
      <c r="NX22" s="11" t="str">
        <f t="shared" si="114"/>
        <v/>
      </c>
      <c r="NY22" s="11" t="str">
        <f t="shared" si="115"/>
        <v/>
      </c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40" t="str">
        <f t="shared" si="116"/>
        <v/>
      </c>
      <c r="OU22" s="40" t="str">
        <f t="shared" si="117"/>
        <v/>
      </c>
      <c r="OV22" s="40" t="str">
        <f t="shared" si="118"/>
        <v/>
      </c>
      <c r="OW22" s="40" t="str">
        <f t="shared" si="119"/>
        <v/>
      </c>
      <c r="OX22" s="40" t="str">
        <f t="shared" si="120"/>
        <v/>
      </c>
      <c r="OY22" s="40" t="str">
        <f t="shared" si="121"/>
        <v/>
      </c>
      <c r="OZ22" s="40" t="str">
        <f t="shared" si="122"/>
        <v/>
      </c>
      <c r="PA22" s="40" t="str">
        <f t="shared" si="123"/>
        <v/>
      </c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1" t="str">
        <f t="shared" si="124"/>
        <v/>
      </c>
      <c r="PW22" s="11" t="str">
        <f t="shared" si="125"/>
        <v/>
      </c>
      <c r="PX22" s="11" t="str">
        <f t="shared" si="126"/>
        <v/>
      </c>
      <c r="PY22" s="11" t="str">
        <f t="shared" si="127"/>
        <v/>
      </c>
      <c r="PZ22" s="11" t="str">
        <f t="shared" si="128"/>
        <v/>
      </c>
      <c r="QA22" s="11" t="str">
        <f t="shared" si="129"/>
        <v/>
      </c>
      <c r="QB22" s="11" t="str">
        <f t="shared" si="130"/>
        <v/>
      </c>
      <c r="QC22" s="11" t="str">
        <f t="shared" si="131"/>
        <v/>
      </c>
      <c r="QD22" s="22">
        <f t="shared" si="132"/>
        <v>0</v>
      </c>
      <c r="QE22" s="22">
        <f t="shared" si="133"/>
        <v>0</v>
      </c>
      <c r="QF22" s="22">
        <f t="shared" si="134"/>
        <v>0</v>
      </c>
      <c r="QG22" s="22">
        <f t="shared" si="135"/>
        <v>0</v>
      </c>
      <c r="QH22" s="22">
        <f t="shared" si="136"/>
        <v>0</v>
      </c>
      <c r="QI22" s="22">
        <f t="shared" si="137"/>
        <v>0</v>
      </c>
      <c r="QJ22" s="22">
        <f t="shared" si="138"/>
        <v>0</v>
      </c>
      <c r="QK22" s="22">
        <f t="shared" si="139"/>
        <v>0</v>
      </c>
      <c r="QL22" s="22">
        <f t="shared" si="140"/>
        <v>0</v>
      </c>
      <c r="QM22" s="22">
        <f t="shared" si="141"/>
        <v>0</v>
      </c>
      <c r="QN22" s="22">
        <f t="shared" si="142"/>
        <v>0</v>
      </c>
      <c r="QO22" s="22">
        <f t="shared" si="143"/>
        <v>0</v>
      </c>
      <c r="QP22" s="22">
        <f t="shared" si="144"/>
        <v>0</v>
      </c>
      <c r="QQ22" s="22">
        <f t="shared" si="145"/>
        <v>0</v>
      </c>
      <c r="QR22" s="22">
        <f t="shared" si="146"/>
        <v>0</v>
      </c>
      <c r="QS22" s="22">
        <f t="shared" si="147"/>
        <v>0</v>
      </c>
      <c r="QT22" s="22">
        <f t="shared" si="148"/>
        <v>0</v>
      </c>
      <c r="QU22" s="22">
        <f t="shared" si="149"/>
        <v>0</v>
      </c>
      <c r="QV22" s="22">
        <f t="shared" si="150"/>
        <v>0</v>
      </c>
      <c r="QW22" s="22">
        <f t="shared" si="151"/>
        <v>0</v>
      </c>
      <c r="QX22" s="27" t="s">
        <v>46</v>
      </c>
      <c r="QY22" s="40" t="str">
        <f t="shared" si="152"/>
        <v/>
      </c>
      <c r="QZ22" s="40" t="str">
        <f t="shared" si="153"/>
        <v/>
      </c>
      <c r="RA22" s="40" t="str">
        <f t="shared" si="154"/>
        <v/>
      </c>
      <c r="RB22" s="40" t="str">
        <f t="shared" si="155"/>
        <v/>
      </c>
      <c r="RC22" s="40" t="str">
        <f t="shared" si="156"/>
        <v/>
      </c>
      <c r="RD22" s="40" t="str">
        <f t="shared" si="157"/>
        <v/>
      </c>
      <c r="RE22" s="40" t="str">
        <f t="shared" si="158"/>
        <v/>
      </c>
      <c r="RF22" s="40" t="str">
        <f t="shared" si="159"/>
        <v/>
      </c>
    </row>
    <row r="23" spans="1:474" x14ac:dyDescent="0.2">
      <c r="A23" s="4" t="str" cm="1">
        <f t="array" ref="A23">IF(AND(J23&lt;&gt;"",J23&lt;&gt;"No DD"),SUMPRODUCT((J$4:J$36&lt;&gt;"")*(J$4:J$36&lt;&gt;"No DD")*(F$4:F$36&gt;F23))+1,IF(J23="No DD",SUMPRODUCT((J$4:J$36="No DD")*(F$4:F$36&gt;F23))+1+SUMPRODUCT((J$4:J$36&lt;&gt;"")*(J$4:J$36&lt;&gt;"No DD")),""))</f>
        <v/>
      </c>
      <c r="B23" s="4" t="str" cm="1">
        <f t="array" ref="B23">IF(AND(J23&lt;&gt;"",J23&lt;&gt;"No DD",G23=""),SUMPRODUCT((J$4:J$36&lt;&gt;"")*(J$4:J$36&lt;&gt;"No DD")*(G$4:G$36="")*(F$4:F$36&gt;F23))+1,IF(J23="No DD",SUMPRODUCT((J$4:J$36="No DD")*(F$4:F$36&gt;F23)*(G$4:G$36=""))+1+SUMPRODUCT((J$4:J$36&lt;&gt;"")*(G$4:G$36="")*(J$4:J$36&lt;&gt;"No DD")),""))</f>
        <v/>
      </c>
      <c r="C23" s="5" t="s">
        <v>173</v>
      </c>
      <c r="D23" s="4" t="s">
        <v>5</v>
      </c>
      <c r="E23" s="4">
        <v>2007</v>
      </c>
      <c r="F23" s="9">
        <f t="shared" si="0"/>
        <v>87.100004310004309</v>
      </c>
      <c r="G23" s="64"/>
      <c r="H23" s="3" t="str">
        <f t="shared" si="1"/>
        <v/>
      </c>
      <c r="I23" s="3" t="str">
        <f t="shared" si="2"/>
        <v/>
      </c>
      <c r="J23" s="36" t="str">
        <f t="shared" si="3"/>
        <v/>
      </c>
      <c r="K23" s="3" t="str">
        <f t="shared" si="4"/>
        <v/>
      </c>
      <c r="L23" s="8">
        <f>IF(COUNT(AQ23,BT23,CW23)&gt;0,LARGE((AQ23,BT23,CW23),1),0)</f>
        <v>43.1</v>
      </c>
      <c r="M23" s="8" t="str">
        <f t="shared" si="5"/>
        <v>2024 Nationals</v>
      </c>
      <c r="N23" s="8">
        <f>IF(COUNT(AQ23,BT23,CW23)&gt;1,LARGE((AQ23,BT23,CW23),2),0)</f>
        <v>0</v>
      </c>
      <c r="O23" s="8" t="str">
        <f t="shared" si="6"/>
        <v/>
      </c>
      <c r="P23" s="8">
        <f t="shared" si="7"/>
        <v>44.000000000000007</v>
      </c>
      <c r="Q23" s="8" t="str">
        <f t="shared" si="8"/>
        <v>2024 Nationals</v>
      </c>
      <c r="R23" s="8" t="str">
        <f t="shared" si="9"/>
        <v/>
      </c>
      <c r="S23" s="11" t="str">
        <f t="shared" si="160"/>
        <v/>
      </c>
      <c r="T23" s="8" t="str">
        <f t="shared" si="161"/>
        <v/>
      </c>
      <c r="U23" s="19">
        <v>18.7</v>
      </c>
      <c r="V23" s="19">
        <v>3.5</v>
      </c>
      <c r="W23" s="19">
        <v>0</v>
      </c>
      <c r="X23" s="19">
        <v>0</v>
      </c>
      <c r="Y23" s="19">
        <v>18.100000000000001</v>
      </c>
      <c r="Z23" s="19">
        <v>3.6</v>
      </c>
      <c r="AA23" s="19">
        <v>0.8</v>
      </c>
      <c r="AB23" s="19">
        <v>0</v>
      </c>
      <c r="AC23" s="19">
        <v>17.399999999999999</v>
      </c>
      <c r="AD23" s="19">
        <v>0.7</v>
      </c>
      <c r="AE23" s="19">
        <v>0</v>
      </c>
      <c r="AF23" s="19">
        <v>0</v>
      </c>
      <c r="AG23" s="19">
        <v>18.600000000000001</v>
      </c>
      <c r="AH23" s="19">
        <v>3.5</v>
      </c>
      <c r="AI23" s="19">
        <v>0</v>
      </c>
      <c r="AJ23" s="19">
        <v>0</v>
      </c>
      <c r="AK23" s="19">
        <v>18.3</v>
      </c>
      <c r="AL23" s="19">
        <v>3.6</v>
      </c>
      <c r="AM23" s="19">
        <v>0</v>
      </c>
      <c r="AN23" s="19">
        <v>0</v>
      </c>
      <c r="AO23" s="27"/>
      <c r="AP23" s="40">
        <f t="shared" si="10"/>
        <v>7.1</v>
      </c>
      <c r="AQ23" s="40">
        <f t="shared" si="11"/>
        <v>43.1</v>
      </c>
      <c r="AR23" s="40">
        <f t="shared" si="12"/>
        <v>18.099999999999998</v>
      </c>
      <c r="AS23" s="40">
        <f t="shared" si="13"/>
        <v>7.8</v>
      </c>
      <c r="AT23" s="40">
        <f t="shared" si="14"/>
        <v>61.2</v>
      </c>
      <c r="AU23" s="40">
        <f t="shared" si="15"/>
        <v>7.1</v>
      </c>
      <c r="AV23" s="40">
        <f t="shared" si="16"/>
        <v>44.000000000000007</v>
      </c>
      <c r="AW23" s="40">
        <f t="shared" si="17"/>
        <v>105.20000000000002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18"/>
        <v/>
      </c>
      <c r="BT23" s="11" t="str">
        <f t="shared" si="19"/>
        <v/>
      </c>
      <c r="BU23" s="11" t="str">
        <f t="shared" si="20"/>
        <v/>
      </c>
      <c r="BV23" s="11" t="str">
        <f t="shared" si="21"/>
        <v/>
      </c>
      <c r="BW23" s="11" t="str">
        <f t="shared" si="22"/>
        <v/>
      </c>
      <c r="BX23" s="11" t="str">
        <f t="shared" si="23"/>
        <v/>
      </c>
      <c r="BY23" s="11" t="str">
        <f t="shared" si="24"/>
        <v/>
      </c>
      <c r="BZ23" s="11" t="str">
        <f t="shared" si="25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6"/>
        <v/>
      </c>
      <c r="CW23" s="40" t="str">
        <f t="shared" si="27"/>
        <v/>
      </c>
      <c r="CX23" s="40" t="str">
        <f t="shared" si="28"/>
        <v/>
      </c>
      <c r="CY23" s="40" t="str">
        <f t="shared" si="29"/>
        <v/>
      </c>
      <c r="CZ23" s="40" t="str">
        <f t="shared" si="30"/>
        <v/>
      </c>
      <c r="DA23" s="40" t="str">
        <f t="shared" si="31"/>
        <v/>
      </c>
      <c r="DB23" s="40" t="str">
        <f t="shared" si="32"/>
        <v/>
      </c>
      <c r="DC23" s="40" t="str">
        <f t="shared" si="33"/>
        <v/>
      </c>
      <c r="DD23" s="50" t="str">
        <f t="shared" si="34"/>
        <v/>
      </c>
      <c r="DE23" s="50" t="str">
        <f t="shared" si="35"/>
        <v/>
      </c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40" t="str">
        <f t="shared" si="36"/>
        <v/>
      </c>
      <c r="EA23" s="40" t="str">
        <f t="shared" si="37"/>
        <v/>
      </c>
      <c r="EB23" s="40" t="str">
        <f t="shared" si="38"/>
        <v/>
      </c>
      <c r="EC23" s="40" t="str">
        <f t="shared" si="39"/>
        <v/>
      </c>
      <c r="ED23" s="40" t="str">
        <f t="shared" si="40"/>
        <v/>
      </c>
      <c r="EE23" s="40" t="str">
        <f t="shared" si="41"/>
        <v/>
      </c>
      <c r="EF23" s="40" t="str">
        <f t="shared" si="42"/>
        <v/>
      </c>
      <c r="EG23" s="40" t="str">
        <f t="shared" si="43"/>
        <v/>
      </c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1" t="str">
        <f t="shared" si="44"/>
        <v/>
      </c>
      <c r="FC23" s="11" t="str">
        <f t="shared" si="45"/>
        <v/>
      </c>
      <c r="FD23" s="11" t="str">
        <f t="shared" si="46"/>
        <v/>
      </c>
      <c r="FE23" s="11" t="str">
        <f t="shared" si="47"/>
        <v/>
      </c>
      <c r="FF23" s="11" t="str">
        <f t="shared" si="48"/>
        <v/>
      </c>
      <c r="FG23" s="11" t="str">
        <f t="shared" si="49"/>
        <v/>
      </c>
      <c r="FH23" s="11" t="str">
        <f t="shared" si="50"/>
        <v/>
      </c>
      <c r="FI23" s="11" t="str">
        <f t="shared" si="51"/>
        <v/>
      </c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40" t="str">
        <f t="shared" si="52"/>
        <v/>
      </c>
      <c r="GE23" s="40" t="str">
        <f t="shared" si="53"/>
        <v/>
      </c>
      <c r="GF23" s="40" t="str">
        <f t="shared" si="54"/>
        <v/>
      </c>
      <c r="GG23" s="40" t="str">
        <f t="shared" si="55"/>
        <v/>
      </c>
      <c r="GH23" s="40" t="str">
        <f t="shared" si="56"/>
        <v/>
      </c>
      <c r="GI23" s="40" t="str">
        <f t="shared" si="57"/>
        <v/>
      </c>
      <c r="GJ23" s="40" t="str">
        <f t="shared" si="58"/>
        <v/>
      </c>
      <c r="GK23" s="40" t="str">
        <f t="shared" si="59"/>
        <v/>
      </c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1" t="str">
        <f t="shared" si="60"/>
        <v/>
      </c>
      <c r="HG23" s="11" t="str">
        <f t="shared" si="61"/>
        <v/>
      </c>
      <c r="HH23" s="11" t="str">
        <f t="shared" si="62"/>
        <v/>
      </c>
      <c r="HI23" s="11" t="str">
        <f t="shared" si="63"/>
        <v/>
      </c>
      <c r="HJ23" s="11" t="str">
        <f t="shared" si="64"/>
        <v/>
      </c>
      <c r="HK23" s="11" t="str">
        <f t="shared" si="65"/>
        <v/>
      </c>
      <c r="HL23" s="11" t="str">
        <f t="shared" si="66"/>
        <v/>
      </c>
      <c r="HM23" s="11" t="str">
        <f t="shared" si="67"/>
        <v/>
      </c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40" t="str">
        <f t="shared" si="68"/>
        <v/>
      </c>
      <c r="II23" s="40" t="str">
        <f t="shared" si="69"/>
        <v/>
      </c>
      <c r="IJ23" s="40" t="str">
        <f t="shared" si="70"/>
        <v/>
      </c>
      <c r="IK23" s="40" t="str">
        <f t="shared" si="71"/>
        <v/>
      </c>
      <c r="IL23" s="40" t="str">
        <f t="shared" si="72"/>
        <v/>
      </c>
      <c r="IM23" s="40" t="str">
        <f t="shared" si="73"/>
        <v/>
      </c>
      <c r="IN23" s="40" t="str">
        <f t="shared" si="74"/>
        <v/>
      </c>
      <c r="IO23" s="40" t="str">
        <f t="shared" si="75"/>
        <v/>
      </c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1" t="str">
        <f t="shared" si="76"/>
        <v/>
      </c>
      <c r="JK23" s="11" t="str">
        <f t="shared" si="77"/>
        <v/>
      </c>
      <c r="JL23" s="11" t="str">
        <f t="shared" si="78"/>
        <v/>
      </c>
      <c r="JM23" s="11" t="str">
        <f t="shared" si="79"/>
        <v/>
      </c>
      <c r="JN23" s="11" t="str">
        <f t="shared" si="80"/>
        <v/>
      </c>
      <c r="JO23" s="11" t="str">
        <f t="shared" si="81"/>
        <v/>
      </c>
      <c r="JP23" s="11" t="str">
        <f t="shared" si="82"/>
        <v/>
      </c>
      <c r="JQ23" s="11" t="str">
        <f t="shared" si="83"/>
        <v/>
      </c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40" t="str">
        <f t="shared" si="84"/>
        <v/>
      </c>
      <c r="KM23" s="40" t="str">
        <f t="shared" si="85"/>
        <v/>
      </c>
      <c r="KN23" s="40" t="str">
        <f t="shared" si="86"/>
        <v/>
      </c>
      <c r="KO23" s="40" t="str">
        <f t="shared" si="87"/>
        <v/>
      </c>
      <c r="KP23" s="40" t="str">
        <f t="shared" si="88"/>
        <v/>
      </c>
      <c r="KQ23" s="40" t="str">
        <f t="shared" si="89"/>
        <v/>
      </c>
      <c r="KR23" s="40" t="str">
        <f t="shared" si="90"/>
        <v/>
      </c>
      <c r="KS23" s="40" t="str">
        <f t="shared" si="91"/>
        <v/>
      </c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1" t="str">
        <f t="shared" si="92"/>
        <v/>
      </c>
      <c r="LO23" s="11" t="str">
        <f t="shared" si="93"/>
        <v/>
      </c>
      <c r="LP23" s="11" t="str">
        <f t="shared" si="94"/>
        <v/>
      </c>
      <c r="LQ23" s="11" t="str">
        <f t="shared" si="95"/>
        <v/>
      </c>
      <c r="LR23" s="11" t="str">
        <f t="shared" si="96"/>
        <v/>
      </c>
      <c r="LS23" s="11" t="str">
        <f t="shared" si="97"/>
        <v/>
      </c>
      <c r="LT23" s="11" t="str">
        <f t="shared" si="98"/>
        <v/>
      </c>
      <c r="LU23" s="11" t="str">
        <f t="shared" si="99"/>
        <v/>
      </c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40" t="str">
        <f t="shared" si="100"/>
        <v/>
      </c>
      <c r="MQ23" s="40" t="str">
        <f t="shared" si="101"/>
        <v/>
      </c>
      <c r="MR23" s="40" t="str">
        <f t="shared" si="102"/>
        <v/>
      </c>
      <c r="MS23" s="40" t="str">
        <f t="shared" si="103"/>
        <v/>
      </c>
      <c r="MT23" s="40" t="str">
        <f t="shared" si="104"/>
        <v/>
      </c>
      <c r="MU23" s="40" t="str">
        <f t="shared" si="105"/>
        <v/>
      </c>
      <c r="MV23" s="40" t="str">
        <f t="shared" si="106"/>
        <v/>
      </c>
      <c r="MW23" s="40" t="str">
        <f t="shared" si="107"/>
        <v/>
      </c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1" t="str">
        <f t="shared" si="108"/>
        <v/>
      </c>
      <c r="NS23" s="11" t="str">
        <f t="shared" si="109"/>
        <v/>
      </c>
      <c r="NT23" s="11" t="str">
        <f t="shared" si="110"/>
        <v/>
      </c>
      <c r="NU23" s="11" t="str">
        <f t="shared" si="111"/>
        <v/>
      </c>
      <c r="NV23" s="11" t="str">
        <f t="shared" si="112"/>
        <v/>
      </c>
      <c r="NW23" s="11" t="str">
        <f t="shared" si="113"/>
        <v/>
      </c>
      <c r="NX23" s="11" t="str">
        <f t="shared" si="114"/>
        <v/>
      </c>
      <c r="NY23" s="11" t="str">
        <f t="shared" si="115"/>
        <v/>
      </c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40" t="str">
        <f t="shared" si="116"/>
        <v/>
      </c>
      <c r="OU23" s="40" t="str">
        <f t="shared" si="117"/>
        <v/>
      </c>
      <c r="OV23" s="40" t="str">
        <f t="shared" si="118"/>
        <v/>
      </c>
      <c r="OW23" s="40" t="str">
        <f t="shared" si="119"/>
        <v/>
      </c>
      <c r="OX23" s="40" t="str">
        <f t="shared" si="120"/>
        <v/>
      </c>
      <c r="OY23" s="40" t="str">
        <f t="shared" si="121"/>
        <v/>
      </c>
      <c r="OZ23" s="40" t="str">
        <f t="shared" si="122"/>
        <v/>
      </c>
      <c r="PA23" s="40" t="str">
        <f t="shared" si="123"/>
        <v/>
      </c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1" t="str">
        <f t="shared" si="124"/>
        <v/>
      </c>
      <c r="PW23" s="11" t="str">
        <f t="shared" si="125"/>
        <v/>
      </c>
      <c r="PX23" s="11" t="str">
        <f t="shared" si="126"/>
        <v/>
      </c>
      <c r="PY23" s="11" t="str">
        <f t="shared" si="127"/>
        <v/>
      </c>
      <c r="PZ23" s="11" t="str">
        <f t="shared" si="128"/>
        <v/>
      </c>
      <c r="QA23" s="11" t="str">
        <f t="shared" si="129"/>
        <v/>
      </c>
      <c r="QB23" s="11" t="str">
        <f t="shared" si="130"/>
        <v/>
      </c>
      <c r="QC23" s="11" t="str">
        <f t="shared" si="131"/>
        <v/>
      </c>
      <c r="QD23" s="22">
        <f t="shared" si="132"/>
        <v>0</v>
      </c>
      <c r="QE23" s="22">
        <f t="shared" si="133"/>
        <v>0</v>
      </c>
      <c r="QF23" s="22">
        <f t="shared" si="134"/>
        <v>0</v>
      </c>
      <c r="QG23" s="22">
        <f t="shared" si="135"/>
        <v>0</v>
      </c>
      <c r="QH23" s="22">
        <f t="shared" si="136"/>
        <v>0</v>
      </c>
      <c r="QI23" s="22">
        <f t="shared" si="137"/>
        <v>0</v>
      </c>
      <c r="QJ23" s="22">
        <f t="shared" si="138"/>
        <v>0</v>
      </c>
      <c r="QK23" s="22">
        <f t="shared" si="139"/>
        <v>0</v>
      </c>
      <c r="QL23" s="22">
        <f t="shared" si="140"/>
        <v>0</v>
      </c>
      <c r="QM23" s="22">
        <f t="shared" si="141"/>
        <v>0</v>
      </c>
      <c r="QN23" s="22">
        <f t="shared" si="142"/>
        <v>0</v>
      </c>
      <c r="QO23" s="22">
        <f t="shared" si="143"/>
        <v>0</v>
      </c>
      <c r="QP23" s="22">
        <f t="shared" si="144"/>
        <v>0</v>
      </c>
      <c r="QQ23" s="22">
        <f t="shared" si="145"/>
        <v>0</v>
      </c>
      <c r="QR23" s="22">
        <f t="shared" si="146"/>
        <v>0</v>
      </c>
      <c r="QS23" s="22">
        <f t="shared" si="147"/>
        <v>0</v>
      </c>
      <c r="QT23" s="22">
        <f t="shared" si="148"/>
        <v>0</v>
      </c>
      <c r="QU23" s="22">
        <f t="shared" si="149"/>
        <v>0</v>
      </c>
      <c r="QV23" s="22">
        <f t="shared" si="150"/>
        <v>0</v>
      </c>
      <c r="QW23" s="22">
        <f t="shared" si="151"/>
        <v>0</v>
      </c>
      <c r="QX23" s="27" t="s">
        <v>46</v>
      </c>
      <c r="QY23" s="40" t="str">
        <f t="shared" si="152"/>
        <v/>
      </c>
      <c r="QZ23" s="40" t="str">
        <f t="shared" si="153"/>
        <v/>
      </c>
      <c r="RA23" s="40" t="str">
        <f t="shared" si="154"/>
        <v/>
      </c>
      <c r="RB23" s="40" t="str">
        <f t="shared" si="155"/>
        <v/>
      </c>
      <c r="RC23" s="40" t="str">
        <f t="shared" si="156"/>
        <v/>
      </c>
      <c r="RD23" s="40" t="str">
        <f t="shared" si="157"/>
        <v/>
      </c>
      <c r="RE23" s="40" t="str">
        <f t="shared" si="158"/>
        <v/>
      </c>
      <c r="RF23" s="40" t="str">
        <f t="shared" si="159"/>
        <v/>
      </c>
    </row>
    <row r="24" spans="1:474" x14ac:dyDescent="0.2">
      <c r="A24" s="4" t="str" cm="1">
        <f t="array" ref="A24">IF(AND(J24&lt;&gt;"",J24&lt;&gt;"No DD"),SUMPRODUCT((J$4:J$36&lt;&gt;"")*(J$4:J$36&lt;&gt;"No DD")*(F$4:F$36&gt;F24))+1,IF(J24="No DD",SUMPRODUCT((J$4:J$36="No DD")*(F$4:F$36&gt;F24))+1+SUMPRODUCT((J$4:J$36&lt;&gt;"")*(J$4:J$36&lt;&gt;"No DD")),""))</f>
        <v/>
      </c>
      <c r="B24" s="4" t="str" cm="1">
        <f t="array" ref="B24">IF(AND(J24&lt;&gt;"",J24&lt;&gt;"No DD",G24=""),SUMPRODUCT((J$4:J$36&lt;&gt;"")*(J$4:J$36&lt;&gt;"No DD")*(G$4:G$36="")*(F$4:F$36&gt;F24))+1,IF(J24="No DD",SUMPRODUCT((J$4:J$36="No DD")*(F$4:F$36&gt;F24)*(G$4:G$36=""))+1+SUMPRODUCT((J$4:J$36&lt;&gt;"")*(G$4:G$36="")*(J$4:J$36&lt;&gt;"No DD")),""))</f>
        <v/>
      </c>
      <c r="C24" s="5" t="s">
        <v>138</v>
      </c>
      <c r="D24" s="4" t="s">
        <v>4</v>
      </c>
      <c r="E24" s="4">
        <v>2006</v>
      </c>
      <c r="F24" s="9">
        <f t="shared" si="0"/>
        <v>86.800004330004327</v>
      </c>
      <c r="G24" s="64"/>
      <c r="H24" s="3" t="str">
        <f t="shared" si="1"/>
        <v/>
      </c>
      <c r="I24" s="3" t="str">
        <f t="shared" si="2"/>
        <v/>
      </c>
      <c r="J24" s="36" t="str">
        <f t="shared" si="3"/>
        <v/>
      </c>
      <c r="K24" s="3" t="str">
        <f t="shared" si="4"/>
        <v/>
      </c>
      <c r="L24" s="8">
        <f>IF(COUNT(AQ24,BT24,CW24)&gt;0,LARGE((AQ24,BT24,CW24),1),0)</f>
        <v>43.3</v>
      </c>
      <c r="M24" s="8" t="str">
        <f t="shared" si="5"/>
        <v>2025 Elite Canada</v>
      </c>
      <c r="N24" s="8">
        <f>IF(COUNT(AQ24,BT24,CW24)&gt;1,LARGE((AQ24,BT24,CW24),2),0)</f>
        <v>0</v>
      </c>
      <c r="O24" s="8" t="str">
        <f t="shared" si="6"/>
        <v/>
      </c>
      <c r="P24" s="8">
        <f t="shared" si="7"/>
        <v>43.5</v>
      </c>
      <c r="Q24" s="8" t="str">
        <f t="shared" si="8"/>
        <v>2025 Elite Canada</v>
      </c>
      <c r="R24" s="8" t="str">
        <f t="shared" si="9"/>
        <v/>
      </c>
      <c r="S24" s="11" t="str">
        <f t="shared" si="160"/>
        <v/>
      </c>
      <c r="T24" s="8" t="str">
        <f t="shared" si="16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0"/>
        <v/>
      </c>
      <c r="AQ24" s="40" t="str">
        <f t="shared" si="11"/>
        <v/>
      </c>
      <c r="AR24" s="40" t="str">
        <f t="shared" si="12"/>
        <v/>
      </c>
      <c r="AS24" s="40" t="str">
        <f t="shared" si="13"/>
        <v/>
      </c>
      <c r="AT24" s="40" t="str">
        <f t="shared" si="14"/>
        <v/>
      </c>
      <c r="AU24" s="40" t="str">
        <f t="shared" si="15"/>
        <v/>
      </c>
      <c r="AV24" s="40" t="str">
        <f t="shared" si="16"/>
        <v/>
      </c>
      <c r="AW24" s="40" t="str">
        <f t="shared" si="17"/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18"/>
        <v/>
      </c>
      <c r="BT24" s="11" t="str">
        <f t="shared" si="19"/>
        <v/>
      </c>
      <c r="BU24" s="11" t="str">
        <f t="shared" si="20"/>
        <v/>
      </c>
      <c r="BV24" s="11" t="str">
        <f t="shared" si="21"/>
        <v/>
      </c>
      <c r="BW24" s="11" t="str">
        <f t="shared" si="22"/>
        <v/>
      </c>
      <c r="BX24" s="11" t="str">
        <f t="shared" si="23"/>
        <v/>
      </c>
      <c r="BY24" s="11" t="str">
        <f t="shared" si="24"/>
        <v/>
      </c>
      <c r="BZ24" s="11" t="str">
        <f t="shared" si="25"/>
        <v/>
      </c>
      <c r="CA24" s="19">
        <v>18.399999999999999</v>
      </c>
      <c r="CB24" s="19">
        <v>3.5</v>
      </c>
      <c r="CC24" s="19">
        <v>0.2</v>
      </c>
      <c r="CD24" s="19">
        <v>0</v>
      </c>
      <c r="CE24" s="19">
        <v>18</v>
      </c>
      <c r="CF24" s="19">
        <v>4.4000000000000004</v>
      </c>
      <c r="CG24" s="19">
        <v>0.8</v>
      </c>
      <c r="CH24" s="19">
        <v>0</v>
      </c>
      <c r="CI24" s="19"/>
      <c r="CJ24" s="19"/>
      <c r="CK24" s="19"/>
      <c r="CL24" s="19"/>
      <c r="CM24" s="19">
        <v>18.3</v>
      </c>
      <c r="CN24" s="19">
        <v>3.5</v>
      </c>
      <c r="CO24" s="19">
        <v>0.2</v>
      </c>
      <c r="CP24" s="19">
        <v>0</v>
      </c>
      <c r="CQ24" s="19">
        <v>17.7</v>
      </c>
      <c r="CR24" s="19">
        <v>4.4000000000000004</v>
      </c>
      <c r="CS24" s="19">
        <v>0.2</v>
      </c>
      <c r="CT24" s="19">
        <v>0</v>
      </c>
      <c r="CU24" s="27"/>
      <c r="CV24" s="40">
        <f t="shared" si="26"/>
        <v>7.9</v>
      </c>
      <c r="CW24" s="40">
        <f t="shared" si="27"/>
        <v>43.3</v>
      </c>
      <c r="CX24" s="40" t="str">
        <f t="shared" si="28"/>
        <v/>
      </c>
      <c r="CY24" s="40">
        <f t="shared" si="29"/>
        <v>7.9</v>
      </c>
      <c r="CZ24" s="40">
        <f t="shared" si="30"/>
        <v>43.3</v>
      </c>
      <c r="DA24" s="40">
        <f t="shared" si="31"/>
        <v>7.9</v>
      </c>
      <c r="DB24" s="40">
        <f t="shared" si="32"/>
        <v>43.5</v>
      </c>
      <c r="DC24" s="40">
        <f t="shared" si="33"/>
        <v>86.8</v>
      </c>
      <c r="DD24" s="50" t="str">
        <f t="shared" si="34"/>
        <v/>
      </c>
      <c r="DE24" s="50" t="str">
        <f t="shared" si="35"/>
        <v/>
      </c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40" t="str">
        <f t="shared" si="36"/>
        <v/>
      </c>
      <c r="EA24" s="40" t="str">
        <f t="shared" si="37"/>
        <v/>
      </c>
      <c r="EB24" s="40" t="str">
        <f t="shared" si="38"/>
        <v/>
      </c>
      <c r="EC24" s="40" t="str">
        <f t="shared" si="39"/>
        <v/>
      </c>
      <c r="ED24" s="40" t="str">
        <f t="shared" si="40"/>
        <v/>
      </c>
      <c r="EE24" s="40" t="str">
        <f t="shared" si="41"/>
        <v/>
      </c>
      <c r="EF24" s="40" t="str">
        <f t="shared" si="42"/>
        <v/>
      </c>
      <c r="EG24" s="40" t="str">
        <f t="shared" si="43"/>
        <v/>
      </c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1" t="str">
        <f t="shared" si="44"/>
        <v/>
      </c>
      <c r="FC24" s="11" t="str">
        <f t="shared" si="45"/>
        <v/>
      </c>
      <c r="FD24" s="11" t="str">
        <f t="shared" si="46"/>
        <v/>
      </c>
      <c r="FE24" s="11" t="str">
        <f t="shared" si="47"/>
        <v/>
      </c>
      <c r="FF24" s="11" t="str">
        <f t="shared" si="48"/>
        <v/>
      </c>
      <c r="FG24" s="11" t="str">
        <f t="shared" si="49"/>
        <v/>
      </c>
      <c r="FH24" s="11" t="str">
        <f t="shared" si="50"/>
        <v/>
      </c>
      <c r="FI24" s="11" t="str">
        <f t="shared" si="51"/>
        <v/>
      </c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40" t="str">
        <f t="shared" si="52"/>
        <v/>
      </c>
      <c r="GE24" s="40" t="str">
        <f t="shared" si="53"/>
        <v/>
      </c>
      <c r="GF24" s="40" t="str">
        <f t="shared" si="54"/>
        <v/>
      </c>
      <c r="GG24" s="40" t="str">
        <f t="shared" si="55"/>
        <v/>
      </c>
      <c r="GH24" s="40" t="str">
        <f t="shared" si="56"/>
        <v/>
      </c>
      <c r="GI24" s="40" t="str">
        <f t="shared" si="57"/>
        <v/>
      </c>
      <c r="GJ24" s="40" t="str">
        <f t="shared" si="58"/>
        <v/>
      </c>
      <c r="GK24" s="40" t="str">
        <f t="shared" si="59"/>
        <v/>
      </c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1" t="str">
        <f t="shared" si="60"/>
        <v/>
      </c>
      <c r="HG24" s="11" t="str">
        <f t="shared" si="61"/>
        <v/>
      </c>
      <c r="HH24" s="11" t="str">
        <f t="shared" si="62"/>
        <v/>
      </c>
      <c r="HI24" s="11" t="str">
        <f t="shared" si="63"/>
        <v/>
      </c>
      <c r="HJ24" s="11" t="str">
        <f t="shared" si="64"/>
        <v/>
      </c>
      <c r="HK24" s="11" t="str">
        <f t="shared" si="65"/>
        <v/>
      </c>
      <c r="HL24" s="11" t="str">
        <f t="shared" si="66"/>
        <v/>
      </c>
      <c r="HM24" s="11" t="str">
        <f t="shared" si="67"/>
        <v/>
      </c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40" t="str">
        <f t="shared" si="68"/>
        <v/>
      </c>
      <c r="II24" s="40" t="str">
        <f t="shared" si="69"/>
        <v/>
      </c>
      <c r="IJ24" s="40" t="str">
        <f t="shared" si="70"/>
        <v/>
      </c>
      <c r="IK24" s="40" t="str">
        <f t="shared" si="71"/>
        <v/>
      </c>
      <c r="IL24" s="40" t="str">
        <f t="shared" si="72"/>
        <v/>
      </c>
      <c r="IM24" s="40" t="str">
        <f t="shared" si="73"/>
        <v/>
      </c>
      <c r="IN24" s="40" t="str">
        <f t="shared" si="74"/>
        <v/>
      </c>
      <c r="IO24" s="40" t="str">
        <f t="shared" si="75"/>
        <v/>
      </c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1" t="str">
        <f t="shared" si="76"/>
        <v/>
      </c>
      <c r="JK24" s="11" t="str">
        <f t="shared" si="77"/>
        <v/>
      </c>
      <c r="JL24" s="11" t="str">
        <f t="shared" si="78"/>
        <v/>
      </c>
      <c r="JM24" s="11" t="str">
        <f t="shared" si="79"/>
        <v/>
      </c>
      <c r="JN24" s="11" t="str">
        <f t="shared" si="80"/>
        <v/>
      </c>
      <c r="JO24" s="11" t="str">
        <f t="shared" si="81"/>
        <v/>
      </c>
      <c r="JP24" s="11" t="str">
        <f t="shared" si="82"/>
        <v/>
      </c>
      <c r="JQ24" s="11" t="str">
        <f t="shared" si="83"/>
        <v/>
      </c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40" t="str">
        <f t="shared" si="84"/>
        <v/>
      </c>
      <c r="KM24" s="40" t="str">
        <f t="shared" si="85"/>
        <v/>
      </c>
      <c r="KN24" s="40" t="str">
        <f t="shared" si="86"/>
        <v/>
      </c>
      <c r="KO24" s="40" t="str">
        <f t="shared" si="87"/>
        <v/>
      </c>
      <c r="KP24" s="40" t="str">
        <f t="shared" si="88"/>
        <v/>
      </c>
      <c r="KQ24" s="40" t="str">
        <f t="shared" si="89"/>
        <v/>
      </c>
      <c r="KR24" s="40" t="str">
        <f t="shared" si="90"/>
        <v/>
      </c>
      <c r="KS24" s="40" t="str">
        <f t="shared" si="91"/>
        <v/>
      </c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1" t="str">
        <f t="shared" si="92"/>
        <v/>
      </c>
      <c r="LO24" s="11" t="str">
        <f t="shared" si="93"/>
        <v/>
      </c>
      <c r="LP24" s="11" t="str">
        <f t="shared" si="94"/>
        <v/>
      </c>
      <c r="LQ24" s="11" t="str">
        <f t="shared" si="95"/>
        <v/>
      </c>
      <c r="LR24" s="11" t="str">
        <f t="shared" si="96"/>
        <v/>
      </c>
      <c r="LS24" s="11" t="str">
        <f t="shared" si="97"/>
        <v/>
      </c>
      <c r="LT24" s="11" t="str">
        <f t="shared" si="98"/>
        <v/>
      </c>
      <c r="LU24" s="11" t="str">
        <f t="shared" si="99"/>
        <v/>
      </c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40" t="str">
        <f t="shared" si="100"/>
        <v/>
      </c>
      <c r="MQ24" s="40" t="str">
        <f t="shared" si="101"/>
        <v/>
      </c>
      <c r="MR24" s="40" t="str">
        <f t="shared" si="102"/>
        <v/>
      </c>
      <c r="MS24" s="40" t="str">
        <f t="shared" si="103"/>
        <v/>
      </c>
      <c r="MT24" s="40" t="str">
        <f t="shared" si="104"/>
        <v/>
      </c>
      <c r="MU24" s="40" t="str">
        <f t="shared" si="105"/>
        <v/>
      </c>
      <c r="MV24" s="40" t="str">
        <f t="shared" si="106"/>
        <v/>
      </c>
      <c r="MW24" s="40" t="str">
        <f t="shared" si="107"/>
        <v/>
      </c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1" t="str">
        <f t="shared" si="108"/>
        <v/>
      </c>
      <c r="NS24" s="11" t="str">
        <f t="shared" si="109"/>
        <v/>
      </c>
      <c r="NT24" s="11" t="str">
        <f t="shared" si="110"/>
        <v/>
      </c>
      <c r="NU24" s="11" t="str">
        <f t="shared" si="111"/>
        <v/>
      </c>
      <c r="NV24" s="11" t="str">
        <f t="shared" si="112"/>
        <v/>
      </c>
      <c r="NW24" s="11" t="str">
        <f t="shared" si="113"/>
        <v/>
      </c>
      <c r="NX24" s="11" t="str">
        <f t="shared" si="114"/>
        <v/>
      </c>
      <c r="NY24" s="11" t="str">
        <f t="shared" si="115"/>
        <v/>
      </c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40" t="str">
        <f t="shared" si="116"/>
        <v/>
      </c>
      <c r="OU24" s="40" t="str">
        <f t="shared" si="117"/>
        <v/>
      </c>
      <c r="OV24" s="40" t="str">
        <f t="shared" si="118"/>
        <v/>
      </c>
      <c r="OW24" s="40" t="str">
        <f t="shared" si="119"/>
        <v/>
      </c>
      <c r="OX24" s="40" t="str">
        <f t="shared" si="120"/>
        <v/>
      </c>
      <c r="OY24" s="40" t="str">
        <f t="shared" si="121"/>
        <v/>
      </c>
      <c r="OZ24" s="40" t="str">
        <f t="shared" si="122"/>
        <v/>
      </c>
      <c r="PA24" s="40" t="str">
        <f t="shared" si="123"/>
        <v/>
      </c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1" t="str">
        <f t="shared" si="124"/>
        <v/>
      </c>
      <c r="PW24" s="11" t="str">
        <f t="shared" si="125"/>
        <v/>
      </c>
      <c r="PX24" s="11" t="str">
        <f t="shared" si="126"/>
        <v/>
      </c>
      <c r="PY24" s="11" t="str">
        <f t="shared" si="127"/>
        <v/>
      </c>
      <c r="PZ24" s="11" t="str">
        <f t="shared" si="128"/>
        <v/>
      </c>
      <c r="QA24" s="11" t="str">
        <f t="shared" si="129"/>
        <v/>
      </c>
      <c r="QB24" s="11" t="str">
        <f t="shared" si="130"/>
        <v/>
      </c>
      <c r="QC24" s="11" t="str">
        <f t="shared" si="131"/>
        <v/>
      </c>
      <c r="QD24" s="22">
        <f t="shared" si="132"/>
        <v>9.1999999999999993</v>
      </c>
      <c r="QE24" s="22">
        <f t="shared" si="133"/>
        <v>1.75</v>
      </c>
      <c r="QF24" s="22">
        <f t="shared" si="134"/>
        <v>0.1</v>
      </c>
      <c r="QG24" s="22">
        <f t="shared" si="135"/>
        <v>0</v>
      </c>
      <c r="QH24" s="22">
        <f t="shared" si="136"/>
        <v>9</v>
      </c>
      <c r="QI24" s="22">
        <f t="shared" si="137"/>
        <v>2.2000000000000002</v>
      </c>
      <c r="QJ24" s="22">
        <f t="shared" si="138"/>
        <v>0.4</v>
      </c>
      <c r="QK24" s="22">
        <f t="shared" si="139"/>
        <v>0</v>
      </c>
      <c r="QL24" s="22">
        <f t="shared" si="140"/>
        <v>0</v>
      </c>
      <c r="QM24" s="22">
        <f t="shared" si="141"/>
        <v>0</v>
      </c>
      <c r="QN24" s="22">
        <f t="shared" si="142"/>
        <v>0</v>
      </c>
      <c r="QO24" s="22">
        <f t="shared" si="143"/>
        <v>0</v>
      </c>
      <c r="QP24" s="22">
        <f t="shared" si="144"/>
        <v>9.15</v>
      </c>
      <c r="QQ24" s="22">
        <f t="shared" si="145"/>
        <v>1.75</v>
      </c>
      <c r="QR24" s="22">
        <f t="shared" si="146"/>
        <v>0.1</v>
      </c>
      <c r="QS24" s="22">
        <f t="shared" si="147"/>
        <v>0</v>
      </c>
      <c r="QT24" s="22">
        <f t="shared" si="148"/>
        <v>8.85</v>
      </c>
      <c r="QU24" s="22">
        <f t="shared" si="149"/>
        <v>2.2000000000000002</v>
      </c>
      <c r="QV24" s="22">
        <f t="shared" si="150"/>
        <v>0.1</v>
      </c>
      <c r="QW24" s="22">
        <f t="shared" si="151"/>
        <v>0</v>
      </c>
      <c r="QX24" s="27" t="s">
        <v>46</v>
      </c>
      <c r="QY24" s="40">
        <f t="shared" si="152"/>
        <v>3.95</v>
      </c>
      <c r="QZ24" s="40">
        <f t="shared" si="153"/>
        <v>21.65</v>
      </c>
      <c r="RA24" s="40" t="str">
        <f t="shared" si="154"/>
        <v/>
      </c>
      <c r="RB24" s="40">
        <f t="shared" si="155"/>
        <v>3.95</v>
      </c>
      <c r="RC24" s="40">
        <f t="shared" si="156"/>
        <v>21.65</v>
      </c>
      <c r="RD24" s="40">
        <f t="shared" si="157"/>
        <v>3.95</v>
      </c>
      <c r="RE24" s="40">
        <f t="shared" si="158"/>
        <v>21.75</v>
      </c>
      <c r="RF24" s="40">
        <f t="shared" si="159"/>
        <v>43.4</v>
      </c>
    </row>
    <row r="25" spans="1:474" x14ac:dyDescent="0.2">
      <c r="A25" s="4" t="str" cm="1">
        <f t="array" ref="A25">IF(AND(J25&lt;&gt;"",J25&lt;&gt;"No DD"),SUMPRODUCT((J$4:J$36&lt;&gt;"")*(J$4:J$36&lt;&gt;"No DD")*(F$4:F$36&gt;F25))+1,IF(J25="No DD",SUMPRODUCT((J$4:J$36="No DD")*(F$4:F$36&gt;F25))+1+SUMPRODUCT((J$4:J$36&lt;&gt;"")*(J$4:J$36&lt;&gt;"No DD")),""))</f>
        <v/>
      </c>
      <c r="B25" s="4" t="str" cm="1">
        <f t="array" ref="B25">IF(AND(J25&lt;&gt;"",J25&lt;&gt;"No DD",G25=""),SUMPRODUCT((J$4:J$36&lt;&gt;"")*(J$4:J$36&lt;&gt;"No DD")*(G$4:G$36="")*(F$4:F$36&gt;F25))+1,IF(J25="No DD",SUMPRODUCT((J$4:J$36="No DD")*(F$4:F$36&gt;F25)*(G$4:G$36=""))+1+SUMPRODUCT((J$4:J$36&lt;&gt;"")*(G$4:G$36="")*(J$4:J$36&lt;&gt;"No DD")),""))</f>
        <v/>
      </c>
      <c r="C25" s="5" t="s">
        <v>196</v>
      </c>
      <c r="D25" s="4" t="s">
        <v>31</v>
      </c>
      <c r="E25" s="4">
        <v>2005</v>
      </c>
      <c r="F25" s="9">
        <f t="shared" si="0"/>
        <v>86.50000755000427</v>
      </c>
      <c r="G25" s="64"/>
      <c r="H25" s="3" t="str">
        <f t="shared" si="1"/>
        <v/>
      </c>
      <c r="I25" s="3" t="str">
        <f t="shared" si="2"/>
        <v/>
      </c>
      <c r="J25" s="36" t="str">
        <f t="shared" si="3"/>
        <v/>
      </c>
      <c r="K25" s="3" t="str">
        <f t="shared" si="4"/>
        <v/>
      </c>
      <c r="L25" s="8">
        <f>IF(COUNT(AQ25,BT25,CW25)&gt;0,LARGE((AQ25,BT25,CW25),1),0)</f>
        <v>42.7</v>
      </c>
      <c r="M25" s="8" t="str">
        <f t="shared" si="5"/>
        <v>2024 Nationals</v>
      </c>
      <c r="N25" s="8">
        <f>IF(COUNT(AQ25,BT25,CW25)&gt;1,LARGE((AQ25,BT25,CW25),2),0)</f>
        <v>32.800000000000004</v>
      </c>
      <c r="O25" s="8" t="str">
        <f t="shared" si="6"/>
        <v>2025 Elite Canada</v>
      </c>
      <c r="P25" s="8">
        <f t="shared" si="7"/>
        <v>0</v>
      </c>
      <c r="Q25" s="8" t="str">
        <f t="shared" si="8"/>
        <v/>
      </c>
      <c r="R25" s="8">
        <f t="shared" si="9"/>
        <v>10.999999999999993</v>
      </c>
      <c r="S25" s="11" t="str">
        <f t="shared" si="160"/>
        <v>(Q1)</v>
      </c>
      <c r="T25" s="8" t="str">
        <f t="shared" si="161"/>
        <v>2024 Coimbra Gym Fest (July 7)</v>
      </c>
      <c r="U25" s="19">
        <v>18.399999999999999</v>
      </c>
      <c r="V25" s="19">
        <v>3.2</v>
      </c>
      <c r="W25" s="19">
        <v>0.6</v>
      </c>
      <c r="X25" s="19">
        <v>0</v>
      </c>
      <c r="Y25" s="19">
        <v>18.600000000000001</v>
      </c>
      <c r="Z25" s="19">
        <v>3.1</v>
      </c>
      <c r="AA25" s="19">
        <v>0</v>
      </c>
      <c r="AB25" s="19">
        <v>0</v>
      </c>
      <c r="AC25" s="19">
        <v>17.600000000000001</v>
      </c>
      <c r="AD25" s="19">
        <v>0.7</v>
      </c>
      <c r="AE25" s="19">
        <v>0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 t="shared" si="10"/>
        <v>6.3000000000000007</v>
      </c>
      <c r="AQ25" s="40">
        <f t="shared" si="11"/>
        <v>42.7</v>
      </c>
      <c r="AR25" s="40">
        <f t="shared" si="12"/>
        <v>18.3</v>
      </c>
      <c r="AS25" s="40">
        <f t="shared" si="13"/>
        <v>7.0000000000000009</v>
      </c>
      <c r="AT25" s="40">
        <f t="shared" si="14"/>
        <v>61</v>
      </c>
      <c r="AU25" s="40" t="str">
        <f t="shared" si="15"/>
        <v/>
      </c>
      <c r="AV25" s="40" t="str">
        <f t="shared" si="16"/>
        <v/>
      </c>
      <c r="AW25" s="40">
        <f t="shared" si="17"/>
        <v>61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18"/>
        <v/>
      </c>
      <c r="BT25" s="11" t="str">
        <f t="shared" si="19"/>
        <v/>
      </c>
      <c r="BU25" s="11" t="str">
        <f t="shared" si="20"/>
        <v/>
      </c>
      <c r="BV25" s="11" t="str">
        <f t="shared" si="21"/>
        <v/>
      </c>
      <c r="BW25" s="11" t="str">
        <f t="shared" si="22"/>
        <v/>
      </c>
      <c r="BX25" s="11" t="str">
        <f t="shared" si="23"/>
        <v/>
      </c>
      <c r="BY25" s="11" t="str">
        <f t="shared" si="24"/>
        <v/>
      </c>
      <c r="BZ25" s="11" t="str">
        <f t="shared" si="25"/>
        <v/>
      </c>
      <c r="CA25" s="19">
        <v>15.6</v>
      </c>
      <c r="CB25" s="19">
        <v>1.2</v>
      </c>
      <c r="CC25" s="19">
        <v>0</v>
      </c>
      <c r="CD25" s="19">
        <v>0</v>
      </c>
      <c r="CE25" s="19">
        <v>15.3</v>
      </c>
      <c r="CF25" s="19">
        <v>0.7</v>
      </c>
      <c r="CG25" s="19">
        <v>0</v>
      </c>
      <c r="CH25" s="19">
        <v>0</v>
      </c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6"/>
        <v>1.9</v>
      </c>
      <c r="CW25" s="40">
        <f t="shared" si="27"/>
        <v>32.800000000000004</v>
      </c>
      <c r="CX25" s="40" t="str">
        <f t="shared" si="28"/>
        <v/>
      </c>
      <c r="CY25" s="40">
        <f t="shared" si="29"/>
        <v>1.9</v>
      </c>
      <c r="CZ25" s="40">
        <f t="shared" si="30"/>
        <v>32.800000000000004</v>
      </c>
      <c r="DA25" s="40" t="str">
        <f t="shared" si="31"/>
        <v/>
      </c>
      <c r="DB25" s="40" t="str">
        <f t="shared" si="32"/>
        <v/>
      </c>
      <c r="DC25" s="40">
        <f t="shared" si="33"/>
        <v>32.800000000000004</v>
      </c>
      <c r="DD25" s="50">
        <f t="shared" si="34"/>
        <v>10.999999999999993</v>
      </c>
      <c r="DE25" s="50" t="str">
        <f t="shared" si="35"/>
        <v/>
      </c>
      <c r="DF25" s="17">
        <v>19</v>
      </c>
      <c r="DG25" s="17">
        <v>3.5</v>
      </c>
      <c r="DH25" s="17">
        <v>0</v>
      </c>
      <c r="DI25" s="17">
        <v>0</v>
      </c>
      <c r="DJ25" s="17">
        <v>18.399999999999999</v>
      </c>
      <c r="DK25" s="17">
        <v>3.1</v>
      </c>
      <c r="DL25" s="17">
        <v>0.2</v>
      </c>
      <c r="DM25" s="17">
        <v>0</v>
      </c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40">
        <f t="shared" si="36"/>
        <v>6.6</v>
      </c>
      <c r="EA25" s="40">
        <f t="shared" si="37"/>
        <v>43.8</v>
      </c>
      <c r="EB25" s="40" t="str">
        <f t="shared" si="38"/>
        <v/>
      </c>
      <c r="EC25" s="40">
        <f t="shared" si="39"/>
        <v>6.6</v>
      </c>
      <c r="ED25" s="40">
        <f t="shared" si="40"/>
        <v>43.8</v>
      </c>
      <c r="EE25" s="40" t="str">
        <f t="shared" si="41"/>
        <v/>
      </c>
      <c r="EF25" s="40" t="str">
        <f t="shared" si="42"/>
        <v/>
      </c>
      <c r="EG25" s="40">
        <f t="shared" si="43"/>
        <v>43.8</v>
      </c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1" t="str">
        <f t="shared" si="44"/>
        <v/>
      </c>
      <c r="FC25" s="11" t="str">
        <f t="shared" si="45"/>
        <v/>
      </c>
      <c r="FD25" s="11" t="str">
        <f t="shared" si="46"/>
        <v/>
      </c>
      <c r="FE25" s="11" t="str">
        <f t="shared" si="47"/>
        <v/>
      </c>
      <c r="FF25" s="11" t="str">
        <f t="shared" si="48"/>
        <v/>
      </c>
      <c r="FG25" s="11" t="str">
        <f t="shared" si="49"/>
        <v/>
      </c>
      <c r="FH25" s="11" t="str">
        <f t="shared" si="50"/>
        <v/>
      </c>
      <c r="FI25" s="11" t="str">
        <f t="shared" si="51"/>
        <v/>
      </c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40" t="str">
        <f t="shared" si="52"/>
        <v/>
      </c>
      <c r="GE25" s="40" t="str">
        <f t="shared" si="53"/>
        <v/>
      </c>
      <c r="GF25" s="40" t="str">
        <f t="shared" si="54"/>
        <v/>
      </c>
      <c r="GG25" s="40" t="str">
        <f t="shared" si="55"/>
        <v/>
      </c>
      <c r="GH25" s="40" t="str">
        <f t="shared" si="56"/>
        <v/>
      </c>
      <c r="GI25" s="40" t="str">
        <f t="shared" si="57"/>
        <v/>
      </c>
      <c r="GJ25" s="40" t="str">
        <f t="shared" si="58"/>
        <v/>
      </c>
      <c r="GK25" s="40" t="str">
        <f t="shared" si="59"/>
        <v/>
      </c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1" t="str">
        <f t="shared" si="60"/>
        <v/>
      </c>
      <c r="HG25" s="11" t="str">
        <f t="shared" si="61"/>
        <v/>
      </c>
      <c r="HH25" s="11" t="str">
        <f t="shared" si="62"/>
        <v/>
      </c>
      <c r="HI25" s="11" t="str">
        <f t="shared" si="63"/>
        <v/>
      </c>
      <c r="HJ25" s="11" t="str">
        <f t="shared" si="64"/>
        <v/>
      </c>
      <c r="HK25" s="11" t="str">
        <f t="shared" si="65"/>
        <v/>
      </c>
      <c r="HL25" s="11" t="str">
        <f t="shared" si="66"/>
        <v/>
      </c>
      <c r="HM25" s="11" t="str">
        <f t="shared" si="67"/>
        <v/>
      </c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40" t="str">
        <f t="shared" si="68"/>
        <v/>
      </c>
      <c r="II25" s="40" t="str">
        <f t="shared" si="69"/>
        <v/>
      </c>
      <c r="IJ25" s="40" t="str">
        <f t="shared" si="70"/>
        <v/>
      </c>
      <c r="IK25" s="40" t="str">
        <f t="shared" si="71"/>
        <v/>
      </c>
      <c r="IL25" s="40" t="str">
        <f t="shared" si="72"/>
        <v/>
      </c>
      <c r="IM25" s="40" t="str">
        <f t="shared" si="73"/>
        <v/>
      </c>
      <c r="IN25" s="40" t="str">
        <f t="shared" si="74"/>
        <v/>
      </c>
      <c r="IO25" s="40" t="str">
        <f t="shared" si="75"/>
        <v/>
      </c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1" t="str">
        <f t="shared" si="76"/>
        <v/>
      </c>
      <c r="JK25" s="11" t="str">
        <f t="shared" si="77"/>
        <v/>
      </c>
      <c r="JL25" s="11" t="str">
        <f t="shared" si="78"/>
        <v/>
      </c>
      <c r="JM25" s="11" t="str">
        <f t="shared" si="79"/>
        <v/>
      </c>
      <c r="JN25" s="11" t="str">
        <f t="shared" si="80"/>
        <v/>
      </c>
      <c r="JO25" s="11" t="str">
        <f t="shared" si="81"/>
        <v/>
      </c>
      <c r="JP25" s="11" t="str">
        <f t="shared" si="82"/>
        <v/>
      </c>
      <c r="JQ25" s="11" t="str">
        <f t="shared" si="83"/>
        <v/>
      </c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40" t="str">
        <f t="shared" si="84"/>
        <v/>
      </c>
      <c r="KM25" s="40" t="str">
        <f t="shared" si="85"/>
        <v/>
      </c>
      <c r="KN25" s="40" t="str">
        <f t="shared" si="86"/>
        <v/>
      </c>
      <c r="KO25" s="40" t="str">
        <f t="shared" si="87"/>
        <v/>
      </c>
      <c r="KP25" s="40" t="str">
        <f t="shared" si="88"/>
        <v/>
      </c>
      <c r="KQ25" s="40" t="str">
        <f t="shared" si="89"/>
        <v/>
      </c>
      <c r="KR25" s="40" t="str">
        <f t="shared" si="90"/>
        <v/>
      </c>
      <c r="KS25" s="40" t="str">
        <f t="shared" si="91"/>
        <v/>
      </c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1" t="str">
        <f t="shared" si="92"/>
        <v/>
      </c>
      <c r="LO25" s="11" t="str">
        <f t="shared" si="93"/>
        <v/>
      </c>
      <c r="LP25" s="11" t="str">
        <f t="shared" si="94"/>
        <v/>
      </c>
      <c r="LQ25" s="11" t="str">
        <f t="shared" si="95"/>
        <v/>
      </c>
      <c r="LR25" s="11" t="str">
        <f t="shared" si="96"/>
        <v/>
      </c>
      <c r="LS25" s="11" t="str">
        <f t="shared" si="97"/>
        <v/>
      </c>
      <c r="LT25" s="11" t="str">
        <f t="shared" si="98"/>
        <v/>
      </c>
      <c r="LU25" s="11" t="str">
        <f t="shared" si="99"/>
        <v/>
      </c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40" t="str">
        <f t="shared" si="100"/>
        <v/>
      </c>
      <c r="MQ25" s="40" t="str">
        <f t="shared" si="101"/>
        <v/>
      </c>
      <c r="MR25" s="40" t="str">
        <f t="shared" si="102"/>
        <v/>
      </c>
      <c r="MS25" s="40" t="str">
        <f t="shared" si="103"/>
        <v/>
      </c>
      <c r="MT25" s="40" t="str">
        <f t="shared" si="104"/>
        <v/>
      </c>
      <c r="MU25" s="40" t="str">
        <f t="shared" si="105"/>
        <v/>
      </c>
      <c r="MV25" s="40" t="str">
        <f t="shared" si="106"/>
        <v/>
      </c>
      <c r="MW25" s="40" t="str">
        <f t="shared" si="107"/>
        <v/>
      </c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1" t="str">
        <f t="shared" si="108"/>
        <v/>
      </c>
      <c r="NS25" s="11" t="str">
        <f t="shared" si="109"/>
        <v/>
      </c>
      <c r="NT25" s="11" t="str">
        <f t="shared" si="110"/>
        <v/>
      </c>
      <c r="NU25" s="11" t="str">
        <f t="shared" si="111"/>
        <v/>
      </c>
      <c r="NV25" s="11" t="str">
        <f t="shared" si="112"/>
        <v/>
      </c>
      <c r="NW25" s="11" t="str">
        <f t="shared" si="113"/>
        <v/>
      </c>
      <c r="NX25" s="11" t="str">
        <f t="shared" si="114"/>
        <v/>
      </c>
      <c r="NY25" s="11" t="str">
        <f t="shared" si="115"/>
        <v/>
      </c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40" t="str">
        <f t="shared" si="116"/>
        <v/>
      </c>
      <c r="OU25" s="40" t="str">
        <f t="shared" si="117"/>
        <v/>
      </c>
      <c r="OV25" s="40" t="str">
        <f t="shared" si="118"/>
        <v/>
      </c>
      <c r="OW25" s="40" t="str">
        <f t="shared" si="119"/>
        <v/>
      </c>
      <c r="OX25" s="40" t="str">
        <f t="shared" si="120"/>
        <v/>
      </c>
      <c r="OY25" s="40" t="str">
        <f t="shared" si="121"/>
        <v/>
      </c>
      <c r="OZ25" s="40" t="str">
        <f t="shared" si="122"/>
        <v/>
      </c>
      <c r="PA25" s="40" t="str">
        <f t="shared" si="123"/>
        <v/>
      </c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1" t="str">
        <f t="shared" si="124"/>
        <v/>
      </c>
      <c r="PW25" s="11" t="str">
        <f t="shared" si="125"/>
        <v/>
      </c>
      <c r="PX25" s="11" t="str">
        <f t="shared" si="126"/>
        <v/>
      </c>
      <c r="PY25" s="11" t="str">
        <f t="shared" si="127"/>
        <v/>
      </c>
      <c r="PZ25" s="11" t="str">
        <f t="shared" si="128"/>
        <v/>
      </c>
      <c r="QA25" s="11" t="str">
        <f t="shared" si="129"/>
        <v/>
      </c>
      <c r="QB25" s="11" t="str">
        <f t="shared" si="130"/>
        <v/>
      </c>
      <c r="QC25" s="11" t="str">
        <f t="shared" si="131"/>
        <v/>
      </c>
      <c r="QD25" s="22">
        <f t="shared" si="132"/>
        <v>7.8</v>
      </c>
      <c r="QE25" s="22">
        <f t="shared" si="133"/>
        <v>0.6</v>
      </c>
      <c r="QF25" s="22">
        <f t="shared" si="134"/>
        <v>0</v>
      </c>
      <c r="QG25" s="22">
        <f t="shared" si="135"/>
        <v>0</v>
      </c>
      <c r="QH25" s="22">
        <f t="shared" si="136"/>
        <v>7.65</v>
      </c>
      <c r="QI25" s="22">
        <f t="shared" si="137"/>
        <v>0.35</v>
      </c>
      <c r="QJ25" s="22">
        <f t="shared" si="138"/>
        <v>0</v>
      </c>
      <c r="QK25" s="22">
        <f t="shared" si="139"/>
        <v>0</v>
      </c>
      <c r="QL25" s="22">
        <f t="shared" si="140"/>
        <v>0</v>
      </c>
      <c r="QM25" s="22">
        <f t="shared" si="141"/>
        <v>0</v>
      </c>
      <c r="QN25" s="22">
        <f t="shared" si="142"/>
        <v>0</v>
      </c>
      <c r="QO25" s="22">
        <f t="shared" si="143"/>
        <v>0</v>
      </c>
      <c r="QP25" s="22">
        <f t="shared" si="144"/>
        <v>0</v>
      </c>
      <c r="QQ25" s="22">
        <f t="shared" si="145"/>
        <v>0</v>
      </c>
      <c r="QR25" s="22">
        <f t="shared" si="146"/>
        <v>0</v>
      </c>
      <c r="QS25" s="22">
        <f t="shared" si="147"/>
        <v>0</v>
      </c>
      <c r="QT25" s="22">
        <f t="shared" si="148"/>
        <v>0</v>
      </c>
      <c r="QU25" s="22">
        <f t="shared" si="149"/>
        <v>0</v>
      </c>
      <c r="QV25" s="22">
        <f t="shared" si="150"/>
        <v>0</v>
      </c>
      <c r="QW25" s="22">
        <f t="shared" si="151"/>
        <v>0</v>
      </c>
      <c r="QX25" s="27" t="s">
        <v>46</v>
      </c>
      <c r="QY25" s="40">
        <f t="shared" si="152"/>
        <v>0.95</v>
      </c>
      <c r="QZ25" s="40">
        <f t="shared" si="153"/>
        <v>16.400000000000002</v>
      </c>
      <c r="RA25" s="40" t="str">
        <f t="shared" si="154"/>
        <v/>
      </c>
      <c r="RB25" s="40">
        <f t="shared" si="155"/>
        <v>0.95</v>
      </c>
      <c r="RC25" s="40">
        <f t="shared" si="156"/>
        <v>16.400000000000002</v>
      </c>
      <c r="RD25" s="40" t="str">
        <f t="shared" si="157"/>
        <v/>
      </c>
      <c r="RE25" s="40" t="str">
        <f t="shared" si="158"/>
        <v/>
      </c>
      <c r="RF25" s="40">
        <f t="shared" si="159"/>
        <v>16.400000000000002</v>
      </c>
    </row>
    <row r="26" spans="1:474" x14ac:dyDescent="0.2">
      <c r="A26" s="4" t="str" cm="1">
        <f t="array" ref="A26">IF(AND(J26&lt;&gt;"",J26&lt;&gt;"No DD"),SUMPRODUCT((J$4:J$36&lt;&gt;"")*(J$4:J$36&lt;&gt;"No DD")*(F$4:F$36&gt;F26))+1,IF(J26="No DD",SUMPRODUCT((J$4:J$36="No DD")*(F$4:F$36&gt;F26))+1+SUMPRODUCT((J$4:J$36&lt;&gt;"")*(J$4:J$36&lt;&gt;"No DD")),""))</f>
        <v/>
      </c>
      <c r="B26" s="4" t="str" cm="1">
        <f t="array" ref="B26">IF(AND(J26&lt;&gt;"",J26&lt;&gt;"No DD",G26=""),SUMPRODUCT((J$4:J$36&lt;&gt;"")*(J$4:J$36&lt;&gt;"No DD")*(G$4:G$36="")*(F$4:F$36&gt;F26))+1,IF(J26="No DD",SUMPRODUCT((J$4:J$36="No DD")*(F$4:F$36&gt;F26)*(G$4:G$36=""))+1+SUMPRODUCT((J$4:J$36&lt;&gt;"")*(G$4:G$36="")*(J$4:J$36&lt;&gt;"No DD")),""))</f>
        <v/>
      </c>
      <c r="C26" s="5" t="s">
        <v>165</v>
      </c>
      <c r="D26" s="4" t="s">
        <v>31</v>
      </c>
      <c r="E26" s="4">
        <v>2007</v>
      </c>
      <c r="F26" s="9">
        <f t="shared" si="0"/>
        <v>85.000004080004075</v>
      </c>
      <c r="G26" s="64"/>
      <c r="H26" s="3" t="str">
        <f t="shared" si="1"/>
        <v/>
      </c>
      <c r="I26" s="3" t="str">
        <f t="shared" si="2"/>
        <v/>
      </c>
      <c r="J26" s="36" t="str">
        <f t="shared" si="3"/>
        <v/>
      </c>
      <c r="K26" s="3" t="str">
        <f t="shared" si="4"/>
        <v/>
      </c>
      <c r="L26" s="8">
        <f>IF(COUNT(AQ26,BT26,CW26)&gt;0,LARGE((AQ26,BT26,CW26),1),0)</f>
        <v>40.800000000000004</v>
      </c>
      <c r="M26" s="8" t="str">
        <f t="shared" si="5"/>
        <v>2024 Nationals</v>
      </c>
      <c r="N26" s="8">
        <f>IF(COUNT(AQ26,BT26,CW26)&gt;1,LARGE((AQ26,BT26,CW26),2),0)</f>
        <v>0</v>
      </c>
      <c r="O26" s="8" t="str">
        <f t="shared" si="6"/>
        <v/>
      </c>
      <c r="P26" s="8">
        <f t="shared" si="7"/>
        <v>0</v>
      </c>
      <c r="Q26" s="8" t="str">
        <f t="shared" si="8"/>
        <v/>
      </c>
      <c r="R26" s="8">
        <f t="shared" si="9"/>
        <v>44.2</v>
      </c>
      <c r="S26" s="11" t="str">
        <f t="shared" si="160"/>
        <v>(Q1)</v>
      </c>
      <c r="T26" s="8" t="str">
        <f t="shared" si="161"/>
        <v>2024 Coimbra Gym Fest (July 7)</v>
      </c>
      <c r="U26" s="19">
        <v>18.7</v>
      </c>
      <c r="V26" s="19">
        <v>3.6</v>
      </c>
      <c r="W26" s="19">
        <v>0</v>
      </c>
      <c r="X26" s="19">
        <v>0</v>
      </c>
      <c r="Y26" s="19">
        <v>17.8</v>
      </c>
      <c r="Z26" s="19">
        <v>0.7</v>
      </c>
      <c r="AA26" s="19">
        <v>0</v>
      </c>
      <c r="AB26" s="19">
        <v>0</v>
      </c>
      <c r="AC26" s="19">
        <v>18.2</v>
      </c>
      <c r="AD26" s="19">
        <v>2.7</v>
      </c>
      <c r="AE26" s="19">
        <v>0.9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 t="shared" si="10"/>
        <v>4.3</v>
      </c>
      <c r="AQ26" s="40">
        <f t="shared" si="11"/>
        <v>40.800000000000004</v>
      </c>
      <c r="AR26" s="40">
        <f t="shared" si="12"/>
        <v>20</v>
      </c>
      <c r="AS26" s="40">
        <f t="shared" si="13"/>
        <v>7</v>
      </c>
      <c r="AT26" s="40">
        <f t="shared" si="14"/>
        <v>60.800000000000004</v>
      </c>
      <c r="AU26" s="40" t="str">
        <f t="shared" si="15"/>
        <v/>
      </c>
      <c r="AV26" s="40" t="str">
        <f t="shared" si="16"/>
        <v/>
      </c>
      <c r="AW26" s="40">
        <f t="shared" si="17"/>
        <v>60.800000000000004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18"/>
        <v/>
      </c>
      <c r="BT26" s="11" t="str">
        <f t="shared" si="19"/>
        <v/>
      </c>
      <c r="BU26" s="11" t="str">
        <f t="shared" si="20"/>
        <v/>
      </c>
      <c r="BV26" s="11" t="str">
        <f t="shared" si="21"/>
        <v/>
      </c>
      <c r="BW26" s="11" t="str">
        <f t="shared" si="22"/>
        <v/>
      </c>
      <c r="BX26" s="11" t="str">
        <f t="shared" si="23"/>
        <v/>
      </c>
      <c r="BY26" s="11" t="str">
        <f t="shared" si="24"/>
        <v/>
      </c>
      <c r="BZ26" s="11" t="str">
        <f t="shared" si="25"/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 t="shared" si="26"/>
        <v/>
      </c>
      <c r="CW26" s="40" t="str">
        <f t="shared" si="27"/>
        <v/>
      </c>
      <c r="CX26" s="40" t="str">
        <f t="shared" si="28"/>
        <v/>
      </c>
      <c r="CY26" s="40" t="str">
        <f t="shared" si="29"/>
        <v/>
      </c>
      <c r="CZ26" s="40" t="str">
        <f t="shared" si="30"/>
        <v/>
      </c>
      <c r="DA26" s="40" t="str">
        <f t="shared" si="31"/>
        <v/>
      </c>
      <c r="DB26" s="40" t="str">
        <f t="shared" si="32"/>
        <v/>
      </c>
      <c r="DC26" s="40" t="str">
        <f t="shared" si="33"/>
        <v/>
      </c>
      <c r="DD26" s="50">
        <f t="shared" si="34"/>
        <v>44.2</v>
      </c>
      <c r="DE26" s="50" t="str">
        <f t="shared" si="35"/>
        <v/>
      </c>
      <c r="DF26" s="17">
        <v>18.5</v>
      </c>
      <c r="DG26" s="17">
        <v>3.6</v>
      </c>
      <c r="DH26" s="17">
        <v>0.2</v>
      </c>
      <c r="DI26" s="17">
        <v>0</v>
      </c>
      <c r="DJ26" s="17">
        <v>18.8</v>
      </c>
      <c r="DK26" s="17">
        <v>3.5</v>
      </c>
      <c r="DL26" s="17">
        <v>0</v>
      </c>
      <c r="DM26" s="17">
        <v>0</v>
      </c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40">
        <f t="shared" si="36"/>
        <v>7.1</v>
      </c>
      <c r="EA26" s="40">
        <f t="shared" si="37"/>
        <v>44.2</v>
      </c>
      <c r="EB26" s="40" t="str">
        <f t="shared" si="38"/>
        <v/>
      </c>
      <c r="EC26" s="40">
        <f t="shared" si="39"/>
        <v>7.1</v>
      </c>
      <c r="ED26" s="40">
        <f t="shared" si="40"/>
        <v>44.2</v>
      </c>
      <c r="EE26" s="40" t="str">
        <f t="shared" si="41"/>
        <v/>
      </c>
      <c r="EF26" s="40" t="str">
        <f t="shared" si="42"/>
        <v/>
      </c>
      <c r="EG26" s="40">
        <f t="shared" si="43"/>
        <v>44.2</v>
      </c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1" t="str">
        <f t="shared" si="44"/>
        <v/>
      </c>
      <c r="FC26" s="11" t="str">
        <f t="shared" si="45"/>
        <v/>
      </c>
      <c r="FD26" s="11" t="str">
        <f t="shared" si="46"/>
        <v/>
      </c>
      <c r="FE26" s="11" t="str">
        <f t="shared" si="47"/>
        <v/>
      </c>
      <c r="FF26" s="11" t="str">
        <f t="shared" si="48"/>
        <v/>
      </c>
      <c r="FG26" s="11" t="str">
        <f t="shared" si="49"/>
        <v/>
      </c>
      <c r="FH26" s="11" t="str">
        <f t="shared" si="50"/>
        <v/>
      </c>
      <c r="FI26" s="11" t="str">
        <f t="shared" si="51"/>
        <v/>
      </c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40" t="str">
        <f t="shared" si="52"/>
        <v/>
      </c>
      <c r="GE26" s="40" t="str">
        <f t="shared" si="53"/>
        <v/>
      </c>
      <c r="GF26" s="40" t="str">
        <f t="shared" si="54"/>
        <v/>
      </c>
      <c r="GG26" s="40" t="str">
        <f t="shared" si="55"/>
        <v/>
      </c>
      <c r="GH26" s="40" t="str">
        <f t="shared" si="56"/>
        <v/>
      </c>
      <c r="GI26" s="40" t="str">
        <f t="shared" si="57"/>
        <v/>
      </c>
      <c r="GJ26" s="40" t="str">
        <f t="shared" si="58"/>
        <v/>
      </c>
      <c r="GK26" s="40" t="str">
        <f t="shared" si="59"/>
        <v/>
      </c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1" t="str">
        <f t="shared" si="60"/>
        <v/>
      </c>
      <c r="HG26" s="11" t="str">
        <f t="shared" si="61"/>
        <v/>
      </c>
      <c r="HH26" s="11" t="str">
        <f t="shared" si="62"/>
        <v/>
      </c>
      <c r="HI26" s="11" t="str">
        <f t="shared" si="63"/>
        <v/>
      </c>
      <c r="HJ26" s="11" t="str">
        <f t="shared" si="64"/>
        <v/>
      </c>
      <c r="HK26" s="11" t="str">
        <f t="shared" si="65"/>
        <v/>
      </c>
      <c r="HL26" s="11" t="str">
        <f t="shared" si="66"/>
        <v/>
      </c>
      <c r="HM26" s="11" t="str">
        <f t="shared" si="67"/>
        <v/>
      </c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40" t="str">
        <f t="shared" si="68"/>
        <v/>
      </c>
      <c r="II26" s="40" t="str">
        <f t="shared" si="69"/>
        <v/>
      </c>
      <c r="IJ26" s="40" t="str">
        <f t="shared" si="70"/>
        <v/>
      </c>
      <c r="IK26" s="40" t="str">
        <f t="shared" si="71"/>
        <v/>
      </c>
      <c r="IL26" s="40" t="str">
        <f t="shared" si="72"/>
        <v/>
      </c>
      <c r="IM26" s="40" t="str">
        <f t="shared" si="73"/>
        <v/>
      </c>
      <c r="IN26" s="40" t="str">
        <f t="shared" si="74"/>
        <v/>
      </c>
      <c r="IO26" s="40" t="str">
        <f t="shared" si="75"/>
        <v/>
      </c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1" t="str">
        <f t="shared" si="76"/>
        <v/>
      </c>
      <c r="JK26" s="11" t="str">
        <f t="shared" si="77"/>
        <v/>
      </c>
      <c r="JL26" s="11" t="str">
        <f t="shared" si="78"/>
        <v/>
      </c>
      <c r="JM26" s="11" t="str">
        <f t="shared" si="79"/>
        <v/>
      </c>
      <c r="JN26" s="11" t="str">
        <f t="shared" si="80"/>
        <v/>
      </c>
      <c r="JO26" s="11" t="str">
        <f t="shared" si="81"/>
        <v/>
      </c>
      <c r="JP26" s="11" t="str">
        <f t="shared" si="82"/>
        <v/>
      </c>
      <c r="JQ26" s="11" t="str">
        <f t="shared" si="83"/>
        <v/>
      </c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40" t="str">
        <f t="shared" si="84"/>
        <v/>
      </c>
      <c r="KM26" s="40" t="str">
        <f t="shared" si="85"/>
        <v/>
      </c>
      <c r="KN26" s="40" t="str">
        <f t="shared" si="86"/>
        <v/>
      </c>
      <c r="KO26" s="40" t="str">
        <f t="shared" si="87"/>
        <v/>
      </c>
      <c r="KP26" s="40" t="str">
        <f t="shared" si="88"/>
        <v/>
      </c>
      <c r="KQ26" s="40" t="str">
        <f t="shared" si="89"/>
        <v/>
      </c>
      <c r="KR26" s="40" t="str">
        <f t="shared" si="90"/>
        <v/>
      </c>
      <c r="KS26" s="40" t="str">
        <f t="shared" si="91"/>
        <v/>
      </c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1" t="str">
        <f t="shared" si="92"/>
        <v/>
      </c>
      <c r="LO26" s="11" t="str">
        <f t="shared" si="93"/>
        <v/>
      </c>
      <c r="LP26" s="11" t="str">
        <f t="shared" si="94"/>
        <v/>
      </c>
      <c r="LQ26" s="11" t="str">
        <f t="shared" si="95"/>
        <v/>
      </c>
      <c r="LR26" s="11" t="str">
        <f t="shared" si="96"/>
        <v/>
      </c>
      <c r="LS26" s="11" t="str">
        <f t="shared" si="97"/>
        <v/>
      </c>
      <c r="LT26" s="11" t="str">
        <f t="shared" si="98"/>
        <v/>
      </c>
      <c r="LU26" s="11" t="str">
        <f t="shared" si="99"/>
        <v/>
      </c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40" t="str">
        <f t="shared" si="100"/>
        <v/>
      </c>
      <c r="MQ26" s="40" t="str">
        <f t="shared" si="101"/>
        <v/>
      </c>
      <c r="MR26" s="40" t="str">
        <f t="shared" si="102"/>
        <v/>
      </c>
      <c r="MS26" s="40" t="str">
        <f t="shared" si="103"/>
        <v/>
      </c>
      <c r="MT26" s="40" t="str">
        <f t="shared" si="104"/>
        <v/>
      </c>
      <c r="MU26" s="40" t="str">
        <f t="shared" si="105"/>
        <v/>
      </c>
      <c r="MV26" s="40" t="str">
        <f t="shared" si="106"/>
        <v/>
      </c>
      <c r="MW26" s="40" t="str">
        <f t="shared" si="107"/>
        <v/>
      </c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1" t="str">
        <f t="shared" si="108"/>
        <v/>
      </c>
      <c r="NS26" s="11" t="str">
        <f t="shared" si="109"/>
        <v/>
      </c>
      <c r="NT26" s="11" t="str">
        <f t="shared" si="110"/>
        <v/>
      </c>
      <c r="NU26" s="11" t="str">
        <f t="shared" si="111"/>
        <v/>
      </c>
      <c r="NV26" s="11" t="str">
        <f t="shared" si="112"/>
        <v/>
      </c>
      <c r="NW26" s="11" t="str">
        <f t="shared" si="113"/>
        <v/>
      </c>
      <c r="NX26" s="11" t="str">
        <f t="shared" si="114"/>
        <v/>
      </c>
      <c r="NY26" s="11" t="str">
        <f t="shared" si="115"/>
        <v/>
      </c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40" t="str">
        <f t="shared" si="116"/>
        <v/>
      </c>
      <c r="OU26" s="40" t="str">
        <f t="shared" si="117"/>
        <v/>
      </c>
      <c r="OV26" s="40" t="str">
        <f t="shared" si="118"/>
        <v/>
      </c>
      <c r="OW26" s="40" t="str">
        <f t="shared" si="119"/>
        <v/>
      </c>
      <c r="OX26" s="40" t="str">
        <f t="shared" si="120"/>
        <v/>
      </c>
      <c r="OY26" s="40" t="str">
        <f t="shared" si="121"/>
        <v/>
      </c>
      <c r="OZ26" s="40" t="str">
        <f t="shared" si="122"/>
        <v/>
      </c>
      <c r="PA26" s="40" t="str">
        <f t="shared" si="123"/>
        <v/>
      </c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1" t="str">
        <f t="shared" si="124"/>
        <v/>
      </c>
      <c r="PW26" s="11" t="str">
        <f t="shared" si="125"/>
        <v/>
      </c>
      <c r="PX26" s="11" t="str">
        <f t="shared" si="126"/>
        <v/>
      </c>
      <c r="PY26" s="11" t="str">
        <f t="shared" si="127"/>
        <v/>
      </c>
      <c r="PZ26" s="11" t="str">
        <f t="shared" si="128"/>
        <v/>
      </c>
      <c r="QA26" s="11" t="str">
        <f t="shared" si="129"/>
        <v/>
      </c>
      <c r="QB26" s="11" t="str">
        <f t="shared" si="130"/>
        <v/>
      </c>
      <c r="QC26" s="11" t="str">
        <f t="shared" si="131"/>
        <v/>
      </c>
      <c r="QD26" s="22">
        <f t="shared" si="132"/>
        <v>0</v>
      </c>
      <c r="QE26" s="22">
        <f t="shared" si="133"/>
        <v>0</v>
      </c>
      <c r="QF26" s="22">
        <f t="shared" si="134"/>
        <v>0</v>
      </c>
      <c r="QG26" s="22">
        <f t="shared" si="135"/>
        <v>0</v>
      </c>
      <c r="QH26" s="22">
        <f t="shared" si="136"/>
        <v>0</v>
      </c>
      <c r="QI26" s="22">
        <f t="shared" si="137"/>
        <v>0</v>
      </c>
      <c r="QJ26" s="22">
        <f t="shared" si="138"/>
        <v>0</v>
      </c>
      <c r="QK26" s="22">
        <f t="shared" si="139"/>
        <v>0</v>
      </c>
      <c r="QL26" s="22">
        <f t="shared" si="140"/>
        <v>0</v>
      </c>
      <c r="QM26" s="22">
        <f t="shared" si="141"/>
        <v>0</v>
      </c>
      <c r="QN26" s="22">
        <f t="shared" si="142"/>
        <v>0</v>
      </c>
      <c r="QO26" s="22">
        <f t="shared" si="143"/>
        <v>0</v>
      </c>
      <c r="QP26" s="22">
        <f t="shared" si="144"/>
        <v>0</v>
      </c>
      <c r="QQ26" s="22">
        <f t="shared" si="145"/>
        <v>0</v>
      </c>
      <c r="QR26" s="22">
        <f t="shared" si="146"/>
        <v>0</v>
      </c>
      <c r="QS26" s="22">
        <f t="shared" si="147"/>
        <v>0</v>
      </c>
      <c r="QT26" s="22">
        <f t="shared" si="148"/>
        <v>0</v>
      </c>
      <c r="QU26" s="22">
        <f t="shared" si="149"/>
        <v>0</v>
      </c>
      <c r="QV26" s="22">
        <f t="shared" si="150"/>
        <v>0</v>
      </c>
      <c r="QW26" s="22">
        <f t="shared" si="151"/>
        <v>0</v>
      </c>
      <c r="QX26" s="27" t="s">
        <v>46</v>
      </c>
      <c r="QY26" s="40" t="str">
        <f t="shared" si="152"/>
        <v/>
      </c>
      <c r="QZ26" s="40" t="str">
        <f t="shared" si="153"/>
        <v/>
      </c>
      <c r="RA26" s="40" t="str">
        <f t="shared" si="154"/>
        <v/>
      </c>
      <c r="RB26" s="40" t="str">
        <f t="shared" si="155"/>
        <v/>
      </c>
      <c r="RC26" s="40" t="str">
        <f t="shared" si="156"/>
        <v/>
      </c>
      <c r="RD26" s="40" t="str">
        <f t="shared" si="157"/>
        <v/>
      </c>
      <c r="RE26" s="40" t="str">
        <f t="shared" si="158"/>
        <v/>
      </c>
      <c r="RF26" s="40" t="str">
        <f t="shared" si="159"/>
        <v/>
      </c>
    </row>
    <row r="27" spans="1:474" x14ac:dyDescent="0.2">
      <c r="A27" s="4" t="str" cm="1">
        <f t="array" ref="A27">IF(AND(J27&lt;&gt;"",J27&lt;&gt;"No DD"),SUMPRODUCT((J$4:J$36&lt;&gt;"")*(J$4:J$36&lt;&gt;"No DD")*(F$4:F$36&gt;F27))+1,IF(J27="No DD",SUMPRODUCT((J$4:J$36="No DD")*(F$4:F$36&gt;F27))+1+SUMPRODUCT((J$4:J$36&lt;&gt;"")*(J$4:J$36&lt;&gt;"No DD")),""))</f>
        <v/>
      </c>
      <c r="B27" s="4" t="str" cm="1">
        <f t="array" ref="B27">IF(AND(J27&lt;&gt;"",J27&lt;&gt;"No DD",G27=""),SUMPRODUCT((J$4:J$36&lt;&gt;"")*(J$4:J$36&lt;&gt;"No DD")*(G$4:G$36="")*(F$4:F$36&gt;F27))+1,IF(J27="No DD",SUMPRODUCT((J$4:J$36="No DD")*(F$4:F$36&gt;F27)*(G$4:G$36=""))+1+SUMPRODUCT((J$4:J$36&lt;&gt;"")*(G$4:G$36="")*(J$4:J$36&lt;&gt;"No DD")),""))</f>
        <v/>
      </c>
      <c r="C27" s="5" t="s">
        <v>227</v>
      </c>
      <c r="D27" s="4" t="s">
        <v>4</v>
      </c>
      <c r="E27" s="4">
        <v>2008</v>
      </c>
      <c r="F27" s="9">
        <f t="shared" si="0"/>
        <v>83.000003800003796</v>
      </c>
      <c r="G27" s="64"/>
      <c r="H27" s="3" t="str">
        <f t="shared" si="1"/>
        <v/>
      </c>
      <c r="I27" s="3" t="str">
        <f t="shared" si="2"/>
        <v/>
      </c>
      <c r="J27" s="36" t="str">
        <f t="shared" si="3"/>
        <v/>
      </c>
      <c r="K27" s="3" t="str">
        <f t="shared" si="4"/>
        <v/>
      </c>
      <c r="L27" s="8">
        <f>IF(COUNT(AQ27,BT27,CW27)&gt;0,LARGE((AQ27,BT27,CW27),1),0)</f>
        <v>38</v>
      </c>
      <c r="M27" s="8" t="str">
        <f t="shared" si="5"/>
        <v>2025 Elite Canada</v>
      </c>
      <c r="N27" s="8">
        <f>IF(COUNT(AQ27,BT27,CW27)&gt;1,LARGE((AQ27,BT27,CW27),2),0)</f>
        <v>0</v>
      </c>
      <c r="O27" s="8" t="str">
        <f t="shared" si="6"/>
        <v/>
      </c>
      <c r="P27" s="8">
        <f t="shared" si="7"/>
        <v>45</v>
      </c>
      <c r="Q27" s="8" t="str">
        <f t="shared" si="8"/>
        <v>2025 Elite Canada</v>
      </c>
      <c r="R27" s="8" t="str">
        <f t="shared" si="9"/>
        <v/>
      </c>
      <c r="S27" s="11" t="str">
        <f t="shared" si="160"/>
        <v/>
      </c>
      <c r="T27" s="8" t="str">
        <f t="shared" si="16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0"/>
        <v/>
      </c>
      <c r="AQ27" s="40" t="str">
        <f t="shared" si="11"/>
        <v/>
      </c>
      <c r="AR27" s="40" t="str">
        <f t="shared" si="12"/>
        <v/>
      </c>
      <c r="AS27" s="40" t="str">
        <f t="shared" si="13"/>
        <v/>
      </c>
      <c r="AT27" s="40" t="str">
        <f t="shared" si="14"/>
        <v/>
      </c>
      <c r="AU27" s="40" t="str">
        <f t="shared" si="15"/>
        <v/>
      </c>
      <c r="AV27" s="40" t="str">
        <f t="shared" si="16"/>
        <v/>
      </c>
      <c r="AW27" s="40" t="str">
        <f t="shared" si="17"/>
        <v/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 t="shared" si="18"/>
        <v/>
      </c>
      <c r="BT27" s="11" t="str">
        <f t="shared" si="19"/>
        <v/>
      </c>
      <c r="BU27" s="11" t="str">
        <f t="shared" si="20"/>
        <v/>
      </c>
      <c r="BV27" s="11" t="str">
        <f t="shared" si="21"/>
        <v/>
      </c>
      <c r="BW27" s="11" t="str">
        <f t="shared" si="22"/>
        <v/>
      </c>
      <c r="BX27" s="11" t="str">
        <f t="shared" si="23"/>
        <v/>
      </c>
      <c r="BY27" s="11" t="str">
        <f t="shared" si="24"/>
        <v/>
      </c>
      <c r="BZ27" s="11" t="str">
        <f t="shared" si="25"/>
        <v/>
      </c>
      <c r="CA27" s="19">
        <v>18.5</v>
      </c>
      <c r="CB27" s="19">
        <v>3.1</v>
      </c>
      <c r="CC27" s="19">
        <v>1</v>
      </c>
      <c r="CD27" s="19">
        <v>0</v>
      </c>
      <c r="CE27" s="19">
        <v>15</v>
      </c>
      <c r="CF27" s="19">
        <v>2.4</v>
      </c>
      <c r="CG27" s="19">
        <v>0</v>
      </c>
      <c r="CH27" s="19">
        <v>0</v>
      </c>
      <c r="CI27" s="19"/>
      <c r="CJ27" s="19"/>
      <c r="CK27" s="19"/>
      <c r="CL27" s="19"/>
      <c r="CM27" s="19">
        <v>18.7</v>
      </c>
      <c r="CN27" s="19">
        <v>3.5</v>
      </c>
      <c r="CO27" s="19">
        <v>0</v>
      </c>
      <c r="CP27" s="19">
        <v>0</v>
      </c>
      <c r="CQ27" s="19">
        <v>18</v>
      </c>
      <c r="CR27" s="19">
        <v>4.8</v>
      </c>
      <c r="CS27" s="19">
        <v>0</v>
      </c>
      <c r="CT27" s="19">
        <v>0</v>
      </c>
      <c r="CU27" s="27"/>
      <c r="CV27" s="40">
        <f t="shared" si="26"/>
        <v>5.5</v>
      </c>
      <c r="CW27" s="40">
        <f t="shared" si="27"/>
        <v>38</v>
      </c>
      <c r="CX27" s="40" t="str">
        <f t="shared" si="28"/>
        <v/>
      </c>
      <c r="CY27" s="40">
        <f t="shared" si="29"/>
        <v>5.5</v>
      </c>
      <c r="CZ27" s="40">
        <f t="shared" si="30"/>
        <v>38</v>
      </c>
      <c r="DA27" s="40">
        <f t="shared" si="31"/>
        <v>8.3000000000000007</v>
      </c>
      <c r="DB27" s="40">
        <f t="shared" si="32"/>
        <v>45</v>
      </c>
      <c r="DC27" s="40">
        <f t="shared" si="33"/>
        <v>83</v>
      </c>
      <c r="DD27" s="50" t="str">
        <f t="shared" si="34"/>
        <v/>
      </c>
      <c r="DE27" s="50" t="str">
        <f t="shared" si="35"/>
        <v/>
      </c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40" t="str">
        <f t="shared" si="36"/>
        <v/>
      </c>
      <c r="EA27" s="40" t="str">
        <f t="shared" si="37"/>
        <v/>
      </c>
      <c r="EB27" s="40" t="str">
        <f t="shared" si="38"/>
        <v/>
      </c>
      <c r="EC27" s="40" t="str">
        <f t="shared" si="39"/>
        <v/>
      </c>
      <c r="ED27" s="40" t="str">
        <f t="shared" si="40"/>
        <v/>
      </c>
      <c r="EE27" s="40" t="str">
        <f t="shared" si="41"/>
        <v/>
      </c>
      <c r="EF27" s="40" t="str">
        <f t="shared" si="42"/>
        <v/>
      </c>
      <c r="EG27" s="40" t="str">
        <f t="shared" si="43"/>
        <v/>
      </c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1" t="str">
        <f t="shared" si="44"/>
        <v/>
      </c>
      <c r="FC27" s="11" t="str">
        <f t="shared" si="45"/>
        <v/>
      </c>
      <c r="FD27" s="11" t="str">
        <f t="shared" si="46"/>
        <v/>
      </c>
      <c r="FE27" s="11" t="str">
        <f t="shared" si="47"/>
        <v/>
      </c>
      <c r="FF27" s="11" t="str">
        <f t="shared" si="48"/>
        <v/>
      </c>
      <c r="FG27" s="11" t="str">
        <f t="shared" si="49"/>
        <v/>
      </c>
      <c r="FH27" s="11" t="str">
        <f t="shared" si="50"/>
        <v/>
      </c>
      <c r="FI27" s="11" t="str">
        <f t="shared" si="51"/>
        <v/>
      </c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40" t="str">
        <f t="shared" si="52"/>
        <v/>
      </c>
      <c r="GE27" s="40" t="str">
        <f t="shared" si="53"/>
        <v/>
      </c>
      <c r="GF27" s="40" t="str">
        <f t="shared" si="54"/>
        <v/>
      </c>
      <c r="GG27" s="40" t="str">
        <f t="shared" si="55"/>
        <v/>
      </c>
      <c r="GH27" s="40" t="str">
        <f t="shared" si="56"/>
        <v/>
      </c>
      <c r="GI27" s="40" t="str">
        <f t="shared" si="57"/>
        <v/>
      </c>
      <c r="GJ27" s="40" t="str">
        <f t="shared" si="58"/>
        <v/>
      </c>
      <c r="GK27" s="40" t="str">
        <f t="shared" si="59"/>
        <v/>
      </c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1" t="str">
        <f t="shared" si="60"/>
        <v/>
      </c>
      <c r="HG27" s="11" t="str">
        <f t="shared" si="61"/>
        <v/>
      </c>
      <c r="HH27" s="11" t="str">
        <f t="shared" si="62"/>
        <v/>
      </c>
      <c r="HI27" s="11" t="str">
        <f t="shared" si="63"/>
        <v/>
      </c>
      <c r="HJ27" s="11" t="str">
        <f t="shared" si="64"/>
        <v/>
      </c>
      <c r="HK27" s="11" t="str">
        <f t="shared" si="65"/>
        <v/>
      </c>
      <c r="HL27" s="11" t="str">
        <f t="shared" si="66"/>
        <v/>
      </c>
      <c r="HM27" s="11" t="str">
        <f t="shared" si="67"/>
        <v/>
      </c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40" t="str">
        <f t="shared" si="68"/>
        <v/>
      </c>
      <c r="II27" s="40" t="str">
        <f t="shared" si="69"/>
        <v/>
      </c>
      <c r="IJ27" s="40" t="str">
        <f t="shared" si="70"/>
        <v/>
      </c>
      <c r="IK27" s="40" t="str">
        <f t="shared" si="71"/>
        <v/>
      </c>
      <c r="IL27" s="40" t="str">
        <f t="shared" si="72"/>
        <v/>
      </c>
      <c r="IM27" s="40" t="str">
        <f t="shared" si="73"/>
        <v/>
      </c>
      <c r="IN27" s="40" t="str">
        <f t="shared" si="74"/>
        <v/>
      </c>
      <c r="IO27" s="40" t="str">
        <f t="shared" si="75"/>
        <v/>
      </c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1" t="str">
        <f t="shared" si="76"/>
        <v/>
      </c>
      <c r="JK27" s="11" t="str">
        <f t="shared" si="77"/>
        <v/>
      </c>
      <c r="JL27" s="11" t="str">
        <f t="shared" si="78"/>
        <v/>
      </c>
      <c r="JM27" s="11" t="str">
        <f t="shared" si="79"/>
        <v/>
      </c>
      <c r="JN27" s="11" t="str">
        <f t="shared" si="80"/>
        <v/>
      </c>
      <c r="JO27" s="11" t="str">
        <f t="shared" si="81"/>
        <v/>
      </c>
      <c r="JP27" s="11" t="str">
        <f t="shared" si="82"/>
        <v/>
      </c>
      <c r="JQ27" s="11" t="str">
        <f t="shared" si="83"/>
        <v/>
      </c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40" t="str">
        <f t="shared" si="84"/>
        <v/>
      </c>
      <c r="KM27" s="40" t="str">
        <f t="shared" si="85"/>
        <v/>
      </c>
      <c r="KN27" s="40" t="str">
        <f t="shared" si="86"/>
        <v/>
      </c>
      <c r="KO27" s="40" t="str">
        <f t="shared" si="87"/>
        <v/>
      </c>
      <c r="KP27" s="40" t="str">
        <f t="shared" si="88"/>
        <v/>
      </c>
      <c r="KQ27" s="40" t="str">
        <f t="shared" si="89"/>
        <v/>
      </c>
      <c r="KR27" s="40" t="str">
        <f t="shared" si="90"/>
        <v/>
      </c>
      <c r="KS27" s="40" t="str">
        <f t="shared" si="91"/>
        <v/>
      </c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1" t="str">
        <f t="shared" si="92"/>
        <v/>
      </c>
      <c r="LO27" s="11" t="str">
        <f t="shared" si="93"/>
        <v/>
      </c>
      <c r="LP27" s="11" t="str">
        <f t="shared" si="94"/>
        <v/>
      </c>
      <c r="LQ27" s="11" t="str">
        <f t="shared" si="95"/>
        <v/>
      </c>
      <c r="LR27" s="11" t="str">
        <f t="shared" si="96"/>
        <v/>
      </c>
      <c r="LS27" s="11" t="str">
        <f t="shared" si="97"/>
        <v/>
      </c>
      <c r="LT27" s="11" t="str">
        <f t="shared" si="98"/>
        <v/>
      </c>
      <c r="LU27" s="11" t="str">
        <f t="shared" si="99"/>
        <v/>
      </c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40" t="str">
        <f t="shared" si="100"/>
        <v/>
      </c>
      <c r="MQ27" s="40" t="str">
        <f t="shared" si="101"/>
        <v/>
      </c>
      <c r="MR27" s="40" t="str">
        <f t="shared" si="102"/>
        <v/>
      </c>
      <c r="MS27" s="40" t="str">
        <f t="shared" si="103"/>
        <v/>
      </c>
      <c r="MT27" s="40" t="str">
        <f t="shared" si="104"/>
        <v/>
      </c>
      <c r="MU27" s="40" t="str">
        <f t="shared" si="105"/>
        <v/>
      </c>
      <c r="MV27" s="40" t="str">
        <f t="shared" si="106"/>
        <v/>
      </c>
      <c r="MW27" s="40" t="str">
        <f t="shared" si="107"/>
        <v/>
      </c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1" t="str">
        <f t="shared" si="108"/>
        <v/>
      </c>
      <c r="NS27" s="11" t="str">
        <f t="shared" si="109"/>
        <v/>
      </c>
      <c r="NT27" s="11" t="str">
        <f t="shared" si="110"/>
        <v/>
      </c>
      <c r="NU27" s="11" t="str">
        <f t="shared" si="111"/>
        <v/>
      </c>
      <c r="NV27" s="11" t="str">
        <f t="shared" si="112"/>
        <v/>
      </c>
      <c r="NW27" s="11" t="str">
        <f t="shared" si="113"/>
        <v/>
      </c>
      <c r="NX27" s="11" t="str">
        <f t="shared" si="114"/>
        <v/>
      </c>
      <c r="NY27" s="11" t="str">
        <f t="shared" si="115"/>
        <v/>
      </c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40" t="str">
        <f t="shared" si="116"/>
        <v/>
      </c>
      <c r="OU27" s="40" t="str">
        <f t="shared" si="117"/>
        <v/>
      </c>
      <c r="OV27" s="40" t="str">
        <f t="shared" si="118"/>
        <v/>
      </c>
      <c r="OW27" s="40" t="str">
        <f t="shared" si="119"/>
        <v/>
      </c>
      <c r="OX27" s="40" t="str">
        <f t="shared" si="120"/>
        <v/>
      </c>
      <c r="OY27" s="40" t="str">
        <f t="shared" si="121"/>
        <v/>
      </c>
      <c r="OZ27" s="40" t="str">
        <f t="shared" si="122"/>
        <v/>
      </c>
      <c r="PA27" s="40" t="str">
        <f t="shared" si="123"/>
        <v/>
      </c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1" t="str">
        <f t="shared" si="124"/>
        <v/>
      </c>
      <c r="PW27" s="11" t="str">
        <f t="shared" si="125"/>
        <v/>
      </c>
      <c r="PX27" s="11" t="str">
        <f t="shared" si="126"/>
        <v/>
      </c>
      <c r="PY27" s="11" t="str">
        <f t="shared" si="127"/>
        <v/>
      </c>
      <c r="PZ27" s="11" t="str">
        <f t="shared" si="128"/>
        <v/>
      </c>
      <c r="QA27" s="11" t="str">
        <f t="shared" si="129"/>
        <v/>
      </c>
      <c r="QB27" s="11" t="str">
        <f t="shared" si="130"/>
        <v/>
      </c>
      <c r="QC27" s="11" t="str">
        <f t="shared" si="131"/>
        <v/>
      </c>
      <c r="QD27" s="22">
        <f t="shared" si="132"/>
        <v>9.25</v>
      </c>
      <c r="QE27" s="22">
        <f t="shared" si="133"/>
        <v>1.55</v>
      </c>
      <c r="QF27" s="22">
        <f t="shared" si="134"/>
        <v>0.5</v>
      </c>
      <c r="QG27" s="22">
        <f t="shared" si="135"/>
        <v>0</v>
      </c>
      <c r="QH27" s="22">
        <f t="shared" si="136"/>
        <v>7.5</v>
      </c>
      <c r="QI27" s="22">
        <f t="shared" si="137"/>
        <v>1.2</v>
      </c>
      <c r="QJ27" s="22">
        <f t="shared" si="138"/>
        <v>0</v>
      </c>
      <c r="QK27" s="22">
        <f t="shared" si="139"/>
        <v>0</v>
      </c>
      <c r="QL27" s="22">
        <f t="shared" si="140"/>
        <v>0</v>
      </c>
      <c r="QM27" s="22">
        <f t="shared" si="141"/>
        <v>0</v>
      </c>
      <c r="QN27" s="22">
        <f t="shared" si="142"/>
        <v>0</v>
      </c>
      <c r="QO27" s="22">
        <f t="shared" si="143"/>
        <v>0</v>
      </c>
      <c r="QP27" s="22">
        <f t="shared" si="144"/>
        <v>9.35</v>
      </c>
      <c r="QQ27" s="22">
        <f t="shared" si="145"/>
        <v>1.75</v>
      </c>
      <c r="QR27" s="22">
        <f t="shared" si="146"/>
        <v>0</v>
      </c>
      <c r="QS27" s="22">
        <f t="shared" si="147"/>
        <v>0</v>
      </c>
      <c r="QT27" s="22">
        <f t="shared" si="148"/>
        <v>9</v>
      </c>
      <c r="QU27" s="22">
        <f t="shared" si="149"/>
        <v>2.4</v>
      </c>
      <c r="QV27" s="22">
        <f t="shared" si="150"/>
        <v>0</v>
      </c>
      <c r="QW27" s="22">
        <f t="shared" si="151"/>
        <v>0</v>
      </c>
      <c r="QX27" s="27" t="s">
        <v>46</v>
      </c>
      <c r="QY27" s="40">
        <f t="shared" si="152"/>
        <v>2.75</v>
      </c>
      <c r="QZ27" s="40">
        <f t="shared" si="153"/>
        <v>19</v>
      </c>
      <c r="RA27" s="40" t="str">
        <f t="shared" si="154"/>
        <v/>
      </c>
      <c r="RB27" s="40">
        <f t="shared" si="155"/>
        <v>2.75</v>
      </c>
      <c r="RC27" s="40">
        <f t="shared" si="156"/>
        <v>19</v>
      </c>
      <c r="RD27" s="40">
        <f t="shared" si="157"/>
        <v>4.1500000000000004</v>
      </c>
      <c r="RE27" s="40">
        <f t="shared" si="158"/>
        <v>22.5</v>
      </c>
      <c r="RF27" s="40">
        <f t="shared" si="159"/>
        <v>41.5</v>
      </c>
    </row>
    <row r="28" spans="1:474" x14ac:dyDescent="0.2">
      <c r="A28" s="4" t="str" cm="1">
        <f t="array" ref="A28">IF(AND(J28&lt;&gt;"",J28&lt;&gt;"No DD"),SUMPRODUCT((J$4:J$36&lt;&gt;"")*(J$4:J$36&lt;&gt;"No DD")*(F$4:F$36&gt;F28))+1,IF(J28="No DD",SUMPRODUCT((J$4:J$36="No DD")*(F$4:F$36&gt;F28))+1+SUMPRODUCT((J$4:J$36&lt;&gt;"")*(J$4:J$36&lt;&gt;"No DD")),""))</f>
        <v/>
      </c>
      <c r="B28" s="4" t="str" cm="1">
        <f t="array" ref="B28">IF(AND(J28&lt;&gt;"",J28&lt;&gt;"No DD",G28=""),SUMPRODUCT((J$4:J$36&lt;&gt;"")*(J$4:J$36&lt;&gt;"No DD")*(G$4:G$36="")*(F$4:F$36&gt;F28))+1,IF(J28="No DD",SUMPRODUCT((J$4:J$36="No DD")*(F$4:F$36&gt;F28)*(G$4:G$36=""))+1+SUMPRODUCT((J$4:J$36&lt;&gt;"")*(G$4:G$36="")*(J$4:J$36&lt;&gt;"No DD")),""))</f>
        <v/>
      </c>
      <c r="C28" s="5" t="s">
        <v>179</v>
      </c>
      <c r="D28" s="4" t="s">
        <v>4</v>
      </c>
      <c r="E28" s="4">
        <v>2007</v>
      </c>
      <c r="F28" s="9">
        <f t="shared" si="0"/>
        <v>76.800007680003901</v>
      </c>
      <c r="G28" s="64"/>
      <c r="H28" s="3" t="str">
        <f t="shared" si="1"/>
        <v/>
      </c>
      <c r="I28" s="3" t="str">
        <f t="shared" si="2"/>
        <v/>
      </c>
      <c r="J28" s="36" t="str">
        <f t="shared" si="3"/>
        <v/>
      </c>
      <c r="K28" s="3" t="str">
        <f t="shared" si="4"/>
        <v/>
      </c>
      <c r="L28" s="8">
        <f>IF(COUNT(AQ28,BT28,CW28)&gt;0,LARGE((AQ28,BT28,CW28),1),0)</f>
        <v>39.000000000000007</v>
      </c>
      <c r="M28" s="8" t="str">
        <f t="shared" si="5"/>
        <v>2024 Nationals</v>
      </c>
      <c r="N28" s="8">
        <f>IF(COUNT(AQ28,BT28,CW28)&gt;1,LARGE((AQ28,BT28,CW28),2),0)</f>
        <v>37.800000000000004</v>
      </c>
      <c r="O28" s="8" t="str">
        <f t="shared" si="6"/>
        <v>2025 Elite Canada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60"/>
        <v/>
      </c>
      <c r="T28" s="8" t="str">
        <f t="shared" si="161"/>
        <v/>
      </c>
      <c r="U28" s="19">
        <v>18.399999999999999</v>
      </c>
      <c r="V28" s="19">
        <v>2.7</v>
      </c>
      <c r="W28" s="19">
        <v>0.9</v>
      </c>
      <c r="X28" s="19">
        <v>0</v>
      </c>
      <c r="Y28" s="19">
        <v>18.600000000000001</v>
      </c>
      <c r="Z28" s="19">
        <v>1.2</v>
      </c>
      <c r="AA28" s="19">
        <v>1</v>
      </c>
      <c r="AB28" s="19">
        <v>0</v>
      </c>
      <c r="AC28" s="19">
        <v>18.600000000000001</v>
      </c>
      <c r="AD28" s="19">
        <v>3.4</v>
      </c>
      <c r="AE28" s="19">
        <v>0.6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7"/>
      <c r="AP28" s="40">
        <f t="shared" si="10"/>
        <v>3.9000000000000004</v>
      </c>
      <c r="AQ28" s="40">
        <f t="shared" si="11"/>
        <v>39.000000000000007</v>
      </c>
      <c r="AR28" s="40">
        <f t="shared" si="12"/>
        <v>21.4</v>
      </c>
      <c r="AS28" s="40">
        <f t="shared" si="13"/>
        <v>7.3000000000000007</v>
      </c>
      <c r="AT28" s="40">
        <f t="shared" si="14"/>
        <v>60.400000000000006</v>
      </c>
      <c r="AU28" s="40" t="str">
        <f t="shared" si="15"/>
        <v/>
      </c>
      <c r="AV28" s="40" t="str">
        <f t="shared" si="16"/>
        <v/>
      </c>
      <c r="AW28" s="40">
        <f t="shared" si="17"/>
        <v>60.400000000000006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18"/>
        <v/>
      </c>
      <c r="BT28" s="11" t="str">
        <f t="shared" si="19"/>
        <v/>
      </c>
      <c r="BU28" s="11" t="str">
        <f t="shared" si="20"/>
        <v/>
      </c>
      <c r="BV28" s="11" t="str">
        <f t="shared" si="21"/>
        <v/>
      </c>
      <c r="BW28" s="11" t="str">
        <f t="shared" si="22"/>
        <v/>
      </c>
      <c r="BX28" s="11" t="str">
        <f t="shared" si="23"/>
        <v/>
      </c>
      <c r="BY28" s="11" t="str">
        <f t="shared" si="24"/>
        <v/>
      </c>
      <c r="BZ28" s="11" t="str">
        <f t="shared" si="25"/>
        <v/>
      </c>
      <c r="CA28" s="19">
        <v>18.399999999999999</v>
      </c>
      <c r="CB28" s="19">
        <v>3.2</v>
      </c>
      <c r="CC28" s="19">
        <v>0.3</v>
      </c>
      <c r="CD28" s="19">
        <v>0</v>
      </c>
      <c r="CE28" s="19">
        <v>15.8</v>
      </c>
      <c r="CF28" s="19">
        <v>0.7</v>
      </c>
      <c r="CG28" s="19">
        <v>0</v>
      </c>
      <c r="CH28" s="19">
        <v>0</v>
      </c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>
        <f t="shared" si="26"/>
        <v>3.9000000000000004</v>
      </c>
      <c r="CW28" s="40">
        <f t="shared" si="27"/>
        <v>37.800000000000004</v>
      </c>
      <c r="CX28" s="40" t="str">
        <f t="shared" si="28"/>
        <v/>
      </c>
      <c r="CY28" s="40">
        <f t="shared" si="29"/>
        <v>3.9000000000000004</v>
      </c>
      <c r="CZ28" s="40">
        <f t="shared" si="30"/>
        <v>37.800000000000004</v>
      </c>
      <c r="DA28" s="40" t="str">
        <f t="shared" si="31"/>
        <v/>
      </c>
      <c r="DB28" s="40" t="str">
        <f t="shared" si="32"/>
        <v/>
      </c>
      <c r="DC28" s="40">
        <f t="shared" si="33"/>
        <v>37.800000000000004</v>
      </c>
      <c r="DD28" s="50" t="str">
        <f t="shared" si="34"/>
        <v/>
      </c>
      <c r="DE28" s="50" t="str">
        <f t="shared" si="35"/>
        <v/>
      </c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40" t="str">
        <f t="shared" si="36"/>
        <v/>
      </c>
      <c r="EA28" s="40" t="str">
        <f t="shared" si="37"/>
        <v/>
      </c>
      <c r="EB28" s="40" t="str">
        <f t="shared" si="38"/>
        <v/>
      </c>
      <c r="EC28" s="40" t="str">
        <f t="shared" si="39"/>
        <v/>
      </c>
      <c r="ED28" s="40" t="str">
        <f t="shared" si="40"/>
        <v/>
      </c>
      <c r="EE28" s="40" t="str">
        <f t="shared" si="41"/>
        <v/>
      </c>
      <c r="EF28" s="40" t="str">
        <f t="shared" si="42"/>
        <v/>
      </c>
      <c r="EG28" s="40" t="str">
        <f t="shared" si="43"/>
        <v/>
      </c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1" t="str">
        <f t="shared" si="44"/>
        <v/>
      </c>
      <c r="FC28" s="11" t="str">
        <f t="shared" si="45"/>
        <v/>
      </c>
      <c r="FD28" s="11" t="str">
        <f t="shared" si="46"/>
        <v/>
      </c>
      <c r="FE28" s="11" t="str">
        <f t="shared" si="47"/>
        <v/>
      </c>
      <c r="FF28" s="11" t="str">
        <f t="shared" si="48"/>
        <v/>
      </c>
      <c r="FG28" s="11" t="str">
        <f t="shared" si="49"/>
        <v/>
      </c>
      <c r="FH28" s="11" t="str">
        <f t="shared" si="50"/>
        <v/>
      </c>
      <c r="FI28" s="11" t="str">
        <f t="shared" si="51"/>
        <v/>
      </c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40" t="str">
        <f t="shared" si="52"/>
        <v/>
      </c>
      <c r="GE28" s="40" t="str">
        <f t="shared" si="53"/>
        <v/>
      </c>
      <c r="GF28" s="40" t="str">
        <f t="shared" si="54"/>
        <v/>
      </c>
      <c r="GG28" s="40" t="str">
        <f t="shared" si="55"/>
        <v/>
      </c>
      <c r="GH28" s="40" t="str">
        <f t="shared" si="56"/>
        <v/>
      </c>
      <c r="GI28" s="40" t="str">
        <f t="shared" si="57"/>
        <v/>
      </c>
      <c r="GJ28" s="40" t="str">
        <f t="shared" si="58"/>
        <v/>
      </c>
      <c r="GK28" s="40" t="str">
        <f t="shared" si="59"/>
        <v/>
      </c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1" t="str">
        <f t="shared" si="60"/>
        <v/>
      </c>
      <c r="HG28" s="11" t="str">
        <f t="shared" si="61"/>
        <v/>
      </c>
      <c r="HH28" s="11" t="str">
        <f t="shared" si="62"/>
        <v/>
      </c>
      <c r="HI28" s="11" t="str">
        <f t="shared" si="63"/>
        <v/>
      </c>
      <c r="HJ28" s="11" t="str">
        <f t="shared" si="64"/>
        <v/>
      </c>
      <c r="HK28" s="11" t="str">
        <f t="shared" si="65"/>
        <v/>
      </c>
      <c r="HL28" s="11" t="str">
        <f t="shared" si="66"/>
        <v/>
      </c>
      <c r="HM28" s="11" t="str">
        <f t="shared" si="67"/>
        <v/>
      </c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40" t="str">
        <f t="shared" si="68"/>
        <v/>
      </c>
      <c r="II28" s="40" t="str">
        <f t="shared" si="69"/>
        <v/>
      </c>
      <c r="IJ28" s="40" t="str">
        <f t="shared" si="70"/>
        <v/>
      </c>
      <c r="IK28" s="40" t="str">
        <f t="shared" si="71"/>
        <v/>
      </c>
      <c r="IL28" s="40" t="str">
        <f t="shared" si="72"/>
        <v/>
      </c>
      <c r="IM28" s="40" t="str">
        <f t="shared" si="73"/>
        <v/>
      </c>
      <c r="IN28" s="40" t="str">
        <f t="shared" si="74"/>
        <v/>
      </c>
      <c r="IO28" s="40" t="str">
        <f t="shared" si="75"/>
        <v/>
      </c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1" t="str">
        <f t="shared" si="76"/>
        <v/>
      </c>
      <c r="JK28" s="11" t="str">
        <f t="shared" si="77"/>
        <v/>
      </c>
      <c r="JL28" s="11" t="str">
        <f t="shared" si="78"/>
        <v/>
      </c>
      <c r="JM28" s="11" t="str">
        <f t="shared" si="79"/>
        <v/>
      </c>
      <c r="JN28" s="11" t="str">
        <f t="shared" si="80"/>
        <v/>
      </c>
      <c r="JO28" s="11" t="str">
        <f t="shared" si="81"/>
        <v/>
      </c>
      <c r="JP28" s="11" t="str">
        <f t="shared" si="82"/>
        <v/>
      </c>
      <c r="JQ28" s="11" t="str">
        <f t="shared" si="83"/>
        <v/>
      </c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40" t="str">
        <f t="shared" si="84"/>
        <v/>
      </c>
      <c r="KM28" s="40" t="str">
        <f t="shared" si="85"/>
        <v/>
      </c>
      <c r="KN28" s="40" t="str">
        <f t="shared" si="86"/>
        <v/>
      </c>
      <c r="KO28" s="40" t="str">
        <f t="shared" si="87"/>
        <v/>
      </c>
      <c r="KP28" s="40" t="str">
        <f t="shared" si="88"/>
        <v/>
      </c>
      <c r="KQ28" s="40" t="str">
        <f t="shared" si="89"/>
        <v/>
      </c>
      <c r="KR28" s="40" t="str">
        <f t="shared" si="90"/>
        <v/>
      </c>
      <c r="KS28" s="40" t="str">
        <f t="shared" si="91"/>
        <v/>
      </c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1" t="str">
        <f t="shared" si="92"/>
        <v/>
      </c>
      <c r="LO28" s="11" t="str">
        <f t="shared" si="93"/>
        <v/>
      </c>
      <c r="LP28" s="11" t="str">
        <f t="shared" si="94"/>
        <v/>
      </c>
      <c r="LQ28" s="11" t="str">
        <f t="shared" si="95"/>
        <v/>
      </c>
      <c r="LR28" s="11" t="str">
        <f t="shared" si="96"/>
        <v/>
      </c>
      <c r="LS28" s="11" t="str">
        <f t="shared" si="97"/>
        <v/>
      </c>
      <c r="LT28" s="11" t="str">
        <f t="shared" si="98"/>
        <v/>
      </c>
      <c r="LU28" s="11" t="str">
        <f t="shared" si="99"/>
        <v/>
      </c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40" t="str">
        <f t="shared" si="100"/>
        <v/>
      </c>
      <c r="MQ28" s="40" t="str">
        <f t="shared" si="101"/>
        <v/>
      </c>
      <c r="MR28" s="40" t="str">
        <f t="shared" si="102"/>
        <v/>
      </c>
      <c r="MS28" s="40" t="str">
        <f t="shared" si="103"/>
        <v/>
      </c>
      <c r="MT28" s="40" t="str">
        <f t="shared" si="104"/>
        <v/>
      </c>
      <c r="MU28" s="40" t="str">
        <f t="shared" si="105"/>
        <v/>
      </c>
      <c r="MV28" s="40" t="str">
        <f t="shared" si="106"/>
        <v/>
      </c>
      <c r="MW28" s="40" t="str">
        <f t="shared" si="107"/>
        <v/>
      </c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1" t="str">
        <f t="shared" si="108"/>
        <v/>
      </c>
      <c r="NS28" s="11" t="str">
        <f t="shared" si="109"/>
        <v/>
      </c>
      <c r="NT28" s="11" t="str">
        <f t="shared" si="110"/>
        <v/>
      </c>
      <c r="NU28" s="11" t="str">
        <f t="shared" si="111"/>
        <v/>
      </c>
      <c r="NV28" s="11" t="str">
        <f t="shared" si="112"/>
        <v/>
      </c>
      <c r="NW28" s="11" t="str">
        <f t="shared" si="113"/>
        <v/>
      </c>
      <c r="NX28" s="11" t="str">
        <f t="shared" si="114"/>
        <v/>
      </c>
      <c r="NY28" s="11" t="str">
        <f t="shared" si="115"/>
        <v/>
      </c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40" t="str">
        <f t="shared" si="116"/>
        <v/>
      </c>
      <c r="OU28" s="40" t="str">
        <f t="shared" si="117"/>
        <v/>
      </c>
      <c r="OV28" s="40" t="str">
        <f t="shared" si="118"/>
        <v/>
      </c>
      <c r="OW28" s="40" t="str">
        <f t="shared" si="119"/>
        <v/>
      </c>
      <c r="OX28" s="40" t="str">
        <f t="shared" si="120"/>
        <v/>
      </c>
      <c r="OY28" s="40" t="str">
        <f t="shared" si="121"/>
        <v/>
      </c>
      <c r="OZ28" s="40" t="str">
        <f t="shared" si="122"/>
        <v/>
      </c>
      <c r="PA28" s="40" t="str">
        <f t="shared" si="123"/>
        <v/>
      </c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1" t="str">
        <f t="shared" si="124"/>
        <v/>
      </c>
      <c r="PW28" s="11" t="str">
        <f t="shared" si="125"/>
        <v/>
      </c>
      <c r="PX28" s="11" t="str">
        <f t="shared" si="126"/>
        <v/>
      </c>
      <c r="PY28" s="11" t="str">
        <f t="shared" si="127"/>
        <v/>
      </c>
      <c r="PZ28" s="11" t="str">
        <f t="shared" si="128"/>
        <v/>
      </c>
      <c r="QA28" s="11" t="str">
        <f t="shared" si="129"/>
        <v/>
      </c>
      <c r="QB28" s="11" t="str">
        <f t="shared" si="130"/>
        <v/>
      </c>
      <c r="QC28" s="11" t="str">
        <f t="shared" si="131"/>
        <v/>
      </c>
      <c r="QD28" s="22">
        <f t="shared" si="132"/>
        <v>9.1999999999999993</v>
      </c>
      <c r="QE28" s="22">
        <f t="shared" si="133"/>
        <v>1.6</v>
      </c>
      <c r="QF28" s="22">
        <f t="shared" si="134"/>
        <v>0.15</v>
      </c>
      <c r="QG28" s="22">
        <f t="shared" si="135"/>
        <v>0</v>
      </c>
      <c r="QH28" s="22">
        <f t="shared" si="136"/>
        <v>7.9</v>
      </c>
      <c r="QI28" s="22">
        <f t="shared" si="137"/>
        <v>0.35</v>
      </c>
      <c r="QJ28" s="22">
        <f t="shared" si="138"/>
        <v>0</v>
      </c>
      <c r="QK28" s="22">
        <f t="shared" si="139"/>
        <v>0</v>
      </c>
      <c r="QL28" s="22">
        <f t="shared" si="140"/>
        <v>0</v>
      </c>
      <c r="QM28" s="22">
        <f t="shared" si="141"/>
        <v>0</v>
      </c>
      <c r="QN28" s="22">
        <f t="shared" si="142"/>
        <v>0</v>
      </c>
      <c r="QO28" s="22">
        <f t="shared" si="143"/>
        <v>0</v>
      </c>
      <c r="QP28" s="22">
        <f t="shared" si="144"/>
        <v>0</v>
      </c>
      <c r="QQ28" s="22">
        <f t="shared" si="145"/>
        <v>0</v>
      </c>
      <c r="QR28" s="22">
        <f t="shared" si="146"/>
        <v>0</v>
      </c>
      <c r="QS28" s="22">
        <f t="shared" si="147"/>
        <v>0</v>
      </c>
      <c r="QT28" s="22">
        <f t="shared" si="148"/>
        <v>0</v>
      </c>
      <c r="QU28" s="22">
        <f t="shared" si="149"/>
        <v>0</v>
      </c>
      <c r="QV28" s="22">
        <f t="shared" si="150"/>
        <v>0</v>
      </c>
      <c r="QW28" s="22">
        <f t="shared" si="151"/>
        <v>0</v>
      </c>
      <c r="QX28" s="27" t="s">
        <v>46</v>
      </c>
      <c r="QY28" s="40">
        <f t="shared" si="152"/>
        <v>1.9500000000000002</v>
      </c>
      <c r="QZ28" s="40">
        <f t="shared" si="153"/>
        <v>18.900000000000002</v>
      </c>
      <c r="RA28" s="40" t="str">
        <f t="shared" si="154"/>
        <v/>
      </c>
      <c r="RB28" s="40">
        <f t="shared" si="155"/>
        <v>1.9500000000000002</v>
      </c>
      <c r="RC28" s="40">
        <f t="shared" si="156"/>
        <v>18.900000000000002</v>
      </c>
      <c r="RD28" s="40" t="str">
        <f t="shared" si="157"/>
        <v/>
      </c>
      <c r="RE28" s="40" t="str">
        <f t="shared" si="158"/>
        <v/>
      </c>
      <c r="RF28" s="40">
        <f t="shared" si="159"/>
        <v>18.900000000000002</v>
      </c>
    </row>
    <row r="29" spans="1:474" x14ac:dyDescent="0.2">
      <c r="A29" s="4" t="str" cm="1">
        <f t="array" ref="A29">IF(AND(J29&lt;&gt;"",J29&lt;&gt;"No DD"),SUMPRODUCT((J$4:J$36&lt;&gt;"")*(J$4:J$36&lt;&gt;"No DD")*(F$4:F$36&gt;F29))+1,IF(J29="No DD",SUMPRODUCT((J$4:J$36="No DD")*(F$4:F$36&gt;F29))+1+SUMPRODUCT((J$4:J$36&lt;&gt;"")*(J$4:J$36&lt;&gt;"No DD")),""))</f>
        <v/>
      </c>
      <c r="B29" s="4" t="str" cm="1">
        <f t="array" ref="B29">IF(AND(J29&lt;&gt;"",J29&lt;&gt;"No DD",G29=""),SUMPRODUCT((J$4:J$36&lt;&gt;"")*(J$4:J$36&lt;&gt;"No DD")*(G$4:G$36="")*(F$4:F$36&gt;F29))+1,IF(J29="No DD",SUMPRODUCT((J$4:J$36="No DD")*(F$4:F$36&gt;F29)*(G$4:G$36=""))+1+SUMPRODUCT((J$4:J$36&lt;&gt;"")*(G$4:G$36="")*(J$4:J$36&lt;&gt;"No DD")),""))</f>
        <v/>
      </c>
      <c r="C29" s="5" t="s">
        <v>110</v>
      </c>
      <c r="D29" s="4" t="s">
        <v>4</v>
      </c>
      <c r="E29" s="4">
        <v>2005</v>
      </c>
      <c r="F29" s="9">
        <f t="shared" si="0"/>
        <v>72.200007220003883</v>
      </c>
      <c r="G29" s="64"/>
      <c r="H29" s="3" t="str">
        <f t="shared" si="1"/>
        <v/>
      </c>
      <c r="I29" s="3" t="str">
        <f t="shared" si="2"/>
        <v/>
      </c>
      <c r="J29" s="36" t="str">
        <f t="shared" si="3"/>
        <v/>
      </c>
      <c r="K29" s="3" t="str">
        <f t="shared" si="4"/>
        <v/>
      </c>
      <c r="L29" s="8">
        <f>IF(COUNT(AQ29,BT29,CW29)&gt;0,LARGE((AQ29,BT29,CW29),1),0)</f>
        <v>38.899999999999991</v>
      </c>
      <c r="M29" s="8" t="str">
        <f t="shared" si="5"/>
        <v>2024 Nationals</v>
      </c>
      <c r="N29" s="8">
        <f>IF(COUNT(AQ29,BT29,CW29)&gt;1,LARGE((AQ29,BT29,CW29),2),0)</f>
        <v>33.299999999999997</v>
      </c>
      <c r="O29" s="8" t="str">
        <f t="shared" si="6"/>
        <v>2025 Elite Canada</v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60"/>
        <v/>
      </c>
      <c r="T29" s="8" t="str">
        <f t="shared" si="161"/>
        <v/>
      </c>
      <c r="U29" s="19">
        <v>17.8</v>
      </c>
      <c r="V29" s="19">
        <v>2.9</v>
      </c>
      <c r="W29" s="19">
        <v>0.1</v>
      </c>
      <c r="X29" s="19">
        <v>0</v>
      </c>
      <c r="Y29" s="19">
        <v>17.399999999999999</v>
      </c>
      <c r="Z29" s="19">
        <v>0.9</v>
      </c>
      <c r="AA29" s="19">
        <v>0</v>
      </c>
      <c r="AB29" s="19">
        <v>0</v>
      </c>
      <c r="AC29" s="19">
        <v>18.399999999999999</v>
      </c>
      <c r="AD29" s="19">
        <v>3.5</v>
      </c>
      <c r="AE29" s="19">
        <v>0.2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7"/>
      <c r="AP29" s="40">
        <f t="shared" si="10"/>
        <v>3.8</v>
      </c>
      <c r="AQ29" s="40">
        <f t="shared" si="11"/>
        <v>38.899999999999991</v>
      </c>
      <c r="AR29" s="40">
        <f t="shared" si="12"/>
        <v>21.7</v>
      </c>
      <c r="AS29" s="40">
        <f t="shared" si="13"/>
        <v>7.3</v>
      </c>
      <c r="AT29" s="40">
        <f t="shared" si="14"/>
        <v>60.599999999999994</v>
      </c>
      <c r="AU29" s="40" t="str">
        <f t="shared" si="15"/>
        <v/>
      </c>
      <c r="AV29" s="40" t="str">
        <f t="shared" si="16"/>
        <v/>
      </c>
      <c r="AW29" s="40">
        <f t="shared" si="17"/>
        <v>60.599999999999994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18"/>
        <v/>
      </c>
      <c r="BT29" s="11" t="str">
        <f t="shared" si="19"/>
        <v/>
      </c>
      <c r="BU29" s="11" t="str">
        <f t="shared" si="20"/>
        <v/>
      </c>
      <c r="BV29" s="11" t="str">
        <f t="shared" si="21"/>
        <v/>
      </c>
      <c r="BW29" s="11" t="str">
        <f t="shared" si="22"/>
        <v/>
      </c>
      <c r="BX29" s="11" t="str">
        <f t="shared" si="23"/>
        <v/>
      </c>
      <c r="BY29" s="11" t="str">
        <f t="shared" si="24"/>
        <v/>
      </c>
      <c r="BZ29" s="11" t="str">
        <f t="shared" si="25"/>
        <v/>
      </c>
      <c r="CA29" s="19">
        <v>15.2</v>
      </c>
      <c r="CB29" s="19">
        <v>2</v>
      </c>
      <c r="CC29" s="19">
        <v>0</v>
      </c>
      <c r="CD29" s="19">
        <v>0</v>
      </c>
      <c r="CE29" s="19">
        <v>15.2</v>
      </c>
      <c r="CF29" s="19">
        <v>0.9</v>
      </c>
      <c r="CG29" s="19">
        <v>0</v>
      </c>
      <c r="CH29" s="19">
        <v>0</v>
      </c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 t="shared" si="26"/>
        <v>2.9</v>
      </c>
      <c r="CW29" s="40">
        <f t="shared" si="27"/>
        <v>33.299999999999997</v>
      </c>
      <c r="CX29" s="40" t="str">
        <f t="shared" si="28"/>
        <v/>
      </c>
      <c r="CY29" s="40">
        <f t="shared" si="29"/>
        <v>2.9</v>
      </c>
      <c r="CZ29" s="40">
        <f t="shared" si="30"/>
        <v>33.299999999999997</v>
      </c>
      <c r="DA29" s="40" t="str">
        <f t="shared" si="31"/>
        <v/>
      </c>
      <c r="DB29" s="40" t="str">
        <f t="shared" si="32"/>
        <v/>
      </c>
      <c r="DC29" s="40">
        <f t="shared" si="33"/>
        <v>33.299999999999997</v>
      </c>
      <c r="DD29" s="50" t="str">
        <f t="shared" si="34"/>
        <v/>
      </c>
      <c r="DE29" s="50" t="str">
        <f t="shared" si="35"/>
        <v/>
      </c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40" t="str">
        <f t="shared" si="36"/>
        <v/>
      </c>
      <c r="EA29" s="40" t="str">
        <f t="shared" si="37"/>
        <v/>
      </c>
      <c r="EB29" s="40" t="str">
        <f t="shared" si="38"/>
        <v/>
      </c>
      <c r="EC29" s="40" t="str">
        <f t="shared" si="39"/>
        <v/>
      </c>
      <c r="ED29" s="40" t="str">
        <f t="shared" si="40"/>
        <v/>
      </c>
      <c r="EE29" s="40" t="str">
        <f t="shared" si="41"/>
        <v/>
      </c>
      <c r="EF29" s="40" t="str">
        <f t="shared" si="42"/>
        <v/>
      </c>
      <c r="EG29" s="40" t="str">
        <f t="shared" si="43"/>
        <v/>
      </c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1" t="str">
        <f t="shared" si="44"/>
        <v/>
      </c>
      <c r="FC29" s="11" t="str">
        <f t="shared" si="45"/>
        <v/>
      </c>
      <c r="FD29" s="11" t="str">
        <f t="shared" si="46"/>
        <v/>
      </c>
      <c r="FE29" s="11" t="str">
        <f t="shared" si="47"/>
        <v/>
      </c>
      <c r="FF29" s="11" t="str">
        <f t="shared" si="48"/>
        <v/>
      </c>
      <c r="FG29" s="11" t="str">
        <f t="shared" si="49"/>
        <v/>
      </c>
      <c r="FH29" s="11" t="str">
        <f t="shared" si="50"/>
        <v/>
      </c>
      <c r="FI29" s="11" t="str">
        <f t="shared" si="51"/>
        <v/>
      </c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40" t="str">
        <f t="shared" si="52"/>
        <v/>
      </c>
      <c r="GE29" s="40" t="str">
        <f t="shared" si="53"/>
        <v/>
      </c>
      <c r="GF29" s="40" t="str">
        <f t="shared" si="54"/>
        <v/>
      </c>
      <c r="GG29" s="40" t="str">
        <f t="shared" si="55"/>
        <v/>
      </c>
      <c r="GH29" s="40" t="str">
        <f t="shared" si="56"/>
        <v/>
      </c>
      <c r="GI29" s="40" t="str">
        <f t="shared" si="57"/>
        <v/>
      </c>
      <c r="GJ29" s="40" t="str">
        <f t="shared" si="58"/>
        <v/>
      </c>
      <c r="GK29" s="40" t="str">
        <f t="shared" si="59"/>
        <v/>
      </c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1" t="str">
        <f t="shared" si="60"/>
        <v/>
      </c>
      <c r="HG29" s="11" t="str">
        <f t="shared" si="61"/>
        <v/>
      </c>
      <c r="HH29" s="11" t="str">
        <f t="shared" si="62"/>
        <v/>
      </c>
      <c r="HI29" s="11" t="str">
        <f t="shared" si="63"/>
        <v/>
      </c>
      <c r="HJ29" s="11" t="str">
        <f t="shared" si="64"/>
        <v/>
      </c>
      <c r="HK29" s="11" t="str">
        <f t="shared" si="65"/>
        <v/>
      </c>
      <c r="HL29" s="11" t="str">
        <f t="shared" si="66"/>
        <v/>
      </c>
      <c r="HM29" s="11" t="str">
        <f t="shared" si="67"/>
        <v/>
      </c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40" t="str">
        <f t="shared" si="68"/>
        <v/>
      </c>
      <c r="II29" s="40" t="str">
        <f t="shared" si="69"/>
        <v/>
      </c>
      <c r="IJ29" s="40" t="str">
        <f t="shared" si="70"/>
        <v/>
      </c>
      <c r="IK29" s="40" t="str">
        <f t="shared" si="71"/>
        <v/>
      </c>
      <c r="IL29" s="40" t="str">
        <f t="shared" si="72"/>
        <v/>
      </c>
      <c r="IM29" s="40" t="str">
        <f t="shared" si="73"/>
        <v/>
      </c>
      <c r="IN29" s="40" t="str">
        <f t="shared" si="74"/>
        <v/>
      </c>
      <c r="IO29" s="40" t="str">
        <f t="shared" si="75"/>
        <v/>
      </c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1" t="str">
        <f t="shared" si="76"/>
        <v/>
      </c>
      <c r="JK29" s="11" t="str">
        <f t="shared" si="77"/>
        <v/>
      </c>
      <c r="JL29" s="11" t="str">
        <f t="shared" si="78"/>
        <v/>
      </c>
      <c r="JM29" s="11" t="str">
        <f t="shared" si="79"/>
        <v/>
      </c>
      <c r="JN29" s="11" t="str">
        <f t="shared" si="80"/>
        <v/>
      </c>
      <c r="JO29" s="11" t="str">
        <f t="shared" si="81"/>
        <v/>
      </c>
      <c r="JP29" s="11" t="str">
        <f t="shared" si="82"/>
        <v/>
      </c>
      <c r="JQ29" s="11" t="str">
        <f t="shared" si="83"/>
        <v/>
      </c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40" t="str">
        <f t="shared" si="84"/>
        <v/>
      </c>
      <c r="KM29" s="40" t="str">
        <f t="shared" si="85"/>
        <v/>
      </c>
      <c r="KN29" s="40" t="str">
        <f t="shared" si="86"/>
        <v/>
      </c>
      <c r="KO29" s="40" t="str">
        <f t="shared" si="87"/>
        <v/>
      </c>
      <c r="KP29" s="40" t="str">
        <f t="shared" si="88"/>
        <v/>
      </c>
      <c r="KQ29" s="40" t="str">
        <f t="shared" si="89"/>
        <v/>
      </c>
      <c r="KR29" s="40" t="str">
        <f t="shared" si="90"/>
        <v/>
      </c>
      <c r="KS29" s="40" t="str">
        <f t="shared" si="91"/>
        <v/>
      </c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1" t="str">
        <f t="shared" si="92"/>
        <v/>
      </c>
      <c r="LO29" s="11" t="str">
        <f t="shared" si="93"/>
        <v/>
      </c>
      <c r="LP29" s="11" t="str">
        <f t="shared" si="94"/>
        <v/>
      </c>
      <c r="LQ29" s="11" t="str">
        <f t="shared" si="95"/>
        <v/>
      </c>
      <c r="LR29" s="11" t="str">
        <f t="shared" si="96"/>
        <v/>
      </c>
      <c r="LS29" s="11" t="str">
        <f t="shared" si="97"/>
        <v/>
      </c>
      <c r="LT29" s="11" t="str">
        <f t="shared" si="98"/>
        <v/>
      </c>
      <c r="LU29" s="11" t="str">
        <f t="shared" si="99"/>
        <v/>
      </c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40" t="str">
        <f t="shared" si="100"/>
        <v/>
      </c>
      <c r="MQ29" s="40" t="str">
        <f t="shared" si="101"/>
        <v/>
      </c>
      <c r="MR29" s="40" t="str">
        <f t="shared" si="102"/>
        <v/>
      </c>
      <c r="MS29" s="40" t="str">
        <f t="shared" si="103"/>
        <v/>
      </c>
      <c r="MT29" s="40" t="str">
        <f t="shared" si="104"/>
        <v/>
      </c>
      <c r="MU29" s="40" t="str">
        <f t="shared" si="105"/>
        <v/>
      </c>
      <c r="MV29" s="40" t="str">
        <f t="shared" si="106"/>
        <v/>
      </c>
      <c r="MW29" s="40" t="str">
        <f t="shared" si="107"/>
        <v/>
      </c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1" t="str">
        <f t="shared" si="108"/>
        <v/>
      </c>
      <c r="NS29" s="11" t="str">
        <f t="shared" si="109"/>
        <v/>
      </c>
      <c r="NT29" s="11" t="str">
        <f t="shared" si="110"/>
        <v/>
      </c>
      <c r="NU29" s="11" t="str">
        <f t="shared" si="111"/>
        <v/>
      </c>
      <c r="NV29" s="11" t="str">
        <f t="shared" si="112"/>
        <v/>
      </c>
      <c r="NW29" s="11" t="str">
        <f t="shared" si="113"/>
        <v/>
      </c>
      <c r="NX29" s="11" t="str">
        <f t="shared" si="114"/>
        <v/>
      </c>
      <c r="NY29" s="11" t="str">
        <f t="shared" si="115"/>
        <v/>
      </c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40" t="str">
        <f t="shared" si="116"/>
        <v/>
      </c>
      <c r="OU29" s="40" t="str">
        <f t="shared" si="117"/>
        <v/>
      </c>
      <c r="OV29" s="40" t="str">
        <f t="shared" si="118"/>
        <v/>
      </c>
      <c r="OW29" s="40" t="str">
        <f t="shared" si="119"/>
        <v/>
      </c>
      <c r="OX29" s="40" t="str">
        <f t="shared" si="120"/>
        <v/>
      </c>
      <c r="OY29" s="40" t="str">
        <f t="shared" si="121"/>
        <v/>
      </c>
      <c r="OZ29" s="40" t="str">
        <f t="shared" si="122"/>
        <v/>
      </c>
      <c r="PA29" s="40" t="str">
        <f t="shared" si="123"/>
        <v/>
      </c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1" t="str">
        <f t="shared" si="124"/>
        <v/>
      </c>
      <c r="PW29" s="11" t="str">
        <f t="shared" si="125"/>
        <v/>
      </c>
      <c r="PX29" s="11" t="str">
        <f t="shared" si="126"/>
        <v/>
      </c>
      <c r="PY29" s="11" t="str">
        <f t="shared" si="127"/>
        <v/>
      </c>
      <c r="PZ29" s="11" t="str">
        <f t="shared" si="128"/>
        <v/>
      </c>
      <c r="QA29" s="11" t="str">
        <f t="shared" si="129"/>
        <v/>
      </c>
      <c r="QB29" s="11" t="str">
        <f t="shared" si="130"/>
        <v/>
      </c>
      <c r="QC29" s="11" t="str">
        <f t="shared" si="131"/>
        <v/>
      </c>
      <c r="QD29" s="22">
        <f t="shared" si="132"/>
        <v>7.6</v>
      </c>
      <c r="QE29" s="22">
        <f t="shared" si="133"/>
        <v>1</v>
      </c>
      <c r="QF29" s="22">
        <f t="shared" si="134"/>
        <v>0</v>
      </c>
      <c r="QG29" s="22">
        <f t="shared" si="135"/>
        <v>0</v>
      </c>
      <c r="QH29" s="22">
        <f t="shared" si="136"/>
        <v>7.6</v>
      </c>
      <c r="QI29" s="22">
        <f t="shared" si="137"/>
        <v>0.45</v>
      </c>
      <c r="QJ29" s="22">
        <f t="shared" si="138"/>
        <v>0</v>
      </c>
      <c r="QK29" s="22">
        <f t="shared" si="139"/>
        <v>0</v>
      </c>
      <c r="QL29" s="22">
        <f t="shared" si="140"/>
        <v>0</v>
      </c>
      <c r="QM29" s="22">
        <f t="shared" si="141"/>
        <v>0</v>
      </c>
      <c r="QN29" s="22">
        <f t="shared" si="142"/>
        <v>0</v>
      </c>
      <c r="QO29" s="22">
        <f t="shared" si="143"/>
        <v>0</v>
      </c>
      <c r="QP29" s="22">
        <f t="shared" si="144"/>
        <v>0</v>
      </c>
      <c r="QQ29" s="22">
        <f t="shared" si="145"/>
        <v>0</v>
      </c>
      <c r="QR29" s="22">
        <f t="shared" si="146"/>
        <v>0</v>
      </c>
      <c r="QS29" s="22">
        <f t="shared" si="147"/>
        <v>0</v>
      </c>
      <c r="QT29" s="22">
        <f t="shared" si="148"/>
        <v>0</v>
      </c>
      <c r="QU29" s="22">
        <f t="shared" si="149"/>
        <v>0</v>
      </c>
      <c r="QV29" s="22">
        <f t="shared" si="150"/>
        <v>0</v>
      </c>
      <c r="QW29" s="22">
        <f t="shared" si="151"/>
        <v>0</v>
      </c>
      <c r="QX29" s="27" t="s">
        <v>46</v>
      </c>
      <c r="QY29" s="40">
        <f t="shared" si="152"/>
        <v>1.45</v>
      </c>
      <c r="QZ29" s="40">
        <f t="shared" si="153"/>
        <v>16.649999999999999</v>
      </c>
      <c r="RA29" s="40" t="str">
        <f t="shared" si="154"/>
        <v/>
      </c>
      <c r="RB29" s="40">
        <f t="shared" si="155"/>
        <v>1.45</v>
      </c>
      <c r="RC29" s="40">
        <f t="shared" si="156"/>
        <v>16.649999999999999</v>
      </c>
      <c r="RD29" s="40" t="str">
        <f t="shared" si="157"/>
        <v/>
      </c>
      <c r="RE29" s="40" t="str">
        <f t="shared" si="158"/>
        <v/>
      </c>
      <c r="RF29" s="40">
        <f t="shared" si="159"/>
        <v>16.649999999999999</v>
      </c>
    </row>
    <row r="30" spans="1:474" x14ac:dyDescent="0.2">
      <c r="A30" s="4" t="str" cm="1">
        <f t="array" ref="A30">IF(AND(J30&lt;&gt;"",J30&lt;&gt;"No DD"),SUMPRODUCT((J$4:J$36&lt;&gt;"")*(J$4:J$36&lt;&gt;"No DD")*(F$4:F$36&gt;F30))+1,IF(J30="No DD",SUMPRODUCT((J$4:J$36="No DD")*(F$4:F$36&gt;F30))+1+SUMPRODUCT((J$4:J$36&lt;&gt;"")*(J$4:J$36&lt;&gt;"No DD")),""))</f>
        <v/>
      </c>
      <c r="B30" s="4" t="str" cm="1">
        <f t="array" ref="B30">IF(AND(J30&lt;&gt;"",J30&lt;&gt;"No DD",G30=""),SUMPRODUCT((J$4:J$36&lt;&gt;"")*(J$4:J$36&lt;&gt;"No DD")*(G$4:G$36="")*(F$4:F$36&gt;F30))+1,IF(J30="No DD",SUMPRODUCT((J$4:J$36="No DD")*(F$4:F$36&gt;F30)*(G$4:G$36=""))+1+SUMPRODUCT((J$4:J$36&lt;&gt;"")*(G$4:G$36="")*(J$4:J$36&lt;&gt;"No DD")),""))</f>
        <v/>
      </c>
      <c r="C30" s="5" t="s">
        <v>198</v>
      </c>
      <c r="D30" s="4" t="s">
        <v>4</v>
      </c>
      <c r="E30" s="4">
        <v>2006</v>
      </c>
      <c r="F30" s="9">
        <f t="shared" si="0"/>
        <v>45.10000451000451</v>
      </c>
      <c r="G30" s="64"/>
      <c r="H30" s="3" t="str">
        <f t="shared" si="1"/>
        <v/>
      </c>
      <c r="I30" s="3" t="str">
        <f t="shared" si="2"/>
        <v/>
      </c>
      <c r="J30" s="36" t="str">
        <f t="shared" si="3"/>
        <v/>
      </c>
      <c r="K30" s="3" t="str">
        <f t="shared" si="4"/>
        <v/>
      </c>
      <c r="L30" s="8">
        <f>IF(COUNT(AQ30,BT30,CW30)&gt;0,LARGE((AQ30,BT30,CW30),1),0)</f>
        <v>45.1</v>
      </c>
      <c r="M30" s="8" t="str">
        <f t="shared" si="5"/>
        <v>2024 Nationals</v>
      </c>
      <c r="N30" s="8">
        <f>IF(COUNT(AQ30,BT30,CW30)&gt;1,LARGE((AQ30,BT30,CW30),2),0)</f>
        <v>0</v>
      </c>
      <c r="O30" s="8" t="str">
        <f t="shared" si="6"/>
        <v/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60"/>
        <v/>
      </c>
      <c r="T30" s="8" t="str">
        <f t="shared" si="161"/>
        <v/>
      </c>
      <c r="U30" s="19">
        <v>18.7</v>
      </c>
      <c r="V30" s="19">
        <v>3.6</v>
      </c>
      <c r="W30" s="19">
        <v>0</v>
      </c>
      <c r="X30" s="19">
        <v>0</v>
      </c>
      <c r="Y30" s="19">
        <v>18.399999999999999</v>
      </c>
      <c r="Z30" s="19">
        <v>4.4000000000000004</v>
      </c>
      <c r="AA30" s="19">
        <v>0</v>
      </c>
      <c r="AB30" s="19">
        <v>0</v>
      </c>
      <c r="AC30" s="19">
        <v>0</v>
      </c>
      <c r="AD30" s="19">
        <v>0</v>
      </c>
      <c r="AE30" s="19">
        <v>0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7"/>
      <c r="AP30" s="40">
        <f t="shared" si="10"/>
        <v>8</v>
      </c>
      <c r="AQ30" s="40">
        <f t="shared" si="11"/>
        <v>45.1</v>
      </c>
      <c r="AR30" s="40" t="str">
        <f t="shared" si="12"/>
        <v/>
      </c>
      <c r="AS30" s="40">
        <f t="shared" si="13"/>
        <v>8</v>
      </c>
      <c r="AT30" s="40">
        <f t="shared" si="14"/>
        <v>45.1</v>
      </c>
      <c r="AU30" s="40" t="str">
        <f t="shared" si="15"/>
        <v/>
      </c>
      <c r="AV30" s="40" t="str">
        <f t="shared" si="16"/>
        <v/>
      </c>
      <c r="AW30" s="40">
        <f t="shared" si="17"/>
        <v>45.1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18"/>
        <v/>
      </c>
      <c r="BT30" s="11" t="str">
        <f t="shared" si="19"/>
        <v/>
      </c>
      <c r="BU30" s="11" t="str">
        <f t="shared" si="20"/>
        <v/>
      </c>
      <c r="BV30" s="11" t="str">
        <f t="shared" si="21"/>
        <v/>
      </c>
      <c r="BW30" s="11" t="str">
        <f t="shared" si="22"/>
        <v/>
      </c>
      <c r="BX30" s="11" t="str">
        <f t="shared" si="23"/>
        <v/>
      </c>
      <c r="BY30" s="11" t="str">
        <f t="shared" si="24"/>
        <v/>
      </c>
      <c r="BZ30" s="11" t="str">
        <f t="shared" si="25"/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6"/>
        <v/>
      </c>
      <c r="CW30" s="40" t="str">
        <f t="shared" si="27"/>
        <v/>
      </c>
      <c r="CX30" s="40" t="str">
        <f t="shared" si="28"/>
        <v/>
      </c>
      <c r="CY30" s="40" t="str">
        <f t="shared" si="29"/>
        <v/>
      </c>
      <c r="CZ30" s="40" t="str">
        <f t="shared" si="30"/>
        <v/>
      </c>
      <c r="DA30" s="40" t="str">
        <f t="shared" si="31"/>
        <v/>
      </c>
      <c r="DB30" s="40" t="str">
        <f t="shared" si="32"/>
        <v/>
      </c>
      <c r="DC30" s="40" t="str">
        <f t="shared" si="33"/>
        <v/>
      </c>
      <c r="DD30" s="50" t="str">
        <f t="shared" si="34"/>
        <v/>
      </c>
      <c r="DE30" s="50" t="str">
        <f t="shared" si="35"/>
        <v/>
      </c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40" t="str">
        <f t="shared" si="36"/>
        <v/>
      </c>
      <c r="EA30" s="40" t="str">
        <f t="shared" si="37"/>
        <v/>
      </c>
      <c r="EB30" s="40" t="str">
        <f t="shared" si="38"/>
        <v/>
      </c>
      <c r="EC30" s="40" t="str">
        <f t="shared" si="39"/>
        <v/>
      </c>
      <c r="ED30" s="40" t="str">
        <f t="shared" si="40"/>
        <v/>
      </c>
      <c r="EE30" s="40" t="str">
        <f t="shared" si="41"/>
        <v/>
      </c>
      <c r="EF30" s="40" t="str">
        <f t="shared" si="42"/>
        <v/>
      </c>
      <c r="EG30" s="40" t="str">
        <f t="shared" si="43"/>
        <v/>
      </c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1" t="str">
        <f t="shared" si="44"/>
        <v/>
      </c>
      <c r="FC30" s="11" t="str">
        <f t="shared" si="45"/>
        <v/>
      </c>
      <c r="FD30" s="11" t="str">
        <f t="shared" si="46"/>
        <v/>
      </c>
      <c r="FE30" s="11" t="str">
        <f t="shared" si="47"/>
        <v/>
      </c>
      <c r="FF30" s="11" t="str">
        <f t="shared" si="48"/>
        <v/>
      </c>
      <c r="FG30" s="11" t="str">
        <f t="shared" si="49"/>
        <v/>
      </c>
      <c r="FH30" s="11" t="str">
        <f t="shared" si="50"/>
        <v/>
      </c>
      <c r="FI30" s="11" t="str">
        <f t="shared" si="51"/>
        <v/>
      </c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40" t="str">
        <f t="shared" si="52"/>
        <v/>
      </c>
      <c r="GE30" s="40" t="str">
        <f t="shared" si="53"/>
        <v/>
      </c>
      <c r="GF30" s="40" t="str">
        <f t="shared" si="54"/>
        <v/>
      </c>
      <c r="GG30" s="40" t="str">
        <f t="shared" si="55"/>
        <v/>
      </c>
      <c r="GH30" s="40" t="str">
        <f t="shared" si="56"/>
        <v/>
      </c>
      <c r="GI30" s="40" t="str">
        <f t="shared" si="57"/>
        <v/>
      </c>
      <c r="GJ30" s="40" t="str">
        <f t="shared" si="58"/>
        <v/>
      </c>
      <c r="GK30" s="40" t="str">
        <f t="shared" si="59"/>
        <v/>
      </c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1" t="str">
        <f t="shared" si="60"/>
        <v/>
      </c>
      <c r="HG30" s="11" t="str">
        <f t="shared" si="61"/>
        <v/>
      </c>
      <c r="HH30" s="11" t="str">
        <f t="shared" si="62"/>
        <v/>
      </c>
      <c r="HI30" s="11" t="str">
        <f t="shared" si="63"/>
        <v/>
      </c>
      <c r="HJ30" s="11" t="str">
        <f t="shared" si="64"/>
        <v/>
      </c>
      <c r="HK30" s="11" t="str">
        <f t="shared" si="65"/>
        <v/>
      </c>
      <c r="HL30" s="11" t="str">
        <f t="shared" si="66"/>
        <v/>
      </c>
      <c r="HM30" s="11" t="str">
        <f t="shared" si="67"/>
        <v/>
      </c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40" t="str">
        <f t="shared" si="68"/>
        <v/>
      </c>
      <c r="II30" s="40" t="str">
        <f t="shared" si="69"/>
        <v/>
      </c>
      <c r="IJ30" s="40" t="str">
        <f t="shared" si="70"/>
        <v/>
      </c>
      <c r="IK30" s="40" t="str">
        <f t="shared" si="71"/>
        <v/>
      </c>
      <c r="IL30" s="40" t="str">
        <f t="shared" si="72"/>
        <v/>
      </c>
      <c r="IM30" s="40" t="str">
        <f t="shared" si="73"/>
        <v/>
      </c>
      <c r="IN30" s="40" t="str">
        <f t="shared" si="74"/>
        <v/>
      </c>
      <c r="IO30" s="40" t="str">
        <f t="shared" si="75"/>
        <v/>
      </c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1" t="str">
        <f t="shared" si="76"/>
        <v/>
      </c>
      <c r="JK30" s="11" t="str">
        <f t="shared" si="77"/>
        <v/>
      </c>
      <c r="JL30" s="11" t="str">
        <f t="shared" si="78"/>
        <v/>
      </c>
      <c r="JM30" s="11" t="str">
        <f t="shared" si="79"/>
        <v/>
      </c>
      <c r="JN30" s="11" t="str">
        <f t="shared" si="80"/>
        <v/>
      </c>
      <c r="JO30" s="11" t="str">
        <f t="shared" si="81"/>
        <v/>
      </c>
      <c r="JP30" s="11" t="str">
        <f t="shared" si="82"/>
        <v/>
      </c>
      <c r="JQ30" s="11" t="str">
        <f t="shared" si="83"/>
        <v/>
      </c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40" t="str">
        <f t="shared" si="84"/>
        <v/>
      </c>
      <c r="KM30" s="40" t="str">
        <f t="shared" si="85"/>
        <v/>
      </c>
      <c r="KN30" s="40" t="str">
        <f t="shared" si="86"/>
        <v/>
      </c>
      <c r="KO30" s="40" t="str">
        <f t="shared" si="87"/>
        <v/>
      </c>
      <c r="KP30" s="40" t="str">
        <f t="shared" si="88"/>
        <v/>
      </c>
      <c r="KQ30" s="40" t="str">
        <f t="shared" si="89"/>
        <v/>
      </c>
      <c r="KR30" s="40" t="str">
        <f t="shared" si="90"/>
        <v/>
      </c>
      <c r="KS30" s="40" t="str">
        <f t="shared" si="91"/>
        <v/>
      </c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1" t="str">
        <f t="shared" si="92"/>
        <v/>
      </c>
      <c r="LO30" s="11" t="str">
        <f t="shared" si="93"/>
        <v/>
      </c>
      <c r="LP30" s="11" t="str">
        <f t="shared" si="94"/>
        <v/>
      </c>
      <c r="LQ30" s="11" t="str">
        <f t="shared" si="95"/>
        <v/>
      </c>
      <c r="LR30" s="11" t="str">
        <f t="shared" si="96"/>
        <v/>
      </c>
      <c r="LS30" s="11" t="str">
        <f t="shared" si="97"/>
        <v/>
      </c>
      <c r="LT30" s="11" t="str">
        <f t="shared" si="98"/>
        <v/>
      </c>
      <c r="LU30" s="11" t="str">
        <f t="shared" si="99"/>
        <v/>
      </c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40" t="str">
        <f t="shared" si="100"/>
        <v/>
      </c>
      <c r="MQ30" s="40" t="str">
        <f t="shared" si="101"/>
        <v/>
      </c>
      <c r="MR30" s="40" t="str">
        <f t="shared" si="102"/>
        <v/>
      </c>
      <c r="MS30" s="40" t="str">
        <f t="shared" si="103"/>
        <v/>
      </c>
      <c r="MT30" s="40" t="str">
        <f t="shared" si="104"/>
        <v/>
      </c>
      <c r="MU30" s="40" t="str">
        <f t="shared" si="105"/>
        <v/>
      </c>
      <c r="MV30" s="40" t="str">
        <f t="shared" si="106"/>
        <v/>
      </c>
      <c r="MW30" s="40" t="str">
        <f t="shared" si="107"/>
        <v/>
      </c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1" t="str">
        <f t="shared" si="108"/>
        <v/>
      </c>
      <c r="NS30" s="11" t="str">
        <f t="shared" si="109"/>
        <v/>
      </c>
      <c r="NT30" s="11" t="str">
        <f t="shared" si="110"/>
        <v/>
      </c>
      <c r="NU30" s="11" t="str">
        <f t="shared" si="111"/>
        <v/>
      </c>
      <c r="NV30" s="11" t="str">
        <f t="shared" si="112"/>
        <v/>
      </c>
      <c r="NW30" s="11" t="str">
        <f t="shared" si="113"/>
        <v/>
      </c>
      <c r="NX30" s="11" t="str">
        <f t="shared" si="114"/>
        <v/>
      </c>
      <c r="NY30" s="11" t="str">
        <f t="shared" si="115"/>
        <v/>
      </c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40" t="str">
        <f t="shared" si="116"/>
        <v/>
      </c>
      <c r="OU30" s="40" t="str">
        <f t="shared" si="117"/>
        <v/>
      </c>
      <c r="OV30" s="40" t="str">
        <f t="shared" si="118"/>
        <v/>
      </c>
      <c r="OW30" s="40" t="str">
        <f t="shared" si="119"/>
        <v/>
      </c>
      <c r="OX30" s="40" t="str">
        <f t="shared" si="120"/>
        <v/>
      </c>
      <c r="OY30" s="40" t="str">
        <f t="shared" si="121"/>
        <v/>
      </c>
      <c r="OZ30" s="40" t="str">
        <f t="shared" si="122"/>
        <v/>
      </c>
      <c r="PA30" s="40" t="str">
        <f t="shared" si="123"/>
        <v/>
      </c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1" t="str">
        <f t="shared" si="124"/>
        <v/>
      </c>
      <c r="PW30" s="11" t="str">
        <f t="shared" si="125"/>
        <v/>
      </c>
      <c r="PX30" s="11" t="str">
        <f t="shared" si="126"/>
        <v/>
      </c>
      <c r="PY30" s="11" t="str">
        <f t="shared" si="127"/>
        <v/>
      </c>
      <c r="PZ30" s="11" t="str">
        <f t="shared" si="128"/>
        <v/>
      </c>
      <c r="QA30" s="11" t="str">
        <f t="shared" si="129"/>
        <v/>
      </c>
      <c r="QB30" s="11" t="str">
        <f t="shared" si="130"/>
        <v/>
      </c>
      <c r="QC30" s="11" t="str">
        <f t="shared" si="131"/>
        <v/>
      </c>
      <c r="QD30" s="22">
        <f t="shared" si="132"/>
        <v>0</v>
      </c>
      <c r="QE30" s="22">
        <f t="shared" si="133"/>
        <v>0</v>
      </c>
      <c r="QF30" s="22">
        <f t="shared" si="134"/>
        <v>0</v>
      </c>
      <c r="QG30" s="22">
        <f t="shared" si="135"/>
        <v>0</v>
      </c>
      <c r="QH30" s="22">
        <f t="shared" si="136"/>
        <v>0</v>
      </c>
      <c r="QI30" s="22">
        <f t="shared" si="137"/>
        <v>0</v>
      </c>
      <c r="QJ30" s="22">
        <f t="shared" si="138"/>
        <v>0</v>
      </c>
      <c r="QK30" s="22">
        <f t="shared" si="139"/>
        <v>0</v>
      </c>
      <c r="QL30" s="22">
        <f t="shared" si="140"/>
        <v>0</v>
      </c>
      <c r="QM30" s="22">
        <f t="shared" si="141"/>
        <v>0</v>
      </c>
      <c r="QN30" s="22">
        <f t="shared" si="142"/>
        <v>0</v>
      </c>
      <c r="QO30" s="22">
        <f t="shared" si="143"/>
        <v>0</v>
      </c>
      <c r="QP30" s="22">
        <f t="shared" si="144"/>
        <v>0</v>
      </c>
      <c r="QQ30" s="22">
        <f t="shared" si="145"/>
        <v>0</v>
      </c>
      <c r="QR30" s="22">
        <f t="shared" si="146"/>
        <v>0</v>
      </c>
      <c r="QS30" s="22">
        <f t="shared" si="147"/>
        <v>0</v>
      </c>
      <c r="QT30" s="22">
        <f t="shared" si="148"/>
        <v>0</v>
      </c>
      <c r="QU30" s="22">
        <f t="shared" si="149"/>
        <v>0</v>
      </c>
      <c r="QV30" s="22">
        <f t="shared" si="150"/>
        <v>0</v>
      </c>
      <c r="QW30" s="22">
        <f t="shared" si="151"/>
        <v>0</v>
      </c>
      <c r="QX30" s="27" t="s">
        <v>46</v>
      </c>
      <c r="QY30" s="40" t="str">
        <f t="shared" si="152"/>
        <v/>
      </c>
      <c r="QZ30" s="40" t="str">
        <f t="shared" si="153"/>
        <v/>
      </c>
      <c r="RA30" s="40" t="str">
        <f t="shared" si="154"/>
        <v/>
      </c>
      <c r="RB30" s="40" t="str">
        <f t="shared" si="155"/>
        <v/>
      </c>
      <c r="RC30" s="40" t="str">
        <f t="shared" si="156"/>
        <v/>
      </c>
      <c r="RD30" s="40" t="str">
        <f t="shared" si="157"/>
        <v/>
      </c>
      <c r="RE30" s="40" t="str">
        <f t="shared" si="158"/>
        <v/>
      </c>
      <c r="RF30" s="40" t="str">
        <f t="shared" si="159"/>
        <v/>
      </c>
    </row>
    <row r="31" spans="1:474" x14ac:dyDescent="0.2">
      <c r="A31" s="4" t="str" cm="1">
        <f t="array" ref="A31">IF(AND(J31&lt;&gt;"",J31&lt;&gt;"No DD"),SUMPRODUCT((J$4:J$36&lt;&gt;"")*(J$4:J$36&lt;&gt;"No DD")*(F$4:F$36&gt;F31))+1,IF(J31="No DD",SUMPRODUCT((J$4:J$36="No DD")*(F$4:F$36&gt;F31))+1+SUMPRODUCT((J$4:J$36&lt;&gt;"")*(J$4:J$36&lt;&gt;"No DD")),""))</f>
        <v/>
      </c>
      <c r="B31" s="4" t="str" cm="1">
        <f t="array" ref="B31">IF(AND(J31&lt;&gt;"",J31&lt;&gt;"No DD",G31=""),SUMPRODUCT((J$4:J$36&lt;&gt;"")*(J$4:J$36&lt;&gt;"No DD")*(G$4:G$36="")*(F$4:F$36&gt;F31))+1,IF(J31="No DD",SUMPRODUCT((J$4:J$36="No DD")*(F$4:F$36&gt;F31)*(G$4:G$36=""))+1+SUMPRODUCT((J$4:J$36&lt;&gt;"")*(G$4:G$36="")*(J$4:J$36&lt;&gt;"No DD")),""))</f>
        <v/>
      </c>
      <c r="C31" s="5" t="s">
        <v>197</v>
      </c>
      <c r="D31" s="4" t="s">
        <v>3</v>
      </c>
      <c r="E31" s="4">
        <v>2006</v>
      </c>
      <c r="F31" s="9">
        <f t="shared" si="0"/>
        <v>40.200004020004023</v>
      </c>
      <c r="G31" s="64"/>
      <c r="H31" s="3" t="str">
        <f t="shared" si="1"/>
        <v/>
      </c>
      <c r="I31" s="3" t="str">
        <f t="shared" si="2"/>
        <v/>
      </c>
      <c r="J31" s="36" t="str">
        <f t="shared" si="3"/>
        <v/>
      </c>
      <c r="K31" s="3" t="str">
        <f t="shared" si="4"/>
        <v/>
      </c>
      <c r="L31" s="8">
        <f>IF(COUNT(AQ31,BT31,CW31)&gt;0,LARGE((AQ31,BT31,CW31),1),0)</f>
        <v>40.200000000000003</v>
      </c>
      <c r="M31" s="8" t="str">
        <f t="shared" si="5"/>
        <v>2024 Nationals</v>
      </c>
      <c r="N31" s="8">
        <f>IF(COUNT(AQ31,BT31,CW31)&gt;1,LARGE((AQ31,BT31,CW31),2),0)</f>
        <v>0</v>
      </c>
      <c r="O31" s="8" t="str">
        <f t="shared" si="6"/>
        <v/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60"/>
        <v/>
      </c>
      <c r="T31" s="8" t="str">
        <f t="shared" si="161"/>
        <v/>
      </c>
      <c r="U31" s="19">
        <v>18.600000000000001</v>
      </c>
      <c r="V31" s="19">
        <v>3.1</v>
      </c>
      <c r="W31" s="19">
        <v>0</v>
      </c>
      <c r="X31" s="19">
        <v>0</v>
      </c>
      <c r="Y31" s="19">
        <v>17.8</v>
      </c>
      <c r="Z31" s="19">
        <v>0.7</v>
      </c>
      <c r="AA31" s="19">
        <v>0</v>
      </c>
      <c r="AB31" s="19">
        <v>0</v>
      </c>
      <c r="AC31" s="19">
        <v>18.8</v>
      </c>
      <c r="AD31" s="19">
        <v>1.2</v>
      </c>
      <c r="AE31" s="19">
        <v>1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 t="shared" si="10"/>
        <v>3.8</v>
      </c>
      <c r="AQ31" s="40">
        <f t="shared" si="11"/>
        <v>40.200000000000003</v>
      </c>
      <c r="AR31" s="40">
        <f t="shared" si="12"/>
        <v>19</v>
      </c>
      <c r="AS31" s="40">
        <f t="shared" si="13"/>
        <v>5</v>
      </c>
      <c r="AT31" s="40">
        <f t="shared" si="14"/>
        <v>59.2</v>
      </c>
      <c r="AU31" s="40" t="str">
        <f t="shared" si="15"/>
        <v/>
      </c>
      <c r="AV31" s="40" t="str">
        <f t="shared" si="16"/>
        <v/>
      </c>
      <c r="AW31" s="40">
        <f t="shared" si="17"/>
        <v>59.2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18"/>
        <v/>
      </c>
      <c r="BT31" s="11" t="str">
        <f t="shared" si="19"/>
        <v/>
      </c>
      <c r="BU31" s="11" t="str">
        <f t="shared" si="20"/>
        <v/>
      </c>
      <c r="BV31" s="11" t="str">
        <f t="shared" si="21"/>
        <v/>
      </c>
      <c r="BW31" s="11" t="str">
        <f t="shared" si="22"/>
        <v/>
      </c>
      <c r="BX31" s="11" t="str">
        <f t="shared" si="23"/>
        <v/>
      </c>
      <c r="BY31" s="11" t="str">
        <f t="shared" si="24"/>
        <v/>
      </c>
      <c r="BZ31" s="11" t="str">
        <f t="shared" si="25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6"/>
        <v/>
      </c>
      <c r="CW31" s="40" t="str">
        <f t="shared" si="27"/>
        <v/>
      </c>
      <c r="CX31" s="40" t="str">
        <f t="shared" si="28"/>
        <v/>
      </c>
      <c r="CY31" s="40" t="str">
        <f t="shared" si="29"/>
        <v/>
      </c>
      <c r="CZ31" s="40" t="str">
        <f t="shared" si="30"/>
        <v/>
      </c>
      <c r="DA31" s="40" t="str">
        <f t="shared" si="31"/>
        <v/>
      </c>
      <c r="DB31" s="40" t="str">
        <f t="shared" si="32"/>
        <v/>
      </c>
      <c r="DC31" s="40" t="str">
        <f t="shared" si="33"/>
        <v/>
      </c>
      <c r="DD31" s="50" t="str">
        <f t="shared" si="34"/>
        <v/>
      </c>
      <c r="DE31" s="50" t="str">
        <f t="shared" si="35"/>
        <v/>
      </c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40" t="str">
        <f t="shared" si="36"/>
        <v/>
      </c>
      <c r="EA31" s="40" t="str">
        <f t="shared" si="37"/>
        <v/>
      </c>
      <c r="EB31" s="40" t="str">
        <f t="shared" si="38"/>
        <v/>
      </c>
      <c r="EC31" s="40" t="str">
        <f t="shared" si="39"/>
        <v/>
      </c>
      <c r="ED31" s="40" t="str">
        <f t="shared" si="40"/>
        <v/>
      </c>
      <c r="EE31" s="40" t="str">
        <f t="shared" si="41"/>
        <v/>
      </c>
      <c r="EF31" s="40" t="str">
        <f t="shared" si="42"/>
        <v/>
      </c>
      <c r="EG31" s="40" t="str">
        <f t="shared" si="43"/>
        <v/>
      </c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1" t="str">
        <f t="shared" si="44"/>
        <v/>
      </c>
      <c r="FC31" s="11" t="str">
        <f t="shared" si="45"/>
        <v/>
      </c>
      <c r="FD31" s="11" t="str">
        <f t="shared" si="46"/>
        <v/>
      </c>
      <c r="FE31" s="11" t="str">
        <f t="shared" si="47"/>
        <v/>
      </c>
      <c r="FF31" s="11" t="str">
        <f t="shared" si="48"/>
        <v/>
      </c>
      <c r="FG31" s="11" t="str">
        <f t="shared" si="49"/>
        <v/>
      </c>
      <c r="FH31" s="11" t="str">
        <f t="shared" si="50"/>
        <v/>
      </c>
      <c r="FI31" s="11" t="str">
        <f t="shared" si="51"/>
        <v/>
      </c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40" t="str">
        <f t="shared" si="52"/>
        <v/>
      </c>
      <c r="GE31" s="40" t="str">
        <f t="shared" si="53"/>
        <v/>
      </c>
      <c r="GF31" s="40" t="str">
        <f t="shared" si="54"/>
        <v/>
      </c>
      <c r="GG31" s="40" t="str">
        <f t="shared" si="55"/>
        <v/>
      </c>
      <c r="GH31" s="40" t="str">
        <f t="shared" si="56"/>
        <v/>
      </c>
      <c r="GI31" s="40" t="str">
        <f t="shared" si="57"/>
        <v/>
      </c>
      <c r="GJ31" s="40" t="str">
        <f t="shared" si="58"/>
        <v/>
      </c>
      <c r="GK31" s="40" t="str">
        <f t="shared" si="59"/>
        <v/>
      </c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1" t="str">
        <f t="shared" si="60"/>
        <v/>
      </c>
      <c r="HG31" s="11" t="str">
        <f t="shared" si="61"/>
        <v/>
      </c>
      <c r="HH31" s="11" t="str">
        <f t="shared" si="62"/>
        <v/>
      </c>
      <c r="HI31" s="11" t="str">
        <f t="shared" si="63"/>
        <v/>
      </c>
      <c r="HJ31" s="11" t="str">
        <f t="shared" si="64"/>
        <v/>
      </c>
      <c r="HK31" s="11" t="str">
        <f t="shared" si="65"/>
        <v/>
      </c>
      <c r="HL31" s="11" t="str">
        <f t="shared" si="66"/>
        <v/>
      </c>
      <c r="HM31" s="11" t="str">
        <f t="shared" si="67"/>
        <v/>
      </c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40" t="str">
        <f t="shared" si="68"/>
        <v/>
      </c>
      <c r="II31" s="40" t="str">
        <f t="shared" si="69"/>
        <v/>
      </c>
      <c r="IJ31" s="40" t="str">
        <f t="shared" si="70"/>
        <v/>
      </c>
      <c r="IK31" s="40" t="str">
        <f t="shared" si="71"/>
        <v/>
      </c>
      <c r="IL31" s="40" t="str">
        <f t="shared" si="72"/>
        <v/>
      </c>
      <c r="IM31" s="40" t="str">
        <f t="shared" si="73"/>
        <v/>
      </c>
      <c r="IN31" s="40" t="str">
        <f t="shared" si="74"/>
        <v/>
      </c>
      <c r="IO31" s="40" t="str">
        <f t="shared" si="75"/>
        <v/>
      </c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1" t="str">
        <f t="shared" si="76"/>
        <v/>
      </c>
      <c r="JK31" s="11" t="str">
        <f t="shared" si="77"/>
        <v/>
      </c>
      <c r="JL31" s="11" t="str">
        <f t="shared" si="78"/>
        <v/>
      </c>
      <c r="JM31" s="11" t="str">
        <f t="shared" si="79"/>
        <v/>
      </c>
      <c r="JN31" s="11" t="str">
        <f t="shared" si="80"/>
        <v/>
      </c>
      <c r="JO31" s="11" t="str">
        <f t="shared" si="81"/>
        <v/>
      </c>
      <c r="JP31" s="11" t="str">
        <f t="shared" si="82"/>
        <v/>
      </c>
      <c r="JQ31" s="11" t="str">
        <f t="shared" si="83"/>
        <v/>
      </c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40" t="str">
        <f t="shared" si="84"/>
        <v/>
      </c>
      <c r="KM31" s="40" t="str">
        <f t="shared" si="85"/>
        <v/>
      </c>
      <c r="KN31" s="40" t="str">
        <f t="shared" si="86"/>
        <v/>
      </c>
      <c r="KO31" s="40" t="str">
        <f t="shared" si="87"/>
        <v/>
      </c>
      <c r="KP31" s="40" t="str">
        <f t="shared" si="88"/>
        <v/>
      </c>
      <c r="KQ31" s="40" t="str">
        <f t="shared" si="89"/>
        <v/>
      </c>
      <c r="KR31" s="40" t="str">
        <f t="shared" si="90"/>
        <v/>
      </c>
      <c r="KS31" s="40" t="str">
        <f t="shared" si="91"/>
        <v/>
      </c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1" t="str">
        <f t="shared" si="92"/>
        <v/>
      </c>
      <c r="LO31" s="11" t="str">
        <f t="shared" si="93"/>
        <v/>
      </c>
      <c r="LP31" s="11" t="str">
        <f t="shared" si="94"/>
        <v/>
      </c>
      <c r="LQ31" s="11" t="str">
        <f t="shared" si="95"/>
        <v/>
      </c>
      <c r="LR31" s="11" t="str">
        <f t="shared" si="96"/>
        <v/>
      </c>
      <c r="LS31" s="11" t="str">
        <f t="shared" si="97"/>
        <v/>
      </c>
      <c r="LT31" s="11" t="str">
        <f t="shared" si="98"/>
        <v/>
      </c>
      <c r="LU31" s="11" t="str">
        <f t="shared" si="99"/>
        <v/>
      </c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40" t="str">
        <f t="shared" si="100"/>
        <v/>
      </c>
      <c r="MQ31" s="40" t="str">
        <f t="shared" si="101"/>
        <v/>
      </c>
      <c r="MR31" s="40" t="str">
        <f t="shared" si="102"/>
        <v/>
      </c>
      <c r="MS31" s="40" t="str">
        <f t="shared" si="103"/>
        <v/>
      </c>
      <c r="MT31" s="40" t="str">
        <f t="shared" si="104"/>
        <v/>
      </c>
      <c r="MU31" s="40" t="str">
        <f t="shared" si="105"/>
        <v/>
      </c>
      <c r="MV31" s="40" t="str">
        <f t="shared" si="106"/>
        <v/>
      </c>
      <c r="MW31" s="40" t="str">
        <f t="shared" si="107"/>
        <v/>
      </c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1" t="str">
        <f t="shared" si="108"/>
        <v/>
      </c>
      <c r="NS31" s="11" t="str">
        <f t="shared" si="109"/>
        <v/>
      </c>
      <c r="NT31" s="11" t="str">
        <f t="shared" si="110"/>
        <v/>
      </c>
      <c r="NU31" s="11" t="str">
        <f t="shared" si="111"/>
        <v/>
      </c>
      <c r="NV31" s="11" t="str">
        <f t="shared" si="112"/>
        <v/>
      </c>
      <c r="NW31" s="11" t="str">
        <f t="shared" si="113"/>
        <v/>
      </c>
      <c r="NX31" s="11" t="str">
        <f t="shared" si="114"/>
        <v/>
      </c>
      <c r="NY31" s="11" t="str">
        <f t="shared" si="115"/>
        <v/>
      </c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40" t="str">
        <f t="shared" si="116"/>
        <v/>
      </c>
      <c r="OU31" s="40" t="str">
        <f t="shared" si="117"/>
        <v/>
      </c>
      <c r="OV31" s="40" t="str">
        <f t="shared" si="118"/>
        <v/>
      </c>
      <c r="OW31" s="40" t="str">
        <f t="shared" si="119"/>
        <v/>
      </c>
      <c r="OX31" s="40" t="str">
        <f t="shared" si="120"/>
        <v/>
      </c>
      <c r="OY31" s="40" t="str">
        <f t="shared" si="121"/>
        <v/>
      </c>
      <c r="OZ31" s="40" t="str">
        <f t="shared" si="122"/>
        <v/>
      </c>
      <c r="PA31" s="40" t="str">
        <f t="shared" si="123"/>
        <v/>
      </c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1" t="str">
        <f t="shared" si="124"/>
        <v/>
      </c>
      <c r="PW31" s="11" t="str">
        <f t="shared" si="125"/>
        <v/>
      </c>
      <c r="PX31" s="11" t="str">
        <f t="shared" si="126"/>
        <v/>
      </c>
      <c r="PY31" s="11" t="str">
        <f t="shared" si="127"/>
        <v/>
      </c>
      <c r="PZ31" s="11" t="str">
        <f t="shared" si="128"/>
        <v/>
      </c>
      <c r="QA31" s="11" t="str">
        <f t="shared" si="129"/>
        <v/>
      </c>
      <c r="QB31" s="11" t="str">
        <f t="shared" si="130"/>
        <v/>
      </c>
      <c r="QC31" s="11" t="str">
        <f t="shared" si="131"/>
        <v/>
      </c>
      <c r="QD31" s="22">
        <f t="shared" si="132"/>
        <v>0</v>
      </c>
      <c r="QE31" s="22">
        <f t="shared" si="133"/>
        <v>0</v>
      </c>
      <c r="QF31" s="22">
        <f t="shared" si="134"/>
        <v>0</v>
      </c>
      <c r="QG31" s="22">
        <f t="shared" si="135"/>
        <v>0</v>
      </c>
      <c r="QH31" s="22">
        <f t="shared" si="136"/>
        <v>0</v>
      </c>
      <c r="QI31" s="22">
        <f t="shared" si="137"/>
        <v>0</v>
      </c>
      <c r="QJ31" s="22">
        <f t="shared" si="138"/>
        <v>0</v>
      </c>
      <c r="QK31" s="22">
        <f t="shared" si="139"/>
        <v>0</v>
      </c>
      <c r="QL31" s="22">
        <f t="shared" si="140"/>
        <v>0</v>
      </c>
      <c r="QM31" s="22">
        <f t="shared" si="141"/>
        <v>0</v>
      </c>
      <c r="QN31" s="22">
        <f t="shared" si="142"/>
        <v>0</v>
      </c>
      <c r="QO31" s="22">
        <f t="shared" si="143"/>
        <v>0</v>
      </c>
      <c r="QP31" s="22">
        <f t="shared" si="144"/>
        <v>0</v>
      </c>
      <c r="QQ31" s="22">
        <f t="shared" si="145"/>
        <v>0</v>
      </c>
      <c r="QR31" s="22">
        <f t="shared" si="146"/>
        <v>0</v>
      </c>
      <c r="QS31" s="22">
        <f t="shared" si="147"/>
        <v>0</v>
      </c>
      <c r="QT31" s="22">
        <f t="shared" si="148"/>
        <v>0</v>
      </c>
      <c r="QU31" s="22">
        <f t="shared" si="149"/>
        <v>0</v>
      </c>
      <c r="QV31" s="22">
        <f t="shared" si="150"/>
        <v>0</v>
      </c>
      <c r="QW31" s="22">
        <f t="shared" si="151"/>
        <v>0</v>
      </c>
      <c r="QX31" s="27" t="s">
        <v>46</v>
      </c>
      <c r="QY31" s="40" t="str">
        <f t="shared" si="152"/>
        <v/>
      </c>
      <c r="QZ31" s="40" t="str">
        <f t="shared" si="153"/>
        <v/>
      </c>
      <c r="RA31" s="40" t="str">
        <f t="shared" si="154"/>
        <v/>
      </c>
      <c r="RB31" s="40" t="str">
        <f t="shared" si="155"/>
        <v/>
      </c>
      <c r="RC31" s="40" t="str">
        <f t="shared" si="156"/>
        <v/>
      </c>
      <c r="RD31" s="40" t="str">
        <f t="shared" si="157"/>
        <v/>
      </c>
      <c r="RE31" s="40" t="str">
        <f t="shared" si="158"/>
        <v/>
      </c>
      <c r="RF31" s="40" t="str">
        <f t="shared" si="159"/>
        <v/>
      </c>
    </row>
    <row r="32" spans="1:474" x14ac:dyDescent="0.2">
      <c r="A32" s="4" t="str" cm="1">
        <f t="array" ref="A32">IF(AND(J32&lt;&gt;"",J32&lt;&gt;"No DD"),SUMPRODUCT((J$4:J$36&lt;&gt;"")*(J$4:J$36&lt;&gt;"No DD")*(F$4:F$36&gt;F32))+1,IF(J32="No DD",SUMPRODUCT((J$4:J$36="No DD")*(F$4:F$36&gt;F32))+1+SUMPRODUCT((J$4:J$36&lt;&gt;"")*(J$4:J$36&lt;&gt;"No DD")),""))</f>
        <v/>
      </c>
      <c r="B32" s="4" t="str" cm="1">
        <f t="array" ref="B32">IF(AND(J32&lt;&gt;"",J32&lt;&gt;"No DD",G32=""),SUMPRODUCT((J$4:J$36&lt;&gt;"")*(J$4:J$36&lt;&gt;"No DD")*(G$4:G$36="")*(F$4:F$36&gt;F32))+1,IF(J32="No DD",SUMPRODUCT((J$4:J$36="No DD")*(F$4:F$36&gt;F32)*(G$4:G$36=""))+1+SUMPRODUCT((J$4:J$36&lt;&gt;"")*(G$4:G$36="")*(J$4:J$36&lt;&gt;"No DD")),""))</f>
        <v/>
      </c>
      <c r="C32" s="5" t="s">
        <v>180</v>
      </c>
      <c r="D32" s="4" t="s">
        <v>5</v>
      </c>
      <c r="E32" s="4">
        <v>2006</v>
      </c>
      <c r="F32" s="9">
        <f t="shared" si="0"/>
        <v>39.700003970003976</v>
      </c>
      <c r="G32" s="64"/>
      <c r="H32" s="3" t="str">
        <f t="shared" si="1"/>
        <v/>
      </c>
      <c r="I32" s="3" t="str">
        <f t="shared" si="2"/>
        <v/>
      </c>
      <c r="J32" s="36" t="str">
        <f t="shared" si="3"/>
        <v/>
      </c>
      <c r="K32" s="3" t="str">
        <f t="shared" si="4"/>
        <v/>
      </c>
      <c r="L32" s="8">
        <f>IF(COUNT(AQ32,BT32,CW32)&gt;0,LARGE((AQ32,BT32,CW32),1),0)</f>
        <v>39.700000000000003</v>
      </c>
      <c r="M32" s="8" t="str">
        <f t="shared" si="5"/>
        <v>2025 Elite Canada</v>
      </c>
      <c r="N32" s="8">
        <f>IF(COUNT(AQ32,BT32,CW32)&gt;1,LARGE((AQ32,BT32,CW32),2),0)</f>
        <v>0</v>
      </c>
      <c r="O32" s="8" t="str">
        <f t="shared" si="6"/>
        <v/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60"/>
        <v/>
      </c>
      <c r="T32" s="8" t="str">
        <f t="shared" si="16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0"/>
        <v/>
      </c>
      <c r="AQ32" s="40" t="str">
        <f t="shared" si="11"/>
        <v/>
      </c>
      <c r="AR32" s="40" t="str">
        <f t="shared" si="12"/>
        <v/>
      </c>
      <c r="AS32" s="40" t="str">
        <f t="shared" si="13"/>
        <v/>
      </c>
      <c r="AT32" s="40" t="str">
        <f t="shared" si="14"/>
        <v/>
      </c>
      <c r="AU32" s="40" t="str">
        <f t="shared" si="15"/>
        <v/>
      </c>
      <c r="AV32" s="40" t="str">
        <f t="shared" si="16"/>
        <v/>
      </c>
      <c r="AW32" s="40" t="str">
        <f t="shared" si="17"/>
        <v/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18"/>
        <v/>
      </c>
      <c r="BT32" s="11" t="str">
        <f t="shared" si="19"/>
        <v/>
      </c>
      <c r="BU32" s="11" t="str">
        <f t="shared" si="20"/>
        <v/>
      </c>
      <c r="BV32" s="11" t="str">
        <f t="shared" si="21"/>
        <v/>
      </c>
      <c r="BW32" s="11" t="str">
        <f t="shared" si="22"/>
        <v/>
      </c>
      <c r="BX32" s="11" t="str">
        <f t="shared" si="23"/>
        <v/>
      </c>
      <c r="BY32" s="11" t="str">
        <f t="shared" si="24"/>
        <v/>
      </c>
      <c r="BZ32" s="11" t="str">
        <f t="shared" si="25"/>
        <v/>
      </c>
      <c r="CA32" s="19">
        <v>18.2</v>
      </c>
      <c r="CB32" s="19">
        <v>5.2</v>
      </c>
      <c r="CC32" s="19">
        <v>0.2</v>
      </c>
      <c r="CD32" s="19">
        <v>0</v>
      </c>
      <c r="CE32" s="19">
        <v>15.8</v>
      </c>
      <c r="CF32" s="19">
        <v>0.7</v>
      </c>
      <c r="CG32" s="19">
        <v>0</v>
      </c>
      <c r="CH32" s="19">
        <v>0</v>
      </c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 t="shared" si="26"/>
        <v>5.9</v>
      </c>
      <c r="CW32" s="40">
        <f t="shared" si="27"/>
        <v>39.700000000000003</v>
      </c>
      <c r="CX32" s="40" t="str">
        <f t="shared" si="28"/>
        <v/>
      </c>
      <c r="CY32" s="40">
        <f t="shared" si="29"/>
        <v>5.9</v>
      </c>
      <c r="CZ32" s="40">
        <f t="shared" si="30"/>
        <v>39.700000000000003</v>
      </c>
      <c r="DA32" s="40" t="str">
        <f t="shared" si="31"/>
        <v/>
      </c>
      <c r="DB32" s="40" t="str">
        <f t="shared" si="32"/>
        <v/>
      </c>
      <c r="DC32" s="40">
        <f t="shared" si="33"/>
        <v>39.700000000000003</v>
      </c>
      <c r="DD32" s="50" t="str">
        <f t="shared" si="34"/>
        <v/>
      </c>
      <c r="DE32" s="50" t="str">
        <f t="shared" si="35"/>
        <v/>
      </c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40" t="str">
        <f t="shared" si="36"/>
        <v/>
      </c>
      <c r="EA32" s="40" t="str">
        <f t="shared" si="37"/>
        <v/>
      </c>
      <c r="EB32" s="40" t="str">
        <f t="shared" si="38"/>
        <v/>
      </c>
      <c r="EC32" s="40" t="str">
        <f t="shared" si="39"/>
        <v/>
      </c>
      <c r="ED32" s="40" t="str">
        <f t="shared" si="40"/>
        <v/>
      </c>
      <c r="EE32" s="40" t="str">
        <f t="shared" si="41"/>
        <v/>
      </c>
      <c r="EF32" s="40" t="str">
        <f t="shared" si="42"/>
        <v/>
      </c>
      <c r="EG32" s="40" t="str">
        <f t="shared" si="43"/>
        <v/>
      </c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1" t="str">
        <f t="shared" si="44"/>
        <v/>
      </c>
      <c r="FC32" s="11" t="str">
        <f t="shared" si="45"/>
        <v/>
      </c>
      <c r="FD32" s="11" t="str">
        <f t="shared" si="46"/>
        <v/>
      </c>
      <c r="FE32" s="11" t="str">
        <f t="shared" si="47"/>
        <v/>
      </c>
      <c r="FF32" s="11" t="str">
        <f t="shared" si="48"/>
        <v/>
      </c>
      <c r="FG32" s="11" t="str">
        <f t="shared" si="49"/>
        <v/>
      </c>
      <c r="FH32" s="11" t="str">
        <f t="shared" si="50"/>
        <v/>
      </c>
      <c r="FI32" s="11" t="str">
        <f t="shared" si="51"/>
        <v/>
      </c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40" t="str">
        <f t="shared" si="52"/>
        <v/>
      </c>
      <c r="GE32" s="40" t="str">
        <f t="shared" si="53"/>
        <v/>
      </c>
      <c r="GF32" s="40" t="str">
        <f t="shared" si="54"/>
        <v/>
      </c>
      <c r="GG32" s="40" t="str">
        <f t="shared" si="55"/>
        <v/>
      </c>
      <c r="GH32" s="40" t="str">
        <f t="shared" si="56"/>
        <v/>
      </c>
      <c r="GI32" s="40" t="str">
        <f t="shared" si="57"/>
        <v/>
      </c>
      <c r="GJ32" s="40" t="str">
        <f t="shared" si="58"/>
        <v/>
      </c>
      <c r="GK32" s="40" t="str">
        <f t="shared" si="59"/>
        <v/>
      </c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1" t="str">
        <f t="shared" si="60"/>
        <v/>
      </c>
      <c r="HG32" s="11" t="str">
        <f t="shared" si="61"/>
        <v/>
      </c>
      <c r="HH32" s="11" t="str">
        <f t="shared" si="62"/>
        <v/>
      </c>
      <c r="HI32" s="11" t="str">
        <f t="shared" si="63"/>
        <v/>
      </c>
      <c r="HJ32" s="11" t="str">
        <f t="shared" si="64"/>
        <v/>
      </c>
      <c r="HK32" s="11" t="str">
        <f t="shared" si="65"/>
        <v/>
      </c>
      <c r="HL32" s="11" t="str">
        <f t="shared" si="66"/>
        <v/>
      </c>
      <c r="HM32" s="11" t="str">
        <f t="shared" si="67"/>
        <v/>
      </c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40" t="str">
        <f t="shared" si="68"/>
        <v/>
      </c>
      <c r="II32" s="40" t="str">
        <f t="shared" si="69"/>
        <v/>
      </c>
      <c r="IJ32" s="40" t="str">
        <f t="shared" si="70"/>
        <v/>
      </c>
      <c r="IK32" s="40" t="str">
        <f t="shared" si="71"/>
        <v/>
      </c>
      <c r="IL32" s="40" t="str">
        <f t="shared" si="72"/>
        <v/>
      </c>
      <c r="IM32" s="40" t="str">
        <f t="shared" si="73"/>
        <v/>
      </c>
      <c r="IN32" s="40" t="str">
        <f t="shared" si="74"/>
        <v/>
      </c>
      <c r="IO32" s="40" t="str">
        <f t="shared" si="75"/>
        <v/>
      </c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1" t="str">
        <f t="shared" si="76"/>
        <v/>
      </c>
      <c r="JK32" s="11" t="str">
        <f t="shared" si="77"/>
        <v/>
      </c>
      <c r="JL32" s="11" t="str">
        <f t="shared" si="78"/>
        <v/>
      </c>
      <c r="JM32" s="11" t="str">
        <f t="shared" si="79"/>
        <v/>
      </c>
      <c r="JN32" s="11" t="str">
        <f t="shared" si="80"/>
        <v/>
      </c>
      <c r="JO32" s="11" t="str">
        <f t="shared" si="81"/>
        <v/>
      </c>
      <c r="JP32" s="11" t="str">
        <f t="shared" si="82"/>
        <v/>
      </c>
      <c r="JQ32" s="11" t="str">
        <f t="shared" si="83"/>
        <v/>
      </c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40" t="str">
        <f t="shared" si="84"/>
        <v/>
      </c>
      <c r="KM32" s="40" t="str">
        <f t="shared" si="85"/>
        <v/>
      </c>
      <c r="KN32" s="40" t="str">
        <f t="shared" si="86"/>
        <v/>
      </c>
      <c r="KO32" s="40" t="str">
        <f t="shared" si="87"/>
        <v/>
      </c>
      <c r="KP32" s="40" t="str">
        <f t="shared" si="88"/>
        <v/>
      </c>
      <c r="KQ32" s="40" t="str">
        <f t="shared" si="89"/>
        <v/>
      </c>
      <c r="KR32" s="40" t="str">
        <f t="shared" si="90"/>
        <v/>
      </c>
      <c r="KS32" s="40" t="str">
        <f t="shared" si="91"/>
        <v/>
      </c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1" t="str">
        <f t="shared" si="92"/>
        <v/>
      </c>
      <c r="LO32" s="11" t="str">
        <f t="shared" si="93"/>
        <v/>
      </c>
      <c r="LP32" s="11" t="str">
        <f t="shared" si="94"/>
        <v/>
      </c>
      <c r="LQ32" s="11" t="str">
        <f t="shared" si="95"/>
        <v/>
      </c>
      <c r="LR32" s="11" t="str">
        <f t="shared" si="96"/>
        <v/>
      </c>
      <c r="LS32" s="11" t="str">
        <f t="shared" si="97"/>
        <v/>
      </c>
      <c r="LT32" s="11" t="str">
        <f t="shared" si="98"/>
        <v/>
      </c>
      <c r="LU32" s="11" t="str">
        <f t="shared" si="99"/>
        <v/>
      </c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40" t="str">
        <f t="shared" si="100"/>
        <v/>
      </c>
      <c r="MQ32" s="40" t="str">
        <f t="shared" si="101"/>
        <v/>
      </c>
      <c r="MR32" s="40" t="str">
        <f t="shared" si="102"/>
        <v/>
      </c>
      <c r="MS32" s="40" t="str">
        <f t="shared" si="103"/>
        <v/>
      </c>
      <c r="MT32" s="40" t="str">
        <f t="shared" si="104"/>
        <v/>
      </c>
      <c r="MU32" s="40" t="str">
        <f t="shared" si="105"/>
        <v/>
      </c>
      <c r="MV32" s="40" t="str">
        <f t="shared" si="106"/>
        <v/>
      </c>
      <c r="MW32" s="40" t="str">
        <f t="shared" si="107"/>
        <v/>
      </c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1" t="str">
        <f t="shared" si="108"/>
        <v/>
      </c>
      <c r="NS32" s="11" t="str">
        <f t="shared" si="109"/>
        <v/>
      </c>
      <c r="NT32" s="11" t="str">
        <f t="shared" si="110"/>
        <v/>
      </c>
      <c r="NU32" s="11" t="str">
        <f t="shared" si="111"/>
        <v/>
      </c>
      <c r="NV32" s="11" t="str">
        <f t="shared" si="112"/>
        <v/>
      </c>
      <c r="NW32" s="11" t="str">
        <f t="shared" si="113"/>
        <v/>
      </c>
      <c r="NX32" s="11" t="str">
        <f t="shared" si="114"/>
        <v/>
      </c>
      <c r="NY32" s="11" t="str">
        <f t="shared" si="115"/>
        <v/>
      </c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40" t="str">
        <f t="shared" si="116"/>
        <v/>
      </c>
      <c r="OU32" s="40" t="str">
        <f t="shared" si="117"/>
        <v/>
      </c>
      <c r="OV32" s="40" t="str">
        <f t="shared" si="118"/>
        <v/>
      </c>
      <c r="OW32" s="40" t="str">
        <f t="shared" si="119"/>
        <v/>
      </c>
      <c r="OX32" s="40" t="str">
        <f t="shared" si="120"/>
        <v/>
      </c>
      <c r="OY32" s="40" t="str">
        <f t="shared" si="121"/>
        <v/>
      </c>
      <c r="OZ32" s="40" t="str">
        <f t="shared" si="122"/>
        <v/>
      </c>
      <c r="PA32" s="40" t="str">
        <f t="shared" si="123"/>
        <v/>
      </c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1" t="str">
        <f t="shared" si="124"/>
        <v/>
      </c>
      <c r="PW32" s="11" t="str">
        <f t="shared" si="125"/>
        <v/>
      </c>
      <c r="PX32" s="11" t="str">
        <f t="shared" si="126"/>
        <v/>
      </c>
      <c r="PY32" s="11" t="str">
        <f t="shared" si="127"/>
        <v/>
      </c>
      <c r="PZ32" s="11" t="str">
        <f t="shared" si="128"/>
        <v/>
      </c>
      <c r="QA32" s="11" t="str">
        <f t="shared" si="129"/>
        <v/>
      </c>
      <c r="QB32" s="11" t="str">
        <f t="shared" si="130"/>
        <v/>
      </c>
      <c r="QC32" s="11" t="str">
        <f t="shared" si="131"/>
        <v/>
      </c>
      <c r="QD32" s="22">
        <f t="shared" si="132"/>
        <v>9.1</v>
      </c>
      <c r="QE32" s="22">
        <f t="shared" si="133"/>
        <v>2.6</v>
      </c>
      <c r="QF32" s="22">
        <f t="shared" si="134"/>
        <v>0.1</v>
      </c>
      <c r="QG32" s="22">
        <f t="shared" si="135"/>
        <v>0</v>
      </c>
      <c r="QH32" s="22">
        <f t="shared" si="136"/>
        <v>7.9</v>
      </c>
      <c r="QI32" s="22">
        <f t="shared" si="137"/>
        <v>0.35</v>
      </c>
      <c r="QJ32" s="22">
        <f t="shared" si="138"/>
        <v>0</v>
      </c>
      <c r="QK32" s="22">
        <f t="shared" si="139"/>
        <v>0</v>
      </c>
      <c r="QL32" s="22">
        <f t="shared" si="140"/>
        <v>0</v>
      </c>
      <c r="QM32" s="22">
        <f t="shared" si="141"/>
        <v>0</v>
      </c>
      <c r="QN32" s="22">
        <f t="shared" si="142"/>
        <v>0</v>
      </c>
      <c r="QO32" s="22">
        <f t="shared" si="143"/>
        <v>0</v>
      </c>
      <c r="QP32" s="22">
        <f t="shared" si="144"/>
        <v>0</v>
      </c>
      <c r="QQ32" s="22">
        <f t="shared" si="145"/>
        <v>0</v>
      </c>
      <c r="QR32" s="22">
        <f t="shared" si="146"/>
        <v>0</v>
      </c>
      <c r="QS32" s="22">
        <f t="shared" si="147"/>
        <v>0</v>
      </c>
      <c r="QT32" s="22">
        <f t="shared" si="148"/>
        <v>0</v>
      </c>
      <c r="QU32" s="22">
        <f t="shared" si="149"/>
        <v>0</v>
      </c>
      <c r="QV32" s="22">
        <f t="shared" si="150"/>
        <v>0</v>
      </c>
      <c r="QW32" s="22">
        <f t="shared" si="151"/>
        <v>0</v>
      </c>
      <c r="QX32" s="27" t="s">
        <v>46</v>
      </c>
      <c r="QY32" s="40">
        <f t="shared" si="152"/>
        <v>2.95</v>
      </c>
      <c r="QZ32" s="40">
        <f t="shared" si="153"/>
        <v>19.850000000000001</v>
      </c>
      <c r="RA32" s="40" t="str">
        <f t="shared" si="154"/>
        <v/>
      </c>
      <c r="RB32" s="40">
        <f t="shared" si="155"/>
        <v>2.95</v>
      </c>
      <c r="RC32" s="40">
        <f t="shared" si="156"/>
        <v>19.850000000000001</v>
      </c>
      <c r="RD32" s="40" t="str">
        <f t="shared" si="157"/>
        <v/>
      </c>
      <c r="RE32" s="40" t="str">
        <f t="shared" si="158"/>
        <v/>
      </c>
      <c r="RF32" s="40">
        <f t="shared" si="159"/>
        <v>19.850000000000001</v>
      </c>
    </row>
    <row r="33" spans="1:474" x14ac:dyDescent="0.2">
      <c r="A33" s="4" t="str" cm="1">
        <f t="array" ref="A33">IF(AND(J33&lt;&gt;"",J33&lt;&gt;"No DD"),SUMPRODUCT((J$4:J$36&lt;&gt;"")*(J$4:J$36&lt;&gt;"No DD")*(F$4:F$36&gt;F33))+1,IF(J33="No DD",SUMPRODUCT((J$4:J$36="No DD")*(F$4:F$36&gt;F33))+1+SUMPRODUCT((J$4:J$36&lt;&gt;"")*(J$4:J$36&lt;&gt;"No DD")),""))</f>
        <v/>
      </c>
      <c r="B33" s="4" t="str" cm="1">
        <f t="array" ref="B33">IF(AND(J33&lt;&gt;"",J33&lt;&gt;"No DD",G33=""),SUMPRODUCT((J$4:J$36&lt;&gt;"")*(J$4:J$36&lt;&gt;"No DD")*(G$4:G$36="")*(F$4:F$36&gt;F33))+1,IF(J33="No DD",SUMPRODUCT((J$4:J$36="No DD")*(F$4:F$36&gt;F33)*(G$4:G$36=""))+1+SUMPRODUCT((J$4:J$36&lt;&gt;"")*(G$4:G$36="")*(J$4:J$36&lt;&gt;"No DD")),""))</f>
        <v/>
      </c>
      <c r="C33" s="5" t="s">
        <v>108</v>
      </c>
      <c r="D33" s="4" t="s">
        <v>5</v>
      </c>
      <c r="E33" s="4">
        <v>2004</v>
      </c>
      <c r="F33" s="9">
        <f t="shared" si="0"/>
        <v>38.000003800003803</v>
      </c>
      <c r="G33" s="64"/>
      <c r="H33" s="3" t="str">
        <f t="shared" si="1"/>
        <v/>
      </c>
      <c r="I33" s="3" t="str">
        <f t="shared" si="2"/>
        <v/>
      </c>
      <c r="J33" s="36" t="str">
        <f t="shared" si="3"/>
        <v/>
      </c>
      <c r="K33" s="3" t="str">
        <f t="shared" si="4"/>
        <v/>
      </c>
      <c r="L33" s="8">
        <f>IF(COUNT(AQ33,BT33,CW33)&gt;0,LARGE((AQ33,BT33,CW33),1),0)</f>
        <v>38</v>
      </c>
      <c r="M33" s="8" t="str">
        <f t="shared" si="5"/>
        <v>2024 Nationals</v>
      </c>
      <c r="N33" s="8">
        <f>IF(COUNT(AQ33,BT33,CW33)&gt;1,LARGE((AQ33,BT33,CW33),2),0)</f>
        <v>0</v>
      </c>
      <c r="O33" s="8" t="str">
        <f t="shared" si="6"/>
        <v/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60"/>
        <v/>
      </c>
      <c r="T33" s="8" t="str">
        <f t="shared" si="161"/>
        <v/>
      </c>
      <c r="U33" s="19">
        <v>17.5</v>
      </c>
      <c r="V33" s="19">
        <v>0.7</v>
      </c>
      <c r="W33" s="19">
        <v>0</v>
      </c>
      <c r="X33" s="19">
        <v>0</v>
      </c>
      <c r="Y33" s="19">
        <v>19</v>
      </c>
      <c r="Z33" s="19">
        <v>1.8</v>
      </c>
      <c r="AA33" s="19">
        <v>1</v>
      </c>
      <c r="AB33" s="19">
        <v>0</v>
      </c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 t="shared" si="10"/>
        <v>2.5</v>
      </c>
      <c r="AQ33" s="40">
        <f t="shared" si="11"/>
        <v>38</v>
      </c>
      <c r="AR33" s="40" t="str">
        <f t="shared" si="12"/>
        <v/>
      </c>
      <c r="AS33" s="40">
        <f t="shared" si="13"/>
        <v>2.5</v>
      </c>
      <c r="AT33" s="40">
        <f t="shared" si="14"/>
        <v>38</v>
      </c>
      <c r="AU33" s="40" t="str">
        <f t="shared" si="15"/>
        <v/>
      </c>
      <c r="AV33" s="40" t="str">
        <f t="shared" si="16"/>
        <v/>
      </c>
      <c r="AW33" s="40">
        <f t="shared" si="17"/>
        <v>38</v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18"/>
        <v/>
      </c>
      <c r="BT33" s="11" t="str">
        <f t="shared" si="19"/>
        <v/>
      </c>
      <c r="BU33" s="11" t="str">
        <f t="shared" si="20"/>
        <v/>
      </c>
      <c r="BV33" s="11" t="str">
        <f t="shared" si="21"/>
        <v/>
      </c>
      <c r="BW33" s="11" t="str">
        <f t="shared" si="22"/>
        <v/>
      </c>
      <c r="BX33" s="11" t="str">
        <f t="shared" si="23"/>
        <v/>
      </c>
      <c r="BY33" s="11" t="str">
        <f t="shared" si="24"/>
        <v/>
      </c>
      <c r="BZ33" s="11" t="str">
        <f t="shared" si="25"/>
        <v/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 t="shared" si="26"/>
        <v/>
      </c>
      <c r="CW33" s="40" t="str">
        <f t="shared" si="27"/>
        <v/>
      </c>
      <c r="CX33" s="40" t="str">
        <f t="shared" si="28"/>
        <v/>
      </c>
      <c r="CY33" s="40" t="str">
        <f t="shared" si="29"/>
        <v/>
      </c>
      <c r="CZ33" s="40" t="str">
        <f t="shared" si="30"/>
        <v/>
      </c>
      <c r="DA33" s="40" t="str">
        <f t="shared" si="31"/>
        <v/>
      </c>
      <c r="DB33" s="40" t="str">
        <f t="shared" si="32"/>
        <v/>
      </c>
      <c r="DC33" s="40" t="str">
        <f t="shared" si="33"/>
        <v/>
      </c>
      <c r="DD33" s="50" t="str">
        <f t="shared" si="34"/>
        <v/>
      </c>
      <c r="DE33" s="50" t="str">
        <f t="shared" si="35"/>
        <v/>
      </c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40" t="str">
        <f t="shared" si="36"/>
        <v/>
      </c>
      <c r="EA33" s="40" t="str">
        <f t="shared" si="37"/>
        <v/>
      </c>
      <c r="EB33" s="40" t="str">
        <f t="shared" si="38"/>
        <v/>
      </c>
      <c r="EC33" s="40" t="str">
        <f t="shared" si="39"/>
        <v/>
      </c>
      <c r="ED33" s="40" t="str">
        <f t="shared" si="40"/>
        <v/>
      </c>
      <c r="EE33" s="40" t="str">
        <f t="shared" si="41"/>
        <v/>
      </c>
      <c r="EF33" s="40" t="str">
        <f t="shared" si="42"/>
        <v/>
      </c>
      <c r="EG33" s="40" t="str">
        <f t="shared" si="43"/>
        <v/>
      </c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1" t="str">
        <f t="shared" si="44"/>
        <v/>
      </c>
      <c r="FC33" s="11" t="str">
        <f t="shared" si="45"/>
        <v/>
      </c>
      <c r="FD33" s="11" t="str">
        <f t="shared" si="46"/>
        <v/>
      </c>
      <c r="FE33" s="11" t="str">
        <f t="shared" si="47"/>
        <v/>
      </c>
      <c r="FF33" s="11" t="str">
        <f t="shared" si="48"/>
        <v/>
      </c>
      <c r="FG33" s="11" t="str">
        <f t="shared" si="49"/>
        <v/>
      </c>
      <c r="FH33" s="11" t="str">
        <f t="shared" si="50"/>
        <v/>
      </c>
      <c r="FI33" s="11" t="str">
        <f t="shared" si="51"/>
        <v/>
      </c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40" t="str">
        <f t="shared" si="52"/>
        <v/>
      </c>
      <c r="GE33" s="40" t="str">
        <f t="shared" si="53"/>
        <v/>
      </c>
      <c r="GF33" s="40" t="str">
        <f t="shared" si="54"/>
        <v/>
      </c>
      <c r="GG33" s="40" t="str">
        <f t="shared" si="55"/>
        <v/>
      </c>
      <c r="GH33" s="40" t="str">
        <f t="shared" si="56"/>
        <v/>
      </c>
      <c r="GI33" s="40" t="str">
        <f t="shared" si="57"/>
        <v/>
      </c>
      <c r="GJ33" s="40" t="str">
        <f t="shared" si="58"/>
        <v/>
      </c>
      <c r="GK33" s="40" t="str">
        <f t="shared" si="59"/>
        <v/>
      </c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1" t="str">
        <f t="shared" si="60"/>
        <v/>
      </c>
      <c r="HG33" s="11" t="str">
        <f t="shared" si="61"/>
        <v/>
      </c>
      <c r="HH33" s="11" t="str">
        <f t="shared" si="62"/>
        <v/>
      </c>
      <c r="HI33" s="11" t="str">
        <f t="shared" si="63"/>
        <v/>
      </c>
      <c r="HJ33" s="11" t="str">
        <f t="shared" si="64"/>
        <v/>
      </c>
      <c r="HK33" s="11" t="str">
        <f t="shared" si="65"/>
        <v/>
      </c>
      <c r="HL33" s="11" t="str">
        <f t="shared" si="66"/>
        <v/>
      </c>
      <c r="HM33" s="11" t="str">
        <f t="shared" si="67"/>
        <v/>
      </c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40" t="str">
        <f t="shared" si="68"/>
        <v/>
      </c>
      <c r="II33" s="40" t="str">
        <f t="shared" si="69"/>
        <v/>
      </c>
      <c r="IJ33" s="40" t="str">
        <f t="shared" si="70"/>
        <v/>
      </c>
      <c r="IK33" s="40" t="str">
        <f t="shared" si="71"/>
        <v/>
      </c>
      <c r="IL33" s="40" t="str">
        <f t="shared" si="72"/>
        <v/>
      </c>
      <c r="IM33" s="40" t="str">
        <f t="shared" si="73"/>
        <v/>
      </c>
      <c r="IN33" s="40" t="str">
        <f t="shared" si="74"/>
        <v/>
      </c>
      <c r="IO33" s="40" t="str">
        <f t="shared" si="75"/>
        <v/>
      </c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1" t="str">
        <f t="shared" si="76"/>
        <v/>
      </c>
      <c r="JK33" s="11" t="str">
        <f t="shared" si="77"/>
        <v/>
      </c>
      <c r="JL33" s="11" t="str">
        <f t="shared" si="78"/>
        <v/>
      </c>
      <c r="JM33" s="11" t="str">
        <f t="shared" si="79"/>
        <v/>
      </c>
      <c r="JN33" s="11" t="str">
        <f t="shared" si="80"/>
        <v/>
      </c>
      <c r="JO33" s="11" t="str">
        <f t="shared" si="81"/>
        <v/>
      </c>
      <c r="JP33" s="11" t="str">
        <f t="shared" si="82"/>
        <v/>
      </c>
      <c r="JQ33" s="11" t="str">
        <f t="shared" si="83"/>
        <v/>
      </c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40" t="str">
        <f t="shared" si="84"/>
        <v/>
      </c>
      <c r="KM33" s="40" t="str">
        <f t="shared" si="85"/>
        <v/>
      </c>
      <c r="KN33" s="40" t="str">
        <f t="shared" si="86"/>
        <v/>
      </c>
      <c r="KO33" s="40" t="str">
        <f t="shared" si="87"/>
        <v/>
      </c>
      <c r="KP33" s="40" t="str">
        <f t="shared" si="88"/>
        <v/>
      </c>
      <c r="KQ33" s="40" t="str">
        <f t="shared" si="89"/>
        <v/>
      </c>
      <c r="KR33" s="40" t="str">
        <f t="shared" si="90"/>
        <v/>
      </c>
      <c r="KS33" s="40" t="str">
        <f t="shared" si="91"/>
        <v/>
      </c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1" t="str">
        <f t="shared" si="92"/>
        <v/>
      </c>
      <c r="LO33" s="11" t="str">
        <f t="shared" si="93"/>
        <v/>
      </c>
      <c r="LP33" s="11" t="str">
        <f t="shared" si="94"/>
        <v/>
      </c>
      <c r="LQ33" s="11" t="str">
        <f t="shared" si="95"/>
        <v/>
      </c>
      <c r="LR33" s="11" t="str">
        <f t="shared" si="96"/>
        <v/>
      </c>
      <c r="LS33" s="11" t="str">
        <f t="shared" si="97"/>
        <v/>
      </c>
      <c r="LT33" s="11" t="str">
        <f t="shared" si="98"/>
        <v/>
      </c>
      <c r="LU33" s="11" t="str">
        <f t="shared" si="99"/>
        <v/>
      </c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40" t="str">
        <f t="shared" si="100"/>
        <v/>
      </c>
      <c r="MQ33" s="40" t="str">
        <f t="shared" si="101"/>
        <v/>
      </c>
      <c r="MR33" s="40" t="str">
        <f t="shared" si="102"/>
        <v/>
      </c>
      <c r="MS33" s="40" t="str">
        <f t="shared" si="103"/>
        <v/>
      </c>
      <c r="MT33" s="40" t="str">
        <f t="shared" si="104"/>
        <v/>
      </c>
      <c r="MU33" s="40" t="str">
        <f t="shared" si="105"/>
        <v/>
      </c>
      <c r="MV33" s="40" t="str">
        <f t="shared" si="106"/>
        <v/>
      </c>
      <c r="MW33" s="40" t="str">
        <f t="shared" si="107"/>
        <v/>
      </c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1" t="str">
        <f t="shared" si="108"/>
        <v/>
      </c>
      <c r="NS33" s="11" t="str">
        <f t="shared" si="109"/>
        <v/>
      </c>
      <c r="NT33" s="11" t="str">
        <f t="shared" si="110"/>
        <v/>
      </c>
      <c r="NU33" s="11" t="str">
        <f t="shared" si="111"/>
        <v/>
      </c>
      <c r="NV33" s="11" t="str">
        <f t="shared" si="112"/>
        <v/>
      </c>
      <c r="NW33" s="11" t="str">
        <f t="shared" si="113"/>
        <v/>
      </c>
      <c r="NX33" s="11" t="str">
        <f t="shared" si="114"/>
        <v/>
      </c>
      <c r="NY33" s="11" t="str">
        <f t="shared" si="115"/>
        <v/>
      </c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40" t="str">
        <f t="shared" si="116"/>
        <v/>
      </c>
      <c r="OU33" s="40" t="str">
        <f t="shared" si="117"/>
        <v/>
      </c>
      <c r="OV33" s="40" t="str">
        <f t="shared" si="118"/>
        <v/>
      </c>
      <c r="OW33" s="40" t="str">
        <f t="shared" si="119"/>
        <v/>
      </c>
      <c r="OX33" s="40" t="str">
        <f t="shared" si="120"/>
        <v/>
      </c>
      <c r="OY33" s="40" t="str">
        <f t="shared" si="121"/>
        <v/>
      </c>
      <c r="OZ33" s="40" t="str">
        <f t="shared" si="122"/>
        <v/>
      </c>
      <c r="PA33" s="40" t="str">
        <f t="shared" si="123"/>
        <v/>
      </c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1" t="str">
        <f t="shared" si="124"/>
        <v/>
      </c>
      <c r="PW33" s="11" t="str">
        <f t="shared" si="125"/>
        <v/>
      </c>
      <c r="PX33" s="11" t="str">
        <f t="shared" si="126"/>
        <v/>
      </c>
      <c r="PY33" s="11" t="str">
        <f t="shared" si="127"/>
        <v/>
      </c>
      <c r="PZ33" s="11" t="str">
        <f t="shared" si="128"/>
        <v/>
      </c>
      <c r="QA33" s="11" t="str">
        <f t="shared" si="129"/>
        <v/>
      </c>
      <c r="QB33" s="11" t="str">
        <f t="shared" si="130"/>
        <v/>
      </c>
      <c r="QC33" s="11" t="str">
        <f t="shared" si="131"/>
        <v/>
      </c>
      <c r="QD33" s="22">
        <f t="shared" si="132"/>
        <v>0</v>
      </c>
      <c r="QE33" s="22">
        <f t="shared" si="133"/>
        <v>0</v>
      </c>
      <c r="QF33" s="22">
        <f t="shared" si="134"/>
        <v>0</v>
      </c>
      <c r="QG33" s="22">
        <f t="shared" si="135"/>
        <v>0</v>
      </c>
      <c r="QH33" s="22">
        <f t="shared" si="136"/>
        <v>0</v>
      </c>
      <c r="QI33" s="22">
        <f t="shared" si="137"/>
        <v>0</v>
      </c>
      <c r="QJ33" s="22">
        <f t="shared" si="138"/>
        <v>0</v>
      </c>
      <c r="QK33" s="22">
        <f t="shared" si="139"/>
        <v>0</v>
      </c>
      <c r="QL33" s="22">
        <f t="shared" si="140"/>
        <v>0</v>
      </c>
      <c r="QM33" s="22">
        <f t="shared" si="141"/>
        <v>0</v>
      </c>
      <c r="QN33" s="22">
        <f t="shared" si="142"/>
        <v>0</v>
      </c>
      <c r="QO33" s="22">
        <f t="shared" si="143"/>
        <v>0</v>
      </c>
      <c r="QP33" s="22">
        <f t="shared" si="144"/>
        <v>0</v>
      </c>
      <c r="QQ33" s="22">
        <f t="shared" si="145"/>
        <v>0</v>
      </c>
      <c r="QR33" s="22">
        <f t="shared" si="146"/>
        <v>0</v>
      </c>
      <c r="QS33" s="22">
        <f t="shared" si="147"/>
        <v>0</v>
      </c>
      <c r="QT33" s="22">
        <f t="shared" si="148"/>
        <v>0</v>
      </c>
      <c r="QU33" s="22">
        <f t="shared" si="149"/>
        <v>0</v>
      </c>
      <c r="QV33" s="22">
        <f t="shared" si="150"/>
        <v>0</v>
      </c>
      <c r="QW33" s="22">
        <f t="shared" si="151"/>
        <v>0</v>
      </c>
      <c r="QX33" s="27" t="s">
        <v>46</v>
      </c>
      <c r="QY33" s="40" t="str">
        <f t="shared" si="152"/>
        <v/>
      </c>
      <c r="QZ33" s="40" t="str">
        <f t="shared" si="153"/>
        <v/>
      </c>
      <c r="RA33" s="40" t="str">
        <f t="shared" si="154"/>
        <v/>
      </c>
      <c r="RB33" s="40" t="str">
        <f t="shared" si="155"/>
        <v/>
      </c>
      <c r="RC33" s="40" t="str">
        <f t="shared" si="156"/>
        <v/>
      </c>
      <c r="RD33" s="40" t="str">
        <f t="shared" si="157"/>
        <v/>
      </c>
      <c r="RE33" s="40" t="str">
        <f t="shared" si="158"/>
        <v/>
      </c>
      <c r="RF33" s="40" t="str">
        <f t="shared" si="159"/>
        <v/>
      </c>
    </row>
    <row r="34" spans="1:474" x14ac:dyDescent="0.2">
      <c r="A34" s="4" t="str" cm="1">
        <f t="array" ref="A34">IF(AND(J34&lt;&gt;"",J34&lt;&gt;"No DD"),SUMPRODUCT((J$4:J$36&lt;&gt;"")*(J$4:J$36&lt;&gt;"No DD")*(F$4:F$36&gt;F34))+1,IF(J34="No DD",SUMPRODUCT((J$4:J$36="No DD")*(F$4:F$36&gt;F34))+1+SUMPRODUCT((J$4:J$36&lt;&gt;"")*(J$4:J$36&lt;&gt;"No DD")),""))</f>
        <v/>
      </c>
      <c r="B34" s="4" t="str" cm="1">
        <f t="array" ref="B34">IF(AND(J34&lt;&gt;"",J34&lt;&gt;"No DD",G34=""),SUMPRODUCT((J$4:J$36&lt;&gt;"")*(J$4:J$36&lt;&gt;"No DD")*(G$4:G$36="")*(F$4:F$36&gt;F34))+1,IF(J34="No DD",SUMPRODUCT((J$4:J$36="No DD")*(F$4:F$36&gt;F34)*(G$4:G$36=""))+1+SUMPRODUCT((J$4:J$36&lt;&gt;"")*(G$4:G$36="")*(J$4:J$36&lt;&gt;"No DD")),""))</f>
        <v/>
      </c>
      <c r="C34" s="5" t="s">
        <v>181</v>
      </c>
      <c r="D34" s="4" t="s">
        <v>5</v>
      </c>
      <c r="E34" s="4">
        <v>2005</v>
      </c>
      <c r="F34" s="9">
        <f t="shared" si="0"/>
        <v>36.300003630003637</v>
      </c>
      <c r="G34" s="64"/>
      <c r="H34" s="3" t="str">
        <f t="shared" si="1"/>
        <v/>
      </c>
      <c r="I34" s="3" t="str">
        <f t="shared" si="2"/>
        <v/>
      </c>
      <c r="J34" s="36" t="str">
        <f t="shared" si="3"/>
        <v/>
      </c>
      <c r="K34" s="3" t="str">
        <f t="shared" si="4"/>
        <v/>
      </c>
      <c r="L34" s="8">
        <f>IF(COUNT(AQ34,BT34,CW34)&gt;0,LARGE((AQ34,BT34,CW34),1),0)</f>
        <v>36.300000000000004</v>
      </c>
      <c r="M34" s="8" t="str">
        <f t="shared" si="5"/>
        <v>2025 Elite Canada</v>
      </c>
      <c r="N34" s="8">
        <f>IF(COUNT(AQ34,BT34,CW34)&gt;1,LARGE((AQ34,BT34,CW34),2),0)</f>
        <v>0</v>
      </c>
      <c r="O34" s="8" t="str">
        <f t="shared" si="6"/>
        <v/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60"/>
        <v/>
      </c>
      <c r="T34" s="8" t="str">
        <f t="shared" si="16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0"/>
        <v/>
      </c>
      <c r="AQ34" s="40" t="str">
        <f t="shared" si="11"/>
        <v/>
      </c>
      <c r="AR34" s="40" t="str">
        <f t="shared" si="12"/>
        <v/>
      </c>
      <c r="AS34" s="40" t="str">
        <f t="shared" si="13"/>
        <v/>
      </c>
      <c r="AT34" s="40" t="str">
        <f t="shared" si="14"/>
        <v/>
      </c>
      <c r="AU34" s="40" t="str">
        <f t="shared" si="15"/>
        <v/>
      </c>
      <c r="AV34" s="40" t="str">
        <f t="shared" si="16"/>
        <v/>
      </c>
      <c r="AW34" s="40" t="str">
        <f t="shared" si="17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18"/>
        <v/>
      </c>
      <c r="BT34" s="11" t="str">
        <f t="shared" si="19"/>
        <v/>
      </c>
      <c r="BU34" s="11" t="str">
        <f t="shared" si="20"/>
        <v/>
      </c>
      <c r="BV34" s="11" t="str">
        <f t="shared" si="21"/>
        <v/>
      </c>
      <c r="BW34" s="11" t="str">
        <f t="shared" si="22"/>
        <v/>
      </c>
      <c r="BX34" s="11" t="str">
        <f t="shared" si="23"/>
        <v/>
      </c>
      <c r="BY34" s="11" t="str">
        <f t="shared" si="24"/>
        <v/>
      </c>
      <c r="BZ34" s="11" t="str">
        <f t="shared" si="25"/>
        <v/>
      </c>
      <c r="CA34" s="19">
        <v>18</v>
      </c>
      <c r="CB34" s="19">
        <v>2.7</v>
      </c>
      <c r="CC34" s="19">
        <v>1</v>
      </c>
      <c r="CD34" s="19">
        <v>0</v>
      </c>
      <c r="CE34" s="19">
        <v>15.4</v>
      </c>
      <c r="CF34" s="19">
        <v>1.2</v>
      </c>
      <c r="CG34" s="19">
        <v>0</v>
      </c>
      <c r="CH34" s="19">
        <v>0</v>
      </c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 t="shared" si="26"/>
        <v>3.9000000000000004</v>
      </c>
      <c r="CW34" s="40">
        <f t="shared" si="27"/>
        <v>36.300000000000004</v>
      </c>
      <c r="CX34" s="40" t="str">
        <f t="shared" si="28"/>
        <v/>
      </c>
      <c r="CY34" s="40">
        <f t="shared" si="29"/>
        <v>3.9000000000000004</v>
      </c>
      <c r="CZ34" s="40">
        <f t="shared" si="30"/>
        <v>36.300000000000004</v>
      </c>
      <c r="DA34" s="40" t="str">
        <f t="shared" si="31"/>
        <v/>
      </c>
      <c r="DB34" s="40" t="str">
        <f t="shared" si="32"/>
        <v/>
      </c>
      <c r="DC34" s="40">
        <f t="shared" si="33"/>
        <v>36.300000000000004</v>
      </c>
      <c r="DD34" s="50" t="str">
        <f t="shared" si="34"/>
        <v/>
      </c>
      <c r="DE34" s="50" t="str">
        <f t="shared" si="35"/>
        <v/>
      </c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40" t="str">
        <f t="shared" si="36"/>
        <v/>
      </c>
      <c r="EA34" s="40" t="str">
        <f t="shared" si="37"/>
        <v/>
      </c>
      <c r="EB34" s="40" t="str">
        <f t="shared" si="38"/>
        <v/>
      </c>
      <c r="EC34" s="40" t="str">
        <f t="shared" si="39"/>
        <v/>
      </c>
      <c r="ED34" s="40" t="str">
        <f t="shared" si="40"/>
        <v/>
      </c>
      <c r="EE34" s="40" t="str">
        <f t="shared" si="41"/>
        <v/>
      </c>
      <c r="EF34" s="40" t="str">
        <f t="shared" si="42"/>
        <v/>
      </c>
      <c r="EG34" s="40" t="str">
        <f t="shared" si="43"/>
        <v/>
      </c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1" t="str">
        <f t="shared" si="44"/>
        <v/>
      </c>
      <c r="FC34" s="11" t="str">
        <f t="shared" si="45"/>
        <v/>
      </c>
      <c r="FD34" s="11" t="str">
        <f t="shared" si="46"/>
        <v/>
      </c>
      <c r="FE34" s="11" t="str">
        <f t="shared" si="47"/>
        <v/>
      </c>
      <c r="FF34" s="11" t="str">
        <f t="shared" si="48"/>
        <v/>
      </c>
      <c r="FG34" s="11" t="str">
        <f t="shared" si="49"/>
        <v/>
      </c>
      <c r="FH34" s="11" t="str">
        <f t="shared" si="50"/>
        <v/>
      </c>
      <c r="FI34" s="11" t="str">
        <f t="shared" si="51"/>
        <v/>
      </c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40" t="str">
        <f t="shared" si="52"/>
        <v/>
      </c>
      <c r="GE34" s="40" t="str">
        <f t="shared" si="53"/>
        <v/>
      </c>
      <c r="GF34" s="40" t="str">
        <f t="shared" si="54"/>
        <v/>
      </c>
      <c r="GG34" s="40" t="str">
        <f t="shared" si="55"/>
        <v/>
      </c>
      <c r="GH34" s="40" t="str">
        <f t="shared" si="56"/>
        <v/>
      </c>
      <c r="GI34" s="40" t="str">
        <f t="shared" si="57"/>
        <v/>
      </c>
      <c r="GJ34" s="40" t="str">
        <f t="shared" si="58"/>
        <v/>
      </c>
      <c r="GK34" s="40" t="str">
        <f t="shared" si="59"/>
        <v/>
      </c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1" t="str">
        <f t="shared" si="60"/>
        <v/>
      </c>
      <c r="HG34" s="11" t="str">
        <f t="shared" si="61"/>
        <v/>
      </c>
      <c r="HH34" s="11" t="str">
        <f t="shared" si="62"/>
        <v/>
      </c>
      <c r="HI34" s="11" t="str">
        <f t="shared" si="63"/>
        <v/>
      </c>
      <c r="HJ34" s="11" t="str">
        <f t="shared" si="64"/>
        <v/>
      </c>
      <c r="HK34" s="11" t="str">
        <f t="shared" si="65"/>
        <v/>
      </c>
      <c r="HL34" s="11" t="str">
        <f t="shared" si="66"/>
        <v/>
      </c>
      <c r="HM34" s="11" t="str">
        <f t="shared" si="67"/>
        <v/>
      </c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40" t="str">
        <f t="shared" si="68"/>
        <v/>
      </c>
      <c r="II34" s="40" t="str">
        <f t="shared" si="69"/>
        <v/>
      </c>
      <c r="IJ34" s="40" t="str">
        <f t="shared" si="70"/>
        <v/>
      </c>
      <c r="IK34" s="40" t="str">
        <f t="shared" si="71"/>
        <v/>
      </c>
      <c r="IL34" s="40" t="str">
        <f t="shared" si="72"/>
        <v/>
      </c>
      <c r="IM34" s="40" t="str">
        <f t="shared" si="73"/>
        <v/>
      </c>
      <c r="IN34" s="40" t="str">
        <f t="shared" si="74"/>
        <v/>
      </c>
      <c r="IO34" s="40" t="str">
        <f t="shared" si="75"/>
        <v/>
      </c>
      <c r="IP34" s="18"/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1" t="str">
        <f t="shared" si="76"/>
        <v/>
      </c>
      <c r="JK34" s="11" t="str">
        <f t="shared" si="77"/>
        <v/>
      </c>
      <c r="JL34" s="11" t="str">
        <f t="shared" si="78"/>
        <v/>
      </c>
      <c r="JM34" s="11" t="str">
        <f t="shared" si="79"/>
        <v/>
      </c>
      <c r="JN34" s="11" t="str">
        <f t="shared" si="80"/>
        <v/>
      </c>
      <c r="JO34" s="11" t="str">
        <f t="shared" si="81"/>
        <v/>
      </c>
      <c r="JP34" s="11" t="str">
        <f t="shared" si="82"/>
        <v/>
      </c>
      <c r="JQ34" s="11" t="str">
        <f t="shared" si="83"/>
        <v/>
      </c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40" t="str">
        <f t="shared" si="84"/>
        <v/>
      </c>
      <c r="KM34" s="40" t="str">
        <f t="shared" si="85"/>
        <v/>
      </c>
      <c r="KN34" s="40" t="str">
        <f t="shared" si="86"/>
        <v/>
      </c>
      <c r="KO34" s="40" t="str">
        <f t="shared" si="87"/>
        <v/>
      </c>
      <c r="KP34" s="40" t="str">
        <f t="shared" si="88"/>
        <v/>
      </c>
      <c r="KQ34" s="40" t="str">
        <f t="shared" si="89"/>
        <v/>
      </c>
      <c r="KR34" s="40" t="str">
        <f t="shared" si="90"/>
        <v/>
      </c>
      <c r="KS34" s="40" t="str">
        <f t="shared" si="91"/>
        <v/>
      </c>
      <c r="KT34" s="18"/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1" t="str">
        <f t="shared" si="92"/>
        <v/>
      </c>
      <c r="LO34" s="11" t="str">
        <f t="shared" si="93"/>
        <v/>
      </c>
      <c r="LP34" s="11" t="str">
        <f t="shared" si="94"/>
        <v/>
      </c>
      <c r="LQ34" s="11" t="str">
        <f t="shared" si="95"/>
        <v/>
      </c>
      <c r="LR34" s="11" t="str">
        <f t="shared" si="96"/>
        <v/>
      </c>
      <c r="LS34" s="11" t="str">
        <f t="shared" si="97"/>
        <v/>
      </c>
      <c r="LT34" s="11" t="str">
        <f t="shared" si="98"/>
        <v/>
      </c>
      <c r="LU34" s="11" t="str">
        <f t="shared" si="99"/>
        <v/>
      </c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40" t="str">
        <f t="shared" si="100"/>
        <v/>
      </c>
      <c r="MQ34" s="40" t="str">
        <f t="shared" si="101"/>
        <v/>
      </c>
      <c r="MR34" s="40" t="str">
        <f t="shared" si="102"/>
        <v/>
      </c>
      <c r="MS34" s="40" t="str">
        <f t="shared" si="103"/>
        <v/>
      </c>
      <c r="MT34" s="40" t="str">
        <f t="shared" si="104"/>
        <v/>
      </c>
      <c r="MU34" s="40" t="str">
        <f t="shared" si="105"/>
        <v/>
      </c>
      <c r="MV34" s="40" t="str">
        <f t="shared" si="106"/>
        <v/>
      </c>
      <c r="MW34" s="40" t="str">
        <f t="shared" si="107"/>
        <v/>
      </c>
      <c r="MX34" s="18"/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1" t="str">
        <f t="shared" si="108"/>
        <v/>
      </c>
      <c r="NS34" s="11" t="str">
        <f t="shared" si="109"/>
        <v/>
      </c>
      <c r="NT34" s="11" t="str">
        <f t="shared" si="110"/>
        <v/>
      </c>
      <c r="NU34" s="11" t="str">
        <f t="shared" si="111"/>
        <v/>
      </c>
      <c r="NV34" s="11" t="str">
        <f t="shared" si="112"/>
        <v/>
      </c>
      <c r="NW34" s="11" t="str">
        <f t="shared" si="113"/>
        <v/>
      </c>
      <c r="NX34" s="11" t="str">
        <f t="shared" si="114"/>
        <v/>
      </c>
      <c r="NY34" s="11" t="str">
        <f t="shared" si="115"/>
        <v/>
      </c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40" t="str">
        <f t="shared" si="116"/>
        <v/>
      </c>
      <c r="OU34" s="40" t="str">
        <f t="shared" si="117"/>
        <v/>
      </c>
      <c r="OV34" s="40" t="str">
        <f t="shared" si="118"/>
        <v/>
      </c>
      <c r="OW34" s="40" t="str">
        <f t="shared" si="119"/>
        <v/>
      </c>
      <c r="OX34" s="40" t="str">
        <f t="shared" si="120"/>
        <v/>
      </c>
      <c r="OY34" s="40" t="str">
        <f t="shared" si="121"/>
        <v/>
      </c>
      <c r="OZ34" s="40" t="str">
        <f t="shared" si="122"/>
        <v/>
      </c>
      <c r="PA34" s="40" t="str">
        <f t="shared" si="123"/>
        <v/>
      </c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1" t="str">
        <f t="shared" si="124"/>
        <v/>
      </c>
      <c r="PW34" s="11" t="str">
        <f t="shared" si="125"/>
        <v/>
      </c>
      <c r="PX34" s="11" t="str">
        <f t="shared" si="126"/>
        <v/>
      </c>
      <c r="PY34" s="11" t="str">
        <f t="shared" si="127"/>
        <v/>
      </c>
      <c r="PZ34" s="11" t="str">
        <f t="shared" si="128"/>
        <v/>
      </c>
      <c r="QA34" s="11" t="str">
        <f t="shared" si="129"/>
        <v/>
      </c>
      <c r="QB34" s="11" t="str">
        <f t="shared" si="130"/>
        <v/>
      </c>
      <c r="QC34" s="11" t="str">
        <f t="shared" si="131"/>
        <v/>
      </c>
      <c r="QD34" s="22">
        <f t="shared" si="132"/>
        <v>9</v>
      </c>
      <c r="QE34" s="22">
        <f t="shared" si="133"/>
        <v>1.35</v>
      </c>
      <c r="QF34" s="22">
        <f t="shared" si="134"/>
        <v>0.5</v>
      </c>
      <c r="QG34" s="22">
        <f t="shared" si="135"/>
        <v>0</v>
      </c>
      <c r="QH34" s="22">
        <f t="shared" si="136"/>
        <v>7.7</v>
      </c>
      <c r="QI34" s="22">
        <f t="shared" si="137"/>
        <v>0.6</v>
      </c>
      <c r="QJ34" s="22">
        <f t="shared" si="138"/>
        <v>0</v>
      </c>
      <c r="QK34" s="22">
        <f t="shared" si="139"/>
        <v>0</v>
      </c>
      <c r="QL34" s="22">
        <f t="shared" si="140"/>
        <v>0</v>
      </c>
      <c r="QM34" s="22">
        <f t="shared" si="141"/>
        <v>0</v>
      </c>
      <c r="QN34" s="22">
        <f t="shared" si="142"/>
        <v>0</v>
      </c>
      <c r="QO34" s="22">
        <f t="shared" si="143"/>
        <v>0</v>
      </c>
      <c r="QP34" s="22">
        <f t="shared" si="144"/>
        <v>0</v>
      </c>
      <c r="QQ34" s="22">
        <f t="shared" si="145"/>
        <v>0</v>
      </c>
      <c r="QR34" s="22">
        <f t="shared" si="146"/>
        <v>0</v>
      </c>
      <c r="QS34" s="22">
        <f t="shared" si="147"/>
        <v>0</v>
      </c>
      <c r="QT34" s="22">
        <f t="shared" si="148"/>
        <v>0</v>
      </c>
      <c r="QU34" s="22">
        <f t="shared" si="149"/>
        <v>0</v>
      </c>
      <c r="QV34" s="22">
        <f t="shared" si="150"/>
        <v>0</v>
      </c>
      <c r="QW34" s="22">
        <f t="shared" si="151"/>
        <v>0</v>
      </c>
      <c r="QX34" s="27" t="s">
        <v>46</v>
      </c>
      <c r="QY34" s="40">
        <f t="shared" si="152"/>
        <v>1.9500000000000002</v>
      </c>
      <c r="QZ34" s="40">
        <f t="shared" si="153"/>
        <v>18.150000000000002</v>
      </c>
      <c r="RA34" s="40" t="str">
        <f t="shared" si="154"/>
        <v/>
      </c>
      <c r="RB34" s="40">
        <f t="shared" si="155"/>
        <v>1.9500000000000002</v>
      </c>
      <c r="RC34" s="40">
        <f t="shared" si="156"/>
        <v>18.150000000000002</v>
      </c>
      <c r="RD34" s="40" t="str">
        <f t="shared" si="157"/>
        <v/>
      </c>
      <c r="RE34" s="40" t="str">
        <f t="shared" si="158"/>
        <v/>
      </c>
      <c r="RF34" s="40">
        <f t="shared" si="159"/>
        <v>18.150000000000002</v>
      </c>
    </row>
    <row r="35" spans="1:474" x14ac:dyDescent="0.2">
      <c r="A35" s="4" t="str" cm="1">
        <f t="array" ref="A35">IF(AND(J35&lt;&gt;"",J35&lt;&gt;"No DD"),SUMPRODUCT((J$4:J$36&lt;&gt;"")*(J$4:J$36&lt;&gt;"No DD")*(F$4:F$36&gt;F35))+1,IF(J35="No DD",SUMPRODUCT((J$4:J$36="No DD")*(F$4:F$36&gt;F35))+1+SUMPRODUCT((J$4:J$36&lt;&gt;"")*(J$4:J$36&lt;&gt;"No DD")),""))</f>
        <v/>
      </c>
      <c r="B35" s="4" t="str" cm="1">
        <f t="array" ref="B35">IF(AND(J35&lt;&gt;"",J35&lt;&gt;"No DD",G35=""),SUMPRODUCT((J$4:J$36&lt;&gt;"")*(J$4:J$36&lt;&gt;"No DD")*(G$4:G$36="")*(F$4:F$36&gt;F35))+1,IF(J35="No DD",SUMPRODUCT((J$4:J$36="No DD")*(F$4:F$36&gt;F35)*(G$4:G$36=""))+1+SUMPRODUCT((J$4:J$36&lt;&gt;"")*(G$4:G$36="")*(J$4:J$36&lt;&gt;"No DD")),""))</f>
        <v/>
      </c>
      <c r="C35" s="5" t="s">
        <v>229</v>
      </c>
      <c r="D35" s="4" t="s">
        <v>3</v>
      </c>
      <c r="E35" s="4">
        <v>2008</v>
      </c>
      <c r="F35" s="9">
        <f t="shared" si="0"/>
        <v>16.600001660001659</v>
      </c>
      <c r="G35" s="64"/>
      <c r="H35" s="3" t="str">
        <f t="shared" si="1"/>
        <v/>
      </c>
      <c r="I35" s="3" t="str">
        <f t="shared" si="2"/>
        <v/>
      </c>
      <c r="J35" s="36" t="str">
        <f t="shared" si="3"/>
        <v/>
      </c>
      <c r="K35" s="3" t="str">
        <f t="shared" si="4"/>
        <v/>
      </c>
      <c r="L35" s="8">
        <f>IF(COUNT(AQ35,BT35,CW35)&gt;0,LARGE((AQ35,BT35,CW35),1),0)</f>
        <v>16.600000000000001</v>
      </c>
      <c r="M35" s="8" t="str">
        <f t="shared" si="5"/>
        <v>2025 Elite Canada</v>
      </c>
      <c r="N35" s="8">
        <f>IF(COUNT(AQ35,BT35,CW35)&gt;1,LARGE((AQ35,BT35,CW35),2),0)</f>
        <v>0</v>
      </c>
      <c r="O35" s="8" t="str">
        <f t="shared" si="6"/>
        <v/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60"/>
        <v/>
      </c>
      <c r="T35" s="8" t="str">
        <f t="shared" si="16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10"/>
        <v/>
      </c>
      <c r="AQ35" s="40" t="str">
        <f t="shared" si="11"/>
        <v/>
      </c>
      <c r="AR35" s="40" t="str">
        <f t="shared" si="12"/>
        <v/>
      </c>
      <c r="AS35" s="40" t="str">
        <f t="shared" si="13"/>
        <v/>
      </c>
      <c r="AT35" s="40" t="str">
        <f t="shared" si="14"/>
        <v/>
      </c>
      <c r="AU35" s="40" t="str">
        <f t="shared" si="15"/>
        <v/>
      </c>
      <c r="AV35" s="40" t="str">
        <f t="shared" si="16"/>
        <v/>
      </c>
      <c r="AW35" s="40" t="str">
        <f t="shared" si="17"/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18"/>
        <v/>
      </c>
      <c r="BT35" s="11" t="str">
        <f t="shared" si="19"/>
        <v/>
      </c>
      <c r="BU35" s="11" t="str">
        <f t="shared" si="20"/>
        <v/>
      </c>
      <c r="BV35" s="11" t="str">
        <f t="shared" si="21"/>
        <v/>
      </c>
      <c r="BW35" s="11" t="str">
        <f t="shared" si="22"/>
        <v/>
      </c>
      <c r="BX35" s="11" t="str">
        <f t="shared" si="23"/>
        <v/>
      </c>
      <c r="BY35" s="11" t="str">
        <f t="shared" si="24"/>
        <v/>
      </c>
      <c r="BZ35" s="11" t="str">
        <f t="shared" si="25"/>
        <v/>
      </c>
      <c r="CA35" s="19">
        <v>15.4</v>
      </c>
      <c r="CB35" s="19">
        <v>1.2</v>
      </c>
      <c r="CC35" s="19">
        <v>0</v>
      </c>
      <c r="CD35" s="19">
        <v>0</v>
      </c>
      <c r="CE35" s="19">
        <v>0</v>
      </c>
      <c r="CF35" s="19">
        <v>0</v>
      </c>
      <c r="CG35" s="19">
        <v>0</v>
      </c>
      <c r="CH35" s="19">
        <v>0</v>
      </c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 t="shared" si="26"/>
        <v>1.2</v>
      </c>
      <c r="CW35" s="40">
        <f t="shared" si="27"/>
        <v>16.600000000000001</v>
      </c>
      <c r="CX35" s="40" t="str">
        <f t="shared" si="28"/>
        <v/>
      </c>
      <c r="CY35" s="40">
        <f t="shared" si="29"/>
        <v>1.2</v>
      </c>
      <c r="CZ35" s="40">
        <f t="shared" si="30"/>
        <v>16.600000000000001</v>
      </c>
      <c r="DA35" s="40" t="str">
        <f t="shared" si="31"/>
        <v/>
      </c>
      <c r="DB35" s="40" t="str">
        <f t="shared" si="32"/>
        <v/>
      </c>
      <c r="DC35" s="40">
        <f t="shared" si="33"/>
        <v>16.600000000000001</v>
      </c>
      <c r="DD35" s="50" t="str">
        <f t="shared" si="34"/>
        <v/>
      </c>
      <c r="DE35" s="50" t="str">
        <f t="shared" si="35"/>
        <v/>
      </c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40" t="str">
        <f t="shared" si="36"/>
        <v/>
      </c>
      <c r="EA35" s="40" t="str">
        <f t="shared" si="37"/>
        <v/>
      </c>
      <c r="EB35" s="40" t="str">
        <f t="shared" si="38"/>
        <v/>
      </c>
      <c r="EC35" s="40" t="str">
        <f t="shared" si="39"/>
        <v/>
      </c>
      <c r="ED35" s="40" t="str">
        <f t="shared" si="40"/>
        <v/>
      </c>
      <c r="EE35" s="40" t="str">
        <f t="shared" si="41"/>
        <v/>
      </c>
      <c r="EF35" s="40" t="str">
        <f t="shared" si="42"/>
        <v/>
      </c>
      <c r="EG35" s="40" t="str">
        <f t="shared" si="43"/>
        <v/>
      </c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1" t="str">
        <f t="shared" si="44"/>
        <v/>
      </c>
      <c r="FC35" s="11" t="str">
        <f t="shared" si="45"/>
        <v/>
      </c>
      <c r="FD35" s="11" t="str">
        <f t="shared" si="46"/>
        <v/>
      </c>
      <c r="FE35" s="11" t="str">
        <f t="shared" si="47"/>
        <v/>
      </c>
      <c r="FF35" s="11" t="str">
        <f t="shared" si="48"/>
        <v/>
      </c>
      <c r="FG35" s="11" t="str">
        <f t="shared" si="49"/>
        <v/>
      </c>
      <c r="FH35" s="11" t="str">
        <f t="shared" si="50"/>
        <v/>
      </c>
      <c r="FI35" s="11" t="str">
        <f t="shared" si="51"/>
        <v/>
      </c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40" t="str">
        <f t="shared" si="52"/>
        <v/>
      </c>
      <c r="GE35" s="40" t="str">
        <f t="shared" si="53"/>
        <v/>
      </c>
      <c r="GF35" s="40" t="str">
        <f t="shared" si="54"/>
        <v/>
      </c>
      <c r="GG35" s="40" t="str">
        <f t="shared" si="55"/>
        <v/>
      </c>
      <c r="GH35" s="40" t="str">
        <f t="shared" si="56"/>
        <v/>
      </c>
      <c r="GI35" s="40" t="str">
        <f t="shared" si="57"/>
        <v/>
      </c>
      <c r="GJ35" s="40" t="str">
        <f t="shared" si="58"/>
        <v/>
      </c>
      <c r="GK35" s="40" t="str">
        <f t="shared" si="59"/>
        <v/>
      </c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1" t="str">
        <f t="shared" si="60"/>
        <v/>
      </c>
      <c r="HG35" s="11" t="str">
        <f t="shared" si="61"/>
        <v/>
      </c>
      <c r="HH35" s="11" t="str">
        <f t="shared" si="62"/>
        <v/>
      </c>
      <c r="HI35" s="11" t="str">
        <f t="shared" si="63"/>
        <v/>
      </c>
      <c r="HJ35" s="11" t="str">
        <f t="shared" si="64"/>
        <v/>
      </c>
      <c r="HK35" s="11" t="str">
        <f t="shared" si="65"/>
        <v/>
      </c>
      <c r="HL35" s="11" t="str">
        <f t="shared" si="66"/>
        <v/>
      </c>
      <c r="HM35" s="11" t="str">
        <f t="shared" si="67"/>
        <v/>
      </c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40" t="str">
        <f t="shared" si="68"/>
        <v/>
      </c>
      <c r="II35" s="40" t="str">
        <f t="shared" si="69"/>
        <v/>
      </c>
      <c r="IJ35" s="40" t="str">
        <f t="shared" si="70"/>
        <v/>
      </c>
      <c r="IK35" s="40" t="str">
        <f t="shared" si="71"/>
        <v/>
      </c>
      <c r="IL35" s="40" t="str">
        <f t="shared" si="72"/>
        <v/>
      </c>
      <c r="IM35" s="40" t="str">
        <f t="shared" si="73"/>
        <v/>
      </c>
      <c r="IN35" s="40" t="str">
        <f t="shared" si="74"/>
        <v/>
      </c>
      <c r="IO35" s="40" t="str">
        <f t="shared" si="75"/>
        <v/>
      </c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1" t="str">
        <f t="shared" si="76"/>
        <v/>
      </c>
      <c r="JK35" s="11" t="str">
        <f t="shared" si="77"/>
        <v/>
      </c>
      <c r="JL35" s="11" t="str">
        <f t="shared" si="78"/>
        <v/>
      </c>
      <c r="JM35" s="11" t="str">
        <f t="shared" si="79"/>
        <v/>
      </c>
      <c r="JN35" s="11" t="str">
        <f t="shared" si="80"/>
        <v/>
      </c>
      <c r="JO35" s="11" t="str">
        <f t="shared" si="81"/>
        <v/>
      </c>
      <c r="JP35" s="11" t="str">
        <f t="shared" si="82"/>
        <v/>
      </c>
      <c r="JQ35" s="11" t="str">
        <f t="shared" si="83"/>
        <v/>
      </c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40" t="str">
        <f t="shared" si="84"/>
        <v/>
      </c>
      <c r="KM35" s="40" t="str">
        <f t="shared" si="85"/>
        <v/>
      </c>
      <c r="KN35" s="40" t="str">
        <f t="shared" si="86"/>
        <v/>
      </c>
      <c r="KO35" s="40" t="str">
        <f t="shared" si="87"/>
        <v/>
      </c>
      <c r="KP35" s="40" t="str">
        <f t="shared" si="88"/>
        <v/>
      </c>
      <c r="KQ35" s="40" t="str">
        <f t="shared" si="89"/>
        <v/>
      </c>
      <c r="KR35" s="40" t="str">
        <f t="shared" si="90"/>
        <v/>
      </c>
      <c r="KS35" s="40" t="str">
        <f t="shared" si="91"/>
        <v/>
      </c>
      <c r="KT35" s="18"/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1" t="str">
        <f t="shared" si="92"/>
        <v/>
      </c>
      <c r="LO35" s="11" t="str">
        <f t="shared" si="93"/>
        <v/>
      </c>
      <c r="LP35" s="11" t="str">
        <f t="shared" si="94"/>
        <v/>
      </c>
      <c r="LQ35" s="11" t="str">
        <f t="shared" si="95"/>
        <v/>
      </c>
      <c r="LR35" s="11" t="str">
        <f t="shared" si="96"/>
        <v/>
      </c>
      <c r="LS35" s="11" t="str">
        <f t="shared" si="97"/>
        <v/>
      </c>
      <c r="LT35" s="11" t="str">
        <f t="shared" si="98"/>
        <v/>
      </c>
      <c r="LU35" s="11" t="str">
        <f t="shared" si="99"/>
        <v/>
      </c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40" t="str">
        <f t="shared" si="100"/>
        <v/>
      </c>
      <c r="MQ35" s="40" t="str">
        <f t="shared" si="101"/>
        <v/>
      </c>
      <c r="MR35" s="40" t="str">
        <f t="shared" si="102"/>
        <v/>
      </c>
      <c r="MS35" s="40" t="str">
        <f t="shared" si="103"/>
        <v/>
      </c>
      <c r="MT35" s="40" t="str">
        <f t="shared" si="104"/>
        <v/>
      </c>
      <c r="MU35" s="40" t="str">
        <f t="shared" si="105"/>
        <v/>
      </c>
      <c r="MV35" s="40" t="str">
        <f t="shared" si="106"/>
        <v/>
      </c>
      <c r="MW35" s="40" t="str">
        <f t="shared" si="107"/>
        <v/>
      </c>
      <c r="MX35" s="18"/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1" t="str">
        <f t="shared" si="108"/>
        <v/>
      </c>
      <c r="NS35" s="11" t="str">
        <f t="shared" si="109"/>
        <v/>
      </c>
      <c r="NT35" s="11" t="str">
        <f t="shared" si="110"/>
        <v/>
      </c>
      <c r="NU35" s="11" t="str">
        <f t="shared" si="111"/>
        <v/>
      </c>
      <c r="NV35" s="11" t="str">
        <f t="shared" si="112"/>
        <v/>
      </c>
      <c r="NW35" s="11" t="str">
        <f t="shared" si="113"/>
        <v/>
      </c>
      <c r="NX35" s="11" t="str">
        <f t="shared" si="114"/>
        <v/>
      </c>
      <c r="NY35" s="11" t="str">
        <f t="shared" si="115"/>
        <v/>
      </c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40" t="str">
        <f t="shared" si="116"/>
        <v/>
      </c>
      <c r="OU35" s="40" t="str">
        <f t="shared" si="117"/>
        <v/>
      </c>
      <c r="OV35" s="40" t="str">
        <f t="shared" si="118"/>
        <v/>
      </c>
      <c r="OW35" s="40" t="str">
        <f t="shared" si="119"/>
        <v/>
      </c>
      <c r="OX35" s="40" t="str">
        <f t="shared" si="120"/>
        <v/>
      </c>
      <c r="OY35" s="40" t="str">
        <f t="shared" si="121"/>
        <v/>
      </c>
      <c r="OZ35" s="40" t="str">
        <f t="shared" si="122"/>
        <v/>
      </c>
      <c r="PA35" s="40" t="str">
        <f t="shared" si="123"/>
        <v/>
      </c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1" t="str">
        <f t="shared" si="124"/>
        <v/>
      </c>
      <c r="PW35" s="11" t="str">
        <f t="shared" si="125"/>
        <v/>
      </c>
      <c r="PX35" s="11" t="str">
        <f t="shared" si="126"/>
        <v/>
      </c>
      <c r="PY35" s="11" t="str">
        <f t="shared" si="127"/>
        <v/>
      </c>
      <c r="PZ35" s="11" t="str">
        <f t="shared" si="128"/>
        <v/>
      </c>
      <c r="QA35" s="11" t="str">
        <f t="shared" si="129"/>
        <v/>
      </c>
      <c r="QB35" s="11" t="str">
        <f t="shared" si="130"/>
        <v/>
      </c>
      <c r="QC35" s="11" t="str">
        <f t="shared" si="131"/>
        <v/>
      </c>
      <c r="QD35" s="22">
        <f t="shared" si="132"/>
        <v>7.7</v>
      </c>
      <c r="QE35" s="22">
        <f t="shared" si="133"/>
        <v>0.6</v>
      </c>
      <c r="QF35" s="22">
        <f t="shared" si="134"/>
        <v>0</v>
      </c>
      <c r="QG35" s="22">
        <f t="shared" si="135"/>
        <v>0</v>
      </c>
      <c r="QH35" s="22">
        <f t="shared" si="136"/>
        <v>0</v>
      </c>
      <c r="QI35" s="22">
        <f t="shared" si="137"/>
        <v>0</v>
      </c>
      <c r="QJ35" s="22">
        <f t="shared" si="138"/>
        <v>0</v>
      </c>
      <c r="QK35" s="22">
        <f t="shared" si="139"/>
        <v>0</v>
      </c>
      <c r="QL35" s="22">
        <f t="shared" si="140"/>
        <v>0</v>
      </c>
      <c r="QM35" s="22">
        <f t="shared" si="141"/>
        <v>0</v>
      </c>
      <c r="QN35" s="22">
        <f t="shared" si="142"/>
        <v>0</v>
      </c>
      <c r="QO35" s="22">
        <f t="shared" si="143"/>
        <v>0</v>
      </c>
      <c r="QP35" s="22">
        <f t="shared" si="144"/>
        <v>0</v>
      </c>
      <c r="QQ35" s="22">
        <f t="shared" si="145"/>
        <v>0</v>
      </c>
      <c r="QR35" s="22">
        <f t="shared" si="146"/>
        <v>0</v>
      </c>
      <c r="QS35" s="22">
        <f t="shared" si="147"/>
        <v>0</v>
      </c>
      <c r="QT35" s="22">
        <f t="shared" si="148"/>
        <v>0</v>
      </c>
      <c r="QU35" s="22">
        <f t="shared" si="149"/>
        <v>0</v>
      </c>
      <c r="QV35" s="22">
        <f t="shared" si="150"/>
        <v>0</v>
      </c>
      <c r="QW35" s="22">
        <f t="shared" si="151"/>
        <v>0</v>
      </c>
      <c r="QX35" s="27" t="s">
        <v>46</v>
      </c>
      <c r="QY35" s="40">
        <f t="shared" si="152"/>
        <v>0.6</v>
      </c>
      <c r="QZ35" s="40">
        <f t="shared" si="153"/>
        <v>8.3000000000000007</v>
      </c>
      <c r="RA35" s="40" t="str">
        <f t="shared" si="154"/>
        <v/>
      </c>
      <c r="RB35" s="40">
        <f t="shared" si="155"/>
        <v>0.6</v>
      </c>
      <c r="RC35" s="40">
        <f t="shared" si="156"/>
        <v>8.3000000000000007</v>
      </c>
      <c r="RD35" s="40" t="str">
        <f t="shared" si="157"/>
        <v/>
      </c>
      <c r="RE35" s="40" t="str">
        <f t="shared" si="158"/>
        <v/>
      </c>
      <c r="RF35" s="40">
        <f t="shared" si="159"/>
        <v>8.3000000000000007</v>
      </c>
    </row>
    <row r="36" spans="1:474" ht="17" x14ac:dyDescent="0.2">
      <c r="G36" s="64"/>
      <c r="R36" s="10"/>
      <c r="S36" s="10"/>
      <c r="T36" s="10"/>
    </row>
    <row r="37" spans="1:474" ht="17" x14ac:dyDescent="0.2">
      <c r="G37" s="64"/>
      <c r="R37" s="10"/>
      <c r="S37" s="10"/>
      <c r="T37" s="10"/>
    </row>
    <row r="38" spans="1:474" ht="17" x14ac:dyDescent="0.2">
      <c r="C38" s="23" t="s">
        <v>44</v>
      </c>
      <c r="G38" s="64"/>
      <c r="R38" s="10"/>
      <c r="S38" s="10"/>
      <c r="T38" s="10"/>
      <c r="AP38" s="4"/>
      <c r="AW38" s="42">
        <v>9.6</v>
      </c>
      <c r="BS38" s="4"/>
      <c r="BZ38" s="42">
        <v>9.6</v>
      </c>
      <c r="CV38" s="4"/>
      <c r="DC38" s="42">
        <v>10.4</v>
      </c>
      <c r="DZ38" s="4"/>
      <c r="EG38" s="42">
        <v>9.6</v>
      </c>
      <c r="FB38" s="4"/>
      <c r="FI38" s="42">
        <v>9.6</v>
      </c>
      <c r="GD38" s="4"/>
      <c r="GK38" s="42">
        <v>10.4</v>
      </c>
      <c r="HF38" s="4"/>
      <c r="HM38" s="42">
        <v>10.4</v>
      </c>
      <c r="IH38" s="4"/>
      <c r="IO38" s="42">
        <v>10.4</v>
      </c>
      <c r="JJ38" s="4"/>
      <c r="JQ38" s="42">
        <v>10.4</v>
      </c>
      <c r="KL38" s="4"/>
      <c r="KS38" s="42">
        <v>10.4</v>
      </c>
      <c r="LN38" s="4"/>
      <c r="LU38" s="42">
        <v>10.4</v>
      </c>
      <c r="MP38" s="4"/>
      <c r="MW38" s="42">
        <v>10.4</v>
      </c>
      <c r="NR38" s="4"/>
      <c r="NY38" s="42">
        <v>10.4</v>
      </c>
      <c r="OT38" s="4"/>
      <c r="PA38" s="42">
        <v>10.4</v>
      </c>
      <c r="PV38" s="4"/>
      <c r="QC38" s="42">
        <v>10.4</v>
      </c>
    </row>
    <row r="39" spans="1:474" ht="17" hidden="1" x14ac:dyDescent="0.2">
      <c r="C39" s="30" t="s">
        <v>43</v>
      </c>
      <c r="G39" s="64"/>
      <c r="R39" s="10"/>
      <c r="S39" s="10"/>
      <c r="T39" s="10"/>
      <c r="AP39" s="4"/>
      <c r="AW39" s="51">
        <v>1000</v>
      </c>
      <c r="BS39" s="4"/>
      <c r="BZ39" s="51">
        <v>1000</v>
      </c>
      <c r="CV39" s="4"/>
      <c r="DC39" s="51">
        <v>1000</v>
      </c>
      <c r="DZ39" s="4"/>
      <c r="EG39" s="51">
        <v>1000</v>
      </c>
      <c r="FB39" s="4"/>
      <c r="FI39" s="51">
        <v>1000</v>
      </c>
      <c r="GD39" s="4"/>
      <c r="GK39" s="51">
        <v>1000</v>
      </c>
      <c r="HF39" s="4"/>
      <c r="HM39" s="51">
        <v>1000</v>
      </c>
      <c r="IH39" s="4"/>
      <c r="IO39" s="51">
        <v>1000</v>
      </c>
      <c r="JJ39" s="4"/>
      <c r="JQ39" s="51">
        <v>1000</v>
      </c>
      <c r="KL39" s="4"/>
      <c r="KS39" s="51">
        <v>1000</v>
      </c>
      <c r="LN39" s="4"/>
      <c r="LU39" s="51">
        <v>1000</v>
      </c>
      <c r="MP39" s="4"/>
      <c r="MW39" s="51">
        <v>1000</v>
      </c>
      <c r="NR39" s="4"/>
      <c r="NY39" s="51">
        <v>1000</v>
      </c>
      <c r="OT39" s="4"/>
      <c r="PA39" s="51">
        <v>1000</v>
      </c>
      <c r="PV39" s="4"/>
      <c r="QC39" s="51">
        <v>1000</v>
      </c>
    </row>
    <row r="40" spans="1:474" ht="17" hidden="1" x14ac:dyDescent="0.2">
      <c r="A40" s="5"/>
      <c r="B40" s="5"/>
      <c r="C40" s="31" t="s">
        <v>55</v>
      </c>
      <c r="D40" s="20"/>
      <c r="G40" s="64"/>
      <c r="R40" s="10"/>
      <c r="S40" s="10"/>
      <c r="T40" s="10"/>
      <c r="AP40" s="4"/>
      <c r="AW40" s="43">
        <v>1000</v>
      </c>
      <c r="BS40" s="4"/>
      <c r="BZ40" s="43">
        <v>1000</v>
      </c>
      <c r="CV40" s="4"/>
      <c r="DC40" s="43">
        <v>1000</v>
      </c>
      <c r="DZ40" s="4"/>
      <c r="EG40" s="43">
        <v>1000</v>
      </c>
      <c r="FB40" s="4"/>
      <c r="FI40" s="43">
        <v>1000</v>
      </c>
      <c r="GD40" s="4"/>
      <c r="GK40" s="43">
        <v>1000</v>
      </c>
      <c r="HF40" s="4"/>
      <c r="HM40" s="43">
        <v>1000</v>
      </c>
      <c r="IH40" s="4"/>
      <c r="IO40" s="43">
        <v>1000</v>
      </c>
      <c r="JJ40" s="4"/>
      <c r="JQ40" s="43">
        <v>1000</v>
      </c>
      <c r="KL40" s="4"/>
      <c r="KS40" s="43">
        <v>1000</v>
      </c>
      <c r="LN40" s="4"/>
      <c r="LU40" s="43">
        <v>1000</v>
      </c>
      <c r="MP40" s="4"/>
      <c r="MW40" s="43">
        <v>1000</v>
      </c>
      <c r="NR40" s="4"/>
      <c r="NY40" s="43">
        <v>1000</v>
      </c>
      <c r="OT40" s="4"/>
      <c r="PA40" s="43">
        <v>1000</v>
      </c>
      <c r="PV40" s="4"/>
      <c r="QC40" s="43">
        <v>1000</v>
      </c>
    </row>
    <row r="41" spans="1:474" ht="17" hidden="1" x14ac:dyDescent="0.2">
      <c r="A41" s="5"/>
      <c r="B41" s="5"/>
      <c r="C41" s="35" t="s">
        <v>60</v>
      </c>
      <c r="D41" s="20"/>
      <c r="G41" s="64"/>
      <c r="R41" s="10"/>
      <c r="S41" s="10"/>
      <c r="T41" s="10"/>
      <c r="AP41" s="4"/>
      <c r="AW41" s="62">
        <v>1000</v>
      </c>
      <c r="BS41" s="4"/>
      <c r="BZ41" s="62">
        <v>1000</v>
      </c>
      <c r="CV41" s="4"/>
      <c r="DC41" s="62">
        <v>1000</v>
      </c>
      <c r="DZ41" s="4"/>
      <c r="EG41" s="62">
        <v>1000</v>
      </c>
      <c r="FB41" s="4"/>
      <c r="FI41" s="62">
        <v>1000</v>
      </c>
      <c r="GD41" s="4"/>
      <c r="GK41" s="62">
        <v>1000</v>
      </c>
      <c r="HF41" s="4"/>
      <c r="HM41" s="62">
        <v>1000</v>
      </c>
      <c r="IH41" s="4"/>
      <c r="IO41" s="62">
        <v>1000</v>
      </c>
      <c r="JJ41" s="4"/>
      <c r="JQ41" s="62">
        <v>1000</v>
      </c>
      <c r="KL41" s="4"/>
      <c r="KS41" s="62">
        <v>1000</v>
      </c>
      <c r="LN41" s="4"/>
      <c r="LU41" s="62">
        <v>1000</v>
      </c>
      <c r="MP41" s="4"/>
      <c r="MW41" s="62">
        <v>1000</v>
      </c>
      <c r="NR41" s="4"/>
      <c r="NY41" s="62">
        <v>1000</v>
      </c>
      <c r="OT41" s="4"/>
      <c r="PA41" s="62">
        <v>1000</v>
      </c>
      <c r="PV41" s="4"/>
      <c r="QC41" s="62">
        <v>1000</v>
      </c>
    </row>
    <row r="42" spans="1:474" ht="17" x14ac:dyDescent="0.2">
      <c r="A42" s="5"/>
      <c r="B42" s="5"/>
      <c r="C42" s="34" t="s">
        <v>41</v>
      </c>
      <c r="D42" s="20"/>
      <c r="G42" s="64"/>
      <c r="R42" s="10"/>
      <c r="S42" s="10"/>
      <c r="T42" s="10"/>
      <c r="AP42" s="4"/>
      <c r="AW42" s="63">
        <v>46.5</v>
      </c>
      <c r="BS42" s="4"/>
      <c r="BZ42" s="63">
        <v>46.5</v>
      </c>
      <c r="CV42" s="4"/>
      <c r="DC42" s="63">
        <v>46.8</v>
      </c>
      <c r="DZ42" s="4"/>
      <c r="EG42" s="63">
        <v>46.5</v>
      </c>
      <c r="FB42" s="4"/>
      <c r="FI42" s="63">
        <v>46.5</v>
      </c>
      <c r="GD42" s="4"/>
      <c r="GK42" s="63">
        <v>46.8</v>
      </c>
      <c r="HF42" s="4"/>
      <c r="HM42" s="63">
        <v>46.8</v>
      </c>
      <c r="IH42" s="4"/>
      <c r="IO42" s="63">
        <v>46.8</v>
      </c>
      <c r="JJ42" s="4"/>
      <c r="JQ42" s="63">
        <v>46.8</v>
      </c>
      <c r="KL42" s="4"/>
      <c r="KS42" s="63">
        <v>46.8</v>
      </c>
      <c r="LN42" s="4"/>
      <c r="LU42" s="63">
        <v>46.8</v>
      </c>
      <c r="MP42" s="4"/>
      <c r="MW42" s="63">
        <v>46.8</v>
      </c>
      <c r="NR42" s="4"/>
      <c r="NY42" s="63">
        <v>46.8</v>
      </c>
      <c r="OT42" s="4"/>
      <c r="PA42" s="63">
        <v>46.8</v>
      </c>
      <c r="PV42" s="4"/>
      <c r="QC42" s="63">
        <v>46.8</v>
      </c>
    </row>
    <row r="43" spans="1:474" ht="17" hidden="1" x14ac:dyDescent="0.2">
      <c r="A43" s="5"/>
      <c r="B43" s="5"/>
      <c r="C43" s="24" t="s">
        <v>42</v>
      </c>
      <c r="D43" s="20"/>
      <c r="R43" s="10"/>
      <c r="S43" s="10"/>
      <c r="T43" s="10"/>
      <c r="AP43" s="4"/>
      <c r="AW43" s="46">
        <v>1000</v>
      </c>
      <c r="BS43" s="4"/>
      <c r="BZ43" s="46">
        <v>1000</v>
      </c>
      <c r="CV43" s="4"/>
      <c r="DC43" s="46">
        <v>1000</v>
      </c>
      <c r="DZ43" s="4"/>
      <c r="EG43" s="46">
        <v>1000</v>
      </c>
      <c r="FB43" s="4"/>
      <c r="FI43" s="46">
        <v>1000</v>
      </c>
      <c r="GD43" s="4"/>
      <c r="GK43" s="46">
        <v>1000</v>
      </c>
      <c r="HF43" s="4"/>
      <c r="HM43" s="46">
        <v>1000</v>
      </c>
      <c r="IH43" s="4"/>
      <c r="IO43" s="46">
        <v>1000</v>
      </c>
      <c r="JJ43" s="4"/>
      <c r="JQ43" s="46">
        <v>1000</v>
      </c>
      <c r="KL43" s="4"/>
      <c r="KS43" s="46">
        <v>1000</v>
      </c>
      <c r="LN43" s="4"/>
      <c r="LU43" s="46">
        <v>1000</v>
      </c>
      <c r="MP43" s="4"/>
      <c r="MW43" s="46">
        <v>1000</v>
      </c>
      <c r="NR43" s="4"/>
      <c r="NY43" s="46">
        <v>1000</v>
      </c>
      <c r="OT43" s="4"/>
      <c r="PA43" s="46">
        <v>1000</v>
      </c>
      <c r="PV43" s="4"/>
      <c r="QC43" s="46">
        <v>1000</v>
      </c>
    </row>
    <row r="44" spans="1:474" ht="17" hidden="1" x14ac:dyDescent="0.2">
      <c r="A44" s="5"/>
      <c r="B44" s="5"/>
      <c r="C44" s="33" t="s">
        <v>54</v>
      </c>
      <c r="D44" s="20"/>
      <c r="R44" s="10"/>
      <c r="S44" s="10"/>
      <c r="T44" s="10"/>
      <c r="AP44" s="4"/>
      <c r="AW44" s="47">
        <v>1000</v>
      </c>
      <c r="BS44" s="4"/>
      <c r="BZ44" s="47">
        <v>1000</v>
      </c>
      <c r="CV44" s="4"/>
      <c r="DC44" s="47">
        <v>1000</v>
      </c>
      <c r="DZ44" s="4"/>
      <c r="EG44" s="47">
        <v>1000</v>
      </c>
      <c r="FB44" s="4"/>
      <c r="FI44" s="47">
        <v>1000</v>
      </c>
      <c r="GD44" s="4"/>
      <c r="GK44" s="47">
        <v>1000</v>
      </c>
      <c r="HF44" s="4"/>
      <c r="HM44" s="47">
        <v>1000</v>
      </c>
      <c r="IH44" s="4"/>
      <c r="IO44" s="47">
        <v>1000</v>
      </c>
      <c r="JJ44" s="4"/>
      <c r="JQ44" s="47">
        <v>1000</v>
      </c>
      <c r="KL44" s="4"/>
      <c r="KS44" s="47">
        <v>1000</v>
      </c>
      <c r="LN44" s="4"/>
      <c r="LU44" s="47">
        <v>1000</v>
      </c>
      <c r="MP44" s="4"/>
      <c r="MW44" s="47">
        <v>1000</v>
      </c>
      <c r="NR44" s="4"/>
      <c r="NY44" s="47">
        <v>1000</v>
      </c>
      <c r="OT44" s="4"/>
      <c r="PA44" s="47">
        <v>1000</v>
      </c>
      <c r="PV44" s="4"/>
      <c r="QC44" s="47">
        <v>1000</v>
      </c>
    </row>
    <row r="45" spans="1:474" ht="17" hidden="1" x14ac:dyDescent="0.2">
      <c r="A45" s="5"/>
      <c r="B45" s="5"/>
      <c r="C45" s="25" t="s">
        <v>27</v>
      </c>
      <c r="D45" s="20"/>
      <c r="R45" s="10"/>
      <c r="S45" s="10"/>
      <c r="T45" s="10"/>
      <c r="AP45" s="4"/>
      <c r="AW45" s="48">
        <v>1000</v>
      </c>
      <c r="BS45" s="4"/>
      <c r="BZ45" s="48">
        <v>1000</v>
      </c>
      <c r="CV45" s="4"/>
      <c r="DC45" s="48">
        <v>1000</v>
      </c>
      <c r="DZ45" s="4"/>
      <c r="EG45" s="48">
        <v>1000</v>
      </c>
      <c r="FB45" s="4"/>
      <c r="FI45" s="48">
        <v>1000</v>
      </c>
      <c r="GD45" s="4"/>
      <c r="GK45" s="48">
        <v>1000</v>
      </c>
      <c r="HF45" s="4"/>
      <c r="HM45" s="48">
        <v>1000</v>
      </c>
      <c r="IH45" s="4"/>
      <c r="IO45" s="48">
        <v>1000</v>
      </c>
      <c r="JJ45" s="4"/>
      <c r="JQ45" s="48">
        <v>1000</v>
      </c>
      <c r="KL45" s="4"/>
      <c r="KS45" s="48">
        <v>1000</v>
      </c>
      <c r="LN45" s="4"/>
      <c r="LU45" s="48">
        <v>1000</v>
      </c>
      <c r="MP45" s="4"/>
      <c r="MW45" s="48">
        <v>1000</v>
      </c>
      <c r="NR45" s="4"/>
      <c r="NY45" s="48">
        <v>1000</v>
      </c>
      <c r="OT45" s="4"/>
      <c r="PA45" s="48">
        <v>1000</v>
      </c>
      <c r="PV45" s="4"/>
      <c r="QC45" s="48">
        <v>1000</v>
      </c>
    </row>
    <row r="46" spans="1:474" x14ac:dyDescent="0.2">
      <c r="C46" s="29" t="s">
        <v>47</v>
      </c>
      <c r="D46" s="2"/>
    </row>
    <row r="47" spans="1:474" x14ac:dyDescent="0.2">
      <c r="A47" s="5"/>
      <c r="B47" s="5"/>
      <c r="C47" s="5"/>
      <c r="D47" s="20"/>
      <c r="G47" s="64"/>
      <c r="QE47" s="2"/>
      <c r="QF47" s="2"/>
      <c r="QG47" s="2"/>
      <c r="QH47" s="2"/>
      <c r="QI47" s="2"/>
      <c r="QJ47" s="2"/>
      <c r="QK47" s="2"/>
      <c r="QL47" s="2"/>
      <c r="QM47" s="2"/>
    </row>
    <row r="48" spans="1:474" x14ac:dyDescent="0.2">
      <c r="A48" s="5"/>
      <c r="B48" s="5"/>
      <c r="C48" s="5"/>
      <c r="D48" s="20"/>
      <c r="G48" s="64"/>
    </row>
    <row r="49" spans="1:8" x14ac:dyDescent="0.2">
      <c r="A49" s="5"/>
      <c r="B49" s="5"/>
      <c r="C49" s="5"/>
      <c r="D49" s="20"/>
    </row>
    <row r="50" spans="1:8" x14ac:dyDescent="0.2">
      <c r="A50" s="5"/>
      <c r="B50" s="5"/>
      <c r="C50" s="5"/>
      <c r="D50" s="5"/>
    </row>
    <row r="52" spans="1:8" x14ac:dyDescent="0.2">
      <c r="H52" s="65"/>
    </row>
  </sheetData>
  <sheetProtection sheet="1" formatCells="0" formatColumns="0" formatRows="0"/>
  <autoFilter ref="A1:RF7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sortState xmlns:xlrd2="http://schemas.microsoft.com/office/spreadsheetml/2017/richdata2" ref="A6:RF35">
      <sortCondition descending="1" ref="H1:H36"/>
    </sortState>
  </autoFilter>
  <mergeCells count="117">
    <mergeCell ref="QH2:QK2"/>
    <mergeCell ref="QL2:QO2"/>
    <mergeCell ref="QP2:QS2"/>
    <mergeCell ref="QT2:QW2"/>
    <mergeCell ref="PB2:PE2"/>
    <mergeCell ref="PF2:PI2"/>
    <mergeCell ref="PJ2:PM2"/>
    <mergeCell ref="PN2:PQ2"/>
    <mergeCell ref="PR2:PU2"/>
    <mergeCell ref="QD2:QG2"/>
    <mergeCell ref="NN2:NQ2"/>
    <mergeCell ref="NZ2:OC2"/>
    <mergeCell ref="OD2:OG2"/>
    <mergeCell ref="OH2:OK2"/>
    <mergeCell ref="OL2:OO2"/>
    <mergeCell ref="OP2:OS2"/>
    <mergeCell ref="MH2:MK2"/>
    <mergeCell ref="ML2:MO2"/>
    <mergeCell ref="MX2:NA2"/>
    <mergeCell ref="NB2:NE2"/>
    <mergeCell ref="NF2:NI2"/>
    <mergeCell ref="NJ2:NM2"/>
    <mergeCell ref="LF2:LI2"/>
    <mergeCell ref="LJ2:LM2"/>
    <mergeCell ref="LV2:LY2"/>
    <mergeCell ref="LZ2:MC2"/>
    <mergeCell ref="MD2:MG2"/>
    <mergeCell ref="JV2:JY2"/>
    <mergeCell ref="JZ2:KC2"/>
    <mergeCell ref="KD2:KG2"/>
    <mergeCell ref="KH2:KK2"/>
    <mergeCell ref="KT2:KW2"/>
    <mergeCell ref="KX2:LA2"/>
    <mergeCell ref="JF2:JI2"/>
    <mergeCell ref="JR2:JU2"/>
    <mergeCell ref="HB2:HE2"/>
    <mergeCell ref="HN2:HQ2"/>
    <mergeCell ref="HR2:HU2"/>
    <mergeCell ref="HV2:HY2"/>
    <mergeCell ref="HZ2:IC2"/>
    <mergeCell ref="ID2:IG2"/>
    <mergeCell ref="LB2:LE2"/>
    <mergeCell ref="ET2:EW2"/>
    <mergeCell ref="EX2:FA2"/>
    <mergeCell ref="FJ2:FM2"/>
    <mergeCell ref="FN2:FQ2"/>
    <mergeCell ref="FR2:FU2"/>
    <mergeCell ref="IP2:IS2"/>
    <mergeCell ref="IT2:IW2"/>
    <mergeCell ref="IX2:JA2"/>
    <mergeCell ref="JB2:JE2"/>
    <mergeCell ref="QD1:RF1"/>
    <mergeCell ref="U2:X2"/>
    <mergeCell ref="Y2:AB2"/>
    <mergeCell ref="AC2:AF2"/>
    <mergeCell ref="AG2:AJ2"/>
    <mergeCell ref="AK2:AN2"/>
    <mergeCell ref="AX2:BA2"/>
    <mergeCell ref="BB2:BE2"/>
    <mergeCell ref="HN1:IO1"/>
    <mergeCell ref="IP1:JQ1"/>
    <mergeCell ref="JR1:KS1"/>
    <mergeCell ref="KT1:LU1"/>
    <mergeCell ref="LV1:MW1"/>
    <mergeCell ref="MX1:NY1"/>
    <mergeCell ref="CA1:DC1"/>
    <mergeCell ref="DD1:DE1"/>
    <mergeCell ref="DF1:EG1"/>
    <mergeCell ref="EH1:FI1"/>
    <mergeCell ref="FJ1:GK1"/>
    <mergeCell ref="GL1:HM1"/>
    <mergeCell ref="DJ2:DM2"/>
    <mergeCell ref="DN2:DQ2"/>
    <mergeCell ref="DR2:DU2"/>
    <mergeCell ref="DV2:DY2"/>
    <mergeCell ref="S1:S3"/>
    <mergeCell ref="T1:T3"/>
    <mergeCell ref="U1:AW1"/>
    <mergeCell ref="AX1:BZ1"/>
    <mergeCell ref="BF2:BI2"/>
    <mergeCell ref="BJ2:BM2"/>
    <mergeCell ref="BN2:BQ2"/>
    <mergeCell ref="NZ1:PA1"/>
    <mergeCell ref="PB1:QC1"/>
    <mergeCell ref="EH2:EK2"/>
    <mergeCell ref="EL2:EO2"/>
    <mergeCell ref="CA2:CD2"/>
    <mergeCell ref="CE2:CH2"/>
    <mergeCell ref="CI2:CL2"/>
    <mergeCell ref="CM2:CP2"/>
    <mergeCell ref="CQ2:CT2"/>
    <mergeCell ref="DF2:DI2"/>
    <mergeCell ref="FV2:FY2"/>
    <mergeCell ref="FZ2:GC2"/>
    <mergeCell ref="GL2:GO2"/>
    <mergeCell ref="GP2:GS2"/>
    <mergeCell ref="GT2:GW2"/>
    <mergeCell ref="GX2:HA2"/>
    <mergeCell ref="EP2:ES2"/>
    <mergeCell ref="P1:P3"/>
    <mergeCell ref="I1:I3"/>
    <mergeCell ref="J1:J3"/>
    <mergeCell ref="K1:K3"/>
    <mergeCell ref="L1:L3"/>
    <mergeCell ref="M1:M3"/>
    <mergeCell ref="N1:N3"/>
    <mergeCell ref="Q1:Q3"/>
    <mergeCell ref="R1:R3"/>
    <mergeCell ref="A1:A3"/>
    <mergeCell ref="C1:C3"/>
    <mergeCell ref="D1:D3"/>
    <mergeCell ref="E1:E3"/>
    <mergeCell ref="F1:F3"/>
    <mergeCell ref="H1:H3"/>
    <mergeCell ref="O1:O3"/>
    <mergeCell ref="B1:B3"/>
    <mergeCell ref="G1:G3"/>
  </mergeCells>
  <conditionalFormatting sqref="U4:AW35">
    <cfRule type="expression" dxfId="29" priority="7" stopIfTrue="1">
      <formula>IF($AO4&lt;&gt;"",1,0)</formula>
    </cfRule>
  </conditionalFormatting>
  <conditionalFormatting sqref="AX4:BZ35">
    <cfRule type="expression" dxfId="28" priority="12" stopIfTrue="1">
      <formula>IF($BR4&lt;&gt;"",1,0)</formula>
    </cfRule>
  </conditionalFormatting>
  <conditionalFormatting sqref="M1:M1048576 Q1:Q1048576 O1:O1048576">
    <cfRule type="expression" dxfId="27" priority="19">
      <formula>IF(M1=$CA$1,1,0)</formula>
    </cfRule>
    <cfRule type="expression" dxfId="26" priority="20">
      <formula>IF(M1=$AX$1,1,0)</formula>
    </cfRule>
    <cfRule type="expression" dxfId="25" priority="21">
      <formula>IF(M1=$U$1,1,0)</formula>
    </cfRule>
  </conditionalFormatting>
  <conditionalFormatting sqref="CA4:DC35">
    <cfRule type="expression" dxfId="24" priority="13" stopIfTrue="1">
      <formula>IF($CU4&lt;&gt;"",1,0)</formula>
    </cfRule>
  </conditionalFormatting>
  <conditionalFormatting sqref="A4:B1048576">
    <cfRule type="expression" dxfId="23" priority="1">
      <formula>AND($I4="P",$H4="")</formula>
    </cfRule>
    <cfRule type="expression" dxfId="22" priority="22">
      <formula>IF(A4&gt;4,1,0)</formula>
    </cfRule>
  </conditionalFormatting>
  <conditionalFormatting sqref="J1:J1048576">
    <cfRule type="containsText" dxfId="21" priority="14" operator="containsText" text="No DD">
      <formula>NOT(ISERROR(SEARCH("No DD",J1)))</formula>
    </cfRule>
    <cfRule type="containsText" dxfId="20" priority="15" operator="containsText" text="Merit">
      <formula>NOT(ISERROR(SEARCH("Merit",J1)))</formula>
    </cfRule>
    <cfRule type="containsText" dxfId="19" priority="16" operator="containsText" text="Excellence">
      <formula>NOT(ISERROR(SEARCH("Excellence",J1)))</formula>
    </cfRule>
    <cfRule type="containsText" dxfId="18" priority="17" operator="containsText" text="Worlds Team">
      <formula>NOT(ISERROR(SEARCH("Worlds Team",J1)))</formula>
    </cfRule>
    <cfRule type="containsText" dxfId="17" priority="18" operator="containsText" text="National Team">
      <formula>NOT(ISERROR(SEARCH("National Team",J1)))</formula>
    </cfRule>
  </conditionalFormatting>
  <conditionalFormatting sqref="AT46:AT1048576 BW46:BW1048576 ED46:ED1048576 BW1:BW44 CZ1:CZ1048576 ED1:ED44 FF1:FF1048576 GH1:GH1048576 HJ1:HJ1048576 IL1:IL1048576 JN1:JN1048576 KP1:KP1048576 LR1:LR1048576 MT1:MT1048576 NV1:NV1048576 OX1:OX1048576 PZ1:PZ1048576 AT1:AT44">
    <cfRule type="cellIs" dxfId="16" priority="60354" operator="between">
      <formula>AW$45</formula>
      <formula>1000</formula>
    </cfRule>
    <cfRule type="cellIs" dxfId="15" priority="60355" operator="between">
      <formula>AW$44</formula>
      <formula>AW$45</formula>
    </cfRule>
    <cfRule type="cellIs" dxfId="14" priority="60356" operator="between">
      <formula>AW$43</formula>
      <formula>AW$44</formula>
    </cfRule>
  </conditionalFormatting>
  <conditionalFormatting sqref="A1:B3">
    <cfRule type="expression" dxfId="13" priority="2">
      <formula>AND(I1&lt;&gt;"",H1="")</formula>
    </cfRule>
  </conditionalFormatting>
  <conditionalFormatting sqref="PV1:PV1048576 AP1:AP1048576 BS1:BS1048576 CV1:CV1048576 DZ1:DZ1048576 FB1:FB1048576 GD1:GD1048576 HF1:HF1048576 IH1:IH1048576 JJ1:JJ1048576 KL1:KL1048576 LN1:LN1048576 MP1:MP1048576 NR1:NR1048576 OT1:OT1048576">
    <cfRule type="cellIs" dxfId="12" priority="199333" operator="between">
      <formula>AW$38</formula>
      <formula>1000</formula>
    </cfRule>
  </conditionalFormatting>
  <conditionalFormatting sqref="PW1:PW1048576 AQ1:AQ1048576 BT1:BT1048576 CW1:CW1048576 EA1:EA1048576 FC1:FC1048576 GE1:GE1048576 HG1:HG1048576 II1:II1048576 JK1:JK1048576 KM1:KM1048576 LO1:LO1048576 MQ1:MQ1048576 NS1:NS1048576 OU1:OU1048576">
    <cfRule type="cellIs" dxfId="11" priority="199378" operator="between">
      <formula>AW$42</formula>
      <formula>1000</formula>
    </cfRule>
  </conditionalFormatting>
  <conditionalFormatting sqref="AU1:AU1048576 BX1:BX1048576 DA1:DA1048576 EE1:EE1048576 FG1:FG1048576 GI1:GI1048576 HK1:HK1048576 IM1:IM1048576 JO1:JO1048576 KQ1:KQ1048576 LS1:LS1048576 MU1:MU1048576 NW1:NW1048576 OY1:OY1048576 QA1:QA1048576">
    <cfRule type="cellIs" dxfId="10" priority="199423" operator="between">
      <formula>AW$38</formula>
      <formula>AW$39</formula>
    </cfRule>
    <cfRule type="cellIs" dxfId="9" priority="199424" operator="between">
      <formula>AW$39</formula>
      <formula>AW$40</formula>
    </cfRule>
    <cfRule type="cellIs" dxfId="8" priority="199425" operator="between">
      <formula>AW$40</formula>
      <formula>AW$41</formula>
    </cfRule>
    <cfRule type="cellIs" dxfId="7" priority="199426" operator="between">
      <formula>AW$41</formula>
      <formula>1000</formula>
    </cfRule>
  </conditionalFormatting>
  <conditionalFormatting sqref="AV1:AV1048576 BY1:BY1048576 DB1:DB1048576 EF1:EF1048576 FH1:FH1048576 GJ1:GJ1048576 HL1:HL1048576 IN1:IN1048576 JP1:JP1048576 KR1:KR1048576 LT1:LT1048576 MV1:MV1048576 NX1:NX1048576 OZ1:OZ1048576 QB1:QB1048576">
    <cfRule type="cellIs" dxfId="6" priority="199603" operator="between">
      <formula>AW$42</formula>
      <formula>AW$43</formula>
    </cfRule>
    <cfRule type="cellIs" dxfId="5" priority="199604" operator="between">
      <formula>AW$43</formula>
      <formula>AW$44</formula>
    </cfRule>
    <cfRule type="cellIs" dxfId="4" priority="199605" operator="between">
      <formula>AW$44</formula>
      <formula>AW$45</formula>
    </cfRule>
    <cfRule type="cellIs" dxfId="3" priority="199606" operator="between">
      <formula>AW$45</formula>
      <formula>1000</formula>
    </cfRule>
  </conditionalFormatting>
  <conditionalFormatting sqref="AS1:AS1048576 BV1:BV1048576 CY1:CY1048576 FE1:FE1048576 GG1:GG1048576 HI1:HI1048576 IK1:IK1048576 JM1:JM1048576 KO1:KO1048576 LQ1:LQ1048576 MS1:MS1048576 NU1:NU1048576 OW1:OW1048576 PY1:PY1048576 EC1:EC1048576">
    <cfRule type="cellIs" dxfId="2" priority="199783" operator="between">
      <formula>AW$41</formula>
      <formula>1000</formula>
    </cfRule>
    <cfRule type="cellIs" dxfId="1" priority="199784" operator="between">
      <formula>AW$40</formula>
      <formula>AW$41</formula>
    </cfRule>
    <cfRule type="cellIs" dxfId="0" priority="199785" operator="between">
      <formula>AW$39</formula>
      <formula>AW$40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2025-03-20T03:15:09Z</dcterms:modified>
</cp:coreProperties>
</file>