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875FD3E5-1E42-D945-ACF0-4298CD45884E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U20" i="17" l="1"/>
  <c r="NT20" i="17"/>
  <c r="NS20" i="17"/>
  <c r="NR20" i="17"/>
  <c r="NQ20" i="17"/>
  <c r="NU19" i="17"/>
  <c r="NT19" i="17"/>
  <c r="NS19" i="17"/>
  <c r="NR19" i="17"/>
  <c r="NQ19" i="17"/>
  <c r="NU18" i="17"/>
  <c r="NT18" i="17"/>
  <c r="NS18" i="17"/>
  <c r="NR18" i="17"/>
  <c r="NV18" i="17" s="1"/>
  <c r="NQ18" i="17"/>
  <c r="NU17" i="17"/>
  <c r="NT17" i="17"/>
  <c r="NS17" i="17"/>
  <c r="NR17" i="17"/>
  <c r="NQ17" i="17"/>
  <c r="NU16" i="17"/>
  <c r="NT16" i="17"/>
  <c r="NS16" i="17"/>
  <c r="NR16" i="17"/>
  <c r="NQ16" i="17"/>
  <c r="NU15" i="17"/>
  <c r="NT15" i="17"/>
  <c r="NS15" i="17"/>
  <c r="NR15" i="17"/>
  <c r="NQ15" i="17"/>
  <c r="NU14" i="17"/>
  <c r="NT14" i="17"/>
  <c r="NS14" i="17"/>
  <c r="NR14" i="17"/>
  <c r="NQ14" i="17"/>
  <c r="NU13" i="17"/>
  <c r="NT13" i="17"/>
  <c r="NS13" i="17"/>
  <c r="NR13" i="17"/>
  <c r="NQ13" i="17"/>
  <c r="NU12" i="17"/>
  <c r="NT12" i="17"/>
  <c r="NS12" i="17"/>
  <c r="NR12" i="17"/>
  <c r="NQ12" i="17"/>
  <c r="NU11" i="17"/>
  <c r="NT11" i="17"/>
  <c r="NS11" i="17"/>
  <c r="NR11" i="17"/>
  <c r="NQ11" i="17"/>
  <c r="NU10" i="17"/>
  <c r="NT10" i="17"/>
  <c r="NS10" i="17"/>
  <c r="NR10" i="17"/>
  <c r="NQ10" i="17"/>
  <c r="NU9" i="17"/>
  <c r="NT9" i="17"/>
  <c r="NS9" i="17"/>
  <c r="NR9" i="17"/>
  <c r="NQ9" i="17"/>
  <c r="NU8" i="17"/>
  <c r="NT8" i="17"/>
  <c r="NS8" i="17"/>
  <c r="NR8" i="17"/>
  <c r="NQ8" i="17"/>
  <c r="NU5" i="17"/>
  <c r="NT5" i="17"/>
  <c r="NS5" i="17"/>
  <c r="NR5" i="17"/>
  <c r="NQ5" i="17"/>
  <c r="NU6" i="17"/>
  <c r="NT6" i="17"/>
  <c r="NS6" i="17"/>
  <c r="NR6" i="17"/>
  <c r="NQ6" i="17"/>
  <c r="NU7" i="17"/>
  <c r="NT7" i="17"/>
  <c r="NS7" i="17"/>
  <c r="NR7" i="17"/>
  <c r="NQ7" i="17"/>
  <c r="NU4" i="17"/>
  <c r="NT4" i="17"/>
  <c r="NS4" i="17"/>
  <c r="NR4" i="17"/>
  <c r="NQ4" i="17"/>
  <c r="MU20" i="17"/>
  <c r="MT20" i="17"/>
  <c r="MS20" i="17"/>
  <c r="MR20" i="17"/>
  <c r="MQ20" i="17"/>
  <c r="MU19" i="17"/>
  <c r="MT19" i="17"/>
  <c r="MS19" i="17"/>
  <c r="MR19" i="17"/>
  <c r="MQ19" i="17"/>
  <c r="MU18" i="17"/>
  <c r="MT18" i="17"/>
  <c r="MS18" i="17"/>
  <c r="MR18" i="17"/>
  <c r="MQ18" i="17"/>
  <c r="MU17" i="17"/>
  <c r="MT17" i="17"/>
  <c r="MS17" i="17"/>
  <c r="MR17" i="17"/>
  <c r="MQ17" i="17"/>
  <c r="MU16" i="17"/>
  <c r="MT16" i="17"/>
  <c r="MS16" i="17"/>
  <c r="MR16" i="17"/>
  <c r="MQ16" i="17"/>
  <c r="MU15" i="17"/>
  <c r="MT15" i="17"/>
  <c r="MS15" i="17"/>
  <c r="MR15" i="17"/>
  <c r="MQ15" i="17"/>
  <c r="MU14" i="17"/>
  <c r="MT14" i="17"/>
  <c r="MS14" i="17"/>
  <c r="MR14" i="17"/>
  <c r="MQ14" i="17"/>
  <c r="MU13" i="17"/>
  <c r="MT13" i="17"/>
  <c r="MS13" i="17"/>
  <c r="MR13" i="17"/>
  <c r="MQ13" i="17"/>
  <c r="MU12" i="17"/>
  <c r="MT12" i="17"/>
  <c r="MS12" i="17"/>
  <c r="MR12" i="17"/>
  <c r="MQ12" i="17"/>
  <c r="MU11" i="17"/>
  <c r="MT11" i="17"/>
  <c r="MS11" i="17"/>
  <c r="MR11" i="17"/>
  <c r="MQ11" i="17"/>
  <c r="MU10" i="17"/>
  <c r="MT10" i="17"/>
  <c r="MS10" i="17"/>
  <c r="MR10" i="17"/>
  <c r="MQ10" i="17"/>
  <c r="MU9" i="17"/>
  <c r="MT9" i="17"/>
  <c r="MS9" i="17"/>
  <c r="MR9" i="17"/>
  <c r="MQ9" i="17"/>
  <c r="MU8" i="17"/>
  <c r="MT8" i="17"/>
  <c r="MS8" i="17"/>
  <c r="MR8" i="17"/>
  <c r="MQ8" i="17"/>
  <c r="MU5" i="17"/>
  <c r="MT5" i="17"/>
  <c r="MS5" i="17"/>
  <c r="MR5" i="17"/>
  <c r="MQ5" i="17"/>
  <c r="MU6" i="17"/>
  <c r="MT6" i="17"/>
  <c r="MS6" i="17"/>
  <c r="MR6" i="17"/>
  <c r="MQ6" i="17"/>
  <c r="MU7" i="17"/>
  <c r="MT7" i="17"/>
  <c r="MS7" i="17"/>
  <c r="MR7" i="17"/>
  <c r="MQ7" i="17"/>
  <c r="MU4" i="17"/>
  <c r="MT4" i="17"/>
  <c r="MS4" i="17"/>
  <c r="MR4" i="17"/>
  <c r="MQ4" i="17"/>
  <c r="LU20" i="17"/>
  <c r="LT20" i="17"/>
  <c r="LS20" i="17"/>
  <c r="LR20" i="17"/>
  <c r="LQ20" i="17"/>
  <c r="LU19" i="17"/>
  <c r="LT19" i="17"/>
  <c r="LS19" i="17"/>
  <c r="LR19" i="17"/>
  <c r="LQ19" i="17"/>
  <c r="LU18" i="17"/>
  <c r="LT18" i="17"/>
  <c r="LS18" i="17"/>
  <c r="LR18" i="17"/>
  <c r="LQ18" i="17"/>
  <c r="LU17" i="17"/>
  <c r="LT17" i="17"/>
  <c r="LS17" i="17"/>
  <c r="LR17" i="17"/>
  <c r="LQ17" i="17"/>
  <c r="LU16" i="17"/>
  <c r="LT16" i="17"/>
  <c r="LS16" i="17"/>
  <c r="LR16" i="17"/>
  <c r="LQ16" i="17"/>
  <c r="LU15" i="17"/>
  <c r="LT15" i="17"/>
  <c r="LS15" i="17"/>
  <c r="LR15" i="17"/>
  <c r="LQ15" i="17"/>
  <c r="LU14" i="17"/>
  <c r="LT14" i="17"/>
  <c r="LS14" i="17"/>
  <c r="LR14" i="17"/>
  <c r="LQ14" i="17"/>
  <c r="LU13" i="17"/>
  <c r="LT13" i="17"/>
  <c r="LS13" i="17"/>
  <c r="LR13" i="17"/>
  <c r="LQ13" i="17"/>
  <c r="LU12" i="17"/>
  <c r="LT12" i="17"/>
  <c r="LS12" i="17"/>
  <c r="LR12" i="17"/>
  <c r="LQ12" i="17"/>
  <c r="LU11" i="17"/>
  <c r="LT11" i="17"/>
  <c r="LS11" i="17"/>
  <c r="LR11" i="17"/>
  <c r="LQ11" i="17"/>
  <c r="LU10" i="17"/>
  <c r="LT10" i="17"/>
  <c r="LS10" i="17"/>
  <c r="LR10" i="17"/>
  <c r="LQ10" i="17"/>
  <c r="LU9" i="17"/>
  <c r="LT9" i="17"/>
  <c r="LS9" i="17"/>
  <c r="LR9" i="17"/>
  <c r="LQ9" i="17"/>
  <c r="LU8" i="17"/>
  <c r="LT8" i="17"/>
  <c r="LS8" i="17"/>
  <c r="LR8" i="17"/>
  <c r="LQ8" i="17"/>
  <c r="LU5" i="17"/>
  <c r="LT5" i="17"/>
  <c r="LS5" i="17"/>
  <c r="LR5" i="17"/>
  <c r="LQ5" i="17"/>
  <c r="LU6" i="17"/>
  <c r="LT6" i="17"/>
  <c r="LS6" i="17"/>
  <c r="LR6" i="17"/>
  <c r="LQ6" i="17"/>
  <c r="LU7" i="17"/>
  <c r="LT7" i="17"/>
  <c r="LS7" i="17"/>
  <c r="LR7" i="17"/>
  <c r="LQ7" i="17"/>
  <c r="LU4" i="17"/>
  <c r="LT4" i="17"/>
  <c r="LS4" i="17"/>
  <c r="LR4" i="17"/>
  <c r="LQ4" i="17"/>
  <c r="KU20" i="17"/>
  <c r="KT20" i="17"/>
  <c r="KS20" i="17"/>
  <c r="KR20" i="17"/>
  <c r="KQ20" i="17"/>
  <c r="KU19" i="17"/>
  <c r="KT19" i="17"/>
  <c r="KS19" i="17"/>
  <c r="KR19" i="17"/>
  <c r="KQ19" i="17"/>
  <c r="KU18" i="17"/>
  <c r="KT18" i="17"/>
  <c r="KS18" i="17"/>
  <c r="KR18" i="17"/>
  <c r="KQ18" i="17"/>
  <c r="KU17" i="17"/>
  <c r="KT17" i="17"/>
  <c r="KS17" i="17"/>
  <c r="KR17" i="17"/>
  <c r="KQ17" i="17"/>
  <c r="KU16" i="17"/>
  <c r="KT16" i="17"/>
  <c r="KS16" i="17"/>
  <c r="KR16" i="17"/>
  <c r="KQ16" i="17"/>
  <c r="KU15" i="17"/>
  <c r="KT15" i="17"/>
  <c r="KS15" i="17"/>
  <c r="KR15" i="17"/>
  <c r="KQ15" i="17"/>
  <c r="KU14" i="17"/>
  <c r="KT14" i="17"/>
  <c r="KS14" i="17"/>
  <c r="KR14" i="17"/>
  <c r="KQ14" i="17"/>
  <c r="KU13" i="17"/>
  <c r="KT13" i="17"/>
  <c r="KS13" i="17"/>
  <c r="KR13" i="17"/>
  <c r="KQ13" i="17"/>
  <c r="KU12" i="17"/>
  <c r="KT12" i="17"/>
  <c r="KS12" i="17"/>
  <c r="KR12" i="17"/>
  <c r="KQ12" i="17"/>
  <c r="KU11" i="17"/>
  <c r="KT11" i="17"/>
  <c r="KS11" i="17"/>
  <c r="KR11" i="17"/>
  <c r="KQ11" i="17"/>
  <c r="KU10" i="17"/>
  <c r="KT10" i="17"/>
  <c r="KS10" i="17"/>
  <c r="KR10" i="17"/>
  <c r="KQ10" i="17"/>
  <c r="KU9" i="17"/>
  <c r="KT9" i="17"/>
  <c r="KS9" i="17"/>
  <c r="KR9" i="17"/>
  <c r="KQ9" i="17"/>
  <c r="KU8" i="17"/>
  <c r="KT8" i="17"/>
  <c r="KS8" i="17"/>
  <c r="KR8" i="17"/>
  <c r="KQ8" i="17"/>
  <c r="KU5" i="17"/>
  <c r="KT5" i="17"/>
  <c r="KS5" i="17"/>
  <c r="KR5" i="17"/>
  <c r="KQ5" i="17"/>
  <c r="KU6" i="17"/>
  <c r="KT6" i="17"/>
  <c r="KS6" i="17"/>
  <c r="KR6" i="17"/>
  <c r="KQ6" i="17"/>
  <c r="KU7" i="17"/>
  <c r="KT7" i="17"/>
  <c r="KS7" i="17"/>
  <c r="KR7" i="17"/>
  <c r="KV7" i="17" s="1"/>
  <c r="KQ7" i="17"/>
  <c r="KU4" i="17"/>
  <c r="KT4" i="17"/>
  <c r="KS4" i="17"/>
  <c r="KR4" i="17"/>
  <c r="KQ4" i="17"/>
  <c r="JU20" i="17"/>
  <c r="JT20" i="17"/>
  <c r="JS20" i="17"/>
  <c r="JR20" i="17"/>
  <c r="JQ20" i="17"/>
  <c r="JU19" i="17"/>
  <c r="JT19" i="17"/>
  <c r="JS19" i="17"/>
  <c r="JR19" i="17"/>
  <c r="JQ19" i="17"/>
  <c r="JU18" i="17"/>
  <c r="JT18" i="17"/>
  <c r="JS18" i="17"/>
  <c r="JR18" i="17"/>
  <c r="JQ18" i="17"/>
  <c r="JU17" i="17"/>
  <c r="JT17" i="17"/>
  <c r="JS17" i="17"/>
  <c r="JR17" i="17"/>
  <c r="JQ17" i="17"/>
  <c r="JU16" i="17"/>
  <c r="JT16" i="17"/>
  <c r="JS16" i="17"/>
  <c r="JR16" i="17"/>
  <c r="JQ16" i="17"/>
  <c r="JU15" i="17"/>
  <c r="JT15" i="17"/>
  <c r="JS15" i="17"/>
  <c r="JR15" i="17"/>
  <c r="JQ15" i="17"/>
  <c r="JU14" i="17"/>
  <c r="JT14" i="17"/>
  <c r="JS14" i="17"/>
  <c r="JR14" i="17"/>
  <c r="JV14" i="17" s="1"/>
  <c r="JQ14" i="17"/>
  <c r="JU13" i="17"/>
  <c r="JT13" i="17"/>
  <c r="JS13" i="17"/>
  <c r="JR13" i="17"/>
  <c r="JQ13" i="17"/>
  <c r="JU12" i="17"/>
  <c r="JT12" i="17"/>
  <c r="JS12" i="17"/>
  <c r="JR12" i="17"/>
  <c r="JQ12" i="17"/>
  <c r="JU11" i="17"/>
  <c r="JT11" i="17"/>
  <c r="JS11" i="17"/>
  <c r="JR11" i="17"/>
  <c r="JQ11" i="17"/>
  <c r="JU10" i="17"/>
  <c r="JT10" i="17"/>
  <c r="JS10" i="17"/>
  <c r="JR10" i="17"/>
  <c r="JQ10" i="17"/>
  <c r="JU9" i="17"/>
  <c r="JT9" i="17"/>
  <c r="JS9" i="17"/>
  <c r="JR9" i="17"/>
  <c r="JQ9" i="17"/>
  <c r="JU8" i="17"/>
  <c r="JT8" i="17"/>
  <c r="JS8" i="17"/>
  <c r="JR8" i="17"/>
  <c r="JQ8" i="17"/>
  <c r="JU5" i="17"/>
  <c r="JT5" i="17"/>
  <c r="JS5" i="17"/>
  <c r="JR5" i="17"/>
  <c r="JQ5" i="17"/>
  <c r="JU6" i="17"/>
  <c r="JT6" i="17"/>
  <c r="JS6" i="17"/>
  <c r="JR6" i="17"/>
  <c r="JV6" i="17" s="1"/>
  <c r="JQ6" i="17"/>
  <c r="JU7" i="17"/>
  <c r="JT7" i="17"/>
  <c r="JS7" i="17"/>
  <c r="JR7" i="17"/>
  <c r="JQ7" i="17"/>
  <c r="JU4" i="17"/>
  <c r="JT4" i="17"/>
  <c r="JS4" i="17"/>
  <c r="JR4" i="17"/>
  <c r="JQ4" i="17"/>
  <c r="IU20" i="17"/>
  <c r="IT20" i="17"/>
  <c r="IS20" i="17"/>
  <c r="IR20" i="17"/>
  <c r="IQ20" i="17"/>
  <c r="IU19" i="17"/>
  <c r="IT19" i="17"/>
  <c r="IS19" i="17"/>
  <c r="IR19" i="17"/>
  <c r="IQ19" i="17"/>
  <c r="IU18" i="17"/>
  <c r="IT18" i="17"/>
  <c r="IS18" i="17"/>
  <c r="IR18" i="17"/>
  <c r="IQ18" i="17"/>
  <c r="IU17" i="17"/>
  <c r="IT17" i="17"/>
  <c r="IS17" i="17"/>
  <c r="IR17" i="17"/>
  <c r="IQ17" i="17"/>
  <c r="IU16" i="17"/>
  <c r="IT16" i="17"/>
  <c r="IS16" i="17"/>
  <c r="IR16" i="17"/>
  <c r="IQ16" i="17"/>
  <c r="IU15" i="17"/>
  <c r="IT15" i="17"/>
  <c r="IS15" i="17"/>
  <c r="IR15" i="17"/>
  <c r="IQ15" i="17"/>
  <c r="IU14" i="17"/>
  <c r="IT14" i="17"/>
  <c r="IS14" i="17"/>
  <c r="IR14" i="17"/>
  <c r="IQ14" i="17"/>
  <c r="IU13" i="17"/>
  <c r="IT13" i="17"/>
  <c r="IS13" i="17"/>
  <c r="IR13" i="17"/>
  <c r="IQ13" i="17"/>
  <c r="IU12" i="17"/>
  <c r="IT12" i="17"/>
  <c r="IS12" i="17"/>
  <c r="IR12" i="17"/>
  <c r="IQ12" i="17"/>
  <c r="IU11" i="17"/>
  <c r="IT11" i="17"/>
  <c r="IS11" i="17"/>
  <c r="IR11" i="17"/>
  <c r="IQ11" i="17"/>
  <c r="IU10" i="17"/>
  <c r="IT10" i="17"/>
  <c r="IS10" i="17"/>
  <c r="IR10" i="17"/>
  <c r="IQ10" i="17"/>
  <c r="IU9" i="17"/>
  <c r="IT9" i="17"/>
  <c r="IS9" i="17"/>
  <c r="IR9" i="17"/>
  <c r="IQ9" i="17"/>
  <c r="IU8" i="17"/>
  <c r="IT8" i="17"/>
  <c r="IS8" i="17"/>
  <c r="IR8" i="17"/>
  <c r="IQ8" i="17"/>
  <c r="IU5" i="17"/>
  <c r="IT5" i="17"/>
  <c r="IS5" i="17"/>
  <c r="IR5" i="17"/>
  <c r="IQ5" i="17"/>
  <c r="IU6" i="17"/>
  <c r="IT6" i="17"/>
  <c r="IS6" i="17"/>
  <c r="IR6" i="17"/>
  <c r="IQ6" i="17"/>
  <c r="IU7" i="17"/>
  <c r="IT7" i="17"/>
  <c r="IS7" i="17"/>
  <c r="IR7" i="17"/>
  <c r="IQ7" i="17"/>
  <c r="IU4" i="17"/>
  <c r="IT4" i="17"/>
  <c r="IS4" i="17"/>
  <c r="IR4" i="17"/>
  <c r="IQ4" i="17"/>
  <c r="HU20" i="17"/>
  <c r="HT20" i="17"/>
  <c r="HS20" i="17"/>
  <c r="HR20" i="17"/>
  <c r="HQ20" i="17"/>
  <c r="HU19" i="17"/>
  <c r="HT19" i="17"/>
  <c r="HS19" i="17"/>
  <c r="HR19" i="17"/>
  <c r="HQ19" i="17"/>
  <c r="HU18" i="17"/>
  <c r="HT18" i="17"/>
  <c r="HS18" i="17"/>
  <c r="HR18" i="17"/>
  <c r="HQ18" i="17"/>
  <c r="HU17" i="17"/>
  <c r="HT17" i="17"/>
  <c r="HS17" i="17"/>
  <c r="HR17" i="17"/>
  <c r="HQ17" i="17"/>
  <c r="HU16" i="17"/>
  <c r="HT16" i="17"/>
  <c r="HS16" i="17"/>
  <c r="HR16" i="17"/>
  <c r="HQ16" i="17"/>
  <c r="HU15" i="17"/>
  <c r="HT15" i="17"/>
  <c r="HS15" i="17"/>
  <c r="HR15" i="17"/>
  <c r="HQ15" i="17"/>
  <c r="HU14" i="17"/>
  <c r="HT14" i="17"/>
  <c r="HS14" i="17"/>
  <c r="HR14" i="17"/>
  <c r="HQ14" i="17"/>
  <c r="HU13" i="17"/>
  <c r="HT13" i="17"/>
  <c r="HS13" i="17"/>
  <c r="HR13" i="17"/>
  <c r="HQ13" i="17"/>
  <c r="HU12" i="17"/>
  <c r="HT12" i="17"/>
  <c r="HS12" i="17"/>
  <c r="HR12" i="17"/>
  <c r="HQ12" i="17"/>
  <c r="HU11" i="17"/>
  <c r="HT11" i="17"/>
  <c r="HS11" i="17"/>
  <c r="HR11" i="17"/>
  <c r="HQ11" i="17"/>
  <c r="HU10" i="17"/>
  <c r="HT10" i="17"/>
  <c r="HS10" i="17"/>
  <c r="HR10" i="17"/>
  <c r="HQ10" i="17"/>
  <c r="HU9" i="17"/>
  <c r="HT9" i="17"/>
  <c r="HS9" i="17"/>
  <c r="HR9" i="17"/>
  <c r="HQ9" i="17"/>
  <c r="HU8" i="17"/>
  <c r="HT8" i="17"/>
  <c r="HS8" i="17"/>
  <c r="HR8" i="17"/>
  <c r="HV8" i="17" s="1"/>
  <c r="HQ8" i="17"/>
  <c r="HU5" i="17"/>
  <c r="HT5" i="17"/>
  <c r="HS5" i="17"/>
  <c r="HR5" i="17"/>
  <c r="HQ5" i="17"/>
  <c r="HU6" i="17"/>
  <c r="HT6" i="17"/>
  <c r="HS6" i="17"/>
  <c r="HR6" i="17"/>
  <c r="HQ6" i="17"/>
  <c r="HU7" i="17"/>
  <c r="HT7" i="17"/>
  <c r="HS7" i="17"/>
  <c r="HR7" i="17"/>
  <c r="HQ7" i="17"/>
  <c r="HU4" i="17"/>
  <c r="HT4" i="17"/>
  <c r="HS4" i="17"/>
  <c r="HR4" i="17"/>
  <c r="HQ4" i="17"/>
  <c r="GU20" i="17"/>
  <c r="GT20" i="17"/>
  <c r="GS20" i="17"/>
  <c r="GR20" i="17"/>
  <c r="GQ20" i="17"/>
  <c r="GU19" i="17"/>
  <c r="GT19" i="17"/>
  <c r="GS19" i="17"/>
  <c r="GR19" i="17"/>
  <c r="GQ19" i="17"/>
  <c r="GU18" i="17"/>
  <c r="GT18" i="17"/>
  <c r="GS18" i="17"/>
  <c r="GR18" i="17"/>
  <c r="GQ18" i="17"/>
  <c r="GU17" i="17"/>
  <c r="GT17" i="17"/>
  <c r="GS17" i="17"/>
  <c r="GR17" i="17"/>
  <c r="GV17" i="17" s="1"/>
  <c r="GQ17" i="17"/>
  <c r="GU16" i="17"/>
  <c r="GT16" i="17"/>
  <c r="GS16" i="17"/>
  <c r="GR16" i="17"/>
  <c r="GQ16" i="17"/>
  <c r="GU15" i="17"/>
  <c r="GT15" i="17"/>
  <c r="GS15" i="17"/>
  <c r="GR15" i="17"/>
  <c r="GQ15" i="17"/>
  <c r="GU14" i="17"/>
  <c r="GT14" i="17"/>
  <c r="GS14" i="17"/>
  <c r="GR14" i="17"/>
  <c r="GQ14" i="17"/>
  <c r="GU13" i="17"/>
  <c r="GT13" i="17"/>
  <c r="GS13" i="17"/>
  <c r="GR13" i="17"/>
  <c r="GQ13" i="17"/>
  <c r="GU12" i="17"/>
  <c r="GT12" i="17"/>
  <c r="GS12" i="17"/>
  <c r="GR12" i="17"/>
  <c r="GQ12" i="17"/>
  <c r="GU11" i="17"/>
  <c r="GT11" i="17"/>
  <c r="GS11" i="17"/>
  <c r="GR11" i="17"/>
  <c r="GQ11" i="17"/>
  <c r="GU10" i="17"/>
  <c r="GT10" i="17"/>
  <c r="GS10" i="17"/>
  <c r="GR10" i="17"/>
  <c r="GQ10" i="17"/>
  <c r="GU9" i="17"/>
  <c r="GT9" i="17"/>
  <c r="GS9" i="17"/>
  <c r="GR9" i="17"/>
  <c r="GV9" i="17" s="1"/>
  <c r="GQ9" i="17"/>
  <c r="GU8" i="17"/>
  <c r="GT8" i="17"/>
  <c r="GS8" i="17"/>
  <c r="GR8" i="17"/>
  <c r="GQ8" i="17"/>
  <c r="GU5" i="17"/>
  <c r="GT5" i="17"/>
  <c r="GS5" i="17"/>
  <c r="GR5" i="17"/>
  <c r="GQ5" i="17"/>
  <c r="GU6" i="17"/>
  <c r="GT6" i="17"/>
  <c r="GS6" i="17"/>
  <c r="GR6" i="17"/>
  <c r="GQ6" i="17"/>
  <c r="GU7" i="17"/>
  <c r="GT7" i="17"/>
  <c r="GS7" i="17"/>
  <c r="GR7" i="17"/>
  <c r="GQ7" i="17"/>
  <c r="GU4" i="17"/>
  <c r="GT4" i="17"/>
  <c r="GS4" i="17"/>
  <c r="GR4" i="17"/>
  <c r="GQ4" i="17"/>
  <c r="FU20" i="17"/>
  <c r="FT20" i="17"/>
  <c r="FS20" i="17"/>
  <c r="FR20" i="17"/>
  <c r="FQ20" i="17"/>
  <c r="FU19" i="17"/>
  <c r="FT19" i="17"/>
  <c r="FS19" i="17"/>
  <c r="FR19" i="17"/>
  <c r="FQ19" i="17"/>
  <c r="FU18" i="17"/>
  <c r="FT18" i="17"/>
  <c r="FS18" i="17"/>
  <c r="FR18" i="17"/>
  <c r="FV18" i="17" s="1"/>
  <c r="FQ18" i="17"/>
  <c r="FU17" i="17"/>
  <c r="FT17" i="17"/>
  <c r="FS17" i="17"/>
  <c r="FR17" i="17"/>
  <c r="FQ17" i="17"/>
  <c r="FU16" i="17"/>
  <c r="FT16" i="17"/>
  <c r="FS16" i="17"/>
  <c r="FR16" i="17"/>
  <c r="FQ16" i="17"/>
  <c r="FU15" i="17"/>
  <c r="FT15" i="17"/>
  <c r="FS15" i="17"/>
  <c r="FR15" i="17"/>
  <c r="FQ15" i="17"/>
  <c r="FU14" i="17"/>
  <c r="FT14" i="17"/>
  <c r="FS14" i="17"/>
  <c r="FR14" i="17"/>
  <c r="FQ14" i="17"/>
  <c r="FU13" i="17"/>
  <c r="FT13" i="17"/>
  <c r="FS13" i="17"/>
  <c r="FR13" i="17"/>
  <c r="FQ13" i="17"/>
  <c r="FU12" i="17"/>
  <c r="FT12" i="17"/>
  <c r="FS12" i="17"/>
  <c r="FR12" i="17"/>
  <c r="FQ12" i="17"/>
  <c r="FU11" i="17"/>
  <c r="FT11" i="17"/>
  <c r="FS11" i="17"/>
  <c r="FR11" i="17"/>
  <c r="FQ11" i="17"/>
  <c r="FU10" i="17"/>
  <c r="FT10" i="17"/>
  <c r="FS10" i="17"/>
  <c r="FR10" i="17"/>
  <c r="FV10" i="17" s="1"/>
  <c r="FQ10" i="17"/>
  <c r="FU9" i="17"/>
  <c r="FT9" i="17"/>
  <c r="FS9" i="17"/>
  <c r="FR9" i="17"/>
  <c r="FQ9" i="17"/>
  <c r="FU8" i="17"/>
  <c r="FT8" i="17"/>
  <c r="FS8" i="17"/>
  <c r="FR8" i="17"/>
  <c r="FQ8" i="17"/>
  <c r="FU5" i="17"/>
  <c r="FT5" i="17"/>
  <c r="FS5" i="17"/>
  <c r="FR5" i="17"/>
  <c r="FQ5" i="17"/>
  <c r="FU6" i="17"/>
  <c r="FT6" i="17"/>
  <c r="FS6" i="17"/>
  <c r="FR6" i="17"/>
  <c r="FQ6" i="17"/>
  <c r="FU7" i="17"/>
  <c r="FT7" i="17"/>
  <c r="FS7" i="17"/>
  <c r="FR7" i="17"/>
  <c r="FQ7" i="17"/>
  <c r="FU4" i="17"/>
  <c r="FT4" i="17"/>
  <c r="FS4" i="17"/>
  <c r="FR4" i="17"/>
  <c r="FQ4" i="17"/>
  <c r="EU20" i="17"/>
  <c r="ET20" i="17"/>
  <c r="ES20" i="17"/>
  <c r="ER20" i="17"/>
  <c r="EQ20" i="17"/>
  <c r="EU19" i="17"/>
  <c r="ET19" i="17"/>
  <c r="ES19" i="17"/>
  <c r="ER19" i="17"/>
  <c r="EQ19" i="17"/>
  <c r="EU18" i="17"/>
  <c r="ET18" i="17"/>
  <c r="ES18" i="17"/>
  <c r="ER18" i="17"/>
  <c r="EQ18" i="17"/>
  <c r="EU17" i="17"/>
  <c r="ET17" i="17"/>
  <c r="ES17" i="17"/>
  <c r="ER17" i="17"/>
  <c r="EQ17" i="17"/>
  <c r="EU16" i="17"/>
  <c r="ET16" i="17"/>
  <c r="ES16" i="17"/>
  <c r="ER16" i="17"/>
  <c r="EQ16" i="17"/>
  <c r="EU15" i="17"/>
  <c r="ET15" i="17"/>
  <c r="ES15" i="17"/>
  <c r="ER15" i="17"/>
  <c r="EQ15" i="17"/>
  <c r="EU14" i="17"/>
  <c r="ET14" i="17"/>
  <c r="ES14" i="17"/>
  <c r="ER14" i="17"/>
  <c r="EQ14" i="17"/>
  <c r="EU13" i="17"/>
  <c r="ET13" i="17"/>
  <c r="ES13" i="17"/>
  <c r="ER13" i="17"/>
  <c r="EQ13" i="17"/>
  <c r="EU12" i="17"/>
  <c r="ET12" i="17"/>
  <c r="ES12" i="17"/>
  <c r="ER12" i="17"/>
  <c r="EQ12" i="17"/>
  <c r="EU11" i="17"/>
  <c r="ET11" i="17"/>
  <c r="ES11" i="17"/>
  <c r="ER11" i="17"/>
  <c r="EQ11" i="17"/>
  <c r="EU10" i="17"/>
  <c r="ET10" i="17"/>
  <c r="ES10" i="17"/>
  <c r="ER10" i="17"/>
  <c r="EQ10" i="17"/>
  <c r="EU9" i="17"/>
  <c r="ET9" i="17"/>
  <c r="ES9" i="17"/>
  <c r="ER9" i="17"/>
  <c r="EQ9" i="17"/>
  <c r="EU8" i="17"/>
  <c r="ET8" i="17"/>
  <c r="ES8" i="17"/>
  <c r="ER8" i="17"/>
  <c r="EQ8" i="17"/>
  <c r="EU5" i="17"/>
  <c r="ET5" i="17"/>
  <c r="ES5" i="17"/>
  <c r="ER5" i="17"/>
  <c r="EQ5" i="17"/>
  <c r="EU6" i="17"/>
  <c r="ET6" i="17"/>
  <c r="ES6" i="17"/>
  <c r="ER6" i="17"/>
  <c r="EQ6" i="17"/>
  <c r="EU7" i="17"/>
  <c r="ET7" i="17"/>
  <c r="ES7" i="17"/>
  <c r="ER7" i="17"/>
  <c r="EQ7" i="17"/>
  <c r="EU4" i="17"/>
  <c r="ET4" i="17"/>
  <c r="ES4" i="17"/>
  <c r="ER4" i="17"/>
  <c r="EQ4" i="17"/>
  <c r="DU20" i="17"/>
  <c r="DT20" i="17"/>
  <c r="DS20" i="17"/>
  <c r="DR20" i="17"/>
  <c r="DV20" i="17" s="1"/>
  <c r="DQ20" i="17"/>
  <c r="DU19" i="17"/>
  <c r="DT19" i="17"/>
  <c r="DS19" i="17"/>
  <c r="DR19" i="17"/>
  <c r="DQ19" i="17"/>
  <c r="DU18" i="17"/>
  <c r="DT18" i="17"/>
  <c r="DS18" i="17"/>
  <c r="DR18" i="17"/>
  <c r="DQ18" i="17"/>
  <c r="DU17" i="17"/>
  <c r="DT17" i="17"/>
  <c r="DS17" i="17"/>
  <c r="DR17" i="17"/>
  <c r="DQ17" i="17"/>
  <c r="DU16" i="17"/>
  <c r="DT16" i="17"/>
  <c r="DS16" i="17"/>
  <c r="DR16" i="17"/>
  <c r="DQ16" i="17"/>
  <c r="DU15" i="17"/>
  <c r="DT15" i="17"/>
  <c r="DS15" i="17"/>
  <c r="DR15" i="17"/>
  <c r="DQ15" i="17"/>
  <c r="DU14" i="17"/>
  <c r="DT14" i="17"/>
  <c r="DS14" i="17"/>
  <c r="DR14" i="17"/>
  <c r="DQ14" i="17"/>
  <c r="DU13" i="17"/>
  <c r="DT13" i="17"/>
  <c r="DS13" i="17"/>
  <c r="DR13" i="17"/>
  <c r="DQ13" i="17"/>
  <c r="DU12" i="17"/>
  <c r="DT12" i="17"/>
  <c r="DS12" i="17"/>
  <c r="DR12" i="17"/>
  <c r="DQ12" i="17"/>
  <c r="DU11" i="17"/>
  <c r="DT11" i="17"/>
  <c r="DS11" i="17"/>
  <c r="DR11" i="17"/>
  <c r="DQ11" i="17"/>
  <c r="DU10" i="17"/>
  <c r="DT10" i="17"/>
  <c r="DS10" i="17"/>
  <c r="DR10" i="17"/>
  <c r="DQ10" i="17"/>
  <c r="DU9" i="17"/>
  <c r="DT9" i="17"/>
  <c r="DS9" i="17"/>
  <c r="DR9" i="17"/>
  <c r="DV9" i="17" s="1"/>
  <c r="DQ9" i="17"/>
  <c r="DU8" i="17"/>
  <c r="DT8" i="17"/>
  <c r="DS8" i="17"/>
  <c r="DR8" i="17"/>
  <c r="DQ8" i="17"/>
  <c r="DU5" i="17"/>
  <c r="DT5" i="17"/>
  <c r="DS5" i="17"/>
  <c r="DR5" i="17"/>
  <c r="DQ5" i="17"/>
  <c r="DU6" i="17"/>
  <c r="DT6" i="17"/>
  <c r="DS6" i="17"/>
  <c r="DR6" i="17"/>
  <c r="DQ6" i="17"/>
  <c r="DU7" i="17"/>
  <c r="DT7" i="17"/>
  <c r="DS7" i="17"/>
  <c r="DR7" i="17"/>
  <c r="DQ7" i="17"/>
  <c r="DU4" i="17"/>
  <c r="DT4" i="17"/>
  <c r="DS4" i="17"/>
  <c r="DR4" i="17"/>
  <c r="DQ4" i="17"/>
  <c r="DV13" i="17" l="1"/>
  <c r="FV11" i="17"/>
  <c r="NV11" i="17"/>
  <c r="DV14" i="17"/>
  <c r="EV13" i="17"/>
  <c r="LV14" i="17"/>
  <c r="MV7" i="17"/>
  <c r="MV13" i="17"/>
  <c r="NV4" i="17"/>
  <c r="NV12" i="17"/>
  <c r="NV20" i="17"/>
  <c r="NV19" i="17"/>
  <c r="DV10" i="17"/>
  <c r="DV11" i="17"/>
  <c r="IV6" i="17"/>
  <c r="IV14" i="17"/>
  <c r="JV7" i="17"/>
  <c r="JV13" i="17"/>
  <c r="KV4" i="17"/>
  <c r="KV12" i="17"/>
  <c r="KV20" i="17"/>
  <c r="NV9" i="17"/>
  <c r="NV17" i="17"/>
  <c r="DV16" i="17"/>
  <c r="FV6" i="17"/>
  <c r="FV14" i="17"/>
  <c r="GV7" i="17"/>
  <c r="GV13" i="17"/>
  <c r="HV4" i="17"/>
  <c r="HV12" i="17"/>
  <c r="IV18" i="17"/>
  <c r="JV9" i="17"/>
  <c r="JV17" i="17"/>
  <c r="NV7" i="17"/>
  <c r="NV13" i="17"/>
  <c r="FV19" i="17"/>
  <c r="GV10" i="17"/>
  <c r="GV18" i="17"/>
  <c r="IV16" i="17"/>
  <c r="JV5" i="17"/>
  <c r="JV15" i="17"/>
  <c r="KV6" i="17"/>
  <c r="KV14" i="17"/>
  <c r="DV6" i="17"/>
  <c r="DV17" i="17"/>
  <c r="FV20" i="17"/>
  <c r="IV9" i="17"/>
  <c r="IV17" i="17"/>
  <c r="JV8" i="17"/>
  <c r="JV16" i="17"/>
  <c r="LV6" i="17"/>
  <c r="EV10" i="17"/>
  <c r="EV18" i="17"/>
  <c r="DV8" i="17"/>
  <c r="DV19" i="17"/>
  <c r="IV5" i="17"/>
  <c r="IV15" i="17"/>
  <c r="LV5" i="17"/>
  <c r="LV15" i="17"/>
  <c r="FV5" i="17"/>
  <c r="FV15" i="17"/>
  <c r="GV6" i="17"/>
  <c r="GV14" i="17"/>
  <c r="IV12" i="17"/>
  <c r="MV11" i="17"/>
  <c r="MV19" i="17"/>
  <c r="EV4" i="17"/>
  <c r="HV17" i="17"/>
  <c r="IV8" i="17"/>
  <c r="JV10" i="17"/>
  <c r="JV11" i="17"/>
  <c r="JV18" i="17"/>
  <c r="JV19" i="17"/>
  <c r="KV9" i="17"/>
  <c r="KV10" i="17"/>
  <c r="KV17" i="17"/>
  <c r="KV18" i="17"/>
  <c r="LV8" i="17"/>
  <c r="LV16" i="17"/>
  <c r="NV6" i="17"/>
  <c r="NV5" i="17"/>
  <c r="NV14" i="17"/>
  <c r="EV9" i="17"/>
  <c r="EV17" i="17"/>
  <c r="FV16" i="17"/>
  <c r="HV5" i="17"/>
  <c r="HV14" i="17"/>
  <c r="IV7" i="17"/>
  <c r="DV4" i="17"/>
  <c r="EV5" i="17"/>
  <c r="FV7" i="17"/>
  <c r="FV13" i="17"/>
  <c r="GV4" i="17"/>
  <c r="GV12" i="17"/>
  <c r="GV20" i="17"/>
  <c r="JV4" i="17"/>
  <c r="JV12" i="17"/>
  <c r="JV20" i="17"/>
  <c r="LV10" i="17"/>
  <c r="LV18" i="17"/>
  <c r="MV9" i="17"/>
  <c r="MV17" i="17"/>
  <c r="NV8" i="17"/>
  <c r="NV16" i="17"/>
  <c r="DV5" i="17"/>
  <c r="EV11" i="17"/>
  <c r="EV19" i="17"/>
  <c r="FV9" i="17"/>
  <c r="FV17" i="17"/>
  <c r="GV8" i="17"/>
  <c r="GV16" i="17"/>
  <c r="HV18" i="17"/>
  <c r="HV19" i="17"/>
  <c r="IV19" i="17"/>
  <c r="KV8" i="17"/>
  <c r="KV16" i="17"/>
  <c r="MV5" i="17"/>
  <c r="MV15" i="17"/>
  <c r="KV13" i="17"/>
  <c r="LV4" i="17"/>
  <c r="LV12" i="17"/>
  <c r="LV20" i="17"/>
  <c r="NV10" i="17"/>
  <c r="DV12" i="17"/>
  <c r="DV15" i="17"/>
  <c r="DV18" i="17"/>
  <c r="EV12" i="17"/>
  <c r="EV20" i="17"/>
  <c r="FV4" i="17"/>
  <c r="FV12" i="17"/>
  <c r="GV11" i="17"/>
  <c r="GV19" i="17"/>
  <c r="HV9" i="17"/>
  <c r="HV10" i="17"/>
  <c r="HV20" i="17"/>
  <c r="IV4" i="17"/>
  <c r="IV20" i="17"/>
  <c r="KV11" i="17"/>
  <c r="KV19" i="17"/>
  <c r="LV9" i="17"/>
  <c r="LV17" i="17"/>
  <c r="MV8" i="17"/>
  <c r="MV16" i="17"/>
  <c r="MV6" i="17"/>
  <c r="MV14" i="17"/>
  <c r="EV15" i="17"/>
  <c r="HV15" i="17"/>
  <c r="NV15" i="17"/>
  <c r="EV7" i="17"/>
  <c r="EV6" i="17"/>
  <c r="EV8" i="17"/>
  <c r="EV16" i="17"/>
  <c r="FV8" i="17"/>
  <c r="GV5" i="17"/>
  <c r="GV15" i="17"/>
  <c r="HV7" i="17"/>
  <c r="HV6" i="17"/>
  <c r="HV13" i="17"/>
  <c r="HV16" i="17"/>
  <c r="IV10" i="17"/>
  <c r="IV11" i="17"/>
  <c r="IV13" i="17"/>
  <c r="KV5" i="17"/>
  <c r="KV15" i="17"/>
  <c r="LV7" i="17"/>
  <c r="LV13" i="17"/>
  <c r="MV4" i="17"/>
  <c r="MV12" i="17"/>
  <c r="MV20" i="17"/>
  <c r="DV7" i="17"/>
  <c r="EV14" i="17"/>
  <c r="HV11" i="17"/>
  <c r="LV11" i="17"/>
  <c r="LV19" i="17"/>
  <c r="MV10" i="17"/>
  <c r="MV18" i="17"/>
  <c r="AQ13" i="16"/>
  <c r="AR13" i="16"/>
  <c r="AS13" i="16"/>
  <c r="AT13" i="16"/>
  <c r="AV13" i="16"/>
  <c r="AW13" i="16"/>
  <c r="BT13" i="16"/>
  <c r="BU13" i="16"/>
  <c r="BV13" i="16"/>
  <c r="BW13" i="16"/>
  <c r="BY13" i="16"/>
  <c r="BZ13" i="16"/>
  <c r="CW13" i="16"/>
  <c r="CX13" i="16"/>
  <c r="CY13" i="16"/>
  <c r="CZ13" i="16"/>
  <c r="DB13" i="16"/>
  <c r="DC13" i="16"/>
  <c r="EB13" i="16"/>
  <c r="EC13" i="16"/>
  <c r="ED13" i="16"/>
  <c r="EE13" i="16"/>
  <c r="EG13" i="16"/>
  <c r="EH13" i="16"/>
  <c r="FD13" i="16"/>
  <c r="FE13" i="16"/>
  <c r="FF13" i="16"/>
  <c r="FG13" i="16"/>
  <c r="FI13" i="16"/>
  <c r="FJ13" i="16"/>
  <c r="GF13" i="16"/>
  <c r="GG13" i="16"/>
  <c r="GH13" i="16"/>
  <c r="GI13" i="16"/>
  <c r="GK13" i="16"/>
  <c r="GL13" i="16"/>
  <c r="HH13" i="16"/>
  <c r="HI13" i="16"/>
  <c r="HJ13" i="16"/>
  <c r="HK13" i="16"/>
  <c r="HM13" i="16"/>
  <c r="HN13" i="16"/>
  <c r="IJ13" i="16"/>
  <c r="IK13" i="16"/>
  <c r="IL13" i="16"/>
  <c r="IM13" i="16"/>
  <c r="IO13" i="16"/>
  <c r="IP13" i="16"/>
  <c r="JL13" i="16"/>
  <c r="JM13" i="16"/>
  <c r="JN13" i="16"/>
  <c r="JO13" i="16"/>
  <c r="JQ13" i="16"/>
  <c r="JR13" i="16"/>
  <c r="KN13" i="16"/>
  <c r="KO13" i="16"/>
  <c r="KP13" i="16"/>
  <c r="KQ13" i="16"/>
  <c r="KS13" i="16"/>
  <c r="KT13" i="16"/>
  <c r="LP13" i="16"/>
  <c r="LQ13" i="16"/>
  <c r="LR13" i="16"/>
  <c r="LS13" i="16"/>
  <c r="LU13" i="16"/>
  <c r="LV13" i="16"/>
  <c r="MR13" i="16"/>
  <c r="MS13" i="16"/>
  <c r="MT13" i="16"/>
  <c r="MU13" i="16"/>
  <c r="MW13" i="16"/>
  <c r="MX13" i="16"/>
  <c r="NT13" i="16"/>
  <c r="NU13" i="16"/>
  <c r="NV13" i="16"/>
  <c r="NW13" i="16"/>
  <c r="NY13" i="16"/>
  <c r="NZ13" i="16"/>
  <c r="OV13" i="16"/>
  <c r="OW13" i="16"/>
  <c r="OX13" i="16"/>
  <c r="OY13" i="16"/>
  <c r="PA13" i="16"/>
  <c r="PB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KR13" i="16" l="1"/>
  <c r="AU13" i="16"/>
  <c r="GJ13" i="16"/>
  <c r="BX13" i="16"/>
  <c r="DD13" i="16"/>
  <c r="LT13" i="16"/>
  <c r="HL13" i="16"/>
  <c r="RF13" i="16"/>
  <c r="QB13" i="16"/>
  <c r="RA13" i="16"/>
  <c r="Q13" i="16"/>
  <c r="IN13" i="16"/>
  <c r="O13" i="16"/>
  <c r="AX13" i="16"/>
  <c r="OZ13" i="16"/>
  <c r="NX13" i="16"/>
  <c r="MV13" i="16"/>
  <c r="JP13" i="16"/>
  <c r="FH13" i="16"/>
  <c r="EF13" i="16"/>
  <c r="DA13" i="16"/>
  <c r="CA13" i="16"/>
  <c r="RG13" i="16"/>
  <c r="RC13" i="16"/>
  <c r="RB13" i="16"/>
  <c r="M13" i="16"/>
  <c r="N13" i="16" s="1"/>
  <c r="F13" i="16"/>
  <c r="K13" i="16"/>
  <c r="I13" i="16"/>
  <c r="J13" i="16" s="1"/>
  <c r="RD13" i="16"/>
  <c r="QE13" i="16"/>
  <c r="PC13" i="16"/>
  <c r="OA13" i="16"/>
  <c r="MY13" i="16"/>
  <c r="LW13" i="16"/>
  <c r="KU13" i="16"/>
  <c r="JS13" i="16"/>
  <c r="IQ13" i="16"/>
  <c r="HO13" i="16"/>
  <c r="GM13" i="16"/>
  <c r="FK13" i="16"/>
  <c r="EI13" i="16"/>
  <c r="G13" i="16"/>
  <c r="P13" i="16" l="1"/>
  <c r="DF13" i="16"/>
  <c r="L13" i="16"/>
  <c r="DE13" i="16"/>
  <c r="R13" i="16"/>
  <c r="DG13" i="16"/>
  <c r="RH13" i="16"/>
  <c r="RE13" i="16"/>
  <c r="H13" i="16"/>
  <c r="S13" i="16" l="1"/>
  <c r="U13" i="16" s="1"/>
  <c r="T13" i="16" l="1"/>
  <c r="E13" i="16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E11" i="18" s="1"/>
  <c r="QC11" i="18"/>
  <c r="QA11" i="18"/>
  <c r="PZ11" i="18"/>
  <c r="PY11" i="18"/>
  <c r="PX11" i="18"/>
  <c r="PB11" i="18"/>
  <c r="PA11" i="18"/>
  <c r="OY11" i="18"/>
  <c r="OX11" i="18"/>
  <c r="OW11" i="18"/>
  <c r="OV11" i="18"/>
  <c r="NZ11" i="18"/>
  <c r="NY11" i="18"/>
  <c r="NW11" i="18"/>
  <c r="NV11" i="18"/>
  <c r="NU11" i="18"/>
  <c r="NT11" i="18"/>
  <c r="MX11" i="18"/>
  <c r="MW11" i="18"/>
  <c r="MU11" i="18"/>
  <c r="MT11" i="18"/>
  <c r="MS11" i="18"/>
  <c r="MR11" i="18"/>
  <c r="LV11" i="18"/>
  <c r="LU11" i="18"/>
  <c r="LS11" i="18"/>
  <c r="LR11" i="18"/>
  <c r="LQ11" i="18"/>
  <c r="LP11" i="18"/>
  <c r="KT11" i="18"/>
  <c r="KS11" i="18"/>
  <c r="KQ11" i="18"/>
  <c r="KP11" i="18"/>
  <c r="KO11" i="18"/>
  <c r="KN11" i="18"/>
  <c r="JR11" i="18"/>
  <c r="JQ11" i="18"/>
  <c r="JO11" i="18"/>
  <c r="JN11" i="18"/>
  <c r="JM11" i="18"/>
  <c r="JS11" i="18" s="1"/>
  <c r="JL11" i="18"/>
  <c r="IP11" i="18"/>
  <c r="IO11" i="18"/>
  <c r="IM11" i="18"/>
  <c r="IL11" i="18"/>
  <c r="IK11" i="18"/>
  <c r="IJ11" i="18"/>
  <c r="HN11" i="18"/>
  <c r="HM11" i="18"/>
  <c r="HK11" i="18"/>
  <c r="HJ11" i="18"/>
  <c r="HI11" i="18"/>
  <c r="HH11" i="18"/>
  <c r="GL11" i="18"/>
  <c r="GK11" i="18"/>
  <c r="GI11" i="18"/>
  <c r="GH11" i="18"/>
  <c r="GG11" i="18"/>
  <c r="GF11" i="18"/>
  <c r="FJ11" i="18"/>
  <c r="FI11" i="18"/>
  <c r="FG11" i="18"/>
  <c r="FF11" i="18"/>
  <c r="FE11" i="18"/>
  <c r="FD11" i="18"/>
  <c r="EH11" i="18"/>
  <c r="EG11" i="18"/>
  <c r="EE11" i="18"/>
  <c r="ED11" i="18"/>
  <c r="EC11" i="18"/>
  <c r="EB11" i="18"/>
  <c r="DC11" i="18"/>
  <c r="DB11" i="18"/>
  <c r="CZ11" i="18"/>
  <c r="CY11" i="18"/>
  <c r="CX11" i="18"/>
  <c r="CW11" i="18"/>
  <c r="BZ11" i="18"/>
  <c r="BY11" i="18"/>
  <c r="BW11" i="18"/>
  <c r="BV11" i="18"/>
  <c r="BU11" i="18"/>
  <c r="BT11" i="18"/>
  <c r="AW11" i="18"/>
  <c r="AV11" i="18"/>
  <c r="AT11" i="18"/>
  <c r="AS11" i="18"/>
  <c r="AR11" i="18"/>
  <c r="AQ11" i="18"/>
  <c r="QY21" i="18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C21" i="18"/>
  <c r="QA21" i="18"/>
  <c r="PZ21" i="18"/>
  <c r="PY21" i="18"/>
  <c r="PX21" i="18"/>
  <c r="PB21" i="18"/>
  <c r="PA21" i="18"/>
  <c r="OY21" i="18"/>
  <c r="OX21" i="18"/>
  <c r="OW21" i="18"/>
  <c r="OV21" i="18"/>
  <c r="NZ21" i="18"/>
  <c r="NY21" i="18"/>
  <c r="NW21" i="18"/>
  <c r="NV21" i="18"/>
  <c r="NU21" i="18"/>
  <c r="NT21" i="18"/>
  <c r="MX21" i="18"/>
  <c r="MW21" i="18"/>
  <c r="MU21" i="18"/>
  <c r="MT21" i="18"/>
  <c r="MS21" i="18"/>
  <c r="MR21" i="18"/>
  <c r="LV21" i="18"/>
  <c r="LU21" i="18"/>
  <c r="LS21" i="18"/>
  <c r="LR21" i="18"/>
  <c r="LQ21" i="18"/>
  <c r="LP21" i="18"/>
  <c r="KT21" i="18"/>
  <c r="KS21" i="18"/>
  <c r="KQ21" i="18"/>
  <c r="KP21" i="18"/>
  <c r="KO21" i="18"/>
  <c r="KN21" i="18"/>
  <c r="JR21" i="18"/>
  <c r="JQ21" i="18"/>
  <c r="JO21" i="18"/>
  <c r="JN21" i="18"/>
  <c r="JM21" i="18"/>
  <c r="JL21" i="18"/>
  <c r="IP21" i="18"/>
  <c r="IO21" i="18"/>
  <c r="IM21" i="18"/>
  <c r="IL21" i="18"/>
  <c r="IK21" i="18"/>
  <c r="IJ21" i="18"/>
  <c r="HN21" i="18"/>
  <c r="HM21" i="18"/>
  <c r="HK21" i="18"/>
  <c r="HJ21" i="18"/>
  <c r="HI21" i="18"/>
  <c r="HH21" i="18"/>
  <c r="GL21" i="18"/>
  <c r="GK21" i="18"/>
  <c r="GI21" i="18"/>
  <c r="GH21" i="18"/>
  <c r="GG21" i="18"/>
  <c r="GF21" i="18"/>
  <c r="FJ21" i="18"/>
  <c r="FI21" i="18"/>
  <c r="FG21" i="18"/>
  <c r="FF21" i="18"/>
  <c r="FE21" i="18"/>
  <c r="FD21" i="18"/>
  <c r="EH21" i="18"/>
  <c r="EG21" i="18"/>
  <c r="EE21" i="18"/>
  <c r="ED21" i="18"/>
  <c r="EC21" i="18"/>
  <c r="EB21" i="18"/>
  <c r="DC21" i="18"/>
  <c r="DB21" i="18"/>
  <c r="CZ21" i="18"/>
  <c r="CY21" i="18"/>
  <c r="CX21" i="18"/>
  <c r="CW21" i="18"/>
  <c r="BZ21" i="18"/>
  <c r="BY21" i="18"/>
  <c r="BW21" i="18"/>
  <c r="BV21" i="18"/>
  <c r="BU21" i="18"/>
  <c r="BT21" i="18"/>
  <c r="AW21" i="18"/>
  <c r="AV21" i="18"/>
  <c r="AT21" i="18"/>
  <c r="AS21" i="18"/>
  <c r="AR21" i="18"/>
  <c r="AQ21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PB20" i="18"/>
  <c r="PA20" i="18"/>
  <c r="OY20" i="18"/>
  <c r="OX20" i="18"/>
  <c r="OW20" i="18"/>
  <c r="OV20" i="18"/>
  <c r="NZ20" i="18"/>
  <c r="NY20" i="18"/>
  <c r="NW20" i="18"/>
  <c r="NV20" i="18"/>
  <c r="NU20" i="18"/>
  <c r="NT20" i="18"/>
  <c r="MX20" i="18"/>
  <c r="MW20" i="18"/>
  <c r="MU20" i="18"/>
  <c r="MT20" i="18"/>
  <c r="MS20" i="18"/>
  <c r="MR20" i="18"/>
  <c r="LV20" i="18"/>
  <c r="LU20" i="18"/>
  <c r="LS20" i="18"/>
  <c r="LR20" i="18"/>
  <c r="LQ20" i="18"/>
  <c r="LP20" i="18"/>
  <c r="KT20" i="18"/>
  <c r="KS20" i="18"/>
  <c r="KQ20" i="18"/>
  <c r="KP20" i="18"/>
  <c r="KO20" i="18"/>
  <c r="KN20" i="18"/>
  <c r="JR20" i="18"/>
  <c r="JQ20" i="18"/>
  <c r="JO20" i="18"/>
  <c r="JN20" i="18"/>
  <c r="JM20" i="18"/>
  <c r="JL20" i="18"/>
  <c r="IP20" i="18"/>
  <c r="IO20" i="18"/>
  <c r="IM20" i="18"/>
  <c r="IL20" i="18"/>
  <c r="IK20" i="18"/>
  <c r="IJ20" i="18"/>
  <c r="HN20" i="18"/>
  <c r="HM20" i="18"/>
  <c r="HK20" i="18"/>
  <c r="HJ20" i="18"/>
  <c r="HI20" i="18"/>
  <c r="HH20" i="18"/>
  <c r="GL20" i="18"/>
  <c r="GK20" i="18"/>
  <c r="GI20" i="18"/>
  <c r="GH20" i="18"/>
  <c r="GG20" i="18"/>
  <c r="GF20" i="18"/>
  <c r="FJ20" i="18"/>
  <c r="FI20" i="18"/>
  <c r="FG20" i="18"/>
  <c r="FF20" i="18"/>
  <c r="FE20" i="18"/>
  <c r="FD20" i="18"/>
  <c r="EH20" i="18"/>
  <c r="EG20" i="18"/>
  <c r="EE20" i="18"/>
  <c r="ED20" i="18"/>
  <c r="EC20" i="18"/>
  <c r="EB20" i="18"/>
  <c r="DC20" i="18"/>
  <c r="DB20" i="18"/>
  <c r="CZ20" i="18"/>
  <c r="CY20" i="18"/>
  <c r="CX20" i="18"/>
  <c r="CW20" i="18"/>
  <c r="BZ20" i="18"/>
  <c r="BY20" i="18"/>
  <c r="BW20" i="18"/>
  <c r="BV20" i="18"/>
  <c r="BU20" i="18"/>
  <c r="BT20" i="18"/>
  <c r="AW20" i="18"/>
  <c r="AV20" i="18"/>
  <c r="AT20" i="18"/>
  <c r="AS20" i="18"/>
  <c r="AR20" i="18"/>
  <c r="AQ20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PB17" i="18"/>
  <c r="PA17" i="18"/>
  <c r="OY17" i="18"/>
  <c r="OX17" i="18"/>
  <c r="OW17" i="18"/>
  <c r="OV17" i="18"/>
  <c r="NZ17" i="18"/>
  <c r="NY17" i="18"/>
  <c r="NW17" i="18"/>
  <c r="NV17" i="18"/>
  <c r="NU17" i="18"/>
  <c r="NT17" i="18"/>
  <c r="MX17" i="18"/>
  <c r="MW17" i="18"/>
  <c r="MU17" i="18"/>
  <c r="MT17" i="18"/>
  <c r="MS17" i="18"/>
  <c r="MR17" i="18"/>
  <c r="LV17" i="18"/>
  <c r="LU17" i="18"/>
  <c r="LS17" i="18"/>
  <c r="LR17" i="18"/>
  <c r="LQ17" i="18"/>
  <c r="LP17" i="18"/>
  <c r="KT17" i="18"/>
  <c r="KS17" i="18"/>
  <c r="KQ17" i="18"/>
  <c r="KP17" i="18"/>
  <c r="KO17" i="18"/>
  <c r="KN17" i="18"/>
  <c r="JR17" i="18"/>
  <c r="JQ17" i="18"/>
  <c r="JO17" i="18"/>
  <c r="JN17" i="18"/>
  <c r="JM17" i="18"/>
  <c r="JL17" i="18"/>
  <c r="IP17" i="18"/>
  <c r="IO17" i="18"/>
  <c r="IM17" i="18"/>
  <c r="IL17" i="18"/>
  <c r="IK17" i="18"/>
  <c r="IJ17" i="18"/>
  <c r="HN17" i="18"/>
  <c r="HM17" i="18"/>
  <c r="HK17" i="18"/>
  <c r="HJ17" i="18"/>
  <c r="HI17" i="18"/>
  <c r="HH17" i="18"/>
  <c r="GL17" i="18"/>
  <c r="GK17" i="18"/>
  <c r="GI17" i="18"/>
  <c r="GH17" i="18"/>
  <c r="GG17" i="18"/>
  <c r="GF17" i="18"/>
  <c r="FJ17" i="18"/>
  <c r="FI17" i="18"/>
  <c r="FG17" i="18"/>
  <c r="FF17" i="18"/>
  <c r="FE17" i="18"/>
  <c r="FD17" i="18"/>
  <c r="EH17" i="18"/>
  <c r="EG17" i="18"/>
  <c r="EE17" i="18"/>
  <c r="ED17" i="18"/>
  <c r="EC17" i="18"/>
  <c r="EB17" i="18"/>
  <c r="DC17" i="18"/>
  <c r="DB17" i="18"/>
  <c r="CZ17" i="18"/>
  <c r="CY17" i="18"/>
  <c r="CX17" i="18"/>
  <c r="CW17" i="18"/>
  <c r="BZ17" i="18"/>
  <c r="BY17" i="18"/>
  <c r="BW17" i="18"/>
  <c r="BV17" i="18"/>
  <c r="BU17" i="18"/>
  <c r="BT17" i="18"/>
  <c r="AW17" i="18"/>
  <c r="AV17" i="18"/>
  <c r="AT17" i="18"/>
  <c r="AS17" i="18"/>
  <c r="AR17" i="18"/>
  <c r="AQ17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PB19" i="18"/>
  <c r="PA19" i="18"/>
  <c r="OY19" i="18"/>
  <c r="OX19" i="18"/>
  <c r="OW19" i="18"/>
  <c r="OV19" i="18"/>
  <c r="NZ19" i="18"/>
  <c r="NY19" i="18"/>
  <c r="NW19" i="18"/>
  <c r="NV19" i="18"/>
  <c r="NU19" i="18"/>
  <c r="NT19" i="18"/>
  <c r="MX19" i="18"/>
  <c r="MW19" i="18"/>
  <c r="MU19" i="18"/>
  <c r="MT19" i="18"/>
  <c r="MS19" i="18"/>
  <c r="MR19" i="18"/>
  <c r="LV19" i="18"/>
  <c r="LU19" i="18"/>
  <c r="LS19" i="18"/>
  <c r="LR19" i="18"/>
  <c r="LQ19" i="18"/>
  <c r="LP19" i="18"/>
  <c r="KT19" i="18"/>
  <c r="KS19" i="18"/>
  <c r="KQ19" i="18"/>
  <c r="KP19" i="18"/>
  <c r="KO19" i="18"/>
  <c r="KN19" i="18"/>
  <c r="JR19" i="18"/>
  <c r="JQ19" i="18"/>
  <c r="JO19" i="18"/>
  <c r="JN19" i="18"/>
  <c r="JM19" i="18"/>
  <c r="JL19" i="18"/>
  <c r="IP19" i="18"/>
  <c r="IO19" i="18"/>
  <c r="IM19" i="18"/>
  <c r="IL19" i="18"/>
  <c r="IK19" i="18"/>
  <c r="IJ19" i="18"/>
  <c r="HN19" i="18"/>
  <c r="HM19" i="18"/>
  <c r="HK19" i="18"/>
  <c r="HJ19" i="18"/>
  <c r="HI19" i="18"/>
  <c r="HH19" i="18"/>
  <c r="GL19" i="18"/>
  <c r="GK19" i="18"/>
  <c r="GI19" i="18"/>
  <c r="GH19" i="18"/>
  <c r="GG19" i="18"/>
  <c r="GF19" i="18"/>
  <c r="FJ19" i="18"/>
  <c r="FI19" i="18"/>
  <c r="FG19" i="18"/>
  <c r="FF19" i="18"/>
  <c r="FE19" i="18"/>
  <c r="FD19" i="18"/>
  <c r="EH19" i="18"/>
  <c r="EG19" i="18"/>
  <c r="EE19" i="18"/>
  <c r="ED19" i="18"/>
  <c r="EC19" i="18"/>
  <c r="EB19" i="18"/>
  <c r="DC19" i="18"/>
  <c r="DB19" i="18"/>
  <c r="CZ19" i="18"/>
  <c r="CY19" i="18"/>
  <c r="CX19" i="18"/>
  <c r="CW19" i="18"/>
  <c r="BZ19" i="18"/>
  <c r="BY19" i="18"/>
  <c r="BW19" i="18"/>
  <c r="BV19" i="18"/>
  <c r="BU19" i="18"/>
  <c r="BT19" i="18"/>
  <c r="AW19" i="18"/>
  <c r="AV19" i="18"/>
  <c r="AT19" i="18"/>
  <c r="AS19" i="18"/>
  <c r="AR19" i="18"/>
  <c r="AQ19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PB16" i="18"/>
  <c r="PA16" i="18"/>
  <c r="OY16" i="18"/>
  <c r="OX16" i="18"/>
  <c r="OW16" i="18"/>
  <c r="OV16" i="18"/>
  <c r="NZ16" i="18"/>
  <c r="NY16" i="18"/>
  <c r="NW16" i="18"/>
  <c r="NV16" i="18"/>
  <c r="NU16" i="18"/>
  <c r="NT16" i="18"/>
  <c r="MX16" i="18"/>
  <c r="MW16" i="18"/>
  <c r="MU16" i="18"/>
  <c r="MT16" i="18"/>
  <c r="MS16" i="18"/>
  <c r="MR16" i="18"/>
  <c r="LV16" i="18"/>
  <c r="LU16" i="18"/>
  <c r="LS16" i="18"/>
  <c r="LR16" i="18"/>
  <c r="LQ16" i="18"/>
  <c r="LP16" i="18"/>
  <c r="KT16" i="18"/>
  <c r="KS16" i="18"/>
  <c r="KQ16" i="18"/>
  <c r="KP16" i="18"/>
  <c r="KO16" i="18"/>
  <c r="KR16" i="18" s="1"/>
  <c r="KN16" i="18"/>
  <c r="JR16" i="18"/>
  <c r="JQ16" i="18"/>
  <c r="JO16" i="18"/>
  <c r="JN16" i="18"/>
  <c r="JM16" i="18"/>
  <c r="JL16" i="18"/>
  <c r="IP16" i="18"/>
  <c r="IO16" i="18"/>
  <c r="IM16" i="18"/>
  <c r="IL16" i="18"/>
  <c r="IK16" i="18"/>
  <c r="IJ16" i="18"/>
  <c r="HN16" i="18"/>
  <c r="HM16" i="18"/>
  <c r="HK16" i="18"/>
  <c r="HJ16" i="18"/>
  <c r="HI16" i="18"/>
  <c r="HH16" i="18"/>
  <c r="GL16" i="18"/>
  <c r="GK16" i="18"/>
  <c r="GI16" i="18"/>
  <c r="GH16" i="18"/>
  <c r="GG16" i="18"/>
  <c r="GJ16" i="18" s="1"/>
  <c r="GF16" i="18"/>
  <c r="FJ16" i="18"/>
  <c r="FI16" i="18"/>
  <c r="FG16" i="18"/>
  <c r="FF16" i="18"/>
  <c r="FE16" i="18"/>
  <c r="FD16" i="18"/>
  <c r="EH16" i="18"/>
  <c r="EG16" i="18"/>
  <c r="EE16" i="18"/>
  <c r="ED16" i="18"/>
  <c r="EC16" i="18"/>
  <c r="EB16" i="18"/>
  <c r="DC16" i="18"/>
  <c r="DB16" i="18"/>
  <c r="CZ16" i="18"/>
  <c r="CY16" i="18"/>
  <c r="CX16" i="18"/>
  <c r="CW16" i="18"/>
  <c r="BZ16" i="18"/>
  <c r="BY16" i="18"/>
  <c r="BW16" i="18"/>
  <c r="BV16" i="18"/>
  <c r="BU16" i="18"/>
  <c r="BX16" i="18" s="1"/>
  <c r="BT16" i="18"/>
  <c r="AW16" i="18"/>
  <c r="AV16" i="18"/>
  <c r="AT16" i="18"/>
  <c r="AS16" i="18"/>
  <c r="AR16" i="18"/>
  <c r="AQ16" i="18"/>
  <c r="QY18" i="18"/>
  <c r="QX18" i="18"/>
  <c r="QW18" i="18"/>
  <c r="QV18" i="18"/>
  <c r="QU18" i="18"/>
  <c r="QT18" i="18"/>
  <c r="QS18" i="18"/>
  <c r="QR18" i="18"/>
  <c r="QQ18" i="18"/>
  <c r="QP18" i="18"/>
  <c r="QO18" i="18"/>
  <c r="QN18" i="18"/>
  <c r="QM18" i="18"/>
  <c r="QL18" i="18"/>
  <c r="QK18" i="18"/>
  <c r="QJ18" i="18"/>
  <c r="QI18" i="18"/>
  <c r="QH18" i="18"/>
  <c r="QG18" i="18"/>
  <c r="QF18" i="18"/>
  <c r="QD18" i="18"/>
  <c r="QC18" i="18"/>
  <c r="QA18" i="18"/>
  <c r="PZ18" i="18"/>
  <c r="PY18" i="18"/>
  <c r="PX18" i="18"/>
  <c r="PB18" i="18"/>
  <c r="PA18" i="18"/>
  <c r="OY18" i="18"/>
  <c r="OX18" i="18"/>
  <c r="OW18" i="18"/>
  <c r="OV18" i="18"/>
  <c r="NZ18" i="18"/>
  <c r="NY18" i="18"/>
  <c r="NW18" i="18"/>
  <c r="NV18" i="18"/>
  <c r="NU18" i="18"/>
  <c r="NT18" i="18"/>
  <c r="MX18" i="18"/>
  <c r="MW18" i="18"/>
  <c r="MU18" i="18"/>
  <c r="MT18" i="18"/>
  <c r="MS18" i="18"/>
  <c r="MR18" i="18"/>
  <c r="LV18" i="18"/>
  <c r="LU18" i="18"/>
  <c r="LS18" i="18"/>
  <c r="LR18" i="18"/>
  <c r="LQ18" i="18"/>
  <c r="LP18" i="18"/>
  <c r="KT18" i="18"/>
  <c r="KS18" i="18"/>
  <c r="KQ18" i="18"/>
  <c r="KP18" i="18"/>
  <c r="KO18" i="18"/>
  <c r="KN18" i="18"/>
  <c r="JR18" i="18"/>
  <c r="JQ18" i="18"/>
  <c r="JO18" i="18"/>
  <c r="JN18" i="18"/>
  <c r="JM18" i="18"/>
  <c r="JL18" i="18"/>
  <c r="IP18" i="18"/>
  <c r="IO18" i="18"/>
  <c r="IM18" i="18"/>
  <c r="IL18" i="18"/>
  <c r="IK18" i="18"/>
  <c r="IJ18" i="18"/>
  <c r="HN18" i="18"/>
  <c r="HM18" i="18"/>
  <c r="HK18" i="18"/>
  <c r="HJ18" i="18"/>
  <c r="HI18" i="18"/>
  <c r="HH18" i="18"/>
  <c r="GL18" i="18"/>
  <c r="GK18" i="18"/>
  <c r="GI18" i="18"/>
  <c r="GH18" i="18"/>
  <c r="GG18" i="18"/>
  <c r="GF18" i="18"/>
  <c r="FJ18" i="18"/>
  <c r="FI18" i="18"/>
  <c r="FG18" i="18"/>
  <c r="FF18" i="18"/>
  <c r="FE18" i="18"/>
  <c r="FD18" i="18"/>
  <c r="EH18" i="18"/>
  <c r="EG18" i="18"/>
  <c r="EE18" i="18"/>
  <c r="ED18" i="18"/>
  <c r="EC18" i="18"/>
  <c r="EB18" i="18"/>
  <c r="DC18" i="18"/>
  <c r="DB18" i="18"/>
  <c r="CZ18" i="18"/>
  <c r="CY18" i="18"/>
  <c r="CX18" i="18"/>
  <c r="CW18" i="18"/>
  <c r="BZ18" i="18"/>
  <c r="BY18" i="18"/>
  <c r="BW18" i="18"/>
  <c r="BV18" i="18"/>
  <c r="BU18" i="18"/>
  <c r="BT18" i="18"/>
  <c r="AW18" i="18"/>
  <c r="AV18" i="18"/>
  <c r="AT18" i="18"/>
  <c r="AS18" i="18"/>
  <c r="AR18" i="18"/>
  <c r="AQ18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PB14" i="18"/>
  <c r="PA14" i="18"/>
  <c r="OY14" i="18"/>
  <c r="OX14" i="18"/>
  <c r="OW14" i="18"/>
  <c r="OV14" i="18"/>
  <c r="NZ14" i="18"/>
  <c r="NY14" i="18"/>
  <c r="NW14" i="18"/>
  <c r="NV14" i="18"/>
  <c r="NU14" i="18"/>
  <c r="NT14" i="18"/>
  <c r="MX14" i="18"/>
  <c r="MW14" i="18"/>
  <c r="MU14" i="18"/>
  <c r="MT14" i="18"/>
  <c r="MS14" i="18"/>
  <c r="MR14" i="18"/>
  <c r="LV14" i="18"/>
  <c r="LU14" i="18"/>
  <c r="LS14" i="18"/>
  <c r="LR14" i="18"/>
  <c r="LQ14" i="18"/>
  <c r="LP14" i="18"/>
  <c r="KT14" i="18"/>
  <c r="KS14" i="18"/>
  <c r="KQ14" i="18"/>
  <c r="KP14" i="18"/>
  <c r="KO14" i="18"/>
  <c r="KN14" i="18"/>
  <c r="JR14" i="18"/>
  <c r="JQ14" i="18"/>
  <c r="JO14" i="18"/>
  <c r="JN14" i="18"/>
  <c r="JM14" i="18"/>
  <c r="JL14" i="18"/>
  <c r="IP14" i="18"/>
  <c r="IO14" i="18"/>
  <c r="IM14" i="18"/>
  <c r="IL14" i="18"/>
  <c r="IK14" i="18"/>
  <c r="IJ14" i="18"/>
  <c r="HN14" i="18"/>
  <c r="HM14" i="18"/>
  <c r="HK14" i="18"/>
  <c r="HJ14" i="18"/>
  <c r="HI14" i="18"/>
  <c r="HH14" i="18"/>
  <c r="GL14" i="18"/>
  <c r="GK14" i="18"/>
  <c r="GI14" i="18"/>
  <c r="GH14" i="18"/>
  <c r="GG14" i="18"/>
  <c r="GF14" i="18"/>
  <c r="FJ14" i="18"/>
  <c r="FI14" i="18"/>
  <c r="FG14" i="18"/>
  <c r="FF14" i="18"/>
  <c r="FE14" i="18"/>
  <c r="FD14" i="18"/>
  <c r="EH14" i="18"/>
  <c r="EG14" i="18"/>
  <c r="EE14" i="18"/>
  <c r="ED14" i="18"/>
  <c r="EC14" i="18"/>
  <c r="EB14" i="18"/>
  <c r="DC14" i="18"/>
  <c r="DB14" i="18"/>
  <c r="CZ14" i="18"/>
  <c r="CY14" i="18"/>
  <c r="CX14" i="18"/>
  <c r="CW14" i="18"/>
  <c r="BZ14" i="18"/>
  <c r="BY14" i="18"/>
  <c r="BW14" i="18"/>
  <c r="BV14" i="18"/>
  <c r="BU14" i="18"/>
  <c r="BT14" i="18"/>
  <c r="AW14" i="18"/>
  <c r="AV14" i="18"/>
  <c r="AT14" i="18"/>
  <c r="AS14" i="18"/>
  <c r="AR14" i="18"/>
  <c r="AQ14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PB15" i="18"/>
  <c r="PA15" i="18"/>
  <c r="OY15" i="18"/>
  <c r="OX15" i="18"/>
  <c r="OW15" i="18"/>
  <c r="OV15" i="18"/>
  <c r="NZ15" i="18"/>
  <c r="NY15" i="18"/>
  <c r="NW15" i="18"/>
  <c r="NV15" i="18"/>
  <c r="NU15" i="18"/>
  <c r="NT15" i="18"/>
  <c r="MX15" i="18"/>
  <c r="MW15" i="18"/>
  <c r="MU15" i="18"/>
  <c r="MT15" i="18"/>
  <c r="MS15" i="18"/>
  <c r="MR15" i="18"/>
  <c r="LV15" i="18"/>
  <c r="LU15" i="18"/>
  <c r="LS15" i="18"/>
  <c r="LR15" i="18"/>
  <c r="LQ15" i="18"/>
  <c r="LP15" i="18"/>
  <c r="KT15" i="18"/>
  <c r="KS15" i="18"/>
  <c r="KQ15" i="18"/>
  <c r="KP15" i="18"/>
  <c r="KO15" i="18"/>
  <c r="KN15" i="18"/>
  <c r="JR15" i="18"/>
  <c r="JQ15" i="18"/>
  <c r="JO15" i="18"/>
  <c r="JN15" i="18"/>
  <c r="JM15" i="18"/>
  <c r="JL15" i="18"/>
  <c r="IP15" i="18"/>
  <c r="IO15" i="18"/>
  <c r="IM15" i="18"/>
  <c r="IL15" i="18"/>
  <c r="IK15" i="18"/>
  <c r="IJ15" i="18"/>
  <c r="HN15" i="18"/>
  <c r="HM15" i="18"/>
  <c r="HK15" i="18"/>
  <c r="HJ15" i="18"/>
  <c r="HI15" i="18"/>
  <c r="HH15" i="18"/>
  <c r="GL15" i="18"/>
  <c r="GK15" i="18"/>
  <c r="GI15" i="18"/>
  <c r="GH15" i="18"/>
  <c r="GG15" i="18"/>
  <c r="GF15" i="18"/>
  <c r="FJ15" i="18"/>
  <c r="FI15" i="18"/>
  <c r="FG15" i="18"/>
  <c r="FF15" i="18"/>
  <c r="FE15" i="18"/>
  <c r="FD15" i="18"/>
  <c r="EH15" i="18"/>
  <c r="EG15" i="18"/>
  <c r="EE15" i="18"/>
  <c r="ED15" i="18"/>
  <c r="EC15" i="18"/>
  <c r="EB15" i="18"/>
  <c r="DC15" i="18"/>
  <c r="DB15" i="18"/>
  <c r="CZ15" i="18"/>
  <c r="CY15" i="18"/>
  <c r="CX15" i="18"/>
  <c r="CW15" i="18"/>
  <c r="BZ15" i="18"/>
  <c r="BY15" i="18"/>
  <c r="BW15" i="18"/>
  <c r="BV15" i="18"/>
  <c r="BU15" i="18"/>
  <c r="BT15" i="18"/>
  <c r="AW15" i="18"/>
  <c r="AV15" i="18"/>
  <c r="AT15" i="18"/>
  <c r="AS15" i="18"/>
  <c r="AR15" i="18"/>
  <c r="AQ15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PB13" i="18"/>
  <c r="PA13" i="18"/>
  <c r="OY13" i="18"/>
  <c r="OX13" i="18"/>
  <c r="OW13" i="18"/>
  <c r="OV13" i="18"/>
  <c r="NZ13" i="18"/>
  <c r="NY13" i="18"/>
  <c r="NW13" i="18"/>
  <c r="NV13" i="18"/>
  <c r="NU13" i="18"/>
  <c r="NT13" i="18"/>
  <c r="MX13" i="18"/>
  <c r="MW13" i="18"/>
  <c r="MU13" i="18"/>
  <c r="MT13" i="18"/>
  <c r="MS13" i="18"/>
  <c r="MR13" i="18"/>
  <c r="LV13" i="18"/>
  <c r="LU13" i="18"/>
  <c r="LS13" i="18"/>
  <c r="LR13" i="18"/>
  <c r="LQ13" i="18"/>
  <c r="LP13" i="18"/>
  <c r="KT13" i="18"/>
  <c r="KS13" i="18"/>
  <c r="KQ13" i="18"/>
  <c r="KP13" i="18"/>
  <c r="KO13" i="18"/>
  <c r="KN13" i="18"/>
  <c r="JR13" i="18"/>
  <c r="JQ13" i="18"/>
  <c r="JO13" i="18"/>
  <c r="JN13" i="18"/>
  <c r="JM13" i="18"/>
  <c r="JL13" i="18"/>
  <c r="IP13" i="18"/>
  <c r="IO13" i="18"/>
  <c r="IM13" i="18"/>
  <c r="IL13" i="18"/>
  <c r="IK13" i="18"/>
  <c r="IJ13" i="18"/>
  <c r="HN13" i="18"/>
  <c r="HM13" i="18"/>
  <c r="HK13" i="18"/>
  <c r="HJ13" i="18"/>
  <c r="HI13" i="18"/>
  <c r="HH13" i="18"/>
  <c r="GL13" i="18"/>
  <c r="GK13" i="18"/>
  <c r="GI13" i="18"/>
  <c r="GH13" i="18"/>
  <c r="GG13" i="18"/>
  <c r="GF13" i="18"/>
  <c r="FJ13" i="18"/>
  <c r="FI13" i="18"/>
  <c r="FG13" i="18"/>
  <c r="FF13" i="18"/>
  <c r="FE13" i="18"/>
  <c r="FD13" i="18"/>
  <c r="EH13" i="18"/>
  <c r="EG13" i="18"/>
  <c r="EE13" i="18"/>
  <c r="ED13" i="18"/>
  <c r="EC13" i="18"/>
  <c r="EB13" i="18"/>
  <c r="DC13" i="18"/>
  <c r="DB13" i="18"/>
  <c r="CZ13" i="18"/>
  <c r="CY13" i="18"/>
  <c r="CX13" i="18"/>
  <c r="CW13" i="18"/>
  <c r="BZ13" i="18"/>
  <c r="BY13" i="18"/>
  <c r="BW13" i="18"/>
  <c r="BV13" i="18"/>
  <c r="BU13" i="18"/>
  <c r="BT13" i="18"/>
  <c r="AW13" i="18"/>
  <c r="AV13" i="18"/>
  <c r="AT13" i="18"/>
  <c r="AS13" i="18"/>
  <c r="AR13" i="18"/>
  <c r="AQ13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PB8" i="18"/>
  <c r="PA8" i="18"/>
  <c r="OY8" i="18"/>
  <c r="OX8" i="18"/>
  <c r="OW8" i="18"/>
  <c r="OV8" i="18"/>
  <c r="NZ8" i="18"/>
  <c r="NY8" i="18"/>
  <c r="NW8" i="18"/>
  <c r="NV8" i="18"/>
  <c r="NU8" i="18"/>
  <c r="NT8" i="18"/>
  <c r="MX8" i="18"/>
  <c r="MW8" i="18"/>
  <c r="MU8" i="18"/>
  <c r="MT8" i="18"/>
  <c r="MS8" i="18"/>
  <c r="MR8" i="18"/>
  <c r="LV8" i="18"/>
  <c r="LU8" i="18"/>
  <c r="LS8" i="18"/>
  <c r="LR8" i="18"/>
  <c r="LQ8" i="18"/>
  <c r="LP8" i="18"/>
  <c r="KT8" i="18"/>
  <c r="KS8" i="18"/>
  <c r="KQ8" i="18"/>
  <c r="KP8" i="18"/>
  <c r="KO8" i="18"/>
  <c r="KN8" i="18"/>
  <c r="JR8" i="18"/>
  <c r="JQ8" i="18"/>
  <c r="JO8" i="18"/>
  <c r="JN8" i="18"/>
  <c r="JM8" i="18"/>
  <c r="JL8" i="18"/>
  <c r="IP8" i="18"/>
  <c r="IO8" i="18"/>
  <c r="IM8" i="18"/>
  <c r="IL8" i="18"/>
  <c r="IK8" i="18"/>
  <c r="IJ8" i="18"/>
  <c r="HN8" i="18"/>
  <c r="HM8" i="18"/>
  <c r="HK8" i="18"/>
  <c r="HJ8" i="18"/>
  <c r="HI8" i="18"/>
  <c r="HH8" i="18"/>
  <c r="GL8" i="18"/>
  <c r="GK8" i="18"/>
  <c r="GI8" i="18"/>
  <c r="GH8" i="18"/>
  <c r="GG8" i="18"/>
  <c r="GF8" i="18"/>
  <c r="FJ8" i="18"/>
  <c r="FI8" i="18"/>
  <c r="FG8" i="18"/>
  <c r="FF8" i="18"/>
  <c r="FE8" i="18"/>
  <c r="FD8" i="18"/>
  <c r="EH8" i="18"/>
  <c r="EG8" i="18"/>
  <c r="EE8" i="18"/>
  <c r="ED8" i="18"/>
  <c r="EC8" i="18"/>
  <c r="EB8" i="18"/>
  <c r="DC8" i="18"/>
  <c r="DB8" i="18"/>
  <c r="CZ8" i="18"/>
  <c r="CY8" i="18"/>
  <c r="CX8" i="18"/>
  <c r="CW8" i="18"/>
  <c r="BZ8" i="18"/>
  <c r="BY8" i="18"/>
  <c r="BW8" i="18"/>
  <c r="BV8" i="18"/>
  <c r="BU8" i="18"/>
  <c r="BT8" i="18"/>
  <c r="AW8" i="18"/>
  <c r="AV8" i="18"/>
  <c r="AT8" i="18"/>
  <c r="AS8" i="18"/>
  <c r="AR8" i="18"/>
  <c r="AQ8" i="18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PB12" i="18"/>
  <c r="PA12" i="18"/>
  <c r="OY12" i="18"/>
  <c r="OX12" i="18"/>
  <c r="OW12" i="18"/>
  <c r="OV12" i="18"/>
  <c r="NZ12" i="18"/>
  <c r="NY12" i="18"/>
  <c r="NW12" i="18"/>
  <c r="NV12" i="18"/>
  <c r="NU12" i="18"/>
  <c r="NT12" i="18"/>
  <c r="MX12" i="18"/>
  <c r="MW12" i="18"/>
  <c r="MU12" i="18"/>
  <c r="MT12" i="18"/>
  <c r="MS12" i="18"/>
  <c r="MR12" i="18"/>
  <c r="LV12" i="18"/>
  <c r="LU12" i="18"/>
  <c r="LS12" i="18"/>
  <c r="LR12" i="18"/>
  <c r="LQ12" i="18"/>
  <c r="LP12" i="18"/>
  <c r="KT12" i="18"/>
  <c r="KS12" i="18"/>
  <c r="KQ12" i="18"/>
  <c r="KP12" i="18"/>
  <c r="KO12" i="18"/>
  <c r="KN12" i="18"/>
  <c r="JR12" i="18"/>
  <c r="JQ12" i="18"/>
  <c r="JO12" i="18"/>
  <c r="JN12" i="18"/>
  <c r="JM12" i="18"/>
  <c r="JL12" i="18"/>
  <c r="IP12" i="18"/>
  <c r="IO12" i="18"/>
  <c r="IM12" i="18"/>
  <c r="IL12" i="18"/>
  <c r="IK12" i="18"/>
  <c r="IJ12" i="18"/>
  <c r="HN12" i="18"/>
  <c r="HM12" i="18"/>
  <c r="HK12" i="18"/>
  <c r="HJ12" i="18"/>
  <c r="HI12" i="18"/>
  <c r="HH12" i="18"/>
  <c r="GL12" i="18"/>
  <c r="GK12" i="18"/>
  <c r="GI12" i="18"/>
  <c r="GH12" i="18"/>
  <c r="GG12" i="18"/>
  <c r="GF12" i="18"/>
  <c r="FJ12" i="18"/>
  <c r="FI12" i="18"/>
  <c r="FG12" i="18"/>
  <c r="FF12" i="18"/>
  <c r="FE12" i="18"/>
  <c r="FD12" i="18"/>
  <c r="EH12" i="18"/>
  <c r="EG12" i="18"/>
  <c r="EE12" i="18"/>
  <c r="ED12" i="18"/>
  <c r="EC12" i="18"/>
  <c r="EB12" i="18"/>
  <c r="DC12" i="18"/>
  <c r="DB12" i="18"/>
  <c r="CZ12" i="18"/>
  <c r="CY12" i="18"/>
  <c r="CX12" i="18"/>
  <c r="CW12" i="18"/>
  <c r="BZ12" i="18"/>
  <c r="BY12" i="18"/>
  <c r="BW12" i="18"/>
  <c r="BV12" i="18"/>
  <c r="BU12" i="18"/>
  <c r="BT12" i="18"/>
  <c r="AW12" i="18"/>
  <c r="AV12" i="18"/>
  <c r="AT12" i="18"/>
  <c r="AS12" i="18"/>
  <c r="AR12" i="18"/>
  <c r="AQ12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PB10" i="18"/>
  <c r="PA10" i="18"/>
  <c r="OY10" i="18"/>
  <c r="OX10" i="18"/>
  <c r="OW10" i="18"/>
  <c r="OV10" i="18"/>
  <c r="NZ10" i="18"/>
  <c r="NY10" i="18"/>
  <c r="NW10" i="18"/>
  <c r="NV10" i="18"/>
  <c r="NU10" i="18"/>
  <c r="NT10" i="18"/>
  <c r="MX10" i="18"/>
  <c r="MW10" i="18"/>
  <c r="MU10" i="18"/>
  <c r="MT10" i="18"/>
  <c r="MS10" i="18"/>
  <c r="MR10" i="18"/>
  <c r="LV10" i="18"/>
  <c r="LU10" i="18"/>
  <c r="LS10" i="18"/>
  <c r="LR10" i="18"/>
  <c r="LQ10" i="18"/>
  <c r="LP10" i="18"/>
  <c r="KT10" i="18"/>
  <c r="KS10" i="18"/>
  <c r="KQ10" i="18"/>
  <c r="KP10" i="18"/>
  <c r="KO10" i="18"/>
  <c r="KN10" i="18"/>
  <c r="JR10" i="18"/>
  <c r="JQ10" i="18"/>
  <c r="JO10" i="18"/>
  <c r="JN10" i="18"/>
  <c r="JM10" i="18"/>
  <c r="JL10" i="18"/>
  <c r="IP10" i="18"/>
  <c r="IO10" i="18"/>
  <c r="IM10" i="18"/>
  <c r="IL10" i="18"/>
  <c r="IK10" i="18"/>
  <c r="IJ10" i="18"/>
  <c r="HN10" i="18"/>
  <c r="HM10" i="18"/>
  <c r="HK10" i="18"/>
  <c r="HJ10" i="18"/>
  <c r="HI10" i="18"/>
  <c r="HH10" i="18"/>
  <c r="GL10" i="18"/>
  <c r="GK10" i="18"/>
  <c r="GI10" i="18"/>
  <c r="GH10" i="18"/>
  <c r="GG10" i="18"/>
  <c r="GF10" i="18"/>
  <c r="FJ10" i="18"/>
  <c r="FI10" i="18"/>
  <c r="FG10" i="18"/>
  <c r="FF10" i="18"/>
  <c r="FE10" i="18"/>
  <c r="FD10" i="18"/>
  <c r="EH10" i="18"/>
  <c r="EG10" i="18"/>
  <c r="EE10" i="18"/>
  <c r="ED10" i="18"/>
  <c r="EC10" i="18"/>
  <c r="EB10" i="18"/>
  <c r="DC10" i="18"/>
  <c r="DB10" i="18"/>
  <c r="CZ10" i="18"/>
  <c r="CY10" i="18"/>
  <c r="CX10" i="18"/>
  <c r="CW10" i="18"/>
  <c r="BZ10" i="18"/>
  <c r="BY10" i="18"/>
  <c r="BW10" i="18"/>
  <c r="BV10" i="18"/>
  <c r="BU10" i="18"/>
  <c r="BT10" i="18"/>
  <c r="AW10" i="18"/>
  <c r="AV10" i="18"/>
  <c r="AT10" i="18"/>
  <c r="AS10" i="18"/>
  <c r="AR10" i="18"/>
  <c r="AQ10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PB7" i="18"/>
  <c r="PA7" i="18"/>
  <c r="OY7" i="18"/>
  <c r="OX7" i="18"/>
  <c r="OW7" i="18"/>
  <c r="OV7" i="18"/>
  <c r="NZ7" i="18"/>
  <c r="NY7" i="18"/>
  <c r="NW7" i="18"/>
  <c r="NV7" i="18"/>
  <c r="NU7" i="18"/>
  <c r="NT7" i="18"/>
  <c r="MX7" i="18"/>
  <c r="MW7" i="18"/>
  <c r="MU7" i="18"/>
  <c r="MT7" i="18"/>
  <c r="MS7" i="18"/>
  <c r="MR7" i="18"/>
  <c r="LV7" i="18"/>
  <c r="LU7" i="18"/>
  <c r="LS7" i="18"/>
  <c r="LR7" i="18"/>
  <c r="LQ7" i="18"/>
  <c r="LP7" i="18"/>
  <c r="KT7" i="18"/>
  <c r="KS7" i="18"/>
  <c r="KQ7" i="18"/>
  <c r="KP7" i="18"/>
  <c r="KO7" i="18"/>
  <c r="KN7" i="18"/>
  <c r="JR7" i="18"/>
  <c r="JQ7" i="18"/>
  <c r="JO7" i="18"/>
  <c r="JN7" i="18"/>
  <c r="JM7" i="18"/>
  <c r="JL7" i="18"/>
  <c r="IP7" i="18"/>
  <c r="IO7" i="18"/>
  <c r="IM7" i="18"/>
  <c r="IL7" i="18"/>
  <c r="IK7" i="18"/>
  <c r="IJ7" i="18"/>
  <c r="HN7" i="18"/>
  <c r="HM7" i="18"/>
  <c r="HK7" i="18"/>
  <c r="HJ7" i="18"/>
  <c r="HI7" i="18"/>
  <c r="HH7" i="18"/>
  <c r="GL7" i="18"/>
  <c r="GK7" i="18"/>
  <c r="GI7" i="18"/>
  <c r="GH7" i="18"/>
  <c r="GG7" i="18"/>
  <c r="GF7" i="18"/>
  <c r="FJ7" i="18"/>
  <c r="FI7" i="18"/>
  <c r="FG7" i="18"/>
  <c r="FF7" i="18"/>
  <c r="FE7" i="18"/>
  <c r="FD7" i="18"/>
  <c r="EH7" i="18"/>
  <c r="EG7" i="18"/>
  <c r="EE7" i="18"/>
  <c r="ED7" i="18"/>
  <c r="EC7" i="18"/>
  <c r="EB7" i="18"/>
  <c r="DC7" i="18"/>
  <c r="DB7" i="18"/>
  <c r="CZ7" i="18"/>
  <c r="CY7" i="18"/>
  <c r="CX7" i="18"/>
  <c r="CW7" i="18"/>
  <c r="BZ7" i="18"/>
  <c r="BY7" i="18"/>
  <c r="BW7" i="18"/>
  <c r="BV7" i="18"/>
  <c r="BU7" i="18"/>
  <c r="BT7" i="18"/>
  <c r="AW7" i="18"/>
  <c r="AV7" i="18"/>
  <c r="AT7" i="18"/>
  <c r="AS7" i="18"/>
  <c r="AR7" i="18"/>
  <c r="AQ7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PB5" i="18"/>
  <c r="PA5" i="18"/>
  <c r="OY5" i="18"/>
  <c r="OX5" i="18"/>
  <c r="OW5" i="18"/>
  <c r="OV5" i="18"/>
  <c r="NZ5" i="18"/>
  <c r="NY5" i="18"/>
  <c r="NW5" i="18"/>
  <c r="NV5" i="18"/>
  <c r="NU5" i="18"/>
  <c r="NT5" i="18"/>
  <c r="MX5" i="18"/>
  <c r="MW5" i="18"/>
  <c r="MU5" i="18"/>
  <c r="MT5" i="18"/>
  <c r="MS5" i="18"/>
  <c r="MR5" i="18"/>
  <c r="LV5" i="18"/>
  <c r="LU5" i="18"/>
  <c r="LS5" i="18"/>
  <c r="LR5" i="18"/>
  <c r="LQ5" i="18"/>
  <c r="LP5" i="18"/>
  <c r="KT5" i="18"/>
  <c r="KS5" i="18"/>
  <c r="KQ5" i="18"/>
  <c r="KP5" i="18"/>
  <c r="KO5" i="18"/>
  <c r="KN5" i="18"/>
  <c r="JR5" i="18"/>
  <c r="JQ5" i="18"/>
  <c r="JO5" i="18"/>
  <c r="JN5" i="18"/>
  <c r="JM5" i="18"/>
  <c r="JL5" i="18"/>
  <c r="IP5" i="18"/>
  <c r="IO5" i="18"/>
  <c r="IM5" i="18"/>
  <c r="IL5" i="18"/>
  <c r="IK5" i="18"/>
  <c r="IJ5" i="18"/>
  <c r="HN5" i="18"/>
  <c r="HM5" i="18"/>
  <c r="HK5" i="18"/>
  <c r="HJ5" i="18"/>
  <c r="HI5" i="18"/>
  <c r="HH5" i="18"/>
  <c r="GL5" i="18"/>
  <c r="GK5" i="18"/>
  <c r="GI5" i="18"/>
  <c r="GH5" i="18"/>
  <c r="GG5" i="18"/>
  <c r="GF5" i="18"/>
  <c r="FJ5" i="18"/>
  <c r="FI5" i="18"/>
  <c r="FG5" i="18"/>
  <c r="FF5" i="18"/>
  <c r="FE5" i="18"/>
  <c r="FD5" i="18"/>
  <c r="EH5" i="18"/>
  <c r="EG5" i="18"/>
  <c r="EE5" i="18"/>
  <c r="ED5" i="18"/>
  <c r="EC5" i="18"/>
  <c r="EB5" i="18"/>
  <c r="DC5" i="18"/>
  <c r="DB5" i="18"/>
  <c r="CZ5" i="18"/>
  <c r="CY5" i="18"/>
  <c r="CX5" i="18"/>
  <c r="CW5" i="18"/>
  <c r="BZ5" i="18"/>
  <c r="BY5" i="18"/>
  <c r="BW5" i="18"/>
  <c r="BV5" i="18"/>
  <c r="BU5" i="18"/>
  <c r="BT5" i="18"/>
  <c r="AW5" i="18"/>
  <c r="AV5" i="18"/>
  <c r="AT5" i="18"/>
  <c r="AS5" i="18"/>
  <c r="AR5" i="18"/>
  <c r="AQ5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PB9" i="18"/>
  <c r="PA9" i="18"/>
  <c r="OY9" i="18"/>
  <c r="OX9" i="18"/>
  <c r="OW9" i="18"/>
  <c r="OV9" i="18"/>
  <c r="NZ9" i="18"/>
  <c r="NY9" i="18"/>
  <c r="NW9" i="18"/>
  <c r="NV9" i="18"/>
  <c r="NU9" i="18"/>
  <c r="NT9" i="18"/>
  <c r="MX9" i="18"/>
  <c r="MW9" i="18"/>
  <c r="MU9" i="18"/>
  <c r="MT9" i="18"/>
  <c r="MS9" i="18"/>
  <c r="MR9" i="18"/>
  <c r="LV9" i="18"/>
  <c r="LU9" i="18"/>
  <c r="LS9" i="18"/>
  <c r="LR9" i="18"/>
  <c r="LQ9" i="18"/>
  <c r="LP9" i="18"/>
  <c r="KT9" i="18"/>
  <c r="KS9" i="18"/>
  <c r="KQ9" i="18"/>
  <c r="KP9" i="18"/>
  <c r="KO9" i="18"/>
  <c r="KN9" i="18"/>
  <c r="JR9" i="18"/>
  <c r="JQ9" i="18"/>
  <c r="JO9" i="18"/>
  <c r="JN9" i="18"/>
  <c r="JM9" i="18"/>
  <c r="JL9" i="18"/>
  <c r="IP9" i="18"/>
  <c r="IO9" i="18"/>
  <c r="IM9" i="18"/>
  <c r="IL9" i="18"/>
  <c r="IK9" i="18"/>
  <c r="IJ9" i="18"/>
  <c r="HN9" i="18"/>
  <c r="HM9" i="18"/>
  <c r="HK9" i="18"/>
  <c r="HJ9" i="18"/>
  <c r="HI9" i="18"/>
  <c r="HH9" i="18"/>
  <c r="GL9" i="18"/>
  <c r="GK9" i="18"/>
  <c r="GI9" i="18"/>
  <c r="GH9" i="18"/>
  <c r="GG9" i="18"/>
  <c r="GF9" i="18"/>
  <c r="FJ9" i="18"/>
  <c r="FI9" i="18"/>
  <c r="FG9" i="18"/>
  <c r="FF9" i="18"/>
  <c r="FE9" i="18"/>
  <c r="FD9" i="18"/>
  <c r="EH9" i="18"/>
  <c r="EG9" i="18"/>
  <c r="EE9" i="18"/>
  <c r="ED9" i="18"/>
  <c r="EC9" i="18"/>
  <c r="EB9" i="18"/>
  <c r="DC9" i="18"/>
  <c r="DB9" i="18"/>
  <c r="CZ9" i="18"/>
  <c r="CY9" i="18"/>
  <c r="CX9" i="18"/>
  <c r="CW9" i="18"/>
  <c r="BZ9" i="18"/>
  <c r="BY9" i="18"/>
  <c r="BW9" i="18"/>
  <c r="BV9" i="18"/>
  <c r="BU9" i="18"/>
  <c r="BT9" i="18"/>
  <c r="AW9" i="18"/>
  <c r="AV9" i="18"/>
  <c r="AT9" i="18"/>
  <c r="AS9" i="18"/>
  <c r="AR9" i="18"/>
  <c r="AQ9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PX6" i="18"/>
  <c r="PB6" i="18"/>
  <c r="PA6" i="18"/>
  <c r="OY6" i="18"/>
  <c r="OX6" i="18"/>
  <c r="OW6" i="18"/>
  <c r="OV6" i="18"/>
  <c r="NZ6" i="18"/>
  <c r="NY6" i="18"/>
  <c r="NW6" i="18"/>
  <c r="NV6" i="18"/>
  <c r="NU6" i="18"/>
  <c r="NT6" i="18"/>
  <c r="MX6" i="18"/>
  <c r="MW6" i="18"/>
  <c r="MU6" i="18"/>
  <c r="MT6" i="18"/>
  <c r="MS6" i="18"/>
  <c r="MR6" i="18"/>
  <c r="LV6" i="18"/>
  <c r="LU6" i="18"/>
  <c r="LS6" i="18"/>
  <c r="LR6" i="18"/>
  <c r="LQ6" i="18"/>
  <c r="LP6" i="18"/>
  <c r="KT6" i="18"/>
  <c r="KS6" i="18"/>
  <c r="KQ6" i="18"/>
  <c r="KP6" i="18"/>
  <c r="KO6" i="18"/>
  <c r="KN6" i="18"/>
  <c r="JR6" i="18"/>
  <c r="JQ6" i="18"/>
  <c r="JO6" i="18"/>
  <c r="JN6" i="18"/>
  <c r="JM6" i="18"/>
  <c r="JL6" i="18"/>
  <c r="IP6" i="18"/>
  <c r="IO6" i="18"/>
  <c r="IM6" i="18"/>
  <c r="IL6" i="18"/>
  <c r="IK6" i="18"/>
  <c r="IJ6" i="18"/>
  <c r="HN6" i="18"/>
  <c r="HM6" i="18"/>
  <c r="HK6" i="18"/>
  <c r="HJ6" i="18"/>
  <c r="HI6" i="18"/>
  <c r="HH6" i="18"/>
  <c r="GL6" i="18"/>
  <c r="GK6" i="18"/>
  <c r="GI6" i="18"/>
  <c r="GH6" i="18"/>
  <c r="GG6" i="18"/>
  <c r="GF6" i="18"/>
  <c r="FJ6" i="18"/>
  <c r="FI6" i="18"/>
  <c r="FG6" i="18"/>
  <c r="FF6" i="18"/>
  <c r="FE6" i="18"/>
  <c r="FD6" i="18"/>
  <c r="EH6" i="18"/>
  <c r="EG6" i="18"/>
  <c r="EE6" i="18"/>
  <c r="ED6" i="18"/>
  <c r="EC6" i="18"/>
  <c r="EB6" i="18"/>
  <c r="DC6" i="18"/>
  <c r="DB6" i="18"/>
  <c r="CZ6" i="18"/>
  <c r="CY6" i="18"/>
  <c r="CX6" i="18"/>
  <c r="CW6" i="18"/>
  <c r="BZ6" i="18"/>
  <c r="BY6" i="18"/>
  <c r="BW6" i="18"/>
  <c r="BV6" i="18"/>
  <c r="BU6" i="18"/>
  <c r="BT6" i="18"/>
  <c r="AW6" i="18"/>
  <c r="AV6" i="18"/>
  <c r="AT6" i="18"/>
  <c r="AS6" i="18"/>
  <c r="AR6" i="18"/>
  <c r="AQ6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PB4" i="18"/>
  <c r="PA4" i="18"/>
  <c r="OY4" i="18"/>
  <c r="OX4" i="18"/>
  <c r="OW4" i="18"/>
  <c r="OV4" i="18"/>
  <c r="NZ4" i="18"/>
  <c r="NY4" i="18"/>
  <c r="NW4" i="18"/>
  <c r="NV4" i="18"/>
  <c r="NU4" i="18"/>
  <c r="NT4" i="18"/>
  <c r="MX4" i="18"/>
  <c r="MW4" i="18"/>
  <c r="MU4" i="18"/>
  <c r="MT4" i="18"/>
  <c r="MS4" i="18"/>
  <c r="MR4" i="18"/>
  <c r="LV4" i="18"/>
  <c r="LU4" i="18"/>
  <c r="LS4" i="18"/>
  <c r="LR4" i="18"/>
  <c r="LQ4" i="18"/>
  <c r="LP4" i="18"/>
  <c r="KT4" i="18"/>
  <c r="KS4" i="18"/>
  <c r="KQ4" i="18"/>
  <c r="KP4" i="18"/>
  <c r="KO4" i="18"/>
  <c r="KN4" i="18"/>
  <c r="JR4" i="18"/>
  <c r="JQ4" i="18"/>
  <c r="JO4" i="18"/>
  <c r="JN4" i="18"/>
  <c r="JM4" i="18"/>
  <c r="JL4" i="18"/>
  <c r="IP4" i="18"/>
  <c r="IO4" i="18"/>
  <c r="IM4" i="18"/>
  <c r="IL4" i="18"/>
  <c r="IK4" i="18"/>
  <c r="IJ4" i="18"/>
  <c r="HN4" i="18"/>
  <c r="HM4" i="18"/>
  <c r="HK4" i="18"/>
  <c r="HJ4" i="18"/>
  <c r="HI4" i="18"/>
  <c r="HH4" i="18"/>
  <c r="GL4" i="18"/>
  <c r="GK4" i="18"/>
  <c r="GI4" i="18"/>
  <c r="GH4" i="18"/>
  <c r="GG4" i="18"/>
  <c r="GF4" i="18"/>
  <c r="FJ4" i="18"/>
  <c r="FI4" i="18"/>
  <c r="FG4" i="18"/>
  <c r="FF4" i="18"/>
  <c r="FE4" i="18"/>
  <c r="FD4" i="18"/>
  <c r="EH4" i="18"/>
  <c r="EG4" i="18"/>
  <c r="ED4" i="18"/>
  <c r="DC4" i="18"/>
  <c r="DB4" i="18"/>
  <c r="CZ4" i="18"/>
  <c r="CY4" i="18"/>
  <c r="CX4" i="18"/>
  <c r="CW4" i="18"/>
  <c r="BZ4" i="18"/>
  <c r="BY4" i="18"/>
  <c r="BW4" i="18"/>
  <c r="BV4" i="18"/>
  <c r="BU4" i="18"/>
  <c r="BT4" i="18"/>
  <c r="AW4" i="18"/>
  <c r="AV4" i="18"/>
  <c r="AT4" i="18"/>
  <c r="AS4" i="18"/>
  <c r="AR4" i="18"/>
  <c r="AQ4" i="18"/>
  <c r="AQ9" i="16"/>
  <c r="AR9" i="16"/>
  <c r="AS9" i="16"/>
  <c r="AT9" i="16"/>
  <c r="AV9" i="16"/>
  <c r="AW9" i="16"/>
  <c r="BT9" i="16"/>
  <c r="BU9" i="16"/>
  <c r="BV9" i="16"/>
  <c r="BW9" i="16"/>
  <c r="BY9" i="16"/>
  <c r="BZ9" i="16"/>
  <c r="CW9" i="16"/>
  <c r="CX9" i="16"/>
  <c r="CY9" i="16"/>
  <c r="CZ9" i="16"/>
  <c r="DB9" i="16"/>
  <c r="DC9" i="16"/>
  <c r="EB9" i="16"/>
  <c r="EC9" i="16"/>
  <c r="ED9" i="16"/>
  <c r="EE9" i="16"/>
  <c r="EG9" i="16"/>
  <c r="EH9" i="16"/>
  <c r="FD9" i="16"/>
  <c r="FE9" i="16"/>
  <c r="FF9" i="16"/>
  <c r="FG9" i="16"/>
  <c r="FI9" i="16"/>
  <c r="FJ9" i="16"/>
  <c r="GF9" i="16"/>
  <c r="GG9" i="16"/>
  <c r="GH9" i="16"/>
  <c r="GI9" i="16"/>
  <c r="GK9" i="16"/>
  <c r="GL9" i="16"/>
  <c r="HH9" i="16"/>
  <c r="HI9" i="16"/>
  <c r="HL9" i="16" s="1"/>
  <c r="HJ9" i="16"/>
  <c r="HK9" i="16"/>
  <c r="HM9" i="16"/>
  <c r="HN9" i="16"/>
  <c r="IJ9" i="16"/>
  <c r="IK9" i="16"/>
  <c r="IL9" i="16"/>
  <c r="IM9" i="16"/>
  <c r="IO9" i="16"/>
  <c r="IP9" i="16"/>
  <c r="JL9" i="16"/>
  <c r="JM9" i="16"/>
  <c r="JN9" i="16"/>
  <c r="JO9" i="16"/>
  <c r="JQ9" i="16"/>
  <c r="JR9" i="16"/>
  <c r="KN9" i="16"/>
  <c r="KO9" i="16"/>
  <c r="KP9" i="16"/>
  <c r="KQ9" i="16"/>
  <c r="KS9" i="16"/>
  <c r="KT9" i="16"/>
  <c r="LP9" i="16"/>
  <c r="LQ9" i="16"/>
  <c r="LT9" i="16" s="1"/>
  <c r="LR9" i="16"/>
  <c r="LS9" i="16"/>
  <c r="LU9" i="16"/>
  <c r="LV9" i="16"/>
  <c r="MR9" i="16"/>
  <c r="MS9" i="16"/>
  <c r="MT9" i="16"/>
  <c r="MU9" i="16"/>
  <c r="MW9" i="16"/>
  <c r="MX9" i="16"/>
  <c r="NT9" i="16"/>
  <c r="NU9" i="16"/>
  <c r="NV9" i="16"/>
  <c r="NW9" i="16"/>
  <c r="NY9" i="16"/>
  <c r="NZ9" i="16"/>
  <c r="OV9" i="16"/>
  <c r="OW9" i="16"/>
  <c r="OX9" i="16"/>
  <c r="OY9" i="16"/>
  <c r="PA9" i="16"/>
  <c r="PB9" i="16"/>
  <c r="PX9" i="16"/>
  <c r="PY9" i="16"/>
  <c r="QB9" i="16" s="1"/>
  <c r="PZ9" i="16"/>
  <c r="QA9" i="16"/>
  <c r="QC9" i="16"/>
  <c r="QD9" i="16"/>
  <c r="QF9" i="16"/>
  <c r="QG9" i="16"/>
  <c r="QH9" i="16"/>
  <c r="QI9" i="16"/>
  <c r="QJ9" i="16"/>
  <c r="QK9" i="16"/>
  <c r="QL9" i="16"/>
  <c r="QM9" i="16"/>
  <c r="QN9" i="16"/>
  <c r="QO9" i="16"/>
  <c r="QP9" i="16"/>
  <c r="QQ9" i="16"/>
  <c r="QR9" i="16"/>
  <c r="QS9" i="16"/>
  <c r="QT9" i="16"/>
  <c r="QU9" i="16"/>
  <c r="QV9" i="16"/>
  <c r="QW9" i="16"/>
  <c r="QX9" i="16"/>
  <c r="QY9" i="16"/>
  <c r="AQ6" i="16"/>
  <c r="AR6" i="16"/>
  <c r="AS6" i="16"/>
  <c r="AT6" i="16"/>
  <c r="AV6" i="16"/>
  <c r="AW6" i="16"/>
  <c r="BT6" i="16"/>
  <c r="BU6" i="16"/>
  <c r="BX6" i="16" s="1"/>
  <c r="BV6" i="16"/>
  <c r="BW6" i="16"/>
  <c r="BY6" i="16"/>
  <c r="BZ6" i="16"/>
  <c r="CW6" i="16"/>
  <c r="CX6" i="16"/>
  <c r="CY6" i="16"/>
  <c r="CZ6" i="16"/>
  <c r="DB6" i="16"/>
  <c r="DC6" i="16"/>
  <c r="EB6" i="16"/>
  <c r="EC6" i="16"/>
  <c r="ED6" i="16"/>
  <c r="EE6" i="16"/>
  <c r="EG6" i="16"/>
  <c r="EH6" i="16"/>
  <c r="FD6" i="16"/>
  <c r="FE6" i="16"/>
  <c r="FF6" i="16"/>
  <c r="FG6" i="16"/>
  <c r="FI6" i="16"/>
  <c r="FJ6" i="16"/>
  <c r="GF6" i="16"/>
  <c r="GG6" i="16"/>
  <c r="GH6" i="16"/>
  <c r="GI6" i="16"/>
  <c r="GK6" i="16"/>
  <c r="GL6" i="16"/>
  <c r="HH6" i="16"/>
  <c r="HI6" i="16"/>
  <c r="HJ6" i="16"/>
  <c r="HK6" i="16"/>
  <c r="HM6" i="16"/>
  <c r="HN6" i="16"/>
  <c r="IJ6" i="16"/>
  <c r="IK6" i="16"/>
  <c r="IL6" i="16"/>
  <c r="IM6" i="16"/>
  <c r="IO6" i="16"/>
  <c r="IP6" i="16"/>
  <c r="JL6" i="16"/>
  <c r="JM6" i="16"/>
  <c r="JN6" i="16"/>
  <c r="JO6" i="16"/>
  <c r="JQ6" i="16"/>
  <c r="JR6" i="16"/>
  <c r="KN6" i="16"/>
  <c r="KO6" i="16"/>
  <c r="KP6" i="16"/>
  <c r="KQ6" i="16"/>
  <c r="KS6" i="16"/>
  <c r="KT6" i="16"/>
  <c r="LP6" i="16"/>
  <c r="LQ6" i="16"/>
  <c r="LR6" i="16"/>
  <c r="LS6" i="16"/>
  <c r="LU6" i="16"/>
  <c r="LV6" i="16"/>
  <c r="MR6" i="16"/>
  <c r="MS6" i="16"/>
  <c r="MT6" i="16"/>
  <c r="MU6" i="16"/>
  <c r="MW6" i="16"/>
  <c r="MX6" i="16"/>
  <c r="NT6" i="16"/>
  <c r="NU6" i="16"/>
  <c r="NV6" i="16"/>
  <c r="NW6" i="16"/>
  <c r="NY6" i="16"/>
  <c r="NZ6" i="16"/>
  <c r="OV6" i="16"/>
  <c r="OW6" i="16"/>
  <c r="OX6" i="16"/>
  <c r="OY6" i="16"/>
  <c r="PA6" i="16"/>
  <c r="PB6" i="16"/>
  <c r="PX6" i="16"/>
  <c r="PY6" i="16"/>
  <c r="PZ6" i="16"/>
  <c r="QA6" i="16"/>
  <c r="QC6" i="16"/>
  <c r="QD6" i="16"/>
  <c r="QF6" i="16"/>
  <c r="QG6" i="16"/>
  <c r="QH6" i="16"/>
  <c r="QI6" i="16"/>
  <c r="QJ6" i="16"/>
  <c r="QK6" i="16"/>
  <c r="QL6" i="16"/>
  <c r="QM6" i="16"/>
  <c r="QN6" i="16"/>
  <c r="QO6" i="16"/>
  <c r="QP6" i="16"/>
  <c r="QQ6" i="16"/>
  <c r="QR6" i="16"/>
  <c r="QS6" i="16"/>
  <c r="QT6" i="16"/>
  <c r="QU6" i="16"/>
  <c r="QV6" i="16"/>
  <c r="QW6" i="16"/>
  <c r="QX6" i="16"/>
  <c r="QY6" i="16"/>
  <c r="AQ12" i="16"/>
  <c r="AR12" i="16"/>
  <c r="AS12" i="16"/>
  <c r="AT12" i="16"/>
  <c r="AV12" i="16"/>
  <c r="AW12" i="16"/>
  <c r="BT12" i="16"/>
  <c r="BU12" i="16"/>
  <c r="BV12" i="16"/>
  <c r="BW12" i="16"/>
  <c r="BY12" i="16"/>
  <c r="BZ12" i="16"/>
  <c r="CW12" i="16"/>
  <c r="CX12" i="16"/>
  <c r="CY12" i="16"/>
  <c r="CZ12" i="16"/>
  <c r="DB12" i="16"/>
  <c r="DC12" i="16"/>
  <c r="EB12" i="16"/>
  <c r="EC12" i="16"/>
  <c r="ED12" i="16"/>
  <c r="EE12" i="16"/>
  <c r="EG12" i="16"/>
  <c r="EH12" i="16"/>
  <c r="FD12" i="16"/>
  <c r="FE12" i="16"/>
  <c r="FF12" i="16"/>
  <c r="FG12" i="16"/>
  <c r="FI12" i="16"/>
  <c r="FJ12" i="16"/>
  <c r="GF12" i="16"/>
  <c r="GG12" i="16"/>
  <c r="GH12" i="16"/>
  <c r="GI12" i="16"/>
  <c r="GK12" i="16"/>
  <c r="GL12" i="16"/>
  <c r="HH12" i="16"/>
  <c r="HI12" i="16"/>
  <c r="HJ12" i="16"/>
  <c r="HK12" i="16"/>
  <c r="HM12" i="16"/>
  <c r="HN12" i="16"/>
  <c r="IJ12" i="16"/>
  <c r="IK12" i="16"/>
  <c r="IL12" i="16"/>
  <c r="IM12" i="16"/>
  <c r="IO12" i="16"/>
  <c r="IP12" i="16"/>
  <c r="JL12" i="16"/>
  <c r="JM12" i="16"/>
  <c r="JN12" i="16"/>
  <c r="JO12" i="16"/>
  <c r="JQ12" i="16"/>
  <c r="JR12" i="16"/>
  <c r="KN12" i="16"/>
  <c r="KO12" i="16"/>
  <c r="KP12" i="16"/>
  <c r="KQ12" i="16"/>
  <c r="KS12" i="16"/>
  <c r="KT12" i="16"/>
  <c r="LP12" i="16"/>
  <c r="LQ12" i="16"/>
  <c r="LR12" i="16"/>
  <c r="LS12" i="16"/>
  <c r="LU12" i="16"/>
  <c r="LV12" i="16"/>
  <c r="MR12" i="16"/>
  <c r="MS12" i="16"/>
  <c r="MT12" i="16"/>
  <c r="MU12" i="16"/>
  <c r="MW12" i="16"/>
  <c r="MX12" i="16"/>
  <c r="NT12" i="16"/>
  <c r="NU12" i="16"/>
  <c r="NV12" i="16"/>
  <c r="NW12" i="16"/>
  <c r="NY12" i="16"/>
  <c r="NZ12" i="16"/>
  <c r="OV12" i="16"/>
  <c r="OW12" i="16"/>
  <c r="OX12" i="16"/>
  <c r="OY12" i="16"/>
  <c r="PA12" i="16"/>
  <c r="PB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AQ14" i="16"/>
  <c r="AR14" i="16"/>
  <c r="AS14" i="16"/>
  <c r="AT14" i="16"/>
  <c r="AV14" i="16"/>
  <c r="AW14" i="16"/>
  <c r="BT14" i="16"/>
  <c r="BU14" i="16"/>
  <c r="BV14" i="16"/>
  <c r="BW14" i="16"/>
  <c r="BY14" i="16"/>
  <c r="BZ14" i="16"/>
  <c r="CW14" i="16"/>
  <c r="CX14" i="16"/>
  <c r="CY14" i="16"/>
  <c r="CZ14" i="16"/>
  <c r="DB14" i="16"/>
  <c r="DC14" i="16"/>
  <c r="EB14" i="16"/>
  <c r="EC14" i="16"/>
  <c r="ED14" i="16"/>
  <c r="EE14" i="16"/>
  <c r="EG14" i="16"/>
  <c r="EH14" i="16"/>
  <c r="FD14" i="16"/>
  <c r="FE14" i="16"/>
  <c r="FF14" i="16"/>
  <c r="FG14" i="16"/>
  <c r="FI14" i="16"/>
  <c r="FJ14" i="16"/>
  <c r="GF14" i="16"/>
  <c r="GG14" i="16"/>
  <c r="GH14" i="16"/>
  <c r="GI14" i="16"/>
  <c r="GK14" i="16"/>
  <c r="GL14" i="16"/>
  <c r="HH14" i="16"/>
  <c r="HI14" i="16"/>
  <c r="HJ14" i="16"/>
  <c r="HK14" i="16"/>
  <c r="HM14" i="16"/>
  <c r="HN14" i="16"/>
  <c r="IJ14" i="16"/>
  <c r="IK14" i="16"/>
  <c r="IL14" i="16"/>
  <c r="IM14" i="16"/>
  <c r="IO14" i="16"/>
  <c r="IP14" i="16"/>
  <c r="JL14" i="16"/>
  <c r="JM14" i="16"/>
  <c r="JN14" i="16"/>
  <c r="JO14" i="16"/>
  <c r="JQ14" i="16"/>
  <c r="JR14" i="16"/>
  <c r="KN14" i="16"/>
  <c r="KO14" i="16"/>
  <c r="KP14" i="16"/>
  <c r="KQ14" i="16"/>
  <c r="KS14" i="16"/>
  <c r="KT14" i="16"/>
  <c r="LP14" i="16"/>
  <c r="LQ14" i="16"/>
  <c r="LR14" i="16"/>
  <c r="LS14" i="16"/>
  <c r="LU14" i="16"/>
  <c r="LV14" i="16"/>
  <c r="MR14" i="16"/>
  <c r="MS14" i="16"/>
  <c r="MT14" i="16"/>
  <c r="MU14" i="16"/>
  <c r="MW14" i="16"/>
  <c r="MX14" i="16"/>
  <c r="NT14" i="16"/>
  <c r="NU14" i="16"/>
  <c r="NV14" i="16"/>
  <c r="NW14" i="16"/>
  <c r="NY14" i="16"/>
  <c r="NZ14" i="16"/>
  <c r="OV14" i="16"/>
  <c r="OW14" i="16"/>
  <c r="OX14" i="16"/>
  <c r="OY14" i="16"/>
  <c r="PA14" i="16"/>
  <c r="PB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AQ15" i="16"/>
  <c r="AR15" i="16"/>
  <c r="AS15" i="16"/>
  <c r="AT15" i="16"/>
  <c r="AV15" i="16"/>
  <c r="AW15" i="16"/>
  <c r="BT15" i="16"/>
  <c r="BU15" i="16"/>
  <c r="BV15" i="16"/>
  <c r="BW15" i="16"/>
  <c r="BY15" i="16"/>
  <c r="BZ15" i="16"/>
  <c r="CW15" i="16"/>
  <c r="CX15" i="16"/>
  <c r="CY15" i="16"/>
  <c r="CZ15" i="16"/>
  <c r="DB15" i="16"/>
  <c r="DC15" i="16"/>
  <c r="EB15" i="16"/>
  <c r="EC15" i="16"/>
  <c r="ED15" i="16"/>
  <c r="EE15" i="16"/>
  <c r="EG15" i="16"/>
  <c r="EH15" i="16"/>
  <c r="FD15" i="16"/>
  <c r="FE15" i="16"/>
  <c r="FF15" i="16"/>
  <c r="FG15" i="16"/>
  <c r="FI15" i="16"/>
  <c r="FJ15" i="16"/>
  <c r="GF15" i="16"/>
  <c r="GG15" i="16"/>
  <c r="GH15" i="16"/>
  <c r="GI15" i="16"/>
  <c r="GK15" i="16"/>
  <c r="GL15" i="16"/>
  <c r="HH15" i="16"/>
  <c r="HI15" i="16"/>
  <c r="HJ15" i="16"/>
  <c r="HK15" i="16"/>
  <c r="HM15" i="16"/>
  <c r="HN15" i="16"/>
  <c r="IJ15" i="16"/>
  <c r="IK15" i="16"/>
  <c r="IL15" i="16"/>
  <c r="IM15" i="16"/>
  <c r="IO15" i="16"/>
  <c r="IP15" i="16"/>
  <c r="JL15" i="16"/>
  <c r="JM15" i="16"/>
  <c r="JN15" i="16"/>
  <c r="JO15" i="16"/>
  <c r="JQ15" i="16"/>
  <c r="JR15" i="16"/>
  <c r="KN15" i="16"/>
  <c r="KO15" i="16"/>
  <c r="KP15" i="16"/>
  <c r="KQ15" i="16"/>
  <c r="KS15" i="16"/>
  <c r="KT15" i="16"/>
  <c r="LP15" i="16"/>
  <c r="LQ15" i="16"/>
  <c r="LR15" i="16"/>
  <c r="LS15" i="16"/>
  <c r="LU15" i="16"/>
  <c r="LV15" i="16"/>
  <c r="MR15" i="16"/>
  <c r="MS15" i="16"/>
  <c r="MT15" i="16"/>
  <c r="MU15" i="16"/>
  <c r="MW15" i="16"/>
  <c r="MX15" i="16"/>
  <c r="NT15" i="16"/>
  <c r="NU15" i="16"/>
  <c r="NV15" i="16"/>
  <c r="NW15" i="16"/>
  <c r="NY15" i="16"/>
  <c r="NZ15" i="16"/>
  <c r="OV15" i="16"/>
  <c r="OW15" i="16"/>
  <c r="OX15" i="16"/>
  <c r="OY15" i="16"/>
  <c r="PA15" i="16"/>
  <c r="PB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AQ7" i="16"/>
  <c r="AR7" i="16"/>
  <c r="AS7" i="16"/>
  <c r="AT7" i="16"/>
  <c r="AV7" i="16"/>
  <c r="AW7" i="16"/>
  <c r="BT7" i="16"/>
  <c r="BU7" i="16"/>
  <c r="BV7" i="16"/>
  <c r="BW7" i="16"/>
  <c r="BY7" i="16"/>
  <c r="BZ7" i="16"/>
  <c r="CW7" i="16"/>
  <c r="CX7" i="16"/>
  <c r="CY7" i="16"/>
  <c r="CZ7" i="16"/>
  <c r="DB7" i="16"/>
  <c r="DC7" i="16"/>
  <c r="EB7" i="16"/>
  <c r="EC7" i="16"/>
  <c r="ED7" i="16"/>
  <c r="EE7" i="16"/>
  <c r="EG7" i="16"/>
  <c r="EH7" i="16"/>
  <c r="FD7" i="16"/>
  <c r="FE7" i="16"/>
  <c r="FF7" i="16"/>
  <c r="FG7" i="16"/>
  <c r="FI7" i="16"/>
  <c r="FJ7" i="16"/>
  <c r="GF7" i="16"/>
  <c r="GG7" i="16"/>
  <c r="GH7" i="16"/>
  <c r="GI7" i="16"/>
  <c r="GK7" i="16"/>
  <c r="GL7" i="16"/>
  <c r="HH7" i="16"/>
  <c r="HI7" i="16"/>
  <c r="HJ7" i="16"/>
  <c r="HK7" i="16"/>
  <c r="HM7" i="16"/>
  <c r="HN7" i="16"/>
  <c r="IJ7" i="16"/>
  <c r="IK7" i="16"/>
  <c r="IL7" i="16"/>
  <c r="IM7" i="16"/>
  <c r="IO7" i="16"/>
  <c r="IP7" i="16"/>
  <c r="JL7" i="16"/>
  <c r="JM7" i="16"/>
  <c r="JN7" i="16"/>
  <c r="JO7" i="16"/>
  <c r="JQ7" i="16"/>
  <c r="JR7" i="16"/>
  <c r="KN7" i="16"/>
  <c r="KO7" i="16"/>
  <c r="KP7" i="16"/>
  <c r="KQ7" i="16"/>
  <c r="KS7" i="16"/>
  <c r="KT7" i="16"/>
  <c r="LP7" i="16"/>
  <c r="LQ7" i="16"/>
  <c r="LR7" i="16"/>
  <c r="LS7" i="16"/>
  <c r="LU7" i="16"/>
  <c r="LV7" i="16"/>
  <c r="MR7" i="16"/>
  <c r="MS7" i="16"/>
  <c r="MT7" i="16"/>
  <c r="MU7" i="16"/>
  <c r="MW7" i="16"/>
  <c r="MX7" i="16"/>
  <c r="NT7" i="16"/>
  <c r="NU7" i="16"/>
  <c r="NV7" i="16"/>
  <c r="NW7" i="16"/>
  <c r="NY7" i="16"/>
  <c r="NZ7" i="16"/>
  <c r="OV7" i="16"/>
  <c r="OW7" i="16"/>
  <c r="OX7" i="16"/>
  <c r="OY7" i="16"/>
  <c r="PA7" i="16"/>
  <c r="PB7" i="16"/>
  <c r="PX7" i="16"/>
  <c r="PY7" i="16"/>
  <c r="PZ7" i="16"/>
  <c r="QA7" i="16"/>
  <c r="QC7" i="16"/>
  <c r="QD7" i="16"/>
  <c r="QF7" i="16"/>
  <c r="QG7" i="16"/>
  <c r="QH7" i="16"/>
  <c r="QI7" i="16"/>
  <c r="QJ7" i="16"/>
  <c r="QK7" i="16"/>
  <c r="QL7" i="16"/>
  <c r="QM7" i="16"/>
  <c r="QN7" i="16"/>
  <c r="QO7" i="16"/>
  <c r="QP7" i="16"/>
  <c r="QQ7" i="16"/>
  <c r="QR7" i="16"/>
  <c r="QS7" i="16"/>
  <c r="QT7" i="16"/>
  <c r="QU7" i="16"/>
  <c r="QV7" i="16"/>
  <c r="QW7" i="16"/>
  <c r="QX7" i="16"/>
  <c r="QY7" i="16"/>
  <c r="AQ22" i="16"/>
  <c r="AR22" i="16"/>
  <c r="AS22" i="16"/>
  <c r="AT22" i="16"/>
  <c r="AV22" i="16"/>
  <c r="AW22" i="16"/>
  <c r="BT22" i="16"/>
  <c r="BU22" i="16"/>
  <c r="BV22" i="16"/>
  <c r="BW22" i="16"/>
  <c r="BY22" i="16"/>
  <c r="BZ22" i="16"/>
  <c r="CW22" i="16"/>
  <c r="CX22" i="16"/>
  <c r="CY22" i="16"/>
  <c r="CZ22" i="16"/>
  <c r="DB22" i="16"/>
  <c r="DC22" i="16"/>
  <c r="EB22" i="16"/>
  <c r="EC22" i="16"/>
  <c r="ED22" i="16"/>
  <c r="EE22" i="16"/>
  <c r="EG22" i="16"/>
  <c r="EH22" i="16"/>
  <c r="FD22" i="16"/>
  <c r="FE22" i="16"/>
  <c r="FH22" i="16" s="1"/>
  <c r="FF22" i="16"/>
  <c r="FG22" i="16"/>
  <c r="FI22" i="16"/>
  <c r="FJ22" i="16"/>
  <c r="GF22" i="16"/>
  <c r="GG22" i="16"/>
  <c r="GH22" i="16"/>
  <c r="GI22" i="16"/>
  <c r="GK22" i="16"/>
  <c r="GL22" i="16"/>
  <c r="HH22" i="16"/>
  <c r="HI22" i="16"/>
  <c r="HJ22" i="16"/>
  <c r="HK22" i="16"/>
  <c r="HM22" i="16"/>
  <c r="HN22" i="16"/>
  <c r="IJ22" i="16"/>
  <c r="IK22" i="16"/>
  <c r="IL22" i="16"/>
  <c r="IM22" i="16"/>
  <c r="IO22" i="16"/>
  <c r="IP22" i="16"/>
  <c r="JL22" i="16"/>
  <c r="JM22" i="16"/>
  <c r="JN22" i="16"/>
  <c r="JO22" i="16"/>
  <c r="JQ22" i="16"/>
  <c r="JR22" i="16"/>
  <c r="KN22" i="16"/>
  <c r="KO22" i="16"/>
  <c r="KP22" i="16"/>
  <c r="KQ22" i="16"/>
  <c r="KS22" i="16"/>
  <c r="KT22" i="16"/>
  <c r="LP22" i="16"/>
  <c r="LQ22" i="16"/>
  <c r="LR22" i="16"/>
  <c r="LS22" i="16"/>
  <c r="LU22" i="16"/>
  <c r="LV22" i="16"/>
  <c r="MR22" i="16"/>
  <c r="MS22" i="16"/>
  <c r="MT22" i="16"/>
  <c r="MU22" i="16"/>
  <c r="MW22" i="16"/>
  <c r="MX22" i="16"/>
  <c r="NT22" i="16"/>
  <c r="NU22" i="16"/>
  <c r="NX22" i="16" s="1"/>
  <c r="NV22" i="16"/>
  <c r="NW22" i="16"/>
  <c r="NY22" i="16"/>
  <c r="NZ22" i="16"/>
  <c r="OV22" i="16"/>
  <c r="OW22" i="16"/>
  <c r="OX22" i="16"/>
  <c r="OY22" i="16"/>
  <c r="PA22" i="16"/>
  <c r="PB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AQ16" i="16"/>
  <c r="AR16" i="16"/>
  <c r="AS16" i="16"/>
  <c r="AT16" i="16"/>
  <c r="AV16" i="16"/>
  <c r="AW16" i="16"/>
  <c r="BT16" i="16"/>
  <c r="BU16" i="16"/>
  <c r="BV16" i="16"/>
  <c r="BW16" i="16"/>
  <c r="BY16" i="16"/>
  <c r="BZ16" i="16"/>
  <c r="CW16" i="16"/>
  <c r="CX16" i="16"/>
  <c r="CY16" i="16"/>
  <c r="CZ16" i="16"/>
  <c r="DB16" i="16"/>
  <c r="DC16" i="16"/>
  <c r="EB16" i="16"/>
  <c r="EC16" i="16"/>
  <c r="EF16" i="16" s="1"/>
  <c r="ED16" i="16"/>
  <c r="EE16" i="16"/>
  <c r="EG16" i="16"/>
  <c r="EH16" i="16"/>
  <c r="FD16" i="16"/>
  <c r="FE16" i="16"/>
  <c r="FF16" i="16"/>
  <c r="FG16" i="16"/>
  <c r="FI16" i="16"/>
  <c r="FJ16" i="16"/>
  <c r="GF16" i="16"/>
  <c r="GG16" i="16"/>
  <c r="GH16" i="16"/>
  <c r="GI16" i="16"/>
  <c r="GK16" i="16"/>
  <c r="GL16" i="16"/>
  <c r="HH16" i="16"/>
  <c r="HI16" i="16"/>
  <c r="HJ16" i="16"/>
  <c r="HK16" i="16"/>
  <c r="HM16" i="16"/>
  <c r="HN16" i="16"/>
  <c r="IJ16" i="16"/>
  <c r="IK16" i="16"/>
  <c r="IL16" i="16"/>
  <c r="IM16" i="16"/>
  <c r="IO16" i="16"/>
  <c r="IP16" i="16"/>
  <c r="JL16" i="16"/>
  <c r="JM16" i="16"/>
  <c r="JN16" i="16"/>
  <c r="JO16" i="16"/>
  <c r="JQ16" i="16"/>
  <c r="JR16" i="16"/>
  <c r="KN16" i="16"/>
  <c r="KO16" i="16"/>
  <c r="KP16" i="16"/>
  <c r="KQ16" i="16"/>
  <c r="KS16" i="16"/>
  <c r="KT16" i="16"/>
  <c r="LP16" i="16"/>
  <c r="LQ16" i="16"/>
  <c r="LR16" i="16"/>
  <c r="LS16" i="16"/>
  <c r="LU16" i="16"/>
  <c r="LV16" i="16"/>
  <c r="MR16" i="16"/>
  <c r="MS16" i="16"/>
  <c r="MT16" i="16"/>
  <c r="MU16" i="16"/>
  <c r="MW16" i="16"/>
  <c r="MX16" i="16"/>
  <c r="NT16" i="16"/>
  <c r="NU16" i="16"/>
  <c r="NV16" i="16"/>
  <c r="NW16" i="16"/>
  <c r="NY16" i="16"/>
  <c r="NZ16" i="16"/>
  <c r="OV16" i="16"/>
  <c r="OW16" i="16"/>
  <c r="OX16" i="16"/>
  <c r="OY16" i="16"/>
  <c r="PA16" i="16"/>
  <c r="PB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AQ21" i="16"/>
  <c r="AR21" i="16"/>
  <c r="AS21" i="16"/>
  <c r="AT21" i="16"/>
  <c r="AV21" i="16"/>
  <c r="AW21" i="16"/>
  <c r="BT21" i="16"/>
  <c r="BU21" i="16"/>
  <c r="BV21" i="16"/>
  <c r="BW21" i="16"/>
  <c r="BY21" i="16"/>
  <c r="BZ21" i="16"/>
  <c r="CW21" i="16"/>
  <c r="CX21" i="16"/>
  <c r="CY21" i="16"/>
  <c r="CZ21" i="16"/>
  <c r="DB21" i="16"/>
  <c r="DC21" i="16"/>
  <c r="EB21" i="16"/>
  <c r="EC21" i="16"/>
  <c r="ED21" i="16"/>
  <c r="EE21" i="16"/>
  <c r="EG21" i="16"/>
  <c r="EH21" i="16"/>
  <c r="FD21" i="16"/>
  <c r="FE21" i="16"/>
  <c r="FF21" i="16"/>
  <c r="FG21" i="16"/>
  <c r="FI21" i="16"/>
  <c r="FJ21" i="16"/>
  <c r="GF21" i="16"/>
  <c r="GG21" i="16"/>
  <c r="GH21" i="16"/>
  <c r="GI21" i="16"/>
  <c r="GK21" i="16"/>
  <c r="GL21" i="16"/>
  <c r="HH21" i="16"/>
  <c r="HI21" i="16"/>
  <c r="HJ21" i="16"/>
  <c r="HK21" i="16"/>
  <c r="HM21" i="16"/>
  <c r="HN21" i="16"/>
  <c r="IJ21" i="16"/>
  <c r="IK21" i="16"/>
  <c r="IL21" i="16"/>
  <c r="IM21" i="16"/>
  <c r="IO21" i="16"/>
  <c r="IP21" i="16"/>
  <c r="JL21" i="16"/>
  <c r="JM21" i="16"/>
  <c r="JN21" i="16"/>
  <c r="JO21" i="16"/>
  <c r="JQ21" i="16"/>
  <c r="JR21" i="16"/>
  <c r="KN21" i="16"/>
  <c r="KO21" i="16"/>
  <c r="KP21" i="16"/>
  <c r="KQ21" i="16"/>
  <c r="KS21" i="16"/>
  <c r="KT21" i="16"/>
  <c r="LP21" i="16"/>
  <c r="LQ21" i="16"/>
  <c r="LR21" i="16"/>
  <c r="LS21" i="16"/>
  <c r="LU21" i="16"/>
  <c r="LV21" i="16"/>
  <c r="MR21" i="16"/>
  <c r="MS21" i="16"/>
  <c r="MT21" i="16"/>
  <c r="MU21" i="16"/>
  <c r="MW21" i="16"/>
  <c r="MX21" i="16"/>
  <c r="NT21" i="16"/>
  <c r="NU21" i="16"/>
  <c r="NV21" i="16"/>
  <c r="NW21" i="16"/>
  <c r="NY21" i="16"/>
  <c r="NZ21" i="16"/>
  <c r="OV21" i="16"/>
  <c r="OW21" i="16"/>
  <c r="OX21" i="16"/>
  <c r="OY21" i="16"/>
  <c r="PA21" i="16"/>
  <c r="PB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AQ18" i="16"/>
  <c r="AR18" i="16"/>
  <c r="AS18" i="16"/>
  <c r="AT18" i="16"/>
  <c r="AV18" i="16"/>
  <c r="AW18" i="16"/>
  <c r="BT18" i="16"/>
  <c r="BU18" i="16"/>
  <c r="BV18" i="16"/>
  <c r="BW18" i="16"/>
  <c r="BY18" i="16"/>
  <c r="BZ18" i="16"/>
  <c r="CW18" i="16"/>
  <c r="CX18" i="16"/>
  <c r="CY18" i="16"/>
  <c r="CZ18" i="16"/>
  <c r="DB18" i="16"/>
  <c r="DC18" i="16"/>
  <c r="EB18" i="16"/>
  <c r="EC18" i="16"/>
  <c r="ED18" i="16"/>
  <c r="EE18" i="16"/>
  <c r="EG18" i="16"/>
  <c r="EH18" i="16"/>
  <c r="FD18" i="16"/>
  <c r="FE18" i="16"/>
  <c r="FF18" i="16"/>
  <c r="FG18" i="16"/>
  <c r="FI18" i="16"/>
  <c r="FJ18" i="16"/>
  <c r="GF18" i="16"/>
  <c r="GG18" i="16"/>
  <c r="GH18" i="16"/>
  <c r="GI18" i="16"/>
  <c r="GK18" i="16"/>
  <c r="GL18" i="16"/>
  <c r="HH18" i="16"/>
  <c r="HI18" i="16"/>
  <c r="HJ18" i="16"/>
  <c r="HK18" i="16"/>
  <c r="HM18" i="16"/>
  <c r="HN18" i="16"/>
  <c r="IJ18" i="16"/>
  <c r="IK18" i="16"/>
  <c r="IL18" i="16"/>
  <c r="IM18" i="16"/>
  <c r="IO18" i="16"/>
  <c r="IP18" i="16"/>
  <c r="JL18" i="16"/>
  <c r="JM18" i="16"/>
  <c r="JN18" i="16"/>
  <c r="JO18" i="16"/>
  <c r="JQ18" i="16"/>
  <c r="JR18" i="16"/>
  <c r="KN18" i="16"/>
  <c r="KO18" i="16"/>
  <c r="KP18" i="16"/>
  <c r="KQ18" i="16"/>
  <c r="KS18" i="16"/>
  <c r="KT18" i="16"/>
  <c r="LP18" i="16"/>
  <c r="LQ18" i="16"/>
  <c r="LR18" i="16"/>
  <c r="LS18" i="16"/>
  <c r="LU18" i="16"/>
  <c r="LV18" i="16"/>
  <c r="MR18" i="16"/>
  <c r="MS18" i="16"/>
  <c r="MT18" i="16"/>
  <c r="MU18" i="16"/>
  <c r="MW18" i="16"/>
  <c r="MX18" i="16"/>
  <c r="NT18" i="16"/>
  <c r="NU18" i="16"/>
  <c r="NV18" i="16"/>
  <c r="NW18" i="16"/>
  <c r="NY18" i="16"/>
  <c r="NZ18" i="16"/>
  <c r="OV18" i="16"/>
  <c r="OW18" i="16"/>
  <c r="OX18" i="16"/>
  <c r="OY18" i="16"/>
  <c r="PA18" i="16"/>
  <c r="PB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AQ20" i="16"/>
  <c r="AR20" i="16"/>
  <c r="AS20" i="16"/>
  <c r="AT20" i="16"/>
  <c r="AV20" i="16"/>
  <c r="AW20" i="16"/>
  <c r="BT20" i="16"/>
  <c r="BU20" i="16"/>
  <c r="BV20" i="16"/>
  <c r="BW20" i="16"/>
  <c r="BY20" i="16"/>
  <c r="BZ20" i="16"/>
  <c r="CW20" i="16"/>
  <c r="CX20" i="16"/>
  <c r="CY20" i="16"/>
  <c r="CZ20" i="16"/>
  <c r="DB20" i="16"/>
  <c r="DC20" i="16"/>
  <c r="EB20" i="16"/>
  <c r="EC20" i="16"/>
  <c r="ED20" i="16"/>
  <c r="EE20" i="16"/>
  <c r="EG20" i="16"/>
  <c r="EH20" i="16"/>
  <c r="FD20" i="16"/>
  <c r="FE20" i="16"/>
  <c r="FF20" i="16"/>
  <c r="FG20" i="16"/>
  <c r="FI20" i="16"/>
  <c r="FJ20" i="16"/>
  <c r="GF20" i="16"/>
  <c r="GG20" i="16"/>
  <c r="GH20" i="16"/>
  <c r="GI20" i="16"/>
  <c r="GK20" i="16"/>
  <c r="GL20" i="16"/>
  <c r="HH20" i="16"/>
  <c r="HI20" i="16"/>
  <c r="HJ20" i="16"/>
  <c r="HK20" i="16"/>
  <c r="HM20" i="16"/>
  <c r="HN20" i="16"/>
  <c r="IJ20" i="16"/>
  <c r="IK20" i="16"/>
  <c r="IL20" i="16"/>
  <c r="IM20" i="16"/>
  <c r="IO20" i="16"/>
  <c r="IP20" i="16"/>
  <c r="JL20" i="16"/>
  <c r="JM20" i="16"/>
  <c r="JN20" i="16"/>
  <c r="JO20" i="16"/>
  <c r="JQ20" i="16"/>
  <c r="JR20" i="16"/>
  <c r="KN20" i="16"/>
  <c r="KO20" i="16"/>
  <c r="KP20" i="16"/>
  <c r="KQ20" i="16"/>
  <c r="KS20" i="16"/>
  <c r="KT20" i="16"/>
  <c r="LP20" i="16"/>
  <c r="LQ20" i="16"/>
  <c r="LR20" i="16"/>
  <c r="LS20" i="16"/>
  <c r="LU20" i="16"/>
  <c r="LV20" i="16"/>
  <c r="MR20" i="16"/>
  <c r="MS20" i="16"/>
  <c r="MV20" i="16" s="1"/>
  <c r="MT20" i="16"/>
  <c r="MU20" i="16"/>
  <c r="MW20" i="16"/>
  <c r="MX20" i="16"/>
  <c r="NT20" i="16"/>
  <c r="NU20" i="16"/>
  <c r="NV20" i="16"/>
  <c r="NW20" i="16"/>
  <c r="NY20" i="16"/>
  <c r="NZ20" i="16"/>
  <c r="OV20" i="16"/>
  <c r="OW20" i="16"/>
  <c r="OX20" i="16"/>
  <c r="OY20" i="16"/>
  <c r="PA20" i="16"/>
  <c r="PB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AQ17" i="16"/>
  <c r="AR17" i="16"/>
  <c r="AS17" i="16"/>
  <c r="AT17" i="16"/>
  <c r="AV17" i="16"/>
  <c r="AW17" i="16"/>
  <c r="BT17" i="16"/>
  <c r="BU17" i="16"/>
  <c r="BV17" i="16"/>
  <c r="BW17" i="16"/>
  <c r="BY17" i="16"/>
  <c r="BZ17" i="16"/>
  <c r="CW17" i="16"/>
  <c r="CX17" i="16"/>
  <c r="CY17" i="16"/>
  <c r="CZ17" i="16"/>
  <c r="DB17" i="16"/>
  <c r="DC17" i="16"/>
  <c r="EB17" i="16"/>
  <c r="EC17" i="16"/>
  <c r="ED17" i="16"/>
  <c r="EE17" i="16"/>
  <c r="EG17" i="16"/>
  <c r="EH17" i="16"/>
  <c r="FD17" i="16"/>
  <c r="FE17" i="16"/>
  <c r="FF17" i="16"/>
  <c r="FG17" i="16"/>
  <c r="FI17" i="16"/>
  <c r="FJ17" i="16"/>
  <c r="GF17" i="16"/>
  <c r="GG17" i="16"/>
  <c r="GH17" i="16"/>
  <c r="GI17" i="16"/>
  <c r="GK17" i="16"/>
  <c r="GL17" i="16"/>
  <c r="HH17" i="16"/>
  <c r="HI17" i="16"/>
  <c r="HJ17" i="16"/>
  <c r="HK17" i="16"/>
  <c r="HM17" i="16"/>
  <c r="HN17" i="16"/>
  <c r="IJ17" i="16"/>
  <c r="IK17" i="16"/>
  <c r="IL17" i="16"/>
  <c r="IM17" i="16"/>
  <c r="IO17" i="16"/>
  <c r="IP17" i="16"/>
  <c r="JL17" i="16"/>
  <c r="JM17" i="16"/>
  <c r="JN17" i="16"/>
  <c r="JO17" i="16"/>
  <c r="JQ17" i="16"/>
  <c r="JR17" i="16"/>
  <c r="KN17" i="16"/>
  <c r="KO17" i="16"/>
  <c r="KP17" i="16"/>
  <c r="KQ17" i="16"/>
  <c r="KS17" i="16"/>
  <c r="KT17" i="16"/>
  <c r="LP17" i="16"/>
  <c r="LQ17" i="16"/>
  <c r="LR17" i="16"/>
  <c r="LS17" i="16"/>
  <c r="LU17" i="16"/>
  <c r="LV17" i="16"/>
  <c r="MR17" i="16"/>
  <c r="MS17" i="16"/>
  <c r="MT17" i="16"/>
  <c r="MU17" i="16"/>
  <c r="MW17" i="16"/>
  <c r="MX17" i="16"/>
  <c r="NT17" i="16"/>
  <c r="NU17" i="16"/>
  <c r="NV17" i="16"/>
  <c r="NW17" i="16"/>
  <c r="NY17" i="16"/>
  <c r="NZ17" i="16"/>
  <c r="OV17" i="16"/>
  <c r="OW17" i="16"/>
  <c r="OX17" i="16"/>
  <c r="OY17" i="16"/>
  <c r="PA17" i="16"/>
  <c r="PB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AQ11" i="16"/>
  <c r="AR11" i="16"/>
  <c r="AS11" i="16"/>
  <c r="AT11" i="16"/>
  <c r="AV11" i="16"/>
  <c r="AW11" i="16"/>
  <c r="BT11" i="16"/>
  <c r="BU11" i="16"/>
  <c r="BV11" i="16"/>
  <c r="BW11" i="16"/>
  <c r="BY11" i="16"/>
  <c r="BZ11" i="16"/>
  <c r="CW11" i="16"/>
  <c r="CX11" i="16"/>
  <c r="CY11" i="16"/>
  <c r="CZ11" i="16"/>
  <c r="DB11" i="16"/>
  <c r="DC11" i="16"/>
  <c r="EB11" i="16"/>
  <c r="EC11" i="16"/>
  <c r="ED11" i="16"/>
  <c r="EE11" i="16"/>
  <c r="EG11" i="16"/>
  <c r="EH11" i="16"/>
  <c r="FD11" i="16"/>
  <c r="FE11" i="16"/>
  <c r="FF11" i="16"/>
  <c r="FG11" i="16"/>
  <c r="FI11" i="16"/>
  <c r="FJ11" i="16"/>
  <c r="GF11" i="16"/>
  <c r="GG11" i="16"/>
  <c r="GH11" i="16"/>
  <c r="GI11" i="16"/>
  <c r="GK11" i="16"/>
  <c r="GL11" i="16"/>
  <c r="HH11" i="16"/>
  <c r="HI11" i="16"/>
  <c r="HJ11" i="16"/>
  <c r="HK11" i="16"/>
  <c r="HM11" i="16"/>
  <c r="HN11" i="16"/>
  <c r="IJ11" i="16"/>
  <c r="IK11" i="16"/>
  <c r="IL11" i="16"/>
  <c r="IM11" i="16"/>
  <c r="IO11" i="16"/>
  <c r="IP11" i="16"/>
  <c r="JL11" i="16"/>
  <c r="JM11" i="16"/>
  <c r="JN11" i="16"/>
  <c r="JO11" i="16"/>
  <c r="JQ11" i="16"/>
  <c r="JR11" i="16"/>
  <c r="KN11" i="16"/>
  <c r="KO11" i="16"/>
  <c r="KP11" i="16"/>
  <c r="KQ11" i="16"/>
  <c r="KS11" i="16"/>
  <c r="KT11" i="16"/>
  <c r="LP11" i="16"/>
  <c r="LQ11" i="16"/>
  <c r="LR11" i="16"/>
  <c r="LS11" i="16"/>
  <c r="LU11" i="16"/>
  <c r="LV11" i="16"/>
  <c r="MR11" i="16"/>
  <c r="MS11" i="16"/>
  <c r="MT11" i="16"/>
  <c r="MU11" i="16"/>
  <c r="MW11" i="16"/>
  <c r="MX11" i="16"/>
  <c r="NT11" i="16"/>
  <c r="NU11" i="16"/>
  <c r="NV11" i="16"/>
  <c r="NW11" i="16"/>
  <c r="NY11" i="16"/>
  <c r="NZ11" i="16"/>
  <c r="OV11" i="16"/>
  <c r="OW11" i="16"/>
  <c r="OX11" i="16"/>
  <c r="OY11" i="16"/>
  <c r="PA11" i="16"/>
  <c r="PB11" i="16"/>
  <c r="PX11" i="16"/>
  <c r="PY11" i="16"/>
  <c r="PZ11" i="16"/>
  <c r="QA11" i="16"/>
  <c r="QC11" i="16"/>
  <c r="QD11" i="16"/>
  <c r="QF11" i="16"/>
  <c r="QG11" i="16"/>
  <c r="QH11" i="16"/>
  <c r="QI11" i="16"/>
  <c r="QJ11" i="16"/>
  <c r="QK11" i="16"/>
  <c r="QL11" i="16"/>
  <c r="QM11" i="16"/>
  <c r="QN11" i="16"/>
  <c r="QO11" i="16"/>
  <c r="QP11" i="16"/>
  <c r="QQ11" i="16"/>
  <c r="QR11" i="16"/>
  <c r="QS11" i="16"/>
  <c r="QT11" i="16"/>
  <c r="QU11" i="16"/>
  <c r="QV11" i="16"/>
  <c r="QW11" i="16"/>
  <c r="QX11" i="16"/>
  <c r="QY11" i="16"/>
  <c r="AQ25" i="16"/>
  <c r="AR25" i="16"/>
  <c r="AS25" i="16"/>
  <c r="AT25" i="16"/>
  <c r="AV25" i="16"/>
  <c r="AW25" i="16"/>
  <c r="BT25" i="16"/>
  <c r="BU25" i="16"/>
  <c r="BV25" i="16"/>
  <c r="BW25" i="16"/>
  <c r="BY25" i="16"/>
  <c r="BZ25" i="16"/>
  <c r="CW25" i="16"/>
  <c r="CX25" i="16"/>
  <c r="CY25" i="16"/>
  <c r="CZ25" i="16"/>
  <c r="DB25" i="16"/>
  <c r="DC25" i="16"/>
  <c r="EB25" i="16"/>
  <c r="EC25" i="16"/>
  <c r="ED25" i="16"/>
  <c r="EE25" i="16"/>
  <c r="EG25" i="16"/>
  <c r="EH25" i="16"/>
  <c r="FD25" i="16"/>
  <c r="FE25" i="16"/>
  <c r="FF25" i="16"/>
  <c r="FG25" i="16"/>
  <c r="FI25" i="16"/>
  <c r="FJ25" i="16"/>
  <c r="GF25" i="16"/>
  <c r="GG25" i="16"/>
  <c r="GH25" i="16"/>
  <c r="GI25" i="16"/>
  <c r="GK25" i="16"/>
  <c r="GL25" i="16"/>
  <c r="HH25" i="16"/>
  <c r="HI25" i="16"/>
  <c r="HJ25" i="16"/>
  <c r="HK25" i="16"/>
  <c r="HM25" i="16"/>
  <c r="HN25" i="16"/>
  <c r="IJ25" i="16"/>
  <c r="IK25" i="16"/>
  <c r="IL25" i="16"/>
  <c r="IM25" i="16"/>
  <c r="IO25" i="16"/>
  <c r="IP25" i="16"/>
  <c r="JL25" i="16"/>
  <c r="JM25" i="16"/>
  <c r="JN25" i="16"/>
  <c r="JO25" i="16"/>
  <c r="JQ25" i="16"/>
  <c r="JR25" i="16"/>
  <c r="KN25" i="16"/>
  <c r="KO25" i="16"/>
  <c r="KP25" i="16"/>
  <c r="KQ25" i="16"/>
  <c r="KS25" i="16"/>
  <c r="KT25" i="16"/>
  <c r="LP25" i="16"/>
  <c r="LQ25" i="16"/>
  <c r="LR25" i="16"/>
  <c r="LS25" i="16"/>
  <c r="LU25" i="16"/>
  <c r="LV25" i="16"/>
  <c r="MR25" i="16"/>
  <c r="MS25" i="16"/>
  <c r="MT25" i="16"/>
  <c r="MU25" i="16"/>
  <c r="MW25" i="16"/>
  <c r="MX25" i="16"/>
  <c r="NT25" i="16"/>
  <c r="NU25" i="16"/>
  <c r="NV25" i="16"/>
  <c r="NW25" i="16"/>
  <c r="NY25" i="16"/>
  <c r="NZ25" i="16"/>
  <c r="OV25" i="16"/>
  <c r="OW25" i="16"/>
  <c r="OX25" i="16"/>
  <c r="OY25" i="16"/>
  <c r="PA25" i="16"/>
  <c r="PB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AQ19" i="16"/>
  <c r="AR19" i="16"/>
  <c r="AS19" i="16"/>
  <c r="AT19" i="16"/>
  <c r="AV19" i="16"/>
  <c r="AW19" i="16"/>
  <c r="BT19" i="16"/>
  <c r="BU19" i="16"/>
  <c r="BV19" i="16"/>
  <c r="BW19" i="16"/>
  <c r="BY19" i="16"/>
  <c r="BZ19" i="16"/>
  <c r="CW19" i="16"/>
  <c r="CX19" i="16"/>
  <c r="CY19" i="16"/>
  <c r="CZ19" i="16"/>
  <c r="DB19" i="16"/>
  <c r="DC19" i="16"/>
  <c r="EB19" i="16"/>
  <c r="EC19" i="16"/>
  <c r="ED19" i="16"/>
  <c r="EE19" i="16"/>
  <c r="EG19" i="16"/>
  <c r="EH19" i="16"/>
  <c r="FD19" i="16"/>
  <c r="FE19" i="16"/>
  <c r="FF19" i="16"/>
  <c r="FG19" i="16"/>
  <c r="FI19" i="16"/>
  <c r="FJ19" i="16"/>
  <c r="GF19" i="16"/>
  <c r="GG19" i="16"/>
  <c r="GH19" i="16"/>
  <c r="GI19" i="16"/>
  <c r="GK19" i="16"/>
  <c r="GL19" i="16"/>
  <c r="HH19" i="16"/>
  <c r="HI19" i="16"/>
  <c r="HJ19" i="16"/>
  <c r="HK19" i="16"/>
  <c r="HM19" i="16"/>
  <c r="HN19" i="16"/>
  <c r="IJ19" i="16"/>
  <c r="IK19" i="16"/>
  <c r="IL19" i="16"/>
  <c r="IM19" i="16"/>
  <c r="IO19" i="16"/>
  <c r="IP19" i="16"/>
  <c r="JL19" i="16"/>
  <c r="JM19" i="16"/>
  <c r="JN19" i="16"/>
  <c r="JO19" i="16"/>
  <c r="JQ19" i="16"/>
  <c r="JR19" i="16"/>
  <c r="KN19" i="16"/>
  <c r="KO19" i="16"/>
  <c r="KP19" i="16"/>
  <c r="KQ19" i="16"/>
  <c r="KS19" i="16"/>
  <c r="KT19" i="16"/>
  <c r="LP19" i="16"/>
  <c r="LQ19" i="16"/>
  <c r="LR19" i="16"/>
  <c r="LS19" i="16"/>
  <c r="LU19" i="16"/>
  <c r="LV19" i="16"/>
  <c r="MR19" i="16"/>
  <c r="MS19" i="16"/>
  <c r="MT19" i="16"/>
  <c r="MU19" i="16"/>
  <c r="MW19" i="16"/>
  <c r="MX19" i="16"/>
  <c r="NT19" i="16"/>
  <c r="NU19" i="16"/>
  <c r="NV19" i="16"/>
  <c r="NW19" i="16"/>
  <c r="NY19" i="16"/>
  <c r="NZ19" i="16"/>
  <c r="OV19" i="16"/>
  <c r="OW19" i="16"/>
  <c r="OX19" i="16"/>
  <c r="OY19" i="16"/>
  <c r="PA19" i="16"/>
  <c r="PB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AQ23" i="16"/>
  <c r="AR23" i="16"/>
  <c r="AS23" i="16"/>
  <c r="AT23" i="16"/>
  <c r="AV23" i="16"/>
  <c r="AW23" i="16"/>
  <c r="BT23" i="16"/>
  <c r="BU23" i="16"/>
  <c r="BV23" i="16"/>
  <c r="BW23" i="16"/>
  <c r="BY23" i="16"/>
  <c r="BZ23" i="16"/>
  <c r="CW23" i="16"/>
  <c r="CX23" i="16"/>
  <c r="CY23" i="16"/>
  <c r="CZ23" i="16"/>
  <c r="DB23" i="16"/>
  <c r="DC23" i="16"/>
  <c r="EB23" i="16"/>
  <c r="EC23" i="16"/>
  <c r="ED23" i="16"/>
  <c r="EE23" i="16"/>
  <c r="EG23" i="16"/>
  <c r="EH23" i="16"/>
  <c r="FD23" i="16"/>
  <c r="FE23" i="16"/>
  <c r="FF23" i="16"/>
  <c r="FG23" i="16"/>
  <c r="FI23" i="16"/>
  <c r="FJ23" i="16"/>
  <c r="GF23" i="16"/>
  <c r="GG23" i="16"/>
  <c r="GH23" i="16"/>
  <c r="GI23" i="16"/>
  <c r="GK23" i="16"/>
  <c r="GL23" i="16"/>
  <c r="HH23" i="16"/>
  <c r="HI23" i="16"/>
  <c r="HJ23" i="16"/>
  <c r="HK23" i="16"/>
  <c r="HM23" i="16"/>
  <c r="HN23" i="16"/>
  <c r="IJ23" i="16"/>
  <c r="IK23" i="16"/>
  <c r="IL23" i="16"/>
  <c r="IM23" i="16"/>
  <c r="IO23" i="16"/>
  <c r="IP23" i="16"/>
  <c r="JL23" i="16"/>
  <c r="JM23" i="16"/>
  <c r="JN23" i="16"/>
  <c r="JO23" i="16"/>
  <c r="JQ23" i="16"/>
  <c r="JR23" i="16"/>
  <c r="KN23" i="16"/>
  <c r="KO23" i="16"/>
  <c r="KP23" i="16"/>
  <c r="KQ23" i="16"/>
  <c r="KS23" i="16"/>
  <c r="KT23" i="16"/>
  <c r="LP23" i="16"/>
  <c r="LQ23" i="16"/>
  <c r="LR23" i="16"/>
  <c r="LS23" i="16"/>
  <c r="LU23" i="16"/>
  <c r="LV23" i="16"/>
  <c r="MR23" i="16"/>
  <c r="MS23" i="16"/>
  <c r="MT23" i="16"/>
  <c r="MU23" i="16"/>
  <c r="MW23" i="16"/>
  <c r="MX23" i="16"/>
  <c r="NT23" i="16"/>
  <c r="NU23" i="16"/>
  <c r="NV23" i="16"/>
  <c r="NW23" i="16"/>
  <c r="NY23" i="16"/>
  <c r="NZ23" i="16"/>
  <c r="OV23" i="16"/>
  <c r="OW23" i="16"/>
  <c r="OX23" i="16"/>
  <c r="OY23" i="16"/>
  <c r="PA23" i="16"/>
  <c r="PB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AQ24" i="16"/>
  <c r="AR24" i="16"/>
  <c r="AS24" i="16"/>
  <c r="AT24" i="16"/>
  <c r="AV24" i="16"/>
  <c r="AW24" i="16"/>
  <c r="BT24" i="16"/>
  <c r="BU24" i="16"/>
  <c r="BV24" i="16"/>
  <c r="BW24" i="16"/>
  <c r="BY24" i="16"/>
  <c r="BZ24" i="16"/>
  <c r="CW24" i="16"/>
  <c r="CX24" i="16"/>
  <c r="CY24" i="16"/>
  <c r="CZ24" i="16"/>
  <c r="DB24" i="16"/>
  <c r="DC24" i="16"/>
  <c r="EB24" i="16"/>
  <c r="EC24" i="16"/>
  <c r="ED24" i="16"/>
  <c r="EE24" i="16"/>
  <c r="EG24" i="16"/>
  <c r="EH24" i="16"/>
  <c r="FD24" i="16"/>
  <c r="FE24" i="16"/>
  <c r="FF24" i="16"/>
  <c r="FG24" i="16"/>
  <c r="FI24" i="16"/>
  <c r="FJ24" i="16"/>
  <c r="GF24" i="16"/>
  <c r="GG24" i="16"/>
  <c r="GH24" i="16"/>
  <c r="GI24" i="16"/>
  <c r="GK24" i="16"/>
  <c r="GL24" i="16"/>
  <c r="HH24" i="16"/>
  <c r="HI24" i="16"/>
  <c r="HJ24" i="16"/>
  <c r="HK24" i="16"/>
  <c r="HM24" i="16"/>
  <c r="HN24" i="16"/>
  <c r="IJ24" i="16"/>
  <c r="IK24" i="16"/>
  <c r="IL24" i="16"/>
  <c r="IM24" i="16"/>
  <c r="IO24" i="16"/>
  <c r="IP24" i="16"/>
  <c r="JL24" i="16"/>
  <c r="JM24" i="16"/>
  <c r="JN24" i="16"/>
  <c r="JO24" i="16"/>
  <c r="JQ24" i="16"/>
  <c r="JR24" i="16"/>
  <c r="KN24" i="16"/>
  <c r="KO24" i="16"/>
  <c r="KP24" i="16"/>
  <c r="KQ24" i="16"/>
  <c r="KS24" i="16"/>
  <c r="KT24" i="16"/>
  <c r="LP24" i="16"/>
  <c r="LQ24" i="16"/>
  <c r="LR24" i="16"/>
  <c r="LS24" i="16"/>
  <c r="LU24" i="16"/>
  <c r="LV24" i="16"/>
  <c r="MR24" i="16"/>
  <c r="MS24" i="16"/>
  <c r="MT24" i="16"/>
  <c r="MU24" i="16"/>
  <c r="MW24" i="16"/>
  <c r="MX24" i="16"/>
  <c r="NT24" i="16"/>
  <c r="NU24" i="16"/>
  <c r="NV24" i="16"/>
  <c r="NW24" i="16"/>
  <c r="NY24" i="16"/>
  <c r="NZ24" i="16"/>
  <c r="OV24" i="16"/>
  <c r="OW24" i="16"/>
  <c r="OX24" i="16"/>
  <c r="OY24" i="16"/>
  <c r="PA24" i="16"/>
  <c r="PB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AQ26" i="16"/>
  <c r="AR26" i="16"/>
  <c r="AS26" i="16"/>
  <c r="AT26" i="16"/>
  <c r="AV26" i="16"/>
  <c r="AW26" i="16"/>
  <c r="BT26" i="16"/>
  <c r="BU26" i="16"/>
  <c r="BV26" i="16"/>
  <c r="BW26" i="16"/>
  <c r="BY26" i="16"/>
  <c r="BZ26" i="16"/>
  <c r="CW26" i="16"/>
  <c r="CX26" i="16"/>
  <c r="CY26" i="16"/>
  <c r="CZ26" i="16"/>
  <c r="DB26" i="16"/>
  <c r="DC26" i="16"/>
  <c r="EB26" i="16"/>
  <c r="EC26" i="16"/>
  <c r="ED26" i="16"/>
  <c r="EE26" i="16"/>
  <c r="EG26" i="16"/>
  <c r="EH26" i="16"/>
  <c r="FD26" i="16"/>
  <c r="FE26" i="16"/>
  <c r="FF26" i="16"/>
  <c r="FG26" i="16"/>
  <c r="FI26" i="16"/>
  <c r="FJ26" i="16"/>
  <c r="GF26" i="16"/>
  <c r="GG26" i="16"/>
  <c r="GH26" i="16"/>
  <c r="GI26" i="16"/>
  <c r="GK26" i="16"/>
  <c r="GL26" i="16"/>
  <c r="HH26" i="16"/>
  <c r="HI26" i="16"/>
  <c r="HJ26" i="16"/>
  <c r="HK26" i="16"/>
  <c r="HM26" i="16"/>
  <c r="HN26" i="16"/>
  <c r="IJ26" i="16"/>
  <c r="IK26" i="16"/>
  <c r="IL26" i="16"/>
  <c r="IM26" i="16"/>
  <c r="IO26" i="16"/>
  <c r="IP26" i="16"/>
  <c r="JL26" i="16"/>
  <c r="JM26" i="16"/>
  <c r="JN26" i="16"/>
  <c r="JO26" i="16"/>
  <c r="JQ26" i="16"/>
  <c r="JR26" i="16"/>
  <c r="KN26" i="16"/>
  <c r="KO26" i="16"/>
  <c r="KP26" i="16"/>
  <c r="KQ26" i="16"/>
  <c r="KS26" i="16"/>
  <c r="KT26" i="16"/>
  <c r="LP26" i="16"/>
  <c r="LQ26" i="16"/>
  <c r="LR26" i="16"/>
  <c r="LS26" i="16"/>
  <c r="LU26" i="16"/>
  <c r="LV26" i="16"/>
  <c r="MR26" i="16"/>
  <c r="MS26" i="16"/>
  <c r="MT26" i="16"/>
  <c r="MU26" i="16"/>
  <c r="MW26" i="16"/>
  <c r="MX26" i="16"/>
  <c r="NT26" i="16"/>
  <c r="NU26" i="16"/>
  <c r="NV26" i="16"/>
  <c r="NW26" i="16"/>
  <c r="NY26" i="16"/>
  <c r="NZ26" i="16"/>
  <c r="OV26" i="16"/>
  <c r="OW26" i="16"/>
  <c r="OX26" i="16"/>
  <c r="OY26" i="16"/>
  <c r="PA26" i="16"/>
  <c r="PB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AM9" i="17"/>
  <c r="AN9" i="17"/>
  <c r="AR9" i="17" s="1"/>
  <c r="AO9" i="17"/>
  <c r="AP9" i="17"/>
  <c r="AQ9" i="17"/>
  <c r="BN9" i="17"/>
  <c r="BO9" i="17"/>
  <c r="BP9" i="17"/>
  <c r="BQ9" i="17"/>
  <c r="BR9" i="17"/>
  <c r="CO9" i="17"/>
  <c r="CP9" i="17"/>
  <c r="CQ9" i="17"/>
  <c r="CR9" i="17"/>
  <c r="CS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AM10" i="17"/>
  <c r="AN10" i="17"/>
  <c r="AO10" i="17"/>
  <c r="AP10" i="17"/>
  <c r="AQ10" i="17"/>
  <c r="BN10" i="17"/>
  <c r="BO10" i="17"/>
  <c r="BP10" i="17"/>
  <c r="BQ10" i="17"/>
  <c r="BR10" i="17"/>
  <c r="CO10" i="17"/>
  <c r="CP10" i="17"/>
  <c r="CQ10" i="17"/>
  <c r="CR10" i="17"/>
  <c r="CS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AM11" i="17"/>
  <c r="AN11" i="17"/>
  <c r="AO11" i="17"/>
  <c r="AP11" i="17"/>
  <c r="AQ11" i="17"/>
  <c r="BN11" i="17"/>
  <c r="BO11" i="17"/>
  <c r="BP11" i="17"/>
  <c r="BQ11" i="17"/>
  <c r="BR11" i="17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AM12" i="17"/>
  <c r="AN12" i="17"/>
  <c r="AO12" i="17"/>
  <c r="AP12" i="17"/>
  <c r="AQ12" i="17"/>
  <c r="BN12" i="17"/>
  <c r="BO12" i="17"/>
  <c r="BP12" i="17"/>
  <c r="BQ12" i="17"/>
  <c r="BR12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AM13" i="17"/>
  <c r="AN13" i="17"/>
  <c r="AO13" i="17"/>
  <c r="AP13" i="17"/>
  <c r="AQ13" i="17"/>
  <c r="BN13" i="17"/>
  <c r="BO13" i="17"/>
  <c r="BP13" i="17"/>
  <c r="BQ13" i="17"/>
  <c r="BR13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AM6" i="17"/>
  <c r="AN6" i="17"/>
  <c r="AO6" i="17"/>
  <c r="AP6" i="17"/>
  <c r="AQ6" i="17"/>
  <c r="BN6" i="17"/>
  <c r="BO6" i="17"/>
  <c r="BP6" i="17"/>
  <c r="BQ6" i="17"/>
  <c r="BR6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AM14" i="17"/>
  <c r="AN14" i="17"/>
  <c r="AO14" i="17"/>
  <c r="AP14" i="17"/>
  <c r="AQ14" i="17"/>
  <c r="BN14" i="17"/>
  <c r="BO14" i="17"/>
  <c r="BP14" i="17"/>
  <c r="BQ14" i="17"/>
  <c r="BR14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AM15" i="17"/>
  <c r="AN15" i="17"/>
  <c r="AO15" i="17"/>
  <c r="AP15" i="17"/>
  <c r="AQ15" i="17"/>
  <c r="BN15" i="17"/>
  <c r="BO15" i="17"/>
  <c r="BP15" i="17"/>
  <c r="BQ15" i="17"/>
  <c r="BR15" i="17"/>
  <c r="CO15" i="17"/>
  <c r="CP15" i="17"/>
  <c r="CQ15" i="17"/>
  <c r="CR15" i="17"/>
  <c r="CS15" i="17"/>
  <c r="OQ15" i="17"/>
  <c r="OR15" i="17"/>
  <c r="OS15" i="17"/>
  <c r="OT15" i="17"/>
  <c r="OU15" i="17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AM16" i="17"/>
  <c r="AN16" i="17"/>
  <c r="AO16" i="17"/>
  <c r="AP16" i="17"/>
  <c r="AQ16" i="17"/>
  <c r="BN16" i="17"/>
  <c r="BO16" i="17"/>
  <c r="BP16" i="17"/>
  <c r="BQ16" i="17"/>
  <c r="BR16" i="17"/>
  <c r="CO16" i="17"/>
  <c r="CP16" i="17"/>
  <c r="CQ16" i="17"/>
  <c r="CR16" i="17"/>
  <c r="CS16" i="17"/>
  <c r="OQ16" i="17"/>
  <c r="OR16" i="17"/>
  <c r="OS16" i="17"/>
  <c r="OT16" i="17"/>
  <c r="OU16" i="17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PP20" i="17"/>
  <c r="PO20" i="17"/>
  <c r="PN20" i="17"/>
  <c r="PM20" i="17"/>
  <c r="PL20" i="17"/>
  <c r="PK20" i="17"/>
  <c r="PJ20" i="17"/>
  <c r="PI20" i="17"/>
  <c r="PH20" i="17"/>
  <c r="PG20" i="17"/>
  <c r="PF20" i="17"/>
  <c r="PE20" i="17"/>
  <c r="PD20" i="17"/>
  <c r="PC20" i="17"/>
  <c r="PB20" i="17"/>
  <c r="PA20" i="17"/>
  <c r="OZ20" i="17"/>
  <c r="OY20" i="17"/>
  <c r="OX20" i="17"/>
  <c r="OW20" i="17"/>
  <c r="OU20" i="17"/>
  <c r="OT20" i="17"/>
  <c r="OS20" i="17"/>
  <c r="OR20" i="17"/>
  <c r="OQ20" i="17"/>
  <c r="CS20" i="17"/>
  <c r="CR20" i="17"/>
  <c r="CQ20" i="17"/>
  <c r="CP20" i="17"/>
  <c r="CO20" i="17"/>
  <c r="BR20" i="17"/>
  <c r="BQ20" i="17"/>
  <c r="BP20" i="17"/>
  <c r="BO20" i="17"/>
  <c r="BN20" i="17"/>
  <c r="AQ20" i="17"/>
  <c r="AP20" i="17"/>
  <c r="AO20" i="17"/>
  <c r="AN20" i="17"/>
  <c r="AM20" i="17"/>
  <c r="PP19" i="17"/>
  <c r="PO19" i="17"/>
  <c r="PN19" i="17"/>
  <c r="PM19" i="17"/>
  <c r="PL19" i="17"/>
  <c r="PK19" i="17"/>
  <c r="PJ19" i="17"/>
  <c r="PI19" i="17"/>
  <c r="PH19" i="17"/>
  <c r="PG19" i="17"/>
  <c r="PF19" i="17"/>
  <c r="PE19" i="17"/>
  <c r="PD19" i="17"/>
  <c r="PC19" i="17"/>
  <c r="PB19" i="17"/>
  <c r="PA19" i="17"/>
  <c r="OZ19" i="17"/>
  <c r="OY19" i="17"/>
  <c r="OX19" i="17"/>
  <c r="OW19" i="17"/>
  <c r="OU19" i="17"/>
  <c r="OT19" i="17"/>
  <c r="OS19" i="17"/>
  <c r="OR19" i="17"/>
  <c r="OQ19" i="17"/>
  <c r="CS19" i="17"/>
  <c r="CR19" i="17"/>
  <c r="CQ19" i="17"/>
  <c r="CP19" i="17"/>
  <c r="CO19" i="17"/>
  <c r="BR19" i="17"/>
  <c r="BQ19" i="17"/>
  <c r="BP19" i="17"/>
  <c r="BO19" i="17"/>
  <c r="BN19" i="17"/>
  <c r="AQ19" i="17"/>
  <c r="AP19" i="17"/>
  <c r="AO19" i="17"/>
  <c r="AN19" i="17"/>
  <c r="AM19" i="17"/>
  <c r="PP18" i="17"/>
  <c r="PO18" i="17"/>
  <c r="PN18" i="17"/>
  <c r="PM18" i="17"/>
  <c r="PL18" i="17"/>
  <c r="PK18" i="17"/>
  <c r="PJ18" i="17"/>
  <c r="PI18" i="17"/>
  <c r="PH18" i="17"/>
  <c r="PG18" i="17"/>
  <c r="PF18" i="17"/>
  <c r="PE18" i="17"/>
  <c r="PD18" i="17"/>
  <c r="PC18" i="17"/>
  <c r="PB18" i="17"/>
  <c r="PA18" i="17"/>
  <c r="OZ18" i="17"/>
  <c r="OY18" i="17"/>
  <c r="OX18" i="17"/>
  <c r="OW18" i="17"/>
  <c r="OU18" i="17"/>
  <c r="OT18" i="17"/>
  <c r="OS18" i="17"/>
  <c r="OR18" i="17"/>
  <c r="OQ18" i="17"/>
  <c r="CS18" i="17"/>
  <c r="CR18" i="17"/>
  <c r="CQ18" i="17"/>
  <c r="CP18" i="17"/>
  <c r="CO18" i="17"/>
  <c r="BR18" i="17"/>
  <c r="BQ18" i="17"/>
  <c r="BP18" i="17"/>
  <c r="BO18" i="17"/>
  <c r="BN18" i="17"/>
  <c r="AQ18" i="17"/>
  <c r="AP18" i="17"/>
  <c r="AO18" i="17"/>
  <c r="AN18" i="17"/>
  <c r="AM18" i="17"/>
  <c r="PP17" i="17"/>
  <c r="PO17" i="17"/>
  <c r="PN17" i="17"/>
  <c r="PM17" i="17"/>
  <c r="PL17" i="17"/>
  <c r="PK17" i="17"/>
  <c r="PJ17" i="17"/>
  <c r="PI17" i="17"/>
  <c r="PH17" i="17"/>
  <c r="PG17" i="17"/>
  <c r="PF17" i="17"/>
  <c r="PE17" i="17"/>
  <c r="PD17" i="17"/>
  <c r="PC17" i="17"/>
  <c r="PB17" i="17"/>
  <c r="PA17" i="17"/>
  <c r="OZ17" i="17"/>
  <c r="OY17" i="17"/>
  <c r="OX17" i="17"/>
  <c r="OW17" i="17"/>
  <c r="OU17" i="17"/>
  <c r="OT17" i="17"/>
  <c r="OS17" i="17"/>
  <c r="OR17" i="17"/>
  <c r="OQ17" i="17"/>
  <c r="CS17" i="17"/>
  <c r="CR17" i="17"/>
  <c r="CQ17" i="17"/>
  <c r="CP17" i="17"/>
  <c r="CO17" i="17"/>
  <c r="BR17" i="17"/>
  <c r="BQ17" i="17"/>
  <c r="BP17" i="17"/>
  <c r="BO17" i="17"/>
  <c r="BN17" i="17"/>
  <c r="AQ17" i="17"/>
  <c r="AP17" i="17"/>
  <c r="AO17" i="17"/>
  <c r="AN17" i="17"/>
  <c r="AM17" i="17"/>
  <c r="PP8" i="17"/>
  <c r="PO8" i="17"/>
  <c r="PN8" i="17"/>
  <c r="PM8" i="17"/>
  <c r="PL8" i="17"/>
  <c r="PK8" i="17"/>
  <c r="PJ8" i="17"/>
  <c r="PI8" i="17"/>
  <c r="PH8" i="17"/>
  <c r="PG8" i="17"/>
  <c r="PF8" i="17"/>
  <c r="PE8" i="17"/>
  <c r="PD8" i="17"/>
  <c r="PC8" i="17"/>
  <c r="PB8" i="17"/>
  <c r="PA8" i="17"/>
  <c r="OZ8" i="17"/>
  <c r="OY8" i="17"/>
  <c r="OX8" i="17"/>
  <c r="OW8" i="17"/>
  <c r="OU8" i="17"/>
  <c r="OT8" i="17"/>
  <c r="OS8" i="17"/>
  <c r="OR8" i="17"/>
  <c r="OQ8" i="17"/>
  <c r="CS8" i="17"/>
  <c r="CR8" i="17"/>
  <c r="CQ8" i="17"/>
  <c r="CP8" i="17"/>
  <c r="CO8" i="17"/>
  <c r="BR8" i="17"/>
  <c r="BQ8" i="17"/>
  <c r="BP8" i="17"/>
  <c r="BO8" i="17"/>
  <c r="BN8" i="17"/>
  <c r="AQ8" i="17"/>
  <c r="AP8" i="17"/>
  <c r="AO8" i="17"/>
  <c r="AN8" i="17"/>
  <c r="AM8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BR5" i="17"/>
  <c r="BQ5" i="17"/>
  <c r="BP5" i="17"/>
  <c r="BO5" i="17"/>
  <c r="BN5" i="17"/>
  <c r="AQ5" i="17"/>
  <c r="AP5" i="17"/>
  <c r="AO5" i="17"/>
  <c r="AN5" i="17"/>
  <c r="AM5" i="17"/>
  <c r="PP7" i="17"/>
  <c r="PO7" i="17"/>
  <c r="PN7" i="17"/>
  <c r="PM7" i="17"/>
  <c r="PL7" i="17"/>
  <c r="PK7" i="17"/>
  <c r="PJ7" i="17"/>
  <c r="PI7" i="17"/>
  <c r="PH7" i="17"/>
  <c r="PG7" i="17"/>
  <c r="PF7" i="17"/>
  <c r="PE7" i="17"/>
  <c r="PD7" i="17"/>
  <c r="PC7" i="17"/>
  <c r="PB7" i="17"/>
  <c r="PA7" i="17"/>
  <c r="OZ7" i="17"/>
  <c r="OY7" i="17"/>
  <c r="OX7" i="17"/>
  <c r="OW7" i="17"/>
  <c r="OU7" i="17"/>
  <c r="OT7" i="17"/>
  <c r="OS7" i="17"/>
  <c r="OR7" i="17"/>
  <c r="OQ7" i="17"/>
  <c r="CS7" i="17"/>
  <c r="CR7" i="17"/>
  <c r="CQ7" i="17"/>
  <c r="CP7" i="17"/>
  <c r="CO7" i="17"/>
  <c r="BR7" i="17"/>
  <c r="BQ7" i="17"/>
  <c r="BP7" i="17"/>
  <c r="BO7" i="17"/>
  <c r="BN7" i="17"/>
  <c r="AQ7" i="17"/>
  <c r="AP7" i="17"/>
  <c r="AO7" i="17"/>
  <c r="AN7" i="17"/>
  <c r="AM7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BR4" i="17"/>
  <c r="BQ4" i="17"/>
  <c r="BP4" i="17"/>
  <c r="BO4" i="17"/>
  <c r="BN4" i="17"/>
  <c r="AQ4" i="17"/>
  <c r="AP4" i="17"/>
  <c r="AO4" i="17"/>
  <c r="AN4" i="17"/>
  <c r="AM4" i="17"/>
  <c r="AM5" i="15"/>
  <c r="AN5" i="15"/>
  <c r="AO5" i="15"/>
  <c r="AP5" i="15"/>
  <c r="AQ5" i="15"/>
  <c r="BN5" i="15"/>
  <c r="BO5" i="15"/>
  <c r="BP5" i="15"/>
  <c r="BQ5" i="15"/>
  <c r="BR5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AM6" i="15"/>
  <c r="AN6" i="15"/>
  <c r="AO6" i="15"/>
  <c r="AP6" i="15"/>
  <c r="AQ6" i="15"/>
  <c r="BN6" i="15"/>
  <c r="BO6" i="15"/>
  <c r="BP6" i="15"/>
  <c r="BQ6" i="15"/>
  <c r="BR6" i="15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AM7" i="15"/>
  <c r="AN7" i="15"/>
  <c r="AO7" i="15"/>
  <c r="AP7" i="15"/>
  <c r="AQ7" i="15"/>
  <c r="BN7" i="15"/>
  <c r="BO7" i="15"/>
  <c r="BP7" i="15"/>
  <c r="BQ7" i="15"/>
  <c r="BR7" i="15"/>
  <c r="CO7" i="15"/>
  <c r="CP7" i="15"/>
  <c r="CQ7" i="15"/>
  <c r="CR7" i="15"/>
  <c r="CS7" i="15"/>
  <c r="DQ7" i="15"/>
  <c r="DR7" i="15"/>
  <c r="DS7" i="15"/>
  <c r="DT7" i="15"/>
  <c r="DU7" i="15"/>
  <c r="EQ7" i="15"/>
  <c r="ER7" i="15"/>
  <c r="ES7" i="15"/>
  <c r="ET7" i="15"/>
  <c r="EU7" i="15"/>
  <c r="FQ7" i="15"/>
  <c r="FR7" i="15"/>
  <c r="FS7" i="15"/>
  <c r="FT7" i="15"/>
  <c r="FU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AM8" i="15"/>
  <c r="AN8" i="15"/>
  <c r="AO8" i="15"/>
  <c r="AP8" i="15"/>
  <c r="AQ8" i="15"/>
  <c r="BN8" i="15"/>
  <c r="BO8" i="15"/>
  <c r="BP8" i="15"/>
  <c r="BQ8" i="15"/>
  <c r="BR8" i="15"/>
  <c r="CO8" i="15"/>
  <c r="CP8" i="15"/>
  <c r="CQ8" i="15"/>
  <c r="CR8" i="15"/>
  <c r="CS8" i="15"/>
  <c r="DQ8" i="15"/>
  <c r="DR8" i="15"/>
  <c r="DS8" i="15"/>
  <c r="DT8" i="15"/>
  <c r="DU8" i="15"/>
  <c r="EQ8" i="15"/>
  <c r="ER8" i="15"/>
  <c r="ES8" i="15"/>
  <c r="ET8" i="15"/>
  <c r="EU8" i="15"/>
  <c r="FQ8" i="15"/>
  <c r="FR8" i="15"/>
  <c r="FS8" i="15"/>
  <c r="FT8" i="15"/>
  <c r="FU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AM9" i="15"/>
  <c r="AN9" i="15"/>
  <c r="AO9" i="15"/>
  <c r="AP9" i="15"/>
  <c r="AQ9" i="15"/>
  <c r="BN9" i="15"/>
  <c r="BO9" i="15"/>
  <c r="BP9" i="15"/>
  <c r="BQ9" i="15"/>
  <c r="BR9" i="15"/>
  <c r="CO9" i="15"/>
  <c r="CP9" i="15"/>
  <c r="CQ9" i="15"/>
  <c r="CR9" i="15"/>
  <c r="CS9" i="15"/>
  <c r="DQ9" i="15"/>
  <c r="DR9" i="15"/>
  <c r="DS9" i="15"/>
  <c r="DT9" i="15"/>
  <c r="DU9" i="15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AM10" i="15"/>
  <c r="AN10" i="15"/>
  <c r="AO10" i="15"/>
  <c r="AP10" i="15"/>
  <c r="AQ10" i="15"/>
  <c r="BN10" i="15"/>
  <c r="BO10" i="15"/>
  <c r="BP10" i="15"/>
  <c r="BQ10" i="15"/>
  <c r="BR10" i="15"/>
  <c r="CO10" i="15"/>
  <c r="CP10" i="15"/>
  <c r="CQ10" i="15"/>
  <c r="CR10" i="15"/>
  <c r="CS10" i="15"/>
  <c r="DQ10" i="15"/>
  <c r="DR10" i="15"/>
  <c r="DS10" i="15"/>
  <c r="DT10" i="15"/>
  <c r="DU10" i="15"/>
  <c r="EQ10" i="15"/>
  <c r="ER10" i="15"/>
  <c r="ES10" i="15"/>
  <c r="ET10" i="15"/>
  <c r="EU10" i="15"/>
  <c r="FQ10" i="15"/>
  <c r="FR10" i="15"/>
  <c r="FS10" i="15"/>
  <c r="FT10" i="15"/>
  <c r="FU10" i="15"/>
  <c r="GQ10" i="15"/>
  <c r="GR10" i="15"/>
  <c r="GS10" i="15"/>
  <c r="GT10" i="15"/>
  <c r="GU10" i="15"/>
  <c r="HQ10" i="15"/>
  <c r="HR10" i="15"/>
  <c r="HS10" i="15"/>
  <c r="HT10" i="15"/>
  <c r="HU10" i="15"/>
  <c r="IQ10" i="15"/>
  <c r="IR10" i="15"/>
  <c r="IS10" i="15"/>
  <c r="IT10" i="15"/>
  <c r="IU10" i="15"/>
  <c r="JQ10" i="15"/>
  <c r="JR10" i="15"/>
  <c r="JS10" i="15"/>
  <c r="JT10" i="15"/>
  <c r="JU10" i="15"/>
  <c r="KQ10" i="15"/>
  <c r="KR10" i="15"/>
  <c r="KS10" i="15"/>
  <c r="KT10" i="15"/>
  <c r="KU10" i="15"/>
  <c r="LQ10" i="15"/>
  <c r="LR10" i="15"/>
  <c r="LS10" i="15"/>
  <c r="LT10" i="15"/>
  <c r="LU10" i="15"/>
  <c r="MQ10" i="15"/>
  <c r="MR10" i="15"/>
  <c r="MS10" i="15"/>
  <c r="MT10" i="15"/>
  <c r="MU10" i="15"/>
  <c r="NQ10" i="15"/>
  <c r="NR10" i="15"/>
  <c r="NS10" i="15"/>
  <c r="NT10" i="15"/>
  <c r="NU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AM11" i="15"/>
  <c r="AN11" i="15"/>
  <c r="AO11" i="15"/>
  <c r="AP11" i="15"/>
  <c r="AQ11" i="15"/>
  <c r="BN11" i="15"/>
  <c r="BO11" i="15"/>
  <c r="BP11" i="15"/>
  <c r="BQ11" i="15"/>
  <c r="BR11" i="15"/>
  <c r="CO11" i="15"/>
  <c r="CP11" i="15"/>
  <c r="CQ11" i="15"/>
  <c r="CR11" i="15"/>
  <c r="CS11" i="15"/>
  <c r="DQ11" i="15"/>
  <c r="DR11" i="15"/>
  <c r="DS11" i="15"/>
  <c r="DT11" i="15"/>
  <c r="DU11" i="15"/>
  <c r="EQ11" i="15"/>
  <c r="ER11" i="15"/>
  <c r="ES11" i="15"/>
  <c r="ET11" i="15"/>
  <c r="EU11" i="15"/>
  <c r="FQ11" i="15"/>
  <c r="FR11" i="15"/>
  <c r="FS11" i="15"/>
  <c r="FT11" i="15"/>
  <c r="FU11" i="15"/>
  <c r="GQ11" i="15"/>
  <c r="GR11" i="15"/>
  <c r="GS11" i="15"/>
  <c r="GT11" i="15"/>
  <c r="GU11" i="15"/>
  <c r="HQ11" i="15"/>
  <c r="HR11" i="15"/>
  <c r="HS11" i="15"/>
  <c r="HT11" i="15"/>
  <c r="HU11" i="15"/>
  <c r="IQ11" i="15"/>
  <c r="IR11" i="15"/>
  <c r="IS11" i="15"/>
  <c r="IT11" i="15"/>
  <c r="IU11" i="15"/>
  <c r="JQ11" i="15"/>
  <c r="JR11" i="15"/>
  <c r="JS11" i="15"/>
  <c r="JT11" i="15"/>
  <c r="JU11" i="15"/>
  <c r="KQ11" i="15"/>
  <c r="KR11" i="15"/>
  <c r="KS11" i="15"/>
  <c r="KT11" i="15"/>
  <c r="KU11" i="15"/>
  <c r="LQ11" i="15"/>
  <c r="LR11" i="15"/>
  <c r="LS11" i="15"/>
  <c r="LT11" i="15"/>
  <c r="LU11" i="15"/>
  <c r="MQ11" i="15"/>
  <c r="MR11" i="15"/>
  <c r="MS11" i="15"/>
  <c r="MT11" i="15"/>
  <c r="MU11" i="15"/>
  <c r="NQ11" i="15"/>
  <c r="NR11" i="15"/>
  <c r="NS11" i="15"/>
  <c r="NT11" i="15"/>
  <c r="NU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QY10" i="16"/>
  <c r="QX10" i="16"/>
  <c r="QW10" i="16"/>
  <c r="QV10" i="16"/>
  <c r="QU10" i="16"/>
  <c r="QT10" i="16"/>
  <c r="QS10" i="16"/>
  <c r="QR10" i="16"/>
  <c r="QQ10" i="16"/>
  <c r="QP10" i="16"/>
  <c r="QO10" i="16"/>
  <c r="QN10" i="16"/>
  <c r="QM10" i="16"/>
  <c r="QL10" i="16"/>
  <c r="QK10" i="16"/>
  <c r="QJ10" i="16"/>
  <c r="QI10" i="16"/>
  <c r="QH10" i="16"/>
  <c r="QG10" i="16"/>
  <c r="QF10" i="16"/>
  <c r="QD10" i="16"/>
  <c r="QC10" i="16"/>
  <c r="QA10" i="16"/>
  <c r="PZ10" i="16"/>
  <c r="PY10" i="16"/>
  <c r="PX10" i="16"/>
  <c r="PB10" i="16"/>
  <c r="PA10" i="16"/>
  <c r="OY10" i="16"/>
  <c r="OX10" i="16"/>
  <c r="OW10" i="16"/>
  <c r="OV10" i="16"/>
  <c r="NZ10" i="16"/>
  <c r="NY10" i="16"/>
  <c r="NW10" i="16"/>
  <c r="NV10" i="16"/>
  <c r="NU10" i="16"/>
  <c r="NT10" i="16"/>
  <c r="MX10" i="16"/>
  <c r="MW10" i="16"/>
  <c r="MU10" i="16"/>
  <c r="MT10" i="16"/>
  <c r="MS10" i="16"/>
  <c r="MR10" i="16"/>
  <c r="LV10" i="16"/>
  <c r="LU10" i="16"/>
  <c r="LS10" i="16"/>
  <c r="LR10" i="16"/>
  <c r="LQ10" i="16"/>
  <c r="LP10" i="16"/>
  <c r="KT10" i="16"/>
  <c r="KS10" i="16"/>
  <c r="KQ10" i="16"/>
  <c r="KP10" i="16"/>
  <c r="KO10" i="16"/>
  <c r="KN10" i="16"/>
  <c r="JR10" i="16"/>
  <c r="JQ10" i="16"/>
  <c r="JO10" i="16"/>
  <c r="JN10" i="16"/>
  <c r="JM10" i="16"/>
  <c r="JL10" i="16"/>
  <c r="IP10" i="16"/>
  <c r="IO10" i="16"/>
  <c r="IM10" i="16"/>
  <c r="IL10" i="16"/>
  <c r="IK10" i="16"/>
  <c r="IJ10" i="16"/>
  <c r="HN10" i="16"/>
  <c r="HM10" i="16"/>
  <c r="HK10" i="16"/>
  <c r="HJ10" i="16"/>
  <c r="HI10" i="16"/>
  <c r="HH10" i="16"/>
  <c r="GL10" i="16"/>
  <c r="GK10" i="16"/>
  <c r="GI10" i="16"/>
  <c r="GH10" i="16"/>
  <c r="GG10" i="16"/>
  <c r="GF10" i="16"/>
  <c r="FJ10" i="16"/>
  <c r="FI10" i="16"/>
  <c r="FG10" i="16"/>
  <c r="FF10" i="16"/>
  <c r="FE10" i="16"/>
  <c r="FD10" i="16"/>
  <c r="EH10" i="16"/>
  <c r="EG10" i="16"/>
  <c r="EE10" i="16"/>
  <c r="ED10" i="16"/>
  <c r="EC10" i="16"/>
  <c r="EB10" i="16"/>
  <c r="DC10" i="16"/>
  <c r="DB10" i="16"/>
  <c r="CZ10" i="16"/>
  <c r="CY10" i="16"/>
  <c r="CX10" i="16"/>
  <c r="CW10" i="16"/>
  <c r="BZ10" i="16"/>
  <c r="BY10" i="16"/>
  <c r="BW10" i="16"/>
  <c r="BV10" i="16"/>
  <c r="BU10" i="16"/>
  <c r="BT10" i="16"/>
  <c r="AW10" i="16"/>
  <c r="AV10" i="16"/>
  <c r="AT10" i="16"/>
  <c r="AS10" i="16"/>
  <c r="AR10" i="16"/>
  <c r="AQ10" i="16"/>
  <c r="QY8" i="16"/>
  <c r="QX8" i="16"/>
  <c r="QW8" i="16"/>
  <c r="QV8" i="16"/>
  <c r="QU8" i="16"/>
  <c r="QT8" i="16"/>
  <c r="QS8" i="16"/>
  <c r="QR8" i="16"/>
  <c r="QQ8" i="16"/>
  <c r="QP8" i="16"/>
  <c r="QO8" i="16"/>
  <c r="QN8" i="16"/>
  <c r="QM8" i="16"/>
  <c r="QL8" i="16"/>
  <c r="QK8" i="16"/>
  <c r="QJ8" i="16"/>
  <c r="QI8" i="16"/>
  <c r="QH8" i="16"/>
  <c r="QG8" i="16"/>
  <c r="QF8" i="16"/>
  <c r="QD8" i="16"/>
  <c r="QC8" i="16"/>
  <c r="QA8" i="16"/>
  <c r="PZ8" i="16"/>
  <c r="PY8" i="16"/>
  <c r="PX8" i="16"/>
  <c r="PB8" i="16"/>
  <c r="PA8" i="16"/>
  <c r="OY8" i="16"/>
  <c r="OX8" i="16"/>
  <c r="OW8" i="16"/>
  <c r="OV8" i="16"/>
  <c r="NZ8" i="16"/>
  <c r="NY8" i="16"/>
  <c r="NW8" i="16"/>
  <c r="NV8" i="16"/>
  <c r="NU8" i="16"/>
  <c r="NT8" i="16"/>
  <c r="MX8" i="16"/>
  <c r="MW8" i="16"/>
  <c r="MU8" i="16"/>
  <c r="MT8" i="16"/>
  <c r="MS8" i="16"/>
  <c r="MR8" i="16"/>
  <c r="LV8" i="16"/>
  <c r="LU8" i="16"/>
  <c r="LS8" i="16"/>
  <c r="LR8" i="16"/>
  <c r="LQ8" i="16"/>
  <c r="LP8" i="16"/>
  <c r="KT8" i="16"/>
  <c r="KS8" i="16"/>
  <c r="KQ8" i="16"/>
  <c r="KP8" i="16"/>
  <c r="KO8" i="16"/>
  <c r="KN8" i="16"/>
  <c r="JR8" i="16"/>
  <c r="JQ8" i="16"/>
  <c r="JO8" i="16"/>
  <c r="JN8" i="16"/>
  <c r="JM8" i="16"/>
  <c r="JL8" i="16"/>
  <c r="IP8" i="16"/>
  <c r="IO8" i="16"/>
  <c r="IM8" i="16"/>
  <c r="IL8" i="16"/>
  <c r="IK8" i="16"/>
  <c r="IJ8" i="16"/>
  <c r="HN8" i="16"/>
  <c r="HM8" i="16"/>
  <c r="HK8" i="16"/>
  <c r="HJ8" i="16"/>
  <c r="HI8" i="16"/>
  <c r="HH8" i="16"/>
  <c r="GL8" i="16"/>
  <c r="GK8" i="16"/>
  <c r="GI8" i="16"/>
  <c r="GH8" i="16"/>
  <c r="GG8" i="16"/>
  <c r="GF8" i="16"/>
  <c r="FJ8" i="16"/>
  <c r="FI8" i="16"/>
  <c r="FG8" i="16"/>
  <c r="FF8" i="16"/>
  <c r="FE8" i="16"/>
  <c r="FD8" i="16"/>
  <c r="EH8" i="16"/>
  <c r="EG8" i="16"/>
  <c r="EE8" i="16"/>
  <c r="ED8" i="16"/>
  <c r="EC8" i="16"/>
  <c r="EB8" i="16"/>
  <c r="DC8" i="16"/>
  <c r="DB8" i="16"/>
  <c r="CZ8" i="16"/>
  <c r="CY8" i="16"/>
  <c r="CX8" i="16"/>
  <c r="CW8" i="16"/>
  <c r="BZ8" i="16"/>
  <c r="BY8" i="16"/>
  <c r="BW8" i="16"/>
  <c r="BV8" i="16"/>
  <c r="BU8" i="16"/>
  <c r="BT8" i="16"/>
  <c r="AW8" i="16"/>
  <c r="AV8" i="16"/>
  <c r="AT8" i="16"/>
  <c r="AS8" i="16"/>
  <c r="AR8" i="16"/>
  <c r="AQ8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PB4" i="16"/>
  <c r="PA4" i="16"/>
  <c r="OY4" i="16"/>
  <c r="OX4" i="16"/>
  <c r="OW4" i="16"/>
  <c r="OV4" i="16"/>
  <c r="NZ4" i="16"/>
  <c r="NY4" i="16"/>
  <c r="NW4" i="16"/>
  <c r="NV4" i="16"/>
  <c r="NU4" i="16"/>
  <c r="NT4" i="16"/>
  <c r="MX4" i="16"/>
  <c r="MW4" i="16"/>
  <c r="MU4" i="16"/>
  <c r="MT4" i="16"/>
  <c r="MS4" i="16"/>
  <c r="MR4" i="16"/>
  <c r="LV4" i="16"/>
  <c r="LU4" i="16"/>
  <c r="LS4" i="16"/>
  <c r="LR4" i="16"/>
  <c r="LQ4" i="16"/>
  <c r="LP4" i="16"/>
  <c r="KT4" i="16"/>
  <c r="KS4" i="16"/>
  <c r="KQ4" i="16"/>
  <c r="KP4" i="16"/>
  <c r="KO4" i="16"/>
  <c r="KN4" i="16"/>
  <c r="JR4" i="16"/>
  <c r="JQ4" i="16"/>
  <c r="JO4" i="16"/>
  <c r="JN4" i="16"/>
  <c r="JM4" i="16"/>
  <c r="JL4" i="16"/>
  <c r="IP4" i="16"/>
  <c r="IO4" i="16"/>
  <c r="IM4" i="16"/>
  <c r="IL4" i="16"/>
  <c r="IK4" i="16"/>
  <c r="IJ4" i="16"/>
  <c r="HN4" i="16"/>
  <c r="HM4" i="16"/>
  <c r="HK4" i="16"/>
  <c r="HJ4" i="16"/>
  <c r="HI4" i="16"/>
  <c r="HH4" i="16"/>
  <c r="GL4" i="16"/>
  <c r="GK4" i="16"/>
  <c r="GI4" i="16"/>
  <c r="GH4" i="16"/>
  <c r="GG4" i="16"/>
  <c r="GF4" i="16"/>
  <c r="FJ4" i="16"/>
  <c r="FI4" i="16"/>
  <c r="FG4" i="16"/>
  <c r="FF4" i="16"/>
  <c r="FE4" i="16"/>
  <c r="FD4" i="16"/>
  <c r="EH4" i="16"/>
  <c r="EG4" i="16"/>
  <c r="EE4" i="16"/>
  <c r="ED4" i="16"/>
  <c r="EC4" i="16"/>
  <c r="EB4" i="16"/>
  <c r="DC4" i="16"/>
  <c r="DB4" i="16"/>
  <c r="CZ4" i="16"/>
  <c r="CY4" i="16"/>
  <c r="CX4" i="16"/>
  <c r="CW4" i="16"/>
  <c r="BZ4" i="16"/>
  <c r="BY4" i="16"/>
  <c r="BW4" i="16"/>
  <c r="BV4" i="16"/>
  <c r="BU4" i="16"/>
  <c r="BT4" i="16"/>
  <c r="AW4" i="16"/>
  <c r="AV4" i="16"/>
  <c r="AT4" i="16"/>
  <c r="AS4" i="16"/>
  <c r="AR4" i="16"/>
  <c r="AQ4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PB5" i="16"/>
  <c r="PA5" i="16"/>
  <c r="OY5" i="16"/>
  <c r="OX5" i="16"/>
  <c r="OW5" i="16"/>
  <c r="OV5" i="16"/>
  <c r="NZ5" i="16"/>
  <c r="NY5" i="16"/>
  <c r="NW5" i="16"/>
  <c r="NV5" i="16"/>
  <c r="NU5" i="16"/>
  <c r="NT5" i="16"/>
  <c r="MX5" i="16"/>
  <c r="MW5" i="16"/>
  <c r="MU5" i="16"/>
  <c r="MT5" i="16"/>
  <c r="MS5" i="16"/>
  <c r="MR5" i="16"/>
  <c r="LV5" i="16"/>
  <c r="LU5" i="16"/>
  <c r="LS5" i="16"/>
  <c r="LR5" i="16"/>
  <c r="LQ5" i="16"/>
  <c r="LP5" i="16"/>
  <c r="KT5" i="16"/>
  <c r="KS5" i="16"/>
  <c r="KQ5" i="16"/>
  <c r="KP5" i="16"/>
  <c r="KO5" i="16"/>
  <c r="KN5" i="16"/>
  <c r="JR5" i="16"/>
  <c r="JQ5" i="16"/>
  <c r="JO5" i="16"/>
  <c r="JN5" i="16"/>
  <c r="JM5" i="16"/>
  <c r="JL5" i="16"/>
  <c r="IP5" i="16"/>
  <c r="IO5" i="16"/>
  <c r="IM5" i="16"/>
  <c r="IL5" i="16"/>
  <c r="IK5" i="16"/>
  <c r="IJ5" i="16"/>
  <c r="HN5" i="16"/>
  <c r="HM5" i="16"/>
  <c r="HK5" i="16"/>
  <c r="HJ5" i="16"/>
  <c r="HI5" i="16"/>
  <c r="HH5" i="16"/>
  <c r="GL5" i="16"/>
  <c r="GK5" i="16"/>
  <c r="GI5" i="16"/>
  <c r="GH5" i="16"/>
  <c r="GG5" i="16"/>
  <c r="GF5" i="16"/>
  <c r="FJ5" i="16"/>
  <c r="FI5" i="16"/>
  <c r="FG5" i="16"/>
  <c r="FF5" i="16"/>
  <c r="FE5" i="16"/>
  <c r="FD5" i="16"/>
  <c r="EH5" i="16"/>
  <c r="EG5" i="16"/>
  <c r="EE5" i="16"/>
  <c r="ED5" i="16"/>
  <c r="EC5" i="16"/>
  <c r="EB5" i="16"/>
  <c r="DC5" i="16"/>
  <c r="DB5" i="16"/>
  <c r="CZ5" i="16"/>
  <c r="CY5" i="16"/>
  <c r="CX5" i="16"/>
  <c r="CW5" i="16"/>
  <c r="BZ5" i="16"/>
  <c r="BY5" i="16"/>
  <c r="BW5" i="16"/>
  <c r="BV5" i="16"/>
  <c r="BU5" i="16"/>
  <c r="BT5" i="16"/>
  <c r="AW5" i="16"/>
  <c r="AV5" i="16"/>
  <c r="AT5" i="16"/>
  <c r="AS5" i="16"/>
  <c r="AR5" i="16"/>
  <c r="AQ5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BR4" i="15"/>
  <c r="BQ4" i="15"/>
  <c r="BP4" i="15"/>
  <c r="BO4" i="15"/>
  <c r="BN4" i="15"/>
  <c r="AQ4" i="15"/>
  <c r="AP4" i="15"/>
  <c r="AO4" i="15"/>
  <c r="AN4" i="15"/>
  <c r="AM4" i="15"/>
  <c r="FH16" i="18" l="1"/>
  <c r="JP16" i="18"/>
  <c r="NX16" i="18"/>
  <c r="BX20" i="18"/>
  <c r="HL7" i="18"/>
  <c r="QB7" i="18"/>
  <c r="BX10" i="18"/>
  <c r="DA16" i="18"/>
  <c r="LT16" i="18"/>
  <c r="AU17" i="18"/>
  <c r="FH17" i="18"/>
  <c r="BX22" i="16"/>
  <c r="MV9" i="16"/>
  <c r="IN9" i="16"/>
  <c r="JV5" i="15"/>
  <c r="KV5" i="15"/>
  <c r="GM19" i="18"/>
  <c r="PU9" i="17"/>
  <c r="HL5" i="18"/>
  <c r="FK12" i="16"/>
  <c r="GJ11" i="18"/>
  <c r="NX11" i="18"/>
  <c r="OA18" i="18"/>
  <c r="QB15" i="18"/>
  <c r="KR14" i="18"/>
  <c r="RC11" i="18"/>
  <c r="GJ8" i="16"/>
  <c r="KR8" i="16"/>
  <c r="DD20" i="16"/>
  <c r="JS12" i="16"/>
  <c r="LT14" i="16"/>
  <c r="HL14" i="16"/>
  <c r="KR16" i="16"/>
  <c r="GJ16" i="16"/>
  <c r="HO12" i="16"/>
  <c r="Q9" i="16"/>
  <c r="DG9" i="16" s="1"/>
  <c r="MY12" i="16"/>
  <c r="EF14" i="16"/>
  <c r="NX12" i="16"/>
  <c r="KR12" i="16"/>
  <c r="OV15" i="17"/>
  <c r="BS13" i="17"/>
  <c r="PR11" i="15"/>
  <c r="OV7" i="15"/>
  <c r="GV7" i="15"/>
  <c r="MV5" i="15"/>
  <c r="OV10" i="15"/>
  <c r="JV9" i="15"/>
  <c r="KR19" i="18"/>
  <c r="IQ13" i="18"/>
  <c r="KU13" i="18"/>
  <c r="NX9" i="18"/>
  <c r="Q16" i="18"/>
  <c r="MY16" i="18"/>
  <c r="DD19" i="18"/>
  <c r="FK19" i="18"/>
  <c r="JS19" i="18"/>
  <c r="QB9" i="18"/>
  <c r="GJ5" i="18"/>
  <c r="FH15" i="18"/>
  <c r="OA7" i="18"/>
  <c r="QE14" i="18"/>
  <c r="EI18" i="18"/>
  <c r="IQ18" i="18"/>
  <c r="OZ9" i="18"/>
  <c r="FH7" i="18"/>
  <c r="NX5" i="18"/>
  <c r="IN7" i="18"/>
  <c r="EF16" i="18"/>
  <c r="MV16" i="18"/>
  <c r="GJ17" i="18"/>
  <c r="KR17" i="18"/>
  <c r="OZ17" i="18"/>
  <c r="AU20" i="18"/>
  <c r="LT16" i="16"/>
  <c r="HL16" i="16"/>
  <c r="DA16" i="16"/>
  <c r="EF22" i="16"/>
  <c r="IN17" i="16"/>
  <c r="NX20" i="16"/>
  <c r="PC7" i="16"/>
  <c r="FK15" i="16"/>
  <c r="OZ20" i="16"/>
  <c r="MY20" i="16"/>
  <c r="MV15" i="16"/>
  <c r="NX14" i="16"/>
  <c r="JP14" i="16"/>
  <c r="GM20" i="16"/>
  <c r="LW7" i="16"/>
  <c r="KU15" i="16"/>
  <c r="GM15" i="16"/>
  <c r="QE24" i="16"/>
  <c r="OA24" i="16"/>
  <c r="JS24" i="16"/>
  <c r="FK24" i="16"/>
  <c r="DA22" i="16"/>
  <c r="JP10" i="16"/>
  <c r="DA19" i="16"/>
  <c r="OZ17" i="16"/>
  <c r="IN12" i="16"/>
  <c r="NX9" i="16"/>
  <c r="JP9" i="16"/>
  <c r="FH9" i="16"/>
  <c r="EF15" i="16"/>
  <c r="FH14" i="16"/>
  <c r="OZ12" i="16"/>
  <c r="BX11" i="16"/>
  <c r="HL17" i="16"/>
  <c r="QE26" i="16"/>
  <c r="LW26" i="16"/>
  <c r="HO26" i="16"/>
  <c r="AX26" i="16"/>
  <c r="RA24" i="16"/>
  <c r="KU24" i="16"/>
  <c r="GM24" i="16"/>
  <c r="PC11" i="16"/>
  <c r="KU11" i="16"/>
  <c r="GM11" i="16"/>
  <c r="QE17" i="16"/>
  <c r="LW17" i="16"/>
  <c r="EI18" i="16"/>
  <c r="OZ14" i="16"/>
  <c r="QB12" i="16"/>
  <c r="IQ12" i="16"/>
  <c r="LT24" i="16"/>
  <c r="HL24" i="16"/>
  <c r="NX7" i="16"/>
  <c r="JP7" i="16"/>
  <c r="IQ23" i="16"/>
  <c r="AX19" i="16"/>
  <c r="CA25" i="16"/>
  <c r="AX18" i="16"/>
  <c r="IQ22" i="16"/>
  <c r="BX15" i="16"/>
  <c r="OA14" i="16"/>
  <c r="JS14" i="16"/>
  <c r="FK14" i="16"/>
  <c r="GJ12" i="16"/>
  <c r="MV24" i="16"/>
  <c r="IN24" i="16"/>
  <c r="EF24" i="16"/>
  <c r="BX19" i="16"/>
  <c r="JP17" i="16"/>
  <c r="FH20" i="16"/>
  <c r="GJ7" i="16"/>
  <c r="AR16" i="17"/>
  <c r="M12" i="17"/>
  <c r="CV12" i="17" s="1"/>
  <c r="BS6" i="17"/>
  <c r="OV16" i="17"/>
  <c r="OV11" i="17"/>
  <c r="MV11" i="15"/>
  <c r="FV8" i="15"/>
  <c r="JV7" i="15"/>
  <c r="PU6" i="15"/>
  <c r="IV11" i="15"/>
  <c r="KV10" i="15"/>
  <c r="NV9" i="15"/>
  <c r="FV9" i="15"/>
  <c r="OV6" i="15"/>
  <c r="AR5" i="15"/>
  <c r="NV4" i="15"/>
  <c r="PT11" i="15"/>
  <c r="FV10" i="15"/>
  <c r="LV8" i="15"/>
  <c r="NV5" i="15"/>
  <c r="FV5" i="15"/>
  <c r="OZ5" i="18"/>
  <c r="JP7" i="18"/>
  <c r="GJ8" i="18"/>
  <c r="KR8" i="18"/>
  <c r="OZ8" i="18"/>
  <c r="JP13" i="18"/>
  <c r="IN15" i="18"/>
  <c r="HL14" i="18"/>
  <c r="M7" i="18"/>
  <c r="N7" i="18" s="1"/>
  <c r="I16" i="18"/>
  <c r="J16" i="18" s="1"/>
  <c r="HL15" i="18"/>
  <c r="OZ18" i="18"/>
  <c r="FH11" i="18"/>
  <c r="QE9" i="18"/>
  <c r="EI5" i="18"/>
  <c r="PC14" i="18"/>
  <c r="K16" i="18"/>
  <c r="DD16" i="18"/>
  <c r="GM4" i="18"/>
  <c r="KU4" i="18"/>
  <c r="GM9" i="18"/>
  <c r="RA5" i="18"/>
  <c r="AU12" i="18"/>
  <c r="GJ15" i="18"/>
  <c r="MV19" i="18"/>
  <c r="IQ11" i="18"/>
  <c r="MY11" i="18"/>
  <c r="GJ4" i="18"/>
  <c r="KR4" i="18"/>
  <c r="PC9" i="18"/>
  <c r="OA14" i="18"/>
  <c r="CA16" i="18"/>
  <c r="Q20" i="18"/>
  <c r="DG20" i="18" s="1"/>
  <c r="FK20" i="18"/>
  <c r="JS20" i="18"/>
  <c r="OA20" i="18"/>
  <c r="PC6" i="18"/>
  <c r="FK9" i="18"/>
  <c r="JS9" i="18"/>
  <c r="OA9" i="18"/>
  <c r="QB5" i="18"/>
  <c r="AU10" i="18"/>
  <c r="HO15" i="18"/>
  <c r="NX15" i="18"/>
  <c r="QE15" i="18"/>
  <c r="EF14" i="18"/>
  <c r="BX17" i="18"/>
  <c r="O20" i="18"/>
  <c r="OZ4" i="18"/>
  <c r="FH6" i="18"/>
  <c r="JP6" i="18"/>
  <c r="NX6" i="18"/>
  <c r="MV9" i="18"/>
  <c r="AX16" i="18"/>
  <c r="K19" i="18"/>
  <c r="DE19" i="18" s="1"/>
  <c r="O21" i="18"/>
  <c r="EF11" i="18"/>
  <c r="NX4" i="18"/>
  <c r="EF6" i="18"/>
  <c r="HL9" i="18"/>
  <c r="LT9" i="18"/>
  <c r="MY14" i="18"/>
  <c r="QB14" i="18"/>
  <c r="AU19" i="18"/>
  <c r="JP19" i="18"/>
  <c r="Q12" i="18"/>
  <c r="DG12" i="18" s="1"/>
  <c r="LW14" i="18"/>
  <c r="OZ14" i="18"/>
  <c r="IQ16" i="18"/>
  <c r="EF19" i="18"/>
  <c r="IQ19" i="18"/>
  <c r="EF17" i="18"/>
  <c r="FK6" i="18"/>
  <c r="HL6" i="18"/>
  <c r="OA6" i="18"/>
  <c r="QB6" i="18"/>
  <c r="GJ9" i="18"/>
  <c r="KR9" i="18"/>
  <c r="JS13" i="18"/>
  <c r="IQ14" i="18"/>
  <c r="KU14" i="18"/>
  <c r="NX14" i="18"/>
  <c r="EI20" i="18"/>
  <c r="IQ20" i="18"/>
  <c r="MY20" i="18"/>
  <c r="RD20" i="18"/>
  <c r="RF20" i="18"/>
  <c r="Q21" i="18"/>
  <c r="DG21" i="18" s="1"/>
  <c r="PC7" i="18"/>
  <c r="FK10" i="18"/>
  <c r="JS10" i="18"/>
  <c r="OA10" i="18"/>
  <c r="DD8" i="18"/>
  <c r="MV14" i="18"/>
  <c r="AU16" i="18"/>
  <c r="HO16" i="18"/>
  <c r="I4" i="18"/>
  <c r="J4" i="18" s="1"/>
  <c r="HO4" i="18"/>
  <c r="LW4" i="18"/>
  <c r="MY6" i="18"/>
  <c r="OZ6" i="18"/>
  <c r="AU5" i="18"/>
  <c r="AU7" i="18"/>
  <c r="JP10" i="18"/>
  <c r="NX10" i="18"/>
  <c r="KR13" i="18"/>
  <c r="OZ13" i="18"/>
  <c r="OZ15" i="18"/>
  <c r="RD15" i="18"/>
  <c r="RF15" i="18"/>
  <c r="AU14" i="18"/>
  <c r="JS14" i="18"/>
  <c r="LT14" i="18"/>
  <c r="JS18" i="18"/>
  <c r="LT19" i="18"/>
  <c r="QE19" i="18"/>
  <c r="I20" i="18"/>
  <c r="J20" i="18" s="1"/>
  <c r="BX21" i="18"/>
  <c r="OZ11" i="18"/>
  <c r="AU25" i="16"/>
  <c r="PC20" i="16"/>
  <c r="HL20" i="16"/>
  <c r="BX20" i="16"/>
  <c r="AU22" i="16"/>
  <c r="LT15" i="16"/>
  <c r="HL15" i="16"/>
  <c r="LT12" i="16"/>
  <c r="LW24" i="16"/>
  <c r="HO24" i="16"/>
  <c r="KU23" i="16"/>
  <c r="FH16" i="16"/>
  <c r="Q16" i="16"/>
  <c r="DG16" i="16" s="1"/>
  <c r="QB7" i="16"/>
  <c r="DA15" i="16"/>
  <c r="EF12" i="16"/>
  <c r="Q19" i="16"/>
  <c r="IN20" i="16"/>
  <c r="HL7" i="16"/>
  <c r="IN15" i="16"/>
  <c r="MV14" i="16"/>
  <c r="IN14" i="16"/>
  <c r="MV12" i="16"/>
  <c r="KU12" i="16"/>
  <c r="FH12" i="16"/>
  <c r="MY24" i="16"/>
  <c r="IQ24" i="16"/>
  <c r="EI24" i="16"/>
  <c r="JS23" i="16"/>
  <c r="EI20" i="16"/>
  <c r="LW22" i="16"/>
  <c r="HO22" i="16"/>
  <c r="QE14" i="16"/>
  <c r="NX24" i="16"/>
  <c r="JP24" i="16"/>
  <c r="FH24" i="16"/>
  <c r="HO20" i="16"/>
  <c r="LW18" i="16"/>
  <c r="FH18" i="16"/>
  <c r="MV22" i="16"/>
  <c r="MY7" i="16"/>
  <c r="EI7" i="16"/>
  <c r="NX15" i="16"/>
  <c r="JP15" i="16"/>
  <c r="FH15" i="16"/>
  <c r="LW14" i="16"/>
  <c r="HO14" i="16"/>
  <c r="O14" i="16"/>
  <c r="HL12" i="16"/>
  <c r="EI12" i="16"/>
  <c r="RA9" i="16"/>
  <c r="EF9" i="16"/>
  <c r="HL10" i="16"/>
  <c r="QB10" i="16"/>
  <c r="KR24" i="16"/>
  <c r="GJ24" i="16"/>
  <c r="OA11" i="16"/>
  <c r="JS11" i="16"/>
  <c r="FK11" i="16"/>
  <c r="DD11" i="16"/>
  <c r="KR17" i="16"/>
  <c r="GM17" i="16"/>
  <c r="QB20" i="16"/>
  <c r="FH7" i="16"/>
  <c r="MY15" i="16"/>
  <c r="EI15" i="16"/>
  <c r="QB14" i="16"/>
  <c r="KR14" i="16"/>
  <c r="GJ14" i="16"/>
  <c r="JP12" i="16"/>
  <c r="GM12" i="16"/>
  <c r="M26" i="16"/>
  <c r="N26" i="16" s="1"/>
  <c r="FK17" i="16"/>
  <c r="CA21" i="16"/>
  <c r="PC24" i="16"/>
  <c r="BX24" i="16"/>
  <c r="LT23" i="16"/>
  <c r="GJ23" i="16"/>
  <c r="MV25" i="16"/>
  <c r="IN25" i="16"/>
  <c r="EF25" i="16"/>
  <c r="MY17" i="16"/>
  <c r="JP20" i="16"/>
  <c r="EF20" i="16"/>
  <c r="BX18" i="16"/>
  <c r="KU7" i="16"/>
  <c r="OZ15" i="16"/>
  <c r="PC14" i="16"/>
  <c r="GM14" i="16"/>
  <c r="M14" i="16"/>
  <c r="N14" i="16" s="1"/>
  <c r="O18" i="16"/>
  <c r="MV26" i="16"/>
  <c r="IN26" i="16"/>
  <c r="EF26" i="16"/>
  <c r="MV19" i="16"/>
  <c r="NX25" i="16"/>
  <c r="JP25" i="16"/>
  <c r="FH25" i="16"/>
  <c r="Q25" i="16"/>
  <c r="DG25" i="16" s="1"/>
  <c r="BX25" i="16"/>
  <c r="OZ11" i="16"/>
  <c r="KR11" i="16"/>
  <c r="GJ11" i="16"/>
  <c r="AU11" i="16"/>
  <c r="QB17" i="16"/>
  <c r="OA17" i="16"/>
  <c r="HO17" i="16"/>
  <c r="KR20" i="16"/>
  <c r="IQ20" i="16"/>
  <c r="OZ22" i="16"/>
  <c r="CA22" i="16"/>
  <c r="GM7" i="16"/>
  <c r="BX7" i="16"/>
  <c r="KR15" i="16"/>
  <c r="GJ15" i="16"/>
  <c r="IQ14" i="16"/>
  <c r="JS22" i="16"/>
  <c r="QE15" i="16"/>
  <c r="OA15" i="16"/>
  <c r="RA14" i="16"/>
  <c r="QE12" i="16"/>
  <c r="PC12" i="16"/>
  <c r="OA12" i="16"/>
  <c r="LW12" i="16"/>
  <c r="NX26" i="16"/>
  <c r="JP26" i="16"/>
  <c r="FH26" i="16"/>
  <c r="OZ24" i="16"/>
  <c r="OZ25" i="16"/>
  <c r="HL11" i="16"/>
  <c r="PC17" i="16"/>
  <c r="LT20" i="16"/>
  <c r="GJ20" i="16"/>
  <c r="CA20" i="16"/>
  <c r="LT22" i="16"/>
  <c r="KR22" i="16"/>
  <c r="GJ22" i="16"/>
  <c r="OZ7" i="16"/>
  <c r="IN7" i="16"/>
  <c r="KU14" i="16"/>
  <c r="EI17" i="16"/>
  <c r="CA17" i="16"/>
  <c r="QE20" i="16"/>
  <c r="QE22" i="16"/>
  <c r="OZ26" i="16"/>
  <c r="MY26" i="16"/>
  <c r="KR26" i="16"/>
  <c r="IQ26" i="16"/>
  <c r="GJ26" i="16"/>
  <c r="EI26" i="16"/>
  <c r="BX26" i="16"/>
  <c r="QB24" i="16"/>
  <c r="OZ23" i="16"/>
  <c r="KR23" i="16"/>
  <c r="Q23" i="16"/>
  <c r="DG23" i="16" s="1"/>
  <c r="I23" i="16"/>
  <c r="CA19" i="16"/>
  <c r="QB25" i="16"/>
  <c r="LT25" i="16"/>
  <c r="HL25" i="16"/>
  <c r="EF11" i="16"/>
  <c r="GJ17" i="16"/>
  <c r="FK20" i="16"/>
  <c r="MY14" i="16"/>
  <c r="EI14" i="16"/>
  <c r="BS10" i="17"/>
  <c r="OV19" i="17"/>
  <c r="BS15" i="17"/>
  <c r="OV10" i="17"/>
  <c r="OV6" i="17"/>
  <c r="CT13" i="17"/>
  <c r="OV14" i="17"/>
  <c r="BS9" i="17"/>
  <c r="M16" i="17"/>
  <c r="CV16" i="17" s="1"/>
  <c r="BS16" i="17"/>
  <c r="OV13" i="17"/>
  <c r="PU10" i="17"/>
  <c r="PR10" i="17"/>
  <c r="BS12" i="17"/>
  <c r="M13" i="17"/>
  <c r="CV13" i="17" s="1"/>
  <c r="DV8" i="15"/>
  <c r="GV6" i="15"/>
  <c r="IV10" i="15"/>
  <c r="AR10" i="15"/>
  <c r="LV9" i="15"/>
  <c r="M8" i="15"/>
  <c r="CV8" i="15" s="1"/>
  <c r="EV6" i="15"/>
  <c r="IV5" i="15"/>
  <c r="BS9" i="15"/>
  <c r="MV8" i="15"/>
  <c r="FV7" i="15"/>
  <c r="EV7" i="15"/>
  <c r="HV6" i="15"/>
  <c r="HV7" i="15"/>
  <c r="KV6" i="15"/>
  <c r="CT6" i="15"/>
  <c r="CT11" i="15"/>
  <c r="MV10" i="15"/>
  <c r="EV10" i="15"/>
  <c r="KV7" i="15"/>
  <c r="GV5" i="15"/>
  <c r="NV11" i="15"/>
  <c r="LV11" i="15"/>
  <c r="KV11" i="15"/>
  <c r="DV11" i="15"/>
  <c r="NV10" i="15"/>
  <c r="MV9" i="15"/>
  <c r="EV9" i="15"/>
  <c r="EV8" i="15"/>
  <c r="NV7" i="15"/>
  <c r="BS6" i="15"/>
  <c r="HV9" i="15"/>
  <c r="HV8" i="15"/>
  <c r="BS7" i="15"/>
  <c r="PR5" i="15"/>
  <c r="CT9" i="15"/>
  <c r="KV8" i="15"/>
  <c r="HV5" i="15"/>
  <c r="JV10" i="15"/>
  <c r="GV10" i="15"/>
  <c r="AR9" i="15"/>
  <c r="PR8" i="15"/>
  <c r="IV8" i="15"/>
  <c r="NV6" i="15"/>
  <c r="FV6" i="15"/>
  <c r="DV9" i="15"/>
  <c r="IV6" i="15"/>
  <c r="EV11" i="15"/>
  <c r="GV9" i="15"/>
  <c r="GV8" i="15"/>
  <c r="LV6" i="15"/>
  <c r="DV10" i="15"/>
  <c r="PU9" i="15"/>
  <c r="IV9" i="15"/>
  <c r="JV8" i="15"/>
  <c r="MV6" i="15"/>
  <c r="FV11" i="15"/>
  <c r="PS8" i="15"/>
  <c r="K8" i="15"/>
  <c r="CT7" i="15"/>
  <c r="M7" i="15"/>
  <c r="CV7" i="15" s="1"/>
  <c r="JV6" i="15"/>
  <c r="DV6" i="15"/>
  <c r="PV11" i="15"/>
  <c r="OV11" i="15"/>
  <c r="PU10" i="15"/>
  <c r="HV10" i="15"/>
  <c r="BS10" i="15"/>
  <c r="NV8" i="15"/>
  <c r="LV7" i="15"/>
  <c r="IV7" i="15"/>
  <c r="OV5" i="15"/>
  <c r="LV5" i="15"/>
  <c r="KV9" i="15"/>
  <c r="M6" i="15"/>
  <c r="AR4" i="15"/>
  <c r="JV11" i="15"/>
  <c r="HV11" i="15"/>
  <c r="GV11" i="15"/>
  <c r="LV10" i="15"/>
  <c r="BS8" i="15"/>
  <c r="DV7" i="15"/>
  <c r="EV5" i="15"/>
  <c r="DV5" i="15"/>
  <c r="BS11" i="15"/>
  <c r="OV8" i="15"/>
  <c r="MV7" i="15"/>
  <c r="OV9" i="15"/>
  <c r="BS5" i="15"/>
  <c r="PS12" i="17"/>
  <c r="OV20" i="17"/>
  <c r="M11" i="17"/>
  <c r="BS11" i="17"/>
  <c r="PR16" i="17"/>
  <c r="AR13" i="17"/>
  <c r="OV9" i="17"/>
  <c r="OV12" i="17"/>
  <c r="BS14" i="17"/>
  <c r="MV23" i="16"/>
  <c r="EF23" i="16"/>
  <c r="NX19" i="16"/>
  <c r="JP19" i="16"/>
  <c r="FH19" i="16"/>
  <c r="MV18" i="16"/>
  <c r="IN18" i="16"/>
  <c r="DA18" i="16"/>
  <c r="M22" i="16"/>
  <c r="N22" i="16" s="1"/>
  <c r="I15" i="16"/>
  <c r="NX23" i="16"/>
  <c r="FH23" i="16"/>
  <c r="KR25" i="16"/>
  <c r="GJ25" i="16"/>
  <c r="NX18" i="16"/>
  <c r="LW23" i="16"/>
  <c r="OZ19" i="16"/>
  <c r="KR19" i="16"/>
  <c r="GJ19" i="16"/>
  <c r="M25" i="16"/>
  <c r="N25" i="16" s="1"/>
  <c r="QB11" i="16"/>
  <c r="LT11" i="16"/>
  <c r="AU17" i="16"/>
  <c r="JS20" i="16"/>
  <c r="OZ18" i="16"/>
  <c r="JP18" i="16"/>
  <c r="EF18" i="16"/>
  <c r="CA18" i="16"/>
  <c r="KU22" i="16"/>
  <c r="OA7" i="16"/>
  <c r="FK7" i="16"/>
  <c r="HO15" i="16"/>
  <c r="M15" i="16"/>
  <c r="N15" i="16" s="1"/>
  <c r="QB26" i="16"/>
  <c r="OA26" i="16"/>
  <c r="LT26" i="16"/>
  <c r="JS26" i="16"/>
  <c r="HL26" i="16"/>
  <c r="FK26" i="16"/>
  <c r="O24" i="16"/>
  <c r="QB23" i="16"/>
  <c r="MY23" i="16"/>
  <c r="HL23" i="16"/>
  <c r="EI23" i="16"/>
  <c r="QE11" i="16"/>
  <c r="LW11" i="16"/>
  <c r="HO11" i="16"/>
  <c r="KU20" i="16"/>
  <c r="M20" i="16"/>
  <c r="N20" i="16" s="1"/>
  <c r="MY18" i="16"/>
  <c r="I22" i="16"/>
  <c r="J22" i="16" s="1"/>
  <c r="IQ15" i="16"/>
  <c r="AX15" i="16"/>
  <c r="RD12" i="16"/>
  <c r="RA12" i="16"/>
  <c r="Q6" i="16"/>
  <c r="DG6" i="16" s="1"/>
  <c r="AU6" i="16"/>
  <c r="RF9" i="16"/>
  <c r="CA9" i="16"/>
  <c r="RD23" i="16"/>
  <c r="OA23" i="16"/>
  <c r="IN23" i="16"/>
  <c r="FK23" i="16"/>
  <c r="BX23" i="16"/>
  <c r="QB19" i="16"/>
  <c r="LT19" i="16"/>
  <c r="HL19" i="16"/>
  <c r="K19" i="16"/>
  <c r="DE19" i="16" s="1"/>
  <c r="MV11" i="16"/>
  <c r="IN11" i="16"/>
  <c r="RF17" i="16"/>
  <c r="LT17" i="16"/>
  <c r="IQ17" i="16"/>
  <c r="BX17" i="16"/>
  <c r="LW20" i="16"/>
  <c r="DA20" i="16"/>
  <c r="QB18" i="16"/>
  <c r="OA18" i="16"/>
  <c r="KR18" i="16"/>
  <c r="GJ18" i="16"/>
  <c r="Q18" i="16"/>
  <c r="Q21" i="16"/>
  <c r="BX21" i="16"/>
  <c r="QB22" i="16"/>
  <c r="MY22" i="16"/>
  <c r="HL22" i="16"/>
  <c r="EI22" i="16"/>
  <c r="QE7" i="16"/>
  <c r="KR7" i="16"/>
  <c r="HO7" i="16"/>
  <c r="QB15" i="16"/>
  <c r="JS15" i="16"/>
  <c r="RA26" i="16"/>
  <c r="PC26" i="16"/>
  <c r="KU26" i="16"/>
  <c r="GM26" i="16"/>
  <c r="CA26" i="16"/>
  <c r="PC23" i="16"/>
  <c r="JP23" i="16"/>
  <c r="GM23" i="16"/>
  <c r="MY11" i="16"/>
  <c r="IQ11" i="16"/>
  <c r="EI11" i="16"/>
  <c r="CA11" i="16"/>
  <c r="MV17" i="16"/>
  <c r="JS17" i="16"/>
  <c r="EF17" i="16"/>
  <c r="M17" i="16"/>
  <c r="N17" i="16" s="1"/>
  <c r="M18" i="16"/>
  <c r="N18" i="16" s="1"/>
  <c r="OA22" i="16"/>
  <c r="IN22" i="16"/>
  <c r="FK22" i="16"/>
  <c r="LT7" i="16"/>
  <c r="IQ7" i="16"/>
  <c r="I12" i="16"/>
  <c r="RF6" i="16"/>
  <c r="QE23" i="16"/>
  <c r="HO23" i="16"/>
  <c r="IN19" i="16"/>
  <c r="EF19" i="16"/>
  <c r="NX11" i="16"/>
  <c r="JP11" i="16"/>
  <c r="FH11" i="16"/>
  <c r="NX17" i="16"/>
  <c r="KU17" i="16"/>
  <c r="FH17" i="16"/>
  <c r="OA20" i="16"/>
  <c r="Q20" i="16"/>
  <c r="DG20" i="16" s="1"/>
  <c r="RA18" i="16"/>
  <c r="LT18" i="16"/>
  <c r="JS18" i="16"/>
  <c r="HL18" i="16"/>
  <c r="FK18" i="16"/>
  <c r="CA16" i="16"/>
  <c r="PC22" i="16"/>
  <c r="JP22" i="16"/>
  <c r="GM22" i="16"/>
  <c r="MV7" i="16"/>
  <c r="JS7" i="16"/>
  <c r="EF7" i="16"/>
  <c r="M7" i="16"/>
  <c r="N7" i="16" s="1"/>
  <c r="CA7" i="16"/>
  <c r="LW15" i="16"/>
  <c r="DD15" i="16"/>
  <c r="HL4" i="18"/>
  <c r="LT4" i="18"/>
  <c r="GM15" i="18"/>
  <c r="JP15" i="18"/>
  <c r="HL18" i="18"/>
  <c r="PC18" i="18"/>
  <c r="LW16" i="18"/>
  <c r="OZ16" i="18"/>
  <c r="IN17" i="18"/>
  <c r="MV17" i="18"/>
  <c r="BX4" i="18"/>
  <c r="GJ6" i="18"/>
  <c r="GJ10" i="18"/>
  <c r="KR10" i="18"/>
  <c r="OZ10" i="18"/>
  <c r="M15" i="18"/>
  <c r="N15" i="18" s="1"/>
  <c r="M18" i="18"/>
  <c r="N18" i="18" s="1"/>
  <c r="Q8" i="18"/>
  <c r="HL8" i="18"/>
  <c r="LT8" i="18"/>
  <c r="QB8" i="18"/>
  <c r="BX13" i="18"/>
  <c r="GJ13" i="18"/>
  <c r="BX15" i="18"/>
  <c r="MV15" i="18"/>
  <c r="KR18" i="18"/>
  <c r="HL17" i="18"/>
  <c r="LT17" i="18"/>
  <c r="QB17" i="18"/>
  <c r="BX11" i="18"/>
  <c r="FK4" i="18"/>
  <c r="JS4" i="18"/>
  <c r="MY5" i="18"/>
  <c r="GM7" i="18"/>
  <c r="MY7" i="18"/>
  <c r="OZ7" i="18"/>
  <c r="O10" i="18"/>
  <c r="FH10" i="18"/>
  <c r="PC19" i="18"/>
  <c r="LW11" i="18"/>
  <c r="FH4" i="18"/>
  <c r="JP4" i="18"/>
  <c r="LW6" i="18"/>
  <c r="IQ9" i="18"/>
  <c r="M5" i="18"/>
  <c r="N5" i="18" s="1"/>
  <c r="FK7" i="18"/>
  <c r="NX7" i="18"/>
  <c r="EI10" i="18"/>
  <c r="IQ10" i="18"/>
  <c r="MY10" i="18"/>
  <c r="RF10" i="18"/>
  <c r="JS15" i="18"/>
  <c r="LT15" i="18"/>
  <c r="PC15" i="18"/>
  <c r="AX18" i="18"/>
  <c r="JP18" i="18"/>
  <c r="KU16" i="18"/>
  <c r="MV11" i="18"/>
  <c r="PC11" i="18"/>
  <c r="CA4" i="18"/>
  <c r="IQ4" i="18"/>
  <c r="CA6" i="18"/>
  <c r="FH9" i="18"/>
  <c r="CA5" i="18"/>
  <c r="LW5" i="18"/>
  <c r="LW7" i="18"/>
  <c r="O12" i="18"/>
  <c r="JS16" i="18"/>
  <c r="HO19" i="18"/>
  <c r="OA19" i="18"/>
  <c r="KU11" i="18"/>
  <c r="IN4" i="18"/>
  <c r="MV4" i="18"/>
  <c r="GM6" i="18"/>
  <c r="MV6" i="18"/>
  <c r="EF9" i="18"/>
  <c r="JP9" i="18"/>
  <c r="AX5" i="18"/>
  <c r="LT5" i="18"/>
  <c r="MV5" i="18"/>
  <c r="GJ7" i="18"/>
  <c r="DA10" i="18"/>
  <c r="QE13" i="18"/>
  <c r="EF15" i="18"/>
  <c r="IQ15" i="18"/>
  <c r="KR15" i="18"/>
  <c r="EF18" i="18"/>
  <c r="MV18" i="18"/>
  <c r="QE18" i="18"/>
  <c r="O16" i="18"/>
  <c r="OA16" i="18"/>
  <c r="QB16" i="18"/>
  <c r="IN19" i="18"/>
  <c r="JP17" i="18"/>
  <c r="NX17" i="18"/>
  <c r="QB11" i="18"/>
  <c r="K5" i="18"/>
  <c r="AX6" i="18"/>
  <c r="BX5" i="18"/>
  <c r="DA17" i="18"/>
  <c r="DA11" i="18"/>
  <c r="RD14" i="18"/>
  <c r="M16" i="18"/>
  <c r="N16" i="18" s="1"/>
  <c r="K6" i="18"/>
  <c r="K20" i="18"/>
  <c r="DD17" i="18"/>
  <c r="I10" i="18"/>
  <c r="J10" i="18" s="1"/>
  <c r="RC15" i="18"/>
  <c r="DA19" i="18"/>
  <c r="RA8" i="18"/>
  <c r="RF8" i="18"/>
  <c r="Q13" i="18"/>
  <c r="DA13" i="18"/>
  <c r="RA14" i="18"/>
  <c r="DA6" i="18"/>
  <c r="RD19" i="18"/>
  <c r="EI6" i="18"/>
  <c r="FH5" i="18"/>
  <c r="RC9" i="18"/>
  <c r="DA15" i="18"/>
  <c r="RA15" i="18"/>
  <c r="RG21" i="18"/>
  <c r="F14" i="18"/>
  <c r="G20" i="18"/>
  <c r="M6" i="18"/>
  <c r="N6" i="18" s="1"/>
  <c r="Q10" i="18"/>
  <c r="DG10" i="18" s="1"/>
  <c r="RC14" i="18"/>
  <c r="DA21" i="18"/>
  <c r="DD12" i="18"/>
  <c r="RD13" i="18"/>
  <c r="RF13" i="18"/>
  <c r="O18" i="18"/>
  <c r="RB19" i="18"/>
  <c r="RG19" i="18"/>
  <c r="RA19" i="18"/>
  <c r="RA17" i="18"/>
  <c r="M11" i="18"/>
  <c r="N11" i="18" s="1"/>
  <c r="O9" i="18"/>
  <c r="Q5" i="18"/>
  <c r="DG5" i="18" s="1"/>
  <c r="M13" i="18"/>
  <c r="N13" i="18" s="1"/>
  <c r="F16" i="18"/>
  <c r="RC16" i="18"/>
  <c r="K11" i="18"/>
  <c r="RD11" i="18"/>
  <c r="RD4" i="18"/>
  <c r="RF9" i="18"/>
  <c r="DD5" i="18"/>
  <c r="RF7" i="18"/>
  <c r="O15" i="18"/>
  <c r="O14" i="18"/>
  <c r="RC18" i="18"/>
  <c r="I17" i="18"/>
  <c r="M20" i="18"/>
  <c r="N20" i="18" s="1"/>
  <c r="DA20" i="18"/>
  <c r="RC6" i="18"/>
  <c r="Q18" i="18"/>
  <c r="DA18" i="18"/>
  <c r="RD18" i="18"/>
  <c r="O17" i="18"/>
  <c r="K21" i="18"/>
  <c r="DE21" i="18" s="1"/>
  <c r="K9" i="18"/>
  <c r="DE9" i="18" s="1"/>
  <c r="RA9" i="18"/>
  <c r="RA7" i="18"/>
  <c r="K10" i="18"/>
  <c r="DE10" i="18" s="1"/>
  <c r="F9" i="18"/>
  <c r="AX4" i="18"/>
  <c r="I5" i="18"/>
  <c r="J5" i="18" s="1"/>
  <c r="RB4" i="18"/>
  <c r="HO6" i="18"/>
  <c r="KR6" i="18"/>
  <c r="QE6" i="18"/>
  <c r="EI9" i="18"/>
  <c r="RD9" i="18"/>
  <c r="Q15" i="18"/>
  <c r="G15" i="18"/>
  <c r="I7" i="18"/>
  <c r="J7" i="18" s="1"/>
  <c r="BX7" i="18"/>
  <c r="K7" i="18"/>
  <c r="DE7" i="18" s="1"/>
  <c r="RD10" i="18"/>
  <c r="RA10" i="18"/>
  <c r="LT13" i="18"/>
  <c r="LW13" i="18"/>
  <c r="DA4" i="18"/>
  <c r="IN6" i="18"/>
  <c r="RD6" i="18"/>
  <c r="RA6" i="18"/>
  <c r="RB9" i="18"/>
  <c r="L19" i="18"/>
  <c r="F6" i="18"/>
  <c r="KU5" i="18"/>
  <c r="KR5" i="18"/>
  <c r="HO13" i="18"/>
  <c r="QE4" i="18"/>
  <c r="PC4" i="18"/>
  <c r="KU6" i="18"/>
  <c r="Q9" i="18"/>
  <c r="DA9" i="18"/>
  <c r="DD9" i="18"/>
  <c r="HO9" i="18"/>
  <c r="F5" i="18"/>
  <c r="JS5" i="18"/>
  <c r="JP5" i="18"/>
  <c r="EI7" i="18"/>
  <c r="EF7" i="18"/>
  <c r="CA12" i="18"/>
  <c r="I12" i="18"/>
  <c r="BX12" i="18"/>
  <c r="K12" i="18"/>
  <c r="DE12" i="18" s="1"/>
  <c r="I8" i="18"/>
  <c r="J8" i="18" s="1"/>
  <c r="M4" i="18"/>
  <c r="N4" i="18" s="1"/>
  <c r="OA4" i="18"/>
  <c r="RG4" i="18"/>
  <c r="RA4" i="18"/>
  <c r="JS6" i="18"/>
  <c r="M9" i="18"/>
  <c r="N9" i="18" s="1"/>
  <c r="MY9" i="18"/>
  <c r="EF5" i="18"/>
  <c r="KU7" i="18"/>
  <c r="KR7" i="18"/>
  <c r="MY4" i="18"/>
  <c r="QB4" i="18"/>
  <c r="RF4" i="18"/>
  <c r="IQ6" i="18"/>
  <c r="LT6" i="18"/>
  <c r="RB6" i="18"/>
  <c r="BX9" i="18"/>
  <c r="CA9" i="18"/>
  <c r="IN9" i="18"/>
  <c r="O5" i="18"/>
  <c r="DA5" i="18"/>
  <c r="IQ5" i="18"/>
  <c r="IN5" i="18"/>
  <c r="DA7" i="18"/>
  <c r="F7" i="18"/>
  <c r="CA7" i="18"/>
  <c r="RG7" i="18"/>
  <c r="KU15" i="18"/>
  <c r="RG15" i="18"/>
  <c r="EI14" i="18"/>
  <c r="PC16" i="18"/>
  <c r="M19" i="18"/>
  <c r="N19" i="18" s="1"/>
  <c r="AX21" i="18"/>
  <c r="CA21" i="18"/>
  <c r="DD21" i="18"/>
  <c r="RG12" i="18"/>
  <c r="EF8" i="18"/>
  <c r="IN8" i="18"/>
  <c r="MV8" i="18"/>
  <c r="FH13" i="18"/>
  <c r="NX13" i="18"/>
  <c r="RG13" i="18"/>
  <c r="GJ14" i="18"/>
  <c r="GJ18" i="18"/>
  <c r="LT18" i="18"/>
  <c r="BX19" i="18"/>
  <c r="GM17" i="18"/>
  <c r="HO17" i="18"/>
  <c r="IQ17" i="18"/>
  <c r="JS17" i="18"/>
  <c r="KU17" i="18"/>
  <c r="LW17" i="18"/>
  <c r="MY17" i="18"/>
  <c r="OA17" i="18"/>
  <c r="PC17" i="18"/>
  <c r="QE17" i="18"/>
  <c r="RB8" i="18"/>
  <c r="RC8" i="18"/>
  <c r="EF13" i="18"/>
  <c r="MV13" i="18"/>
  <c r="RB15" i="18"/>
  <c r="FH14" i="18"/>
  <c r="FH18" i="18"/>
  <c r="G16" i="18"/>
  <c r="RB21" i="18"/>
  <c r="RC21" i="18"/>
  <c r="O11" i="18"/>
  <c r="LT11" i="18"/>
  <c r="HO5" i="18"/>
  <c r="QE5" i="18"/>
  <c r="RC5" i="18"/>
  <c r="JS7" i="18"/>
  <c r="MV7" i="18"/>
  <c r="DD10" i="18"/>
  <c r="EF10" i="18"/>
  <c r="IN10" i="18"/>
  <c r="MV10" i="18"/>
  <c r="DA8" i="18"/>
  <c r="O13" i="18"/>
  <c r="G14" i="18"/>
  <c r="Q14" i="18"/>
  <c r="F18" i="18"/>
  <c r="MY18" i="18"/>
  <c r="IN16" i="18"/>
  <c r="CA19" i="18"/>
  <c r="EI19" i="18"/>
  <c r="HL19" i="18"/>
  <c r="MY19" i="18"/>
  <c r="QB19" i="18"/>
  <c r="RF19" i="18"/>
  <c r="K17" i="18"/>
  <c r="DE17" i="18" s="1"/>
  <c r="F17" i="18"/>
  <c r="CA17" i="18"/>
  <c r="FK17" i="18"/>
  <c r="RB17" i="18"/>
  <c r="RC17" i="18"/>
  <c r="R20" i="18"/>
  <c r="DD20" i="18"/>
  <c r="RB20" i="18"/>
  <c r="RC20" i="18"/>
  <c r="RG20" i="18"/>
  <c r="HO11" i="18"/>
  <c r="KR11" i="18"/>
  <c r="RG6" i="18"/>
  <c r="LW9" i="18"/>
  <c r="GM5" i="18"/>
  <c r="PC5" i="18"/>
  <c r="O7" i="18"/>
  <c r="IQ7" i="18"/>
  <c r="LT7" i="18"/>
  <c r="RD7" i="18"/>
  <c r="F10" i="18"/>
  <c r="CA10" i="18"/>
  <c r="HO10" i="18"/>
  <c r="LW10" i="18"/>
  <c r="QE10" i="18"/>
  <c r="RG10" i="18"/>
  <c r="M12" i="18"/>
  <c r="N12" i="18" s="1"/>
  <c r="DA12" i="18"/>
  <c r="CA8" i="18"/>
  <c r="GM13" i="18"/>
  <c r="PC13" i="18"/>
  <c r="RB13" i="18"/>
  <c r="RC13" i="18"/>
  <c r="FK15" i="18"/>
  <c r="OA15" i="18"/>
  <c r="M14" i="18"/>
  <c r="N14" i="18" s="1"/>
  <c r="AX14" i="18"/>
  <c r="DD14" i="18"/>
  <c r="HO14" i="18"/>
  <c r="RF14" i="18"/>
  <c r="HO18" i="18"/>
  <c r="QB18" i="18"/>
  <c r="HL16" i="18"/>
  <c r="RF16" i="18"/>
  <c r="I19" i="18"/>
  <c r="J19" i="18" s="1"/>
  <c r="GJ19" i="18"/>
  <c r="LW19" i="18"/>
  <c r="OZ19" i="18"/>
  <c r="M17" i="18"/>
  <c r="N17" i="18" s="1"/>
  <c r="Q17" i="18"/>
  <c r="DG17" i="18" s="1"/>
  <c r="EI17" i="18"/>
  <c r="F20" i="18"/>
  <c r="CA20" i="18"/>
  <c r="HO20" i="18"/>
  <c r="LW20" i="18"/>
  <c r="QE20" i="18"/>
  <c r="AU21" i="18"/>
  <c r="I11" i="18"/>
  <c r="J11" i="18" s="1"/>
  <c r="AU11" i="18"/>
  <c r="DD11" i="18"/>
  <c r="GM11" i="18"/>
  <c r="JP11" i="18"/>
  <c r="RC4" i="18"/>
  <c r="G6" i="18"/>
  <c r="RF6" i="18"/>
  <c r="KU9" i="18"/>
  <c r="FK5" i="18"/>
  <c r="OA5" i="18"/>
  <c r="RB5" i="18"/>
  <c r="RH5" i="18" s="1"/>
  <c r="RG5" i="18"/>
  <c r="HO7" i="18"/>
  <c r="QE7" i="18"/>
  <c r="G10" i="18"/>
  <c r="HL10" i="18"/>
  <c r="LT10" i="18"/>
  <c r="QB10" i="18"/>
  <c r="F8" i="18"/>
  <c r="BX8" i="18"/>
  <c r="FK13" i="18"/>
  <c r="IN13" i="18"/>
  <c r="OA13" i="18"/>
  <c r="RA13" i="18"/>
  <c r="F15" i="18"/>
  <c r="EI15" i="18"/>
  <c r="MY15" i="18"/>
  <c r="GM14" i="18"/>
  <c r="JP14" i="18"/>
  <c r="GM18" i="18"/>
  <c r="LW18" i="18"/>
  <c r="NX18" i="18"/>
  <c r="RB16" i="18"/>
  <c r="FH19" i="18"/>
  <c r="KU19" i="18"/>
  <c r="NX19" i="18"/>
  <c r="AX20" i="18"/>
  <c r="I21" i="18"/>
  <c r="J21" i="18" s="1"/>
  <c r="CA11" i="18"/>
  <c r="FK11" i="18"/>
  <c r="IN11" i="18"/>
  <c r="OA11" i="18"/>
  <c r="RB11" i="18"/>
  <c r="RG11" i="18"/>
  <c r="RA11" i="18"/>
  <c r="RF5" i="18"/>
  <c r="DD7" i="18"/>
  <c r="GM10" i="18"/>
  <c r="KU10" i="18"/>
  <c r="PC10" i="18"/>
  <c r="AX8" i="18"/>
  <c r="FH8" i="18"/>
  <c r="JP8" i="18"/>
  <c r="NX8" i="18"/>
  <c r="RG8" i="18"/>
  <c r="K13" i="18"/>
  <c r="DE13" i="18" s="1"/>
  <c r="EI13" i="18"/>
  <c r="HL13" i="18"/>
  <c r="MY13" i="18"/>
  <c r="QB13" i="18"/>
  <c r="K15" i="18"/>
  <c r="DE15" i="18" s="1"/>
  <c r="LW15" i="18"/>
  <c r="FK14" i="18"/>
  <c r="IN14" i="18"/>
  <c r="BX18" i="18"/>
  <c r="FK18" i="18"/>
  <c r="IN18" i="18"/>
  <c r="KU18" i="18"/>
  <c r="RA18" i="18"/>
  <c r="RG18" i="18"/>
  <c r="QE16" i="18"/>
  <c r="RC19" i="18"/>
  <c r="RD17" i="18"/>
  <c r="RF17" i="18"/>
  <c r="GM20" i="18"/>
  <c r="KU20" i="18"/>
  <c r="PC20" i="18"/>
  <c r="EI11" i="18"/>
  <c r="HL11" i="18"/>
  <c r="RF11" i="18"/>
  <c r="EF12" i="18"/>
  <c r="EI12" i="18"/>
  <c r="IN12" i="18"/>
  <c r="IQ12" i="18"/>
  <c r="MV12" i="18"/>
  <c r="MY12" i="18"/>
  <c r="RA12" i="18"/>
  <c r="RD12" i="18"/>
  <c r="O4" i="18"/>
  <c r="O6" i="18"/>
  <c r="G9" i="18"/>
  <c r="AX9" i="18"/>
  <c r="G7" i="18"/>
  <c r="AX7" i="18"/>
  <c r="Q7" i="18"/>
  <c r="DG7" i="18" s="1"/>
  <c r="RB12" i="18"/>
  <c r="RC12" i="18"/>
  <c r="DD4" i="18"/>
  <c r="DD6" i="18"/>
  <c r="F12" i="18"/>
  <c r="HL12" i="18"/>
  <c r="HO12" i="18"/>
  <c r="LT12" i="18"/>
  <c r="LW12" i="18"/>
  <c r="QB12" i="18"/>
  <c r="QE12" i="18"/>
  <c r="M8" i="18"/>
  <c r="N8" i="18" s="1"/>
  <c r="AU8" i="18"/>
  <c r="O8" i="18"/>
  <c r="Q4" i="18"/>
  <c r="DG4" i="18" s="1"/>
  <c r="Q6" i="18"/>
  <c r="DG6" i="18" s="1"/>
  <c r="G12" i="18"/>
  <c r="RF12" i="18"/>
  <c r="AU9" i="18"/>
  <c r="I9" i="18"/>
  <c r="GJ12" i="18"/>
  <c r="GM12" i="18"/>
  <c r="KR12" i="18"/>
  <c r="KU12" i="18"/>
  <c r="OZ12" i="18"/>
  <c r="PC12" i="18"/>
  <c r="L10" i="18"/>
  <c r="J12" i="18"/>
  <c r="BX6" i="18"/>
  <c r="RG9" i="18"/>
  <c r="G5" i="18"/>
  <c r="RD5" i="18"/>
  <c r="RB7" i="18"/>
  <c r="RC7" i="18"/>
  <c r="FH12" i="18"/>
  <c r="FK12" i="18"/>
  <c r="JP12" i="18"/>
  <c r="JS12" i="18"/>
  <c r="NX12" i="18"/>
  <c r="OA12" i="18"/>
  <c r="K4" i="18"/>
  <c r="DE4" i="18" s="1"/>
  <c r="AU4" i="18"/>
  <c r="AU6" i="18"/>
  <c r="I6" i="18"/>
  <c r="RB10" i="18"/>
  <c r="RC10" i="18"/>
  <c r="G8" i="18"/>
  <c r="F13" i="18"/>
  <c r="AX13" i="18"/>
  <c r="CA13" i="18"/>
  <c r="DD13" i="18"/>
  <c r="K14" i="18"/>
  <c r="DE14" i="18" s="1"/>
  <c r="DD18" i="18"/>
  <c r="R21" i="18"/>
  <c r="FK21" i="18"/>
  <c r="FH21" i="18"/>
  <c r="JS21" i="18"/>
  <c r="JP21" i="18"/>
  <c r="OA21" i="18"/>
  <c r="NX21" i="18"/>
  <c r="EI8" i="18"/>
  <c r="FK8" i="18"/>
  <c r="GM8" i="18"/>
  <c r="HO8" i="18"/>
  <c r="IQ8" i="18"/>
  <c r="JS8" i="18"/>
  <c r="KU8" i="18"/>
  <c r="LW8" i="18"/>
  <c r="MY8" i="18"/>
  <c r="OA8" i="18"/>
  <c r="PC8" i="18"/>
  <c r="QE8" i="18"/>
  <c r="RD8" i="18"/>
  <c r="G13" i="18"/>
  <c r="AX15" i="18"/>
  <c r="CA15" i="18"/>
  <c r="DD15" i="18"/>
  <c r="CA18" i="18"/>
  <c r="L17" i="18"/>
  <c r="F21" i="18"/>
  <c r="Q19" i="18"/>
  <c r="DG19" i="18" s="1"/>
  <c r="G19" i="18"/>
  <c r="AX19" i="18"/>
  <c r="F19" i="18"/>
  <c r="EI21" i="18"/>
  <c r="G21" i="18"/>
  <c r="EF21" i="18"/>
  <c r="IQ21" i="18"/>
  <c r="IN21" i="18"/>
  <c r="MY21" i="18"/>
  <c r="MV21" i="18"/>
  <c r="RD21" i="18"/>
  <c r="RA21" i="18"/>
  <c r="R17" i="18"/>
  <c r="RH20" i="18"/>
  <c r="I13" i="18"/>
  <c r="CA14" i="18"/>
  <c r="G18" i="18"/>
  <c r="GM16" i="18"/>
  <c r="RG17" i="18"/>
  <c r="RH17" i="18" s="1"/>
  <c r="HO21" i="18"/>
  <c r="HL21" i="18"/>
  <c r="LW21" i="18"/>
  <c r="LT21" i="18"/>
  <c r="QE21" i="18"/>
  <c r="QB21" i="18"/>
  <c r="M10" i="18"/>
  <c r="N10" i="18" s="1"/>
  <c r="AX10" i="18"/>
  <c r="L12" i="18"/>
  <c r="K8" i="18"/>
  <c r="DE8" i="18" s="1"/>
  <c r="AU13" i="18"/>
  <c r="I15" i="18"/>
  <c r="RB14" i="18"/>
  <c r="K18" i="18"/>
  <c r="DE18" i="18" s="1"/>
  <c r="AU18" i="18"/>
  <c r="I18" i="18"/>
  <c r="RB18" i="18"/>
  <c r="FK16" i="18"/>
  <c r="RG16" i="18"/>
  <c r="RF21" i="18"/>
  <c r="AX12" i="18"/>
  <c r="AU15" i="18"/>
  <c r="I14" i="18"/>
  <c r="DA14" i="18"/>
  <c r="EI16" i="18"/>
  <c r="RA16" i="18"/>
  <c r="RD16" i="18"/>
  <c r="J17" i="18"/>
  <c r="GM21" i="18"/>
  <c r="GJ21" i="18"/>
  <c r="KU21" i="18"/>
  <c r="KR21" i="18"/>
  <c r="PC21" i="18"/>
  <c r="OZ21" i="18"/>
  <c r="BX14" i="18"/>
  <c r="RG14" i="18"/>
  <c r="Q11" i="18"/>
  <c r="DG11" i="18" s="1"/>
  <c r="G11" i="18"/>
  <c r="AX11" i="18"/>
  <c r="F11" i="18"/>
  <c r="AX17" i="18"/>
  <c r="EF20" i="18"/>
  <c r="FH20" i="18"/>
  <c r="GJ20" i="18"/>
  <c r="HL20" i="18"/>
  <c r="IN20" i="18"/>
  <c r="JP20" i="18"/>
  <c r="KR20" i="18"/>
  <c r="LT20" i="18"/>
  <c r="MV20" i="18"/>
  <c r="NX20" i="18"/>
  <c r="OZ20" i="18"/>
  <c r="QB20" i="18"/>
  <c r="RA20" i="18"/>
  <c r="RF18" i="18"/>
  <c r="O19" i="18"/>
  <c r="G17" i="18"/>
  <c r="L21" i="18"/>
  <c r="M21" i="18"/>
  <c r="N21" i="18" s="1"/>
  <c r="RD11" i="16"/>
  <c r="RC12" i="16"/>
  <c r="DA9" i="16"/>
  <c r="RC19" i="16"/>
  <c r="M11" i="16"/>
  <c r="N11" i="16" s="1"/>
  <c r="DA7" i="16"/>
  <c r="RD22" i="16"/>
  <c r="M23" i="16"/>
  <c r="N23" i="16" s="1"/>
  <c r="DA11" i="16"/>
  <c r="RG19" i="16"/>
  <c r="RF22" i="16"/>
  <c r="RF14" i="16"/>
  <c r="RF12" i="16"/>
  <c r="RF24" i="16"/>
  <c r="DD26" i="16"/>
  <c r="RF20" i="16"/>
  <c r="RF21" i="16"/>
  <c r="F26" i="16"/>
  <c r="K26" i="16"/>
  <c r="DE26" i="16" s="1"/>
  <c r="RC15" i="16"/>
  <c r="RC26" i="16"/>
  <c r="RG24" i="16"/>
  <c r="RB20" i="16"/>
  <c r="RG16" i="16"/>
  <c r="DD7" i="16"/>
  <c r="RD14" i="16"/>
  <c r="DA6" i="16"/>
  <c r="Q24" i="16"/>
  <c r="RC23" i="16"/>
  <c r="I19" i="16"/>
  <c r="J19" i="16" s="1"/>
  <c r="RG25" i="16"/>
  <c r="RC7" i="16"/>
  <c r="O7" i="16"/>
  <c r="RC14" i="16"/>
  <c r="Q14" i="16"/>
  <c r="Q26" i="16"/>
  <c r="DG26" i="16" s="1"/>
  <c r="RA23" i="16"/>
  <c r="DD25" i="16"/>
  <c r="O25" i="16"/>
  <c r="RG9" i="16"/>
  <c r="M9" i="16"/>
  <c r="N9" i="16" s="1"/>
  <c r="RD24" i="16"/>
  <c r="RC25" i="16"/>
  <c r="RB25" i="16"/>
  <c r="DD17" i="16"/>
  <c r="RD20" i="16"/>
  <c r="O20" i="16"/>
  <c r="DD21" i="16"/>
  <c r="RC16" i="16"/>
  <c r="DD16" i="16"/>
  <c r="RC24" i="16"/>
  <c r="DA23" i="16"/>
  <c r="RF25" i="16"/>
  <c r="RA25" i="16"/>
  <c r="CA15" i="16"/>
  <c r="BX16" i="16"/>
  <c r="BX9" i="16"/>
  <c r="I16" i="16"/>
  <c r="J16" i="16" s="1"/>
  <c r="R25" i="16"/>
  <c r="R9" i="16"/>
  <c r="R23" i="16"/>
  <c r="I21" i="16"/>
  <c r="DA26" i="16"/>
  <c r="O26" i="16"/>
  <c r="DA24" i="16"/>
  <c r="I18" i="16"/>
  <c r="J18" i="16" s="1"/>
  <c r="RG14" i="16"/>
  <c r="F19" i="16"/>
  <c r="RC17" i="16"/>
  <c r="RB17" i="16"/>
  <c r="O17" i="16"/>
  <c r="RG21" i="16"/>
  <c r="RC21" i="16"/>
  <c r="RB16" i="16"/>
  <c r="G7" i="16"/>
  <c r="O15" i="16"/>
  <c r="I6" i="16"/>
  <c r="J6" i="16" s="1"/>
  <c r="RB26" i="16"/>
  <c r="M24" i="16"/>
  <c r="N24" i="16" s="1"/>
  <c r="RB23" i="16"/>
  <c r="I25" i="16"/>
  <c r="J25" i="16" s="1"/>
  <c r="RF11" i="16"/>
  <c r="DA17" i="16"/>
  <c r="RG20" i="16"/>
  <c r="G20" i="16"/>
  <c r="RF18" i="16"/>
  <c r="RF16" i="16"/>
  <c r="K22" i="16"/>
  <c r="DE22" i="16" s="1"/>
  <c r="F7" i="16"/>
  <c r="RB15" i="16"/>
  <c r="K9" i="16"/>
  <c r="Q15" i="16"/>
  <c r="DG15" i="16" s="1"/>
  <c r="RF26" i="16"/>
  <c r="RD26" i="16"/>
  <c r="I24" i="16"/>
  <c r="J24" i="16" s="1"/>
  <c r="DA25" i="16"/>
  <c r="RA11" i="16"/>
  <c r="DA21" i="16"/>
  <c r="K21" i="16"/>
  <c r="RA22" i="16"/>
  <c r="RG22" i="16"/>
  <c r="RF7" i="16"/>
  <c r="RA7" i="16"/>
  <c r="RF15" i="16"/>
  <c r="RD15" i="16"/>
  <c r="DA12" i="16"/>
  <c r="Q12" i="16"/>
  <c r="DG12" i="16" s="1"/>
  <c r="RG26" i="16"/>
  <c r="RB24" i="16"/>
  <c r="RB19" i="16"/>
  <c r="RH19" i="16" s="1"/>
  <c r="K25" i="16"/>
  <c r="DE25" i="16" s="1"/>
  <c r="RG11" i="16"/>
  <c r="RC20" i="16"/>
  <c r="DD18" i="16"/>
  <c r="DD22" i="16"/>
  <c r="RG15" i="16"/>
  <c r="I26" i="16"/>
  <c r="J26" i="16" s="1"/>
  <c r="RF23" i="16"/>
  <c r="RF19" i="16"/>
  <c r="RA19" i="16"/>
  <c r="RC11" i="16"/>
  <c r="RB11" i="16"/>
  <c r="RA17" i="16"/>
  <c r="RG17" i="16"/>
  <c r="RG18" i="16"/>
  <c r="RC18" i="16"/>
  <c r="RB18" i="16"/>
  <c r="M16" i="16"/>
  <c r="N16" i="16" s="1"/>
  <c r="RC22" i="16"/>
  <c r="RB22" i="16"/>
  <c r="Q7" i="16"/>
  <c r="DG7" i="16" s="1"/>
  <c r="RB14" i="16"/>
  <c r="M6" i="16"/>
  <c r="N6" i="16" s="1"/>
  <c r="RC9" i="16"/>
  <c r="RB9" i="16"/>
  <c r="DD9" i="16"/>
  <c r="AX7" i="16"/>
  <c r="F24" i="16"/>
  <c r="F20" i="16"/>
  <c r="F9" i="16"/>
  <c r="K11" i="16"/>
  <c r="AX20" i="16"/>
  <c r="K16" i="16"/>
  <c r="K7" i="16"/>
  <c r="DE7" i="16" s="1"/>
  <c r="AU15" i="16"/>
  <c r="K15" i="16"/>
  <c r="DE15" i="16" s="1"/>
  <c r="F14" i="16"/>
  <c r="AU19" i="16"/>
  <c r="AX11" i="16"/>
  <c r="AX17" i="16"/>
  <c r="AU16" i="16"/>
  <c r="AU7" i="16"/>
  <c r="I7" i="16"/>
  <c r="J7" i="16" s="1"/>
  <c r="F11" i="16"/>
  <c r="I11" i="16"/>
  <c r="J11" i="16" s="1"/>
  <c r="F17" i="16"/>
  <c r="K17" i="16"/>
  <c r="DE17" i="16" s="1"/>
  <c r="I17" i="16"/>
  <c r="J17" i="16" s="1"/>
  <c r="AU20" i="16"/>
  <c r="AU9" i="16"/>
  <c r="I9" i="16"/>
  <c r="J9" i="16" s="1"/>
  <c r="R26" i="16"/>
  <c r="L19" i="16"/>
  <c r="J23" i="16"/>
  <c r="G24" i="16"/>
  <c r="O23" i="16"/>
  <c r="RA20" i="16"/>
  <c r="OZ21" i="16"/>
  <c r="PC21" i="16"/>
  <c r="KR21" i="16"/>
  <c r="KU21" i="16"/>
  <c r="GJ21" i="16"/>
  <c r="GM21" i="16"/>
  <c r="M21" i="16"/>
  <c r="N21" i="16" s="1"/>
  <c r="O21" i="16"/>
  <c r="NX16" i="16"/>
  <c r="JP16" i="16"/>
  <c r="J15" i="16"/>
  <c r="BX14" i="16"/>
  <c r="CA14" i="16"/>
  <c r="QB6" i="16"/>
  <c r="QE6" i="16"/>
  <c r="LT6" i="16"/>
  <c r="LW6" i="16"/>
  <c r="HL6" i="16"/>
  <c r="HO6" i="16"/>
  <c r="OZ9" i="16"/>
  <c r="KR9" i="16"/>
  <c r="GJ9" i="16"/>
  <c r="DA8" i="16"/>
  <c r="IQ10" i="16"/>
  <c r="KR10" i="16"/>
  <c r="RA10" i="16"/>
  <c r="RF10" i="16"/>
  <c r="DD24" i="16"/>
  <c r="CA24" i="16"/>
  <c r="AX24" i="16"/>
  <c r="G23" i="16"/>
  <c r="RD19" i="16"/>
  <c r="QE19" i="16"/>
  <c r="PC19" i="16"/>
  <c r="OA19" i="16"/>
  <c r="MY19" i="16"/>
  <c r="LW19" i="16"/>
  <c r="KU19" i="16"/>
  <c r="JS19" i="16"/>
  <c r="IQ19" i="16"/>
  <c r="HO19" i="16"/>
  <c r="GM19" i="16"/>
  <c r="FK19" i="16"/>
  <c r="EI19" i="16"/>
  <c r="O19" i="16"/>
  <c r="Q11" i="16"/>
  <c r="DG11" i="16" s="1"/>
  <c r="I20" i="16"/>
  <c r="PC18" i="16"/>
  <c r="GM18" i="16"/>
  <c r="G22" i="16"/>
  <c r="RB7" i="16"/>
  <c r="RG7" i="16"/>
  <c r="PC15" i="16"/>
  <c r="F15" i="16"/>
  <c r="DD23" i="16"/>
  <c r="CA23" i="16"/>
  <c r="AX23" i="16"/>
  <c r="F23" i="16"/>
  <c r="G19" i="16"/>
  <c r="RD25" i="16"/>
  <c r="QE25" i="16"/>
  <c r="PC25" i="16"/>
  <c r="OA25" i="16"/>
  <c r="MY25" i="16"/>
  <c r="LW25" i="16"/>
  <c r="KU25" i="16"/>
  <c r="JS25" i="16"/>
  <c r="IQ25" i="16"/>
  <c r="HO25" i="16"/>
  <c r="GM25" i="16"/>
  <c r="FK25" i="16"/>
  <c r="EI25" i="16"/>
  <c r="Q17" i="16"/>
  <c r="DG17" i="16" s="1"/>
  <c r="QE18" i="16"/>
  <c r="HO18" i="16"/>
  <c r="QB21" i="16"/>
  <c r="QE21" i="16"/>
  <c r="LT21" i="16"/>
  <c r="LW21" i="16"/>
  <c r="HL21" i="16"/>
  <c r="HO21" i="16"/>
  <c r="F21" i="16"/>
  <c r="OZ16" i="16"/>
  <c r="PC16" i="16"/>
  <c r="DA14" i="16"/>
  <c r="DD14" i="16"/>
  <c r="M12" i="16"/>
  <c r="N12" i="16" s="1"/>
  <c r="O12" i="16"/>
  <c r="RA6" i="16"/>
  <c r="RD6" i="16"/>
  <c r="MV6" i="16"/>
  <c r="MY6" i="16"/>
  <c r="IN6" i="16"/>
  <c r="IQ6" i="16"/>
  <c r="EF6" i="16"/>
  <c r="EI6" i="16"/>
  <c r="G26" i="16"/>
  <c r="RH22" i="16"/>
  <c r="AU26" i="16"/>
  <c r="K24" i="16"/>
  <c r="DE24" i="16" s="1"/>
  <c r="DD19" i="16"/>
  <c r="M19" i="16"/>
  <c r="N19" i="16" s="1"/>
  <c r="G25" i="16"/>
  <c r="O11" i="16"/>
  <c r="RD18" i="16"/>
  <c r="IQ18" i="16"/>
  <c r="AU18" i="16"/>
  <c r="K18" i="16"/>
  <c r="DE18" i="16" s="1"/>
  <c r="G18" i="16"/>
  <c r="RB21" i="16"/>
  <c r="F16" i="16"/>
  <c r="J12" i="16"/>
  <c r="RC6" i="16"/>
  <c r="RB6" i="16"/>
  <c r="AU24" i="16"/>
  <c r="K23" i="16"/>
  <c r="DE23" i="16" s="1"/>
  <c r="AX25" i="16"/>
  <c r="F25" i="16"/>
  <c r="G11" i="16"/>
  <c r="RD17" i="16"/>
  <c r="RA21" i="16"/>
  <c r="RD21" i="16"/>
  <c r="MV21" i="16"/>
  <c r="MY21" i="16"/>
  <c r="IN21" i="16"/>
  <c r="IQ21" i="16"/>
  <c r="EF21" i="16"/>
  <c r="EI21" i="16"/>
  <c r="QB16" i="16"/>
  <c r="QE16" i="16"/>
  <c r="AX22" i="16"/>
  <c r="Q22" i="16"/>
  <c r="DG22" i="16" s="1"/>
  <c r="RD7" i="16"/>
  <c r="RB12" i="16"/>
  <c r="F12" i="16"/>
  <c r="NX6" i="16"/>
  <c r="OA6" i="16"/>
  <c r="JP6" i="16"/>
  <c r="JS6" i="16"/>
  <c r="FH6" i="16"/>
  <c r="FK6" i="16"/>
  <c r="R12" i="16"/>
  <c r="RG23" i="16"/>
  <c r="AU23" i="16"/>
  <c r="G17" i="16"/>
  <c r="K20" i="16"/>
  <c r="DE20" i="16" s="1"/>
  <c r="KU18" i="16"/>
  <c r="F18" i="16"/>
  <c r="RE16" i="16"/>
  <c r="F22" i="16"/>
  <c r="BX12" i="16"/>
  <c r="NX21" i="16"/>
  <c r="OA21" i="16"/>
  <c r="JP21" i="16"/>
  <c r="JS21" i="16"/>
  <c r="FH21" i="16"/>
  <c r="FK21" i="16"/>
  <c r="AU21" i="16"/>
  <c r="J21" i="16"/>
  <c r="RA16" i="16"/>
  <c r="RD16" i="16"/>
  <c r="MV16" i="16"/>
  <c r="IN16" i="16"/>
  <c r="G15" i="16"/>
  <c r="RH14" i="16"/>
  <c r="I14" i="16"/>
  <c r="AU14" i="16"/>
  <c r="K14" i="16"/>
  <c r="DE14" i="16" s="1"/>
  <c r="AX14" i="16"/>
  <c r="G14" i="16"/>
  <c r="H14" i="16" s="1"/>
  <c r="RG12" i="16"/>
  <c r="RG6" i="16"/>
  <c r="OZ6" i="16"/>
  <c r="PC6" i="16"/>
  <c r="KR6" i="16"/>
  <c r="KU6" i="16"/>
  <c r="GJ6" i="16"/>
  <c r="GM6" i="16"/>
  <c r="RA15" i="16"/>
  <c r="G12" i="16"/>
  <c r="O6" i="16"/>
  <c r="DD12" i="16"/>
  <c r="CA12" i="16"/>
  <c r="AX12" i="16"/>
  <c r="G6" i="16"/>
  <c r="RD9" i="16"/>
  <c r="QE9" i="16"/>
  <c r="PC9" i="16"/>
  <c r="OA9" i="16"/>
  <c r="MY9" i="16"/>
  <c r="LW9" i="16"/>
  <c r="KU9" i="16"/>
  <c r="JS9" i="16"/>
  <c r="IQ9" i="16"/>
  <c r="HO9" i="16"/>
  <c r="GM9" i="16"/>
  <c r="FK9" i="16"/>
  <c r="EI9" i="16"/>
  <c r="O9" i="16"/>
  <c r="G21" i="16"/>
  <c r="OA16" i="16"/>
  <c r="MY16" i="16"/>
  <c r="LW16" i="16"/>
  <c r="KU16" i="16"/>
  <c r="JS16" i="16"/>
  <c r="IQ16" i="16"/>
  <c r="HO16" i="16"/>
  <c r="GM16" i="16"/>
  <c r="FK16" i="16"/>
  <c r="EI16" i="16"/>
  <c r="O16" i="16"/>
  <c r="DD6" i="16"/>
  <c r="CA6" i="16"/>
  <c r="AX6" i="16"/>
  <c r="F6" i="16"/>
  <c r="G9" i="16"/>
  <c r="AX21" i="16"/>
  <c r="G16" i="16"/>
  <c r="O22" i="16"/>
  <c r="K12" i="16"/>
  <c r="DE12" i="16" s="1"/>
  <c r="AX9" i="16"/>
  <c r="AX16" i="16"/>
  <c r="AU12" i="16"/>
  <c r="K6" i="16"/>
  <c r="DE6" i="16" s="1"/>
  <c r="AU8" i="16"/>
  <c r="NX4" i="16"/>
  <c r="O8" i="16"/>
  <c r="OZ10" i="16"/>
  <c r="CA8" i="16"/>
  <c r="IQ8" i="16"/>
  <c r="MY8" i="16"/>
  <c r="DA5" i="16"/>
  <c r="GM5" i="16"/>
  <c r="KU5" i="16"/>
  <c r="PC5" i="16"/>
  <c r="JS4" i="16"/>
  <c r="K5" i="16"/>
  <c r="DE5" i="16" s="1"/>
  <c r="OA8" i="16"/>
  <c r="MV4" i="16"/>
  <c r="FH4" i="16"/>
  <c r="GJ10" i="16"/>
  <c r="M8" i="16"/>
  <c r="N8" i="16" s="1"/>
  <c r="BX8" i="16"/>
  <c r="FK8" i="16"/>
  <c r="JS8" i="16"/>
  <c r="HO10" i="16"/>
  <c r="DA4" i="16"/>
  <c r="LT4" i="16"/>
  <c r="EF10" i="16"/>
  <c r="HO5" i="16"/>
  <c r="LW5" i="16"/>
  <c r="QE5" i="16"/>
  <c r="CA4" i="16"/>
  <c r="KU4" i="16"/>
  <c r="IN10" i="16"/>
  <c r="MV10" i="16"/>
  <c r="K4" i="16"/>
  <c r="I5" i="16"/>
  <c r="J5" i="16" s="1"/>
  <c r="I4" i="16"/>
  <c r="J4" i="16" s="1"/>
  <c r="FH10" i="16"/>
  <c r="Q8" i="16"/>
  <c r="DG8" i="16" s="1"/>
  <c r="DD8" i="16"/>
  <c r="GM10" i="16"/>
  <c r="NX10" i="16"/>
  <c r="DD5" i="16"/>
  <c r="IQ4" i="16"/>
  <c r="PC8" i="16"/>
  <c r="RA8" i="16"/>
  <c r="RF8" i="16"/>
  <c r="DD10" i="16"/>
  <c r="FK10" i="16"/>
  <c r="QE10" i="16"/>
  <c r="AU5" i="16"/>
  <c r="Q4" i="16"/>
  <c r="AX8" i="16"/>
  <c r="HL8" i="16"/>
  <c r="PC10" i="16"/>
  <c r="RC10" i="16"/>
  <c r="RD4" i="16"/>
  <c r="RF4" i="16"/>
  <c r="QB8" i="16"/>
  <c r="JS10" i="16"/>
  <c r="LT10" i="16"/>
  <c r="OA10" i="16"/>
  <c r="RG5" i="16"/>
  <c r="DD4" i="16"/>
  <c r="EI8" i="16"/>
  <c r="LT8" i="16"/>
  <c r="RB10" i="16"/>
  <c r="O5" i="16"/>
  <c r="BX5" i="16"/>
  <c r="HO4" i="16"/>
  <c r="KR4" i="16"/>
  <c r="QE4" i="16"/>
  <c r="RB4" i="16"/>
  <c r="RC4" i="16"/>
  <c r="RD8" i="16"/>
  <c r="RD10" i="16"/>
  <c r="JS5" i="16"/>
  <c r="OA5" i="16"/>
  <c r="BX4" i="16"/>
  <c r="GM4" i="16"/>
  <c r="JP4" i="16"/>
  <c r="PC4" i="16"/>
  <c r="F8" i="16"/>
  <c r="OZ8" i="16"/>
  <c r="O10" i="16"/>
  <c r="RB8" i="16"/>
  <c r="EI10" i="16"/>
  <c r="MY10" i="16"/>
  <c r="FK5" i="16"/>
  <c r="G4" i="16"/>
  <c r="IN4" i="16"/>
  <c r="G8" i="16"/>
  <c r="AX5" i="16"/>
  <c r="EI5" i="16"/>
  <c r="IQ5" i="16"/>
  <c r="MY5" i="16"/>
  <c r="RD5" i="16"/>
  <c r="RF5" i="16"/>
  <c r="M4" i="16"/>
  <c r="N4" i="16" s="1"/>
  <c r="HL4" i="16"/>
  <c r="MY4" i="16"/>
  <c r="QB4" i="16"/>
  <c r="I8" i="16"/>
  <c r="J8" i="16" s="1"/>
  <c r="GM8" i="16"/>
  <c r="IN8" i="16"/>
  <c r="LW10" i="16"/>
  <c r="CA5" i="16"/>
  <c r="FK4" i="16"/>
  <c r="OA4" i="16"/>
  <c r="RG4" i="16"/>
  <c r="RA4" i="16"/>
  <c r="M5" i="16"/>
  <c r="N5" i="16" s="1"/>
  <c r="Q5" i="16"/>
  <c r="DG5" i="16" s="1"/>
  <c r="RB5" i="16"/>
  <c r="RC5" i="16"/>
  <c r="EF4" i="16"/>
  <c r="GJ4" i="16"/>
  <c r="LW4" i="16"/>
  <c r="OZ4" i="16"/>
  <c r="K8" i="16"/>
  <c r="RC8" i="16"/>
  <c r="CA10" i="16"/>
  <c r="KU10" i="16"/>
  <c r="PT14" i="17"/>
  <c r="CT16" i="17"/>
  <c r="PV13" i="17"/>
  <c r="PU11" i="17"/>
  <c r="PU14" i="17"/>
  <c r="PT16" i="17"/>
  <c r="PV10" i="17"/>
  <c r="PS10" i="17"/>
  <c r="M6" i="17"/>
  <c r="CV6" i="17" s="1"/>
  <c r="PS13" i="17"/>
  <c r="PV6" i="17"/>
  <c r="CT6" i="17"/>
  <c r="F6" i="17"/>
  <c r="PT10" i="17"/>
  <c r="G10" i="17"/>
  <c r="I15" i="17"/>
  <c r="J15" i="17" s="1"/>
  <c r="PS14" i="17"/>
  <c r="CT11" i="17"/>
  <c r="CT10" i="17"/>
  <c r="PR14" i="17"/>
  <c r="CT14" i="17"/>
  <c r="PV16" i="17"/>
  <c r="PU15" i="17"/>
  <c r="PT15" i="17"/>
  <c r="PR15" i="17"/>
  <c r="PR9" i="17"/>
  <c r="F14" i="17"/>
  <c r="G11" i="17"/>
  <c r="F12" i="17"/>
  <c r="PT13" i="17"/>
  <c r="CT12" i="17"/>
  <c r="F11" i="17"/>
  <c r="PS16" i="17"/>
  <c r="PV14" i="17"/>
  <c r="K6" i="17"/>
  <c r="CU6" i="17" s="1"/>
  <c r="PU16" i="17"/>
  <c r="PT6" i="17"/>
  <c r="PS6" i="17"/>
  <c r="PT11" i="17"/>
  <c r="PS11" i="17"/>
  <c r="I11" i="17"/>
  <c r="J11" i="17" s="1"/>
  <c r="CT9" i="17"/>
  <c r="M9" i="17"/>
  <c r="PU6" i="17"/>
  <c r="PR6" i="17"/>
  <c r="PU13" i="17"/>
  <c r="PR13" i="17"/>
  <c r="PU12" i="17"/>
  <c r="PR12" i="17"/>
  <c r="PR11" i="17"/>
  <c r="PV9" i="17"/>
  <c r="K16" i="17"/>
  <c r="PS15" i="17"/>
  <c r="M15" i="17"/>
  <c r="PV12" i="17"/>
  <c r="CT15" i="17"/>
  <c r="PV11" i="17"/>
  <c r="PT9" i="17"/>
  <c r="PS9" i="17"/>
  <c r="PW9" i="17" s="1"/>
  <c r="K9" i="17"/>
  <c r="M14" i="17"/>
  <c r="CV14" i="17" s="1"/>
  <c r="G14" i="17"/>
  <c r="PT12" i="17"/>
  <c r="G12" i="17"/>
  <c r="F9" i="17"/>
  <c r="AR15" i="17"/>
  <c r="F16" i="17"/>
  <c r="F15" i="17"/>
  <c r="PW10" i="17"/>
  <c r="N12" i="17"/>
  <c r="I6" i="17"/>
  <c r="G13" i="17"/>
  <c r="K12" i="17"/>
  <c r="CU12" i="17" s="1"/>
  <c r="M10" i="17"/>
  <c r="CV10" i="17" s="1"/>
  <c r="F10" i="17"/>
  <c r="I16" i="17"/>
  <c r="PV15" i="17"/>
  <c r="G15" i="17"/>
  <c r="K14" i="17"/>
  <c r="CU14" i="17" s="1"/>
  <c r="F13" i="17"/>
  <c r="AR11" i="17"/>
  <c r="I9" i="17"/>
  <c r="AR6" i="17"/>
  <c r="I12" i="17"/>
  <c r="K10" i="17"/>
  <c r="CU10" i="17" s="1"/>
  <c r="PV20" i="17"/>
  <c r="I14" i="17"/>
  <c r="G6" i="17"/>
  <c r="K13" i="17"/>
  <c r="CU13" i="17" s="1"/>
  <c r="PU20" i="17"/>
  <c r="G16" i="17"/>
  <c r="K15" i="17"/>
  <c r="CU15" i="17" s="1"/>
  <c r="AR12" i="17"/>
  <c r="I10" i="17"/>
  <c r="G9" i="17"/>
  <c r="CT7" i="17"/>
  <c r="PU19" i="17"/>
  <c r="AR14" i="17"/>
  <c r="I13" i="17"/>
  <c r="K11" i="17"/>
  <c r="CU11" i="17" s="1"/>
  <c r="AR10" i="17"/>
  <c r="CT20" i="17"/>
  <c r="OV4" i="17"/>
  <c r="PR5" i="17"/>
  <c r="PT4" i="17"/>
  <c r="BS19" i="17"/>
  <c r="PU17" i="17"/>
  <c r="AR17" i="17"/>
  <c r="CT19" i="17"/>
  <c r="OV8" i="17"/>
  <c r="BS7" i="17"/>
  <c r="CT8" i="17"/>
  <c r="PT8" i="17"/>
  <c r="M17" i="17"/>
  <c r="PS4" i="17"/>
  <c r="PR7" i="17"/>
  <c r="PU7" i="17"/>
  <c r="PS5" i="17"/>
  <c r="PT5" i="17"/>
  <c r="PR8" i="17"/>
  <c r="AR19" i="17"/>
  <c r="PT7" i="17"/>
  <c r="I5" i="17"/>
  <c r="J5" i="17" s="1"/>
  <c r="CT18" i="17"/>
  <c r="PR18" i="17"/>
  <c r="BS4" i="17"/>
  <c r="CT4" i="17"/>
  <c r="M20" i="17"/>
  <c r="OV7" i="17"/>
  <c r="BS8" i="17"/>
  <c r="OV17" i="17"/>
  <c r="PT18" i="17"/>
  <c r="AR5" i="17"/>
  <c r="I18" i="17"/>
  <c r="J18" i="17" s="1"/>
  <c r="OV18" i="17"/>
  <c r="F19" i="17"/>
  <c r="BS18" i="17"/>
  <c r="PS7" i="17"/>
  <c r="I8" i="17"/>
  <c r="J8" i="17" s="1"/>
  <c r="K18" i="17"/>
  <c r="CU18" i="17" s="1"/>
  <c r="G17" i="17"/>
  <c r="AR20" i="17"/>
  <c r="I4" i="17"/>
  <c r="J4" i="17" s="1"/>
  <c r="M4" i="17"/>
  <c r="CV4" i="17" s="1"/>
  <c r="M7" i="17"/>
  <c r="PS18" i="17"/>
  <c r="PV18" i="17"/>
  <c r="PS19" i="17"/>
  <c r="I20" i="17"/>
  <c r="J20" i="17" s="1"/>
  <c r="G20" i="17"/>
  <c r="OV5" i="17"/>
  <c r="PV5" i="17"/>
  <c r="PV8" i="17"/>
  <c r="PU8" i="17"/>
  <c r="BS17" i="17"/>
  <c r="PV17" i="17"/>
  <c r="PU18" i="17"/>
  <c r="PV19" i="17"/>
  <c r="F20" i="17"/>
  <c r="PR20" i="17"/>
  <c r="PV4" i="17"/>
  <c r="CT5" i="17"/>
  <c r="PU5" i="17"/>
  <c r="K8" i="17"/>
  <c r="PS8" i="17"/>
  <c r="PR17" i="17"/>
  <c r="M18" i="17"/>
  <c r="M19" i="17"/>
  <c r="CV19" i="17" s="1"/>
  <c r="PT19" i="17"/>
  <c r="PS20" i="17"/>
  <c r="PT20" i="17"/>
  <c r="PR4" i="17"/>
  <c r="PU4" i="17"/>
  <c r="PV7" i="17"/>
  <c r="M5" i="17"/>
  <c r="PS17" i="17"/>
  <c r="PT17" i="17"/>
  <c r="PR19" i="17"/>
  <c r="AR7" i="17"/>
  <c r="F8" i="17"/>
  <c r="M8" i="17"/>
  <c r="CV8" i="17" s="1"/>
  <c r="G19" i="17"/>
  <c r="F4" i="17"/>
  <c r="K5" i="17"/>
  <c r="CU5" i="17" s="1"/>
  <c r="G8" i="17"/>
  <c r="I17" i="17"/>
  <c r="G4" i="17"/>
  <c r="I7" i="17"/>
  <c r="AR8" i="17"/>
  <c r="F18" i="17"/>
  <c r="K20" i="17"/>
  <c r="CU20" i="17" s="1"/>
  <c r="AR4" i="17"/>
  <c r="F5" i="17"/>
  <c r="BS5" i="17"/>
  <c r="K17" i="17"/>
  <c r="CU17" i="17" s="1"/>
  <c r="CT17" i="17"/>
  <c r="G18" i="17"/>
  <c r="I19" i="17"/>
  <c r="K4" i="17"/>
  <c r="CU4" i="17" s="1"/>
  <c r="K7" i="17"/>
  <c r="CU7" i="17" s="1"/>
  <c r="G5" i="17"/>
  <c r="AR18" i="17"/>
  <c r="BS20" i="17"/>
  <c r="G7" i="17"/>
  <c r="F17" i="17"/>
  <c r="K19" i="17"/>
  <c r="CU19" i="17" s="1"/>
  <c r="F7" i="17"/>
  <c r="G11" i="15"/>
  <c r="PT7" i="15"/>
  <c r="PU8" i="15"/>
  <c r="PS6" i="15"/>
  <c r="PV7" i="15"/>
  <c r="PS7" i="15"/>
  <c r="I7" i="15"/>
  <c r="J7" i="15" s="1"/>
  <c r="G6" i="15"/>
  <c r="PV8" i="15"/>
  <c r="PU7" i="15"/>
  <c r="PR7" i="15"/>
  <c r="PR6" i="15"/>
  <c r="PT6" i="15"/>
  <c r="PV9" i="15"/>
  <c r="CT8" i="15"/>
  <c r="PS9" i="15"/>
  <c r="PR9" i="15"/>
  <c r="F11" i="15"/>
  <c r="PT8" i="15"/>
  <c r="G9" i="15"/>
  <c r="PV6" i="15"/>
  <c r="CT5" i="15"/>
  <c r="PT10" i="15"/>
  <c r="PS10" i="15"/>
  <c r="CT10" i="15"/>
  <c r="M10" i="15"/>
  <c r="CV10" i="15" s="1"/>
  <c r="F9" i="15"/>
  <c r="PV5" i="15"/>
  <c r="PV10" i="15"/>
  <c r="PR10" i="15"/>
  <c r="M5" i="15"/>
  <c r="CV5" i="15" s="1"/>
  <c r="PS11" i="15"/>
  <c r="PW11" i="15" s="1"/>
  <c r="M11" i="15"/>
  <c r="CV11" i="15" s="1"/>
  <c r="PT9" i="15"/>
  <c r="F8" i="15"/>
  <c r="F7" i="15"/>
  <c r="PT5" i="15"/>
  <c r="PS5" i="15"/>
  <c r="K5" i="15"/>
  <c r="PU11" i="15"/>
  <c r="K10" i="15"/>
  <c r="CU10" i="15" s="1"/>
  <c r="F6" i="15"/>
  <c r="PU5" i="15"/>
  <c r="F5" i="15"/>
  <c r="N8" i="15"/>
  <c r="I10" i="15"/>
  <c r="K11" i="15"/>
  <c r="CU11" i="15" s="1"/>
  <c r="M9" i="15"/>
  <c r="CV9" i="15" s="1"/>
  <c r="AR7" i="15"/>
  <c r="I5" i="15"/>
  <c r="I8" i="15"/>
  <c r="G7" i="15"/>
  <c r="K6" i="15"/>
  <c r="CU6" i="15" s="1"/>
  <c r="I11" i="15"/>
  <c r="G10" i="15"/>
  <c r="K9" i="15"/>
  <c r="CU9" i="15" s="1"/>
  <c r="F10" i="15"/>
  <c r="AR8" i="15"/>
  <c r="I6" i="15"/>
  <c r="G5" i="15"/>
  <c r="AR11" i="15"/>
  <c r="I9" i="15"/>
  <c r="G8" i="15"/>
  <c r="K7" i="15"/>
  <c r="CU7" i="15" s="1"/>
  <c r="AR6" i="15"/>
  <c r="HV4" i="15"/>
  <c r="KV4" i="15"/>
  <c r="IV4" i="15"/>
  <c r="PR4" i="15"/>
  <c r="FV4" i="15"/>
  <c r="JV4" i="15"/>
  <c r="G4" i="15"/>
  <c r="F4" i="15"/>
  <c r="DV4" i="15"/>
  <c r="EV4" i="15"/>
  <c r="GV4" i="15"/>
  <c r="PS4" i="15"/>
  <c r="PT4" i="15"/>
  <c r="LV4" i="15"/>
  <c r="MV4" i="15"/>
  <c r="OV4" i="15"/>
  <c r="PV4" i="15"/>
  <c r="M4" i="15"/>
  <c r="CV4" i="15" s="1"/>
  <c r="PU4" i="15"/>
  <c r="CT4" i="15"/>
  <c r="GJ5" i="16"/>
  <c r="KR5" i="16"/>
  <c r="QB5" i="16"/>
  <c r="O4" i="16"/>
  <c r="EI4" i="16"/>
  <c r="EF8" i="16"/>
  <c r="MV8" i="16"/>
  <c r="RG8" i="16"/>
  <c r="BX10" i="16"/>
  <c r="K10" i="16"/>
  <c r="DE10" i="16" s="1"/>
  <c r="AU10" i="16"/>
  <c r="I10" i="16"/>
  <c r="HO8" i="16"/>
  <c r="QE8" i="16"/>
  <c r="M10" i="16"/>
  <c r="N10" i="16" s="1"/>
  <c r="AU4" i="16"/>
  <c r="JP8" i="16"/>
  <c r="RG10" i="16"/>
  <c r="EF5" i="16"/>
  <c r="IN5" i="16"/>
  <c r="MV5" i="16"/>
  <c r="Q10" i="16"/>
  <c r="DG10" i="16" s="1"/>
  <c r="HL5" i="16"/>
  <c r="LT5" i="16"/>
  <c r="OZ5" i="16"/>
  <c r="RA5" i="16"/>
  <c r="G5" i="16"/>
  <c r="F4" i="16"/>
  <c r="AX4" i="16"/>
  <c r="LW8" i="16"/>
  <c r="G10" i="16"/>
  <c r="AX10" i="16"/>
  <c r="FH5" i="16"/>
  <c r="JP5" i="16"/>
  <c r="NX5" i="16"/>
  <c r="F5" i="16"/>
  <c r="F10" i="16"/>
  <c r="FH8" i="16"/>
  <c r="KU8" i="16"/>
  <c r="NX8" i="16"/>
  <c r="DA10" i="16"/>
  <c r="K4" i="15"/>
  <c r="CU4" i="15" s="1"/>
  <c r="I4" i="15"/>
  <c r="BS4" i="15"/>
  <c r="R12" i="18" l="1"/>
  <c r="RE19" i="18"/>
  <c r="PW6" i="15"/>
  <c r="H9" i="16"/>
  <c r="L9" i="18"/>
  <c r="RH20" i="16"/>
  <c r="RH25" i="16"/>
  <c r="RH23" i="16"/>
  <c r="R6" i="16"/>
  <c r="RE20" i="16"/>
  <c r="N7" i="15"/>
  <c r="P19" i="18"/>
  <c r="DF19" i="18"/>
  <c r="P7" i="18"/>
  <c r="DF7" i="18"/>
  <c r="P5" i="18"/>
  <c r="DF5" i="18"/>
  <c r="P15" i="18"/>
  <c r="DF15" i="18"/>
  <c r="P10" i="18"/>
  <c r="DF10" i="18"/>
  <c r="P11" i="18"/>
  <c r="DF11" i="18"/>
  <c r="R9" i="18"/>
  <c r="DG9" i="18"/>
  <c r="R18" i="18"/>
  <c r="DG18" i="18"/>
  <c r="P18" i="18"/>
  <c r="DF18" i="18"/>
  <c r="L16" i="18"/>
  <c r="DE16" i="18"/>
  <c r="P8" i="18"/>
  <c r="DF8" i="18"/>
  <c r="P12" i="18"/>
  <c r="DF12" i="18"/>
  <c r="S12" i="18" s="1"/>
  <c r="P21" i="18"/>
  <c r="DF21" i="18"/>
  <c r="P20" i="18"/>
  <c r="DF20" i="18"/>
  <c r="R14" i="18"/>
  <c r="DG14" i="18"/>
  <c r="P9" i="18"/>
  <c r="DF9" i="18"/>
  <c r="P16" i="18"/>
  <c r="DF16" i="18"/>
  <c r="R8" i="18"/>
  <c r="DG8" i="18"/>
  <c r="R16" i="18"/>
  <c r="DG16" i="18"/>
  <c r="P6" i="18"/>
  <c r="DF6" i="18"/>
  <c r="DE20" i="18"/>
  <c r="L5" i="18"/>
  <c r="DE5" i="18"/>
  <c r="P4" i="18"/>
  <c r="DF4" i="18"/>
  <c r="P13" i="18"/>
  <c r="DF13" i="18"/>
  <c r="R13" i="18"/>
  <c r="DG13" i="18"/>
  <c r="S13" i="18" s="1"/>
  <c r="U13" i="18" s="1"/>
  <c r="L6" i="18"/>
  <c r="DE6" i="18"/>
  <c r="P17" i="18"/>
  <c r="DF17" i="18"/>
  <c r="L11" i="18"/>
  <c r="DE11" i="18"/>
  <c r="R15" i="18"/>
  <c r="DG15" i="18"/>
  <c r="P14" i="18"/>
  <c r="DF14" i="18"/>
  <c r="L4" i="16"/>
  <c r="DE4" i="16"/>
  <c r="P6" i="16"/>
  <c r="DF6" i="16"/>
  <c r="S6" i="16" s="1"/>
  <c r="P23" i="16"/>
  <c r="DF23" i="16"/>
  <c r="P10" i="16"/>
  <c r="DF10" i="16"/>
  <c r="L11" i="16"/>
  <c r="DE11" i="16"/>
  <c r="P18" i="16"/>
  <c r="DF18" i="16"/>
  <c r="P8" i="16"/>
  <c r="DF8" i="16"/>
  <c r="P22" i="16"/>
  <c r="DF22" i="16"/>
  <c r="P16" i="16"/>
  <c r="DF16" i="16"/>
  <c r="P19" i="16"/>
  <c r="DF19" i="16"/>
  <c r="P15" i="16"/>
  <c r="DF15" i="16"/>
  <c r="R24" i="16"/>
  <c r="DG24" i="16"/>
  <c r="P4" i="16"/>
  <c r="DF4" i="16"/>
  <c r="P5" i="16"/>
  <c r="DF5" i="16"/>
  <c r="S5" i="16" s="1"/>
  <c r="U5" i="16" s="1"/>
  <c r="R4" i="16"/>
  <c r="DG4" i="16"/>
  <c r="L21" i="16"/>
  <c r="DE21" i="16"/>
  <c r="DE9" i="16"/>
  <c r="R14" i="16"/>
  <c r="DG14" i="16"/>
  <c r="R19" i="16"/>
  <c r="DG19" i="16"/>
  <c r="R21" i="16"/>
  <c r="DG21" i="16"/>
  <c r="P14" i="16"/>
  <c r="DF14" i="16"/>
  <c r="RE11" i="16"/>
  <c r="P7" i="16"/>
  <c r="DF7" i="16"/>
  <c r="S7" i="16" s="1"/>
  <c r="T7" i="16" s="1"/>
  <c r="R18" i="16"/>
  <c r="DG18" i="16"/>
  <c r="P9" i="16"/>
  <c r="DF9" i="16"/>
  <c r="P26" i="16"/>
  <c r="DF26" i="16"/>
  <c r="P24" i="16"/>
  <c r="DF24" i="16"/>
  <c r="L8" i="16"/>
  <c r="DE8" i="16"/>
  <c r="H11" i="16"/>
  <c r="R15" i="16"/>
  <c r="P11" i="16"/>
  <c r="DF11" i="16"/>
  <c r="P12" i="16"/>
  <c r="DF12" i="16"/>
  <c r="P21" i="16"/>
  <c r="DF21" i="16"/>
  <c r="L16" i="16"/>
  <c r="DE16" i="16"/>
  <c r="P17" i="16"/>
  <c r="DF17" i="16"/>
  <c r="P20" i="16"/>
  <c r="DF20" i="16"/>
  <c r="P25" i="16"/>
  <c r="DF25" i="16"/>
  <c r="L8" i="17"/>
  <c r="CU8" i="17"/>
  <c r="L9" i="17"/>
  <c r="CU9" i="17"/>
  <c r="L16" i="17"/>
  <c r="CU16" i="17"/>
  <c r="N9" i="17"/>
  <c r="CV9" i="17"/>
  <c r="N17" i="17"/>
  <c r="CV17" i="17"/>
  <c r="N7" i="17"/>
  <c r="CV7" i="17"/>
  <c r="N20" i="17"/>
  <c r="CV20" i="17"/>
  <c r="N11" i="17"/>
  <c r="CV11" i="17"/>
  <c r="N5" i="17"/>
  <c r="CV5" i="17"/>
  <c r="N18" i="17"/>
  <c r="CV18" i="17"/>
  <c r="N15" i="17"/>
  <c r="CV15" i="17"/>
  <c r="N6" i="15"/>
  <c r="CV6" i="15"/>
  <c r="L8" i="15"/>
  <c r="CU8" i="15"/>
  <c r="L5" i="15"/>
  <c r="CU5" i="15"/>
  <c r="O5" i="15" s="1"/>
  <c r="Q5" i="15" s="1"/>
  <c r="RH21" i="18"/>
  <c r="RH16" i="16"/>
  <c r="RH9" i="16"/>
  <c r="RE25" i="16"/>
  <c r="PW12" i="17"/>
  <c r="N6" i="17"/>
  <c r="N16" i="17"/>
  <c r="H9" i="17"/>
  <c r="H5" i="17"/>
  <c r="RE14" i="16"/>
  <c r="RH11" i="18"/>
  <c r="RE20" i="18"/>
  <c r="RH13" i="18"/>
  <c r="RH19" i="18"/>
  <c r="R16" i="16"/>
  <c r="H15" i="16"/>
  <c r="H19" i="16"/>
  <c r="R20" i="16"/>
  <c r="A10" i="17"/>
  <c r="PW14" i="17"/>
  <c r="H6" i="17"/>
  <c r="H8" i="17"/>
  <c r="H15" i="17"/>
  <c r="H12" i="17"/>
  <c r="H19" i="17"/>
  <c r="H16" i="17"/>
  <c r="L6" i="17"/>
  <c r="H14" i="17"/>
  <c r="PW9" i="15"/>
  <c r="PW8" i="15"/>
  <c r="O8" i="15"/>
  <c r="Q8" i="15" s="1"/>
  <c r="H10" i="18"/>
  <c r="RE9" i="18"/>
  <c r="H12" i="18"/>
  <c r="L13" i="18"/>
  <c r="H9" i="18"/>
  <c r="RH16" i="18"/>
  <c r="H18" i="18"/>
  <c r="H6" i="18"/>
  <c r="L20" i="18"/>
  <c r="R10" i="18"/>
  <c r="H20" i="18"/>
  <c r="H21" i="18"/>
  <c r="H17" i="18"/>
  <c r="RH8" i="18"/>
  <c r="H19" i="18"/>
  <c r="H14" i="18"/>
  <c r="H16" i="18"/>
  <c r="H11" i="18"/>
  <c r="H8" i="18"/>
  <c r="H13" i="18"/>
  <c r="H5" i="18"/>
  <c r="H7" i="18"/>
  <c r="H15" i="18"/>
  <c r="H17" i="16"/>
  <c r="R7" i="16"/>
  <c r="L25" i="16"/>
  <c r="RE9" i="16"/>
  <c r="RE18" i="16"/>
  <c r="RH26" i="16"/>
  <c r="RE17" i="16"/>
  <c r="RH24" i="16"/>
  <c r="H26" i="16"/>
  <c r="H12" i="16"/>
  <c r="H10" i="16"/>
  <c r="H25" i="16"/>
  <c r="H6" i="16"/>
  <c r="H5" i="16"/>
  <c r="PW15" i="17"/>
  <c r="H7" i="17"/>
  <c r="N13" i="17"/>
  <c r="H20" i="17"/>
  <c r="H13" i="17"/>
  <c r="H10" i="17"/>
  <c r="H17" i="17"/>
  <c r="N14" i="17"/>
  <c r="H11" i="17"/>
  <c r="H18" i="17"/>
  <c r="H4" i="17"/>
  <c r="L18" i="17"/>
  <c r="PW13" i="17"/>
  <c r="N4" i="15"/>
  <c r="PW7" i="15"/>
  <c r="H22" i="16"/>
  <c r="H9" i="15"/>
  <c r="H8" i="15"/>
  <c r="H11" i="15"/>
  <c r="H4" i="15"/>
  <c r="H6" i="15"/>
  <c r="H10" i="15"/>
  <c r="N10" i="15"/>
  <c r="N11" i="15"/>
  <c r="H5" i="15"/>
  <c r="H7" i="15"/>
  <c r="PW11" i="17"/>
  <c r="H18" i="16"/>
  <c r="H4" i="16"/>
  <c r="H21" i="16"/>
  <c r="RE19" i="16"/>
  <c r="RH18" i="16"/>
  <c r="H20" i="16"/>
  <c r="H23" i="16"/>
  <c r="RH17" i="16"/>
  <c r="H7" i="16"/>
  <c r="H24" i="16"/>
  <c r="RH15" i="16"/>
  <c r="RE23" i="16"/>
  <c r="RE26" i="16"/>
  <c r="H8" i="16"/>
  <c r="H16" i="16"/>
  <c r="RE24" i="16"/>
  <c r="RE15" i="16"/>
  <c r="RE11" i="18"/>
  <c r="R5" i="18"/>
  <c r="RE21" i="18"/>
  <c r="A14" i="18"/>
  <c r="A16" i="18"/>
  <c r="RH9" i="18"/>
  <c r="S5" i="18"/>
  <c r="T5" i="18" s="1"/>
  <c r="RE13" i="18"/>
  <c r="RE8" i="18"/>
  <c r="RE16" i="18"/>
  <c r="A20" i="18"/>
  <c r="S10" i="18"/>
  <c r="E10" i="18" s="1"/>
  <c r="S21" i="18"/>
  <c r="U21" i="18" s="1"/>
  <c r="RE17" i="18"/>
  <c r="RE6" i="18"/>
  <c r="RH4" i="18"/>
  <c r="A19" i="18"/>
  <c r="RH15" i="18"/>
  <c r="RE5" i="18"/>
  <c r="RH6" i="18"/>
  <c r="RE4" i="18"/>
  <c r="RE15" i="18"/>
  <c r="L15" i="18"/>
  <c r="S17" i="18"/>
  <c r="E17" i="18" s="1"/>
  <c r="L7" i="18"/>
  <c r="R11" i="18"/>
  <c r="S11" i="18"/>
  <c r="J14" i="18"/>
  <c r="L8" i="18"/>
  <c r="A21" i="18"/>
  <c r="RE10" i="18"/>
  <c r="RH10" i="18"/>
  <c r="J6" i="18"/>
  <c r="J9" i="18"/>
  <c r="RH18" i="18"/>
  <c r="RE18" i="18"/>
  <c r="J18" i="18"/>
  <c r="RE7" i="18"/>
  <c r="RH7" i="18"/>
  <c r="RH12" i="18"/>
  <c r="RE12" i="18"/>
  <c r="J13" i="18"/>
  <c r="L4" i="18"/>
  <c r="L18" i="18"/>
  <c r="RH14" i="18"/>
  <c r="RE14" i="18"/>
  <c r="A17" i="18"/>
  <c r="R7" i="18"/>
  <c r="S9" i="18"/>
  <c r="J15" i="18"/>
  <c r="L14" i="18"/>
  <c r="A18" i="18"/>
  <c r="R6" i="18"/>
  <c r="S6" i="18"/>
  <c r="S15" i="18"/>
  <c r="R19" i="18"/>
  <c r="S19" i="18"/>
  <c r="R4" i="18"/>
  <c r="RE10" i="16"/>
  <c r="RH11" i="16"/>
  <c r="RE22" i="16"/>
  <c r="S25" i="16"/>
  <c r="T25" i="16" s="1"/>
  <c r="L26" i="16"/>
  <c r="S26" i="16"/>
  <c r="L9" i="16"/>
  <c r="R8" i="16"/>
  <c r="RH10" i="16"/>
  <c r="L22" i="16"/>
  <c r="L7" i="16"/>
  <c r="L17" i="16"/>
  <c r="S8" i="16"/>
  <c r="U8" i="16" s="1"/>
  <c r="L15" i="16"/>
  <c r="S15" i="16"/>
  <c r="J14" i="16"/>
  <c r="L23" i="16"/>
  <c r="S23" i="16"/>
  <c r="R17" i="16"/>
  <c r="J20" i="16"/>
  <c r="S19" i="16"/>
  <c r="RH12" i="16"/>
  <c r="RE12" i="16"/>
  <c r="RE7" i="16"/>
  <c r="RH7" i="16"/>
  <c r="L6" i="16"/>
  <c r="RH6" i="16"/>
  <c r="RE6" i="16"/>
  <c r="S11" i="16"/>
  <c r="R11" i="16"/>
  <c r="S20" i="16"/>
  <c r="L20" i="16"/>
  <c r="R22" i="16"/>
  <c r="RH21" i="16"/>
  <c r="RE21" i="16"/>
  <c r="L14" i="16"/>
  <c r="S14" i="16"/>
  <c r="S21" i="16"/>
  <c r="L12" i="16"/>
  <c r="S12" i="16"/>
  <c r="L18" i="16"/>
  <c r="S18" i="16"/>
  <c r="L24" i="16"/>
  <c r="S24" i="16"/>
  <c r="L5" i="16"/>
  <c r="RH5" i="16"/>
  <c r="RE8" i="16"/>
  <c r="RH8" i="16"/>
  <c r="RH4" i="16"/>
  <c r="RE5" i="16"/>
  <c r="R5" i="16"/>
  <c r="RE4" i="16"/>
  <c r="A17" i="17"/>
  <c r="A13" i="17"/>
  <c r="PW16" i="17"/>
  <c r="A12" i="17"/>
  <c r="A11" i="17"/>
  <c r="A14" i="17"/>
  <c r="PW6" i="17"/>
  <c r="O16" i="17"/>
  <c r="Q16" i="17" s="1"/>
  <c r="PW18" i="17"/>
  <c r="PW4" i="17"/>
  <c r="J14" i="17"/>
  <c r="N10" i="17"/>
  <c r="L15" i="17"/>
  <c r="O15" i="17"/>
  <c r="A15" i="17"/>
  <c r="O6" i="17"/>
  <c r="L12" i="17"/>
  <c r="O12" i="17"/>
  <c r="PW20" i="17"/>
  <c r="L10" i="17"/>
  <c r="L14" i="17"/>
  <c r="O14" i="17"/>
  <c r="J12" i="17"/>
  <c r="J6" i="17"/>
  <c r="A9" i="17"/>
  <c r="L11" i="17"/>
  <c r="J10" i="17"/>
  <c r="L13" i="17"/>
  <c r="O13" i="17"/>
  <c r="J16" i="17"/>
  <c r="O9" i="17"/>
  <c r="A16" i="17"/>
  <c r="J13" i="17"/>
  <c r="J9" i="17"/>
  <c r="PW17" i="17"/>
  <c r="N4" i="17"/>
  <c r="O18" i="17"/>
  <c r="PW19" i="17"/>
  <c r="PW5" i="17"/>
  <c r="A20" i="17"/>
  <c r="N19" i="17"/>
  <c r="PW8" i="17"/>
  <c r="A19" i="17"/>
  <c r="PW7" i="17"/>
  <c r="A18" i="17"/>
  <c r="J7" i="17"/>
  <c r="O4" i="17"/>
  <c r="L4" i="17"/>
  <c r="J19" i="17"/>
  <c r="L20" i="17"/>
  <c r="O19" i="17"/>
  <c r="L19" i="17"/>
  <c r="L5" i="17"/>
  <c r="L17" i="17"/>
  <c r="N8" i="17"/>
  <c r="L7" i="17"/>
  <c r="J17" i="17"/>
  <c r="A8" i="17"/>
  <c r="PW5" i="15"/>
  <c r="N5" i="15"/>
  <c r="O10" i="15"/>
  <c r="P10" i="15" s="1"/>
  <c r="L10" i="15"/>
  <c r="PW10" i="15"/>
  <c r="J11" i="15"/>
  <c r="O11" i="15"/>
  <c r="L11" i="15"/>
  <c r="J6" i="15"/>
  <c r="J10" i="15"/>
  <c r="N9" i="15"/>
  <c r="L6" i="15"/>
  <c r="J8" i="15"/>
  <c r="L7" i="15"/>
  <c r="O7" i="15"/>
  <c r="J5" i="15"/>
  <c r="J9" i="15"/>
  <c r="L9" i="15"/>
  <c r="PW4" i="15"/>
  <c r="J10" i="16"/>
  <c r="L10" i="16"/>
  <c r="R10" i="16"/>
  <c r="J4" i="15"/>
  <c r="O4" i="15"/>
  <c r="L4" i="15"/>
  <c r="S8" i="18" l="1"/>
  <c r="S16" i="18"/>
  <c r="E16" i="18" s="1"/>
  <c r="S16" i="16"/>
  <c r="E16" i="16" s="1"/>
  <c r="S20" i="18"/>
  <c r="T20" i="18" s="1"/>
  <c r="E12" i="18"/>
  <c r="U12" i="18"/>
  <c r="T12" i="18"/>
  <c r="S9" i="16"/>
  <c r="U9" i="16" s="1"/>
  <c r="E9" i="16"/>
  <c r="E21" i="18"/>
  <c r="T21" i="18"/>
  <c r="E15" i="17"/>
  <c r="O7" i="17"/>
  <c r="E7" i="17" s="1"/>
  <c r="E13" i="18"/>
  <c r="O6" i="15"/>
  <c r="P6" i="15" s="1"/>
  <c r="T13" i="18"/>
  <c r="U16" i="18"/>
  <c r="S14" i="18"/>
  <c r="U14" i="18" s="1"/>
  <c r="S4" i="16"/>
  <c r="T4" i="16" s="1"/>
  <c r="O17" i="17"/>
  <c r="Q17" i="17" s="1"/>
  <c r="E18" i="17"/>
  <c r="O11" i="17"/>
  <c r="P11" i="17" s="1"/>
  <c r="S18" i="18"/>
  <c r="U18" i="18" s="1"/>
  <c r="U5" i="18"/>
  <c r="T10" i="18"/>
  <c r="U10" i="18"/>
  <c r="E24" i="16"/>
  <c r="S17" i="16"/>
  <c r="E17" i="16" s="1"/>
  <c r="P16" i="17"/>
  <c r="Q10" i="15"/>
  <c r="S22" i="16"/>
  <c r="E22" i="16" s="1"/>
  <c r="P8" i="15"/>
  <c r="U7" i="16"/>
  <c r="U25" i="16"/>
  <c r="E25" i="16"/>
  <c r="T17" i="18"/>
  <c r="U17" i="18"/>
  <c r="E5" i="18"/>
  <c r="E11" i="18"/>
  <c r="E19" i="18"/>
  <c r="S4" i="18"/>
  <c r="E15" i="18"/>
  <c r="S7" i="18"/>
  <c r="E7" i="18" s="1"/>
  <c r="A13" i="18" s="1"/>
  <c r="E6" i="18"/>
  <c r="E8" i="18"/>
  <c r="E9" i="18"/>
  <c r="A12" i="18"/>
  <c r="U6" i="18"/>
  <c r="T6" i="18"/>
  <c r="U8" i="18"/>
  <c r="T8" i="18"/>
  <c r="U19" i="18"/>
  <c r="T19" i="18"/>
  <c r="U15" i="18"/>
  <c r="T15" i="18"/>
  <c r="U11" i="18"/>
  <c r="T11" i="18"/>
  <c r="U9" i="18"/>
  <c r="T9" i="18"/>
  <c r="T26" i="16"/>
  <c r="U26" i="16"/>
  <c r="E26" i="16"/>
  <c r="E11" i="16"/>
  <c r="E8" i="16"/>
  <c r="T8" i="16"/>
  <c r="E23" i="16"/>
  <c r="E15" i="16"/>
  <c r="T15" i="16"/>
  <c r="U15" i="16"/>
  <c r="E18" i="16"/>
  <c r="E6" i="16"/>
  <c r="E14" i="16"/>
  <c r="E12" i="16"/>
  <c r="E20" i="16"/>
  <c r="E7" i="16"/>
  <c r="T14" i="16"/>
  <c r="U14" i="16"/>
  <c r="U20" i="16"/>
  <c r="T20" i="16"/>
  <c r="T6" i="16"/>
  <c r="U6" i="16"/>
  <c r="T23" i="16"/>
  <c r="U23" i="16"/>
  <c r="T12" i="16"/>
  <c r="U12" i="16"/>
  <c r="T19" i="16"/>
  <c r="U19" i="16"/>
  <c r="E19" i="16"/>
  <c r="T24" i="16"/>
  <c r="U24" i="16"/>
  <c r="T11" i="16"/>
  <c r="U11" i="16"/>
  <c r="T21" i="16"/>
  <c r="U21" i="16"/>
  <c r="E21" i="16"/>
  <c r="T18" i="16"/>
  <c r="U18" i="16"/>
  <c r="T5" i="16"/>
  <c r="E5" i="16"/>
  <c r="O20" i="17"/>
  <c r="E20" i="17" s="1"/>
  <c r="E6" i="17"/>
  <c r="E16" i="17"/>
  <c r="P18" i="17"/>
  <c r="E13" i="17"/>
  <c r="O10" i="17"/>
  <c r="E10" i="17" s="1"/>
  <c r="O8" i="17"/>
  <c r="P8" i="17" s="1"/>
  <c r="E9" i="17"/>
  <c r="E12" i="17"/>
  <c r="E14" i="17"/>
  <c r="P13" i="17"/>
  <c r="Q13" i="17"/>
  <c r="Q18" i="17"/>
  <c r="P12" i="17"/>
  <c r="Q12" i="17"/>
  <c r="P6" i="17"/>
  <c r="Q6" i="17"/>
  <c r="P9" i="17"/>
  <c r="Q9" i="17"/>
  <c r="P14" i="17"/>
  <c r="Q14" i="17"/>
  <c r="P15" i="17"/>
  <c r="Q15" i="17"/>
  <c r="O5" i="17"/>
  <c r="P5" i="17" s="1"/>
  <c r="E4" i="17"/>
  <c r="E19" i="17"/>
  <c r="Q4" i="17"/>
  <c r="P4" i="17"/>
  <c r="Q19" i="17"/>
  <c r="P19" i="17"/>
  <c r="E10" i="15"/>
  <c r="E5" i="15"/>
  <c r="P5" i="15"/>
  <c r="E11" i="15"/>
  <c r="O9" i="15"/>
  <c r="P9" i="15" s="1"/>
  <c r="E8" i="15"/>
  <c r="Q7" i="15"/>
  <c r="P7" i="15"/>
  <c r="P11" i="15"/>
  <c r="Q11" i="15"/>
  <c r="E7" i="15"/>
  <c r="A7" i="15" s="1"/>
  <c r="E4" i="15"/>
  <c r="S10" i="16"/>
  <c r="Q4" i="15"/>
  <c r="P4" i="15"/>
  <c r="U20" i="18" l="1"/>
  <c r="E20" i="18"/>
  <c r="T16" i="18"/>
  <c r="T9" i="16"/>
  <c r="T16" i="16"/>
  <c r="U16" i="16"/>
  <c r="T4" i="18"/>
  <c r="E6" i="15"/>
  <c r="E14" i="18"/>
  <c r="Q6" i="15"/>
  <c r="P7" i="17"/>
  <c r="Q7" i="17"/>
  <c r="T14" i="18"/>
  <c r="Q8" i="17"/>
  <c r="E17" i="17"/>
  <c r="T18" i="18"/>
  <c r="U4" i="16"/>
  <c r="T22" i="16"/>
  <c r="U22" i="16"/>
  <c r="E4" i="16"/>
  <c r="A13" i="16" s="1"/>
  <c r="P17" i="17"/>
  <c r="P20" i="17"/>
  <c r="E8" i="17"/>
  <c r="U4" i="18"/>
  <c r="E18" i="18"/>
  <c r="U17" i="16"/>
  <c r="T17" i="16"/>
  <c r="Q11" i="17"/>
  <c r="E11" i="17"/>
  <c r="A6" i="17" s="1"/>
  <c r="Q20" i="17"/>
  <c r="E4" i="18"/>
  <c r="U7" i="18"/>
  <c r="T7" i="18"/>
  <c r="A15" i="18"/>
  <c r="P10" i="17"/>
  <c r="Q10" i="17"/>
  <c r="A4" i="17"/>
  <c r="Q5" i="17"/>
  <c r="E5" i="17"/>
  <c r="A7" i="17" s="1"/>
  <c r="E9" i="15"/>
  <c r="A5" i="15" s="1"/>
  <c r="Q9" i="15"/>
  <c r="A11" i="15"/>
  <c r="A6" i="15"/>
  <c r="A8" i="15"/>
  <c r="A10" i="15"/>
  <c r="U10" i="16"/>
  <c r="T10" i="16"/>
  <c r="E10" i="16"/>
  <c r="A21" i="16" s="1"/>
  <c r="A5" i="17" l="1"/>
  <c r="C17" i="11" s="1"/>
  <c r="A11" i="16"/>
  <c r="EB4" i="18"/>
  <c r="EE4" i="18"/>
  <c r="A4" i="15" a="1"/>
  <c r="A4" i="15" s="1"/>
  <c r="A9" i="15"/>
  <c r="A23" i="16"/>
  <c r="A25" i="16"/>
  <c r="A26" i="16"/>
  <c r="A7" i="16"/>
  <c r="A9" i="16"/>
  <c r="A6" i="16"/>
  <c r="A24" i="16"/>
  <c r="A14" i="16"/>
  <c r="A22" i="16"/>
  <c r="A17" i="16"/>
  <c r="A18" i="16"/>
  <c r="A16" i="16"/>
  <c r="A19" i="16"/>
  <c r="A12" i="16"/>
  <c r="A15" i="16"/>
  <c r="A20" i="16"/>
  <c r="A8" i="16"/>
  <c r="A5" i="16" a="1"/>
  <c r="A5" i="16" s="1"/>
  <c r="A4" i="16"/>
  <c r="A10" i="16"/>
  <c r="D15" i="11" l="1"/>
  <c r="C15" i="11"/>
  <c r="D16" i="11"/>
  <c r="C16" i="11"/>
  <c r="C14" i="11"/>
  <c r="D14" i="11"/>
  <c r="D17" i="11"/>
  <c r="C19" i="1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AK11" i="4"/>
  <c r="AL11" i="4"/>
  <c r="AM11" i="4"/>
  <c r="AN11" i="4"/>
  <c r="AO11" i="4"/>
  <c r="AQ11" i="4"/>
  <c r="AR11" i="4"/>
  <c r="BO11" i="4"/>
  <c r="BP11" i="4"/>
  <c r="BQ11" i="4"/>
  <c r="BR11" i="4"/>
  <c r="BS11" i="4"/>
  <c r="BU11" i="4"/>
  <c r="BV11" i="4"/>
  <c r="CS11" i="4"/>
  <c r="CT11" i="4"/>
  <c r="CU11" i="4"/>
  <c r="CV11" i="4"/>
  <c r="CW11" i="4"/>
  <c r="CY11" i="4"/>
  <c r="CZ11" i="4"/>
  <c r="DS11" i="4"/>
  <c r="DT11" i="4"/>
  <c r="DU11" i="4"/>
  <c r="DW11" i="4"/>
  <c r="DX11" i="4"/>
  <c r="EO11" i="4"/>
  <c r="EP11" i="4"/>
  <c r="EQ11" i="4"/>
  <c r="ES11" i="4"/>
  <c r="ET11" i="4"/>
  <c r="FK11" i="4"/>
  <c r="FL11" i="4"/>
  <c r="FM11" i="4"/>
  <c r="FO11" i="4"/>
  <c r="FP11" i="4"/>
  <c r="GG11" i="4"/>
  <c r="GH11" i="4"/>
  <c r="GI11" i="4"/>
  <c r="GK11" i="4"/>
  <c r="GL11" i="4"/>
  <c r="HC11" i="4"/>
  <c r="HD11" i="4"/>
  <c r="HE11" i="4"/>
  <c r="HG11" i="4"/>
  <c r="HH11" i="4"/>
  <c r="HY11" i="4"/>
  <c r="HZ11" i="4"/>
  <c r="IA11" i="4"/>
  <c r="IC11" i="4"/>
  <c r="ID11" i="4"/>
  <c r="IU11" i="4"/>
  <c r="IV11" i="4"/>
  <c r="IW11" i="4"/>
  <c r="IY11" i="4"/>
  <c r="IZ11" i="4"/>
  <c r="JQ11" i="4"/>
  <c r="JR11" i="4"/>
  <c r="JS11" i="4"/>
  <c r="JU11" i="4"/>
  <c r="JV11" i="4"/>
  <c r="KM11" i="4"/>
  <c r="KN11" i="4"/>
  <c r="KO11" i="4"/>
  <c r="KQ11" i="4"/>
  <c r="KR11" i="4"/>
  <c r="LI11" i="4"/>
  <c r="LJ11" i="4"/>
  <c r="LK11" i="4"/>
  <c r="LM11" i="4"/>
  <c r="LN11" i="4"/>
  <c r="ME11" i="4"/>
  <c r="MF11" i="4"/>
  <c r="MG11" i="4"/>
  <c r="MI11" i="4"/>
  <c r="MJ11" i="4"/>
  <c r="NA11" i="4"/>
  <c r="NB11" i="4"/>
  <c r="NC11" i="4"/>
  <c r="NE11" i="4"/>
  <c r="NF11" i="4"/>
  <c r="NH11" i="4"/>
  <c r="NI11" i="4"/>
  <c r="NJ11" i="4"/>
  <c r="NK11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AK5" i="4"/>
  <c r="AL5" i="4"/>
  <c r="AM5" i="4"/>
  <c r="AN5" i="4"/>
  <c r="AO5" i="4"/>
  <c r="AQ5" i="4"/>
  <c r="AR5" i="4"/>
  <c r="BO5" i="4"/>
  <c r="BP5" i="4"/>
  <c r="BQ5" i="4"/>
  <c r="BR5" i="4"/>
  <c r="BS5" i="4"/>
  <c r="BU5" i="4"/>
  <c r="BV5" i="4"/>
  <c r="CS5" i="4"/>
  <c r="CT5" i="4"/>
  <c r="CU5" i="4"/>
  <c r="CV5" i="4"/>
  <c r="CW5" i="4"/>
  <c r="CY5" i="4"/>
  <c r="CZ5" i="4"/>
  <c r="DS5" i="4"/>
  <c r="DT5" i="4"/>
  <c r="DU5" i="4"/>
  <c r="DW5" i="4"/>
  <c r="DX5" i="4"/>
  <c r="EO5" i="4"/>
  <c r="EP5" i="4"/>
  <c r="EQ5" i="4"/>
  <c r="ES5" i="4"/>
  <c r="ET5" i="4"/>
  <c r="FK5" i="4"/>
  <c r="FL5" i="4"/>
  <c r="FM5" i="4"/>
  <c r="FO5" i="4"/>
  <c r="FP5" i="4"/>
  <c r="GG5" i="4"/>
  <c r="GH5" i="4"/>
  <c r="GI5" i="4"/>
  <c r="GK5" i="4"/>
  <c r="GL5" i="4"/>
  <c r="HC5" i="4"/>
  <c r="HD5" i="4"/>
  <c r="HE5" i="4"/>
  <c r="HG5" i="4"/>
  <c r="HH5" i="4"/>
  <c r="HY5" i="4"/>
  <c r="HZ5" i="4"/>
  <c r="IA5" i="4"/>
  <c r="IC5" i="4"/>
  <c r="ID5" i="4"/>
  <c r="IU5" i="4"/>
  <c r="IV5" i="4"/>
  <c r="IW5" i="4"/>
  <c r="IY5" i="4"/>
  <c r="IZ5" i="4"/>
  <c r="JQ5" i="4"/>
  <c r="JR5" i="4"/>
  <c r="JS5" i="4"/>
  <c r="JU5" i="4"/>
  <c r="JV5" i="4"/>
  <c r="KM5" i="4"/>
  <c r="KN5" i="4"/>
  <c r="KO5" i="4"/>
  <c r="KQ5" i="4"/>
  <c r="KR5" i="4"/>
  <c r="LI5" i="4"/>
  <c r="LJ5" i="4"/>
  <c r="LK5" i="4"/>
  <c r="LM5" i="4"/>
  <c r="LN5" i="4"/>
  <c r="ME5" i="4"/>
  <c r="MF5" i="4"/>
  <c r="MG5" i="4"/>
  <c r="MI5" i="4"/>
  <c r="MJ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AK9" i="4"/>
  <c r="AL9" i="4"/>
  <c r="AM9" i="4"/>
  <c r="AN9" i="4"/>
  <c r="AO9" i="4"/>
  <c r="AQ9" i="4"/>
  <c r="AR9" i="4"/>
  <c r="BO9" i="4"/>
  <c r="BP9" i="4"/>
  <c r="BQ9" i="4"/>
  <c r="BR9" i="4"/>
  <c r="BS9" i="4"/>
  <c r="BU9" i="4"/>
  <c r="BV9" i="4"/>
  <c r="CS9" i="4"/>
  <c r="CT9" i="4"/>
  <c r="CU9" i="4"/>
  <c r="CV9" i="4"/>
  <c r="CW9" i="4"/>
  <c r="CY9" i="4"/>
  <c r="CZ9" i="4"/>
  <c r="DS9" i="4"/>
  <c r="DT9" i="4"/>
  <c r="DU9" i="4"/>
  <c r="DW9" i="4"/>
  <c r="DX9" i="4"/>
  <c r="EO9" i="4"/>
  <c r="EP9" i="4"/>
  <c r="EQ9" i="4"/>
  <c r="ES9" i="4"/>
  <c r="ET9" i="4"/>
  <c r="FK9" i="4"/>
  <c r="FL9" i="4"/>
  <c r="FM9" i="4"/>
  <c r="FO9" i="4"/>
  <c r="FP9" i="4"/>
  <c r="GG9" i="4"/>
  <c r="GH9" i="4"/>
  <c r="GI9" i="4"/>
  <c r="GK9" i="4"/>
  <c r="GL9" i="4"/>
  <c r="HC9" i="4"/>
  <c r="HD9" i="4"/>
  <c r="HE9" i="4"/>
  <c r="HG9" i="4"/>
  <c r="HH9" i="4"/>
  <c r="HY9" i="4"/>
  <c r="HZ9" i="4"/>
  <c r="IA9" i="4"/>
  <c r="IC9" i="4"/>
  <c r="ID9" i="4"/>
  <c r="IU9" i="4"/>
  <c r="IV9" i="4"/>
  <c r="IW9" i="4"/>
  <c r="IY9" i="4"/>
  <c r="IZ9" i="4"/>
  <c r="JQ9" i="4"/>
  <c r="JR9" i="4"/>
  <c r="JS9" i="4"/>
  <c r="JU9" i="4"/>
  <c r="JV9" i="4"/>
  <c r="KM9" i="4"/>
  <c r="KN9" i="4"/>
  <c r="KO9" i="4"/>
  <c r="KQ9" i="4"/>
  <c r="KR9" i="4"/>
  <c r="LI9" i="4"/>
  <c r="LJ9" i="4"/>
  <c r="LK9" i="4"/>
  <c r="LM9" i="4"/>
  <c r="LN9" i="4"/>
  <c r="ME9" i="4"/>
  <c r="MF9" i="4"/>
  <c r="MG9" i="4"/>
  <c r="MI9" i="4"/>
  <c r="MJ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AK26" i="4"/>
  <c r="AL26" i="4"/>
  <c r="AM26" i="4"/>
  <c r="AN26" i="4"/>
  <c r="AO26" i="4"/>
  <c r="AQ26" i="4"/>
  <c r="AR26" i="4"/>
  <c r="BO26" i="4"/>
  <c r="BP26" i="4"/>
  <c r="BQ26" i="4"/>
  <c r="BR26" i="4"/>
  <c r="BS26" i="4"/>
  <c r="BU26" i="4"/>
  <c r="BV26" i="4"/>
  <c r="CS26" i="4"/>
  <c r="CT26" i="4"/>
  <c r="CU26" i="4"/>
  <c r="CV26" i="4"/>
  <c r="CW26" i="4"/>
  <c r="CY26" i="4"/>
  <c r="CZ26" i="4"/>
  <c r="DS26" i="4"/>
  <c r="DT26" i="4"/>
  <c r="DU26" i="4"/>
  <c r="DW26" i="4"/>
  <c r="DX26" i="4"/>
  <c r="EO26" i="4"/>
  <c r="EP26" i="4"/>
  <c r="EQ26" i="4"/>
  <c r="ES26" i="4"/>
  <c r="ET26" i="4"/>
  <c r="FK26" i="4"/>
  <c r="FL26" i="4"/>
  <c r="FM26" i="4"/>
  <c r="FO26" i="4"/>
  <c r="FP26" i="4"/>
  <c r="GG26" i="4"/>
  <c r="GH26" i="4"/>
  <c r="GI26" i="4"/>
  <c r="GK26" i="4"/>
  <c r="GL26" i="4"/>
  <c r="HC26" i="4"/>
  <c r="HD26" i="4"/>
  <c r="HE26" i="4"/>
  <c r="HG26" i="4"/>
  <c r="HH26" i="4"/>
  <c r="HY26" i="4"/>
  <c r="HZ26" i="4"/>
  <c r="IA26" i="4"/>
  <c r="IC26" i="4"/>
  <c r="ID26" i="4"/>
  <c r="IU26" i="4"/>
  <c r="IV26" i="4"/>
  <c r="IW26" i="4"/>
  <c r="IY26" i="4"/>
  <c r="IZ26" i="4"/>
  <c r="JQ26" i="4"/>
  <c r="JR26" i="4"/>
  <c r="JS26" i="4"/>
  <c r="JU26" i="4"/>
  <c r="JV26" i="4"/>
  <c r="KM26" i="4"/>
  <c r="KN26" i="4"/>
  <c r="KO26" i="4"/>
  <c r="KQ26" i="4"/>
  <c r="KR26" i="4"/>
  <c r="LI26" i="4"/>
  <c r="LJ26" i="4"/>
  <c r="LK26" i="4"/>
  <c r="LM26" i="4"/>
  <c r="LN26" i="4"/>
  <c r="ME26" i="4"/>
  <c r="MF26" i="4"/>
  <c r="MG26" i="4"/>
  <c r="MI26" i="4"/>
  <c r="MJ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AK31" i="4"/>
  <c r="AL31" i="4"/>
  <c r="AM31" i="4"/>
  <c r="AN31" i="4"/>
  <c r="AO31" i="4"/>
  <c r="AQ31" i="4"/>
  <c r="AR31" i="4"/>
  <c r="BO31" i="4"/>
  <c r="BP31" i="4"/>
  <c r="BQ31" i="4"/>
  <c r="BR31" i="4"/>
  <c r="BS31" i="4"/>
  <c r="BU31" i="4"/>
  <c r="BV31" i="4"/>
  <c r="CS31" i="4"/>
  <c r="CT31" i="4"/>
  <c r="CU31" i="4"/>
  <c r="CV31" i="4"/>
  <c r="CW31" i="4"/>
  <c r="CY31" i="4"/>
  <c r="CZ31" i="4"/>
  <c r="DS31" i="4"/>
  <c r="DT31" i="4"/>
  <c r="DU31" i="4"/>
  <c r="DW31" i="4"/>
  <c r="DX31" i="4"/>
  <c r="EO31" i="4"/>
  <c r="EP31" i="4"/>
  <c r="EQ31" i="4"/>
  <c r="ES31" i="4"/>
  <c r="ET31" i="4"/>
  <c r="FK31" i="4"/>
  <c r="FL31" i="4"/>
  <c r="FM31" i="4"/>
  <c r="FO31" i="4"/>
  <c r="FP31" i="4"/>
  <c r="GG31" i="4"/>
  <c r="GH31" i="4"/>
  <c r="GI31" i="4"/>
  <c r="GK31" i="4"/>
  <c r="GL31" i="4"/>
  <c r="HC31" i="4"/>
  <c r="HD31" i="4"/>
  <c r="HE31" i="4"/>
  <c r="HG31" i="4"/>
  <c r="HH31" i="4"/>
  <c r="HY31" i="4"/>
  <c r="HZ31" i="4"/>
  <c r="IA31" i="4"/>
  <c r="IC31" i="4"/>
  <c r="ID31" i="4"/>
  <c r="IU31" i="4"/>
  <c r="IV31" i="4"/>
  <c r="IW31" i="4"/>
  <c r="IY31" i="4"/>
  <c r="IZ31" i="4"/>
  <c r="JQ31" i="4"/>
  <c r="JR31" i="4"/>
  <c r="JS31" i="4"/>
  <c r="JU31" i="4"/>
  <c r="JV31" i="4"/>
  <c r="KM31" i="4"/>
  <c r="KN31" i="4"/>
  <c r="KO31" i="4"/>
  <c r="KQ31" i="4"/>
  <c r="KR31" i="4"/>
  <c r="LI31" i="4"/>
  <c r="LJ31" i="4"/>
  <c r="LK31" i="4"/>
  <c r="LM31" i="4"/>
  <c r="LN31" i="4"/>
  <c r="ME31" i="4"/>
  <c r="MF31" i="4"/>
  <c r="MG31" i="4"/>
  <c r="MI31" i="4"/>
  <c r="MJ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OF31" i="4" s="1"/>
  <c r="NU31" i="4"/>
  <c r="NV31" i="4"/>
  <c r="NW31" i="4"/>
  <c r="NX31" i="4"/>
  <c r="NY31" i="4"/>
  <c r="OI31" i="4" s="1"/>
  <c r="NZ31" i="4"/>
  <c r="OA31" i="4"/>
  <c r="AK29" i="4"/>
  <c r="AL29" i="4"/>
  <c r="AM29" i="4"/>
  <c r="AN29" i="4"/>
  <c r="AO29" i="4"/>
  <c r="AQ29" i="4"/>
  <c r="AR29" i="4"/>
  <c r="BO29" i="4"/>
  <c r="BP29" i="4"/>
  <c r="BQ29" i="4"/>
  <c r="BR29" i="4"/>
  <c r="BS29" i="4"/>
  <c r="BU29" i="4"/>
  <c r="BV29" i="4"/>
  <c r="CS29" i="4"/>
  <c r="CT29" i="4"/>
  <c r="CU29" i="4"/>
  <c r="CV29" i="4"/>
  <c r="CW29" i="4"/>
  <c r="CY29" i="4"/>
  <c r="CZ29" i="4"/>
  <c r="DS29" i="4"/>
  <c r="DT29" i="4"/>
  <c r="DU29" i="4"/>
  <c r="DW29" i="4"/>
  <c r="DX29" i="4"/>
  <c r="EO29" i="4"/>
  <c r="EP29" i="4"/>
  <c r="EQ29" i="4"/>
  <c r="ES29" i="4"/>
  <c r="ET29" i="4"/>
  <c r="FK29" i="4"/>
  <c r="FL29" i="4"/>
  <c r="FM29" i="4"/>
  <c r="FO29" i="4"/>
  <c r="FP29" i="4"/>
  <c r="GG29" i="4"/>
  <c r="GH29" i="4"/>
  <c r="GI29" i="4"/>
  <c r="GK29" i="4"/>
  <c r="GL29" i="4"/>
  <c r="HC29" i="4"/>
  <c r="HD29" i="4"/>
  <c r="HE29" i="4"/>
  <c r="HG29" i="4"/>
  <c r="HH29" i="4"/>
  <c r="HY29" i="4"/>
  <c r="HZ29" i="4"/>
  <c r="IA29" i="4"/>
  <c r="IC29" i="4"/>
  <c r="ID29" i="4"/>
  <c r="IU29" i="4"/>
  <c r="IV29" i="4"/>
  <c r="IW29" i="4"/>
  <c r="IY29" i="4"/>
  <c r="IZ29" i="4"/>
  <c r="JQ29" i="4"/>
  <c r="JR29" i="4"/>
  <c r="JS29" i="4"/>
  <c r="JU29" i="4"/>
  <c r="JV29" i="4"/>
  <c r="KM29" i="4"/>
  <c r="KN29" i="4"/>
  <c r="KO29" i="4"/>
  <c r="KQ29" i="4"/>
  <c r="KR29" i="4"/>
  <c r="LI29" i="4"/>
  <c r="LJ29" i="4"/>
  <c r="LK29" i="4"/>
  <c r="LM29" i="4"/>
  <c r="LN29" i="4"/>
  <c r="ME29" i="4"/>
  <c r="MF29" i="4"/>
  <c r="MG29" i="4"/>
  <c r="MI29" i="4"/>
  <c r="MJ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AK27" i="4"/>
  <c r="AL27" i="4"/>
  <c r="AM27" i="4"/>
  <c r="AN27" i="4"/>
  <c r="AO27" i="4"/>
  <c r="AQ27" i="4"/>
  <c r="AR27" i="4"/>
  <c r="BO27" i="4"/>
  <c r="BP27" i="4"/>
  <c r="BQ27" i="4"/>
  <c r="BR27" i="4"/>
  <c r="BS27" i="4"/>
  <c r="BU27" i="4"/>
  <c r="BV27" i="4"/>
  <c r="CS27" i="4"/>
  <c r="CT27" i="4"/>
  <c r="CU27" i="4"/>
  <c r="CV27" i="4"/>
  <c r="CW27" i="4"/>
  <c r="CY27" i="4"/>
  <c r="CZ27" i="4"/>
  <c r="DS27" i="4"/>
  <c r="DT27" i="4"/>
  <c r="DU27" i="4"/>
  <c r="DW27" i="4"/>
  <c r="DX27" i="4"/>
  <c r="EO27" i="4"/>
  <c r="EP27" i="4"/>
  <c r="EQ27" i="4"/>
  <c r="ES27" i="4"/>
  <c r="ET27" i="4"/>
  <c r="FK27" i="4"/>
  <c r="FL27" i="4"/>
  <c r="FM27" i="4"/>
  <c r="FO27" i="4"/>
  <c r="FP27" i="4"/>
  <c r="GG27" i="4"/>
  <c r="GH27" i="4"/>
  <c r="GI27" i="4"/>
  <c r="GK27" i="4"/>
  <c r="GL27" i="4"/>
  <c r="HC27" i="4"/>
  <c r="HD27" i="4"/>
  <c r="HE27" i="4"/>
  <c r="HG27" i="4"/>
  <c r="HH27" i="4"/>
  <c r="HY27" i="4"/>
  <c r="HZ27" i="4"/>
  <c r="IA27" i="4"/>
  <c r="IC27" i="4"/>
  <c r="ID27" i="4"/>
  <c r="IU27" i="4"/>
  <c r="IV27" i="4"/>
  <c r="IW27" i="4"/>
  <c r="IY27" i="4"/>
  <c r="IZ27" i="4"/>
  <c r="JQ27" i="4"/>
  <c r="JR27" i="4"/>
  <c r="JS27" i="4"/>
  <c r="JU27" i="4"/>
  <c r="JV27" i="4"/>
  <c r="KM27" i="4"/>
  <c r="KN27" i="4"/>
  <c r="KO27" i="4"/>
  <c r="KQ27" i="4"/>
  <c r="KR27" i="4"/>
  <c r="LI27" i="4"/>
  <c r="LJ27" i="4"/>
  <c r="LK27" i="4"/>
  <c r="LM27" i="4"/>
  <c r="LN27" i="4"/>
  <c r="ME27" i="4"/>
  <c r="MF27" i="4"/>
  <c r="MG27" i="4"/>
  <c r="MI27" i="4"/>
  <c r="MJ27" i="4"/>
  <c r="NA27" i="4"/>
  <c r="NB27" i="4"/>
  <c r="NC27" i="4"/>
  <c r="NE27" i="4"/>
  <c r="NF27" i="4"/>
  <c r="NH27" i="4"/>
  <c r="NI27" i="4"/>
  <c r="NJ27" i="4"/>
  <c r="NK27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AK30" i="4"/>
  <c r="AL30" i="4"/>
  <c r="AM30" i="4"/>
  <c r="AN30" i="4"/>
  <c r="AO30" i="4"/>
  <c r="AQ30" i="4"/>
  <c r="AR30" i="4"/>
  <c r="BO30" i="4"/>
  <c r="BP30" i="4"/>
  <c r="BQ30" i="4"/>
  <c r="BR30" i="4"/>
  <c r="BS30" i="4"/>
  <c r="BU30" i="4"/>
  <c r="BV30" i="4"/>
  <c r="CS30" i="4"/>
  <c r="CT30" i="4"/>
  <c r="CU30" i="4"/>
  <c r="CV30" i="4"/>
  <c r="CW30" i="4"/>
  <c r="CY30" i="4"/>
  <c r="CZ30" i="4"/>
  <c r="DS30" i="4"/>
  <c r="DT30" i="4"/>
  <c r="DU30" i="4"/>
  <c r="DW30" i="4"/>
  <c r="DX30" i="4"/>
  <c r="EO30" i="4"/>
  <c r="EP30" i="4"/>
  <c r="EQ30" i="4"/>
  <c r="ES30" i="4"/>
  <c r="ET30" i="4"/>
  <c r="FK30" i="4"/>
  <c r="FL30" i="4"/>
  <c r="FM30" i="4"/>
  <c r="FO30" i="4"/>
  <c r="FP30" i="4"/>
  <c r="GG30" i="4"/>
  <c r="GH30" i="4"/>
  <c r="GI30" i="4"/>
  <c r="GK30" i="4"/>
  <c r="GL30" i="4"/>
  <c r="HC30" i="4"/>
  <c r="HD30" i="4"/>
  <c r="HE30" i="4"/>
  <c r="HG30" i="4"/>
  <c r="HH30" i="4"/>
  <c r="HY30" i="4"/>
  <c r="HZ30" i="4"/>
  <c r="IA30" i="4"/>
  <c r="IC30" i="4"/>
  <c r="ID30" i="4"/>
  <c r="IU30" i="4"/>
  <c r="IV30" i="4"/>
  <c r="IW30" i="4"/>
  <c r="IY30" i="4"/>
  <c r="IZ30" i="4"/>
  <c r="JQ30" i="4"/>
  <c r="JR30" i="4"/>
  <c r="JS30" i="4"/>
  <c r="JU30" i="4"/>
  <c r="JV30" i="4"/>
  <c r="KM30" i="4"/>
  <c r="KN30" i="4"/>
  <c r="KO30" i="4"/>
  <c r="KQ30" i="4"/>
  <c r="KR30" i="4"/>
  <c r="LI30" i="4"/>
  <c r="LJ30" i="4"/>
  <c r="LK30" i="4"/>
  <c r="LM30" i="4"/>
  <c r="LN30" i="4"/>
  <c r="ME30" i="4"/>
  <c r="MF30" i="4"/>
  <c r="MG30" i="4"/>
  <c r="MI30" i="4"/>
  <c r="MJ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AK21" i="4"/>
  <c r="AL21" i="4"/>
  <c r="AM21" i="4"/>
  <c r="AN21" i="4"/>
  <c r="AO21" i="4"/>
  <c r="AQ21" i="4"/>
  <c r="AR21" i="4"/>
  <c r="BO21" i="4"/>
  <c r="BP21" i="4"/>
  <c r="BQ21" i="4"/>
  <c r="BR21" i="4"/>
  <c r="BS21" i="4"/>
  <c r="BU21" i="4"/>
  <c r="BV21" i="4"/>
  <c r="CS21" i="4"/>
  <c r="CT21" i="4"/>
  <c r="CU21" i="4"/>
  <c r="CV21" i="4"/>
  <c r="CW21" i="4"/>
  <c r="CY21" i="4"/>
  <c r="CZ21" i="4"/>
  <c r="DS21" i="4"/>
  <c r="DT21" i="4"/>
  <c r="DU21" i="4"/>
  <c r="DW21" i="4"/>
  <c r="DX21" i="4"/>
  <c r="EO21" i="4"/>
  <c r="EP21" i="4"/>
  <c r="EQ21" i="4"/>
  <c r="ES21" i="4"/>
  <c r="ET21" i="4"/>
  <c r="FK21" i="4"/>
  <c r="FL21" i="4"/>
  <c r="FM21" i="4"/>
  <c r="FO21" i="4"/>
  <c r="FP21" i="4"/>
  <c r="GG21" i="4"/>
  <c r="GH21" i="4"/>
  <c r="GI21" i="4"/>
  <c r="GK21" i="4"/>
  <c r="GL21" i="4"/>
  <c r="HC21" i="4"/>
  <c r="HD21" i="4"/>
  <c r="HE21" i="4"/>
  <c r="HG21" i="4"/>
  <c r="HH21" i="4"/>
  <c r="HY21" i="4"/>
  <c r="HZ21" i="4"/>
  <c r="IA21" i="4"/>
  <c r="IC21" i="4"/>
  <c r="ID21" i="4"/>
  <c r="IU21" i="4"/>
  <c r="IV21" i="4"/>
  <c r="IW21" i="4"/>
  <c r="IY21" i="4"/>
  <c r="IZ21" i="4"/>
  <c r="JQ21" i="4"/>
  <c r="JR21" i="4"/>
  <c r="JS21" i="4"/>
  <c r="JU21" i="4"/>
  <c r="JV21" i="4"/>
  <c r="KM21" i="4"/>
  <c r="KN21" i="4"/>
  <c r="KO21" i="4"/>
  <c r="KQ21" i="4"/>
  <c r="KR21" i="4"/>
  <c r="LI21" i="4"/>
  <c r="LJ21" i="4"/>
  <c r="LK21" i="4"/>
  <c r="LM21" i="4"/>
  <c r="LN21" i="4"/>
  <c r="ME21" i="4"/>
  <c r="MF21" i="4"/>
  <c r="MG21" i="4"/>
  <c r="MI21" i="4"/>
  <c r="MJ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AK18" i="4"/>
  <c r="AL18" i="4"/>
  <c r="AM18" i="4"/>
  <c r="AN18" i="4"/>
  <c r="AO18" i="4"/>
  <c r="AQ18" i="4"/>
  <c r="AR18" i="4"/>
  <c r="BO18" i="4"/>
  <c r="BP18" i="4"/>
  <c r="BQ18" i="4"/>
  <c r="BR18" i="4"/>
  <c r="BS18" i="4"/>
  <c r="BU18" i="4"/>
  <c r="BV18" i="4"/>
  <c r="CS18" i="4"/>
  <c r="CT18" i="4"/>
  <c r="CU18" i="4"/>
  <c r="CV18" i="4"/>
  <c r="CW18" i="4"/>
  <c r="CY18" i="4"/>
  <c r="CZ18" i="4"/>
  <c r="DS18" i="4"/>
  <c r="DT18" i="4"/>
  <c r="DU18" i="4"/>
  <c r="DW18" i="4"/>
  <c r="DX18" i="4"/>
  <c r="EO18" i="4"/>
  <c r="EP18" i="4"/>
  <c r="EQ18" i="4"/>
  <c r="ES18" i="4"/>
  <c r="ET18" i="4"/>
  <c r="FK18" i="4"/>
  <c r="FL18" i="4"/>
  <c r="FM18" i="4"/>
  <c r="FO18" i="4"/>
  <c r="FP18" i="4"/>
  <c r="GG18" i="4"/>
  <c r="GH18" i="4"/>
  <c r="GI18" i="4"/>
  <c r="GK18" i="4"/>
  <c r="GL18" i="4"/>
  <c r="HC18" i="4"/>
  <c r="HD18" i="4"/>
  <c r="HE18" i="4"/>
  <c r="HG18" i="4"/>
  <c r="HH18" i="4"/>
  <c r="HY18" i="4"/>
  <c r="HZ18" i="4"/>
  <c r="IA18" i="4"/>
  <c r="IC18" i="4"/>
  <c r="ID18" i="4"/>
  <c r="IU18" i="4"/>
  <c r="IV18" i="4"/>
  <c r="IW18" i="4"/>
  <c r="IY18" i="4"/>
  <c r="IZ18" i="4"/>
  <c r="JQ18" i="4"/>
  <c r="JR18" i="4"/>
  <c r="JS18" i="4"/>
  <c r="JU18" i="4"/>
  <c r="JV18" i="4"/>
  <c r="KM18" i="4"/>
  <c r="KN18" i="4"/>
  <c r="KO18" i="4"/>
  <c r="KQ18" i="4"/>
  <c r="KR18" i="4"/>
  <c r="LI18" i="4"/>
  <c r="LJ18" i="4"/>
  <c r="LK18" i="4"/>
  <c r="LM18" i="4"/>
  <c r="LN18" i="4"/>
  <c r="ME18" i="4"/>
  <c r="MF18" i="4"/>
  <c r="MG18" i="4"/>
  <c r="MI18" i="4"/>
  <c r="MJ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AK25" i="4"/>
  <c r="AL25" i="4"/>
  <c r="AM25" i="4"/>
  <c r="AN25" i="4"/>
  <c r="AO25" i="4"/>
  <c r="AQ25" i="4"/>
  <c r="AR25" i="4"/>
  <c r="BO25" i="4"/>
  <c r="BP25" i="4"/>
  <c r="BQ25" i="4"/>
  <c r="BR25" i="4"/>
  <c r="BS25" i="4"/>
  <c r="BU25" i="4"/>
  <c r="BV25" i="4"/>
  <c r="CS25" i="4"/>
  <c r="CT25" i="4"/>
  <c r="CU25" i="4"/>
  <c r="CV25" i="4"/>
  <c r="CW25" i="4"/>
  <c r="CY25" i="4"/>
  <c r="CZ25" i="4"/>
  <c r="DS25" i="4"/>
  <c r="DT25" i="4"/>
  <c r="DU25" i="4"/>
  <c r="DW25" i="4"/>
  <c r="DX25" i="4"/>
  <c r="EO25" i="4"/>
  <c r="EP25" i="4"/>
  <c r="EQ25" i="4"/>
  <c r="ES25" i="4"/>
  <c r="ET25" i="4"/>
  <c r="FK25" i="4"/>
  <c r="FL25" i="4"/>
  <c r="FM25" i="4"/>
  <c r="FO25" i="4"/>
  <c r="FP25" i="4"/>
  <c r="GG25" i="4"/>
  <c r="GH25" i="4"/>
  <c r="GI25" i="4"/>
  <c r="GK25" i="4"/>
  <c r="GL25" i="4"/>
  <c r="HC25" i="4"/>
  <c r="HD25" i="4"/>
  <c r="HE25" i="4"/>
  <c r="HG25" i="4"/>
  <c r="HH25" i="4"/>
  <c r="HY25" i="4"/>
  <c r="HZ25" i="4"/>
  <c r="IA25" i="4"/>
  <c r="IC25" i="4"/>
  <c r="ID25" i="4"/>
  <c r="IU25" i="4"/>
  <c r="IV25" i="4"/>
  <c r="IW25" i="4"/>
  <c r="IY25" i="4"/>
  <c r="IZ25" i="4"/>
  <c r="JQ25" i="4"/>
  <c r="JR25" i="4"/>
  <c r="JS25" i="4"/>
  <c r="JU25" i="4"/>
  <c r="JV25" i="4"/>
  <c r="KM25" i="4"/>
  <c r="KN25" i="4"/>
  <c r="KO25" i="4"/>
  <c r="KQ25" i="4"/>
  <c r="KR25" i="4"/>
  <c r="LI25" i="4"/>
  <c r="LJ25" i="4"/>
  <c r="LK25" i="4"/>
  <c r="LM25" i="4"/>
  <c r="LN25" i="4"/>
  <c r="ME25" i="4"/>
  <c r="MF25" i="4"/>
  <c r="MG25" i="4"/>
  <c r="MI25" i="4"/>
  <c r="MJ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AK28" i="14"/>
  <c r="AL28" i="14"/>
  <c r="AM28" i="14"/>
  <c r="AN28" i="14"/>
  <c r="AO28" i="14"/>
  <c r="AQ28" i="14"/>
  <c r="AR28" i="14"/>
  <c r="BO28" i="14"/>
  <c r="BP28" i="14"/>
  <c r="BQ28" i="14"/>
  <c r="BR28" i="14"/>
  <c r="BS28" i="14"/>
  <c r="BU28" i="14"/>
  <c r="BV28" i="14"/>
  <c r="CS28" i="14"/>
  <c r="CT28" i="14"/>
  <c r="CU28" i="14"/>
  <c r="CV28" i="14"/>
  <c r="CW28" i="14"/>
  <c r="CY28" i="14"/>
  <c r="CZ28" i="14"/>
  <c r="DS28" i="14"/>
  <c r="DT28" i="14"/>
  <c r="DU28" i="14"/>
  <c r="DW28" i="14"/>
  <c r="DX28" i="14"/>
  <c r="EO28" i="14"/>
  <c r="EP28" i="14"/>
  <c r="EQ28" i="14"/>
  <c r="ES28" i="14"/>
  <c r="ET28" i="14"/>
  <c r="FK28" i="14"/>
  <c r="FL28" i="14"/>
  <c r="FM28" i="14"/>
  <c r="FO28" i="14"/>
  <c r="FP28" i="14"/>
  <c r="GG28" i="14"/>
  <c r="GH28" i="14"/>
  <c r="GI28" i="14"/>
  <c r="GK28" i="14"/>
  <c r="GL28" i="14"/>
  <c r="HC28" i="14"/>
  <c r="HD28" i="14"/>
  <c r="HE28" i="14"/>
  <c r="HG28" i="14"/>
  <c r="HH28" i="14"/>
  <c r="HY28" i="14"/>
  <c r="HZ28" i="14"/>
  <c r="IA28" i="14"/>
  <c r="IC28" i="14"/>
  <c r="ID28" i="14"/>
  <c r="IU28" i="14"/>
  <c r="IV28" i="14"/>
  <c r="IW28" i="14"/>
  <c r="IY28" i="14"/>
  <c r="IZ28" i="14"/>
  <c r="JQ28" i="14"/>
  <c r="JR28" i="14"/>
  <c r="JS28" i="14"/>
  <c r="JU28" i="14"/>
  <c r="JV28" i="14"/>
  <c r="KM28" i="14"/>
  <c r="KN28" i="14"/>
  <c r="KO28" i="14"/>
  <c r="KQ28" i="14"/>
  <c r="KR28" i="14"/>
  <c r="LI28" i="14"/>
  <c r="LJ28" i="14"/>
  <c r="LK28" i="14"/>
  <c r="LM28" i="14"/>
  <c r="LN28" i="14"/>
  <c r="ME28" i="14"/>
  <c r="MF28" i="14"/>
  <c r="MG28" i="14"/>
  <c r="MI28" i="14"/>
  <c r="MJ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NU28" i="14"/>
  <c r="NV28" i="14"/>
  <c r="NW28" i="14"/>
  <c r="NX28" i="14"/>
  <c r="NY28" i="14"/>
  <c r="OI28" i="14" s="1"/>
  <c r="NZ28" i="14"/>
  <c r="OA28" i="14"/>
  <c r="OF28" i="14"/>
  <c r="AK25" i="14"/>
  <c r="AL25" i="14"/>
  <c r="AM25" i="14"/>
  <c r="AN25" i="14"/>
  <c r="AO25" i="14"/>
  <c r="AQ25" i="14"/>
  <c r="AR25" i="14"/>
  <c r="BO25" i="14"/>
  <c r="BP25" i="14"/>
  <c r="BQ25" i="14"/>
  <c r="BR25" i="14"/>
  <c r="BS25" i="14"/>
  <c r="BU25" i="14"/>
  <c r="BV25" i="14"/>
  <c r="CS25" i="14"/>
  <c r="CT25" i="14"/>
  <c r="CU25" i="14"/>
  <c r="CV25" i="14"/>
  <c r="CW25" i="14"/>
  <c r="CY25" i="14"/>
  <c r="CZ25" i="14"/>
  <c r="DS25" i="14"/>
  <c r="DT25" i="14"/>
  <c r="DU25" i="14"/>
  <c r="DW25" i="14"/>
  <c r="DX25" i="14"/>
  <c r="EO25" i="14"/>
  <c r="EP25" i="14"/>
  <c r="EQ25" i="14"/>
  <c r="ES25" i="14"/>
  <c r="ET25" i="14"/>
  <c r="FK25" i="14"/>
  <c r="FL25" i="14"/>
  <c r="FM25" i="14"/>
  <c r="FO25" i="14"/>
  <c r="FP25" i="14"/>
  <c r="GG25" i="14"/>
  <c r="GH25" i="14"/>
  <c r="GI25" i="14"/>
  <c r="GK25" i="14"/>
  <c r="GL25" i="14"/>
  <c r="HC25" i="14"/>
  <c r="HD25" i="14"/>
  <c r="HE25" i="14"/>
  <c r="HG25" i="14"/>
  <c r="HH25" i="14"/>
  <c r="HY25" i="14"/>
  <c r="HZ25" i="14"/>
  <c r="IA25" i="14"/>
  <c r="IC25" i="14"/>
  <c r="ID25" i="14"/>
  <c r="IU25" i="14"/>
  <c r="IV25" i="14"/>
  <c r="IW25" i="14"/>
  <c r="IY25" i="14"/>
  <c r="IZ25" i="14"/>
  <c r="JQ25" i="14"/>
  <c r="JR25" i="14"/>
  <c r="JS25" i="14"/>
  <c r="JU25" i="14"/>
  <c r="JV25" i="14"/>
  <c r="KM25" i="14"/>
  <c r="KN25" i="14"/>
  <c r="KO25" i="14"/>
  <c r="KQ25" i="14"/>
  <c r="KR25" i="14"/>
  <c r="LI25" i="14"/>
  <c r="LJ25" i="14"/>
  <c r="LK25" i="14"/>
  <c r="LM25" i="14"/>
  <c r="LN25" i="14"/>
  <c r="ME25" i="14"/>
  <c r="MF25" i="14"/>
  <c r="MG25" i="14"/>
  <c r="MI25" i="14"/>
  <c r="MJ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AK24" i="14"/>
  <c r="AL24" i="14"/>
  <c r="AM24" i="14"/>
  <c r="AN24" i="14"/>
  <c r="AO24" i="14"/>
  <c r="AQ24" i="14"/>
  <c r="AR24" i="14"/>
  <c r="BO24" i="14"/>
  <c r="BP24" i="14"/>
  <c r="BQ24" i="14"/>
  <c r="BR24" i="14"/>
  <c r="BS24" i="14"/>
  <c r="BU24" i="14"/>
  <c r="BV24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AK23" i="14"/>
  <c r="AL23" i="14"/>
  <c r="AM23" i="14"/>
  <c r="AN23" i="14"/>
  <c r="AO23" i="14"/>
  <c r="AQ23" i="14"/>
  <c r="AR23" i="14"/>
  <c r="BO23" i="14"/>
  <c r="BP23" i="14"/>
  <c r="BQ23" i="14"/>
  <c r="BR23" i="14"/>
  <c r="BS23" i="14"/>
  <c r="BU23" i="14"/>
  <c r="BV23" i="1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IX11" i="4" l="1"/>
  <c r="F25" i="14"/>
  <c r="F18" i="4"/>
  <c r="G5" i="4"/>
  <c r="G31" i="4"/>
  <c r="G25" i="4"/>
  <c r="G29" i="4"/>
  <c r="G9" i="4"/>
  <c r="G21" i="4"/>
  <c r="G11" i="4"/>
  <c r="G27" i="4"/>
  <c r="G26" i="4"/>
  <c r="G18" i="4"/>
  <c r="G30" i="4"/>
  <c r="G24" i="14"/>
  <c r="F24" i="14"/>
  <c r="G23" i="14"/>
  <c r="G28" i="14"/>
  <c r="F23" i="14"/>
  <c r="F28" i="14"/>
  <c r="G25" i="14"/>
  <c r="GJ23" i="14"/>
  <c r="GM23" i="14" s="1"/>
  <c r="F5" i="4"/>
  <c r="H5" i="4" s="1"/>
  <c r="F30" i="4"/>
  <c r="F31" i="4"/>
  <c r="F25" i="4"/>
  <c r="F29" i="4"/>
  <c r="F9" i="4"/>
  <c r="H9" i="4" s="1"/>
  <c r="LL11" i="4"/>
  <c r="F21" i="4"/>
  <c r="F11" i="4"/>
  <c r="F27" i="4"/>
  <c r="F26" i="4"/>
  <c r="IX5" i="4"/>
  <c r="JA5" i="4" s="1"/>
  <c r="LL5" i="4"/>
  <c r="LO5" i="4" s="1"/>
  <c r="KP28" i="14"/>
  <c r="KS28" i="14" s="1"/>
  <c r="IX28" i="14"/>
  <c r="JA28" i="14" s="1"/>
  <c r="CX11" i="4"/>
  <c r="DA11" i="4" s="1"/>
  <c r="FN11" i="4"/>
  <c r="FQ11" i="4" s="1"/>
  <c r="DV11" i="4"/>
  <c r="KP11" i="4"/>
  <c r="KS11" i="4" s="1"/>
  <c r="IX24" i="14"/>
  <c r="JA24" i="14" s="1"/>
  <c r="BT23" i="14"/>
  <c r="BW23" i="14" s="1"/>
  <c r="LL28" i="14"/>
  <c r="LO28" i="14" s="1"/>
  <c r="MH28" i="14"/>
  <c r="MK28" i="14" s="1"/>
  <c r="ER25" i="14"/>
  <c r="EU25" i="14" s="1"/>
  <c r="CX5" i="4"/>
  <c r="DA5" i="4" s="1"/>
  <c r="LO11" i="4"/>
  <c r="JA11" i="4"/>
  <c r="BT11" i="4"/>
  <c r="BW11" i="4" s="1"/>
  <c r="JT5" i="4"/>
  <c r="JW5" i="4" s="1"/>
  <c r="CX28" i="14"/>
  <c r="DA28" i="14" s="1"/>
  <c r="MH25" i="14"/>
  <c r="MK25" i="14" s="1"/>
  <c r="ND28" i="14"/>
  <c r="NG28" i="14" s="1"/>
  <c r="FN28" i="14"/>
  <c r="FQ28" i="14" s="1"/>
  <c r="BT28" i="14"/>
  <c r="BW28" i="14" s="1"/>
  <c r="FN24" i="14"/>
  <c r="FQ24" i="14" s="1"/>
  <c r="ND25" i="14"/>
  <c r="NG25" i="14" s="1"/>
  <c r="OE28" i="14"/>
  <c r="JT28" i="14"/>
  <c r="JW28" i="14" s="1"/>
  <c r="MH26" i="4"/>
  <c r="MK26" i="4" s="1"/>
  <c r="IB26" i="4"/>
  <c r="IE26" i="4" s="1"/>
  <c r="IX9" i="4"/>
  <c r="JA9" i="4" s="1"/>
  <c r="AP9" i="4"/>
  <c r="AS9" i="4" s="1"/>
  <c r="JT29" i="4"/>
  <c r="JW29" i="4" s="1"/>
  <c r="MH9" i="4"/>
  <c r="FN26" i="4"/>
  <c r="MH31" i="4"/>
  <c r="MK31" i="4" s="1"/>
  <c r="FN31" i="4"/>
  <c r="FQ31" i="4" s="1"/>
  <c r="MH11" i="4"/>
  <c r="MK11" i="4" s="1"/>
  <c r="JT11" i="4"/>
  <c r="JW11" i="4" s="1"/>
  <c r="HF11" i="4"/>
  <c r="HI11" i="4" s="1"/>
  <c r="ER11" i="4"/>
  <c r="EU11" i="4" s="1"/>
  <c r="MK9" i="4"/>
  <c r="FN5" i="4"/>
  <c r="FQ5" i="4" s="1"/>
  <c r="ND5" i="4"/>
  <c r="NG5" i="4" s="1"/>
  <c r="IB5" i="4"/>
  <c r="IE5" i="4" s="1"/>
  <c r="GJ28" i="14"/>
  <c r="GM28" i="14" s="1"/>
  <c r="DV28" i="14"/>
  <c r="DY28" i="14" s="1"/>
  <c r="ER28" i="14"/>
  <c r="EU28" i="14" s="1"/>
  <c r="FN25" i="14"/>
  <c r="FQ25" i="14" s="1"/>
  <c r="BT25" i="14"/>
  <c r="BW25" i="14" s="1"/>
  <c r="BT24" i="14"/>
  <c r="BW24" i="14" s="1"/>
  <c r="CX25" i="14"/>
  <c r="DA25" i="14" s="1"/>
  <c r="OG28" i="14"/>
  <c r="BT5" i="4"/>
  <c r="BW5" i="4" s="1"/>
  <c r="ND11" i="4"/>
  <c r="NG11" i="4" s="1"/>
  <c r="IB11" i="4"/>
  <c r="IE11" i="4" s="1"/>
  <c r="GJ11" i="4"/>
  <c r="GM11" i="4" s="1"/>
  <c r="OC11" i="4"/>
  <c r="OG11" i="4"/>
  <c r="OJ31" i="4"/>
  <c r="OE11" i="4"/>
  <c r="I11" i="4"/>
  <c r="DB11" i="4" s="1"/>
  <c r="AP11" i="4"/>
  <c r="K11" i="4"/>
  <c r="DC11" i="4" s="1"/>
  <c r="DV5" i="4"/>
  <c r="LL26" i="4"/>
  <c r="LO26" i="4" s="1"/>
  <c r="ER5" i="4"/>
  <c r="EU5" i="4" s="1"/>
  <c r="IX29" i="4"/>
  <c r="JA29" i="4" s="1"/>
  <c r="MH5" i="4"/>
  <c r="MK5" i="4" s="1"/>
  <c r="HF5" i="4"/>
  <c r="HI5" i="4" s="1"/>
  <c r="ER29" i="4"/>
  <c r="EU29" i="4" s="1"/>
  <c r="JT31" i="4"/>
  <c r="JW31" i="4" s="1"/>
  <c r="KP9" i="4"/>
  <c r="KS9" i="4" s="1"/>
  <c r="KP5" i="4"/>
  <c r="KS5" i="4" s="1"/>
  <c r="GJ5" i="4"/>
  <c r="GM5" i="4" s="1"/>
  <c r="OG5" i="4"/>
  <c r="K5" i="4"/>
  <c r="DC5" i="4" s="1"/>
  <c r="OE5" i="4"/>
  <c r="I5" i="4"/>
  <c r="DB5" i="4" s="1"/>
  <c r="OC5" i="4"/>
  <c r="OJ30" i="4"/>
  <c r="AP5" i="4"/>
  <c r="AS5" i="4" s="1"/>
  <c r="DV30" i="4"/>
  <c r="IB9" i="4"/>
  <c r="IE9" i="4" s="1"/>
  <c r="CX9" i="4"/>
  <c r="DA9" i="4" s="1"/>
  <c r="GJ31" i="4"/>
  <c r="GM31" i="4" s="1"/>
  <c r="IX26" i="4"/>
  <c r="JA26" i="4" s="1"/>
  <c r="LL9" i="4"/>
  <c r="LO9" i="4" s="1"/>
  <c r="ER31" i="4"/>
  <c r="EU31" i="4" s="1"/>
  <c r="HF26" i="4"/>
  <c r="HI26" i="4" s="1"/>
  <c r="JT9" i="4"/>
  <c r="JW9" i="4" s="1"/>
  <c r="FN9" i="4"/>
  <c r="FQ9" i="4" s="1"/>
  <c r="KP26" i="4"/>
  <c r="KS26" i="4" s="1"/>
  <c r="DV26" i="4"/>
  <c r="BT31" i="4"/>
  <c r="BW31" i="4" s="1"/>
  <c r="BT9" i="4"/>
  <c r="BW9" i="4" s="1"/>
  <c r="OC9" i="4"/>
  <c r="ND9" i="4"/>
  <c r="NG9" i="4" s="1"/>
  <c r="HF9" i="4"/>
  <c r="HI9" i="4" s="1"/>
  <c r="GJ9" i="4"/>
  <c r="GM9" i="4" s="1"/>
  <c r="ER9" i="4"/>
  <c r="EU9" i="4" s="1"/>
  <c r="DV9" i="4"/>
  <c r="OG9" i="4"/>
  <c r="I9" i="4"/>
  <c r="DB9" i="4" s="1"/>
  <c r="OE9" i="4"/>
  <c r="K9" i="4"/>
  <c r="DC9" i="4" s="1"/>
  <c r="FN29" i="4"/>
  <c r="FQ29" i="4" s="1"/>
  <c r="IB31" i="4"/>
  <c r="IE31" i="4" s="1"/>
  <c r="CX31" i="4"/>
  <c r="DA31" i="4" s="1"/>
  <c r="GJ26" i="4"/>
  <c r="GM26" i="4" s="1"/>
  <c r="ER26" i="4"/>
  <c r="EU26" i="4" s="1"/>
  <c r="AP26" i="4"/>
  <c r="AS26" i="4" s="1"/>
  <c r="JT26" i="4"/>
  <c r="JW26" i="4" s="1"/>
  <c r="ND26" i="4"/>
  <c r="NG26" i="4" s="1"/>
  <c r="FQ26" i="4"/>
  <c r="CX26" i="4"/>
  <c r="DA26" i="4" s="1"/>
  <c r="OE26" i="4"/>
  <c r="BT26" i="4"/>
  <c r="BW26" i="4" s="1"/>
  <c r="OG26" i="4"/>
  <c r="OC26" i="4"/>
  <c r="K26" i="4"/>
  <c r="DC26" i="4" s="1"/>
  <c r="I26" i="4"/>
  <c r="DB26" i="4" s="1"/>
  <c r="KP31" i="4"/>
  <c r="KS31" i="4" s="1"/>
  <c r="OG21" i="4"/>
  <c r="IB27" i="4"/>
  <c r="IE27" i="4" s="1"/>
  <c r="BT29" i="4"/>
  <c r="BW29" i="4" s="1"/>
  <c r="ND31" i="4"/>
  <c r="NG31" i="4" s="1"/>
  <c r="JT21" i="4"/>
  <c r="JW21" i="4" s="1"/>
  <c r="CX27" i="4"/>
  <c r="DA27" i="4" s="1"/>
  <c r="CX29" i="4"/>
  <c r="DA29" i="4" s="1"/>
  <c r="OG31" i="4"/>
  <c r="LL31" i="4"/>
  <c r="LO31" i="4" s="1"/>
  <c r="IX31" i="4"/>
  <c r="JA31" i="4" s="1"/>
  <c r="OE31" i="4"/>
  <c r="HF31" i="4"/>
  <c r="HI31" i="4" s="1"/>
  <c r="MH29" i="4"/>
  <c r="MK29" i="4" s="1"/>
  <c r="HF29" i="4"/>
  <c r="HI29" i="4" s="1"/>
  <c r="AP27" i="4"/>
  <c r="AS27" i="4" s="1"/>
  <c r="DV31" i="4"/>
  <c r="OC31" i="4"/>
  <c r="OJ27" i="4"/>
  <c r="I31" i="4"/>
  <c r="DB31" i="4" s="1"/>
  <c r="AP31" i="4"/>
  <c r="AS31" i="4" s="1"/>
  <c r="K31" i="4"/>
  <c r="DC31" i="4" s="1"/>
  <c r="LL29" i="4"/>
  <c r="LO29" i="4" s="1"/>
  <c r="DV29" i="4"/>
  <c r="LL27" i="4"/>
  <c r="LO27" i="4" s="1"/>
  <c r="ER27" i="4"/>
  <c r="EU27" i="4" s="1"/>
  <c r="KP29" i="4"/>
  <c r="KS29" i="4" s="1"/>
  <c r="LL30" i="4"/>
  <c r="LO30" i="4" s="1"/>
  <c r="ER30" i="4"/>
  <c r="EU30" i="4" s="1"/>
  <c r="JT27" i="4"/>
  <c r="JW27" i="4" s="1"/>
  <c r="ND29" i="4"/>
  <c r="NG29" i="4" s="1"/>
  <c r="IB29" i="4"/>
  <c r="IE29" i="4" s="1"/>
  <c r="GJ29" i="4"/>
  <c r="GM29" i="4" s="1"/>
  <c r="OG29" i="4"/>
  <c r="OE29" i="4"/>
  <c r="OJ26" i="4"/>
  <c r="OC29" i="4"/>
  <c r="I29" i="4"/>
  <c r="DB29" i="4" s="1"/>
  <c r="K29" i="4"/>
  <c r="DC29" i="4" s="1"/>
  <c r="AP29" i="4"/>
  <c r="AS29" i="4" s="1"/>
  <c r="KP27" i="4"/>
  <c r="KS27" i="4" s="1"/>
  <c r="IX18" i="4"/>
  <c r="JA18" i="4" s="1"/>
  <c r="BT30" i="4"/>
  <c r="BW30" i="4" s="1"/>
  <c r="DV27" i="4"/>
  <c r="MH21" i="4"/>
  <c r="MK21" i="4" s="1"/>
  <c r="KP30" i="4"/>
  <c r="KS30" i="4" s="1"/>
  <c r="CX30" i="4"/>
  <c r="DA30" i="4" s="1"/>
  <c r="IX27" i="4"/>
  <c r="JA27" i="4" s="1"/>
  <c r="MH30" i="4"/>
  <c r="MK30" i="4" s="1"/>
  <c r="BT21" i="4"/>
  <c r="BW21" i="4" s="1"/>
  <c r="GJ18" i="4"/>
  <c r="GM18" i="4" s="1"/>
  <c r="HF21" i="4"/>
  <c r="HI21" i="4" s="1"/>
  <c r="FN30" i="4"/>
  <c r="FQ30" i="4" s="1"/>
  <c r="LL21" i="4"/>
  <c r="LO21" i="4" s="1"/>
  <c r="ER21" i="4"/>
  <c r="EU21" i="4" s="1"/>
  <c r="JT30" i="4"/>
  <c r="JW30" i="4" s="1"/>
  <c r="MH27" i="4"/>
  <c r="MK27" i="4" s="1"/>
  <c r="FN27" i="4"/>
  <c r="FQ27" i="4" s="1"/>
  <c r="ND27" i="4"/>
  <c r="NG27" i="4" s="1"/>
  <c r="HF27" i="4"/>
  <c r="HI27" i="4" s="1"/>
  <c r="GJ27" i="4"/>
  <c r="GM27" i="4" s="1"/>
  <c r="OG27" i="4"/>
  <c r="OE27" i="4"/>
  <c r="OC27" i="4"/>
  <c r="OJ25" i="4"/>
  <c r="BT27" i="4"/>
  <c r="BW27" i="4" s="1"/>
  <c r="K27" i="4"/>
  <c r="DC27" i="4" s="1"/>
  <c r="I27" i="4"/>
  <c r="DB27" i="4" s="1"/>
  <c r="IB21" i="4"/>
  <c r="IE21" i="4" s="1"/>
  <c r="IB25" i="4"/>
  <c r="IE25" i="4" s="1"/>
  <c r="BT25" i="4"/>
  <c r="BW25" i="4" s="1"/>
  <c r="ND18" i="4"/>
  <c r="NG18" i="4" s="1"/>
  <c r="BT18" i="4"/>
  <c r="BW18" i="4" s="1"/>
  <c r="CX21" i="4"/>
  <c r="DA21" i="4" s="1"/>
  <c r="CX25" i="4"/>
  <c r="DA25" i="4" s="1"/>
  <c r="HF30" i="4"/>
  <c r="HI30" i="4" s="1"/>
  <c r="ND30" i="4"/>
  <c r="NG30" i="4" s="1"/>
  <c r="IX30" i="4"/>
  <c r="JA30" i="4" s="1"/>
  <c r="IB30" i="4"/>
  <c r="IE30" i="4" s="1"/>
  <c r="GJ30" i="4"/>
  <c r="GM30" i="4" s="1"/>
  <c r="OG30" i="4"/>
  <c r="OE30" i="4"/>
  <c r="OC30" i="4"/>
  <c r="AP30" i="4"/>
  <c r="K30" i="4"/>
  <c r="DC30" i="4" s="1"/>
  <c r="I30" i="4"/>
  <c r="DB30" i="4" s="1"/>
  <c r="ND21" i="4"/>
  <c r="NG21" i="4" s="1"/>
  <c r="KP21" i="4"/>
  <c r="KS21" i="4" s="1"/>
  <c r="DV21" i="4"/>
  <c r="IX21" i="4"/>
  <c r="JA21" i="4" s="1"/>
  <c r="LL25" i="4"/>
  <c r="LO25" i="4" s="1"/>
  <c r="JT18" i="4"/>
  <c r="JW18" i="4" s="1"/>
  <c r="ER18" i="4"/>
  <c r="EU18" i="4" s="1"/>
  <c r="FN25" i="4"/>
  <c r="FQ25" i="4" s="1"/>
  <c r="KP18" i="4"/>
  <c r="KS18" i="4" s="1"/>
  <c r="FN21" i="4"/>
  <c r="FQ21" i="4" s="1"/>
  <c r="GJ21" i="4"/>
  <c r="GM21" i="4" s="1"/>
  <c r="OE21" i="4"/>
  <c r="OC21" i="4"/>
  <c r="I21" i="4"/>
  <c r="DB21" i="4" s="1"/>
  <c r="AP21" i="4"/>
  <c r="K21" i="4"/>
  <c r="DC21" i="4" s="1"/>
  <c r="HF25" i="4"/>
  <c r="HI25" i="4" s="1"/>
  <c r="FN18" i="4"/>
  <c r="FQ18" i="4" s="1"/>
  <c r="MH18" i="4"/>
  <c r="MK18" i="4" s="1"/>
  <c r="LL18" i="4"/>
  <c r="LO18" i="4" s="1"/>
  <c r="IB18" i="4"/>
  <c r="IE18" i="4" s="1"/>
  <c r="HF18" i="4"/>
  <c r="HI18" i="4" s="1"/>
  <c r="DV18" i="4"/>
  <c r="OE18" i="4"/>
  <c r="CX18" i="4"/>
  <c r="DA18" i="4" s="1"/>
  <c r="OC18" i="4"/>
  <c r="K18" i="4"/>
  <c r="DC18" i="4" s="1"/>
  <c r="AP18" i="4"/>
  <c r="OG18" i="4"/>
  <c r="I18" i="4"/>
  <c r="DB18" i="4" s="1"/>
  <c r="IX25" i="4"/>
  <c r="JA25" i="4" s="1"/>
  <c r="ER25" i="4"/>
  <c r="EU25" i="4" s="1"/>
  <c r="DV25" i="4"/>
  <c r="OC25" i="4"/>
  <c r="AP25" i="4"/>
  <c r="KP25" i="4"/>
  <c r="KS25" i="4" s="1"/>
  <c r="JT25" i="4"/>
  <c r="JW25" i="4" s="1"/>
  <c r="OG25" i="4"/>
  <c r="ND25" i="4"/>
  <c r="NG25" i="4" s="1"/>
  <c r="MH25" i="4"/>
  <c r="MK25" i="4" s="1"/>
  <c r="GJ25" i="4"/>
  <c r="GM25" i="4" s="1"/>
  <c r="OE25" i="4"/>
  <c r="OJ21" i="4"/>
  <c r="K25" i="4"/>
  <c r="DC25" i="4" s="1"/>
  <c r="I25" i="4"/>
  <c r="DB25" i="4" s="1"/>
  <c r="IB28" i="14"/>
  <c r="IE28" i="14" s="1"/>
  <c r="HF28" i="14"/>
  <c r="HI28" i="14" s="1"/>
  <c r="OC28" i="14"/>
  <c r="OJ28" i="14"/>
  <c r="I28" i="14"/>
  <c r="DB28" i="14" s="1"/>
  <c r="AP28" i="14"/>
  <c r="AS28" i="14" s="1"/>
  <c r="K28" i="14"/>
  <c r="DC28" i="14" s="1"/>
  <c r="IX25" i="14"/>
  <c r="JA25" i="14" s="1"/>
  <c r="ER24" i="14"/>
  <c r="EU24" i="14" s="1"/>
  <c r="LL25" i="14"/>
  <c r="LO25" i="14" s="1"/>
  <c r="JT25" i="14"/>
  <c r="JW25" i="14" s="1"/>
  <c r="MH24" i="14"/>
  <c r="MK24" i="14" s="1"/>
  <c r="MH23" i="14"/>
  <c r="MK23" i="14" s="1"/>
  <c r="KP24" i="14"/>
  <c r="KS24" i="14" s="1"/>
  <c r="KP25" i="14"/>
  <c r="KS25" i="14" s="1"/>
  <c r="IB25" i="14"/>
  <c r="IE25" i="14" s="1"/>
  <c r="HF25" i="14"/>
  <c r="HI25" i="14" s="1"/>
  <c r="GJ25" i="14"/>
  <c r="GM25" i="14" s="1"/>
  <c r="DV25" i="14"/>
  <c r="DY25" i="14" s="1"/>
  <c r="OG25" i="14"/>
  <c r="OE25" i="14"/>
  <c r="OC25" i="14"/>
  <c r="I25" i="14"/>
  <c r="DB25" i="14" s="1"/>
  <c r="K25" i="14"/>
  <c r="DC25" i="14" s="1"/>
  <c r="AP25" i="14"/>
  <c r="GJ24" i="14"/>
  <c r="GM24" i="14" s="1"/>
  <c r="JT24" i="14"/>
  <c r="JW24" i="14" s="1"/>
  <c r="HF24" i="14"/>
  <c r="HI24" i="14" s="1"/>
  <c r="KP23" i="14"/>
  <c r="KS23" i="14" s="1"/>
  <c r="DV24" i="14"/>
  <c r="DY24" i="14" s="1"/>
  <c r="FN23" i="14"/>
  <c r="FQ23" i="14" s="1"/>
  <c r="ND24" i="14"/>
  <c r="NG24" i="14" s="1"/>
  <c r="LL24" i="14"/>
  <c r="LO24" i="14" s="1"/>
  <c r="IB24" i="14"/>
  <c r="IE24" i="14" s="1"/>
  <c r="OG24" i="14"/>
  <c r="CX24" i="14"/>
  <c r="DA24" i="14" s="1"/>
  <c r="OE24" i="14"/>
  <c r="OC24" i="14"/>
  <c r="I24" i="14"/>
  <c r="DB24" i="14" s="1"/>
  <c r="AP24" i="14"/>
  <c r="AS24" i="14" s="1"/>
  <c r="K24" i="14"/>
  <c r="DC24" i="14" s="1"/>
  <c r="IX23" i="14"/>
  <c r="JA23" i="14" s="1"/>
  <c r="JT23" i="14"/>
  <c r="JW23" i="14" s="1"/>
  <c r="ND23" i="14"/>
  <c r="NG23" i="14" s="1"/>
  <c r="DV23" i="14"/>
  <c r="DY23" i="14" s="1"/>
  <c r="OC23" i="14"/>
  <c r="LL23" i="14"/>
  <c r="LO23" i="14" s="1"/>
  <c r="IB23" i="14"/>
  <c r="IE23" i="14" s="1"/>
  <c r="HF23" i="14"/>
  <c r="HI23" i="14" s="1"/>
  <c r="ER23" i="14"/>
  <c r="EU23" i="14" s="1"/>
  <c r="CX23" i="14"/>
  <c r="DA23" i="14" s="1"/>
  <c r="OG23" i="14"/>
  <c r="OJ25" i="14"/>
  <c r="OE23" i="14"/>
  <c r="I23" i="14"/>
  <c r="DB23" i="14" s="1"/>
  <c r="AP23" i="14"/>
  <c r="AS23" i="14" s="1"/>
  <c r="K23" i="14"/>
  <c r="DC23" i="14" s="1"/>
  <c r="L25" i="14" l="1"/>
  <c r="J25" i="14"/>
  <c r="L5" i="4"/>
  <c r="A25" i="14" a="1"/>
  <c r="A25" i="14" s="1"/>
  <c r="H25" i="14"/>
  <c r="A27" i="4" a="1"/>
  <c r="A27" i="4" s="1"/>
  <c r="H27" i="4"/>
  <c r="A11" i="4" a="1"/>
  <c r="A11" i="4" s="1"/>
  <c r="H11" i="4"/>
  <c r="H21" i="4"/>
  <c r="A21" i="4" a="1"/>
  <c r="A21" i="4" s="1"/>
  <c r="A29" i="4" a="1"/>
  <c r="A29" i="4" s="1"/>
  <c r="H29" i="4"/>
  <c r="H25" i="4"/>
  <c r="A25" i="4" a="1"/>
  <c r="A25" i="4" s="1"/>
  <c r="A26" i="4" a="1"/>
  <c r="A26" i="4" s="1"/>
  <c r="H26" i="4"/>
  <c r="A31" i="4" a="1"/>
  <c r="A31" i="4" s="1"/>
  <c r="H31" i="4"/>
  <c r="A18" i="4" a="1"/>
  <c r="A18" i="4" s="1"/>
  <c r="H18" i="4"/>
  <c r="H30" i="4"/>
  <c r="A30" i="4" a="1"/>
  <c r="A30" i="4" s="1"/>
  <c r="H28" i="14"/>
  <c r="A28" i="14" a="1"/>
  <c r="A28" i="14" s="1"/>
  <c r="H23" i="14"/>
  <c r="A23" i="14" a="1"/>
  <c r="A23" i="14" s="1"/>
  <c r="H24" i="14"/>
  <c r="A24" i="14" a="1"/>
  <c r="A24" i="14" s="1"/>
  <c r="DY18" i="4"/>
  <c r="DY27" i="4"/>
  <c r="DY11" i="4"/>
  <c r="DY29" i="4"/>
  <c r="DY30" i="4"/>
  <c r="DY9" i="4"/>
  <c r="DY26" i="4"/>
  <c r="DY5" i="4"/>
  <c r="DY31" i="4"/>
  <c r="DY25" i="4"/>
  <c r="DY21" i="4"/>
  <c r="J9" i="4"/>
  <c r="J11" i="4"/>
  <c r="M29" i="4"/>
  <c r="J21" i="4"/>
  <c r="OH28" i="14"/>
  <c r="OK28" i="14" s="1"/>
  <c r="AS11" i="4"/>
  <c r="AS25" i="14"/>
  <c r="J28" i="14"/>
  <c r="OH11" i="4"/>
  <c r="L11" i="4"/>
  <c r="OH5" i="4"/>
  <c r="J5" i="4"/>
  <c r="J31" i="4"/>
  <c r="OH27" i="4"/>
  <c r="OH26" i="4"/>
  <c r="OH9" i="4"/>
  <c r="L9" i="4"/>
  <c r="OH31" i="4"/>
  <c r="L26" i="4"/>
  <c r="J26" i="4"/>
  <c r="OH29" i="4"/>
  <c r="L31" i="4"/>
  <c r="OH30" i="4"/>
  <c r="L29" i="4"/>
  <c r="J29" i="4"/>
  <c r="OH21" i="4"/>
  <c r="L27" i="4"/>
  <c r="J27" i="4"/>
  <c r="AS30" i="4"/>
  <c r="L30" i="4"/>
  <c r="J30" i="4"/>
  <c r="OH18" i="4"/>
  <c r="AS21" i="4"/>
  <c r="OH25" i="4"/>
  <c r="L21" i="4"/>
  <c r="L18" i="4"/>
  <c r="AS18" i="4"/>
  <c r="M18" i="4"/>
  <c r="J18" i="4"/>
  <c r="AS25" i="4"/>
  <c r="L25" i="4"/>
  <c r="J25" i="4"/>
  <c r="M28" i="14"/>
  <c r="L28" i="14"/>
  <c r="OH25" i="14"/>
  <c r="OH23" i="14"/>
  <c r="OH24" i="14"/>
  <c r="J24" i="14"/>
  <c r="M24" i="14"/>
  <c r="L24" i="14"/>
  <c r="J23" i="14"/>
  <c r="M23" i="14"/>
  <c r="L23" i="14"/>
  <c r="M31" i="4" l="1"/>
  <c r="N31" i="4" s="1"/>
  <c r="E18" i="4"/>
  <c r="E29" i="4"/>
  <c r="M5" i="4"/>
  <c r="E5" i="4" s="1"/>
  <c r="OK25" i="14"/>
  <c r="OK26" i="4"/>
  <c r="OK25" i="4"/>
  <c r="OK30" i="4"/>
  <c r="OK27" i="4"/>
  <c r="OK21" i="4"/>
  <c r="OK31" i="4"/>
  <c r="M25" i="14"/>
  <c r="N25" i="14" s="1"/>
  <c r="M11" i="4"/>
  <c r="E11" i="4" s="1"/>
  <c r="M9" i="4"/>
  <c r="E9" i="4" s="1"/>
  <c r="M26" i="4"/>
  <c r="E26" i="4" s="1"/>
  <c r="N29" i="4"/>
  <c r="O29" i="4"/>
  <c r="M27" i="4"/>
  <c r="E27" i="4" s="1"/>
  <c r="M21" i="4"/>
  <c r="E21" i="4" s="1"/>
  <c r="M30" i="4"/>
  <c r="N18" i="4"/>
  <c r="O18" i="4"/>
  <c r="M25" i="4"/>
  <c r="E25" i="4" s="1"/>
  <c r="N28" i="14"/>
  <c r="O28" i="14"/>
  <c r="E28" i="14"/>
  <c r="E24" i="14"/>
  <c r="N24" i="14"/>
  <c r="O24" i="14"/>
  <c r="N23" i="14"/>
  <c r="O23" i="14"/>
  <c r="E23" i="14"/>
  <c r="O31" i="4" l="1"/>
  <c r="E31" i="4"/>
  <c r="N30" i="4"/>
  <c r="E30" i="4"/>
  <c r="O5" i="4"/>
  <c r="N5" i="4"/>
  <c r="O11" i="4"/>
  <c r="N11" i="4"/>
  <c r="E25" i="14"/>
  <c r="O25" i="14"/>
  <c r="O9" i="4"/>
  <c r="N9" i="4"/>
  <c r="N26" i="4"/>
  <c r="O26" i="4"/>
  <c r="O21" i="4"/>
  <c r="N21" i="4"/>
  <c r="O30" i="4"/>
  <c r="N27" i="4"/>
  <c r="O27" i="4"/>
  <c r="N25" i="4"/>
  <c r="O25" i="4"/>
  <c r="BV7" i="14" l="1"/>
  <c r="BU7" i="14"/>
  <c r="BS7" i="14"/>
  <c r="BR7" i="14"/>
  <c r="BQ7" i="14"/>
  <c r="BP7" i="14"/>
  <c r="BO7" i="14"/>
  <c r="BV15" i="14"/>
  <c r="BU15" i="14"/>
  <c r="BS15" i="14"/>
  <c r="BR15" i="14"/>
  <c r="BQ15" i="14"/>
  <c r="BP15" i="14"/>
  <c r="BO15" i="14"/>
  <c r="BV22" i="14"/>
  <c r="BU22" i="14"/>
  <c r="BS22" i="14"/>
  <c r="BR22" i="14"/>
  <c r="BQ22" i="14"/>
  <c r="BP22" i="14"/>
  <c r="BO22" i="14"/>
  <c r="BV19" i="14"/>
  <c r="BU19" i="14"/>
  <c r="BS19" i="14"/>
  <c r="BR19" i="14"/>
  <c r="BQ19" i="14"/>
  <c r="BP19" i="14"/>
  <c r="BO19" i="14"/>
  <c r="BV21" i="14"/>
  <c r="BU21" i="14"/>
  <c r="BS21" i="14"/>
  <c r="BR21" i="14"/>
  <c r="BQ21" i="14"/>
  <c r="BP21" i="14"/>
  <c r="BO21" i="14"/>
  <c r="BV27" i="14"/>
  <c r="BU27" i="14"/>
  <c r="BS27" i="14"/>
  <c r="BR27" i="14"/>
  <c r="BQ27" i="14"/>
  <c r="BP27" i="14"/>
  <c r="BO27" i="14"/>
  <c r="BV20" i="14"/>
  <c r="BU20" i="14"/>
  <c r="BS20" i="14"/>
  <c r="BR20" i="14"/>
  <c r="BQ20" i="14"/>
  <c r="BP20" i="14"/>
  <c r="BO20" i="14"/>
  <c r="BV12" i="14"/>
  <c r="BU12" i="14"/>
  <c r="BS12" i="14"/>
  <c r="BR12" i="14"/>
  <c r="BQ12" i="14"/>
  <c r="BP12" i="14"/>
  <c r="BO12" i="14"/>
  <c r="BV18" i="14"/>
  <c r="BU18" i="14"/>
  <c r="BS18" i="14"/>
  <c r="BR18" i="14"/>
  <c r="BQ18" i="14"/>
  <c r="BP18" i="14"/>
  <c r="BO18" i="14"/>
  <c r="BV17" i="14"/>
  <c r="BU17" i="14"/>
  <c r="BS17" i="14"/>
  <c r="BR17" i="14"/>
  <c r="BQ17" i="14"/>
  <c r="BP17" i="14"/>
  <c r="BO17" i="14"/>
  <c r="BV11" i="14"/>
  <c r="BU11" i="14"/>
  <c r="BS11" i="14"/>
  <c r="BR11" i="14"/>
  <c r="BQ11" i="14"/>
  <c r="BP11" i="14"/>
  <c r="BO11" i="14"/>
  <c r="BV16" i="14"/>
  <c r="BU16" i="14"/>
  <c r="BS16" i="14"/>
  <c r="BR16" i="14"/>
  <c r="BQ16" i="14"/>
  <c r="BP16" i="14"/>
  <c r="BO16" i="14"/>
  <c r="BV26" i="14"/>
  <c r="BU26" i="14"/>
  <c r="BS26" i="14"/>
  <c r="BR26" i="14"/>
  <c r="BQ26" i="14"/>
  <c r="BP26" i="14"/>
  <c r="BO26" i="14"/>
  <c r="BV13" i="14"/>
  <c r="BU13" i="14"/>
  <c r="BS13" i="14"/>
  <c r="BR13" i="14"/>
  <c r="BQ13" i="14"/>
  <c r="BP13" i="14"/>
  <c r="BO13" i="14"/>
  <c r="BV14" i="14"/>
  <c r="BU14" i="14"/>
  <c r="BS14" i="14"/>
  <c r="BR14" i="14"/>
  <c r="BQ14" i="14"/>
  <c r="BP14" i="14"/>
  <c r="BO14" i="14"/>
  <c r="BV10" i="14"/>
  <c r="BU10" i="14"/>
  <c r="BS10" i="14"/>
  <c r="BR10" i="14"/>
  <c r="BQ10" i="14"/>
  <c r="BP10" i="14"/>
  <c r="BO10" i="14"/>
  <c r="BV9" i="14"/>
  <c r="BU9" i="14"/>
  <c r="BS9" i="14"/>
  <c r="BR9" i="14"/>
  <c r="BQ9" i="14"/>
  <c r="BP9" i="14"/>
  <c r="BO9" i="14"/>
  <c r="BV6" i="14"/>
  <c r="BU6" i="14"/>
  <c r="BS6" i="14"/>
  <c r="BR6" i="14"/>
  <c r="BQ6" i="14"/>
  <c r="BP6" i="14"/>
  <c r="BO6" i="14"/>
  <c r="BV8" i="14"/>
  <c r="BU8" i="14"/>
  <c r="BS8" i="14"/>
  <c r="BR8" i="14"/>
  <c r="BQ8" i="14"/>
  <c r="BP8" i="14"/>
  <c r="BO8" i="14"/>
  <c r="BV5" i="14"/>
  <c r="BU5" i="14"/>
  <c r="BS5" i="14"/>
  <c r="BR5" i="14"/>
  <c r="BQ5" i="14"/>
  <c r="BP5" i="14"/>
  <c r="BO5" i="14"/>
  <c r="BV4" i="14"/>
  <c r="BU4" i="14"/>
  <c r="BS4" i="14"/>
  <c r="BR4" i="14"/>
  <c r="BQ4" i="14"/>
  <c r="BP4" i="14"/>
  <c r="BO4" i="14"/>
  <c r="AR7" i="14"/>
  <c r="AQ7" i="14"/>
  <c r="AO7" i="14"/>
  <c r="AN7" i="14"/>
  <c r="AM7" i="14"/>
  <c r="AL7" i="14"/>
  <c r="AK7" i="14"/>
  <c r="AR15" i="14"/>
  <c r="AQ15" i="14"/>
  <c r="AO15" i="14"/>
  <c r="AN15" i="14"/>
  <c r="AM15" i="14"/>
  <c r="AL15" i="14"/>
  <c r="AK15" i="14"/>
  <c r="AR22" i="14"/>
  <c r="AQ22" i="14"/>
  <c r="AO22" i="14"/>
  <c r="AN22" i="14"/>
  <c r="AM22" i="14"/>
  <c r="AL22" i="14"/>
  <c r="AK22" i="14"/>
  <c r="AR19" i="14"/>
  <c r="AQ19" i="14"/>
  <c r="AO19" i="14"/>
  <c r="AN19" i="14"/>
  <c r="AM19" i="14"/>
  <c r="AL19" i="14"/>
  <c r="AK19" i="14"/>
  <c r="AR21" i="14"/>
  <c r="AQ21" i="14"/>
  <c r="AO21" i="14"/>
  <c r="AN21" i="14"/>
  <c r="AM21" i="14"/>
  <c r="AL21" i="14"/>
  <c r="AK21" i="14"/>
  <c r="AR27" i="14"/>
  <c r="AQ27" i="14"/>
  <c r="AO27" i="14"/>
  <c r="AN27" i="14"/>
  <c r="AM27" i="14"/>
  <c r="AL27" i="14"/>
  <c r="AK27" i="14"/>
  <c r="AR20" i="14"/>
  <c r="AQ20" i="14"/>
  <c r="AO20" i="14"/>
  <c r="AN20" i="14"/>
  <c r="AM20" i="14"/>
  <c r="AL20" i="14"/>
  <c r="AK20" i="14"/>
  <c r="AR12" i="14"/>
  <c r="AQ12" i="14"/>
  <c r="AO12" i="14"/>
  <c r="AN12" i="14"/>
  <c r="AM12" i="14"/>
  <c r="AL12" i="14"/>
  <c r="AK12" i="14"/>
  <c r="AR18" i="14"/>
  <c r="AQ18" i="14"/>
  <c r="AO18" i="14"/>
  <c r="AN18" i="14"/>
  <c r="AM18" i="14"/>
  <c r="AL18" i="14"/>
  <c r="AK18" i="14"/>
  <c r="AR17" i="14"/>
  <c r="AQ17" i="14"/>
  <c r="AO17" i="14"/>
  <c r="AN17" i="14"/>
  <c r="AM17" i="14"/>
  <c r="AL17" i="14"/>
  <c r="AK17" i="14"/>
  <c r="AR11" i="14"/>
  <c r="AQ11" i="14"/>
  <c r="AO11" i="14"/>
  <c r="AN11" i="14"/>
  <c r="AM11" i="14"/>
  <c r="AL11" i="14"/>
  <c r="AK11" i="14"/>
  <c r="AR16" i="14"/>
  <c r="AQ16" i="14"/>
  <c r="AO16" i="14"/>
  <c r="AN16" i="14"/>
  <c r="AM16" i="14"/>
  <c r="AL16" i="14"/>
  <c r="AK16" i="14"/>
  <c r="AR26" i="14"/>
  <c r="AQ26" i="14"/>
  <c r="AO26" i="14"/>
  <c r="AN26" i="14"/>
  <c r="AM26" i="14"/>
  <c r="AL26" i="14"/>
  <c r="AK26" i="14"/>
  <c r="AR13" i="14"/>
  <c r="AQ13" i="14"/>
  <c r="AO13" i="14"/>
  <c r="AN13" i="14"/>
  <c r="AM13" i="14"/>
  <c r="AL13" i="14"/>
  <c r="AK13" i="14"/>
  <c r="AR14" i="14"/>
  <c r="AQ14" i="14"/>
  <c r="AO14" i="14"/>
  <c r="AN14" i="14"/>
  <c r="AM14" i="14"/>
  <c r="AL14" i="14"/>
  <c r="AK14" i="14"/>
  <c r="AR10" i="14"/>
  <c r="AQ10" i="14"/>
  <c r="AO10" i="14"/>
  <c r="AN10" i="14"/>
  <c r="AM10" i="14"/>
  <c r="AL10" i="14"/>
  <c r="AK10" i="14"/>
  <c r="AR9" i="14"/>
  <c r="AQ9" i="14"/>
  <c r="AO9" i="14"/>
  <c r="AN9" i="14"/>
  <c r="AM9" i="14"/>
  <c r="AL9" i="14"/>
  <c r="AK9" i="14"/>
  <c r="AR6" i="14"/>
  <c r="AQ6" i="14"/>
  <c r="AO6" i="14"/>
  <c r="AN6" i="14"/>
  <c r="AM6" i="14"/>
  <c r="AL6" i="14"/>
  <c r="AK6" i="14"/>
  <c r="AR8" i="14"/>
  <c r="AQ8" i="14"/>
  <c r="AO8" i="14"/>
  <c r="AN8" i="14"/>
  <c r="AM8" i="14"/>
  <c r="AL8" i="14"/>
  <c r="AK8" i="14"/>
  <c r="AR5" i="14"/>
  <c r="AQ5" i="14"/>
  <c r="AO5" i="14"/>
  <c r="AN5" i="14"/>
  <c r="AM5" i="14"/>
  <c r="AL5" i="14"/>
  <c r="AK5" i="14"/>
  <c r="AR4" i="14"/>
  <c r="AQ4" i="14"/>
  <c r="AO4" i="14"/>
  <c r="AN4" i="14"/>
  <c r="AM4" i="14"/>
  <c r="AL4" i="14"/>
  <c r="AK4" i="14"/>
  <c r="BV28" i="4"/>
  <c r="BU28" i="4"/>
  <c r="BS28" i="4"/>
  <c r="BR28" i="4"/>
  <c r="BQ28" i="4"/>
  <c r="BP28" i="4"/>
  <c r="BO28" i="4"/>
  <c r="BV24" i="4"/>
  <c r="BU24" i="4"/>
  <c r="BS24" i="4"/>
  <c r="BR24" i="4"/>
  <c r="BQ24" i="4"/>
  <c r="BP24" i="4"/>
  <c r="BO24" i="4"/>
  <c r="BV10" i="4"/>
  <c r="BU10" i="4"/>
  <c r="BS10" i="4"/>
  <c r="BR10" i="4"/>
  <c r="BQ10" i="4"/>
  <c r="BP10" i="4"/>
  <c r="BO10" i="4"/>
  <c r="BV23" i="4"/>
  <c r="BU23" i="4"/>
  <c r="BS23" i="4"/>
  <c r="BR23" i="4"/>
  <c r="BQ23" i="4"/>
  <c r="BP23" i="4"/>
  <c r="BO23" i="4"/>
  <c r="BV20" i="4"/>
  <c r="BU20" i="4"/>
  <c r="BS20" i="4"/>
  <c r="BR20" i="4"/>
  <c r="BQ20" i="4"/>
  <c r="BP20" i="4"/>
  <c r="BO20" i="4"/>
  <c r="BV17" i="4"/>
  <c r="BU17" i="4"/>
  <c r="BS17" i="4"/>
  <c r="BR17" i="4"/>
  <c r="BQ17" i="4"/>
  <c r="BP17" i="4"/>
  <c r="BO17" i="4"/>
  <c r="BV16" i="4"/>
  <c r="BU16" i="4"/>
  <c r="BS16" i="4"/>
  <c r="BR16" i="4"/>
  <c r="BQ16" i="4"/>
  <c r="BP16" i="4"/>
  <c r="BO16" i="4"/>
  <c r="BV13" i="4"/>
  <c r="BU13" i="4"/>
  <c r="BS13" i="4"/>
  <c r="BR13" i="4"/>
  <c r="BQ13" i="4"/>
  <c r="BP13" i="4"/>
  <c r="BO13" i="4"/>
  <c r="BV14" i="4"/>
  <c r="BU14" i="4"/>
  <c r="BS14" i="4"/>
  <c r="BR14" i="4"/>
  <c r="BQ14" i="4"/>
  <c r="BP14" i="4"/>
  <c r="BO14" i="4"/>
  <c r="BV15" i="4"/>
  <c r="BU15" i="4"/>
  <c r="BS15" i="4"/>
  <c r="BR15" i="4"/>
  <c r="BQ15" i="4"/>
  <c r="BP15" i="4"/>
  <c r="BO15" i="4"/>
  <c r="BV6" i="4"/>
  <c r="BU6" i="4"/>
  <c r="BS6" i="4"/>
  <c r="BR6" i="4"/>
  <c r="BQ6" i="4"/>
  <c r="BP6" i="4"/>
  <c r="BO6" i="4"/>
  <c r="BV12" i="4"/>
  <c r="BU12" i="4"/>
  <c r="BS12" i="4"/>
  <c r="BR12" i="4"/>
  <c r="BQ12" i="4"/>
  <c r="BP12" i="4"/>
  <c r="BO12" i="4"/>
  <c r="BV8" i="4"/>
  <c r="BU8" i="4"/>
  <c r="BS8" i="4"/>
  <c r="BR8" i="4"/>
  <c r="BQ8" i="4"/>
  <c r="BP8" i="4"/>
  <c r="BO8" i="4"/>
  <c r="BV7" i="4"/>
  <c r="BU7" i="4"/>
  <c r="BS7" i="4"/>
  <c r="BR7" i="4"/>
  <c r="BQ7" i="4"/>
  <c r="BP7" i="4"/>
  <c r="BO7" i="4"/>
  <c r="BV22" i="4"/>
  <c r="BU22" i="4"/>
  <c r="BS22" i="4"/>
  <c r="BR22" i="4"/>
  <c r="BQ22" i="4"/>
  <c r="BP22" i="4"/>
  <c r="BO22" i="4"/>
  <c r="BV19" i="4"/>
  <c r="BU19" i="4"/>
  <c r="BS19" i="4"/>
  <c r="BR19" i="4"/>
  <c r="BQ19" i="4"/>
  <c r="BP19" i="4"/>
  <c r="BO19" i="4"/>
  <c r="BV4" i="4"/>
  <c r="BU4" i="4"/>
  <c r="BS4" i="4"/>
  <c r="BR4" i="4"/>
  <c r="BQ4" i="4"/>
  <c r="BP4" i="4"/>
  <c r="BO4" i="4"/>
  <c r="AR28" i="4"/>
  <c r="AQ28" i="4"/>
  <c r="AO28" i="4"/>
  <c r="AN28" i="4"/>
  <c r="AM28" i="4"/>
  <c r="AL28" i="4"/>
  <c r="AK28" i="4"/>
  <c r="AR24" i="4"/>
  <c r="AQ24" i="4"/>
  <c r="AO24" i="4"/>
  <c r="AN24" i="4"/>
  <c r="AM24" i="4"/>
  <c r="AL24" i="4"/>
  <c r="AK24" i="4"/>
  <c r="AR10" i="4"/>
  <c r="AQ10" i="4"/>
  <c r="AO10" i="4"/>
  <c r="AN10" i="4"/>
  <c r="AM10" i="4"/>
  <c r="AL10" i="4"/>
  <c r="AK10" i="4"/>
  <c r="AR23" i="4"/>
  <c r="AQ23" i="4"/>
  <c r="AO23" i="4"/>
  <c r="AN23" i="4"/>
  <c r="AM23" i="4"/>
  <c r="AL23" i="4"/>
  <c r="AK23" i="4"/>
  <c r="AR20" i="4"/>
  <c r="AQ20" i="4"/>
  <c r="AO20" i="4"/>
  <c r="AN20" i="4"/>
  <c r="AM20" i="4"/>
  <c r="AL20" i="4"/>
  <c r="AK20" i="4"/>
  <c r="AR17" i="4"/>
  <c r="AQ17" i="4"/>
  <c r="AO17" i="4"/>
  <c r="AN17" i="4"/>
  <c r="AM17" i="4"/>
  <c r="AL17" i="4"/>
  <c r="AK17" i="4"/>
  <c r="AR16" i="4"/>
  <c r="AQ16" i="4"/>
  <c r="AO16" i="4"/>
  <c r="AN16" i="4"/>
  <c r="AM16" i="4"/>
  <c r="AL16" i="4"/>
  <c r="AK16" i="4"/>
  <c r="AR13" i="4"/>
  <c r="AQ13" i="4"/>
  <c r="AO13" i="4"/>
  <c r="AN13" i="4"/>
  <c r="AM13" i="4"/>
  <c r="AL13" i="4"/>
  <c r="AK13" i="4"/>
  <c r="AR14" i="4"/>
  <c r="AQ14" i="4"/>
  <c r="AO14" i="4"/>
  <c r="AN14" i="4"/>
  <c r="AM14" i="4"/>
  <c r="AL14" i="4"/>
  <c r="AK14" i="4"/>
  <c r="AR15" i="4"/>
  <c r="AQ15" i="4"/>
  <c r="AO15" i="4"/>
  <c r="AN15" i="4"/>
  <c r="AM15" i="4"/>
  <c r="AL15" i="4"/>
  <c r="AK15" i="4"/>
  <c r="AR6" i="4"/>
  <c r="AQ6" i="4"/>
  <c r="AO6" i="4"/>
  <c r="AN6" i="4"/>
  <c r="AM6" i="4"/>
  <c r="AL6" i="4"/>
  <c r="AK6" i="4"/>
  <c r="AR12" i="4"/>
  <c r="AQ12" i="4"/>
  <c r="AO12" i="4"/>
  <c r="AN12" i="4"/>
  <c r="AM12" i="4"/>
  <c r="AL12" i="4"/>
  <c r="AK12" i="4"/>
  <c r="AR8" i="4"/>
  <c r="AQ8" i="4"/>
  <c r="AO8" i="4"/>
  <c r="AN8" i="4"/>
  <c r="AM8" i="4"/>
  <c r="AL8" i="4"/>
  <c r="AK8" i="4"/>
  <c r="AR7" i="4"/>
  <c r="AQ7" i="4"/>
  <c r="AO7" i="4"/>
  <c r="AN7" i="4"/>
  <c r="AM7" i="4"/>
  <c r="AL7" i="4"/>
  <c r="AK7" i="4"/>
  <c r="AR22" i="4"/>
  <c r="AQ22" i="4"/>
  <c r="AO22" i="4"/>
  <c r="AN22" i="4"/>
  <c r="AM22" i="4"/>
  <c r="AL22" i="4"/>
  <c r="AK22" i="4"/>
  <c r="AR19" i="4"/>
  <c r="AQ19" i="4"/>
  <c r="AO19" i="4"/>
  <c r="AN19" i="4"/>
  <c r="AM19" i="4"/>
  <c r="AL19" i="4"/>
  <c r="AK19" i="4"/>
  <c r="AR4" i="4"/>
  <c r="AQ4" i="4"/>
  <c r="AO4" i="4"/>
  <c r="AN4" i="4"/>
  <c r="AM4" i="4"/>
  <c r="AL4" i="4"/>
  <c r="AK4" i="4"/>
  <c r="CS7" i="14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6" i="14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18" i="14"/>
  <c r="CT18" i="14"/>
  <c r="CU18" i="14"/>
  <c r="CV18" i="14"/>
  <c r="CW18" i="14"/>
  <c r="CY18" i="14"/>
  <c r="CZ18" i="14"/>
  <c r="DS18" i="14"/>
  <c r="DT18" i="14"/>
  <c r="DU18" i="14"/>
  <c r="DW18" i="14"/>
  <c r="DX18" i="14"/>
  <c r="EO18" i="14"/>
  <c r="EP18" i="14"/>
  <c r="EQ18" i="14"/>
  <c r="ES18" i="14"/>
  <c r="ET18" i="14"/>
  <c r="FK18" i="14"/>
  <c r="FL18" i="14"/>
  <c r="FM18" i="14"/>
  <c r="FO18" i="14"/>
  <c r="FP18" i="14"/>
  <c r="GG18" i="14"/>
  <c r="GH18" i="14"/>
  <c r="GI18" i="14"/>
  <c r="GK18" i="14"/>
  <c r="GL18" i="14"/>
  <c r="HC18" i="14"/>
  <c r="HD18" i="14"/>
  <c r="HE18" i="14"/>
  <c r="HG18" i="14"/>
  <c r="HH18" i="14"/>
  <c r="HY18" i="14"/>
  <c r="HZ18" i="14"/>
  <c r="IA18" i="14"/>
  <c r="IC18" i="14"/>
  <c r="ID18" i="14"/>
  <c r="IU18" i="14"/>
  <c r="IV18" i="14"/>
  <c r="IW18" i="14"/>
  <c r="IY18" i="14"/>
  <c r="IZ18" i="14"/>
  <c r="JQ18" i="14"/>
  <c r="JR18" i="14"/>
  <c r="JS18" i="14"/>
  <c r="JU18" i="14"/>
  <c r="JV18" i="14"/>
  <c r="KM18" i="14"/>
  <c r="KN18" i="14"/>
  <c r="KO18" i="14"/>
  <c r="KQ18" i="14"/>
  <c r="KR18" i="14"/>
  <c r="LI18" i="14"/>
  <c r="LJ18" i="14"/>
  <c r="LK18" i="14"/>
  <c r="LM18" i="14"/>
  <c r="LN18" i="14"/>
  <c r="ME18" i="14"/>
  <c r="MF18" i="14"/>
  <c r="MG18" i="14"/>
  <c r="MI18" i="14"/>
  <c r="MJ18" i="14"/>
  <c r="NA18" i="14"/>
  <c r="NB18" i="14"/>
  <c r="NC18" i="14"/>
  <c r="NE18" i="14"/>
  <c r="NF18" i="14"/>
  <c r="NH18" i="14"/>
  <c r="NI18" i="14"/>
  <c r="NJ18" i="14"/>
  <c r="NK18" i="14"/>
  <c r="NL18" i="14"/>
  <c r="NM18" i="14"/>
  <c r="NN18" i="14"/>
  <c r="NO18" i="14"/>
  <c r="OD18" i="14" s="1"/>
  <c r="NP18" i="14"/>
  <c r="NQ18" i="14"/>
  <c r="NR18" i="14"/>
  <c r="NS18" i="14"/>
  <c r="NT18" i="14"/>
  <c r="OF18" i="14" s="1"/>
  <c r="NU18" i="14"/>
  <c r="NV18" i="14"/>
  <c r="NW18" i="14"/>
  <c r="NX18" i="14"/>
  <c r="NY18" i="14"/>
  <c r="OI18" i="14" s="1"/>
  <c r="NZ18" i="14"/>
  <c r="OA18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CS16" i="14"/>
  <c r="CT16" i="14"/>
  <c r="CU16" i="14"/>
  <c r="CV16" i="14"/>
  <c r="CW16" i="14"/>
  <c r="CY16" i="14"/>
  <c r="CZ16" i="14"/>
  <c r="DS16" i="14"/>
  <c r="DT16" i="14"/>
  <c r="DU16" i="14"/>
  <c r="DW16" i="14"/>
  <c r="DX16" i="14"/>
  <c r="EO16" i="14"/>
  <c r="EP16" i="14"/>
  <c r="EQ16" i="14"/>
  <c r="ES16" i="14"/>
  <c r="ET16" i="14"/>
  <c r="FK16" i="14"/>
  <c r="FL16" i="14"/>
  <c r="FM16" i="14"/>
  <c r="FO16" i="14"/>
  <c r="FP16" i="14"/>
  <c r="GG16" i="14"/>
  <c r="GH16" i="14"/>
  <c r="GI16" i="14"/>
  <c r="GK16" i="14"/>
  <c r="GL16" i="14"/>
  <c r="HC16" i="14"/>
  <c r="HD16" i="14"/>
  <c r="HE16" i="14"/>
  <c r="HG16" i="14"/>
  <c r="HH16" i="14"/>
  <c r="HY16" i="14"/>
  <c r="HZ16" i="14"/>
  <c r="IA16" i="14"/>
  <c r="IC16" i="14"/>
  <c r="ID16" i="14"/>
  <c r="IU16" i="14"/>
  <c r="IV16" i="14"/>
  <c r="IW16" i="14"/>
  <c r="IY16" i="14"/>
  <c r="IZ16" i="14"/>
  <c r="JQ16" i="14"/>
  <c r="JR16" i="14"/>
  <c r="JS16" i="14"/>
  <c r="JU16" i="14"/>
  <c r="JV16" i="14"/>
  <c r="KM16" i="14"/>
  <c r="KN16" i="14"/>
  <c r="KO16" i="14"/>
  <c r="KQ16" i="14"/>
  <c r="KR16" i="14"/>
  <c r="LI16" i="14"/>
  <c r="LJ16" i="14"/>
  <c r="LK16" i="14"/>
  <c r="LM16" i="14"/>
  <c r="LN16" i="14"/>
  <c r="ME16" i="14"/>
  <c r="MF16" i="14"/>
  <c r="MG16" i="14"/>
  <c r="MI16" i="14"/>
  <c r="MJ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OF16" i="14" s="1"/>
  <c r="NU16" i="14"/>
  <c r="NV16" i="14"/>
  <c r="NW16" i="14"/>
  <c r="NX16" i="14"/>
  <c r="NY16" i="14"/>
  <c r="OI16" i="14" s="1"/>
  <c r="NZ16" i="14"/>
  <c r="OA16" i="14"/>
  <c r="CS17" i="4"/>
  <c r="CT17" i="4"/>
  <c r="CU17" i="4"/>
  <c r="CV17" i="4"/>
  <c r="CW17" i="4"/>
  <c r="CY17" i="4"/>
  <c r="CZ17" i="4"/>
  <c r="DS17" i="4"/>
  <c r="DT17" i="4"/>
  <c r="DU17" i="4"/>
  <c r="DW17" i="4"/>
  <c r="DX17" i="4"/>
  <c r="EO17" i="4"/>
  <c r="EP17" i="4"/>
  <c r="EQ17" i="4"/>
  <c r="ES17" i="4"/>
  <c r="ET17" i="4"/>
  <c r="FK17" i="4"/>
  <c r="FL17" i="4"/>
  <c r="FM17" i="4"/>
  <c r="FO17" i="4"/>
  <c r="FP17" i="4"/>
  <c r="GG17" i="4"/>
  <c r="GH17" i="4"/>
  <c r="GI17" i="4"/>
  <c r="GK17" i="4"/>
  <c r="GL17" i="4"/>
  <c r="HC17" i="4"/>
  <c r="HD17" i="4"/>
  <c r="HE17" i="4"/>
  <c r="HG17" i="4"/>
  <c r="HH17" i="4"/>
  <c r="HY17" i="4"/>
  <c r="HZ17" i="4"/>
  <c r="IA17" i="4"/>
  <c r="IC17" i="4"/>
  <c r="ID17" i="4"/>
  <c r="IU17" i="4"/>
  <c r="IV17" i="4"/>
  <c r="IW17" i="4"/>
  <c r="IY17" i="4"/>
  <c r="IZ17" i="4"/>
  <c r="JQ17" i="4"/>
  <c r="JR17" i="4"/>
  <c r="JS17" i="4"/>
  <c r="JU17" i="4"/>
  <c r="JV17" i="4"/>
  <c r="KM17" i="4"/>
  <c r="KN17" i="4"/>
  <c r="KO17" i="4"/>
  <c r="KQ17" i="4"/>
  <c r="KR17" i="4"/>
  <c r="LI17" i="4"/>
  <c r="LJ17" i="4"/>
  <c r="LK17" i="4"/>
  <c r="LM17" i="4"/>
  <c r="LN17" i="4"/>
  <c r="ME17" i="4"/>
  <c r="MF17" i="4"/>
  <c r="MG17" i="4"/>
  <c r="MI17" i="4"/>
  <c r="MJ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CS24" i="4"/>
  <c r="CT24" i="4"/>
  <c r="CU24" i="4"/>
  <c r="CV24" i="4"/>
  <c r="CW24" i="4"/>
  <c r="CY24" i="4"/>
  <c r="CZ24" i="4"/>
  <c r="DS24" i="4"/>
  <c r="DT24" i="4"/>
  <c r="DU24" i="4"/>
  <c r="DW24" i="4"/>
  <c r="DX24" i="4"/>
  <c r="EO24" i="4"/>
  <c r="EP24" i="4"/>
  <c r="EQ24" i="4"/>
  <c r="ES24" i="4"/>
  <c r="ET24" i="4"/>
  <c r="FK24" i="4"/>
  <c r="FL24" i="4"/>
  <c r="FM24" i="4"/>
  <c r="FO24" i="4"/>
  <c r="FP24" i="4"/>
  <c r="GG24" i="4"/>
  <c r="GH24" i="4"/>
  <c r="GI24" i="4"/>
  <c r="GK24" i="4"/>
  <c r="GL24" i="4"/>
  <c r="HC24" i="4"/>
  <c r="HD24" i="4"/>
  <c r="HE24" i="4"/>
  <c r="HG24" i="4"/>
  <c r="HH24" i="4"/>
  <c r="HY24" i="4"/>
  <c r="HZ24" i="4"/>
  <c r="IA24" i="4"/>
  <c r="IC24" i="4"/>
  <c r="ID24" i="4"/>
  <c r="IU24" i="4"/>
  <c r="IV24" i="4"/>
  <c r="IW24" i="4"/>
  <c r="IY24" i="4"/>
  <c r="IZ24" i="4"/>
  <c r="JQ24" i="4"/>
  <c r="JR24" i="4"/>
  <c r="JS24" i="4"/>
  <c r="JU24" i="4"/>
  <c r="JV24" i="4"/>
  <c r="KM24" i="4"/>
  <c r="KN24" i="4"/>
  <c r="KO24" i="4"/>
  <c r="KQ24" i="4"/>
  <c r="KR24" i="4"/>
  <c r="LI24" i="4"/>
  <c r="LJ24" i="4"/>
  <c r="LK24" i="4"/>
  <c r="LM24" i="4"/>
  <c r="LN24" i="4"/>
  <c r="ME24" i="4"/>
  <c r="MF24" i="4"/>
  <c r="MG24" i="4"/>
  <c r="MI24" i="4"/>
  <c r="MJ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28" i="4"/>
  <c r="CT28" i="4"/>
  <c r="CU28" i="4"/>
  <c r="CV28" i="4"/>
  <c r="CW28" i="4"/>
  <c r="CY28" i="4"/>
  <c r="CZ28" i="4"/>
  <c r="DS28" i="4"/>
  <c r="DT28" i="4"/>
  <c r="DU28" i="4"/>
  <c r="DW28" i="4"/>
  <c r="DX28" i="4"/>
  <c r="EO28" i="4"/>
  <c r="EP28" i="4"/>
  <c r="EQ28" i="4"/>
  <c r="ES28" i="4"/>
  <c r="ET28" i="4"/>
  <c r="FK28" i="4"/>
  <c r="FL28" i="4"/>
  <c r="FM28" i="4"/>
  <c r="FO28" i="4"/>
  <c r="FP28" i="4"/>
  <c r="GG28" i="4"/>
  <c r="GH28" i="4"/>
  <c r="GI28" i="4"/>
  <c r="GK28" i="4"/>
  <c r="GL28" i="4"/>
  <c r="HC28" i="4"/>
  <c r="HD28" i="4"/>
  <c r="HE28" i="4"/>
  <c r="HG28" i="4"/>
  <c r="HH28" i="4"/>
  <c r="HY28" i="4"/>
  <c r="HZ28" i="4"/>
  <c r="IA28" i="4"/>
  <c r="IC28" i="4"/>
  <c r="ID28" i="4"/>
  <c r="IU28" i="4"/>
  <c r="IV28" i="4"/>
  <c r="IW28" i="4"/>
  <c r="IY28" i="4"/>
  <c r="IZ28" i="4"/>
  <c r="JQ28" i="4"/>
  <c r="JR28" i="4"/>
  <c r="JS28" i="4"/>
  <c r="JU28" i="4"/>
  <c r="JV28" i="4"/>
  <c r="KM28" i="4"/>
  <c r="KN28" i="4"/>
  <c r="KO28" i="4"/>
  <c r="KQ28" i="4"/>
  <c r="KR28" i="4"/>
  <c r="LI28" i="4"/>
  <c r="LJ28" i="4"/>
  <c r="LK28" i="4"/>
  <c r="LM28" i="4"/>
  <c r="LN28" i="4"/>
  <c r="ME28" i="4"/>
  <c r="MF28" i="4"/>
  <c r="MG28" i="4"/>
  <c r="MI28" i="4"/>
  <c r="MJ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OF28" i="4" s="1"/>
  <c r="NU28" i="4"/>
  <c r="NV28" i="4"/>
  <c r="NW28" i="4"/>
  <c r="NX28" i="4"/>
  <c r="NY28" i="4"/>
  <c r="OI28" i="4" s="1"/>
  <c r="NZ28" i="4"/>
  <c r="OA28" i="4"/>
  <c r="CS23" i="4"/>
  <c r="CT23" i="4"/>
  <c r="CU23" i="4"/>
  <c r="CV23" i="4"/>
  <c r="CW23" i="4"/>
  <c r="CY23" i="4"/>
  <c r="CZ23" i="4"/>
  <c r="DS23" i="4"/>
  <c r="DT23" i="4"/>
  <c r="DU23" i="4"/>
  <c r="DW23" i="4"/>
  <c r="DX23" i="4"/>
  <c r="EO23" i="4"/>
  <c r="EP23" i="4"/>
  <c r="EQ23" i="4"/>
  <c r="ES23" i="4"/>
  <c r="ET23" i="4"/>
  <c r="FK23" i="4"/>
  <c r="FL23" i="4"/>
  <c r="FM23" i="4"/>
  <c r="FO23" i="4"/>
  <c r="FP23" i="4"/>
  <c r="GG23" i="4"/>
  <c r="GH23" i="4"/>
  <c r="GI23" i="4"/>
  <c r="GK23" i="4"/>
  <c r="GL23" i="4"/>
  <c r="HC23" i="4"/>
  <c r="HD23" i="4"/>
  <c r="HE23" i="4"/>
  <c r="HG23" i="4"/>
  <c r="HH23" i="4"/>
  <c r="HY23" i="4"/>
  <c r="HZ23" i="4"/>
  <c r="IA23" i="4"/>
  <c r="IC23" i="4"/>
  <c r="ID23" i="4"/>
  <c r="IU23" i="4"/>
  <c r="IV23" i="4"/>
  <c r="IW23" i="4"/>
  <c r="IY23" i="4"/>
  <c r="IZ23" i="4"/>
  <c r="JQ23" i="4"/>
  <c r="JR23" i="4"/>
  <c r="JS23" i="4"/>
  <c r="JU23" i="4"/>
  <c r="JV23" i="4"/>
  <c r="KM23" i="4"/>
  <c r="KN23" i="4"/>
  <c r="KO23" i="4"/>
  <c r="KQ23" i="4"/>
  <c r="KR23" i="4"/>
  <c r="LI23" i="4"/>
  <c r="LJ23" i="4"/>
  <c r="LK23" i="4"/>
  <c r="LM23" i="4"/>
  <c r="LN23" i="4"/>
  <c r="ME23" i="4"/>
  <c r="MF23" i="4"/>
  <c r="MG23" i="4"/>
  <c r="MI23" i="4"/>
  <c r="MJ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G23" i="4" l="1"/>
  <c r="G17" i="4"/>
  <c r="OJ28" i="4"/>
  <c r="G28" i="4"/>
  <c r="G24" i="4"/>
  <c r="F6" i="14"/>
  <c r="G18" i="14"/>
  <c r="G7" i="14"/>
  <c r="G6" i="14"/>
  <c r="F22" i="14"/>
  <c r="F16" i="14"/>
  <c r="G22" i="14"/>
  <c r="G16" i="14"/>
  <c r="F21" i="14"/>
  <c r="G21" i="14"/>
  <c r="F18" i="14"/>
  <c r="F7" i="14"/>
  <c r="AP8" i="14"/>
  <c r="F23" i="4"/>
  <c r="F17" i="4"/>
  <c r="F28" i="4"/>
  <c r="F24" i="4"/>
  <c r="BT26" i="14"/>
  <c r="BW26" i="14" s="1"/>
  <c r="BT21" i="14"/>
  <c r="BW21" i="14" s="1"/>
  <c r="BT6" i="4"/>
  <c r="BW6" i="4" s="1"/>
  <c r="BT17" i="4"/>
  <c r="BW17" i="4" s="1"/>
  <c r="OJ23" i="4"/>
  <c r="BT10" i="4"/>
  <c r="BW10" i="4" s="1"/>
  <c r="BT8" i="14"/>
  <c r="BW8" i="14" s="1"/>
  <c r="BT27" i="14"/>
  <c r="BW27" i="14" s="1"/>
  <c r="OJ24" i="4"/>
  <c r="OJ29" i="4"/>
  <c r="BT24" i="4"/>
  <c r="BW24" i="4" s="1"/>
  <c r="AS8" i="14"/>
  <c r="AP21" i="14"/>
  <c r="AS21" i="14" s="1"/>
  <c r="BT15" i="14"/>
  <c r="BW15" i="14" s="1"/>
  <c r="BT22" i="14"/>
  <c r="BW22" i="14" s="1"/>
  <c r="AP19" i="4"/>
  <c r="AS19" i="4" s="1"/>
  <c r="AP11" i="14"/>
  <c r="AS11" i="14" s="1"/>
  <c r="AP27" i="14"/>
  <c r="AS27" i="14" s="1"/>
  <c r="BT14" i="14"/>
  <c r="BW14" i="14" s="1"/>
  <c r="BT12" i="14"/>
  <c r="BW12" i="14" s="1"/>
  <c r="AP10" i="14"/>
  <c r="AS10" i="14" s="1"/>
  <c r="AP6" i="4"/>
  <c r="AS6" i="4" s="1"/>
  <c r="BT20" i="4"/>
  <c r="BW20" i="4" s="1"/>
  <c r="AP17" i="4"/>
  <c r="AS17" i="4" s="1"/>
  <c r="AP15" i="4"/>
  <c r="AS15" i="4" s="1"/>
  <c r="AP12" i="4"/>
  <c r="AS12" i="4" s="1"/>
  <c r="BT19" i="14"/>
  <c r="BW19" i="14" s="1"/>
  <c r="AP18" i="14"/>
  <c r="AS18" i="14" s="1"/>
  <c r="BT7" i="14"/>
  <c r="BW7" i="14" s="1"/>
  <c r="AP22" i="14"/>
  <c r="AS22" i="14" s="1"/>
  <c r="BT10" i="14"/>
  <c r="BW10" i="14" s="1"/>
  <c r="AP26" i="14"/>
  <c r="AS26" i="14" s="1"/>
  <c r="AP6" i="14"/>
  <c r="AS6" i="14" s="1"/>
  <c r="AP14" i="14"/>
  <c r="AS14" i="14" s="1"/>
  <c r="AP16" i="14"/>
  <c r="AS16" i="14" s="1"/>
  <c r="AP20" i="14"/>
  <c r="AS20" i="14" s="1"/>
  <c r="BT11" i="14"/>
  <c r="BW11" i="14" s="1"/>
  <c r="AP12" i="14"/>
  <c r="AS12" i="14" s="1"/>
  <c r="BT5" i="14"/>
  <c r="BW5" i="14" s="1"/>
  <c r="BT9" i="14"/>
  <c r="BW9" i="14" s="1"/>
  <c r="AP19" i="14"/>
  <c r="AS19" i="14" s="1"/>
  <c r="BT4" i="14"/>
  <c r="BW4" i="14" s="1"/>
  <c r="BT18" i="14"/>
  <c r="BW18" i="14" s="1"/>
  <c r="AP5" i="14"/>
  <c r="AS5" i="14" s="1"/>
  <c r="AP9" i="14"/>
  <c r="AS9" i="14" s="1"/>
  <c r="BT17" i="14"/>
  <c r="BW17" i="14" s="1"/>
  <c r="AP4" i="14"/>
  <c r="AS4" i="14" s="1"/>
  <c r="AP7" i="14"/>
  <c r="AS7" i="14" s="1"/>
  <c r="BT6" i="14"/>
  <c r="BW6" i="14" s="1"/>
  <c r="BT13" i="14"/>
  <c r="BW13" i="14" s="1"/>
  <c r="AP17" i="14"/>
  <c r="AS17" i="14" s="1"/>
  <c r="AP13" i="14"/>
  <c r="AS13" i="14" s="1"/>
  <c r="BT16" i="14"/>
  <c r="BW16" i="14" s="1"/>
  <c r="BT20" i="14"/>
  <c r="BW20" i="14" s="1"/>
  <c r="AP15" i="14"/>
  <c r="AS15" i="14" s="1"/>
  <c r="BT4" i="4"/>
  <c r="BW4" i="4" s="1"/>
  <c r="AP7" i="4"/>
  <c r="AS7" i="4" s="1"/>
  <c r="AP10" i="4"/>
  <c r="AS10" i="4" s="1"/>
  <c r="BT8" i="4"/>
  <c r="BW8" i="4" s="1"/>
  <c r="BT23" i="4"/>
  <c r="BW23" i="4" s="1"/>
  <c r="AP4" i="4"/>
  <c r="AS4" i="4" s="1"/>
  <c r="BT19" i="4"/>
  <c r="BW19" i="4" s="1"/>
  <c r="AP20" i="4"/>
  <c r="AS20" i="4" s="1"/>
  <c r="BT22" i="4"/>
  <c r="BW22" i="4" s="1"/>
  <c r="AP16" i="4"/>
  <c r="AS16" i="4" s="1"/>
  <c r="BT12" i="4"/>
  <c r="BW12" i="4" s="1"/>
  <c r="BT16" i="4"/>
  <c r="BW16" i="4" s="1"/>
  <c r="AP13" i="4"/>
  <c r="AS13" i="4" s="1"/>
  <c r="BT13" i="4"/>
  <c r="BW13" i="4" s="1"/>
  <c r="AP14" i="4"/>
  <c r="AS14" i="4" s="1"/>
  <c r="AP28" i="4"/>
  <c r="AS28" i="4" s="1"/>
  <c r="BT14" i="4"/>
  <c r="BW14" i="4" s="1"/>
  <c r="AP8" i="4"/>
  <c r="AS8" i="4" s="1"/>
  <c r="AP24" i="4"/>
  <c r="AS24" i="4" s="1"/>
  <c r="BT28" i="4"/>
  <c r="BW28" i="4" s="1"/>
  <c r="AP22" i="4"/>
  <c r="AS22" i="4" s="1"/>
  <c r="AP23" i="4"/>
  <c r="AS23" i="4" s="1"/>
  <c r="BT7" i="4"/>
  <c r="BW7" i="4" s="1"/>
  <c r="BT15" i="4"/>
  <c r="BW15" i="4" s="1"/>
  <c r="ND28" i="4"/>
  <c r="NG28" i="4" s="1"/>
  <c r="LL18" i="14"/>
  <c r="LO18" i="14" s="1"/>
  <c r="ER18" i="14"/>
  <c r="EU18" i="14" s="1"/>
  <c r="LL22" i="14"/>
  <c r="LO22" i="14" s="1"/>
  <c r="IB7" i="14"/>
  <c r="IE7" i="14" s="1"/>
  <c r="LL7" i="14"/>
  <c r="LO7" i="14" s="1"/>
  <c r="IX7" i="14"/>
  <c r="JA7" i="14" s="1"/>
  <c r="ER7" i="14"/>
  <c r="EU7" i="14" s="1"/>
  <c r="HF7" i="14"/>
  <c r="HI7" i="14" s="1"/>
  <c r="GJ7" i="14"/>
  <c r="GM7" i="14" s="1"/>
  <c r="OG7" i="14"/>
  <c r="JT7" i="14"/>
  <c r="JW7" i="14" s="1"/>
  <c r="FN7" i="14"/>
  <c r="FQ7" i="14" s="1"/>
  <c r="MH7" i="14"/>
  <c r="MK7" i="14" s="1"/>
  <c r="KP7" i="14"/>
  <c r="KS7" i="14" s="1"/>
  <c r="DV7" i="14"/>
  <c r="DY7" i="14" s="1"/>
  <c r="CX7" i="14"/>
  <c r="DA7" i="14" s="1"/>
  <c r="FN17" i="4"/>
  <c r="FQ17" i="4" s="1"/>
  <c r="ND7" i="14"/>
  <c r="NG7" i="14" s="1"/>
  <c r="OC7" i="14"/>
  <c r="OE7" i="14"/>
  <c r="I7" i="14"/>
  <c r="DB7" i="14" s="1"/>
  <c r="K7" i="14"/>
  <c r="DC7" i="14" s="1"/>
  <c r="MH18" i="14"/>
  <c r="MK18" i="14" s="1"/>
  <c r="ND6" i="14"/>
  <c r="NG6" i="14" s="1"/>
  <c r="GJ6" i="14"/>
  <c r="GM6" i="14" s="1"/>
  <c r="MH6" i="14"/>
  <c r="MK6" i="14" s="1"/>
  <c r="IX6" i="14"/>
  <c r="JA6" i="14" s="1"/>
  <c r="JT6" i="14"/>
  <c r="JW6" i="14" s="1"/>
  <c r="IB18" i="14"/>
  <c r="IE18" i="14" s="1"/>
  <c r="IB6" i="14"/>
  <c r="IE6" i="14" s="1"/>
  <c r="DV6" i="14"/>
  <c r="DY6" i="14" s="1"/>
  <c r="ND21" i="14"/>
  <c r="NG21" i="14" s="1"/>
  <c r="LL21" i="14"/>
  <c r="LO21" i="14" s="1"/>
  <c r="KP6" i="14"/>
  <c r="KS6" i="14" s="1"/>
  <c r="KP18" i="14"/>
  <c r="KS18" i="14" s="1"/>
  <c r="ER17" i="4"/>
  <c r="EU17" i="4" s="1"/>
  <c r="ER24" i="4"/>
  <c r="EU24" i="4" s="1"/>
  <c r="MH24" i="4"/>
  <c r="MK24" i="4" s="1"/>
  <c r="FN24" i="4"/>
  <c r="FQ24" i="4" s="1"/>
  <c r="CX17" i="4"/>
  <c r="DA17" i="4" s="1"/>
  <c r="OC6" i="14"/>
  <c r="LL6" i="14"/>
  <c r="LO6" i="14" s="1"/>
  <c r="HF6" i="14"/>
  <c r="HI6" i="14" s="1"/>
  <c r="FN6" i="14"/>
  <c r="FQ6" i="14" s="1"/>
  <c r="ER6" i="14"/>
  <c r="EU6" i="14" s="1"/>
  <c r="OG6" i="14"/>
  <c r="CX6" i="14"/>
  <c r="DA6" i="14" s="1"/>
  <c r="OE6" i="14"/>
  <c r="K6" i="14"/>
  <c r="DC6" i="14" s="1"/>
  <c r="I6" i="14"/>
  <c r="DB6" i="14" s="1"/>
  <c r="MH22" i="14"/>
  <c r="MK22" i="14" s="1"/>
  <c r="GJ21" i="14"/>
  <c r="GM21" i="14" s="1"/>
  <c r="JT18" i="14"/>
  <c r="JW18" i="14" s="1"/>
  <c r="FN18" i="14"/>
  <c r="FQ18" i="14" s="1"/>
  <c r="ER22" i="14"/>
  <c r="EU22" i="14" s="1"/>
  <c r="FN22" i="14"/>
  <c r="FQ22" i="14" s="1"/>
  <c r="KP22" i="14"/>
  <c r="KS22" i="14" s="1"/>
  <c r="KP21" i="14"/>
  <c r="KS21" i="14" s="1"/>
  <c r="LL16" i="14"/>
  <c r="LO16" i="14" s="1"/>
  <c r="MH16" i="14"/>
  <c r="MK16" i="14" s="1"/>
  <c r="IB21" i="14"/>
  <c r="IE21" i="14" s="1"/>
  <c r="ND22" i="14"/>
  <c r="NG22" i="14" s="1"/>
  <c r="CX18" i="14"/>
  <c r="DA18" i="14" s="1"/>
  <c r="OG22" i="14"/>
  <c r="DV22" i="14"/>
  <c r="DY22" i="14" s="1"/>
  <c r="IX18" i="14"/>
  <c r="JA18" i="14" s="1"/>
  <c r="GJ18" i="14"/>
  <c r="GM18" i="14" s="1"/>
  <c r="IX16" i="14"/>
  <c r="JA16" i="14" s="1"/>
  <c r="ND24" i="4"/>
  <c r="NG24" i="4" s="1"/>
  <c r="GJ24" i="4"/>
  <c r="GM24" i="4" s="1"/>
  <c r="IX17" i="4"/>
  <c r="JA17" i="4" s="1"/>
  <c r="HF17" i="4"/>
  <c r="HI17" i="4" s="1"/>
  <c r="JT17" i="4"/>
  <c r="JW17" i="4" s="1"/>
  <c r="OE17" i="4"/>
  <c r="KP24" i="4"/>
  <c r="KS24" i="4" s="1"/>
  <c r="IB17" i="4"/>
  <c r="IE17" i="4" s="1"/>
  <c r="CX24" i="4"/>
  <c r="DA24" i="4" s="1"/>
  <c r="OG17" i="4"/>
  <c r="GJ17" i="4"/>
  <c r="GM17" i="4" s="1"/>
  <c r="DV17" i="4"/>
  <c r="OC18" i="14"/>
  <c r="CX22" i="14"/>
  <c r="DA22" i="14" s="1"/>
  <c r="OE22" i="14"/>
  <c r="CX21" i="14"/>
  <c r="DA21" i="14" s="1"/>
  <c r="ND18" i="14"/>
  <c r="NG18" i="14" s="1"/>
  <c r="HF18" i="14"/>
  <c r="HI18" i="14" s="1"/>
  <c r="DV18" i="14"/>
  <c r="DY18" i="14" s="1"/>
  <c r="OG18" i="14"/>
  <c r="OE18" i="14"/>
  <c r="K18" i="14"/>
  <c r="DC18" i="14" s="1"/>
  <c r="I18" i="14"/>
  <c r="DB18" i="14" s="1"/>
  <c r="ER21" i="14"/>
  <c r="EU21" i="14" s="1"/>
  <c r="JT21" i="14"/>
  <c r="JW21" i="14" s="1"/>
  <c r="DV21" i="14"/>
  <c r="DY21" i="14" s="1"/>
  <c r="IB22" i="14"/>
  <c r="IE22" i="14" s="1"/>
  <c r="JT22" i="14"/>
  <c r="JW22" i="14" s="1"/>
  <c r="IX22" i="14"/>
  <c r="JA22" i="14" s="1"/>
  <c r="HF22" i="14"/>
  <c r="HI22" i="14" s="1"/>
  <c r="GJ22" i="14"/>
  <c r="GM22" i="14" s="1"/>
  <c r="OC22" i="14"/>
  <c r="I22" i="14"/>
  <c r="DB22" i="14" s="1"/>
  <c r="K22" i="14"/>
  <c r="DC22" i="14" s="1"/>
  <c r="IB16" i="14"/>
  <c r="IE16" i="14" s="1"/>
  <c r="CX16" i="14"/>
  <c r="DA16" i="14" s="1"/>
  <c r="IX21" i="14"/>
  <c r="JA21" i="14" s="1"/>
  <c r="KP16" i="14"/>
  <c r="KS16" i="14" s="1"/>
  <c r="OC21" i="14"/>
  <c r="MH21" i="14"/>
  <c r="MK21" i="14" s="1"/>
  <c r="OG21" i="14"/>
  <c r="FN21" i="14"/>
  <c r="FQ21" i="14" s="1"/>
  <c r="HF21" i="14"/>
  <c r="HI21" i="14" s="1"/>
  <c r="I21" i="14"/>
  <c r="DB21" i="14" s="1"/>
  <c r="OE21" i="14"/>
  <c r="K21" i="14"/>
  <c r="DC21" i="14" s="1"/>
  <c r="OC16" i="14"/>
  <c r="ER16" i="14"/>
  <c r="EU16" i="14" s="1"/>
  <c r="DV16" i="14"/>
  <c r="DY16" i="14" s="1"/>
  <c r="JT16" i="14"/>
  <c r="JW16" i="14" s="1"/>
  <c r="ND16" i="14"/>
  <c r="NG16" i="14" s="1"/>
  <c r="FN16" i="14"/>
  <c r="FQ16" i="14" s="1"/>
  <c r="HF16" i="14"/>
  <c r="HI16" i="14" s="1"/>
  <c r="GJ16" i="14"/>
  <c r="GM16" i="14" s="1"/>
  <c r="OG16" i="14"/>
  <c r="OE16" i="14"/>
  <c r="I16" i="14"/>
  <c r="DB16" i="14" s="1"/>
  <c r="K16" i="14"/>
  <c r="DC16" i="14" s="1"/>
  <c r="FN23" i="4"/>
  <c r="FQ23" i="4" s="1"/>
  <c r="IX24" i="4"/>
  <c r="JA24" i="4" s="1"/>
  <c r="LL17" i="4"/>
  <c r="LO17" i="4" s="1"/>
  <c r="KP28" i="4"/>
  <c r="KS28" i="4" s="1"/>
  <c r="LL24" i="4"/>
  <c r="LO24" i="4" s="1"/>
  <c r="IX28" i="4"/>
  <c r="JA28" i="4" s="1"/>
  <c r="OG24" i="4"/>
  <c r="DV23" i="4"/>
  <c r="IX23" i="4"/>
  <c r="JA23" i="4" s="1"/>
  <c r="GJ28" i="4"/>
  <c r="GM28" i="4" s="1"/>
  <c r="FN28" i="4"/>
  <c r="FQ28" i="4" s="1"/>
  <c r="ND17" i="4"/>
  <c r="NG17" i="4" s="1"/>
  <c r="OE24" i="4"/>
  <c r="CX23" i="4"/>
  <c r="DA23" i="4" s="1"/>
  <c r="MH17" i="4"/>
  <c r="MK17" i="4" s="1"/>
  <c r="KP17" i="4"/>
  <c r="KS17" i="4" s="1"/>
  <c r="OC17" i="4"/>
  <c r="K17" i="4"/>
  <c r="DC17" i="4" s="1"/>
  <c r="I17" i="4"/>
  <c r="DB17" i="4" s="1"/>
  <c r="JT28" i="4"/>
  <c r="JW28" i="4" s="1"/>
  <c r="ER28" i="4"/>
  <c r="EU28" i="4" s="1"/>
  <c r="DV24" i="4"/>
  <c r="JT24" i="4"/>
  <c r="JW24" i="4" s="1"/>
  <c r="HF24" i="4"/>
  <c r="HI24" i="4" s="1"/>
  <c r="IB24" i="4"/>
  <c r="IE24" i="4" s="1"/>
  <c r="OC24" i="4"/>
  <c r="K24" i="4"/>
  <c r="DC24" i="4" s="1"/>
  <c r="I24" i="4"/>
  <c r="DB24" i="4" s="1"/>
  <c r="LL28" i="4"/>
  <c r="LO28" i="4" s="1"/>
  <c r="DV28" i="4"/>
  <c r="MH28" i="4"/>
  <c r="MK28" i="4" s="1"/>
  <c r="OG28" i="4"/>
  <c r="IB28" i="4"/>
  <c r="IE28" i="4" s="1"/>
  <c r="HF28" i="4"/>
  <c r="HI28" i="4" s="1"/>
  <c r="CX28" i="4"/>
  <c r="DA28" i="4" s="1"/>
  <c r="I28" i="4"/>
  <c r="DB28" i="4" s="1"/>
  <c r="OE28" i="4"/>
  <c r="OC28" i="4"/>
  <c r="K28" i="4"/>
  <c r="DC28" i="4" s="1"/>
  <c r="OG23" i="4"/>
  <c r="LL23" i="4"/>
  <c r="LO23" i="4" s="1"/>
  <c r="MH23" i="4"/>
  <c r="MK23" i="4" s="1"/>
  <c r="HF23" i="4"/>
  <c r="HI23" i="4" s="1"/>
  <c r="JT23" i="4"/>
  <c r="JW23" i="4" s="1"/>
  <c r="KP23" i="4"/>
  <c r="KS23" i="4" s="1"/>
  <c r="ND23" i="4"/>
  <c r="NG23" i="4" s="1"/>
  <c r="IB23" i="4"/>
  <c r="IE23" i="4" s="1"/>
  <c r="GJ23" i="4"/>
  <c r="GM23" i="4" s="1"/>
  <c r="ER23" i="4"/>
  <c r="EU23" i="4" s="1"/>
  <c r="OC23" i="4"/>
  <c r="OE23" i="4"/>
  <c r="I23" i="4"/>
  <c r="DB23" i="4" s="1"/>
  <c r="K23" i="4"/>
  <c r="DC23" i="4" s="1"/>
  <c r="MJ11" i="14"/>
  <c r="MI11" i="14"/>
  <c r="MG11" i="14"/>
  <c r="MF11" i="14"/>
  <c r="ME11" i="14"/>
  <c r="MJ10" i="14"/>
  <c r="MI10" i="14"/>
  <c r="MG10" i="14"/>
  <c r="MF10" i="14"/>
  <c r="ME10" i="14"/>
  <c r="MJ9" i="14"/>
  <c r="MI9" i="14"/>
  <c r="MG9" i="14"/>
  <c r="MF9" i="14"/>
  <c r="ME9" i="14"/>
  <c r="MJ19" i="14"/>
  <c r="MI19" i="14"/>
  <c r="MG19" i="14"/>
  <c r="MF19" i="14"/>
  <c r="ME19" i="14"/>
  <c r="MJ17" i="14"/>
  <c r="MI17" i="14"/>
  <c r="MG17" i="14"/>
  <c r="MF17" i="14"/>
  <c r="ME17" i="14"/>
  <c r="MJ20" i="14"/>
  <c r="MI20" i="14"/>
  <c r="MG20" i="14"/>
  <c r="MF20" i="14"/>
  <c r="ME20" i="14"/>
  <c r="MJ12" i="14"/>
  <c r="MI12" i="14"/>
  <c r="MG12" i="14"/>
  <c r="MF12" i="14"/>
  <c r="ME12" i="14"/>
  <c r="MJ15" i="14"/>
  <c r="MI15" i="14"/>
  <c r="MG15" i="14"/>
  <c r="MF15" i="14"/>
  <c r="ME15" i="14"/>
  <c r="MJ27" i="14"/>
  <c r="MI27" i="14"/>
  <c r="MG27" i="14"/>
  <c r="MF27" i="14"/>
  <c r="ME27" i="14"/>
  <c r="MJ14" i="14"/>
  <c r="MI14" i="14"/>
  <c r="MG14" i="14"/>
  <c r="MF14" i="14"/>
  <c r="ME14" i="14"/>
  <c r="MJ26" i="14"/>
  <c r="MI26" i="14"/>
  <c r="MG26" i="14"/>
  <c r="MF26" i="14"/>
  <c r="ME26" i="14"/>
  <c r="MJ8" i="14"/>
  <c r="MI8" i="14"/>
  <c r="MG8" i="14"/>
  <c r="MF8" i="14"/>
  <c r="ME8" i="14"/>
  <c r="MJ13" i="14"/>
  <c r="MI13" i="14"/>
  <c r="MG13" i="14"/>
  <c r="MF13" i="14"/>
  <c r="ME13" i="14"/>
  <c r="MJ5" i="14"/>
  <c r="MI5" i="14"/>
  <c r="MG5" i="14"/>
  <c r="MF5" i="14"/>
  <c r="ME5" i="14"/>
  <c r="MJ4" i="14"/>
  <c r="MI4" i="14"/>
  <c r="MG4" i="14"/>
  <c r="MF4" i="14"/>
  <c r="ME4" i="14"/>
  <c r="LN11" i="14"/>
  <c r="LM11" i="14"/>
  <c r="LK11" i="14"/>
  <c r="LJ11" i="14"/>
  <c r="LI11" i="14"/>
  <c r="LN10" i="14"/>
  <c r="LM10" i="14"/>
  <c r="LK10" i="14"/>
  <c r="LJ10" i="14"/>
  <c r="LI10" i="14"/>
  <c r="LN9" i="14"/>
  <c r="LM9" i="14"/>
  <c r="LK9" i="14"/>
  <c r="LJ9" i="14"/>
  <c r="LI9" i="14"/>
  <c r="LN19" i="14"/>
  <c r="LM19" i="14"/>
  <c r="LK19" i="14"/>
  <c r="LJ19" i="14"/>
  <c r="LI19" i="14"/>
  <c r="LN17" i="14"/>
  <c r="LM17" i="14"/>
  <c r="LK17" i="14"/>
  <c r="LJ17" i="14"/>
  <c r="LI17" i="14"/>
  <c r="LN20" i="14"/>
  <c r="LM20" i="14"/>
  <c r="LK20" i="14"/>
  <c r="LJ20" i="14"/>
  <c r="LI20" i="14"/>
  <c r="LN12" i="14"/>
  <c r="LM12" i="14"/>
  <c r="LK12" i="14"/>
  <c r="LJ12" i="14"/>
  <c r="LI12" i="14"/>
  <c r="LN15" i="14"/>
  <c r="LM15" i="14"/>
  <c r="LK15" i="14"/>
  <c r="LJ15" i="14"/>
  <c r="LI15" i="14"/>
  <c r="LN27" i="14"/>
  <c r="LM27" i="14"/>
  <c r="LK27" i="14"/>
  <c r="LJ27" i="14"/>
  <c r="LI27" i="14"/>
  <c r="LN14" i="14"/>
  <c r="LM14" i="14"/>
  <c r="LK14" i="14"/>
  <c r="LJ14" i="14"/>
  <c r="LI14" i="14"/>
  <c r="LN26" i="14"/>
  <c r="LM26" i="14"/>
  <c r="LK26" i="14"/>
  <c r="LJ26" i="14"/>
  <c r="LI26" i="14"/>
  <c r="LN8" i="14"/>
  <c r="LM8" i="14"/>
  <c r="LK8" i="14"/>
  <c r="LJ8" i="14"/>
  <c r="LI8" i="14"/>
  <c r="LN13" i="14"/>
  <c r="LM13" i="14"/>
  <c r="LK13" i="14"/>
  <c r="LJ13" i="14"/>
  <c r="LI13" i="14"/>
  <c r="LN5" i="14"/>
  <c r="LM5" i="14"/>
  <c r="LK5" i="14"/>
  <c r="LJ5" i="14"/>
  <c r="LI5" i="14"/>
  <c r="LN4" i="14"/>
  <c r="LM4" i="14"/>
  <c r="LK4" i="14"/>
  <c r="LJ4" i="14"/>
  <c r="LI4" i="14"/>
  <c r="KR11" i="14"/>
  <c r="KQ11" i="14"/>
  <c r="KO11" i="14"/>
  <c r="KN11" i="14"/>
  <c r="KM11" i="14"/>
  <c r="KR10" i="14"/>
  <c r="KQ10" i="14"/>
  <c r="KO10" i="14"/>
  <c r="KN10" i="14"/>
  <c r="KM10" i="14"/>
  <c r="KR9" i="14"/>
  <c r="KQ9" i="14"/>
  <c r="KO9" i="14"/>
  <c r="KN9" i="14"/>
  <c r="KM9" i="14"/>
  <c r="KR19" i="14"/>
  <c r="KQ19" i="14"/>
  <c r="KO19" i="14"/>
  <c r="KN19" i="14"/>
  <c r="KM19" i="14"/>
  <c r="KR17" i="14"/>
  <c r="KQ17" i="14"/>
  <c r="KO17" i="14"/>
  <c r="KN17" i="14"/>
  <c r="KM17" i="14"/>
  <c r="KR20" i="14"/>
  <c r="KQ20" i="14"/>
  <c r="KO20" i="14"/>
  <c r="KN20" i="14"/>
  <c r="KM20" i="14"/>
  <c r="KR12" i="14"/>
  <c r="KQ12" i="14"/>
  <c r="KO12" i="14"/>
  <c r="KN12" i="14"/>
  <c r="KM12" i="14"/>
  <c r="KR15" i="14"/>
  <c r="KQ15" i="14"/>
  <c r="KO15" i="14"/>
  <c r="KN15" i="14"/>
  <c r="KM15" i="14"/>
  <c r="KR27" i="14"/>
  <c r="KQ27" i="14"/>
  <c r="KO27" i="14"/>
  <c r="KN27" i="14"/>
  <c r="KM27" i="14"/>
  <c r="KR14" i="14"/>
  <c r="KQ14" i="14"/>
  <c r="KO14" i="14"/>
  <c r="KN14" i="14"/>
  <c r="KM14" i="14"/>
  <c r="KR26" i="14"/>
  <c r="KQ26" i="14"/>
  <c r="KO26" i="14"/>
  <c r="KN26" i="14"/>
  <c r="KM26" i="14"/>
  <c r="KR8" i="14"/>
  <c r="KQ8" i="14"/>
  <c r="KO8" i="14"/>
  <c r="KN8" i="14"/>
  <c r="KM8" i="14"/>
  <c r="KR13" i="14"/>
  <c r="KQ13" i="14"/>
  <c r="KO13" i="14"/>
  <c r="KN13" i="14"/>
  <c r="KM13" i="14"/>
  <c r="KR5" i="14"/>
  <c r="KQ5" i="14"/>
  <c r="KO5" i="14"/>
  <c r="KN5" i="14"/>
  <c r="KM5" i="14"/>
  <c r="KR4" i="14"/>
  <c r="KQ4" i="14"/>
  <c r="KO4" i="14"/>
  <c r="KN4" i="14"/>
  <c r="KM4" i="14"/>
  <c r="JV11" i="14"/>
  <c r="JU11" i="14"/>
  <c r="JS11" i="14"/>
  <c r="JR11" i="14"/>
  <c r="JQ11" i="14"/>
  <c r="JV10" i="14"/>
  <c r="JU10" i="14"/>
  <c r="JS10" i="14"/>
  <c r="JR10" i="14"/>
  <c r="JQ10" i="14"/>
  <c r="JV9" i="14"/>
  <c r="JU9" i="14"/>
  <c r="JS9" i="14"/>
  <c r="JR9" i="14"/>
  <c r="JQ9" i="14"/>
  <c r="JV19" i="14"/>
  <c r="JU19" i="14"/>
  <c r="JS19" i="14"/>
  <c r="JR19" i="14"/>
  <c r="JQ19" i="14"/>
  <c r="JV17" i="14"/>
  <c r="JU17" i="14"/>
  <c r="JS17" i="14"/>
  <c r="JR17" i="14"/>
  <c r="JQ17" i="14"/>
  <c r="JV20" i="14"/>
  <c r="JU20" i="14"/>
  <c r="JS20" i="14"/>
  <c r="JR20" i="14"/>
  <c r="JQ20" i="14"/>
  <c r="JV12" i="14"/>
  <c r="JU12" i="14"/>
  <c r="JS12" i="14"/>
  <c r="JR12" i="14"/>
  <c r="JQ12" i="14"/>
  <c r="JV15" i="14"/>
  <c r="JU15" i="14"/>
  <c r="JS15" i="14"/>
  <c r="JR15" i="14"/>
  <c r="JQ15" i="14"/>
  <c r="JV27" i="14"/>
  <c r="JU27" i="14"/>
  <c r="JS27" i="14"/>
  <c r="JR27" i="14"/>
  <c r="JQ27" i="14"/>
  <c r="JV14" i="14"/>
  <c r="JU14" i="14"/>
  <c r="JS14" i="14"/>
  <c r="JR14" i="14"/>
  <c r="JQ14" i="14"/>
  <c r="JV26" i="14"/>
  <c r="JU26" i="14"/>
  <c r="JS26" i="14"/>
  <c r="JR26" i="14"/>
  <c r="JQ26" i="14"/>
  <c r="JV8" i="14"/>
  <c r="JU8" i="14"/>
  <c r="JS8" i="14"/>
  <c r="JR8" i="14"/>
  <c r="JQ8" i="14"/>
  <c r="JV13" i="14"/>
  <c r="JU13" i="14"/>
  <c r="JS13" i="14"/>
  <c r="JR13" i="14"/>
  <c r="JQ13" i="14"/>
  <c r="JV5" i="14"/>
  <c r="JU5" i="14"/>
  <c r="JS5" i="14"/>
  <c r="JR5" i="14"/>
  <c r="JQ5" i="14"/>
  <c r="JV4" i="14"/>
  <c r="JU4" i="14"/>
  <c r="JS4" i="14"/>
  <c r="JR4" i="14"/>
  <c r="JQ4" i="14"/>
  <c r="IZ11" i="14"/>
  <c r="IY11" i="14"/>
  <c r="IW11" i="14"/>
  <c r="IV11" i="14"/>
  <c r="IU11" i="14"/>
  <c r="IZ10" i="14"/>
  <c r="IY10" i="14"/>
  <c r="IW10" i="14"/>
  <c r="IV10" i="14"/>
  <c r="IU10" i="14"/>
  <c r="IZ9" i="14"/>
  <c r="IY9" i="14"/>
  <c r="IW9" i="14"/>
  <c r="IV9" i="14"/>
  <c r="IU9" i="14"/>
  <c r="IZ19" i="14"/>
  <c r="IY19" i="14"/>
  <c r="IW19" i="14"/>
  <c r="IV19" i="14"/>
  <c r="IU19" i="14"/>
  <c r="IZ17" i="14"/>
  <c r="IY17" i="14"/>
  <c r="IW17" i="14"/>
  <c r="IV17" i="14"/>
  <c r="IU17" i="14"/>
  <c r="IZ20" i="14"/>
  <c r="IY20" i="14"/>
  <c r="IW20" i="14"/>
  <c r="IV20" i="14"/>
  <c r="IU20" i="14"/>
  <c r="IZ12" i="14"/>
  <c r="IY12" i="14"/>
  <c r="IW12" i="14"/>
  <c r="IV12" i="14"/>
  <c r="IU12" i="14"/>
  <c r="IZ15" i="14"/>
  <c r="IY15" i="14"/>
  <c r="IW15" i="14"/>
  <c r="IV15" i="14"/>
  <c r="IU15" i="14"/>
  <c r="IZ27" i="14"/>
  <c r="IY27" i="14"/>
  <c r="IW27" i="14"/>
  <c r="IV27" i="14"/>
  <c r="IU27" i="14"/>
  <c r="IZ14" i="14"/>
  <c r="IY14" i="14"/>
  <c r="IW14" i="14"/>
  <c r="IV14" i="14"/>
  <c r="IU14" i="14"/>
  <c r="IZ26" i="14"/>
  <c r="IY26" i="14"/>
  <c r="IW26" i="14"/>
  <c r="IV26" i="14"/>
  <c r="IU26" i="14"/>
  <c r="IZ8" i="14"/>
  <c r="IY8" i="14"/>
  <c r="IW8" i="14"/>
  <c r="IV8" i="14"/>
  <c r="IU8" i="14"/>
  <c r="IZ13" i="14"/>
  <c r="IY13" i="14"/>
  <c r="IW13" i="14"/>
  <c r="IV13" i="14"/>
  <c r="IU13" i="14"/>
  <c r="IZ5" i="14"/>
  <c r="IY5" i="14"/>
  <c r="IW5" i="14"/>
  <c r="IV5" i="14"/>
  <c r="IU5" i="14"/>
  <c r="IZ4" i="14"/>
  <c r="IY4" i="14"/>
  <c r="IW4" i="14"/>
  <c r="IV4" i="14"/>
  <c r="IU4" i="14"/>
  <c r="ID11" i="14"/>
  <c r="IC11" i="14"/>
  <c r="IA11" i="14"/>
  <c r="HZ11" i="14"/>
  <c r="HY11" i="14"/>
  <c r="ID10" i="14"/>
  <c r="IC10" i="14"/>
  <c r="IA10" i="14"/>
  <c r="HZ10" i="14"/>
  <c r="HY10" i="14"/>
  <c r="ID9" i="14"/>
  <c r="IC9" i="14"/>
  <c r="IA9" i="14"/>
  <c r="HZ9" i="14"/>
  <c r="HY9" i="14"/>
  <c r="ID19" i="14"/>
  <c r="IC19" i="14"/>
  <c r="IA19" i="14"/>
  <c r="HZ19" i="14"/>
  <c r="HY19" i="14"/>
  <c r="ID17" i="14"/>
  <c r="IC17" i="14"/>
  <c r="IA17" i="14"/>
  <c r="HZ17" i="14"/>
  <c r="HY17" i="14"/>
  <c r="ID20" i="14"/>
  <c r="IC20" i="14"/>
  <c r="IA20" i="14"/>
  <c r="HZ20" i="14"/>
  <c r="HY20" i="14"/>
  <c r="ID12" i="14"/>
  <c r="IC12" i="14"/>
  <c r="IA12" i="14"/>
  <c r="HZ12" i="14"/>
  <c r="HY12" i="14"/>
  <c r="ID15" i="14"/>
  <c r="IC15" i="14"/>
  <c r="IA15" i="14"/>
  <c r="HZ15" i="14"/>
  <c r="HY15" i="14"/>
  <c r="ID27" i="14"/>
  <c r="IC27" i="14"/>
  <c r="IA27" i="14"/>
  <c r="HZ27" i="14"/>
  <c r="HY27" i="14"/>
  <c r="ID14" i="14"/>
  <c r="IC14" i="14"/>
  <c r="IA14" i="14"/>
  <c r="HZ14" i="14"/>
  <c r="HY14" i="14"/>
  <c r="ID26" i="14"/>
  <c r="IC26" i="14"/>
  <c r="IA26" i="14"/>
  <c r="HZ26" i="14"/>
  <c r="HY26" i="14"/>
  <c r="ID8" i="14"/>
  <c r="IC8" i="14"/>
  <c r="IA8" i="14"/>
  <c r="HZ8" i="14"/>
  <c r="HY8" i="14"/>
  <c r="ID13" i="14"/>
  <c r="IC13" i="14"/>
  <c r="IA13" i="14"/>
  <c r="HZ13" i="14"/>
  <c r="HY13" i="14"/>
  <c r="ID5" i="14"/>
  <c r="IC5" i="14"/>
  <c r="IA5" i="14"/>
  <c r="HZ5" i="14"/>
  <c r="HY5" i="14"/>
  <c r="ID4" i="14"/>
  <c r="IC4" i="14"/>
  <c r="IA4" i="14"/>
  <c r="HZ4" i="14"/>
  <c r="HY4" i="14"/>
  <c r="HH11" i="14"/>
  <c r="HG11" i="14"/>
  <c r="HE11" i="14"/>
  <c r="HD11" i="14"/>
  <c r="HC11" i="14"/>
  <c r="HH10" i="14"/>
  <c r="HG10" i="14"/>
  <c r="HE10" i="14"/>
  <c r="HD10" i="14"/>
  <c r="HC10" i="14"/>
  <c r="HH9" i="14"/>
  <c r="HG9" i="14"/>
  <c r="HE9" i="14"/>
  <c r="HD9" i="14"/>
  <c r="HC9" i="14"/>
  <c r="HH19" i="14"/>
  <c r="HG19" i="14"/>
  <c r="HE19" i="14"/>
  <c r="HD19" i="14"/>
  <c r="HC19" i="14"/>
  <c r="HH17" i="14"/>
  <c r="HG17" i="14"/>
  <c r="HE17" i="14"/>
  <c r="HD17" i="14"/>
  <c r="HC17" i="14"/>
  <c r="HH20" i="14"/>
  <c r="HG20" i="14"/>
  <c r="HE20" i="14"/>
  <c r="HD20" i="14"/>
  <c r="HC20" i="14"/>
  <c r="HH12" i="14"/>
  <c r="HG12" i="14"/>
  <c r="HE12" i="14"/>
  <c r="HD12" i="14"/>
  <c r="HC12" i="14"/>
  <c r="HH15" i="14"/>
  <c r="HG15" i="14"/>
  <c r="HE15" i="14"/>
  <c r="HD15" i="14"/>
  <c r="HC15" i="14"/>
  <c r="HH27" i="14"/>
  <c r="HG27" i="14"/>
  <c r="HE27" i="14"/>
  <c r="HD27" i="14"/>
  <c r="HC27" i="14"/>
  <c r="HH14" i="14"/>
  <c r="HG14" i="14"/>
  <c r="HE14" i="14"/>
  <c r="HD14" i="14"/>
  <c r="HC14" i="14"/>
  <c r="HH26" i="14"/>
  <c r="HG26" i="14"/>
  <c r="HE26" i="14"/>
  <c r="HD26" i="14"/>
  <c r="HC26" i="14"/>
  <c r="HH8" i="14"/>
  <c r="HG8" i="14"/>
  <c r="HE8" i="14"/>
  <c r="HD8" i="14"/>
  <c r="HC8" i="14"/>
  <c r="HH13" i="14"/>
  <c r="HG13" i="14"/>
  <c r="HE13" i="14"/>
  <c r="HD13" i="14"/>
  <c r="HC13" i="14"/>
  <c r="HH5" i="14"/>
  <c r="HG5" i="14"/>
  <c r="HE5" i="14"/>
  <c r="HD5" i="14"/>
  <c r="HC5" i="14"/>
  <c r="HH4" i="14"/>
  <c r="HG4" i="14"/>
  <c r="HE4" i="14"/>
  <c r="HD4" i="14"/>
  <c r="HC4" i="14"/>
  <c r="GL11" i="14"/>
  <c r="GK11" i="14"/>
  <c r="GI11" i="14"/>
  <c r="GH11" i="14"/>
  <c r="GG11" i="14"/>
  <c r="GL10" i="14"/>
  <c r="GK10" i="14"/>
  <c r="GI10" i="14"/>
  <c r="GH10" i="14"/>
  <c r="GG10" i="14"/>
  <c r="GL9" i="14"/>
  <c r="GK9" i="14"/>
  <c r="GI9" i="14"/>
  <c r="GH9" i="14"/>
  <c r="GG9" i="14"/>
  <c r="GL19" i="14"/>
  <c r="GK19" i="14"/>
  <c r="GI19" i="14"/>
  <c r="GH19" i="14"/>
  <c r="GG19" i="14"/>
  <c r="GL17" i="14"/>
  <c r="GK17" i="14"/>
  <c r="GI17" i="14"/>
  <c r="GH17" i="14"/>
  <c r="GG17" i="14"/>
  <c r="GL20" i="14"/>
  <c r="GK20" i="14"/>
  <c r="GI20" i="14"/>
  <c r="GH20" i="14"/>
  <c r="GG20" i="14"/>
  <c r="GL12" i="14"/>
  <c r="GK12" i="14"/>
  <c r="GI12" i="14"/>
  <c r="GH12" i="14"/>
  <c r="GG12" i="14"/>
  <c r="GL15" i="14"/>
  <c r="GK15" i="14"/>
  <c r="GI15" i="14"/>
  <c r="GH15" i="14"/>
  <c r="GG15" i="14"/>
  <c r="GL27" i="14"/>
  <c r="GK27" i="14"/>
  <c r="GI27" i="14"/>
  <c r="GH27" i="14"/>
  <c r="GG27" i="14"/>
  <c r="GL14" i="14"/>
  <c r="GK14" i="14"/>
  <c r="GI14" i="14"/>
  <c r="GH14" i="14"/>
  <c r="GG14" i="14"/>
  <c r="GL26" i="14"/>
  <c r="GK26" i="14"/>
  <c r="GI26" i="14"/>
  <c r="GH26" i="14"/>
  <c r="GG26" i="14"/>
  <c r="GL8" i="14"/>
  <c r="GK8" i="14"/>
  <c r="GI8" i="14"/>
  <c r="GH8" i="14"/>
  <c r="GG8" i="14"/>
  <c r="GL13" i="14"/>
  <c r="GK13" i="14"/>
  <c r="GI13" i="14"/>
  <c r="GH13" i="14"/>
  <c r="GG13" i="14"/>
  <c r="GL5" i="14"/>
  <c r="GK5" i="14"/>
  <c r="GI5" i="14"/>
  <c r="GH5" i="14"/>
  <c r="GG5" i="14"/>
  <c r="GL4" i="14"/>
  <c r="GK4" i="14"/>
  <c r="GI4" i="14"/>
  <c r="GH4" i="14"/>
  <c r="GG4" i="14"/>
  <c r="FP11" i="14"/>
  <c r="FO11" i="14"/>
  <c r="FM11" i="14"/>
  <c r="FL11" i="14"/>
  <c r="FK11" i="14"/>
  <c r="FP10" i="14"/>
  <c r="FO10" i="14"/>
  <c r="FM10" i="14"/>
  <c r="FL10" i="14"/>
  <c r="FK10" i="14"/>
  <c r="FP9" i="14"/>
  <c r="FO9" i="14"/>
  <c r="FM9" i="14"/>
  <c r="FL9" i="14"/>
  <c r="FK9" i="14"/>
  <c r="FP19" i="14"/>
  <c r="FO19" i="14"/>
  <c r="FM19" i="14"/>
  <c r="FL19" i="14"/>
  <c r="FK19" i="14"/>
  <c r="FP17" i="14"/>
  <c r="FO17" i="14"/>
  <c r="FM17" i="14"/>
  <c r="FL17" i="14"/>
  <c r="FK17" i="14"/>
  <c r="FP20" i="14"/>
  <c r="FO20" i="14"/>
  <c r="FM20" i="14"/>
  <c r="FL20" i="14"/>
  <c r="FK20" i="14"/>
  <c r="FP12" i="14"/>
  <c r="FO12" i="14"/>
  <c r="FM12" i="14"/>
  <c r="FL12" i="14"/>
  <c r="FK12" i="14"/>
  <c r="FP15" i="14"/>
  <c r="FO15" i="14"/>
  <c r="FM15" i="14"/>
  <c r="FL15" i="14"/>
  <c r="FK15" i="14"/>
  <c r="FP27" i="14"/>
  <c r="FO27" i="14"/>
  <c r="FM27" i="14"/>
  <c r="FL27" i="14"/>
  <c r="FK27" i="14"/>
  <c r="FP14" i="14"/>
  <c r="FO14" i="14"/>
  <c r="FM14" i="14"/>
  <c r="FL14" i="14"/>
  <c r="FK14" i="14"/>
  <c r="FP26" i="14"/>
  <c r="FO26" i="14"/>
  <c r="FM26" i="14"/>
  <c r="FL26" i="14"/>
  <c r="FK26" i="14"/>
  <c r="FP8" i="14"/>
  <c r="FO8" i="14"/>
  <c r="FM8" i="14"/>
  <c r="FL8" i="14"/>
  <c r="FK8" i="14"/>
  <c r="FP13" i="14"/>
  <c r="FO13" i="14"/>
  <c r="FM13" i="14"/>
  <c r="FL13" i="14"/>
  <c r="FK13" i="14"/>
  <c r="FP5" i="14"/>
  <c r="FO5" i="14"/>
  <c r="FM5" i="14"/>
  <c r="FL5" i="14"/>
  <c r="FK5" i="14"/>
  <c r="FP4" i="14"/>
  <c r="FO4" i="14"/>
  <c r="FM4" i="14"/>
  <c r="FL4" i="14"/>
  <c r="FK4" i="14"/>
  <c r="ET11" i="14"/>
  <c r="ES11" i="14"/>
  <c r="EQ11" i="14"/>
  <c r="EP11" i="14"/>
  <c r="EO11" i="14"/>
  <c r="ET10" i="14"/>
  <c r="ES10" i="14"/>
  <c r="EQ10" i="14"/>
  <c r="EP10" i="14"/>
  <c r="EO10" i="14"/>
  <c r="ET9" i="14"/>
  <c r="ES9" i="14"/>
  <c r="EQ9" i="14"/>
  <c r="EP9" i="14"/>
  <c r="EO9" i="14"/>
  <c r="ET19" i="14"/>
  <c r="ES19" i="14"/>
  <c r="EQ19" i="14"/>
  <c r="EP19" i="14"/>
  <c r="EO19" i="14"/>
  <c r="ET17" i="14"/>
  <c r="ES17" i="14"/>
  <c r="EQ17" i="14"/>
  <c r="EP17" i="14"/>
  <c r="EO17" i="14"/>
  <c r="ET20" i="14"/>
  <c r="ES20" i="14"/>
  <c r="EQ20" i="14"/>
  <c r="EP20" i="14"/>
  <c r="EO20" i="14"/>
  <c r="ET12" i="14"/>
  <c r="ES12" i="14"/>
  <c r="EQ12" i="14"/>
  <c r="EP12" i="14"/>
  <c r="EO12" i="14"/>
  <c r="ET15" i="14"/>
  <c r="ES15" i="14"/>
  <c r="EQ15" i="14"/>
  <c r="EP15" i="14"/>
  <c r="EO15" i="14"/>
  <c r="ET27" i="14"/>
  <c r="ES27" i="14"/>
  <c r="EQ27" i="14"/>
  <c r="EP27" i="14"/>
  <c r="EO27" i="14"/>
  <c r="ET14" i="14"/>
  <c r="ES14" i="14"/>
  <c r="EQ14" i="14"/>
  <c r="EP14" i="14"/>
  <c r="EO14" i="14"/>
  <c r="ET26" i="14"/>
  <c r="ES26" i="14"/>
  <c r="EQ26" i="14"/>
  <c r="EP26" i="14"/>
  <c r="EO26" i="14"/>
  <c r="ET8" i="14"/>
  <c r="ES8" i="14"/>
  <c r="EQ8" i="14"/>
  <c r="EP8" i="14"/>
  <c r="EO8" i="14"/>
  <c r="ET13" i="14"/>
  <c r="ES13" i="14"/>
  <c r="EQ13" i="14"/>
  <c r="EP13" i="14"/>
  <c r="EO13" i="14"/>
  <c r="ET5" i="14"/>
  <c r="ES5" i="14"/>
  <c r="EQ5" i="14"/>
  <c r="EP5" i="14"/>
  <c r="EO5" i="14"/>
  <c r="ET4" i="14"/>
  <c r="ES4" i="14"/>
  <c r="EQ4" i="14"/>
  <c r="EP4" i="14"/>
  <c r="EO4" i="14"/>
  <c r="DX11" i="14"/>
  <c r="DW11" i="14"/>
  <c r="DU11" i="14"/>
  <c r="DT11" i="14"/>
  <c r="DS11" i="14"/>
  <c r="DX10" i="14"/>
  <c r="DW10" i="14"/>
  <c r="DU10" i="14"/>
  <c r="DT10" i="14"/>
  <c r="DS10" i="14"/>
  <c r="DX9" i="14"/>
  <c r="DW9" i="14"/>
  <c r="DU9" i="14"/>
  <c r="DT9" i="14"/>
  <c r="DS9" i="14"/>
  <c r="DX19" i="14"/>
  <c r="DW19" i="14"/>
  <c r="DU19" i="14"/>
  <c r="DT19" i="14"/>
  <c r="DS19" i="14"/>
  <c r="DX17" i="14"/>
  <c r="DW17" i="14"/>
  <c r="DU17" i="14"/>
  <c r="DT17" i="14"/>
  <c r="DS17" i="14"/>
  <c r="DX20" i="14"/>
  <c r="DW20" i="14"/>
  <c r="DU20" i="14"/>
  <c r="DT20" i="14"/>
  <c r="DS20" i="14"/>
  <c r="DX12" i="14"/>
  <c r="DW12" i="14"/>
  <c r="DU12" i="14"/>
  <c r="DT12" i="14"/>
  <c r="DS12" i="14"/>
  <c r="DX15" i="14"/>
  <c r="DW15" i="14"/>
  <c r="DU15" i="14"/>
  <c r="DT15" i="14"/>
  <c r="DS15" i="14"/>
  <c r="DX27" i="14"/>
  <c r="DW27" i="14"/>
  <c r="DU27" i="14"/>
  <c r="DT27" i="14"/>
  <c r="DS27" i="14"/>
  <c r="DX14" i="14"/>
  <c r="DW14" i="14"/>
  <c r="DU14" i="14"/>
  <c r="DT14" i="14"/>
  <c r="DS14" i="14"/>
  <c r="DX26" i="14"/>
  <c r="DW26" i="14"/>
  <c r="DU26" i="14"/>
  <c r="DT26" i="14"/>
  <c r="DS26" i="14"/>
  <c r="DX8" i="14"/>
  <c r="DW8" i="14"/>
  <c r="DU8" i="14"/>
  <c r="DT8" i="14"/>
  <c r="DS8" i="14"/>
  <c r="DX13" i="14"/>
  <c r="DW13" i="14"/>
  <c r="DU13" i="14"/>
  <c r="DT13" i="14"/>
  <c r="DS13" i="14"/>
  <c r="DX5" i="14"/>
  <c r="DW5" i="14"/>
  <c r="DU5" i="14"/>
  <c r="DT5" i="14"/>
  <c r="DS5" i="14"/>
  <c r="DX4" i="14"/>
  <c r="DW4" i="14"/>
  <c r="DU4" i="14"/>
  <c r="DT4" i="14"/>
  <c r="DS4" i="14"/>
  <c r="MJ20" i="4"/>
  <c r="MI20" i="4"/>
  <c r="MG20" i="4"/>
  <c r="MF20" i="4"/>
  <c r="ME20" i="4"/>
  <c r="MJ14" i="4"/>
  <c r="MI14" i="4"/>
  <c r="MG14" i="4"/>
  <c r="MF14" i="4"/>
  <c r="ME14" i="4"/>
  <c r="MJ6" i="4"/>
  <c r="MI6" i="4"/>
  <c r="MG6" i="4"/>
  <c r="MF6" i="4"/>
  <c r="ME6" i="4"/>
  <c r="MJ13" i="4"/>
  <c r="MI13" i="4"/>
  <c r="MG13" i="4"/>
  <c r="MF13" i="4"/>
  <c r="ME13" i="4"/>
  <c r="MJ10" i="4"/>
  <c r="MI10" i="4"/>
  <c r="MG10" i="4"/>
  <c r="MF10" i="4"/>
  <c r="ME10" i="4"/>
  <c r="MJ12" i="4"/>
  <c r="MI12" i="4"/>
  <c r="MG12" i="4"/>
  <c r="MF12" i="4"/>
  <c r="ME12" i="4"/>
  <c r="MJ16" i="4"/>
  <c r="MI16" i="4"/>
  <c r="MG16" i="4"/>
  <c r="MF16" i="4"/>
  <c r="ME16" i="4"/>
  <c r="MJ15" i="4"/>
  <c r="MI15" i="4"/>
  <c r="MG15" i="4"/>
  <c r="MF15" i="4"/>
  <c r="ME15" i="4"/>
  <c r="MJ7" i="4"/>
  <c r="MI7" i="4"/>
  <c r="MG7" i="4"/>
  <c r="MF7" i="4"/>
  <c r="ME7" i="4"/>
  <c r="MJ8" i="4"/>
  <c r="MI8" i="4"/>
  <c r="MG8" i="4"/>
  <c r="MF8" i="4"/>
  <c r="ME8" i="4"/>
  <c r="MJ22" i="4"/>
  <c r="MI22" i="4"/>
  <c r="MG22" i="4"/>
  <c r="MF22" i="4"/>
  <c r="ME22" i="4"/>
  <c r="MJ19" i="4"/>
  <c r="MI19" i="4"/>
  <c r="MG19" i="4"/>
  <c r="MF19" i="4"/>
  <c r="ME19" i="4"/>
  <c r="MJ4" i="4"/>
  <c r="MI4" i="4"/>
  <c r="MG4" i="4"/>
  <c r="MF4" i="4"/>
  <c r="ME4" i="4"/>
  <c r="LN20" i="4"/>
  <c r="LM20" i="4"/>
  <c r="LK20" i="4"/>
  <c r="LJ20" i="4"/>
  <c r="LI20" i="4"/>
  <c r="LN14" i="4"/>
  <c r="LM14" i="4"/>
  <c r="LK14" i="4"/>
  <c r="LJ14" i="4"/>
  <c r="LI14" i="4"/>
  <c r="LN6" i="4"/>
  <c r="LM6" i="4"/>
  <c r="LK6" i="4"/>
  <c r="LJ6" i="4"/>
  <c r="LI6" i="4"/>
  <c r="LN13" i="4"/>
  <c r="LM13" i="4"/>
  <c r="LK13" i="4"/>
  <c r="LJ13" i="4"/>
  <c r="LI13" i="4"/>
  <c r="LN10" i="4"/>
  <c r="LM10" i="4"/>
  <c r="LK10" i="4"/>
  <c r="LJ10" i="4"/>
  <c r="LI10" i="4"/>
  <c r="LN12" i="4"/>
  <c r="LM12" i="4"/>
  <c r="LK12" i="4"/>
  <c r="LJ12" i="4"/>
  <c r="LI12" i="4"/>
  <c r="LN16" i="4"/>
  <c r="LM16" i="4"/>
  <c r="LK16" i="4"/>
  <c r="LJ16" i="4"/>
  <c r="LI16" i="4"/>
  <c r="LN15" i="4"/>
  <c r="LM15" i="4"/>
  <c r="LK15" i="4"/>
  <c r="LJ15" i="4"/>
  <c r="LI15" i="4"/>
  <c r="LN7" i="4"/>
  <c r="LM7" i="4"/>
  <c r="LK7" i="4"/>
  <c r="LJ7" i="4"/>
  <c r="LI7" i="4"/>
  <c r="LN8" i="4"/>
  <c r="LM8" i="4"/>
  <c r="LK8" i="4"/>
  <c r="LJ8" i="4"/>
  <c r="LI8" i="4"/>
  <c r="LN22" i="4"/>
  <c r="LM22" i="4"/>
  <c r="LK22" i="4"/>
  <c r="LJ22" i="4"/>
  <c r="LI22" i="4"/>
  <c r="LN19" i="4"/>
  <c r="LM19" i="4"/>
  <c r="LK19" i="4"/>
  <c r="LJ19" i="4"/>
  <c r="LI19" i="4"/>
  <c r="LN4" i="4"/>
  <c r="LM4" i="4"/>
  <c r="LK4" i="4"/>
  <c r="LJ4" i="4"/>
  <c r="LI4" i="4"/>
  <c r="KR20" i="4"/>
  <c r="KQ20" i="4"/>
  <c r="KO20" i="4"/>
  <c r="KN20" i="4"/>
  <c r="KM20" i="4"/>
  <c r="KR14" i="4"/>
  <c r="KQ14" i="4"/>
  <c r="KO14" i="4"/>
  <c r="KN14" i="4"/>
  <c r="KM14" i="4"/>
  <c r="KR6" i="4"/>
  <c r="KQ6" i="4"/>
  <c r="KO6" i="4"/>
  <c r="KN6" i="4"/>
  <c r="KM6" i="4"/>
  <c r="KR13" i="4"/>
  <c r="KQ13" i="4"/>
  <c r="KO13" i="4"/>
  <c r="KN13" i="4"/>
  <c r="KM13" i="4"/>
  <c r="KR10" i="4"/>
  <c r="KQ10" i="4"/>
  <c r="KO10" i="4"/>
  <c r="KN10" i="4"/>
  <c r="KM10" i="4"/>
  <c r="KR12" i="4"/>
  <c r="KQ12" i="4"/>
  <c r="KO12" i="4"/>
  <c r="KN12" i="4"/>
  <c r="KM12" i="4"/>
  <c r="KR16" i="4"/>
  <c r="KQ16" i="4"/>
  <c r="KO16" i="4"/>
  <c r="KN16" i="4"/>
  <c r="KM16" i="4"/>
  <c r="KR15" i="4"/>
  <c r="KQ15" i="4"/>
  <c r="KO15" i="4"/>
  <c r="KN15" i="4"/>
  <c r="KM15" i="4"/>
  <c r="KR7" i="4"/>
  <c r="KQ7" i="4"/>
  <c r="KO7" i="4"/>
  <c r="KN7" i="4"/>
  <c r="KM7" i="4"/>
  <c r="KR8" i="4"/>
  <c r="KQ8" i="4"/>
  <c r="KO8" i="4"/>
  <c r="KN8" i="4"/>
  <c r="KM8" i="4"/>
  <c r="KR22" i="4"/>
  <c r="KQ22" i="4"/>
  <c r="KO22" i="4"/>
  <c r="KN22" i="4"/>
  <c r="KM22" i="4"/>
  <c r="KR19" i="4"/>
  <c r="KQ19" i="4"/>
  <c r="KO19" i="4"/>
  <c r="KN19" i="4"/>
  <c r="KM19" i="4"/>
  <c r="KR4" i="4"/>
  <c r="KQ4" i="4"/>
  <c r="KO4" i="4"/>
  <c r="KN4" i="4"/>
  <c r="KM4" i="4"/>
  <c r="JV20" i="4"/>
  <c r="JU20" i="4"/>
  <c r="JS20" i="4"/>
  <c r="JR20" i="4"/>
  <c r="JQ20" i="4"/>
  <c r="JV14" i="4"/>
  <c r="JU14" i="4"/>
  <c r="JS14" i="4"/>
  <c r="JR14" i="4"/>
  <c r="JQ14" i="4"/>
  <c r="JV6" i="4"/>
  <c r="JU6" i="4"/>
  <c r="JS6" i="4"/>
  <c r="JR6" i="4"/>
  <c r="JQ6" i="4"/>
  <c r="JV13" i="4"/>
  <c r="JU13" i="4"/>
  <c r="JS13" i="4"/>
  <c r="JR13" i="4"/>
  <c r="JQ13" i="4"/>
  <c r="JV10" i="4"/>
  <c r="JU10" i="4"/>
  <c r="JS10" i="4"/>
  <c r="JR10" i="4"/>
  <c r="JQ10" i="4"/>
  <c r="JV12" i="4"/>
  <c r="JU12" i="4"/>
  <c r="JS12" i="4"/>
  <c r="JR12" i="4"/>
  <c r="JQ12" i="4"/>
  <c r="JV16" i="4"/>
  <c r="JU16" i="4"/>
  <c r="JS16" i="4"/>
  <c r="JR16" i="4"/>
  <c r="JQ16" i="4"/>
  <c r="JV15" i="4"/>
  <c r="JU15" i="4"/>
  <c r="JS15" i="4"/>
  <c r="JR15" i="4"/>
  <c r="JQ15" i="4"/>
  <c r="JV7" i="4"/>
  <c r="JU7" i="4"/>
  <c r="JS7" i="4"/>
  <c r="JR7" i="4"/>
  <c r="JQ7" i="4"/>
  <c r="JV8" i="4"/>
  <c r="JU8" i="4"/>
  <c r="JS8" i="4"/>
  <c r="JR8" i="4"/>
  <c r="JQ8" i="4"/>
  <c r="JV22" i="4"/>
  <c r="JU22" i="4"/>
  <c r="JS22" i="4"/>
  <c r="JR22" i="4"/>
  <c r="JQ22" i="4"/>
  <c r="JV19" i="4"/>
  <c r="JU19" i="4"/>
  <c r="JS19" i="4"/>
  <c r="JR19" i="4"/>
  <c r="JQ19" i="4"/>
  <c r="JV4" i="4"/>
  <c r="JU4" i="4"/>
  <c r="JS4" i="4"/>
  <c r="JR4" i="4"/>
  <c r="JQ4" i="4"/>
  <c r="IZ20" i="4"/>
  <c r="IY20" i="4"/>
  <c r="IW20" i="4"/>
  <c r="IV20" i="4"/>
  <c r="IU20" i="4"/>
  <c r="IZ14" i="4"/>
  <c r="IY14" i="4"/>
  <c r="IW14" i="4"/>
  <c r="IV14" i="4"/>
  <c r="IU14" i="4"/>
  <c r="IZ6" i="4"/>
  <c r="IY6" i="4"/>
  <c r="IW6" i="4"/>
  <c r="IV6" i="4"/>
  <c r="IU6" i="4"/>
  <c r="IZ13" i="4"/>
  <c r="IY13" i="4"/>
  <c r="IW13" i="4"/>
  <c r="IV13" i="4"/>
  <c r="IU13" i="4"/>
  <c r="IZ10" i="4"/>
  <c r="IY10" i="4"/>
  <c r="IW10" i="4"/>
  <c r="IV10" i="4"/>
  <c r="IU10" i="4"/>
  <c r="IZ12" i="4"/>
  <c r="IY12" i="4"/>
  <c r="IW12" i="4"/>
  <c r="IV12" i="4"/>
  <c r="IU12" i="4"/>
  <c r="IZ16" i="4"/>
  <c r="IY16" i="4"/>
  <c r="IW16" i="4"/>
  <c r="IV16" i="4"/>
  <c r="IU16" i="4"/>
  <c r="IZ15" i="4"/>
  <c r="IY15" i="4"/>
  <c r="IW15" i="4"/>
  <c r="IV15" i="4"/>
  <c r="IU15" i="4"/>
  <c r="IZ7" i="4"/>
  <c r="IY7" i="4"/>
  <c r="IW7" i="4"/>
  <c r="IV7" i="4"/>
  <c r="IU7" i="4"/>
  <c r="IZ8" i="4"/>
  <c r="IY8" i="4"/>
  <c r="IW8" i="4"/>
  <c r="IV8" i="4"/>
  <c r="IU8" i="4"/>
  <c r="IZ22" i="4"/>
  <c r="IY22" i="4"/>
  <c r="IW22" i="4"/>
  <c r="IV22" i="4"/>
  <c r="IU22" i="4"/>
  <c r="IZ19" i="4"/>
  <c r="IY19" i="4"/>
  <c r="IW19" i="4"/>
  <c r="IV19" i="4"/>
  <c r="IU19" i="4"/>
  <c r="IZ4" i="4"/>
  <c r="IY4" i="4"/>
  <c r="IW4" i="4"/>
  <c r="IV4" i="4"/>
  <c r="IU4" i="4"/>
  <c r="ID20" i="4"/>
  <c r="IC20" i="4"/>
  <c r="IA20" i="4"/>
  <c r="HZ20" i="4"/>
  <c r="HY20" i="4"/>
  <c r="ID14" i="4"/>
  <c r="IC14" i="4"/>
  <c r="IA14" i="4"/>
  <c r="HZ14" i="4"/>
  <c r="HY14" i="4"/>
  <c r="ID6" i="4"/>
  <c r="IC6" i="4"/>
  <c r="IA6" i="4"/>
  <c r="HZ6" i="4"/>
  <c r="HY6" i="4"/>
  <c r="ID13" i="4"/>
  <c r="IC13" i="4"/>
  <c r="IA13" i="4"/>
  <c r="HZ13" i="4"/>
  <c r="HY13" i="4"/>
  <c r="ID10" i="4"/>
  <c r="IC10" i="4"/>
  <c r="IA10" i="4"/>
  <c r="HZ10" i="4"/>
  <c r="HY10" i="4"/>
  <c r="ID12" i="4"/>
  <c r="IC12" i="4"/>
  <c r="IA12" i="4"/>
  <c r="HZ12" i="4"/>
  <c r="HY12" i="4"/>
  <c r="ID16" i="4"/>
  <c r="IC16" i="4"/>
  <c r="IA16" i="4"/>
  <c r="HZ16" i="4"/>
  <c r="HY16" i="4"/>
  <c r="ID15" i="4"/>
  <c r="IC15" i="4"/>
  <c r="IA15" i="4"/>
  <c r="HZ15" i="4"/>
  <c r="HY15" i="4"/>
  <c r="ID7" i="4"/>
  <c r="IC7" i="4"/>
  <c r="IA7" i="4"/>
  <c r="HZ7" i="4"/>
  <c r="HY7" i="4"/>
  <c r="ID8" i="4"/>
  <c r="IC8" i="4"/>
  <c r="IA8" i="4"/>
  <c r="HZ8" i="4"/>
  <c r="HY8" i="4"/>
  <c r="ID22" i="4"/>
  <c r="IC22" i="4"/>
  <c r="IA22" i="4"/>
  <c r="HZ22" i="4"/>
  <c r="HY22" i="4"/>
  <c r="ID19" i="4"/>
  <c r="IC19" i="4"/>
  <c r="IA19" i="4"/>
  <c r="HZ19" i="4"/>
  <c r="HY19" i="4"/>
  <c r="ID4" i="4"/>
  <c r="IC4" i="4"/>
  <c r="IA4" i="4"/>
  <c r="HZ4" i="4"/>
  <c r="HY4" i="4"/>
  <c r="HH20" i="4"/>
  <c r="HG20" i="4"/>
  <c r="HE20" i="4"/>
  <c r="HD20" i="4"/>
  <c r="HC20" i="4"/>
  <c r="HH14" i="4"/>
  <c r="HG14" i="4"/>
  <c r="HE14" i="4"/>
  <c r="HD14" i="4"/>
  <c r="HC14" i="4"/>
  <c r="HH6" i="4"/>
  <c r="HG6" i="4"/>
  <c r="HE6" i="4"/>
  <c r="HD6" i="4"/>
  <c r="HC6" i="4"/>
  <c r="HH13" i="4"/>
  <c r="HG13" i="4"/>
  <c r="HE13" i="4"/>
  <c r="HD13" i="4"/>
  <c r="HC13" i="4"/>
  <c r="HH10" i="4"/>
  <c r="HG10" i="4"/>
  <c r="HE10" i="4"/>
  <c r="HD10" i="4"/>
  <c r="HC10" i="4"/>
  <c r="HH12" i="4"/>
  <c r="HG12" i="4"/>
  <c r="HE12" i="4"/>
  <c r="HD12" i="4"/>
  <c r="HC12" i="4"/>
  <c r="HH16" i="4"/>
  <c r="HG16" i="4"/>
  <c r="HE16" i="4"/>
  <c r="HD16" i="4"/>
  <c r="HC16" i="4"/>
  <c r="HH15" i="4"/>
  <c r="HG15" i="4"/>
  <c r="HE15" i="4"/>
  <c r="HD15" i="4"/>
  <c r="HC15" i="4"/>
  <c r="HH7" i="4"/>
  <c r="HG7" i="4"/>
  <c r="HE7" i="4"/>
  <c r="HD7" i="4"/>
  <c r="HC7" i="4"/>
  <c r="HH8" i="4"/>
  <c r="HG8" i="4"/>
  <c r="HE8" i="4"/>
  <c r="HD8" i="4"/>
  <c r="HC8" i="4"/>
  <c r="HH22" i="4"/>
  <c r="HG22" i="4"/>
  <c r="HE22" i="4"/>
  <c r="HD22" i="4"/>
  <c r="HC22" i="4"/>
  <c r="HH19" i="4"/>
  <c r="HG19" i="4"/>
  <c r="HE19" i="4"/>
  <c r="HD19" i="4"/>
  <c r="HC19" i="4"/>
  <c r="HH4" i="4"/>
  <c r="HG4" i="4"/>
  <c r="HE4" i="4"/>
  <c r="HD4" i="4"/>
  <c r="HC4" i="4"/>
  <c r="GL20" i="4"/>
  <c r="GK20" i="4"/>
  <c r="GI20" i="4"/>
  <c r="GH20" i="4"/>
  <c r="GG20" i="4"/>
  <c r="GL14" i="4"/>
  <c r="GK14" i="4"/>
  <c r="GI14" i="4"/>
  <c r="GH14" i="4"/>
  <c r="GG14" i="4"/>
  <c r="GL6" i="4"/>
  <c r="GK6" i="4"/>
  <c r="GI6" i="4"/>
  <c r="GH6" i="4"/>
  <c r="GG6" i="4"/>
  <c r="GL13" i="4"/>
  <c r="GK13" i="4"/>
  <c r="GI13" i="4"/>
  <c r="GH13" i="4"/>
  <c r="GG13" i="4"/>
  <c r="GL10" i="4"/>
  <c r="GK10" i="4"/>
  <c r="GI10" i="4"/>
  <c r="GH10" i="4"/>
  <c r="GG10" i="4"/>
  <c r="GL12" i="4"/>
  <c r="GK12" i="4"/>
  <c r="GI12" i="4"/>
  <c r="GH12" i="4"/>
  <c r="GG12" i="4"/>
  <c r="GL16" i="4"/>
  <c r="GK16" i="4"/>
  <c r="GI16" i="4"/>
  <c r="GH16" i="4"/>
  <c r="GG16" i="4"/>
  <c r="GL15" i="4"/>
  <c r="GK15" i="4"/>
  <c r="GI15" i="4"/>
  <c r="GH15" i="4"/>
  <c r="GG15" i="4"/>
  <c r="GL7" i="4"/>
  <c r="GK7" i="4"/>
  <c r="GI7" i="4"/>
  <c r="GH7" i="4"/>
  <c r="GG7" i="4"/>
  <c r="GL8" i="4"/>
  <c r="GK8" i="4"/>
  <c r="GI8" i="4"/>
  <c r="GH8" i="4"/>
  <c r="GG8" i="4"/>
  <c r="GL22" i="4"/>
  <c r="GK22" i="4"/>
  <c r="GI22" i="4"/>
  <c r="GH22" i="4"/>
  <c r="GG22" i="4"/>
  <c r="GL19" i="4"/>
  <c r="GK19" i="4"/>
  <c r="GI19" i="4"/>
  <c r="GH19" i="4"/>
  <c r="GG19" i="4"/>
  <c r="GL4" i="4"/>
  <c r="GK4" i="4"/>
  <c r="GI4" i="4"/>
  <c r="GH4" i="4"/>
  <c r="GG4" i="4"/>
  <c r="FP20" i="4"/>
  <c r="FO20" i="4"/>
  <c r="FM20" i="4"/>
  <c r="FL20" i="4"/>
  <c r="FK20" i="4"/>
  <c r="FP14" i="4"/>
  <c r="FO14" i="4"/>
  <c r="FM14" i="4"/>
  <c r="FL14" i="4"/>
  <c r="FK14" i="4"/>
  <c r="FP6" i="4"/>
  <c r="FO6" i="4"/>
  <c r="FM6" i="4"/>
  <c r="FL6" i="4"/>
  <c r="FK6" i="4"/>
  <c r="FP13" i="4"/>
  <c r="FO13" i="4"/>
  <c r="FM13" i="4"/>
  <c r="FL13" i="4"/>
  <c r="FK13" i="4"/>
  <c r="FP10" i="4"/>
  <c r="FO10" i="4"/>
  <c r="FM10" i="4"/>
  <c r="FL10" i="4"/>
  <c r="FK10" i="4"/>
  <c r="FP12" i="4"/>
  <c r="FO12" i="4"/>
  <c r="FM12" i="4"/>
  <c r="FL12" i="4"/>
  <c r="FK12" i="4"/>
  <c r="FP16" i="4"/>
  <c r="FO16" i="4"/>
  <c r="FM16" i="4"/>
  <c r="FL16" i="4"/>
  <c r="FK16" i="4"/>
  <c r="FP15" i="4"/>
  <c r="FO15" i="4"/>
  <c r="FM15" i="4"/>
  <c r="FL15" i="4"/>
  <c r="FK15" i="4"/>
  <c r="FP7" i="4"/>
  <c r="FO7" i="4"/>
  <c r="FM7" i="4"/>
  <c r="FL7" i="4"/>
  <c r="FK7" i="4"/>
  <c r="FP8" i="4"/>
  <c r="FO8" i="4"/>
  <c r="FM8" i="4"/>
  <c r="FL8" i="4"/>
  <c r="FK8" i="4"/>
  <c r="FP22" i="4"/>
  <c r="FO22" i="4"/>
  <c r="FM22" i="4"/>
  <c r="FL22" i="4"/>
  <c r="FK22" i="4"/>
  <c r="FP19" i="4"/>
  <c r="FO19" i="4"/>
  <c r="FM19" i="4"/>
  <c r="FL19" i="4"/>
  <c r="FK19" i="4"/>
  <c r="FP4" i="4"/>
  <c r="FO4" i="4"/>
  <c r="FM4" i="4"/>
  <c r="FL4" i="4"/>
  <c r="FK4" i="4"/>
  <c r="ET20" i="4"/>
  <c r="ES20" i="4"/>
  <c r="EQ20" i="4"/>
  <c r="EP20" i="4"/>
  <c r="EO20" i="4"/>
  <c r="ET14" i="4"/>
  <c r="ES14" i="4"/>
  <c r="EQ14" i="4"/>
  <c r="EP14" i="4"/>
  <c r="EO14" i="4"/>
  <c r="ET6" i="4"/>
  <c r="ES6" i="4"/>
  <c r="EQ6" i="4"/>
  <c r="EP6" i="4"/>
  <c r="EO6" i="4"/>
  <c r="ET13" i="4"/>
  <c r="ES13" i="4"/>
  <c r="EQ13" i="4"/>
  <c r="EP13" i="4"/>
  <c r="EO13" i="4"/>
  <c r="ET10" i="4"/>
  <c r="ES10" i="4"/>
  <c r="EQ10" i="4"/>
  <c r="EP10" i="4"/>
  <c r="EO10" i="4"/>
  <c r="ET12" i="4"/>
  <c r="ES12" i="4"/>
  <c r="EQ12" i="4"/>
  <c r="EP12" i="4"/>
  <c r="EO12" i="4"/>
  <c r="ET16" i="4"/>
  <c r="ES16" i="4"/>
  <c r="EQ16" i="4"/>
  <c r="EP16" i="4"/>
  <c r="EO16" i="4"/>
  <c r="ET15" i="4"/>
  <c r="ES15" i="4"/>
  <c r="EQ15" i="4"/>
  <c r="EP15" i="4"/>
  <c r="EO15" i="4"/>
  <c r="ET7" i="4"/>
  <c r="ES7" i="4"/>
  <c r="EQ7" i="4"/>
  <c r="EP7" i="4"/>
  <c r="EO7" i="4"/>
  <c r="ET8" i="4"/>
  <c r="ES8" i="4"/>
  <c r="EQ8" i="4"/>
  <c r="EP8" i="4"/>
  <c r="EO8" i="4"/>
  <c r="ET22" i="4"/>
  <c r="ES22" i="4"/>
  <c r="EQ22" i="4"/>
  <c r="EP22" i="4"/>
  <c r="EO22" i="4"/>
  <c r="ET19" i="4"/>
  <c r="ES19" i="4"/>
  <c r="EQ19" i="4"/>
  <c r="EP19" i="4"/>
  <c r="EO19" i="4"/>
  <c r="ET4" i="4"/>
  <c r="ES4" i="4"/>
  <c r="EQ4" i="4"/>
  <c r="EP4" i="4"/>
  <c r="EO4" i="4"/>
  <c r="DX20" i="4"/>
  <c r="DW20" i="4"/>
  <c r="DU20" i="4"/>
  <c r="DT20" i="4"/>
  <c r="DS20" i="4"/>
  <c r="DX14" i="4"/>
  <c r="DW14" i="4"/>
  <c r="DU14" i="4"/>
  <c r="DT14" i="4"/>
  <c r="DS14" i="4"/>
  <c r="DX6" i="4"/>
  <c r="DW6" i="4"/>
  <c r="DU6" i="4"/>
  <c r="DT6" i="4"/>
  <c r="DS6" i="4"/>
  <c r="DX13" i="4"/>
  <c r="DW13" i="4"/>
  <c r="DU13" i="4"/>
  <c r="DT13" i="4"/>
  <c r="DS13" i="4"/>
  <c r="DX10" i="4"/>
  <c r="DW10" i="4"/>
  <c r="DU10" i="4"/>
  <c r="DT10" i="4"/>
  <c r="DS10" i="4"/>
  <c r="DX12" i="4"/>
  <c r="DW12" i="4"/>
  <c r="DU12" i="4"/>
  <c r="DT12" i="4"/>
  <c r="DS12" i="4"/>
  <c r="DX16" i="4"/>
  <c r="DW16" i="4"/>
  <c r="DU16" i="4"/>
  <c r="DT16" i="4"/>
  <c r="DS16" i="4"/>
  <c r="DX15" i="4"/>
  <c r="DW15" i="4"/>
  <c r="DU15" i="4"/>
  <c r="DT15" i="4"/>
  <c r="DS15" i="4"/>
  <c r="DX7" i="4"/>
  <c r="DW7" i="4"/>
  <c r="DU7" i="4"/>
  <c r="DT7" i="4"/>
  <c r="DS7" i="4"/>
  <c r="DX8" i="4"/>
  <c r="DW8" i="4"/>
  <c r="DU8" i="4"/>
  <c r="DT8" i="4"/>
  <c r="DS8" i="4"/>
  <c r="DX22" i="4"/>
  <c r="DW22" i="4"/>
  <c r="DU22" i="4"/>
  <c r="DT22" i="4"/>
  <c r="DS22" i="4"/>
  <c r="DX19" i="4"/>
  <c r="DW19" i="4"/>
  <c r="DU19" i="4"/>
  <c r="DT19" i="4"/>
  <c r="DS19" i="4"/>
  <c r="DX4" i="4"/>
  <c r="DW4" i="4"/>
  <c r="DU4" i="4"/>
  <c r="DT4" i="4"/>
  <c r="DS4" i="4"/>
  <c r="CS10" i="14"/>
  <c r="CT10" i="14"/>
  <c r="CU10" i="14"/>
  <c r="CV10" i="14"/>
  <c r="CW10" i="14"/>
  <c r="CY10" i="14"/>
  <c r="CZ10" i="14"/>
  <c r="NA10" i="14"/>
  <c r="NB10" i="14"/>
  <c r="NC10" i="14"/>
  <c r="NE10" i="14"/>
  <c r="NF10" i="14"/>
  <c r="NH10" i="14"/>
  <c r="NI10" i="14"/>
  <c r="NJ10" i="14"/>
  <c r="NK10" i="14"/>
  <c r="NL10" i="14"/>
  <c r="NM10" i="14"/>
  <c r="NN10" i="14"/>
  <c r="NO10" i="14"/>
  <c r="OD10" i="14" s="1"/>
  <c r="NP10" i="14"/>
  <c r="NQ10" i="14"/>
  <c r="NR10" i="14"/>
  <c r="NS10" i="14"/>
  <c r="NT10" i="14"/>
  <c r="OF10" i="14" s="1"/>
  <c r="NU10" i="14"/>
  <c r="NV10" i="14"/>
  <c r="NW10" i="14"/>
  <c r="NX10" i="14"/>
  <c r="NY10" i="14"/>
  <c r="OI10" i="14" s="1"/>
  <c r="NZ10" i="14"/>
  <c r="OA10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17" i="14"/>
  <c r="CT17" i="14"/>
  <c r="CU17" i="14"/>
  <c r="G17" i="14" s="1"/>
  <c r="CV17" i="14"/>
  <c r="CW17" i="14"/>
  <c r="CY17" i="14"/>
  <c r="CZ17" i="14"/>
  <c r="NA17" i="14"/>
  <c r="NB17" i="14"/>
  <c r="NC17" i="14"/>
  <c r="NE17" i="14"/>
  <c r="NF17" i="14"/>
  <c r="NH17" i="14"/>
  <c r="NI17" i="14"/>
  <c r="NJ17" i="14"/>
  <c r="NK17" i="14"/>
  <c r="NL17" i="14"/>
  <c r="NM17" i="14"/>
  <c r="NN17" i="14"/>
  <c r="NO17" i="14"/>
  <c r="OD17" i="14" s="1"/>
  <c r="NP17" i="14"/>
  <c r="NQ17" i="14"/>
  <c r="NR17" i="14"/>
  <c r="NS17" i="14"/>
  <c r="NT17" i="14"/>
  <c r="OF17" i="14" s="1"/>
  <c r="NU17" i="14"/>
  <c r="NV17" i="14"/>
  <c r="NW17" i="14"/>
  <c r="NX17" i="14"/>
  <c r="NY17" i="14"/>
  <c r="OI17" i="14" s="1"/>
  <c r="NZ17" i="14"/>
  <c r="OA17" i="14"/>
  <c r="CS12" i="14"/>
  <c r="CT12" i="14"/>
  <c r="CU12" i="14"/>
  <c r="G12" i="14" s="1"/>
  <c r="CV12" i="14"/>
  <c r="CW12" i="14"/>
  <c r="CY12" i="14"/>
  <c r="CZ12" i="14"/>
  <c r="NA12" i="14"/>
  <c r="NB12" i="14"/>
  <c r="NC12" i="14"/>
  <c r="NE12" i="14"/>
  <c r="NF12" i="14"/>
  <c r="NH12" i="14"/>
  <c r="NI12" i="14"/>
  <c r="NJ12" i="14"/>
  <c r="NK12" i="14"/>
  <c r="NL12" i="14"/>
  <c r="NM12" i="14"/>
  <c r="NN12" i="14"/>
  <c r="NO12" i="14"/>
  <c r="OD12" i="14" s="1"/>
  <c r="NP12" i="14"/>
  <c r="NQ12" i="14"/>
  <c r="NR12" i="14"/>
  <c r="NS12" i="14"/>
  <c r="NT12" i="14"/>
  <c r="OF12" i="14" s="1"/>
  <c r="NU12" i="14"/>
  <c r="NV12" i="14"/>
  <c r="NW12" i="14"/>
  <c r="NX12" i="14"/>
  <c r="NY12" i="14"/>
  <c r="OI12" i="14" s="1"/>
  <c r="NZ12" i="14"/>
  <c r="OA12" i="14"/>
  <c r="CS13" i="4"/>
  <c r="CT13" i="4"/>
  <c r="CU13" i="4"/>
  <c r="CV13" i="4"/>
  <c r="CW13" i="4"/>
  <c r="CY13" i="4"/>
  <c r="CZ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G10" i="14" l="1"/>
  <c r="L21" i="14"/>
  <c r="L18" i="14"/>
  <c r="J6" i="14"/>
  <c r="L6" i="14"/>
  <c r="J21" i="14"/>
  <c r="J16" i="14"/>
  <c r="J7" i="14"/>
  <c r="J18" i="14"/>
  <c r="L24" i="4"/>
  <c r="F10" i="14"/>
  <c r="F12" i="14"/>
  <c r="H12" i="14" s="1"/>
  <c r="F17" i="14"/>
  <c r="H17" i="14" s="1"/>
  <c r="G13" i="4"/>
  <c r="A23" i="4" a="1"/>
  <c r="A23" i="4" s="1"/>
  <c r="H23" i="4"/>
  <c r="F13" i="4"/>
  <c r="A24" i="4" a="1"/>
  <c r="A24" i="4" s="1"/>
  <c r="H24" i="4"/>
  <c r="A28" i="4" a="1"/>
  <c r="A28" i="4" s="1"/>
  <c r="H28" i="4"/>
  <c r="H17" i="4"/>
  <c r="A17" i="4" a="1"/>
  <c r="A17" i="4" s="1"/>
  <c r="G9" i="14"/>
  <c r="F9" i="14"/>
  <c r="H21" i="14"/>
  <c r="A21" i="14" a="1"/>
  <c r="A21" i="14" s="1"/>
  <c r="H16" i="14"/>
  <c r="A16" i="14" a="1"/>
  <c r="A16" i="14" s="1"/>
  <c r="H18" i="14"/>
  <c r="A18" i="14" a="1"/>
  <c r="A18" i="14" s="1"/>
  <c r="H22" i="14"/>
  <c r="A22" i="14" a="1"/>
  <c r="A22" i="14" s="1"/>
  <c r="H7" i="14"/>
  <c r="H6" i="14"/>
  <c r="DY28" i="4"/>
  <c r="DY24" i="4"/>
  <c r="DY23" i="4"/>
  <c r="DY17" i="4"/>
  <c r="J23" i="4"/>
  <c r="M17" i="4"/>
  <c r="M28" i="4"/>
  <c r="N28" i="4" s="1"/>
  <c r="OH7" i="14"/>
  <c r="L7" i="14"/>
  <c r="IB8" i="14"/>
  <c r="IE8" i="14" s="1"/>
  <c r="OH6" i="14"/>
  <c r="OH17" i="4"/>
  <c r="DV13" i="14"/>
  <c r="DY13" i="14" s="1"/>
  <c r="J22" i="14"/>
  <c r="OH22" i="14"/>
  <c r="OH24" i="4"/>
  <c r="OK24" i="4" s="1"/>
  <c r="OH21" i="14"/>
  <c r="OH18" i="14"/>
  <c r="HF12" i="14"/>
  <c r="HI12" i="14" s="1"/>
  <c r="IB27" i="14"/>
  <c r="IE27" i="14" s="1"/>
  <c r="JT5" i="14"/>
  <c r="JW5" i="14" s="1"/>
  <c r="M22" i="14"/>
  <c r="L22" i="14"/>
  <c r="OH16" i="14"/>
  <c r="LL17" i="14"/>
  <c r="LO17" i="14" s="1"/>
  <c r="MH5" i="14"/>
  <c r="MK5" i="14" s="1"/>
  <c r="MH11" i="14"/>
  <c r="MK11" i="14" s="1"/>
  <c r="KP17" i="14"/>
  <c r="KS17" i="14" s="1"/>
  <c r="LL5" i="14"/>
  <c r="LO5" i="14" s="1"/>
  <c r="LL12" i="14"/>
  <c r="LO12" i="14" s="1"/>
  <c r="L16" i="14"/>
  <c r="MH27" i="14"/>
  <c r="MK27" i="14" s="1"/>
  <c r="HF9" i="14"/>
  <c r="HI9" i="14" s="1"/>
  <c r="JT14" i="14"/>
  <c r="JW14" i="14" s="1"/>
  <c r="MH6" i="4"/>
  <c r="MK6" i="4" s="1"/>
  <c r="DV6" i="4"/>
  <c r="J17" i="4"/>
  <c r="L17" i="4"/>
  <c r="OH28" i="4"/>
  <c r="OH23" i="4"/>
  <c r="OK23" i="4" s="1"/>
  <c r="IB6" i="4"/>
  <c r="IE6" i="4" s="1"/>
  <c r="IX10" i="4"/>
  <c r="JA10" i="4" s="1"/>
  <c r="JT16" i="4"/>
  <c r="JW16" i="4" s="1"/>
  <c r="J28" i="4"/>
  <c r="MH20" i="4"/>
  <c r="MK20" i="4" s="1"/>
  <c r="J24" i="4"/>
  <c r="MH14" i="4"/>
  <c r="MK14" i="4" s="1"/>
  <c r="LL12" i="4"/>
  <c r="LO12" i="4" s="1"/>
  <c r="IB14" i="4"/>
  <c r="IE14" i="4" s="1"/>
  <c r="IX13" i="4"/>
  <c r="JA13" i="4" s="1"/>
  <c r="KP15" i="4"/>
  <c r="KS15" i="4" s="1"/>
  <c r="LL4" i="4"/>
  <c r="LO4" i="4" s="1"/>
  <c r="LL14" i="4"/>
  <c r="LO14" i="4" s="1"/>
  <c r="MH8" i="4"/>
  <c r="MK8" i="4" s="1"/>
  <c r="MH13" i="4"/>
  <c r="MK13" i="4" s="1"/>
  <c r="L28" i="4"/>
  <c r="L23" i="4"/>
  <c r="ER10" i="4"/>
  <c r="EU10" i="4" s="1"/>
  <c r="DV10" i="4"/>
  <c r="IB9" i="14"/>
  <c r="IE9" i="14" s="1"/>
  <c r="ER17" i="14"/>
  <c r="EU17" i="14" s="1"/>
  <c r="GJ14" i="14"/>
  <c r="GM14" i="14" s="1"/>
  <c r="HF8" i="14"/>
  <c r="HI8" i="14" s="1"/>
  <c r="LL26" i="14"/>
  <c r="LO26" i="14" s="1"/>
  <c r="MH9" i="14"/>
  <c r="MK9" i="14" s="1"/>
  <c r="HF17" i="14"/>
  <c r="HI17" i="14" s="1"/>
  <c r="IB11" i="14"/>
  <c r="IE11" i="14" s="1"/>
  <c r="GJ5" i="14"/>
  <c r="GM5" i="14" s="1"/>
  <c r="IB20" i="14"/>
  <c r="IE20" i="14" s="1"/>
  <c r="DV5" i="14"/>
  <c r="DY5" i="14" s="1"/>
  <c r="ER9" i="14"/>
  <c r="EU9" i="14" s="1"/>
  <c r="HF4" i="14"/>
  <c r="HI4" i="14" s="1"/>
  <c r="IB19" i="14"/>
  <c r="IE19" i="14" s="1"/>
  <c r="IX27" i="14"/>
  <c r="JA27" i="14" s="1"/>
  <c r="LL14" i="14"/>
  <c r="LO14" i="14" s="1"/>
  <c r="LL8" i="14"/>
  <c r="LO8" i="14" s="1"/>
  <c r="LL15" i="14"/>
  <c r="LO15" i="14" s="1"/>
  <c r="FN6" i="4"/>
  <c r="FQ6" i="4" s="1"/>
  <c r="HF16" i="4"/>
  <c r="HI16" i="4" s="1"/>
  <c r="IX6" i="4"/>
  <c r="JA6" i="4" s="1"/>
  <c r="JT10" i="4"/>
  <c r="JW10" i="4" s="1"/>
  <c r="LL20" i="4"/>
  <c r="LO20" i="4" s="1"/>
  <c r="HF14" i="4"/>
  <c r="HI14" i="4" s="1"/>
  <c r="KP10" i="4"/>
  <c r="KS10" i="4" s="1"/>
  <c r="IB10" i="4"/>
  <c r="IE10" i="4" s="1"/>
  <c r="FN7" i="4"/>
  <c r="FQ7" i="4" s="1"/>
  <c r="FN14" i="4"/>
  <c r="FQ14" i="4" s="1"/>
  <c r="GJ8" i="4"/>
  <c r="GM8" i="4" s="1"/>
  <c r="GJ13" i="4"/>
  <c r="GM13" i="4" s="1"/>
  <c r="MH10" i="4"/>
  <c r="MK10" i="4" s="1"/>
  <c r="DV4" i="4"/>
  <c r="DV7" i="4"/>
  <c r="DV13" i="4"/>
  <c r="ER12" i="4"/>
  <c r="EU12" i="4" s="1"/>
  <c r="ER4" i="4"/>
  <c r="EU4" i="4" s="1"/>
  <c r="FN12" i="4"/>
  <c r="FQ12" i="4" s="1"/>
  <c r="GJ6" i="4"/>
  <c r="GM6" i="4" s="1"/>
  <c r="HF10" i="4"/>
  <c r="HI10" i="4" s="1"/>
  <c r="LL10" i="4"/>
  <c r="LO10" i="4" s="1"/>
  <c r="MH16" i="4"/>
  <c r="MK16" i="4" s="1"/>
  <c r="FN9" i="14"/>
  <c r="FQ9" i="14" s="1"/>
  <c r="FN8" i="14"/>
  <c r="FQ8" i="14" s="1"/>
  <c r="IB13" i="14"/>
  <c r="IE13" i="14" s="1"/>
  <c r="GJ12" i="14"/>
  <c r="GM12" i="14" s="1"/>
  <c r="GJ19" i="14"/>
  <c r="GM19" i="14" s="1"/>
  <c r="HF27" i="14"/>
  <c r="HI27" i="14" s="1"/>
  <c r="IX5" i="14"/>
  <c r="JA5" i="14" s="1"/>
  <c r="IX11" i="14"/>
  <c r="JA11" i="14" s="1"/>
  <c r="JT11" i="14"/>
  <c r="JW11" i="14" s="1"/>
  <c r="KP14" i="14"/>
  <c r="KS14" i="14" s="1"/>
  <c r="KP9" i="14"/>
  <c r="KS9" i="14" s="1"/>
  <c r="MH15" i="14"/>
  <c r="MK15" i="14" s="1"/>
  <c r="LL10" i="14"/>
  <c r="LO10" i="14" s="1"/>
  <c r="ER13" i="14"/>
  <c r="EU13" i="14" s="1"/>
  <c r="ER12" i="14"/>
  <c r="EU12" i="14" s="1"/>
  <c r="FN27" i="14"/>
  <c r="FQ27" i="14" s="1"/>
  <c r="GJ17" i="14"/>
  <c r="GM17" i="14" s="1"/>
  <c r="IX8" i="14"/>
  <c r="JA8" i="14" s="1"/>
  <c r="IX20" i="14"/>
  <c r="JA20" i="14" s="1"/>
  <c r="IX9" i="14"/>
  <c r="JA9" i="14" s="1"/>
  <c r="JT20" i="14"/>
  <c r="JW20" i="14" s="1"/>
  <c r="KP4" i="14"/>
  <c r="KS4" i="14" s="1"/>
  <c r="KP10" i="14"/>
  <c r="KS10" i="14" s="1"/>
  <c r="KP13" i="14"/>
  <c r="KS13" i="14" s="1"/>
  <c r="KP12" i="14"/>
  <c r="KS12" i="14" s="1"/>
  <c r="LL13" i="14"/>
  <c r="LO13" i="14" s="1"/>
  <c r="FN26" i="14"/>
  <c r="FQ26" i="14" s="1"/>
  <c r="HF26" i="14"/>
  <c r="HI26" i="14" s="1"/>
  <c r="IB17" i="14"/>
  <c r="IE17" i="14" s="1"/>
  <c r="IX26" i="14"/>
  <c r="JA26" i="14" s="1"/>
  <c r="KP5" i="14"/>
  <c r="KS5" i="14" s="1"/>
  <c r="LL9" i="14"/>
  <c r="LO9" i="14" s="1"/>
  <c r="MH8" i="14"/>
  <c r="MK8" i="14" s="1"/>
  <c r="MH14" i="14"/>
  <c r="MK14" i="14" s="1"/>
  <c r="MH20" i="14"/>
  <c r="MK20" i="14" s="1"/>
  <c r="DV27" i="14"/>
  <c r="DY27" i="14" s="1"/>
  <c r="DV17" i="14"/>
  <c r="DY17" i="14" s="1"/>
  <c r="ER5" i="14"/>
  <c r="EU5" i="14" s="1"/>
  <c r="ER11" i="14"/>
  <c r="EU11" i="14" s="1"/>
  <c r="FN14" i="14"/>
  <c r="FQ14" i="14" s="1"/>
  <c r="FN11" i="14"/>
  <c r="FQ11" i="14" s="1"/>
  <c r="HF14" i="14"/>
  <c r="HI14" i="14" s="1"/>
  <c r="HF11" i="14"/>
  <c r="HI11" i="14" s="1"/>
  <c r="IB14" i="14"/>
  <c r="IE14" i="14" s="1"/>
  <c r="IX14" i="14"/>
  <c r="JA14" i="14" s="1"/>
  <c r="JT9" i="14"/>
  <c r="JW9" i="14" s="1"/>
  <c r="KP20" i="14"/>
  <c r="KS20" i="14" s="1"/>
  <c r="MH10" i="14"/>
  <c r="MK10" i="14" s="1"/>
  <c r="DV14" i="14"/>
  <c r="DY14" i="14" s="1"/>
  <c r="DV9" i="14"/>
  <c r="DY9" i="14" s="1"/>
  <c r="ER8" i="14"/>
  <c r="EU8" i="14" s="1"/>
  <c r="ER14" i="14"/>
  <c r="EU14" i="14" s="1"/>
  <c r="ER20" i="14"/>
  <c r="EU20" i="14" s="1"/>
  <c r="FN15" i="14"/>
  <c r="FQ15" i="14" s="1"/>
  <c r="GJ4" i="14"/>
  <c r="GM4" i="14" s="1"/>
  <c r="GJ20" i="14"/>
  <c r="GM20" i="14" s="1"/>
  <c r="GJ9" i="14"/>
  <c r="GM9" i="14" s="1"/>
  <c r="HF20" i="14"/>
  <c r="HI20" i="14" s="1"/>
  <c r="IB4" i="14"/>
  <c r="IE4" i="14" s="1"/>
  <c r="IB15" i="14"/>
  <c r="IE15" i="14" s="1"/>
  <c r="JT4" i="14"/>
  <c r="JW4" i="14" s="1"/>
  <c r="JT15" i="14"/>
  <c r="JW15" i="14" s="1"/>
  <c r="JT10" i="14"/>
  <c r="JW10" i="14" s="1"/>
  <c r="MH13" i="14"/>
  <c r="MK13" i="14" s="1"/>
  <c r="MH12" i="14"/>
  <c r="MK12" i="14" s="1"/>
  <c r="MH19" i="14"/>
  <c r="MK19" i="14" s="1"/>
  <c r="ER4" i="14"/>
  <c r="EU4" i="14" s="1"/>
  <c r="ER10" i="14"/>
  <c r="EU10" i="14" s="1"/>
  <c r="FN10" i="14"/>
  <c r="FQ10" i="14" s="1"/>
  <c r="GJ15" i="14"/>
  <c r="GM15" i="14" s="1"/>
  <c r="DV4" i="14"/>
  <c r="DY4" i="14" s="1"/>
  <c r="DV15" i="14"/>
  <c r="DY15" i="14" s="1"/>
  <c r="FN13" i="14"/>
  <c r="FQ13" i="14" s="1"/>
  <c r="IB12" i="14"/>
  <c r="IE12" i="14" s="1"/>
  <c r="IX13" i="14"/>
  <c r="JA13" i="14" s="1"/>
  <c r="IX12" i="14"/>
  <c r="JA12" i="14" s="1"/>
  <c r="IX19" i="14"/>
  <c r="JA19" i="14" s="1"/>
  <c r="LL27" i="14"/>
  <c r="LO27" i="14" s="1"/>
  <c r="MH17" i="14"/>
  <c r="MK17" i="14" s="1"/>
  <c r="DV22" i="4"/>
  <c r="ER14" i="4"/>
  <c r="EU14" i="4" s="1"/>
  <c r="GJ15" i="4"/>
  <c r="GM15" i="4" s="1"/>
  <c r="GJ10" i="4"/>
  <c r="GM10" i="4" s="1"/>
  <c r="HF4" i="4"/>
  <c r="HI4" i="4" s="1"/>
  <c r="HF7" i="4"/>
  <c r="HI7" i="4" s="1"/>
  <c r="JT4" i="4"/>
  <c r="JW4" i="4" s="1"/>
  <c r="JT7" i="4"/>
  <c r="JW7" i="4" s="1"/>
  <c r="JT14" i="4"/>
  <c r="JW14" i="4" s="1"/>
  <c r="KP8" i="4"/>
  <c r="KS8" i="4" s="1"/>
  <c r="KP13" i="4"/>
  <c r="KS13" i="4" s="1"/>
  <c r="DV8" i="4"/>
  <c r="FN4" i="4"/>
  <c r="FQ4" i="4" s="1"/>
  <c r="IB8" i="4"/>
  <c r="IE8" i="4" s="1"/>
  <c r="IB13" i="4"/>
  <c r="IE13" i="4" s="1"/>
  <c r="KP4" i="4"/>
  <c r="KS4" i="4" s="1"/>
  <c r="KP7" i="4"/>
  <c r="KS7" i="4" s="1"/>
  <c r="KP14" i="4"/>
  <c r="KS14" i="4" s="1"/>
  <c r="LL8" i="4"/>
  <c r="LO8" i="4" s="1"/>
  <c r="LL13" i="4"/>
  <c r="LO13" i="4" s="1"/>
  <c r="IB4" i="4"/>
  <c r="IE4" i="4" s="1"/>
  <c r="IB7" i="4"/>
  <c r="IE7" i="4" s="1"/>
  <c r="LL19" i="4"/>
  <c r="LO19" i="4" s="1"/>
  <c r="LL16" i="4"/>
  <c r="LO16" i="4" s="1"/>
  <c r="CX13" i="4"/>
  <c r="DA13" i="4" s="1"/>
  <c r="ER8" i="4"/>
  <c r="EU8" i="4" s="1"/>
  <c r="ER20" i="4"/>
  <c r="EU20" i="4" s="1"/>
  <c r="FN10" i="4"/>
  <c r="FQ10" i="4" s="1"/>
  <c r="GJ19" i="4"/>
  <c r="GM19" i="4" s="1"/>
  <c r="HF12" i="4"/>
  <c r="HI12" i="4" s="1"/>
  <c r="IB15" i="4"/>
  <c r="IE15" i="4" s="1"/>
  <c r="IX16" i="4"/>
  <c r="JA16" i="4" s="1"/>
  <c r="JT12" i="4"/>
  <c r="JW12" i="4" s="1"/>
  <c r="ER19" i="4"/>
  <c r="EU19" i="4" s="1"/>
  <c r="ER16" i="4"/>
  <c r="EU16" i="4" s="1"/>
  <c r="ER13" i="4"/>
  <c r="EU13" i="4" s="1"/>
  <c r="FN15" i="4"/>
  <c r="FQ15" i="4" s="1"/>
  <c r="GJ4" i="4"/>
  <c r="GM4" i="4" s="1"/>
  <c r="GJ7" i="4"/>
  <c r="GM7" i="4" s="1"/>
  <c r="GJ14" i="4"/>
  <c r="GM14" i="4" s="1"/>
  <c r="IX4" i="4"/>
  <c r="JA4" i="4" s="1"/>
  <c r="IX14" i="4"/>
  <c r="JA14" i="4" s="1"/>
  <c r="MH4" i="4"/>
  <c r="MK4" i="4" s="1"/>
  <c r="MH7" i="4"/>
  <c r="MK7" i="4" s="1"/>
  <c r="DV16" i="4"/>
  <c r="DV20" i="4"/>
  <c r="ER15" i="4"/>
  <c r="EU15" i="4" s="1"/>
  <c r="FN22" i="4"/>
  <c r="FQ22" i="4" s="1"/>
  <c r="FN20" i="4"/>
  <c r="FQ20" i="4" s="1"/>
  <c r="HF22" i="4"/>
  <c r="HI22" i="4" s="1"/>
  <c r="HF6" i="4"/>
  <c r="HI6" i="4" s="1"/>
  <c r="IB12" i="4"/>
  <c r="IE12" i="4" s="1"/>
  <c r="IX7" i="4"/>
  <c r="JA7" i="4" s="1"/>
  <c r="JT22" i="4"/>
  <c r="JW22" i="4" s="1"/>
  <c r="JT6" i="4"/>
  <c r="JW6" i="4" s="1"/>
  <c r="KP16" i="4"/>
  <c r="KS16" i="4" s="1"/>
  <c r="KP20" i="4"/>
  <c r="KS20" i="4" s="1"/>
  <c r="LL15" i="4"/>
  <c r="LO15" i="4" s="1"/>
  <c r="MH19" i="4"/>
  <c r="MK19" i="4" s="1"/>
  <c r="MH12" i="4"/>
  <c r="MK12" i="4" s="1"/>
  <c r="ER22" i="4"/>
  <c r="EU22" i="4" s="1"/>
  <c r="ER6" i="4"/>
  <c r="EU6" i="4" s="1"/>
  <c r="FN19" i="4"/>
  <c r="FQ19" i="4" s="1"/>
  <c r="FN8" i="4"/>
  <c r="FQ8" i="4" s="1"/>
  <c r="GJ22" i="4"/>
  <c r="GM22" i="4" s="1"/>
  <c r="HF19" i="4"/>
  <c r="HI19" i="4" s="1"/>
  <c r="HF8" i="4"/>
  <c r="HI8" i="4" s="1"/>
  <c r="HF20" i="4"/>
  <c r="HI20" i="4" s="1"/>
  <c r="IB16" i="4"/>
  <c r="IE16" i="4" s="1"/>
  <c r="IB20" i="4"/>
  <c r="IE20" i="4" s="1"/>
  <c r="IX15" i="4"/>
  <c r="JA15" i="4" s="1"/>
  <c r="JT19" i="4"/>
  <c r="JW19" i="4" s="1"/>
  <c r="JT8" i="4"/>
  <c r="JW8" i="4" s="1"/>
  <c r="JT20" i="4"/>
  <c r="JW20" i="4" s="1"/>
  <c r="LL22" i="4"/>
  <c r="LO22" i="4" s="1"/>
  <c r="LL6" i="4"/>
  <c r="LO6" i="4" s="1"/>
  <c r="DV15" i="4"/>
  <c r="DV14" i="4"/>
  <c r="HF13" i="4"/>
  <c r="HI13" i="4" s="1"/>
  <c r="JT13" i="4"/>
  <c r="JW13" i="4" s="1"/>
  <c r="GJ12" i="4"/>
  <c r="GM12" i="4" s="1"/>
  <c r="IB22" i="4"/>
  <c r="IE22" i="4" s="1"/>
  <c r="IX22" i="4"/>
  <c r="JA22" i="4" s="1"/>
  <c r="KP22" i="4"/>
  <c r="KS22" i="4" s="1"/>
  <c r="IX12" i="4"/>
  <c r="JA12" i="4" s="1"/>
  <c r="OG13" i="4"/>
  <c r="DV19" i="4"/>
  <c r="DV12" i="4"/>
  <c r="ER7" i="4"/>
  <c r="EU7" i="4" s="1"/>
  <c r="FN16" i="4"/>
  <c r="FQ16" i="4" s="1"/>
  <c r="FN13" i="4"/>
  <c r="FQ13" i="4" s="1"/>
  <c r="GJ16" i="4"/>
  <c r="GM16" i="4" s="1"/>
  <c r="GJ20" i="4"/>
  <c r="GM20" i="4" s="1"/>
  <c r="HF15" i="4"/>
  <c r="HI15" i="4" s="1"/>
  <c r="IB19" i="4"/>
  <c r="IE19" i="4" s="1"/>
  <c r="IX19" i="4"/>
  <c r="JA19" i="4" s="1"/>
  <c r="IX8" i="4"/>
  <c r="JA8" i="4" s="1"/>
  <c r="IX20" i="4"/>
  <c r="JA20" i="4" s="1"/>
  <c r="JT15" i="4"/>
  <c r="JW15" i="4" s="1"/>
  <c r="KP19" i="4"/>
  <c r="KS19" i="4" s="1"/>
  <c r="KP12" i="4"/>
  <c r="KS12" i="4" s="1"/>
  <c r="KP6" i="4"/>
  <c r="KS6" i="4" s="1"/>
  <c r="LL7" i="4"/>
  <c r="LO7" i="4" s="1"/>
  <c r="MH22" i="4"/>
  <c r="MK22" i="4" s="1"/>
  <c r="MH15" i="4"/>
  <c r="MK15" i="4" s="1"/>
  <c r="ER19" i="14"/>
  <c r="EU19" i="14" s="1"/>
  <c r="IX10" i="14"/>
  <c r="JA10" i="14" s="1"/>
  <c r="LL19" i="14"/>
  <c r="LO19" i="14" s="1"/>
  <c r="OG10" i="14"/>
  <c r="DV8" i="14"/>
  <c r="DY8" i="14" s="1"/>
  <c r="ER26" i="14"/>
  <c r="EU26" i="14" s="1"/>
  <c r="ER27" i="14"/>
  <c r="EU27" i="14" s="1"/>
  <c r="FN12" i="14"/>
  <c r="FQ12" i="14" s="1"/>
  <c r="FN19" i="14"/>
  <c r="FQ19" i="14" s="1"/>
  <c r="GJ13" i="14"/>
  <c r="GM13" i="14" s="1"/>
  <c r="GJ10" i="14"/>
  <c r="GM10" i="14" s="1"/>
  <c r="IB5" i="14"/>
  <c r="IE5" i="14" s="1"/>
  <c r="IX17" i="14"/>
  <c r="JA17" i="14" s="1"/>
  <c r="JT13" i="14"/>
  <c r="JW13" i="14" s="1"/>
  <c r="KP8" i="14"/>
  <c r="KS8" i="14" s="1"/>
  <c r="KP11" i="14"/>
  <c r="KS11" i="14" s="1"/>
  <c r="MH4" i="14"/>
  <c r="MK4" i="14" s="1"/>
  <c r="DV20" i="14"/>
  <c r="DY20" i="14" s="1"/>
  <c r="DV11" i="14"/>
  <c r="DY11" i="14" s="1"/>
  <c r="FN5" i="14"/>
  <c r="FQ5" i="14" s="1"/>
  <c r="FN17" i="14"/>
  <c r="FQ17" i="14" s="1"/>
  <c r="GJ26" i="14"/>
  <c r="GM26" i="14" s="1"/>
  <c r="GJ27" i="14"/>
  <c r="GM27" i="14" s="1"/>
  <c r="HF13" i="14"/>
  <c r="HI13" i="14" s="1"/>
  <c r="HF15" i="14"/>
  <c r="HI15" i="14" s="1"/>
  <c r="IB26" i="14"/>
  <c r="IE26" i="14" s="1"/>
  <c r="IB10" i="14"/>
  <c r="IE10" i="14" s="1"/>
  <c r="IX4" i="14"/>
  <c r="JA4" i="14" s="1"/>
  <c r="JT26" i="14"/>
  <c r="JW26" i="14" s="1"/>
  <c r="JT27" i="14"/>
  <c r="JW27" i="14" s="1"/>
  <c r="JT12" i="14"/>
  <c r="JW12" i="14" s="1"/>
  <c r="JT19" i="14"/>
  <c r="JW19" i="14" s="1"/>
  <c r="KP15" i="14"/>
  <c r="KS15" i="14" s="1"/>
  <c r="LL4" i="14"/>
  <c r="LO4" i="14" s="1"/>
  <c r="LL11" i="14"/>
  <c r="LO11" i="14" s="1"/>
  <c r="MH26" i="14"/>
  <c r="MK26" i="14" s="1"/>
  <c r="HF19" i="14"/>
  <c r="HI19" i="14" s="1"/>
  <c r="IX15" i="14"/>
  <c r="JA15" i="14" s="1"/>
  <c r="JT17" i="14"/>
  <c r="JW17" i="14" s="1"/>
  <c r="KP19" i="14"/>
  <c r="KS19" i="14" s="1"/>
  <c r="DV26" i="14"/>
  <c r="DY26" i="14" s="1"/>
  <c r="DV12" i="14"/>
  <c r="DY12" i="14" s="1"/>
  <c r="DV19" i="14"/>
  <c r="DY19" i="14" s="1"/>
  <c r="DV10" i="14"/>
  <c r="DY10" i="14" s="1"/>
  <c r="ER15" i="14"/>
  <c r="EU15" i="14" s="1"/>
  <c r="FN4" i="14"/>
  <c r="FQ4" i="14" s="1"/>
  <c r="FN20" i="14"/>
  <c r="FQ20" i="14" s="1"/>
  <c r="GJ8" i="14"/>
  <c r="GM8" i="14" s="1"/>
  <c r="GJ11" i="14"/>
  <c r="GM11" i="14" s="1"/>
  <c r="HF5" i="14"/>
  <c r="HI5" i="14" s="1"/>
  <c r="HF10" i="14"/>
  <c r="HI10" i="14" s="1"/>
  <c r="JT8" i="14"/>
  <c r="JW8" i="14" s="1"/>
  <c r="KP26" i="14"/>
  <c r="KS26" i="14" s="1"/>
  <c r="KP27" i="14"/>
  <c r="KS27" i="14" s="1"/>
  <c r="LL20" i="14"/>
  <c r="LO20" i="14" s="1"/>
  <c r="ND10" i="14"/>
  <c r="NG10" i="14" s="1"/>
  <c r="CX12" i="14"/>
  <c r="DA12" i="14" s="1"/>
  <c r="ND17" i="14"/>
  <c r="NG17" i="14" s="1"/>
  <c r="CX17" i="14"/>
  <c r="DA17" i="14" s="1"/>
  <c r="CX9" i="14"/>
  <c r="DA9" i="14" s="1"/>
  <c r="CX10" i="14"/>
  <c r="DA10" i="14" s="1"/>
  <c r="OG12" i="14"/>
  <c r="ND13" i="4"/>
  <c r="NG13" i="4" s="1"/>
  <c r="OE10" i="14"/>
  <c r="OC10" i="14"/>
  <c r="I10" i="14"/>
  <c r="DB10" i="14" s="1"/>
  <c r="K10" i="14"/>
  <c r="DC10" i="14" s="1"/>
  <c r="ND9" i="14"/>
  <c r="NG9" i="14" s="1"/>
  <c r="OG9" i="14"/>
  <c r="OE9" i="14"/>
  <c r="OC9" i="14"/>
  <c r="I9" i="14"/>
  <c r="DB9" i="14" s="1"/>
  <c r="K9" i="14"/>
  <c r="DC9" i="14" s="1"/>
  <c r="OG17" i="14"/>
  <c r="OE17" i="14"/>
  <c r="OC17" i="14"/>
  <c r="I17" i="14"/>
  <c r="DB17" i="14" s="1"/>
  <c r="K17" i="14"/>
  <c r="DC17" i="14" s="1"/>
  <c r="ND12" i="14"/>
  <c r="NG12" i="14" s="1"/>
  <c r="OE12" i="14"/>
  <c r="OC12" i="14"/>
  <c r="K12" i="14"/>
  <c r="DC12" i="14" s="1"/>
  <c r="I12" i="14"/>
  <c r="DB12" i="14" s="1"/>
  <c r="OE13" i="4"/>
  <c r="OC13" i="4"/>
  <c r="I13" i="4"/>
  <c r="DB13" i="4" s="1"/>
  <c r="K13" i="4"/>
  <c r="DC13" i="4" s="1"/>
  <c r="H10" i="14" l="1"/>
  <c r="A10" i="14" a="1"/>
  <c r="A10" i="14" s="1"/>
  <c r="H9" i="14"/>
  <c r="A12" i="14" a="1"/>
  <c r="A12" i="14" s="1"/>
  <c r="A17" i="14" a="1"/>
  <c r="A17" i="14" s="1"/>
  <c r="OK29" i="4"/>
  <c r="OK28" i="4"/>
  <c r="H13" i="4"/>
  <c r="A13" i="4" a="1"/>
  <c r="A13" i="4" s="1"/>
  <c r="DY8" i="4"/>
  <c r="DY6" i="4"/>
  <c r="DY16" i="4"/>
  <c r="DY13" i="4"/>
  <c r="DY22" i="4"/>
  <c r="DY7" i="4"/>
  <c r="DY15" i="4"/>
  <c r="DY12" i="4"/>
  <c r="DY4" i="4"/>
  <c r="DY10" i="4"/>
  <c r="E28" i="4"/>
  <c r="DY19" i="4"/>
  <c r="DY14" i="4"/>
  <c r="DY20" i="4"/>
  <c r="E17" i="4"/>
  <c r="J13" i="4"/>
  <c r="M7" i="14"/>
  <c r="E7" i="14" s="1"/>
  <c r="M6" i="14"/>
  <c r="E6" i="14" s="1"/>
  <c r="M18" i="14"/>
  <c r="N18" i="14" s="1"/>
  <c r="M21" i="14"/>
  <c r="O21" i="14" s="1"/>
  <c r="E22" i="14"/>
  <c r="N22" i="14"/>
  <c r="O22" i="14"/>
  <c r="M16" i="14"/>
  <c r="E16" i="14" s="1"/>
  <c r="O17" i="4"/>
  <c r="M24" i="4"/>
  <c r="N24" i="4" s="1"/>
  <c r="N17" i="4"/>
  <c r="O28" i="4"/>
  <c r="M23" i="4"/>
  <c r="E23" i="4" s="1"/>
  <c r="OH17" i="14"/>
  <c r="OH10" i="14"/>
  <c r="J10" i="14"/>
  <c r="M10" i="14"/>
  <c r="L10" i="14"/>
  <c r="J9" i="14"/>
  <c r="OH9" i="14"/>
  <c r="M9" i="14"/>
  <c r="L9" i="14"/>
  <c r="J17" i="14"/>
  <c r="M17" i="14"/>
  <c r="L17" i="14"/>
  <c r="OH12" i="14"/>
  <c r="L12" i="14"/>
  <c r="J12" i="14"/>
  <c r="OH13" i="4"/>
  <c r="L13" i="4"/>
  <c r="CS7" i="4"/>
  <c r="CT7" i="4"/>
  <c r="CU7" i="4"/>
  <c r="CV7" i="4"/>
  <c r="CW7" i="4"/>
  <c r="CY7" i="4"/>
  <c r="CZ7" i="4"/>
  <c r="NA7" i="4"/>
  <c r="NB7" i="4"/>
  <c r="NC7" i="4"/>
  <c r="NE7" i="4"/>
  <c r="NF7" i="4"/>
  <c r="NH7" i="4"/>
  <c r="NI7" i="4"/>
  <c r="NJ7" i="4"/>
  <c r="NK7" i="4"/>
  <c r="NL7" i="4"/>
  <c r="NM7" i="4"/>
  <c r="NN7" i="4"/>
  <c r="NO7" i="4"/>
  <c r="OD7" i="4" s="1"/>
  <c r="NP7" i="4"/>
  <c r="NQ7" i="4"/>
  <c r="NR7" i="4"/>
  <c r="NS7" i="4"/>
  <c r="NT7" i="4"/>
  <c r="OF7" i="4" s="1"/>
  <c r="NU7" i="4"/>
  <c r="NV7" i="4"/>
  <c r="NW7" i="4"/>
  <c r="NX7" i="4"/>
  <c r="NY7" i="4"/>
  <c r="OI7" i="4" s="1"/>
  <c r="NZ7" i="4"/>
  <c r="OA7" i="4"/>
  <c r="CS19" i="4"/>
  <c r="CT19" i="4"/>
  <c r="CU19" i="4"/>
  <c r="CV19" i="4"/>
  <c r="CW19" i="4"/>
  <c r="CY19" i="4"/>
  <c r="CZ19" i="4"/>
  <c r="NA19" i="4"/>
  <c r="NB19" i="4"/>
  <c r="NC19" i="4"/>
  <c r="NE19" i="4"/>
  <c r="NF19" i="4"/>
  <c r="NH19" i="4"/>
  <c r="NI19" i="4"/>
  <c r="NJ19" i="4"/>
  <c r="NK19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CS4" i="4"/>
  <c r="CT4" i="4"/>
  <c r="CU4" i="4"/>
  <c r="CV4" i="4"/>
  <c r="CW4" i="4"/>
  <c r="CY4" i="4"/>
  <c r="CZ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CS4" i="14"/>
  <c r="CT4" i="14"/>
  <c r="CU4" i="14"/>
  <c r="CV4" i="14"/>
  <c r="CW4" i="14"/>
  <c r="CY4" i="14"/>
  <c r="CZ4" i="14"/>
  <c r="NA4" i="14"/>
  <c r="NB4" i="14"/>
  <c r="NC4" i="14"/>
  <c r="NE4" i="14"/>
  <c r="NF4" i="14"/>
  <c r="NH4" i="14"/>
  <c r="NI4" i="14"/>
  <c r="NJ4" i="14"/>
  <c r="NK4" i="14"/>
  <c r="NL4" i="14"/>
  <c r="NM4" i="14"/>
  <c r="NN4" i="14"/>
  <c r="NO4" i="14"/>
  <c r="OD4" i="14" s="1"/>
  <c r="NP4" i="14"/>
  <c r="NQ4" i="14"/>
  <c r="NR4" i="14"/>
  <c r="NS4" i="14"/>
  <c r="NT4" i="14"/>
  <c r="OF4" i="14" s="1"/>
  <c r="NU4" i="14"/>
  <c r="NV4" i="14"/>
  <c r="NW4" i="14"/>
  <c r="NX4" i="14"/>
  <c r="NY4" i="14"/>
  <c r="OI4" i="14" s="1"/>
  <c r="NZ4" i="14"/>
  <c r="OA4" i="14"/>
  <c r="F4" i="4" l="1"/>
  <c r="H4" i="4" s="1"/>
  <c r="F19" i="4"/>
  <c r="G4" i="4"/>
  <c r="G19" i="4"/>
  <c r="G7" i="4"/>
  <c r="F4" i="14"/>
  <c r="G4" i="14"/>
  <c r="F7" i="4"/>
  <c r="H7" i="4" s="1"/>
  <c r="E24" i="4"/>
  <c r="O7" i="14"/>
  <c r="N7" i="14"/>
  <c r="N6" i="14"/>
  <c r="O6" i="14"/>
  <c r="E18" i="14"/>
  <c r="O18" i="14"/>
  <c r="E21" i="14"/>
  <c r="O16" i="14"/>
  <c r="N16" i="14"/>
  <c r="N21" i="14"/>
  <c r="O24" i="4"/>
  <c r="O23" i="4"/>
  <c r="N23" i="4"/>
  <c r="M13" i="4"/>
  <c r="N13" i="4" s="1"/>
  <c r="E10" i="14"/>
  <c r="N10" i="14"/>
  <c r="O10" i="14"/>
  <c r="E9" i="14"/>
  <c r="N9" i="14"/>
  <c r="O9" i="14"/>
  <c r="M12" i="14"/>
  <c r="E12" i="14" s="1"/>
  <c r="E17" i="14"/>
  <c r="N17" i="14"/>
  <c r="O17" i="14"/>
  <c r="ND7" i="4"/>
  <c r="OG7" i="4"/>
  <c r="CX7" i="4"/>
  <c r="DA7" i="4" s="1"/>
  <c r="OE7" i="4"/>
  <c r="OC7" i="4"/>
  <c r="I7" i="4"/>
  <c r="DB7" i="4" s="1"/>
  <c r="K7" i="4"/>
  <c r="DC7" i="4" s="1"/>
  <c r="ND19" i="4"/>
  <c r="CX4" i="14"/>
  <c r="DA4" i="14" s="1"/>
  <c r="CX19" i="4"/>
  <c r="DA19" i="4" s="1"/>
  <c r="OG19" i="4"/>
  <c r="K19" i="4"/>
  <c r="DC19" i="4" s="1"/>
  <c r="OE19" i="4"/>
  <c r="OC19" i="4"/>
  <c r="I19" i="4"/>
  <c r="DB19" i="4" s="1"/>
  <c r="CX4" i="4"/>
  <c r="DA4" i="4" s="1"/>
  <c r="ND4" i="4"/>
  <c r="OG4" i="4"/>
  <c r="OE4" i="4"/>
  <c r="OC4" i="4"/>
  <c r="K4" i="4"/>
  <c r="DC4" i="4" s="1"/>
  <c r="I4" i="4"/>
  <c r="DB4" i="4" s="1"/>
  <c r="ND4" i="14"/>
  <c r="NG4" i="14" s="1"/>
  <c r="OG4" i="14"/>
  <c r="OE4" i="14"/>
  <c r="OC4" i="14"/>
  <c r="K4" i="14"/>
  <c r="DC4" i="14" s="1"/>
  <c r="I4" i="14"/>
  <c r="DB4" i="14" s="1"/>
  <c r="A19" i="4" l="1" a="1"/>
  <c r="A19" i="4" s="1"/>
  <c r="H19" i="4"/>
  <c r="H4" i="14"/>
  <c r="NG4" i="4"/>
  <c r="NG19" i="4"/>
  <c r="NG7" i="4"/>
  <c r="E13" i="4"/>
  <c r="J7" i="4"/>
  <c r="O13" i="4"/>
  <c r="O12" i="14"/>
  <c r="N12" i="14"/>
  <c r="OH7" i="4"/>
  <c r="L7" i="4"/>
  <c r="OH19" i="4"/>
  <c r="L19" i="4"/>
  <c r="J19" i="4"/>
  <c r="M19" i="4"/>
  <c r="OH4" i="4"/>
  <c r="L4" i="4"/>
  <c r="J4" i="4"/>
  <c r="OH4" i="14"/>
  <c r="L4" i="14"/>
  <c r="J4" i="14"/>
  <c r="E19" i="4" l="1"/>
  <c r="M7" i="4"/>
  <c r="E7" i="4" s="1"/>
  <c r="N19" i="4"/>
  <c r="O19" i="4"/>
  <c r="M4" i="4"/>
  <c r="E4" i="4" s="1"/>
  <c r="M4" i="14"/>
  <c r="E4" i="14" s="1"/>
  <c r="O7" i="4" l="1"/>
  <c r="N7" i="4"/>
  <c r="N4" i="4"/>
  <c r="O4" i="4"/>
  <c r="O4" i="14"/>
  <c r="N4" i="14"/>
  <c r="CS27" i="14" l="1"/>
  <c r="CT27" i="14"/>
  <c r="CU27" i="14"/>
  <c r="CV27" i="14"/>
  <c r="CW27" i="14"/>
  <c r="CY27" i="14"/>
  <c r="CZ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NU27" i="14"/>
  <c r="NV27" i="14"/>
  <c r="NW27" i="14"/>
  <c r="NX27" i="14"/>
  <c r="NY27" i="14"/>
  <c r="OI27" i="14" s="1"/>
  <c r="NZ27" i="14"/>
  <c r="OA27" i="14"/>
  <c r="OF27" i="14"/>
  <c r="CS15" i="14"/>
  <c r="CT15" i="14"/>
  <c r="CU15" i="14"/>
  <c r="CV15" i="14"/>
  <c r="CW15" i="14"/>
  <c r="CY15" i="14"/>
  <c r="CZ15" i="14"/>
  <c r="NA15" i="14"/>
  <c r="NB15" i="14"/>
  <c r="NC15" i="14"/>
  <c r="NE15" i="14"/>
  <c r="NF15" i="14"/>
  <c r="NH15" i="14"/>
  <c r="NI15" i="14"/>
  <c r="NJ15" i="14"/>
  <c r="NK15" i="14"/>
  <c r="NL15" i="14"/>
  <c r="NM15" i="14"/>
  <c r="NN15" i="14"/>
  <c r="NO15" i="14"/>
  <c r="OD15" i="14" s="1"/>
  <c r="NP15" i="14"/>
  <c r="NQ15" i="14"/>
  <c r="NR15" i="14"/>
  <c r="NS15" i="14"/>
  <c r="NT15" i="14"/>
  <c r="NU15" i="14"/>
  <c r="NV15" i="14"/>
  <c r="NW15" i="14"/>
  <c r="NX15" i="14"/>
  <c r="NY15" i="14"/>
  <c r="OI15" i="14" s="1"/>
  <c r="NZ15" i="14"/>
  <c r="OA15" i="14"/>
  <c r="OF15" i="14"/>
  <c r="CS8" i="14"/>
  <c r="CT8" i="14"/>
  <c r="CU8" i="14"/>
  <c r="CV8" i="14"/>
  <c r="CW8" i="14"/>
  <c r="CY8" i="14"/>
  <c r="CZ8" i="14"/>
  <c r="NA8" i="14"/>
  <c r="NB8" i="14"/>
  <c r="NC8" i="14"/>
  <c r="NE8" i="14"/>
  <c r="NF8" i="14"/>
  <c r="NH8" i="14"/>
  <c r="NI8" i="14"/>
  <c r="NJ8" i="14"/>
  <c r="NK8" i="14"/>
  <c r="NL8" i="14"/>
  <c r="NM8" i="14"/>
  <c r="NN8" i="14"/>
  <c r="NO8" i="14"/>
  <c r="OD8" i="14" s="1"/>
  <c r="NP8" i="14"/>
  <c r="NQ8" i="14"/>
  <c r="NR8" i="14"/>
  <c r="NS8" i="14"/>
  <c r="NT8" i="14"/>
  <c r="OF8" i="14" s="1"/>
  <c r="NU8" i="14"/>
  <c r="NV8" i="14"/>
  <c r="NW8" i="14"/>
  <c r="NX8" i="14"/>
  <c r="NY8" i="14"/>
  <c r="OI8" i="14" s="1"/>
  <c r="NZ8" i="14"/>
  <c r="OA8" i="14"/>
  <c r="CS26" i="14"/>
  <c r="CT26" i="14"/>
  <c r="CU26" i="14"/>
  <c r="CV26" i="14"/>
  <c r="CW26" i="14"/>
  <c r="CY26" i="14"/>
  <c r="CZ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14" i="14"/>
  <c r="CT14" i="14"/>
  <c r="CU14" i="14"/>
  <c r="CV14" i="14"/>
  <c r="CW14" i="14"/>
  <c r="CY14" i="14"/>
  <c r="CZ14" i="14"/>
  <c r="NA14" i="14"/>
  <c r="NB14" i="14"/>
  <c r="NC14" i="14"/>
  <c r="NE14" i="14"/>
  <c r="NF14" i="14"/>
  <c r="NH14" i="14"/>
  <c r="NI14" i="14"/>
  <c r="NJ14" i="14"/>
  <c r="NK14" i="14"/>
  <c r="NL14" i="14"/>
  <c r="NM14" i="14"/>
  <c r="NN14" i="14"/>
  <c r="NO14" i="14"/>
  <c r="OD14" i="14" s="1"/>
  <c r="NP14" i="14"/>
  <c r="NQ14" i="14"/>
  <c r="NR14" i="14"/>
  <c r="NS14" i="14"/>
  <c r="NT14" i="14"/>
  <c r="OF14" i="14" s="1"/>
  <c r="NU14" i="14"/>
  <c r="NV14" i="14"/>
  <c r="NW14" i="14"/>
  <c r="NX14" i="14"/>
  <c r="NY14" i="14"/>
  <c r="OI14" i="14" s="1"/>
  <c r="NZ14" i="14"/>
  <c r="OA14" i="14"/>
  <c r="CS19" i="14"/>
  <c r="CT19" i="14"/>
  <c r="CU19" i="14"/>
  <c r="CV19" i="14"/>
  <c r="CW19" i="14"/>
  <c r="CY19" i="14"/>
  <c r="CZ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16" i="4"/>
  <c r="CT16" i="4"/>
  <c r="CU16" i="4"/>
  <c r="CV16" i="4"/>
  <c r="CW16" i="4"/>
  <c r="CY16" i="4"/>
  <c r="CZ16" i="4"/>
  <c r="NA16" i="4"/>
  <c r="NB16" i="4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OF16" i="4" s="1"/>
  <c r="NU16" i="4"/>
  <c r="NV16" i="4"/>
  <c r="NW16" i="4"/>
  <c r="NX16" i="4"/>
  <c r="NY16" i="4"/>
  <c r="OI16" i="4" s="1"/>
  <c r="NZ16" i="4"/>
  <c r="OA16" i="4"/>
  <c r="CS12" i="4"/>
  <c r="CT12" i="4"/>
  <c r="CU12" i="4"/>
  <c r="CV12" i="4"/>
  <c r="CW12" i="4"/>
  <c r="CY12" i="4"/>
  <c r="CZ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15" i="4"/>
  <c r="CT15" i="4"/>
  <c r="CU15" i="4"/>
  <c r="CV15" i="4"/>
  <c r="CW15" i="4"/>
  <c r="CY15" i="4"/>
  <c r="CZ15" i="4"/>
  <c r="NA15" i="4"/>
  <c r="NB15" i="4"/>
  <c r="NC15" i="4"/>
  <c r="NE15" i="4"/>
  <c r="NF15" i="4"/>
  <c r="NH15" i="4"/>
  <c r="NI15" i="4"/>
  <c r="NJ15" i="4"/>
  <c r="NK15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OA11" i="14"/>
  <c r="NZ11" i="14"/>
  <c r="NY11" i="14"/>
  <c r="OI11" i="14" s="1"/>
  <c r="NX11" i="14"/>
  <c r="NW11" i="14"/>
  <c r="NV11" i="14"/>
  <c r="NU11" i="14"/>
  <c r="NT11" i="14"/>
  <c r="OF11" i="14" s="1"/>
  <c r="NS11" i="14"/>
  <c r="NR11" i="14"/>
  <c r="NQ11" i="14"/>
  <c r="NP11" i="14"/>
  <c r="NO11" i="14"/>
  <c r="OD11" i="14" s="1"/>
  <c r="NN11" i="14"/>
  <c r="NM11" i="14"/>
  <c r="NL11" i="14"/>
  <c r="NK11" i="14"/>
  <c r="NJ11" i="14"/>
  <c r="NI11" i="14"/>
  <c r="NH11" i="14"/>
  <c r="NF11" i="14"/>
  <c r="NE11" i="14"/>
  <c r="NC11" i="14"/>
  <c r="NB11" i="14"/>
  <c r="NA11" i="14"/>
  <c r="CZ11" i="14"/>
  <c r="CY11" i="14"/>
  <c r="CW11" i="14"/>
  <c r="CV11" i="14"/>
  <c r="CU11" i="14"/>
  <c r="CT11" i="14"/>
  <c r="CS11" i="14"/>
  <c r="OA20" i="14"/>
  <c r="NZ20" i="14"/>
  <c r="NY20" i="14"/>
  <c r="OI20" i="14" s="1"/>
  <c r="NX20" i="14"/>
  <c r="NW20" i="14"/>
  <c r="NV20" i="14"/>
  <c r="NU20" i="14"/>
  <c r="NT20" i="14"/>
  <c r="OF20" i="14" s="1"/>
  <c r="NS20" i="14"/>
  <c r="NR20" i="14"/>
  <c r="NQ20" i="14"/>
  <c r="NP20" i="14"/>
  <c r="NO20" i="14"/>
  <c r="OD20" i="14" s="1"/>
  <c r="NN20" i="14"/>
  <c r="NM20" i="14"/>
  <c r="NL20" i="14"/>
  <c r="NK20" i="14"/>
  <c r="NJ20" i="14"/>
  <c r="NI20" i="14"/>
  <c r="NH20" i="14"/>
  <c r="NF20" i="14"/>
  <c r="NE20" i="14"/>
  <c r="NC20" i="14"/>
  <c r="NB20" i="14"/>
  <c r="NA20" i="14"/>
  <c r="CZ20" i="14"/>
  <c r="CY20" i="14"/>
  <c r="CW20" i="14"/>
  <c r="CV20" i="14"/>
  <c r="CU20" i="14"/>
  <c r="G20" i="14" s="1"/>
  <c r="CT20" i="14"/>
  <c r="CS20" i="14"/>
  <c r="OA5" i="14"/>
  <c r="NZ5" i="14"/>
  <c r="NY5" i="14"/>
  <c r="OI5" i="14" s="1"/>
  <c r="NX5" i="14"/>
  <c r="NW5" i="14"/>
  <c r="NV5" i="14"/>
  <c r="NU5" i="14"/>
  <c r="NT5" i="14"/>
  <c r="OF5" i="14" s="1"/>
  <c r="NS5" i="14"/>
  <c r="NR5" i="14"/>
  <c r="NQ5" i="14"/>
  <c r="NP5" i="14"/>
  <c r="NO5" i="14"/>
  <c r="OD5" i="14" s="1"/>
  <c r="NN5" i="14"/>
  <c r="NM5" i="14"/>
  <c r="NL5" i="14"/>
  <c r="NK5" i="14"/>
  <c r="NJ5" i="14"/>
  <c r="NI5" i="14"/>
  <c r="NH5" i="14"/>
  <c r="NF5" i="14"/>
  <c r="NE5" i="14"/>
  <c r="NC5" i="14"/>
  <c r="NB5" i="14"/>
  <c r="NA5" i="14"/>
  <c r="CZ5" i="14"/>
  <c r="CY5" i="14"/>
  <c r="CW5" i="14"/>
  <c r="CV5" i="14"/>
  <c r="CU5" i="14"/>
  <c r="G5" i="14" s="1"/>
  <c r="CT5" i="14"/>
  <c r="CS5" i="14"/>
  <c r="OA13" i="14"/>
  <c r="NZ13" i="14"/>
  <c r="NY13" i="14"/>
  <c r="OI13" i="14" s="1"/>
  <c r="NX13" i="14"/>
  <c r="NW13" i="14"/>
  <c r="NV13" i="14"/>
  <c r="NU13" i="14"/>
  <c r="NT13" i="14"/>
  <c r="OF13" i="14" s="1"/>
  <c r="NS13" i="14"/>
  <c r="NR13" i="14"/>
  <c r="NQ13" i="14"/>
  <c r="NP13" i="14"/>
  <c r="NO13" i="14"/>
  <c r="OD13" i="14" s="1"/>
  <c r="NN13" i="14"/>
  <c r="NM13" i="14"/>
  <c r="NL13" i="14"/>
  <c r="NK13" i="14"/>
  <c r="NJ13" i="14"/>
  <c r="NI13" i="14"/>
  <c r="NH13" i="14"/>
  <c r="NF13" i="14"/>
  <c r="NE13" i="14"/>
  <c r="NC13" i="14"/>
  <c r="NB13" i="14"/>
  <c r="NA13" i="14"/>
  <c r="CZ13" i="14"/>
  <c r="CY13" i="14"/>
  <c r="CW13" i="14"/>
  <c r="CV13" i="14"/>
  <c r="CU13" i="14"/>
  <c r="G13" i="14" s="1"/>
  <c r="CT13" i="14"/>
  <c r="CS13" i="14"/>
  <c r="NR8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NL10" i="4"/>
  <c r="NM10" i="4"/>
  <c r="NN10" i="4"/>
  <c r="NO10" i="4"/>
  <c r="OD10" i="4" s="1"/>
  <c r="NP10" i="4"/>
  <c r="NQ10" i="4"/>
  <c r="NR10" i="4"/>
  <c r="NS10" i="4"/>
  <c r="NT10" i="4"/>
  <c r="OF10" i="4" s="1"/>
  <c r="NU10" i="4"/>
  <c r="NV10" i="4"/>
  <c r="NW10" i="4"/>
  <c r="NX10" i="4"/>
  <c r="NY10" i="4"/>
  <c r="OI10" i="4" s="1"/>
  <c r="NZ10" i="4"/>
  <c r="OA10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NM8" i="4"/>
  <c r="NN8" i="4"/>
  <c r="NO8" i="4"/>
  <c r="OD8" i="4" s="1"/>
  <c r="NP8" i="4"/>
  <c r="NQ8" i="4"/>
  <c r="NS8" i="4"/>
  <c r="NT8" i="4"/>
  <c r="OF8" i="4" s="1"/>
  <c r="NU8" i="4"/>
  <c r="NV8" i="4"/>
  <c r="NW8" i="4"/>
  <c r="NX8" i="4"/>
  <c r="NY8" i="4"/>
  <c r="OI8" i="4" s="1"/>
  <c r="NZ8" i="4"/>
  <c r="OA8" i="4"/>
  <c r="CS22" i="4"/>
  <c r="CT22" i="4"/>
  <c r="CU22" i="4"/>
  <c r="CV22" i="4"/>
  <c r="CW22" i="4"/>
  <c r="CY22" i="4"/>
  <c r="CZ22" i="4"/>
  <c r="CS6" i="4"/>
  <c r="CT6" i="4"/>
  <c r="CU6" i="4"/>
  <c r="CV6" i="4"/>
  <c r="CW6" i="4"/>
  <c r="CY6" i="4"/>
  <c r="CZ6" i="4"/>
  <c r="CS20" i="4"/>
  <c r="CT20" i="4"/>
  <c r="CU20" i="4"/>
  <c r="CV20" i="4"/>
  <c r="CW20" i="4"/>
  <c r="CY20" i="4"/>
  <c r="CZ20" i="4"/>
  <c r="CS10" i="4"/>
  <c r="CT10" i="4"/>
  <c r="CU10" i="4"/>
  <c r="CV10" i="4"/>
  <c r="CW10" i="4"/>
  <c r="CY10" i="4"/>
  <c r="CZ10" i="4"/>
  <c r="CS14" i="4"/>
  <c r="CT14" i="4"/>
  <c r="CU14" i="4"/>
  <c r="CV14" i="4"/>
  <c r="CW14" i="4"/>
  <c r="CY14" i="4"/>
  <c r="CZ14" i="4"/>
  <c r="CW8" i="4"/>
  <c r="CV8" i="4"/>
  <c r="CT8" i="4"/>
  <c r="CU8" i="4"/>
  <c r="CS8" i="4"/>
  <c r="G11" i="14" l="1"/>
  <c r="G15" i="4"/>
  <c r="G12" i="4"/>
  <c r="G16" i="4"/>
  <c r="G8" i="14"/>
  <c r="F19" i="14"/>
  <c r="F14" i="14"/>
  <c r="F26" i="14"/>
  <c r="F8" i="14"/>
  <c r="G15" i="14"/>
  <c r="G19" i="14"/>
  <c r="F15" i="14"/>
  <c r="G27" i="14"/>
  <c r="G26" i="14"/>
  <c r="F27" i="14"/>
  <c r="G14" i="14"/>
  <c r="F13" i="14"/>
  <c r="F5" i="14"/>
  <c r="F20" i="14"/>
  <c r="F11" i="14"/>
  <c r="F15" i="4"/>
  <c r="F12" i="4"/>
  <c r="F16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7" i="14"/>
  <c r="NG27" i="14" s="1"/>
  <c r="CX16" i="4"/>
  <c r="DA16" i="4" s="1"/>
  <c r="OJ13" i="4"/>
  <c r="OJ14" i="4"/>
  <c r="OJ17" i="4"/>
  <c r="ND15" i="4"/>
  <c r="ND16" i="4"/>
  <c r="CX15" i="14"/>
  <c r="DA15" i="14" s="1"/>
  <c r="CX27" i="14"/>
  <c r="DA27" i="14" s="1"/>
  <c r="CX12" i="4"/>
  <c r="DA12" i="4" s="1"/>
  <c r="ND12" i="4"/>
  <c r="OG12" i="4"/>
  <c r="CX15" i="4"/>
  <c r="DA15" i="4" s="1"/>
  <c r="OE27" i="14"/>
  <c r="OC27" i="14"/>
  <c r="OJ15" i="14"/>
  <c r="OG27" i="14"/>
  <c r="I27" i="14"/>
  <c r="DB27" i="14" s="1"/>
  <c r="K27" i="14"/>
  <c r="DC27" i="14" s="1"/>
  <c r="ND15" i="14"/>
  <c r="NG15" i="14" s="1"/>
  <c r="CX8" i="14"/>
  <c r="DA8" i="14" s="1"/>
  <c r="OG15" i="14"/>
  <c r="OE15" i="14"/>
  <c r="OC15" i="14"/>
  <c r="OJ14" i="14"/>
  <c r="I15" i="14"/>
  <c r="DB15" i="14" s="1"/>
  <c r="K15" i="14"/>
  <c r="DC15" i="14" s="1"/>
  <c r="CX26" i="14"/>
  <c r="DA26" i="14" s="1"/>
  <c r="OG8" i="14"/>
  <c r="ND8" i="14"/>
  <c r="NG8" i="14" s="1"/>
  <c r="OE8" i="14"/>
  <c r="OC8" i="14"/>
  <c r="I8" i="14"/>
  <c r="DB8" i="14" s="1"/>
  <c r="K8" i="14"/>
  <c r="DC8" i="14" s="1"/>
  <c r="OJ13" i="14"/>
  <c r="ND19" i="14"/>
  <c r="NG19" i="14" s="1"/>
  <c r="CX14" i="14"/>
  <c r="DA14" i="14" s="1"/>
  <c r="ND26" i="14"/>
  <c r="NG26" i="14" s="1"/>
  <c r="OE26" i="14"/>
  <c r="OC26" i="14"/>
  <c r="OG26" i="14"/>
  <c r="I26" i="14"/>
  <c r="DB26" i="14" s="1"/>
  <c r="K26" i="14"/>
  <c r="DC26" i="14" s="1"/>
  <c r="OJ12" i="14"/>
  <c r="ND14" i="14"/>
  <c r="NG14" i="14" s="1"/>
  <c r="CX19" i="14"/>
  <c r="DA19" i="14" s="1"/>
  <c r="OE14" i="14"/>
  <c r="OC14" i="14"/>
  <c r="OJ11" i="14"/>
  <c r="OG14" i="14"/>
  <c r="I14" i="14"/>
  <c r="DB14" i="14" s="1"/>
  <c r="K14" i="14"/>
  <c r="DC14" i="14" s="1"/>
  <c r="OE19" i="14"/>
  <c r="OC19" i="14"/>
  <c r="OJ10" i="14"/>
  <c r="OG19" i="14"/>
  <c r="I19" i="14"/>
  <c r="DB19" i="14" s="1"/>
  <c r="K19" i="14"/>
  <c r="DC19" i="14" s="1"/>
  <c r="OJ9" i="14"/>
  <c r="OJ8" i="14"/>
  <c r="K20" i="14"/>
  <c r="DC20" i="14" s="1"/>
  <c r="OC16" i="4"/>
  <c r="OE16" i="4"/>
  <c r="K16" i="4"/>
  <c r="DC16" i="4" s="1"/>
  <c r="OJ12" i="4"/>
  <c r="I16" i="4"/>
  <c r="DB16" i="4" s="1"/>
  <c r="OG16" i="4"/>
  <c r="OE12" i="4"/>
  <c r="OC12" i="4"/>
  <c r="K12" i="4"/>
  <c r="DC12" i="4" s="1"/>
  <c r="I12" i="4"/>
  <c r="DB12" i="4" s="1"/>
  <c r="OC15" i="4"/>
  <c r="OG15" i="4"/>
  <c r="OJ11" i="4"/>
  <c r="OE15" i="4"/>
  <c r="K15" i="4"/>
  <c r="DC15" i="4" s="1"/>
  <c r="I15" i="4"/>
  <c r="DB15" i="4" s="1"/>
  <c r="K13" i="14"/>
  <c r="DC13" i="14" s="1"/>
  <c r="K11" i="14"/>
  <c r="DC11" i="14" s="1"/>
  <c r="K5" i="14"/>
  <c r="DC5" i="14" s="1"/>
  <c r="CX5" i="14"/>
  <c r="DA5" i="14" s="1"/>
  <c r="OE13" i="14"/>
  <c r="ND11" i="14"/>
  <c r="NG11" i="14" s="1"/>
  <c r="CX20" i="14"/>
  <c r="DA20" i="14" s="1"/>
  <c r="ND13" i="14"/>
  <c r="NG13" i="14" s="1"/>
  <c r="ND5" i="14"/>
  <c r="NG5" i="14" s="1"/>
  <c r="CX11" i="14"/>
  <c r="DA11" i="14" s="1"/>
  <c r="OC11" i="14"/>
  <c r="OC5" i="14"/>
  <c r="OE11" i="14"/>
  <c r="OE5" i="14"/>
  <c r="OG5" i="14"/>
  <c r="I5" i="14"/>
  <c r="DB5" i="14" s="1"/>
  <c r="OJ6" i="14"/>
  <c r="OC13" i="14"/>
  <c r="OJ7" i="14"/>
  <c r="I20" i="14"/>
  <c r="DB20" i="14" s="1"/>
  <c r="OE20" i="14"/>
  <c r="OG11" i="14"/>
  <c r="OG13" i="14"/>
  <c r="OG20" i="14"/>
  <c r="OJ5" i="14"/>
  <c r="CX13" i="14"/>
  <c r="DA13" i="14" s="1"/>
  <c r="OJ4" i="14"/>
  <c r="ND20" i="14"/>
  <c r="NG20" i="14" s="1"/>
  <c r="OC20" i="14"/>
  <c r="I13" i="14"/>
  <c r="DB13" i="14" s="1"/>
  <c r="I11" i="14"/>
  <c r="DB11" i="14" s="1"/>
  <c r="OG20" i="4"/>
  <c r="OG6" i="4"/>
  <c r="OG22" i="4"/>
  <c r="OJ10" i="4"/>
  <c r="OJ9" i="4"/>
  <c r="OJ8" i="4"/>
  <c r="OJ7" i="4"/>
  <c r="OJ6" i="4"/>
  <c r="OJ5" i="4"/>
  <c r="OJ4" i="4"/>
  <c r="OG14" i="4"/>
  <c r="OE10" i="4"/>
  <c r="OE20" i="4"/>
  <c r="OE6" i="4"/>
  <c r="OE22" i="4"/>
  <c r="OE8" i="4"/>
  <c r="CX8" i="4"/>
  <c r="OG10" i="4"/>
  <c r="OE14" i="4"/>
  <c r="OG8" i="4"/>
  <c r="CX6" i="4"/>
  <c r="DA6" i="4" s="1"/>
  <c r="CX20" i="4"/>
  <c r="DA20" i="4" s="1"/>
  <c r="CX10" i="4"/>
  <c r="DA10" i="4" s="1"/>
  <c r="CX22" i="4"/>
  <c r="DA22" i="4" s="1"/>
  <c r="CX14" i="4"/>
  <c r="DA14" i="4" s="1"/>
  <c r="NH8" i="4"/>
  <c r="NI8" i="4"/>
  <c r="NJ8" i="4"/>
  <c r="NK8" i="4"/>
  <c r="NL8" i="4"/>
  <c r="NI22" i="4"/>
  <c r="NJ22" i="4"/>
  <c r="NK22" i="4"/>
  <c r="NI6" i="4"/>
  <c r="NJ6" i="4"/>
  <c r="NK6" i="4"/>
  <c r="NI20" i="4"/>
  <c r="NJ20" i="4"/>
  <c r="NK20" i="4"/>
  <c r="NI10" i="4"/>
  <c r="NJ10" i="4"/>
  <c r="NK10" i="4"/>
  <c r="NI14" i="4"/>
  <c r="NJ14" i="4"/>
  <c r="NK14" i="4"/>
  <c r="NH22" i="4"/>
  <c r="NH6" i="4"/>
  <c r="NH20" i="4"/>
  <c r="NH10" i="4"/>
  <c r="NH14" i="4"/>
  <c r="J19" i="14" l="1"/>
  <c r="L11" i="14"/>
  <c r="J14" i="14"/>
  <c r="L15" i="14"/>
  <c r="J26" i="14"/>
  <c r="J15" i="14"/>
  <c r="J27" i="14"/>
  <c r="L16" i="4"/>
  <c r="L12" i="4"/>
  <c r="L15" i="4"/>
  <c r="A16" i="4" a="1"/>
  <c r="A16" i="4" s="1"/>
  <c r="H16" i="4"/>
  <c r="A12" i="4" a="1"/>
  <c r="A12" i="4" s="1"/>
  <c r="H12" i="4"/>
  <c r="A15" i="4" a="1"/>
  <c r="A15" i="4" s="1"/>
  <c r="H15" i="4"/>
  <c r="H11" i="14"/>
  <c r="A11" i="14" a="1"/>
  <c r="A11" i="14" s="1"/>
  <c r="H15" i="14"/>
  <c r="A15" i="14" a="1"/>
  <c r="A15" i="14" s="1"/>
  <c r="H20" i="14"/>
  <c r="A20" i="14" a="1"/>
  <c r="A20" i="14" s="1"/>
  <c r="H5" i="14"/>
  <c r="H13" i="14"/>
  <c r="A13" i="14" a="1"/>
  <c r="A13" i="14" s="1"/>
  <c r="H8" i="14"/>
  <c r="H26" i="14"/>
  <c r="A26" i="14" a="1"/>
  <c r="A26" i="14" s="1"/>
  <c r="H27" i="14"/>
  <c r="A27" i="14" a="1"/>
  <c r="A27" i="14" s="1"/>
  <c r="H14" i="14"/>
  <c r="A14" i="14" a="1"/>
  <c r="A14" i="14" s="1"/>
  <c r="H19" i="14"/>
  <c r="A19" i="14" a="1"/>
  <c r="A19" i="14" s="1"/>
  <c r="NG16" i="4"/>
  <c r="NG12" i="4"/>
  <c r="NG15" i="4"/>
  <c r="J16" i="4"/>
  <c r="J15" i="4"/>
  <c r="J12" i="4"/>
  <c r="OH26" i="14"/>
  <c r="OK26" i="14" s="1"/>
  <c r="OH16" i="4"/>
  <c r="OH27" i="14"/>
  <c r="OK27" i="14" s="1"/>
  <c r="L27" i="14"/>
  <c r="OH15" i="14"/>
  <c r="OH13" i="14"/>
  <c r="J20" i="14"/>
  <c r="OH8" i="14"/>
  <c r="J8" i="14"/>
  <c r="M8" i="14"/>
  <c r="L8" i="14"/>
  <c r="L26" i="14"/>
  <c r="OH14" i="14"/>
  <c r="L14" i="14"/>
  <c r="OH5" i="14"/>
  <c r="J5" i="14"/>
  <c r="OH19" i="14"/>
  <c r="L19" i="14"/>
  <c r="OH20" i="14"/>
  <c r="OH15" i="4"/>
  <c r="OH12" i="4"/>
  <c r="OH11" i="14"/>
  <c r="M5" i="14"/>
  <c r="L13" i="14"/>
  <c r="L5" i="14"/>
  <c r="M20" i="14"/>
  <c r="L20" i="14"/>
  <c r="M13" i="14"/>
  <c r="J13" i="14"/>
  <c r="J11" i="14"/>
  <c r="OC14" i="4"/>
  <c r="OH14" i="4" s="1"/>
  <c r="OC10" i="4"/>
  <c r="OH10" i="4" s="1"/>
  <c r="OC6" i="4"/>
  <c r="OH6" i="4" s="1"/>
  <c r="OC8" i="4"/>
  <c r="OH8" i="4" s="1"/>
  <c r="OC22" i="4"/>
  <c r="OH22" i="4" s="1"/>
  <c r="OK22" i="4" s="1"/>
  <c r="OC20" i="4"/>
  <c r="OH20" i="4" s="1"/>
  <c r="CZ8" i="4"/>
  <c r="CY8" i="4"/>
  <c r="OK19" i="14" l="1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12" i="4"/>
  <c r="E12" i="4" s="1"/>
  <c r="M26" i="14"/>
  <c r="N26" i="14" s="1"/>
  <c r="OK6" i="14"/>
  <c r="OK14" i="14"/>
  <c r="OK15" i="14"/>
  <c r="OK16" i="14"/>
  <c r="OK13" i="4"/>
  <c r="OK11" i="4"/>
  <c r="OK17" i="4"/>
  <c r="OK12" i="4"/>
  <c r="M19" i="14"/>
  <c r="E19" i="14" s="1"/>
  <c r="M16" i="4"/>
  <c r="E16" i="4" s="1"/>
  <c r="M15" i="4"/>
  <c r="E15" i="4" s="1"/>
  <c r="M27" i="14"/>
  <c r="N27" i="14" s="1"/>
  <c r="M11" i="14"/>
  <c r="N11" i="14" s="1"/>
  <c r="M15" i="14"/>
  <c r="E15" i="14" s="1"/>
  <c r="N8" i="14"/>
  <c r="O8" i="14"/>
  <c r="E8" i="14"/>
  <c r="M14" i="14"/>
  <c r="N14" i="14" s="1"/>
  <c r="OK5" i="14"/>
  <c r="OK7" i="14"/>
  <c r="E5" i="14"/>
  <c r="OK4" i="14"/>
  <c r="OK5" i="4"/>
  <c r="OK4" i="4"/>
  <c r="E20" i="14"/>
  <c r="E13" i="14"/>
  <c r="O20" i="14"/>
  <c r="N20" i="14"/>
  <c r="O13" i="14"/>
  <c r="N13" i="14"/>
  <c r="OK6" i="4"/>
  <c r="OK7" i="4"/>
  <c r="OK8" i="4"/>
  <c r="OK9" i="4"/>
  <c r="OK10" i="4"/>
  <c r="DA8" i="4"/>
  <c r="O12" i="4" l="1"/>
  <c r="E26" i="14"/>
  <c r="N12" i="4"/>
  <c r="O26" i="14"/>
  <c r="E11" i="14"/>
  <c r="A5" i="14" s="1" a="1"/>
  <c r="A5" i="14" s="1"/>
  <c r="O11" i="14"/>
  <c r="O19" i="14"/>
  <c r="N19" i="14"/>
  <c r="N16" i="4"/>
  <c r="O16" i="4"/>
  <c r="N15" i="4"/>
  <c r="O15" i="4"/>
  <c r="E27" i="14"/>
  <c r="O27" i="14"/>
  <c r="N15" i="14"/>
  <c r="O15" i="14"/>
  <c r="E14" i="14"/>
  <c r="A8" i="14" s="1" a="1"/>
  <c r="A8" i="14" s="1"/>
  <c r="O14" i="14"/>
  <c r="O5" i="14"/>
  <c r="N5" i="14"/>
  <c r="A4" i="14" l="1" a="1"/>
  <c r="A4" i="14" s="1"/>
  <c r="A7" i="14" a="1"/>
  <c r="A7" i="14" s="1"/>
  <c r="A9" i="14" a="1"/>
  <c r="A9" i="14" s="1"/>
  <c r="A6" i="14" a="1"/>
  <c r="A6" i="14" s="1"/>
  <c r="C7" i="11" l="1"/>
  <c r="C9" i="11"/>
  <c r="D9" i="11"/>
  <c r="D7" i="11"/>
  <c r="D8" i="11"/>
  <c r="D6" i="11"/>
  <c r="C6" i="11"/>
  <c r="C8" i="11"/>
  <c r="NE14" i="4"/>
  <c r="NE10" i="4"/>
  <c r="NE6" i="4"/>
  <c r="NE20" i="4"/>
  <c r="NE22" i="4"/>
  <c r="NE8" i="4"/>
  <c r="NA8" i="4" l="1"/>
  <c r="NA22" i="4"/>
  <c r="NA10" i="4"/>
  <c r="NA20" i="4"/>
  <c r="NA14" i="4"/>
  <c r="NA6" i="4"/>
  <c r="K20" i="4" l="1"/>
  <c r="I20" i="4"/>
  <c r="I14" i="4"/>
  <c r="K14" i="4"/>
  <c r="K6" i="4"/>
  <c r="I6" i="4"/>
  <c r="K8" i="4"/>
  <c r="I8" i="4"/>
  <c r="K22" i="4"/>
  <c r="I22" i="4"/>
  <c r="I10" i="4"/>
  <c r="K10" i="4"/>
  <c r="L6" i="4" l="1"/>
  <c r="L14" i="4"/>
  <c r="L10" i="4"/>
  <c r="L22" i="4"/>
  <c r="L20" i="4"/>
  <c r="L8" i="4"/>
  <c r="J6" i="4"/>
  <c r="J22" i="4"/>
  <c r="J14" i="4"/>
  <c r="J8" i="4"/>
  <c r="J20" i="4"/>
  <c r="J10" i="4"/>
  <c r="NB8" i="4" l="1"/>
  <c r="NC8" i="4"/>
  <c r="DB8" i="4" s="1"/>
  <c r="NF8" i="4"/>
  <c r="DC8" i="4" s="1"/>
  <c r="F8" i="4" l="1"/>
  <c r="H8" i="4" s="1"/>
  <c r="G8" i="4"/>
  <c r="M8" i="4"/>
  <c r="E8" i="4" s="1"/>
  <c r="ND8" i="4"/>
  <c r="NG8" i="4" l="1"/>
  <c r="O8" i="4" l="1"/>
  <c r="N8" i="4"/>
  <c r="NF20" i="4" l="1"/>
  <c r="DC20" i="4" s="1"/>
  <c r="NC20" i="4"/>
  <c r="DB20" i="4" s="1"/>
  <c r="NB20" i="4"/>
  <c r="NF14" i="4"/>
  <c r="DC14" i="4" s="1"/>
  <c r="NC14" i="4"/>
  <c r="DB14" i="4" s="1"/>
  <c r="NB14" i="4"/>
  <c r="F20" i="4" l="1"/>
  <c r="G20" i="4"/>
  <c r="F14" i="4"/>
  <c r="G14" i="4"/>
  <c r="ND20" i="4"/>
  <c r="ND14" i="4"/>
  <c r="A14" i="4" l="1" a="1"/>
  <c r="A14" i="4" s="1"/>
  <c r="H14" i="4"/>
  <c r="H20" i="4"/>
  <c r="A20" i="4" a="1"/>
  <c r="A20" i="4" s="1"/>
  <c r="M20" i="4"/>
  <c r="E20" i="4" s="1"/>
  <c r="M14" i="4"/>
  <c r="E14" i="4" s="1"/>
  <c r="NG20" i="4"/>
  <c r="NG14" i="4"/>
  <c r="NB10" i="4" l="1"/>
  <c r="NC10" i="4"/>
  <c r="DB10" i="4" s="1"/>
  <c r="NF10" i="4"/>
  <c r="DC10" i="4" s="1"/>
  <c r="NB22" i="4"/>
  <c r="NC22" i="4"/>
  <c r="DB22" i="4" s="1"/>
  <c r="NF22" i="4"/>
  <c r="DC22" i="4" s="1"/>
  <c r="NB6" i="4"/>
  <c r="NC6" i="4"/>
  <c r="DB6" i="4" s="1"/>
  <c r="NF6" i="4"/>
  <c r="DC6" i="4" s="1"/>
  <c r="F10" i="4" l="1"/>
  <c r="G10" i="4"/>
  <c r="F6" i="4"/>
  <c r="H6" i="4" s="1"/>
  <c r="G6" i="4"/>
  <c r="F22" i="4"/>
  <c r="G22" i="4"/>
  <c r="O14" i="4"/>
  <c r="N14" i="4"/>
  <c r="ND22" i="4"/>
  <c r="ND6" i="4"/>
  <c r="ND10" i="4"/>
  <c r="A22" i="4" l="1" a="1"/>
  <c r="A22" i="4" s="1"/>
  <c r="H22" i="4"/>
  <c r="A10" i="4" a="1"/>
  <c r="A10" i="4" s="1"/>
  <c r="H10" i="4"/>
  <c r="M22" i="4"/>
  <c r="E22" i="4" s="1"/>
  <c r="M10" i="4"/>
  <c r="E10" i="4" s="1"/>
  <c r="M6" i="4"/>
  <c r="E6" i="4" s="1"/>
  <c r="O20" i="4"/>
  <c r="NG6" i="4"/>
  <c r="NG10" i="4"/>
  <c r="NG22" i="4"/>
  <c r="N20" i="4"/>
  <c r="A4" i="4" l="1" a="1"/>
  <c r="A4" i="4" s="1"/>
  <c r="A5" i="4" a="1"/>
  <c r="A5" i="4" s="1"/>
  <c r="A7" i="4" a="1"/>
  <c r="A7" i="4" s="1"/>
  <c r="A8" i="4" a="1"/>
  <c r="A8" i="4" s="1"/>
  <c r="A9" i="4" a="1"/>
  <c r="A9" i="4" s="1"/>
  <c r="A6" i="4" a="1"/>
  <c r="A6" i="4" s="1"/>
  <c r="O6" i="4"/>
  <c r="O22" i="4"/>
  <c r="N22" i="4"/>
  <c r="N6" i="4"/>
  <c r="O10" i="4" l="1"/>
  <c r="N10" i="4"/>
  <c r="C2" i="11" l="1"/>
  <c r="D3" i="11"/>
  <c r="D4" i="11"/>
  <c r="C4" i="11"/>
  <c r="D5" i="11"/>
  <c r="C5" i="11"/>
  <c r="C3" i="11"/>
  <c r="D2" i="11"/>
  <c r="EC4" i="18"/>
  <c r="G4" i="18" s="1"/>
  <c r="F4" i="18" l="1"/>
  <c r="EF4" i="18"/>
  <c r="EI4" i="18"/>
  <c r="A9" i="18" l="1"/>
  <c r="A11" i="18"/>
  <c r="A8" i="18"/>
  <c r="A5" i="18"/>
  <c r="A10" i="18"/>
  <c r="A6" i="18"/>
  <c r="A4" i="18" a="1"/>
  <c r="A4" i="18" s="1"/>
  <c r="A7" i="18"/>
  <c r="H4" i="18"/>
  <c r="C24" i="11" l="1"/>
  <c r="D24" i="11"/>
  <c r="D22" i="11"/>
  <c r="D25" i="11"/>
  <c r="C25" i="11"/>
  <c r="C23" i="11"/>
  <c r="C22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<sst xmlns="http://schemas.openxmlformats.org/spreadsheetml/2006/main" count="3550" uniqueCount="181">
  <si>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</si>
  <si>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</si>
  <si>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</si>
  <si>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</si>
  <si>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</si>
  <si>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</si>
  <si>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</si>
  <si>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</si>
  <si>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</si>
  <si>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</si>
  <si>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</si>
  <si>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</si>
  <si>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</si>
  <si>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</si>
  <si>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</si>
  <si>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</si>
  <si>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</si>
  <si>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</si>
  <si>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</si>
  <si>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</si>
  <si>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</si>
  <si>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</si>
  <si>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</si>
  <si>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</si>
  <si>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</si>
  <si>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</si>
  <si>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</si>
  <si>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</si>
  <si>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</si>
  <si>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</si>
  <si>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</si>
  <si>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</si>
  <si>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</si>
  <si>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</si>
  <si>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</si>
  <si>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</si>
  <si>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</si>
  <si>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</si>
  <si>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</si>
  <si>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</si>
  <si>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</si>
  <si>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</si>
  <si>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</si>
  <si>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</si>
  <si>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</si>
  <si>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</si>
  <si>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</si>
  <si>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</si>
  <si>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</si>
  <si>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</si>
  <si>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</si>
  <si>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</si>
  <si>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</si>
  <si>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</si>
  <si>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</si>
  <si>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</si>
  <si>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</si>
  <si>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</si>
  <si>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</si>
  <si>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</si>
  <si>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</si>
  <si>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</si>
  <si>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</si>
  <si>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</si>
  <si>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</si>
  <si>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</si>
  <si>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</si>
  <si>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</si>
  <si>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</si>
  <si>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</si>
  <si>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</si>
  <si>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</si>
  <si>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</si>
  <si>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</si>
  <si>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</si>
  <si>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</si>
  <si>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</si>
  <si>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</si>
  <si>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</si>
  <si>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</si>
  <si>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</si>
  <si>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</si>
  <si>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</si>
  <si>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</si>
  <si>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</si>
  <si>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</si>
  <si>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</si>
  <si>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</si>
  <si>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</si>
  <si>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</si>
  <si>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</si>
  <si>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</si>
  <si>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</si>
  <si>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</si>
  <si>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</si>
  <si>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</si>
  <si>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</si>
  <si>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</si>
  <si>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</si>
  <si>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</si>
  <si>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</si>
  <si>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</si>
  <si>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</si>
  <si>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</si>
  <si>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</si>
  <si>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MOORE, Sara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</si>
  <si>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</si>
  <si>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</si>
  <si>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</si>
  <si>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</si>
  <si>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</si>
  <si>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</si>
  <si>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</si>
  <si>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</si>
  <si>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</si>
  <si>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</si>
  <si>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</si>
  <si>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</si>
  <si>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</si>
  <si>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</si>
  <si>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</si>
  <si>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PROULX, Kegan</t>
  </si>
  <si>
    <t>NOGA-BARD, Kasha</t>
  </si>
  <si>
    <t>2021 Canadian Championships</t>
  </si>
  <si>
    <t>BONNE, Rielle</t>
  </si>
  <si>
    <t>LEBLANC, Cedryk</t>
  </si>
  <si>
    <t>BOWDITCH, Courtney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</si>
  <si>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</si>
  <si>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</si>
  <si>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</si>
  <si>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</si>
  <si>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</si>
  <si>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</si>
  <si>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</si>
  <si>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</si>
  <si>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</si>
  <si>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</si>
  <si>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</si>
  <si>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</si>
  <si>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</si>
  <si>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</si>
  <si>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</si>
  <si>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CAELYN, Angst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</si>
  <si>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</si>
  <si>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</si>
  <si>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</si>
  <si>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</si>
  <si>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</si>
  <si>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</si>
  <si>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</si>
  <si>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</si>
  <si>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</si>
  <si>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</si>
  <si>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</si>
  <si>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</si>
  <si>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</si>
  <si>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</si>
  <si>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</si>
  <si>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</si>
  <si>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</si>
  <si>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</si>
  <si>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</si>
  <si>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</si>
  <si>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</si>
  <si>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</si>
  <si>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</si>
  <si>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</si>
  <si>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</si>
  <si>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</si>
  <si>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</si>
  <si>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</si>
  <si>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</si>
  <si>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</si>
  <si>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</si>
  <si>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</si>
  <si>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World Games Technical Trial #1 (Mar 12)</t>
  </si>
  <si>
    <t>BRENNER, Adin</t>
  </si>
  <si>
    <t>DYKMAN, Matvey</t>
  </si>
  <si>
    <t>*Scores removed but hit standards remain for 2022 rules</t>
  </si>
  <si>
    <t>2022 World Games Technical Trial #2 (May 15)</t>
  </si>
  <si>
    <t>World Games Trial 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</si>
</sst>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3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 applyAlignme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1" fillId="2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9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7" t="s">
        <v>9</v>
      </c>
      <c r="E1" s="31"/>
      <c r="F1" s="31"/>
      <c r="J1" s="31"/>
      <c r="K1" s="31"/>
      <c r="L1" s="31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AUBIN, Rémi</v>
      </c>
      <c r="D2" s="64" t="str">
        <f>IF(B2&gt;MAX('TRA-M'!A:A),"",INDEX('TRA-M'!H:H,MATCH(B2,'TRA-M'!A:A,0)))</f>
        <v>National Team</v>
      </c>
      <c r="E2" s="21"/>
      <c r="F2" s="21"/>
    </row>
    <row r="3" spans="1:12" x14ac:dyDescent="0.2">
      <c r="A3" s="10"/>
      <c r="B3" s="10">
        <v>2</v>
      </c>
      <c r="C3" s="10" t="str">
        <f>IF(B3&gt;MAX('TRA-M'!A:A),"",INDEX('TRA-M'!B:B,MATCH(B3,'TRA-M'!A:A,0)))</f>
        <v>CHARTIER, Jérémy</v>
      </c>
      <c r="D3" s="64" t="str">
        <f>IF(B3&gt;MAX('TRA-M'!A:A),"",INDEX('TRA-M'!H:H,MATCH(B3,'TRA-M'!A:A,0)))</f>
        <v>National Team</v>
      </c>
      <c r="E3" s="21"/>
      <c r="F3" s="21"/>
    </row>
    <row r="4" spans="1:12" x14ac:dyDescent="0.2">
      <c r="A4" s="10"/>
      <c r="B4" s="10">
        <v>3</v>
      </c>
      <c r="C4" s="10" t="str">
        <f>IF(B4&gt;MAX('TRA-M'!A:A),"",INDEX('TRA-M'!B:B,MATCH(B4,'TRA-M'!A:A,0)))</f>
        <v>EVSTIGNEEV, Gleb</v>
      </c>
      <c r="D4" s="64" t="str">
        <f>IF(B4&gt;MAX('TRA-M'!A:A),"",INDEX('TRA-M'!H:H,MATCH(B4,'TRA-M'!A:A,0)))</f>
        <v>National Team</v>
      </c>
      <c r="E4" s="21"/>
      <c r="F4" s="21"/>
    </row>
    <row r="5" spans="1:12" x14ac:dyDescent="0.2">
      <c r="A5" s="10"/>
      <c r="B5" s="10">
        <v>4</v>
      </c>
      <c r="C5" s="10" t="str">
        <f>IF(B5&gt;MAX('TRA-M'!A:A),"",INDEX('TRA-M'!B:B,MATCH(B5,'TRA-M'!A:A,0)))</f>
        <v>MCLEAN, Declan</v>
      </c>
      <c r="D5" s="64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FLYNN, Gabby</v>
      </c>
      <c r="D6" s="65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BONHAM, Maja</v>
      </c>
      <c r="D7" s="69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NOGA-BARD, Kasha</v>
      </c>
      <c r="D8" s="69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BONNE, Rielle</v>
      </c>
      <c r="D9" s="69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4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NEUFELD, Simon</v>
      </c>
      <c r="D11" s="72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PEDERSEN, Mitchel</v>
      </c>
      <c r="D12" s="72" t="str">
        <f>IF(B4&gt;MAX('TUM-M'!A:A),"",INDEX('TUM-M'!H:H,MATCH(B4,'TUM-M'!A:A,0)))</f>
        <v>National Team</v>
      </c>
    </row>
    <row r="13" spans="1:12" hidden="1" x14ac:dyDescent="0.2">
      <c r="A13" s="10"/>
      <c r="B13" s="10">
        <v>4</v>
      </c>
      <c r="C13" s="10" t="str">
        <f>IF(B5&gt;MAX('TUM-M'!A:A),"",INDEX('TUM-M'!B:B,MATCH(B5,'TUM-M'!A:A,0)))</f>
        <v/>
      </c>
      <c r="D13" s="72" t="str">
        <f>IF(B5&gt;MAX('TUM-M'!A:A),"",INDEX('TUM-M'!H:H,MATCH(B5,'TUM-M'!A:A,0)))</f>
        <v/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SININIUC, Alexandra</v>
      </c>
      <c r="D14" s="65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THOMPSON, Abby</v>
      </c>
      <c r="D15" s="71" t="str">
        <f>IF(B3&gt;MAX('TUM-W'!A:A),"",INDEX('TUM-W'!H:H,MATCH(B3,'TUM-W'!A:A,0)))</f>
        <v>National Team</v>
      </c>
    </row>
    <row r="16" spans="1:12" x14ac:dyDescent="0.2">
      <c r="A16" s="13"/>
      <c r="B16" s="13">
        <v>3</v>
      </c>
      <c r="C16" s="13" t="str">
        <f>IF(B4&gt;MAX('TUM-W'!A:A),"",INDEX('TUM-W'!B:B,MATCH(B4,'TUM-W'!A:A,0)))</f>
        <v>PILLINGER, Taylor</v>
      </c>
      <c r="D16" s="71" t="str">
        <f>IF(B4&gt;MAX('TUM-W'!A:A),"",INDEX('TUM-W'!H:H,MATCH(B4,'TUM-W'!A:A,0)))</f>
        <v>National Team</v>
      </c>
    </row>
    <row r="17" spans="1:5" x14ac:dyDescent="0.2">
      <c r="A17" s="13"/>
      <c r="B17" s="13">
        <v>4</v>
      </c>
      <c r="C17" s="13" t="str">
        <f>IF(B5&gt;MAX('TUM-W'!A:A),"",INDEX('TUM-W'!B:B,MATCH(B5,'TUM-W'!A:A,0)))</f>
        <v>DONG, Helen</v>
      </c>
      <c r="D17" s="71" t="str">
        <f>IF(B5&gt;MAX('TUM-W'!A:A),"",INDEX('TUM-W'!H:H,MATCH(B5,'TUM-W'!A:A,0)))</f>
        <v>National Team</v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DODD, Gavin</v>
      </c>
      <c r="D18" s="64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LUPISH, Kieran</v>
      </c>
      <c r="D19" s="72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PEDERSEN, Mitchel</v>
      </c>
      <c r="D20" s="72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MEYER, Jeremy</v>
      </c>
      <c r="D21" s="72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5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1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PHANEUF, Zoe</v>
      </c>
      <c r="D24" s="71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DODD, Kristina</v>
      </c>
      <c r="D25" s="71" t="str">
        <f>IF(B5&gt;MAX('DMT-W'!A:A),"",INDEX('DMT-W'!H:H,MATCH(B5,'DMT-W'!A:A,0)))</f>
        <v>National Team</v>
      </c>
    </row>
    <row r="26" spans="1:5" x14ac:dyDescent="0.2">
      <c r="D26" s="67"/>
    </row>
    <row r="27" spans="1:5" x14ac:dyDescent="0.2">
      <c r="B27" s="31" t="s">
        <v>31</v>
      </c>
    </row>
    <row r="28" spans="1:5" x14ac:dyDescent="0.2">
      <c r="B28" s="31" t="s">
        <v>29</v>
      </c>
    </row>
    <row r="29" spans="1:5" x14ac:dyDescent="0.2">
      <c r="B29" s="31" t="s">
        <v>30</v>
      </c>
    </row>
    <row r="30" spans="1:5" x14ac:dyDescent="0.2">
      <c r="B30" s="21" t="s">
        <v>51</v>
      </c>
      <c r="D30" s="31" t="s">
        <v>49</v>
      </c>
    </row>
    <row r="31" spans="1:5" x14ac:dyDescent="0.2">
      <c r="B31" s="21" t="s">
        <v>58</v>
      </c>
      <c r="D31" s="31" t="s">
        <v>49</v>
      </c>
      <c r="E31" t="s">
        <v>49</v>
      </c>
    </row>
    <row r="32" spans="1:5" x14ac:dyDescent="0.2">
      <c r="B32" s="31" t="s">
        <v>50</v>
      </c>
      <c r="D32" s="31"/>
    </row>
    <row r="33" spans="1:4" x14ac:dyDescent="0.2">
      <c r="B33" s="31" t="s">
        <v>59</v>
      </c>
      <c r="D33" s="31"/>
    </row>
    <row r="34" spans="1:4" x14ac:dyDescent="0.2">
      <c r="A34" t="s">
        <v>35</v>
      </c>
      <c r="B34" s="99">
        <v>44669</v>
      </c>
      <c r="C34" s="99"/>
    </row>
    <row r="35" spans="1:4" x14ac:dyDescent="0.2">
      <c r="B35" t="s">
        <v>180</v>
      </c>
    </row>
    <row r="36" spans="1:4" x14ac:dyDescent="0.2">
      <c r="B36" s="53"/>
    </row>
    <row r="37" spans="1:4" x14ac:dyDescent="0.2">
      <c r="B37" s="31"/>
    </row>
    <row r="38" spans="1:4" x14ac:dyDescent="0.2">
      <c r="B38" s="31"/>
    </row>
    <row r="39" spans="1:4" x14ac:dyDescent="0.2">
      <c r="B39" s="31"/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401" width="10.83203125" hidden="1" customWidth="1"/>
  </cols>
  <sheetData>
    <row r="1" spans="1:40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5" t="s">
        <v>8</v>
      </c>
      <c r="H1" s="105" t="s">
        <v>9</v>
      </c>
      <c r="I1" s="107" t="s">
        <v>76</v>
      </c>
      <c r="J1" s="108" t="s">
        <v>26</v>
      </c>
      <c r="K1" s="107" t="s">
        <v>77</v>
      </c>
      <c r="L1" s="108" t="s">
        <v>26</v>
      </c>
      <c r="M1" s="109" t="s">
        <v>11</v>
      </c>
      <c r="N1" s="108" t="s">
        <v>27</v>
      </c>
      <c r="O1" s="108" t="s">
        <v>26</v>
      </c>
      <c r="P1" s="100" t="s">
        <v>106</v>
      </c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4" t="s">
        <v>123</v>
      </c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0" t="s">
        <v>133</v>
      </c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2" t="s">
        <v>11</v>
      </c>
      <c r="DC1" s="102"/>
      <c r="DD1" s="100" t="s">
        <v>127</v>
      </c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4" t="s">
        <v>132</v>
      </c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0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0"/>
      <c r="GO1" s="100"/>
      <c r="GP1" s="100"/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0"/>
      <c r="IS1" s="100"/>
      <c r="IT1" s="100"/>
      <c r="IU1" s="100"/>
      <c r="IV1" s="100"/>
      <c r="IW1" s="100"/>
      <c r="IX1" s="100"/>
      <c r="IY1" s="100"/>
      <c r="IZ1" s="100"/>
      <c r="JA1" s="100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0"/>
      <c r="LQ1" s="100"/>
      <c r="LR1" s="100"/>
      <c r="LS1" s="100"/>
      <c r="LT1" s="100"/>
      <c r="LU1" s="100"/>
      <c r="LV1" s="100"/>
      <c r="LW1" s="100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0" t="s">
        <v>56</v>
      </c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0"/>
      <c r="NX1" s="100"/>
      <c r="NY1" s="100"/>
      <c r="NZ1" s="100"/>
      <c r="OA1" s="100"/>
      <c r="OB1" s="100"/>
      <c r="OC1" s="100"/>
      <c r="OD1" s="100"/>
      <c r="OE1" s="100"/>
      <c r="OF1" s="100"/>
      <c r="OG1" s="100"/>
      <c r="OH1" s="100"/>
      <c r="OI1" s="100"/>
    </row>
    <row r="2" spans="1:401" x14ac:dyDescent="0.2">
      <c r="A2" s="105"/>
      <c r="B2" s="105"/>
      <c r="C2" s="105"/>
      <c r="D2" s="105"/>
      <c r="E2" s="105"/>
      <c r="F2" s="106"/>
      <c r="G2" s="105"/>
      <c r="H2" s="105"/>
      <c r="I2" s="107"/>
      <c r="J2" s="108"/>
      <c r="K2" s="107"/>
      <c r="L2" s="108"/>
      <c r="M2" s="109"/>
      <c r="N2" s="108"/>
      <c r="O2" s="108"/>
      <c r="P2" s="101" t="s">
        <v>16</v>
      </c>
      <c r="Q2" s="101"/>
      <c r="R2" s="101"/>
      <c r="S2" s="101"/>
      <c r="T2" s="101"/>
      <c r="U2" s="101" t="s">
        <v>17</v>
      </c>
      <c r="V2" s="101"/>
      <c r="W2" s="101"/>
      <c r="X2" s="101"/>
      <c r="Y2" s="101"/>
      <c r="Z2" s="101" t="s">
        <v>63</v>
      </c>
      <c r="AA2" s="101"/>
      <c r="AB2" s="101"/>
      <c r="AC2" s="101"/>
      <c r="AD2" s="101"/>
      <c r="AE2" s="101" t="s">
        <v>20</v>
      </c>
      <c r="AF2" s="101"/>
      <c r="AG2" s="101"/>
      <c r="AH2" s="101"/>
      <c r="AI2" s="101"/>
      <c r="AJ2" s="44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3" t="s">
        <v>16</v>
      </c>
      <c r="AU2" s="103"/>
      <c r="AV2" s="103"/>
      <c r="AW2" s="103"/>
      <c r="AX2" s="103"/>
      <c r="AY2" s="103" t="s">
        <v>17</v>
      </c>
      <c r="AZ2" s="103"/>
      <c r="BA2" s="103"/>
      <c r="BB2" s="103"/>
      <c r="BC2" s="103"/>
      <c r="BD2" s="103" t="s">
        <v>63</v>
      </c>
      <c r="BE2" s="103"/>
      <c r="BF2" s="103"/>
      <c r="BG2" s="103"/>
      <c r="BH2" s="103"/>
      <c r="BI2" s="103" t="s">
        <v>20</v>
      </c>
      <c r="BJ2" s="103"/>
      <c r="BK2" s="103"/>
      <c r="BL2" s="103"/>
      <c r="BM2" s="103"/>
      <c r="BN2" s="43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1" t="s">
        <v>16</v>
      </c>
      <c r="BY2" s="101"/>
      <c r="BZ2" s="101"/>
      <c r="CA2" s="101"/>
      <c r="CB2" s="101"/>
      <c r="CC2" s="101" t="s">
        <v>17</v>
      </c>
      <c r="CD2" s="101"/>
      <c r="CE2" s="101"/>
      <c r="CF2" s="101"/>
      <c r="CG2" s="101"/>
      <c r="CH2" s="101" t="s">
        <v>63</v>
      </c>
      <c r="CI2" s="101"/>
      <c r="CJ2" s="101"/>
      <c r="CK2" s="101"/>
      <c r="CL2" s="101"/>
      <c r="CM2" s="101" t="s">
        <v>20</v>
      </c>
      <c r="CN2" s="101"/>
      <c r="CO2" s="101"/>
      <c r="CP2" s="101"/>
      <c r="CQ2" s="101"/>
      <c r="CR2" s="55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17" t="s">
        <v>19</v>
      </c>
      <c r="DC2" s="17" t="s">
        <v>20</v>
      </c>
      <c r="DD2" s="101" t="s">
        <v>16</v>
      </c>
      <c r="DE2" s="101"/>
      <c r="DF2" s="101"/>
      <c r="DG2" s="101"/>
      <c r="DH2" s="101"/>
      <c r="DI2" s="101" t="s">
        <v>17</v>
      </c>
      <c r="DJ2" s="101"/>
      <c r="DK2" s="101"/>
      <c r="DL2" s="101"/>
      <c r="DM2" s="101"/>
      <c r="DN2" s="101" t="s">
        <v>20</v>
      </c>
      <c r="DO2" s="101"/>
      <c r="DP2" s="101"/>
      <c r="DQ2" s="101"/>
      <c r="DR2" s="101"/>
      <c r="DS2" s="23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3" t="s">
        <v>16</v>
      </c>
      <c r="EA2" s="103"/>
      <c r="EB2" s="103"/>
      <c r="EC2" s="103"/>
      <c r="ED2" s="103"/>
      <c r="EE2" s="103" t="s">
        <v>17</v>
      </c>
      <c r="EF2" s="103"/>
      <c r="EG2" s="103"/>
      <c r="EH2" s="103"/>
      <c r="EI2" s="103"/>
      <c r="EJ2" s="103" t="s">
        <v>20</v>
      </c>
      <c r="EK2" s="103"/>
      <c r="EL2" s="103"/>
      <c r="EM2" s="103"/>
      <c r="EN2" s="103"/>
      <c r="EO2" s="24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1" t="s">
        <v>16</v>
      </c>
      <c r="EW2" s="101"/>
      <c r="EX2" s="101"/>
      <c r="EY2" s="101"/>
      <c r="EZ2" s="101"/>
      <c r="FA2" s="101" t="s">
        <v>17</v>
      </c>
      <c r="FB2" s="101"/>
      <c r="FC2" s="101"/>
      <c r="FD2" s="101"/>
      <c r="FE2" s="101"/>
      <c r="FF2" s="101" t="s">
        <v>20</v>
      </c>
      <c r="FG2" s="101"/>
      <c r="FH2" s="101"/>
      <c r="FI2" s="101"/>
      <c r="FJ2" s="101"/>
      <c r="FK2" s="23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3" t="s">
        <v>16</v>
      </c>
      <c r="FS2" s="103"/>
      <c r="FT2" s="103"/>
      <c r="FU2" s="103"/>
      <c r="FV2" s="103"/>
      <c r="FW2" s="103" t="s">
        <v>17</v>
      </c>
      <c r="FX2" s="103"/>
      <c r="FY2" s="103"/>
      <c r="FZ2" s="103"/>
      <c r="GA2" s="103"/>
      <c r="GB2" s="103" t="s">
        <v>20</v>
      </c>
      <c r="GC2" s="103"/>
      <c r="GD2" s="103"/>
      <c r="GE2" s="103"/>
      <c r="GF2" s="103"/>
      <c r="GG2" s="24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1" t="s">
        <v>16</v>
      </c>
      <c r="GO2" s="101"/>
      <c r="GP2" s="101"/>
      <c r="GQ2" s="101"/>
      <c r="GR2" s="101"/>
      <c r="GS2" s="101" t="s">
        <v>17</v>
      </c>
      <c r="GT2" s="101"/>
      <c r="GU2" s="101"/>
      <c r="GV2" s="101"/>
      <c r="GW2" s="101"/>
      <c r="GX2" s="101" t="s">
        <v>20</v>
      </c>
      <c r="GY2" s="101"/>
      <c r="GZ2" s="101"/>
      <c r="HA2" s="101"/>
      <c r="HB2" s="101"/>
      <c r="HC2" s="23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3" t="s">
        <v>16</v>
      </c>
      <c r="HK2" s="103"/>
      <c r="HL2" s="103"/>
      <c r="HM2" s="103"/>
      <c r="HN2" s="103"/>
      <c r="HO2" s="103" t="s">
        <v>17</v>
      </c>
      <c r="HP2" s="103"/>
      <c r="HQ2" s="103"/>
      <c r="HR2" s="103"/>
      <c r="HS2" s="103"/>
      <c r="HT2" s="103" t="s">
        <v>20</v>
      </c>
      <c r="HU2" s="103"/>
      <c r="HV2" s="103"/>
      <c r="HW2" s="103"/>
      <c r="HX2" s="103"/>
      <c r="HY2" s="24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1" t="s">
        <v>16</v>
      </c>
      <c r="IG2" s="101"/>
      <c r="IH2" s="101"/>
      <c r="II2" s="101"/>
      <c r="IJ2" s="101"/>
      <c r="IK2" s="101" t="s">
        <v>17</v>
      </c>
      <c r="IL2" s="101"/>
      <c r="IM2" s="101"/>
      <c r="IN2" s="101"/>
      <c r="IO2" s="101"/>
      <c r="IP2" s="101" t="s">
        <v>20</v>
      </c>
      <c r="IQ2" s="101"/>
      <c r="IR2" s="101"/>
      <c r="IS2" s="101"/>
      <c r="IT2" s="101"/>
      <c r="IU2" s="23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3" t="s">
        <v>16</v>
      </c>
      <c r="JC2" s="103"/>
      <c r="JD2" s="103"/>
      <c r="JE2" s="103"/>
      <c r="JF2" s="103"/>
      <c r="JG2" s="103" t="s">
        <v>17</v>
      </c>
      <c r="JH2" s="103"/>
      <c r="JI2" s="103"/>
      <c r="JJ2" s="103"/>
      <c r="JK2" s="103"/>
      <c r="JL2" s="103" t="s">
        <v>20</v>
      </c>
      <c r="JM2" s="103"/>
      <c r="JN2" s="103"/>
      <c r="JO2" s="103"/>
      <c r="JP2" s="103"/>
      <c r="JQ2" s="24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1" t="s">
        <v>16</v>
      </c>
      <c r="JY2" s="101"/>
      <c r="JZ2" s="101"/>
      <c r="KA2" s="101"/>
      <c r="KB2" s="101"/>
      <c r="KC2" s="101" t="s">
        <v>17</v>
      </c>
      <c r="KD2" s="101"/>
      <c r="KE2" s="101"/>
      <c r="KF2" s="101"/>
      <c r="KG2" s="101"/>
      <c r="KH2" s="101" t="s">
        <v>20</v>
      </c>
      <c r="KI2" s="101"/>
      <c r="KJ2" s="101"/>
      <c r="KK2" s="101"/>
      <c r="KL2" s="101"/>
      <c r="KM2" s="23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3" t="s">
        <v>16</v>
      </c>
      <c r="KU2" s="103"/>
      <c r="KV2" s="103"/>
      <c r="KW2" s="103"/>
      <c r="KX2" s="103"/>
      <c r="KY2" s="103" t="s">
        <v>17</v>
      </c>
      <c r="KZ2" s="103"/>
      <c r="LA2" s="103"/>
      <c r="LB2" s="103"/>
      <c r="LC2" s="103"/>
      <c r="LD2" s="103" t="s">
        <v>20</v>
      </c>
      <c r="LE2" s="103"/>
      <c r="LF2" s="103"/>
      <c r="LG2" s="103"/>
      <c r="LH2" s="103"/>
      <c r="LI2" s="24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1" t="s">
        <v>16</v>
      </c>
      <c r="LQ2" s="101"/>
      <c r="LR2" s="101"/>
      <c r="LS2" s="101"/>
      <c r="LT2" s="101"/>
      <c r="LU2" s="101" t="s">
        <v>17</v>
      </c>
      <c r="LV2" s="101"/>
      <c r="LW2" s="101"/>
      <c r="LX2" s="101"/>
      <c r="LY2" s="101"/>
      <c r="LZ2" s="101" t="s">
        <v>20</v>
      </c>
      <c r="MA2" s="101"/>
      <c r="MB2" s="101"/>
      <c r="MC2" s="101"/>
      <c r="MD2" s="101"/>
      <c r="ME2" s="23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3" t="s">
        <v>16</v>
      </c>
      <c r="MM2" s="103"/>
      <c r="MN2" s="103"/>
      <c r="MO2" s="103"/>
      <c r="MP2" s="103"/>
      <c r="MQ2" s="103" t="s">
        <v>17</v>
      </c>
      <c r="MR2" s="103"/>
      <c r="MS2" s="103"/>
      <c r="MT2" s="103"/>
      <c r="MU2" s="103"/>
      <c r="MV2" s="103" t="s">
        <v>20</v>
      </c>
      <c r="MW2" s="103"/>
      <c r="MX2" s="103"/>
      <c r="MY2" s="103"/>
      <c r="MZ2" s="103"/>
      <c r="NA2" s="24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1" t="s">
        <v>16</v>
      </c>
      <c r="NI2" s="101"/>
      <c r="NJ2" s="101"/>
      <c r="NK2" s="101"/>
      <c r="NL2" s="101"/>
      <c r="NM2" s="101" t="s">
        <v>17</v>
      </c>
      <c r="NN2" s="101"/>
      <c r="NO2" s="101"/>
      <c r="NP2" s="101"/>
      <c r="NQ2" s="101"/>
      <c r="NR2" s="101" t="s">
        <v>63</v>
      </c>
      <c r="NS2" s="101"/>
      <c r="NT2" s="101"/>
      <c r="NU2" s="101"/>
      <c r="NV2" s="101"/>
      <c r="NW2" s="101" t="s">
        <v>20</v>
      </c>
      <c r="NX2" s="101"/>
      <c r="NY2" s="101"/>
      <c r="NZ2" s="101"/>
      <c r="OA2" s="101"/>
      <c r="OB2" s="51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5"/>
      <c r="B3" s="105"/>
      <c r="C3" s="105"/>
      <c r="D3" s="105"/>
      <c r="E3" s="105"/>
      <c r="F3" s="106"/>
      <c r="G3" s="105"/>
      <c r="H3" s="105"/>
      <c r="I3" s="107"/>
      <c r="J3" s="108"/>
      <c r="K3" s="107"/>
      <c r="L3" s="108"/>
      <c r="M3" s="109"/>
      <c r="N3" s="108"/>
      <c r="O3" s="108"/>
      <c r="P3" s="23" t="s">
        <v>12</v>
      </c>
      <c r="Q3" s="23" t="s">
        <v>13</v>
      </c>
      <c r="R3" s="23" t="s">
        <v>7</v>
      </c>
      <c r="S3" s="23" t="s">
        <v>14</v>
      </c>
      <c r="T3" s="28" t="s">
        <v>24</v>
      </c>
      <c r="U3" s="56" t="s">
        <v>12</v>
      </c>
      <c r="V3" s="56" t="s">
        <v>13</v>
      </c>
      <c r="W3" s="56" t="s">
        <v>7</v>
      </c>
      <c r="X3" s="56" t="s">
        <v>14</v>
      </c>
      <c r="Y3" s="56" t="s">
        <v>24</v>
      </c>
      <c r="Z3" s="23" t="s">
        <v>12</v>
      </c>
      <c r="AA3" s="23" t="s">
        <v>13</v>
      </c>
      <c r="AB3" s="23" t="s">
        <v>7</v>
      </c>
      <c r="AC3" s="23" t="s">
        <v>14</v>
      </c>
      <c r="AD3" s="28" t="s">
        <v>24</v>
      </c>
      <c r="AE3" s="23" t="s">
        <v>12</v>
      </c>
      <c r="AF3" s="23" t="s">
        <v>13</v>
      </c>
      <c r="AG3" s="23" t="s">
        <v>7</v>
      </c>
      <c r="AH3" s="23" t="s">
        <v>14</v>
      </c>
      <c r="AI3" s="28" t="s">
        <v>24</v>
      </c>
      <c r="AJ3" s="44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4" t="s">
        <v>12</v>
      </c>
      <c r="AU3" s="24" t="s">
        <v>13</v>
      </c>
      <c r="AV3" s="24" t="s">
        <v>7</v>
      </c>
      <c r="AW3" s="24" t="s">
        <v>14</v>
      </c>
      <c r="AX3" s="29" t="s">
        <v>24</v>
      </c>
      <c r="AY3" s="57" t="s">
        <v>12</v>
      </c>
      <c r="AZ3" s="57" t="s">
        <v>13</v>
      </c>
      <c r="BA3" s="57" t="s">
        <v>7</v>
      </c>
      <c r="BB3" s="57" t="s">
        <v>14</v>
      </c>
      <c r="BC3" s="57" t="s">
        <v>24</v>
      </c>
      <c r="BD3" s="24" t="s">
        <v>12</v>
      </c>
      <c r="BE3" s="24" t="s">
        <v>13</v>
      </c>
      <c r="BF3" s="24" t="s">
        <v>7</v>
      </c>
      <c r="BG3" s="24" t="s">
        <v>14</v>
      </c>
      <c r="BH3" s="29" t="s">
        <v>24</v>
      </c>
      <c r="BI3" s="24" t="s">
        <v>12</v>
      </c>
      <c r="BJ3" s="24" t="s">
        <v>13</v>
      </c>
      <c r="BK3" s="24" t="s">
        <v>7</v>
      </c>
      <c r="BL3" s="29" t="s">
        <v>14</v>
      </c>
      <c r="BM3" s="24" t="s">
        <v>24</v>
      </c>
      <c r="BN3" s="43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5" t="s">
        <v>12</v>
      </c>
      <c r="BY3" s="55" t="s">
        <v>13</v>
      </c>
      <c r="BZ3" s="55" t="s">
        <v>7</v>
      </c>
      <c r="CA3" s="55" t="s">
        <v>14</v>
      </c>
      <c r="CB3" s="55" t="s">
        <v>24</v>
      </c>
      <c r="CC3" s="56" t="s">
        <v>12</v>
      </c>
      <c r="CD3" s="56" t="s">
        <v>13</v>
      </c>
      <c r="CE3" s="56" t="s">
        <v>7</v>
      </c>
      <c r="CF3" s="56" t="s">
        <v>14</v>
      </c>
      <c r="CG3" s="56" t="s">
        <v>24</v>
      </c>
      <c r="CH3" s="55" t="s">
        <v>12</v>
      </c>
      <c r="CI3" s="55" t="s">
        <v>13</v>
      </c>
      <c r="CJ3" s="55" t="s">
        <v>7</v>
      </c>
      <c r="CK3" s="55" t="s">
        <v>14</v>
      </c>
      <c r="CL3" s="55" t="s">
        <v>24</v>
      </c>
      <c r="CM3" s="55" t="s">
        <v>12</v>
      </c>
      <c r="CN3" s="55" t="s">
        <v>13</v>
      </c>
      <c r="CO3" s="55" t="s">
        <v>7</v>
      </c>
      <c r="CP3" s="55" t="s">
        <v>14</v>
      </c>
      <c r="CQ3" s="55" t="s">
        <v>24</v>
      </c>
      <c r="CR3" s="55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8"/>
      <c r="DC3" s="18"/>
      <c r="DD3" s="23" t="s">
        <v>12</v>
      </c>
      <c r="DE3" s="23" t="s">
        <v>13</v>
      </c>
      <c r="DF3" s="23" t="s">
        <v>7</v>
      </c>
      <c r="DG3" s="23" t="s">
        <v>14</v>
      </c>
      <c r="DH3" s="28" t="s">
        <v>24</v>
      </c>
      <c r="DI3" s="23" t="s">
        <v>12</v>
      </c>
      <c r="DJ3" s="23" t="s">
        <v>13</v>
      </c>
      <c r="DK3" s="23" t="s">
        <v>7</v>
      </c>
      <c r="DL3" s="23" t="s">
        <v>14</v>
      </c>
      <c r="DM3" s="28" t="s">
        <v>24</v>
      </c>
      <c r="DN3" s="23" t="s">
        <v>12</v>
      </c>
      <c r="DO3" s="23" t="s">
        <v>13</v>
      </c>
      <c r="DP3" s="23" t="s">
        <v>7</v>
      </c>
      <c r="DQ3" s="23" t="s">
        <v>14</v>
      </c>
      <c r="DR3" s="28" t="s">
        <v>24</v>
      </c>
      <c r="DS3" s="10"/>
      <c r="DT3" s="9"/>
      <c r="DU3" s="9"/>
      <c r="DV3" s="9"/>
      <c r="DW3" s="9"/>
      <c r="DX3" s="10"/>
      <c r="DY3" s="10"/>
      <c r="DZ3" s="24" t="s">
        <v>12</v>
      </c>
      <c r="EA3" s="24" t="s">
        <v>13</v>
      </c>
      <c r="EB3" s="24" t="s">
        <v>7</v>
      </c>
      <c r="EC3" s="24" t="s">
        <v>14</v>
      </c>
      <c r="ED3" s="29" t="s">
        <v>24</v>
      </c>
      <c r="EE3" s="24" t="s">
        <v>12</v>
      </c>
      <c r="EF3" s="24" t="s">
        <v>13</v>
      </c>
      <c r="EG3" s="24" t="s">
        <v>7</v>
      </c>
      <c r="EH3" s="24" t="s">
        <v>14</v>
      </c>
      <c r="EI3" s="29" t="s">
        <v>24</v>
      </c>
      <c r="EJ3" s="24" t="s">
        <v>12</v>
      </c>
      <c r="EK3" s="24" t="s">
        <v>13</v>
      </c>
      <c r="EL3" s="24" t="s">
        <v>7</v>
      </c>
      <c r="EM3" s="24" t="s">
        <v>14</v>
      </c>
      <c r="EN3" s="30" t="s">
        <v>24</v>
      </c>
      <c r="EO3" s="13"/>
      <c r="EP3" s="12"/>
      <c r="EQ3" s="12"/>
      <c r="ER3" s="12"/>
      <c r="ES3" s="12"/>
      <c r="ET3" s="13"/>
      <c r="EU3" s="13"/>
      <c r="EV3" s="23" t="s">
        <v>12</v>
      </c>
      <c r="EW3" s="23" t="s">
        <v>13</v>
      </c>
      <c r="EX3" s="23" t="s">
        <v>7</v>
      </c>
      <c r="EY3" s="23" t="s">
        <v>14</v>
      </c>
      <c r="EZ3" s="28" t="s">
        <v>24</v>
      </c>
      <c r="FA3" s="23" t="s">
        <v>12</v>
      </c>
      <c r="FB3" s="23" t="s">
        <v>13</v>
      </c>
      <c r="FC3" s="23" t="s">
        <v>7</v>
      </c>
      <c r="FD3" s="23" t="s">
        <v>14</v>
      </c>
      <c r="FE3" s="28" t="s">
        <v>24</v>
      </c>
      <c r="FF3" s="23" t="s">
        <v>12</v>
      </c>
      <c r="FG3" s="23" t="s">
        <v>13</v>
      </c>
      <c r="FH3" s="23" t="s">
        <v>7</v>
      </c>
      <c r="FI3" s="23" t="s">
        <v>14</v>
      </c>
      <c r="FJ3" s="28" t="s">
        <v>24</v>
      </c>
      <c r="FK3" s="10"/>
      <c r="FL3" s="9"/>
      <c r="FM3" s="9"/>
      <c r="FN3" s="9"/>
      <c r="FO3" s="9"/>
      <c r="FP3" s="10"/>
      <c r="FQ3" s="10"/>
      <c r="FR3" s="24" t="s">
        <v>12</v>
      </c>
      <c r="FS3" s="24" t="s">
        <v>13</v>
      </c>
      <c r="FT3" s="24" t="s">
        <v>7</v>
      </c>
      <c r="FU3" s="24" t="s">
        <v>14</v>
      </c>
      <c r="FV3" s="29" t="s">
        <v>24</v>
      </c>
      <c r="FW3" s="24" t="s">
        <v>12</v>
      </c>
      <c r="FX3" s="24" t="s">
        <v>13</v>
      </c>
      <c r="FY3" s="24" t="s">
        <v>7</v>
      </c>
      <c r="FZ3" s="24" t="s">
        <v>14</v>
      </c>
      <c r="GA3" s="29" t="s">
        <v>24</v>
      </c>
      <c r="GB3" s="24" t="s">
        <v>12</v>
      </c>
      <c r="GC3" s="24" t="s">
        <v>13</v>
      </c>
      <c r="GD3" s="24" t="s">
        <v>7</v>
      </c>
      <c r="GE3" s="24" t="s">
        <v>14</v>
      </c>
      <c r="GF3" s="29" t="s">
        <v>24</v>
      </c>
      <c r="GG3" s="13"/>
      <c r="GH3" s="12"/>
      <c r="GI3" s="12"/>
      <c r="GJ3" s="12"/>
      <c r="GK3" s="12"/>
      <c r="GL3" s="13"/>
      <c r="GM3" s="13"/>
      <c r="GN3" s="23" t="s">
        <v>12</v>
      </c>
      <c r="GO3" s="23" t="s">
        <v>13</v>
      </c>
      <c r="GP3" s="23" t="s">
        <v>7</v>
      </c>
      <c r="GQ3" s="23" t="s">
        <v>14</v>
      </c>
      <c r="GR3" s="28" t="s">
        <v>24</v>
      </c>
      <c r="GS3" s="23" t="s">
        <v>12</v>
      </c>
      <c r="GT3" s="23" t="s">
        <v>13</v>
      </c>
      <c r="GU3" s="23" t="s">
        <v>7</v>
      </c>
      <c r="GV3" s="23" t="s">
        <v>14</v>
      </c>
      <c r="GW3" s="28" t="s">
        <v>24</v>
      </c>
      <c r="GX3" s="23" t="s">
        <v>12</v>
      </c>
      <c r="GY3" s="23" t="s">
        <v>13</v>
      </c>
      <c r="GZ3" s="23" t="s">
        <v>7</v>
      </c>
      <c r="HA3" s="23" t="s">
        <v>14</v>
      </c>
      <c r="HB3" s="28" t="s">
        <v>24</v>
      </c>
      <c r="HC3" s="10"/>
      <c r="HD3" s="9"/>
      <c r="HE3" s="9"/>
      <c r="HF3" s="9"/>
      <c r="HG3" s="9"/>
      <c r="HH3" s="10"/>
      <c r="HI3" s="10"/>
      <c r="HJ3" s="24" t="s">
        <v>12</v>
      </c>
      <c r="HK3" s="24" t="s">
        <v>13</v>
      </c>
      <c r="HL3" s="24" t="s">
        <v>7</v>
      </c>
      <c r="HM3" s="24" t="s">
        <v>14</v>
      </c>
      <c r="HN3" s="29" t="s">
        <v>24</v>
      </c>
      <c r="HO3" s="24" t="s">
        <v>12</v>
      </c>
      <c r="HP3" s="24" t="s">
        <v>13</v>
      </c>
      <c r="HQ3" s="24" t="s">
        <v>7</v>
      </c>
      <c r="HR3" s="24" t="s">
        <v>14</v>
      </c>
      <c r="HS3" s="29" t="s">
        <v>24</v>
      </c>
      <c r="HT3" s="24" t="s">
        <v>12</v>
      </c>
      <c r="HU3" s="24" t="s">
        <v>13</v>
      </c>
      <c r="HV3" s="24" t="s">
        <v>7</v>
      </c>
      <c r="HW3" s="24" t="s">
        <v>14</v>
      </c>
      <c r="HX3" s="29" t="s">
        <v>24</v>
      </c>
      <c r="HY3" s="13"/>
      <c r="HZ3" s="12"/>
      <c r="IA3" s="12"/>
      <c r="IB3" s="12"/>
      <c r="IC3" s="12"/>
      <c r="ID3" s="13"/>
      <c r="IE3" s="13"/>
      <c r="IF3" s="23" t="s">
        <v>12</v>
      </c>
      <c r="IG3" s="23" t="s">
        <v>13</v>
      </c>
      <c r="IH3" s="23" t="s">
        <v>7</v>
      </c>
      <c r="II3" s="23" t="s">
        <v>14</v>
      </c>
      <c r="IJ3" s="28" t="s">
        <v>24</v>
      </c>
      <c r="IK3" s="23" t="s">
        <v>12</v>
      </c>
      <c r="IL3" s="23" t="s">
        <v>13</v>
      </c>
      <c r="IM3" s="23" t="s">
        <v>7</v>
      </c>
      <c r="IN3" s="23" t="s">
        <v>14</v>
      </c>
      <c r="IO3" s="28" t="s">
        <v>24</v>
      </c>
      <c r="IP3" s="23" t="s">
        <v>12</v>
      </c>
      <c r="IQ3" s="23" t="s">
        <v>13</v>
      </c>
      <c r="IR3" s="23" t="s">
        <v>7</v>
      </c>
      <c r="IS3" s="23" t="s">
        <v>14</v>
      </c>
      <c r="IT3" s="28" t="s">
        <v>24</v>
      </c>
      <c r="IU3" s="10"/>
      <c r="IV3" s="9"/>
      <c r="IW3" s="9"/>
      <c r="IX3" s="9"/>
      <c r="IY3" s="9"/>
      <c r="IZ3" s="10"/>
      <c r="JA3" s="10"/>
      <c r="JB3" s="24" t="s">
        <v>12</v>
      </c>
      <c r="JC3" s="24" t="s">
        <v>13</v>
      </c>
      <c r="JD3" s="24" t="s">
        <v>7</v>
      </c>
      <c r="JE3" s="24" t="s">
        <v>14</v>
      </c>
      <c r="JF3" s="29" t="s">
        <v>24</v>
      </c>
      <c r="JG3" s="24" t="s">
        <v>12</v>
      </c>
      <c r="JH3" s="24" t="s">
        <v>13</v>
      </c>
      <c r="JI3" s="24" t="s">
        <v>7</v>
      </c>
      <c r="JJ3" s="24" t="s">
        <v>14</v>
      </c>
      <c r="JK3" s="29" t="s">
        <v>24</v>
      </c>
      <c r="JL3" s="24" t="s">
        <v>12</v>
      </c>
      <c r="JM3" s="24" t="s">
        <v>13</v>
      </c>
      <c r="JN3" s="24" t="s">
        <v>7</v>
      </c>
      <c r="JO3" s="24" t="s">
        <v>14</v>
      </c>
      <c r="JP3" s="29" t="s">
        <v>24</v>
      </c>
      <c r="JQ3" s="13"/>
      <c r="JR3" s="12"/>
      <c r="JS3" s="12"/>
      <c r="JT3" s="12"/>
      <c r="JU3" s="12"/>
      <c r="JV3" s="13"/>
      <c r="JW3" s="13"/>
      <c r="JX3" s="23" t="s">
        <v>12</v>
      </c>
      <c r="JY3" s="23" t="s">
        <v>13</v>
      </c>
      <c r="JZ3" s="23" t="s">
        <v>7</v>
      </c>
      <c r="KA3" s="23" t="s">
        <v>14</v>
      </c>
      <c r="KB3" s="28" t="s">
        <v>24</v>
      </c>
      <c r="KC3" s="23" t="s">
        <v>12</v>
      </c>
      <c r="KD3" s="23" t="s">
        <v>13</v>
      </c>
      <c r="KE3" s="23" t="s">
        <v>7</v>
      </c>
      <c r="KF3" s="23" t="s">
        <v>14</v>
      </c>
      <c r="KG3" s="28" t="s">
        <v>24</v>
      </c>
      <c r="KH3" s="23" t="s">
        <v>12</v>
      </c>
      <c r="KI3" s="23" t="s">
        <v>13</v>
      </c>
      <c r="KJ3" s="23" t="s">
        <v>7</v>
      </c>
      <c r="KK3" s="23" t="s">
        <v>14</v>
      </c>
      <c r="KL3" s="28" t="s">
        <v>24</v>
      </c>
      <c r="KM3" s="10"/>
      <c r="KN3" s="9"/>
      <c r="KO3" s="9"/>
      <c r="KP3" s="9"/>
      <c r="KQ3" s="9"/>
      <c r="KR3" s="10"/>
      <c r="KS3" s="10"/>
      <c r="KT3" s="24" t="s">
        <v>12</v>
      </c>
      <c r="KU3" s="24" t="s">
        <v>13</v>
      </c>
      <c r="KV3" s="24" t="s">
        <v>7</v>
      </c>
      <c r="KW3" s="24" t="s">
        <v>14</v>
      </c>
      <c r="KX3" s="29" t="s">
        <v>24</v>
      </c>
      <c r="KY3" s="24" t="s">
        <v>12</v>
      </c>
      <c r="KZ3" s="24" t="s">
        <v>13</v>
      </c>
      <c r="LA3" s="24" t="s">
        <v>7</v>
      </c>
      <c r="LB3" s="24" t="s">
        <v>14</v>
      </c>
      <c r="LC3" s="29" t="s">
        <v>24</v>
      </c>
      <c r="LD3" s="24" t="s">
        <v>12</v>
      </c>
      <c r="LE3" s="24" t="s">
        <v>13</v>
      </c>
      <c r="LF3" s="24" t="s">
        <v>7</v>
      </c>
      <c r="LG3" s="24" t="s">
        <v>14</v>
      </c>
      <c r="LH3" s="29" t="s">
        <v>24</v>
      </c>
      <c r="LI3" s="13"/>
      <c r="LJ3" s="12"/>
      <c r="LK3" s="12"/>
      <c r="LL3" s="12"/>
      <c r="LM3" s="12"/>
      <c r="LN3" s="13"/>
      <c r="LO3" s="13"/>
      <c r="LP3" s="23" t="s">
        <v>12</v>
      </c>
      <c r="LQ3" s="23" t="s">
        <v>13</v>
      </c>
      <c r="LR3" s="23" t="s">
        <v>7</v>
      </c>
      <c r="LS3" s="23" t="s">
        <v>14</v>
      </c>
      <c r="LT3" s="28" t="s">
        <v>24</v>
      </c>
      <c r="LU3" s="23" t="s">
        <v>12</v>
      </c>
      <c r="LV3" s="23" t="s">
        <v>13</v>
      </c>
      <c r="LW3" s="23" t="s">
        <v>7</v>
      </c>
      <c r="LX3" s="23" t="s">
        <v>14</v>
      </c>
      <c r="LY3" s="28" t="s">
        <v>24</v>
      </c>
      <c r="LZ3" s="23" t="s">
        <v>12</v>
      </c>
      <c r="MA3" s="23" t="s">
        <v>13</v>
      </c>
      <c r="MB3" s="23" t="s">
        <v>7</v>
      </c>
      <c r="MC3" s="23" t="s">
        <v>14</v>
      </c>
      <c r="MD3" s="28" t="s">
        <v>24</v>
      </c>
      <c r="ME3" s="10"/>
      <c r="MF3" s="9"/>
      <c r="MG3" s="9"/>
      <c r="MH3" s="9"/>
      <c r="MI3" s="9"/>
      <c r="MJ3" s="10"/>
      <c r="MK3" s="10"/>
      <c r="ML3" s="24" t="s">
        <v>12</v>
      </c>
      <c r="MM3" s="24" t="s">
        <v>13</v>
      </c>
      <c r="MN3" s="24" t="s">
        <v>7</v>
      </c>
      <c r="MO3" s="24" t="s">
        <v>14</v>
      </c>
      <c r="MP3" s="29" t="s">
        <v>24</v>
      </c>
      <c r="MQ3" s="24" t="s">
        <v>12</v>
      </c>
      <c r="MR3" s="24" t="s">
        <v>13</v>
      </c>
      <c r="MS3" s="24" t="s">
        <v>7</v>
      </c>
      <c r="MT3" s="24" t="s">
        <v>14</v>
      </c>
      <c r="MU3" s="29" t="s">
        <v>24</v>
      </c>
      <c r="MV3" s="24" t="s">
        <v>12</v>
      </c>
      <c r="MW3" s="24" t="s">
        <v>13</v>
      </c>
      <c r="MX3" s="24" t="s">
        <v>7</v>
      </c>
      <c r="MY3" s="24" t="s">
        <v>14</v>
      </c>
      <c r="MZ3" s="29" t="s">
        <v>24</v>
      </c>
      <c r="NA3" s="13"/>
      <c r="NB3" s="12"/>
      <c r="NC3" s="12"/>
      <c r="ND3" s="12"/>
      <c r="NE3" s="12"/>
      <c r="NF3" s="13"/>
      <c r="NG3" s="13"/>
      <c r="NH3" s="51" t="s">
        <v>12</v>
      </c>
      <c r="NI3" s="51" t="s">
        <v>13</v>
      </c>
      <c r="NJ3" s="51" t="s">
        <v>7</v>
      </c>
      <c r="NK3" s="51" t="s">
        <v>14</v>
      </c>
      <c r="NL3" s="51" t="s">
        <v>24</v>
      </c>
      <c r="NM3" s="56" t="s">
        <v>12</v>
      </c>
      <c r="NN3" s="56" t="s">
        <v>13</v>
      </c>
      <c r="NO3" s="56" t="s">
        <v>7</v>
      </c>
      <c r="NP3" s="56" t="s">
        <v>14</v>
      </c>
      <c r="NQ3" s="56" t="s">
        <v>24</v>
      </c>
      <c r="NR3" s="51" t="s">
        <v>12</v>
      </c>
      <c r="NS3" s="51" t="s">
        <v>13</v>
      </c>
      <c r="NT3" s="51" t="s">
        <v>7</v>
      </c>
      <c r="NU3" s="51" t="s">
        <v>14</v>
      </c>
      <c r="NV3" s="51" t="s">
        <v>24</v>
      </c>
      <c r="NW3" s="51" t="s">
        <v>12</v>
      </c>
      <c r="NX3" s="51" t="s">
        <v>13</v>
      </c>
      <c r="NY3" s="51" t="s">
        <v>7</v>
      </c>
      <c r="NZ3" s="51" t="s">
        <v>14</v>
      </c>
      <c r="OA3" s="51" t="s">
        <v>24</v>
      </c>
      <c r="OB3" s="51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IF(AND(F4="P",G4="P"),SUMPRODUCT((F$4:F$32="P")*(G$4:G$32="P")*(E$4:E$32&gt;E4))+1,IF(G4="P",SUMPRODUCT((F$4:F$32="")*(G$4:G$32="P")*(E$4:E$32&gt;E4))+1+SUMPRODUCT((F$4:F$32="P")*(G$4:G$32="P")),""))</f>
        <v>1</v>
      </c>
      <c r="B4" s="6" t="s">
        <v>94</v>
      </c>
      <c r="C4" s="7" t="s">
        <v>6</v>
      </c>
      <c r="D4" s="22">
        <v>2001</v>
      </c>
      <c r="E4" s="15">
        <f>SUM(I4:M4)+I4*0.0000001</f>
        <v>117.48500588850001</v>
      </c>
      <c r="F4" s="3" t="str">
        <f>IF(OR(AND(AL4&gt;=AS$34,AM4&gt;=AS$38,AL4&lt;&gt;"",AJ4=""),AND(AN4&gt;=AS$34,AO4&gt;=AS$38,AN4&lt;&gt;"",AN4=""),AND(AQ4&gt;=AS$34,AR4&gt;=AS$38,AQ4&lt;&gt;"",AJ4=""),AND(BP4&gt;=BW$34,BQ4&gt;=BW$38,BP4&lt;&gt;"",BN4=""),AND(BR4&gt;=BW$34,BS4&gt;=BW$38,BR4&lt;&gt;"",BN4=""),AND(BU4&gt;=BW$34,BV4&gt;=BW$38,BU4&lt;&gt;"",BN4=""),AND(CT4&gt;=DA$34,CU4&gt;=DA$38,CT4&lt;&gt;"",CR4=""),AND(CV4&gt;=DA$34,CW4&gt;=DA$38,CV4&lt;&gt;"",CR4=""),AND(CY4&gt;=DA$34,CZ4&gt;=DA$38,CY4&lt;&gt;"",CR4=""),AND(DS4&gt;=DY$34,DU4&gt;=DY$38,DS4&lt;&gt;""),AND(DW4&gt;=DY$34,DX4&gt;=DY$38,DW4&lt;&gt;""),AND(EO4&gt;=EU$34,EQ4&gt;=EU$38,EO4&lt;&gt;""),AND(ES4&gt;=EU$34,ET4&gt;=EU$38,ES4&lt;&gt;""),AND(FK4&gt;=FQ$34,FM4&gt;=FQ$38,FK4&lt;&gt;""),AND(FO4&gt;=FQ$34,FP4&gt;=FQ$38,FO4&lt;&gt;""),AND(GG4&gt;=GM$34,GI4&gt;=GM$38,GG4&lt;&gt;""),AND(GK4&gt;=GM$34,GL4&gt;=GM$38,GK4&lt;&gt;""),AND(HC4&gt;=HI$34,HE4&gt;=HI$38,HC4&lt;&gt;""),AND(HG4&gt;=HI$34,HH4&gt;=HI$38,HG4&lt;&gt;""),AND(HY4&gt;=IE$34,IA4&gt;=IE$38,HY4&lt;&gt;""),AND(IC4&gt;=IE$34,ID4&gt;=IE$38,IC4&lt;&gt;""),AND(IU4&gt;=JA$34,IW4&gt;=JA$38,IU4&lt;&gt;""),AND(IY4&gt;=JA$34,IZ4&gt;=JA$38,IY4&lt;&gt;""),AND(JQ4&gt;=JW$34,JS4&gt;=JW$38,JQ4&lt;&gt;""),AND(JU4&gt;=JW$34,JV4&gt;=JW$38,JU4&lt;&gt;""),AND(KM4&gt;=KS$34,KO4&gt;=KS$38,KM4&lt;&gt;""),AND(KQ4&gt;=KS$34,KR4&gt;=KS$38,KQ4&lt;&gt;""),AND(LI4&gt;=LO$34,LK4&gt;=LO$38,LI4&lt;&gt;""),AND(LM4&gt;=LO$34,LN4&gt;=LO$38,LM4&lt;&gt;""),AND(ME4&gt;=MK$34,MG4&gt;=MK$38,ME4&lt;&gt;""),AND(MI4&gt;=MK$34,MJ4&gt;=MK$38,MI4&lt;&gt;""),AND(NA4&gt;=NG$34,NC4&gt;=NG$38,NA4&lt;&gt;""),AND(NE4&gt;=NG$34,NF4&gt;=NG$38,NE4&lt;&gt;"")),"P","")</f>
        <v>P</v>
      </c>
      <c r="G4" s="3" t="str">
        <f>IF(OR(AND(AM4&gt;=AS$38,AL4&lt;&gt;"",AJ4=""),AND(AO4&gt;=AS$38,AN4&lt;&gt;"",AN4=""),AND(AR4&gt;=AS$38,AQ4&lt;&gt;"",AJ4=""),AND(BQ4&gt;=BW$38,BP4&lt;&gt;"",BN4=""),AND(BS4&gt;=BW$38,BR4&lt;&gt;"",BN4=""),AND(BV4&gt;=BW$38,BU4&lt;&gt;"",BN4=""),AND(CU4&gt;=DA$38,CT4&lt;&gt;"",CR4=""),AND(CW4&gt;=DA$38,CV4&lt;&gt;"",CR4=""),AND(CZ4&gt;=DA$38,CY4&lt;&gt;"",CR4=""),AND(DU4&gt;=DY$38,DS4&lt;&gt;""),AND(DX4&gt;=DY$38,DW4&lt;&gt;""),AND(EQ4&gt;=EU$38,EO4&lt;&gt;""),AND(ET4&gt;=EU$38,ES4&lt;&gt;""),AND(FM4&gt;=FQ$38,FK4&lt;&gt;""),AND(FP4&gt;=FQ$38,FO4&lt;&gt;""),AND(GI4&gt;=GM$38,GG4&lt;&gt;""),AND(GL4&gt;=GM$38,GK4&lt;&gt;""),AND(HE4&gt;=HI$38,HC4&lt;&gt;""),AND(HH4&gt;=HI$38,HG4&lt;&gt;""),AND(IA4&gt;=IE$38,HY4&lt;&gt;""),AND(ID4&gt;=IE$38,IC4&lt;&gt;""),AND(IW4&gt;=JA$38,IU4&lt;&gt;""),AND(IZ4&gt;=JA$38,IY4&lt;&gt;""),AND(JS4&gt;=JW$38,JQ4&lt;&gt;""),AND(JV4&gt;=JW$38,JU4&lt;&gt;""),AND(KO4&gt;=KS$38,KM4&lt;&gt;""),AND(KR4&gt;=KS$38,KQ4&lt;&gt;""),AND(LK4&gt;=LO$38,LI4&lt;&gt;""),AND(LN4&gt;=LO$38,LM4&lt;&gt;""),AND(MG4&gt;=MK$38,ME4&lt;&gt;""),AND(MJ4&gt;=MK$38,MI4&lt;&gt;""),AND(NC4&gt;=NG$38,NA4&lt;&gt;""),AND(NF4&gt;=NG$38,NE4&lt;&gt;"")),"P","")</f>
        <v>P</v>
      </c>
      <c r="H4" s="67" t="str">
        <f>IF(F4="P","National Team",IF(G4="P","No DD",""))</f>
        <v>National Team</v>
      </c>
      <c r="I4" s="14">
        <f>MAX(AM4,AO4,AR4,BQ4,BS4,BV4,CU4,CW4,CZ4)</f>
        <v>58.885000000000005</v>
      </c>
      <c r="J4" s="14" t="str">
        <f>IF(I4=0,"",IF(OR(I4=CW4,I4=CU4,I4=CZ4),$BX$1,IF(OR(I4=BS4,I4=BQ4,I4=BV4),$AT$1,IF(OR(I4=AO4,I4=AM4,I4=AR4),$P$1,""))))</f>
        <v>2021 Canadian Championships</v>
      </c>
      <c r="K4" s="14">
        <f>IF(COUNT(AM4,AO4,AR4,BQ4,BS4,BV4,CU4,CW4,CZ4)&gt;1,LARGE((AM4,AO4,AR4,BQ4,BS4,BV4,CU4,CW4,CZ4),2),0)</f>
        <v>58.6</v>
      </c>
      <c r="L4" s="14" t="str">
        <f>IF(K4=0,"",IF(OR(K4=CW4,K4=CU4,K4=CZ4),$BX$1,IF(OR(K4=BS4,K4=BQ4,K4=BV4),$AT$1,IF(OR(K4=AO4,K4=AM4,K4=AR4),$P$1,""))))</f>
        <v>2021 Elite Canada</v>
      </c>
      <c r="M4" s="14" t="str">
        <f>IF(MAX(DB4,DC4)&gt;0,MAX(DB4,DC4),"")</f>
        <v/>
      </c>
      <c r="N4" s="20" t="str">
        <f>IF(M4="","",IF(M4=#REF!,"(Vol 1)",IF(M4=DB4,"(Vol 2)",IF(M4=#REF!,"(Prelim)",IF(M4=DC4,"(Final)")))))</f>
        <v/>
      </c>
      <c r="O4" s="14" t="str">
        <f>IF(M4="","",IF(M4=#REF!,IF(M4+IF(#REF!="",0,#REF!)=NB4,$ML$1,IF(M4+IF(#REF!="",0,#REF!)=MF4,$LP$1,IF(M4+IF(#REF!="",0,#REF!)=LJ4,$KT$1,IF(M4+IF(#REF!="",0,#REF!)=KN4,$JX$1,IF(M4+IF(#REF!="",0,#REF!)=JR4,$JB$1,IF(M4+IF(#REF!="",0,#REF!)=IV4,$IF$1,IF(M4+IF(#REF!="",0,#REF!)=HZ4,$HJ$1,IF(M4+IF(#REF!="",0,#REF!)=HD4,$GN$1,IF(M4+IF(#REF!="",0,#REF!)=GH4,$FR$1,IF(M4+IF(#REF!="",0,#REF!)=FL4,$EV$1,IF(M4+IF(#REF!="",0,#REF!)=EP4,$DZ$1,IF(M4+IF(#REF!="",0,#REF!)=DT4,$DD$1)))))))))))),IF(M4=DB4,IF(M4+IF(I4="",0,I4)=NC4,$ML$1,IF(M4+IF(I4="",0,I4)=MG4,$LP$1,IF(M4+IF(I4="",0,I4)=LK4,$KT$1,IF(M4+IF(I4="",0,I4)=KO4,$JX$1,IF(M4+IF(I4="",0,I4)=JS4,$JB$1,IF(M4+IF(I4="",0,I4)=IW4,$IF$1,IF(M4+IF(I4="",0,I4)=IA4,$HJ$1,IF(M4+IF(I4="",0,I4)=HE4,$GN$1,IF(M4+IF(I4="",0,I4)=GI4,$FR$1,IF(M4+IF(I4="",0,I4)=FM4,$EV$1,IF(M4+IF(I4="",0,I4)=EQ4,$DZ$1,IF(M4+IF(I4="",0,I4)=DU4,$DD$1)))))))))))),IF(M4=#REF!,IF(M4+IF(#REF!="",0,#REF!)=ND4,$ML$1,IF(M4+IF(#REF!="",0,#REF!)=MH4,$LP$1,IF(M4+IF(#REF!="",0,#REF!)=LL4,$KT$1,IF(M4+IF(#REF!="",0,#REF!)=KP4,$JX$1,IF(M4+IF(#REF!="",0,#REF!)=JT4,$JB$1,IF(M4+IF(#REF!="",0,#REF!)=IX4,$IF$1,IF(M4+IF(#REF!="",0,#REF!)=IB4,$HJ$1,IF(M4+IF(#REF!="",0,#REF!)=HF4,$GN$1,IF(M4+IF(#REF!="",0,#REF!)=GJ4,$FR$1,IF(M4+IF(#REF!="",0,#REF!)=FN4,$EV$1,IF(M4+IF(#REF!="",0,#REF!)=ER4,$DZ$1,IF(M4+IF(#REF!="",0,#REF!)=DV4,$DD$1)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))</f>
        <v/>
      </c>
      <c r="P4" s="38">
        <v>6</v>
      </c>
      <c r="Q4" s="38">
        <v>2.8</v>
      </c>
      <c r="R4" s="38">
        <v>0</v>
      </c>
      <c r="S4" s="38">
        <v>5.83</v>
      </c>
      <c r="T4" s="38">
        <v>0.2</v>
      </c>
      <c r="U4" s="38">
        <v>16.2</v>
      </c>
      <c r="V4" s="38">
        <v>9.1</v>
      </c>
      <c r="W4" s="38">
        <v>15.6</v>
      </c>
      <c r="X4" s="38">
        <v>17.25</v>
      </c>
      <c r="Y4" s="38">
        <v>0</v>
      </c>
      <c r="Z4" s="38">
        <v>16.5</v>
      </c>
      <c r="AA4" s="38">
        <v>9.1</v>
      </c>
      <c r="AB4" s="38">
        <v>15.6</v>
      </c>
      <c r="AC4" s="38">
        <v>17.399999999999999</v>
      </c>
      <c r="AD4" s="38">
        <v>0</v>
      </c>
      <c r="AE4" s="38"/>
      <c r="AF4" s="38"/>
      <c r="AG4" s="38"/>
      <c r="AH4" s="38"/>
      <c r="AI4" s="38"/>
      <c r="AJ4" s="45"/>
      <c r="AK4" s="11">
        <f>IF(SUM(P4:S4)-T4&gt;0,SUM(P4:S4)-T4,"")</f>
        <v>14.430000000000001</v>
      </c>
      <c r="AL4" s="11">
        <f>IF(W4&gt;0,W4,"")</f>
        <v>15.6</v>
      </c>
      <c r="AM4" s="11">
        <f>IF(SUM(U4:X4)-Y4&gt;0,SUM(U4:X4)-Y4,"")</f>
        <v>58.15</v>
      </c>
      <c r="AN4" s="11">
        <f>IF(AB4&gt;0,AB4,"")</f>
        <v>15.6</v>
      </c>
      <c r="AO4" s="11">
        <f>IF(SUM(Z4:AC4)-AD4&gt;0,SUM(Z4:AC4)-AD4,"")</f>
        <v>58.6</v>
      </c>
      <c r="AP4" s="11">
        <f>IF(AK4="",IF(MAX(AM4,AO4)&gt;0,MAX(AM4,AO4),""),MAX(AM4,AO4)+AK4)</f>
        <v>73.03</v>
      </c>
      <c r="AQ4" s="11" t="str">
        <f>IF(AG4&gt;0,AG4,"")</f>
        <v/>
      </c>
      <c r="AR4" s="11" t="str">
        <f>IF(SUM(AE4:AH4)-AI4&gt;0,SUM(AE4:AH4)-AI4,"")</f>
        <v/>
      </c>
      <c r="AS4" s="11">
        <f>IF(SUM(AP4,AR4)&gt;0,SUM(AP4,AR4),"")</f>
        <v>73.03</v>
      </c>
      <c r="AT4" s="42">
        <v>18.5</v>
      </c>
      <c r="AU4" s="42">
        <v>9.4</v>
      </c>
      <c r="AV4" s="42">
        <v>5</v>
      </c>
      <c r="AW4" s="42">
        <v>18.405000000000001</v>
      </c>
      <c r="AX4" s="42">
        <v>0</v>
      </c>
      <c r="AY4" s="42">
        <v>15.8</v>
      </c>
      <c r="AZ4" s="42">
        <v>9.1</v>
      </c>
      <c r="BA4" s="42">
        <v>15</v>
      </c>
      <c r="BB4" s="42">
        <v>16.75</v>
      </c>
      <c r="BC4" s="42">
        <v>0</v>
      </c>
      <c r="BD4" s="42">
        <v>16.100000000000001</v>
      </c>
      <c r="BE4" s="42">
        <v>9</v>
      </c>
      <c r="BF4" s="42">
        <v>15.6</v>
      </c>
      <c r="BG4" s="42">
        <v>17.22</v>
      </c>
      <c r="BH4" s="42">
        <v>0</v>
      </c>
      <c r="BI4" s="42">
        <v>16.7</v>
      </c>
      <c r="BJ4" s="42">
        <v>9.4</v>
      </c>
      <c r="BK4" s="42">
        <v>15.6</v>
      </c>
      <c r="BL4" s="42">
        <v>17.184999999999999</v>
      </c>
      <c r="BM4" s="42">
        <v>0</v>
      </c>
      <c r="BN4" s="46"/>
      <c r="BO4" s="14">
        <f>IF(SUM(AT4:AW4)-AX4&gt;0,SUM(AT4:AW4)-AX4,"")</f>
        <v>51.305</v>
      </c>
      <c r="BP4" s="14">
        <f>IF(BA4&gt;0,BA4,"")</f>
        <v>15</v>
      </c>
      <c r="BQ4" s="14">
        <f>IF(SUM(AY4:BB4)-BC4&gt;0,SUM(AY4:BB4)-BC4,"")</f>
        <v>56.65</v>
      </c>
      <c r="BR4" s="14">
        <f>IF(BF4&gt;0,BF4,"")</f>
        <v>15.6</v>
      </c>
      <c r="BS4" s="14">
        <f>IF(SUM(BD4:BG4)-BH4&gt;0,SUM(BD4:BG4)-BH4,"")</f>
        <v>57.92</v>
      </c>
      <c r="BT4" s="14">
        <f>IF(BO4="",IF(MAX(BQ4,BS4)&gt;0,MAX(BQ4,BS4),""),MAX(BQ4,BS4)+BO4)</f>
        <v>109.22499999999999</v>
      </c>
      <c r="BU4" s="14">
        <f>IF(BK4&gt;0,BK4,"")</f>
        <v>15.6</v>
      </c>
      <c r="BV4" s="14">
        <f>IF(SUM(BI4:BL4)-BM4&gt;0,SUM(BI4:BL4)-BM4,"")</f>
        <v>58.885000000000005</v>
      </c>
      <c r="BW4" s="14">
        <f>IF(SUM(BT4,BV4)&gt;0,SUM(BT4,BV4),"")</f>
        <v>168.11</v>
      </c>
      <c r="BX4" s="38"/>
      <c r="BY4" s="38"/>
      <c r="BZ4" s="38"/>
      <c r="CA4" s="38"/>
      <c r="CB4" s="38"/>
      <c r="CC4" s="38">
        <v>16.100000000000001</v>
      </c>
      <c r="CD4" s="38">
        <v>9</v>
      </c>
      <c r="CE4" s="38">
        <v>15</v>
      </c>
      <c r="CF4" s="38">
        <v>17.309999999999999</v>
      </c>
      <c r="CG4" s="38">
        <v>0</v>
      </c>
      <c r="CH4" s="38">
        <v>14.9</v>
      </c>
      <c r="CI4" s="38">
        <v>9</v>
      </c>
      <c r="CJ4" s="38">
        <v>12.7</v>
      </c>
      <c r="CK4" s="38">
        <v>17.29</v>
      </c>
      <c r="CL4" s="38">
        <v>0.8</v>
      </c>
      <c r="CM4" s="38">
        <v>15.7</v>
      </c>
      <c r="CN4" s="38">
        <v>9.4</v>
      </c>
      <c r="CO4" s="38">
        <v>15.6</v>
      </c>
      <c r="CP4" s="38">
        <v>17.350000000000001</v>
      </c>
      <c r="CQ4" s="38">
        <v>0</v>
      </c>
      <c r="CR4" s="45"/>
      <c r="CS4" s="11" t="str">
        <f>IF(SUM(BX4:CA4)-CB4&gt;0,SUM(BX4:CA4)-CB4,"")</f>
        <v/>
      </c>
      <c r="CT4" s="11">
        <f>IF(CE4&gt;0,CE4,"")</f>
        <v>15</v>
      </c>
      <c r="CU4" s="11">
        <f>IF(SUM(CC4:CF4)-CG4&gt;0,SUM(CC4:CF4)-CG4,"")</f>
        <v>57.41</v>
      </c>
      <c r="CV4" s="11">
        <f>IF(CJ4&gt;0,CJ4,"")</f>
        <v>12.7</v>
      </c>
      <c r="CW4" s="11">
        <f>IF(SUM(CH4:CK4)-CL4&gt;0,SUM(CH4:CK4)-CL4,"")</f>
        <v>53.089999999999996</v>
      </c>
      <c r="CX4" s="11">
        <f>IF(CS4="",IF(MAX(CU4,CW4)&gt;0,MAX(CU4,CW4),""),MAX(CU4,CW4)+CS4)</f>
        <v>57.41</v>
      </c>
      <c r="CY4" s="11">
        <f>IF(CO4&gt;0,CO4,"")</f>
        <v>15.6</v>
      </c>
      <c r="CZ4" s="11">
        <f>IF(SUM(CM4:CP4)-CQ4&gt;0,SUM(CM4:CP4)-CQ4,"")</f>
        <v>58.050000000000004</v>
      </c>
      <c r="DA4" s="11">
        <f>IF(SUM(CX4,CZ4)&gt;0,SUM(CX4,CZ4),"")</f>
        <v>115.46000000000001</v>
      </c>
      <c r="DB4" s="19" t="str">
        <f>IF(I4&gt;=0.001,IF(MAX(DU4,EQ4,FM4,GI4,HE4,IA4,IW4,JS4,KO4,LK4,MG4,NC4)-IF(I4="",0,I4)&gt;0.001,MAX(DU4,EQ4,FM4,GI4,HE4,IA4,IW4,JS4,KO4,LK4,MG4,NC4)-IF(I4="",0,I4),""),"")</f>
        <v/>
      </c>
      <c r="DC4" s="19" t="str">
        <f>IF(K4&gt;=0.001,IF(MAX(DX4,ET4,FP4,GL4,HH4,ID4,IZ4,JV4,KR4,LN4,MJ4,NF4)-IF(K4="",0,K4)&gt;0.001,MAX(DX4,ET4,FP4,GL4,HH4,ID4,IZ4,JV4,KR4,LN4,MJ4,NF4)-IF(K4="",0,K4),""),"")</f>
        <v/>
      </c>
      <c r="DD4" s="25">
        <v>17.7</v>
      </c>
      <c r="DE4" s="25">
        <v>9.5</v>
      </c>
      <c r="DF4" s="25">
        <v>5</v>
      </c>
      <c r="DG4" s="25">
        <v>17.73</v>
      </c>
      <c r="DH4" s="25">
        <v>0</v>
      </c>
      <c r="DI4" s="25">
        <v>14.9</v>
      </c>
      <c r="DJ4" s="25">
        <v>9.1999999999999993</v>
      </c>
      <c r="DK4" s="25">
        <v>15.4</v>
      </c>
      <c r="DL4" s="25">
        <v>16.43</v>
      </c>
      <c r="DM4" s="25"/>
      <c r="DN4" s="25"/>
      <c r="DO4" s="25"/>
      <c r="DP4" s="25"/>
      <c r="DQ4" s="25"/>
      <c r="DR4" s="25"/>
      <c r="DS4" s="11">
        <f>IF(DK4&gt;0,DK4,"")</f>
        <v>15.4</v>
      </c>
      <c r="DT4" s="11">
        <f>IF(SUM(DD4:DG4)-DH4&gt;0,SUM(DD4:DG4)-DH4,"")</f>
        <v>49.930000000000007</v>
      </c>
      <c r="DU4" s="11">
        <f>IF(SUM(DI4:DL4)-DM4&gt;0,SUM(DI4:DL4)-DM4,"")</f>
        <v>55.93</v>
      </c>
      <c r="DV4" s="11">
        <f>IF(SUM(DT4:DU4)&gt;0,SUM(DT4:DU4),"")</f>
        <v>105.86000000000001</v>
      </c>
      <c r="DW4" s="11" t="str">
        <f>IF(DP4&gt;0,DP4,"")</f>
        <v/>
      </c>
      <c r="DX4" s="11" t="str">
        <f>IF(SUM(DN4:DQ4)-DR4&gt;0,SUM(DN4:DQ4)-DR4,"")</f>
        <v/>
      </c>
      <c r="DY4" s="11">
        <f>IF(SUM(DV4,DX4)&gt;0,SUM(DV4,DX4),"")</f>
        <v>105.86000000000001</v>
      </c>
      <c r="DZ4" s="26">
        <v>17.8</v>
      </c>
      <c r="EA4" s="26">
        <v>9</v>
      </c>
      <c r="EB4" s="26">
        <v>2.7</v>
      </c>
      <c r="EC4" s="26">
        <v>17.754999999999999</v>
      </c>
      <c r="ED4" s="26">
        <v>0</v>
      </c>
      <c r="EE4" s="26">
        <v>14.4</v>
      </c>
      <c r="EF4" s="26">
        <v>9.5</v>
      </c>
      <c r="EG4" s="26">
        <v>15.4</v>
      </c>
      <c r="EH4" s="26">
        <v>16.574999999999999</v>
      </c>
      <c r="EI4" s="26">
        <v>0</v>
      </c>
      <c r="EJ4" s="26">
        <v>3</v>
      </c>
      <c r="EK4" s="26">
        <v>1.8</v>
      </c>
      <c r="EL4" s="26">
        <v>3.2</v>
      </c>
      <c r="EM4" s="26">
        <v>3.5649999999999999</v>
      </c>
      <c r="EN4" s="26">
        <v>0</v>
      </c>
      <c r="EO4" s="14">
        <f>IF(EG4&gt;0,EG4,"")</f>
        <v>15.4</v>
      </c>
      <c r="EP4" s="14">
        <f>IF(SUM(DZ4:EC4)-ED4&gt;0,SUM(DZ4:EC4)-ED4,"")</f>
        <v>47.254999999999995</v>
      </c>
      <c r="EQ4" s="14">
        <f>IF(SUM(EE4:EH4)-EI4&gt;0,SUM(EE4:EH4)-EI4,"")</f>
        <v>55.875</v>
      </c>
      <c r="ER4" s="14">
        <f>IF(SUM(EP4:EQ4)&gt;0,SUM(EP4:EQ4),"")</f>
        <v>103.13</v>
      </c>
      <c r="ES4" s="14">
        <f>IF(EL4&gt;0,EL4,"")</f>
        <v>3.2</v>
      </c>
      <c r="ET4" s="14">
        <f>IF(SUM(EJ4:EM4)-EN4&gt;0,SUM(EJ4:EM4)-EN4,"")</f>
        <v>11.565</v>
      </c>
      <c r="EU4" s="14">
        <f>IF(SUM(ER4,ET4)&gt;0,SUM(ER4,ET4),"")</f>
        <v>114.69499999999999</v>
      </c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11" t="str">
        <f>IF(FC4&gt;0,FC4,"")</f>
        <v/>
      </c>
      <c r="FL4" s="11" t="str">
        <f>IF(SUM(EV4:EY4)-EZ4&gt;0,SUM(EV4:EY4)-EZ4,"")</f>
        <v/>
      </c>
      <c r="FM4" s="11" t="str">
        <f>IF(SUM(FA4:FD4)-FE4&gt;0,SUM(FA4:FD4)-FE4,"")</f>
        <v/>
      </c>
      <c r="FN4" s="11" t="str">
        <f>IF(SUM(FL4:FM4)&gt;0,SUM(FL4:FM4),"")</f>
        <v/>
      </c>
      <c r="FO4" s="11" t="str">
        <f>IF(FH4&gt;0,FH4,"")</f>
        <v/>
      </c>
      <c r="FP4" s="11" t="str">
        <f>IF(SUM(FF4:FI4)-FJ4&gt;0,SUM(FF4:FI4)-FJ4,"")</f>
        <v/>
      </c>
      <c r="FQ4" s="11" t="str">
        <f>IF(SUM(FN4,FP4)&gt;0,SUM(FN4,FP4),"")</f>
        <v/>
      </c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14" t="str">
        <f>IF(FY4&gt;0,FY4,"")</f>
        <v/>
      </c>
      <c r="GH4" s="14" t="str">
        <f>IF(SUM(FR4:FU4)-FV4&gt;0,SUM(FR4:FU4)-FV4,"")</f>
        <v/>
      </c>
      <c r="GI4" s="14" t="str">
        <f>IF(SUM(FW4:FZ4)-GA4&gt;0,SUM(FW4:FZ4)-GA4,"")</f>
        <v/>
      </c>
      <c r="GJ4" s="14" t="str">
        <f>IF(SUM(GH4:GI4)&gt;0,SUM(GH4:GI4),"")</f>
        <v/>
      </c>
      <c r="GK4" s="14" t="str">
        <f>IF(GD4&gt;0,GD4,"")</f>
        <v/>
      </c>
      <c r="GL4" s="14" t="str">
        <f>IF(SUM(GB4:GE4)-GF4&gt;0,SUM(GB4:GE4)-GF4,"")</f>
        <v/>
      </c>
      <c r="GM4" s="14" t="str">
        <f>IF(SUM(GJ4,GL4)&gt;0,SUM(GJ4,GL4),"")</f>
        <v/>
      </c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11" t="str">
        <f>IF(GU4&gt;0,GU4,"")</f>
        <v/>
      </c>
      <c r="HD4" s="11" t="str">
        <f>IF(SUM(GN4:GQ4)-GR4&gt;0,SUM(GN4:GQ4)-GR4,"")</f>
        <v/>
      </c>
      <c r="HE4" s="11" t="str">
        <f>IF(SUM(GS4:GV4)-GW4&gt;0,SUM(GS4:GV4)-GW4,"")</f>
        <v/>
      </c>
      <c r="HF4" s="11" t="str">
        <f>IF(SUM(HD4:HE4)&gt;0,SUM(HD4:HE4),"")</f>
        <v/>
      </c>
      <c r="HG4" s="11" t="str">
        <f>IF(GZ4&gt;0,GZ4,"")</f>
        <v/>
      </c>
      <c r="HH4" s="11" t="str">
        <f>IF(SUM(GX4:HA4)-HB4&gt;0,SUM(GX4:HA4)-HB4,"")</f>
        <v/>
      </c>
      <c r="HI4" s="11" t="str">
        <f>IF(SUM(HF4,HH4)&gt;0,SUM(HF4,HH4),"")</f>
        <v/>
      </c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8">
        <f>IF($CR4="P",BX4,(BX4+AT4)/2)</f>
        <v>9.25</v>
      </c>
      <c r="NI4" s="38">
        <f>IF($CR4="P",BY4,(BY4+AU4)/2)</f>
        <v>4.7</v>
      </c>
      <c r="NJ4" s="38">
        <f>IF($CR4="P",BZ4,(BZ4+AV4)/2)</f>
        <v>2.5</v>
      </c>
      <c r="NK4" s="38">
        <f>IF($CR4="P",CA4,(CA4+AW4)/2)</f>
        <v>9.2025000000000006</v>
      </c>
      <c r="NL4" s="38">
        <f>IF($CR4="P",CB4,(CB4+AX4)/2)</f>
        <v>0</v>
      </c>
      <c r="NM4" s="38">
        <f>IF($CR4="P",CC4,(CC4+AY4)/2)</f>
        <v>15.950000000000001</v>
      </c>
      <c r="NN4" s="38">
        <f>IF($CR4="P",CD4,(CD4+AZ4)/2)</f>
        <v>9.0500000000000007</v>
      </c>
      <c r="NO4" s="38">
        <f>IF($CR4="P",CE4,(CE4+BA4)/2)</f>
        <v>15</v>
      </c>
      <c r="NP4" s="38">
        <f>IF($CR4="P",CF4,(CF4+BB4)/2)</f>
        <v>17.03</v>
      </c>
      <c r="NQ4" s="38">
        <f>IF($CR4="P",CG4,(CG4+BC4)/2)</f>
        <v>0</v>
      </c>
      <c r="NR4" s="38">
        <f>IF($CR4="P",CH4,(CH4+BD4)/2)</f>
        <v>15.5</v>
      </c>
      <c r="NS4" s="38">
        <f>IF($CR4="P",CI4,(CI4+BE4)/2)</f>
        <v>9</v>
      </c>
      <c r="NT4" s="38">
        <f>IF($CR4="P",CJ4,(CJ4+BF4)/2)</f>
        <v>14.149999999999999</v>
      </c>
      <c r="NU4" s="38">
        <f>IF($CR4="P",CK4,(CK4+BG4)/2)</f>
        <v>17.254999999999999</v>
      </c>
      <c r="NV4" s="38">
        <f>IF($CR4="P",CL4,(CL4+BH4)/2)</f>
        <v>0.4</v>
      </c>
      <c r="NW4" s="38">
        <f>IF($CR4="P",CM4,(CM4+BI4)/2)</f>
        <v>16.2</v>
      </c>
      <c r="NX4" s="38">
        <f>IF($CR4="P",CN4,(CN4+BJ4)/2)</f>
        <v>9.4</v>
      </c>
      <c r="NY4" s="38">
        <f>IF($CR4="P",CO4,(CO4+BK4)/2)</f>
        <v>15.6</v>
      </c>
      <c r="NZ4" s="38">
        <f>IF($CR4="P",CP4,(CP4+BL4)/2)</f>
        <v>17.267499999999998</v>
      </c>
      <c r="OA4" s="38">
        <f>IF($CR4="P",CQ4,(CQ4+BM4)/2)</f>
        <v>0</v>
      </c>
      <c r="OB4" s="45" t="s">
        <v>46</v>
      </c>
      <c r="OC4" s="11">
        <f>IF(SUM(NH4:NK4)-NL4&gt;0,SUM(NH4:NK4)-NL4,"")</f>
        <v>25.6525</v>
      </c>
      <c r="OD4" s="11">
        <f>IF(NO4&gt;0,NO4,"")</f>
        <v>15</v>
      </c>
      <c r="OE4" s="11">
        <f>IF(SUM(NM4:NP4)-NQ4&gt;0,SUM(NM4:NP4)-NQ4,"")</f>
        <v>57.03</v>
      </c>
      <c r="OF4" s="11">
        <f>IF(NT4&gt;0,NT4,"")</f>
        <v>14.149999999999999</v>
      </c>
      <c r="OG4" s="11">
        <f>IF(SUM(NR4:NU4)-NV4&gt;0,SUM(NR4:NU4)-NV4,"")</f>
        <v>55.505000000000003</v>
      </c>
      <c r="OH4" s="11">
        <f>IF(OR(OC4&lt;&gt;"",OE4&lt;&gt;"",OG4&lt;&gt;""),OC4+MAX(OE4,OG4),"")</f>
        <v>82.682500000000005</v>
      </c>
      <c r="OI4" s="11">
        <f>IF(NY4&gt;0,NY4,"")</f>
        <v>15.6</v>
      </c>
      <c r="OJ4" s="11">
        <f t="shared" ref="OJ4:OJ10" si="0">IF(SUM(NW4:NZ4)-OA4&gt;0,SUM(NW4:NZ4)-OA4,"")</f>
        <v>58.467500000000001</v>
      </c>
      <c r="OK4" s="11">
        <f>IF(SUM(OH4,OJ4)&gt;0,SUM(OH4,OJ4),"")</f>
        <v>141.15</v>
      </c>
    </row>
    <row r="5" spans="1:401" x14ac:dyDescent="0.2">
      <c r="A5" s="5" cm="1">
        <f t="array" ref="A5">IF(AND(F5="P",G5="P"),SUMPRODUCT((F$4:F$32="P")*(G$4:G$32="P")*(E$4:E$32&gt;E5))+1,IF(G5="P",SUMPRODUCT((F$4:F$32="")*(G$4:G$32="P")*(E$4:E$32&gt;E5))+1+SUMPRODUCT((F$4:F$32="P")*(G$4:G$32="P")),""))</f>
        <v>2</v>
      </c>
      <c r="B5" s="6" t="s">
        <v>161</v>
      </c>
      <c r="C5" s="7" t="s">
        <v>6</v>
      </c>
      <c r="D5" s="5">
        <v>2001</v>
      </c>
      <c r="E5" s="15">
        <f>SUM(I5:M5)+I5*0.0000001</f>
        <v>116.11000580549998</v>
      </c>
      <c r="F5" s="3" t="str">
        <f>IF(OR(AND(AL5&gt;=AS$34,AM5&gt;=AS$38,AL5&lt;&gt;"",AJ5=""),AND(AN5&gt;=AS$34,AO5&gt;=AS$38,AN5&lt;&gt;"",AN5=""),AND(AQ5&gt;=AS$34,AR5&gt;=AS$38,AQ5&lt;&gt;"",AJ5=""),AND(BP5&gt;=BW$34,BQ5&gt;=BW$38,BP5&lt;&gt;"",BN5=""),AND(BR5&gt;=BW$34,BS5&gt;=BW$38,BR5&lt;&gt;"",BN5=""),AND(BU5&gt;=BW$34,BV5&gt;=BW$38,BU5&lt;&gt;"",BN5=""),AND(CT5&gt;=DA$34,CU5&gt;=DA$38,CT5&lt;&gt;"",CR5=""),AND(CV5&gt;=DA$34,CW5&gt;=DA$38,CV5&lt;&gt;"",CR5=""),AND(CY5&gt;=DA$34,CZ5&gt;=DA$38,CY5&lt;&gt;"",CR5=""),AND(DS5&gt;=DY$34,DU5&gt;=DY$38,DS5&lt;&gt;""),AND(DW5&gt;=DY$34,DX5&gt;=DY$38,DW5&lt;&gt;""),AND(EO5&gt;=EU$34,EQ5&gt;=EU$38,EO5&lt;&gt;""),AND(ES5&gt;=EU$34,ET5&gt;=EU$38,ES5&lt;&gt;""),AND(FK5&gt;=FQ$34,FM5&gt;=FQ$38,FK5&lt;&gt;""),AND(FO5&gt;=FQ$34,FP5&gt;=FQ$38,FO5&lt;&gt;""),AND(GG5&gt;=GM$34,GI5&gt;=GM$38,GG5&lt;&gt;""),AND(GK5&gt;=GM$34,GL5&gt;=GM$38,GK5&lt;&gt;""),AND(HC5&gt;=HI$34,HE5&gt;=HI$38,HC5&lt;&gt;""),AND(HG5&gt;=HI$34,HH5&gt;=HI$38,HG5&lt;&gt;""),AND(HY5&gt;=IE$34,IA5&gt;=IE$38,HY5&lt;&gt;""),AND(IC5&gt;=IE$34,ID5&gt;=IE$38,IC5&lt;&gt;""),AND(IU5&gt;=JA$34,IW5&gt;=JA$38,IU5&lt;&gt;""),AND(IY5&gt;=JA$34,IZ5&gt;=JA$38,IY5&lt;&gt;""),AND(JQ5&gt;=JW$34,JS5&gt;=JW$38,JQ5&lt;&gt;""),AND(JU5&gt;=JW$34,JV5&gt;=JW$38,JU5&lt;&gt;""),AND(KM5&gt;=KS$34,KO5&gt;=KS$38,KM5&lt;&gt;""),AND(KQ5&gt;=KS$34,KR5&gt;=KS$38,KQ5&lt;&gt;""),AND(LI5&gt;=LO$34,LK5&gt;=LO$38,LI5&lt;&gt;""),AND(LM5&gt;=LO$34,LN5&gt;=LO$38,LM5&lt;&gt;""),AND(ME5&gt;=MK$34,MG5&gt;=MK$38,ME5&lt;&gt;""),AND(MI5&gt;=MK$34,MJ5&gt;=MK$38,MI5&lt;&gt;""),AND(NA5&gt;=NG$34,NC5&gt;=NG$38,NA5&lt;&gt;""),AND(NE5&gt;=NG$34,NF5&gt;=NG$38,NE5&lt;&gt;"")),"P","")</f>
        <v>P</v>
      </c>
      <c r="G5" s="3" t="str">
        <f>IF(OR(AND(AM5&gt;=AS$38,AL5&lt;&gt;"",AJ5=""),AND(AO5&gt;=AS$38,AN5&lt;&gt;"",AN5=""),AND(AR5&gt;=AS$38,AQ5&lt;&gt;"",AJ5=""),AND(BQ5&gt;=BW$38,BP5&lt;&gt;"",BN5=""),AND(BS5&gt;=BW$38,BR5&lt;&gt;"",BN5=""),AND(BV5&gt;=BW$38,BU5&lt;&gt;"",BN5=""),AND(CU5&gt;=DA$38,CT5&lt;&gt;"",CR5=""),AND(CW5&gt;=DA$38,CV5&lt;&gt;"",CR5=""),AND(CZ5&gt;=DA$38,CY5&lt;&gt;"",CR5=""),AND(DU5&gt;=DY$38,DS5&lt;&gt;""),AND(DX5&gt;=DY$38,DW5&lt;&gt;""),AND(EQ5&gt;=EU$38,EO5&lt;&gt;""),AND(ET5&gt;=EU$38,ES5&lt;&gt;""),AND(FM5&gt;=FQ$38,FK5&lt;&gt;""),AND(FP5&gt;=FQ$38,FO5&lt;&gt;""),AND(GI5&gt;=GM$38,GG5&lt;&gt;""),AND(GL5&gt;=GM$38,GK5&lt;&gt;""),AND(HE5&gt;=HI$38,HC5&lt;&gt;""),AND(HH5&gt;=HI$38,HG5&lt;&gt;""),AND(IA5&gt;=IE$38,HY5&lt;&gt;""),AND(ID5&gt;=IE$38,IC5&lt;&gt;""),AND(IW5&gt;=JA$38,IU5&lt;&gt;""),AND(IZ5&gt;=JA$38,IY5&lt;&gt;""),AND(JS5&gt;=JW$38,JQ5&lt;&gt;""),AND(JV5&gt;=JW$38,JU5&lt;&gt;""),AND(KO5&gt;=KS$38,KM5&lt;&gt;""),AND(KR5&gt;=KS$38,KQ5&lt;&gt;""),AND(LK5&gt;=LO$38,LI5&lt;&gt;""),AND(LN5&gt;=LO$38,LM5&lt;&gt;""),AND(MG5&gt;=MK$38,ME5&lt;&gt;""),AND(MJ5&gt;=MK$38,MI5&lt;&gt;""),AND(NC5&gt;=NG$38,NA5&lt;&gt;""),AND(NF5&gt;=NG$38,NE5&lt;&gt;"")),"P","")</f>
        <v>P</v>
      </c>
      <c r="H5" s="67" t="str">
        <f>IF(F5="P","National Team",IF(G5="P","No DD",""))</f>
        <v>National Team</v>
      </c>
      <c r="I5" s="14">
        <f>MAX(AM5,AO5,AR5,BQ5,BS5,BV5,CU5,CW5,CZ5)</f>
        <v>58.054999999999993</v>
      </c>
      <c r="J5" s="14" t="str">
        <f>IF(I5=0,"",IF(OR(I5=CW5,I5=CU5,I5=CZ5),$BX$1,IF(OR(I5=BS5,I5=BQ5,I5=BV5),$AT$1,IF(OR(I5=AO5,I5=AM5,I5=AR5),$P$1,""))))</f>
        <v>2022 Elite Canada</v>
      </c>
      <c r="K5" s="14">
        <f>IF(COUNT(AM5,AO5,AR5,BQ5,BS5,BV5,CU5,CW5,CZ5)&gt;1,LARGE((AM5,AO5,AR5,BQ5,BS5,BV5,CU5,CW5,CZ5),2),0)</f>
        <v>58.054999999999993</v>
      </c>
      <c r="L5" s="14" t="str">
        <f>IF(K5=0,"",IF(OR(K5=CW5,K5=CU5,K5=CZ5),$BX$1,IF(OR(K5=BS5,K5=BQ5,K5=BV5),$AT$1,IF(OR(K5=AO5,K5=AM5,K5=AR5),$P$1,""))))</f>
        <v>2022 Elite Canada</v>
      </c>
      <c r="M5" s="14" t="str">
        <f>IF(MAX(DB5,DC5)&gt;0,MAX(DB5,DC5),"")</f>
        <v/>
      </c>
      <c r="N5" s="20" t="str">
        <f>IF(M5="","",IF(M5=#REF!,"(Vol 1)",IF(M5=DB5,"(Vol 2)",IF(M5=#REF!,"(Prelim)",IF(M5=DC5,"(Final)")))))</f>
        <v/>
      </c>
      <c r="O5" s="14" t="str">
        <f>IF(M5="","",IF(M5=#REF!,IF(M5+IF(#REF!="",0,#REF!)=NB5,$ML$1,IF(M5+IF(#REF!="",0,#REF!)=MF5,$LP$1,IF(M5+IF(#REF!="",0,#REF!)=LJ5,$KT$1,IF(M5+IF(#REF!="",0,#REF!)=KN5,$JX$1,IF(M5+IF(#REF!="",0,#REF!)=JR5,$JB$1,IF(M5+IF(#REF!="",0,#REF!)=IV5,$IF$1,IF(M5+IF(#REF!="",0,#REF!)=HZ5,$HJ$1,IF(M5+IF(#REF!="",0,#REF!)=HD5,$GN$1,IF(M5+IF(#REF!="",0,#REF!)=GH5,$FR$1,IF(M5+IF(#REF!="",0,#REF!)=FL5,$EV$1,IF(M5+IF(#REF!="",0,#REF!)=EP5,$DZ$1,IF(M5+IF(#REF!="",0,#REF!)=DT5,$DD$1)))))))))))),IF(M5=DB5,IF(M5+IF(I5="",0,I5)=NC5,$ML$1,IF(M5+IF(I5="",0,I5)=MG5,$LP$1,IF(M5+IF(I5="",0,I5)=LK5,$KT$1,IF(M5+IF(I5="",0,I5)=KO5,$JX$1,IF(M5+IF(I5="",0,I5)=JS5,$JB$1,IF(M5+IF(I5="",0,I5)=IW5,$IF$1,IF(M5+IF(I5="",0,I5)=IA5,$HJ$1,IF(M5+IF(I5="",0,I5)=HE5,$GN$1,IF(M5+IF(I5="",0,I5)=GI5,$FR$1,IF(M5+IF(I5="",0,I5)=FM5,$EV$1,IF(M5+IF(I5="",0,I5)=EQ5,$DZ$1,IF(M5+IF(I5="",0,I5)=DU5,$DD$1)))))))))))),IF(M5=#REF!,IF(M5+IF(#REF!="",0,#REF!)=ND5,$ML$1,IF(M5+IF(#REF!="",0,#REF!)=MH5,$LP$1,IF(M5+IF(#REF!="",0,#REF!)=LL5,$KT$1,IF(M5+IF(#REF!="",0,#REF!)=KP5,$JX$1,IF(M5+IF(#REF!="",0,#REF!)=JT5,$JB$1,IF(M5+IF(#REF!="",0,#REF!)=IX5,$IF$1,IF(M5+IF(#REF!="",0,#REF!)=IB5,$HJ$1,IF(M5+IF(#REF!="",0,#REF!)=HF5,$GN$1,IF(M5+IF(#REF!="",0,#REF!)=GJ5,$FR$1,IF(M5+IF(#REF!="",0,#REF!)=FN5,$EV$1,IF(M5+IF(#REF!="",0,#REF!)=ER5,$DZ$1,IF(M5+IF(#REF!="",0,#REF!)=DV5,$DD$1)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))</f>
        <v/>
      </c>
      <c r="P5" s="38"/>
      <c r="Q5" s="38"/>
      <c r="R5" s="38"/>
      <c r="S5" s="38"/>
      <c r="T5" s="38"/>
      <c r="U5" s="38">
        <v>15</v>
      </c>
      <c r="V5" s="38">
        <v>7.7750000000000004</v>
      </c>
      <c r="W5" s="38">
        <v>13.75</v>
      </c>
      <c r="X5" s="38">
        <v>15.302499999999998</v>
      </c>
      <c r="Y5" s="38">
        <v>0</v>
      </c>
      <c r="Z5" s="38">
        <v>10</v>
      </c>
      <c r="AA5" s="38">
        <v>5.3999999999999995</v>
      </c>
      <c r="AB5" s="38">
        <v>9.7999999999999989</v>
      </c>
      <c r="AC5" s="38">
        <v>10.385</v>
      </c>
      <c r="AD5" s="38">
        <v>0</v>
      </c>
      <c r="AE5" s="38">
        <v>12</v>
      </c>
      <c r="AF5" s="38">
        <v>6.3</v>
      </c>
      <c r="AG5" s="38">
        <v>11.45</v>
      </c>
      <c r="AH5" s="38">
        <v>12.270000000000001</v>
      </c>
      <c r="AI5" s="38">
        <v>0</v>
      </c>
      <c r="AJ5" s="45" t="s">
        <v>46</v>
      </c>
      <c r="AK5" s="11" t="str">
        <f>IF(SUM(P5:S5)-T5&gt;0,SUM(P5:S5)-T5,"")</f>
        <v/>
      </c>
      <c r="AL5" s="11">
        <f>IF(W5&gt;0,W5,"")</f>
        <v>13.75</v>
      </c>
      <c r="AM5" s="11">
        <f>IF(SUM(U5:X5)-Y5&gt;0,SUM(U5:X5)-Y5,"")</f>
        <v>51.827500000000001</v>
      </c>
      <c r="AN5" s="11">
        <f>IF(AB5&gt;0,AB5,"")</f>
        <v>9.7999999999999989</v>
      </c>
      <c r="AO5" s="11">
        <f>IF(SUM(Z5:AC5)-AD5&gt;0,SUM(Z5:AC5)-AD5,"")</f>
        <v>35.584999999999994</v>
      </c>
      <c r="AP5" s="11">
        <f>IF(AK5="",IF(MAX(AM5,AO5)&gt;0,MAX(AM5,AO5),""),MAX(AM5,AO5)+AK5)</f>
        <v>51.827500000000001</v>
      </c>
      <c r="AQ5" s="11">
        <f>IF(AG5&gt;0,AG5,"")</f>
        <v>11.45</v>
      </c>
      <c r="AR5" s="11">
        <f>IF(SUM(AE5:AH5)-AI5&gt;0,SUM(AE5:AH5)-AI5,"")</f>
        <v>42.02</v>
      </c>
      <c r="AS5" s="11">
        <f>IF(SUM(AP5,AR5)&gt;0,SUM(AP5,AR5),"")</f>
        <v>93.847499999999997</v>
      </c>
      <c r="AT5" s="42"/>
      <c r="AU5" s="42"/>
      <c r="AV5" s="42"/>
      <c r="AW5" s="42"/>
      <c r="AX5" s="42"/>
      <c r="AY5" s="42">
        <v>13.8</v>
      </c>
      <c r="AZ5" s="42">
        <v>6.6</v>
      </c>
      <c r="BA5" s="42">
        <v>12.1</v>
      </c>
      <c r="BB5" s="42">
        <v>13.935</v>
      </c>
      <c r="BC5" s="42">
        <v>0</v>
      </c>
      <c r="BD5" s="42">
        <v>16.899999999999999</v>
      </c>
      <c r="BE5" s="42">
        <v>8.3000000000000007</v>
      </c>
      <c r="BF5" s="42">
        <v>15.6</v>
      </c>
      <c r="BG5" s="42">
        <v>17.254999999999999</v>
      </c>
      <c r="BH5" s="42">
        <v>0</v>
      </c>
      <c r="BI5" s="42">
        <v>3.1</v>
      </c>
      <c r="BJ5" s="42">
        <v>1.7</v>
      </c>
      <c r="BK5" s="42">
        <v>3.8</v>
      </c>
      <c r="BL5" s="42">
        <v>3.55</v>
      </c>
      <c r="BM5" s="42">
        <v>0</v>
      </c>
      <c r="BN5" s="46"/>
      <c r="BO5" s="14" t="str">
        <f>IF(SUM(AT5:AW5)-AX5&gt;0,SUM(AT5:AW5)-AX5,"")</f>
        <v/>
      </c>
      <c r="BP5" s="14">
        <f>IF(BA5&gt;0,BA5,"")</f>
        <v>12.1</v>
      </c>
      <c r="BQ5" s="14">
        <f>IF(SUM(AY5:BB5)-BC5&gt;0,SUM(AY5:BB5)-BC5,"")</f>
        <v>46.435000000000002</v>
      </c>
      <c r="BR5" s="14">
        <f>IF(BF5&gt;0,BF5,"")</f>
        <v>15.6</v>
      </c>
      <c r="BS5" s="14">
        <f>IF(SUM(BD5:BG5)-BH5&gt;0,SUM(BD5:BG5)-BH5,"")</f>
        <v>58.054999999999993</v>
      </c>
      <c r="BT5" s="14">
        <f>IF(BO5="",IF(MAX(BQ5,BS5)&gt;0,MAX(BQ5,BS5),""),MAX(BQ5,BS5)+BO5)</f>
        <v>58.054999999999993</v>
      </c>
      <c r="BU5" s="14">
        <f>IF(BK5&gt;0,BK5,"")</f>
        <v>3.8</v>
      </c>
      <c r="BV5" s="14">
        <f>IF(SUM(BI5:BL5)-BM5&gt;0,SUM(BI5:BL5)-BM5,"")</f>
        <v>12.149999999999999</v>
      </c>
      <c r="BW5" s="14">
        <f>IF(SUM(BT5,BV5)&gt;0,SUM(BT5,BV5),"")</f>
        <v>70.204999999999984</v>
      </c>
      <c r="BX5" s="38"/>
      <c r="BY5" s="38"/>
      <c r="BZ5" s="38"/>
      <c r="CA5" s="38"/>
      <c r="CB5" s="38"/>
      <c r="CC5" s="38">
        <v>13.8</v>
      </c>
      <c r="CD5" s="38">
        <v>6.6</v>
      </c>
      <c r="CE5" s="38">
        <v>12.1</v>
      </c>
      <c r="CF5" s="38">
        <v>13.935</v>
      </c>
      <c r="CG5" s="38">
        <v>0</v>
      </c>
      <c r="CH5" s="38">
        <v>16.899999999999999</v>
      </c>
      <c r="CI5" s="38">
        <v>8.3000000000000007</v>
      </c>
      <c r="CJ5" s="38">
        <v>15.6</v>
      </c>
      <c r="CK5" s="38">
        <v>17.254999999999999</v>
      </c>
      <c r="CL5" s="38">
        <v>0</v>
      </c>
      <c r="CM5" s="38">
        <v>3.1</v>
      </c>
      <c r="CN5" s="38">
        <v>1.7</v>
      </c>
      <c r="CO5" s="38">
        <v>3.8</v>
      </c>
      <c r="CP5" s="38">
        <v>3.55</v>
      </c>
      <c r="CQ5" s="38">
        <v>0</v>
      </c>
      <c r="CR5" s="45"/>
      <c r="CS5" s="11" t="str">
        <f>IF(SUM(BX5:CA5)-CB5&gt;0,SUM(BX5:CA5)-CB5,"")</f>
        <v/>
      </c>
      <c r="CT5" s="11">
        <f>IF(CE5&gt;0,CE5,"")</f>
        <v>12.1</v>
      </c>
      <c r="CU5" s="11">
        <f>IF(SUM(CC5:CF5)-CG5&gt;0,SUM(CC5:CF5)-CG5,"")</f>
        <v>46.435000000000002</v>
      </c>
      <c r="CV5" s="11">
        <f>IF(CJ5&gt;0,CJ5,"")</f>
        <v>15.6</v>
      </c>
      <c r="CW5" s="11">
        <f>IF(SUM(CH5:CK5)-CL5&gt;0,SUM(CH5:CK5)-CL5,"")</f>
        <v>58.054999999999993</v>
      </c>
      <c r="CX5" s="11">
        <f>IF(CS5="",IF(MAX(CU5,CW5)&gt;0,MAX(CU5,CW5),""),MAX(CU5,CW5)+CS5)</f>
        <v>58.054999999999993</v>
      </c>
      <c r="CY5" s="11">
        <f>IF(CO5&gt;0,CO5,"")</f>
        <v>3.8</v>
      </c>
      <c r="CZ5" s="11">
        <f>IF(SUM(CM5:CP5)-CQ5&gt;0,SUM(CM5:CP5)-CQ5,"")</f>
        <v>12.149999999999999</v>
      </c>
      <c r="DA5" s="11">
        <f>IF(SUM(CX5,CZ5)&gt;0,SUM(CX5,CZ5),"")</f>
        <v>70.204999999999984</v>
      </c>
      <c r="DB5" s="19" t="str">
        <f>IF(I5&gt;=0.001,IF(MAX(DU5,EQ5,FM5,GI5,HE5,IA5,IW5,JS5,KO5,LK5,MG5,NC5)-IF(I5="",0,I5)&gt;0.001,MAX(DU5,EQ5,FM5,GI5,HE5,IA5,IW5,JS5,KO5,LK5,MG5,NC5)-IF(I5="",0,I5),""),"")</f>
        <v/>
      </c>
      <c r="DC5" s="19" t="str">
        <f>IF(K5&gt;=0.001,IF(MAX(DX5,ET5,FP5,GL5,HH5,ID5,IZ5,JV5,KR5,LN5,MJ5,NF5)-IF(K5="",0,K5)&gt;0.001,MAX(DX5,ET5,FP5,GL5,HH5,ID5,IZ5,JV5,KR5,LN5,MJ5,NF5)-IF(K5="",0,K5),""),"")</f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11" t="str">
        <f>IF(DK5&gt;0,DK5,"")</f>
        <v/>
      </c>
      <c r="DT5" s="11" t="str">
        <f>IF(SUM(DD5:DG5)-DH5&gt;0,SUM(DD5:DG5)-DH5,"")</f>
        <v/>
      </c>
      <c r="DU5" s="11" t="str">
        <f>IF(SUM(DI5:DL5)-DM5&gt;0,SUM(DI5:DL5)-DM5,"")</f>
        <v/>
      </c>
      <c r="DV5" s="11" t="str">
        <f>IF(SUM(DT5:DU5)&gt;0,SUM(DT5:DU5),"")</f>
        <v/>
      </c>
      <c r="DW5" s="11" t="str">
        <f>IF(DP5&gt;0,DP5,"")</f>
        <v/>
      </c>
      <c r="DX5" s="11" t="str">
        <f>IF(SUM(DN5:DQ5)-DR5&gt;0,SUM(DN5:DQ5)-DR5,"")</f>
        <v/>
      </c>
      <c r="DY5" s="11" t="str">
        <f>IF(SUM(DV5,DX5)&gt;0,SUM(DV5,DX5),"")</f>
        <v/>
      </c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14" t="str">
        <f>IF(EG5&gt;0,EG5,"")</f>
        <v/>
      </c>
      <c r="EP5" s="14" t="str">
        <f>IF(SUM(DZ5:EC5)-ED5&gt;0,SUM(DZ5:EC5)-ED5,"")</f>
        <v/>
      </c>
      <c r="EQ5" s="14" t="str">
        <f>IF(SUM(EE5:EH5)-EI5&gt;0,SUM(EE5:EH5)-EI5,"")</f>
        <v/>
      </c>
      <c r="ER5" s="14" t="str">
        <f>IF(SUM(EP5:EQ5)&gt;0,SUM(EP5:EQ5),"")</f>
        <v/>
      </c>
      <c r="ES5" s="14" t="str">
        <f>IF(EL5&gt;0,EL5,"")</f>
        <v/>
      </c>
      <c r="ET5" s="14" t="str">
        <f>IF(SUM(EJ5:EM5)-EN5&gt;0,SUM(EJ5:EM5)-EN5,"")</f>
        <v/>
      </c>
      <c r="EU5" s="14" t="str">
        <f>IF(SUM(ER5,ET5)&gt;0,SUM(ER5,ET5),"")</f>
        <v/>
      </c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11" t="str">
        <f>IF(FC5&gt;0,FC5,"")</f>
        <v/>
      </c>
      <c r="FL5" s="11" t="str">
        <f>IF(SUM(EV5:EY5)-EZ5&gt;0,SUM(EV5:EY5)-EZ5,"")</f>
        <v/>
      </c>
      <c r="FM5" s="11" t="str">
        <f>IF(SUM(FA5:FD5)-FE5&gt;0,SUM(FA5:FD5)-FE5,"")</f>
        <v/>
      </c>
      <c r="FN5" s="11" t="str">
        <f>IF(SUM(FL5:FM5)&gt;0,SUM(FL5:FM5),"")</f>
        <v/>
      </c>
      <c r="FO5" s="11" t="str">
        <f>IF(FH5&gt;0,FH5,"")</f>
        <v/>
      </c>
      <c r="FP5" s="11" t="str">
        <f>IF(SUM(FF5:FI5)-FJ5&gt;0,SUM(FF5:FI5)-FJ5,"")</f>
        <v/>
      </c>
      <c r="FQ5" s="11" t="str">
        <f>IF(SUM(FN5,FP5)&gt;0,SUM(FN5,FP5),"")</f>
        <v/>
      </c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14" t="str">
        <f>IF(FY5&gt;0,FY5,"")</f>
        <v/>
      </c>
      <c r="GH5" s="14" t="str">
        <f>IF(SUM(FR5:FU5)-FV5&gt;0,SUM(FR5:FU5)-FV5,"")</f>
        <v/>
      </c>
      <c r="GI5" s="14" t="str">
        <f>IF(SUM(FW5:FZ5)-GA5&gt;0,SUM(FW5:FZ5)-GA5,"")</f>
        <v/>
      </c>
      <c r="GJ5" s="14" t="str">
        <f>IF(SUM(GH5:GI5)&gt;0,SUM(GH5:GI5),"")</f>
        <v/>
      </c>
      <c r="GK5" s="14" t="str">
        <f>IF(GD5&gt;0,GD5,"")</f>
        <v/>
      </c>
      <c r="GL5" s="14" t="str">
        <f>IF(SUM(GB5:GE5)-GF5&gt;0,SUM(GB5:GE5)-GF5,"")</f>
        <v/>
      </c>
      <c r="GM5" s="14" t="str">
        <f>IF(SUM(GJ5,GL5)&gt;0,SUM(GJ5,GL5),"")</f>
        <v/>
      </c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11" t="str">
        <f>IF(GU5&gt;0,GU5,"")</f>
        <v/>
      </c>
      <c r="HD5" s="11" t="str">
        <f>IF(SUM(GN5:GQ5)-GR5&gt;0,SUM(GN5:GQ5)-GR5,"")</f>
        <v/>
      </c>
      <c r="HE5" s="11" t="str">
        <f>IF(SUM(GS5:GV5)-GW5&gt;0,SUM(GS5:GV5)-GW5,"")</f>
        <v/>
      </c>
      <c r="HF5" s="11" t="str">
        <f>IF(SUM(HD5:HE5)&gt;0,SUM(HD5:HE5),"")</f>
        <v/>
      </c>
      <c r="HG5" s="11" t="str">
        <f>IF(GZ5&gt;0,GZ5,"")</f>
        <v/>
      </c>
      <c r="HH5" s="11" t="str">
        <f>IF(SUM(GX5:HA5)-HB5&gt;0,SUM(GX5:HA5)-HB5,"")</f>
        <v/>
      </c>
      <c r="HI5" s="11" t="str">
        <f>IF(SUM(HF5,HH5)&gt;0,SUM(HF5,HH5),"")</f>
        <v/>
      </c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26"/>
      <c r="JN5" s="26"/>
      <c r="JO5" s="26"/>
      <c r="JP5" s="26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6"/>
      <c r="KU5" s="26"/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5"/>
      <c r="LQ5" s="25"/>
      <c r="LR5" s="25"/>
      <c r="LS5" s="25"/>
      <c r="LT5" s="25"/>
      <c r="LU5" s="25"/>
      <c r="LV5" s="25"/>
      <c r="LW5" s="25"/>
      <c r="LX5" s="25"/>
      <c r="LY5" s="25"/>
      <c r="LZ5" s="25"/>
      <c r="MA5" s="25"/>
      <c r="MB5" s="25"/>
      <c r="MC5" s="25"/>
      <c r="MD5" s="25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8">
        <f>IF($CR5="P",BX5,(BX5+AT5)/2)</f>
        <v>0</v>
      </c>
      <c r="NI5" s="38">
        <f>IF($CR5="P",BY5,(BY5+AU5)/2)</f>
        <v>0</v>
      </c>
      <c r="NJ5" s="38">
        <f>IF($CR5="P",BZ5,(BZ5+AV5)/2)</f>
        <v>0</v>
      </c>
      <c r="NK5" s="38">
        <f>IF($CR5="P",CA5,(CA5+AW5)/2)</f>
        <v>0</v>
      </c>
      <c r="NL5" s="38">
        <f>IF($CR5="P",CB5,(CB5+AX5)/2)</f>
        <v>0</v>
      </c>
      <c r="NM5" s="38">
        <f>IF($CR5="P",CC5,(CC5+AY5)/2)</f>
        <v>13.8</v>
      </c>
      <c r="NN5" s="38">
        <f>IF($CR5="P",CD5,(CD5+AZ5)/2)</f>
        <v>6.6</v>
      </c>
      <c r="NO5" s="38">
        <f>IF($CR5="P",CE5,(CE5+BA5)/2)</f>
        <v>12.1</v>
      </c>
      <c r="NP5" s="38">
        <f>IF($CR5="P",CF5,(CF5+BB5)/2)</f>
        <v>13.935</v>
      </c>
      <c r="NQ5" s="38">
        <f>IF($CR5="P",CG5,(CG5+BC5)/2)</f>
        <v>0</v>
      </c>
      <c r="NR5" s="38">
        <f>IF($CR5="P",CH5,(CH5+BD5)/2)</f>
        <v>16.899999999999999</v>
      </c>
      <c r="NS5" s="38">
        <f>IF($CR5="P",CI5,(CI5+BE5)/2)</f>
        <v>8.3000000000000007</v>
      </c>
      <c r="NT5" s="38">
        <f>IF($CR5="P",CJ5,(CJ5+BF5)/2)</f>
        <v>15.6</v>
      </c>
      <c r="NU5" s="38">
        <f>IF($CR5="P",CK5,(CK5+BG5)/2)</f>
        <v>17.254999999999999</v>
      </c>
      <c r="NV5" s="38">
        <f>IF($CR5="P",CL5,(CL5+BH5)/2)</f>
        <v>0</v>
      </c>
      <c r="NW5" s="38">
        <f>IF($CR5="P",CM5,(CM5+BI5)/2)</f>
        <v>3.1</v>
      </c>
      <c r="NX5" s="38">
        <f>IF($CR5="P",CN5,(CN5+BJ5)/2)</f>
        <v>1.7</v>
      </c>
      <c r="NY5" s="38">
        <f>IF($CR5="P",CO5,(CO5+BK5)/2)</f>
        <v>3.8</v>
      </c>
      <c r="NZ5" s="38">
        <f>IF($CR5="P",CP5,(CP5+BL5)/2)</f>
        <v>3.55</v>
      </c>
      <c r="OA5" s="38">
        <f>IF($CR5="P",CQ5,(CQ5+BM5)/2)</f>
        <v>0</v>
      </c>
      <c r="OB5" s="45" t="s">
        <v>46</v>
      </c>
      <c r="OC5" s="11" t="str">
        <f>IF(SUM(NH5:NK5)-NL5&gt;0,SUM(NH5:NK5)-NL5,"")</f>
        <v/>
      </c>
      <c r="OD5" s="11">
        <f>IF(NO5&gt;0,NO5,"")</f>
        <v>12.1</v>
      </c>
      <c r="OE5" s="11">
        <f>IF(SUM(NM5:NP5)-NQ5&gt;0,SUM(NM5:NP5)-NQ5,"")</f>
        <v>46.435000000000002</v>
      </c>
      <c r="OF5" s="11">
        <f>IF(NT5&gt;0,NT5,"")</f>
        <v>15.6</v>
      </c>
      <c r="OG5" s="11">
        <f>IF(SUM(NR5:NU5)-NV5&gt;0,SUM(NR5:NU5)-NV5,"")</f>
        <v>58.054999999999993</v>
      </c>
      <c r="OH5" s="11" t="e">
        <f>IF(OR(OC5&lt;&gt;"",OE5&lt;&gt;"",OG5&lt;&gt;""),OC5+MAX(OE5,OG5),"")</f>
        <v>#VALUE!</v>
      </c>
      <c r="OI5" s="11">
        <f>IF(NY5&gt;0,NY5,"")</f>
        <v>3.8</v>
      </c>
      <c r="OJ5" s="11">
        <f t="shared" si="0"/>
        <v>12.149999999999999</v>
      </c>
      <c r="OK5" s="11" t="e">
        <f t="shared" ref="OK5:OK10" si="1">IF(SUM(OH5,OJ5)&gt;0,SUM(OH5,OJ5),"")</f>
        <v>#VALUE!</v>
      </c>
    </row>
    <row r="6" spans="1:401" x14ac:dyDescent="0.2">
      <c r="A6" s="5" cm="1">
        <f t="array" ref="A6">IF(AND(F6="P",G6="P"),SUMPRODUCT((F$4:F$32="P")*(G$4:G$32="P")*(E$4:E$32&gt;E6))+1,IF(G6="P",SUMPRODUCT((F$4:F$32="")*(G$4:G$32="P")*(E$4:E$32&gt;E6))+1+SUMPRODUCT((F$4:F$32="P")*(G$4:G$32="P")),""))</f>
        <v>3</v>
      </c>
      <c r="B6" s="6" t="s">
        <v>107</v>
      </c>
      <c r="C6" s="7" t="s">
        <v>108</v>
      </c>
      <c r="D6" s="22">
        <v>2004</v>
      </c>
      <c r="E6" s="15">
        <f>SUM(I6:M6)+I6*0.0000001</f>
        <v>106.780005367</v>
      </c>
      <c r="F6" s="3" t="str">
        <f>IF(OR(AND(AL6&gt;=AS$34,AM6&gt;=AS$38,AL6&lt;&gt;"",AJ6=""),AND(AN6&gt;=AS$34,AO6&gt;=AS$38,AN6&lt;&gt;"",AN6=""),AND(AQ6&gt;=AS$34,AR6&gt;=AS$38,AQ6&lt;&gt;"",AJ6=""),AND(BP6&gt;=BW$34,BQ6&gt;=BW$38,BP6&lt;&gt;"",BN6=""),AND(BR6&gt;=BW$34,BS6&gt;=BW$38,BR6&lt;&gt;"",BN6=""),AND(BU6&gt;=BW$34,BV6&gt;=BW$38,BU6&lt;&gt;"",BN6=""),AND(CT6&gt;=DA$34,CU6&gt;=DA$38,CT6&lt;&gt;"",CR6=""),AND(CV6&gt;=DA$34,CW6&gt;=DA$38,CV6&lt;&gt;"",CR6=""),AND(CY6&gt;=DA$34,CZ6&gt;=DA$38,CY6&lt;&gt;"",CR6=""),AND(DS6&gt;=DY$34,DU6&gt;=DY$38,DS6&lt;&gt;""),AND(DW6&gt;=DY$34,DX6&gt;=DY$38,DW6&lt;&gt;""),AND(EO6&gt;=EU$34,EQ6&gt;=EU$38,EO6&lt;&gt;""),AND(ES6&gt;=EU$34,ET6&gt;=EU$38,ES6&lt;&gt;""),AND(FK6&gt;=FQ$34,FM6&gt;=FQ$38,FK6&lt;&gt;""),AND(FO6&gt;=FQ$34,FP6&gt;=FQ$38,FO6&lt;&gt;""),AND(GG6&gt;=GM$34,GI6&gt;=GM$38,GG6&lt;&gt;""),AND(GK6&gt;=GM$34,GL6&gt;=GM$38,GK6&lt;&gt;""),AND(HC6&gt;=HI$34,HE6&gt;=HI$38,HC6&lt;&gt;""),AND(HG6&gt;=HI$34,HH6&gt;=HI$38,HG6&lt;&gt;""),AND(HY6&gt;=IE$34,IA6&gt;=IE$38,HY6&lt;&gt;""),AND(IC6&gt;=IE$34,ID6&gt;=IE$38,IC6&lt;&gt;""),AND(IU6&gt;=JA$34,IW6&gt;=JA$38,IU6&lt;&gt;""),AND(IY6&gt;=JA$34,IZ6&gt;=JA$38,IY6&lt;&gt;""),AND(JQ6&gt;=JW$34,JS6&gt;=JW$38,JQ6&lt;&gt;""),AND(JU6&gt;=JW$34,JV6&gt;=JW$38,JU6&lt;&gt;""),AND(KM6&gt;=KS$34,KO6&gt;=KS$38,KM6&lt;&gt;""),AND(KQ6&gt;=KS$34,KR6&gt;=KS$38,KQ6&lt;&gt;""),AND(LI6&gt;=LO$34,LK6&gt;=LO$38,LI6&lt;&gt;""),AND(LM6&gt;=LO$34,LN6&gt;=LO$38,LM6&lt;&gt;""),AND(ME6&gt;=MK$34,MG6&gt;=MK$38,ME6&lt;&gt;""),AND(MI6&gt;=MK$34,MJ6&gt;=MK$38,MI6&lt;&gt;""),AND(NA6&gt;=NG$34,NC6&gt;=NG$38,NA6&lt;&gt;""),AND(NE6&gt;=NG$34,NF6&gt;=NG$38,NE6&lt;&gt;"")),"P","")</f>
        <v>P</v>
      </c>
      <c r="G6" s="3" t="str">
        <f>IF(OR(AND(AM6&gt;=AS$38,AL6&lt;&gt;"",AJ6=""),AND(AO6&gt;=AS$38,AN6&lt;&gt;"",AN6=""),AND(AR6&gt;=AS$38,AQ6&lt;&gt;"",AJ6=""),AND(BQ6&gt;=BW$38,BP6&lt;&gt;"",BN6=""),AND(BS6&gt;=BW$38,BR6&lt;&gt;"",BN6=""),AND(BV6&gt;=BW$38,BU6&lt;&gt;"",BN6=""),AND(CU6&gt;=DA$38,CT6&lt;&gt;"",CR6=""),AND(CW6&gt;=DA$38,CV6&lt;&gt;"",CR6=""),AND(CZ6&gt;=DA$38,CY6&lt;&gt;"",CR6=""),AND(DU6&gt;=DY$38,DS6&lt;&gt;""),AND(DX6&gt;=DY$38,DW6&lt;&gt;""),AND(EQ6&gt;=EU$38,EO6&lt;&gt;""),AND(ET6&gt;=EU$38,ES6&lt;&gt;""),AND(FM6&gt;=FQ$38,FK6&lt;&gt;""),AND(FP6&gt;=FQ$38,FO6&lt;&gt;""),AND(GI6&gt;=GM$38,GG6&lt;&gt;""),AND(GL6&gt;=GM$38,GK6&lt;&gt;""),AND(HE6&gt;=HI$38,HC6&lt;&gt;""),AND(HH6&gt;=HI$38,HG6&lt;&gt;""),AND(IA6&gt;=IE$38,HY6&lt;&gt;""),AND(ID6&gt;=IE$38,IC6&lt;&gt;""),AND(IW6&gt;=JA$38,IU6&lt;&gt;""),AND(IZ6&gt;=JA$38,IY6&lt;&gt;""),AND(JS6&gt;=JW$38,JQ6&lt;&gt;""),AND(JV6&gt;=JW$38,JU6&lt;&gt;""),AND(KO6&gt;=KS$38,KM6&lt;&gt;""),AND(KR6&gt;=KS$38,KQ6&lt;&gt;""),AND(LK6&gt;=LO$38,LI6&lt;&gt;""),AND(LN6&gt;=LO$38,LM6&lt;&gt;""),AND(MG6&gt;=MK$38,ME6&lt;&gt;""),AND(MJ6&gt;=MK$38,MI6&lt;&gt;""),AND(NC6&gt;=NG$38,NA6&lt;&gt;""),AND(NF6&gt;=NG$38,NE6&lt;&gt;"")),"P","")</f>
        <v>P</v>
      </c>
      <c r="H6" s="67" t="str">
        <f>IF(F6="P","National Team",IF(G6="P","No DD",""))</f>
        <v>National Team</v>
      </c>
      <c r="I6" s="14">
        <f>MAX(AM6,AO6,AR6,BQ6,BS6,BV6,CU6,CW6,CZ6)</f>
        <v>53.67</v>
      </c>
      <c r="J6" s="14" t="str">
        <f>IF(I6=0,"",IF(OR(I6=CW6,I6=CU6,I6=CZ6),$BX$1,IF(OR(I6=BS6,I6=BQ6,I6=BV6),$AT$1,IF(OR(I6=AO6,I6=AM6,I6=AR6),$P$1,""))))</f>
        <v>2022 Elite Canada</v>
      </c>
      <c r="K6" s="14">
        <f>IF(COUNT(AM6,AO6,AR6,BQ6,BS6,BV6,CU6,CW6,CZ6)&gt;1,LARGE((AM6,AO6,AR6,BQ6,BS6,BV6,CU6,CW6,CZ6),2),0)</f>
        <v>53.11</v>
      </c>
      <c r="L6" s="14" t="str">
        <f>IF(K6=0,"",IF(OR(K6=CW6,K6=CU6,K6=CZ6),$BX$1,IF(OR(K6=BS6,K6=BQ6,K6=BV6),$AT$1,IF(OR(K6=AO6,K6=AM6,K6=AR6),$P$1,""))))</f>
        <v>2021 Elite Canada</v>
      </c>
      <c r="M6" s="14" t="str">
        <f>IF(MAX(DB6,DC6)&gt;0,MAX(DB6,DC6),"")</f>
        <v/>
      </c>
      <c r="N6" s="20" t="str">
        <f>IF(M6="","",IF(M6=#REF!,"(Vol 1)",IF(M6=DB6,"(Vol 2)",IF(M6=#REF!,"(Prelim)",IF(M6=DC6,"(Final)")))))</f>
        <v/>
      </c>
      <c r="O6" s="14" t="str">
        <f>IF(M6="","",IF(M6=#REF!,IF(M6+IF(#REF!="",0,#REF!)=NB6,$ML$1,IF(M6+IF(#REF!="",0,#REF!)=MF6,$LP$1,IF(M6+IF(#REF!="",0,#REF!)=LJ6,$KT$1,IF(M6+IF(#REF!="",0,#REF!)=KN6,$JX$1,IF(M6+IF(#REF!="",0,#REF!)=JR6,$JB$1,IF(M6+IF(#REF!="",0,#REF!)=IV6,$IF$1,IF(M6+IF(#REF!="",0,#REF!)=HZ6,$HJ$1,IF(M6+IF(#REF!="",0,#REF!)=HD6,$GN$1,IF(M6+IF(#REF!="",0,#REF!)=GH6,$FR$1,IF(M6+IF(#REF!="",0,#REF!)=FL6,$EV$1,IF(M6+IF(#REF!="",0,#REF!)=EP6,$DZ$1,IF(M6+IF(#REF!="",0,#REF!)=DT6,$DD$1)))))))))))),IF(M6=DB6,IF(M6+IF(I6="",0,I6)=NC6,$ML$1,IF(M6+IF(I6="",0,I6)=MG6,$LP$1,IF(M6+IF(I6="",0,I6)=LK6,$KT$1,IF(M6+IF(I6="",0,I6)=KO6,$JX$1,IF(M6+IF(I6="",0,I6)=JS6,$JB$1,IF(M6+IF(I6="",0,I6)=IW6,$IF$1,IF(M6+IF(I6="",0,I6)=IA6,$HJ$1,IF(M6+IF(I6="",0,I6)=HE6,$GN$1,IF(M6+IF(I6="",0,I6)=GI6,$FR$1,IF(M6+IF(I6="",0,I6)=FM6,$EV$1,IF(M6+IF(I6="",0,I6)=EQ6,$DZ$1,IF(M6+IF(I6="",0,I6)=DU6,$DD$1)))))))))))),IF(M6=#REF!,IF(M6+IF(#REF!="",0,#REF!)=ND6,$ML$1,IF(M6+IF(#REF!="",0,#REF!)=MH6,$LP$1,IF(M6+IF(#REF!="",0,#REF!)=LL6,$KT$1,IF(M6+IF(#REF!="",0,#REF!)=KP6,$JX$1,IF(M6+IF(#REF!="",0,#REF!)=JT6,$JB$1,IF(M6+IF(#REF!="",0,#REF!)=IX6,$IF$1,IF(M6+IF(#REF!="",0,#REF!)=IB6,$HJ$1,IF(M6+IF(#REF!="",0,#REF!)=HF6,$GN$1,IF(M6+IF(#REF!="",0,#REF!)=GJ6,$FR$1,IF(M6+IF(#REF!="",0,#REF!)=FN6,$EV$1,IF(M6+IF(#REF!="",0,#REF!)=ER6,$DZ$1,IF(M6+IF(#REF!="",0,#REF!)=DV6,$DD$1)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))</f>
        <v/>
      </c>
      <c r="P6" s="38">
        <v>14.9</v>
      </c>
      <c r="Q6" s="38">
        <v>8.4</v>
      </c>
      <c r="R6" s="38">
        <v>3.8</v>
      </c>
      <c r="S6" s="38">
        <v>16.71</v>
      </c>
      <c r="T6" s="38">
        <v>0</v>
      </c>
      <c r="U6" s="38">
        <v>15</v>
      </c>
      <c r="V6" s="38">
        <v>8.3000000000000007</v>
      </c>
      <c r="W6" s="38">
        <v>12.5</v>
      </c>
      <c r="X6" s="38">
        <v>16.074999999999999</v>
      </c>
      <c r="Y6" s="38">
        <v>0</v>
      </c>
      <c r="Z6" s="38"/>
      <c r="AA6" s="38"/>
      <c r="AB6" s="38"/>
      <c r="AC6" s="38"/>
      <c r="AD6" s="38"/>
      <c r="AE6" s="38">
        <v>15.8</v>
      </c>
      <c r="AF6" s="38">
        <v>8.6</v>
      </c>
      <c r="AG6" s="38">
        <v>12.5</v>
      </c>
      <c r="AH6" s="38">
        <v>16.21</v>
      </c>
      <c r="AI6" s="38">
        <v>0</v>
      </c>
      <c r="AJ6" s="45"/>
      <c r="AK6" s="11">
        <f>IF(SUM(P6:S6)-T6&gt;0,SUM(P6:S6)-T6,"")</f>
        <v>43.81</v>
      </c>
      <c r="AL6" s="11">
        <f>IF(W6&gt;0,W6,"")</f>
        <v>12.5</v>
      </c>
      <c r="AM6" s="11">
        <f>IF(SUM(U6:X6)-Y6&gt;0,SUM(U6:X6)-Y6,"")</f>
        <v>51.875</v>
      </c>
      <c r="AN6" s="11" t="str">
        <f>IF(AB6&gt;0,AB6,"")</f>
        <v/>
      </c>
      <c r="AO6" s="11" t="str">
        <f>IF(SUM(Z6:AC6)-AD6&gt;0,SUM(Z6:AC6)-AD6,"")</f>
        <v/>
      </c>
      <c r="AP6" s="11">
        <f>IF(AK6="",IF(MAX(AM6,AO6)&gt;0,MAX(AM6,AO6),""),MAX(AM6,AO6)+AK6)</f>
        <v>95.685000000000002</v>
      </c>
      <c r="AQ6" s="11">
        <f>IF(AG6&gt;0,AG6,"")</f>
        <v>12.5</v>
      </c>
      <c r="AR6" s="11">
        <f>IF(SUM(AE6:AH6)-AI6&gt;0,SUM(AE6:AH6)-AI6,"")</f>
        <v>53.11</v>
      </c>
      <c r="AS6" s="11">
        <f>IF(SUM(AP6,AR6)&gt;0,SUM(AP6,AR6),"")</f>
        <v>148.79500000000002</v>
      </c>
      <c r="AT6" s="42">
        <v>16.899999999999999</v>
      </c>
      <c r="AU6" s="42">
        <v>9.1</v>
      </c>
      <c r="AV6" s="42">
        <v>3.8</v>
      </c>
      <c r="AW6" s="42">
        <v>17.094999999999999</v>
      </c>
      <c r="AX6" s="42">
        <v>0</v>
      </c>
      <c r="AY6" s="42">
        <v>7.4</v>
      </c>
      <c r="AZ6" s="42">
        <v>4.4000000000000004</v>
      </c>
      <c r="BA6" s="42">
        <v>6.9</v>
      </c>
      <c r="BB6" s="42">
        <v>8.3949999999999996</v>
      </c>
      <c r="BC6" s="42">
        <v>0</v>
      </c>
      <c r="BD6" s="42"/>
      <c r="BE6" s="42"/>
      <c r="BF6" s="42"/>
      <c r="BG6" s="42"/>
      <c r="BH6" s="42"/>
      <c r="BI6" s="42">
        <v>5.4</v>
      </c>
      <c r="BJ6" s="42">
        <v>3.1</v>
      </c>
      <c r="BK6" s="42">
        <v>5.6</v>
      </c>
      <c r="BL6" s="42">
        <v>6.63</v>
      </c>
      <c r="BM6" s="42">
        <v>0</v>
      </c>
      <c r="BN6" s="46"/>
      <c r="BO6" s="14">
        <f>IF(SUM(AT6:AW6)-AX6&gt;0,SUM(AT6:AW6)-AX6,"")</f>
        <v>46.894999999999996</v>
      </c>
      <c r="BP6" s="14">
        <f>IF(BA6&gt;0,BA6,"")</f>
        <v>6.9</v>
      </c>
      <c r="BQ6" s="14">
        <f>IF(SUM(AY6:BB6)-BC6&gt;0,SUM(AY6:BB6)-BC6,"")</f>
        <v>27.095000000000002</v>
      </c>
      <c r="BR6" s="14" t="str">
        <f>IF(BF6&gt;0,BF6,"")</f>
        <v/>
      </c>
      <c r="BS6" s="14" t="str">
        <f>IF(SUM(BD6:BG6)-BH6&gt;0,SUM(BD6:BG6)-BH6,"")</f>
        <v/>
      </c>
      <c r="BT6" s="14">
        <f>IF(BO6="",IF(MAX(BQ6,BS6)&gt;0,MAX(BQ6,BS6),""),MAX(BQ6,BS6)+BO6)</f>
        <v>73.989999999999995</v>
      </c>
      <c r="BU6" s="14">
        <f>IF(BK6&gt;0,BK6,"")</f>
        <v>5.6</v>
      </c>
      <c r="BV6" s="14">
        <f>IF(SUM(BI6:BL6)-BM6&gt;0,SUM(BI6:BL6)-BM6,"")</f>
        <v>20.73</v>
      </c>
      <c r="BW6" s="14">
        <f>IF(SUM(BT6,BV6)&gt;0,SUM(BT6,BV6),"")</f>
        <v>94.72</v>
      </c>
      <c r="BX6" s="38">
        <v>14.8</v>
      </c>
      <c r="BY6" s="38">
        <v>9.1</v>
      </c>
      <c r="BZ6" s="38">
        <v>2.9</v>
      </c>
      <c r="CA6" s="38">
        <v>16.86</v>
      </c>
      <c r="CB6" s="38">
        <v>0</v>
      </c>
      <c r="CC6" s="38">
        <v>13.9</v>
      </c>
      <c r="CD6" s="38">
        <v>8.8000000000000007</v>
      </c>
      <c r="CE6" s="38">
        <v>14</v>
      </c>
      <c r="CF6" s="38">
        <v>15.96</v>
      </c>
      <c r="CG6" s="38">
        <v>0</v>
      </c>
      <c r="CH6" s="38"/>
      <c r="CI6" s="38"/>
      <c r="CJ6" s="38"/>
      <c r="CK6" s="38"/>
      <c r="CL6" s="38"/>
      <c r="CM6" s="38">
        <v>14.5</v>
      </c>
      <c r="CN6" s="38">
        <v>9.1</v>
      </c>
      <c r="CO6" s="38">
        <v>13.8</v>
      </c>
      <c r="CP6" s="38">
        <v>16.27</v>
      </c>
      <c r="CQ6" s="38">
        <v>0</v>
      </c>
      <c r="CR6" s="45"/>
      <c r="CS6" s="11">
        <f>IF(SUM(BX6:CA6)-CB6&gt;0,SUM(BX6:CA6)-CB6,"")</f>
        <v>43.66</v>
      </c>
      <c r="CT6" s="11">
        <f>IF(CE6&gt;0,CE6,"")</f>
        <v>14</v>
      </c>
      <c r="CU6" s="11">
        <f>IF(SUM(CC6:CF6)-CG6&gt;0,SUM(CC6:CF6)-CG6,"")</f>
        <v>52.660000000000004</v>
      </c>
      <c r="CV6" s="11" t="str">
        <f>IF(CJ6&gt;0,CJ6,"")</f>
        <v/>
      </c>
      <c r="CW6" s="11" t="str">
        <f>IF(SUM(CH6:CK6)-CL6&gt;0,SUM(CH6:CK6)-CL6,"")</f>
        <v/>
      </c>
      <c r="CX6" s="11">
        <f>IF(CS6="",IF(MAX(CU6,CW6)&gt;0,MAX(CU6,CW6),""),MAX(CU6,CW6)+CS6)</f>
        <v>96.32</v>
      </c>
      <c r="CY6" s="11">
        <f>IF(CO6&gt;0,CO6,"")</f>
        <v>13.8</v>
      </c>
      <c r="CZ6" s="11">
        <f>IF(SUM(CM6:CP6)-CQ6&gt;0,SUM(CM6:CP6)-CQ6,"")</f>
        <v>53.67</v>
      </c>
      <c r="DA6" s="11">
        <f>IF(SUM(CX6,CZ6)&gt;0,SUM(CX6,CZ6),"")</f>
        <v>149.99</v>
      </c>
      <c r="DB6" s="19" t="str">
        <f>IF(I6&gt;=0.001,IF(MAX(DU6,EQ6,FM6,GI6,HE6,IA6,IW6,JS6,KO6,LK6,MG6,NC6)-IF(I6="",0,I6)&gt;0.001,MAX(DU6,EQ6,FM6,GI6,HE6,IA6,IW6,JS6,KO6,LK6,MG6,NC6)-IF(I6="",0,I6),""),"")</f>
        <v/>
      </c>
      <c r="DC6" s="19" t="str">
        <f>IF(K6&gt;=0.001,IF(MAX(DX6,ET6,FP6,GL6,HH6,ID6,IZ6,JV6,KR6,LN6,MJ6,NF6)-IF(K6="",0,K6)&gt;0.001,MAX(DX6,ET6,FP6,GL6,HH6,ID6,IZ6,JV6,KR6,LN6,MJ6,NF6)-IF(K6="",0,K6),""),"")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11" t="str">
        <f>IF(FC6&gt;0,FC6,"")</f>
        <v/>
      </c>
      <c r="FL6" s="11" t="str">
        <f>IF(SUM(EV6:EY6)-EZ6&gt;0,SUM(EV6:EY6)-EZ6,"")</f>
        <v/>
      </c>
      <c r="FM6" s="11" t="str">
        <f>IF(SUM(FA6:FD6)-FE6&gt;0,SUM(FA6:FD6)-FE6,"")</f>
        <v/>
      </c>
      <c r="FN6" s="11" t="str">
        <f>IF(SUM(FL6:FM6)&gt;0,SUM(FL6:FM6),"")</f>
        <v/>
      </c>
      <c r="FO6" s="11" t="str">
        <f>IF(FH6&gt;0,FH6,"")</f>
        <v/>
      </c>
      <c r="FP6" s="11" t="str">
        <f>IF(SUM(FF6:FI6)-FJ6&gt;0,SUM(FF6:FI6)-FJ6,"")</f>
        <v/>
      </c>
      <c r="FQ6" s="11" t="str">
        <f>IF(SUM(FN6,FP6)&gt;0,SUM(FN6,FP6),"")</f>
        <v/>
      </c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8">
        <f>IF($CR6="P",BX6,(BX6+AT6)/2)</f>
        <v>15.85</v>
      </c>
      <c r="NI6" s="38">
        <f>IF($CR6="P",BY6,(BY6+AU6)/2)</f>
        <v>9.1</v>
      </c>
      <c r="NJ6" s="38">
        <f>IF($CR6="P",BZ6,(BZ6+AV6)/2)</f>
        <v>3.3499999999999996</v>
      </c>
      <c r="NK6" s="38">
        <f>IF($CR6="P",CA6,(CA6+AW6)/2)</f>
        <v>16.977499999999999</v>
      </c>
      <c r="NL6" s="38">
        <f>IF($CR6="P",CB6,(CB6+AX6)/2)</f>
        <v>0</v>
      </c>
      <c r="NM6" s="38">
        <f>IF($CR6="P",CC6,(CC6+AY6)/2)</f>
        <v>10.65</v>
      </c>
      <c r="NN6" s="38">
        <f>IF($CR6="P",CD6,(CD6+AZ6)/2)</f>
        <v>6.6000000000000005</v>
      </c>
      <c r="NO6" s="38">
        <f>IF($CR6="P",CE6,(CE6+BA6)/2)</f>
        <v>10.45</v>
      </c>
      <c r="NP6" s="38">
        <f>IF($CR6="P",CF6,(CF6+BB6)/2)</f>
        <v>12.1775</v>
      </c>
      <c r="NQ6" s="38">
        <f>IF($CR6="P",CG6,(CG6+BC6)/2)</f>
        <v>0</v>
      </c>
      <c r="NR6" s="38">
        <f>IF($CR6="P",CH6,(CH6+BD6)/2)</f>
        <v>0</v>
      </c>
      <c r="NS6" s="38">
        <f>IF($CR6="P",CI6,(CI6+BE6)/2)</f>
        <v>0</v>
      </c>
      <c r="NT6" s="38">
        <f>IF($CR6="P",CJ6,(CJ6+BF6)/2)</f>
        <v>0</v>
      </c>
      <c r="NU6" s="38">
        <f>IF($CR6="P",CK6,(CK6+BG6)/2)</f>
        <v>0</v>
      </c>
      <c r="NV6" s="38">
        <f>IF($CR6="P",CL6,(CL6+BH6)/2)</f>
        <v>0</v>
      </c>
      <c r="NW6" s="38">
        <f>IF($CR6="P",CM6,(CM6+BI6)/2)</f>
        <v>9.9499999999999993</v>
      </c>
      <c r="NX6" s="38">
        <f>IF($CR6="P",CN6,(CN6+BJ6)/2)</f>
        <v>6.1</v>
      </c>
      <c r="NY6" s="38">
        <f>IF($CR6="P",CO6,(CO6+BK6)/2)</f>
        <v>9.6999999999999993</v>
      </c>
      <c r="NZ6" s="38">
        <f>IF($CR6="P",CP6,(CP6+BL6)/2)</f>
        <v>11.45</v>
      </c>
      <c r="OA6" s="38">
        <f>IF($CR6="P",CQ6,(CQ6+BM6)/2)</f>
        <v>0</v>
      </c>
      <c r="OB6" s="45" t="s">
        <v>46</v>
      </c>
      <c r="OC6" s="11">
        <f>IF(SUM(NH6:NK6)-NL6&gt;0,SUM(NH6:NK6)-NL6,"")</f>
        <v>45.277499999999996</v>
      </c>
      <c r="OD6" s="11">
        <f>IF(NO6&gt;0,NO6,"")</f>
        <v>10.45</v>
      </c>
      <c r="OE6" s="11">
        <f>IF(SUM(NM6:NP6)-NQ6&gt;0,SUM(NM6:NP6)-NQ6,"")</f>
        <v>39.877499999999998</v>
      </c>
      <c r="OF6" s="11" t="str">
        <f>IF(NT6&gt;0,NT6,"")</f>
        <v/>
      </c>
      <c r="OG6" s="11" t="str">
        <f>IF(SUM(NR6:NU6)-NV6&gt;0,SUM(NR6:NU6)-NV6,"")</f>
        <v/>
      </c>
      <c r="OH6" s="11">
        <f>IF(OR(OC6&lt;&gt;"",OE6&lt;&gt;"",OG6&lt;&gt;""),OC6+MAX(OE6,OG6),"")</f>
        <v>85.155000000000001</v>
      </c>
      <c r="OI6" s="11">
        <f>IF(NY6&gt;0,NY6,"")</f>
        <v>9.6999999999999993</v>
      </c>
      <c r="OJ6" s="11">
        <f t="shared" si="0"/>
        <v>37.199999999999996</v>
      </c>
      <c r="OK6" s="11">
        <f t="shared" si="1"/>
        <v>122.35499999999999</v>
      </c>
    </row>
    <row r="7" spans="1:401" x14ac:dyDescent="0.2">
      <c r="A7" s="5" cm="1">
        <f t="array" ref="A7">IF(AND(F7="P",G7="P"),SUMPRODUCT((F$4:F$32="P")*(G$4:G$32="P")*(E$4:E$32&gt;E7))+1,IF(G7="P",SUMPRODUCT((F$4:F$32="")*(G$4:G$32="P")*(E$4:E$32&gt;E7))+1+SUMPRODUCT((F$4:F$32="P")*(G$4:G$32="P")),""))</f>
        <v>4</v>
      </c>
      <c r="B7" s="6" t="s">
        <v>99</v>
      </c>
      <c r="C7" s="7" t="s">
        <v>5</v>
      </c>
      <c r="D7" s="22">
        <v>2001</v>
      </c>
      <c r="E7" s="15">
        <f>SUM(I7:M7)+I7*0.0000001</f>
        <v>106.6750053895</v>
      </c>
      <c r="F7" s="3" t="str">
        <f>IF(OR(AND(AL7&gt;=AS$34,AM7&gt;=AS$38,AL7&lt;&gt;"",AJ7=""),AND(AN7&gt;=AS$34,AO7&gt;=AS$38,AN7&lt;&gt;"",AN7=""),AND(AQ7&gt;=AS$34,AR7&gt;=AS$38,AQ7&lt;&gt;"",AJ7=""),AND(BP7&gt;=BW$34,BQ7&gt;=BW$38,BP7&lt;&gt;"",BN7=""),AND(BR7&gt;=BW$34,BS7&gt;=BW$38,BR7&lt;&gt;"",BN7=""),AND(BU7&gt;=BW$34,BV7&gt;=BW$38,BU7&lt;&gt;"",BN7=""),AND(CT7&gt;=DA$34,CU7&gt;=DA$38,CT7&lt;&gt;"",CR7=""),AND(CV7&gt;=DA$34,CW7&gt;=DA$38,CV7&lt;&gt;"",CR7=""),AND(CY7&gt;=DA$34,CZ7&gt;=DA$38,CY7&lt;&gt;"",CR7=""),AND(DS7&gt;=DY$34,DU7&gt;=DY$38,DS7&lt;&gt;""),AND(DW7&gt;=DY$34,DX7&gt;=DY$38,DW7&lt;&gt;""),AND(EO7&gt;=EU$34,EQ7&gt;=EU$38,EO7&lt;&gt;""),AND(ES7&gt;=EU$34,ET7&gt;=EU$38,ES7&lt;&gt;""),AND(FK7&gt;=FQ$34,FM7&gt;=FQ$38,FK7&lt;&gt;""),AND(FO7&gt;=FQ$34,FP7&gt;=FQ$38,FO7&lt;&gt;""),AND(GG7&gt;=GM$34,GI7&gt;=GM$38,GG7&lt;&gt;""),AND(GK7&gt;=GM$34,GL7&gt;=GM$38,GK7&lt;&gt;""),AND(HC7&gt;=HI$34,HE7&gt;=HI$38,HC7&lt;&gt;""),AND(HG7&gt;=HI$34,HH7&gt;=HI$38,HG7&lt;&gt;""),AND(HY7&gt;=IE$34,IA7&gt;=IE$38,HY7&lt;&gt;""),AND(IC7&gt;=IE$34,ID7&gt;=IE$38,IC7&lt;&gt;""),AND(IU7&gt;=JA$34,IW7&gt;=JA$38,IU7&lt;&gt;""),AND(IY7&gt;=JA$34,IZ7&gt;=JA$38,IY7&lt;&gt;""),AND(JQ7&gt;=JW$34,JS7&gt;=JW$38,JQ7&lt;&gt;""),AND(JU7&gt;=JW$34,JV7&gt;=JW$38,JU7&lt;&gt;""),AND(KM7&gt;=KS$34,KO7&gt;=KS$38,KM7&lt;&gt;""),AND(KQ7&gt;=KS$34,KR7&gt;=KS$38,KQ7&lt;&gt;""),AND(LI7&gt;=LO$34,LK7&gt;=LO$38,LI7&lt;&gt;""),AND(LM7&gt;=LO$34,LN7&gt;=LO$38,LM7&lt;&gt;""),AND(ME7&gt;=MK$34,MG7&gt;=MK$38,ME7&lt;&gt;""),AND(MI7&gt;=MK$34,MJ7&gt;=MK$38,MI7&lt;&gt;""),AND(NA7&gt;=NG$34,NC7&gt;=NG$38,NA7&lt;&gt;""),AND(NE7&gt;=NG$34,NF7&gt;=NG$38,NE7&lt;&gt;"")),"P","")</f>
        <v>P</v>
      </c>
      <c r="G7" s="3" t="str">
        <f>IF(OR(AND(AM7&gt;=AS$38,AL7&lt;&gt;"",AJ7=""),AND(AO7&gt;=AS$38,AN7&lt;&gt;"",AN7=""),AND(AR7&gt;=AS$38,AQ7&lt;&gt;"",AJ7=""),AND(BQ7&gt;=BW$38,BP7&lt;&gt;"",BN7=""),AND(BS7&gt;=BW$38,BR7&lt;&gt;"",BN7=""),AND(BV7&gt;=BW$38,BU7&lt;&gt;"",BN7=""),AND(CU7&gt;=DA$38,CT7&lt;&gt;"",CR7=""),AND(CW7&gt;=DA$38,CV7&lt;&gt;"",CR7=""),AND(CZ7&gt;=DA$38,CY7&lt;&gt;"",CR7=""),AND(DU7&gt;=DY$38,DS7&lt;&gt;""),AND(DX7&gt;=DY$38,DW7&lt;&gt;""),AND(EQ7&gt;=EU$38,EO7&lt;&gt;""),AND(ET7&gt;=EU$38,ES7&lt;&gt;""),AND(FM7&gt;=FQ$38,FK7&lt;&gt;""),AND(FP7&gt;=FQ$38,FO7&lt;&gt;""),AND(GI7&gt;=GM$38,GG7&lt;&gt;""),AND(GL7&gt;=GM$38,GK7&lt;&gt;""),AND(HE7&gt;=HI$38,HC7&lt;&gt;""),AND(HH7&gt;=HI$38,HG7&lt;&gt;""),AND(IA7&gt;=IE$38,HY7&lt;&gt;""),AND(ID7&gt;=IE$38,IC7&lt;&gt;""),AND(IW7&gt;=JA$38,IU7&lt;&gt;""),AND(IZ7&gt;=JA$38,IY7&lt;&gt;""),AND(JS7&gt;=JW$38,JQ7&lt;&gt;""),AND(JV7&gt;=JW$38,JU7&lt;&gt;""),AND(KO7&gt;=KS$38,KM7&lt;&gt;""),AND(KR7&gt;=KS$38,KQ7&lt;&gt;""),AND(LK7&gt;=LO$38,LI7&lt;&gt;""),AND(LN7&gt;=LO$38,LM7&lt;&gt;""),AND(MG7&gt;=MK$38,ME7&lt;&gt;""),AND(MJ7&gt;=MK$38,MI7&lt;&gt;""),AND(NC7&gt;=NG$38,NA7&lt;&gt;""),AND(NF7&gt;=NG$38,NE7&lt;&gt;"")),"P","")</f>
        <v>P</v>
      </c>
      <c r="H7" s="67" t="str">
        <f>IF(F7="P","National Team",IF(G7="P","No DD",""))</f>
        <v>National Team</v>
      </c>
      <c r="I7" s="14">
        <f>MAX(AM7,AO7,AR7,BQ7,BS7,BV7,CU7,CW7,CZ7)</f>
        <v>53.894999999999996</v>
      </c>
      <c r="J7" s="14" t="str">
        <f>IF(I7=0,"",IF(OR(I7=CW7,I7=CU7,I7=CZ7),$BX$1,IF(OR(I7=BS7,I7=BQ7,I7=BV7),$AT$1,IF(OR(I7=AO7,I7=AM7,I7=AR7),$P$1,""))))</f>
        <v>2021 Elite Canada</v>
      </c>
      <c r="K7" s="14">
        <f>IF(COUNT(AM7,AO7,AR7,BQ7,BS7,BV7,CU7,CW7,CZ7)&gt;1,LARGE((AM7,AO7,AR7,BQ7,BS7,BV7,CU7,CW7,CZ7),2),0)</f>
        <v>52.78</v>
      </c>
      <c r="L7" s="14" t="str">
        <f>IF(K7=0,"",IF(OR(K7=CW7,K7=CU7,K7=CZ7),$BX$1,IF(OR(K7=BS7,K7=BQ7,K7=BV7),$AT$1,IF(OR(K7=AO7,K7=AM7,K7=AR7),$P$1,""))))</f>
        <v>2021 Canadian Championships</v>
      </c>
      <c r="M7" s="14" t="str">
        <f>IF(MAX(DB7,DC7)&gt;0,MAX(DB7,DC7),"")</f>
        <v/>
      </c>
      <c r="N7" s="20" t="str">
        <f>IF(M7="","",IF(M7=#REF!,"(Vol 1)",IF(M7=DB7,"(Vol 2)",IF(M7=#REF!,"(Prelim)",IF(M7=DC7,"(Final)")))))</f>
        <v/>
      </c>
      <c r="O7" s="14" t="str">
        <f>IF(M7="","",IF(M7=#REF!,IF(M7+IF(#REF!="",0,#REF!)=NB7,$ML$1,IF(M7+IF(#REF!="",0,#REF!)=MF7,$LP$1,IF(M7+IF(#REF!="",0,#REF!)=LJ7,$KT$1,IF(M7+IF(#REF!="",0,#REF!)=KN7,$JX$1,IF(M7+IF(#REF!="",0,#REF!)=JR7,$JB$1,IF(M7+IF(#REF!="",0,#REF!)=IV7,$IF$1,IF(M7+IF(#REF!="",0,#REF!)=HZ7,$HJ$1,IF(M7+IF(#REF!="",0,#REF!)=HD7,$GN$1,IF(M7+IF(#REF!="",0,#REF!)=GH7,$FR$1,IF(M7+IF(#REF!="",0,#REF!)=FL7,$EV$1,IF(M7+IF(#REF!="",0,#REF!)=EP7,$DZ$1,IF(M7+IF(#REF!="",0,#REF!)=DT7,$DD$1)))))))))))),IF(M7=DB7,IF(M7+IF(I7="",0,I7)=NC7,$ML$1,IF(M7+IF(I7="",0,I7)=MG7,$LP$1,IF(M7+IF(I7="",0,I7)=LK7,$KT$1,IF(M7+IF(I7="",0,I7)=KO7,$JX$1,IF(M7+IF(I7="",0,I7)=JS7,$JB$1,IF(M7+IF(I7="",0,I7)=IW7,$IF$1,IF(M7+IF(I7="",0,I7)=IA7,$HJ$1,IF(M7+IF(I7="",0,I7)=HE7,$GN$1,IF(M7+IF(I7="",0,I7)=GI7,$FR$1,IF(M7+IF(I7="",0,I7)=FM7,$EV$1,IF(M7+IF(I7="",0,I7)=EQ7,$DZ$1,IF(M7+IF(I7="",0,I7)=DU7,$DD$1)))))))))))),IF(M7=#REF!,IF(M7+IF(#REF!="",0,#REF!)=ND7,$ML$1,IF(M7+IF(#REF!="",0,#REF!)=MH7,$LP$1,IF(M7+IF(#REF!="",0,#REF!)=LL7,$KT$1,IF(M7+IF(#REF!="",0,#REF!)=KP7,$JX$1,IF(M7+IF(#REF!="",0,#REF!)=JT7,$JB$1,IF(M7+IF(#REF!="",0,#REF!)=IX7,$IF$1,IF(M7+IF(#REF!="",0,#REF!)=IB7,$HJ$1,IF(M7+IF(#REF!="",0,#REF!)=HF7,$GN$1,IF(M7+IF(#REF!="",0,#REF!)=GJ7,$FR$1,IF(M7+IF(#REF!="",0,#REF!)=FN7,$EV$1,IF(M7+IF(#REF!="",0,#REF!)=ER7,$DZ$1,IF(M7+IF(#REF!="",0,#REF!)=DV7,$DD$1)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))</f>
        <v/>
      </c>
      <c r="P7" s="38">
        <v>14.8</v>
      </c>
      <c r="Q7" s="38">
        <v>9</v>
      </c>
      <c r="R7" s="38">
        <v>4.5</v>
      </c>
      <c r="S7" s="38">
        <v>16.695</v>
      </c>
      <c r="T7" s="38">
        <v>0</v>
      </c>
      <c r="U7" s="38">
        <v>14</v>
      </c>
      <c r="V7" s="38">
        <v>9.1</v>
      </c>
      <c r="W7" s="38">
        <v>14.4</v>
      </c>
      <c r="X7" s="38">
        <v>16.395</v>
      </c>
      <c r="Y7" s="38">
        <v>0</v>
      </c>
      <c r="Z7" s="38">
        <v>2.8</v>
      </c>
      <c r="AA7" s="38">
        <v>1.7</v>
      </c>
      <c r="AB7" s="38">
        <v>3.2</v>
      </c>
      <c r="AC7" s="38">
        <v>3.4550000000000001</v>
      </c>
      <c r="AD7" s="38">
        <v>0</v>
      </c>
      <c r="AE7" s="38">
        <v>4.3</v>
      </c>
      <c r="AF7" s="38">
        <v>3</v>
      </c>
      <c r="AG7" s="38">
        <v>3.8</v>
      </c>
      <c r="AH7" s="38">
        <v>4.95</v>
      </c>
      <c r="AI7" s="38">
        <v>0</v>
      </c>
      <c r="AJ7" s="45"/>
      <c r="AK7" s="11">
        <f>IF(SUM(P7:S7)-T7&gt;0,SUM(P7:S7)-T7,"")</f>
        <v>44.995000000000005</v>
      </c>
      <c r="AL7" s="11">
        <f>IF(W7&gt;0,W7,"")</f>
        <v>14.4</v>
      </c>
      <c r="AM7" s="11">
        <f>IF(SUM(U7:X7)-Y7&gt;0,SUM(U7:X7)-Y7,"")</f>
        <v>53.894999999999996</v>
      </c>
      <c r="AN7" s="11">
        <f>IF(AB7&gt;0,AB7,"")</f>
        <v>3.2</v>
      </c>
      <c r="AO7" s="11">
        <f>IF(SUM(Z7:AC7)-AD7&gt;0,SUM(Z7:AC7)-AD7,"")</f>
        <v>11.155000000000001</v>
      </c>
      <c r="AP7" s="11">
        <f>IF(AK7="",IF(MAX(AM7,AO7)&gt;0,MAX(AM7,AO7),""),MAX(AM7,AO7)+AK7)</f>
        <v>98.89</v>
      </c>
      <c r="AQ7" s="11">
        <f>IF(AG7&gt;0,AG7,"")</f>
        <v>3.8</v>
      </c>
      <c r="AR7" s="11">
        <f>IF(SUM(AE7:AH7)-AI7&gt;0,SUM(AE7:AH7)-AI7,"")</f>
        <v>16.05</v>
      </c>
      <c r="AS7" s="11">
        <f>IF(SUM(AP7,AR7)&gt;0,SUM(AP7,AR7),"")</f>
        <v>114.94</v>
      </c>
      <c r="AT7" s="42">
        <v>17.899999999999999</v>
      </c>
      <c r="AU7" s="42">
        <v>9.6999999999999993</v>
      </c>
      <c r="AV7" s="42">
        <v>3.7</v>
      </c>
      <c r="AW7" s="42">
        <v>16.79</v>
      </c>
      <c r="AX7" s="42">
        <v>0</v>
      </c>
      <c r="AY7" s="42">
        <v>6.6</v>
      </c>
      <c r="AZ7" s="42">
        <v>4.7</v>
      </c>
      <c r="BA7" s="42">
        <v>6.8</v>
      </c>
      <c r="BB7" s="42">
        <v>8.0250000000000004</v>
      </c>
      <c r="BC7" s="42">
        <v>0</v>
      </c>
      <c r="BD7" s="42">
        <v>13.8</v>
      </c>
      <c r="BE7" s="42">
        <v>8.8000000000000007</v>
      </c>
      <c r="BF7" s="42">
        <v>14.2</v>
      </c>
      <c r="BG7" s="42">
        <v>15.98</v>
      </c>
      <c r="BH7" s="42">
        <v>0</v>
      </c>
      <c r="BI7" s="42">
        <v>12.2</v>
      </c>
      <c r="BJ7" s="42">
        <v>7.9</v>
      </c>
      <c r="BK7" s="42">
        <v>11.9</v>
      </c>
      <c r="BL7" s="42">
        <v>14.44</v>
      </c>
      <c r="BM7" s="42">
        <v>0</v>
      </c>
      <c r="BN7" s="46"/>
      <c r="BO7" s="14">
        <f>IF(SUM(AT7:AW7)-AX7&gt;0,SUM(AT7:AW7)-AX7,"")</f>
        <v>48.089999999999996</v>
      </c>
      <c r="BP7" s="14">
        <f>IF(BA7&gt;0,BA7,"")</f>
        <v>6.8</v>
      </c>
      <c r="BQ7" s="14">
        <f>IF(SUM(AY7:BB7)-BC7&gt;0,SUM(AY7:BB7)-BC7,"")</f>
        <v>26.125</v>
      </c>
      <c r="BR7" s="14">
        <f>IF(BF7&gt;0,BF7,"")</f>
        <v>14.2</v>
      </c>
      <c r="BS7" s="14">
        <f>IF(SUM(BD7:BG7)-BH7&gt;0,SUM(BD7:BG7)-BH7,"")</f>
        <v>52.78</v>
      </c>
      <c r="BT7" s="14">
        <f>IF(BO7="",IF(MAX(BQ7,BS7)&gt;0,MAX(BQ7,BS7),""),MAX(BQ7,BS7)+BO7)</f>
        <v>100.87</v>
      </c>
      <c r="BU7" s="14">
        <f>IF(BK7&gt;0,BK7,"")</f>
        <v>11.9</v>
      </c>
      <c r="BV7" s="14">
        <f>IF(SUM(BI7:BL7)-BM7&gt;0,SUM(BI7:BL7)-BM7,"")</f>
        <v>46.44</v>
      </c>
      <c r="BW7" s="14">
        <f>IF(SUM(BT7,BV7)&gt;0,SUM(BT7,BV7),"")</f>
        <v>147.31</v>
      </c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45"/>
      <c r="CS7" s="11" t="str">
        <f>IF(SUM(BX7:CA7)-CB7&gt;0,SUM(BX7:CA7)-CB7,"")</f>
        <v/>
      </c>
      <c r="CT7" s="11" t="str">
        <f>IF(CE7&gt;0,CE7,"")</f>
        <v/>
      </c>
      <c r="CU7" s="11" t="str">
        <f>IF(SUM(CC7:CF7)-CG7&gt;0,SUM(CC7:CF7)-CG7,"")</f>
        <v/>
      </c>
      <c r="CV7" s="11" t="str">
        <f>IF(CJ7&gt;0,CJ7,"")</f>
        <v/>
      </c>
      <c r="CW7" s="11" t="str">
        <f>IF(SUM(CH7:CK7)-CL7&gt;0,SUM(CH7:CK7)-CL7,"")</f>
        <v/>
      </c>
      <c r="CX7" s="11" t="str">
        <f>IF(CS7="",IF(MAX(CU7,CW7)&gt;0,MAX(CU7,CW7),""),MAX(CU7,CW7)+CS7)</f>
        <v/>
      </c>
      <c r="CY7" s="11" t="str">
        <f>IF(CO7&gt;0,CO7,"")</f>
        <v/>
      </c>
      <c r="CZ7" s="11" t="str">
        <f>IF(SUM(CM7:CP7)-CQ7&gt;0,SUM(CM7:CP7)-CQ7,"")</f>
        <v/>
      </c>
      <c r="DA7" s="11" t="str">
        <f>IF(SUM(CX7,CZ7)&gt;0,SUM(CX7,CZ7),"")</f>
        <v/>
      </c>
      <c r="DB7" s="19" t="str">
        <f>IF(I7&gt;=0.001,IF(MAX(DU7,EQ7,FM7,GI7,HE7,IA7,IW7,JS7,KO7,LK7,MG7,NC7)-IF(I7="",0,I7)&gt;0.001,MAX(DU7,EQ7,FM7,GI7,HE7,IA7,IW7,JS7,KO7,LK7,MG7,NC7)-IF(I7="",0,I7),""),"")</f>
        <v/>
      </c>
      <c r="DC7" s="19" t="str">
        <f>IF(K7&gt;=0.001,IF(MAX(DX7,ET7,FP7,GL7,HH7,ID7,IZ7,JV7,KR7,LN7,MJ7,NF7)-IF(K7="",0,K7)&gt;0.001,MAX(DX7,ET7,FP7,GL7,HH7,ID7,IZ7,JV7,KR7,LN7,MJ7,NF7)-IF(K7="",0,K7),""),"")</f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11" t="str">
        <f>IF(FC7&gt;0,FC7,"")</f>
        <v/>
      </c>
      <c r="FL7" s="11" t="str">
        <f>IF(SUM(EV7:EY7)-EZ7&gt;0,SUM(EV7:EY7)-EZ7,"")</f>
        <v/>
      </c>
      <c r="FM7" s="11" t="str">
        <f>IF(SUM(FA7:FD7)-FE7&gt;0,SUM(FA7:FD7)-FE7,"")</f>
        <v/>
      </c>
      <c r="FN7" s="11" t="str">
        <f>IF(SUM(FL7:FM7)&gt;0,SUM(FL7:FM7),"")</f>
        <v/>
      </c>
      <c r="FO7" s="11" t="str">
        <f>IF(FH7&gt;0,FH7,"")</f>
        <v/>
      </c>
      <c r="FP7" s="11" t="str">
        <f>IF(SUM(FF7:FI7)-FJ7&gt;0,SUM(FF7:FI7)-FJ7,"")</f>
        <v/>
      </c>
      <c r="FQ7" s="11" t="str">
        <f>IF(SUM(FN7,FP7)&gt;0,SUM(FN7,FP7),"")</f>
        <v/>
      </c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5"/>
      <c r="LQ7" s="25"/>
      <c r="LR7" s="25"/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8">
        <f>IF($CR7="P",BX7,(BX7+AT7)/2)</f>
        <v>8.9499999999999993</v>
      </c>
      <c r="NI7" s="38">
        <f>IF($CR7="P",BY7,(BY7+AU7)/2)</f>
        <v>4.8499999999999996</v>
      </c>
      <c r="NJ7" s="38">
        <f>IF($CR7="P",BZ7,(BZ7+AV7)/2)</f>
        <v>1.85</v>
      </c>
      <c r="NK7" s="38">
        <f>IF($CR7="P",CA7,(CA7+AW7)/2)</f>
        <v>8.3949999999999996</v>
      </c>
      <c r="NL7" s="38">
        <f>IF($CR7="P",CB7,(CB7+AX7)/2)</f>
        <v>0</v>
      </c>
      <c r="NM7" s="38">
        <f>IF($CR7="P",CC7,(CC7+AY7)/2)</f>
        <v>3.3</v>
      </c>
      <c r="NN7" s="38">
        <f>IF($CR7="P",CD7,(CD7+AZ7)/2)</f>
        <v>2.35</v>
      </c>
      <c r="NO7" s="38">
        <f>IF($CR7="P",CE7,(CE7+BA7)/2)</f>
        <v>3.4</v>
      </c>
      <c r="NP7" s="38">
        <f>IF($CR7="P",CF7,(CF7+BB7)/2)</f>
        <v>4.0125000000000002</v>
      </c>
      <c r="NQ7" s="38">
        <f>IF($CR7="P",CG7,(CG7+BC7)/2)</f>
        <v>0</v>
      </c>
      <c r="NR7" s="38">
        <f>IF($CR7="P",CH7,(CH7+BD7)/2)</f>
        <v>6.9</v>
      </c>
      <c r="NS7" s="38">
        <f>IF($CR7="P",CI7,(CI7+BE7)/2)</f>
        <v>4.4000000000000004</v>
      </c>
      <c r="NT7" s="38">
        <f>IF($CR7="P",CJ7,(CJ7+BF7)/2)</f>
        <v>7.1</v>
      </c>
      <c r="NU7" s="38">
        <f>IF($CR7="P",CK7,(CK7+BG7)/2)</f>
        <v>7.99</v>
      </c>
      <c r="NV7" s="38">
        <f>IF($CR7="P",CL7,(CL7+BH7)/2)</f>
        <v>0</v>
      </c>
      <c r="NW7" s="38">
        <f>IF($CR7="P",CM7,(CM7+BI7)/2)</f>
        <v>6.1</v>
      </c>
      <c r="NX7" s="38">
        <f>IF($CR7="P",CN7,(CN7+BJ7)/2)</f>
        <v>3.95</v>
      </c>
      <c r="NY7" s="38">
        <f>IF($CR7="P",CO7,(CO7+BK7)/2)</f>
        <v>5.95</v>
      </c>
      <c r="NZ7" s="38">
        <f>IF($CR7="P",CP7,(CP7+BL7)/2)</f>
        <v>7.22</v>
      </c>
      <c r="OA7" s="38">
        <f>IF($CR7="P",CQ7,(CQ7+BM7)/2)</f>
        <v>0</v>
      </c>
      <c r="OB7" s="45" t="s">
        <v>46</v>
      </c>
      <c r="OC7" s="11">
        <f>IF(SUM(NH7:NK7)-NL7&gt;0,SUM(NH7:NK7)-NL7,"")</f>
        <v>24.044999999999998</v>
      </c>
      <c r="OD7" s="11">
        <f>IF(NO7&gt;0,NO7,"")</f>
        <v>3.4</v>
      </c>
      <c r="OE7" s="11">
        <f>IF(SUM(NM7:NP7)-NQ7&gt;0,SUM(NM7:NP7)-NQ7,"")</f>
        <v>13.0625</v>
      </c>
      <c r="OF7" s="11">
        <f>IF(NT7&gt;0,NT7,"")</f>
        <v>7.1</v>
      </c>
      <c r="OG7" s="11">
        <f>IF(SUM(NR7:NU7)-NV7&gt;0,SUM(NR7:NU7)-NV7,"")</f>
        <v>26.39</v>
      </c>
      <c r="OH7" s="11">
        <f>IF(OR(OC7&lt;&gt;"",OE7&lt;&gt;"",OG7&lt;&gt;""),OC7+MAX(OE7,OG7),"")</f>
        <v>50.435000000000002</v>
      </c>
      <c r="OI7" s="11">
        <f>IF(NY7&gt;0,NY7,"")</f>
        <v>5.95</v>
      </c>
      <c r="OJ7" s="11">
        <f t="shared" si="0"/>
        <v>23.22</v>
      </c>
      <c r="OK7" s="11">
        <f t="shared" si="1"/>
        <v>73.655000000000001</v>
      </c>
    </row>
    <row r="8" spans="1:401" x14ac:dyDescent="0.2">
      <c r="A8" s="5" cm="1">
        <f t="array" ref="A8">IF(AND(F8="P",G8="P"),SUMPRODUCT((F$4:F$32="P")*(G$4:G$32="P")*(E$4:E$32&gt;E8))+1,IF(G8="P",SUMPRODUCT((F$4:F$32="")*(G$4:G$32="P")*(E$4:E$32&gt;E8))+1+SUMPRODUCT((F$4:F$32="P")*(G$4:G$32="P")),""))</f>
        <v>5</v>
      </c>
      <c r="B8" s="6" t="s">
        <v>67</v>
      </c>
      <c r="C8" s="7" t="s">
        <v>3</v>
      </c>
      <c r="D8" s="7">
        <v>2003</v>
      </c>
      <c r="E8" s="15">
        <f>SUM(I8:M8)+I8*0.0000001</f>
        <v>106.67500535300002</v>
      </c>
      <c r="F8" s="3" t="str">
        <f>IF(OR(AND(AL8&gt;=AS$34,AM8&gt;=AS$38,AL8&lt;&gt;"",AJ8=""),AND(AN8&gt;=AS$34,AO8&gt;=AS$38,AN8&lt;&gt;"",AN8=""),AND(AQ8&gt;=AS$34,AR8&gt;=AS$38,AQ8&lt;&gt;"",AJ8=""),AND(BP8&gt;=BW$34,BQ8&gt;=BW$38,BP8&lt;&gt;"",BN8=""),AND(BR8&gt;=BW$34,BS8&gt;=BW$38,BR8&lt;&gt;"",BN8=""),AND(BU8&gt;=BW$34,BV8&gt;=BW$38,BU8&lt;&gt;"",BN8=""),AND(CT8&gt;=DA$34,CU8&gt;=DA$38,CT8&lt;&gt;"",CR8=""),AND(CV8&gt;=DA$34,CW8&gt;=DA$38,CV8&lt;&gt;"",CR8=""),AND(CY8&gt;=DA$34,CZ8&gt;=DA$38,CY8&lt;&gt;"",CR8=""),AND(DS8&gt;=DY$34,DU8&gt;=DY$38,DS8&lt;&gt;""),AND(DW8&gt;=DY$34,DX8&gt;=DY$38,DW8&lt;&gt;""),AND(EO8&gt;=EU$34,EQ8&gt;=EU$38,EO8&lt;&gt;""),AND(ES8&gt;=EU$34,ET8&gt;=EU$38,ES8&lt;&gt;""),AND(FK8&gt;=FQ$34,FM8&gt;=FQ$38,FK8&lt;&gt;""),AND(FO8&gt;=FQ$34,FP8&gt;=FQ$38,FO8&lt;&gt;""),AND(GG8&gt;=GM$34,GI8&gt;=GM$38,GG8&lt;&gt;""),AND(GK8&gt;=GM$34,GL8&gt;=GM$38,GK8&lt;&gt;""),AND(HC8&gt;=HI$34,HE8&gt;=HI$38,HC8&lt;&gt;""),AND(HG8&gt;=HI$34,HH8&gt;=HI$38,HG8&lt;&gt;""),AND(HY8&gt;=IE$34,IA8&gt;=IE$38,HY8&lt;&gt;""),AND(IC8&gt;=IE$34,ID8&gt;=IE$38,IC8&lt;&gt;""),AND(IU8&gt;=JA$34,IW8&gt;=JA$38,IU8&lt;&gt;""),AND(IY8&gt;=JA$34,IZ8&gt;=JA$38,IY8&lt;&gt;""),AND(JQ8&gt;=JW$34,JS8&gt;=JW$38,JQ8&lt;&gt;""),AND(JU8&gt;=JW$34,JV8&gt;=JW$38,JU8&lt;&gt;""),AND(KM8&gt;=KS$34,KO8&gt;=KS$38,KM8&lt;&gt;""),AND(KQ8&gt;=KS$34,KR8&gt;=KS$38,KQ8&lt;&gt;""),AND(LI8&gt;=LO$34,LK8&gt;=LO$38,LI8&lt;&gt;""),AND(LM8&gt;=LO$34,LN8&gt;=LO$38,LM8&lt;&gt;""),AND(ME8&gt;=MK$34,MG8&gt;=MK$38,ME8&lt;&gt;""),AND(MI8&gt;=MK$34,MJ8&gt;=MK$38,MI8&lt;&gt;""),AND(NA8&gt;=NG$34,NC8&gt;=NG$38,NA8&lt;&gt;""),AND(NE8&gt;=NG$34,NF8&gt;=NG$38,NE8&lt;&gt;"")),"P","")</f>
        <v>P</v>
      </c>
      <c r="G8" s="3" t="str">
        <f>IF(OR(AND(AM8&gt;=AS$38,AL8&lt;&gt;"",AJ8=""),AND(AO8&gt;=AS$38,AN8&lt;&gt;"",AN8=""),AND(AR8&gt;=AS$38,AQ8&lt;&gt;"",AJ8=""),AND(BQ8&gt;=BW$38,BP8&lt;&gt;"",BN8=""),AND(BS8&gt;=BW$38,BR8&lt;&gt;"",BN8=""),AND(BV8&gt;=BW$38,BU8&lt;&gt;"",BN8=""),AND(CU8&gt;=DA$38,CT8&lt;&gt;"",CR8=""),AND(CW8&gt;=DA$38,CV8&lt;&gt;"",CR8=""),AND(CZ8&gt;=DA$38,CY8&lt;&gt;"",CR8=""),AND(DU8&gt;=DY$38,DS8&lt;&gt;""),AND(DX8&gt;=DY$38,DW8&lt;&gt;""),AND(EQ8&gt;=EU$38,EO8&lt;&gt;""),AND(ET8&gt;=EU$38,ES8&lt;&gt;""),AND(FM8&gt;=FQ$38,FK8&lt;&gt;""),AND(FP8&gt;=FQ$38,FO8&lt;&gt;""),AND(GI8&gt;=GM$38,GG8&lt;&gt;""),AND(GL8&gt;=GM$38,GK8&lt;&gt;""),AND(HE8&gt;=HI$38,HC8&lt;&gt;""),AND(HH8&gt;=HI$38,HG8&lt;&gt;""),AND(IA8&gt;=IE$38,HY8&lt;&gt;""),AND(ID8&gt;=IE$38,IC8&lt;&gt;""),AND(IW8&gt;=JA$38,IU8&lt;&gt;""),AND(IZ8&gt;=JA$38,IY8&lt;&gt;""),AND(JS8&gt;=JW$38,JQ8&lt;&gt;""),AND(JV8&gt;=JW$38,JU8&lt;&gt;""),AND(KO8&gt;=KS$38,KM8&lt;&gt;""),AND(KR8&gt;=KS$38,KQ8&lt;&gt;""),AND(LK8&gt;=LO$38,LI8&lt;&gt;""),AND(LN8&gt;=LO$38,LM8&lt;&gt;""),AND(MG8&gt;=MK$38,ME8&lt;&gt;""),AND(MJ8&gt;=MK$38,MI8&lt;&gt;""),AND(NC8&gt;=NG$38,NA8&lt;&gt;""),AND(NF8&gt;=NG$38,NE8&lt;&gt;"")),"P","")</f>
        <v>P</v>
      </c>
      <c r="H8" s="67" t="str">
        <f>IF(F8="P","National Team",IF(G8="P","No DD",""))</f>
        <v>National Team</v>
      </c>
      <c r="I8" s="14">
        <f>MAX(AM8,AO8,AR8,BQ8,BS8,BV8,CU8,CW8,CZ8)</f>
        <v>53.53</v>
      </c>
      <c r="J8" s="14" t="str">
        <f>IF(I8=0,"",IF(OR(I8=CW8,I8=CU8,I8=CZ8),$BX$1,IF(OR(I8=BS8,I8=BQ8,I8=BV8),$AT$1,IF(OR(I8=AO8,I8=AM8,I8=AR8),$P$1,""))))</f>
        <v>2021 Canadian Championships</v>
      </c>
      <c r="K8" s="14">
        <f>IF(COUNT(AM8,AO8,AR8,BQ8,BS8,BV8,CU8,CW8,CZ8)&gt;1,LARGE((AM8,AO8,AR8,BQ8,BS8,BV8,CU8,CW8,CZ8),2),0)</f>
        <v>53.145000000000003</v>
      </c>
      <c r="L8" s="14" t="str">
        <f>IF(K8=0,"",IF(OR(K8=CW8,K8=CU8,K8=CZ8),$BX$1,IF(OR(K8=BS8,K8=BQ8,K8=BV8),$AT$1,IF(OR(K8=AO8,K8=AM8,K8=AR8),$P$1,""))))</f>
        <v>2021 Elite Canada</v>
      </c>
      <c r="M8" s="14" t="str">
        <f>IF(MAX(DB8,DC8)&gt;0,MAX(DB8,DC8),"")</f>
        <v/>
      </c>
      <c r="N8" s="20" t="str">
        <f>IF(M8="","",IF(M8=#REF!,"(Vol 1)",IF(M8=DB8,"(Vol 2)",IF(M8=#REF!,"(Prelim)",IF(M8=DC8,"(Final)")))))</f>
        <v/>
      </c>
      <c r="O8" s="14" t="str">
        <f>IF(M8="","",IF(M8=#REF!,IF(M8+IF(#REF!="",0,#REF!)=NB8,$ML$1,IF(M8+IF(#REF!="",0,#REF!)=MF8,$LP$1,IF(M8+IF(#REF!="",0,#REF!)=LJ8,$KT$1,IF(M8+IF(#REF!="",0,#REF!)=KN8,$JX$1,IF(M8+IF(#REF!="",0,#REF!)=JR8,$JB$1,IF(M8+IF(#REF!="",0,#REF!)=IV8,$IF$1,IF(M8+IF(#REF!="",0,#REF!)=HZ8,$HJ$1,IF(M8+IF(#REF!="",0,#REF!)=HD8,$GN$1,IF(M8+IF(#REF!="",0,#REF!)=GH8,$FR$1,IF(M8+IF(#REF!="",0,#REF!)=FL8,$EV$1,IF(M8+IF(#REF!="",0,#REF!)=EP8,$DZ$1,IF(M8+IF(#REF!="",0,#REF!)=DT8,$DD$1)))))))))))),IF(M8=DB8,IF(M8+IF(I8="",0,I8)=NC8,$ML$1,IF(M8+IF(I8="",0,I8)=MG8,$LP$1,IF(M8+IF(I8="",0,I8)=LK8,$KT$1,IF(M8+IF(I8="",0,I8)=KO8,$JX$1,IF(M8+IF(I8="",0,I8)=JS8,$JB$1,IF(M8+IF(I8="",0,I8)=IW8,$IF$1,IF(M8+IF(I8="",0,I8)=IA8,$HJ$1,IF(M8+IF(I8="",0,I8)=HE8,$GN$1,IF(M8+IF(I8="",0,I8)=GI8,$FR$1,IF(M8+IF(I8="",0,I8)=FM8,$EV$1,IF(M8+IF(I8="",0,I8)=EQ8,$DZ$1,IF(M8+IF(I8="",0,I8)=DU8,$DD$1)))))))))))),IF(M8=#REF!,IF(M8+IF(#REF!="",0,#REF!)=ND8,$ML$1,IF(M8+IF(#REF!="",0,#REF!)=MH8,$LP$1,IF(M8+IF(#REF!="",0,#REF!)=LL8,$KT$1,IF(M8+IF(#REF!="",0,#REF!)=KP8,$JX$1,IF(M8+IF(#REF!="",0,#REF!)=JT8,$JB$1,IF(M8+IF(#REF!="",0,#REF!)=IX8,$IF$1,IF(M8+IF(#REF!="",0,#REF!)=IB8,$HJ$1,IF(M8+IF(#REF!="",0,#REF!)=HF8,$GN$1,IF(M8+IF(#REF!="",0,#REF!)=GJ8,$FR$1,IF(M8+IF(#REF!="",0,#REF!)=FN8,$EV$1,IF(M8+IF(#REF!="",0,#REF!)=ER8,$DZ$1,IF(M8+IF(#REF!="",0,#REF!)=DV8,$DD$1)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))</f>
        <v/>
      </c>
      <c r="P8" s="38">
        <v>15.4</v>
      </c>
      <c r="Q8" s="38">
        <v>8.9</v>
      </c>
      <c r="R8" s="38">
        <v>5.2</v>
      </c>
      <c r="S8" s="38">
        <v>16.46</v>
      </c>
      <c r="T8" s="38">
        <v>0</v>
      </c>
      <c r="U8" s="38">
        <v>14</v>
      </c>
      <c r="V8" s="38">
        <v>8.8000000000000007</v>
      </c>
      <c r="W8" s="38">
        <v>14.4</v>
      </c>
      <c r="X8" s="38">
        <v>15.945</v>
      </c>
      <c r="Y8" s="38">
        <v>0</v>
      </c>
      <c r="Z8" s="38">
        <v>13.2</v>
      </c>
      <c r="AA8" s="38">
        <v>8.6999999999999993</v>
      </c>
      <c r="AB8" s="38">
        <v>14.4</v>
      </c>
      <c r="AC8" s="38">
        <v>15.88</v>
      </c>
      <c r="AD8" s="38">
        <v>0</v>
      </c>
      <c r="AE8" s="38">
        <v>10.8</v>
      </c>
      <c r="AF8" s="38">
        <v>8.3000000000000007</v>
      </c>
      <c r="AG8" s="38">
        <v>14.4</v>
      </c>
      <c r="AH8" s="38">
        <v>16.024999999999999</v>
      </c>
      <c r="AI8" s="38">
        <v>0</v>
      </c>
      <c r="AJ8" s="45"/>
      <c r="AK8" s="11">
        <f>IF(SUM(P8:S8)-T8&gt;0,SUM(P8:S8)-T8,"")</f>
        <v>45.96</v>
      </c>
      <c r="AL8" s="11">
        <f>IF(W8&gt;0,W8,"")</f>
        <v>14.4</v>
      </c>
      <c r="AM8" s="11">
        <f>IF(SUM(U8:X8)-Y8&gt;0,SUM(U8:X8)-Y8,"")</f>
        <v>53.145000000000003</v>
      </c>
      <c r="AN8" s="11">
        <f>IF(AB8&gt;0,AB8,"")</f>
        <v>14.4</v>
      </c>
      <c r="AO8" s="11">
        <f>IF(SUM(Z8:AC8)-AD8&gt;0,SUM(Z8:AC8)-AD8,"")</f>
        <v>52.18</v>
      </c>
      <c r="AP8" s="11">
        <f>IF(AK8="",IF(MAX(AM8,AO8)&gt;0,MAX(AM8,AO8),""),MAX(AM8,AO8)+AK8)</f>
        <v>99.105000000000004</v>
      </c>
      <c r="AQ8" s="11">
        <f>IF(AG8&gt;0,AG8,"")</f>
        <v>14.4</v>
      </c>
      <c r="AR8" s="11">
        <f>IF(SUM(AE8:AH8)-AI8&gt;0,SUM(AE8:AH8)-AI8,"")</f>
        <v>49.524999999999999</v>
      </c>
      <c r="AS8" s="11">
        <f>IF(SUM(AP8,AR8)&gt;0,SUM(AP8,AR8),"")</f>
        <v>148.63</v>
      </c>
      <c r="AT8" s="42">
        <v>15.4</v>
      </c>
      <c r="AU8" s="42">
        <v>8.1999999999999993</v>
      </c>
      <c r="AV8" s="42">
        <v>3.8</v>
      </c>
      <c r="AW8" s="42">
        <v>14.565</v>
      </c>
      <c r="AX8" s="42">
        <v>0</v>
      </c>
      <c r="AY8" s="42">
        <v>14.3</v>
      </c>
      <c r="AZ8" s="42">
        <v>9</v>
      </c>
      <c r="BA8" s="42">
        <v>14.4</v>
      </c>
      <c r="BB8" s="42">
        <v>15.83</v>
      </c>
      <c r="BC8" s="42">
        <v>0</v>
      </c>
      <c r="BD8" s="42">
        <v>2.9</v>
      </c>
      <c r="BE8" s="42">
        <v>1.7</v>
      </c>
      <c r="BF8" s="42">
        <v>3.4</v>
      </c>
      <c r="BG8" s="42">
        <v>3.4</v>
      </c>
      <c r="BH8" s="42">
        <v>0</v>
      </c>
      <c r="BI8" s="42">
        <v>13.4</v>
      </c>
      <c r="BJ8" s="42">
        <v>8.5</v>
      </c>
      <c r="BK8" s="42">
        <v>14.4</v>
      </c>
      <c r="BL8" s="42">
        <v>15.62</v>
      </c>
      <c r="BM8" s="42">
        <v>0</v>
      </c>
      <c r="BN8" s="46"/>
      <c r="BO8" s="14">
        <f>IF(SUM(AT8:AW8)-AX8&gt;0,SUM(AT8:AW8)-AX8,"")</f>
        <v>41.965000000000003</v>
      </c>
      <c r="BP8" s="14">
        <f>IF(BA8&gt;0,BA8,"")</f>
        <v>14.4</v>
      </c>
      <c r="BQ8" s="14">
        <f>IF(SUM(AY8:BB8)-BC8&gt;0,SUM(AY8:BB8)-BC8,"")</f>
        <v>53.53</v>
      </c>
      <c r="BR8" s="14">
        <f>IF(BF8&gt;0,BF8,"")</f>
        <v>3.4</v>
      </c>
      <c r="BS8" s="14">
        <f>IF(SUM(BD8:BG8)-BH8&gt;0,SUM(BD8:BG8)-BH8,"")</f>
        <v>11.4</v>
      </c>
      <c r="BT8" s="14">
        <f>IF(BO8="",IF(MAX(BQ8,BS8)&gt;0,MAX(BQ8,BS8),""),MAX(BQ8,BS8)+BO8)</f>
        <v>95.495000000000005</v>
      </c>
      <c r="BU8" s="14">
        <f>IF(BK8&gt;0,BK8,"")</f>
        <v>14.4</v>
      </c>
      <c r="BV8" s="14">
        <f>IF(SUM(BI8:BL8)-BM8&gt;0,SUM(BI8:BL8)-BM8,"")</f>
        <v>51.919999999999995</v>
      </c>
      <c r="BW8" s="14">
        <f>IF(SUM(BT8,BV8)&gt;0,SUM(BT8,BV8),"")</f>
        <v>147.41499999999999</v>
      </c>
      <c r="BX8" s="38"/>
      <c r="BY8" s="38"/>
      <c r="BZ8" s="38"/>
      <c r="CA8" s="38"/>
      <c r="CB8" s="38"/>
      <c r="CC8" s="38">
        <v>6.8</v>
      </c>
      <c r="CD8" s="38">
        <v>4.5999999999999996</v>
      </c>
      <c r="CE8" s="38">
        <v>8.1999999999999993</v>
      </c>
      <c r="CF8" s="38">
        <v>8.0500000000000007</v>
      </c>
      <c r="CG8" s="38">
        <v>0</v>
      </c>
      <c r="CH8" s="38">
        <v>10.8</v>
      </c>
      <c r="CI8" s="38">
        <v>8.9</v>
      </c>
      <c r="CJ8" s="38">
        <v>13.6</v>
      </c>
      <c r="CK8" s="38">
        <v>15.505000000000001</v>
      </c>
      <c r="CL8" s="38">
        <v>0</v>
      </c>
      <c r="CM8" s="38"/>
      <c r="CN8" s="38"/>
      <c r="CO8" s="38"/>
      <c r="CP8" s="38"/>
      <c r="CQ8" s="38"/>
      <c r="CR8" s="45"/>
      <c r="CS8" s="11" t="str">
        <f>IF(SUM(BX8:CA8)-CB8&gt;0,SUM(BX8:CA8)-CB8,"")</f>
        <v/>
      </c>
      <c r="CT8" s="11">
        <f>IF(CE8&gt;0,CE8,"")</f>
        <v>8.1999999999999993</v>
      </c>
      <c r="CU8" s="11">
        <f>IF(SUM(CC8:CF8)-CG8&gt;0,SUM(CC8:CF8)-CG8,"")</f>
        <v>27.65</v>
      </c>
      <c r="CV8" s="11">
        <f>IF(CJ8&gt;0,CJ8,"")</f>
        <v>13.6</v>
      </c>
      <c r="CW8" s="11">
        <f>IF(SUM(CH8:CK8)-CL8&gt;0,SUM(CH8:CK8)-CL8,"")</f>
        <v>48.805000000000007</v>
      </c>
      <c r="CX8" s="11">
        <f>IF(CS8="",IF(MAX(CU8,CW8)&gt;0,MAX(CU8,CW8),""),MAX(CU8,CW8)+CS8)</f>
        <v>48.805000000000007</v>
      </c>
      <c r="CY8" s="11" t="str">
        <f>IF(CO8&gt;0,CO8,"")</f>
        <v/>
      </c>
      <c r="CZ8" s="11" t="str">
        <f>IF(SUM(CM8:CP8)-CQ8&gt;0,SUM(CM8:CP8)-CQ8,"")</f>
        <v/>
      </c>
      <c r="DA8" s="11">
        <f>IF(SUM(CX8,CZ8)&gt;0,SUM(CX8,CZ8),"")</f>
        <v>48.805000000000007</v>
      </c>
      <c r="DB8" s="19" t="str">
        <f>IF(I8&gt;=0.001,IF(MAX(DU8,EQ8,FM8,GI8,HE8,IA8,IW8,JS8,KO8,LK8,MG8,NC8)-IF(I8="",0,I8)&gt;0.001,MAX(DU8,EQ8,FM8,GI8,HE8,IA8,IW8,JS8,KO8,LK8,MG8,NC8)-IF(I8="",0,I8),""),"")</f>
        <v/>
      </c>
      <c r="DC8" s="19" t="str">
        <f>IF(K8&gt;=0.001,IF(MAX(DX8,ET8,FP8,GL8,HH8,ID8,IZ8,JV8,KR8,LN8,MJ8,NF8)-IF(K8="",0,K8)&gt;0.001,MAX(DX8,ET8,FP8,GL8,HH8,ID8,IZ8,JV8,KR8,LN8,MJ8,NF8)-IF(K8="",0,K8),""),"")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11" t="str">
        <f>IF(DK8&gt;0,DK8,"")</f>
        <v/>
      </c>
      <c r="DT8" s="11" t="str">
        <f>IF(SUM(DD8:DG8)-DH8&gt;0,SUM(DD8:DG8)-DH8,"")</f>
        <v/>
      </c>
      <c r="DU8" s="11" t="str">
        <f>IF(SUM(DI8:DL8)-DM8&gt;0,SUM(DI8:DL8)-DM8,"")</f>
        <v/>
      </c>
      <c r="DV8" s="11" t="str">
        <f>IF(SUM(DT8:DU8)&gt;0,SUM(DT8:DU8),"")</f>
        <v/>
      </c>
      <c r="DW8" s="11" t="str">
        <f>IF(DP8&gt;0,DP8,"")</f>
        <v/>
      </c>
      <c r="DX8" s="11" t="str">
        <f>IF(SUM(DN8:DQ8)-DR8&gt;0,SUM(DN8:DQ8)-DR8,"")</f>
        <v/>
      </c>
      <c r="DY8" s="11" t="str">
        <f>IF(SUM(DV8,DX8)&gt;0,SUM(DV8,DX8),"")</f>
        <v/>
      </c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26"/>
      <c r="JN8" s="26"/>
      <c r="JO8" s="26"/>
      <c r="JP8" s="26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6"/>
      <c r="KU8" s="26"/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8">
        <f>IF($CR8="P",BX8,(BX8+AT8)/2)</f>
        <v>7.7</v>
      </c>
      <c r="NI8" s="38">
        <f>IF($CR8="P",BY8,(BY8+AU8)/2)</f>
        <v>4.0999999999999996</v>
      </c>
      <c r="NJ8" s="38">
        <f>IF($CR8="P",BZ8,(BZ8+AV8)/2)</f>
        <v>1.9</v>
      </c>
      <c r="NK8" s="38">
        <f>IF($CR8="P",CA8,(CA8+AW8)/2)</f>
        <v>7.2824999999999998</v>
      </c>
      <c r="NL8" s="38">
        <f>IF($CR8="P",CB8,(CB8+AX8)/2)</f>
        <v>0</v>
      </c>
      <c r="NM8" s="38">
        <f>IF($CR8="P",CC8,(CC8+AY8)/2)</f>
        <v>10.55</v>
      </c>
      <c r="NN8" s="38">
        <f>IF($CR8="P",CD8,(CD8+AZ8)/2)</f>
        <v>6.8</v>
      </c>
      <c r="NO8" s="38">
        <f>IF($CR8="P",CE8,(CE8+BA8)/2)</f>
        <v>11.3</v>
      </c>
      <c r="NP8" s="38">
        <f>IF($CR8="P",CF8,(CF8+BB8)/2)</f>
        <v>11.940000000000001</v>
      </c>
      <c r="NQ8" s="38">
        <f>IF($CR8="P",CG8,(CG8+BC8)/2)</f>
        <v>0</v>
      </c>
      <c r="NR8" s="38">
        <f>IF($CR8="P",CH8,(CH8+BD8)/2)</f>
        <v>6.8500000000000005</v>
      </c>
      <c r="NS8" s="38">
        <f>IF($CR8="P",CI8,(CI8+BE8)/2)</f>
        <v>5.3</v>
      </c>
      <c r="NT8" s="38">
        <f>IF($CR8="P",CJ8,(CJ8+BF8)/2)</f>
        <v>8.5</v>
      </c>
      <c r="NU8" s="38">
        <f>IF($CR8="P",CK8,(CK8+BG8)/2)</f>
        <v>9.4525000000000006</v>
      </c>
      <c r="NV8" s="38">
        <f>IF($CR8="P",CL8,(CL8+BH8)/2)</f>
        <v>0</v>
      </c>
      <c r="NW8" s="38">
        <f>IF($CR8="P",CM8,(CM8+BI8)/2)</f>
        <v>6.7</v>
      </c>
      <c r="NX8" s="38">
        <f>IF($CR8="P",CN8,(CN8+BJ8)/2)</f>
        <v>4.25</v>
      </c>
      <c r="NY8" s="38">
        <f>IF($CR8="P",CO8,(CO8+BK8)/2)</f>
        <v>7.2</v>
      </c>
      <c r="NZ8" s="38">
        <f>IF($CR8="P",CP8,(CP8+BL8)/2)</f>
        <v>7.81</v>
      </c>
      <c r="OA8" s="38">
        <f>IF($CR8="P",CQ8,(CQ8+BM8)/2)</f>
        <v>0</v>
      </c>
      <c r="OB8" s="45" t="s">
        <v>46</v>
      </c>
      <c r="OC8" s="11">
        <f>IF(SUM(NH8:NK8)-NL8&gt;0,SUM(NH8:NK8)-NL8,"")</f>
        <v>20.982500000000002</v>
      </c>
      <c r="OD8" s="11">
        <f>IF(NO8&gt;0,NO8,"")</f>
        <v>11.3</v>
      </c>
      <c r="OE8" s="11">
        <f>IF(SUM(NM8:NP8)-NQ8&gt;0,SUM(NM8:NP8)-NQ8,"")</f>
        <v>40.590000000000003</v>
      </c>
      <c r="OF8" s="11">
        <f>IF(NT8&gt;0,NT8,"")</f>
        <v>8.5</v>
      </c>
      <c r="OG8" s="11">
        <f>IF(SUM(NR8:NU8)-NV8&gt;0,SUM(NR8:NU8)-NV8,"")</f>
        <v>30.102499999999999</v>
      </c>
      <c r="OH8" s="11">
        <f>IF(OR(OC8&lt;&gt;"",OE8&lt;&gt;"",OG8&lt;&gt;""),OC8+MAX(OE8,OG8),"")</f>
        <v>61.572500000000005</v>
      </c>
      <c r="OI8" s="11">
        <f>IF(NY8&gt;0,NY8,"")</f>
        <v>7.2</v>
      </c>
      <c r="OJ8" s="11">
        <f t="shared" si="0"/>
        <v>25.959999999999997</v>
      </c>
      <c r="OK8" s="11">
        <f t="shared" si="1"/>
        <v>87.532499999999999</v>
      </c>
    </row>
    <row r="9" spans="1:401" x14ac:dyDescent="0.2">
      <c r="A9" s="5" cm="1">
        <f t="array" ref="A9">IF(AND(F9="P",G9="P"),SUMPRODUCT((F$4:F$32="P")*(G$4:G$32="P")*(E$4:E$32&gt;E9))+1,IF(G9="P",SUMPRODUCT((F$4:F$32="")*(G$4:G$32="P")*(E$4:E$32&gt;E9))+1+SUMPRODUCT((F$4:F$32="P")*(G$4:G$32="P")),""))</f>
        <v>6</v>
      </c>
      <c r="B9" s="6" t="s">
        <v>151</v>
      </c>
      <c r="C9" s="7" t="s">
        <v>6</v>
      </c>
      <c r="D9" s="5">
        <v>2005</v>
      </c>
      <c r="E9" s="15">
        <f>SUM(I9:M9)+I9*0.0000001</f>
        <v>106.34500532999999</v>
      </c>
      <c r="F9" s="3" t="str">
        <f>IF(OR(AND(AL9&gt;=AS$34,AM9&gt;=AS$38,AL9&lt;&gt;"",AJ9=""),AND(AN9&gt;=AS$34,AO9&gt;=AS$38,AN9&lt;&gt;"",AN9=""),AND(AQ9&gt;=AS$34,AR9&gt;=AS$38,AQ9&lt;&gt;"",AJ9=""),AND(BP9&gt;=BW$34,BQ9&gt;=BW$38,BP9&lt;&gt;"",BN9=""),AND(BR9&gt;=BW$34,BS9&gt;=BW$38,BR9&lt;&gt;"",BN9=""),AND(BU9&gt;=BW$34,BV9&gt;=BW$38,BU9&lt;&gt;"",BN9=""),AND(CT9&gt;=DA$34,CU9&gt;=DA$38,CT9&lt;&gt;"",CR9=""),AND(CV9&gt;=DA$34,CW9&gt;=DA$38,CV9&lt;&gt;"",CR9=""),AND(CY9&gt;=DA$34,CZ9&gt;=DA$38,CY9&lt;&gt;"",CR9=""),AND(DS9&gt;=DY$34,DU9&gt;=DY$38,DS9&lt;&gt;""),AND(DW9&gt;=DY$34,DX9&gt;=DY$38,DW9&lt;&gt;""),AND(EO9&gt;=EU$34,EQ9&gt;=EU$38,EO9&lt;&gt;""),AND(ES9&gt;=EU$34,ET9&gt;=EU$38,ES9&lt;&gt;""),AND(FK9&gt;=FQ$34,FM9&gt;=FQ$38,FK9&lt;&gt;""),AND(FO9&gt;=FQ$34,FP9&gt;=FQ$38,FO9&lt;&gt;""),AND(GG9&gt;=GM$34,GI9&gt;=GM$38,GG9&lt;&gt;""),AND(GK9&gt;=GM$34,GL9&gt;=GM$38,GK9&lt;&gt;""),AND(HC9&gt;=HI$34,HE9&gt;=HI$38,HC9&lt;&gt;""),AND(HG9&gt;=HI$34,HH9&gt;=HI$38,HG9&lt;&gt;""),AND(HY9&gt;=IE$34,IA9&gt;=IE$38,HY9&lt;&gt;""),AND(IC9&gt;=IE$34,ID9&gt;=IE$38,IC9&lt;&gt;""),AND(IU9&gt;=JA$34,IW9&gt;=JA$38,IU9&lt;&gt;""),AND(IY9&gt;=JA$34,IZ9&gt;=JA$38,IY9&lt;&gt;""),AND(JQ9&gt;=JW$34,JS9&gt;=JW$38,JQ9&lt;&gt;""),AND(JU9&gt;=JW$34,JV9&gt;=JW$38,JU9&lt;&gt;""),AND(KM9&gt;=KS$34,KO9&gt;=KS$38,KM9&lt;&gt;""),AND(KQ9&gt;=KS$34,KR9&gt;=KS$38,KQ9&lt;&gt;""),AND(LI9&gt;=LO$34,LK9&gt;=LO$38,LI9&lt;&gt;""),AND(LM9&gt;=LO$34,LN9&gt;=LO$38,LM9&lt;&gt;""),AND(ME9&gt;=MK$34,MG9&gt;=MK$38,ME9&lt;&gt;""),AND(MI9&gt;=MK$34,MJ9&gt;=MK$38,MI9&lt;&gt;""),AND(NA9&gt;=NG$34,NC9&gt;=NG$38,NA9&lt;&gt;""),AND(NE9&gt;=NG$34,NF9&gt;=NG$38,NE9&lt;&gt;"")),"P","")</f>
        <v>P</v>
      </c>
      <c r="G9" s="3" t="str">
        <f>IF(OR(AND(AM9&gt;=AS$38,AL9&lt;&gt;"",AJ9=""),AND(AO9&gt;=AS$38,AN9&lt;&gt;"",AN9=""),AND(AR9&gt;=AS$38,AQ9&lt;&gt;"",AJ9=""),AND(BQ9&gt;=BW$38,BP9&lt;&gt;"",BN9=""),AND(BS9&gt;=BW$38,BR9&lt;&gt;"",BN9=""),AND(BV9&gt;=BW$38,BU9&lt;&gt;"",BN9=""),AND(CU9&gt;=DA$38,CT9&lt;&gt;"",CR9=""),AND(CW9&gt;=DA$38,CV9&lt;&gt;"",CR9=""),AND(CZ9&gt;=DA$38,CY9&lt;&gt;"",CR9=""),AND(DU9&gt;=DY$38,DS9&lt;&gt;""),AND(DX9&gt;=DY$38,DW9&lt;&gt;""),AND(EQ9&gt;=EU$38,EO9&lt;&gt;""),AND(ET9&gt;=EU$38,ES9&lt;&gt;""),AND(FM9&gt;=FQ$38,FK9&lt;&gt;""),AND(FP9&gt;=FQ$38,FO9&lt;&gt;""),AND(GI9&gt;=GM$38,GG9&lt;&gt;""),AND(GL9&gt;=GM$38,GK9&lt;&gt;""),AND(HE9&gt;=HI$38,HC9&lt;&gt;""),AND(HH9&gt;=HI$38,HG9&lt;&gt;""),AND(IA9&gt;=IE$38,HY9&lt;&gt;""),AND(ID9&gt;=IE$38,IC9&lt;&gt;""),AND(IW9&gt;=JA$38,IU9&lt;&gt;""),AND(IZ9&gt;=JA$38,IY9&lt;&gt;""),AND(JS9&gt;=JW$38,JQ9&lt;&gt;""),AND(JV9&gt;=JW$38,JU9&lt;&gt;""),AND(KO9&gt;=KS$38,KM9&lt;&gt;""),AND(KR9&gt;=KS$38,KQ9&lt;&gt;""),AND(LK9&gt;=LO$38,LI9&lt;&gt;""),AND(LN9&gt;=LO$38,LM9&lt;&gt;""),AND(MG9&gt;=MK$38,ME9&lt;&gt;""),AND(MJ9&gt;=MK$38,MI9&lt;&gt;""),AND(NC9&gt;=NG$38,NA9&lt;&gt;""),AND(NF9&gt;=NG$38,NE9&lt;&gt;"")),"P","")</f>
        <v>P</v>
      </c>
      <c r="H9" s="67" t="str">
        <f>IF(F9="P","National Team",IF(G9="P","No DD",""))</f>
        <v>National Team</v>
      </c>
      <c r="I9" s="14">
        <f>MAX(AM9,AO9,AR9,BQ9,BS9,BV9,CU9,CW9,CZ9)</f>
        <v>53.3</v>
      </c>
      <c r="J9" s="14" t="str">
        <f>IF(I9=0,"",IF(OR(I9=CW9,I9=CU9,I9=CZ9),$BX$1,IF(OR(I9=BS9,I9=BQ9,I9=BV9),$AT$1,IF(OR(I9=AO9,I9=AM9,I9=AR9),$P$1,""))))</f>
        <v>2021 Elite Canada</v>
      </c>
      <c r="K9" s="14">
        <f>IF(COUNT(AM9,AO9,AR9,BQ9,BS9,BV9,CU9,CW9,CZ9)&gt;1,LARGE((AM9,AO9,AR9,BQ9,BS9,BV9,CU9,CW9,CZ9),2),0)</f>
        <v>53.044999999999995</v>
      </c>
      <c r="L9" s="14" t="str">
        <f>IF(K9=0,"",IF(OR(K9=CW9,K9=CU9,K9=CZ9),$BX$1,IF(OR(K9=BS9,K9=BQ9,K9=BV9),$AT$1,IF(OR(K9=AO9,K9=AM9,K9=AR9),$P$1,""))))</f>
        <v>2022 Elite Canada</v>
      </c>
      <c r="M9" s="14" t="str">
        <f>IF(MAX(DB9,DC9)&gt;0,MAX(DB9,DC9),"")</f>
        <v/>
      </c>
      <c r="N9" s="20" t="str">
        <f>IF(M9="","",IF(M9=#REF!,"(Vol 1)",IF(M9=DB9,"(Vol 2)",IF(M9=#REF!,"(Prelim)",IF(M9=DC9,"(Final)")))))</f>
        <v/>
      </c>
      <c r="O9" s="14" t="str">
        <f>IF(M9="","",IF(M9=#REF!,IF(M9+IF(#REF!="",0,#REF!)=NB9,$ML$1,IF(M9+IF(#REF!="",0,#REF!)=MF9,$LP$1,IF(M9+IF(#REF!="",0,#REF!)=LJ9,$KT$1,IF(M9+IF(#REF!="",0,#REF!)=KN9,$JX$1,IF(M9+IF(#REF!="",0,#REF!)=JR9,$JB$1,IF(M9+IF(#REF!="",0,#REF!)=IV9,$IF$1,IF(M9+IF(#REF!="",0,#REF!)=HZ9,$HJ$1,IF(M9+IF(#REF!="",0,#REF!)=HD9,$GN$1,IF(M9+IF(#REF!="",0,#REF!)=GH9,$FR$1,IF(M9+IF(#REF!="",0,#REF!)=FL9,$EV$1,IF(M9+IF(#REF!="",0,#REF!)=EP9,$DZ$1,IF(M9+IF(#REF!="",0,#REF!)=DT9,$DD$1)))))))))))),IF(M9=DB9,IF(M9+IF(I9="",0,I9)=NC9,$ML$1,IF(M9+IF(I9="",0,I9)=MG9,$LP$1,IF(M9+IF(I9="",0,I9)=LK9,$KT$1,IF(M9+IF(I9="",0,I9)=KO9,$JX$1,IF(M9+IF(I9="",0,I9)=JS9,$JB$1,IF(M9+IF(I9="",0,I9)=IW9,$IF$1,IF(M9+IF(I9="",0,I9)=IA9,$HJ$1,IF(M9+IF(I9="",0,I9)=HE9,$GN$1,IF(M9+IF(I9="",0,I9)=GI9,$FR$1,IF(M9+IF(I9="",0,I9)=FM9,$EV$1,IF(M9+IF(I9="",0,I9)=EQ9,$DZ$1,IF(M9+IF(I9="",0,I9)=DU9,$DD$1)))))))))))),IF(M9=#REF!,IF(M9+IF(#REF!="",0,#REF!)=ND9,$ML$1,IF(M9+IF(#REF!="",0,#REF!)=MH9,$LP$1,IF(M9+IF(#REF!="",0,#REF!)=LL9,$KT$1,IF(M9+IF(#REF!="",0,#REF!)=KP9,$JX$1,IF(M9+IF(#REF!="",0,#REF!)=JT9,$JB$1,IF(M9+IF(#REF!="",0,#REF!)=IX9,$IF$1,IF(M9+IF(#REF!="",0,#REF!)=IB9,$HJ$1,IF(M9+IF(#REF!="",0,#REF!)=HF9,$GN$1,IF(M9+IF(#REF!="",0,#REF!)=GJ9,$FR$1,IF(M9+IF(#REF!="",0,#REF!)=FN9,$EV$1,IF(M9+IF(#REF!="",0,#REF!)=ER9,$DZ$1,IF(M9+IF(#REF!="",0,#REF!)=DV9,$DD$1)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))</f>
        <v/>
      </c>
      <c r="P9" s="38">
        <v>18.399999999999999</v>
      </c>
      <c r="Q9" s="38">
        <v>9.6</v>
      </c>
      <c r="R9" s="38">
        <v>0</v>
      </c>
      <c r="S9" s="38">
        <v>16.015000000000001</v>
      </c>
      <c r="T9" s="38">
        <v>0</v>
      </c>
      <c r="U9" s="38">
        <v>16</v>
      </c>
      <c r="V9" s="38">
        <v>8.9</v>
      </c>
      <c r="W9" s="38">
        <v>13.5</v>
      </c>
      <c r="X9" s="38">
        <v>14.9</v>
      </c>
      <c r="Y9" s="38">
        <v>0</v>
      </c>
      <c r="Z9" s="38"/>
      <c r="AA9" s="38"/>
      <c r="AB9" s="38"/>
      <c r="AC9" s="38"/>
      <c r="AD9" s="38"/>
      <c r="AE9" s="38">
        <v>16.100000000000001</v>
      </c>
      <c r="AF9" s="38">
        <v>8.6</v>
      </c>
      <c r="AG9" s="38">
        <v>13.3</v>
      </c>
      <c r="AH9" s="38">
        <v>14.715</v>
      </c>
      <c r="AI9" s="38">
        <v>0</v>
      </c>
      <c r="AJ9" s="45"/>
      <c r="AK9" s="11">
        <f>IF(SUM(P9:S9)-T9&gt;0,SUM(P9:S9)-T9,"")</f>
        <v>44.015000000000001</v>
      </c>
      <c r="AL9" s="11">
        <f>IF(W9&gt;0,W9,"")</f>
        <v>13.5</v>
      </c>
      <c r="AM9" s="11">
        <f>IF(SUM(U9:X9)-Y9&gt;0,SUM(U9:X9)-Y9,"")</f>
        <v>53.3</v>
      </c>
      <c r="AN9" s="11" t="str">
        <f>IF(AB9&gt;0,AB9,"")</f>
        <v/>
      </c>
      <c r="AO9" s="11" t="str">
        <f>IF(SUM(Z9:AC9)-AD9&gt;0,SUM(Z9:AC9)-AD9,"")</f>
        <v/>
      </c>
      <c r="AP9" s="11">
        <f>IF(AK9="",IF(MAX(AM9,AO9)&gt;0,MAX(AM9,AO9),""),MAX(AM9,AO9)+AK9)</f>
        <v>97.314999999999998</v>
      </c>
      <c r="AQ9" s="11">
        <f>IF(AG9&gt;0,AG9,"")</f>
        <v>13.3</v>
      </c>
      <c r="AR9" s="11">
        <f>IF(SUM(AE9:AH9)-AI9&gt;0,SUM(AE9:AH9)-AI9,"")</f>
        <v>52.715000000000003</v>
      </c>
      <c r="AS9" s="11">
        <f>IF(SUM(AP9,AR9)&gt;0,SUM(AP9,AR9),"")</f>
        <v>150.03</v>
      </c>
      <c r="AT9" s="42">
        <v>18.5</v>
      </c>
      <c r="AU9" s="42">
        <v>9.5</v>
      </c>
      <c r="AV9" s="42">
        <v>0</v>
      </c>
      <c r="AW9" s="42">
        <v>16.05</v>
      </c>
      <c r="AX9" s="42">
        <v>0</v>
      </c>
      <c r="AY9" s="42">
        <v>15.3</v>
      </c>
      <c r="AZ9" s="42">
        <v>9.1</v>
      </c>
      <c r="BA9" s="42">
        <v>12.5</v>
      </c>
      <c r="BB9" s="42">
        <v>14.185</v>
      </c>
      <c r="BC9" s="42">
        <v>0</v>
      </c>
      <c r="BD9" s="42"/>
      <c r="BE9" s="42"/>
      <c r="BF9" s="42"/>
      <c r="BG9" s="42"/>
      <c r="BH9" s="42"/>
      <c r="BI9" s="42">
        <v>15.3</v>
      </c>
      <c r="BJ9" s="42">
        <v>8.9</v>
      </c>
      <c r="BK9" s="42">
        <v>13.5</v>
      </c>
      <c r="BL9" s="42">
        <v>14.605</v>
      </c>
      <c r="BM9" s="42">
        <v>0</v>
      </c>
      <c r="BN9" s="46"/>
      <c r="BO9" s="14">
        <f>IF(SUM(AT9:AW9)-AX9&gt;0,SUM(AT9:AW9)-AX9,"")</f>
        <v>44.05</v>
      </c>
      <c r="BP9" s="14">
        <f>IF(BA9&gt;0,BA9,"")</f>
        <v>12.5</v>
      </c>
      <c r="BQ9" s="14">
        <f>IF(SUM(AY9:BB9)-BC9&gt;0,SUM(AY9:BB9)-BC9,"")</f>
        <v>51.085000000000001</v>
      </c>
      <c r="BR9" s="14" t="str">
        <f>IF(BF9&gt;0,BF9,"")</f>
        <v/>
      </c>
      <c r="BS9" s="14" t="str">
        <f>IF(SUM(BD9:BG9)-BH9&gt;0,SUM(BD9:BG9)-BH9,"")</f>
        <v/>
      </c>
      <c r="BT9" s="14">
        <f>IF(BO9="",IF(MAX(BQ9,BS9)&gt;0,MAX(BQ9,BS9),""),MAX(BQ9,BS9)+BO9)</f>
        <v>95.134999999999991</v>
      </c>
      <c r="BU9" s="14">
        <f>IF(BK9&gt;0,BK9,"")</f>
        <v>13.5</v>
      </c>
      <c r="BV9" s="14">
        <f>IF(SUM(BI9:BL9)-BM9&gt;0,SUM(BI9:BL9)-BM9,"")</f>
        <v>52.305000000000007</v>
      </c>
      <c r="BW9" s="14">
        <f>IF(SUM(BT9,BV9)&gt;0,SUM(BT9,BV9),"")</f>
        <v>147.44</v>
      </c>
      <c r="BX9" s="38"/>
      <c r="BY9" s="38"/>
      <c r="BZ9" s="38"/>
      <c r="CA9" s="38"/>
      <c r="CB9" s="38"/>
      <c r="CC9" s="38">
        <v>15.7</v>
      </c>
      <c r="CD9" s="38">
        <v>9.3000000000000007</v>
      </c>
      <c r="CE9" s="38">
        <v>13.5</v>
      </c>
      <c r="CF9" s="38">
        <v>14.744999999999999</v>
      </c>
      <c r="CG9" s="38">
        <v>0.2</v>
      </c>
      <c r="CH9" s="38">
        <v>13.9</v>
      </c>
      <c r="CI9" s="38">
        <v>9.1</v>
      </c>
      <c r="CJ9" s="38">
        <v>12.5</v>
      </c>
      <c r="CK9" s="38">
        <v>14.91</v>
      </c>
      <c r="CL9" s="38">
        <v>1</v>
      </c>
      <c r="CM9" s="38">
        <v>6.3</v>
      </c>
      <c r="CN9" s="38">
        <v>3.2</v>
      </c>
      <c r="CO9" s="38">
        <v>5.6</v>
      </c>
      <c r="CP9" s="38">
        <v>6.29</v>
      </c>
      <c r="CQ9" s="38">
        <v>0</v>
      </c>
      <c r="CR9" s="45"/>
      <c r="CS9" s="11" t="str">
        <f>IF(SUM(BX9:CA9)-CB9&gt;0,SUM(BX9:CA9)-CB9,"")</f>
        <v/>
      </c>
      <c r="CT9" s="11">
        <f>IF(CE9&gt;0,CE9,"")</f>
        <v>13.5</v>
      </c>
      <c r="CU9" s="11">
        <f>IF(SUM(CC9:CF9)-CG9&gt;0,SUM(CC9:CF9)-CG9,"")</f>
        <v>53.044999999999995</v>
      </c>
      <c r="CV9" s="11">
        <f>IF(CJ9&gt;0,CJ9,"")</f>
        <v>12.5</v>
      </c>
      <c r="CW9" s="11">
        <f>IF(SUM(CH9:CK9)-CL9&gt;0,SUM(CH9:CK9)-CL9,"")</f>
        <v>49.41</v>
      </c>
      <c r="CX9" s="11">
        <f>IF(CS9="",IF(MAX(CU9,CW9)&gt;0,MAX(CU9,CW9),""),MAX(CU9,CW9)+CS9)</f>
        <v>53.044999999999995</v>
      </c>
      <c r="CY9" s="11">
        <f>IF(CO9&gt;0,CO9,"")</f>
        <v>5.6</v>
      </c>
      <c r="CZ9" s="11">
        <f>IF(SUM(CM9:CP9)-CQ9&gt;0,SUM(CM9:CP9)-CQ9,"")</f>
        <v>21.39</v>
      </c>
      <c r="DA9" s="11">
        <f>IF(SUM(CX9,CZ9)&gt;0,SUM(CX9,CZ9),"")</f>
        <v>74.435000000000002</v>
      </c>
      <c r="DB9" s="19" t="str">
        <f>IF(I9&gt;=0.001,IF(MAX(DU9,EQ9,FM9,GI9,HE9,IA9,IW9,JS9,KO9,LK9,MG9,NC9)-IF(I9="",0,I9)&gt;0.001,MAX(DU9,EQ9,FM9,GI9,HE9,IA9,IW9,JS9,KO9,LK9,MG9,NC9)-IF(I9="",0,I9),""),"")</f>
        <v/>
      </c>
      <c r="DC9" s="19" t="str">
        <f>IF(K9&gt;=0.001,IF(MAX(DX9,ET9,FP9,GL9,HH9,ID9,IZ9,JV9,KR9,LN9,MJ9,NF9)-IF(K9="",0,K9)&gt;0.001,MAX(DX9,ET9,FP9,GL9,HH9,ID9,IZ9,JV9,KR9,LN9,MJ9,NF9)-IF(K9="",0,K9),""),"")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8">
        <f>IF($CR9="P",BX9,(BX9+AT9)/2)</f>
        <v>9.25</v>
      </c>
      <c r="NI9" s="38">
        <f>IF($CR9="P",BY9,(BY9+AU9)/2)</f>
        <v>4.75</v>
      </c>
      <c r="NJ9" s="38">
        <f>IF($CR9="P",BZ9,(BZ9+AV9)/2)</f>
        <v>0</v>
      </c>
      <c r="NK9" s="38">
        <f>IF($CR9="P",CA9,(CA9+AW9)/2)</f>
        <v>8.0250000000000004</v>
      </c>
      <c r="NL9" s="38">
        <f>IF($CR9="P",CB9,(CB9+AX9)/2)</f>
        <v>0</v>
      </c>
      <c r="NM9" s="38">
        <f>IF($CR9="P",CC9,(CC9+AY9)/2)</f>
        <v>15.5</v>
      </c>
      <c r="NN9" s="38">
        <f>IF($CR9="P",CD9,(CD9+AZ9)/2)</f>
        <v>9.1999999999999993</v>
      </c>
      <c r="NO9" s="38">
        <f>IF($CR9="P",CE9,(CE9+BA9)/2)</f>
        <v>13</v>
      </c>
      <c r="NP9" s="38">
        <f>IF($CR9="P",CF9,(CF9+BB9)/2)</f>
        <v>14.465</v>
      </c>
      <c r="NQ9" s="38">
        <f>IF($CR9="P",CG9,(CG9+BC9)/2)</f>
        <v>0.1</v>
      </c>
      <c r="NR9" s="38">
        <f>IF($CR9="P",CH9,(CH9+BD9)/2)</f>
        <v>6.95</v>
      </c>
      <c r="NS9" s="38">
        <f>IF($CR9="P",CI9,(CI9+BE9)/2)</f>
        <v>4.55</v>
      </c>
      <c r="NT9" s="38">
        <f>IF($CR9="P",CJ9,(CJ9+BF9)/2)</f>
        <v>6.25</v>
      </c>
      <c r="NU9" s="38">
        <f>IF($CR9="P",CK9,(CK9+BG9)/2)</f>
        <v>7.4550000000000001</v>
      </c>
      <c r="NV9" s="38">
        <f>IF($CR9="P",CL9,(CL9+BH9)/2)</f>
        <v>0.5</v>
      </c>
      <c r="NW9" s="38">
        <f>IF($CR9="P",CM9,(CM9+BI9)/2)</f>
        <v>10.8</v>
      </c>
      <c r="NX9" s="38">
        <f>IF($CR9="P",CN9,(CN9+BJ9)/2)</f>
        <v>6.0500000000000007</v>
      </c>
      <c r="NY9" s="38">
        <f>IF($CR9="P",CO9,(CO9+BK9)/2)</f>
        <v>9.5500000000000007</v>
      </c>
      <c r="NZ9" s="38">
        <f>IF($CR9="P",CP9,(CP9+BL9)/2)</f>
        <v>10.4475</v>
      </c>
      <c r="OA9" s="38">
        <f>IF($CR9="P",CQ9,(CQ9+BM9)/2)</f>
        <v>0</v>
      </c>
      <c r="OB9" s="45" t="s">
        <v>46</v>
      </c>
      <c r="OC9" s="11">
        <f>IF(SUM(NH9:NK9)-NL9&gt;0,SUM(NH9:NK9)-NL9,"")</f>
        <v>22.024999999999999</v>
      </c>
      <c r="OD9" s="11">
        <f>IF(NO9&gt;0,NO9,"")</f>
        <v>13</v>
      </c>
      <c r="OE9" s="11">
        <f>IF(SUM(NM9:NP9)-NQ9&gt;0,SUM(NM9:NP9)-NQ9,"")</f>
        <v>52.065000000000005</v>
      </c>
      <c r="OF9" s="11">
        <f>IF(NT9&gt;0,NT9,"")</f>
        <v>6.25</v>
      </c>
      <c r="OG9" s="11">
        <f>IF(SUM(NR9:NU9)-NV9&gt;0,SUM(NR9:NU9)-NV9,"")</f>
        <v>24.704999999999998</v>
      </c>
      <c r="OH9" s="11">
        <f>IF(OR(OC9&lt;&gt;"",OE9&lt;&gt;"",OG9&lt;&gt;""),OC9+MAX(OE9,OG9),"")</f>
        <v>74.09</v>
      </c>
      <c r="OI9" s="11">
        <f>IF(NY9&gt;0,NY9,"")</f>
        <v>9.5500000000000007</v>
      </c>
      <c r="OJ9" s="11">
        <f t="shared" si="0"/>
        <v>36.847500000000004</v>
      </c>
      <c r="OK9" s="11">
        <f t="shared" si="1"/>
        <v>110.9375</v>
      </c>
    </row>
    <row r="10" spans="1:401" x14ac:dyDescent="0.2">
      <c r="A10" s="5" t="str" cm="1">
        <f t="array" ref="A10">IF(AND(F10="P",G10="P"),SUMPRODUCT((F$4:F$32="P")*(G$4:G$32="P")*(E$4:E$32&gt;E10))+1,IF(G10="P",SUMPRODUCT((F$4:F$32="")*(G$4:G$32="P")*(E$4:E$32&gt;E10))+1+SUMPRODUCT((F$4:F$32="P")*(G$4:G$32="P")),""))</f>
        <v/>
      </c>
      <c r="B10" s="8" t="s">
        <v>70</v>
      </c>
      <c r="C10" s="4" t="s">
        <v>6</v>
      </c>
      <c r="D10" s="22">
        <v>2004</v>
      </c>
      <c r="E10" s="15">
        <f>SUM(I10:M10)+I10*0.0000001</f>
        <v>104.85500527950001</v>
      </c>
      <c r="F10" s="3" t="str">
        <f>IF(OR(AND(AL10&gt;=AS$34,AM10&gt;=AS$38,AL10&lt;&gt;"",AJ10=""),AND(AN10&gt;=AS$34,AO10&gt;=AS$38,AN10&lt;&gt;"",AN10=""),AND(AQ10&gt;=AS$34,AR10&gt;=AS$38,AQ10&lt;&gt;"",AJ10=""),AND(BP10&gt;=BW$34,BQ10&gt;=BW$38,BP10&lt;&gt;"",BN10=""),AND(BR10&gt;=BW$34,BS10&gt;=BW$38,BR10&lt;&gt;"",BN10=""),AND(BU10&gt;=BW$34,BV10&gt;=BW$38,BU10&lt;&gt;"",BN10=""),AND(CT10&gt;=DA$34,CU10&gt;=DA$38,CT10&lt;&gt;"",CR10=""),AND(CV10&gt;=DA$34,CW10&gt;=DA$38,CV10&lt;&gt;"",CR10=""),AND(CY10&gt;=DA$34,CZ10&gt;=DA$38,CY10&lt;&gt;"",CR10=""),AND(DS10&gt;=DY$34,DU10&gt;=DY$38,DS10&lt;&gt;""),AND(DW10&gt;=DY$34,DX10&gt;=DY$38,DW10&lt;&gt;""),AND(EO10&gt;=EU$34,EQ10&gt;=EU$38,EO10&lt;&gt;""),AND(ES10&gt;=EU$34,ET10&gt;=EU$38,ES10&lt;&gt;""),AND(FK10&gt;=FQ$34,FM10&gt;=FQ$38,FK10&lt;&gt;""),AND(FO10&gt;=FQ$34,FP10&gt;=FQ$38,FO10&lt;&gt;""),AND(GG10&gt;=GM$34,GI10&gt;=GM$38,GG10&lt;&gt;""),AND(GK10&gt;=GM$34,GL10&gt;=GM$38,GK10&lt;&gt;""),AND(HC10&gt;=HI$34,HE10&gt;=HI$38,HC10&lt;&gt;""),AND(HG10&gt;=HI$34,HH10&gt;=HI$38,HG10&lt;&gt;""),AND(HY10&gt;=IE$34,IA10&gt;=IE$38,HY10&lt;&gt;""),AND(IC10&gt;=IE$34,ID10&gt;=IE$38,IC10&lt;&gt;""),AND(IU10&gt;=JA$34,IW10&gt;=JA$38,IU10&lt;&gt;""),AND(IY10&gt;=JA$34,IZ10&gt;=JA$38,IY10&lt;&gt;""),AND(JQ10&gt;=JW$34,JS10&gt;=JW$38,JQ10&lt;&gt;""),AND(JU10&gt;=JW$34,JV10&gt;=JW$38,JU10&lt;&gt;""),AND(KM10&gt;=KS$34,KO10&gt;=KS$38,KM10&lt;&gt;""),AND(KQ10&gt;=KS$34,KR10&gt;=KS$38,KQ10&lt;&gt;""),AND(LI10&gt;=LO$34,LK10&gt;=LO$38,LI10&lt;&gt;""),AND(LM10&gt;=LO$34,LN10&gt;=LO$38,LM10&lt;&gt;""),AND(ME10&gt;=MK$34,MG10&gt;=MK$38,ME10&lt;&gt;""),AND(MI10&gt;=MK$34,MJ10&gt;=MK$38,MI10&lt;&gt;""),AND(NA10&gt;=NG$34,NC10&gt;=NG$38,NA10&lt;&gt;""),AND(NE10&gt;=NG$34,NF10&gt;=NG$38,NE10&lt;&gt;"")),"P","")</f>
        <v/>
      </c>
      <c r="G10" s="3" t="str">
        <f>IF(OR(AND(AM10&gt;=AS$38,AL10&lt;&gt;"",AJ10=""),AND(AO10&gt;=AS$38,AN10&lt;&gt;"",AN10=""),AND(AR10&gt;=AS$38,AQ10&lt;&gt;"",AJ10=""),AND(BQ10&gt;=BW$38,BP10&lt;&gt;"",BN10=""),AND(BS10&gt;=BW$38,BR10&lt;&gt;"",BN10=""),AND(BV10&gt;=BW$38,BU10&lt;&gt;"",BN10=""),AND(CU10&gt;=DA$38,CT10&lt;&gt;"",CR10=""),AND(CW10&gt;=DA$38,CV10&lt;&gt;"",CR10=""),AND(CZ10&gt;=DA$38,CY10&lt;&gt;"",CR10=""),AND(DU10&gt;=DY$38,DS10&lt;&gt;""),AND(DX10&gt;=DY$38,DW10&lt;&gt;""),AND(EQ10&gt;=EU$38,EO10&lt;&gt;""),AND(ET10&gt;=EU$38,ES10&lt;&gt;""),AND(FM10&gt;=FQ$38,FK10&lt;&gt;""),AND(FP10&gt;=FQ$38,FO10&lt;&gt;""),AND(GI10&gt;=GM$38,GG10&lt;&gt;""),AND(GL10&gt;=GM$38,GK10&lt;&gt;""),AND(HE10&gt;=HI$38,HC10&lt;&gt;""),AND(HH10&gt;=HI$38,HG10&lt;&gt;""),AND(IA10&gt;=IE$38,HY10&lt;&gt;""),AND(ID10&gt;=IE$38,IC10&lt;&gt;""),AND(IW10&gt;=JA$38,IU10&lt;&gt;""),AND(IZ10&gt;=JA$38,IY10&lt;&gt;""),AND(JS10&gt;=JW$38,JQ10&lt;&gt;""),AND(JV10&gt;=JW$38,JU10&lt;&gt;""),AND(KO10&gt;=KS$38,KM10&lt;&gt;""),AND(KR10&gt;=KS$38,KQ10&lt;&gt;""),AND(LK10&gt;=LO$38,LI10&lt;&gt;""),AND(LN10&gt;=LO$38,LM10&lt;&gt;""),AND(MG10&gt;=MK$38,ME10&lt;&gt;""),AND(MJ10&gt;=MK$38,MI10&lt;&gt;""),AND(NC10&gt;=NG$38,NA10&lt;&gt;""),AND(NF10&gt;=NG$38,NE10&lt;&gt;"")),"P","")</f>
        <v/>
      </c>
      <c r="H10" s="67" t="str">
        <f>IF(F10="P","National Team",IF(G10="P","No DD",""))</f>
        <v/>
      </c>
      <c r="I10" s="14">
        <f>MAX(AM10,AO10,AR10,BQ10,BS10,BV10,CU10,CW10,CZ10)</f>
        <v>52.795000000000002</v>
      </c>
      <c r="J10" s="14" t="str">
        <f>IF(I10=0,"",IF(OR(I10=CW10,I10=CU10,I10=CZ10),$BX$1,IF(OR(I10=BS10,I10=BQ10,I10=BV10),$AT$1,IF(OR(I10=AO10,I10=AM10,I10=AR10),$P$1,""))))</f>
        <v>2022 Elite Canada</v>
      </c>
      <c r="K10" s="14">
        <f>IF(COUNT(AM10,AO10,AR10,BQ10,BS10,BV10,CU10,CW10,CZ10)&gt;1,LARGE((AM10,AO10,AR10,BQ10,BS10,BV10,CU10,CW10,CZ10),2),0)</f>
        <v>52.06</v>
      </c>
      <c r="L10" s="14" t="str">
        <f>IF(K10=0,"",IF(OR(K10=CW10,K10=CU10,K10=CZ10),$BX$1,IF(OR(K10=BS10,K10=BQ10,K10=BV10),$AT$1,IF(OR(K10=AO10,K10=AM10,K10=AR10),$P$1,""))))</f>
        <v>2021 Canadian Championships</v>
      </c>
      <c r="M10" s="14" t="str">
        <f>IF(MAX(DB10,DC10)&gt;0,MAX(DB10,DC10),"")</f>
        <v/>
      </c>
      <c r="N10" s="20" t="str">
        <f>IF(M10="","",IF(M10=#REF!,"(Vol 1)",IF(M10=DB10,"(Vol 2)",IF(M10=#REF!,"(Prelim)",IF(M10=DC10,"(Final)")))))</f>
        <v/>
      </c>
      <c r="O10" s="14" t="str">
        <f>IF(M10="","",IF(M10=#REF!,IF(M10+IF(#REF!="",0,#REF!)=NB10,$ML$1,IF(M10+IF(#REF!="",0,#REF!)=MF10,$LP$1,IF(M10+IF(#REF!="",0,#REF!)=LJ10,$KT$1,IF(M10+IF(#REF!="",0,#REF!)=KN10,$JX$1,IF(M10+IF(#REF!="",0,#REF!)=JR10,$JB$1,IF(M10+IF(#REF!="",0,#REF!)=IV10,$IF$1,IF(M10+IF(#REF!="",0,#REF!)=HZ10,$HJ$1,IF(M10+IF(#REF!="",0,#REF!)=HD10,$GN$1,IF(M10+IF(#REF!="",0,#REF!)=GH10,$FR$1,IF(M10+IF(#REF!="",0,#REF!)=FL10,$EV$1,IF(M10+IF(#REF!="",0,#REF!)=EP10,$DZ$1,IF(M10+IF(#REF!="",0,#REF!)=DT10,$DD$1)))))))))))),IF(M10=DB10,IF(M10+IF(I10="",0,I10)=NC10,$ML$1,IF(M10+IF(I10="",0,I10)=MG10,$LP$1,IF(M10+IF(I10="",0,I10)=LK10,$KT$1,IF(M10+IF(I10="",0,I10)=KO10,$JX$1,IF(M10+IF(I10="",0,I10)=JS10,$JB$1,IF(M10+IF(I10="",0,I10)=IW10,$IF$1,IF(M10+IF(I10="",0,I10)=IA10,$HJ$1,IF(M10+IF(I10="",0,I10)=HE10,$GN$1,IF(M10+IF(I10="",0,I10)=GI10,$FR$1,IF(M10+IF(I10="",0,I10)=FM10,$EV$1,IF(M10+IF(I10="",0,I10)=EQ10,$DZ$1,IF(M10+IF(I10="",0,I10)=DU10,$DD$1)))))))))))),IF(M10=#REF!,IF(M10+IF(#REF!="",0,#REF!)=ND10,$ML$1,IF(M10+IF(#REF!="",0,#REF!)=MH10,$LP$1,IF(M10+IF(#REF!="",0,#REF!)=LL10,$KT$1,IF(M10+IF(#REF!="",0,#REF!)=KP10,$JX$1,IF(M10+IF(#REF!="",0,#REF!)=JT10,$JB$1,IF(M10+IF(#REF!="",0,#REF!)=IX10,$IF$1,IF(M10+IF(#REF!="",0,#REF!)=IB10,$HJ$1,IF(M10+IF(#REF!="",0,#REF!)=HF10,$GN$1,IF(M10+IF(#REF!="",0,#REF!)=GJ10,$FR$1,IF(M10+IF(#REF!="",0,#REF!)=FN10,$EV$1,IF(M10+IF(#REF!="",0,#REF!)=ER10,$DZ$1,IF(M10+IF(#REF!="",0,#REF!)=DV10,$DD$1)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))</f>
        <v/>
      </c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5"/>
      <c r="AK10" s="11" t="str">
        <f>IF(SUM(P10:S10)-T10&gt;0,SUM(P10:S10)-T10,"")</f>
        <v/>
      </c>
      <c r="AL10" s="11" t="str">
        <f>IF(W10&gt;0,W10,"")</f>
        <v/>
      </c>
      <c r="AM10" s="11" t="str">
        <f>IF(SUM(U10:X10)-Y10&gt;0,SUM(U10:X10)-Y10,"")</f>
        <v/>
      </c>
      <c r="AN10" s="11" t="str">
        <f>IF(AB10&gt;0,AB10,"")</f>
        <v/>
      </c>
      <c r="AO10" s="11" t="str">
        <f>IF(SUM(Z10:AC10)-AD10&gt;0,SUM(Z10:AC10)-AD10,"")</f>
        <v/>
      </c>
      <c r="AP10" s="11" t="str">
        <f>IF(AK10="",IF(MAX(AM10,AO10)&gt;0,MAX(AM10,AO10),""),MAX(AM10,AO10)+AK10)</f>
        <v/>
      </c>
      <c r="AQ10" s="11" t="str">
        <f>IF(AG10&gt;0,AG10,"")</f>
        <v/>
      </c>
      <c r="AR10" s="11" t="str">
        <f>IF(SUM(AE10:AH10)-AI10&gt;0,SUM(AE10:AH10)-AI10,"")</f>
        <v/>
      </c>
      <c r="AS10" s="11" t="str">
        <f>IF(SUM(AP10,AR10)&gt;0,SUM(AP10,AR10),"")</f>
        <v/>
      </c>
      <c r="AT10" s="42">
        <v>16</v>
      </c>
      <c r="AU10" s="42">
        <v>9.3000000000000007</v>
      </c>
      <c r="AV10" s="42">
        <v>3.3</v>
      </c>
      <c r="AW10" s="42">
        <v>15.77</v>
      </c>
      <c r="AX10" s="42">
        <v>0</v>
      </c>
      <c r="AY10" s="42">
        <v>10.9</v>
      </c>
      <c r="AZ10" s="42">
        <v>7.3</v>
      </c>
      <c r="BA10" s="42">
        <v>8.3000000000000007</v>
      </c>
      <c r="BB10" s="42">
        <v>11.654999999999999</v>
      </c>
      <c r="BC10" s="42">
        <v>0</v>
      </c>
      <c r="BD10" s="42">
        <v>15</v>
      </c>
      <c r="BE10" s="42">
        <v>9.3000000000000007</v>
      </c>
      <c r="BF10" s="42">
        <v>13.1</v>
      </c>
      <c r="BG10" s="42">
        <v>15.06</v>
      </c>
      <c r="BH10" s="42">
        <v>0.4</v>
      </c>
      <c r="BI10" s="42">
        <v>5.9</v>
      </c>
      <c r="BJ10" s="42">
        <v>3.9</v>
      </c>
      <c r="BK10" s="42">
        <v>5.4</v>
      </c>
      <c r="BL10" s="42">
        <v>6.085</v>
      </c>
      <c r="BM10" s="42">
        <v>0</v>
      </c>
      <c r="BN10" s="46"/>
      <c r="BO10" s="14">
        <f>IF(SUM(AT10:AW10)-AX10&gt;0,SUM(AT10:AW10)-AX10,"")</f>
        <v>44.370000000000005</v>
      </c>
      <c r="BP10" s="14">
        <f>IF(BA10&gt;0,BA10,"")</f>
        <v>8.3000000000000007</v>
      </c>
      <c r="BQ10" s="14">
        <f>IF(SUM(AY10:BB10)-BC10&gt;0,SUM(AY10:BB10)-BC10,"")</f>
        <v>38.155000000000001</v>
      </c>
      <c r="BR10" s="14">
        <f>IF(BF10&gt;0,BF10,"")</f>
        <v>13.1</v>
      </c>
      <c r="BS10" s="14">
        <f>IF(SUM(BD10:BG10)-BH10&gt;0,SUM(BD10:BG10)-BH10,"")</f>
        <v>52.06</v>
      </c>
      <c r="BT10" s="14">
        <f>IF(BO10="",IF(MAX(BQ10,BS10)&gt;0,MAX(BQ10,BS10),""),MAX(BQ10,BS10)+BO10)</f>
        <v>96.43</v>
      </c>
      <c r="BU10" s="14">
        <f>IF(BK10&gt;0,BK10,"")</f>
        <v>5.4</v>
      </c>
      <c r="BV10" s="14">
        <f>IF(SUM(BI10:BL10)-BM10&gt;0,SUM(BI10:BL10)-BM10,"")</f>
        <v>21.285</v>
      </c>
      <c r="BW10" s="14">
        <f>IF(SUM(BT10,BV10)&gt;0,SUM(BT10,BV10),"")</f>
        <v>117.715</v>
      </c>
      <c r="BX10" s="38"/>
      <c r="BY10" s="38"/>
      <c r="BZ10" s="38"/>
      <c r="CA10" s="38"/>
      <c r="CB10" s="38"/>
      <c r="CC10" s="38">
        <v>14.5</v>
      </c>
      <c r="CD10" s="38">
        <v>8.9</v>
      </c>
      <c r="CE10" s="38">
        <v>12.6</v>
      </c>
      <c r="CF10" s="38">
        <v>14.345000000000001</v>
      </c>
      <c r="CG10" s="38">
        <v>0.9</v>
      </c>
      <c r="CH10" s="38">
        <v>14.7</v>
      </c>
      <c r="CI10" s="38">
        <v>9.6999999999999993</v>
      </c>
      <c r="CJ10" s="38">
        <v>13.5</v>
      </c>
      <c r="CK10" s="38">
        <v>14.895</v>
      </c>
      <c r="CL10" s="38">
        <v>0</v>
      </c>
      <c r="CM10" s="38">
        <v>12.9</v>
      </c>
      <c r="CN10" s="38">
        <v>9.6999999999999993</v>
      </c>
      <c r="CO10" s="38">
        <v>12.6</v>
      </c>
      <c r="CP10" s="38">
        <v>14.545</v>
      </c>
      <c r="CQ10" s="38">
        <v>0.9</v>
      </c>
      <c r="CR10" s="45"/>
      <c r="CS10" s="11" t="str">
        <f>IF(SUM(BX10:CA10)-CB10&gt;0,SUM(BX10:CA10)-CB10,"")</f>
        <v/>
      </c>
      <c r="CT10" s="11">
        <f>IF(CE10&gt;0,CE10,"")</f>
        <v>12.6</v>
      </c>
      <c r="CU10" s="11">
        <f>IF(SUM(CC10:CF10)-CG10&gt;0,SUM(CC10:CF10)-CG10,"")</f>
        <v>49.445</v>
      </c>
      <c r="CV10" s="11">
        <f>IF(CJ10&gt;0,CJ10,"")</f>
        <v>13.5</v>
      </c>
      <c r="CW10" s="11">
        <f>IF(SUM(CH10:CK10)-CL10&gt;0,SUM(CH10:CK10)-CL10,"")</f>
        <v>52.795000000000002</v>
      </c>
      <c r="CX10" s="11">
        <f>IF(CS10="",IF(MAX(CU10,CW10)&gt;0,MAX(CU10,CW10),""),MAX(CU10,CW10)+CS10)</f>
        <v>52.795000000000002</v>
      </c>
      <c r="CY10" s="11">
        <f>IF(CO10&gt;0,CO10,"")</f>
        <v>12.6</v>
      </c>
      <c r="CZ10" s="11">
        <f>IF(SUM(CM10:CP10)-CQ10&gt;0,SUM(CM10:CP10)-CQ10,"")</f>
        <v>48.845000000000006</v>
      </c>
      <c r="DA10" s="11">
        <f>IF(SUM(CX10,CZ10)&gt;0,SUM(CX10,CZ10),"")</f>
        <v>101.64000000000001</v>
      </c>
      <c r="DB10" s="19" t="str">
        <f>IF(I10&gt;=0.001,IF(MAX(DU10,EQ10,FM10,GI10,HE10,IA10,IW10,JS10,KO10,LK10,MG10,NC10)-IF(I10="",0,I10)&gt;0.001,MAX(DU10,EQ10,FM10,GI10,HE10,IA10,IW10,JS10,KO10,LK10,MG10,NC10)-IF(I10="",0,I10),""),"")</f>
        <v/>
      </c>
      <c r="DC10" s="19" t="str">
        <f>IF(K10&gt;=0.001,IF(MAX(DX10,ET10,FP10,GL10,HH10,ID10,IZ10,JV10,KR10,LN10,MJ10,NF10)-IF(K10="",0,K10)&gt;0.001,MAX(DX10,ET10,FP10,GL10,HH10,ID10,IZ10,JV10,KR10,LN10,MJ10,NF10)-IF(K10="",0,K10),""),"")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11" t="str">
        <f>IF(DK10&gt;0,DK10,"")</f>
        <v/>
      </c>
      <c r="DT10" s="11" t="str">
        <f>IF(SUM(DD10:DG10)-DH10&gt;0,SUM(DD10:DG10)-DH10,"")</f>
        <v/>
      </c>
      <c r="DU10" s="11" t="str">
        <f>IF(SUM(DI10:DL10)-DM10&gt;0,SUM(DI10:DL10)-DM10,"")</f>
        <v/>
      </c>
      <c r="DV10" s="11" t="str">
        <f>IF(SUM(DT10:DU10)&gt;0,SUM(DT10:DU10),"")</f>
        <v/>
      </c>
      <c r="DW10" s="11" t="str">
        <f>IF(DP10&gt;0,DP10,"")</f>
        <v/>
      </c>
      <c r="DX10" s="11" t="str">
        <f>IF(SUM(DN10:DQ10)-DR10&gt;0,SUM(DN10:DQ10)-DR10,"")</f>
        <v/>
      </c>
      <c r="DY10" s="11" t="str">
        <f>IF(SUM(DV10,DX10)&gt;0,SUM(DV10,DX10),"")</f>
        <v/>
      </c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11" t="str">
        <f>IF(FC10&gt;0,FC10,"")</f>
        <v/>
      </c>
      <c r="FL10" s="11" t="str">
        <f>IF(SUM(EV10:EY10)-EZ10&gt;0,SUM(EV10:EY10)-EZ10,"")</f>
        <v/>
      </c>
      <c r="FM10" s="11" t="str">
        <f>IF(SUM(FA10:FD10)-FE10&gt;0,SUM(FA10:FD10)-FE10,"")</f>
        <v/>
      </c>
      <c r="FN10" s="11" t="str">
        <f>IF(SUM(FL10:FM10)&gt;0,SUM(FL10:FM10),"")</f>
        <v/>
      </c>
      <c r="FO10" s="11" t="str">
        <f>IF(FH10&gt;0,FH10,"")</f>
        <v/>
      </c>
      <c r="FP10" s="11" t="str">
        <f>IF(SUM(FF10:FI10)-FJ10&gt;0,SUM(FF10:FI10)-FJ10,"")</f>
        <v/>
      </c>
      <c r="FQ10" s="11" t="str">
        <f>IF(SUM(FN10,FP10)&gt;0,SUM(FN10,FP10),"")</f>
        <v/>
      </c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8">
        <f>IF($CR10="P",BX10,(BX10+AT10)/2)</f>
        <v>8</v>
      </c>
      <c r="NI10" s="38">
        <f>IF($CR10="P",BY10,(BY10+AU10)/2)</f>
        <v>4.6500000000000004</v>
      </c>
      <c r="NJ10" s="38">
        <f>IF($CR10="P",BZ10,(BZ10+AV10)/2)</f>
        <v>1.65</v>
      </c>
      <c r="NK10" s="38">
        <f>IF($CR10="P",CA10,(CA10+AW10)/2)</f>
        <v>7.8849999999999998</v>
      </c>
      <c r="NL10" s="38">
        <f>IF($CR10="P",CB10,(CB10+AX10)/2)</f>
        <v>0</v>
      </c>
      <c r="NM10" s="38">
        <f>IF($CR10="P",CC10,(CC10+AY10)/2)</f>
        <v>12.7</v>
      </c>
      <c r="NN10" s="38">
        <f>IF($CR10="P",CD10,(CD10+AZ10)/2)</f>
        <v>8.1</v>
      </c>
      <c r="NO10" s="38">
        <f>IF($CR10="P",CE10,(CE10+BA10)/2)</f>
        <v>10.45</v>
      </c>
      <c r="NP10" s="38">
        <f>IF($CR10="P",CF10,(CF10+BB10)/2)</f>
        <v>13</v>
      </c>
      <c r="NQ10" s="38">
        <f>IF($CR10="P",CG10,(CG10+BC10)/2)</f>
        <v>0.45</v>
      </c>
      <c r="NR10" s="38">
        <f>IF($CR10="P",CH10,(CH10+BD10)/2)</f>
        <v>14.85</v>
      </c>
      <c r="NS10" s="38">
        <f>IF($CR10="P",CI10,(CI10+BE10)/2)</f>
        <v>9.5</v>
      </c>
      <c r="NT10" s="38">
        <f>IF($CR10="P",CJ10,(CJ10+BF10)/2)</f>
        <v>13.3</v>
      </c>
      <c r="NU10" s="38">
        <f>IF($CR10="P",CK10,(CK10+BG10)/2)</f>
        <v>14.977499999999999</v>
      </c>
      <c r="NV10" s="38">
        <f>IF($CR10="P",CL10,(CL10+BH10)/2)</f>
        <v>0.2</v>
      </c>
      <c r="NW10" s="38">
        <f>IF($CR10="P",CM10,(CM10+BI10)/2)</f>
        <v>9.4</v>
      </c>
      <c r="NX10" s="38">
        <f>IF($CR10="P",CN10,(CN10+BJ10)/2)</f>
        <v>6.8</v>
      </c>
      <c r="NY10" s="38">
        <f>IF($CR10="P",CO10,(CO10+BK10)/2)</f>
        <v>9</v>
      </c>
      <c r="NZ10" s="38">
        <f>IF($CR10="P",CP10,(CP10+BL10)/2)</f>
        <v>10.315</v>
      </c>
      <c r="OA10" s="38">
        <f>IF($CR10="P",CQ10,(CQ10+BM10)/2)</f>
        <v>0.45</v>
      </c>
      <c r="OB10" s="45" t="s">
        <v>46</v>
      </c>
      <c r="OC10" s="11">
        <f>IF(SUM(NH10:NK10)-NL10&gt;0,SUM(NH10:NK10)-NL10,"")</f>
        <v>22.185000000000002</v>
      </c>
      <c r="OD10" s="11">
        <f>IF(NO10&gt;0,NO10,"")</f>
        <v>10.45</v>
      </c>
      <c r="OE10" s="11">
        <f>IF(SUM(NM10:NP10)-NQ10&gt;0,SUM(NM10:NP10)-NQ10,"")</f>
        <v>43.8</v>
      </c>
      <c r="OF10" s="11">
        <f>IF(NT10&gt;0,NT10,"")</f>
        <v>13.3</v>
      </c>
      <c r="OG10" s="11">
        <f>IF(SUM(NR10:NU10)-NV10&gt;0,SUM(NR10:NU10)-NV10,"")</f>
        <v>52.427500000000002</v>
      </c>
      <c r="OH10" s="11">
        <f>IF(OR(OC10&lt;&gt;"",OE10&lt;&gt;"",OG10&lt;&gt;""),OC10+MAX(OE10,OG10),"")</f>
        <v>74.612500000000011</v>
      </c>
      <c r="OI10" s="11">
        <f>IF(NY10&gt;0,NY10,"")</f>
        <v>9</v>
      </c>
      <c r="OJ10" s="11">
        <f t="shared" si="0"/>
        <v>35.064999999999998</v>
      </c>
      <c r="OK10" s="11">
        <f t="shared" si="1"/>
        <v>109.67750000000001</v>
      </c>
    </row>
    <row r="11" spans="1:401" x14ac:dyDescent="0.2">
      <c r="A11" s="5" t="str" cm="1">
        <f t="array" ref="A11">IF(AND(F11="P",G11="P"),SUMPRODUCT((F$4:F$32="P")*(G$4:G$32="P")*(E$4:E$32&gt;E11))+1,IF(G11="P",SUMPRODUCT((F$4:F$32="")*(G$4:G$32="P")*(E$4:E$32&gt;E11))+1+SUMPRODUCT((F$4:F$32="P")*(G$4:G$32="P")),""))</f>
        <v/>
      </c>
      <c r="B11" s="6" t="s">
        <v>61</v>
      </c>
      <c r="C11" s="7" t="s">
        <v>3</v>
      </c>
      <c r="D11" s="5">
        <v>2003</v>
      </c>
      <c r="E11" s="15">
        <f>SUM(I11:M11)+I11*0.0000001</f>
        <v>103.45500517699999</v>
      </c>
      <c r="F11" s="3" t="str">
        <f>IF(OR(AND(AL11&gt;=AS$34,AM11&gt;=AS$38,AL11&lt;&gt;"",AJ11=""),AND(AN11&gt;=AS$34,AO11&gt;=AS$38,AN11&lt;&gt;"",AN11=""),AND(AQ11&gt;=AS$34,AR11&gt;=AS$38,AQ11&lt;&gt;"",AJ11=""),AND(BP11&gt;=BW$34,BQ11&gt;=BW$38,BP11&lt;&gt;"",BN11=""),AND(BR11&gt;=BW$34,BS11&gt;=BW$38,BR11&lt;&gt;"",BN11=""),AND(BU11&gt;=BW$34,BV11&gt;=BW$38,BU11&lt;&gt;"",BN11=""),AND(CT11&gt;=DA$34,CU11&gt;=DA$38,CT11&lt;&gt;"",CR11=""),AND(CV11&gt;=DA$34,CW11&gt;=DA$38,CV11&lt;&gt;"",CR11=""),AND(CY11&gt;=DA$34,CZ11&gt;=DA$38,CY11&lt;&gt;"",CR11=""),AND(DS11&gt;=DY$34,DU11&gt;=DY$38,DS11&lt;&gt;""),AND(DW11&gt;=DY$34,DX11&gt;=DY$38,DW11&lt;&gt;""),AND(EO11&gt;=EU$34,EQ11&gt;=EU$38,EO11&lt;&gt;""),AND(ES11&gt;=EU$34,ET11&gt;=EU$38,ES11&lt;&gt;""),AND(FK11&gt;=FQ$34,FM11&gt;=FQ$38,FK11&lt;&gt;""),AND(FO11&gt;=FQ$34,FP11&gt;=FQ$38,FO11&lt;&gt;""),AND(GG11&gt;=GM$34,GI11&gt;=GM$38,GG11&lt;&gt;""),AND(GK11&gt;=GM$34,GL11&gt;=GM$38,GK11&lt;&gt;""),AND(HC11&gt;=HI$34,HE11&gt;=HI$38,HC11&lt;&gt;""),AND(HG11&gt;=HI$34,HH11&gt;=HI$38,HG11&lt;&gt;""),AND(HY11&gt;=IE$34,IA11&gt;=IE$38,HY11&lt;&gt;""),AND(IC11&gt;=IE$34,ID11&gt;=IE$38,IC11&lt;&gt;""),AND(IU11&gt;=JA$34,IW11&gt;=JA$38,IU11&lt;&gt;""),AND(IY11&gt;=JA$34,IZ11&gt;=JA$38,IY11&lt;&gt;""),AND(JQ11&gt;=JW$34,JS11&gt;=JW$38,JQ11&lt;&gt;""),AND(JU11&gt;=JW$34,JV11&gt;=JW$38,JU11&lt;&gt;""),AND(KM11&gt;=KS$34,KO11&gt;=KS$38,KM11&lt;&gt;""),AND(KQ11&gt;=KS$34,KR11&gt;=KS$38,KQ11&lt;&gt;""),AND(LI11&gt;=LO$34,LK11&gt;=LO$38,LI11&lt;&gt;""),AND(LM11&gt;=LO$34,LN11&gt;=LO$38,LM11&lt;&gt;""),AND(ME11&gt;=MK$34,MG11&gt;=MK$38,ME11&lt;&gt;""),AND(MI11&gt;=MK$34,MJ11&gt;=MK$38,MI11&lt;&gt;""),AND(NA11&gt;=NG$34,NC11&gt;=NG$38,NA11&lt;&gt;""),AND(NE11&gt;=NG$34,NF11&gt;=NG$38,NE11&lt;&gt;"")),"P","")</f>
        <v/>
      </c>
      <c r="G11" s="3" t="str">
        <f>IF(OR(AND(AM11&gt;=AS$38,AL11&lt;&gt;"",AJ11=""),AND(AO11&gt;=AS$38,AN11&lt;&gt;"",AN11=""),AND(AR11&gt;=AS$38,AQ11&lt;&gt;"",AJ11=""),AND(BQ11&gt;=BW$38,BP11&lt;&gt;"",BN11=""),AND(BS11&gt;=BW$38,BR11&lt;&gt;"",BN11=""),AND(BV11&gt;=BW$38,BU11&lt;&gt;"",BN11=""),AND(CU11&gt;=DA$38,CT11&lt;&gt;"",CR11=""),AND(CW11&gt;=DA$38,CV11&lt;&gt;"",CR11=""),AND(CZ11&gt;=DA$38,CY11&lt;&gt;"",CR11=""),AND(DU11&gt;=DY$38,DS11&lt;&gt;""),AND(DX11&gt;=DY$38,DW11&lt;&gt;""),AND(EQ11&gt;=EU$38,EO11&lt;&gt;""),AND(ET11&gt;=EU$38,ES11&lt;&gt;""),AND(FM11&gt;=FQ$38,FK11&lt;&gt;""),AND(FP11&gt;=FQ$38,FO11&lt;&gt;""),AND(GI11&gt;=GM$38,GG11&lt;&gt;""),AND(GL11&gt;=GM$38,GK11&lt;&gt;""),AND(HE11&gt;=HI$38,HC11&lt;&gt;""),AND(HH11&gt;=HI$38,HG11&lt;&gt;""),AND(IA11&gt;=IE$38,HY11&lt;&gt;""),AND(ID11&gt;=IE$38,IC11&lt;&gt;""),AND(IW11&gt;=JA$38,IU11&lt;&gt;""),AND(IZ11&gt;=JA$38,IY11&lt;&gt;""),AND(JS11&gt;=JW$38,JQ11&lt;&gt;""),AND(JV11&gt;=JW$38,JU11&lt;&gt;""),AND(KO11&gt;=KS$38,KM11&lt;&gt;""),AND(KR11&gt;=KS$38,KQ11&lt;&gt;""),AND(LK11&gt;=LO$38,LI11&lt;&gt;""),AND(LN11&gt;=LO$38,LM11&lt;&gt;""),AND(MG11&gt;=MK$38,ME11&lt;&gt;""),AND(MJ11&gt;=MK$38,MI11&lt;&gt;""),AND(NC11&gt;=NG$38,NA11&lt;&gt;""),AND(NF11&gt;=NG$38,NE11&lt;&gt;"")),"P","")</f>
        <v/>
      </c>
      <c r="H11" s="67" t="str">
        <f>IF(F11="P","National Team",IF(G11="P","No DD",""))</f>
        <v/>
      </c>
      <c r="I11" s="14">
        <f>MAX(AM11,AO11,AR11,BQ11,BS11,BV11,CU11,CW11,CZ11)</f>
        <v>51.769999999999996</v>
      </c>
      <c r="J11" s="14" t="str">
        <f>IF(I11=0,"",IF(OR(I11=CW11,I11=CU11,I11=CZ11),$BX$1,IF(OR(I11=BS11,I11=BQ11,I11=BV11),$AT$1,IF(OR(I11=AO11,I11=AM11,I11=AR11),$P$1,""))))</f>
        <v>2022 Elite Canada</v>
      </c>
      <c r="K11" s="14">
        <f>IF(COUNT(AM11,AO11,AR11,BQ11,BS11,BV11,CU11,CW11,CZ11)&gt;1,LARGE((AM11,AO11,AR11,BQ11,BS11,BV11,CU11,CW11,CZ11),2),0)</f>
        <v>51.684999999999995</v>
      </c>
      <c r="L11" s="14" t="str">
        <f>IF(K11=0,"",IF(OR(K11=CW11,K11=CU11,K11=CZ11),$BX$1,IF(OR(K11=BS11,K11=BQ11,K11=BV11),$AT$1,IF(OR(K11=AO11,K11=AM11,K11=AR11),$P$1,""))))</f>
        <v>2022 Elite Canada</v>
      </c>
      <c r="M11" s="14" t="str">
        <f>IF(MAX(DB11,DC11)&gt;0,MAX(DB11,DC11),"")</f>
        <v/>
      </c>
      <c r="N11" s="20" t="str">
        <f>IF(M11="","",IF(M11=#REF!,"(Vol 1)",IF(M11=DB11,"(Vol 2)",IF(M11=#REF!,"(Prelim)",IF(M11=DC11,"(Final)")))))</f>
        <v/>
      </c>
      <c r="O11" s="14" t="str">
        <f>IF(M11="","",IF(M11=#REF!,IF(M11+IF(#REF!="",0,#REF!)=NB11,$ML$1,IF(M11+IF(#REF!="",0,#REF!)=MF11,$LP$1,IF(M11+IF(#REF!="",0,#REF!)=LJ11,$KT$1,IF(M11+IF(#REF!="",0,#REF!)=KN11,$JX$1,IF(M11+IF(#REF!="",0,#REF!)=JR11,$JB$1,IF(M11+IF(#REF!="",0,#REF!)=IV11,$IF$1,IF(M11+IF(#REF!="",0,#REF!)=HZ11,$HJ$1,IF(M11+IF(#REF!="",0,#REF!)=HD11,$GN$1,IF(M11+IF(#REF!="",0,#REF!)=GH11,$FR$1,IF(M11+IF(#REF!="",0,#REF!)=FL11,$EV$1,IF(M11+IF(#REF!="",0,#REF!)=EP11,$DZ$1,IF(M11+IF(#REF!="",0,#REF!)=DT11,$DD$1)))))))))))),IF(M11=DB11,IF(M11+IF(I11="",0,I11)=NC11,$ML$1,IF(M11+IF(I11="",0,I11)=MG11,$LP$1,IF(M11+IF(I11="",0,I11)=LK11,$KT$1,IF(M11+IF(I11="",0,I11)=KO11,$JX$1,IF(M11+IF(I11="",0,I11)=JS11,$JB$1,IF(M11+IF(I11="",0,I11)=IW11,$IF$1,IF(M11+IF(I11="",0,I11)=IA11,$HJ$1,IF(M11+IF(I11="",0,I11)=HE11,$GN$1,IF(M11+IF(I11="",0,I11)=GI11,$FR$1,IF(M11+IF(I11="",0,I11)=FM11,$EV$1,IF(M11+IF(I11="",0,I11)=EQ11,$DZ$1,IF(M11+IF(I11="",0,I11)=DU11,$DD$1)))))))))))),IF(M11=#REF!,IF(M11+IF(#REF!="",0,#REF!)=ND11,$ML$1,IF(M11+IF(#REF!="",0,#REF!)=MH11,$LP$1,IF(M11+IF(#REF!="",0,#REF!)=LL11,$KT$1,IF(M11+IF(#REF!="",0,#REF!)=KP11,$JX$1,IF(M11+IF(#REF!="",0,#REF!)=JT11,$JB$1,IF(M11+IF(#REF!="",0,#REF!)=IX11,$IF$1,IF(M11+IF(#REF!="",0,#REF!)=IB11,$HJ$1,IF(M11+IF(#REF!="",0,#REF!)=HF11,$GN$1,IF(M11+IF(#REF!="",0,#REF!)=GJ11,$FR$1,IF(M11+IF(#REF!="",0,#REF!)=FN11,$EV$1,IF(M11+IF(#REF!="",0,#REF!)=ER11,$DZ$1,IF(M11+IF(#REF!="",0,#REF!)=DV11,$DD$1)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))</f>
        <v/>
      </c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45"/>
      <c r="AK11" s="11" t="str">
        <f>IF(SUM(P11:S11)-T11&gt;0,SUM(P11:S11)-T11,"")</f>
        <v/>
      </c>
      <c r="AL11" s="11" t="str">
        <f>IF(W11&gt;0,W11,"")</f>
        <v/>
      </c>
      <c r="AM11" s="11" t="str">
        <f>IF(SUM(U11:X11)-Y11&gt;0,SUM(U11:X11)-Y11,"")</f>
        <v/>
      </c>
      <c r="AN11" s="11" t="str">
        <f>IF(AB11&gt;0,AB11,"")</f>
        <v/>
      </c>
      <c r="AO11" s="11" t="str">
        <f>IF(SUM(Z11:AC11)-AD11&gt;0,SUM(Z11:AC11)-AD11,"")</f>
        <v/>
      </c>
      <c r="AP11" s="11" t="str">
        <f>IF(AK11="",IF(MAX(AM11,AO11)&gt;0,MAX(AM11,AO11),""),MAX(AM11,AO11)+AK11)</f>
        <v/>
      </c>
      <c r="AQ11" s="11" t="str">
        <f>IF(AG11&gt;0,AG11,"")</f>
        <v/>
      </c>
      <c r="AR11" s="11" t="str">
        <f>IF(SUM(AE11:AH11)-AI11&gt;0,SUM(AE11:AH11)-AI11,"")</f>
        <v/>
      </c>
      <c r="AS11" s="11" t="str">
        <f>IF(SUM(AP11,AR11)&gt;0,SUM(AP11,AR11),"")</f>
        <v/>
      </c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6"/>
      <c r="BO11" s="14" t="str">
        <f>IF(SUM(AT11:AW11)-AX11&gt;0,SUM(AT11:AW11)-AX11,"")</f>
        <v/>
      </c>
      <c r="BP11" s="14" t="str">
        <f>IF(BA11&gt;0,BA11,"")</f>
        <v/>
      </c>
      <c r="BQ11" s="14" t="str">
        <f>IF(SUM(AY11:BB11)-BC11&gt;0,SUM(AY11:BB11)-BC11,"")</f>
        <v/>
      </c>
      <c r="BR11" s="14" t="str">
        <f>IF(BF11&gt;0,BF11,"")</f>
        <v/>
      </c>
      <c r="BS11" s="14" t="str">
        <f>IF(SUM(BD11:BG11)-BH11&gt;0,SUM(BD11:BG11)-BH11,"")</f>
        <v/>
      </c>
      <c r="BT11" s="14" t="str">
        <f>IF(BO11="",IF(MAX(BQ11,BS11)&gt;0,MAX(BQ11,BS11),""),MAX(BQ11,BS11)+BO11)</f>
        <v/>
      </c>
      <c r="BU11" s="14" t="str">
        <f>IF(BK11&gt;0,BK11,"")</f>
        <v/>
      </c>
      <c r="BV11" s="14" t="str">
        <f>IF(SUM(BI11:BL11)-BM11&gt;0,SUM(BI11:BL11)-BM11,"")</f>
        <v/>
      </c>
      <c r="BW11" s="14" t="str">
        <f>IF(SUM(BT11,BV11)&gt;0,SUM(BT11,BV11),"")</f>
        <v/>
      </c>
      <c r="BX11" s="38"/>
      <c r="BY11" s="38"/>
      <c r="BZ11" s="38"/>
      <c r="CA11" s="38"/>
      <c r="CB11" s="38"/>
      <c r="CC11" s="38">
        <v>12.7</v>
      </c>
      <c r="CD11" s="38">
        <v>9.1</v>
      </c>
      <c r="CE11" s="38">
        <v>14.6</v>
      </c>
      <c r="CF11" s="38">
        <v>15.37</v>
      </c>
      <c r="CG11" s="38">
        <v>0</v>
      </c>
      <c r="CH11" s="38">
        <v>11.7</v>
      </c>
      <c r="CI11" s="38">
        <v>7.5</v>
      </c>
      <c r="CJ11" s="38">
        <v>11.9</v>
      </c>
      <c r="CK11" s="38">
        <v>12.055</v>
      </c>
      <c r="CL11" s="38">
        <v>0</v>
      </c>
      <c r="CM11" s="38">
        <v>13.5</v>
      </c>
      <c r="CN11" s="38">
        <v>9.1</v>
      </c>
      <c r="CO11" s="38">
        <v>14.2</v>
      </c>
      <c r="CP11" s="38">
        <v>14.885</v>
      </c>
      <c r="CQ11" s="38">
        <v>0</v>
      </c>
      <c r="CR11" s="45"/>
      <c r="CS11" s="11" t="str">
        <f>IF(SUM(BX11:CA11)-CB11&gt;0,SUM(BX11:CA11)-CB11,"")</f>
        <v/>
      </c>
      <c r="CT11" s="11">
        <f>IF(CE11&gt;0,CE11,"")</f>
        <v>14.6</v>
      </c>
      <c r="CU11" s="11">
        <f>IF(SUM(CC11:CF11)-CG11&gt;0,SUM(CC11:CF11)-CG11,"")</f>
        <v>51.769999999999996</v>
      </c>
      <c r="CV11" s="11">
        <f>IF(CJ11&gt;0,CJ11,"")</f>
        <v>11.9</v>
      </c>
      <c r="CW11" s="11">
        <f>IF(SUM(CH11:CK11)-CL11&gt;0,SUM(CH11:CK11)-CL11,"")</f>
        <v>43.155000000000001</v>
      </c>
      <c r="CX11" s="11">
        <f>IF(CS11="",IF(MAX(CU11,CW11)&gt;0,MAX(CU11,CW11),""),MAX(CU11,CW11)+CS11)</f>
        <v>51.769999999999996</v>
      </c>
      <c r="CY11" s="11">
        <f>IF(CO11&gt;0,CO11,"")</f>
        <v>14.2</v>
      </c>
      <c r="CZ11" s="11">
        <f>IF(SUM(CM11:CP11)-CQ11&gt;0,SUM(CM11:CP11)-CQ11,"")</f>
        <v>51.684999999999995</v>
      </c>
      <c r="DA11" s="11">
        <f>IF(SUM(CX11,CZ11)&gt;0,SUM(CX11,CZ11),"")</f>
        <v>103.45499999999998</v>
      </c>
      <c r="DB11" s="19" t="str">
        <f>IF(I11&gt;=0.001,IF(MAX(DU11,EQ11,FM11,GI11,HE11,IA11,IW11,JS11,KO11,LK11,MG11,NC11)-IF(I11="",0,I11)&gt;0.001,MAX(DU11,EQ11,FM11,GI11,HE11,IA11,IW11,JS11,KO11,LK11,MG11,NC11)-IF(I11="",0,I11),""),"")</f>
        <v/>
      </c>
      <c r="DC11" s="19" t="str">
        <f>IF(K11&gt;=0.001,IF(MAX(DX11,ET11,FP11,GL11,HH11,ID11,IZ11,JV11,KR11,LN11,MJ11,NF11)-IF(K11="",0,K11)&gt;0.001,MAX(DX11,ET11,FP11,GL11,HH11,ID11,IZ11,JV11,KR11,LN11,MJ11,NF11)-IF(K11="",0,K11),""),"")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11" t="str">
        <f>IF(FC11&gt;0,FC11,"")</f>
        <v/>
      </c>
      <c r="FL11" s="11" t="str">
        <f>IF(SUM(EV11:EY11)-EZ11&gt;0,SUM(EV11:EY11)-EZ11,"")</f>
        <v/>
      </c>
      <c r="FM11" s="11" t="str">
        <f>IF(SUM(FA11:FD11)-FE11&gt;0,SUM(FA11:FD11)-FE11,"")</f>
        <v/>
      </c>
      <c r="FN11" s="11" t="str">
        <f>IF(SUM(FL11:FM11)&gt;0,SUM(FL11:FM11),"")</f>
        <v/>
      </c>
      <c r="FO11" s="11" t="str">
        <f>IF(FH11&gt;0,FH11,"")</f>
        <v/>
      </c>
      <c r="FP11" s="11" t="str">
        <f>IF(SUM(FF11:FI11)-FJ11&gt;0,SUM(FF11:FI11)-FJ11,"")</f>
        <v/>
      </c>
      <c r="FQ11" s="11" t="str">
        <f>IF(SUM(FN11,FP11)&gt;0,SUM(FN11,FP11),"")</f>
        <v/>
      </c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8">
        <f>IF($CR11="P",BX11,(BX11+AT11)/2)</f>
        <v>0</v>
      </c>
      <c r="NI11" s="38">
        <f>IF($CR11="P",BY11,(BY11+AU11)/2)</f>
        <v>0</v>
      </c>
      <c r="NJ11" s="38">
        <f>IF($CR11="P",BZ11,(BZ11+AV11)/2)</f>
        <v>0</v>
      </c>
      <c r="NK11" s="38">
        <f>IF($CR11="P",CA11,(CA11+AW11)/2)</f>
        <v>0</v>
      </c>
      <c r="NL11" s="38">
        <f>IF($CR11="P",CB11,(CB11+AX11)/2)</f>
        <v>0</v>
      </c>
      <c r="NM11" s="38">
        <f>IF($CR11="P",CC11,(CC11+AY11)/2)</f>
        <v>6.35</v>
      </c>
      <c r="NN11" s="38">
        <f>IF($CR11="P",CD11,(CD11+AZ11)/2)</f>
        <v>4.55</v>
      </c>
      <c r="NO11" s="38">
        <f>IF($CR11="P",CE11,(CE11+BA11)/2)</f>
        <v>7.3</v>
      </c>
      <c r="NP11" s="38">
        <f>IF($CR11="P",CF11,(CF11+BB11)/2)</f>
        <v>7.6849999999999996</v>
      </c>
      <c r="NQ11" s="38">
        <f>IF($CR11="P",CG11,(CG11+BC11)/2)</f>
        <v>0</v>
      </c>
      <c r="NR11" s="38">
        <f>IF($CR11="P",CH11,(CH11+BD11)/2)</f>
        <v>5.85</v>
      </c>
      <c r="NS11" s="38">
        <f>IF($CR11="P",CI11,(CI11+BE11)/2)</f>
        <v>3.75</v>
      </c>
      <c r="NT11" s="38">
        <f>IF($CR11="P",CJ11,(CJ11+BF11)/2)</f>
        <v>5.95</v>
      </c>
      <c r="NU11" s="38">
        <f>IF($CR11="P",CK11,(CK11+BG11)/2)</f>
        <v>6.0274999999999999</v>
      </c>
      <c r="NV11" s="38">
        <f>IF($CR11="P",CL11,(CL11+BH11)/2)</f>
        <v>0</v>
      </c>
      <c r="NW11" s="38">
        <f>IF($CR11="P",CM11,(CM11+BI11)/2)</f>
        <v>6.75</v>
      </c>
      <c r="NX11" s="38">
        <f>IF($CR11="P",CN11,(CN11+BJ11)/2)</f>
        <v>4.55</v>
      </c>
      <c r="NY11" s="38">
        <f>IF($CR11="P",CO11,(CO11+BK11)/2)</f>
        <v>7.1</v>
      </c>
      <c r="NZ11" s="38">
        <f>IF($CR11="P",CP11,(CP11+BL11)/2)</f>
        <v>7.4424999999999999</v>
      </c>
      <c r="OA11" s="38">
        <f>IF($CR11="P",CQ11,(CQ11+BM11)/2)</f>
        <v>0</v>
      </c>
      <c r="OB11" s="45" t="s">
        <v>46</v>
      </c>
      <c r="OC11" s="11" t="str">
        <f>IF(SUM(NH11:NK11)-NL11&gt;0,SUM(NH11:NK11)-NL11,"")</f>
        <v/>
      </c>
      <c r="OD11" s="11">
        <f>IF(NO11&gt;0,NO11,"")</f>
        <v>7.3</v>
      </c>
      <c r="OE11" s="11">
        <f>IF(SUM(NM11:NP11)-NQ11&gt;0,SUM(NM11:NP11)-NQ11,"")</f>
        <v>25.884999999999998</v>
      </c>
      <c r="OF11" s="11">
        <f>IF(NT11&gt;0,NT11,"")</f>
        <v>5.95</v>
      </c>
      <c r="OG11" s="11">
        <f>IF(SUM(NR11:NU11)-NV11&gt;0,SUM(NR11:NU11)-NV11,"")</f>
        <v>21.577500000000001</v>
      </c>
      <c r="OH11" s="11" t="e">
        <f>IF(OR(OC11&lt;&gt;"",OE11&lt;&gt;"",OG11&lt;&gt;""),OC11+MAX(OE11,OG11),"")</f>
        <v>#VALUE!</v>
      </c>
      <c r="OI11" s="11">
        <f>IF(NY11&gt;0,NY11,"")</f>
        <v>7.1</v>
      </c>
      <c r="OJ11" s="11">
        <f t="shared" ref="OJ11" si="2">IF(SUM(NW11:NZ11)-OA11&gt;0,SUM(NW11:NZ11)-OA11,"")</f>
        <v>25.842499999999998</v>
      </c>
      <c r="OK11" s="11" t="e">
        <f t="shared" ref="OK11" si="3">IF(SUM(OH11,OJ11)&gt;0,SUM(OH11,OJ11),"")</f>
        <v>#VALUE!</v>
      </c>
    </row>
    <row r="12" spans="1:401" x14ac:dyDescent="0.2">
      <c r="A12" s="5" t="str" cm="1">
        <f t="array" ref="A12">IF(AND(F12="P",G12="P"),SUMPRODUCT((F$4:F$32="P")*(G$4:G$32="P")*(E$4:E$32&gt;E12))+1,IF(G12="P",SUMPRODUCT((F$4:F$32="")*(G$4:G$32="P")*(E$4:E$32&gt;E12))+1+SUMPRODUCT((F$4:F$32="P")*(G$4:G$32="P")),""))</f>
        <v/>
      </c>
      <c r="B12" s="6" t="s">
        <v>74</v>
      </c>
      <c r="C12" s="7" t="s">
        <v>4</v>
      </c>
      <c r="D12" s="22">
        <v>2003</v>
      </c>
      <c r="E12" s="15">
        <f>SUM(I12:M12)+I12*0.0000001</f>
        <v>102.00000513499999</v>
      </c>
      <c r="F12" s="3" t="str">
        <f>IF(OR(AND(AL12&gt;=AS$34,AM12&gt;=AS$38,AL12&lt;&gt;"",AJ12=""),AND(AN12&gt;=AS$34,AO12&gt;=AS$38,AN12&lt;&gt;"",AN12=""),AND(AQ12&gt;=AS$34,AR12&gt;=AS$38,AQ12&lt;&gt;"",AJ12=""),AND(BP12&gt;=BW$34,BQ12&gt;=BW$38,BP12&lt;&gt;"",BN12=""),AND(BR12&gt;=BW$34,BS12&gt;=BW$38,BR12&lt;&gt;"",BN12=""),AND(BU12&gt;=BW$34,BV12&gt;=BW$38,BU12&lt;&gt;"",BN12=""),AND(CT12&gt;=DA$34,CU12&gt;=DA$38,CT12&lt;&gt;"",CR12=""),AND(CV12&gt;=DA$34,CW12&gt;=DA$38,CV12&lt;&gt;"",CR12=""),AND(CY12&gt;=DA$34,CZ12&gt;=DA$38,CY12&lt;&gt;"",CR12=""),AND(DS12&gt;=DY$34,DU12&gt;=DY$38,DS12&lt;&gt;""),AND(DW12&gt;=DY$34,DX12&gt;=DY$38,DW12&lt;&gt;""),AND(EO12&gt;=EU$34,EQ12&gt;=EU$38,EO12&lt;&gt;""),AND(ES12&gt;=EU$34,ET12&gt;=EU$38,ES12&lt;&gt;""),AND(FK12&gt;=FQ$34,FM12&gt;=FQ$38,FK12&lt;&gt;""),AND(FO12&gt;=FQ$34,FP12&gt;=FQ$38,FO12&lt;&gt;""),AND(GG12&gt;=GM$34,GI12&gt;=GM$38,GG12&lt;&gt;""),AND(GK12&gt;=GM$34,GL12&gt;=GM$38,GK12&lt;&gt;""),AND(HC12&gt;=HI$34,HE12&gt;=HI$38,HC12&lt;&gt;""),AND(HG12&gt;=HI$34,HH12&gt;=HI$38,HG12&lt;&gt;""),AND(HY12&gt;=IE$34,IA12&gt;=IE$38,HY12&lt;&gt;""),AND(IC12&gt;=IE$34,ID12&gt;=IE$38,IC12&lt;&gt;""),AND(IU12&gt;=JA$34,IW12&gt;=JA$38,IU12&lt;&gt;""),AND(IY12&gt;=JA$34,IZ12&gt;=JA$38,IY12&lt;&gt;""),AND(JQ12&gt;=JW$34,JS12&gt;=JW$38,JQ12&lt;&gt;""),AND(JU12&gt;=JW$34,JV12&gt;=JW$38,JU12&lt;&gt;""),AND(KM12&gt;=KS$34,KO12&gt;=KS$38,KM12&lt;&gt;""),AND(KQ12&gt;=KS$34,KR12&gt;=KS$38,KQ12&lt;&gt;""),AND(LI12&gt;=LO$34,LK12&gt;=LO$38,LI12&lt;&gt;""),AND(LM12&gt;=LO$34,LN12&gt;=LO$38,LM12&lt;&gt;""),AND(ME12&gt;=MK$34,MG12&gt;=MK$38,ME12&lt;&gt;""),AND(MI12&gt;=MK$34,MJ12&gt;=MK$38,MI12&lt;&gt;""),AND(NA12&gt;=NG$34,NC12&gt;=NG$38,NA12&lt;&gt;""),AND(NE12&gt;=NG$34,NF12&gt;=NG$38,NE12&lt;&gt;"")),"P","")</f>
        <v/>
      </c>
      <c r="G12" s="3" t="str">
        <f>IF(OR(AND(AM12&gt;=AS$38,AL12&lt;&gt;"",AJ12=""),AND(AO12&gt;=AS$38,AN12&lt;&gt;"",AN12=""),AND(AR12&gt;=AS$38,AQ12&lt;&gt;"",AJ12=""),AND(BQ12&gt;=BW$38,BP12&lt;&gt;"",BN12=""),AND(BS12&gt;=BW$38,BR12&lt;&gt;"",BN12=""),AND(BV12&gt;=BW$38,BU12&lt;&gt;"",BN12=""),AND(CU12&gt;=DA$38,CT12&lt;&gt;"",CR12=""),AND(CW12&gt;=DA$38,CV12&lt;&gt;"",CR12=""),AND(CZ12&gt;=DA$38,CY12&lt;&gt;"",CR12=""),AND(DU12&gt;=DY$38,DS12&lt;&gt;""),AND(DX12&gt;=DY$38,DW12&lt;&gt;""),AND(EQ12&gt;=EU$38,EO12&lt;&gt;""),AND(ET12&gt;=EU$38,ES12&lt;&gt;""),AND(FM12&gt;=FQ$38,FK12&lt;&gt;""),AND(FP12&gt;=FQ$38,FO12&lt;&gt;""),AND(GI12&gt;=GM$38,GG12&lt;&gt;""),AND(GL12&gt;=GM$38,GK12&lt;&gt;""),AND(HE12&gt;=HI$38,HC12&lt;&gt;""),AND(HH12&gt;=HI$38,HG12&lt;&gt;""),AND(IA12&gt;=IE$38,HY12&lt;&gt;""),AND(ID12&gt;=IE$38,IC12&lt;&gt;""),AND(IW12&gt;=JA$38,IU12&lt;&gt;""),AND(IZ12&gt;=JA$38,IY12&lt;&gt;""),AND(JS12&gt;=JW$38,JQ12&lt;&gt;""),AND(JV12&gt;=JW$38,JU12&lt;&gt;""),AND(KO12&gt;=KS$38,KM12&lt;&gt;""),AND(KR12&gt;=KS$38,KQ12&lt;&gt;""),AND(LK12&gt;=LO$38,LI12&lt;&gt;""),AND(LN12&gt;=LO$38,LM12&lt;&gt;""),AND(MG12&gt;=MK$38,ME12&lt;&gt;""),AND(MJ12&gt;=MK$38,MI12&lt;&gt;""),AND(NC12&gt;=NG$38,NA12&lt;&gt;""),AND(NF12&gt;=NG$38,NE12&lt;&gt;"")),"P","")</f>
        <v/>
      </c>
      <c r="H12" s="67" t="str">
        <f>IF(F12="P","National Team",IF(G12="P","No DD",""))</f>
        <v/>
      </c>
      <c r="I12" s="14">
        <f>MAX(AM12,AO12,AR12,BQ12,BS12,BV12,CU12,CW12,CZ12)</f>
        <v>51.35</v>
      </c>
      <c r="J12" s="14" t="str">
        <f>IF(I12=0,"",IF(OR(I12=CW12,I12=CU12,I12=CZ12),$BX$1,IF(OR(I12=BS12,I12=BQ12,I12=BV12),$AT$1,IF(OR(I12=AO12,I12=AM12,I12=AR12),$P$1,""))))</f>
        <v>2021 Elite Canada</v>
      </c>
      <c r="K12" s="14">
        <f>IF(COUNT(AM12,AO12,AR12,BQ12,BS12,BV12,CU12,CW12,CZ12)&gt;1,LARGE((AM12,AO12,AR12,BQ12,BS12,BV12,CU12,CW12,CZ12),2),0)</f>
        <v>50.65</v>
      </c>
      <c r="L12" s="14" t="str">
        <f>IF(K12=0,"",IF(OR(K12=CW12,K12=CU12,K12=CZ12),$BX$1,IF(OR(K12=BS12,K12=BQ12,K12=BV12),$AT$1,IF(OR(K12=AO12,K12=AM12,K12=AR12),$P$1,""))))</f>
        <v>2021 Elite Canada</v>
      </c>
      <c r="M12" s="14" t="str">
        <f>IF(MAX(DB12,DC12)&gt;0,MAX(DB12,DC12),"")</f>
        <v/>
      </c>
      <c r="N12" s="20" t="str">
        <f>IF(M12="","",IF(M12=#REF!,"(Vol 1)",IF(M12=DB12,"(Vol 2)",IF(M12=#REF!,"(Prelim)",IF(M12=DC12,"(Final)")))))</f>
        <v/>
      </c>
      <c r="O12" s="14" t="str">
        <f>IF(M12="","",IF(M12=#REF!,IF(M12+IF(#REF!="",0,#REF!)=NB12,$ML$1,IF(M12+IF(#REF!="",0,#REF!)=MF12,$LP$1,IF(M12+IF(#REF!="",0,#REF!)=LJ12,$KT$1,IF(M12+IF(#REF!="",0,#REF!)=KN12,$JX$1,IF(M12+IF(#REF!="",0,#REF!)=JR12,$JB$1,IF(M12+IF(#REF!="",0,#REF!)=IV12,$IF$1,IF(M12+IF(#REF!="",0,#REF!)=HZ12,$HJ$1,IF(M12+IF(#REF!="",0,#REF!)=HD12,$GN$1,IF(M12+IF(#REF!="",0,#REF!)=GH12,$FR$1,IF(M12+IF(#REF!="",0,#REF!)=FL12,$EV$1,IF(M12+IF(#REF!="",0,#REF!)=EP12,$DZ$1,IF(M12+IF(#REF!="",0,#REF!)=DT12,$DD$1)))))))))))),IF(M12=DB12,IF(M12+IF(I12="",0,I12)=NC12,$ML$1,IF(M12+IF(I12="",0,I12)=MG12,$LP$1,IF(M12+IF(I12="",0,I12)=LK12,$KT$1,IF(M12+IF(I12="",0,I12)=KO12,$JX$1,IF(M12+IF(I12="",0,I12)=JS12,$JB$1,IF(M12+IF(I12="",0,I12)=IW12,$IF$1,IF(M12+IF(I12="",0,I12)=IA12,$HJ$1,IF(M12+IF(I12="",0,I12)=HE12,$GN$1,IF(M12+IF(I12="",0,I12)=GI12,$FR$1,IF(M12+IF(I12="",0,I12)=FM12,$EV$1,IF(M12+IF(I12="",0,I12)=EQ12,$DZ$1,IF(M12+IF(I12="",0,I12)=DU12,$DD$1)))))))))))),IF(M12=#REF!,IF(M12+IF(#REF!="",0,#REF!)=ND12,$ML$1,IF(M12+IF(#REF!="",0,#REF!)=MH12,$LP$1,IF(M12+IF(#REF!="",0,#REF!)=LL12,$KT$1,IF(M12+IF(#REF!="",0,#REF!)=KP12,$JX$1,IF(M12+IF(#REF!="",0,#REF!)=JT12,$JB$1,IF(M12+IF(#REF!="",0,#REF!)=IX12,$IF$1,IF(M12+IF(#REF!="",0,#REF!)=IB12,$HJ$1,IF(M12+IF(#REF!="",0,#REF!)=HF12,$GN$1,IF(M12+IF(#REF!="",0,#REF!)=GJ12,$FR$1,IF(M12+IF(#REF!="",0,#REF!)=FN12,$EV$1,IF(M12+IF(#REF!="",0,#REF!)=ER12,$DZ$1,IF(M12+IF(#REF!="",0,#REF!)=DV12,$DD$1)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))</f>
        <v/>
      </c>
      <c r="P12" s="38">
        <v>16</v>
      </c>
      <c r="Q12" s="38">
        <v>9.1999999999999993</v>
      </c>
      <c r="R12" s="38">
        <v>5.2</v>
      </c>
      <c r="S12" s="38">
        <v>14.965</v>
      </c>
      <c r="T12" s="38">
        <v>0</v>
      </c>
      <c r="U12" s="38">
        <v>13.4</v>
      </c>
      <c r="V12" s="38">
        <v>9</v>
      </c>
      <c r="W12" s="38">
        <v>13.5</v>
      </c>
      <c r="X12" s="38">
        <v>14.75</v>
      </c>
      <c r="Y12" s="38">
        <v>0</v>
      </c>
      <c r="Z12" s="38">
        <v>14.2</v>
      </c>
      <c r="AA12" s="38">
        <v>9</v>
      </c>
      <c r="AB12" s="38">
        <v>13.5</v>
      </c>
      <c r="AC12" s="38">
        <v>14.65</v>
      </c>
      <c r="AD12" s="38">
        <v>0</v>
      </c>
      <c r="AE12" s="38">
        <v>13.7</v>
      </c>
      <c r="AF12" s="38">
        <v>8.9</v>
      </c>
      <c r="AG12" s="38">
        <v>12.1</v>
      </c>
      <c r="AH12" s="38">
        <v>14.43</v>
      </c>
      <c r="AI12" s="38">
        <v>0</v>
      </c>
      <c r="AJ12" s="45"/>
      <c r="AK12" s="11">
        <f>IF(SUM(P12:S12)-T12&gt;0,SUM(P12:S12)-T12,"")</f>
        <v>45.364999999999995</v>
      </c>
      <c r="AL12" s="11">
        <f>IF(W12&gt;0,W12,"")</f>
        <v>13.5</v>
      </c>
      <c r="AM12" s="11">
        <f>IF(SUM(U12:X12)-Y12&gt;0,SUM(U12:X12)-Y12,"")</f>
        <v>50.65</v>
      </c>
      <c r="AN12" s="11">
        <f>IF(AB12&gt;0,AB12,"")</f>
        <v>13.5</v>
      </c>
      <c r="AO12" s="11">
        <f>IF(SUM(Z12:AC12)-AD12&gt;0,SUM(Z12:AC12)-AD12,"")</f>
        <v>51.35</v>
      </c>
      <c r="AP12" s="11">
        <f>IF(AK12="",IF(MAX(AM12,AO12)&gt;0,MAX(AM12,AO12),""),MAX(AM12,AO12)+AK12)</f>
        <v>96.715000000000003</v>
      </c>
      <c r="AQ12" s="11">
        <f>IF(AG12&gt;0,AG12,"")</f>
        <v>12.1</v>
      </c>
      <c r="AR12" s="11">
        <f>IF(SUM(AE12:AH12)-AI12&gt;0,SUM(AE12:AH12)-AI12,"")</f>
        <v>49.13</v>
      </c>
      <c r="AS12" s="11">
        <f>IF(SUM(AP12,AR12)&gt;0,SUM(AP12,AR12),"")</f>
        <v>145.845</v>
      </c>
      <c r="AT12" s="42">
        <v>16</v>
      </c>
      <c r="AU12" s="42">
        <v>9.3000000000000007</v>
      </c>
      <c r="AV12" s="42">
        <v>5.2</v>
      </c>
      <c r="AW12" s="42">
        <v>15.385</v>
      </c>
      <c r="AX12" s="42">
        <v>0</v>
      </c>
      <c r="AY12" s="42">
        <v>10.199999999999999</v>
      </c>
      <c r="AZ12" s="42">
        <v>6.6</v>
      </c>
      <c r="BA12" s="42">
        <v>9.6</v>
      </c>
      <c r="BB12" s="42">
        <v>12.215</v>
      </c>
      <c r="BC12" s="42">
        <v>0</v>
      </c>
      <c r="BD12" s="42">
        <v>9.8000000000000007</v>
      </c>
      <c r="BE12" s="42">
        <v>6.6</v>
      </c>
      <c r="BF12" s="42">
        <v>9.6</v>
      </c>
      <c r="BG12" s="42">
        <v>10.914999999999999</v>
      </c>
      <c r="BH12" s="42">
        <v>0</v>
      </c>
      <c r="BI12" s="42">
        <v>2.8</v>
      </c>
      <c r="BJ12" s="42">
        <v>1.8</v>
      </c>
      <c r="BK12" s="42">
        <v>2.7</v>
      </c>
      <c r="BL12" s="42">
        <v>3.15</v>
      </c>
      <c r="BM12" s="42">
        <v>0</v>
      </c>
      <c r="BN12" s="46"/>
      <c r="BO12" s="14">
        <f>IF(SUM(AT12:AW12)-AX12&gt;0,SUM(AT12:AW12)-AX12,"")</f>
        <v>45.884999999999998</v>
      </c>
      <c r="BP12" s="14">
        <f>IF(BA12&gt;0,BA12,"")</f>
        <v>9.6</v>
      </c>
      <c r="BQ12" s="14">
        <f>IF(SUM(AY12:BB12)-BC12&gt;0,SUM(AY12:BB12)-BC12,"")</f>
        <v>38.614999999999995</v>
      </c>
      <c r="BR12" s="14">
        <f>IF(BF12&gt;0,BF12,"")</f>
        <v>9.6</v>
      </c>
      <c r="BS12" s="14">
        <f>IF(SUM(BD12:BG12)-BH12&gt;0,SUM(BD12:BG12)-BH12,"")</f>
        <v>36.914999999999999</v>
      </c>
      <c r="BT12" s="14">
        <f>IF(BO12="",IF(MAX(BQ12,BS12)&gt;0,MAX(BQ12,BS12),""),MAX(BQ12,BS12)+BO12)</f>
        <v>84.5</v>
      </c>
      <c r="BU12" s="14">
        <f>IF(BK12&gt;0,BK12,"")</f>
        <v>2.7</v>
      </c>
      <c r="BV12" s="14">
        <f>IF(SUM(BI12:BL12)-BM12&gt;0,SUM(BI12:BL12)-BM12,"")</f>
        <v>10.45</v>
      </c>
      <c r="BW12" s="14">
        <f>IF(SUM(BT12,BV12)&gt;0,SUM(BT12,BV12),"")</f>
        <v>94.95</v>
      </c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45"/>
      <c r="CS12" s="11" t="str">
        <f>IF(SUM(BX12:CA12)-CB12&gt;0,SUM(BX12:CA12)-CB12,"")</f>
        <v/>
      </c>
      <c r="CT12" s="11" t="str">
        <f>IF(CE12&gt;0,CE12,"")</f>
        <v/>
      </c>
      <c r="CU12" s="11" t="str">
        <f>IF(SUM(CC12:CF12)-CG12&gt;0,SUM(CC12:CF12)-CG12,"")</f>
        <v/>
      </c>
      <c r="CV12" s="11" t="str">
        <f>IF(CJ12&gt;0,CJ12,"")</f>
        <v/>
      </c>
      <c r="CW12" s="11" t="str">
        <f>IF(SUM(CH12:CK12)-CL12&gt;0,SUM(CH12:CK12)-CL12,"")</f>
        <v/>
      </c>
      <c r="CX12" s="11" t="str">
        <f>IF(CS12="",IF(MAX(CU12,CW12)&gt;0,MAX(CU12,CW12),""),MAX(CU12,CW12)+CS12)</f>
        <v/>
      </c>
      <c r="CY12" s="11" t="str">
        <f>IF(CO12&gt;0,CO12,"")</f>
        <v/>
      </c>
      <c r="CZ12" s="11" t="str">
        <f>IF(SUM(CM12:CP12)-CQ12&gt;0,SUM(CM12:CP12)-CQ12,"")</f>
        <v/>
      </c>
      <c r="DA12" s="11" t="str">
        <f>IF(SUM(CX12,CZ12)&gt;0,SUM(CX12,CZ12),"")</f>
        <v/>
      </c>
      <c r="DB12" s="19" t="str">
        <f>IF(I12&gt;=0.001,IF(MAX(DU12,EQ12,FM12,GI12,HE12,IA12,IW12,JS12,KO12,LK12,MG12,NC12)-IF(I12="",0,I12)&gt;0.001,MAX(DU12,EQ12,FM12,GI12,HE12,IA12,IW12,JS12,KO12,LK12,MG12,NC12)-IF(I12="",0,I12),""),"")</f>
        <v/>
      </c>
      <c r="DC12" s="19" t="str">
        <f>IF(K12&gt;=0.001,IF(MAX(DX12,ET12,FP12,GL12,HH12,ID12,IZ12,JV12,KR12,LN12,MJ12,NF12)-IF(K12="",0,K12)&gt;0.001,MAX(DX12,ET12,FP12,GL12,HH12,ID12,IZ12,JV12,KR12,LN12,MJ12,NF12)-IF(K12="",0,K12),""),"")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8">
        <f>IF($CR12="P",BX12,(BX12+AT12)/2)</f>
        <v>8</v>
      </c>
      <c r="NI12" s="38">
        <f>IF($CR12="P",BY12,(BY12+AU12)/2)</f>
        <v>4.6500000000000004</v>
      </c>
      <c r="NJ12" s="38">
        <f>IF($CR12="P",BZ12,(BZ12+AV12)/2)</f>
        <v>2.6</v>
      </c>
      <c r="NK12" s="38">
        <f>IF($CR12="P",CA12,(CA12+AW12)/2)</f>
        <v>7.6924999999999999</v>
      </c>
      <c r="NL12" s="38">
        <f>IF($CR12="P",CB12,(CB12+AX12)/2)</f>
        <v>0</v>
      </c>
      <c r="NM12" s="38">
        <f>IF($CR12="P",CC12,(CC12+AY12)/2)</f>
        <v>5.0999999999999996</v>
      </c>
      <c r="NN12" s="38">
        <f>IF($CR12="P",CD12,(CD12+AZ12)/2)</f>
        <v>3.3</v>
      </c>
      <c r="NO12" s="38">
        <f>IF($CR12="P",CE12,(CE12+BA12)/2)</f>
        <v>4.8</v>
      </c>
      <c r="NP12" s="38">
        <f>IF($CR12="P",CF12,(CF12+BB12)/2)</f>
        <v>6.1074999999999999</v>
      </c>
      <c r="NQ12" s="38">
        <f>IF($CR12="P",CG12,(CG12+BC12)/2)</f>
        <v>0</v>
      </c>
      <c r="NR12" s="38">
        <f>IF($CR12="P",CH12,(CH12+BD12)/2)</f>
        <v>4.9000000000000004</v>
      </c>
      <c r="NS12" s="38">
        <f>IF($CR12="P",CI12,(CI12+BE12)/2)</f>
        <v>3.3</v>
      </c>
      <c r="NT12" s="38">
        <f>IF($CR12="P",CJ12,(CJ12+BF12)/2)</f>
        <v>4.8</v>
      </c>
      <c r="NU12" s="38">
        <f>IF($CR12="P",CK12,(CK12+BG12)/2)</f>
        <v>5.4574999999999996</v>
      </c>
      <c r="NV12" s="38">
        <f>IF($CR12="P",CL12,(CL12+BH12)/2)</f>
        <v>0</v>
      </c>
      <c r="NW12" s="38">
        <f>IF($CR12="P",CM12,(CM12+BI12)/2)</f>
        <v>1.4</v>
      </c>
      <c r="NX12" s="38">
        <f>IF($CR12="P",CN12,(CN12+BJ12)/2)</f>
        <v>0.9</v>
      </c>
      <c r="NY12" s="38">
        <f>IF($CR12="P",CO12,(CO12+BK12)/2)</f>
        <v>1.35</v>
      </c>
      <c r="NZ12" s="38">
        <f>IF($CR12="P",CP12,(CP12+BL12)/2)</f>
        <v>1.575</v>
      </c>
      <c r="OA12" s="38">
        <f>IF($CR12="P",CQ12,(CQ12+BM12)/2)</f>
        <v>0</v>
      </c>
      <c r="OB12" s="45" t="s">
        <v>46</v>
      </c>
      <c r="OC12" s="11">
        <f>IF(SUM(NH12:NK12)-NL12&gt;0,SUM(NH12:NK12)-NL12,"")</f>
        <v>22.942499999999999</v>
      </c>
      <c r="OD12" s="11">
        <f>IF(NO12&gt;0,NO12,"")</f>
        <v>4.8</v>
      </c>
      <c r="OE12" s="11">
        <f>IF(SUM(NM12:NP12)-NQ12&gt;0,SUM(NM12:NP12)-NQ12,"")</f>
        <v>19.307499999999997</v>
      </c>
      <c r="OF12" s="11">
        <f>IF(NT12&gt;0,NT12,"")</f>
        <v>4.8</v>
      </c>
      <c r="OG12" s="11">
        <f>IF(SUM(NR12:NU12)-NV12&gt;0,SUM(NR12:NU12)-NV12,"")</f>
        <v>18.4575</v>
      </c>
      <c r="OH12" s="11">
        <f>IF(OR(OC12&lt;&gt;"",OE12&lt;&gt;"",OG12&lt;&gt;""),OC12+MAX(OE12,OG12),"")</f>
        <v>42.25</v>
      </c>
      <c r="OI12" s="11">
        <f>IF(NY12&gt;0,NY12,"")</f>
        <v>1.35</v>
      </c>
      <c r="OJ12" s="11">
        <f t="shared" ref="OJ12" si="4">IF(SUM(NW12:NZ12)-OA12&gt;0,SUM(NW12:NZ12)-OA12,"")</f>
        <v>5.2249999999999996</v>
      </c>
      <c r="OK12" s="11">
        <f t="shared" ref="OK12" si="5">IF(SUM(OH12,OJ12)&gt;0,SUM(OH12,OJ12),"")</f>
        <v>47.475000000000001</v>
      </c>
    </row>
    <row r="13" spans="1:401" x14ac:dyDescent="0.2">
      <c r="A13" s="5" t="str" cm="1">
        <f t="array" ref="A13">IF(AND(F13="P",G13="P"),SUMPRODUCT((F$4:F$32="P")*(G$4:G$32="P")*(E$4:E$32&gt;E13))+1,IF(G13="P",SUMPRODUCT((F$4:F$32="")*(G$4:G$32="P")*(E$4:E$32&gt;E13))+1+SUMPRODUCT((F$4:F$32="P")*(G$4:G$32="P")),""))</f>
        <v/>
      </c>
      <c r="B13" s="6" t="s">
        <v>88</v>
      </c>
      <c r="C13" s="7" t="s">
        <v>4</v>
      </c>
      <c r="D13" s="22">
        <v>2004</v>
      </c>
      <c r="E13" s="15">
        <f>SUM(I13:M13)+I13*0.0000001</f>
        <v>101.81000512399999</v>
      </c>
      <c r="F13" s="3" t="str">
        <f>IF(OR(AND(AL13&gt;=AS$34,AM13&gt;=AS$38,AL13&lt;&gt;"",AJ13=""),AND(AN13&gt;=AS$34,AO13&gt;=AS$38,AN13&lt;&gt;"",AN13=""),AND(AQ13&gt;=AS$34,AR13&gt;=AS$38,AQ13&lt;&gt;"",AJ13=""),AND(BP13&gt;=BW$34,BQ13&gt;=BW$38,BP13&lt;&gt;"",BN13=""),AND(BR13&gt;=BW$34,BS13&gt;=BW$38,BR13&lt;&gt;"",BN13=""),AND(BU13&gt;=BW$34,BV13&gt;=BW$38,BU13&lt;&gt;"",BN13=""),AND(CT13&gt;=DA$34,CU13&gt;=DA$38,CT13&lt;&gt;"",CR13=""),AND(CV13&gt;=DA$34,CW13&gt;=DA$38,CV13&lt;&gt;"",CR13=""),AND(CY13&gt;=DA$34,CZ13&gt;=DA$38,CY13&lt;&gt;"",CR13=""),AND(DS13&gt;=DY$34,DU13&gt;=DY$38,DS13&lt;&gt;""),AND(DW13&gt;=DY$34,DX13&gt;=DY$38,DW13&lt;&gt;""),AND(EO13&gt;=EU$34,EQ13&gt;=EU$38,EO13&lt;&gt;""),AND(ES13&gt;=EU$34,ET13&gt;=EU$38,ES13&lt;&gt;""),AND(FK13&gt;=FQ$34,FM13&gt;=FQ$38,FK13&lt;&gt;""),AND(FO13&gt;=FQ$34,FP13&gt;=FQ$38,FO13&lt;&gt;""),AND(GG13&gt;=GM$34,GI13&gt;=GM$38,GG13&lt;&gt;""),AND(GK13&gt;=GM$34,GL13&gt;=GM$38,GK13&lt;&gt;""),AND(HC13&gt;=HI$34,HE13&gt;=HI$38,HC13&lt;&gt;""),AND(HG13&gt;=HI$34,HH13&gt;=HI$38,HG13&lt;&gt;""),AND(HY13&gt;=IE$34,IA13&gt;=IE$38,HY13&lt;&gt;""),AND(IC13&gt;=IE$34,ID13&gt;=IE$38,IC13&lt;&gt;""),AND(IU13&gt;=JA$34,IW13&gt;=JA$38,IU13&lt;&gt;""),AND(IY13&gt;=JA$34,IZ13&gt;=JA$38,IY13&lt;&gt;""),AND(JQ13&gt;=JW$34,JS13&gt;=JW$38,JQ13&lt;&gt;""),AND(JU13&gt;=JW$34,JV13&gt;=JW$38,JU13&lt;&gt;""),AND(KM13&gt;=KS$34,KO13&gt;=KS$38,KM13&lt;&gt;""),AND(KQ13&gt;=KS$34,KR13&gt;=KS$38,KQ13&lt;&gt;""),AND(LI13&gt;=LO$34,LK13&gt;=LO$38,LI13&lt;&gt;""),AND(LM13&gt;=LO$34,LN13&gt;=LO$38,LM13&lt;&gt;""),AND(ME13&gt;=MK$34,MG13&gt;=MK$38,ME13&lt;&gt;""),AND(MI13&gt;=MK$34,MJ13&gt;=MK$38,MI13&lt;&gt;""),AND(NA13&gt;=NG$34,NC13&gt;=NG$38,NA13&lt;&gt;""),AND(NE13&gt;=NG$34,NF13&gt;=NG$38,NE13&lt;&gt;"")),"P","")</f>
        <v/>
      </c>
      <c r="G13" s="3" t="str">
        <f>IF(OR(AND(AM13&gt;=AS$38,AL13&lt;&gt;"",AJ13=""),AND(AO13&gt;=AS$38,AN13&lt;&gt;"",AN13=""),AND(AR13&gt;=AS$38,AQ13&lt;&gt;"",AJ13=""),AND(BQ13&gt;=BW$38,BP13&lt;&gt;"",BN13=""),AND(BS13&gt;=BW$38,BR13&lt;&gt;"",BN13=""),AND(BV13&gt;=BW$38,BU13&lt;&gt;"",BN13=""),AND(CU13&gt;=DA$38,CT13&lt;&gt;"",CR13=""),AND(CW13&gt;=DA$38,CV13&lt;&gt;"",CR13=""),AND(CZ13&gt;=DA$38,CY13&lt;&gt;"",CR13=""),AND(DU13&gt;=DY$38,DS13&lt;&gt;""),AND(DX13&gt;=DY$38,DW13&lt;&gt;""),AND(EQ13&gt;=EU$38,EO13&lt;&gt;""),AND(ET13&gt;=EU$38,ES13&lt;&gt;""),AND(FM13&gt;=FQ$38,FK13&lt;&gt;""),AND(FP13&gt;=FQ$38,FO13&lt;&gt;""),AND(GI13&gt;=GM$38,GG13&lt;&gt;""),AND(GL13&gt;=GM$38,GK13&lt;&gt;""),AND(HE13&gt;=HI$38,HC13&lt;&gt;""),AND(HH13&gt;=HI$38,HG13&lt;&gt;""),AND(IA13&gt;=IE$38,HY13&lt;&gt;""),AND(ID13&gt;=IE$38,IC13&lt;&gt;""),AND(IW13&gt;=JA$38,IU13&lt;&gt;""),AND(IZ13&gt;=JA$38,IY13&lt;&gt;""),AND(JS13&gt;=JW$38,JQ13&lt;&gt;""),AND(JV13&gt;=JW$38,JU13&lt;&gt;""),AND(KO13&gt;=KS$38,KM13&lt;&gt;""),AND(KR13&gt;=KS$38,KQ13&lt;&gt;""),AND(LK13&gt;=LO$38,LI13&lt;&gt;""),AND(LN13&gt;=LO$38,LM13&lt;&gt;""),AND(MG13&gt;=MK$38,ME13&lt;&gt;""),AND(MJ13&gt;=MK$38,MI13&lt;&gt;""),AND(NC13&gt;=NG$38,NA13&lt;&gt;""),AND(NF13&gt;=NG$38,NE13&lt;&gt;"")),"P","")</f>
        <v/>
      </c>
      <c r="H13" s="67" t="str">
        <f>IF(F13="P","National Team",IF(G13="P","No DD",""))</f>
        <v/>
      </c>
      <c r="I13" s="14">
        <f>MAX(AM13,AO13,AR13,BQ13,BS13,BV13,CU13,CW13,CZ13)</f>
        <v>51.239999999999995</v>
      </c>
      <c r="J13" s="14" t="str">
        <f>IF(I13=0,"",IF(OR(I13=CW13,I13=CU13,I13=CZ13),$BX$1,IF(OR(I13=BS13,I13=BQ13,I13=BV13),$AT$1,IF(OR(I13=AO13,I13=AM13,I13=AR13),$P$1,""))))</f>
        <v>2022 Elite Canada</v>
      </c>
      <c r="K13" s="14">
        <f>IF(COUNT(AM13,AO13,AR13,BQ13,BS13,BV13,CU13,CW13,CZ13)&gt;1,LARGE((AM13,AO13,AR13,BQ13,BS13,BV13,CU13,CW13,CZ13),2),0)</f>
        <v>50.569999999999993</v>
      </c>
      <c r="L13" s="14" t="str">
        <f>IF(K13=0,"",IF(OR(K13=CW13,K13=CU13,K13=CZ13),$BX$1,IF(OR(K13=BS13,K13=BQ13,K13=BV13),$AT$1,IF(OR(K13=AO13,K13=AM13,K13=AR13),$P$1,""))))</f>
        <v>2022 Elite Canada</v>
      </c>
      <c r="M13" s="14" t="str">
        <f>IF(MAX(DB13,DC13)&gt;0,MAX(DB13,DC13),"")</f>
        <v/>
      </c>
      <c r="N13" s="20" t="str">
        <f>IF(M13="","",IF(M13=#REF!,"(Vol 1)",IF(M13=DB13,"(Vol 2)",IF(M13=#REF!,"(Prelim)",IF(M13=DC13,"(Final)")))))</f>
        <v/>
      </c>
      <c r="O13" s="14" t="str">
        <f>IF(M13="","",IF(M13=#REF!,IF(M13+IF(#REF!="",0,#REF!)=NB13,$ML$1,IF(M13+IF(#REF!="",0,#REF!)=MF13,$LP$1,IF(M13+IF(#REF!="",0,#REF!)=LJ13,$KT$1,IF(M13+IF(#REF!="",0,#REF!)=KN13,$JX$1,IF(M13+IF(#REF!="",0,#REF!)=JR13,$JB$1,IF(M13+IF(#REF!="",0,#REF!)=IV13,$IF$1,IF(M13+IF(#REF!="",0,#REF!)=HZ13,$HJ$1,IF(M13+IF(#REF!="",0,#REF!)=HD13,$GN$1,IF(M13+IF(#REF!="",0,#REF!)=GH13,$FR$1,IF(M13+IF(#REF!="",0,#REF!)=FL13,$EV$1,IF(M13+IF(#REF!="",0,#REF!)=EP13,$DZ$1,IF(M13+IF(#REF!="",0,#REF!)=DT13,$DD$1)))))))))))),IF(M13=DB13,IF(M13+IF(I13="",0,I13)=NC13,$ML$1,IF(M13+IF(I13="",0,I13)=MG13,$LP$1,IF(M13+IF(I13="",0,I13)=LK13,$KT$1,IF(M13+IF(I13="",0,I13)=KO13,$JX$1,IF(M13+IF(I13="",0,I13)=JS13,$JB$1,IF(M13+IF(I13="",0,I13)=IW13,$IF$1,IF(M13+IF(I13="",0,I13)=IA13,$HJ$1,IF(M13+IF(I13="",0,I13)=HE13,$GN$1,IF(M13+IF(I13="",0,I13)=GI13,$FR$1,IF(M13+IF(I13="",0,I13)=FM13,$EV$1,IF(M13+IF(I13="",0,I13)=EQ13,$DZ$1,IF(M13+IF(I13="",0,I13)=DU13,$DD$1)))))))))))),IF(M13=#REF!,IF(M13+IF(#REF!="",0,#REF!)=ND13,$ML$1,IF(M13+IF(#REF!="",0,#REF!)=MH13,$LP$1,IF(M13+IF(#REF!="",0,#REF!)=LL13,$KT$1,IF(M13+IF(#REF!="",0,#REF!)=KP13,$JX$1,IF(M13+IF(#REF!="",0,#REF!)=JT13,$JB$1,IF(M13+IF(#REF!="",0,#REF!)=IX13,$IF$1,IF(M13+IF(#REF!="",0,#REF!)=IB13,$HJ$1,IF(M13+IF(#REF!="",0,#REF!)=HF13,$GN$1,IF(M13+IF(#REF!="",0,#REF!)=GJ13,$FR$1,IF(M13+IF(#REF!="",0,#REF!)=FN13,$EV$1,IF(M13+IF(#REF!="",0,#REF!)=ER13,$DZ$1,IF(M13+IF(#REF!="",0,#REF!)=DV13,$DD$1)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))</f>
        <v/>
      </c>
      <c r="P13" s="38">
        <v>15.5</v>
      </c>
      <c r="Q13" s="38">
        <v>9.3000000000000007</v>
      </c>
      <c r="R13" s="38">
        <v>2.5</v>
      </c>
      <c r="S13" s="38">
        <v>15.824999999999999</v>
      </c>
      <c r="T13" s="38">
        <v>0</v>
      </c>
      <c r="U13" s="38">
        <v>13.2</v>
      </c>
      <c r="V13" s="38">
        <v>9.6</v>
      </c>
      <c r="W13" s="38">
        <v>11.3</v>
      </c>
      <c r="X13" s="38">
        <v>15.39</v>
      </c>
      <c r="Y13" s="38">
        <v>0</v>
      </c>
      <c r="Z13" s="38"/>
      <c r="AA13" s="38"/>
      <c r="AB13" s="38"/>
      <c r="AC13" s="38"/>
      <c r="AD13" s="38"/>
      <c r="AE13" s="38">
        <v>13.5</v>
      </c>
      <c r="AF13" s="38">
        <v>9.4</v>
      </c>
      <c r="AG13" s="38">
        <v>10.4</v>
      </c>
      <c r="AH13" s="38">
        <v>15.23</v>
      </c>
      <c r="AI13" s="38">
        <v>0</v>
      </c>
      <c r="AJ13" s="45"/>
      <c r="AK13" s="11">
        <f>IF(SUM(P13:S13)-T13&gt;0,SUM(P13:S13)-T13,"")</f>
        <v>43.125</v>
      </c>
      <c r="AL13" s="11">
        <f>IF(W13&gt;0,W13,"")</f>
        <v>11.3</v>
      </c>
      <c r="AM13" s="11">
        <f>IF(SUM(U13:X13)-Y13&gt;0,SUM(U13:X13)-Y13,"")</f>
        <v>49.489999999999995</v>
      </c>
      <c r="AN13" s="11" t="str">
        <f>IF(AB13&gt;0,AB13,"")</f>
        <v/>
      </c>
      <c r="AO13" s="11" t="str">
        <f>IF(SUM(Z13:AC13)-AD13&gt;0,SUM(Z13:AC13)-AD13,"")</f>
        <v/>
      </c>
      <c r="AP13" s="11">
        <f>IF(AK13="",IF(MAX(AM13,AO13)&gt;0,MAX(AM13,AO13),""),MAX(AM13,AO13)+AK13)</f>
        <v>92.614999999999995</v>
      </c>
      <c r="AQ13" s="11">
        <f>IF(AG13&gt;0,AG13,"")</f>
        <v>10.4</v>
      </c>
      <c r="AR13" s="11">
        <f>IF(SUM(AE13:AH13)-AI13&gt;0,SUM(AE13:AH13)-AI13,"")</f>
        <v>48.53</v>
      </c>
      <c r="AS13" s="11">
        <f>IF(SUM(AP13,AR13)&gt;0,SUM(AP13,AR13),"")</f>
        <v>141.14499999999998</v>
      </c>
      <c r="AT13" s="42">
        <v>16</v>
      </c>
      <c r="AU13" s="42">
        <v>8.5</v>
      </c>
      <c r="AV13" s="42">
        <v>2.5</v>
      </c>
      <c r="AW13" s="42">
        <v>15.105</v>
      </c>
      <c r="AX13" s="42">
        <v>0</v>
      </c>
      <c r="AY13" s="42">
        <v>14.6</v>
      </c>
      <c r="AZ13" s="42">
        <v>9.1</v>
      </c>
      <c r="BA13" s="42">
        <v>11.2</v>
      </c>
      <c r="BB13" s="42">
        <v>14.64</v>
      </c>
      <c r="BC13" s="42">
        <v>0</v>
      </c>
      <c r="BD13" s="42"/>
      <c r="BE13" s="42"/>
      <c r="BF13" s="42"/>
      <c r="BG13" s="42"/>
      <c r="BH13" s="42"/>
      <c r="BI13" s="42">
        <v>13.8</v>
      </c>
      <c r="BJ13" s="42">
        <v>8.6</v>
      </c>
      <c r="BK13" s="42">
        <v>11.2</v>
      </c>
      <c r="BL13" s="42">
        <v>14.404999999999999</v>
      </c>
      <c r="BM13" s="42">
        <v>0</v>
      </c>
      <c r="BN13" s="46"/>
      <c r="BO13" s="14">
        <f>IF(SUM(AT13:AW13)-AX13&gt;0,SUM(AT13:AW13)-AX13,"")</f>
        <v>42.105000000000004</v>
      </c>
      <c r="BP13" s="14">
        <f>IF(BA13&gt;0,BA13,"")</f>
        <v>11.2</v>
      </c>
      <c r="BQ13" s="14">
        <f>IF(SUM(AY13:BB13)-BC13&gt;0,SUM(AY13:BB13)-BC13,"")</f>
        <v>49.54</v>
      </c>
      <c r="BR13" s="14" t="str">
        <f>IF(BF13&gt;0,BF13,"")</f>
        <v/>
      </c>
      <c r="BS13" s="14" t="str">
        <f>IF(SUM(BD13:BG13)-BH13&gt;0,SUM(BD13:BG13)-BH13,"")</f>
        <v/>
      </c>
      <c r="BT13" s="14">
        <f>IF(BO13="",IF(MAX(BQ13,BS13)&gt;0,MAX(BQ13,BS13),""),MAX(BQ13,BS13)+BO13)</f>
        <v>91.64500000000001</v>
      </c>
      <c r="BU13" s="14">
        <f>IF(BK13&gt;0,BK13,"")</f>
        <v>11.2</v>
      </c>
      <c r="BV13" s="14">
        <f>IF(SUM(BI13:BL13)-BM13&gt;0,SUM(BI13:BL13)-BM13,"")</f>
        <v>48.004999999999995</v>
      </c>
      <c r="BW13" s="14">
        <f>IF(SUM(BT13,BV13)&gt;0,SUM(BT13,BV13),"")</f>
        <v>139.65</v>
      </c>
      <c r="BX13" s="38">
        <v>16.3</v>
      </c>
      <c r="BY13" s="38">
        <v>9.6</v>
      </c>
      <c r="BZ13" s="38">
        <v>1.3</v>
      </c>
      <c r="CA13" s="38">
        <v>15.71</v>
      </c>
      <c r="CB13" s="38">
        <v>0</v>
      </c>
      <c r="CC13" s="38">
        <v>14.7</v>
      </c>
      <c r="CD13" s="38">
        <v>8.6</v>
      </c>
      <c r="CE13" s="38">
        <v>12.3</v>
      </c>
      <c r="CF13" s="38">
        <v>15.64</v>
      </c>
      <c r="CG13" s="38">
        <v>0</v>
      </c>
      <c r="CH13" s="38"/>
      <c r="CI13" s="38"/>
      <c r="CJ13" s="38"/>
      <c r="CK13" s="38"/>
      <c r="CL13" s="38"/>
      <c r="CM13" s="38">
        <v>14.2</v>
      </c>
      <c r="CN13" s="38">
        <v>8.6</v>
      </c>
      <c r="CO13" s="38">
        <v>12.3</v>
      </c>
      <c r="CP13" s="38">
        <v>15.47</v>
      </c>
      <c r="CQ13" s="38">
        <v>0</v>
      </c>
      <c r="CR13" s="45"/>
      <c r="CS13" s="11">
        <f>IF(SUM(BX13:CA13)-CB13&gt;0,SUM(BX13:CA13)-CB13,"")</f>
        <v>42.91</v>
      </c>
      <c r="CT13" s="11">
        <f>IF(CE13&gt;0,CE13,"")</f>
        <v>12.3</v>
      </c>
      <c r="CU13" s="11">
        <f>IF(SUM(CC13:CF13)-CG13&gt;0,SUM(CC13:CF13)-CG13,"")</f>
        <v>51.239999999999995</v>
      </c>
      <c r="CV13" s="11" t="str">
        <f>IF(CJ13&gt;0,CJ13,"")</f>
        <v/>
      </c>
      <c r="CW13" s="11" t="str">
        <f>IF(SUM(CH13:CK13)-CL13&gt;0,SUM(CH13:CK13)-CL13,"")</f>
        <v/>
      </c>
      <c r="CX13" s="11">
        <f>IF(CS13="",IF(MAX(CU13,CW13)&gt;0,MAX(CU13,CW13),""),MAX(CU13,CW13)+CS13)</f>
        <v>94.149999999999991</v>
      </c>
      <c r="CY13" s="11">
        <f>IF(CO13&gt;0,CO13,"")</f>
        <v>12.3</v>
      </c>
      <c r="CZ13" s="11">
        <f>IF(SUM(CM13:CP13)-CQ13&gt;0,SUM(CM13:CP13)-CQ13,"")</f>
        <v>50.569999999999993</v>
      </c>
      <c r="DA13" s="11">
        <f>IF(SUM(CX13,CZ13)&gt;0,SUM(CX13,CZ13),"")</f>
        <v>144.71999999999997</v>
      </c>
      <c r="DB13" s="19" t="str">
        <f>IF(I13&gt;=0.001,IF(MAX(DU13,EQ13,FM13,GI13,HE13,IA13,IW13,JS13,KO13,LK13,MG13,NC13)-IF(I13="",0,I13)&gt;0.001,MAX(DU13,EQ13,FM13,GI13,HE13,IA13,IW13,JS13,KO13,LK13,MG13,NC13)-IF(I13="",0,I13),""),"")</f>
        <v/>
      </c>
      <c r="DC13" s="19" t="str">
        <f>IF(K13&gt;=0.001,IF(MAX(DX13,ET13,FP13,GL13,HH13,ID13,IZ13,JV13,KR13,LN13,MJ13,NF13)-IF(K13="",0,K13)&gt;0.001,MAX(DX13,ET13,FP13,GL13,HH13,ID13,IZ13,JV13,KR13,LN13,MJ13,NF13)-IF(K13="",0,K13),""),"")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8">
        <f>IF($CR13="P",BX13,(BX13+AT13)/2)</f>
        <v>16.149999999999999</v>
      </c>
      <c r="NI13" s="38">
        <f>IF($CR13="P",BY13,(BY13+AU13)/2)</f>
        <v>9.0500000000000007</v>
      </c>
      <c r="NJ13" s="38">
        <f>IF($CR13="P",BZ13,(BZ13+AV13)/2)</f>
        <v>1.9</v>
      </c>
      <c r="NK13" s="38">
        <f>IF($CR13="P",CA13,(CA13+AW13)/2)</f>
        <v>15.407500000000001</v>
      </c>
      <c r="NL13" s="38">
        <f>IF($CR13="P",CB13,(CB13+AX13)/2)</f>
        <v>0</v>
      </c>
      <c r="NM13" s="38">
        <f>IF($CR13="P",CC13,(CC13+AY13)/2)</f>
        <v>14.649999999999999</v>
      </c>
      <c r="NN13" s="38">
        <f>IF($CR13="P",CD13,(CD13+AZ13)/2)</f>
        <v>8.85</v>
      </c>
      <c r="NO13" s="38">
        <f>IF($CR13="P",CE13,(CE13+BA13)/2)</f>
        <v>11.75</v>
      </c>
      <c r="NP13" s="38">
        <f>IF($CR13="P",CF13,(CF13+BB13)/2)</f>
        <v>15.14</v>
      </c>
      <c r="NQ13" s="38">
        <f>IF($CR13="P",CG13,(CG13+BC13)/2)</f>
        <v>0</v>
      </c>
      <c r="NR13" s="38">
        <f>IF($CR13="P",CH13,(CH13+BD13)/2)</f>
        <v>0</v>
      </c>
      <c r="NS13" s="38">
        <f>IF($CR13="P",CI13,(CI13+BE13)/2)</f>
        <v>0</v>
      </c>
      <c r="NT13" s="38">
        <f>IF($CR13="P",CJ13,(CJ13+BF13)/2)</f>
        <v>0</v>
      </c>
      <c r="NU13" s="38">
        <f>IF($CR13="P",CK13,(CK13+BG13)/2)</f>
        <v>0</v>
      </c>
      <c r="NV13" s="38">
        <f>IF($CR13="P",CL13,(CL13+BH13)/2)</f>
        <v>0</v>
      </c>
      <c r="NW13" s="38">
        <f>IF($CR13="P",CM13,(CM13+BI13)/2)</f>
        <v>14</v>
      </c>
      <c r="NX13" s="38">
        <f>IF($CR13="P",CN13,(CN13+BJ13)/2)</f>
        <v>8.6</v>
      </c>
      <c r="NY13" s="38">
        <f>IF($CR13="P",CO13,(CO13+BK13)/2)</f>
        <v>11.75</v>
      </c>
      <c r="NZ13" s="38">
        <f>IF($CR13="P",CP13,(CP13+BL13)/2)</f>
        <v>14.9375</v>
      </c>
      <c r="OA13" s="38">
        <f>IF($CR13="P",CQ13,(CQ13+BM13)/2)</f>
        <v>0</v>
      </c>
      <c r="OB13" s="45" t="s">
        <v>46</v>
      </c>
      <c r="OC13" s="11">
        <f>IF(SUM(NH13:NK13)-NL13&gt;0,SUM(NH13:NK13)-NL13,"")</f>
        <v>42.5075</v>
      </c>
      <c r="OD13" s="11">
        <f>IF(NO13&gt;0,NO13,"")</f>
        <v>11.75</v>
      </c>
      <c r="OE13" s="11">
        <f>IF(SUM(NM13:NP13)-NQ13&gt;0,SUM(NM13:NP13)-NQ13,"")</f>
        <v>50.39</v>
      </c>
      <c r="OF13" s="11" t="str">
        <f>IF(NT13&gt;0,NT13,"")</f>
        <v/>
      </c>
      <c r="OG13" s="11" t="str">
        <f>IF(SUM(NR13:NU13)-NV13&gt;0,SUM(NR13:NU13)-NV13,"")</f>
        <v/>
      </c>
      <c r="OH13" s="11">
        <f>IF(OR(OC13&lt;&gt;"",OE13&lt;&gt;"",OG13&lt;&gt;""),OC13+MAX(OE13,OG13),"")</f>
        <v>92.897500000000008</v>
      </c>
      <c r="OI13" s="11">
        <f>IF(NY13&gt;0,NY13,"")</f>
        <v>11.75</v>
      </c>
      <c r="OJ13" s="11">
        <f t="shared" ref="OJ13" si="6">IF(SUM(NW13:NZ13)-OA13&gt;0,SUM(NW13:NZ13)-OA13,"")</f>
        <v>49.287500000000001</v>
      </c>
      <c r="OK13" s="11">
        <f t="shared" ref="OK13" si="7">IF(SUM(OH13,OJ13)&gt;0,SUM(OH13,OJ13),"")</f>
        <v>142.185</v>
      </c>
    </row>
    <row r="14" spans="1:401" x14ac:dyDescent="0.2">
      <c r="A14" s="5" t="str" cm="1">
        <f t="array" ref="A14">IF(AND(F14="P",G14="P"),SUMPRODUCT((F$4:F$32="P")*(G$4:G$32="P")*(E$4:E$32&gt;E14))+1,IF(G14="P",SUMPRODUCT((F$4:F$32="")*(G$4:G$32="P")*(E$4:E$32&gt;E14))+1+SUMPRODUCT((F$4:F$32="P")*(G$4:G$32="P")),""))</f>
        <v/>
      </c>
      <c r="B14" s="6" t="s">
        <v>109</v>
      </c>
      <c r="C14" s="7" t="s">
        <v>3</v>
      </c>
      <c r="D14" s="22">
        <v>2001</v>
      </c>
      <c r="E14" s="15">
        <f>SUM(I14:M14)+I14*0.0000001</f>
        <v>99.99000500199999</v>
      </c>
      <c r="F14" s="3" t="str">
        <f>IF(OR(AND(AL14&gt;=AS$34,AM14&gt;=AS$38,AL14&lt;&gt;"",AJ14=""),AND(AN14&gt;=AS$34,AO14&gt;=AS$38,AN14&lt;&gt;"",AN14=""),AND(AQ14&gt;=AS$34,AR14&gt;=AS$38,AQ14&lt;&gt;"",AJ14=""),AND(BP14&gt;=BW$34,BQ14&gt;=BW$38,BP14&lt;&gt;"",BN14=""),AND(BR14&gt;=BW$34,BS14&gt;=BW$38,BR14&lt;&gt;"",BN14=""),AND(BU14&gt;=BW$34,BV14&gt;=BW$38,BU14&lt;&gt;"",BN14=""),AND(CT14&gt;=DA$34,CU14&gt;=DA$38,CT14&lt;&gt;"",CR14=""),AND(CV14&gt;=DA$34,CW14&gt;=DA$38,CV14&lt;&gt;"",CR14=""),AND(CY14&gt;=DA$34,CZ14&gt;=DA$38,CY14&lt;&gt;"",CR14=""),AND(DS14&gt;=DY$34,DU14&gt;=DY$38,DS14&lt;&gt;""),AND(DW14&gt;=DY$34,DX14&gt;=DY$38,DW14&lt;&gt;""),AND(EO14&gt;=EU$34,EQ14&gt;=EU$38,EO14&lt;&gt;""),AND(ES14&gt;=EU$34,ET14&gt;=EU$38,ES14&lt;&gt;""),AND(FK14&gt;=FQ$34,FM14&gt;=FQ$38,FK14&lt;&gt;""),AND(FO14&gt;=FQ$34,FP14&gt;=FQ$38,FO14&lt;&gt;""),AND(GG14&gt;=GM$34,GI14&gt;=GM$38,GG14&lt;&gt;""),AND(GK14&gt;=GM$34,GL14&gt;=GM$38,GK14&lt;&gt;""),AND(HC14&gt;=HI$34,HE14&gt;=HI$38,HC14&lt;&gt;""),AND(HG14&gt;=HI$34,HH14&gt;=HI$38,HG14&lt;&gt;""),AND(HY14&gt;=IE$34,IA14&gt;=IE$38,HY14&lt;&gt;""),AND(IC14&gt;=IE$34,ID14&gt;=IE$38,IC14&lt;&gt;""),AND(IU14&gt;=JA$34,IW14&gt;=JA$38,IU14&lt;&gt;""),AND(IY14&gt;=JA$34,IZ14&gt;=JA$38,IY14&lt;&gt;""),AND(JQ14&gt;=JW$34,JS14&gt;=JW$38,JQ14&lt;&gt;""),AND(JU14&gt;=JW$34,JV14&gt;=JW$38,JU14&lt;&gt;""),AND(KM14&gt;=KS$34,KO14&gt;=KS$38,KM14&lt;&gt;""),AND(KQ14&gt;=KS$34,KR14&gt;=KS$38,KQ14&lt;&gt;""),AND(LI14&gt;=LO$34,LK14&gt;=LO$38,LI14&lt;&gt;""),AND(LM14&gt;=LO$34,LN14&gt;=LO$38,LM14&lt;&gt;""),AND(ME14&gt;=MK$34,MG14&gt;=MK$38,ME14&lt;&gt;""),AND(MI14&gt;=MK$34,MJ14&gt;=MK$38,MI14&lt;&gt;""),AND(NA14&gt;=NG$34,NC14&gt;=NG$38,NA14&lt;&gt;""),AND(NE14&gt;=NG$34,NF14&gt;=NG$38,NE14&lt;&gt;"")),"P","")</f>
        <v/>
      </c>
      <c r="G14" s="3" t="str">
        <f>IF(OR(AND(AM14&gt;=AS$38,AL14&lt;&gt;"",AJ14=""),AND(AO14&gt;=AS$38,AN14&lt;&gt;"",AN14=""),AND(AR14&gt;=AS$38,AQ14&lt;&gt;"",AJ14=""),AND(BQ14&gt;=BW$38,BP14&lt;&gt;"",BN14=""),AND(BS14&gt;=BW$38,BR14&lt;&gt;"",BN14=""),AND(BV14&gt;=BW$38,BU14&lt;&gt;"",BN14=""),AND(CU14&gt;=DA$38,CT14&lt;&gt;"",CR14=""),AND(CW14&gt;=DA$38,CV14&lt;&gt;"",CR14=""),AND(CZ14&gt;=DA$38,CY14&lt;&gt;"",CR14=""),AND(DU14&gt;=DY$38,DS14&lt;&gt;""),AND(DX14&gt;=DY$38,DW14&lt;&gt;""),AND(EQ14&gt;=EU$38,EO14&lt;&gt;""),AND(ET14&gt;=EU$38,ES14&lt;&gt;""),AND(FM14&gt;=FQ$38,FK14&lt;&gt;""),AND(FP14&gt;=FQ$38,FO14&lt;&gt;""),AND(GI14&gt;=GM$38,GG14&lt;&gt;""),AND(GL14&gt;=GM$38,GK14&lt;&gt;""),AND(HE14&gt;=HI$38,HC14&lt;&gt;""),AND(HH14&gt;=HI$38,HG14&lt;&gt;""),AND(IA14&gt;=IE$38,HY14&lt;&gt;""),AND(ID14&gt;=IE$38,IC14&lt;&gt;""),AND(IW14&gt;=JA$38,IU14&lt;&gt;""),AND(IZ14&gt;=JA$38,IY14&lt;&gt;""),AND(JS14&gt;=JW$38,JQ14&lt;&gt;""),AND(JV14&gt;=JW$38,JU14&lt;&gt;""),AND(KO14&gt;=KS$38,KM14&lt;&gt;""),AND(KR14&gt;=KS$38,KQ14&lt;&gt;""),AND(LK14&gt;=LO$38,LI14&lt;&gt;""),AND(LN14&gt;=LO$38,LM14&lt;&gt;""),AND(MG14&gt;=MK$38,ME14&lt;&gt;""),AND(MJ14&gt;=MK$38,MI14&lt;&gt;""),AND(NC14&gt;=NG$38,NA14&lt;&gt;""),AND(NF14&gt;=NG$38,NE14&lt;&gt;"")),"P","")</f>
        <v/>
      </c>
      <c r="H14" s="67" t="str">
        <f>IF(F14="P","National Team",IF(G14="P","No DD",""))</f>
        <v/>
      </c>
      <c r="I14" s="14">
        <f>MAX(AM14,AO14,AR14,BQ14,BS14,BV14,CU14,CW14,CZ14)</f>
        <v>50.019999999999996</v>
      </c>
      <c r="J14" s="14" t="str">
        <f>IF(I14=0,"",IF(OR(I14=CW14,I14=CU14,I14=CZ14),$BX$1,IF(OR(I14=BS14,I14=BQ14,I14=BV14),$AT$1,IF(OR(I14=AO14,I14=AM14,I14=AR14),$P$1,""))))</f>
        <v>2021 Canadian Championships</v>
      </c>
      <c r="K14" s="14">
        <f>IF(COUNT(AM14,AO14,AR14,BQ14,BS14,BV14,CU14,CW14,CZ14)&gt;1,LARGE((AM14,AO14,AR14,BQ14,BS14,BV14,CU14,CW14,CZ14),2),0)</f>
        <v>49.97</v>
      </c>
      <c r="L14" s="14" t="str">
        <f>IF(K14=0,"",IF(OR(K14=CW14,K14=CU14,K14=CZ14),$BX$1,IF(OR(K14=BS14,K14=BQ14,K14=BV14),$AT$1,IF(OR(K14=AO14,K14=AM14,K14=AR14),$P$1,""))))</f>
        <v>2021 Elite Canada</v>
      </c>
      <c r="M14" s="14" t="str">
        <f>IF(MAX(DB14,DC14)&gt;0,MAX(DB14,DC14),"")</f>
        <v/>
      </c>
      <c r="N14" s="20" t="str">
        <f>IF(M14="","",IF(M14=#REF!,"(Vol 1)",IF(M14=DB14,"(Vol 2)",IF(M14=#REF!,"(Prelim)",IF(M14=DC14,"(Final)")))))</f>
        <v/>
      </c>
      <c r="O14" s="14" t="str">
        <f>IF(M14="","",IF(M14=#REF!,IF(M14+IF(#REF!="",0,#REF!)=NB14,$ML$1,IF(M14+IF(#REF!="",0,#REF!)=MF14,$LP$1,IF(M14+IF(#REF!="",0,#REF!)=LJ14,$KT$1,IF(M14+IF(#REF!="",0,#REF!)=KN14,$JX$1,IF(M14+IF(#REF!="",0,#REF!)=JR14,$JB$1,IF(M14+IF(#REF!="",0,#REF!)=IV14,$IF$1,IF(M14+IF(#REF!="",0,#REF!)=HZ14,$HJ$1,IF(M14+IF(#REF!="",0,#REF!)=HD14,$GN$1,IF(M14+IF(#REF!="",0,#REF!)=GH14,$FR$1,IF(M14+IF(#REF!="",0,#REF!)=FL14,$EV$1,IF(M14+IF(#REF!="",0,#REF!)=EP14,$DZ$1,IF(M14+IF(#REF!="",0,#REF!)=DT14,$DD$1)))))))))))),IF(M14=DB14,IF(M14+IF(I14="",0,I14)=NC14,$ML$1,IF(M14+IF(I14="",0,I14)=MG14,$LP$1,IF(M14+IF(I14="",0,I14)=LK14,$KT$1,IF(M14+IF(I14="",0,I14)=KO14,$JX$1,IF(M14+IF(I14="",0,I14)=JS14,$JB$1,IF(M14+IF(I14="",0,I14)=IW14,$IF$1,IF(M14+IF(I14="",0,I14)=IA14,$HJ$1,IF(M14+IF(I14="",0,I14)=HE14,$GN$1,IF(M14+IF(I14="",0,I14)=GI14,$FR$1,IF(M14+IF(I14="",0,I14)=FM14,$EV$1,IF(M14+IF(I14="",0,I14)=EQ14,$DZ$1,IF(M14+IF(I14="",0,I14)=DU14,$DD$1)))))))))))),IF(M14=#REF!,IF(M14+IF(#REF!="",0,#REF!)=ND14,$ML$1,IF(M14+IF(#REF!="",0,#REF!)=MH14,$LP$1,IF(M14+IF(#REF!="",0,#REF!)=LL14,$KT$1,IF(M14+IF(#REF!="",0,#REF!)=KP14,$JX$1,IF(M14+IF(#REF!="",0,#REF!)=JT14,$JB$1,IF(M14+IF(#REF!="",0,#REF!)=IX14,$IF$1,IF(M14+IF(#REF!="",0,#REF!)=IB14,$HJ$1,IF(M14+IF(#REF!="",0,#REF!)=HF14,$GN$1,IF(M14+IF(#REF!="",0,#REF!)=GJ14,$FR$1,IF(M14+IF(#REF!="",0,#REF!)=FN14,$EV$1,IF(M14+IF(#REF!="",0,#REF!)=ER14,$DZ$1,IF(M14+IF(#REF!="",0,#REF!)=DV14,$DD$1)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))</f>
        <v/>
      </c>
      <c r="P14" s="38">
        <v>16.100000000000001</v>
      </c>
      <c r="Q14" s="38">
        <v>10</v>
      </c>
      <c r="R14" s="38">
        <v>2.2000000000000002</v>
      </c>
      <c r="S14" s="38">
        <v>14.805</v>
      </c>
      <c r="T14" s="38">
        <v>0.2</v>
      </c>
      <c r="U14" s="38">
        <v>14.4</v>
      </c>
      <c r="V14" s="38">
        <v>9.8000000000000007</v>
      </c>
      <c r="W14" s="38">
        <v>11.2</v>
      </c>
      <c r="X14" s="38">
        <v>14.77</v>
      </c>
      <c r="Y14" s="38">
        <v>0.2</v>
      </c>
      <c r="Z14" s="38"/>
      <c r="AA14" s="38"/>
      <c r="AB14" s="38"/>
      <c r="AC14" s="38"/>
      <c r="AD14" s="38"/>
      <c r="AE14" s="38">
        <v>14.6</v>
      </c>
      <c r="AF14" s="38">
        <v>9.1999999999999993</v>
      </c>
      <c r="AG14" s="38">
        <v>11.2</v>
      </c>
      <c r="AH14" s="38">
        <v>14.795</v>
      </c>
      <c r="AI14" s="38">
        <v>0.2</v>
      </c>
      <c r="AJ14" s="45"/>
      <c r="AK14" s="11">
        <f>IF(SUM(P14:S14)-T14&gt;0,SUM(P14:S14)-T14,"")</f>
        <v>42.905000000000001</v>
      </c>
      <c r="AL14" s="11">
        <f>IF(W14&gt;0,W14,"")</f>
        <v>11.2</v>
      </c>
      <c r="AM14" s="11">
        <f>IF(SUM(U14:X14)-Y14&gt;0,SUM(U14:X14)-Y14,"")</f>
        <v>49.97</v>
      </c>
      <c r="AN14" s="11" t="str">
        <f>IF(AB14&gt;0,AB14,"")</f>
        <v/>
      </c>
      <c r="AO14" s="11" t="str">
        <f>IF(SUM(Z14:AC14)-AD14&gt;0,SUM(Z14:AC14)-AD14,"")</f>
        <v/>
      </c>
      <c r="AP14" s="11">
        <f>IF(AK14="",IF(MAX(AM14,AO14)&gt;0,MAX(AM14,AO14),""),MAX(AM14,AO14)+AK14)</f>
        <v>92.875</v>
      </c>
      <c r="AQ14" s="11">
        <f>IF(AG14&gt;0,AG14,"")</f>
        <v>11.2</v>
      </c>
      <c r="AR14" s="11">
        <f>IF(SUM(AE14:AH14)-AI14&gt;0,SUM(AE14:AH14)-AI14,"")</f>
        <v>49.594999999999999</v>
      </c>
      <c r="AS14" s="11">
        <f>IF(SUM(AP14,AR14)&gt;0,SUM(AP14,AR14),"")</f>
        <v>142.47</v>
      </c>
      <c r="AT14" s="42">
        <v>16.5</v>
      </c>
      <c r="AU14" s="42">
        <v>9.5</v>
      </c>
      <c r="AV14" s="42">
        <v>2.2000000000000002</v>
      </c>
      <c r="AW14" s="42">
        <v>14.994999999999999</v>
      </c>
      <c r="AX14" s="42">
        <v>0</v>
      </c>
      <c r="AY14" s="42">
        <v>12.9</v>
      </c>
      <c r="AZ14" s="42">
        <v>9</v>
      </c>
      <c r="BA14" s="42">
        <v>11.8</v>
      </c>
      <c r="BB14" s="42">
        <v>14.93</v>
      </c>
      <c r="BC14" s="42">
        <v>0</v>
      </c>
      <c r="BD14" s="42"/>
      <c r="BE14" s="42"/>
      <c r="BF14" s="42"/>
      <c r="BG14" s="42"/>
      <c r="BH14" s="42"/>
      <c r="BI14" s="42">
        <v>13.4</v>
      </c>
      <c r="BJ14" s="42">
        <v>9.5</v>
      </c>
      <c r="BK14" s="42">
        <v>12</v>
      </c>
      <c r="BL14" s="42">
        <v>15.12</v>
      </c>
      <c r="BM14" s="42">
        <v>0</v>
      </c>
      <c r="BN14" s="46"/>
      <c r="BO14" s="14">
        <f>IF(SUM(AT14:AW14)-AX14&gt;0,SUM(AT14:AW14)-AX14,"")</f>
        <v>43.195</v>
      </c>
      <c r="BP14" s="14">
        <f>IF(BA14&gt;0,BA14,"")</f>
        <v>11.8</v>
      </c>
      <c r="BQ14" s="14">
        <f>IF(SUM(AY14:BB14)-BC14&gt;0,SUM(AY14:BB14)-BC14,"")</f>
        <v>48.63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91.825000000000003</v>
      </c>
      <c r="BU14" s="14">
        <f>IF(BK14&gt;0,BK14,"")</f>
        <v>12</v>
      </c>
      <c r="BV14" s="14">
        <f>IF(SUM(BI14:BL14)-BM14&gt;0,SUM(BI14:BL14)-BM14,"")</f>
        <v>50.019999999999996</v>
      </c>
      <c r="BW14" s="14">
        <f>IF(SUM(BT14,BV14)&gt;0,SUM(BT14,BV14),"")</f>
        <v>141.845</v>
      </c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45"/>
      <c r="CS14" s="11" t="str">
        <f>IF(SUM(BX14:CA14)-CB14&gt;0,SUM(BX14:CA14)-CB14,"")</f>
        <v/>
      </c>
      <c r="CT14" s="11" t="str">
        <f>IF(CE14&gt;0,CE14,"")</f>
        <v/>
      </c>
      <c r="CU14" s="11" t="str">
        <f>IF(SUM(CC14:CF14)-CG14&gt;0,SUM(CC14:CF14)-CG14,"")</f>
        <v/>
      </c>
      <c r="CV14" s="11" t="str">
        <f>IF(CJ14&gt;0,CJ14,"")</f>
        <v/>
      </c>
      <c r="CW14" s="11" t="str">
        <f>IF(SUM(CH14:CK14)-CL14&gt;0,SUM(CH14:CK14)-CL14,"")</f>
        <v/>
      </c>
      <c r="CX14" s="11" t="str">
        <f>IF(CS14="",IF(MAX(CU14,CW14)&gt;0,MAX(CU14,CW14),""),MAX(CU14,CW14)+CS14)</f>
        <v/>
      </c>
      <c r="CY14" s="11" t="str">
        <f>IF(CO14&gt;0,CO14,"")</f>
        <v/>
      </c>
      <c r="CZ14" s="11" t="str">
        <f>IF(SUM(CM14:CP14)-CQ14&gt;0,SUM(CM14:CP14)-CQ14,"")</f>
        <v/>
      </c>
      <c r="DA14" s="11" t="str">
        <f>IF(SUM(CX14,CZ14)&gt;0,SUM(CX14,CZ14),"")</f>
        <v/>
      </c>
      <c r="DB14" s="19" t="str">
        <f>IF(I14&gt;=0.001,IF(MAX(DU14,EQ14,FM14,GI14,HE14,IA14,IW14,JS14,KO14,LK14,MG14,NC14)-IF(I14="",0,I14)&gt;0.001,MAX(DU14,EQ14,FM14,GI14,HE14,IA14,IW14,JS14,KO14,LK14,MG14,NC14)-IF(I14="",0,I14),""),"")</f>
        <v/>
      </c>
      <c r="DC14" s="19" t="str">
        <f>IF(K14&gt;=0.001,IF(MAX(DX14,ET14,FP14,GL14,HH14,ID14,IZ14,JV14,KR14,LN14,MJ14,NF14)-IF(K14="",0,K14)&gt;0.001,MAX(DX14,ET14,FP14,GL14,HH14,ID14,IZ14,JV14,KR14,LN14,MJ14,NF14)-IF(K14="",0,K14),""),"")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11" t="str">
        <f>IF(DK14&gt;0,DK14,"")</f>
        <v/>
      </c>
      <c r="DT14" s="11" t="str">
        <f>IF(SUM(DD14:DG14)-DH14&gt;0,SUM(DD14:DG14)-DH14,"")</f>
        <v/>
      </c>
      <c r="DU14" s="11" t="str">
        <f>IF(SUM(DI14:DL14)-DM14&gt;0,SUM(DI14:DL14)-DM14,"")</f>
        <v/>
      </c>
      <c r="DV14" s="11" t="str">
        <f>IF(SUM(DT14:DU14)&gt;0,SUM(DT14:DU14),"")</f>
        <v/>
      </c>
      <c r="DW14" s="11" t="str">
        <f>IF(DP14&gt;0,DP14,"")</f>
        <v/>
      </c>
      <c r="DX14" s="11" t="str">
        <f>IF(SUM(DN14:DQ14)-DR14&gt;0,SUM(DN14:DQ14)-DR14,"")</f>
        <v/>
      </c>
      <c r="DY14" s="11" t="str">
        <f>IF(SUM(DV14,DX14)&gt;0,SUM(DV14,DX14),"")</f>
        <v/>
      </c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11" t="str">
        <f>IF(FC14&gt;0,FC14,"")</f>
        <v/>
      </c>
      <c r="FL14" s="11" t="str">
        <f>IF(SUM(EV14:EY14)-EZ14&gt;0,SUM(EV14:EY14)-EZ14,"")</f>
        <v/>
      </c>
      <c r="FM14" s="11" t="str">
        <f>IF(SUM(FA14:FD14)-FE14&gt;0,SUM(FA14:FD14)-FE14,"")</f>
        <v/>
      </c>
      <c r="FN14" s="11" t="str">
        <f>IF(SUM(FL14:FM14)&gt;0,SUM(FL14:FM14),"")</f>
        <v/>
      </c>
      <c r="FO14" s="11" t="str">
        <f>IF(FH14&gt;0,FH14,"")</f>
        <v/>
      </c>
      <c r="FP14" s="11" t="str">
        <f>IF(SUM(FF14:FI14)-FJ14&gt;0,SUM(FF14:FI14)-FJ14,"")</f>
        <v/>
      </c>
      <c r="FQ14" s="11" t="str">
        <f>IF(SUM(FN14,FP14)&gt;0,SUM(FN14,FP14),"")</f>
        <v/>
      </c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8">
        <f>IF($CR14="P",BX14,(BX14+AT14)/2)</f>
        <v>8.25</v>
      </c>
      <c r="NI14" s="38">
        <f>IF($CR14="P",BY14,(BY14+AU14)/2)</f>
        <v>4.75</v>
      </c>
      <c r="NJ14" s="38">
        <f>IF($CR14="P",BZ14,(BZ14+AV14)/2)</f>
        <v>1.1000000000000001</v>
      </c>
      <c r="NK14" s="38">
        <f>IF($CR14="P",CA14,(CA14+AW14)/2)</f>
        <v>7.4974999999999996</v>
      </c>
      <c r="NL14" s="38">
        <f>IF($CR14="P",CB14,(CB14+AX14)/2)</f>
        <v>0</v>
      </c>
      <c r="NM14" s="38">
        <f>IF($CR14="P",CC14,(CC14+AY14)/2)</f>
        <v>6.45</v>
      </c>
      <c r="NN14" s="38">
        <f>IF($CR14="P",CD14,(CD14+AZ14)/2)</f>
        <v>4.5</v>
      </c>
      <c r="NO14" s="38">
        <f>IF($CR14="P",CE14,(CE14+BA14)/2)</f>
        <v>5.9</v>
      </c>
      <c r="NP14" s="38">
        <f>IF($CR14="P",CF14,(CF14+BB14)/2)</f>
        <v>7.4649999999999999</v>
      </c>
      <c r="NQ14" s="38">
        <f>IF($CR14="P",CG14,(CG14+BC14)/2)</f>
        <v>0</v>
      </c>
      <c r="NR14" s="38">
        <f>IF($CR14="P",CH14,(CH14+BD14)/2)</f>
        <v>0</v>
      </c>
      <c r="NS14" s="38">
        <f>IF($CR14="P",CI14,(CI14+BE14)/2)</f>
        <v>0</v>
      </c>
      <c r="NT14" s="38">
        <f>IF($CR14="P",CJ14,(CJ14+BF14)/2)</f>
        <v>0</v>
      </c>
      <c r="NU14" s="38">
        <f>IF($CR14="P",CK14,(CK14+BG14)/2)</f>
        <v>0</v>
      </c>
      <c r="NV14" s="38">
        <f>IF($CR14="P",CL14,(CL14+BH14)/2)</f>
        <v>0</v>
      </c>
      <c r="NW14" s="38">
        <f>IF($CR14="P",CM14,(CM14+BI14)/2)</f>
        <v>6.7</v>
      </c>
      <c r="NX14" s="38">
        <f>IF($CR14="P",CN14,(CN14+BJ14)/2)</f>
        <v>4.75</v>
      </c>
      <c r="NY14" s="38">
        <f>IF($CR14="P",CO14,(CO14+BK14)/2)</f>
        <v>6</v>
      </c>
      <c r="NZ14" s="38">
        <f>IF($CR14="P",CP14,(CP14+BL14)/2)</f>
        <v>7.56</v>
      </c>
      <c r="OA14" s="38">
        <f>IF($CR14="P",CQ14,(CQ14+BM14)/2)</f>
        <v>0</v>
      </c>
      <c r="OB14" s="45" t="s">
        <v>46</v>
      </c>
      <c r="OC14" s="11">
        <f>IF(SUM(NH14:NK14)-NL14&gt;0,SUM(NH14:NK14)-NL14,"")</f>
        <v>21.5975</v>
      </c>
      <c r="OD14" s="11">
        <f>IF(NO14&gt;0,NO14,"")</f>
        <v>5.9</v>
      </c>
      <c r="OE14" s="11">
        <f>IF(SUM(NM14:NP14)-NQ14&gt;0,SUM(NM14:NP14)-NQ14,"")</f>
        <v>24.315000000000001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45.912500000000001</v>
      </c>
      <c r="OI14" s="11">
        <f>IF(NY14&gt;0,NY14,"")</f>
        <v>6</v>
      </c>
      <c r="OJ14" s="11">
        <f t="shared" ref="OJ14" si="8">IF(SUM(NW14:NZ14)-OA14&gt;0,SUM(NW14:NZ14)-OA14,"")</f>
        <v>25.009999999999998</v>
      </c>
      <c r="OK14" s="11">
        <f t="shared" ref="OK14" si="9">IF(SUM(OH14,OJ14)&gt;0,SUM(OH14,OJ14),"")</f>
        <v>70.922499999999999</v>
      </c>
    </row>
    <row r="15" spans="1:401" x14ac:dyDescent="0.2">
      <c r="A15" s="5" t="str" cm="1">
        <f t="array" ref="A15">IF(AND(F15="P",G15="P"),SUMPRODUCT((F$4:F$32="P")*(G$4:G$32="P")*(E$4:E$32&gt;E15))+1,IF(G15="P",SUMPRODUCT((F$4:F$32="")*(G$4:G$32="P")*(E$4:E$32&gt;E15))+1+SUMPRODUCT((F$4:F$32="P")*(G$4:G$32="P")),""))</f>
        <v/>
      </c>
      <c r="B15" s="6" t="s">
        <v>78</v>
      </c>
      <c r="C15" s="7" t="s">
        <v>4</v>
      </c>
      <c r="D15" s="22">
        <v>2002</v>
      </c>
      <c r="E15" s="15">
        <f>SUM(I15:M15)+I15*0.0000001</f>
        <v>99.465004984000004</v>
      </c>
      <c r="F15" s="3" t="str">
        <f>IF(OR(AND(AL15&gt;=AS$34,AM15&gt;=AS$38,AL15&lt;&gt;"",AJ15=""),AND(AN15&gt;=AS$34,AO15&gt;=AS$38,AN15&lt;&gt;"",AN15=""),AND(AQ15&gt;=AS$34,AR15&gt;=AS$38,AQ15&lt;&gt;"",AJ15=""),AND(BP15&gt;=BW$34,BQ15&gt;=BW$38,BP15&lt;&gt;"",BN15=""),AND(BR15&gt;=BW$34,BS15&gt;=BW$38,BR15&lt;&gt;"",BN15=""),AND(BU15&gt;=BW$34,BV15&gt;=BW$38,BU15&lt;&gt;"",BN15=""),AND(CT15&gt;=DA$34,CU15&gt;=DA$38,CT15&lt;&gt;"",CR15=""),AND(CV15&gt;=DA$34,CW15&gt;=DA$38,CV15&lt;&gt;"",CR15=""),AND(CY15&gt;=DA$34,CZ15&gt;=DA$38,CY15&lt;&gt;"",CR15=""),AND(DS15&gt;=DY$34,DU15&gt;=DY$38,DS15&lt;&gt;""),AND(DW15&gt;=DY$34,DX15&gt;=DY$38,DW15&lt;&gt;""),AND(EO15&gt;=EU$34,EQ15&gt;=EU$38,EO15&lt;&gt;""),AND(ES15&gt;=EU$34,ET15&gt;=EU$38,ES15&lt;&gt;""),AND(FK15&gt;=FQ$34,FM15&gt;=FQ$38,FK15&lt;&gt;""),AND(FO15&gt;=FQ$34,FP15&gt;=FQ$38,FO15&lt;&gt;""),AND(GG15&gt;=GM$34,GI15&gt;=GM$38,GG15&lt;&gt;""),AND(GK15&gt;=GM$34,GL15&gt;=GM$38,GK15&lt;&gt;""),AND(HC15&gt;=HI$34,HE15&gt;=HI$38,HC15&lt;&gt;""),AND(HG15&gt;=HI$34,HH15&gt;=HI$38,HG15&lt;&gt;""),AND(HY15&gt;=IE$34,IA15&gt;=IE$38,HY15&lt;&gt;""),AND(IC15&gt;=IE$34,ID15&gt;=IE$38,IC15&lt;&gt;""),AND(IU15&gt;=JA$34,IW15&gt;=JA$38,IU15&lt;&gt;""),AND(IY15&gt;=JA$34,IZ15&gt;=JA$38,IY15&lt;&gt;""),AND(JQ15&gt;=JW$34,JS15&gt;=JW$38,JQ15&lt;&gt;""),AND(JU15&gt;=JW$34,JV15&gt;=JW$38,JU15&lt;&gt;""),AND(KM15&gt;=KS$34,KO15&gt;=KS$38,KM15&lt;&gt;""),AND(KQ15&gt;=KS$34,KR15&gt;=KS$38,KQ15&lt;&gt;""),AND(LI15&gt;=LO$34,LK15&gt;=LO$38,LI15&lt;&gt;""),AND(LM15&gt;=LO$34,LN15&gt;=LO$38,LM15&lt;&gt;""),AND(ME15&gt;=MK$34,MG15&gt;=MK$38,ME15&lt;&gt;""),AND(MI15&gt;=MK$34,MJ15&gt;=MK$38,MI15&lt;&gt;""),AND(NA15&gt;=NG$34,NC15&gt;=NG$38,NA15&lt;&gt;""),AND(NE15&gt;=NG$34,NF15&gt;=NG$38,NE15&lt;&gt;"")),"P","")</f>
        <v/>
      </c>
      <c r="G15" s="3" t="str">
        <f>IF(OR(AND(AM15&gt;=AS$38,AL15&lt;&gt;"",AJ15=""),AND(AO15&gt;=AS$38,AN15&lt;&gt;"",AN15=""),AND(AR15&gt;=AS$38,AQ15&lt;&gt;"",AJ15=""),AND(BQ15&gt;=BW$38,BP15&lt;&gt;"",BN15=""),AND(BS15&gt;=BW$38,BR15&lt;&gt;"",BN15=""),AND(BV15&gt;=BW$38,BU15&lt;&gt;"",BN15=""),AND(CU15&gt;=DA$38,CT15&lt;&gt;"",CR15=""),AND(CW15&gt;=DA$38,CV15&lt;&gt;"",CR15=""),AND(CZ15&gt;=DA$38,CY15&lt;&gt;"",CR15=""),AND(DU15&gt;=DY$38,DS15&lt;&gt;""),AND(DX15&gt;=DY$38,DW15&lt;&gt;""),AND(EQ15&gt;=EU$38,EO15&lt;&gt;""),AND(ET15&gt;=EU$38,ES15&lt;&gt;""),AND(FM15&gt;=FQ$38,FK15&lt;&gt;""),AND(FP15&gt;=FQ$38,FO15&lt;&gt;""),AND(GI15&gt;=GM$38,GG15&lt;&gt;""),AND(GL15&gt;=GM$38,GK15&lt;&gt;""),AND(HE15&gt;=HI$38,HC15&lt;&gt;""),AND(HH15&gt;=HI$38,HG15&lt;&gt;""),AND(IA15&gt;=IE$38,HY15&lt;&gt;""),AND(ID15&gt;=IE$38,IC15&lt;&gt;""),AND(IW15&gt;=JA$38,IU15&lt;&gt;""),AND(IZ15&gt;=JA$38,IY15&lt;&gt;""),AND(JS15&gt;=JW$38,JQ15&lt;&gt;""),AND(JV15&gt;=JW$38,JU15&lt;&gt;""),AND(KO15&gt;=KS$38,KM15&lt;&gt;""),AND(KR15&gt;=KS$38,KQ15&lt;&gt;""),AND(LK15&gt;=LO$38,LI15&lt;&gt;""),AND(LN15&gt;=LO$38,LM15&lt;&gt;""),AND(MG15&gt;=MK$38,ME15&lt;&gt;""),AND(MJ15&gt;=MK$38,MI15&lt;&gt;""),AND(NC15&gt;=NG$38,NA15&lt;&gt;""),AND(NF15&gt;=NG$38,NE15&lt;&gt;"")),"P","")</f>
        <v/>
      </c>
      <c r="H15" s="67" t="str">
        <f>IF(F15="P","National Team",IF(G15="P","No DD",""))</f>
        <v/>
      </c>
      <c r="I15" s="14">
        <f>MAX(AM15,AO15,AR15,BQ15,BS15,BV15,CU15,CW15,CZ15)</f>
        <v>49.839999999999996</v>
      </c>
      <c r="J15" s="14" t="str">
        <f>IF(I15=0,"",IF(OR(I15=CW15,I15=CU15,I15=CZ15),$BX$1,IF(OR(I15=BS15,I15=BQ15,I15=BV15),$AT$1,IF(OR(I15=AO15,I15=AM15,I15=AR15),$P$1,""))))</f>
        <v>2021 Elite Canada</v>
      </c>
      <c r="K15" s="14">
        <f>IF(COUNT(AM15,AO15,AR15,BQ15,BS15,BV15,CU15,CW15,CZ15)&gt;1,LARGE((AM15,AO15,AR15,BQ15,BS15,BV15,CU15,CW15,CZ15),2),0)</f>
        <v>49.625</v>
      </c>
      <c r="L15" s="14" t="str">
        <f>IF(K15=0,"",IF(OR(K15=CW15,K15=CU15,K15=CZ15),$BX$1,IF(OR(K15=BS15,K15=BQ15,K15=BV15),$AT$1,IF(OR(K15=AO15,K15=AM15,K15=AR15),$P$1,""))))</f>
        <v>2021 Elite Canada</v>
      </c>
      <c r="M15" s="14" t="str">
        <f>IF(MAX(DB15,DC15)&gt;0,MAX(DB15,DC15),"")</f>
        <v/>
      </c>
      <c r="N15" s="20" t="str">
        <f>IF(M15="","",IF(M15=#REF!,"(Vol 1)",IF(M15=DB15,"(Vol 2)",IF(M15=#REF!,"(Prelim)",IF(M15=DC15,"(Final)")))))</f>
        <v/>
      </c>
      <c r="O15" s="14" t="str">
        <f>IF(M15="","",IF(M15=#REF!,IF(M15+IF(#REF!="",0,#REF!)=NB15,$ML$1,IF(M15+IF(#REF!="",0,#REF!)=MF15,$LP$1,IF(M15+IF(#REF!="",0,#REF!)=LJ15,$KT$1,IF(M15+IF(#REF!="",0,#REF!)=KN15,$JX$1,IF(M15+IF(#REF!="",0,#REF!)=JR15,$JB$1,IF(M15+IF(#REF!="",0,#REF!)=IV15,$IF$1,IF(M15+IF(#REF!="",0,#REF!)=HZ15,$HJ$1,IF(M15+IF(#REF!="",0,#REF!)=HD15,$GN$1,IF(M15+IF(#REF!="",0,#REF!)=GH15,$FR$1,IF(M15+IF(#REF!="",0,#REF!)=FL15,$EV$1,IF(M15+IF(#REF!="",0,#REF!)=EP15,$DZ$1,IF(M15+IF(#REF!="",0,#REF!)=DT15,$DD$1)))))))))))),IF(M15=DB15,IF(M15+IF(I15="",0,I15)=NC15,$ML$1,IF(M15+IF(I15="",0,I15)=MG15,$LP$1,IF(M15+IF(I15="",0,I15)=LK15,$KT$1,IF(M15+IF(I15="",0,I15)=KO15,$JX$1,IF(M15+IF(I15="",0,I15)=JS15,$JB$1,IF(M15+IF(I15="",0,I15)=IW15,$IF$1,IF(M15+IF(I15="",0,I15)=IA15,$HJ$1,IF(M15+IF(I15="",0,I15)=HE15,$GN$1,IF(M15+IF(I15="",0,I15)=GI15,$FR$1,IF(M15+IF(I15="",0,I15)=FM15,$EV$1,IF(M15+IF(I15="",0,I15)=EQ15,$DZ$1,IF(M15+IF(I15="",0,I15)=DU15,$DD$1)))))))))))),IF(M15=#REF!,IF(M15+IF(#REF!="",0,#REF!)=ND15,$ML$1,IF(M15+IF(#REF!="",0,#REF!)=MH15,$LP$1,IF(M15+IF(#REF!="",0,#REF!)=LL15,$KT$1,IF(M15+IF(#REF!="",0,#REF!)=KP15,$JX$1,IF(M15+IF(#REF!="",0,#REF!)=JT15,$JB$1,IF(M15+IF(#REF!="",0,#REF!)=IX15,$IF$1,IF(M15+IF(#REF!="",0,#REF!)=IB15,$HJ$1,IF(M15+IF(#REF!="",0,#REF!)=HF15,$GN$1,IF(M15+IF(#REF!="",0,#REF!)=GJ15,$FR$1,IF(M15+IF(#REF!="",0,#REF!)=FN15,$EV$1,IF(M15+IF(#REF!="",0,#REF!)=ER15,$DZ$1,IF(M15+IF(#REF!="",0,#REF!)=DV15,$DD$1)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))</f>
        <v/>
      </c>
      <c r="P15" s="38">
        <v>16.3</v>
      </c>
      <c r="Q15" s="38">
        <v>9.3000000000000007</v>
      </c>
      <c r="R15" s="38">
        <v>2.7</v>
      </c>
      <c r="S15" s="38">
        <v>15.36</v>
      </c>
      <c r="T15" s="38">
        <v>0</v>
      </c>
      <c r="U15" s="38">
        <v>14.7</v>
      </c>
      <c r="V15" s="38">
        <v>9.1999999999999993</v>
      </c>
      <c r="W15" s="38">
        <v>11.2</v>
      </c>
      <c r="X15" s="38">
        <v>14.74</v>
      </c>
      <c r="Y15" s="38">
        <v>0</v>
      </c>
      <c r="Z15" s="38"/>
      <c r="AA15" s="38"/>
      <c r="AB15" s="38"/>
      <c r="AC15" s="38"/>
      <c r="AD15" s="38"/>
      <c r="AE15" s="38">
        <v>15.2</v>
      </c>
      <c r="AF15" s="38">
        <v>8.9</v>
      </c>
      <c r="AG15" s="38">
        <v>10.5</v>
      </c>
      <c r="AH15" s="38">
        <v>15.025</v>
      </c>
      <c r="AI15" s="38">
        <v>0</v>
      </c>
      <c r="AJ15" s="45"/>
      <c r="AK15" s="11">
        <f>IF(SUM(P15:S15)-T15&gt;0,SUM(P15:S15)-T15,"")</f>
        <v>43.66</v>
      </c>
      <c r="AL15" s="11">
        <f>IF(W15&gt;0,W15,"")</f>
        <v>11.2</v>
      </c>
      <c r="AM15" s="11">
        <f>IF(SUM(U15:X15)-Y15&gt;0,SUM(U15:X15)-Y15,"")</f>
        <v>49.839999999999996</v>
      </c>
      <c r="AN15" s="11" t="str">
        <f>IF(AB15&gt;0,AB15,"")</f>
        <v/>
      </c>
      <c r="AO15" s="11" t="str">
        <f>IF(SUM(Z15:AC15)-AD15&gt;0,SUM(Z15:AC15)-AD15,"")</f>
        <v/>
      </c>
      <c r="AP15" s="11">
        <f>IF(AK15="",IF(MAX(AM15,AO15)&gt;0,MAX(AM15,AO15),""),MAX(AM15,AO15)+AK15)</f>
        <v>93.5</v>
      </c>
      <c r="AQ15" s="11">
        <f>IF(AG15&gt;0,AG15,"")</f>
        <v>10.5</v>
      </c>
      <c r="AR15" s="11">
        <f>IF(SUM(AE15:AH15)-AI15&gt;0,SUM(AE15:AH15)-AI15,"")</f>
        <v>49.625</v>
      </c>
      <c r="AS15" s="11">
        <f>IF(SUM(AP15,AR15)&gt;0,SUM(AP15,AR15),"")</f>
        <v>143.125</v>
      </c>
      <c r="AT15" s="42">
        <v>1.4</v>
      </c>
      <c r="AU15" s="42">
        <v>1</v>
      </c>
      <c r="AV15" s="42">
        <v>1.5</v>
      </c>
      <c r="AW15" s="42">
        <v>1.63</v>
      </c>
      <c r="AX15" s="42">
        <v>0</v>
      </c>
      <c r="AY15" s="42">
        <v>9</v>
      </c>
      <c r="AZ15" s="42">
        <v>5.0999999999999996</v>
      </c>
      <c r="BA15" s="42">
        <v>6.2</v>
      </c>
      <c r="BB15" s="42">
        <v>9.0850000000000009</v>
      </c>
      <c r="BC15" s="42">
        <v>0</v>
      </c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6"/>
      <c r="BO15" s="14">
        <f>IF(SUM(AT15:AW15)-AX15&gt;0,SUM(AT15:AW15)-AX15,"")</f>
        <v>5.5299999999999994</v>
      </c>
      <c r="BP15" s="14">
        <f>IF(BA15&gt;0,BA15,"")</f>
        <v>6.2</v>
      </c>
      <c r="BQ15" s="14">
        <f>IF(SUM(AY15:BB15)-BC15&gt;0,SUM(AY15:BB15)-BC15,"")</f>
        <v>29.385000000000002</v>
      </c>
      <c r="BR15" s="14" t="str">
        <f>IF(BF15&gt;0,BF15,"")</f>
        <v/>
      </c>
      <c r="BS15" s="14" t="str">
        <f>IF(SUM(BD15:BG15)-BH15&gt;0,SUM(BD15:BG15)-BH15,"")</f>
        <v/>
      </c>
      <c r="BT15" s="14">
        <f>IF(BO15="",IF(MAX(BQ15,BS15)&gt;0,MAX(BQ15,BS15),""),MAX(BQ15,BS15)+BO15)</f>
        <v>34.914999999999999</v>
      </c>
      <c r="BU15" s="14" t="str">
        <f>IF(BK15&gt;0,BK15,"")</f>
        <v/>
      </c>
      <c r="BV15" s="14" t="str">
        <f>IF(SUM(BI15:BL15)-BM15&gt;0,SUM(BI15:BL15)-BM15,"")</f>
        <v/>
      </c>
      <c r="BW15" s="14">
        <f>IF(SUM(BT15,BV15)&gt;0,SUM(BT15,BV15),"")</f>
        <v>34.914999999999999</v>
      </c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45"/>
      <c r="CS15" s="11" t="str">
        <f>IF(SUM(BX15:CA15)-CB15&gt;0,SUM(BX15:CA15)-CB15,"")</f>
        <v/>
      </c>
      <c r="CT15" s="11" t="str">
        <f>IF(CE15&gt;0,CE15,"")</f>
        <v/>
      </c>
      <c r="CU15" s="11" t="str">
        <f>IF(SUM(CC15:CF15)-CG15&gt;0,SUM(CC15:CF15)-CG15,"")</f>
        <v/>
      </c>
      <c r="CV15" s="11" t="str">
        <f>IF(CJ15&gt;0,CJ15,"")</f>
        <v/>
      </c>
      <c r="CW15" s="11" t="str">
        <f>IF(SUM(CH15:CK15)-CL15&gt;0,SUM(CH15:CK15)-CL15,"")</f>
        <v/>
      </c>
      <c r="CX15" s="11" t="str">
        <f>IF(CS15="",IF(MAX(CU15,CW15)&gt;0,MAX(CU15,CW15),""),MAX(CU15,CW15)+CS15)</f>
        <v/>
      </c>
      <c r="CY15" s="11" t="str">
        <f>IF(CO15&gt;0,CO15,"")</f>
        <v/>
      </c>
      <c r="CZ15" s="11" t="str">
        <f>IF(SUM(CM15:CP15)-CQ15&gt;0,SUM(CM15:CP15)-CQ15,"")</f>
        <v/>
      </c>
      <c r="DA15" s="11" t="str">
        <f>IF(SUM(CX15,CZ15)&gt;0,SUM(CX15,CZ15),"")</f>
        <v/>
      </c>
      <c r="DB15" s="19" t="str">
        <f>IF(I15&gt;=0.001,IF(MAX(DU15,EQ15,FM15,GI15,HE15,IA15,IW15,JS15,KO15,LK15,MG15,NC15)-IF(I15="",0,I15)&gt;0.001,MAX(DU15,EQ15,FM15,GI15,HE15,IA15,IW15,JS15,KO15,LK15,MG15,NC15)-IF(I15="",0,I15),""),"")</f>
        <v/>
      </c>
      <c r="DC15" s="19" t="str">
        <f>IF(K15&gt;=0.001,IF(MAX(DX15,ET15,FP15,GL15,HH15,ID15,IZ15,JV15,KR15,LN15,MJ15,NF15)-IF(K15="",0,K15)&gt;0.001,MAX(DX15,ET15,FP15,GL15,HH15,ID15,IZ15,JV15,KR15,LN15,MJ15,NF15)-IF(K15="",0,K15),""),"")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11" t="str">
        <f>IF(FC15&gt;0,FC15,"")</f>
        <v/>
      </c>
      <c r="FL15" s="11" t="str">
        <f>IF(SUM(EV15:EY15)-EZ15&gt;0,SUM(EV15:EY15)-EZ15,"")</f>
        <v/>
      </c>
      <c r="FM15" s="11" t="str">
        <f>IF(SUM(FA15:FD15)-FE15&gt;0,SUM(FA15:FD15)-FE15,"")</f>
        <v/>
      </c>
      <c r="FN15" s="11" t="str">
        <f>IF(SUM(FL15:FM15)&gt;0,SUM(FL15:FM15),"")</f>
        <v/>
      </c>
      <c r="FO15" s="11" t="str">
        <f>IF(FH15&gt;0,FH15,"")</f>
        <v/>
      </c>
      <c r="FP15" s="11" t="str">
        <f>IF(SUM(FF15:FI15)-FJ15&gt;0,SUM(FF15:FI15)-FJ15,"")</f>
        <v/>
      </c>
      <c r="FQ15" s="11" t="str">
        <f>IF(SUM(FN15,FP15)&gt;0,SUM(FN15,FP15),"")</f>
        <v/>
      </c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8">
        <f>IF($CR15="P",BX15,(BX15+AT15)/2)</f>
        <v>0.7</v>
      </c>
      <c r="NI15" s="38">
        <f>IF($CR15="P",BY15,(BY15+AU15)/2)</f>
        <v>0.5</v>
      </c>
      <c r="NJ15" s="38">
        <f>IF($CR15="P",BZ15,(BZ15+AV15)/2)</f>
        <v>0.75</v>
      </c>
      <c r="NK15" s="38">
        <f>IF($CR15="P",CA15,(CA15+AW15)/2)</f>
        <v>0.81499999999999995</v>
      </c>
      <c r="NL15" s="38">
        <f>IF($CR15="P",CB15,(CB15+AX15)/2)</f>
        <v>0</v>
      </c>
      <c r="NM15" s="38">
        <f>IF($CR15="P",CC15,(CC15+AY15)/2)</f>
        <v>4.5</v>
      </c>
      <c r="NN15" s="38">
        <f>IF($CR15="P",CD15,(CD15+AZ15)/2)</f>
        <v>2.5499999999999998</v>
      </c>
      <c r="NO15" s="38">
        <f>IF($CR15="P",CE15,(CE15+BA15)/2)</f>
        <v>3.1</v>
      </c>
      <c r="NP15" s="38">
        <f>IF($CR15="P",CF15,(CF15+BB15)/2)</f>
        <v>4.5425000000000004</v>
      </c>
      <c r="NQ15" s="38">
        <f>IF($CR15="P",CG15,(CG15+BC15)/2)</f>
        <v>0</v>
      </c>
      <c r="NR15" s="38">
        <f>IF($CR15="P",CH15,(CH15+BD15)/2)</f>
        <v>0</v>
      </c>
      <c r="NS15" s="38">
        <f>IF($CR15="P",CI15,(CI15+BE15)/2)</f>
        <v>0</v>
      </c>
      <c r="NT15" s="38">
        <f>IF($CR15="P",CJ15,(CJ15+BF15)/2)</f>
        <v>0</v>
      </c>
      <c r="NU15" s="38">
        <f>IF($CR15="P",CK15,(CK15+BG15)/2)</f>
        <v>0</v>
      </c>
      <c r="NV15" s="38">
        <f>IF($CR15="P",CL15,(CL15+BH15)/2)</f>
        <v>0</v>
      </c>
      <c r="NW15" s="38">
        <f>IF($CR15="P",CM15,(CM15+BI15)/2)</f>
        <v>0</v>
      </c>
      <c r="NX15" s="38">
        <f>IF($CR15="P",CN15,(CN15+BJ15)/2)</f>
        <v>0</v>
      </c>
      <c r="NY15" s="38">
        <f>IF($CR15="P",CO15,(CO15+BK15)/2)</f>
        <v>0</v>
      </c>
      <c r="NZ15" s="38">
        <f>IF($CR15="P",CP15,(CP15+BL15)/2)</f>
        <v>0</v>
      </c>
      <c r="OA15" s="38">
        <f>IF($CR15="P",CQ15,(CQ15+BM15)/2)</f>
        <v>0</v>
      </c>
      <c r="OB15" s="45" t="s">
        <v>46</v>
      </c>
      <c r="OC15" s="11">
        <f>IF(SUM(NH15:NK15)-NL15&gt;0,SUM(NH15:NK15)-NL15,"")</f>
        <v>2.7649999999999997</v>
      </c>
      <c r="OD15" s="11">
        <f>IF(NO15&gt;0,NO15,"")</f>
        <v>3.1</v>
      </c>
      <c r="OE15" s="11">
        <f>IF(SUM(NM15:NP15)-NQ15&gt;0,SUM(NM15:NP15)-NQ15,"")</f>
        <v>14.692500000000001</v>
      </c>
      <c r="OF15" s="11" t="str">
        <f>IF(NT15&gt;0,NT15,"")</f>
        <v/>
      </c>
      <c r="OG15" s="11" t="str">
        <f>IF(SUM(NR15:NU15)-NV15&gt;0,SUM(NR15:NU15)-NV15,"")</f>
        <v/>
      </c>
      <c r="OH15" s="11">
        <f>IF(OR(OC15&lt;&gt;"",OE15&lt;&gt;"",OG15&lt;&gt;""),OC15+MAX(OE15,OG15),"")</f>
        <v>17.4575</v>
      </c>
      <c r="OI15" s="11" t="str">
        <f>IF(NY15&gt;0,NY15,"")</f>
        <v/>
      </c>
      <c r="OJ15" s="11" t="str">
        <f t="shared" ref="OJ15" si="10">IF(SUM(NW15:NZ15)-OA15&gt;0,SUM(NW15:NZ15)-OA15,"")</f>
        <v/>
      </c>
      <c r="OK15" s="11">
        <f t="shared" ref="OK15" si="11">IF(SUM(OH15,OJ15)&gt;0,SUM(OH15,OJ15),"")</f>
        <v>17.4575</v>
      </c>
    </row>
    <row r="16" spans="1:401" x14ac:dyDescent="0.2">
      <c r="A16" s="5" t="str" cm="1">
        <f t="array" ref="A16">IF(AND(F16="P",G16="P"),SUMPRODUCT((F$4:F$32="P")*(G$4:G$32="P")*(E$4:E$32&gt;E16))+1,IF(G16="P",SUMPRODUCT((F$4:F$32="")*(G$4:G$32="P")*(E$4:E$32&gt;E16))+1+SUMPRODUCT((F$4:F$32="P")*(G$4:G$32="P")),""))</f>
        <v/>
      </c>
      <c r="B16" s="6" t="s">
        <v>79</v>
      </c>
      <c r="C16" s="7" t="s">
        <v>5</v>
      </c>
      <c r="D16" s="22">
        <v>2002</v>
      </c>
      <c r="E16" s="15">
        <f>SUM(I16:M16)+I16*0.0000001</f>
        <v>98.750004938999993</v>
      </c>
      <c r="F16" s="3" t="str">
        <f>IF(OR(AND(AL16&gt;=AS$34,AM16&gt;=AS$38,AL16&lt;&gt;"",AJ16=""),AND(AN16&gt;=AS$34,AO16&gt;=AS$38,AN16&lt;&gt;"",AN16=""),AND(AQ16&gt;=AS$34,AR16&gt;=AS$38,AQ16&lt;&gt;"",AJ16=""),AND(BP16&gt;=BW$34,BQ16&gt;=BW$38,BP16&lt;&gt;"",BN16=""),AND(BR16&gt;=BW$34,BS16&gt;=BW$38,BR16&lt;&gt;"",BN16=""),AND(BU16&gt;=BW$34,BV16&gt;=BW$38,BU16&lt;&gt;"",BN16=""),AND(CT16&gt;=DA$34,CU16&gt;=DA$38,CT16&lt;&gt;"",CR16=""),AND(CV16&gt;=DA$34,CW16&gt;=DA$38,CV16&lt;&gt;"",CR16=""),AND(CY16&gt;=DA$34,CZ16&gt;=DA$38,CY16&lt;&gt;"",CR16=""),AND(DS16&gt;=DY$34,DU16&gt;=DY$38,DS16&lt;&gt;""),AND(DW16&gt;=DY$34,DX16&gt;=DY$38,DW16&lt;&gt;""),AND(EO16&gt;=EU$34,EQ16&gt;=EU$38,EO16&lt;&gt;""),AND(ES16&gt;=EU$34,ET16&gt;=EU$38,ES16&lt;&gt;""),AND(FK16&gt;=FQ$34,FM16&gt;=FQ$38,FK16&lt;&gt;""),AND(FO16&gt;=FQ$34,FP16&gt;=FQ$38,FO16&lt;&gt;""),AND(GG16&gt;=GM$34,GI16&gt;=GM$38,GG16&lt;&gt;""),AND(GK16&gt;=GM$34,GL16&gt;=GM$38,GK16&lt;&gt;""),AND(HC16&gt;=HI$34,HE16&gt;=HI$38,HC16&lt;&gt;""),AND(HG16&gt;=HI$34,HH16&gt;=HI$38,HG16&lt;&gt;""),AND(HY16&gt;=IE$34,IA16&gt;=IE$38,HY16&lt;&gt;""),AND(IC16&gt;=IE$34,ID16&gt;=IE$38,IC16&lt;&gt;""),AND(IU16&gt;=JA$34,IW16&gt;=JA$38,IU16&lt;&gt;""),AND(IY16&gt;=JA$34,IZ16&gt;=JA$38,IY16&lt;&gt;""),AND(JQ16&gt;=JW$34,JS16&gt;=JW$38,JQ16&lt;&gt;""),AND(JU16&gt;=JW$34,JV16&gt;=JW$38,JU16&lt;&gt;""),AND(KM16&gt;=KS$34,KO16&gt;=KS$38,KM16&lt;&gt;""),AND(KQ16&gt;=KS$34,KR16&gt;=KS$38,KQ16&lt;&gt;""),AND(LI16&gt;=LO$34,LK16&gt;=LO$38,LI16&lt;&gt;""),AND(LM16&gt;=LO$34,LN16&gt;=LO$38,LM16&lt;&gt;""),AND(ME16&gt;=MK$34,MG16&gt;=MK$38,ME16&lt;&gt;""),AND(MI16&gt;=MK$34,MJ16&gt;=MK$38,MI16&lt;&gt;""),AND(NA16&gt;=NG$34,NC16&gt;=NG$38,NA16&lt;&gt;""),AND(NE16&gt;=NG$34,NF16&gt;=NG$38,NE16&lt;&gt;"")),"P","")</f>
        <v/>
      </c>
      <c r="G16" s="3" t="str">
        <f>IF(OR(AND(AM16&gt;=AS$38,AL16&lt;&gt;"",AJ16=""),AND(AO16&gt;=AS$38,AN16&lt;&gt;"",AN16=""),AND(AR16&gt;=AS$38,AQ16&lt;&gt;"",AJ16=""),AND(BQ16&gt;=BW$38,BP16&lt;&gt;"",BN16=""),AND(BS16&gt;=BW$38,BR16&lt;&gt;"",BN16=""),AND(BV16&gt;=BW$38,BU16&lt;&gt;"",BN16=""),AND(CU16&gt;=DA$38,CT16&lt;&gt;"",CR16=""),AND(CW16&gt;=DA$38,CV16&lt;&gt;"",CR16=""),AND(CZ16&gt;=DA$38,CY16&lt;&gt;"",CR16=""),AND(DU16&gt;=DY$38,DS16&lt;&gt;""),AND(DX16&gt;=DY$38,DW16&lt;&gt;""),AND(EQ16&gt;=EU$38,EO16&lt;&gt;""),AND(ET16&gt;=EU$38,ES16&lt;&gt;""),AND(FM16&gt;=FQ$38,FK16&lt;&gt;""),AND(FP16&gt;=FQ$38,FO16&lt;&gt;""),AND(GI16&gt;=GM$38,GG16&lt;&gt;""),AND(GL16&gt;=GM$38,GK16&lt;&gt;""),AND(HE16&gt;=HI$38,HC16&lt;&gt;""),AND(HH16&gt;=HI$38,HG16&lt;&gt;""),AND(IA16&gt;=IE$38,HY16&lt;&gt;""),AND(ID16&gt;=IE$38,IC16&lt;&gt;""),AND(IW16&gt;=JA$38,IU16&lt;&gt;""),AND(IZ16&gt;=JA$38,IY16&lt;&gt;""),AND(JS16&gt;=JW$38,JQ16&lt;&gt;""),AND(JV16&gt;=JW$38,JU16&lt;&gt;""),AND(KO16&gt;=KS$38,KM16&lt;&gt;""),AND(KR16&gt;=KS$38,KQ16&lt;&gt;""),AND(LK16&gt;=LO$38,LI16&lt;&gt;""),AND(LN16&gt;=LO$38,LM16&lt;&gt;""),AND(MG16&gt;=MK$38,ME16&lt;&gt;""),AND(MJ16&gt;=MK$38,MI16&lt;&gt;""),AND(NC16&gt;=NG$38,NA16&lt;&gt;""),AND(NF16&gt;=NG$38,NE16&lt;&gt;"")),"P","")</f>
        <v/>
      </c>
      <c r="H16" s="67" t="str">
        <f>IF(F16="P","National Team",IF(G16="P","No DD",""))</f>
        <v/>
      </c>
      <c r="I16" s="14">
        <f>MAX(AM16,AO16,AR16,BQ16,BS16,BV16,CU16,CW16,CZ16)</f>
        <v>49.39</v>
      </c>
      <c r="J16" s="14" t="str">
        <f>IF(I16=0,"",IF(OR(I16=CW16,I16=CU16,I16=CZ16),$BX$1,IF(OR(I16=BS16,I16=BQ16,I16=BV16),$AT$1,IF(OR(I16=AO16,I16=AM16,I16=AR16),$P$1,""))))</f>
        <v>2022 Elite Canada</v>
      </c>
      <c r="K16" s="14">
        <f>IF(COUNT(AM16,AO16,AR16,BQ16,BS16,BV16,CU16,CW16,CZ16)&gt;1,LARGE((AM16,AO16,AR16,BQ16,BS16,BV16,CU16,CW16,CZ16),2),0)</f>
        <v>49.36</v>
      </c>
      <c r="L16" s="14" t="str">
        <f>IF(K16=0,"",IF(OR(K16=CW16,K16=CU16,K16=CZ16),$BX$1,IF(OR(K16=BS16,K16=BQ16,K16=BV16),$AT$1,IF(OR(K16=AO16,K16=AM16,K16=AR16),$P$1,""))))</f>
        <v>2021 Canadian Championships</v>
      </c>
      <c r="M16" s="14" t="str">
        <f>IF(MAX(DB16,DC16)&gt;0,MAX(DB16,DC16),"")</f>
        <v/>
      </c>
      <c r="N16" s="20" t="str">
        <f>IF(M16="","",IF(M16=#REF!,"(Vol 1)",IF(M16=DB16,"(Vol 2)",IF(M16=#REF!,"(Prelim)",IF(M16=DC16,"(Final)")))))</f>
        <v/>
      </c>
      <c r="O16" s="14" t="str">
        <f>IF(M16="","",IF(M16=#REF!,IF(M16+IF(#REF!="",0,#REF!)=NB16,$ML$1,IF(M16+IF(#REF!="",0,#REF!)=MF16,$LP$1,IF(M16+IF(#REF!="",0,#REF!)=LJ16,$KT$1,IF(M16+IF(#REF!="",0,#REF!)=KN16,$JX$1,IF(M16+IF(#REF!="",0,#REF!)=JR16,$JB$1,IF(M16+IF(#REF!="",0,#REF!)=IV16,$IF$1,IF(M16+IF(#REF!="",0,#REF!)=HZ16,$HJ$1,IF(M16+IF(#REF!="",0,#REF!)=HD16,$GN$1,IF(M16+IF(#REF!="",0,#REF!)=GH16,$FR$1,IF(M16+IF(#REF!="",0,#REF!)=FL16,$EV$1,IF(M16+IF(#REF!="",0,#REF!)=EP16,$DZ$1,IF(M16+IF(#REF!="",0,#REF!)=DT16,$DD$1)))))))))))),IF(M16=DB16,IF(M16+IF(I16="",0,I16)=NC16,$ML$1,IF(M16+IF(I16="",0,I16)=MG16,$LP$1,IF(M16+IF(I16="",0,I16)=LK16,$KT$1,IF(M16+IF(I16="",0,I16)=KO16,$JX$1,IF(M16+IF(I16="",0,I16)=JS16,$JB$1,IF(M16+IF(I16="",0,I16)=IW16,$IF$1,IF(M16+IF(I16="",0,I16)=IA16,$HJ$1,IF(M16+IF(I16="",0,I16)=HE16,$GN$1,IF(M16+IF(I16="",0,I16)=GI16,$FR$1,IF(M16+IF(I16="",0,I16)=FM16,$EV$1,IF(M16+IF(I16="",0,I16)=EQ16,$DZ$1,IF(M16+IF(I16="",0,I16)=DU16,$DD$1)))))))))))),IF(M16=#REF!,IF(M16+IF(#REF!="",0,#REF!)=ND16,$ML$1,IF(M16+IF(#REF!="",0,#REF!)=MH16,$LP$1,IF(M16+IF(#REF!="",0,#REF!)=LL16,$KT$1,IF(M16+IF(#REF!="",0,#REF!)=KP16,$JX$1,IF(M16+IF(#REF!="",0,#REF!)=JT16,$JB$1,IF(M16+IF(#REF!="",0,#REF!)=IX16,$IF$1,IF(M16+IF(#REF!="",0,#REF!)=IB16,$HJ$1,IF(M16+IF(#REF!="",0,#REF!)=HF16,$GN$1,IF(M16+IF(#REF!="",0,#REF!)=GJ16,$FR$1,IF(M16+IF(#REF!="",0,#REF!)=FN16,$EV$1,IF(M16+IF(#REF!="",0,#REF!)=ER16,$DZ$1,IF(M16+IF(#REF!="",0,#REF!)=DV16,$DD$1)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))</f>
        <v/>
      </c>
      <c r="P16" s="38">
        <v>16</v>
      </c>
      <c r="Q16" s="38">
        <v>9.1</v>
      </c>
      <c r="R16" s="38">
        <v>2</v>
      </c>
      <c r="S16" s="38">
        <v>15.66</v>
      </c>
      <c r="T16" s="38">
        <v>0</v>
      </c>
      <c r="U16" s="38">
        <v>11.4</v>
      </c>
      <c r="V16" s="38">
        <v>6.7</v>
      </c>
      <c r="W16" s="38">
        <v>8.4</v>
      </c>
      <c r="X16" s="38">
        <v>13.035</v>
      </c>
      <c r="Y16" s="38">
        <v>0.2</v>
      </c>
      <c r="Z16" s="38"/>
      <c r="AA16" s="38"/>
      <c r="AB16" s="38"/>
      <c r="AC16" s="38"/>
      <c r="AD16" s="38"/>
      <c r="AE16" s="38">
        <v>3.1</v>
      </c>
      <c r="AF16" s="38">
        <v>1.7</v>
      </c>
      <c r="AG16" s="38">
        <v>2</v>
      </c>
      <c r="AH16" s="38">
        <v>4.1550000000000002</v>
      </c>
      <c r="AI16" s="38">
        <v>0</v>
      </c>
      <c r="AJ16" s="45"/>
      <c r="AK16" s="11">
        <f>IF(SUM(P16:S16)-T16&gt;0,SUM(P16:S16)-T16,"")</f>
        <v>42.760000000000005</v>
      </c>
      <c r="AL16" s="11">
        <f>IF(W16&gt;0,W16,"")</f>
        <v>8.4</v>
      </c>
      <c r="AM16" s="11">
        <f>IF(SUM(U16:X16)-Y16&gt;0,SUM(U16:X16)-Y16,"")</f>
        <v>39.334999999999994</v>
      </c>
      <c r="AN16" s="11" t="str">
        <f>IF(AB16&gt;0,AB16,"")</f>
        <v/>
      </c>
      <c r="AO16" s="11" t="str">
        <f>IF(SUM(Z16:AC16)-AD16&gt;0,SUM(Z16:AC16)-AD16,"")</f>
        <v/>
      </c>
      <c r="AP16" s="11">
        <f>IF(AK16="",IF(MAX(AM16,AO16)&gt;0,MAX(AM16,AO16),""),MAX(AM16,AO16)+AK16)</f>
        <v>82.094999999999999</v>
      </c>
      <c r="AQ16" s="11">
        <f>IF(AG16&gt;0,AG16,"")</f>
        <v>2</v>
      </c>
      <c r="AR16" s="11">
        <f>IF(SUM(AE16:AH16)-AI16&gt;0,SUM(AE16:AH16)-AI16,"")</f>
        <v>10.955</v>
      </c>
      <c r="AS16" s="11">
        <f>IF(SUM(AP16,AR16)&gt;0,SUM(AP16,AR16),"")</f>
        <v>93.05</v>
      </c>
      <c r="AT16" s="42">
        <v>16.399999999999999</v>
      </c>
      <c r="AU16" s="42">
        <v>9.4</v>
      </c>
      <c r="AV16" s="42">
        <v>2</v>
      </c>
      <c r="AW16" s="42">
        <v>15.51</v>
      </c>
      <c r="AX16" s="42">
        <v>0</v>
      </c>
      <c r="AY16" s="42">
        <v>14.3</v>
      </c>
      <c r="AZ16" s="42">
        <v>8.9</v>
      </c>
      <c r="BA16" s="42">
        <v>10.4</v>
      </c>
      <c r="BB16" s="42">
        <v>15.375</v>
      </c>
      <c r="BC16" s="42">
        <v>0</v>
      </c>
      <c r="BD16" s="42"/>
      <c r="BE16" s="42"/>
      <c r="BF16" s="42"/>
      <c r="BG16" s="42"/>
      <c r="BH16" s="42"/>
      <c r="BI16" s="42">
        <v>15.4</v>
      </c>
      <c r="BJ16" s="42">
        <v>8.4</v>
      </c>
      <c r="BK16" s="42">
        <v>9.9</v>
      </c>
      <c r="BL16" s="42">
        <v>15.66</v>
      </c>
      <c r="BM16" s="42">
        <v>0</v>
      </c>
      <c r="BN16" s="46"/>
      <c r="BO16" s="14">
        <f>IF(SUM(AT16:AW16)-AX16&gt;0,SUM(AT16:AW16)-AX16,"")</f>
        <v>43.309999999999995</v>
      </c>
      <c r="BP16" s="14">
        <f>IF(BA16&gt;0,BA16,"")</f>
        <v>10.4</v>
      </c>
      <c r="BQ16" s="14">
        <f>IF(SUM(AY16:BB16)-BC16&gt;0,SUM(AY16:BB16)-BC16,"")</f>
        <v>48.975000000000001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92.284999999999997</v>
      </c>
      <c r="BU16" s="14">
        <f>IF(BK16&gt;0,BK16,"")</f>
        <v>9.9</v>
      </c>
      <c r="BV16" s="14">
        <f>IF(SUM(BI16:BL16)-BM16&gt;0,SUM(BI16:BL16)-BM16,"")</f>
        <v>49.36</v>
      </c>
      <c r="BW16" s="14">
        <f>IF(SUM(BT16,BV16)&gt;0,SUM(BT16,BV16),"")</f>
        <v>141.64499999999998</v>
      </c>
      <c r="BX16" s="38">
        <v>15</v>
      </c>
      <c r="BY16" s="38">
        <v>9.3000000000000007</v>
      </c>
      <c r="BZ16" s="38">
        <v>2</v>
      </c>
      <c r="CA16" s="38">
        <v>15.36</v>
      </c>
      <c r="CB16" s="38">
        <v>0</v>
      </c>
      <c r="CC16" s="38">
        <v>14</v>
      </c>
      <c r="CD16" s="38">
        <v>8.5</v>
      </c>
      <c r="CE16" s="38">
        <v>11.3</v>
      </c>
      <c r="CF16" s="38">
        <v>15.59</v>
      </c>
      <c r="CG16" s="38">
        <v>0</v>
      </c>
      <c r="CH16" s="38"/>
      <c r="CI16" s="38"/>
      <c r="CJ16" s="38"/>
      <c r="CK16" s="38"/>
      <c r="CL16" s="38"/>
      <c r="CM16" s="38">
        <v>12.6</v>
      </c>
      <c r="CN16" s="38">
        <v>8.5</v>
      </c>
      <c r="CO16" s="38">
        <v>10.6</v>
      </c>
      <c r="CP16" s="38">
        <v>14.01</v>
      </c>
      <c r="CQ16" s="38">
        <v>0</v>
      </c>
      <c r="CR16" s="45"/>
      <c r="CS16" s="11">
        <f>IF(SUM(BX16:CA16)-CB16&gt;0,SUM(BX16:CA16)-CB16,"")</f>
        <v>41.66</v>
      </c>
      <c r="CT16" s="11">
        <f>IF(CE16&gt;0,CE16,"")</f>
        <v>11.3</v>
      </c>
      <c r="CU16" s="11">
        <f>IF(SUM(CC16:CF16)-CG16&gt;0,SUM(CC16:CF16)-CG16,"")</f>
        <v>49.39</v>
      </c>
      <c r="CV16" s="11" t="str">
        <f>IF(CJ16&gt;0,CJ16,"")</f>
        <v/>
      </c>
      <c r="CW16" s="11" t="str">
        <f>IF(SUM(CH16:CK16)-CL16&gt;0,SUM(CH16:CK16)-CL16,"")</f>
        <v/>
      </c>
      <c r="CX16" s="11">
        <f>IF(CS16="",IF(MAX(CU16,CW16)&gt;0,MAX(CU16,CW16),""),MAX(CU16,CW16)+CS16)</f>
        <v>91.05</v>
      </c>
      <c r="CY16" s="11">
        <f>IF(CO16&gt;0,CO16,"")</f>
        <v>10.6</v>
      </c>
      <c r="CZ16" s="11">
        <f>IF(SUM(CM16:CP16)-CQ16&gt;0,SUM(CM16:CP16)-CQ16,"")</f>
        <v>45.71</v>
      </c>
      <c r="DA16" s="11">
        <f>IF(SUM(CX16,CZ16)&gt;0,SUM(CX16,CZ16),"")</f>
        <v>136.76</v>
      </c>
      <c r="DB16" s="19" t="str">
        <f>IF(I16&gt;=0.001,IF(MAX(DU16,EQ16,FM16,GI16,HE16,IA16,IW16,JS16,KO16,LK16,MG16,NC16)-IF(I16="",0,I16)&gt;0.001,MAX(DU16,EQ16,FM16,GI16,HE16,IA16,IW16,JS16,KO16,LK16,MG16,NC16)-IF(I16="",0,I16),""),"")</f>
        <v/>
      </c>
      <c r="DC16" s="19" t="str">
        <f>IF(K16&gt;=0.001,IF(MAX(DX16,ET16,FP16,GL16,HH16,ID16,IZ16,JV16,KR16,LN16,MJ16,NF16)-IF(K16="",0,K16)&gt;0.001,MAX(DX16,ET16,FP16,GL16,HH16,ID16,IZ16,JV16,KR16,LN16,MJ16,NF16)-IF(K16="",0,K16),""),"")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11" t="str">
        <f>IF(FC16&gt;0,FC16,"")</f>
        <v/>
      </c>
      <c r="FL16" s="11" t="str">
        <f>IF(SUM(EV16:EY16)-EZ16&gt;0,SUM(EV16:EY16)-EZ16,"")</f>
        <v/>
      </c>
      <c r="FM16" s="11" t="str">
        <f>IF(SUM(FA16:FD16)-FE16&gt;0,SUM(FA16:FD16)-FE16,"")</f>
        <v/>
      </c>
      <c r="FN16" s="11" t="str">
        <f>IF(SUM(FL16:FM16)&gt;0,SUM(FL16:FM16),"")</f>
        <v/>
      </c>
      <c r="FO16" s="11" t="str">
        <f>IF(FH16&gt;0,FH16,"")</f>
        <v/>
      </c>
      <c r="FP16" s="11" t="str">
        <f>IF(SUM(FF16:FI16)-FJ16&gt;0,SUM(FF16:FI16)-FJ16,"")</f>
        <v/>
      </c>
      <c r="FQ16" s="11" t="str">
        <f>IF(SUM(FN16,FP16)&gt;0,SUM(FN16,FP16),"")</f>
        <v/>
      </c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8">
        <f>IF($CR16="P",BX16,(BX16+AT16)/2)</f>
        <v>15.7</v>
      </c>
      <c r="NI16" s="38">
        <f>IF($CR16="P",BY16,(BY16+AU16)/2)</f>
        <v>9.3500000000000014</v>
      </c>
      <c r="NJ16" s="38">
        <f>IF($CR16="P",BZ16,(BZ16+AV16)/2)</f>
        <v>2</v>
      </c>
      <c r="NK16" s="38">
        <f>IF($CR16="P",CA16,(CA16+AW16)/2)</f>
        <v>15.434999999999999</v>
      </c>
      <c r="NL16" s="38">
        <f>IF($CR16="P",CB16,(CB16+AX16)/2)</f>
        <v>0</v>
      </c>
      <c r="NM16" s="38">
        <f>IF($CR16="P",CC16,(CC16+AY16)/2)</f>
        <v>14.15</v>
      </c>
      <c r="NN16" s="38">
        <f>IF($CR16="P",CD16,(CD16+AZ16)/2)</f>
        <v>8.6999999999999993</v>
      </c>
      <c r="NO16" s="38">
        <f>IF($CR16="P",CE16,(CE16+BA16)/2)</f>
        <v>10.850000000000001</v>
      </c>
      <c r="NP16" s="38">
        <f>IF($CR16="P",CF16,(CF16+BB16)/2)</f>
        <v>15.4825</v>
      </c>
      <c r="NQ16" s="38">
        <f>IF($CR16="P",CG16,(CG16+BC16)/2)</f>
        <v>0</v>
      </c>
      <c r="NR16" s="38">
        <f>IF($CR16="P",CH16,(CH16+BD16)/2)</f>
        <v>0</v>
      </c>
      <c r="NS16" s="38">
        <f>IF($CR16="P",CI16,(CI16+BE16)/2)</f>
        <v>0</v>
      </c>
      <c r="NT16" s="38">
        <f>IF($CR16="P",CJ16,(CJ16+BF16)/2)</f>
        <v>0</v>
      </c>
      <c r="NU16" s="38">
        <f>IF($CR16="P",CK16,(CK16+BG16)/2)</f>
        <v>0</v>
      </c>
      <c r="NV16" s="38">
        <f>IF($CR16="P",CL16,(CL16+BH16)/2)</f>
        <v>0</v>
      </c>
      <c r="NW16" s="38">
        <f>IF($CR16="P",CM16,(CM16+BI16)/2)</f>
        <v>14</v>
      </c>
      <c r="NX16" s="38">
        <f>IF($CR16="P",CN16,(CN16+BJ16)/2)</f>
        <v>8.4499999999999993</v>
      </c>
      <c r="NY16" s="38">
        <f>IF($CR16="P",CO16,(CO16+BK16)/2)</f>
        <v>10.25</v>
      </c>
      <c r="NZ16" s="38">
        <f>IF($CR16="P",CP16,(CP16+BL16)/2)</f>
        <v>14.835000000000001</v>
      </c>
      <c r="OA16" s="38">
        <f>IF($CR16="P",CQ16,(CQ16+BM16)/2)</f>
        <v>0</v>
      </c>
      <c r="OB16" s="45" t="s">
        <v>46</v>
      </c>
      <c r="OC16" s="11">
        <f>IF(SUM(NH16:NK16)-NL16&gt;0,SUM(NH16:NK16)-NL16,"")</f>
        <v>42.484999999999999</v>
      </c>
      <c r="OD16" s="11">
        <f>IF(NO16&gt;0,NO16,"")</f>
        <v>10.850000000000001</v>
      </c>
      <c r="OE16" s="11">
        <f>IF(SUM(NM16:NP16)-NQ16&gt;0,SUM(NM16:NP16)-NQ16,"")</f>
        <v>49.182500000000005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91.667500000000004</v>
      </c>
      <c r="OI16" s="11">
        <f>IF(NY16&gt;0,NY16,"")</f>
        <v>10.25</v>
      </c>
      <c r="OJ16" s="11">
        <f t="shared" ref="OJ16" si="12">IF(SUM(NW16:NZ16)-OA16&gt;0,SUM(NW16:NZ16)-OA16,"")</f>
        <v>47.535000000000004</v>
      </c>
      <c r="OK16" s="11">
        <f t="shared" ref="OK16" si="13">IF(SUM(OH16,OJ16)&gt;0,SUM(OH16,OJ16),"")</f>
        <v>139.20250000000001</v>
      </c>
    </row>
    <row r="17" spans="1:401" x14ac:dyDescent="0.2">
      <c r="A17" s="5" t="str" cm="1">
        <f t="array" ref="A17">IF(AND(F17="P",G17="P"),SUMPRODUCT((F$4:F$32="P")*(G$4:G$32="P")*(E$4:E$32&gt;E17))+1,IF(G17="P",SUMPRODUCT((F$4:F$32="")*(G$4:G$32="P")*(E$4:E$32&gt;E17))+1+SUMPRODUCT((F$4:F$32="P")*(G$4:G$32="P")),""))</f>
        <v/>
      </c>
      <c r="B17" s="6" t="s">
        <v>125</v>
      </c>
      <c r="C17" s="7" t="s">
        <v>6</v>
      </c>
      <c r="D17" s="22">
        <v>2004</v>
      </c>
      <c r="E17" s="15">
        <f>SUM(I17:M17)+I17*0.0000001</f>
        <v>98.160005033499999</v>
      </c>
      <c r="F17" s="3" t="str">
        <f>IF(OR(AND(AL17&gt;=AS$34,AM17&gt;=AS$38,AL17&lt;&gt;"",AJ17=""),AND(AN17&gt;=AS$34,AO17&gt;=AS$38,AN17&lt;&gt;"",AN17=""),AND(AQ17&gt;=AS$34,AR17&gt;=AS$38,AQ17&lt;&gt;"",AJ17=""),AND(BP17&gt;=BW$34,BQ17&gt;=BW$38,BP17&lt;&gt;"",BN17=""),AND(BR17&gt;=BW$34,BS17&gt;=BW$38,BR17&lt;&gt;"",BN17=""),AND(BU17&gt;=BW$34,BV17&gt;=BW$38,BU17&lt;&gt;"",BN17=""),AND(CT17&gt;=DA$34,CU17&gt;=DA$38,CT17&lt;&gt;"",CR17=""),AND(CV17&gt;=DA$34,CW17&gt;=DA$38,CV17&lt;&gt;"",CR17=""),AND(CY17&gt;=DA$34,CZ17&gt;=DA$38,CY17&lt;&gt;"",CR17=""),AND(DS17&gt;=DY$34,DU17&gt;=DY$38,DS17&lt;&gt;""),AND(DW17&gt;=DY$34,DX17&gt;=DY$38,DW17&lt;&gt;""),AND(EO17&gt;=EU$34,EQ17&gt;=EU$38,EO17&lt;&gt;""),AND(ES17&gt;=EU$34,ET17&gt;=EU$38,ES17&lt;&gt;""),AND(FK17&gt;=FQ$34,FM17&gt;=FQ$38,FK17&lt;&gt;""),AND(FO17&gt;=FQ$34,FP17&gt;=FQ$38,FO17&lt;&gt;""),AND(GG17&gt;=GM$34,GI17&gt;=GM$38,GG17&lt;&gt;""),AND(GK17&gt;=GM$34,GL17&gt;=GM$38,GK17&lt;&gt;""),AND(HC17&gt;=HI$34,HE17&gt;=HI$38,HC17&lt;&gt;""),AND(HG17&gt;=HI$34,HH17&gt;=HI$38,HG17&lt;&gt;""),AND(HY17&gt;=IE$34,IA17&gt;=IE$38,HY17&lt;&gt;""),AND(IC17&gt;=IE$34,ID17&gt;=IE$38,IC17&lt;&gt;""),AND(IU17&gt;=JA$34,IW17&gt;=JA$38,IU17&lt;&gt;""),AND(IY17&gt;=JA$34,IZ17&gt;=JA$38,IY17&lt;&gt;""),AND(JQ17&gt;=JW$34,JS17&gt;=JW$38,JQ17&lt;&gt;""),AND(JU17&gt;=JW$34,JV17&gt;=JW$38,JU17&lt;&gt;""),AND(KM17&gt;=KS$34,KO17&gt;=KS$38,KM17&lt;&gt;""),AND(KQ17&gt;=KS$34,KR17&gt;=KS$38,KQ17&lt;&gt;""),AND(LI17&gt;=LO$34,LK17&gt;=LO$38,LI17&lt;&gt;""),AND(LM17&gt;=LO$34,LN17&gt;=LO$38,LM17&lt;&gt;""),AND(ME17&gt;=MK$34,MG17&gt;=MK$38,ME17&lt;&gt;""),AND(MI17&gt;=MK$34,MJ17&gt;=MK$38,MI17&lt;&gt;""),AND(NA17&gt;=NG$34,NC17&gt;=NG$38,NA17&lt;&gt;""),AND(NE17&gt;=NG$34,NF17&gt;=NG$38,NE17&lt;&gt;"")),"P","")</f>
        <v/>
      </c>
      <c r="G17" s="3" t="str">
        <f>IF(OR(AND(AM17&gt;=AS$38,AL17&lt;&gt;"",AJ17=""),AND(AO17&gt;=AS$38,AN17&lt;&gt;"",AN17=""),AND(AR17&gt;=AS$38,AQ17&lt;&gt;"",AJ17=""),AND(BQ17&gt;=BW$38,BP17&lt;&gt;"",BN17=""),AND(BS17&gt;=BW$38,BR17&lt;&gt;"",BN17=""),AND(BV17&gt;=BW$38,BU17&lt;&gt;"",BN17=""),AND(CU17&gt;=DA$38,CT17&lt;&gt;"",CR17=""),AND(CW17&gt;=DA$38,CV17&lt;&gt;"",CR17=""),AND(CZ17&gt;=DA$38,CY17&lt;&gt;"",CR17=""),AND(DU17&gt;=DY$38,DS17&lt;&gt;""),AND(DX17&gt;=DY$38,DW17&lt;&gt;""),AND(EQ17&gt;=EU$38,EO17&lt;&gt;""),AND(ET17&gt;=EU$38,ES17&lt;&gt;""),AND(FM17&gt;=FQ$38,FK17&lt;&gt;""),AND(FP17&gt;=FQ$38,FO17&lt;&gt;""),AND(GI17&gt;=GM$38,GG17&lt;&gt;""),AND(GL17&gt;=GM$38,GK17&lt;&gt;""),AND(HE17&gt;=HI$38,HC17&lt;&gt;""),AND(HH17&gt;=HI$38,HG17&lt;&gt;""),AND(IA17&gt;=IE$38,HY17&lt;&gt;""),AND(ID17&gt;=IE$38,IC17&lt;&gt;""),AND(IW17&gt;=JA$38,IU17&lt;&gt;""),AND(IZ17&gt;=JA$38,IY17&lt;&gt;""),AND(JS17&gt;=JW$38,JQ17&lt;&gt;""),AND(JV17&gt;=JW$38,JU17&lt;&gt;""),AND(KO17&gt;=KS$38,KM17&lt;&gt;""),AND(KR17&gt;=KS$38,KQ17&lt;&gt;""),AND(LK17&gt;=LO$38,LI17&lt;&gt;""),AND(LN17&gt;=LO$38,LM17&lt;&gt;""),AND(MG17&gt;=MK$38,ME17&lt;&gt;""),AND(MJ17&gt;=MK$38,MI17&lt;&gt;""),AND(NC17&gt;=NG$38,NA17&lt;&gt;""),AND(NF17&gt;=NG$38,NE17&lt;&gt;"")),"P","")</f>
        <v/>
      </c>
      <c r="H17" s="67" t="str">
        <f>IF(F17="P","National Team",IF(G17="P","No DD",""))</f>
        <v/>
      </c>
      <c r="I17" s="14">
        <f>MAX(AM17,AO17,AR17,BQ17,BS17,BV17,CU17,CW17,CZ17)</f>
        <v>50.335000000000001</v>
      </c>
      <c r="J17" s="14" t="str">
        <f>IF(I17=0,"",IF(OR(I17=CW17,I17=CU17,I17=CZ17),$BX$1,IF(OR(I17=BS17,I17=BQ17,I17=BV17),$AT$1,IF(OR(I17=AO17,I17=AM17,I17=AR17),$P$1,""))))</f>
        <v>2021 Canadian Championships</v>
      </c>
      <c r="K17" s="14">
        <f>IF(COUNT(AM17,AO17,AR17,BQ17,BS17,BV17,CU17,CW17,CZ17)&gt;1,LARGE((AM17,AO17,AR17,BQ17,BS17,BV17,CU17,CW17,CZ17),2),0)</f>
        <v>47.825000000000003</v>
      </c>
      <c r="L17" s="14" t="str">
        <f>IF(K17=0,"",IF(OR(K17=CW17,K17=CU17,K17=CZ17),$BX$1,IF(OR(K17=BS17,K17=BQ17,K17=BV17),$AT$1,IF(OR(K17=AO17,K17=AM17,K17=AR17),$P$1,""))))</f>
        <v>2021 Elite Canada</v>
      </c>
      <c r="M17" s="14" t="str">
        <f>IF(MAX(DB17,DC17)&gt;0,MAX(DB17,DC17),"")</f>
        <v/>
      </c>
      <c r="N17" s="20" t="str">
        <f>IF(M17="","",IF(M17=#REF!,"(Vol 1)",IF(M17=DB17,"(Vol 2)",IF(M17=#REF!,"(Prelim)",IF(M17=DC17,"(Final)")))))</f>
        <v/>
      </c>
      <c r="O17" s="14" t="str">
        <f>IF(M17="","",IF(M17=#REF!,IF(M17+IF(#REF!="",0,#REF!)=NB17,$ML$1,IF(M17+IF(#REF!="",0,#REF!)=MF17,$LP$1,IF(M17+IF(#REF!="",0,#REF!)=LJ17,$KT$1,IF(M17+IF(#REF!="",0,#REF!)=KN17,$JX$1,IF(M17+IF(#REF!="",0,#REF!)=JR17,$JB$1,IF(M17+IF(#REF!="",0,#REF!)=IV17,$IF$1,IF(M17+IF(#REF!="",0,#REF!)=HZ17,$HJ$1,IF(M17+IF(#REF!="",0,#REF!)=HD17,$GN$1,IF(M17+IF(#REF!="",0,#REF!)=GH17,$FR$1,IF(M17+IF(#REF!="",0,#REF!)=FL17,$EV$1,IF(M17+IF(#REF!="",0,#REF!)=EP17,$DZ$1,IF(M17+IF(#REF!="",0,#REF!)=DT17,$DD$1)))))))))))),IF(M17=DB17,IF(M17+IF(I17="",0,I17)=NC17,$ML$1,IF(M17+IF(I17="",0,I17)=MG17,$LP$1,IF(M17+IF(I17="",0,I17)=LK17,$KT$1,IF(M17+IF(I17="",0,I17)=KO17,$JX$1,IF(M17+IF(I17="",0,I17)=JS17,$JB$1,IF(M17+IF(I17="",0,I17)=IW17,$IF$1,IF(M17+IF(I17="",0,I17)=IA17,$HJ$1,IF(M17+IF(I17="",0,I17)=HE17,$GN$1,IF(M17+IF(I17="",0,I17)=GI17,$FR$1,IF(M17+IF(I17="",0,I17)=FM17,$EV$1,IF(M17+IF(I17="",0,I17)=EQ17,$DZ$1,IF(M17+IF(I17="",0,I17)=DU17,$DD$1)))))))))))),IF(M17=#REF!,IF(M17+IF(#REF!="",0,#REF!)=ND17,$ML$1,IF(M17+IF(#REF!="",0,#REF!)=MH17,$LP$1,IF(M17+IF(#REF!="",0,#REF!)=LL17,$KT$1,IF(M17+IF(#REF!="",0,#REF!)=KP17,$JX$1,IF(M17+IF(#REF!="",0,#REF!)=JT17,$JB$1,IF(M17+IF(#REF!="",0,#REF!)=IX17,$IF$1,IF(M17+IF(#REF!="",0,#REF!)=IB17,$HJ$1,IF(M17+IF(#REF!="",0,#REF!)=HF17,$GN$1,IF(M17+IF(#REF!="",0,#REF!)=GJ17,$FR$1,IF(M17+IF(#REF!="",0,#REF!)=FN17,$EV$1,IF(M17+IF(#REF!="",0,#REF!)=ER17,$DZ$1,IF(M17+IF(#REF!="",0,#REF!)=DV17,$DD$1)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))</f>
        <v/>
      </c>
      <c r="P17" s="38">
        <v>16.399999999999999</v>
      </c>
      <c r="Q17" s="38">
        <v>9.1999999999999993</v>
      </c>
      <c r="R17" s="38">
        <v>2</v>
      </c>
      <c r="S17" s="38">
        <v>16.14</v>
      </c>
      <c r="T17" s="38">
        <v>0</v>
      </c>
      <c r="U17" s="38">
        <v>14.3</v>
      </c>
      <c r="V17" s="38">
        <v>8.9</v>
      </c>
      <c r="W17" s="38">
        <v>9.6</v>
      </c>
      <c r="X17" s="38">
        <v>15.025</v>
      </c>
      <c r="Y17" s="38">
        <v>0</v>
      </c>
      <c r="Z17" s="38"/>
      <c r="AA17" s="38"/>
      <c r="AB17" s="38"/>
      <c r="AC17" s="38"/>
      <c r="AD17" s="38"/>
      <c r="AE17" s="38">
        <v>4.4000000000000004</v>
      </c>
      <c r="AF17" s="38">
        <v>2.7</v>
      </c>
      <c r="AG17" s="38">
        <v>4</v>
      </c>
      <c r="AH17" s="38">
        <v>4.75</v>
      </c>
      <c r="AI17" s="38">
        <v>0</v>
      </c>
      <c r="AJ17" s="45"/>
      <c r="AK17" s="11">
        <f>IF(SUM(P17:S17)-T17&gt;0,SUM(P17:S17)-T17,"")</f>
        <v>43.739999999999995</v>
      </c>
      <c r="AL17" s="11">
        <f>IF(W17&gt;0,W17,"")</f>
        <v>9.6</v>
      </c>
      <c r="AM17" s="11">
        <f>IF(SUM(U17:X17)-Y17&gt;0,SUM(U17:X17)-Y17,"")</f>
        <v>47.825000000000003</v>
      </c>
      <c r="AN17" s="11" t="str">
        <f>IF(AB17&gt;0,AB17,"")</f>
        <v/>
      </c>
      <c r="AO17" s="11" t="str">
        <f>IF(SUM(Z17:AC17)-AD17&gt;0,SUM(Z17:AC17)-AD17,"")</f>
        <v/>
      </c>
      <c r="AP17" s="11">
        <f>IF(AK17="",IF(MAX(AM17,AO17)&gt;0,MAX(AM17,AO17),""),MAX(AM17,AO17)+AK17)</f>
        <v>91.564999999999998</v>
      </c>
      <c r="AQ17" s="11">
        <f>IF(AG17&gt;0,AG17,"")</f>
        <v>4</v>
      </c>
      <c r="AR17" s="11">
        <f>IF(SUM(AE17:AH17)-AI17&gt;0,SUM(AE17:AH17)-AI17,"")</f>
        <v>15.850000000000001</v>
      </c>
      <c r="AS17" s="11">
        <f>IF(SUM(AP17,AR17)&gt;0,SUM(AP17,AR17),"")</f>
        <v>107.41499999999999</v>
      </c>
      <c r="AT17" s="42">
        <v>10.4</v>
      </c>
      <c r="AU17" s="42">
        <v>5.3</v>
      </c>
      <c r="AV17" s="42">
        <v>0.6</v>
      </c>
      <c r="AW17" s="42">
        <v>9.82</v>
      </c>
      <c r="AX17" s="42">
        <v>0</v>
      </c>
      <c r="AY17" s="42">
        <v>15</v>
      </c>
      <c r="AZ17" s="42">
        <v>9.1999999999999993</v>
      </c>
      <c r="BA17" s="42">
        <v>8.1999999999999993</v>
      </c>
      <c r="BB17" s="42">
        <v>15.02</v>
      </c>
      <c r="BC17" s="42">
        <v>1.4</v>
      </c>
      <c r="BD17" s="42"/>
      <c r="BE17" s="42"/>
      <c r="BF17" s="42"/>
      <c r="BG17" s="42"/>
      <c r="BH17" s="42"/>
      <c r="BI17" s="42">
        <v>16.2</v>
      </c>
      <c r="BJ17" s="42">
        <v>9.1</v>
      </c>
      <c r="BK17" s="42">
        <v>9.6</v>
      </c>
      <c r="BL17" s="42">
        <v>15.435</v>
      </c>
      <c r="BM17" s="42">
        <v>0</v>
      </c>
      <c r="BN17" s="46"/>
      <c r="BO17" s="14">
        <f>IF(SUM(AT17:AW17)-AX17&gt;0,SUM(AT17:AW17)-AX17,"")</f>
        <v>26.12</v>
      </c>
      <c r="BP17" s="14">
        <f>IF(BA17&gt;0,BA17,"")</f>
        <v>8.1999999999999993</v>
      </c>
      <c r="BQ17" s="14">
        <f>IF(SUM(AY17:BB17)-BC17&gt;0,SUM(AY17:BB17)-BC17,"")</f>
        <v>46.02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72.14</v>
      </c>
      <c r="BU17" s="14">
        <f>IF(BK17&gt;0,BK17,"")</f>
        <v>9.6</v>
      </c>
      <c r="BV17" s="14">
        <f>IF(SUM(BI17:BL17)-BM17&gt;0,SUM(BI17:BL17)-BM17,"")</f>
        <v>50.335000000000001</v>
      </c>
      <c r="BW17" s="14">
        <f>IF(SUM(BT17,BV17)&gt;0,SUM(BT17,BV17),"")</f>
        <v>122.47499999999999</v>
      </c>
      <c r="BX17" s="38">
        <v>16.899999999999999</v>
      </c>
      <c r="BY17" s="38">
        <v>9.3000000000000007</v>
      </c>
      <c r="BZ17" s="38">
        <v>2</v>
      </c>
      <c r="CA17" s="38">
        <v>15.69</v>
      </c>
      <c r="CB17" s="38">
        <v>0</v>
      </c>
      <c r="CC17" s="38">
        <v>3</v>
      </c>
      <c r="CD17" s="38">
        <v>1.9</v>
      </c>
      <c r="CE17" s="38">
        <v>2.5</v>
      </c>
      <c r="CF17" s="38">
        <v>3.25</v>
      </c>
      <c r="CG17" s="38">
        <v>0</v>
      </c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45"/>
      <c r="CS17" s="11">
        <f>IF(SUM(BX17:CA17)-CB17&gt;0,SUM(BX17:CA17)-CB17,"")</f>
        <v>43.89</v>
      </c>
      <c r="CT17" s="11">
        <f>IF(CE17&gt;0,CE17,"")</f>
        <v>2.5</v>
      </c>
      <c r="CU17" s="11">
        <f>IF(SUM(CC17:CF17)-CG17&gt;0,SUM(CC17:CF17)-CG17,"")</f>
        <v>10.65</v>
      </c>
      <c r="CV17" s="11" t="str">
        <f>IF(CJ17&gt;0,CJ17,"")</f>
        <v/>
      </c>
      <c r="CW17" s="11" t="str">
        <f>IF(SUM(CH17:CK17)-CL17&gt;0,SUM(CH17:CK17)-CL17,"")</f>
        <v/>
      </c>
      <c r="CX17" s="11">
        <f>IF(CS17="",IF(MAX(CU17,CW17)&gt;0,MAX(CU17,CW17),""),MAX(CU17,CW17)+CS17)</f>
        <v>54.54</v>
      </c>
      <c r="CY17" s="11" t="str">
        <f>IF(CO17&gt;0,CO17,"")</f>
        <v/>
      </c>
      <c r="CZ17" s="11" t="str">
        <f>IF(SUM(CM17:CP17)-CQ17&gt;0,SUM(CM17:CP17)-CQ17,"")</f>
        <v/>
      </c>
      <c r="DA17" s="11">
        <f>IF(SUM(CX17,CZ17)&gt;0,SUM(CX17,CZ17),"")</f>
        <v>54.54</v>
      </c>
      <c r="DB17" s="19" t="str">
        <f>IF(I17&gt;=0.001,IF(MAX(DU17,EQ17,FM17,GI17,HE17,IA17,IW17,JS17,KO17,LK17,MG17,NC17)-IF(I17="",0,I17)&gt;0.001,MAX(DU17,EQ17,FM17,GI17,HE17,IA17,IW17,JS17,KO17,LK17,MG17,NC17)-IF(I17="",0,I17),""),"")</f>
        <v/>
      </c>
      <c r="DC17" s="19" t="str">
        <f>IF(K17&gt;=0.001,IF(MAX(DX17,ET17,FP17,GL17,HH17,ID17,IZ17,JV17,KR17,LN17,MJ17,NF17)-IF(K17="",0,K17)&gt;0.001,MAX(DX17,ET17,FP17,GL17,HH17,ID17,IZ17,JV17,KR17,LN17,MJ17,NF17)-IF(K17="",0,K17),""),"")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11" t="str">
        <f>IF(FC17&gt;0,FC17,"")</f>
        <v/>
      </c>
      <c r="FL17" s="11" t="str">
        <f>IF(SUM(EV17:EY17)-EZ17&gt;0,SUM(EV17:EY17)-EZ17,"")</f>
        <v/>
      </c>
      <c r="FM17" s="11" t="str">
        <f>IF(SUM(FA17:FD17)-FE17&gt;0,SUM(FA17:FD17)-FE17,"")</f>
        <v/>
      </c>
      <c r="FN17" s="11" t="str">
        <f>IF(SUM(FL17:FM17)&gt;0,SUM(FL17:FM17),"")</f>
        <v/>
      </c>
      <c r="FO17" s="11" t="str">
        <f>IF(FH17&gt;0,FH17,"")</f>
        <v/>
      </c>
      <c r="FP17" s="11" t="str">
        <f>IF(SUM(FF17:FI17)-FJ17&gt;0,SUM(FF17:FI17)-FJ17,"")</f>
        <v/>
      </c>
      <c r="FQ17" s="11" t="str">
        <f>IF(SUM(FN17,FP17)&gt;0,SUM(FN17,FP17),"")</f>
        <v/>
      </c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8">
        <f>IF($CR17="P",BX17,(BX17+AT17)/2)</f>
        <v>13.649999999999999</v>
      </c>
      <c r="NI17" s="38">
        <f>IF($CR17="P",BY17,(BY17+AU17)/2)</f>
        <v>7.3000000000000007</v>
      </c>
      <c r="NJ17" s="38">
        <f>IF($CR17="P",BZ17,(BZ17+AV17)/2)</f>
        <v>1.3</v>
      </c>
      <c r="NK17" s="38">
        <f>IF($CR17="P",CA17,(CA17+AW17)/2)</f>
        <v>12.754999999999999</v>
      </c>
      <c r="NL17" s="38">
        <f>IF($CR17="P",CB17,(CB17+AX17)/2)</f>
        <v>0</v>
      </c>
      <c r="NM17" s="38">
        <f>IF($CR17="P",CC17,(CC17+AY17)/2)</f>
        <v>9</v>
      </c>
      <c r="NN17" s="38">
        <f>IF($CR17="P",CD17,(CD17+AZ17)/2)</f>
        <v>5.55</v>
      </c>
      <c r="NO17" s="38">
        <f>IF($CR17="P",CE17,(CE17+BA17)/2)</f>
        <v>5.35</v>
      </c>
      <c r="NP17" s="38">
        <f>IF($CR17="P",CF17,(CF17+BB17)/2)</f>
        <v>9.1349999999999998</v>
      </c>
      <c r="NQ17" s="38">
        <f>IF($CR17="P",CG17,(CG17+BC17)/2)</f>
        <v>0.7</v>
      </c>
      <c r="NR17" s="38">
        <f>IF($CR17="P",CH17,(CH17+BD17)/2)</f>
        <v>0</v>
      </c>
      <c r="NS17" s="38">
        <f>IF($CR17="P",CI17,(CI17+BE17)/2)</f>
        <v>0</v>
      </c>
      <c r="NT17" s="38">
        <f>IF($CR17="P",CJ17,(CJ17+BF17)/2)</f>
        <v>0</v>
      </c>
      <c r="NU17" s="38">
        <f>IF($CR17="P",CK17,(CK17+BG17)/2)</f>
        <v>0</v>
      </c>
      <c r="NV17" s="38">
        <f>IF($CR17="P",CL17,(CL17+BH17)/2)</f>
        <v>0</v>
      </c>
      <c r="NW17" s="38">
        <f>IF($CR17="P",CM17,(CM17+BI17)/2)</f>
        <v>8.1</v>
      </c>
      <c r="NX17" s="38">
        <f>IF($CR17="P",CN17,(CN17+BJ17)/2)</f>
        <v>4.55</v>
      </c>
      <c r="NY17" s="38">
        <f>IF($CR17="P",CO17,(CO17+BK17)/2)</f>
        <v>4.8</v>
      </c>
      <c r="NZ17" s="38">
        <f>IF($CR17="P",CP17,(CP17+BL17)/2)</f>
        <v>7.7175000000000002</v>
      </c>
      <c r="OA17" s="38">
        <f>IF($CR17="P",CQ17,(CQ17+BM17)/2)</f>
        <v>0</v>
      </c>
      <c r="OB17" s="45" t="s">
        <v>46</v>
      </c>
      <c r="OC17" s="11">
        <f>IF(SUM(NH17:NK17)-NL17&gt;0,SUM(NH17:NK17)-NL17,"")</f>
        <v>35.004999999999995</v>
      </c>
      <c r="OD17" s="11">
        <f>IF(NO17&gt;0,NO17,"")</f>
        <v>5.35</v>
      </c>
      <c r="OE17" s="11">
        <f>IF(SUM(NM17:NP17)-NQ17&gt;0,SUM(NM17:NP17)-NQ17,"")</f>
        <v>28.334999999999997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63.339999999999989</v>
      </c>
      <c r="OI17" s="11">
        <f>IF(NY17&gt;0,NY17,"")</f>
        <v>4.8</v>
      </c>
      <c r="OJ17" s="11">
        <f t="shared" ref="OJ17" si="14">IF(SUM(NW17:NZ17)-OA17&gt;0,SUM(NW17:NZ17)-OA17,"")</f>
        <v>25.1675</v>
      </c>
      <c r="OK17" s="11">
        <f t="shared" ref="OK17" si="15">IF(SUM(OH17,OJ17)&gt;0,SUM(OH17,OJ17),"")</f>
        <v>88.507499999999993</v>
      </c>
    </row>
    <row r="18" spans="1:401" x14ac:dyDescent="0.2">
      <c r="A18" s="5" t="str" cm="1">
        <f t="array" ref="A18">IF(AND(F18="P",G18="P"),SUMPRODUCT((F$4:F$32="P")*(G$4:G$32="P")*(E$4:E$32&gt;E18))+1,IF(G18="P",SUMPRODUCT((F$4:F$32="")*(G$4:G$32="P")*(E$4:E$32&gt;E18))+1+SUMPRODUCT((F$4:F$32="P")*(G$4:G$32="P")),""))</f>
        <v/>
      </c>
      <c r="B18" s="6" t="s">
        <v>159</v>
      </c>
      <c r="C18" s="7" t="s">
        <v>6</v>
      </c>
      <c r="D18" s="5">
        <v>2003</v>
      </c>
      <c r="E18" s="15">
        <f>SUM(I18:M18)+I18*0.0000001</f>
        <v>96.680004886000006</v>
      </c>
      <c r="F18" s="3" t="str">
        <f>IF(OR(AND(AL18&gt;=AS$34,AM18&gt;=AS$38,AL18&lt;&gt;"",AJ18=""),AND(AN18&gt;=AS$34,AO18&gt;=AS$38,AN18&lt;&gt;"",AN18=""),AND(AQ18&gt;=AS$34,AR18&gt;=AS$38,AQ18&lt;&gt;"",AJ18=""),AND(BP18&gt;=BW$34,BQ18&gt;=BW$38,BP18&lt;&gt;"",BN18=""),AND(BR18&gt;=BW$34,BS18&gt;=BW$38,BR18&lt;&gt;"",BN18=""),AND(BU18&gt;=BW$34,BV18&gt;=BW$38,BU18&lt;&gt;"",BN18=""),AND(CT18&gt;=DA$34,CU18&gt;=DA$38,CT18&lt;&gt;"",CR18=""),AND(CV18&gt;=DA$34,CW18&gt;=DA$38,CV18&lt;&gt;"",CR18=""),AND(CY18&gt;=DA$34,CZ18&gt;=DA$38,CY18&lt;&gt;"",CR18=""),AND(DS18&gt;=DY$34,DU18&gt;=DY$38,DS18&lt;&gt;""),AND(DW18&gt;=DY$34,DX18&gt;=DY$38,DW18&lt;&gt;""),AND(EO18&gt;=EU$34,EQ18&gt;=EU$38,EO18&lt;&gt;""),AND(ES18&gt;=EU$34,ET18&gt;=EU$38,ES18&lt;&gt;""),AND(FK18&gt;=FQ$34,FM18&gt;=FQ$38,FK18&lt;&gt;""),AND(FO18&gt;=FQ$34,FP18&gt;=FQ$38,FO18&lt;&gt;""),AND(GG18&gt;=GM$34,GI18&gt;=GM$38,GG18&lt;&gt;""),AND(GK18&gt;=GM$34,GL18&gt;=GM$38,GK18&lt;&gt;""),AND(HC18&gt;=HI$34,HE18&gt;=HI$38,HC18&lt;&gt;""),AND(HG18&gt;=HI$34,HH18&gt;=HI$38,HG18&lt;&gt;""),AND(HY18&gt;=IE$34,IA18&gt;=IE$38,HY18&lt;&gt;""),AND(IC18&gt;=IE$34,ID18&gt;=IE$38,IC18&lt;&gt;""),AND(IU18&gt;=JA$34,IW18&gt;=JA$38,IU18&lt;&gt;""),AND(IY18&gt;=JA$34,IZ18&gt;=JA$38,IY18&lt;&gt;""),AND(JQ18&gt;=JW$34,JS18&gt;=JW$38,JQ18&lt;&gt;""),AND(JU18&gt;=JW$34,JV18&gt;=JW$38,JU18&lt;&gt;""),AND(KM18&gt;=KS$34,KO18&gt;=KS$38,KM18&lt;&gt;""),AND(KQ18&gt;=KS$34,KR18&gt;=KS$38,KQ18&lt;&gt;""),AND(LI18&gt;=LO$34,LK18&gt;=LO$38,LI18&lt;&gt;""),AND(LM18&gt;=LO$34,LN18&gt;=LO$38,LM18&lt;&gt;""),AND(ME18&gt;=MK$34,MG18&gt;=MK$38,ME18&lt;&gt;""),AND(MI18&gt;=MK$34,MJ18&gt;=MK$38,MI18&lt;&gt;""),AND(NA18&gt;=NG$34,NC18&gt;=NG$38,NA18&lt;&gt;""),AND(NE18&gt;=NG$34,NF18&gt;=NG$38,NE18&lt;&gt;"")),"P","")</f>
        <v/>
      </c>
      <c r="G18" s="3" t="str">
        <f>IF(OR(AND(AM18&gt;=AS$38,AL18&lt;&gt;"",AJ18=""),AND(AO18&gt;=AS$38,AN18&lt;&gt;"",AN18=""),AND(AR18&gt;=AS$38,AQ18&lt;&gt;"",AJ18=""),AND(BQ18&gt;=BW$38,BP18&lt;&gt;"",BN18=""),AND(BS18&gt;=BW$38,BR18&lt;&gt;"",BN18=""),AND(BV18&gt;=BW$38,BU18&lt;&gt;"",BN18=""),AND(CU18&gt;=DA$38,CT18&lt;&gt;"",CR18=""),AND(CW18&gt;=DA$38,CV18&lt;&gt;"",CR18=""),AND(CZ18&gt;=DA$38,CY18&lt;&gt;"",CR18=""),AND(DU18&gt;=DY$38,DS18&lt;&gt;""),AND(DX18&gt;=DY$38,DW18&lt;&gt;""),AND(EQ18&gt;=EU$38,EO18&lt;&gt;""),AND(ET18&gt;=EU$38,ES18&lt;&gt;""),AND(FM18&gt;=FQ$38,FK18&lt;&gt;""),AND(FP18&gt;=FQ$38,FO18&lt;&gt;""),AND(GI18&gt;=GM$38,GG18&lt;&gt;""),AND(GL18&gt;=GM$38,GK18&lt;&gt;""),AND(HE18&gt;=HI$38,HC18&lt;&gt;""),AND(HH18&gt;=HI$38,HG18&lt;&gt;""),AND(IA18&gt;=IE$38,HY18&lt;&gt;""),AND(ID18&gt;=IE$38,IC18&lt;&gt;""),AND(IW18&gt;=JA$38,IU18&lt;&gt;""),AND(IZ18&gt;=JA$38,IY18&lt;&gt;""),AND(JS18&gt;=JW$38,JQ18&lt;&gt;""),AND(JV18&gt;=JW$38,JU18&lt;&gt;""),AND(KO18&gt;=KS$38,KM18&lt;&gt;""),AND(KR18&gt;=KS$38,KQ18&lt;&gt;""),AND(LK18&gt;=LO$38,LI18&lt;&gt;""),AND(LN18&gt;=LO$38,LM18&lt;&gt;""),AND(MG18&gt;=MK$38,ME18&lt;&gt;""),AND(MJ18&gt;=MK$38,MI18&lt;&gt;""),AND(NC18&gt;=NG$38,NA18&lt;&gt;""),AND(NF18&gt;=NG$38,NE18&lt;&gt;"")),"P","")</f>
        <v/>
      </c>
      <c r="H18" s="67" t="str">
        <f>IF(F18="P","National Team",IF(G18="P","No DD",""))</f>
        <v/>
      </c>
      <c r="I18" s="14">
        <f>MAX(AM18,AO18,AR18,BQ18,BS18,BV18,CU18,CW18,CZ18)</f>
        <v>48.86</v>
      </c>
      <c r="J18" s="14" t="str">
        <f>IF(I18=0,"",IF(OR(I18=CW18,I18=CU18,I18=CZ18),$BX$1,IF(OR(I18=BS18,I18=BQ18,I18=BV18),$AT$1,IF(OR(I18=AO18,I18=AM18,I18=AR18),$P$1,""))))</f>
        <v>2022 Elite Canada</v>
      </c>
      <c r="K18" s="14">
        <f>IF(COUNT(AM18,AO18,AR18,BQ18,BS18,BV18,CU18,CW18,CZ18)&gt;1,LARGE((AM18,AO18,AR18,BQ18,BS18,BV18,CU18,CW18,CZ18),2),0)</f>
        <v>47.82</v>
      </c>
      <c r="L18" s="14" t="str">
        <f>IF(K18=0,"",IF(OR(K18=CW18,K18=CU18,K18=CZ18),$BX$1,IF(OR(K18=BS18,K18=BQ18,K18=BV18),$AT$1,IF(OR(K18=AO18,K18=AM18,K18=AR18),$P$1,""))))</f>
        <v>2022 Elite Canada</v>
      </c>
      <c r="M18" s="14" t="str">
        <f>IF(MAX(DB18,DC18)&gt;0,MAX(DB18,DC18),"")</f>
        <v/>
      </c>
      <c r="N18" s="20" t="str">
        <f>IF(M18="","",IF(M18=#REF!,"(Vol 1)",IF(M18=DB18,"(Vol 2)",IF(M18=#REF!,"(Prelim)",IF(M18=DC18,"(Final)")))))</f>
        <v/>
      </c>
      <c r="O18" s="14" t="str">
        <f>IF(M18="","",IF(M18=#REF!,IF(M18+IF(#REF!="",0,#REF!)=NB18,$ML$1,IF(M18+IF(#REF!="",0,#REF!)=MF18,$LP$1,IF(M18+IF(#REF!="",0,#REF!)=LJ18,$KT$1,IF(M18+IF(#REF!="",0,#REF!)=KN18,$JX$1,IF(M18+IF(#REF!="",0,#REF!)=JR18,$JB$1,IF(M18+IF(#REF!="",0,#REF!)=IV18,$IF$1,IF(M18+IF(#REF!="",0,#REF!)=HZ18,$HJ$1,IF(M18+IF(#REF!="",0,#REF!)=HD18,$GN$1,IF(M18+IF(#REF!="",0,#REF!)=GH18,$FR$1,IF(M18+IF(#REF!="",0,#REF!)=FL18,$EV$1,IF(M18+IF(#REF!="",0,#REF!)=EP18,$DZ$1,IF(M18+IF(#REF!="",0,#REF!)=DT18,$DD$1)))))))))))),IF(M18=DB18,IF(M18+IF(I18="",0,I18)=NC18,$ML$1,IF(M18+IF(I18="",0,I18)=MG18,$LP$1,IF(M18+IF(I18="",0,I18)=LK18,$KT$1,IF(M18+IF(I18="",0,I18)=KO18,$JX$1,IF(M18+IF(I18="",0,I18)=JS18,$JB$1,IF(M18+IF(I18="",0,I18)=IW18,$IF$1,IF(M18+IF(I18="",0,I18)=IA18,$HJ$1,IF(M18+IF(I18="",0,I18)=HE18,$GN$1,IF(M18+IF(I18="",0,I18)=GI18,$FR$1,IF(M18+IF(I18="",0,I18)=FM18,$EV$1,IF(M18+IF(I18="",0,I18)=EQ18,$DZ$1,IF(M18+IF(I18="",0,I18)=DU18,$DD$1)))))))))))),IF(M18=#REF!,IF(M18+IF(#REF!="",0,#REF!)=ND18,$ML$1,IF(M18+IF(#REF!="",0,#REF!)=MH18,$LP$1,IF(M18+IF(#REF!="",0,#REF!)=LL18,$KT$1,IF(M18+IF(#REF!="",0,#REF!)=KP18,$JX$1,IF(M18+IF(#REF!="",0,#REF!)=JT18,$JB$1,IF(M18+IF(#REF!="",0,#REF!)=IX18,$IF$1,IF(M18+IF(#REF!="",0,#REF!)=IB18,$HJ$1,IF(M18+IF(#REF!="",0,#REF!)=HF18,$GN$1,IF(M18+IF(#REF!="",0,#REF!)=GJ18,$FR$1,IF(M18+IF(#REF!="",0,#REF!)=FN18,$EV$1,IF(M18+IF(#REF!="",0,#REF!)=ER18,$DZ$1,IF(M18+IF(#REF!="",0,#REF!)=DV18,$DD$1)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))</f>
        <v/>
      </c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45"/>
      <c r="AK18" s="11" t="str">
        <f>IF(SUM(P18:S18)-T18&gt;0,SUM(P18:S18)-T18,"")</f>
        <v/>
      </c>
      <c r="AL18" s="11" t="str">
        <f>IF(W18&gt;0,W18,"")</f>
        <v/>
      </c>
      <c r="AM18" s="11" t="str">
        <f>IF(SUM(U18:X18)-Y18&gt;0,SUM(U18:X18)-Y18,"")</f>
        <v/>
      </c>
      <c r="AN18" s="11" t="str">
        <f>IF(AB18&gt;0,AB18,"")</f>
        <v/>
      </c>
      <c r="AO18" s="11" t="str">
        <f>IF(SUM(Z18:AC18)-AD18&gt;0,SUM(Z18:AC18)-AD18,"")</f>
        <v/>
      </c>
      <c r="AP18" s="11" t="str">
        <f>IF(AK18="",IF(MAX(AM18,AO18)&gt;0,MAX(AM18,AO18),""),MAX(AM18,AO18)+AK18)</f>
        <v/>
      </c>
      <c r="AQ18" s="11" t="str">
        <f>IF(AG18&gt;0,AG18,"")</f>
        <v/>
      </c>
      <c r="AR18" s="11" t="str">
        <f>IF(SUM(AE18:AH18)-AI18&gt;0,SUM(AE18:AH18)-AI18,"")</f>
        <v/>
      </c>
      <c r="AS18" s="11" t="str">
        <f>IF(SUM(AP18,AR18)&gt;0,SUM(AP18,AR18),"")</f>
        <v/>
      </c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6"/>
      <c r="BO18" s="14" t="str">
        <f>IF(SUM(AT18:AW18)-AX18&gt;0,SUM(AT18:AW18)-AX18,"")</f>
        <v/>
      </c>
      <c r="BP18" s="14" t="str">
        <f>IF(BA18&gt;0,BA18,"")</f>
        <v/>
      </c>
      <c r="BQ18" s="14" t="str">
        <f>IF(SUM(AY18:BB18)-BC18&gt;0,SUM(AY18:BB18)-BC18,"")</f>
        <v/>
      </c>
      <c r="BR18" s="14" t="str">
        <f>IF(BF18&gt;0,BF18,"")</f>
        <v/>
      </c>
      <c r="BS18" s="14" t="str">
        <f>IF(SUM(BD18:BG18)-BH18&gt;0,SUM(BD18:BG18)-BH18,"")</f>
        <v/>
      </c>
      <c r="BT18" s="14" t="str">
        <f>IF(BO18="",IF(MAX(BQ18,BS18)&gt;0,MAX(BQ18,BS18),""),MAX(BQ18,BS18)+BO18)</f>
        <v/>
      </c>
      <c r="BU18" s="14" t="str">
        <f>IF(BK18&gt;0,BK18,"")</f>
        <v/>
      </c>
      <c r="BV18" s="14" t="str">
        <f>IF(SUM(BI18:BL18)-BM18&gt;0,SUM(BI18:BL18)-BM18,"")</f>
        <v/>
      </c>
      <c r="BW18" s="14" t="str">
        <f>IF(SUM(BT18,BV18)&gt;0,SUM(BT18,BV18),"")</f>
        <v/>
      </c>
      <c r="BX18" s="38">
        <v>16.100000000000001</v>
      </c>
      <c r="BY18" s="38">
        <v>9.3000000000000007</v>
      </c>
      <c r="BZ18" s="38">
        <v>1.8</v>
      </c>
      <c r="CA18" s="38">
        <v>14.63</v>
      </c>
      <c r="CB18" s="38">
        <v>0</v>
      </c>
      <c r="CC18" s="38">
        <v>15.5</v>
      </c>
      <c r="CD18" s="38">
        <v>9.4</v>
      </c>
      <c r="CE18" s="38">
        <v>9.6</v>
      </c>
      <c r="CF18" s="38">
        <v>14.36</v>
      </c>
      <c r="CG18" s="38">
        <v>0</v>
      </c>
      <c r="CH18" s="38"/>
      <c r="CI18" s="38"/>
      <c r="CJ18" s="38"/>
      <c r="CK18" s="38"/>
      <c r="CL18" s="38"/>
      <c r="CM18" s="38">
        <v>14.6</v>
      </c>
      <c r="CN18" s="38">
        <v>9.1999999999999993</v>
      </c>
      <c r="CO18" s="38">
        <v>9.6</v>
      </c>
      <c r="CP18" s="38">
        <v>14.42</v>
      </c>
      <c r="CQ18" s="38">
        <v>0</v>
      </c>
      <c r="CR18" s="45"/>
      <c r="CS18" s="11">
        <f>IF(SUM(BX18:CA18)-CB18&gt;0,SUM(BX18:CA18)-CB18,"")</f>
        <v>41.830000000000005</v>
      </c>
      <c r="CT18" s="11">
        <f>IF(CE18&gt;0,CE18,"")</f>
        <v>9.6</v>
      </c>
      <c r="CU18" s="11">
        <f>IF(SUM(CC18:CF18)-CG18&gt;0,SUM(CC18:CF18)-CG18,"")</f>
        <v>48.86</v>
      </c>
      <c r="CV18" s="11" t="str">
        <f>IF(CJ18&gt;0,CJ18,"")</f>
        <v/>
      </c>
      <c r="CW18" s="11" t="str">
        <f>IF(SUM(CH18:CK18)-CL18&gt;0,SUM(CH18:CK18)-CL18,"")</f>
        <v/>
      </c>
      <c r="CX18" s="11">
        <f>IF(CS18="",IF(MAX(CU18,CW18)&gt;0,MAX(CU18,CW18),""),MAX(CU18,CW18)+CS18)</f>
        <v>90.69</v>
      </c>
      <c r="CY18" s="11">
        <f>IF(CO18&gt;0,CO18,"")</f>
        <v>9.6</v>
      </c>
      <c r="CZ18" s="11">
        <f>IF(SUM(CM18:CP18)-CQ18&gt;0,SUM(CM18:CP18)-CQ18,"")</f>
        <v>47.82</v>
      </c>
      <c r="DA18" s="11">
        <f>IF(SUM(CX18,CZ18)&gt;0,SUM(CX18,CZ18),"")</f>
        <v>138.51</v>
      </c>
      <c r="DB18" s="19" t="str">
        <f>IF(I18&gt;=0.001,IF(MAX(DU18,EQ18,FM18,GI18,HE18,IA18,IW18,JS18,KO18,LK18,MG18,NC18)-IF(I18="",0,I18)&gt;0.001,MAX(DU18,EQ18,FM18,GI18,HE18,IA18,IW18,JS18,KO18,LK18,MG18,NC18)-IF(I18="",0,I18),""),"")</f>
        <v/>
      </c>
      <c r="DC18" s="19" t="str">
        <f>IF(K18&gt;=0.001,IF(MAX(DX18,ET18,FP18,GL18,HH18,ID18,IZ18,JV18,KR18,LN18,MJ18,NF18)-IF(K18="",0,K18)&gt;0.001,MAX(DX18,ET18,FP18,GL18,HH18,ID18,IZ18,JV18,KR18,LN18,MJ18,NF18)-IF(K18="",0,K18),""),"")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8">
        <f>IF($CR18="P",BX18,(BX18+AT18)/2)</f>
        <v>8.0500000000000007</v>
      </c>
      <c r="NI18" s="38">
        <f>IF($CR18="P",BY18,(BY18+AU18)/2)</f>
        <v>4.6500000000000004</v>
      </c>
      <c r="NJ18" s="38">
        <f>IF($CR18="P",BZ18,(BZ18+AV18)/2)</f>
        <v>0.9</v>
      </c>
      <c r="NK18" s="38">
        <f>IF($CR18="P",CA18,(CA18+AW18)/2)</f>
        <v>7.3150000000000004</v>
      </c>
      <c r="NL18" s="38">
        <f>IF($CR18="P",CB18,(CB18+AX18)/2)</f>
        <v>0</v>
      </c>
      <c r="NM18" s="38">
        <f>IF($CR18="P",CC18,(CC18+AY18)/2)</f>
        <v>7.75</v>
      </c>
      <c r="NN18" s="38">
        <f>IF($CR18="P",CD18,(CD18+AZ18)/2)</f>
        <v>4.7</v>
      </c>
      <c r="NO18" s="38">
        <f>IF($CR18="P",CE18,(CE18+BA18)/2)</f>
        <v>4.8</v>
      </c>
      <c r="NP18" s="38">
        <f>IF($CR18="P",CF18,(CF18+BB18)/2)</f>
        <v>7.18</v>
      </c>
      <c r="NQ18" s="38">
        <f>IF($CR18="P",CG18,(CG18+BC18)/2)</f>
        <v>0</v>
      </c>
      <c r="NR18" s="38">
        <f>IF($CR18="P",CH18,(CH18+BD18)/2)</f>
        <v>0</v>
      </c>
      <c r="NS18" s="38">
        <f>IF($CR18="P",CI18,(CI18+BE18)/2)</f>
        <v>0</v>
      </c>
      <c r="NT18" s="38">
        <f>IF($CR18="P",CJ18,(CJ18+BF18)/2)</f>
        <v>0</v>
      </c>
      <c r="NU18" s="38">
        <f>IF($CR18="P",CK18,(CK18+BG18)/2)</f>
        <v>0</v>
      </c>
      <c r="NV18" s="38">
        <f>IF($CR18="P",CL18,(CL18+BH18)/2)</f>
        <v>0</v>
      </c>
      <c r="NW18" s="38">
        <f>IF($CR18="P",CM18,(CM18+BI18)/2)</f>
        <v>7.3</v>
      </c>
      <c r="NX18" s="38">
        <f>IF($CR18="P",CN18,(CN18+BJ18)/2)</f>
        <v>4.5999999999999996</v>
      </c>
      <c r="NY18" s="38">
        <f>IF($CR18="P",CO18,(CO18+BK18)/2)</f>
        <v>4.8</v>
      </c>
      <c r="NZ18" s="38">
        <f>IF($CR18="P",CP18,(CP18+BL18)/2)</f>
        <v>7.21</v>
      </c>
      <c r="OA18" s="38">
        <f>IF($CR18="P",CQ18,(CQ18+BM18)/2)</f>
        <v>0</v>
      </c>
      <c r="OB18" s="45" t="s">
        <v>46</v>
      </c>
      <c r="OC18" s="11">
        <f>IF(SUM(NH18:NK18)-NL18&gt;0,SUM(NH18:NK18)-NL18,"")</f>
        <v>20.915000000000003</v>
      </c>
      <c r="OD18" s="11">
        <f>IF(NO18&gt;0,NO18,"")</f>
        <v>4.8</v>
      </c>
      <c r="OE18" s="11">
        <f>IF(SUM(NM18:NP18)-NQ18&gt;0,SUM(NM18:NP18)-NQ18,"")</f>
        <v>24.43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45.344999999999999</v>
      </c>
      <c r="OI18" s="11">
        <f>IF(NY18&gt;0,NY18,"")</f>
        <v>4.8</v>
      </c>
      <c r="OJ18" s="11">
        <f t="shared" ref="OJ18" si="16">IF(SUM(NW18:NZ18)-OA18&gt;0,SUM(NW18:NZ18)-OA18,"")</f>
        <v>23.91</v>
      </c>
      <c r="OK18" s="11">
        <f t="shared" ref="OK18" si="17">IF(SUM(OH18,OJ18)&gt;0,SUM(OH18,OJ18),"")</f>
        <v>69.254999999999995</v>
      </c>
    </row>
    <row r="19" spans="1:401" x14ac:dyDescent="0.2">
      <c r="A19" s="5" t="str" cm="1">
        <f t="array" ref="A19">IF(AND(F19="P",G19="P"),SUMPRODUCT((F$4:F$32="P")*(G$4:G$32="P")*(E$4:E$32&gt;E19))+1,IF(G19="P",SUMPRODUCT((F$4:F$32="")*(G$4:G$32="P")*(E$4:E$32&gt;E19))+1+SUMPRODUCT((F$4:F$32="P")*(G$4:G$32="P")),""))</f>
        <v/>
      </c>
      <c r="B19" s="6" t="s">
        <v>96</v>
      </c>
      <c r="C19" s="7" t="s">
        <v>95</v>
      </c>
      <c r="D19" s="22">
        <v>2001</v>
      </c>
      <c r="E19" s="15">
        <f>SUM(I19:M19)+I19*0.0000001</f>
        <v>95.63000491599999</v>
      </c>
      <c r="F19" s="3" t="str">
        <f>IF(OR(AND(AL19&gt;=AS$34,AM19&gt;=AS$38,AL19&lt;&gt;"",AJ19=""),AND(AN19&gt;=AS$34,AO19&gt;=AS$38,AN19&lt;&gt;"",AN19=""),AND(AQ19&gt;=AS$34,AR19&gt;=AS$38,AQ19&lt;&gt;"",AJ19=""),AND(BP19&gt;=BW$34,BQ19&gt;=BW$38,BP19&lt;&gt;"",BN19=""),AND(BR19&gt;=BW$34,BS19&gt;=BW$38,BR19&lt;&gt;"",BN19=""),AND(BU19&gt;=BW$34,BV19&gt;=BW$38,BU19&lt;&gt;"",BN19=""),AND(CT19&gt;=DA$34,CU19&gt;=DA$38,CT19&lt;&gt;"",CR19=""),AND(CV19&gt;=DA$34,CW19&gt;=DA$38,CV19&lt;&gt;"",CR19=""),AND(CY19&gt;=DA$34,CZ19&gt;=DA$38,CY19&lt;&gt;"",CR19=""),AND(DS19&gt;=DY$34,DU19&gt;=DY$38,DS19&lt;&gt;""),AND(DW19&gt;=DY$34,DX19&gt;=DY$38,DW19&lt;&gt;""),AND(EO19&gt;=EU$34,EQ19&gt;=EU$38,EO19&lt;&gt;""),AND(ES19&gt;=EU$34,ET19&gt;=EU$38,ES19&lt;&gt;""),AND(FK19&gt;=FQ$34,FM19&gt;=FQ$38,FK19&lt;&gt;""),AND(FO19&gt;=FQ$34,FP19&gt;=FQ$38,FO19&lt;&gt;""),AND(GG19&gt;=GM$34,GI19&gt;=GM$38,GG19&lt;&gt;""),AND(GK19&gt;=GM$34,GL19&gt;=GM$38,GK19&lt;&gt;""),AND(HC19&gt;=HI$34,HE19&gt;=HI$38,HC19&lt;&gt;""),AND(HG19&gt;=HI$34,HH19&gt;=HI$38,HG19&lt;&gt;""),AND(HY19&gt;=IE$34,IA19&gt;=IE$38,HY19&lt;&gt;""),AND(IC19&gt;=IE$34,ID19&gt;=IE$38,IC19&lt;&gt;""),AND(IU19&gt;=JA$34,IW19&gt;=JA$38,IU19&lt;&gt;""),AND(IY19&gt;=JA$34,IZ19&gt;=JA$38,IY19&lt;&gt;""),AND(JQ19&gt;=JW$34,JS19&gt;=JW$38,JQ19&lt;&gt;""),AND(JU19&gt;=JW$34,JV19&gt;=JW$38,JU19&lt;&gt;""),AND(KM19&gt;=KS$34,KO19&gt;=KS$38,KM19&lt;&gt;""),AND(KQ19&gt;=KS$34,KR19&gt;=KS$38,KQ19&lt;&gt;""),AND(LI19&gt;=LO$34,LK19&gt;=LO$38,LI19&lt;&gt;""),AND(LM19&gt;=LO$34,LN19&gt;=LO$38,LM19&lt;&gt;""),AND(ME19&gt;=MK$34,MG19&gt;=MK$38,ME19&lt;&gt;""),AND(MI19&gt;=MK$34,MJ19&gt;=MK$38,MI19&lt;&gt;""),AND(NA19&gt;=NG$34,NC19&gt;=NG$38,NA19&lt;&gt;""),AND(NE19&gt;=NG$34,NF19&gt;=NG$38,NE19&lt;&gt;"")),"P","")</f>
        <v/>
      </c>
      <c r="G19" s="3" t="str">
        <f>IF(OR(AND(AM19&gt;=AS$38,AL19&lt;&gt;"",AJ19=""),AND(AO19&gt;=AS$38,AN19&lt;&gt;"",AN19=""),AND(AR19&gt;=AS$38,AQ19&lt;&gt;"",AJ19=""),AND(BQ19&gt;=BW$38,BP19&lt;&gt;"",BN19=""),AND(BS19&gt;=BW$38,BR19&lt;&gt;"",BN19=""),AND(BV19&gt;=BW$38,BU19&lt;&gt;"",BN19=""),AND(CU19&gt;=DA$38,CT19&lt;&gt;"",CR19=""),AND(CW19&gt;=DA$38,CV19&lt;&gt;"",CR19=""),AND(CZ19&gt;=DA$38,CY19&lt;&gt;"",CR19=""),AND(DU19&gt;=DY$38,DS19&lt;&gt;""),AND(DX19&gt;=DY$38,DW19&lt;&gt;""),AND(EQ19&gt;=EU$38,EO19&lt;&gt;""),AND(ET19&gt;=EU$38,ES19&lt;&gt;""),AND(FM19&gt;=FQ$38,FK19&lt;&gt;""),AND(FP19&gt;=FQ$38,FO19&lt;&gt;""),AND(GI19&gt;=GM$38,GG19&lt;&gt;""),AND(GL19&gt;=GM$38,GK19&lt;&gt;""),AND(HE19&gt;=HI$38,HC19&lt;&gt;""),AND(HH19&gt;=HI$38,HG19&lt;&gt;""),AND(IA19&gt;=IE$38,HY19&lt;&gt;""),AND(ID19&gt;=IE$38,IC19&lt;&gt;""),AND(IW19&gt;=JA$38,IU19&lt;&gt;""),AND(IZ19&gt;=JA$38,IY19&lt;&gt;""),AND(JS19&gt;=JW$38,JQ19&lt;&gt;""),AND(JV19&gt;=JW$38,JU19&lt;&gt;""),AND(KO19&gt;=KS$38,KM19&lt;&gt;""),AND(KR19&gt;=KS$38,KQ19&lt;&gt;""),AND(LK19&gt;=LO$38,LI19&lt;&gt;""),AND(LN19&gt;=LO$38,LM19&lt;&gt;""),AND(MG19&gt;=MK$38,ME19&lt;&gt;""),AND(MJ19&gt;=MK$38,MI19&lt;&gt;""),AND(NC19&gt;=NG$38,NA19&lt;&gt;""),AND(NF19&gt;=NG$38,NE19&lt;&gt;"")),"P","")</f>
        <v/>
      </c>
      <c r="H19" s="67" t="str">
        <f>IF(F19="P","National Team",IF(G19="P","No DD",""))</f>
        <v/>
      </c>
      <c r="I19" s="14">
        <f>MAX(AM19,AO19,AR19,BQ19,BS19,BV19,CU19,CW19,CZ19)</f>
        <v>49.16</v>
      </c>
      <c r="J19" s="14" t="str">
        <f>IF(I19=0,"",IF(OR(I19=CW19,I19=CU19,I19=CZ19),$BX$1,IF(OR(I19=BS19,I19=BQ19,I19=BV19),$AT$1,IF(OR(I19=AO19,I19=AM19,I19=AR19),$P$1,""))))</f>
        <v>2022 Elite Canada</v>
      </c>
      <c r="K19" s="14">
        <f>IF(COUNT(AM19,AO19,AR19,BQ19,BS19,BV19,CU19,CW19,CZ19)&gt;1,LARGE((AM19,AO19,AR19,BQ19,BS19,BV19,CU19,CW19,CZ19),2),0)</f>
        <v>46.47</v>
      </c>
      <c r="L19" s="14" t="str">
        <f>IF(K19=0,"",IF(OR(K19=CW19,K19=CU19,K19=CZ19),$BX$1,IF(OR(K19=BS19,K19=BQ19,K19=BV19),$AT$1,IF(OR(K19=AO19,K19=AM19,K19=AR19),$P$1,""))))</f>
        <v>2022 Elite Canada</v>
      </c>
      <c r="M19" s="14" t="str">
        <f>IF(MAX(DB19,DC19)&gt;0,MAX(DB19,DC19),"")</f>
        <v/>
      </c>
      <c r="N19" s="20" t="str">
        <f>IF(M19="","",IF(M19=#REF!,"(Vol 1)",IF(M19=DB19,"(Vol 2)",IF(M19=#REF!,"(Prelim)",IF(M19=DC19,"(Final)")))))</f>
        <v/>
      </c>
      <c r="O19" s="14" t="str">
        <f>IF(M19="","",IF(M19=#REF!,IF(M19+IF(#REF!="",0,#REF!)=NB19,$ML$1,IF(M19+IF(#REF!="",0,#REF!)=MF19,$LP$1,IF(M19+IF(#REF!="",0,#REF!)=LJ19,$KT$1,IF(M19+IF(#REF!="",0,#REF!)=KN19,$JX$1,IF(M19+IF(#REF!="",0,#REF!)=JR19,$JB$1,IF(M19+IF(#REF!="",0,#REF!)=IV19,$IF$1,IF(M19+IF(#REF!="",0,#REF!)=HZ19,$HJ$1,IF(M19+IF(#REF!="",0,#REF!)=HD19,$GN$1,IF(M19+IF(#REF!="",0,#REF!)=GH19,$FR$1,IF(M19+IF(#REF!="",0,#REF!)=FL19,$EV$1,IF(M19+IF(#REF!="",0,#REF!)=EP19,$DZ$1,IF(M19+IF(#REF!="",0,#REF!)=DT19,$DD$1)))))))))))),IF(M19=DB19,IF(M19+IF(I19="",0,I19)=NC19,$ML$1,IF(M19+IF(I19="",0,I19)=MG19,$LP$1,IF(M19+IF(I19="",0,I19)=LK19,$KT$1,IF(M19+IF(I19="",0,I19)=KO19,$JX$1,IF(M19+IF(I19="",0,I19)=JS19,$JB$1,IF(M19+IF(I19="",0,I19)=IW19,$IF$1,IF(M19+IF(I19="",0,I19)=IA19,$HJ$1,IF(M19+IF(I19="",0,I19)=HE19,$GN$1,IF(M19+IF(I19="",0,I19)=GI19,$FR$1,IF(M19+IF(I19="",0,I19)=FM19,$EV$1,IF(M19+IF(I19="",0,I19)=EQ19,$DZ$1,IF(M19+IF(I19="",0,I19)=DU19,$DD$1)))))))))))),IF(M19=#REF!,IF(M19+IF(#REF!="",0,#REF!)=ND19,$ML$1,IF(M19+IF(#REF!="",0,#REF!)=MH19,$LP$1,IF(M19+IF(#REF!="",0,#REF!)=LL19,$KT$1,IF(M19+IF(#REF!="",0,#REF!)=KP19,$JX$1,IF(M19+IF(#REF!="",0,#REF!)=JT19,$JB$1,IF(M19+IF(#REF!="",0,#REF!)=IX19,$IF$1,IF(M19+IF(#REF!="",0,#REF!)=IB19,$HJ$1,IF(M19+IF(#REF!="",0,#REF!)=HF19,$GN$1,IF(M19+IF(#REF!="",0,#REF!)=GJ19,$FR$1,IF(M19+IF(#REF!="",0,#REF!)=FN19,$EV$1,IF(M19+IF(#REF!="",0,#REF!)=ER19,$DZ$1,IF(M19+IF(#REF!="",0,#REF!)=DV19,$DD$1)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))</f>
        <v/>
      </c>
      <c r="P19" s="38">
        <v>16.600000000000001</v>
      </c>
      <c r="Q19" s="38">
        <v>9.1999999999999993</v>
      </c>
      <c r="R19" s="38">
        <v>5</v>
      </c>
      <c r="S19" s="38">
        <v>16.225000000000001</v>
      </c>
      <c r="T19" s="38">
        <v>0</v>
      </c>
      <c r="U19" s="38">
        <v>5.3</v>
      </c>
      <c r="V19" s="38">
        <v>3.4</v>
      </c>
      <c r="W19" s="38">
        <v>6.3</v>
      </c>
      <c r="X19" s="38">
        <v>6.37</v>
      </c>
      <c r="Y19" s="38">
        <v>0</v>
      </c>
      <c r="Z19" s="38">
        <v>3.9</v>
      </c>
      <c r="AA19" s="38">
        <v>2.6</v>
      </c>
      <c r="AB19" s="38">
        <v>4.9000000000000004</v>
      </c>
      <c r="AC19" s="38">
        <v>4.835</v>
      </c>
      <c r="AD19" s="38">
        <v>0</v>
      </c>
      <c r="AE19" s="38"/>
      <c r="AF19" s="38"/>
      <c r="AG19" s="38"/>
      <c r="AH19" s="38"/>
      <c r="AI19" s="38"/>
      <c r="AJ19" s="45"/>
      <c r="AK19" s="11">
        <f>IF(SUM(P19:S19)-T19&gt;0,SUM(P19:S19)-T19,"")</f>
        <v>47.025000000000006</v>
      </c>
      <c r="AL19" s="11">
        <f>IF(W19&gt;0,W19,"")</f>
        <v>6.3</v>
      </c>
      <c r="AM19" s="11">
        <f>IF(SUM(U19:X19)-Y19&gt;0,SUM(U19:X19)-Y19,"")</f>
        <v>21.37</v>
      </c>
      <c r="AN19" s="11">
        <f>IF(AB19&gt;0,AB19,"")</f>
        <v>4.9000000000000004</v>
      </c>
      <c r="AO19" s="11">
        <f>IF(SUM(Z19:AC19)-AD19&gt;0,SUM(Z19:AC19)-AD19,"")</f>
        <v>16.234999999999999</v>
      </c>
      <c r="AP19" s="11">
        <f>IF(AK19="",IF(MAX(AM19,AO19)&gt;0,MAX(AM19,AO19),""),MAX(AM19,AO19)+AK19)</f>
        <v>68.39500000000001</v>
      </c>
      <c r="AQ19" s="11" t="str">
        <f>IF(AG19&gt;0,AG19,"")</f>
        <v/>
      </c>
      <c r="AR19" s="11" t="str">
        <f>IF(SUM(AE19:AH19)-AI19&gt;0,SUM(AE19:AH19)-AI19,"")</f>
        <v/>
      </c>
      <c r="AS19" s="11">
        <f>IF(SUM(AP19,AR19)&gt;0,SUM(AP19,AR19),"")</f>
        <v>68.39500000000001</v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6"/>
      <c r="BO19" s="14" t="str">
        <f>IF(SUM(AT19:AW19)-AX19&gt;0,SUM(AT19:AW19)-AX19,"")</f>
        <v/>
      </c>
      <c r="BP19" s="14" t="str">
        <f>IF(BA19&gt;0,BA19,"")</f>
        <v/>
      </c>
      <c r="BQ19" s="14" t="str">
        <f>IF(SUM(AY19:BB19)-BC19&gt;0,SUM(AY19:BB19)-BC19,"")</f>
        <v/>
      </c>
      <c r="BR19" s="14" t="str">
        <f>IF(BF19&gt;0,BF19,"")</f>
        <v/>
      </c>
      <c r="BS19" s="14" t="str">
        <f>IF(SUM(BD19:BG19)-BH19&gt;0,SUM(BD19:BG19)-BH19,"")</f>
        <v/>
      </c>
      <c r="BT19" s="14" t="str">
        <f>IF(BO19="",IF(MAX(BQ19,BS19)&gt;0,MAX(BQ19,BS19),""),MAX(BQ19,BS19)+BO19)</f>
        <v/>
      </c>
      <c r="BU19" s="14" t="str">
        <f>IF(BK19&gt;0,BK19,"")</f>
        <v/>
      </c>
      <c r="BV19" s="14" t="str">
        <f>IF(SUM(BI19:BL19)-BM19&gt;0,SUM(BI19:BL19)-BM19,"")</f>
        <v/>
      </c>
      <c r="BW19" s="14" t="str">
        <f>IF(SUM(BT19,BV19)&gt;0,SUM(BT19,BV19),"")</f>
        <v/>
      </c>
      <c r="BX19" s="38"/>
      <c r="BY19" s="38"/>
      <c r="BZ19" s="38"/>
      <c r="CA19" s="38"/>
      <c r="CB19" s="38"/>
      <c r="CC19" s="38">
        <v>13.7</v>
      </c>
      <c r="CD19" s="38">
        <v>9.1999999999999993</v>
      </c>
      <c r="CE19" s="38">
        <v>12.3</v>
      </c>
      <c r="CF19" s="38">
        <v>15.16</v>
      </c>
      <c r="CG19" s="38">
        <v>1.2</v>
      </c>
      <c r="CH19" s="38">
        <v>12.1</v>
      </c>
      <c r="CI19" s="38">
        <v>7.7</v>
      </c>
      <c r="CJ19" s="38">
        <v>13</v>
      </c>
      <c r="CK19" s="38">
        <v>13.67</v>
      </c>
      <c r="CL19" s="38">
        <v>0</v>
      </c>
      <c r="CM19" s="38"/>
      <c r="CN19" s="38"/>
      <c r="CO19" s="38"/>
      <c r="CP19" s="38"/>
      <c r="CQ19" s="38"/>
      <c r="CR19" s="45"/>
      <c r="CS19" s="11" t="str">
        <f>IF(SUM(BX19:CA19)-CB19&gt;0,SUM(BX19:CA19)-CB19,"")</f>
        <v/>
      </c>
      <c r="CT19" s="11">
        <f>IF(CE19&gt;0,CE19,"")</f>
        <v>12.3</v>
      </c>
      <c r="CU19" s="11">
        <f>IF(SUM(CC19:CF19)-CG19&gt;0,SUM(CC19:CF19)-CG19,"")</f>
        <v>49.16</v>
      </c>
      <c r="CV19" s="11">
        <f>IF(CJ19&gt;0,CJ19,"")</f>
        <v>13</v>
      </c>
      <c r="CW19" s="11">
        <f>IF(SUM(CH19:CK19)-CL19&gt;0,SUM(CH19:CK19)-CL19,"")</f>
        <v>46.47</v>
      </c>
      <c r="CX19" s="11">
        <f>IF(CS19="",IF(MAX(CU19,CW19)&gt;0,MAX(CU19,CW19),""),MAX(CU19,CW19)+CS19)</f>
        <v>49.16</v>
      </c>
      <c r="CY19" s="11" t="str">
        <f>IF(CO19&gt;0,CO19,"")</f>
        <v/>
      </c>
      <c r="CZ19" s="11" t="str">
        <f>IF(SUM(CM19:CP19)-CQ19&gt;0,SUM(CM19:CP19)-CQ19,"")</f>
        <v/>
      </c>
      <c r="DA19" s="11">
        <f>IF(SUM(CX19,CZ19)&gt;0,SUM(CX19,CZ19),"")</f>
        <v>49.16</v>
      </c>
      <c r="DB19" s="19" t="str">
        <f>IF(I19&gt;=0.001,IF(MAX(DU19,EQ19,FM19,GI19,HE19,IA19,IW19,JS19,KO19,LK19,MG19,NC19)-IF(I19="",0,I19)&gt;0.001,MAX(DU19,EQ19,FM19,GI19,HE19,IA19,IW19,JS19,KO19,LK19,MG19,NC19)-IF(I19="",0,I19),""),"")</f>
        <v/>
      </c>
      <c r="DC19" s="19" t="str">
        <f>IF(K19&gt;=0.001,IF(MAX(DX19,ET19,FP19,GL19,HH19,ID19,IZ19,JV19,KR19,LN19,MJ19,NF19)-IF(K19="",0,K19)&gt;0.001,MAX(DX19,ET19,FP19,GL19,HH19,ID19,IZ19,JV19,KR19,LN19,MJ19,NF19)-IF(K19="",0,K19),""),"")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8">
        <f>IF($CR19="P",BX19,(BX19+AT19)/2)</f>
        <v>0</v>
      </c>
      <c r="NI19" s="38">
        <f>IF($CR19="P",BY19,(BY19+AU19)/2)</f>
        <v>0</v>
      </c>
      <c r="NJ19" s="38">
        <f>IF($CR19="P",BZ19,(BZ19+AV19)/2)</f>
        <v>0</v>
      </c>
      <c r="NK19" s="38">
        <f>IF($CR19="P",CA19,(CA19+AW19)/2)</f>
        <v>0</v>
      </c>
      <c r="NL19" s="38">
        <f>IF($CR19="P",CB19,(CB19+AX19)/2)</f>
        <v>0</v>
      </c>
      <c r="NM19" s="38">
        <f>IF($CR19="P",CC19,(CC19+AY19)/2)</f>
        <v>6.85</v>
      </c>
      <c r="NN19" s="38">
        <f>IF($CR19="P",CD19,(CD19+AZ19)/2)</f>
        <v>4.5999999999999996</v>
      </c>
      <c r="NO19" s="38">
        <f>IF($CR19="P",CE19,(CE19+BA19)/2)</f>
        <v>6.15</v>
      </c>
      <c r="NP19" s="38">
        <f>IF($CR19="P",CF19,(CF19+BB19)/2)</f>
        <v>7.58</v>
      </c>
      <c r="NQ19" s="38">
        <f>IF($CR19="P",CG19,(CG19+BC19)/2)</f>
        <v>0.6</v>
      </c>
      <c r="NR19" s="38">
        <f>IF($CR19="P",CH19,(CH19+BD19)/2)</f>
        <v>6.05</v>
      </c>
      <c r="NS19" s="38">
        <f>IF($CR19="P",CI19,(CI19+BE19)/2)</f>
        <v>3.85</v>
      </c>
      <c r="NT19" s="38">
        <f>IF($CR19="P",CJ19,(CJ19+BF19)/2)</f>
        <v>6.5</v>
      </c>
      <c r="NU19" s="38">
        <f>IF($CR19="P",CK19,(CK19+BG19)/2)</f>
        <v>6.835</v>
      </c>
      <c r="NV19" s="38">
        <f>IF($CR19="P",CL19,(CL19+BH19)/2)</f>
        <v>0</v>
      </c>
      <c r="NW19" s="38">
        <f>IF($CR19="P",CM19,(CM19+BI19)/2)</f>
        <v>0</v>
      </c>
      <c r="NX19" s="38">
        <f>IF($CR19="P",CN19,(CN19+BJ19)/2)</f>
        <v>0</v>
      </c>
      <c r="NY19" s="38">
        <f>IF($CR19="P",CO19,(CO19+BK19)/2)</f>
        <v>0</v>
      </c>
      <c r="NZ19" s="38">
        <f>IF($CR19="P",CP19,(CP19+BL19)/2)</f>
        <v>0</v>
      </c>
      <c r="OA19" s="38">
        <f>IF($CR19="P",CQ19,(CQ19+BM19)/2)</f>
        <v>0</v>
      </c>
      <c r="OB19" s="45" t="s">
        <v>46</v>
      </c>
      <c r="OC19" s="11" t="str">
        <f>IF(SUM(NH19:NK19)-NL19&gt;0,SUM(NH19:NK19)-NL19,"")</f>
        <v/>
      </c>
      <c r="OD19" s="11">
        <f>IF(NO19&gt;0,NO19,"")</f>
        <v>6.15</v>
      </c>
      <c r="OE19" s="11">
        <f>IF(SUM(NM19:NP19)-NQ19&gt;0,SUM(NM19:NP19)-NQ19,"")</f>
        <v>24.58</v>
      </c>
      <c r="OF19" s="11">
        <f>IF(NT19&gt;0,NT19,"")</f>
        <v>6.5</v>
      </c>
      <c r="OG19" s="11">
        <f>IF(SUM(NR19:NU19)-NV19&gt;0,SUM(NR19:NU19)-NV19,"")</f>
        <v>23.234999999999999</v>
      </c>
      <c r="OH19" s="11" t="e">
        <f>IF(OR(OC19&lt;&gt;"",OE19&lt;&gt;"",OG19&lt;&gt;""),OC19+MAX(OE19,OG19),"")</f>
        <v>#VALUE!</v>
      </c>
      <c r="OI19" s="11" t="str">
        <f>IF(NY19&gt;0,NY19,"")</f>
        <v/>
      </c>
      <c r="OJ19" s="11" t="str">
        <f t="shared" ref="OJ19" si="18">IF(SUM(NW19:NZ19)-OA19&gt;0,SUM(NW19:NZ19)-OA19,"")</f>
        <v/>
      </c>
      <c r="OK19" s="11" t="e">
        <f t="shared" ref="OK19" si="19">IF(SUM(OH19,OJ19)&gt;0,SUM(OH19,OJ19),"")</f>
        <v>#VALUE!</v>
      </c>
    </row>
    <row r="20" spans="1:401" x14ac:dyDescent="0.2">
      <c r="A20" s="5" t="str" cm="1">
        <f t="array" ref="A20">IF(AND(F20="P",G20="P"),SUMPRODUCT((F$4:F$32="P")*(G$4:G$32="P")*(E$4:E$32&gt;E20))+1,IF(G20="P",SUMPRODUCT((F$4:F$32="")*(G$4:G$32="P")*(E$4:E$32&gt;E20))+1+SUMPRODUCT((F$4:F$32="P")*(G$4:G$32="P")),""))</f>
        <v/>
      </c>
      <c r="B20" s="6" t="s">
        <v>69</v>
      </c>
      <c r="C20" s="7" t="s">
        <v>3</v>
      </c>
      <c r="D20" s="22">
        <v>2002</v>
      </c>
      <c r="E20" s="15">
        <f>SUM(I20:M20)+I20*0.0000001</f>
        <v>95.250005133000002</v>
      </c>
      <c r="F20" s="3" t="str">
        <f>IF(OR(AND(AL20&gt;=AS$34,AM20&gt;=AS$38,AL20&lt;&gt;"",AJ20=""),AND(AN20&gt;=AS$34,AO20&gt;=AS$38,AN20&lt;&gt;"",AN20=""),AND(AQ20&gt;=AS$34,AR20&gt;=AS$38,AQ20&lt;&gt;"",AJ20=""),AND(BP20&gt;=BW$34,BQ20&gt;=BW$38,BP20&lt;&gt;"",BN20=""),AND(BR20&gt;=BW$34,BS20&gt;=BW$38,BR20&lt;&gt;"",BN20=""),AND(BU20&gt;=BW$34,BV20&gt;=BW$38,BU20&lt;&gt;"",BN20=""),AND(CT20&gt;=DA$34,CU20&gt;=DA$38,CT20&lt;&gt;"",CR20=""),AND(CV20&gt;=DA$34,CW20&gt;=DA$38,CV20&lt;&gt;"",CR20=""),AND(CY20&gt;=DA$34,CZ20&gt;=DA$38,CY20&lt;&gt;"",CR20=""),AND(DS20&gt;=DY$34,DU20&gt;=DY$38,DS20&lt;&gt;""),AND(DW20&gt;=DY$34,DX20&gt;=DY$38,DW20&lt;&gt;""),AND(EO20&gt;=EU$34,EQ20&gt;=EU$38,EO20&lt;&gt;""),AND(ES20&gt;=EU$34,ET20&gt;=EU$38,ES20&lt;&gt;""),AND(FK20&gt;=FQ$34,FM20&gt;=FQ$38,FK20&lt;&gt;""),AND(FO20&gt;=FQ$34,FP20&gt;=FQ$38,FO20&lt;&gt;""),AND(GG20&gt;=GM$34,GI20&gt;=GM$38,GG20&lt;&gt;""),AND(GK20&gt;=GM$34,GL20&gt;=GM$38,GK20&lt;&gt;""),AND(HC20&gt;=HI$34,HE20&gt;=HI$38,HC20&lt;&gt;""),AND(HG20&gt;=HI$34,HH20&gt;=HI$38,HG20&lt;&gt;""),AND(HY20&gt;=IE$34,IA20&gt;=IE$38,HY20&lt;&gt;""),AND(IC20&gt;=IE$34,ID20&gt;=IE$38,IC20&lt;&gt;""),AND(IU20&gt;=JA$34,IW20&gt;=JA$38,IU20&lt;&gt;""),AND(IY20&gt;=JA$34,IZ20&gt;=JA$38,IY20&lt;&gt;""),AND(JQ20&gt;=JW$34,JS20&gt;=JW$38,JQ20&lt;&gt;""),AND(JU20&gt;=JW$34,JV20&gt;=JW$38,JU20&lt;&gt;""),AND(KM20&gt;=KS$34,KO20&gt;=KS$38,KM20&lt;&gt;""),AND(KQ20&gt;=KS$34,KR20&gt;=KS$38,KQ20&lt;&gt;""),AND(LI20&gt;=LO$34,LK20&gt;=LO$38,LI20&lt;&gt;""),AND(LM20&gt;=LO$34,LN20&gt;=LO$38,LM20&lt;&gt;""),AND(ME20&gt;=MK$34,MG20&gt;=MK$38,ME20&lt;&gt;""),AND(MI20&gt;=MK$34,MJ20&gt;=MK$38,MI20&lt;&gt;""),AND(NA20&gt;=NG$34,NC20&gt;=NG$38,NA20&lt;&gt;""),AND(NE20&gt;=NG$34,NF20&gt;=NG$38,NE20&lt;&gt;"")),"P","")</f>
        <v/>
      </c>
      <c r="G20" s="3" t="str">
        <f>IF(OR(AND(AM20&gt;=AS$38,AL20&lt;&gt;"",AJ20=""),AND(AO20&gt;=AS$38,AN20&lt;&gt;"",AN20=""),AND(AR20&gt;=AS$38,AQ20&lt;&gt;"",AJ20=""),AND(BQ20&gt;=BW$38,BP20&lt;&gt;"",BN20=""),AND(BS20&gt;=BW$38,BR20&lt;&gt;"",BN20=""),AND(BV20&gt;=BW$38,BU20&lt;&gt;"",BN20=""),AND(CU20&gt;=DA$38,CT20&lt;&gt;"",CR20=""),AND(CW20&gt;=DA$38,CV20&lt;&gt;"",CR20=""),AND(CZ20&gt;=DA$38,CY20&lt;&gt;"",CR20=""),AND(DU20&gt;=DY$38,DS20&lt;&gt;""),AND(DX20&gt;=DY$38,DW20&lt;&gt;""),AND(EQ20&gt;=EU$38,EO20&lt;&gt;""),AND(ET20&gt;=EU$38,ES20&lt;&gt;""),AND(FM20&gt;=FQ$38,FK20&lt;&gt;""),AND(FP20&gt;=FQ$38,FO20&lt;&gt;""),AND(GI20&gt;=GM$38,GG20&lt;&gt;""),AND(GL20&gt;=GM$38,GK20&lt;&gt;""),AND(HE20&gt;=HI$38,HC20&lt;&gt;""),AND(HH20&gt;=HI$38,HG20&lt;&gt;""),AND(IA20&gt;=IE$38,HY20&lt;&gt;""),AND(ID20&gt;=IE$38,IC20&lt;&gt;""),AND(IW20&gt;=JA$38,IU20&lt;&gt;""),AND(IZ20&gt;=JA$38,IY20&lt;&gt;""),AND(JS20&gt;=JW$38,JQ20&lt;&gt;""),AND(JV20&gt;=JW$38,JU20&lt;&gt;""),AND(KO20&gt;=KS$38,KM20&lt;&gt;""),AND(KR20&gt;=KS$38,KQ20&lt;&gt;""),AND(LK20&gt;=LO$38,LI20&lt;&gt;""),AND(LN20&gt;=LO$38,LM20&lt;&gt;""),AND(MG20&gt;=MK$38,ME20&lt;&gt;""),AND(MJ20&gt;=MK$38,MI20&lt;&gt;""),AND(NC20&gt;=NG$38,NA20&lt;&gt;""),AND(NF20&gt;=NG$38,NE20&lt;&gt;"")),"P","")</f>
        <v/>
      </c>
      <c r="H20" s="67" t="str">
        <f>IF(F20="P","National Team",IF(G20="P","No DD",""))</f>
        <v/>
      </c>
      <c r="I20" s="14">
        <f>MAX(AM20,AO20,AR20,BQ20,BS20,BV20,CU20,CW20,CZ20)</f>
        <v>51.33</v>
      </c>
      <c r="J20" s="14" t="str">
        <f>IF(I20=0,"",IF(OR(I20=CW20,I20=CU20,I20=CZ20),$BX$1,IF(OR(I20=BS20,I20=BQ20,I20=BV20),$AT$1,IF(OR(I20=AO20,I20=AM20,I20=AR20),$P$1,""))))</f>
        <v>2021 Elite Canada</v>
      </c>
      <c r="K20" s="14">
        <f>IF(COUNT(AM20,AO20,AR20,BQ20,BS20,BV20,CU20,CW20,CZ20)&gt;1,LARGE((AM20,AO20,AR20,BQ20,BS20,BV20,CU20,CW20,CZ20),2),0)</f>
        <v>43.92</v>
      </c>
      <c r="L20" s="14" t="str">
        <f>IF(K20=0,"",IF(OR(K20=CW20,K20=CU20,K20=CZ20),$BX$1,IF(OR(K20=BS20,K20=BQ20,K20=BV20),$AT$1,IF(OR(K20=AO20,K20=AM20,K20=AR20),$P$1,""))))</f>
        <v>2021 Canadian Championships</v>
      </c>
      <c r="M20" s="14" t="str">
        <f>IF(MAX(DB20,DC20)&gt;0,MAX(DB20,DC20),"")</f>
        <v/>
      </c>
      <c r="N20" s="20" t="str">
        <f>IF(M20="","",IF(M20=#REF!,"(Vol 1)",IF(M20=DB20,"(Vol 2)",IF(M20=#REF!,"(Prelim)",IF(M20=DC20,"(Final)")))))</f>
        <v/>
      </c>
      <c r="O20" s="14" t="str">
        <f>IF(M20="","",IF(M20=#REF!,IF(M20+IF(#REF!="",0,#REF!)=NB20,$ML$1,IF(M20+IF(#REF!="",0,#REF!)=MF20,$LP$1,IF(M20+IF(#REF!="",0,#REF!)=LJ20,$KT$1,IF(M20+IF(#REF!="",0,#REF!)=KN20,$JX$1,IF(M20+IF(#REF!="",0,#REF!)=JR20,$JB$1,IF(M20+IF(#REF!="",0,#REF!)=IV20,$IF$1,IF(M20+IF(#REF!="",0,#REF!)=HZ20,$HJ$1,IF(M20+IF(#REF!="",0,#REF!)=HD20,$GN$1,IF(M20+IF(#REF!="",0,#REF!)=GH20,$FR$1,IF(M20+IF(#REF!="",0,#REF!)=FL20,$EV$1,IF(M20+IF(#REF!="",0,#REF!)=EP20,$DZ$1,IF(M20+IF(#REF!="",0,#REF!)=DT20,$DD$1)))))))))))),IF(M20=DB20,IF(M20+IF(I20="",0,I20)=NC20,$ML$1,IF(M20+IF(I20="",0,I20)=MG20,$LP$1,IF(M20+IF(I20="",0,I20)=LK20,$KT$1,IF(M20+IF(I20="",0,I20)=KO20,$JX$1,IF(M20+IF(I20="",0,I20)=JS20,$JB$1,IF(M20+IF(I20="",0,I20)=IW20,$IF$1,IF(M20+IF(I20="",0,I20)=IA20,$HJ$1,IF(M20+IF(I20="",0,I20)=HE20,$GN$1,IF(M20+IF(I20="",0,I20)=GI20,$FR$1,IF(M20+IF(I20="",0,I20)=FM20,$EV$1,IF(M20+IF(I20="",0,I20)=EQ20,$DZ$1,IF(M20+IF(I20="",0,I20)=DU20,$DD$1)))))))))))),IF(M20=#REF!,IF(M20+IF(#REF!="",0,#REF!)=ND20,$ML$1,IF(M20+IF(#REF!="",0,#REF!)=MH20,$LP$1,IF(M20+IF(#REF!="",0,#REF!)=LL20,$KT$1,IF(M20+IF(#REF!="",0,#REF!)=KP20,$JX$1,IF(M20+IF(#REF!="",0,#REF!)=JT20,$JB$1,IF(M20+IF(#REF!="",0,#REF!)=IX20,$IF$1,IF(M20+IF(#REF!="",0,#REF!)=IB20,$HJ$1,IF(M20+IF(#REF!="",0,#REF!)=HF20,$GN$1,IF(M20+IF(#REF!="",0,#REF!)=GJ20,$FR$1,IF(M20+IF(#REF!="",0,#REF!)=FN20,$EV$1,IF(M20+IF(#REF!="",0,#REF!)=ER20,$DZ$1,IF(M20+IF(#REF!="",0,#REF!)=DV20,$DD$1)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))</f>
        <v/>
      </c>
      <c r="P20" s="38">
        <v>16.600000000000001</v>
      </c>
      <c r="Q20" s="38">
        <v>9.1999999999999993</v>
      </c>
      <c r="R20" s="38">
        <v>2.7</v>
      </c>
      <c r="S20" s="38">
        <v>16.8</v>
      </c>
      <c r="T20" s="38">
        <v>0</v>
      </c>
      <c r="U20" s="38">
        <v>14.1</v>
      </c>
      <c r="V20" s="38">
        <v>8.9</v>
      </c>
      <c r="W20" s="38">
        <v>12.6</v>
      </c>
      <c r="X20" s="38">
        <v>15.73</v>
      </c>
      <c r="Y20" s="38">
        <v>0</v>
      </c>
      <c r="Z20" s="38">
        <v>1.4</v>
      </c>
      <c r="AA20" s="38">
        <v>0.8</v>
      </c>
      <c r="AB20" s="38">
        <v>2</v>
      </c>
      <c r="AC20" s="38">
        <v>1.7350000000000001</v>
      </c>
      <c r="AD20" s="38">
        <v>0</v>
      </c>
      <c r="AE20" s="38">
        <v>9</v>
      </c>
      <c r="AF20" s="38">
        <v>5.4</v>
      </c>
      <c r="AG20" s="38">
        <v>8.6</v>
      </c>
      <c r="AH20" s="38">
        <v>9.74</v>
      </c>
      <c r="AI20" s="38">
        <v>0</v>
      </c>
      <c r="AJ20" s="45"/>
      <c r="AK20" s="11">
        <f>IF(SUM(P20:S20)-T20&gt;0,SUM(P20:S20)-T20,"")</f>
        <v>45.3</v>
      </c>
      <c r="AL20" s="11">
        <f>IF(W20&gt;0,W20,"")</f>
        <v>12.6</v>
      </c>
      <c r="AM20" s="11">
        <f>IF(SUM(U20:X20)-Y20&gt;0,SUM(U20:X20)-Y20,"")</f>
        <v>51.33</v>
      </c>
      <c r="AN20" s="11">
        <f>IF(AB20&gt;0,AB20,"")</f>
        <v>2</v>
      </c>
      <c r="AO20" s="11">
        <f>IF(SUM(Z20:AC20)-AD20&gt;0,SUM(Z20:AC20)-AD20,"")</f>
        <v>5.9350000000000005</v>
      </c>
      <c r="AP20" s="11">
        <f>IF(AK20="",IF(MAX(AM20,AO20)&gt;0,MAX(AM20,AO20),""),MAX(AM20,AO20)+AK20)</f>
        <v>96.63</v>
      </c>
      <c r="AQ20" s="11">
        <f>IF(AG20&gt;0,AG20,"")</f>
        <v>8.6</v>
      </c>
      <c r="AR20" s="11">
        <f>IF(SUM(AE20:AH20)-AI20&gt;0,SUM(AE20:AH20)-AI20,"")</f>
        <v>32.74</v>
      </c>
      <c r="AS20" s="11">
        <f>IF(SUM(AP20,AR20)&gt;0,SUM(AP20,AR20),"")</f>
        <v>129.37</v>
      </c>
      <c r="AT20" s="42">
        <v>12.4</v>
      </c>
      <c r="AU20" s="42">
        <v>7</v>
      </c>
      <c r="AV20" s="42">
        <v>0.9</v>
      </c>
      <c r="AW20" s="42">
        <v>13.675000000000001</v>
      </c>
      <c r="AX20" s="42">
        <v>0</v>
      </c>
      <c r="AY20" s="42">
        <v>1.4</v>
      </c>
      <c r="AZ20" s="42">
        <v>1</v>
      </c>
      <c r="BA20" s="42">
        <v>2</v>
      </c>
      <c r="BB20" s="42">
        <v>1.7150000000000001</v>
      </c>
      <c r="BC20" s="42">
        <v>0</v>
      </c>
      <c r="BD20" s="42">
        <v>12</v>
      </c>
      <c r="BE20" s="42">
        <v>7.7</v>
      </c>
      <c r="BF20" s="42">
        <v>11</v>
      </c>
      <c r="BG20" s="42">
        <v>13.22</v>
      </c>
      <c r="BH20" s="42">
        <v>0</v>
      </c>
      <c r="BI20" s="42">
        <v>4.4000000000000004</v>
      </c>
      <c r="BJ20" s="42">
        <v>2.8</v>
      </c>
      <c r="BK20" s="42">
        <v>4.5</v>
      </c>
      <c r="BL20" s="42">
        <v>5.03</v>
      </c>
      <c r="BM20" s="42">
        <v>0</v>
      </c>
      <c r="BN20" s="46"/>
      <c r="BO20" s="14">
        <f>IF(SUM(AT20:AW20)-AX20&gt;0,SUM(AT20:AW20)-AX20,"")</f>
        <v>33.974999999999994</v>
      </c>
      <c r="BP20" s="14">
        <f>IF(BA20&gt;0,BA20,"")</f>
        <v>2</v>
      </c>
      <c r="BQ20" s="14">
        <f>IF(SUM(AY20:BB20)-BC20&gt;0,SUM(AY20:BB20)-BC20,"")</f>
        <v>6.1150000000000002</v>
      </c>
      <c r="BR20" s="14">
        <f>IF(BF20&gt;0,BF20,"")</f>
        <v>11</v>
      </c>
      <c r="BS20" s="14">
        <f>IF(SUM(BD20:BG20)-BH20&gt;0,SUM(BD20:BG20)-BH20,"")</f>
        <v>43.92</v>
      </c>
      <c r="BT20" s="14">
        <f>IF(BO20="",IF(MAX(BQ20,BS20)&gt;0,MAX(BQ20,BS20),""),MAX(BQ20,BS20)+BO20)</f>
        <v>77.894999999999996</v>
      </c>
      <c r="BU20" s="14">
        <f>IF(BK20&gt;0,BK20,"")</f>
        <v>4.5</v>
      </c>
      <c r="BV20" s="14">
        <f>IF(SUM(BI20:BL20)-BM20&gt;0,SUM(BI20:BL20)-BM20,"")</f>
        <v>16.73</v>
      </c>
      <c r="BW20" s="14">
        <f>IF(SUM(BT20,BV20)&gt;0,SUM(BT20,BV20),"")</f>
        <v>94.625</v>
      </c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45"/>
      <c r="CS20" s="11" t="str">
        <f>IF(SUM(BX20:CA20)-CB20&gt;0,SUM(BX20:CA20)-CB20,"")</f>
        <v/>
      </c>
      <c r="CT20" s="11" t="str">
        <f>IF(CE20&gt;0,CE20,"")</f>
        <v/>
      </c>
      <c r="CU20" s="11" t="str">
        <f>IF(SUM(CC20:CF20)-CG20&gt;0,SUM(CC20:CF20)-CG20,"")</f>
        <v/>
      </c>
      <c r="CV20" s="11" t="str">
        <f>IF(CJ20&gt;0,CJ20,"")</f>
        <v/>
      </c>
      <c r="CW20" s="11" t="str">
        <f>IF(SUM(CH20:CK20)-CL20&gt;0,SUM(CH20:CK20)-CL20,"")</f>
        <v/>
      </c>
      <c r="CX20" s="11" t="str">
        <f>IF(CS20="",IF(MAX(CU20,CW20)&gt;0,MAX(CU20,CW20),""),MAX(CU20,CW20)+CS20)</f>
        <v/>
      </c>
      <c r="CY20" s="11" t="str">
        <f>IF(CO20&gt;0,CO20,"")</f>
        <v/>
      </c>
      <c r="CZ20" s="11" t="str">
        <f>IF(SUM(CM20:CP20)-CQ20&gt;0,SUM(CM20:CP20)-CQ20,"")</f>
        <v/>
      </c>
      <c r="DA20" s="11" t="str">
        <f>IF(SUM(CX20,CZ20)&gt;0,SUM(CX20,CZ20),"")</f>
        <v/>
      </c>
      <c r="DB20" s="19" t="str">
        <f>IF(I20&gt;=0.001,IF(MAX(DU20,EQ20,FM20,GI20,HE20,IA20,IW20,JS20,KO20,LK20,MG20,NC20)-IF(I20="",0,I20)&gt;0.001,MAX(DU20,EQ20,FM20,GI20,HE20,IA20,IW20,JS20,KO20,LK20,MG20,NC20)-IF(I20="",0,I20),""),"")</f>
        <v/>
      </c>
      <c r="DC20" s="19" t="str">
        <f>IF(K20&gt;=0.001,IF(MAX(DX20,ET20,FP20,GL20,HH20,ID20,IZ20,JV20,KR20,LN20,MJ20,NF20)-IF(K20="",0,K20)&gt;0.001,MAX(DX20,ET20,FP20,GL20,HH20,ID20,IZ20,JV20,KR20,LN20,MJ20,NF20)-IF(K20="",0,K20),""),"")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26"/>
      <c r="JN20" s="26"/>
      <c r="JO20" s="26"/>
      <c r="JP20" s="26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6"/>
      <c r="KU20" s="26"/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8">
        <f>IF($CR20="P",BX20,(BX20+AT20)/2)</f>
        <v>6.2</v>
      </c>
      <c r="NI20" s="38">
        <f>IF($CR20="P",BY20,(BY20+AU20)/2)</f>
        <v>3.5</v>
      </c>
      <c r="NJ20" s="38">
        <f>IF($CR20="P",BZ20,(BZ20+AV20)/2)</f>
        <v>0.45</v>
      </c>
      <c r="NK20" s="38">
        <f>IF($CR20="P",CA20,(CA20+AW20)/2)</f>
        <v>6.8375000000000004</v>
      </c>
      <c r="NL20" s="38">
        <f>IF($CR20="P",CB20,(CB20+AX20)/2)</f>
        <v>0</v>
      </c>
      <c r="NM20" s="38">
        <f>IF($CR20="P",CC20,(CC20+AY20)/2)</f>
        <v>0.7</v>
      </c>
      <c r="NN20" s="38">
        <f>IF($CR20="P",CD20,(CD20+AZ20)/2)</f>
        <v>0.5</v>
      </c>
      <c r="NO20" s="38">
        <f>IF($CR20="P",CE20,(CE20+BA20)/2)</f>
        <v>1</v>
      </c>
      <c r="NP20" s="38">
        <f>IF($CR20="P",CF20,(CF20+BB20)/2)</f>
        <v>0.85750000000000004</v>
      </c>
      <c r="NQ20" s="38">
        <f>IF($CR20="P",CG20,(CG20+BC20)/2)</f>
        <v>0</v>
      </c>
      <c r="NR20" s="38">
        <f>IF($CR20="P",CH20,(CH20+BD20)/2)</f>
        <v>6</v>
      </c>
      <c r="NS20" s="38">
        <f>IF($CR20="P",CI20,(CI20+BE20)/2)</f>
        <v>3.85</v>
      </c>
      <c r="NT20" s="38">
        <f>IF($CR20="P",CJ20,(CJ20+BF20)/2)</f>
        <v>5.5</v>
      </c>
      <c r="NU20" s="38">
        <f>IF($CR20="P",CK20,(CK20+BG20)/2)</f>
        <v>6.61</v>
      </c>
      <c r="NV20" s="38">
        <f>IF($CR20="P",CL20,(CL20+BH20)/2)</f>
        <v>0</v>
      </c>
      <c r="NW20" s="38">
        <f>IF($CR20="P",CM20,(CM20+BI20)/2)</f>
        <v>2.2000000000000002</v>
      </c>
      <c r="NX20" s="38">
        <f>IF($CR20="P",CN20,(CN20+BJ20)/2)</f>
        <v>1.4</v>
      </c>
      <c r="NY20" s="38">
        <f>IF($CR20="P",CO20,(CO20+BK20)/2)</f>
        <v>2.25</v>
      </c>
      <c r="NZ20" s="38">
        <f>IF($CR20="P",CP20,(CP20+BL20)/2)</f>
        <v>2.5150000000000001</v>
      </c>
      <c r="OA20" s="38">
        <f>IF($CR20="P",CQ20,(CQ20+BM20)/2)</f>
        <v>0</v>
      </c>
      <c r="OB20" s="45" t="s">
        <v>46</v>
      </c>
      <c r="OC20" s="11">
        <f>IF(SUM(NH20:NK20)-NL20&gt;0,SUM(NH20:NK20)-NL20,"")</f>
        <v>16.987499999999997</v>
      </c>
      <c r="OD20" s="11">
        <f>IF(NO20&gt;0,NO20,"")</f>
        <v>1</v>
      </c>
      <c r="OE20" s="11">
        <f>IF(SUM(NM20:NP20)-NQ20&gt;0,SUM(NM20:NP20)-NQ20,"")</f>
        <v>3.0575000000000001</v>
      </c>
      <c r="OF20" s="11">
        <f>IF(NT20&gt;0,NT20,"")</f>
        <v>5.5</v>
      </c>
      <c r="OG20" s="11">
        <f>IF(SUM(NR20:NU20)-NV20&gt;0,SUM(NR20:NU20)-NV20,"")</f>
        <v>21.96</v>
      </c>
      <c r="OH20" s="11">
        <f>IF(OR(OC20&lt;&gt;"",OE20&lt;&gt;"",OG20&lt;&gt;""),OC20+MAX(OE20,OG20),"")</f>
        <v>38.947499999999998</v>
      </c>
      <c r="OI20" s="11">
        <f>IF(NY20&gt;0,NY20,"")</f>
        <v>2.25</v>
      </c>
      <c r="OJ20" s="11">
        <f t="shared" ref="OJ20" si="20">IF(SUM(NW20:NZ20)-OA20&gt;0,SUM(NW20:NZ20)-OA20,"")</f>
        <v>8.3650000000000002</v>
      </c>
      <c r="OK20" s="11">
        <f t="shared" ref="OK20" si="21">IF(SUM(OH20,OJ20)&gt;0,SUM(OH20,OJ20),"")</f>
        <v>47.3125</v>
      </c>
    </row>
    <row r="21" spans="1:401" x14ac:dyDescent="0.2">
      <c r="A21" s="5" t="str" cm="1">
        <f t="array" ref="A21">IF(AND(F21="P",G21="P"),SUMPRODUCT((F$4:F$32="P")*(G$4:G$32="P")*(E$4:E$32&gt;E21))+1,IF(G21="P",SUMPRODUCT((F$4:F$32="")*(G$4:G$32="P")*(E$4:E$32&gt;E21))+1+SUMPRODUCT((F$4:F$32="P")*(G$4:G$32="P")),""))</f>
        <v/>
      </c>
      <c r="B21" s="6" t="s">
        <v>148</v>
      </c>
      <c r="C21" s="7" t="s">
        <v>3</v>
      </c>
      <c r="D21" s="5">
        <v>2005</v>
      </c>
      <c r="E21" s="15">
        <f>SUM(I21:M21)+I21*0.0000001</f>
        <v>95.090004755999999</v>
      </c>
      <c r="F21" s="3" t="str">
        <f>IF(OR(AND(AL21&gt;=AS$34,AM21&gt;=AS$38,AL21&lt;&gt;"",AJ21=""),AND(AN21&gt;=AS$34,AO21&gt;=AS$38,AN21&lt;&gt;"",AN21=""),AND(AQ21&gt;=AS$34,AR21&gt;=AS$38,AQ21&lt;&gt;"",AJ21=""),AND(BP21&gt;=BW$34,BQ21&gt;=BW$38,BP21&lt;&gt;"",BN21=""),AND(BR21&gt;=BW$34,BS21&gt;=BW$38,BR21&lt;&gt;"",BN21=""),AND(BU21&gt;=BW$34,BV21&gt;=BW$38,BU21&lt;&gt;"",BN21=""),AND(CT21&gt;=DA$34,CU21&gt;=DA$38,CT21&lt;&gt;"",CR21=""),AND(CV21&gt;=DA$34,CW21&gt;=DA$38,CV21&lt;&gt;"",CR21=""),AND(CY21&gt;=DA$34,CZ21&gt;=DA$38,CY21&lt;&gt;"",CR21=""),AND(DS21&gt;=DY$34,DU21&gt;=DY$38,DS21&lt;&gt;""),AND(DW21&gt;=DY$34,DX21&gt;=DY$38,DW21&lt;&gt;""),AND(EO21&gt;=EU$34,EQ21&gt;=EU$38,EO21&lt;&gt;""),AND(ES21&gt;=EU$34,ET21&gt;=EU$38,ES21&lt;&gt;""),AND(FK21&gt;=FQ$34,FM21&gt;=FQ$38,FK21&lt;&gt;""),AND(FO21&gt;=FQ$34,FP21&gt;=FQ$38,FO21&lt;&gt;""),AND(GG21&gt;=GM$34,GI21&gt;=GM$38,GG21&lt;&gt;""),AND(GK21&gt;=GM$34,GL21&gt;=GM$38,GK21&lt;&gt;""),AND(HC21&gt;=HI$34,HE21&gt;=HI$38,HC21&lt;&gt;""),AND(HG21&gt;=HI$34,HH21&gt;=HI$38,HG21&lt;&gt;""),AND(HY21&gt;=IE$34,IA21&gt;=IE$38,HY21&lt;&gt;""),AND(IC21&gt;=IE$34,ID21&gt;=IE$38,IC21&lt;&gt;""),AND(IU21&gt;=JA$34,IW21&gt;=JA$38,IU21&lt;&gt;""),AND(IY21&gt;=JA$34,IZ21&gt;=JA$38,IY21&lt;&gt;""),AND(JQ21&gt;=JW$34,JS21&gt;=JW$38,JQ21&lt;&gt;""),AND(JU21&gt;=JW$34,JV21&gt;=JW$38,JU21&lt;&gt;""),AND(KM21&gt;=KS$34,KO21&gt;=KS$38,KM21&lt;&gt;""),AND(KQ21&gt;=KS$34,KR21&gt;=KS$38,KQ21&lt;&gt;""),AND(LI21&gt;=LO$34,LK21&gt;=LO$38,LI21&lt;&gt;""),AND(LM21&gt;=LO$34,LN21&gt;=LO$38,LM21&lt;&gt;""),AND(ME21&gt;=MK$34,MG21&gt;=MK$38,ME21&lt;&gt;""),AND(MI21&gt;=MK$34,MJ21&gt;=MK$38,MI21&lt;&gt;""),AND(NA21&gt;=NG$34,NC21&gt;=NG$38,NA21&lt;&gt;""),AND(NE21&gt;=NG$34,NF21&gt;=NG$38,NE21&lt;&gt;"")),"P","")</f>
        <v/>
      </c>
      <c r="G21" s="3" t="str">
        <f>IF(OR(AND(AM21&gt;=AS$38,AL21&lt;&gt;"",AJ21=""),AND(AO21&gt;=AS$38,AN21&lt;&gt;"",AN21=""),AND(AR21&gt;=AS$38,AQ21&lt;&gt;"",AJ21=""),AND(BQ21&gt;=BW$38,BP21&lt;&gt;"",BN21=""),AND(BS21&gt;=BW$38,BR21&lt;&gt;"",BN21=""),AND(BV21&gt;=BW$38,BU21&lt;&gt;"",BN21=""),AND(CU21&gt;=DA$38,CT21&lt;&gt;"",CR21=""),AND(CW21&gt;=DA$38,CV21&lt;&gt;"",CR21=""),AND(CZ21&gt;=DA$38,CY21&lt;&gt;"",CR21=""),AND(DU21&gt;=DY$38,DS21&lt;&gt;""),AND(DX21&gt;=DY$38,DW21&lt;&gt;""),AND(EQ21&gt;=EU$38,EO21&lt;&gt;""),AND(ET21&gt;=EU$38,ES21&lt;&gt;""),AND(FM21&gt;=FQ$38,FK21&lt;&gt;""),AND(FP21&gt;=FQ$38,FO21&lt;&gt;""),AND(GI21&gt;=GM$38,GG21&lt;&gt;""),AND(GL21&gt;=GM$38,GK21&lt;&gt;""),AND(HE21&gt;=HI$38,HC21&lt;&gt;""),AND(HH21&gt;=HI$38,HG21&lt;&gt;""),AND(IA21&gt;=IE$38,HY21&lt;&gt;""),AND(ID21&gt;=IE$38,IC21&lt;&gt;""),AND(IW21&gt;=JA$38,IU21&lt;&gt;""),AND(IZ21&gt;=JA$38,IY21&lt;&gt;""),AND(JS21&gt;=JW$38,JQ21&lt;&gt;""),AND(JV21&gt;=JW$38,JU21&lt;&gt;""),AND(KO21&gt;=KS$38,KM21&lt;&gt;""),AND(KR21&gt;=KS$38,KQ21&lt;&gt;""),AND(LK21&gt;=LO$38,LI21&lt;&gt;""),AND(LN21&gt;=LO$38,LM21&lt;&gt;""),AND(MG21&gt;=MK$38,ME21&lt;&gt;""),AND(MJ21&gt;=MK$38,MI21&lt;&gt;""),AND(NC21&gt;=NG$38,NA21&lt;&gt;""),AND(NF21&gt;=NG$38,NE21&lt;&gt;"")),"P","")</f>
        <v/>
      </c>
      <c r="H21" s="67" t="str">
        <f>IF(F21="P","National Team",IF(G21="P","No DD",""))</f>
        <v/>
      </c>
      <c r="I21" s="14">
        <f>MAX(AM21,AO21,AR21,BQ21,BS21,BV21,CU21,CW21,CZ21)</f>
        <v>47.56</v>
      </c>
      <c r="J21" s="14" t="str">
        <f>IF(I21=0,"",IF(OR(I21=CW21,I21=CU21,I21=CZ21),$BX$1,IF(OR(I21=BS21,I21=BQ21,I21=BV21),$AT$1,IF(OR(I21=AO21,I21=AM21,I21=AR21),$P$1,""))))</f>
        <v>2022 Elite Canada</v>
      </c>
      <c r="K21" s="14">
        <f>IF(COUNT(AM21,AO21,AR21,BQ21,BS21,BV21,CU21,CW21,CZ21)&gt;1,LARGE((AM21,AO21,AR21,BQ21,BS21,BV21,CU21,CW21,CZ21),2),0)</f>
        <v>47.53</v>
      </c>
      <c r="L21" s="14" t="str">
        <f>IF(K21=0,"",IF(OR(K21=CW21,K21=CU21,K21=CZ21),$BX$1,IF(OR(K21=BS21,K21=BQ21,K21=BV21),$AT$1,IF(OR(K21=AO21,K21=AM21,K21=AR21),$P$1,""))))</f>
        <v>2022 Elite Canada</v>
      </c>
      <c r="M21" s="14" t="str">
        <f>IF(MAX(DB21,DC21)&gt;0,MAX(DB21,DC21),"")</f>
        <v/>
      </c>
      <c r="N21" s="20" t="str">
        <f>IF(M21="","",IF(M21=#REF!,"(Vol 1)",IF(M21=DB21,"(Vol 2)",IF(M21=#REF!,"(Prelim)",IF(M21=DC21,"(Final)")))))</f>
        <v/>
      </c>
      <c r="O21" s="14" t="str">
        <f>IF(M21="","",IF(M21=#REF!,IF(M21+IF(#REF!="",0,#REF!)=NB21,$ML$1,IF(M21+IF(#REF!="",0,#REF!)=MF21,$LP$1,IF(M21+IF(#REF!="",0,#REF!)=LJ21,$KT$1,IF(M21+IF(#REF!="",0,#REF!)=KN21,$JX$1,IF(M21+IF(#REF!="",0,#REF!)=JR21,$JB$1,IF(M21+IF(#REF!="",0,#REF!)=IV21,$IF$1,IF(M21+IF(#REF!="",0,#REF!)=HZ21,$HJ$1,IF(M21+IF(#REF!="",0,#REF!)=HD21,$GN$1,IF(M21+IF(#REF!="",0,#REF!)=GH21,$FR$1,IF(M21+IF(#REF!="",0,#REF!)=FL21,$EV$1,IF(M21+IF(#REF!="",0,#REF!)=EP21,$DZ$1,IF(M21+IF(#REF!="",0,#REF!)=DT21,$DD$1)))))))))))),IF(M21=DB21,IF(M21+IF(I21="",0,I21)=NC21,$ML$1,IF(M21+IF(I21="",0,I21)=MG21,$LP$1,IF(M21+IF(I21="",0,I21)=LK21,$KT$1,IF(M21+IF(I21="",0,I21)=KO21,$JX$1,IF(M21+IF(I21="",0,I21)=JS21,$JB$1,IF(M21+IF(I21="",0,I21)=IW21,$IF$1,IF(M21+IF(I21="",0,I21)=IA21,$HJ$1,IF(M21+IF(I21="",0,I21)=HE21,$GN$1,IF(M21+IF(I21="",0,I21)=GI21,$FR$1,IF(M21+IF(I21="",0,I21)=FM21,$EV$1,IF(M21+IF(I21="",0,I21)=EQ21,$DZ$1,IF(M21+IF(I21="",0,I21)=DU21,$DD$1)))))))))))),IF(M21=#REF!,IF(M21+IF(#REF!="",0,#REF!)=ND21,$ML$1,IF(M21+IF(#REF!="",0,#REF!)=MH21,$LP$1,IF(M21+IF(#REF!="",0,#REF!)=LL21,$KT$1,IF(M21+IF(#REF!="",0,#REF!)=KP21,$JX$1,IF(M21+IF(#REF!="",0,#REF!)=JT21,$JB$1,IF(M21+IF(#REF!="",0,#REF!)=IX21,$IF$1,IF(M21+IF(#REF!="",0,#REF!)=IB21,$HJ$1,IF(M21+IF(#REF!="",0,#REF!)=HF21,$GN$1,IF(M21+IF(#REF!="",0,#REF!)=GJ21,$FR$1,IF(M21+IF(#REF!="",0,#REF!)=FN21,$EV$1,IF(M21+IF(#REF!="",0,#REF!)=ER21,$DZ$1,IF(M21+IF(#REF!="",0,#REF!)=DV21,$DD$1)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))</f>
        <v/>
      </c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45"/>
      <c r="AK21" s="11" t="str">
        <f>IF(SUM(P21:S21)-T21&gt;0,SUM(P21:S21)-T21,"")</f>
        <v/>
      </c>
      <c r="AL21" s="11" t="str">
        <f>IF(W21&gt;0,W21,"")</f>
        <v/>
      </c>
      <c r="AM21" s="11" t="str">
        <f>IF(SUM(U21:X21)-Y21&gt;0,SUM(U21:X21)-Y21,"")</f>
        <v/>
      </c>
      <c r="AN21" s="11" t="str">
        <f>IF(AB21&gt;0,AB21,"")</f>
        <v/>
      </c>
      <c r="AO21" s="11" t="str">
        <f>IF(SUM(Z21:AC21)-AD21&gt;0,SUM(Z21:AC21)-AD21,"")</f>
        <v/>
      </c>
      <c r="AP21" s="11" t="str">
        <f>IF(AK21="",IF(MAX(AM21,AO21)&gt;0,MAX(AM21,AO21),""),MAX(AM21,AO21)+AK21)</f>
        <v/>
      </c>
      <c r="AQ21" s="11" t="str">
        <f>IF(AG21&gt;0,AG21,"")</f>
        <v/>
      </c>
      <c r="AR21" s="11" t="str">
        <f>IF(SUM(AE21:AH21)-AI21&gt;0,SUM(AE21:AH21)-AI21,"")</f>
        <v/>
      </c>
      <c r="AS21" s="11" t="str">
        <f>IF(SUM(AP21,AR21)&gt;0,SUM(AP21,AR21),"")</f>
        <v/>
      </c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6"/>
      <c r="BO21" s="14" t="str">
        <f>IF(SUM(AT21:AW21)-AX21&gt;0,SUM(AT21:AW21)-AX21,"")</f>
        <v/>
      </c>
      <c r="BP21" s="14" t="str">
        <f>IF(BA21&gt;0,BA21,"")</f>
        <v/>
      </c>
      <c r="BQ21" s="14" t="str">
        <f>IF(SUM(AY21:BB21)-BC21&gt;0,SUM(AY21:BB21)-BC21,"")</f>
        <v/>
      </c>
      <c r="BR21" s="14" t="str">
        <f>IF(BF21&gt;0,BF21,"")</f>
        <v/>
      </c>
      <c r="BS21" s="14" t="str">
        <f>IF(SUM(BD21:BG21)-BH21&gt;0,SUM(BD21:BG21)-BH21,"")</f>
        <v/>
      </c>
      <c r="BT21" s="14" t="str">
        <f>IF(BO21="",IF(MAX(BQ21,BS21)&gt;0,MAX(BQ21,BS21),""),MAX(BQ21,BS21)+BO21)</f>
        <v/>
      </c>
      <c r="BU21" s="14" t="str">
        <f>IF(BK21&gt;0,BK21,"")</f>
        <v/>
      </c>
      <c r="BV21" s="14" t="str">
        <f>IF(SUM(BI21:BL21)-BM21&gt;0,SUM(BI21:BL21)-BM21,"")</f>
        <v/>
      </c>
      <c r="BW21" s="14" t="str">
        <f>IF(SUM(BT21,BV21)&gt;0,SUM(BT21,BV21),"")</f>
        <v/>
      </c>
      <c r="BX21" s="38">
        <v>14.6</v>
      </c>
      <c r="BY21" s="38">
        <v>9.6</v>
      </c>
      <c r="BZ21" s="38">
        <v>2.7</v>
      </c>
      <c r="CA21" s="38">
        <v>14.7</v>
      </c>
      <c r="CB21" s="38">
        <v>0</v>
      </c>
      <c r="CC21" s="38">
        <v>13.9</v>
      </c>
      <c r="CD21" s="38">
        <v>9.3000000000000007</v>
      </c>
      <c r="CE21" s="38">
        <v>10</v>
      </c>
      <c r="CF21" s="38">
        <v>14.33</v>
      </c>
      <c r="CG21" s="38">
        <v>0</v>
      </c>
      <c r="CH21" s="38"/>
      <c r="CI21" s="38"/>
      <c r="CJ21" s="38"/>
      <c r="CK21" s="38"/>
      <c r="CL21" s="38"/>
      <c r="CM21" s="38">
        <v>13.8</v>
      </c>
      <c r="CN21" s="38">
        <v>9.8000000000000007</v>
      </c>
      <c r="CO21" s="38">
        <v>10</v>
      </c>
      <c r="CP21" s="38">
        <v>14.16</v>
      </c>
      <c r="CQ21" s="38">
        <v>0.2</v>
      </c>
      <c r="CR21" s="45"/>
      <c r="CS21" s="11">
        <f>IF(SUM(BX21:CA21)-CB21&gt;0,SUM(BX21:CA21)-CB21,"")</f>
        <v>41.599999999999994</v>
      </c>
      <c r="CT21" s="11">
        <f>IF(CE21&gt;0,CE21,"")</f>
        <v>10</v>
      </c>
      <c r="CU21" s="11">
        <f>IF(SUM(CC21:CF21)-CG21&gt;0,SUM(CC21:CF21)-CG21,"")</f>
        <v>47.53</v>
      </c>
      <c r="CV21" s="11" t="str">
        <f>IF(CJ21&gt;0,CJ21,"")</f>
        <v/>
      </c>
      <c r="CW21" s="11" t="str">
        <f>IF(SUM(CH21:CK21)-CL21&gt;0,SUM(CH21:CK21)-CL21,"")</f>
        <v/>
      </c>
      <c r="CX21" s="11">
        <f>IF(CS21="",IF(MAX(CU21,CW21)&gt;0,MAX(CU21,CW21),""),MAX(CU21,CW21)+CS21)</f>
        <v>89.13</v>
      </c>
      <c r="CY21" s="11">
        <f>IF(CO21&gt;0,CO21,"")</f>
        <v>10</v>
      </c>
      <c r="CZ21" s="11">
        <f>IF(SUM(CM21:CP21)-CQ21&gt;0,SUM(CM21:CP21)-CQ21,"")</f>
        <v>47.56</v>
      </c>
      <c r="DA21" s="11">
        <f>IF(SUM(CX21,CZ21)&gt;0,SUM(CX21,CZ21),"")</f>
        <v>136.69</v>
      </c>
      <c r="DB21" s="19" t="str">
        <f>IF(I21&gt;=0.001,IF(MAX(DU21,EQ21,FM21,GI21,HE21,IA21,IW21,JS21,KO21,LK21,MG21,NC21)-IF(I21="",0,I21)&gt;0.001,MAX(DU21,EQ21,FM21,GI21,HE21,IA21,IW21,JS21,KO21,LK21,MG21,NC21)-IF(I21="",0,I21),""),"")</f>
        <v/>
      </c>
      <c r="DC21" s="19" t="str">
        <f>IF(K21&gt;=0.001,IF(MAX(DX21,ET21,FP21,GL21,HH21,ID21,IZ21,JV21,KR21,LN21,MJ21,NF21)-IF(K21="",0,K21)&gt;0.001,MAX(DX21,ET21,FP21,GL21,HH21,ID21,IZ21,JV21,KR21,LN21,MJ21,NF21)-IF(K21="",0,K21),""),"")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8">
        <f>IF($CR21="P",BX21,(BX21+AT21)/2)</f>
        <v>7.3</v>
      </c>
      <c r="NI21" s="38">
        <f>IF($CR21="P",BY21,(BY21+AU21)/2)</f>
        <v>4.8</v>
      </c>
      <c r="NJ21" s="38">
        <f>IF($CR21="P",BZ21,(BZ21+AV21)/2)</f>
        <v>1.35</v>
      </c>
      <c r="NK21" s="38">
        <f>IF($CR21="P",CA21,(CA21+AW21)/2)</f>
        <v>7.35</v>
      </c>
      <c r="NL21" s="38">
        <f>IF($CR21="P",CB21,(CB21+AX21)/2)</f>
        <v>0</v>
      </c>
      <c r="NM21" s="38">
        <f>IF($CR21="P",CC21,(CC21+AY21)/2)</f>
        <v>6.95</v>
      </c>
      <c r="NN21" s="38">
        <f>IF($CR21="P",CD21,(CD21+AZ21)/2)</f>
        <v>4.6500000000000004</v>
      </c>
      <c r="NO21" s="38">
        <f>IF($CR21="P",CE21,(CE21+BA21)/2)</f>
        <v>5</v>
      </c>
      <c r="NP21" s="38">
        <f>IF($CR21="P",CF21,(CF21+BB21)/2)</f>
        <v>7.165</v>
      </c>
      <c r="NQ21" s="38">
        <f>IF($CR21="P",CG21,(CG21+BC21)/2)</f>
        <v>0</v>
      </c>
      <c r="NR21" s="38">
        <f>IF($CR21="P",CH21,(CH21+BD21)/2)</f>
        <v>0</v>
      </c>
      <c r="NS21" s="38">
        <f>IF($CR21="P",CI21,(CI21+BE21)/2)</f>
        <v>0</v>
      </c>
      <c r="NT21" s="38">
        <f>IF($CR21="P",CJ21,(CJ21+BF21)/2)</f>
        <v>0</v>
      </c>
      <c r="NU21" s="38">
        <f>IF($CR21="P",CK21,(CK21+BG21)/2)</f>
        <v>0</v>
      </c>
      <c r="NV21" s="38">
        <f>IF($CR21="P",CL21,(CL21+BH21)/2)</f>
        <v>0</v>
      </c>
      <c r="NW21" s="38">
        <f>IF($CR21="P",CM21,(CM21+BI21)/2)</f>
        <v>6.9</v>
      </c>
      <c r="NX21" s="38">
        <f>IF($CR21="P",CN21,(CN21+BJ21)/2)</f>
        <v>4.9000000000000004</v>
      </c>
      <c r="NY21" s="38">
        <f>IF($CR21="P",CO21,(CO21+BK21)/2)</f>
        <v>5</v>
      </c>
      <c r="NZ21" s="38">
        <f>IF($CR21="P",CP21,(CP21+BL21)/2)</f>
        <v>7.08</v>
      </c>
      <c r="OA21" s="38">
        <f>IF($CR21="P",CQ21,(CQ21+BM21)/2)</f>
        <v>0.1</v>
      </c>
      <c r="OB21" s="45" t="s">
        <v>46</v>
      </c>
      <c r="OC21" s="11">
        <f>IF(SUM(NH21:NK21)-NL21&gt;0,SUM(NH21:NK21)-NL21,"")</f>
        <v>20.799999999999997</v>
      </c>
      <c r="OD21" s="11">
        <f>IF(NO21&gt;0,NO21,"")</f>
        <v>5</v>
      </c>
      <c r="OE21" s="11">
        <f>IF(SUM(NM21:NP21)-NQ21&gt;0,SUM(NM21:NP21)-NQ21,"")</f>
        <v>23.765000000000001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44.564999999999998</v>
      </c>
      <c r="OI21" s="11">
        <f>IF(NY21&gt;0,NY21,"")</f>
        <v>5</v>
      </c>
      <c r="OJ21" s="11">
        <f t="shared" ref="OJ21" si="22">IF(SUM(NW21:NZ21)-OA21&gt;0,SUM(NW21:NZ21)-OA21,"")</f>
        <v>23.78</v>
      </c>
      <c r="OK21" s="11">
        <f t="shared" ref="OK21" si="23">IF(SUM(OH21,OJ21)&gt;0,SUM(OH21,OJ21),"")</f>
        <v>68.344999999999999</v>
      </c>
    </row>
    <row r="22" spans="1:401" x14ac:dyDescent="0.2">
      <c r="A22" s="5" t="str" cm="1">
        <f t="array" ref="A22">IF(AND(F22="P",G22="P"),SUMPRODUCT((F$4:F$32="P")*(G$4:G$32="P")*(E$4:E$32&gt;E22))+1,IF(G22="P",SUMPRODUCT((F$4:F$32="")*(G$4:G$32="P")*(E$4:E$32&gt;E22))+1+SUMPRODUCT((F$4:F$32="P")*(G$4:G$32="P")),""))</f>
        <v/>
      </c>
      <c r="B22" s="6" t="s">
        <v>147</v>
      </c>
      <c r="C22" s="7" t="s">
        <v>5</v>
      </c>
      <c r="D22" s="5">
        <v>2005</v>
      </c>
      <c r="E22" s="15">
        <f>SUM(I22:M22)+I22*0.0000001</f>
        <v>93.620004681999987</v>
      </c>
      <c r="F22" s="3" t="str">
        <f>IF(OR(AND(AL22&gt;=AS$34,AM22&gt;=AS$38,AL22&lt;&gt;"",AJ22=""),AND(AN22&gt;=AS$34,AO22&gt;=AS$38,AN22&lt;&gt;"",AN22=""),AND(AQ22&gt;=AS$34,AR22&gt;=AS$38,AQ22&lt;&gt;"",AJ22=""),AND(BP22&gt;=BW$34,BQ22&gt;=BW$38,BP22&lt;&gt;"",BN22=""),AND(BR22&gt;=BW$34,BS22&gt;=BW$38,BR22&lt;&gt;"",BN22=""),AND(BU22&gt;=BW$34,BV22&gt;=BW$38,BU22&lt;&gt;"",BN22=""),AND(CT22&gt;=DA$34,CU22&gt;=DA$38,CT22&lt;&gt;"",CR22=""),AND(CV22&gt;=DA$34,CW22&gt;=DA$38,CV22&lt;&gt;"",CR22=""),AND(CY22&gt;=DA$34,CZ22&gt;=DA$38,CY22&lt;&gt;"",CR22=""),AND(DS22&gt;=DY$34,DU22&gt;=DY$38,DS22&lt;&gt;""),AND(DW22&gt;=DY$34,DX22&gt;=DY$38,DW22&lt;&gt;""),AND(EO22&gt;=EU$34,EQ22&gt;=EU$38,EO22&lt;&gt;""),AND(ES22&gt;=EU$34,ET22&gt;=EU$38,ES22&lt;&gt;""),AND(FK22&gt;=FQ$34,FM22&gt;=FQ$38,FK22&lt;&gt;""),AND(FO22&gt;=FQ$34,FP22&gt;=FQ$38,FO22&lt;&gt;""),AND(GG22&gt;=GM$34,GI22&gt;=GM$38,GG22&lt;&gt;""),AND(GK22&gt;=GM$34,GL22&gt;=GM$38,GK22&lt;&gt;""),AND(HC22&gt;=HI$34,HE22&gt;=HI$38,HC22&lt;&gt;""),AND(HG22&gt;=HI$34,HH22&gt;=HI$38,HG22&lt;&gt;""),AND(HY22&gt;=IE$34,IA22&gt;=IE$38,HY22&lt;&gt;""),AND(IC22&gt;=IE$34,ID22&gt;=IE$38,IC22&lt;&gt;""),AND(IU22&gt;=JA$34,IW22&gt;=JA$38,IU22&lt;&gt;""),AND(IY22&gt;=JA$34,IZ22&gt;=JA$38,IY22&lt;&gt;""),AND(JQ22&gt;=JW$34,JS22&gt;=JW$38,JQ22&lt;&gt;""),AND(JU22&gt;=JW$34,JV22&gt;=JW$38,JU22&lt;&gt;""),AND(KM22&gt;=KS$34,KO22&gt;=KS$38,KM22&lt;&gt;""),AND(KQ22&gt;=KS$34,KR22&gt;=KS$38,KQ22&lt;&gt;""),AND(LI22&gt;=LO$34,LK22&gt;=LO$38,LI22&lt;&gt;""),AND(LM22&gt;=LO$34,LN22&gt;=LO$38,LM22&lt;&gt;""),AND(ME22&gt;=MK$34,MG22&gt;=MK$38,ME22&lt;&gt;""),AND(MI22&gt;=MK$34,MJ22&gt;=MK$38,MI22&lt;&gt;""),AND(NA22&gt;=NG$34,NC22&gt;=NG$38,NA22&lt;&gt;""),AND(NE22&gt;=NG$34,NF22&gt;=NG$38,NE22&lt;&gt;"")),"P","")</f>
        <v/>
      </c>
      <c r="G22" s="3" t="str">
        <f>IF(OR(AND(AM22&gt;=AS$38,AL22&lt;&gt;"",AJ22=""),AND(AO22&gt;=AS$38,AN22&lt;&gt;"",AN22=""),AND(AR22&gt;=AS$38,AQ22&lt;&gt;"",AJ22=""),AND(BQ22&gt;=BW$38,BP22&lt;&gt;"",BN22=""),AND(BS22&gt;=BW$38,BR22&lt;&gt;"",BN22=""),AND(BV22&gt;=BW$38,BU22&lt;&gt;"",BN22=""),AND(CU22&gt;=DA$38,CT22&lt;&gt;"",CR22=""),AND(CW22&gt;=DA$38,CV22&lt;&gt;"",CR22=""),AND(CZ22&gt;=DA$38,CY22&lt;&gt;"",CR22=""),AND(DU22&gt;=DY$38,DS22&lt;&gt;""),AND(DX22&gt;=DY$38,DW22&lt;&gt;""),AND(EQ22&gt;=EU$38,EO22&lt;&gt;""),AND(ET22&gt;=EU$38,ES22&lt;&gt;""),AND(FM22&gt;=FQ$38,FK22&lt;&gt;""),AND(FP22&gt;=FQ$38,FO22&lt;&gt;""),AND(GI22&gt;=GM$38,GG22&lt;&gt;""),AND(GL22&gt;=GM$38,GK22&lt;&gt;""),AND(HE22&gt;=HI$38,HC22&lt;&gt;""),AND(HH22&gt;=HI$38,HG22&lt;&gt;""),AND(IA22&gt;=IE$38,HY22&lt;&gt;""),AND(ID22&gt;=IE$38,IC22&lt;&gt;""),AND(IW22&gt;=JA$38,IU22&lt;&gt;""),AND(IZ22&gt;=JA$38,IY22&lt;&gt;""),AND(JS22&gt;=JW$38,JQ22&lt;&gt;""),AND(JV22&gt;=JW$38,JU22&lt;&gt;""),AND(KO22&gt;=KS$38,KM22&lt;&gt;""),AND(KR22&gt;=KS$38,KQ22&lt;&gt;""),AND(LK22&gt;=LO$38,LI22&lt;&gt;""),AND(LN22&gt;=LO$38,LM22&lt;&gt;""),AND(MG22&gt;=MK$38,ME22&lt;&gt;""),AND(MJ22&gt;=MK$38,MI22&lt;&gt;""),AND(NC22&gt;=NG$38,NA22&lt;&gt;""),AND(NF22&gt;=NG$38,NE22&lt;&gt;"")),"P","")</f>
        <v/>
      </c>
      <c r="H22" s="67" t="str">
        <f>IF(F22="P","National Team",IF(G22="P","No DD",""))</f>
        <v/>
      </c>
      <c r="I22" s="14">
        <f>MAX(AM22,AO22,AR22,BQ22,BS22,BV22,CU22,CW22,CZ22)</f>
        <v>46.819999999999993</v>
      </c>
      <c r="J22" s="14" t="str">
        <f>IF(I22=0,"",IF(OR(I22=CW22,I22=CU22,I22=CZ22),$BX$1,IF(OR(I22=BS22,I22=BQ22,I22=BV22),$AT$1,IF(OR(I22=AO22,I22=AM22,I22=AR22),$P$1,""))))</f>
        <v>2021 Canadian Championships</v>
      </c>
      <c r="K22" s="14">
        <f>IF(COUNT(AM22,AO22,AR22,BQ22,BS22,BV22,CU22,CW22,CZ22)&gt;1,LARGE((AM22,AO22,AR22,BQ22,BS22,BV22,CU22,CW22,CZ22),2),0)</f>
        <v>46.8</v>
      </c>
      <c r="L22" s="14" t="str">
        <f>IF(K22=0,"",IF(OR(K22=CW22,K22=CU22,K22=CZ22),$BX$1,IF(OR(K22=BS22,K22=BQ22,K22=BV22),$AT$1,IF(OR(K22=AO22,K22=AM22,K22=AR22),$P$1,""))))</f>
        <v>2022 Elite Canada</v>
      </c>
      <c r="M22" s="14" t="str">
        <f>IF(MAX(DB22,DC22)&gt;0,MAX(DB22,DC22),"")</f>
        <v/>
      </c>
      <c r="N22" s="20" t="str">
        <f>IF(M22="","",IF(M22=#REF!,"(Vol 1)",IF(M22=DB22,"(Vol 2)",IF(M22=#REF!,"(Prelim)",IF(M22=DC22,"(Final)")))))</f>
        <v/>
      </c>
      <c r="O22" s="14" t="str">
        <f>IF(M22="","",IF(M22=#REF!,IF(M22+IF(#REF!="",0,#REF!)=NB22,$ML$1,IF(M22+IF(#REF!="",0,#REF!)=MF22,$LP$1,IF(M22+IF(#REF!="",0,#REF!)=LJ22,$KT$1,IF(M22+IF(#REF!="",0,#REF!)=KN22,$JX$1,IF(M22+IF(#REF!="",0,#REF!)=JR22,$JB$1,IF(M22+IF(#REF!="",0,#REF!)=IV22,$IF$1,IF(M22+IF(#REF!="",0,#REF!)=HZ22,$HJ$1,IF(M22+IF(#REF!="",0,#REF!)=HD22,$GN$1,IF(M22+IF(#REF!="",0,#REF!)=GH22,$FR$1,IF(M22+IF(#REF!="",0,#REF!)=FL22,$EV$1,IF(M22+IF(#REF!="",0,#REF!)=EP22,$DZ$1,IF(M22+IF(#REF!="",0,#REF!)=DT22,$DD$1)))))))))))),IF(M22=DB22,IF(M22+IF(I22="",0,I22)=NC22,$ML$1,IF(M22+IF(I22="",0,I22)=MG22,$LP$1,IF(M22+IF(I22="",0,I22)=LK22,$KT$1,IF(M22+IF(I22="",0,I22)=KO22,$JX$1,IF(M22+IF(I22="",0,I22)=JS22,$JB$1,IF(M22+IF(I22="",0,I22)=IW22,$IF$1,IF(M22+IF(I22="",0,I22)=IA22,$HJ$1,IF(M22+IF(I22="",0,I22)=HE22,$GN$1,IF(M22+IF(I22="",0,I22)=GI22,$FR$1,IF(M22+IF(I22="",0,I22)=FM22,$EV$1,IF(M22+IF(I22="",0,I22)=EQ22,$DZ$1,IF(M22+IF(I22="",0,I22)=DU22,$DD$1)))))))))))),IF(M22=#REF!,IF(M22+IF(#REF!="",0,#REF!)=ND22,$ML$1,IF(M22+IF(#REF!="",0,#REF!)=MH22,$LP$1,IF(M22+IF(#REF!="",0,#REF!)=LL22,$KT$1,IF(M22+IF(#REF!="",0,#REF!)=KP22,$JX$1,IF(M22+IF(#REF!="",0,#REF!)=JT22,$JB$1,IF(M22+IF(#REF!="",0,#REF!)=IX22,$IF$1,IF(M22+IF(#REF!="",0,#REF!)=IB22,$HJ$1,IF(M22+IF(#REF!="",0,#REF!)=HF22,$GN$1,IF(M22+IF(#REF!="",0,#REF!)=GJ22,$FR$1,IF(M22+IF(#REF!="",0,#REF!)=FN22,$EV$1,IF(M22+IF(#REF!="",0,#REF!)=ER22,$DZ$1,IF(M22+IF(#REF!="",0,#REF!)=DV22,$DD$1)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))</f>
        <v/>
      </c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45"/>
      <c r="AK22" s="11" t="str">
        <f>IF(SUM(P22:S22)-T22&gt;0,SUM(P22:S22)-T22,"")</f>
        <v/>
      </c>
      <c r="AL22" s="11" t="str">
        <f>IF(W22&gt;0,W22,"")</f>
        <v/>
      </c>
      <c r="AM22" s="11" t="str">
        <f>IF(SUM(U22:X22)-Y22&gt;0,SUM(U22:X22)-Y22,"")</f>
        <v/>
      </c>
      <c r="AN22" s="11" t="str">
        <f>IF(AB22&gt;0,AB22,"")</f>
        <v/>
      </c>
      <c r="AO22" s="11" t="str">
        <f>IF(SUM(Z22:AC22)-AD22&gt;0,SUM(Z22:AC22)-AD22,"")</f>
        <v/>
      </c>
      <c r="AP22" s="11" t="str">
        <f>IF(AK22="",IF(MAX(AM22,AO22)&gt;0,MAX(AM22,AO22),""),MAX(AM22,AO22)+AK22)</f>
        <v/>
      </c>
      <c r="AQ22" s="11" t="str">
        <f>IF(AG22&gt;0,AG22,"")</f>
        <v/>
      </c>
      <c r="AR22" s="11" t="str">
        <f>IF(SUM(AE22:AH22)-AI22&gt;0,SUM(AE22:AH22)-AI22,"")</f>
        <v/>
      </c>
      <c r="AS22" s="11" t="str">
        <f>IF(SUM(AP22,AR22)&gt;0,SUM(AP22,AR22),"")</f>
        <v/>
      </c>
      <c r="AT22" s="42">
        <v>16</v>
      </c>
      <c r="AU22" s="42">
        <v>8.9</v>
      </c>
      <c r="AV22" s="42">
        <v>0</v>
      </c>
      <c r="AW22" s="42">
        <v>14.51</v>
      </c>
      <c r="AX22" s="42">
        <v>0</v>
      </c>
      <c r="AY22" s="42">
        <v>13.1</v>
      </c>
      <c r="AZ22" s="42">
        <v>8.3000000000000007</v>
      </c>
      <c r="BA22" s="42">
        <v>10.9</v>
      </c>
      <c r="BB22" s="42">
        <v>14.52</v>
      </c>
      <c r="BC22" s="42">
        <v>0</v>
      </c>
      <c r="BD22" s="42"/>
      <c r="BE22" s="42"/>
      <c r="BF22" s="42"/>
      <c r="BG22" s="42"/>
      <c r="BH22" s="42"/>
      <c r="BI22" s="42">
        <v>5</v>
      </c>
      <c r="BJ22" s="42">
        <v>3.3</v>
      </c>
      <c r="BK22" s="42">
        <v>3.8</v>
      </c>
      <c r="BL22" s="42">
        <v>6.09</v>
      </c>
      <c r="BM22" s="42">
        <v>0</v>
      </c>
      <c r="BN22" s="46"/>
      <c r="BO22" s="14">
        <f>IF(SUM(AT22:AW22)-AX22&gt;0,SUM(AT22:AW22)-AX22,"")</f>
        <v>39.409999999999997</v>
      </c>
      <c r="BP22" s="14">
        <f>IF(BA22&gt;0,BA22,"")</f>
        <v>10.9</v>
      </c>
      <c r="BQ22" s="14">
        <f>IF(SUM(AY22:BB22)-BC22&gt;0,SUM(AY22:BB22)-BC22,"")</f>
        <v>46.819999999999993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86.22999999999999</v>
      </c>
      <c r="BU22" s="14">
        <f>IF(BK22&gt;0,BK22,"")</f>
        <v>3.8</v>
      </c>
      <c r="BV22" s="14">
        <f>IF(SUM(BI22:BL22)-BM22&gt;0,SUM(BI22:BL22)-BM22,"")</f>
        <v>18.190000000000001</v>
      </c>
      <c r="BW22" s="14">
        <f>IF(SUM(BT22,BV22)&gt;0,SUM(BT22,BV22),"")</f>
        <v>104.41999999999999</v>
      </c>
      <c r="BX22" s="38">
        <v>15.7</v>
      </c>
      <c r="BY22" s="38">
        <v>9.1</v>
      </c>
      <c r="BZ22" s="38">
        <v>2.9</v>
      </c>
      <c r="CA22" s="38">
        <v>15.03</v>
      </c>
      <c r="CB22" s="38">
        <v>0</v>
      </c>
      <c r="CC22" s="38">
        <v>12.3</v>
      </c>
      <c r="CD22" s="38">
        <v>9.3000000000000007</v>
      </c>
      <c r="CE22" s="38">
        <v>10</v>
      </c>
      <c r="CF22" s="38">
        <v>15.2</v>
      </c>
      <c r="CG22" s="38">
        <v>0</v>
      </c>
      <c r="CH22" s="38"/>
      <c r="CI22" s="38"/>
      <c r="CJ22" s="38"/>
      <c r="CK22" s="38"/>
      <c r="CL22" s="38"/>
      <c r="CM22" s="38">
        <v>9.1</v>
      </c>
      <c r="CN22" s="38">
        <v>6.1</v>
      </c>
      <c r="CO22" s="38">
        <v>7.9</v>
      </c>
      <c r="CP22" s="38">
        <v>10.5</v>
      </c>
      <c r="CQ22" s="38">
        <v>0</v>
      </c>
      <c r="CR22" s="45"/>
      <c r="CS22" s="11">
        <f>IF(SUM(BX22:CA22)-CB22&gt;0,SUM(BX22:CA22)-CB22,"")</f>
        <v>42.73</v>
      </c>
      <c r="CT22" s="11">
        <f>IF(CE22&gt;0,CE22,"")</f>
        <v>10</v>
      </c>
      <c r="CU22" s="11">
        <f>IF(SUM(CC22:CF22)-CG22&gt;0,SUM(CC22:CF22)-CG22,"")</f>
        <v>46.8</v>
      </c>
      <c r="CV22" s="11" t="str">
        <f>IF(CJ22&gt;0,CJ22,"")</f>
        <v/>
      </c>
      <c r="CW22" s="11" t="str">
        <f>IF(SUM(CH22:CK22)-CL22&gt;0,SUM(CH22:CK22)-CL22,"")</f>
        <v/>
      </c>
      <c r="CX22" s="11">
        <f>IF(CS22="",IF(MAX(CU22,CW22)&gt;0,MAX(CU22,CW22),""),MAX(CU22,CW22)+CS22)</f>
        <v>89.53</v>
      </c>
      <c r="CY22" s="11">
        <f>IF(CO22&gt;0,CO22,"")</f>
        <v>7.9</v>
      </c>
      <c r="CZ22" s="11">
        <f>IF(SUM(CM22:CP22)-CQ22&gt;0,SUM(CM22:CP22)-CQ22,"")</f>
        <v>33.6</v>
      </c>
      <c r="DA22" s="11">
        <f>IF(SUM(CX22,CZ22)&gt;0,SUM(CX22,CZ22),"")</f>
        <v>123.13</v>
      </c>
      <c r="DB22" s="19" t="str">
        <f>IF(I22&gt;=0.001,IF(MAX(DU22,EQ22,FM22,GI22,HE22,IA22,IW22,JS22,KO22,LK22,MG22,NC22)-IF(I22="",0,I22)&gt;0.001,MAX(DU22,EQ22,FM22,GI22,HE22,IA22,IW22,JS22,KO22,LK22,MG22,NC22)-IF(I22="",0,I22),""),"")</f>
        <v/>
      </c>
      <c r="DC22" s="19" t="str">
        <f>IF(K22&gt;=0.001,IF(MAX(DX22,ET22,FP22,GL22,HH22,ID22,IZ22,JV22,KR22,LN22,MJ22,NF22)-IF(K22="",0,K22)&gt;0.001,MAX(DX22,ET22,FP22,GL22,HH22,ID22,IZ22,JV22,KR22,LN22,MJ22,NF22)-IF(K22="",0,K22),""),"")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26"/>
      <c r="JN22" s="26"/>
      <c r="JO22" s="26"/>
      <c r="JP22" s="26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6"/>
      <c r="KU22" s="26"/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8">
        <f>IF($CR22="P",BX22,(BX22+AT22)/2)</f>
        <v>15.85</v>
      </c>
      <c r="NI22" s="38">
        <f>IF($CR22="P",BY22,(BY22+AU22)/2)</f>
        <v>9</v>
      </c>
      <c r="NJ22" s="38">
        <f>IF($CR22="P",BZ22,(BZ22+AV22)/2)</f>
        <v>1.45</v>
      </c>
      <c r="NK22" s="38">
        <f>IF($CR22="P",CA22,(CA22+AW22)/2)</f>
        <v>14.77</v>
      </c>
      <c r="NL22" s="38">
        <f>IF($CR22="P",CB22,(CB22+AX22)/2)</f>
        <v>0</v>
      </c>
      <c r="NM22" s="38">
        <f>IF($CR22="P",CC22,(CC22+AY22)/2)</f>
        <v>12.7</v>
      </c>
      <c r="NN22" s="38">
        <f>IF($CR22="P",CD22,(CD22+AZ22)/2)</f>
        <v>8.8000000000000007</v>
      </c>
      <c r="NO22" s="38">
        <f>IF($CR22="P",CE22,(CE22+BA22)/2)</f>
        <v>10.45</v>
      </c>
      <c r="NP22" s="38">
        <f>IF($CR22="P",CF22,(CF22+BB22)/2)</f>
        <v>14.86</v>
      </c>
      <c r="NQ22" s="38">
        <f>IF($CR22="P",CG22,(CG22+BC22)/2)</f>
        <v>0</v>
      </c>
      <c r="NR22" s="38">
        <f>IF($CR22="P",CH22,(CH22+BD22)/2)</f>
        <v>0</v>
      </c>
      <c r="NS22" s="38">
        <f>IF($CR22="P",CI22,(CI22+BE22)/2)</f>
        <v>0</v>
      </c>
      <c r="NT22" s="38">
        <f>IF($CR22="P",CJ22,(CJ22+BF22)/2)</f>
        <v>0</v>
      </c>
      <c r="NU22" s="38">
        <f>IF($CR22="P",CK22,(CK22+BG22)/2)</f>
        <v>0</v>
      </c>
      <c r="NV22" s="38">
        <f>IF($CR22="P",CL22,(CL22+BH22)/2)</f>
        <v>0</v>
      </c>
      <c r="NW22" s="38">
        <f>IF($CR22="P",CM22,(CM22+BI22)/2)</f>
        <v>7.05</v>
      </c>
      <c r="NX22" s="38">
        <f>IF($CR22="P",CN22,(CN22+BJ22)/2)</f>
        <v>4.6999999999999993</v>
      </c>
      <c r="NY22" s="38">
        <f>IF($CR22="P",CO22,(CO22+BK22)/2)</f>
        <v>5.85</v>
      </c>
      <c r="NZ22" s="38">
        <f>IF($CR22="P",CP22,(CP22+BL22)/2)</f>
        <v>8.2949999999999999</v>
      </c>
      <c r="OA22" s="38">
        <f>IF($CR22="P",CQ22,(CQ22+BM22)/2)</f>
        <v>0</v>
      </c>
      <c r="OB22" s="45" t="s">
        <v>46</v>
      </c>
      <c r="OC22" s="11">
        <f>IF(SUM(NH22:NK22)-NL22&gt;0,SUM(NH22:NK22)-NL22,"")</f>
        <v>41.07</v>
      </c>
      <c r="OD22" s="11">
        <f>IF(NO22&gt;0,NO22,"")</f>
        <v>10.45</v>
      </c>
      <c r="OE22" s="11">
        <f>IF(SUM(NM22:NP22)-NQ22&gt;0,SUM(NM22:NP22)-NQ22,"")</f>
        <v>46.81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87.88</v>
      </c>
      <c r="OI22" s="11">
        <f>IF(NY22&gt;0,NY22,"")</f>
        <v>5.85</v>
      </c>
      <c r="OJ22" s="11">
        <f t="shared" ref="OJ22" si="24">IF(SUM(NW22:NZ22)-OA22&gt;0,SUM(NW22:NZ22)-OA22,"")</f>
        <v>25.895000000000003</v>
      </c>
      <c r="OK22" s="11">
        <f t="shared" ref="OK22" si="25">IF(SUM(OH22,OJ22)&gt;0,SUM(OH22,OJ22),"")</f>
        <v>113.77500000000001</v>
      </c>
    </row>
    <row r="23" spans="1:401" x14ac:dyDescent="0.2">
      <c r="A23" s="5" t="str" cm="1">
        <f t="array" ref="A23">IF(AND(F23="P",G23="P"),SUMPRODUCT((F$4:F$32="P")*(G$4:G$32="P")*(E$4:E$32&gt;E23))+1,IF(G23="P",SUMPRODUCT((F$4:F$32="")*(G$4:G$32="P")*(E$4:E$32&gt;E23))+1+SUMPRODUCT((F$4:F$32="P")*(G$4:G$32="P")),""))</f>
        <v/>
      </c>
      <c r="B23" s="6" t="s">
        <v>110</v>
      </c>
      <c r="C23" s="7" t="s">
        <v>5</v>
      </c>
      <c r="D23" s="22">
        <v>2004</v>
      </c>
      <c r="E23" s="15">
        <f>SUM(I23:M23)+I23*0.0000001</f>
        <v>92.485004701000008</v>
      </c>
      <c r="F23" s="3" t="str">
        <f>IF(OR(AND(AL23&gt;=AS$34,AM23&gt;=AS$38,AL23&lt;&gt;"",AJ23=""),AND(AN23&gt;=AS$34,AO23&gt;=AS$38,AN23&lt;&gt;"",AN23=""),AND(AQ23&gt;=AS$34,AR23&gt;=AS$38,AQ23&lt;&gt;"",AJ23=""),AND(BP23&gt;=BW$34,BQ23&gt;=BW$38,BP23&lt;&gt;"",BN23=""),AND(BR23&gt;=BW$34,BS23&gt;=BW$38,BR23&lt;&gt;"",BN23=""),AND(BU23&gt;=BW$34,BV23&gt;=BW$38,BU23&lt;&gt;"",BN23=""),AND(CT23&gt;=DA$34,CU23&gt;=DA$38,CT23&lt;&gt;"",CR23=""),AND(CV23&gt;=DA$34,CW23&gt;=DA$38,CV23&lt;&gt;"",CR23=""),AND(CY23&gt;=DA$34,CZ23&gt;=DA$38,CY23&lt;&gt;"",CR23=""),AND(DS23&gt;=DY$34,DU23&gt;=DY$38,DS23&lt;&gt;""),AND(DW23&gt;=DY$34,DX23&gt;=DY$38,DW23&lt;&gt;""),AND(EO23&gt;=EU$34,EQ23&gt;=EU$38,EO23&lt;&gt;""),AND(ES23&gt;=EU$34,ET23&gt;=EU$38,ES23&lt;&gt;""),AND(FK23&gt;=FQ$34,FM23&gt;=FQ$38,FK23&lt;&gt;""),AND(FO23&gt;=FQ$34,FP23&gt;=FQ$38,FO23&lt;&gt;""),AND(GG23&gt;=GM$34,GI23&gt;=GM$38,GG23&lt;&gt;""),AND(GK23&gt;=GM$34,GL23&gt;=GM$38,GK23&lt;&gt;""),AND(HC23&gt;=HI$34,HE23&gt;=HI$38,HC23&lt;&gt;""),AND(HG23&gt;=HI$34,HH23&gt;=HI$38,HG23&lt;&gt;""),AND(HY23&gt;=IE$34,IA23&gt;=IE$38,HY23&lt;&gt;""),AND(IC23&gt;=IE$34,ID23&gt;=IE$38,IC23&lt;&gt;""),AND(IU23&gt;=JA$34,IW23&gt;=JA$38,IU23&lt;&gt;""),AND(IY23&gt;=JA$34,IZ23&gt;=JA$38,IY23&lt;&gt;""),AND(JQ23&gt;=JW$34,JS23&gt;=JW$38,JQ23&lt;&gt;""),AND(JU23&gt;=JW$34,JV23&gt;=JW$38,JU23&lt;&gt;""),AND(KM23&gt;=KS$34,KO23&gt;=KS$38,KM23&lt;&gt;""),AND(KQ23&gt;=KS$34,KR23&gt;=KS$38,KQ23&lt;&gt;""),AND(LI23&gt;=LO$34,LK23&gt;=LO$38,LI23&lt;&gt;""),AND(LM23&gt;=LO$34,LN23&gt;=LO$38,LM23&lt;&gt;""),AND(ME23&gt;=MK$34,MG23&gt;=MK$38,ME23&lt;&gt;""),AND(MI23&gt;=MK$34,MJ23&gt;=MK$38,MI23&lt;&gt;""),AND(NA23&gt;=NG$34,NC23&gt;=NG$38,NA23&lt;&gt;""),AND(NE23&gt;=NG$34,NF23&gt;=NG$38,NE23&lt;&gt;"")),"P","")</f>
        <v/>
      </c>
      <c r="G23" s="3" t="str">
        <f>IF(OR(AND(AM23&gt;=AS$38,AL23&lt;&gt;"",AJ23=""),AND(AO23&gt;=AS$38,AN23&lt;&gt;"",AN23=""),AND(AR23&gt;=AS$38,AQ23&lt;&gt;"",AJ23=""),AND(BQ23&gt;=BW$38,BP23&lt;&gt;"",BN23=""),AND(BS23&gt;=BW$38,BR23&lt;&gt;"",BN23=""),AND(BV23&gt;=BW$38,BU23&lt;&gt;"",BN23=""),AND(CU23&gt;=DA$38,CT23&lt;&gt;"",CR23=""),AND(CW23&gt;=DA$38,CV23&lt;&gt;"",CR23=""),AND(CZ23&gt;=DA$38,CY23&lt;&gt;"",CR23=""),AND(DU23&gt;=DY$38,DS23&lt;&gt;""),AND(DX23&gt;=DY$38,DW23&lt;&gt;""),AND(EQ23&gt;=EU$38,EO23&lt;&gt;""),AND(ET23&gt;=EU$38,ES23&lt;&gt;""),AND(FM23&gt;=FQ$38,FK23&lt;&gt;""),AND(FP23&gt;=FQ$38,FO23&lt;&gt;""),AND(GI23&gt;=GM$38,GG23&lt;&gt;""),AND(GL23&gt;=GM$38,GK23&lt;&gt;""),AND(HE23&gt;=HI$38,HC23&lt;&gt;""),AND(HH23&gt;=HI$38,HG23&lt;&gt;""),AND(IA23&gt;=IE$38,HY23&lt;&gt;""),AND(ID23&gt;=IE$38,IC23&lt;&gt;""),AND(IW23&gt;=JA$38,IU23&lt;&gt;""),AND(IZ23&gt;=JA$38,IY23&lt;&gt;""),AND(JS23&gt;=JW$38,JQ23&lt;&gt;""),AND(JV23&gt;=JW$38,JU23&lt;&gt;""),AND(KO23&gt;=KS$38,KM23&lt;&gt;""),AND(KR23&gt;=KS$38,KQ23&lt;&gt;""),AND(LK23&gt;=LO$38,LI23&lt;&gt;""),AND(LN23&gt;=LO$38,LM23&lt;&gt;""),AND(MG23&gt;=MK$38,ME23&lt;&gt;""),AND(MJ23&gt;=MK$38,MI23&lt;&gt;""),AND(NC23&gt;=NG$38,NA23&lt;&gt;""),AND(NF23&gt;=NG$38,NE23&lt;&gt;"")),"P","")</f>
        <v/>
      </c>
      <c r="H23" s="67" t="str">
        <f>IF(F23="P","National Team",IF(G23="P","No DD",""))</f>
        <v/>
      </c>
      <c r="I23" s="14">
        <f>MAX(AM23,AO23,AR23,BQ23,BS23,BV23,CU23,CW23,CZ23)</f>
        <v>47.010000000000005</v>
      </c>
      <c r="J23" s="14" t="str">
        <f>IF(I23=0,"",IF(OR(I23=CW23,I23=CU23,I23=CZ23),$BX$1,IF(OR(I23=BS23,I23=BQ23,I23=BV23),$AT$1,IF(OR(I23=AO23,I23=AM23,I23=AR23),$P$1,""))))</f>
        <v>2021 Elite Canada</v>
      </c>
      <c r="K23" s="14">
        <f>IF(COUNT(AM23,AO23,AR23,BQ23,BS23,BV23,CU23,CW23,CZ23)&gt;1,LARGE((AM23,AO23,AR23,BQ23,BS23,BV23,CU23,CW23,CZ23),2),0)</f>
        <v>45.475000000000001</v>
      </c>
      <c r="L23" s="14" t="str">
        <f>IF(K23=0,"",IF(OR(K23=CW23,K23=CU23,K23=CZ23),$BX$1,IF(OR(K23=BS23,K23=BQ23,K23=BV23),$AT$1,IF(OR(K23=AO23,K23=AM23,K23=AR23),$P$1,""))))</f>
        <v>2021 Canadian Championships</v>
      </c>
      <c r="M23" s="14" t="str">
        <f>IF(MAX(DB23,DC23)&gt;0,MAX(DB23,DC23),"")</f>
        <v/>
      </c>
      <c r="N23" s="20" t="str">
        <f>IF(M23="","",IF(M23=#REF!,"(Vol 1)",IF(M23=DB23,"(Vol 2)",IF(M23=#REF!,"(Prelim)",IF(M23=DC23,"(Final)")))))</f>
        <v/>
      </c>
      <c r="O23" s="14" t="str">
        <f>IF(M23="","",IF(M23=#REF!,IF(M23+IF(#REF!="",0,#REF!)=NB23,$ML$1,IF(M23+IF(#REF!="",0,#REF!)=MF23,$LP$1,IF(M23+IF(#REF!="",0,#REF!)=LJ23,$KT$1,IF(M23+IF(#REF!="",0,#REF!)=KN23,$JX$1,IF(M23+IF(#REF!="",0,#REF!)=JR23,$JB$1,IF(M23+IF(#REF!="",0,#REF!)=IV23,$IF$1,IF(M23+IF(#REF!="",0,#REF!)=HZ23,$HJ$1,IF(M23+IF(#REF!="",0,#REF!)=HD23,$GN$1,IF(M23+IF(#REF!="",0,#REF!)=GH23,$FR$1,IF(M23+IF(#REF!="",0,#REF!)=FL23,$EV$1,IF(M23+IF(#REF!="",0,#REF!)=EP23,$DZ$1,IF(M23+IF(#REF!="",0,#REF!)=DT23,$DD$1)))))))))))),IF(M23=DB23,IF(M23+IF(I23="",0,I23)=NC23,$ML$1,IF(M23+IF(I23="",0,I23)=MG23,$LP$1,IF(M23+IF(I23="",0,I23)=LK23,$KT$1,IF(M23+IF(I23="",0,I23)=KO23,$JX$1,IF(M23+IF(I23="",0,I23)=JS23,$JB$1,IF(M23+IF(I23="",0,I23)=IW23,$IF$1,IF(M23+IF(I23="",0,I23)=IA23,$HJ$1,IF(M23+IF(I23="",0,I23)=HE23,$GN$1,IF(M23+IF(I23="",0,I23)=GI23,$FR$1,IF(M23+IF(I23="",0,I23)=FM23,$EV$1,IF(M23+IF(I23="",0,I23)=EQ23,$DZ$1,IF(M23+IF(I23="",0,I23)=DU23,$DD$1)))))))))))),IF(M23=#REF!,IF(M23+IF(#REF!="",0,#REF!)=ND23,$ML$1,IF(M23+IF(#REF!="",0,#REF!)=MH23,$LP$1,IF(M23+IF(#REF!="",0,#REF!)=LL23,$KT$1,IF(M23+IF(#REF!="",0,#REF!)=KP23,$JX$1,IF(M23+IF(#REF!="",0,#REF!)=JT23,$JB$1,IF(M23+IF(#REF!="",0,#REF!)=IX23,$IF$1,IF(M23+IF(#REF!="",0,#REF!)=IB23,$HJ$1,IF(M23+IF(#REF!="",0,#REF!)=HF23,$GN$1,IF(M23+IF(#REF!="",0,#REF!)=GJ23,$FR$1,IF(M23+IF(#REF!="",0,#REF!)=FN23,$EV$1,IF(M23+IF(#REF!="",0,#REF!)=ER23,$DZ$1,IF(M23+IF(#REF!="",0,#REF!)=DV23,$DD$1)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))</f>
        <v/>
      </c>
      <c r="P23" s="38">
        <v>16.2</v>
      </c>
      <c r="Q23" s="38">
        <v>9.6999999999999993</v>
      </c>
      <c r="R23" s="38">
        <v>2</v>
      </c>
      <c r="S23" s="38">
        <v>14.56</v>
      </c>
      <c r="T23" s="38">
        <v>0</v>
      </c>
      <c r="U23" s="38">
        <v>11.3</v>
      </c>
      <c r="V23" s="38">
        <v>9.1</v>
      </c>
      <c r="W23" s="38">
        <v>9.3000000000000007</v>
      </c>
      <c r="X23" s="38">
        <v>14.744999999999999</v>
      </c>
      <c r="Y23" s="38">
        <v>0.3</v>
      </c>
      <c r="Z23" s="38"/>
      <c r="AA23" s="38"/>
      <c r="AB23" s="38"/>
      <c r="AC23" s="38"/>
      <c r="AD23" s="38"/>
      <c r="AE23" s="38">
        <v>14.2</v>
      </c>
      <c r="AF23" s="38">
        <v>9.4</v>
      </c>
      <c r="AG23" s="38">
        <v>9.3000000000000007</v>
      </c>
      <c r="AH23" s="38">
        <v>14.41</v>
      </c>
      <c r="AI23" s="38">
        <v>0.3</v>
      </c>
      <c r="AJ23" s="45"/>
      <c r="AK23" s="11">
        <f>IF(SUM(P23:S23)-T23&gt;0,SUM(P23:S23)-T23,"")</f>
        <v>42.46</v>
      </c>
      <c r="AL23" s="11">
        <f>IF(W23&gt;0,W23,"")</f>
        <v>9.3000000000000007</v>
      </c>
      <c r="AM23" s="11">
        <f>IF(SUM(U23:X23)-Y23&gt;0,SUM(U23:X23)-Y23,"")</f>
        <v>44.145000000000003</v>
      </c>
      <c r="AN23" s="11" t="str">
        <f>IF(AB23&gt;0,AB23,"")</f>
        <v/>
      </c>
      <c r="AO23" s="11" t="str">
        <f>IF(SUM(Z23:AC23)-AD23&gt;0,SUM(Z23:AC23)-AD23,"")</f>
        <v/>
      </c>
      <c r="AP23" s="11">
        <f>IF(AK23="",IF(MAX(AM23,AO23)&gt;0,MAX(AM23,AO23),""),MAX(AM23,AO23)+AK23)</f>
        <v>86.605000000000004</v>
      </c>
      <c r="AQ23" s="11">
        <f>IF(AG23&gt;0,AG23,"")</f>
        <v>9.3000000000000007</v>
      </c>
      <c r="AR23" s="11">
        <f>IF(SUM(AE23:AH23)-AI23&gt;0,SUM(AE23:AH23)-AI23,"")</f>
        <v>47.010000000000005</v>
      </c>
      <c r="AS23" s="11">
        <f>IF(SUM(AP23,AR23)&gt;0,SUM(AP23,AR23),"")</f>
        <v>133.61500000000001</v>
      </c>
      <c r="AT23" s="42">
        <v>15.1</v>
      </c>
      <c r="AU23" s="42">
        <v>9.1</v>
      </c>
      <c r="AV23" s="42">
        <v>2</v>
      </c>
      <c r="AW23" s="42">
        <v>14.565</v>
      </c>
      <c r="AX23" s="42">
        <v>0</v>
      </c>
      <c r="AY23" s="42">
        <v>13.6</v>
      </c>
      <c r="AZ23" s="42">
        <v>8.6</v>
      </c>
      <c r="BA23" s="42">
        <v>9.3000000000000007</v>
      </c>
      <c r="BB23" s="42">
        <v>14.275</v>
      </c>
      <c r="BC23" s="42">
        <v>0.3</v>
      </c>
      <c r="BD23" s="42"/>
      <c r="BE23" s="42"/>
      <c r="BF23" s="42"/>
      <c r="BG23" s="42"/>
      <c r="BH23" s="42"/>
      <c r="BI23" s="42">
        <v>6.7</v>
      </c>
      <c r="BJ23" s="42">
        <v>4.4000000000000004</v>
      </c>
      <c r="BK23" s="42">
        <v>6.1</v>
      </c>
      <c r="BL23" s="42">
        <v>7.24</v>
      </c>
      <c r="BM23" s="42">
        <v>0</v>
      </c>
      <c r="BN23" s="46"/>
      <c r="BO23" s="14">
        <f>IF(SUM(AT23:AW23)-AX23&gt;0,SUM(AT23:AW23)-AX23,"")</f>
        <v>40.765000000000001</v>
      </c>
      <c r="BP23" s="14">
        <f>IF(BA23&gt;0,BA23,"")</f>
        <v>9.3000000000000007</v>
      </c>
      <c r="BQ23" s="14">
        <f>IF(SUM(AY23:BB23)-BC23&gt;0,SUM(AY23:BB23)-BC23,"")</f>
        <v>45.475000000000001</v>
      </c>
      <c r="BR23" s="14" t="str">
        <f>IF(BF23&gt;0,BF23,"")</f>
        <v/>
      </c>
      <c r="BS23" s="14" t="str">
        <f>IF(SUM(BD23:BG23)-BH23&gt;0,SUM(BD23:BG23)-BH23,"")</f>
        <v/>
      </c>
      <c r="BT23" s="14">
        <f>IF(BO23="",IF(MAX(BQ23,BS23)&gt;0,MAX(BQ23,BS23),""),MAX(BQ23,BS23)+BO23)</f>
        <v>86.240000000000009</v>
      </c>
      <c r="BU23" s="14">
        <f>IF(BK23&gt;0,BK23,"")</f>
        <v>6.1</v>
      </c>
      <c r="BV23" s="14">
        <f>IF(SUM(BI23:BL23)-BM23&gt;0,SUM(BI23:BL23)-BM23,"")</f>
        <v>24.440000000000005</v>
      </c>
      <c r="BW23" s="14">
        <f>IF(SUM(BT23,BV23)&gt;0,SUM(BT23,BV23),"")</f>
        <v>110.68</v>
      </c>
      <c r="BX23" s="38">
        <v>14.7</v>
      </c>
      <c r="BY23" s="38">
        <v>9.4</v>
      </c>
      <c r="BZ23" s="38">
        <v>1.8</v>
      </c>
      <c r="CA23" s="38">
        <v>14.43</v>
      </c>
      <c r="CB23" s="38">
        <v>0</v>
      </c>
      <c r="CC23" s="38">
        <v>10.6</v>
      </c>
      <c r="CD23" s="38">
        <v>9.1999999999999993</v>
      </c>
      <c r="CE23" s="38">
        <v>8.3000000000000007</v>
      </c>
      <c r="CF23" s="38">
        <v>13.8</v>
      </c>
      <c r="CG23" s="38">
        <v>0.8</v>
      </c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45"/>
      <c r="CS23" s="11">
        <f>IF(SUM(BX23:CA23)-CB23&gt;0,SUM(BX23:CA23)-CB23,"")</f>
        <v>40.33</v>
      </c>
      <c r="CT23" s="11">
        <f>IF(CE23&gt;0,CE23,"")</f>
        <v>8.3000000000000007</v>
      </c>
      <c r="CU23" s="11">
        <f>IF(SUM(CC23:CF23)-CG23&gt;0,SUM(CC23:CF23)-CG23,"")</f>
        <v>41.1</v>
      </c>
      <c r="CV23" s="11" t="str">
        <f>IF(CJ23&gt;0,CJ23,"")</f>
        <v/>
      </c>
      <c r="CW23" s="11" t="str">
        <f>IF(SUM(CH23:CK23)-CL23&gt;0,SUM(CH23:CK23)-CL23,"")</f>
        <v/>
      </c>
      <c r="CX23" s="11">
        <f>IF(CS23="",IF(MAX(CU23,CW23)&gt;0,MAX(CU23,CW23),""),MAX(CU23,CW23)+CS23)</f>
        <v>81.430000000000007</v>
      </c>
      <c r="CY23" s="11" t="str">
        <f>IF(CO23&gt;0,CO23,"")</f>
        <v/>
      </c>
      <c r="CZ23" s="11" t="str">
        <f>IF(SUM(CM23:CP23)-CQ23&gt;0,SUM(CM23:CP23)-CQ23,"")</f>
        <v/>
      </c>
      <c r="DA23" s="11">
        <f>IF(SUM(CX23,CZ23)&gt;0,SUM(CX23,CZ23),"")</f>
        <v>81.430000000000007</v>
      </c>
      <c r="DB23" s="19" t="str">
        <f>IF(I23&gt;=0.001,IF(MAX(DU23,EQ23,FM23,GI23,HE23,IA23,IW23,JS23,KO23,LK23,MG23,NC23)-IF(I23="",0,I23)&gt;0.001,MAX(DU23,EQ23,FM23,GI23,HE23,IA23,IW23,JS23,KO23,LK23,MG23,NC23)-IF(I23="",0,I23),""),"")</f>
        <v/>
      </c>
      <c r="DC23" s="19" t="str">
        <f>IF(K23&gt;=0.001,IF(MAX(DX23,ET23,FP23,GL23,HH23,ID23,IZ23,JV23,KR23,LN23,MJ23,NF23)-IF(K23="",0,K23)&gt;0.001,MAX(DX23,ET23,FP23,GL23,HH23,ID23,IZ23,JV23,KR23,LN23,MJ23,NF23)-IF(K23="",0,K23),""),"")</f>
        <v/>
      </c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26"/>
      <c r="JN23" s="26"/>
      <c r="JO23" s="26"/>
      <c r="JP23" s="26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6"/>
      <c r="KU23" s="26"/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8">
        <f>IF($CR23="P",BX23,(BX23+AT23)/2)</f>
        <v>14.899999999999999</v>
      </c>
      <c r="NI23" s="38">
        <f>IF($CR23="P",BY23,(BY23+AU23)/2)</f>
        <v>9.25</v>
      </c>
      <c r="NJ23" s="38">
        <f>IF($CR23="P",BZ23,(BZ23+AV23)/2)</f>
        <v>1.9</v>
      </c>
      <c r="NK23" s="38">
        <f>IF($CR23="P",CA23,(CA23+AW23)/2)</f>
        <v>14.497499999999999</v>
      </c>
      <c r="NL23" s="38">
        <f>IF($CR23="P",CB23,(CB23+AX23)/2)</f>
        <v>0</v>
      </c>
      <c r="NM23" s="38">
        <f>IF($CR23="P",CC23,(CC23+AY23)/2)</f>
        <v>12.1</v>
      </c>
      <c r="NN23" s="38">
        <f>IF($CR23="P",CD23,(CD23+AZ23)/2)</f>
        <v>8.8999999999999986</v>
      </c>
      <c r="NO23" s="38">
        <f>IF($CR23="P",CE23,(CE23+BA23)/2)</f>
        <v>8.8000000000000007</v>
      </c>
      <c r="NP23" s="38">
        <f>IF($CR23="P",CF23,(CF23+BB23)/2)</f>
        <v>14.037500000000001</v>
      </c>
      <c r="NQ23" s="38">
        <f>IF($CR23="P",CG23,(CG23+BC23)/2)</f>
        <v>0.55000000000000004</v>
      </c>
      <c r="NR23" s="38">
        <f>IF($CR23="P",CH23,(CH23+BD23)/2)</f>
        <v>0</v>
      </c>
      <c r="NS23" s="38">
        <f>IF($CR23="P",CI23,(CI23+BE23)/2)</f>
        <v>0</v>
      </c>
      <c r="NT23" s="38">
        <f>IF($CR23="P",CJ23,(CJ23+BF23)/2)</f>
        <v>0</v>
      </c>
      <c r="NU23" s="38">
        <f>IF($CR23="P",CK23,(CK23+BG23)/2)</f>
        <v>0</v>
      </c>
      <c r="NV23" s="38">
        <f>IF($CR23="P",CL23,(CL23+BH23)/2)</f>
        <v>0</v>
      </c>
      <c r="NW23" s="38">
        <f>IF($CR23="P",CM23,(CM23+BI23)/2)</f>
        <v>3.35</v>
      </c>
      <c r="NX23" s="38">
        <f>IF($CR23="P",CN23,(CN23+BJ23)/2)</f>
        <v>2.2000000000000002</v>
      </c>
      <c r="NY23" s="38">
        <f>IF($CR23="P",CO23,(CO23+BK23)/2)</f>
        <v>3.05</v>
      </c>
      <c r="NZ23" s="38">
        <f>IF($CR23="P",CP23,(CP23+BL23)/2)</f>
        <v>3.62</v>
      </c>
      <c r="OA23" s="38">
        <f>IF($CR23="P",CQ23,(CQ23+BM23)/2)</f>
        <v>0</v>
      </c>
      <c r="OB23" s="45" t="s">
        <v>46</v>
      </c>
      <c r="OC23" s="11">
        <f>IF(SUM(NH23:NK23)-NL23&gt;0,SUM(NH23:NK23)-NL23,"")</f>
        <v>40.547499999999999</v>
      </c>
      <c r="OD23" s="11">
        <f>IF(NO23&gt;0,NO23,"")</f>
        <v>8.8000000000000007</v>
      </c>
      <c r="OE23" s="11">
        <f>IF(SUM(NM23:NP23)-NQ23&gt;0,SUM(NM23:NP23)-NQ23,"")</f>
        <v>43.287500000000009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83.835000000000008</v>
      </c>
      <c r="OI23" s="11">
        <f>IF(NY23&gt;0,NY23,"")</f>
        <v>3.05</v>
      </c>
      <c r="OJ23" s="11">
        <f t="shared" ref="OJ23" si="26">IF(SUM(NW23:NZ23)-OA23&gt;0,SUM(NW23:NZ23)-OA23,"")</f>
        <v>12.220000000000002</v>
      </c>
      <c r="OK23" s="11">
        <f t="shared" ref="OK23" si="27">IF(SUM(OH23,OJ23)&gt;0,SUM(OH23,OJ23),"")</f>
        <v>96.055000000000007</v>
      </c>
    </row>
    <row r="24" spans="1:401" x14ac:dyDescent="0.2">
      <c r="A24" s="5" t="str" cm="1">
        <f t="array" ref="A24">IF(AND(F24="P",G24="P"),SUMPRODUCT((F$4:F$32="P")*(G$4:G$32="P")*(E$4:E$32&gt;E24))+1,IF(G24="P",SUMPRODUCT((F$4:F$32="")*(G$4:G$32="P")*(E$4:E$32&gt;E24))+1+SUMPRODUCT((F$4:F$32="P")*(G$4:G$32="P")),""))</f>
        <v/>
      </c>
      <c r="B24" s="6" t="s">
        <v>112</v>
      </c>
      <c r="C24" s="7" t="s">
        <v>5</v>
      </c>
      <c r="D24" s="22">
        <v>2003</v>
      </c>
      <c r="E24" s="15">
        <f>SUM(I24:M24)+I24*0.0000001</f>
        <v>88.090004762000007</v>
      </c>
      <c r="F24" s="3" t="str">
        <f>IF(OR(AND(AL24&gt;=AS$34,AM24&gt;=AS$38,AL24&lt;&gt;"",AJ24=""),AND(AN24&gt;=AS$34,AO24&gt;=AS$38,AN24&lt;&gt;"",AN24=""),AND(AQ24&gt;=AS$34,AR24&gt;=AS$38,AQ24&lt;&gt;"",AJ24=""),AND(BP24&gt;=BW$34,BQ24&gt;=BW$38,BP24&lt;&gt;"",BN24=""),AND(BR24&gt;=BW$34,BS24&gt;=BW$38,BR24&lt;&gt;"",BN24=""),AND(BU24&gt;=BW$34,BV24&gt;=BW$38,BU24&lt;&gt;"",BN24=""),AND(CT24&gt;=DA$34,CU24&gt;=DA$38,CT24&lt;&gt;"",CR24=""),AND(CV24&gt;=DA$34,CW24&gt;=DA$38,CV24&lt;&gt;"",CR24=""),AND(CY24&gt;=DA$34,CZ24&gt;=DA$38,CY24&lt;&gt;"",CR24=""),AND(DS24&gt;=DY$34,DU24&gt;=DY$38,DS24&lt;&gt;""),AND(DW24&gt;=DY$34,DX24&gt;=DY$38,DW24&lt;&gt;""),AND(EO24&gt;=EU$34,EQ24&gt;=EU$38,EO24&lt;&gt;""),AND(ES24&gt;=EU$34,ET24&gt;=EU$38,ES24&lt;&gt;""),AND(FK24&gt;=FQ$34,FM24&gt;=FQ$38,FK24&lt;&gt;""),AND(FO24&gt;=FQ$34,FP24&gt;=FQ$38,FO24&lt;&gt;""),AND(GG24&gt;=GM$34,GI24&gt;=GM$38,GG24&lt;&gt;""),AND(GK24&gt;=GM$34,GL24&gt;=GM$38,GK24&lt;&gt;""),AND(HC24&gt;=HI$34,HE24&gt;=HI$38,HC24&lt;&gt;""),AND(HG24&gt;=HI$34,HH24&gt;=HI$38,HG24&lt;&gt;""),AND(HY24&gt;=IE$34,IA24&gt;=IE$38,HY24&lt;&gt;""),AND(IC24&gt;=IE$34,ID24&gt;=IE$38,IC24&lt;&gt;""),AND(IU24&gt;=JA$34,IW24&gt;=JA$38,IU24&lt;&gt;""),AND(IY24&gt;=JA$34,IZ24&gt;=JA$38,IY24&lt;&gt;""),AND(JQ24&gt;=JW$34,JS24&gt;=JW$38,JQ24&lt;&gt;""),AND(JU24&gt;=JW$34,JV24&gt;=JW$38,JU24&lt;&gt;""),AND(KM24&gt;=KS$34,KO24&gt;=KS$38,KM24&lt;&gt;""),AND(KQ24&gt;=KS$34,KR24&gt;=KS$38,KQ24&lt;&gt;""),AND(LI24&gt;=LO$34,LK24&gt;=LO$38,LI24&lt;&gt;""),AND(LM24&gt;=LO$34,LN24&gt;=LO$38,LM24&lt;&gt;""),AND(ME24&gt;=MK$34,MG24&gt;=MK$38,ME24&lt;&gt;""),AND(MI24&gt;=MK$34,MJ24&gt;=MK$38,MI24&lt;&gt;""),AND(NA24&gt;=NG$34,NC24&gt;=NG$38,NA24&lt;&gt;""),AND(NE24&gt;=NG$34,NF24&gt;=NG$38,NE24&lt;&gt;"")),"P","")</f>
        <v/>
      </c>
      <c r="G24" s="3" t="str">
        <f>IF(OR(AND(AM24&gt;=AS$38,AL24&lt;&gt;"",AJ24=""),AND(AO24&gt;=AS$38,AN24&lt;&gt;"",AN24=""),AND(AR24&gt;=AS$38,AQ24&lt;&gt;"",AJ24=""),AND(BQ24&gt;=BW$38,BP24&lt;&gt;"",BN24=""),AND(BS24&gt;=BW$38,BR24&lt;&gt;"",BN24=""),AND(BV24&gt;=BW$38,BU24&lt;&gt;"",BN24=""),AND(CU24&gt;=DA$38,CT24&lt;&gt;"",CR24=""),AND(CW24&gt;=DA$38,CV24&lt;&gt;"",CR24=""),AND(CZ24&gt;=DA$38,CY24&lt;&gt;"",CR24=""),AND(DU24&gt;=DY$38,DS24&lt;&gt;""),AND(DX24&gt;=DY$38,DW24&lt;&gt;""),AND(EQ24&gt;=EU$38,EO24&lt;&gt;""),AND(ET24&gt;=EU$38,ES24&lt;&gt;""),AND(FM24&gt;=FQ$38,FK24&lt;&gt;""),AND(FP24&gt;=FQ$38,FO24&lt;&gt;""),AND(GI24&gt;=GM$38,GG24&lt;&gt;""),AND(GL24&gt;=GM$38,GK24&lt;&gt;""),AND(HE24&gt;=HI$38,HC24&lt;&gt;""),AND(HH24&gt;=HI$38,HG24&lt;&gt;""),AND(IA24&gt;=IE$38,HY24&lt;&gt;""),AND(ID24&gt;=IE$38,IC24&lt;&gt;""),AND(IW24&gt;=JA$38,IU24&lt;&gt;""),AND(IZ24&gt;=JA$38,IY24&lt;&gt;""),AND(JS24&gt;=JW$38,JQ24&lt;&gt;""),AND(JV24&gt;=JW$38,JU24&lt;&gt;""),AND(KO24&gt;=KS$38,KM24&lt;&gt;""),AND(KR24&gt;=KS$38,KQ24&lt;&gt;""),AND(LK24&gt;=LO$38,LI24&lt;&gt;""),AND(LN24&gt;=LO$38,LM24&lt;&gt;""),AND(MG24&gt;=MK$38,ME24&lt;&gt;""),AND(MJ24&gt;=MK$38,MI24&lt;&gt;""),AND(NC24&gt;=NG$38,NA24&lt;&gt;""),AND(NF24&gt;=NG$38,NE24&lt;&gt;"")),"P","")</f>
        <v/>
      </c>
      <c r="H24" s="67" t="str">
        <f>IF(F24="P","National Team",IF(G24="P","No DD",""))</f>
        <v/>
      </c>
      <c r="I24" s="14">
        <f>MAX(AM24,AO24,AR24,BQ24,BS24,BV24,CU24,CW24,CZ24)</f>
        <v>47.620000000000005</v>
      </c>
      <c r="J24" s="14" t="str">
        <f>IF(I24=0,"",IF(OR(I24=CW24,I24=CU24,I24=CZ24),$BX$1,IF(OR(I24=BS24,I24=BQ24,I24=BV24),$AT$1,IF(OR(I24=AO24,I24=AM24,I24=AR24),$P$1,""))))</f>
        <v>2021 Canadian Championships</v>
      </c>
      <c r="K24" s="14">
        <f>IF(COUNT(AM24,AO24,AR24,BQ24,BS24,BV24,CU24,CW24,CZ24)&gt;1,LARGE((AM24,AO24,AR24,BQ24,BS24,BV24,CU24,CW24,CZ24),2),0)</f>
        <v>40.47</v>
      </c>
      <c r="L24" s="14" t="str">
        <f>IF(K24=0,"",IF(OR(K24=CW24,K24=CU24,K24=CZ24),$BX$1,IF(OR(K24=BS24,K24=BQ24,K24=BV24),$AT$1,IF(OR(K24=AO24,K24=AM24,K24=AR24),$P$1,""))))</f>
        <v>2021 Elite Canada</v>
      </c>
      <c r="M24" s="14" t="str">
        <f>IF(MAX(DB24,DC24)&gt;0,MAX(DB24,DC24),"")</f>
        <v/>
      </c>
      <c r="N24" s="20" t="str">
        <f>IF(M24="","",IF(M24=#REF!,"(Vol 1)",IF(M24=DB24,"(Vol 2)",IF(M24=#REF!,"(Prelim)",IF(M24=DC24,"(Final)")))))</f>
        <v/>
      </c>
      <c r="O24" s="14" t="str">
        <f>IF(M24="","",IF(M24=#REF!,IF(M24+IF(#REF!="",0,#REF!)=NB24,$ML$1,IF(M24+IF(#REF!="",0,#REF!)=MF24,$LP$1,IF(M24+IF(#REF!="",0,#REF!)=LJ24,$KT$1,IF(M24+IF(#REF!="",0,#REF!)=KN24,$JX$1,IF(M24+IF(#REF!="",0,#REF!)=JR24,$JB$1,IF(M24+IF(#REF!="",0,#REF!)=IV24,$IF$1,IF(M24+IF(#REF!="",0,#REF!)=HZ24,$HJ$1,IF(M24+IF(#REF!="",0,#REF!)=HD24,$GN$1,IF(M24+IF(#REF!="",0,#REF!)=GH24,$FR$1,IF(M24+IF(#REF!="",0,#REF!)=FL24,$EV$1,IF(M24+IF(#REF!="",0,#REF!)=EP24,$DZ$1,IF(M24+IF(#REF!="",0,#REF!)=DT24,$DD$1)))))))))))),IF(M24=DB24,IF(M24+IF(I24="",0,I24)=NC24,$ML$1,IF(M24+IF(I24="",0,I24)=MG24,$LP$1,IF(M24+IF(I24="",0,I24)=LK24,$KT$1,IF(M24+IF(I24="",0,I24)=KO24,$JX$1,IF(M24+IF(I24="",0,I24)=JS24,$JB$1,IF(M24+IF(I24="",0,I24)=IW24,$IF$1,IF(M24+IF(I24="",0,I24)=IA24,$HJ$1,IF(M24+IF(I24="",0,I24)=HE24,$GN$1,IF(M24+IF(I24="",0,I24)=GI24,$FR$1,IF(M24+IF(I24="",0,I24)=FM24,$EV$1,IF(M24+IF(I24="",0,I24)=EQ24,$DZ$1,IF(M24+IF(I24="",0,I24)=DU24,$DD$1)))))))))))),IF(M24=#REF!,IF(M24+IF(#REF!="",0,#REF!)=ND24,$ML$1,IF(M24+IF(#REF!="",0,#REF!)=MH24,$LP$1,IF(M24+IF(#REF!="",0,#REF!)=LL24,$KT$1,IF(M24+IF(#REF!="",0,#REF!)=KP24,$JX$1,IF(M24+IF(#REF!="",0,#REF!)=JT24,$JB$1,IF(M24+IF(#REF!="",0,#REF!)=IX24,$IF$1,IF(M24+IF(#REF!="",0,#REF!)=IB24,$HJ$1,IF(M24+IF(#REF!="",0,#REF!)=HF24,$GN$1,IF(M24+IF(#REF!="",0,#REF!)=GJ24,$FR$1,IF(M24+IF(#REF!="",0,#REF!)=FN24,$EV$1,IF(M24+IF(#REF!="",0,#REF!)=ER24,$DZ$1,IF(M24+IF(#REF!="",0,#REF!)=DV24,$DD$1)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))</f>
        <v/>
      </c>
      <c r="P24" s="38">
        <v>14.2</v>
      </c>
      <c r="Q24" s="38">
        <v>9.5</v>
      </c>
      <c r="R24" s="38">
        <v>2.7</v>
      </c>
      <c r="S24" s="38">
        <v>14.904999999999999</v>
      </c>
      <c r="T24" s="38">
        <v>0</v>
      </c>
      <c r="U24" s="38">
        <v>5.8</v>
      </c>
      <c r="V24" s="38">
        <v>4.5</v>
      </c>
      <c r="W24" s="38">
        <v>4.8</v>
      </c>
      <c r="X24" s="38">
        <v>7.47</v>
      </c>
      <c r="Y24" s="38">
        <v>0</v>
      </c>
      <c r="Z24" s="38"/>
      <c r="AA24" s="38"/>
      <c r="AB24" s="38"/>
      <c r="AC24" s="38"/>
      <c r="AD24" s="38"/>
      <c r="AE24" s="38">
        <v>10.1</v>
      </c>
      <c r="AF24" s="38">
        <v>8.8000000000000007</v>
      </c>
      <c r="AG24" s="38">
        <v>8.5</v>
      </c>
      <c r="AH24" s="38">
        <v>14.17</v>
      </c>
      <c r="AI24" s="38">
        <v>1.1000000000000001</v>
      </c>
      <c r="AJ24" s="45"/>
      <c r="AK24" s="11">
        <f>IF(SUM(P24:S24)-T24&gt;0,SUM(P24:S24)-T24,"")</f>
        <v>41.305</v>
      </c>
      <c r="AL24" s="11">
        <f>IF(W24&gt;0,W24,"")</f>
        <v>4.8</v>
      </c>
      <c r="AM24" s="11">
        <f>IF(SUM(U24:X24)-Y24&gt;0,SUM(U24:X24)-Y24,"")</f>
        <v>22.57</v>
      </c>
      <c r="AN24" s="11" t="str">
        <f>IF(AB24&gt;0,AB24,"")</f>
        <v/>
      </c>
      <c r="AO24" s="11" t="str">
        <f>IF(SUM(Z24:AC24)-AD24&gt;0,SUM(Z24:AC24)-AD24,"")</f>
        <v/>
      </c>
      <c r="AP24" s="11">
        <f>IF(AK24="",IF(MAX(AM24,AO24)&gt;0,MAX(AM24,AO24),""),MAX(AM24,AO24)+AK24)</f>
        <v>63.875</v>
      </c>
      <c r="AQ24" s="11">
        <f>IF(AG24&gt;0,AG24,"")</f>
        <v>8.5</v>
      </c>
      <c r="AR24" s="11">
        <f>IF(SUM(AE24:AH24)-AI24&gt;0,SUM(AE24:AH24)-AI24,"")</f>
        <v>40.47</v>
      </c>
      <c r="AS24" s="11">
        <f>IF(SUM(AP24,AR24)&gt;0,SUM(AP24,AR24),"")</f>
        <v>104.345</v>
      </c>
      <c r="AT24" s="42">
        <v>14.3</v>
      </c>
      <c r="AU24" s="42">
        <v>9.5</v>
      </c>
      <c r="AV24" s="42">
        <v>2.7</v>
      </c>
      <c r="AW24" s="42">
        <v>15.07</v>
      </c>
      <c r="AX24" s="42">
        <v>0</v>
      </c>
      <c r="AY24" s="42">
        <v>10.9</v>
      </c>
      <c r="AZ24" s="42">
        <v>7.6</v>
      </c>
      <c r="BA24" s="42">
        <v>8.1999999999999993</v>
      </c>
      <c r="BB24" s="42">
        <v>11.94</v>
      </c>
      <c r="BC24" s="42">
        <v>0</v>
      </c>
      <c r="BD24" s="42"/>
      <c r="BE24" s="42"/>
      <c r="BF24" s="42"/>
      <c r="BG24" s="42"/>
      <c r="BH24" s="42"/>
      <c r="BI24" s="42">
        <v>13.2</v>
      </c>
      <c r="BJ24" s="42">
        <v>9.4</v>
      </c>
      <c r="BK24" s="42">
        <v>10</v>
      </c>
      <c r="BL24" s="42">
        <v>15.02</v>
      </c>
      <c r="BM24" s="42">
        <v>0</v>
      </c>
      <c r="BN24" s="46"/>
      <c r="BO24" s="14">
        <f>IF(SUM(AT24:AW24)-AX24&gt;0,SUM(AT24:AW24)-AX24,"")</f>
        <v>41.57</v>
      </c>
      <c r="BP24" s="14">
        <f>IF(BA24&gt;0,BA24,"")</f>
        <v>8.1999999999999993</v>
      </c>
      <c r="BQ24" s="14">
        <f>IF(SUM(AY24:BB24)-BC24&gt;0,SUM(AY24:BB24)-BC24,"")</f>
        <v>38.64</v>
      </c>
      <c r="BR24" s="14" t="str">
        <f>IF(BF24&gt;0,BF24,"")</f>
        <v/>
      </c>
      <c r="BS24" s="14" t="str">
        <f>IF(SUM(BD24:BG24)-BH24&gt;0,SUM(BD24:BG24)-BH24,"")</f>
        <v/>
      </c>
      <c r="BT24" s="14">
        <f>IF(BO24="",IF(MAX(BQ24,BS24)&gt;0,MAX(BQ24,BS24),""),MAX(BQ24,BS24)+BO24)</f>
        <v>80.210000000000008</v>
      </c>
      <c r="BU24" s="14">
        <f>IF(BK24&gt;0,BK24,"")</f>
        <v>10</v>
      </c>
      <c r="BV24" s="14">
        <f>IF(SUM(BI24:BL24)-BM24&gt;0,SUM(BI24:BL24)-BM24,"")</f>
        <v>47.620000000000005</v>
      </c>
      <c r="BW24" s="14">
        <f>IF(SUM(BT24,BV24)&gt;0,SUM(BT24,BV24),"")</f>
        <v>127.83000000000001</v>
      </c>
      <c r="BX24" s="38">
        <v>12</v>
      </c>
      <c r="BY24" s="38">
        <v>7.3</v>
      </c>
      <c r="BZ24" s="38">
        <v>0</v>
      </c>
      <c r="CA24" s="38">
        <v>12.41</v>
      </c>
      <c r="CB24" s="38">
        <v>0</v>
      </c>
      <c r="CC24" s="38">
        <v>5.8</v>
      </c>
      <c r="CD24" s="38">
        <v>4.2</v>
      </c>
      <c r="CE24" s="38">
        <v>6.7</v>
      </c>
      <c r="CF24" s="38">
        <v>7.73</v>
      </c>
      <c r="CG24" s="38">
        <v>0</v>
      </c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45"/>
      <c r="CS24" s="11">
        <f>IF(SUM(BX24:CA24)-CB24&gt;0,SUM(BX24:CA24)-CB24,"")</f>
        <v>31.71</v>
      </c>
      <c r="CT24" s="11">
        <f>IF(CE24&gt;0,CE24,"")</f>
        <v>6.7</v>
      </c>
      <c r="CU24" s="11">
        <f>IF(SUM(CC24:CF24)-CG24&gt;0,SUM(CC24:CF24)-CG24,"")</f>
        <v>24.43</v>
      </c>
      <c r="CV24" s="11" t="str">
        <f>IF(CJ24&gt;0,CJ24,"")</f>
        <v/>
      </c>
      <c r="CW24" s="11" t="str">
        <f>IF(SUM(CH24:CK24)-CL24&gt;0,SUM(CH24:CK24)-CL24,"")</f>
        <v/>
      </c>
      <c r="CX24" s="11">
        <f>IF(CS24="",IF(MAX(CU24,CW24)&gt;0,MAX(CU24,CW24),""),MAX(CU24,CW24)+CS24)</f>
        <v>56.14</v>
      </c>
      <c r="CY24" s="11" t="str">
        <f>IF(CO24&gt;0,CO24,"")</f>
        <v/>
      </c>
      <c r="CZ24" s="11" t="str">
        <f>IF(SUM(CM24:CP24)-CQ24&gt;0,SUM(CM24:CP24)-CQ24,"")</f>
        <v/>
      </c>
      <c r="DA24" s="11">
        <f>IF(SUM(CX24,CZ24)&gt;0,SUM(CX24,CZ24),"")</f>
        <v>56.14</v>
      </c>
      <c r="DB24" s="19" t="str">
        <f>IF(I24&gt;=0.001,IF(MAX(DU24,EQ24,FM24,GI24,HE24,IA24,IW24,JS24,KO24,LK24,MG24,NC24)-IF(I24="",0,I24)&gt;0.001,MAX(DU24,EQ24,FM24,GI24,HE24,IA24,IW24,JS24,KO24,LK24,MG24,NC24)-IF(I24="",0,I24),""),"")</f>
        <v/>
      </c>
      <c r="DC24" s="19" t="str">
        <f>IF(K24&gt;=0.001,IF(MAX(DX24,ET24,FP24,GL24,HH24,ID24,IZ24,JV24,KR24,LN24,MJ24,NF24)-IF(K24="",0,K24)&gt;0.001,MAX(DX24,ET24,FP24,GL24,HH24,ID24,IZ24,JV24,KR24,LN24,MJ24,NF24)-IF(K24="",0,K24),""),"")</f>
        <v/>
      </c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8">
        <f>IF($CR24="P",BX24,(BX24+AT24)/2)</f>
        <v>13.15</v>
      </c>
      <c r="NI24" s="38">
        <f>IF($CR24="P",BY24,(BY24+AU24)/2)</f>
        <v>8.4</v>
      </c>
      <c r="NJ24" s="38">
        <f>IF($CR24="P",BZ24,(BZ24+AV24)/2)</f>
        <v>1.35</v>
      </c>
      <c r="NK24" s="38">
        <f>IF($CR24="P",CA24,(CA24+AW24)/2)</f>
        <v>13.74</v>
      </c>
      <c r="NL24" s="38">
        <f>IF($CR24="P",CB24,(CB24+AX24)/2)</f>
        <v>0</v>
      </c>
      <c r="NM24" s="38">
        <f>IF($CR24="P",CC24,(CC24+AY24)/2)</f>
        <v>8.35</v>
      </c>
      <c r="NN24" s="38">
        <f>IF($CR24="P",CD24,(CD24+AZ24)/2)</f>
        <v>5.9</v>
      </c>
      <c r="NO24" s="38">
        <f>IF($CR24="P",CE24,(CE24+BA24)/2)</f>
        <v>7.4499999999999993</v>
      </c>
      <c r="NP24" s="38">
        <f>IF($CR24="P",CF24,(CF24+BB24)/2)</f>
        <v>9.8350000000000009</v>
      </c>
      <c r="NQ24" s="38">
        <f>IF($CR24="P",CG24,(CG24+BC24)/2)</f>
        <v>0</v>
      </c>
      <c r="NR24" s="38">
        <f>IF($CR24="P",CH24,(CH24+BD24)/2)</f>
        <v>0</v>
      </c>
      <c r="NS24" s="38">
        <f>IF($CR24="P",CI24,(CI24+BE24)/2)</f>
        <v>0</v>
      </c>
      <c r="NT24" s="38">
        <f>IF($CR24="P",CJ24,(CJ24+BF24)/2)</f>
        <v>0</v>
      </c>
      <c r="NU24" s="38">
        <f>IF($CR24="P",CK24,(CK24+BG24)/2)</f>
        <v>0</v>
      </c>
      <c r="NV24" s="38">
        <f>IF($CR24="P",CL24,(CL24+BH24)/2)</f>
        <v>0</v>
      </c>
      <c r="NW24" s="38">
        <f>IF($CR24="P",CM24,(CM24+BI24)/2)</f>
        <v>6.6</v>
      </c>
      <c r="NX24" s="38">
        <f>IF($CR24="P",CN24,(CN24+BJ24)/2)</f>
        <v>4.7</v>
      </c>
      <c r="NY24" s="38">
        <f>IF($CR24="P",CO24,(CO24+BK24)/2)</f>
        <v>5</v>
      </c>
      <c r="NZ24" s="38">
        <f>IF($CR24="P",CP24,(CP24+BL24)/2)</f>
        <v>7.51</v>
      </c>
      <c r="OA24" s="38">
        <f>IF($CR24="P",CQ24,(CQ24+BM24)/2)</f>
        <v>0</v>
      </c>
      <c r="OB24" s="45" t="s">
        <v>46</v>
      </c>
      <c r="OC24" s="11">
        <f>IF(SUM(NH24:NK24)-NL24&gt;0,SUM(NH24:NK24)-NL24,"")</f>
        <v>36.64</v>
      </c>
      <c r="OD24" s="11">
        <f>IF(NO24&gt;0,NO24,"")</f>
        <v>7.4499999999999993</v>
      </c>
      <c r="OE24" s="11">
        <f>IF(SUM(NM24:NP24)-NQ24&gt;0,SUM(NM24:NP24)-NQ24,"")</f>
        <v>31.535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68.174999999999997</v>
      </c>
      <c r="OI24" s="11">
        <f>IF(NY24&gt;0,NY24,"")</f>
        <v>5</v>
      </c>
      <c r="OJ24" s="11">
        <f t="shared" ref="OJ24" si="28">IF(SUM(NW24:NZ24)-OA24&gt;0,SUM(NW24:NZ24)-OA24,"")</f>
        <v>23.810000000000002</v>
      </c>
      <c r="OK24" s="11">
        <f t="shared" ref="OK24" si="29">IF(SUM(OH24,OJ24)&gt;0,SUM(OH24,OJ24),"")</f>
        <v>91.984999999999999</v>
      </c>
    </row>
    <row r="25" spans="1:401" x14ac:dyDescent="0.2">
      <c r="A25" s="5" t="str" cm="1">
        <f t="array" ref="A25">IF(AND(F25="P",G25="P"),SUMPRODUCT((F$4:F$32="P")*(G$4:G$32="P")*(E$4:E$32&gt;E25))+1,IF(G25="P",SUMPRODUCT((F$4:F$32="")*(G$4:G$32="P")*(E$4:E$32&gt;E25))+1+SUMPRODUCT((F$4:F$32="P")*(G$4:G$32="P")),""))</f>
        <v/>
      </c>
      <c r="B25" s="6" t="s">
        <v>143</v>
      </c>
      <c r="C25" s="7" t="s">
        <v>3</v>
      </c>
      <c r="D25" s="5">
        <v>2005</v>
      </c>
      <c r="E25" s="15">
        <f>SUM(I25:M25)+I25*0.0000001</f>
        <v>85.305005098000009</v>
      </c>
      <c r="F25" s="3" t="str">
        <f>IF(OR(AND(AL25&gt;=AS$34,AM25&gt;=AS$38,AL25&lt;&gt;"",AJ25=""),AND(AN25&gt;=AS$34,AO25&gt;=AS$38,AN25&lt;&gt;"",AN25=""),AND(AQ25&gt;=AS$34,AR25&gt;=AS$38,AQ25&lt;&gt;"",AJ25=""),AND(BP25&gt;=BW$34,BQ25&gt;=BW$38,BP25&lt;&gt;"",BN25=""),AND(BR25&gt;=BW$34,BS25&gt;=BW$38,BR25&lt;&gt;"",BN25=""),AND(BU25&gt;=BW$34,BV25&gt;=BW$38,BU25&lt;&gt;"",BN25=""),AND(CT25&gt;=DA$34,CU25&gt;=DA$38,CT25&lt;&gt;"",CR25=""),AND(CV25&gt;=DA$34,CW25&gt;=DA$38,CV25&lt;&gt;"",CR25=""),AND(CY25&gt;=DA$34,CZ25&gt;=DA$38,CY25&lt;&gt;"",CR25=""),AND(DS25&gt;=DY$34,DU25&gt;=DY$38,DS25&lt;&gt;""),AND(DW25&gt;=DY$34,DX25&gt;=DY$38,DW25&lt;&gt;""),AND(EO25&gt;=EU$34,EQ25&gt;=EU$38,EO25&lt;&gt;""),AND(ES25&gt;=EU$34,ET25&gt;=EU$38,ES25&lt;&gt;""),AND(FK25&gt;=FQ$34,FM25&gt;=FQ$38,FK25&lt;&gt;""),AND(FO25&gt;=FQ$34,FP25&gt;=FQ$38,FO25&lt;&gt;""),AND(GG25&gt;=GM$34,GI25&gt;=GM$38,GG25&lt;&gt;""),AND(GK25&gt;=GM$34,GL25&gt;=GM$38,GK25&lt;&gt;""),AND(HC25&gt;=HI$34,HE25&gt;=HI$38,HC25&lt;&gt;""),AND(HG25&gt;=HI$34,HH25&gt;=HI$38,HG25&lt;&gt;""),AND(HY25&gt;=IE$34,IA25&gt;=IE$38,HY25&lt;&gt;""),AND(IC25&gt;=IE$34,ID25&gt;=IE$38,IC25&lt;&gt;""),AND(IU25&gt;=JA$34,IW25&gt;=JA$38,IU25&lt;&gt;""),AND(IY25&gt;=JA$34,IZ25&gt;=JA$38,IY25&lt;&gt;""),AND(JQ25&gt;=JW$34,JS25&gt;=JW$38,JQ25&lt;&gt;""),AND(JU25&gt;=JW$34,JV25&gt;=JW$38,JU25&lt;&gt;""),AND(KM25&gt;=KS$34,KO25&gt;=KS$38,KM25&lt;&gt;""),AND(KQ25&gt;=KS$34,KR25&gt;=KS$38,KQ25&lt;&gt;""),AND(LI25&gt;=LO$34,LK25&gt;=LO$38,LI25&lt;&gt;""),AND(LM25&gt;=LO$34,LN25&gt;=LO$38,LM25&lt;&gt;""),AND(ME25&gt;=MK$34,MG25&gt;=MK$38,ME25&lt;&gt;""),AND(MI25&gt;=MK$34,MJ25&gt;=MK$38,MI25&lt;&gt;""),AND(NA25&gt;=NG$34,NC25&gt;=NG$38,NA25&lt;&gt;""),AND(NE25&gt;=NG$34,NF25&gt;=NG$38,NE25&lt;&gt;"")),"P","")</f>
        <v/>
      </c>
      <c r="G25" s="3" t="str">
        <f>IF(OR(AND(AM25&gt;=AS$38,AL25&lt;&gt;"",AJ25=""),AND(AO25&gt;=AS$38,AN25&lt;&gt;"",AN25=""),AND(AR25&gt;=AS$38,AQ25&lt;&gt;"",AJ25=""),AND(BQ25&gt;=BW$38,BP25&lt;&gt;"",BN25=""),AND(BS25&gt;=BW$38,BR25&lt;&gt;"",BN25=""),AND(BV25&gt;=BW$38,BU25&lt;&gt;"",BN25=""),AND(CU25&gt;=DA$38,CT25&lt;&gt;"",CR25=""),AND(CW25&gt;=DA$38,CV25&lt;&gt;"",CR25=""),AND(CZ25&gt;=DA$38,CY25&lt;&gt;"",CR25=""),AND(DU25&gt;=DY$38,DS25&lt;&gt;""),AND(DX25&gt;=DY$38,DW25&lt;&gt;""),AND(EQ25&gt;=EU$38,EO25&lt;&gt;""),AND(ET25&gt;=EU$38,ES25&lt;&gt;""),AND(FM25&gt;=FQ$38,FK25&lt;&gt;""),AND(FP25&gt;=FQ$38,FO25&lt;&gt;""),AND(GI25&gt;=GM$38,GG25&lt;&gt;""),AND(GL25&gt;=GM$38,GK25&lt;&gt;""),AND(HE25&gt;=HI$38,HC25&lt;&gt;""),AND(HH25&gt;=HI$38,HG25&lt;&gt;""),AND(IA25&gt;=IE$38,HY25&lt;&gt;""),AND(ID25&gt;=IE$38,IC25&lt;&gt;""),AND(IW25&gt;=JA$38,IU25&lt;&gt;""),AND(IZ25&gt;=JA$38,IY25&lt;&gt;""),AND(JS25&gt;=JW$38,JQ25&lt;&gt;""),AND(JV25&gt;=JW$38,JU25&lt;&gt;""),AND(KO25&gt;=KS$38,KM25&lt;&gt;""),AND(KR25&gt;=KS$38,KQ25&lt;&gt;""),AND(LK25&gt;=LO$38,LI25&lt;&gt;""),AND(LN25&gt;=LO$38,LM25&lt;&gt;""),AND(MG25&gt;=MK$38,ME25&lt;&gt;""),AND(MJ25&gt;=MK$38,MI25&lt;&gt;""),AND(NC25&gt;=NG$38,NA25&lt;&gt;""),AND(NF25&gt;=NG$38,NE25&lt;&gt;"")),"P","")</f>
        <v/>
      </c>
      <c r="H25" s="67" t="str">
        <f>IF(F25="P","National Team",IF(G25="P","No DD",""))</f>
        <v/>
      </c>
      <c r="I25" s="14">
        <f>MAX(AM25,AO25,AR25,BQ25,BS25,BV25,CU25,CW25,CZ25)</f>
        <v>50.980000000000004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34.325000000000003</v>
      </c>
      <c r="L25" s="14" t="str">
        <f>IF(K25=0,"",IF(OR(K25=CW25,K25=CU25,K25=CZ25),$BX$1,IF(OR(K25=BS25,K25=BQ25,K25=BV25),$AT$1,IF(OR(K25=AO25,K25=AM25,K25=AR25),$P$1,""))))</f>
        <v>2021 Canadian Championships</v>
      </c>
      <c r="M25" s="14" t="str">
        <f>IF(MAX(DB25,DC25)&gt;0,MAX(DB25,DC25),"")</f>
        <v/>
      </c>
      <c r="N25" s="20" t="str">
        <f>IF(M25="","",IF(M25=#REF!,"(Vol 1)",IF(M25=DB25,"(Vol 2)",IF(M25=#REF!,"(Prelim)",IF(M25=DC25,"(Final)")))))</f>
        <v/>
      </c>
      <c r="O25" s="14" t="str">
        <f>IF(M25="","",IF(M25=#REF!,IF(M25+IF(#REF!="",0,#REF!)=NB25,$ML$1,IF(M25+IF(#REF!="",0,#REF!)=MF25,$LP$1,IF(M25+IF(#REF!="",0,#REF!)=LJ25,$KT$1,IF(M25+IF(#REF!="",0,#REF!)=KN25,$JX$1,IF(M25+IF(#REF!="",0,#REF!)=JR25,$JB$1,IF(M25+IF(#REF!="",0,#REF!)=IV25,$IF$1,IF(M25+IF(#REF!="",0,#REF!)=HZ25,$HJ$1,IF(M25+IF(#REF!="",0,#REF!)=HD25,$GN$1,IF(M25+IF(#REF!="",0,#REF!)=GH25,$FR$1,IF(M25+IF(#REF!="",0,#REF!)=FL25,$EV$1,IF(M25+IF(#REF!="",0,#REF!)=EP25,$DZ$1,IF(M25+IF(#REF!="",0,#REF!)=DT25,$DD$1)))))))))))),IF(M25=DB25,IF(M25+IF(I25="",0,I25)=NC25,$ML$1,IF(M25+IF(I25="",0,I25)=MG25,$LP$1,IF(M25+IF(I25="",0,I25)=LK25,$KT$1,IF(M25+IF(I25="",0,I25)=KO25,$JX$1,IF(M25+IF(I25="",0,I25)=JS25,$JB$1,IF(M25+IF(I25="",0,I25)=IW25,$IF$1,IF(M25+IF(I25="",0,I25)=IA25,$HJ$1,IF(M25+IF(I25="",0,I25)=HE25,$GN$1,IF(M25+IF(I25="",0,I25)=GI25,$FR$1,IF(M25+IF(I25="",0,I25)=FM25,$EV$1,IF(M25+IF(I25="",0,I25)=EQ25,$DZ$1,IF(M25+IF(I25="",0,I25)=DU25,$DD$1)))))))))))),IF(M25=#REF!,IF(M25+IF(#REF!="",0,#REF!)=ND25,$ML$1,IF(M25+IF(#REF!="",0,#REF!)=MH25,$LP$1,IF(M25+IF(#REF!="",0,#REF!)=LL25,$KT$1,IF(M25+IF(#REF!="",0,#REF!)=KP25,$JX$1,IF(M25+IF(#REF!="",0,#REF!)=JT25,$JB$1,IF(M25+IF(#REF!="",0,#REF!)=IX25,$IF$1,IF(M25+IF(#REF!="",0,#REF!)=IB25,$HJ$1,IF(M25+IF(#REF!="",0,#REF!)=HF25,$GN$1,IF(M25+IF(#REF!="",0,#REF!)=GJ25,$FR$1,IF(M25+IF(#REF!="",0,#REF!)=FN25,$EV$1,IF(M25+IF(#REF!="",0,#REF!)=ER25,$DZ$1,IF(M25+IF(#REF!="",0,#REF!)=DV25,$DD$1)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))</f>
        <v/>
      </c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45"/>
      <c r="AK25" s="11" t="str">
        <f>IF(SUM(P25:S25)-T25&gt;0,SUM(P25:S25)-T25,"")</f>
        <v/>
      </c>
      <c r="AL25" s="11" t="str">
        <f>IF(W25&gt;0,W25,"")</f>
        <v/>
      </c>
      <c r="AM25" s="11" t="str">
        <f>IF(SUM(U25:X25)-Y25&gt;0,SUM(U25:X25)-Y25,"")</f>
        <v/>
      </c>
      <c r="AN25" s="11" t="str">
        <f>IF(AB25&gt;0,AB25,"")</f>
        <v/>
      </c>
      <c r="AO25" s="11" t="str">
        <f>IF(SUM(Z25:AC25)-AD25&gt;0,SUM(Z25:AC25)-AD25,"")</f>
        <v/>
      </c>
      <c r="AP25" s="11" t="str">
        <f>IF(AK25="",IF(MAX(AM25,AO25)&gt;0,MAX(AM25,AO25),""),MAX(AM25,AO25)+AK25)</f>
        <v/>
      </c>
      <c r="AQ25" s="11" t="str">
        <f>IF(AG25&gt;0,AG25,"")</f>
        <v/>
      </c>
      <c r="AR25" s="11" t="str">
        <f>IF(SUM(AE25:AH25)-AI25&gt;0,SUM(AE25:AH25)-AI25,"")</f>
        <v/>
      </c>
      <c r="AS25" s="11" t="str">
        <f>IF(SUM(AP25,AR25)&gt;0,SUM(AP25,AR25),"")</f>
        <v/>
      </c>
      <c r="AT25" s="42">
        <v>5.6</v>
      </c>
      <c r="AU25" s="42">
        <v>3.7</v>
      </c>
      <c r="AV25" s="42">
        <v>0</v>
      </c>
      <c r="AW25" s="42">
        <v>5.84</v>
      </c>
      <c r="AX25" s="42">
        <v>0</v>
      </c>
      <c r="AY25" s="42">
        <v>9.8000000000000007</v>
      </c>
      <c r="AZ25" s="42">
        <v>6.4</v>
      </c>
      <c r="BA25" s="42">
        <v>7.9</v>
      </c>
      <c r="BB25" s="42">
        <v>10.425000000000001</v>
      </c>
      <c r="BC25" s="42">
        <v>0.2</v>
      </c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6"/>
      <c r="BO25" s="14">
        <f>IF(SUM(AT25:AW25)-AX25&gt;0,SUM(AT25:AW25)-AX25,"")</f>
        <v>15.14</v>
      </c>
      <c r="BP25" s="14">
        <f>IF(BA25&gt;0,BA25,"")</f>
        <v>7.9</v>
      </c>
      <c r="BQ25" s="14">
        <f>IF(SUM(AY25:BB25)-BC25&gt;0,SUM(AY25:BB25)-BC25,"")</f>
        <v>34.325000000000003</v>
      </c>
      <c r="BR25" s="14" t="str">
        <f>IF(BF25&gt;0,BF25,"")</f>
        <v/>
      </c>
      <c r="BS25" s="14" t="str">
        <f>IF(SUM(BD25:BG25)-BH25&gt;0,SUM(BD25:BG25)-BH25,"")</f>
        <v/>
      </c>
      <c r="BT25" s="14">
        <f>IF(BO25="",IF(MAX(BQ25,BS25)&gt;0,MAX(BQ25,BS25),""),MAX(BQ25,BS25)+BO25)</f>
        <v>49.465000000000003</v>
      </c>
      <c r="BU25" s="14" t="str">
        <f>IF(BK25&gt;0,BK25,"")</f>
        <v/>
      </c>
      <c r="BV25" s="14" t="str">
        <f>IF(SUM(BI25:BL25)-BM25&gt;0,SUM(BI25:BL25)-BM25,"")</f>
        <v/>
      </c>
      <c r="BW25" s="14">
        <f>IF(SUM(BT25,BV25)&gt;0,SUM(BT25,BV25),"")</f>
        <v>49.465000000000003</v>
      </c>
      <c r="BX25" s="38">
        <v>16.2</v>
      </c>
      <c r="BY25" s="38">
        <v>9.4</v>
      </c>
      <c r="BZ25" s="38">
        <v>2.7</v>
      </c>
      <c r="CA25" s="38">
        <v>14.73</v>
      </c>
      <c r="CB25" s="38">
        <v>0</v>
      </c>
      <c r="CC25" s="38">
        <v>15.9</v>
      </c>
      <c r="CD25" s="38">
        <v>9.3000000000000007</v>
      </c>
      <c r="CE25" s="38">
        <v>11.2</v>
      </c>
      <c r="CF25" s="38">
        <v>14.58</v>
      </c>
      <c r="CG25" s="38">
        <v>0</v>
      </c>
      <c r="CH25" s="38"/>
      <c r="CI25" s="38"/>
      <c r="CJ25" s="38"/>
      <c r="CK25" s="38"/>
      <c r="CL25" s="38"/>
      <c r="CM25" s="38">
        <v>4.8</v>
      </c>
      <c r="CN25" s="38">
        <v>2.7</v>
      </c>
      <c r="CO25" s="38">
        <v>3.8</v>
      </c>
      <c r="CP25" s="38">
        <v>4.4800000000000004</v>
      </c>
      <c r="CQ25" s="38">
        <v>0</v>
      </c>
      <c r="CR25" s="45"/>
      <c r="CS25" s="11">
        <f>IF(SUM(BX25:CA25)-CB25&gt;0,SUM(BX25:CA25)-CB25,"")</f>
        <v>43.03</v>
      </c>
      <c r="CT25" s="11">
        <f>IF(CE25&gt;0,CE25,"")</f>
        <v>11.2</v>
      </c>
      <c r="CU25" s="11">
        <f>IF(SUM(CC25:CF25)-CG25&gt;0,SUM(CC25:CF25)-CG25,"")</f>
        <v>50.980000000000004</v>
      </c>
      <c r="CV25" s="11" t="str">
        <f>IF(CJ25&gt;0,CJ25,"")</f>
        <v/>
      </c>
      <c r="CW25" s="11" t="str">
        <f>IF(SUM(CH25:CK25)-CL25&gt;0,SUM(CH25:CK25)-CL25,"")</f>
        <v/>
      </c>
      <c r="CX25" s="11">
        <f>IF(CS25="",IF(MAX(CU25,CW25)&gt;0,MAX(CU25,CW25),""),MAX(CU25,CW25)+CS25)</f>
        <v>94.01</v>
      </c>
      <c r="CY25" s="11">
        <f>IF(CO25&gt;0,CO25,"")</f>
        <v>3.8</v>
      </c>
      <c r="CZ25" s="11">
        <f>IF(SUM(CM25:CP25)-CQ25&gt;0,SUM(CM25:CP25)-CQ25,"")</f>
        <v>15.780000000000001</v>
      </c>
      <c r="DA25" s="11">
        <f>IF(SUM(CX25,CZ25)&gt;0,SUM(CX25,CZ25),"")</f>
        <v>109.79</v>
      </c>
      <c r="DB25" s="19" t="str">
        <f>IF(I25&gt;=0.001,IF(MAX(DU25,EQ25,FM25,GI25,HE25,IA25,IW25,JS25,KO25,LK25,MG25,NC25)-IF(I25="",0,I25)&gt;0.001,MAX(DU25,EQ25,FM25,GI25,HE25,IA25,IW25,JS25,KO25,LK25,MG25,NC25)-IF(I25="",0,I25),""),"")</f>
        <v/>
      </c>
      <c r="DC25" s="19" t="str">
        <f>IF(K25&gt;=0.001,IF(MAX(DX25,ET25,FP25,GL25,HH25,ID25,IZ25,JV25,KR25,LN25,MJ25,NF25)-IF(K25="",0,K25)&gt;0.001,MAX(DX25,ET25,FP25,GL25,HH25,ID25,IZ25,JV25,KR25,LN25,MJ25,NF25)-IF(K25="",0,K25),""),"")</f>
        <v/>
      </c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8">
        <f>IF($CR25="P",BX25,(BX25+AT25)/2)</f>
        <v>10.899999999999999</v>
      </c>
      <c r="NI25" s="38">
        <f>IF($CR25="P",BY25,(BY25+AU25)/2)</f>
        <v>6.5500000000000007</v>
      </c>
      <c r="NJ25" s="38">
        <f>IF($CR25="P",BZ25,(BZ25+AV25)/2)</f>
        <v>1.35</v>
      </c>
      <c r="NK25" s="38">
        <f>IF($CR25="P",CA25,(CA25+AW25)/2)</f>
        <v>10.285</v>
      </c>
      <c r="NL25" s="38">
        <f>IF($CR25="P",CB25,(CB25+AX25)/2)</f>
        <v>0</v>
      </c>
      <c r="NM25" s="38">
        <f>IF($CR25="P",CC25,(CC25+AY25)/2)</f>
        <v>12.850000000000001</v>
      </c>
      <c r="NN25" s="38">
        <f>IF($CR25="P",CD25,(CD25+AZ25)/2)</f>
        <v>7.8500000000000005</v>
      </c>
      <c r="NO25" s="38">
        <f>IF($CR25="P",CE25,(CE25+BA25)/2)</f>
        <v>9.5500000000000007</v>
      </c>
      <c r="NP25" s="38">
        <f>IF($CR25="P",CF25,(CF25+BB25)/2)</f>
        <v>12.502500000000001</v>
      </c>
      <c r="NQ25" s="38">
        <f>IF($CR25="P",CG25,(CG25+BC25)/2)</f>
        <v>0.1</v>
      </c>
      <c r="NR25" s="38">
        <f>IF($CR25="P",CH25,(CH25+BD25)/2)</f>
        <v>0</v>
      </c>
      <c r="NS25" s="38">
        <f>IF($CR25="P",CI25,(CI25+BE25)/2)</f>
        <v>0</v>
      </c>
      <c r="NT25" s="38">
        <f>IF($CR25="P",CJ25,(CJ25+BF25)/2)</f>
        <v>0</v>
      </c>
      <c r="NU25" s="38">
        <f>IF($CR25="P",CK25,(CK25+BG25)/2)</f>
        <v>0</v>
      </c>
      <c r="NV25" s="38">
        <f>IF($CR25="P",CL25,(CL25+BH25)/2)</f>
        <v>0</v>
      </c>
      <c r="NW25" s="38">
        <f>IF($CR25="P",CM25,(CM25+BI25)/2)</f>
        <v>2.4</v>
      </c>
      <c r="NX25" s="38">
        <f>IF($CR25="P",CN25,(CN25+BJ25)/2)</f>
        <v>1.35</v>
      </c>
      <c r="NY25" s="38">
        <f>IF($CR25="P",CO25,(CO25+BK25)/2)</f>
        <v>1.9</v>
      </c>
      <c r="NZ25" s="38">
        <f>IF($CR25="P",CP25,(CP25+BL25)/2)</f>
        <v>2.2400000000000002</v>
      </c>
      <c r="OA25" s="38">
        <f>IF($CR25="P",CQ25,(CQ25+BM25)/2)</f>
        <v>0</v>
      </c>
      <c r="OB25" s="45" t="s">
        <v>46</v>
      </c>
      <c r="OC25" s="11">
        <f>IF(SUM(NH25:NK25)-NL25&gt;0,SUM(NH25:NK25)-NL25,"")</f>
        <v>29.085000000000001</v>
      </c>
      <c r="OD25" s="11">
        <f>IF(NO25&gt;0,NO25,"")</f>
        <v>9.5500000000000007</v>
      </c>
      <c r="OE25" s="11">
        <f>IF(SUM(NM25:NP25)-NQ25&gt;0,SUM(NM25:NP25)-NQ25,"")</f>
        <v>42.652500000000003</v>
      </c>
      <c r="OF25" s="11" t="str">
        <f>IF(NT25&gt;0,NT25,"")</f>
        <v/>
      </c>
      <c r="OG25" s="11" t="str">
        <f>IF(SUM(NR25:NU25)-NV25&gt;0,SUM(NR25:NU25)-NV25,"")</f>
        <v/>
      </c>
      <c r="OH25" s="11">
        <f>IF(OR(OC25&lt;&gt;"",OE25&lt;&gt;"",OG25&lt;&gt;""),OC25+MAX(OE25,OG25),"")</f>
        <v>71.737500000000011</v>
      </c>
      <c r="OI25" s="11">
        <f>IF(NY25&gt;0,NY25,"")</f>
        <v>1.9</v>
      </c>
      <c r="OJ25" s="11">
        <f t="shared" ref="OJ25" si="30">IF(SUM(NW25:NZ25)-OA25&gt;0,SUM(NW25:NZ25)-OA25,"")</f>
        <v>7.8900000000000006</v>
      </c>
      <c r="OK25" s="11">
        <f t="shared" ref="OK25" si="31">IF(SUM(OH25,OJ25)&gt;0,SUM(OH25,OJ25),"")</f>
        <v>79.627500000000012</v>
      </c>
    </row>
    <row r="26" spans="1:401" x14ac:dyDescent="0.2">
      <c r="A26" s="5" t="str" cm="1">
        <f t="array" ref="A26">IF(AND(F26="P",G26="P"),SUMPRODUCT((F$4:F$32="P")*(G$4:G$32="P")*(E$4:E$32&gt;E26))+1,IF(G26="P",SUMPRODUCT((F$4:F$32="")*(G$4:G$32="P")*(E$4:E$32&gt;E26))+1+SUMPRODUCT((F$4:F$32="P")*(G$4:G$32="P")),""))</f>
        <v/>
      </c>
      <c r="B26" s="6" t="s">
        <v>146</v>
      </c>
      <c r="C26" s="7" t="s">
        <v>5</v>
      </c>
      <c r="D26" s="5">
        <v>2005</v>
      </c>
      <c r="E26" s="15">
        <f>SUM(I26:M26)+I26*0.0000001</f>
        <v>82.370004807000001</v>
      </c>
      <c r="F26" s="3" t="str">
        <f>IF(OR(AND(AL26&gt;=AS$34,AM26&gt;=AS$38,AL26&lt;&gt;"",AJ26=""),AND(AN26&gt;=AS$34,AO26&gt;=AS$38,AN26&lt;&gt;"",AN26=""),AND(AQ26&gt;=AS$34,AR26&gt;=AS$38,AQ26&lt;&gt;"",AJ26=""),AND(BP26&gt;=BW$34,BQ26&gt;=BW$38,BP26&lt;&gt;"",BN26=""),AND(BR26&gt;=BW$34,BS26&gt;=BW$38,BR26&lt;&gt;"",BN26=""),AND(BU26&gt;=BW$34,BV26&gt;=BW$38,BU26&lt;&gt;"",BN26=""),AND(CT26&gt;=DA$34,CU26&gt;=DA$38,CT26&lt;&gt;"",CR26=""),AND(CV26&gt;=DA$34,CW26&gt;=DA$38,CV26&lt;&gt;"",CR26=""),AND(CY26&gt;=DA$34,CZ26&gt;=DA$38,CY26&lt;&gt;"",CR26=""),AND(DS26&gt;=DY$34,DU26&gt;=DY$38,DS26&lt;&gt;""),AND(DW26&gt;=DY$34,DX26&gt;=DY$38,DW26&lt;&gt;""),AND(EO26&gt;=EU$34,EQ26&gt;=EU$38,EO26&lt;&gt;""),AND(ES26&gt;=EU$34,ET26&gt;=EU$38,ES26&lt;&gt;""),AND(FK26&gt;=FQ$34,FM26&gt;=FQ$38,FK26&lt;&gt;""),AND(FO26&gt;=FQ$34,FP26&gt;=FQ$38,FO26&lt;&gt;""),AND(GG26&gt;=GM$34,GI26&gt;=GM$38,GG26&lt;&gt;""),AND(GK26&gt;=GM$34,GL26&gt;=GM$38,GK26&lt;&gt;""),AND(HC26&gt;=HI$34,HE26&gt;=HI$38,HC26&lt;&gt;""),AND(HG26&gt;=HI$34,HH26&gt;=HI$38,HG26&lt;&gt;""),AND(HY26&gt;=IE$34,IA26&gt;=IE$38,HY26&lt;&gt;""),AND(IC26&gt;=IE$34,ID26&gt;=IE$38,IC26&lt;&gt;""),AND(IU26&gt;=JA$34,IW26&gt;=JA$38,IU26&lt;&gt;""),AND(IY26&gt;=JA$34,IZ26&gt;=JA$38,IY26&lt;&gt;""),AND(JQ26&gt;=JW$34,JS26&gt;=JW$38,JQ26&lt;&gt;""),AND(JU26&gt;=JW$34,JV26&gt;=JW$38,JU26&lt;&gt;""),AND(KM26&gt;=KS$34,KO26&gt;=KS$38,KM26&lt;&gt;""),AND(KQ26&gt;=KS$34,KR26&gt;=KS$38,KQ26&lt;&gt;""),AND(LI26&gt;=LO$34,LK26&gt;=LO$38,LI26&lt;&gt;""),AND(LM26&gt;=LO$34,LN26&gt;=LO$38,LM26&lt;&gt;""),AND(ME26&gt;=MK$34,MG26&gt;=MK$38,ME26&lt;&gt;""),AND(MI26&gt;=MK$34,MJ26&gt;=MK$38,MI26&lt;&gt;""),AND(NA26&gt;=NG$34,NC26&gt;=NG$38,NA26&lt;&gt;""),AND(NE26&gt;=NG$34,NF26&gt;=NG$38,NE26&lt;&gt;"")),"P","")</f>
        <v/>
      </c>
      <c r="G26" s="3" t="str">
        <f>IF(OR(AND(AM26&gt;=AS$38,AL26&lt;&gt;"",AJ26=""),AND(AO26&gt;=AS$38,AN26&lt;&gt;"",AN26=""),AND(AR26&gt;=AS$38,AQ26&lt;&gt;"",AJ26=""),AND(BQ26&gt;=BW$38,BP26&lt;&gt;"",BN26=""),AND(BS26&gt;=BW$38,BR26&lt;&gt;"",BN26=""),AND(BV26&gt;=BW$38,BU26&lt;&gt;"",BN26=""),AND(CU26&gt;=DA$38,CT26&lt;&gt;"",CR26=""),AND(CW26&gt;=DA$38,CV26&lt;&gt;"",CR26=""),AND(CZ26&gt;=DA$38,CY26&lt;&gt;"",CR26=""),AND(DU26&gt;=DY$38,DS26&lt;&gt;""),AND(DX26&gt;=DY$38,DW26&lt;&gt;""),AND(EQ26&gt;=EU$38,EO26&lt;&gt;""),AND(ET26&gt;=EU$38,ES26&lt;&gt;""),AND(FM26&gt;=FQ$38,FK26&lt;&gt;""),AND(FP26&gt;=FQ$38,FO26&lt;&gt;""),AND(GI26&gt;=GM$38,GG26&lt;&gt;""),AND(GL26&gt;=GM$38,GK26&lt;&gt;""),AND(HE26&gt;=HI$38,HC26&lt;&gt;""),AND(HH26&gt;=HI$38,HG26&lt;&gt;""),AND(IA26&gt;=IE$38,HY26&lt;&gt;""),AND(ID26&gt;=IE$38,IC26&lt;&gt;""),AND(IW26&gt;=JA$38,IU26&lt;&gt;""),AND(IZ26&gt;=JA$38,IY26&lt;&gt;""),AND(JS26&gt;=JW$38,JQ26&lt;&gt;""),AND(JV26&gt;=JW$38,JU26&lt;&gt;""),AND(KO26&gt;=KS$38,KM26&lt;&gt;""),AND(KR26&gt;=KS$38,KQ26&lt;&gt;""),AND(LK26&gt;=LO$38,LI26&lt;&gt;""),AND(LN26&gt;=LO$38,LM26&lt;&gt;""),AND(MG26&gt;=MK$38,ME26&lt;&gt;""),AND(MJ26&gt;=MK$38,MI26&lt;&gt;""),AND(NC26&gt;=NG$38,NA26&lt;&gt;""),AND(NF26&gt;=NG$38,NE26&lt;&gt;"")),"P","")</f>
        <v/>
      </c>
      <c r="H26" s="67" t="str">
        <f>IF(F26="P","National Team",IF(G26="P","No DD",""))</f>
        <v/>
      </c>
      <c r="I26" s="14">
        <f>MAX(AM26,AO26,AR26,BQ26,BS26,BV26,CU26,CW26,CZ26)</f>
        <v>48.07</v>
      </c>
      <c r="J26" s="14" t="str">
        <f>IF(I26=0,"",IF(OR(I26=CW26,I26=CU26,I26=CZ26),$BX$1,IF(OR(I26=BS26,I26=BQ26,I26=BV26),$AT$1,IF(OR(I26=AO26,I26=AM26,I26=AR26),$P$1,""))))</f>
        <v>2021 Canadian Championships</v>
      </c>
      <c r="K26" s="14">
        <f>IF(COUNT(AM26,AO26,AR26,BQ26,BS26,BV26,CU26,CW26,CZ26)&gt;1,LARGE((AM26,AO26,AR26,BQ26,BS26,BV26,CU26,CW26,CZ26),2),0)</f>
        <v>34.299999999999997</v>
      </c>
      <c r="L26" s="14" t="str">
        <f>IF(K26=0,"",IF(OR(K26=CW26,K26=CU26,K26=CZ26),$BX$1,IF(OR(K26=BS26,K26=BQ26,K26=BV26),$AT$1,IF(OR(K26=AO26,K26=AM26,K26=AR26),$P$1,""))))</f>
        <v>2021 Canadian Championships</v>
      </c>
      <c r="M26" s="14" t="str">
        <f>IF(MAX(DB26,DC26)&gt;0,MAX(DB26,DC26),"")</f>
        <v/>
      </c>
      <c r="N26" s="20" t="str">
        <f>IF(M26="","",IF(M26=#REF!,"(Vol 1)",IF(M26=DB26,"(Vol 2)",IF(M26=#REF!,"(Prelim)",IF(M26=DC26,"(Final)")))))</f>
        <v/>
      </c>
      <c r="O26" s="14" t="str">
        <f>IF(M26="","",IF(M26=#REF!,IF(M26+IF(#REF!="",0,#REF!)=NB26,$ML$1,IF(M26+IF(#REF!="",0,#REF!)=MF26,$LP$1,IF(M26+IF(#REF!="",0,#REF!)=LJ26,$KT$1,IF(M26+IF(#REF!="",0,#REF!)=KN26,$JX$1,IF(M26+IF(#REF!="",0,#REF!)=JR26,$JB$1,IF(M26+IF(#REF!="",0,#REF!)=IV26,$IF$1,IF(M26+IF(#REF!="",0,#REF!)=HZ26,$HJ$1,IF(M26+IF(#REF!="",0,#REF!)=HD26,$GN$1,IF(M26+IF(#REF!="",0,#REF!)=GH26,$FR$1,IF(M26+IF(#REF!="",0,#REF!)=FL26,$EV$1,IF(M26+IF(#REF!="",0,#REF!)=EP26,$DZ$1,IF(M26+IF(#REF!="",0,#REF!)=DT26,$DD$1)))))))))))),IF(M26=DB26,IF(M26+IF(I26="",0,I26)=NC26,$ML$1,IF(M26+IF(I26="",0,I26)=MG26,$LP$1,IF(M26+IF(I26="",0,I26)=LK26,$KT$1,IF(M26+IF(I26="",0,I26)=KO26,$JX$1,IF(M26+IF(I26="",0,I26)=JS26,$JB$1,IF(M26+IF(I26="",0,I26)=IW26,$IF$1,IF(M26+IF(I26="",0,I26)=IA26,$HJ$1,IF(M26+IF(I26="",0,I26)=HE26,$GN$1,IF(M26+IF(I26="",0,I26)=GI26,$FR$1,IF(M26+IF(I26="",0,I26)=FM26,$EV$1,IF(M26+IF(I26="",0,I26)=EQ26,$DZ$1,IF(M26+IF(I26="",0,I26)=DU26,$DD$1)))))))))))),IF(M26=#REF!,IF(M26+IF(#REF!="",0,#REF!)=ND26,$ML$1,IF(M26+IF(#REF!="",0,#REF!)=MH26,$LP$1,IF(M26+IF(#REF!="",0,#REF!)=LL26,$KT$1,IF(M26+IF(#REF!="",0,#REF!)=KP26,$JX$1,IF(M26+IF(#REF!="",0,#REF!)=JT26,$JB$1,IF(M26+IF(#REF!="",0,#REF!)=IX26,$IF$1,IF(M26+IF(#REF!="",0,#REF!)=IB26,$HJ$1,IF(M26+IF(#REF!="",0,#REF!)=HF26,$GN$1,IF(M26+IF(#REF!="",0,#REF!)=GJ26,$FR$1,IF(M26+IF(#REF!="",0,#REF!)=FN26,$EV$1,IF(M26+IF(#REF!="",0,#REF!)=ER26,$DZ$1,IF(M26+IF(#REF!="",0,#REF!)=DV26,$DD$1)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))</f>
        <v/>
      </c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45"/>
      <c r="AK26" s="11" t="str">
        <f>IF(SUM(P26:S26)-T26&gt;0,SUM(P26:S26)-T26,"")</f>
        <v/>
      </c>
      <c r="AL26" s="11" t="str">
        <f>IF(W26&gt;0,W26,"")</f>
        <v/>
      </c>
      <c r="AM26" s="11" t="str">
        <f>IF(SUM(U26:X26)-Y26&gt;0,SUM(U26:X26)-Y26,"")</f>
        <v/>
      </c>
      <c r="AN26" s="11" t="str">
        <f>IF(AB26&gt;0,AB26,"")</f>
        <v/>
      </c>
      <c r="AO26" s="11" t="str">
        <f>IF(SUM(Z26:AC26)-AD26&gt;0,SUM(Z26:AC26)-AD26,"")</f>
        <v/>
      </c>
      <c r="AP26" s="11" t="str">
        <f>IF(AK26="",IF(MAX(AM26,AO26)&gt;0,MAX(AM26,AO26),""),MAX(AM26,AO26)+AK26)</f>
        <v/>
      </c>
      <c r="AQ26" s="11" t="str">
        <f>IF(AG26&gt;0,AG26,"")</f>
        <v/>
      </c>
      <c r="AR26" s="11" t="str">
        <f>IF(SUM(AE26:AH26)-AI26&gt;0,SUM(AE26:AH26)-AI26,"")</f>
        <v/>
      </c>
      <c r="AS26" s="11" t="str">
        <f>IF(SUM(AP26,AR26)&gt;0,SUM(AP26,AR26),"")</f>
        <v/>
      </c>
      <c r="AT26" s="42">
        <v>16.600000000000001</v>
      </c>
      <c r="AU26" s="42">
        <v>9.5</v>
      </c>
      <c r="AV26" s="42">
        <v>0</v>
      </c>
      <c r="AW26" s="42">
        <v>14.77</v>
      </c>
      <c r="AX26" s="42">
        <v>0</v>
      </c>
      <c r="AY26" s="42">
        <v>10.199999999999999</v>
      </c>
      <c r="AZ26" s="42">
        <v>6.5</v>
      </c>
      <c r="BA26" s="42">
        <v>7.3</v>
      </c>
      <c r="BB26" s="42">
        <v>10.3</v>
      </c>
      <c r="BC26" s="42">
        <v>0</v>
      </c>
      <c r="BD26" s="42"/>
      <c r="BE26" s="42"/>
      <c r="BF26" s="42"/>
      <c r="BG26" s="42"/>
      <c r="BH26" s="42"/>
      <c r="BI26" s="42">
        <v>14.3</v>
      </c>
      <c r="BJ26" s="42">
        <v>9.3000000000000007</v>
      </c>
      <c r="BK26" s="42">
        <v>10.5</v>
      </c>
      <c r="BL26" s="42">
        <v>13.97</v>
      </c>
      <c r="BM26" s="42">
        <v>0</v>
      </c>
      <c r="BN26" s="46"/>
      <c r="BO26" s="14">
        <f>IF(SUM(AT26:AW26)-AX26&gt;0,SUM(AT26:AW26)-AX26,"")</f>
        <v>40.870000000000005</v>
      </c>
      <c r="BP26" s="14">
        <f>IF(BA26&gt;0,BA26,"")</f>
        <v>7.3</v>
      </c>
      <c r="BQ26" s="14">
        <f>IF(SUM(AY26:BB26)-BC26&gt;0,SUM(AY26:BB26)-BC26,"")</f>
        <v>34.299999999999997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75.17</v>
      </c>
      <c r="BU26" s="14">
        <f>IF(BK26&gt;0,BK26,"")</f>
        <v>10.5</v>
      </c>
      <c r="BV26" s="14">
        <f>IF(SUM(BI26:BL26)-BM26&gt;0,SUM(BI26:BL26)-BM26,"")</f>
        <v>48.07</v>
      </c>
      <c r="BW26" s="14">
        <f>IF(SUM(BT26,BV26)&gt;0,SUM(BT26,BV26),"")</f>
        <v>123.24000000000001</v>
      </c>
      <c r="BX26" s="38">
        <v>15.7</v>
      </c>
      <c r="BY26" s="38">
        <v>9.4</v>
      </c>
      <c r="BZ26" s="38">
        <v>2.2999999999999998</v>
      </c>
      <c r="CA26" s="38">
        <v>14.47</v>
      </c>
      <c r="CB26" s="38">
        <v>0</v>
      </c>
      <c r="CC26" s="38">
        <v>1.4</v>
      </c>
      <c r="CD26" s="38">
        <v>0.8</v>
      </c>
      <c r="CE26" s="38">
        <v>1.5</v>
      </c>
      <c r="CF26" s="38">
        <v>1.48</v>
      </c>
      <c r="CG26" s="38">
        <v>0</v>
      </c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45"/>
      <c r="CS26" s="11">
        <f>IF(SUM(BX26:CA26)-CB26&gt;0,SUM(BX26:CA26)-CB26,"")</f>
        <v>41.870000000000005</v>
      </c>
      <c r="CT26" s="11">
        <f>IF(CE26&gt;0,CE26,"")</f>
        <v>1.5</v>
      </c>
      <c r="CU26" s="11">
        <f>IF(SUM(CC26:CF26)-CG26&gt;0,SUM(CC26:CF26)-CG26,"")</f>
        <v>5.18</v>
      </c>
      <c r="CV26" s="11" t="str">
        <f>IF(CJ26&gt;0,CJ26,"")</f>
        <v/>
      </c>
      <c r="CW26" s="11" t="str">
        <f>IF(SUM(CH26:CK26)-CL26&gt;0,SUM(CH26:CK26)-CL26,"")</f>
        <v/>
      </c>
      <c r="CX26" s="11">
        <f>IF(CS26="",IF(MAX(CU26,CW26)&gt;0,MAX(CU26,CW26),""),MAX(CU26,CW26)+CS26)</f>
        <v>47.050000000000004</v>
      </c>
      <c r="CY26" s="11" t="str">
        <f>IF(CO26&gt;0,CO26,"")</f>
        <v/>
      </c>
      <c r="CZ26" s="11" t="str">
        <f>IF(SUM(CM26:CP26)-CQ26&gt;0,SUM(CM26:CP26)-CQ26,"")</f>
        <v/>
      </c>
      <c r="DA26" s="11">
        <f>IF(SUM(CX26,CZ26)&gt;0,SUM(CX26,CZ26),"")</f>
        <v>47.050000000000004</v>
      </c>
      <c r="DB26" s="19" t="str">
        <f>IF(I26&gt;=0.001,IF(MAX(DU26,EQ26,FM26,GI26,HE26,IA26,IW26,JS26,KO26,LK26,MG26,NC26)-IF(I26="",0,I26)&gt;0.001,MAX(DU26,EQ26,FM26,GI26,HE26,IA26,IW26,JS26,KO26,LK26,MG26,NC26)-IF(I26="",0,I26),""),"")</f>
        <v/>
      </c>
      <c r="DC26" s="19" t="str">
        <f>IF(K26&gt;=0.001,IF(MAX(DX26,ET26,FP26,GL26,HH26,ID26,IZ26,JV26,KR26,LN26,MJ26,NF26)-IF(K26="",0,K26)&gt;0.001,MAX(DX26,ET26,FP26,GL26,HH26,ID26,IZ26,JV26,KR26,LN26,MJ26,NF26)-IF(K26="",0,K26),""),"")</f>
        <v/>
      </c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6"/>
      <c r="JM26" s="26"/>
      <c r="JN26" s="26"/>
      <c r="JO26" s="26"/>
      <c r="JP26" s="26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6"/>
      <c r="MM26" s="26"/>
      <c r="MN26" s="26"/>
      <c r="MO26" s="26"/>
      <c r="MP26" s="26"/>
      <c r="MQ26" s="26"/>
      <c r="MR26" s="26"/>
      <c r="MS26" s="26"/>
      <c r="MT26" s="26"/>
      <c r="MU26" s="26"/>
      <c r="MV26" s="26"/>
      <c r="MW26" s="26"/>
      <c r="MX26" s="26"/>
      <c r="MY26" s="26"/>
      <c r="MZ26" s="26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8">
        <f>IF($CR26="P",BX26,(BX26+AT26)/2)</f>
        <v>16.149999999999999</v>
      </c>
      <c r="NI26" s="38">
        <f>IF($CR26="P",BY26,(BY26+AU26)/2)</f>
        <v>9.4499999999999993</v>
      </c>
      <c r="NJ26" s="38">
        <f>IF($CR26="P",BZ26,(BZ26+AV26)/2)</f>
        <v>1.1499999999999999</v>
      </c>
      <c r="NK26" s="38">
        <f>IF($CR26="P",CA26,(CA26+AW26)/2)</f>
        <v>14.620000000000001</v>
      </c>
      <c r="NL26" s="38">
        <f>IF($CR26="P",CB26,(CB26+AX26)/2)</f>
        <v>0</v>
      </c>
      <c r="NM26" s="38">
        <f>IF($CR26="P",CC26,(CC26+AY26)/2)</f>
        <v>5.8</v>
      </c>
      <c r="NN26" s="38">
        <f>IF($CR26="P",CD26,(CD26+AZ26)/2)</f>
        <v>3.65</v>
      </c>
      <c r="NO26" s="38">
        <f>IF($CR26="P",CE26,(CE26+BA26)/2)</f>
        <v>4.4000000000000004</v>
      </c>
      <c r="NP26" s="38">
        <f>IF($CR26="P",CF26,(CF26+BB26)/2)</f>
        <v>5.8900000000000006</v>
      </c>
      <c r="NQ26" s="38">
        <f>IF($CR26="P",CG26,(CG26+BC26)/2)</f>
        <v>0</v>
      </c>
      <c r="NR26" s="38">
        <f>IF($CR26="P",CH26,(CH26+BD26)/2)</f>
        <v>0</v>
      </c>
      <c r="NS26" s="38">
        <f>IF($CR26="P",CI26,(CI26+BE26)/2)</f>
        <v>0</v>
      </c>
      <c r="NT26" s="38">
        <f>IF($CR26="P",CJ26,(CJ26+BF26)/2)</f>
        <v>0</v>
      </c>
      <c r="NU26" s="38">
        <f>IF($CR26="P",CK26,(CK26+BG26)/2)</f>
        <v>0</v>
      </c>
      <c r="NV26" s="38">
        <f>IF($CR26="P",CL26,(CL26+BH26)/2)</f>
        <v>0</v>
      </c>
      <c r="NW26" s="38">
        <f>IF($CR26="P",CM26,(CM26+BI26)/2)</f>
        <v>7.15</v>
      </c>
      <c r="NX26" s="38">
        <f>IF($CR26="P",CN26,(CN26+BJ26)/2)</f>
        <v>4.6500000000000004</v>
      </c>
      <c r="NY26" s="38">
        <f>IF($CR26="P",CO26,(CO26+BK26)/2)</f>
        <v>5.25</v>
      </c>
      <c r="NZ26" s="38">
        <f>IF($CR26="P",CP26,(CP26+BL26)/2)</f>
        <v>6.9850000000000003</v>
      </c>
      <c r="OA26" s="38">
        <f>IF($CR26="P",CQ26,(CQ26+BM26)/2)</f>
        <v>0</v>
      </c>
      <c r="OB26" s="45" t="s">
        <v>46</v>
      </c>
      <c r="OC26" s="11">
        <f>IF(SUM(NH26:NK26)-NL26&gt;0,SUM(NH26:NK26)-NL26,"")</f>
        <v>41.37</v>
      </c>
      <c r="OD26" s="11">
        <f>IF(NO26&gt;0,NO26,"")</f>
        <v>4.4000000000000004</v>
      </c>
      <c r="OE26" s="11">
        <f>IF(SUM(NM26:NP26)-NQ26&gt;0,SUM(NM26:NP26)-NQ26,"")</f>
        <v>19.740000000000002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61.11</v>
      </c>
      <c r="OI26" s="11">
        <f>IF(NY26&gt;0,NY26,"")</f>
        <v>5.25</v>
      </c>
      <c r="OJ26" s="11">
        <f t="shared" ref="OJ26" si="32">IF(SUM(NW26:NZ26)-OA26&gt;0,SUM(NW26:NZ26)-OA26,"")</f>
        <v>24.035</v>
      </c>
      <c r="OK26" s="11">
        <f t="shared" ref="OK26" si="33">IF(SUM(OH26,OJ26)&gt;0,SUM(OH26,OJ26),"")</f>
        <v>85.144999999999996</v>
      </c>
    </row>
    <row r="27" spans="1:401" x14ac:dyDescent="0.2">
      <c r="A27" s="5" t="str" cm="1">
        <f t="array" ref="A27">IF(AND(F27="P",G27="P"),SUMPRODUCT((F$4:F$32="P")*(G$4:G$32="P")*(E$4:E$32&gt;E27))+1,IF(G27="P",SUMPRODUCT((F$4:F$32="")*(G$4:G$32="P")*(E$4:E$32&gt;E27))+1+SUMPRODUCT((F$4:F$32="P")*(G$4:G$32="P")),""))</f>
        <v/>
      </c>
      <c r="B27" s="6" t="s">
        <v>160</v>
      </c>
      <c r="C27" s="7" t="s">
        <v>6</v>
      </c>
      <c r="D27" s="5">
        <v>2005</v>
      </c>
      <c r="E27" s="15">
        <f>SUM(I27:M27)+I27*0.0000001</f>
        <v>78.550004903999991</v>
      </c>
      <c r="F27" s="3" t="str">
        <f>IF(OR(AND(AL27&gt;=AS$34,AM27&gt;=AS$38,AL27&lt;&gt;"",AJ27=""),AND(AN27&gt;=AS$34,AO27&gt;=AS$38,AN27&lt;&gt;"",AN27=""),AND(AQ27&gt;=AS$34,AR27&gt;=AS$38,AQ27&lt;&gt;"",AJ27=""),AND(BP27&gt;=BW$34,BQ27&gt;=BW$38,BP27&lt;&gt;"",BN27=""),AND(BR27&gt;=BW$34,BS27&gt;=BW$38,BR27&lt;&gt;"",BN27=""),AND(BU27&gt;=BW$34,BV27&gt;=BW$38,BU27&lt;&gt;"",BN27=""),AND(CT27&gt;=DA$34,CU27&gt;=DA$38,CT27&lt;&gt;"",CR27=""),AND(CV27&gt;=DA$34,CW27&gt;=DA$38,CV27&lt;&gt;"",CR27=""),AND(CY27&gt;=DA$34,CZ27&gt;=DA$38,CY27&lt;&gt;"",CR27=""),AND(DS27&gt;=DY$34,DU27&gt;=DY$38,DS27&lt;&gt;""),AND(DW27&gt;=DY$34,DX27&gt;=DY$38,DW27&lt;&gt;""),AND(EO27&gt;=EU$34,EQ27&gt;=EU$38,EO27&lt;&gt;""),AND(ES27&gt;=EU$34,ET27&gt;=EU$38,ES27&lt;&gt;""),AND(FK27&gt;=FQ$34,FM27&gt;=FQ$38,FK27&lt;&gt;""),AND(FO27&gt;=FQ$34,FP27&gt;=FQ$38,FO27&lt;&gt;""),AND(GG27&gt;=GM$34,GI27&gt;=GM$38,GG27&lt;&gt;""),AND(GK27&gt;=GM$34,GL27&gt;=GM$38,GK27&lt;&gt;""),AND(HC27&gt;=HI$34,HE27&gt;=HI$38,HC27&lt;&gt;""),AND(HG27&gt;=HI$34,HH27&gt;=HI$38,HG27&lt;&gt;""),AND(HY27&gt;=IE$34,IA27&gt;=IE$38,HY27&lt;&gt;""),AND(IC27&gt;=IE$34,ID27&gt;=IE$38,IC27&lt;&gt;""),AND(IU27&gt;=JA$34,IW27&gt;=JA$38,IU27&lt;&gt;""),AND(IY27&gt;=JA$34,IZ27&gt;=JA$38,IY27&lt;&gt;""),AND(JQ27&gt;=JW$34,JS27&gt;=JW$38,JQ27&lt;&gt;""),AND(JU27&gt;=JW$34,JV27&gt;=JW$38,JU27&lt;&gt;""),AND(KM27&gt;=KS$34,KO27&gt;=KS$38,KM27&lt;&gt;""),AND(KQ27&gt;=KS$34,KR27&gt;=KS$38,KQ27&lt;&gt;""),AND(LI27&gt;=LO$34,LK27&gt;=LO$38,LI27&lt;&gt;""),AND(LM27&gt;=LO$34,LN27&gt;=LO$38,LM27&lt;&gt;""),AND(ME27&gt;=MK$34,MG27&gt;=MK$38,ME27&lt;&gt;""),AND(MI27&gt;=MK$34,MJ27&gt;=MK$38,MI27&lt;&gt;""),AND(NA27&gt;=NG$34,NC27&gt;=NG$38,NA27&lt;&gt;""),AND(NE27&gt;=NG$34,NF27&gt;=NG$38,NE27&lt;&gt;"")),"P","")</f>
        <v/>
      </c>
      <c r="G27" s="3" t="str">
        <f>IF(OR(AND(AM27&gt;=AS$38,AL27&lt;&gt;"",AJ27=""),AND(AO27&gt;=AS$38,AN27&lt;&gt;"",AN27=""),AND(AR27&gt;=AS$38,AQ27&lt;&gt;"",AJ27=""),AND(BQ27&gt;=BW$38,BP27&lt;&gt;"",BN27=""),AND(BS27&gt;=BW$38,BR27&lt;&gt;"",BN27=""),AND(BV27&gt;=BW$38,BU27&lt;&gt;"",BN27=""),AND(CU27&gt;=DA$38,CT27&lt;&gt;"",CR27=""),AND(CW27&gt;=DA$38,CV27&lt;&gt;"",CR27=""),AND(CZ27&gt;=DA$38,CY27&lt;&gt;"",CR27=""),AND(DU27&gt;=DY$38,DS27&lt;&gt;""),AND(DX27&gt;=DY$38,DW27&lt;&gt;""),AND(EQ27&gt;=EU$38,EO27&lt;&gt;""),AND(ET27&gt;=EU$38,ES27&lt;&gt;""),AND(FM27&gt;=FQ$38,FK27&lt;&gt;""),AND(FP27&gt;=FQ$38,FO27&lt;&gt;""),AND(GI27&gt;=GM$38,GG27&lt;&gt;""),AND(GL27&gt;=GM$38,GK27&lt;&gt;""),AND(HE27&gt;=HI$38,HC27&lt;&gt;""),AND(HH27&gt;=HI$38,HG27&lt;&gt;""),AND(IA27&gt;=IE$38,HY27&lt;&gt;""),AND(ID27&gt;=IE$38,IC27&lt;&gt;""),AND(IW27&gt;=JA$38,IU27&lt;&gt;""),AND(IZ27&gt;=JA$38,IY27&lt;&gt;""),AND(JS27&gt;=JW$38,JQ27&lt;&gt;""),AND(JV27&gt;=JW$38,JU27&lt;&gt;""),AND(KO27&gt;=KS$38,KM27&lt;&gt;""),AND(KR27&gt;=KS$38,KQ27&lt;&gt;""),AND(LK27&gt;=LO$38,LI27&lt;&gt;""),AND(LN27&gt;=LO$38,LM27&lt;&gt;""),AND(MG27&gt;=MK$38,ME27&lt;&gt;""),AND(MJ27&gt;=MK$38,MI27&lt;&gt;""),AND(NC27&gt;=NG$38,NA27&lt;&gt;""),AND(NF27&gt;=NG$38,NE27&lt;&gt;"")),"P","")</f>
        <v/>
      </c>
      <c r="H27" s="67" t="str">
        <f>IF(F27="P","National Team",IF(G27="P","No DD",""))</f>
        <v/>
      </c>
      <c r="I27" s="14">
        <f>MAX(AM27,AO27,AR27,BQ27,BS27,BV27,CU27,CW27,CZ27)</f>
        <v>49.04</v>
      </c>
      <c r="J27" s="14" t="str">
        <f>IF(I27=0,"",IF(OR(I27=CW27,I27=CU27,I27=CZ27),$BX$1,IF(OR(I27=BS27,I27=BQ27,I27=BV27),$AT$1,IF(OR(I27=AO27,I27=AM27,I27=AR27),$P$1,""))))</f>
        <v>2022 Elite Canada</v>
      </c>
      <c r="K27" s="14">
        <f>IF(COUNT(AM27,AO27,AR27,BQ27,BS27,BV27,CU27,CW27,CZ27)&gt;1,LARGE((AM27,AO27,AR27,BQ27,BS27,BV27,CU27,CW27,CZ27),2),0)</f>
        <v>29.51</v>
      </c>
      <c r="L27" s="14" t="str">
        <f>IF(K27=0,"",IF(OR(K27=CW27,K27=CU27,K27=CZ27),$BX$1,IF(OR(K27=BS27,K27=BQ27,K27=BV27),$AT$1,IF(OR(K27=AO27,K27=AM27,K27=AR27),$P$1,""))))</f>
        <v>2022 Elite Canada</v>
      </c>
      <c r="M27" s="14" t="str">
        <f>IF(MAX(DB27,DC27)&gt;0,MAX(DB27,DC27),"")</f>
        <v/>
      </c>
      <c r="N27" s="20" t="str">
        <f>IF(M27="","",IF(M27=#REF!,"(Vol 1)",IF(M27=DB27,"(Vol 2)",IF(M27=#REF!,"(Prelim)",IF(M27=DC27,"(Final)")))))</f>
        <v/>
      </c>
      <c r="O27" s="14" t="str">
        <f>IF(M27="","",IF(M27=#REF!,IF(M27+IF(#REF!="",0,#REF!)=NB27,$ML$1,IF(M27+IF(#REF!="",0,#REF!)=MF27,$LP$1,IF(M27+IF(#REF!="",0,#REF!)=LJ27,$KT$1,IF(M27+IF(#REF!="",0,#REF!)=KN27,$JX$1,IF(M27+IF(#REF!="",0,#REF!)=JR27,$JB$1,IF(M27+IF(#REF!="",0,#REF!)=IV27,$IF$1,IF(M27+IF(#REF!="",0,#REF!)=HZ27,$HJ$1,IF(M27+IF(#REF!="",0,#REF!)=HD27,$GN$1,IF(M27+IF(#REF!="",0,#REF!)=GH27,$FR$1,IF(M27+IF(#REF!="",0,#REF!)=FL27,$EV$1,IF(M27+IF(#REF!="",0,#REF!)=EP27,$DZ$1,IF(M27+IF(#REF!="",0,#REF!)=DT27,$DD$1)))))))))))),IF(M27=DB27,IF(M27+IF(I27="",0,I27)=NC27,$ML$1,IF(M27+IF(I27="",0,I27)=MG27,$LP$1,IF(M27+IF(I27="",0,I27)=LK27,$KT$1,IF(M27+IF(I27="",0,I27)=KO27,$JX$1,IF(M27+IF(I27="",0,I27)=JS27,$JB$1,IF(M27+IF(I27="",0,I27)=IW27,$IF$1,IF(M27+IF(I27="",0,I27)=IA27,$HJ$1,IF(M27+IF(I27="",0,I27)=HE27,$GN$1,IF(M27+IF(I27="",0,I27)=GI27,$FR$1,IF(M27+IF(I27="",0,I27)=FM27,$EV$1,IF(M27+IF(I27="",0,I27)=EQ27,$DZ$1,IF(M27+IF(I27="",0,I27)=DU27,$DD$1)))))))))))),IF(M27=#REF!,IF(M27+IF(#REF!="",0,#REF!)=ND27,$ML$1,IF(M27+IF(#REF!="",0,#REF!)=MH27,$LP$1,IF(M27+IF(#REF!="",0,#REF!)=LL27,$KT$1,IF(M27+IF(#REF!="",0,#REF!)=KP27,$JX$1,IF(M27+IF(#REF!="",0,#REF!)=JT27,$JB$1,IF(M27+IF(#REF!="",0,#REF!)=IX27,$IF$1,IF(M27+IF(#REF!="",0,#REF!)=IB27,$HJ$1,IF(M27+IF(#REF!="",0,#REF!)=HF27,$GN$1,IF(M27+IF(#REF!="",0,#REF!)=GJ27,$FR$1,IF(M27+IF(#REF!="",0,#REF!)=FN27,$EV$1,IF(M27+IF(#REF!="",0,#REF!)=ER27,$DZ$1,IF(M27+IF(#REF!="",0,#REF!)=DV27,$DD$1)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))</f>
        <v/>
      </c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45"/>
      <c r="AK27" s="11" t="str">
        <f>IF(SUM(P27:S27)-T27&gt;0,SUM(P27:S27)-T27,"")</f>
        <v/>
      </c>
      <c r="AL27" s="11" t="str">
        <f>IF(W27&gt;0,W27,"")</f>
        <v/>
      </c>
      <c r="AM27" s="11" t="str">
        <f>IF(SUM(U27:X27)-Y27&gt;0,SUM(U27:X27)-Y27,"")</f>
        <v/>
      </c>
      <c r="AN27" s="11" t="str">
        <f>IF(AB27&gt;0,AB27,"")</f>
        <v/>
      </c>
      <c r="AO27" s="11" t="str">
        <f>IF(SUM(Z27:AC27)-AD27&gt;0,SUM(Z27:AC27)-AD27,"")</f>
        <v/>
      </c>
      <c r="AP27" s="11" t="str">
        <f>IF(AK27="",IF(MAX(AM27,AO27)&gt;0,MAX(AM27,AO27),""),MAX(AM27,AO27)+AK27)</f>
        <v/>
      </c>
      <c r="AQ27" s="11" t="str">
        <f>IF(AG27&gt;0,AG27,"")</f>
        <v/>
      </c>
      <c r="AR27" s="11" t="str">
        <f>IF(SUM(AE27:AH27)-AI27&gt;0,SUM(AE27:AH27)-AI27,"")</f>
        <v/>
      </c>
      <c r="AS27" s="11" t="str">
        <f>IF(SUM(AP27,AR27)&gt;0,SUM(AP27,AR27),"")</f>
        <v/>
      </c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6"/>
      <c r="BO27" s="14" t="str">
        <f>IF(SUM(AT27:AW27)-AX27&gt;0,SUM(AT27:AW27)-AX27,"")</f>
        <v/>
      </c>
      <c r="BP27" s="14" t="str">
        <f>IF(BA27&gt;0,BA27,"")</f>
        <v/>
      </c>
      <c r="BQ27" s="14" t="str">
        <f>IF(SUM(AY27:BB27)-BC27&gt;0,SUM(AY27:BB27)-BC27,"")</f>
        <v/>
      </c>
      <c r="BR27" s="14" t="str">
        <f>IF(BF27&gt;0,BF27,"")</f>
        <v/>
      </c>
      <c r="BS27" s="14" t="str">
        <f>IF(SUM(BD27:BG27)-BH27&gt;0,SUM(BD27:BG27)-BH27,"")</f>
        <v/>
      </c>
      <c r="BT27" s="14" t="str">
        <f>IF(BO27="",IF(MAX(BQ27,BS27)&gt;0,MAX(BQ27,BS27),""),MAX(BQ27,BS27)+BO27)</f>
        <v/>
      </c>
      <c r="BU27" s="14" t="str">
        <f>IF(BK27&gt;0,BK27,"")</f>
        <v/>
      </c>
      <c r="BV27" s="14" t="str">
        <f>IF(SUM(BI27:BL27)-BM27&gt;0,SUM(BI27:BL27)-BM27,"")</f>
        <v/>
      </c>
      <c r="BW27" s="14" t="str">
        <f>IF(SUM(BT27,BV27)&gt;0,SUM(BT27,BV27),"")</f>
        <v/>
      </c>
      <c r="BX27" s="38">
        <v>16.399999999999999</v>
      </c>
      <c r="BY27" s="38">
        <v>9.3000000000000007</v>
      </c>
      <c r="BZ27" s="38">
        <v>1.7</v>
      </c>
      <c r="CA27" s="38">
        <v>14.92</v>
      </c>
      <c r="CB27" s="38">
        <v>0</v>
      </c>
      <c r="CC27" s="38">
        <v>15.8</v>
      </c>
      <c r="CD27" s="38">
        <v>9</v>
      </c>
      <c r="CE27" s="38">
        <v>9.1999999999999993</v>
      </c>
      <c r="CF27" s="38">
        <v>15.04</v>
      </c>
      <c r="CG27" s="38">
        <v>0</v>
      </c>
      <c r="CH27" s="38"/>
      <c r="CI27" s="38"/>
      <c r="CJ27" s="38"/>
      <c r="CK27" s="38"/>
      <c r="CL27" s="38"/>
      <c r="CM27" s="38">
        <v>9.1999999999999993</v>
      </c>
      <c r="CN27" s="38">
        <v>5</v>
      </c>
      <c r="CO27" s="38">
        <v>5.9</v>
      </c>
      <c r="CP27" s="38">
        <v>9.41</v>
      </c>
      <c r="CQ27" s="38">
        <v>0</v>
      </c>
      <c r="CR27" s="45"/>
      <c r="CS27" s="11">
        <f>IF(SUM(BX27:CA27)-CB27&gt;0,SUM(BX27:CA27)-CB27,"")</f>
        <v>42.32</v>
      </c>
      <c r="CT27" s="11">
        <f>IF(CE27&gt;0,CE27,"")</f>
        <v>9.1999999999999993</v>
      </c>
      <c r="CU27" s="11">
        <f>IF(SUM(CC27:CF27)-CG27&gt;0,SUM(CC27:CF27)-CG27,"")</f>
        <v>49.04</v>
      </c>
      <c r="CV27" s="11" t="str">
        <f>IF(CJ27&gt;0,CJ27,"")</f>
        <v/>
      </c>
      <c r="CW27" s="11" t="str">
        <f>IF(SUM(CH27:CK27)-CL27&gt;0,SUM(CH27:CK27)-CL27,"")</f>
        <v/>
      </c>
      <c r="CX27" s="11">
        <f>IF(CS27="",IF(MAX(CU27,CW27)&gt;0,MAX(CU27,CW27),""),MAX(CU27,CW27)+CS27)</f>
        <v>91.36</v>
      </c>
      <c r="CY27" s="11">
        <f>IF(CO27&gt;0,CO27,"")</f>
        <v>5.9</v>
      </c>
      <c r="CZ27" s="11">
        <f>IF(SUM(CM27:CP27)-CQ27&gt;0,SUM(CM27:CP27)-CQ27,"")</f>
        <v>29.51</v>
      </c>
      <c r="DA27" s="11">
        <f>IF(SUM(CX27,CZ27)&gt;0,SUM(CX27,CZ27),"")</f>
        <v>120.87</v>
      </c>
      <c r="DB27" s="19" t="str">
        <f>IF(I27&gt;=0.001,IF(MAX(DU27,EQ27,FM27,GI27,HE27,IA27,IW27,JS27,KO27,LK27,MG27,NC27)-IF(I27="",0,I27)&gt;0.001,MAX(DU27,EQ27,FM27,GI27,HE27,IA27,IW27,JS27,KO27,LK27,MG27,NC27)-IF(I27="",0,I27),""),"")</f>
        <v/>
      </c>
      <c r="DC27" s="19" t="str">
        <f>IF(K27&gt;=0.001,IF(MAX(DX27,ET27,FP27,GL27,HH27,ID27,IZ27,JV27,KR27,LN27,MJ27,NF27)-IF(K27="",0,K27)&gt;0.001,MAX(DX27,ET27,FP27,GL27,HH27,ID27,IZ27,JV27,KR27,LN27,MJ27,NF27)-IF(K27="",0,K27),""),"")</f>
        <v/>
      </c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8">
        <f>IF($CR27="P",BX27,(BX27+AT27)/2)</f>
        <v>8.1999999999999993</v>
      </c>
      <c r="NI27" s="38">
        <f>IF($CR27="P",BY27,(BY27+AU27)/2)</f>
        <v>4.6500000000000004</v>
      </c>
      <c r="NJ27" s="38">
        <f>IF($CR27="P",BZ27,(BZ27+AV27)/2)</f>
        <v>0.85</v>
      </c>
      <c r="NK27" s="38">
        <f>IF($CR27="P",CA27,(CA27+AW27)/2)</f>
        <v>7.46</v>
      </c>
      <c r="NL27" s="38">
        <f>IF($CR27="P",CB27,(CB27+AX27)/2)</f>
        <v>0</v>
      </c>
      <c r="NM27" s="38">
        <f>IF($CR27="P",CC27,(CC27+AY27)/2)</f>
        <v>7.9</v>
      </c>
      <c r="NN27" s="38">
        <f>IF($CR27="P",CD27,(CD27+AZ27)/2)</f>
        <v>4.5</v>
      </c>
      <c r="NO27" s="38">
        <f>IF($CR27="P",CE27,(CE27+BA27)/2)</f>
        <v>4.5999999999999996</v>
      </c>
      <c r="NP27" s="38">
        <f>IF($CR27="P",CF27,(CF27+BB27)/2)</f>
        <v>7.52</v>
      </c>
      <c r="NQ27" s="38">
        <f>IF($CR27="P",CG27,(CG27+BC27)/2)</f>
        <v>0</v>
      </c>
      <c r="NR27" s="38">
        <f>IF($CR27="P",CH27,(CH27+BD27)/2)</f>
        <v>0</v>
      </c>
      <c r="NS27" s="38">
        <f>IF($CR27="P",CI27,(CI27+BE27)/2)</f>
        <v>0</v>
      </c>
      <c r="NT27" s="38">
        <f>IF($CR27="P",CJ27,(CJ27+BF27)/2)</f>
        <v>0</v>
      </c>
      <c r="NU27" s="38">
        <f>IF($CR27="P",CK27,(CK27+BG27)/2)</f>
        <v>0</v>
      </c>
      <c r="NV27" s="38">
        <f>IF($CR27="P",CL27,(CL27+BH27)/2)</f>
        <v>0</v>
      </c>
      <c r="NW27" s="38">
        <f>IF($CR27="P",CM27,(CM27+BI27)/2)</f>
        <v>4.5999999999999996</v>
      </c>
      <c r="NX27" s="38">
        <f>IF($CR27="P",CN27,(CN27+BJ27)/2)</f>
        <v>2.5</v>
      </c>
      <c r="NY27" s="38">
        <f>IF($CR27="P",CO27,(CO27+BK27)/2)</f>
        <v>2.95</v>
      </c>
      <c r="NZ27" s="38">
        <f>IF($CR27="P",CP27,(CP27+BL27)/2)</f>
        <v>4.7050000000000001</v>
      </c>
      <c r="OA27" s="38">
        <f>IF($CR27="P",CQ27,(CQ27+BM27)/2)</f>
        <v>0</v>
      </c>
      <c r="OB27" s="45" t="s">
        <v>46</v>
      </c>
      <c r="OC27" s="11">
        <f>IF(SUM(NH27:NK27)-NL27&gt;0,SUM(NH27:NK27)-NL27,"")</f>
        <v>21.16</v>
      </c>
      <c r="OD27" s="11">
        <f>IF(NO27&gt;0,NO27,"")</f>
        <v>4.5999999999999996</v>
      </c>
      <c r="OE27" s="11">
        <f>IF(SUM(NM27:NP27)-NQ27&gt;0,SUM(NM27:NP27)-NQ27,"")</f>
        <v>24.52</v>
      </c>
      <c r="OF27" s="11" t="str">
        <f>IF(NT27&gt;0,NT27,"")</f>
        <v/>
      </c>
      <c r="OG27" s="11" t="str">
        <f>IF(SUM(NR27:NU27)-NV27&gt;0,SUM(NR27:NU27)-NV27,"")</f>
        <v/>
      </c>
      <c r="OH27" s="11">
        <f>IF(OR(OC27&lt;&gt;"",OE27&lt;&gt;"",OG27&lt;&gt;""),OC27+MAX(OE27,OG27),"")</f>
        <v>45.68</v>
      </c>
      <c r="OI27" s="11">
        <f>IF(NY27&gt;0,NY27,"")</f>
        <v>2.95</v>
      </c>
      <c r="OJ27" s="11">
        <f t="shared" ref="OJ27" si="34">IF(SUM(NW27:NZ27)-OA27&gt;0,SUM(NW27:NZ27)-OA27,"")</f>
        <v>14.755000000000001</v>
      </c>
      <c r="OK27" s="11">
        <f t="shared" ref="OK27" si="35">IF(SUM(OH27,OJ27)&gt;0,SUM(OH27,OJ27),"")</f>
        <v>60.435000000000002</v>
      </c>
    </row>
    <row r="28" spans="1:401" x14ac:dyDescent="0.2">
      <c r="A28" s="5" t="str" cm="1">
        <f t="array" ref="A28">IF(AND(F28="P",G28="P"),SUMPRODUCT((F$4:F$32="P")*(G$4:G$32="P")*(E$4:E$32&gt;E28))+1,IF(G28="P",SUMPRODUCT((F$4:F$32="")*(G$4:G$32="P")*(E$4:E$32&gt;E28))+1+SUMPRODUCT((F$4:F$32="P")*(G$4:G$32="P")),""))</f>
        <v/>
      </c>
      <c r="B28" s="6" t="s">
        <v>111</v>
      </c>
      <c r="C28" s="7" t="s">
        <v>4</v>
      </c>
      <c r="D28" s="22">
        <v>2001</v>
      </c>
      <c r="E28" s="15">
        <f>SUM(I28:M28)+I28*0.0000001</f>
        <v>75.790004699500003</v>
      </c>
      <c r="F28" s="3" t="str">
        <f>IF(OR(AND(AL28&gt;=AS$34,AM28&gt;=AS$38,AL28&lt;&gt;"",AJ28=""),AND(AN28&gt;=AS$34,AO28&gt;=AS$38,AN28&lt;&gt;"",AN28=""),AND(AQ28&gt;=AS$34,AR28&gt;=AS$38,AQ28&lt;&gt;"",AJ28=""),AND(BP28&gt;=BW$34,BQ28&gt;=BW$38,BP28&lt;&gt;"",BN28=""),AND(BR28&gt;=BW$34,BS28&gt;=BW$38,BR28&lt;&gt;"",BN28=""),AND(BU28&gt;=BW$34,BV28&gt;=BW$38,BU28&lt;&gt;"",BN28=""),AND(CT28&gt;=DA$34,CU28&gt;=DA$38,CT28&lt;&gt;"",CR28=""),AND(CV28&gt;=DA$34,CW28&gt;=DA$38,CV28&lt;&gt;"",CR28=""),AND(CY28&gt;=DA$34,CZ28&gt;=DA$38,CY28&lt;&gt;"",CR28=""),AND(DS28&gt;=DY$34,DU28&gt;=DY$38,DS28&lt;&gt;""),AND(DW28&gt;=DY$34,DX28&gt;=DY$38,DW28&lt;&gt;""),AND(EO28&gt;=EU$34,EQ28&gt;=EU$38,EO28&lt;&gt;""),AND(ES28&gt;=EU$34,ET28&gt;=EU$38,ES28&lt;&gt;""),AND(FK28&gt;=FQ$34,FM28&gt;=FQ$38,FK28&lt;&gt;""),AND(FO28&gt;=FQ$34,FP28&gt;=FQ$38,FO28&lt;&gt;""),AND(GG28&gt;=GM$34,GI28&gt;=GM$38,GG28&lt;&gt;""),AND(GK28&gt;=GM$34,GL28&gt;=GM$38,GK28&lt;&gt;""),AND(HC28&gt;=HI$34,HE28&gt;=HI$38,HC28&lt;&gt;""),AND(HG28&gt;=HI$34,HH28&gt;=HI$38,HG28&lt;&gt;""),AND(HY28&gt;=IE$34,IA28&gt;=IE$38,HY28&lt;&gt;""),AND(IC28&gt;=IE$34,ID28&gt;=IE$38,IC28&lt;&gt;""),AND(IU28&gt;=JA$34,IW28&gt;=JA$38,IU28&lt;&gt;""),AND(IY28&gt;=JA$34,IZ28&gt;=JA$38,IY28&lt;&gt;""),AND(JQ28&gt;=JW$34,JS28&gt;=JW$38,JQ28&lt;&gt;""),AND(JU28&gt;=JW$34,JV28&gt;=JW$38,JU28&lt;&gt;""),AND(KM28&gt;=KS$34,KO28&gt;=KS$38,KM28&lt;&gt;""),AND(KQ28&gt;=KS$34,KR28&gt;=KS$38,KQ28&lt;&gt;""),AND(LI28&gt;=LO$34,LK28&gt;=LO$38,LI28&lt;&gt;""),AND(LM28&gt;=LO$34,LN28&gt;=LO$38,LM28&lt;&gt;""),AND(ME28&gt;=MK$34,MG28&gt;=MK$38,ME28&lt;&gt;""),AND(MI28&gt;=MK$34,MJ28&gt;=MK$38,MI28&lt;&gt;""),AND(NA28&gt;=NG$34,NC28&gt;=NG$38,NA28&lt;&gt;""),AND(NE28&gt;=NG$34,NF28&gt;=NG$38,NE28&lt;&gt;"")),"P","")</f>
        <v/>
      </c>
      <c r="G28" s="3" t="str">
        <f>IF(OR(AND(AM28&gt;=AS$38,AL28&lt;&gt;"",AJ28=""),AND(AO28&gt;=AS$38,AN28&lt;&gt;"",AN28=""),AND(AR28&gt;=AS$38,AQ28&lt;&gt;"",AJ28=""),AND(BQ28&gt;=BW$38,BP28&lt;&gt;"",BN28=""),AND(BS28&gt;=BW$38,BR28&lt;&gt;"",BN28=""),AND(BV28&gt;=BW$38,BU28&lt;&gt;"",BN28=""),AND(CU28&gt;=DA$38,CT28&lt;&gt;"",CR28=""),AND(CW28&gt;=DA$38,CV28&lt;&gt;"",CR28=""),AND(CZ28&gt;=DA$38,CY28&lt;&gt;"",CR28=""),AND(DU28&gt;=DY$38,DS28&lt;&gt;""),AND(DX28&gt;=DY$38,DW28&lt;&gt;""),AND(EQ28&gt;=EU$38,EO28&lt;&gt;""),AND(ET28&gt;=EU$38,ES28&lt;&gt;""),AND(FM28&gt;=FQ$38,FK28&lt;&gt;""),AND(FP28&gt;=FQ$38,FO28&lt;&gt;""),AND(GI28&gt;=GM$38,GG28&lt;&gt;""),AND(GL28&gt;=GM$38,GK28&lt;&gt;""),AND(HE28&gt;=HI$38,HC28&lt;&gt;""),AND(HH28&gt;=HI$38,HG28&lt;&gt;""),AND(IA28&gt;=IE$38,HY28&lt;&gt;""),AND(ID28&gt;=IE$38,IC28&lt;&gt;""),AND(IW28&gt;=JA$38,IU28&lt;&gt;""),AND(IZ28&gt;=JA$38,IY28&lt;&gt;""),AND(JS28&gt;=JW$38,JQ28&lt;&gt;""),AND(JV28&gt;=JW$38,JU28&lt;&gt;""),AND(KO28&gt;=KS$38,KM28&lt;&gt;""),AND(KR28&gt;=KS$38,KQ28&lt;&gt;""),AND(LK28&gt;=LO$38,LI28&lt;&gt;""),AND(LN28&gt;=LO$38,LM28&lt;&gt;""),AND(MG28&gt;=MK$38,ME28&lt;&gt;""),AND(MJ28&gt;=MK$38,MI28&lt;&gt;""),AND(NC28&gt;=NG$38,NA28&lt;&gt;""),AND(NF28&gt;=NG$38,NE28&lt;&gt;"")),"P","")</f>
        <v/>
      </c>
      <c r="H28" s="67" t="str">
        <f>IF(F28="P","National Team",IF(G28="P","No DD",""))</f>
        <v/>
      </c>
      <c r="I28" s="14">
        <f>MAX(AM28,AO28,AR28,BQ28,BS28,BV28,CU28,CW28,CZ28)</f>
        <v>46.995000000000005</v>
      </c>
      <c r="J28" s="14" t="str">
        <f>IF(I28=0,"",IF(OR(I28=CW28,I28=CU28,I28=CZ28),$BX$1,IF(OR(I28=BS28,I28=BQ28,I28=BV28),$AT$1,IF(OR(I28=AO28,I28=AM28,I28=AR28),$P$1,""))))</f>
        <v>2021 Elite Canada</v>
      </c>
      <c r="K28" s="14">
        <f>IF(COUNT(AM28,AO28,AR28,BQ28,BS28,BV28,CU28,CW28,CZ28)&gt;1,LARGE((AM28,AO28,AR28,BQ28,BS28,BV28,CU28,CW28,CZ28),2),0)</f>
        <v>28.794999999999998</v>
      </c>
      <c r="L28" s="14" t="str">
        <f>IF(K28=0,"",IF(OR(K28=CW28,K28=CU28,K28=CZ28),$BX$1,IF(OR(K28=BS28,K28=BQ28,K28=BV28),$AT$1,IF(OR(K28=AO28,K28=AM28,K28=AR28),$P$1,""))))</f>
        <v>2021 Elite Canada</v>
      </c>
      <c r="M28" s="14" t="str">
        <f>IF(MAX(DB28,DC28)&gt;0,MAX(DB28,DC28),"")</f>
        <v/>
      </c>
      <c r="N28" s="20" t="str">
        <f>IF(M28="","",IF(M28=#REF!,"(Vol 1)",IF(M28=DB28,"(Vol 2)",IF(M28=#REF!,"(Prelim)",IF(M28=DC28,"(Final)")))))</f>
        <v/>
      </c>
      <c r="O28" s="14" t="str">
        <f>IF(M28="","",IF(M28=#REF!,IF(M28+IF(#REF!="",0,#REF!)=NB28,$ML$1,IF(M28+IF(#REF!="",0,#REF!)=MF28,$LP$1,IF(M28+IF(#REF!="",0,#REF!)=LJ28,$KT$1,IF(M28+IF(#REF!="",0,#REF!)=KN28,$JX$1,IF(M28+IF(#REF!="",0,#REF!)=JR28,$JB$1,IF(M28+IF(#REF!="",0,#REF!)=IV28,$IF$1,IF(M28+IF(#REF!="",0,#REF!)=HZ28,$HJ$1,IF(M28+IF(#REF!="",0,#REF!)=HD28,$GN$1,IF(M28+IF(#REF!="",0,#REF!)=GH28,$FR$1,IF(M28+IF(#REF!="",0,#REF!)=FL28,$EV$1,IF(M28+IF(#REF!="",0,#REF!)=EP28,$DZ$1,IF(M28+IF(#REF!="",0,#REF!)=DT28,$DD$1)))))))))))),IF(M28=DB28,IF(M28+IF(I28="",0,I28)=NC28,$ML$1,IF(M28+IF(I28="",0,I28)=MG28,$LP$1,IF(M28+IF(I28="",0,I28)=LK28,$KT$1,IF(M28+IF(I28="",0,I28)=KO28,$JX$1,IF(M28+IF(I28="",0,I28)=JS28,$JB$1,IF(M28+IF(I28="",0,I28)=IW28,$IF$1,IF(M28+IF(I28="",0,I28)=IA28,$HJ$1,IF(M28+IF(I28="",0,I28)=HE28,$GN$1,IF(M28+IF(I28="",0,I28)=GI28,$FR$1,IF(M28+IF(I28="",0,I28)=FM28,$EV$1,IF(M28+IF(I28="",0,I28)=EQ28,$DZ$1,IF(M28+IF(I28="",0,I28)=DU28,$DD$1)))))))))))),IF(M28=#REF!,IF(M28+IF(#REF!="",0,#REF!)=ND28,$ML$1,IF(M28+IF(#REF!="",0,#REF!)=MH28,$LP$1,IF(M28+IF(#REF!="",0,#REF!)=LL28,$KT$1,IF(M28+IF(#REF!="",0,#REF!)=KP28,$JX$1,IF(M28+IF(#REF!="",0,#REF!)=JT28,$JB$1,IF(M28+IF(#REF!="",0,#REF!)=IX28,$IF$1,IF(M28+IF(#REF!="",0,#REF!)=IB28,$HJ$1,IF(M28+IF(#REF!="",0,#REF!)=HF28,$GN$1,IF(M28+IF(#REF!="",0,#REF!)=GJ28,$FR$1,IF(M28+IF(#REF!="",0,#REF!)=FN28,$EV$1,IF(M28+IF(#REF!="",0,#REF!)=ER28,$DZ$1,IF(M28+IF(#REF!="",0,#REF!)=DV28,$DD$1)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))</f>
        <v/>
      </c>
      <c r="P28" s="38">
        <v>12.9</v>
      </c>
      <c r="Q28" s="38">
        <v>8.4</v>
      </c>
      <c r="R28" s="38">
        <v>1.3</v>
      </c>
      <c r="S28" s="38">
        <v>13.365</v>
      </c>
      <c r="T28" s="38">
        <v>0</v>
      </c>
      <c r="U28" s="38">
        <v>8</v>
      </c>
      <c r="V28" s="38">
        <v>5.4</v>
      </c>
      <c r="W28" s="38">
        <v>6.5</v>
      </c>
      <c r="X28" s="38">
        <v>8.8949999999999996</v>
      </c>
      <c r="Y28" s="38">
        <v>0</v>
      </c>
      <c r="Z28" s="38"/>
      <c r="AA28" s="38"/>
      <c r="AB28" s="38"/>
      <c r="AC28" s="38"/>
      <c r="AD28" s="38"/>
      <c r="AE28" s="38">
        <v>13</v>
      </c>
      <c r="AF28" s="38">
        <v>9.1</v>
      </c>
      <c r="AG28" s="38">
        <v>9.8000000000000007</v>
      </c>
      <c r="AH28" s="38">
        <v>15.095000000000001</v>
      </c>
      <c r="AI28" s="38">
        <v>0</v>
      </c>
      <c r="AJ28" s="45"/>
      <c r="AK28" s="11">
        <f>IF(SUM(P28:S28)-T28&gt;0,SUM(P28:S28)-T28,"")</f>
        <v>35.965000000000003</v>
      </c>
      <c r="AL28" s="11">
        <f>IF(W28&gt;0,W28,"")</f>
        <v>6.5</v>
      </c>
      <c r="AM28" s="11">
        <f>IF(SUM(U28:X28)-Y28&gt;0,SUM(U28:X28)-Y28,"")</f>
        <v>28.794999999999998</v>
      </c>
      <c r="AN28" s="11" t="str">
        <f>IF(AB28&gt;0,AB28,"")</f>
        <v/>
      </c>
      <c r="AO28" s="11" t="str">
        <f>IF(SUM(Z28:AC28)-AD28&gt;0,SUM(Z28:AC28)-AD28,"")</f>
        <v/>
      </c>
      <c r="AP28" s="11">
        <f>IF(AK28="",IF(MAX(AM28,AO28)&gt;0,MAX(AM28,AO28),""),MAX(AM28,AO28)+AK28)</f>
        <v>64.760000000000005</v>
      </c>
      <c r="AQ28" s="11">
        <f>IF(AG28&gt;0,AG28,"")</f>
        <v>9.8000000000000007</v>
      </c>
      <c r="AR28" s="11">
        <f>IF(SUM(AE28:AH28)-AI28&gt;0,SUM(AE28:AH28)-AI28,"")</f>
        <v>46.995000000000005</v>
      </c>
      <c r="AS28" s="11">
        <f>IF(SUM(AP28,AR28)&gt;0,SUM(AP28,AR28),"")</f>
        <v>111.75500000000001</v>
      </c>
      <c r="AT28" s="42">
        <v>12.9</v>
      </c>
      <c r="AU28" s="42">
        <v>8.8000000000000007</v>
      </c>
      <c r="AV28" s="42">
        <v>2.2999999999999998</v>
      </c>
      <c r="AW28" s="42">
        <v>15.23</v>
      </c>
      <c r="AX28" s="42">
        <v>0</v>
      </c>
      <c r="AY28" s="42">
        <v>1.3</v>
      </c>
      <c r="AZ28" s="42">
        <v>1</v>
      </c>
      <c r="BA28" s="42">
        <v>1.3</v>
      </c>
      <c r="BB28" s="42">
        <v>1.63</v>
      </c>
      <c r="BC28" s="42">
        <v>0</v>
      </c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6"/>
      <c r="BO28" s="14">
        <f>IF(SUM(AT28:AW28)-AX28&gt;0,SUM(AT28:AW28)-AX28,"")</f>
        <v>39.230000000000004</v>
      </c>
      <c r="BP28" s="14">
        <f>IF(BA28&gt;0,BA28,"")</f>
        <v>1.3</v>
      </c>
      <c r="BQ28" s="14">
        <f>IF(SUM(AY28:BB28)-BC28&gt;0,SUM(AY28:BB28)-BC28,"")</f>
        <v>5.2299999999999995</v>
      </c>
      <c r="BR28" s="14" t="str">
        <f>IF(BF28&gt;0,BF28,"")</f>
        <v/>
      </c>
      <c r="BS28" s="14" t="str">
        <f>IF(SUM(BD28:BG28)-BH28&gt;0,SUM(BD28:BG28)-BH28,"")</f>
        <v/>
      </c>
      <c r="BT28" s="14">
        <f>IF(BO28="",IF(MAX(BQ28,BS28)&gt;0,MAX(BQ28,BS28),""),MAX(BQ28,BS28)+BO28)</f>
        <v>44.46</v>
      </c>
      <c r="BU28" s="14" t="str">
        <f>IF(BK28&gt;0,BK28,"")</f>
        <v/>
      </c>
      <c r="BV28" s="14" t="str">
        <f>IF(SUM(BI28:BL28)-BM28&gt;0,SUM(BI28:BL28)-BM28,"")</f>
        <v/>
      </c>
      <c r="BW28" s="14">
        <f>IF(SUM(BT28,BV28)&gt;0,SUM(BT28,BV28),"")</f>
        <v>44.46</v>
      </c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45"/>
      <c r="CS28" s="11" t="str">
        <f>IF(SUM(BX28:CA28)-CB28&gt;0,SUM(BX28:CA28)-CB28,"")</f>
        <v/>
      </c>
      <c r="CT28" s="11" t="str">
        <f>IF(CE28&gt;0,CE28,"")</f>
        <v/>
      </c>
      <c r="CU28" s="11" t="str">
        <f>IF(SUM(CC28:CF28)-CG28&gt;0,SUM(CC28:CF28)-CG28,"")</f>
        <v/>
      </c>
      <c r="CV28" s="11" t="str">
        <f>IF(CJ28&gt;0,CJ28,"")</f>
        <v/>
      </c>
      <c r="CW28" s="11" t="str">
        <f>IF(SUM(CH28:CK28)-CL28&gt;0,SUM(CH28:CK28)-CL28,"")</f>
        <v/>
      </c>
      <c r="CX28" s="11" t="str">
        <f>IF(CS28="",IF(MAX(CU28,CW28)&gt;0,MAX(CU28,CW28),""),MAX(CU28,CW28)+CS28)</f>
        <v/>
      </c>
      <c r="CY28" s="11" t="str">
        <f>IF(CO28&gt;0,CO28,"")</f>
        <v/>
      </c>
      <c r="CZ28" s="11" t="str">
        <f>IF(SUM(CM28:CP28)-CQ28&gt;0,SUM(CM28:CP28)-CQ28,"")</f>
        <v/>
      </c>
      <c r="DA28" s="11" t="str">
        <f>IF(SUM(CX28,CZ28)&gt;0,SUM(CX28,CZ28),"")</f>
        <v/>
      </c>
      <c r="DB28" s="19" t="str">
        <f>IF(I28&gt;=0.001,IF(MAX(DU28,EQ28,FM28,GI28,HE28,IA28,IW28,JS28,KO28,LK28,MG28,NC28)-IF(I28="",0,I28)&gt;0.001,MAX(DU28,EQ28,FM28,GI28,HE28,IA28,IW28,JS28,KO28,LK28,MG28,NC28)-IF(I28="",0,I28),""),"")</f>
        <v/>
      </c>
      <c r="DC28" s="19" t="str">
        <f>IF(K28&gt;=0.001,IF(MAX(DX28,ET28,FP28,GL28,HH28,ID28,IZ28,JV28,KR28,LN28,MJ28,NF28)-IF(K28="",0,K28)&gt;0.001,MAX(DX28,ET28,FP28,GL28,HH28,ID28,IZ28,JV28,KR28,LN28,MJ28,NF28)-IF(K28="",0,K28),""),"")</f>
        <v/>
      </c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8">
        <f>IF($CR28="P",BX28,(BX28+AT28)/2)</f>
        <v>6.45</v>
      </c>
      <c r="NI28" s="38">
        <f>IF($CR28="P",BY28,(BY28+AU28)/2)</f>
        <v>4.4000000000000004</v>
      </c>
      <c r="NJ28" s="38">
        <f>IF($CR28="P",BZ28,(BZ28+AV28)/2)</f>
        <v>1.1499999999999999</v>
      </c>
      <c r="NK28" s="38">
        <f>IF($CR28="P",CA28,(CA28+AW28)/2)</f>
        <v>7.6150000000000002</v>
      </c>
      <c r="NL28" s="38">
        <f>IF($CR28="P",CB28,(CB28+AX28)/2)</f>
        <v>0</v>
      </c>
      <c r="NM28" s="38">
        <f>IF($CR28="P",CC28,(CC28+AY28)/2)</f>
        <v>0.65</v>
      </c>
      <c r="NN28" s="38">
        <f>IF($CR28="P",CD28,(CD28+AZ28)/2)</f>
        <v>0.5</v>
      </c>
      <c r="NO28" s="38">
        <f>IF($CR28="P",CE28,(CE28+BA28)/2)</f>
        <v>0.65</v>
      </c>
      <c r="NP28" s="38">
        <f>IF($CR28="P",CF28,(CF28+BB28)/2)</f>
        <v>0.81499999999999995</v>
      </c>
      <c r="NQ28" s="38">
        <f>IF($CR28="P",CG28,(CG28+BC28)/2)</f>
        <v>0</v>
      </c>
      <c r="NR28" s="38">
        <f>IF($CR28="P",CH28,(CH28+BD28)/2)</f>
        <v>0</v>
      </c>
      <c r="NS28" s="38">
        <f>IF($CR28="P",CI28,(CI28+BE28)/2)</f>
        <v>0</v>
      </c>
      <c r="NT28" s="38">
        <f>IF($CR28="P",CJ28,(CJ28+BF28)/2)</f>
        <v>0</v>
      </c>
      <c r="NU28" s="38">
        <f>IF($CR28="P",CK28,(CK28+BG28)/2)</f>
        <v>0</v>
      </c>
      <c r="NV28" s="38">
        <f>IF($CR28="P",CL28,(CL28+BH28)/2)</f>
        <v>0</v>
      </c>
      <c r="NW28" s="38">
        <f>IF($CR28="P",CM28,(CM28+BI28)/2)</f>
        <v>0</v>
      </c>
      <c r="NX28" s="38">
        <f>IF($CR28="P",CN28,(CN28+BJ28)/2)</f>
        <v>0</v>
      </c>
      <c r="NY28" s="38">
        <f>IF($CR28="P",CO28,(CO28+BK28)/2)</f>
        <v>0</v>
      </c>
      <c r="NZ28" s="38">
        <f>IF($CR28="P",CP28,(CP28+BL28)/2)</f>
        <v>0</v>
      </c>
      <c r="OA28" s="38">
        <f>IF($CR28="P",CQ28,(CQ28+BM28)/2)</f>
        <v>0</v>
      </c>
      <c r="OB28" s="45" t="s">
        <v>46</v>
      </c>
      <c r="OC28" s="11">
        <f>IF(SUM(NH28:NK28)-NL28&gt;0,SUM(NH28:NK28)-NL28,"")</f>
        <v>19.615000000000002</v>
      </c>
      <c r="OD28" s="11">
        <f>IF(NO28&gt;0,NO28,"")</f>
        <v>0.65</v>
      </c>
      <c r="OE28" s="11">
        <f>IF(SUM(NM28:NP28)-NQ28&gt;0,SUM(NM28:NP28)-NQ28,"")</f>
        <v>2.6149999999999998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22.23</v>
      </c>
      <c r="OI28" s="11" t="str">
        <f>IF(NY28&gt;0,NY28,"")</f>
        <v/>
      </c>
      <c r="OJ28" s="11" t="str">
        <f t="shared" ref="OJ28" si="36">IF(SUM(NW28:NZ28)-OA28&gt;0,SUM(NW28:NZ28)-OA28,"")</f>
        <v/>
      </c>
      <c r="OK28" s="11">
        <f t="shared" ref="OK28" si="37">IF(SUM(OH28,OJ28)&gt;0,SUM(OH28,OJ28),"")</f>
        <v>22.23</v>
      </c>
    </row>
    <row r="29" spans="1:401" x14ac:dyDescent="0.2">
      <c r="A29" s="5" t="str" cm="1">
        <f t="array" ref="A29">IF(AND(F29="P",G29="P"),SUMPRODUCT((F$4:F$32="P")*(G$4:G$32="P")*(E$4:E$32&gt;E29))+1,IF(G29="P",SUMPRODUCT((F$4:F$32="")*(G$4:G$32="P")*(E$4:E$32&gt;E29))+1+SUMPRODUCT((F$4:F$32="P")*(G$4:G$32="P")),""))</f>
        <v/>
      </c>
      <c r="B29" s="6" t="s">
        <v>158</v>
      </c>
      <c r="C29" s="7" t="s">
        <v>6</v>
      </c>
      <c r="D29" s="5">
        <v>2001</v>
      </c>
      <c r="E29" s="15">
        <f>SUM(I29:M29)+I29*0.0000001</f>
        <v>53.480004793000006</v>
      </c>
      <c r="F29" s="3" t="str">
        <f>IF(OR(AND(AL29&gt;=AS$34,AM29&gt;=AS$38,AL29&lt;&gt;"",AJ29=""),AND(AN29&gt;=AS$34,AO29&gt;=AS$38,AN29&lt;&gt;"",AN29=""),AND(AQ29&gt;=AS$34,AR29&gt;=AS$38,AQ29&lt;&gt;"",AJ29=""),AND(BP29&gt;=BW$34,BQ29&gt;=BW$38,BP29&lt;&gt;"",BN29=""),AND(BR29&gt;=BW$34,BS29&gt;=BW$38,BR29&lt;&gt;"",BN29=""),AND(BU29&gt;=BW$34,BV29&gt;=BW$38,BU29&lt;&gt;"",BN29=""),AND(CT29&gt;=DA$34,CU29&gt;=DA$38,CT29&lt;&gt;"",CR29=""),AND(CV29&gt;=DA$34,CW29&gt;=DA$38,CV29&lt;&gt;"",CR29=""),AND(CY29&gt;=DA$34,CZ29&gt;=DA$38,CY29&lt;&gt;"",CR29=""),AND(DS29&gt;=DY$34,DU29&gt;=DY$38,DS29&lt;&gt;""),AND(DW29&gt;=DY$34,DX29&gt;=DY$38,DW29&lt;&gt;""),AND(EO29&gt;=EU$34,EQ29&gt;=EU$38,EO29&lt;&gt;""),AND(ES29&gt;=EU$34,ET29&gt;=EU$38,ES29&lt;&gt;""),AND(FK29&gt;=FQ$34,FM29&gt;=FQ$38,FK29&lt;&gt;""),AND(FO29&gt;=FQ$34,FP29&gt;=FQ$38,FO29&lt;&gt;""),AND(GG29&gt;=GM$34,GI29&gt;=GM$38,GG29&lt;&gt;""),AND(GK29&gt;=GM$34,GL29&gt;=GM$38,GK29&lt;&gt;""),AND(HC29&gt;=HI$34,HE29&gt;=HI$38,HC29&lt;&gt;""),AND(HG29&gt;=HI$34,HH29&gt;=HI$38,HG29&lt;&gt;""),AND(HY29&gt;=IE$34,IA29&gt;=IE$38,HY29&lt;&gt;""),AND(IC29&gt;=IE$34,ID29&gt;=IE$38,IC29&lt;&gt;""),AND(IU29&gt;=JA$34,IW29&gt;=JA$38,IU29&lt;&gt;""),AND(IY29&gt;=JA$34,IZ29&gt;=JA$38,IY29&lt;&gt;""),AND(JQ29&gt;=JW$34,JS29&gt;=JW$38,JQ29&lt;&gt;""),AND(JU29&gt;=JW$34,JV29&gt;=JW$38,JU29&lt;&gt;""),AND(KM29&gt;=KS$34,KO29&gt;=KS$38,KM29&lt;&gt;""),AND(KQ29&gt;=KS$34,KR29&gt;=KS$38,KQ29&lt;&gt;""),AND(LI29&gt;=LO$34,LK29&gt;=LO$38,LI29&lt;&gt;""),AND(LM29&gt;=LO$34,LN29&gt;=LO$38,LM29&lt;&gt;""),AND(ME29&gt;=MK$34,MG29&gt;=MK$38,ME29&lt;&gt;""),AND(MI29&gt;=MK$34,MJ29&gt;=MK$38,MI29&lt;&gt;""),AND(NA29&gt;=NG$34,NC29&gt;=NG$38,NA29&lt;&gt;""),AND(NE29&gt;=NG$34,NF29&gt;=NG$38,NE29&lt;&gt;"")),"P","")</f>
        <v/>
      </c>
      <c r="G29" s="3" t="str">
        <f>IF(OR(AND(AM29&gt;=AS$38,AL29&lt;&gt;"",AJ29=""),AND(AO29&gt;=AS$38,AN29&lt;&gt;"",AN29=""),AND(AR29&gt;=AS$38,AQ29&lt;&gt;"",AJ29=""),AND(BQ29&gt;=BW$38,BP29&lt;&gt;"",BN29=""),AND(BS29&gt;=BW$38,BR29&lt;&gt;"",BN29=""),AND(BV29&gt;=BW$38,BU29&lt;&gt;"",BN29=""),AND(CU29&gt;=DA$38,CT29&lt;&gt;"",CR29=""),AND(CW29&gt;=DA$38,CV29&lt;&gt;"",CR29=""),AND(CZ29&gt;=DA$38,CY29&lt;&gt;"",CR29=""),AND(DU29&gt;=DY$38,DS29&lt;&gt;""),AND(DX29&gt;=DY$38,DW29&lt;&gt;""),AND(EQ29&gt;=EU$38,EO29&lt;&gt;""),AND(ET29&gt;=EU$38,ES29&lt;&gt;""),AND(FM29&gt;=FQ$38,FK29&lt;&gt;""),AND(FP29&gt;=FQ$38,FO29&lt;&gt;""),AND(GI29&gt;=GM$38,GG29&lt;&gt;""),AND(GL29&gt;=GM$38,GK29&lt;&gt;""),AND(HE29&gt;=HI$38,HC29&lt;&gt;""),AND(HH29&gt;=HI$38,HG29&lt;&gt;""),AND(IA29&gt;=IE$38,HY29&lt;&gt;""),AND(ID29&gt;=IE$38,IC29&lt;&gt;""),AND(IW29&gt;=JA$38,IU29&lt;&gt;""),AND(IZ29&gt;=JA$38,IY29&lt;&gt;""),AND(JS29&gt;=JW$38,JQ29&lt;&gt;""),AND(JV29&gt;=JW$38,JU29&lt;&gt;""),AND(KO29&gt;=KS$38,KM29&lt;&gt;""),AND(KR29&gt;=KS$38,KQ29&lt;&gt;""),AND(LK29&gt;=LO$38,LI29&lt;&gt;""),AND(LN29&gt;=LO$38,LM29&lt;&gt;""),AND(MG29&gt;=MK$38,ME29&lt;&gt;""),AND(MJ29&gt;=MK$38,MI29&lt;&gt;""),AND(NC29&gt;=NG$38,NA29&lt;&gt;""),AND(NF29&gt;=NG$38,NE29&lt;&gt;"")),"P","")</f>
        <v/>
      </c>
      <c r="H29" s="67" t="str">
        <f>IF(F29="P","National Team",IF(G29="P","No DD",""))</f>
        <v/>
      </c>
      <c r="I29" s="14">
        <f>MAX(AM29,AO29,AR29,BQ29,BS29,BV29,CU29,CW29,CZ29)</f>
        <v>47.93</v>
      </c>
      <c r="J29" s="14" t="str">
        <f>IF(I29=0,"",IF(OR(I29=CW29,I29=CU29,I29=CZ29),$BX$1,IF(OR(I29=BS29,I29=BQ29,I29=BV29),$AT$1,IF(OR(I29=AO29,I29=AM29,I29=AR29),$P$1,""))))</f>
        <v>2022 Elite Canada</v>
      </c>
      <c r="K29" s="14">
        <f>IF(COUNT(AM29,AO29,AR29,BQ29,BS29,BV29,CU29,CW29,CZ29)&gt;1,LARGE((AM29,AO29,AR29,BQ29,BS29,BV29,CU29,CW29,CZ29),2),0)</f>
        <v>5.5500000000000007</v>
      </c>
      <c r="L29" s="14" t="str">
        <f>IF(K29=0,"",IF(OR(K29=CW29,K29=CU29,K29=CZ29),$BX$1,IF(OR(K29=BS29,K29=BQ29,K29=BV29),$AT$1,IF(OR(K29=AO29,K29=AM29,K29=AR29),$P$1,""))))</f>
        <v>2022 Elite Canada</v>
      </c>
      <c r="M29" s="14" t="str">
        <f>IF(MAX(DB29,DC29)&gt;0,MAX(DB29,DC29),"")</f>
        <v/>
      </c>
      <c r="N29" s="20" t="str">
        <f>IF(M29="","",IF(M29=#REF!,"(Vol 1)",IF(M29=DB29,"(Vol 2)",IF(M29=#REF!,"(Prelim)",IF(M29=DC29,"(Final)")))))</f>
        <v/>
      </c>
      <c r="O29" s="14" t="str">
        <f>IF(M29="","",IF(M29=#REF!,IF(M29+IF(#REF!="",0,#REF!)=NB29,$ML$1,IF(M29+IF(#REF!="",0,#REF!)=MF29,$LP$1,IF(M29+IF(#REF!="",0,#REF!)=LJ29,$KT$1,IF(M29+IF(#REF!="",0,#REF!)=KN29,$JX$1,IF(M29+IF(#REF!="",0,#REF!)=JR29,$JB$1,IF(M29+IF(#REF!="",0,#REF!)=IV29,$IF$1,IF(M29+IF(#REF!="",0,#REF!)=HZ29,$HJ$1,IF(M29+IF(#REF!="",0,#REF!)=HD29,$GN$1,IF(M29+IF(#REF!="",0,#REF!)=GH29,$FR$1,IF(M29+IF(#REF!="",0,#REF!)=FL29,$EV$1,IF(M29+IF(#REF!="",0,#REF!)=EP29,$DZ$1,IF(M29+IF(#REF!="",0,#REF!)=DT29,$DD$1)))))))))))),IF(M29=DB29,IF(M29+IF(I29="",0,I29)=NC29,$ML$1,IF(M29+IF(I29="",0,I29)=MG29,$LP$1,IF(M29+IF(I29="",0,I29)=LK29,$KT$1,IF(M29+IF(I29="",0,I29)=KO29,$JX$1,IF(M29+IF(I29="",0,I29)=JS29,$JB$1,IF(M29+IF(I29="",0,I29)=IW29,$IF$1,IF(M29+IF(I29="",0,I29)=IA29,$HJ$1,IF(M29+IF(I29="",0,I29)=HE29,$GN$1,IF(M29+IF(I29="",0,I29)=GI29,$FR$1,IF(M29+IF(I29="",0,I29)=FM29,$EV$1,IF(M29+IF(I29="",0,I29)=EQ29,$DZ$1,IF(M29+IF(I29="",0,I29)=DU29,$DD$1)))))))))))),IF(M29=#REF!,IF(M29+IF(#REF!="",0,#REF!)=ND29,$ML$1,IF(M29+IF(#REF!="",0,#REF!)=MH29,$LP$1,IF(M29+IF(#REF!="",0,#REF!)=LL29,$KT$1,IF(M29+IF(#REF!="",0,#REF!)=KP29,$JX$1,IF(M29+IF(#REF!="",0,#REF!)=JT29,$JB$1,IF(M29+IF(#REF!="",0,#REF!)=IX29,$IF$1,IF(M29+IF(#REF!="",0,#REF!)=IB29,$HJ$1,IF(M29+IF(#REF!="",0,#REF!)=HF29,$GN$1,IF(M29+IF(#REF!="",0,#REF!)=GJ29,$FR$1,IF(M29+IF(#REF!="",0,#REF!)=FN29,$EV$1,IF(M29+IF(#REF!="",0,#REF!)=ER29,$DZ$1,IF(M29+IF(#REF!="",0,#REF!)=DV29,$DD$1)))))))))))),IF(M29=DC29,IF(M29+IF(K29="",0,K29)=NF29,$ML$1,IF(M29+IF(K29="",0,K29)=MJ29,$LP$1,IF(M29+IF(K29="",0,K29)=LN29,$KT$1,IF(M29+IF(K29="",0,K29)=KR29,$JX$1,IF(M29+IF(K29="",0,K29)=JV29,$JB$1,IF(M29+IF(K29="",0,K29)=IZ29,$IF$1,IF(M29+IF(K29="",0,K29)=ID29,$HJ$1,IF(M29+IF(K29="",0,K29)=HH29,$GN$1,IF(M29+IF(K29="",0,K29)=GL29,$FR$1,IF(M29+IF(K29="",0,K29)=FP29,$EV$1,IF(M29+IF(K29="",0,K29)=ET29,$DZ$1,IF(M29+IF(K29="",0,K29)=DX29,$DD$1)))))))))))))))))</f>
        <v/>
      </c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45"/>
      <c r="AK29" s="11" t="str">
        <f>IF(SUM(P29:S29)-T29&gt;0,SUM(P29:S29)-T29,"")</f>
        <v/>
      </c>
      <c r="AL29" s="11" t="str">
        <f>IF(W29&gt;0,W29,"")</f>
        <v/>
      </c>
      <c r="AM29" s="11" t="str">
        <f>IF(SUM(U29:X29)-Y29&gt;0,SUM(U29:X29)-Y29,"")</f>
        <v/>
      </c>
      <c r="AN29" s="11" t="str">
        <f>IF(AB29&gt;0,AB29,"")</f>
        <v/>
      </c>
      <c r="AO29" s="11" t="str">
        <f>IF(SUM(Z29:AC29)-AD29&gt;0,SUM(Z29:AC29)-AD29,"")</f>
        <v/>
      </c>
      <c r="AP29" s="11" t="str">
        <f>IF(AK29="",IF(MAX(AM29,AO29)&gt;0,MAX(AM29,AO29),""),MAX(AM29,AO29)+AK29)</f>
        <v/>
      </c>
      <c r="AQ29" s="11" t="str">
        <f>IF(AG29&gt;0,AG29,"")</f>
        <v/>
      </c>
      <c r="AR29" s="11" t="str">
        <f>IF(SUM(AE29:AH29)-AI29&gt;0,SUM(AE29:AH29)-AI29,"")</f>
        <v/>
      </c>
      <c r="AS29" s="11" t="str">
        <f>IF(SUM(AP29,AR29)&gt;0,SUM(AP29,AR29),"")</f>
        <v/>
      </c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6"/>
      <c r="BO29" s="14" t="str">
        <f>IF(SUM(AT29:AW29)-AX29&gt;0,SUM(AT29:AW29)-AX29,"")</f>
        <v/>
      </c>
      <c r="BP29" s="14" t="str">
        <f>IF(BA29&gt;0,BA29,"")</f>
        <v/>
      </c>
      <c r="BQ29" s="14" t="str">
        <f>IF(SUM(AY29:BB29)-BC29&gt;0,SUM(AY29:BB29)-BC29,"")</f>
        <v/>
      </c>
      <c r="BR29" s="14" t="str">
        <f>IF(BF29&gt;0,BF29,"")</f>
        <v/>
      </c>
      <c r="BS29" s="14" t="str">
        <f>IF(SUM(BD29:BG29)-BH29&gt;0,SUM(BD29:BG29)-BH29,"")</f>
        <v/>
      </c>
      <c r="BT29" s="14" t="str">
        <f>IF(BO29="",IF(MAX(BQ29,BS29)&gt;0,MAX(BQ29,BS29),""),MAX(BQ29,BS29)+BO29)</f>
        <v/>
      </c>
      <c r="BU29" s="14" t="str">
        <f>IF(BK29&gt;0,BK29,"")</f>
        <v/>
      </c>
      <c r="BV29" s="14" t="str">
        <f>IF(SUM(BI29:BL29)-BM29&gt;0,SUM(BI29:BL29)-BM29,"")</f>
        <v/>
      </c>
      <c r="BW29" s="14" t="str">
        <f>IF(SUM(BT29,BV29)&gt;0,SUM(BT29,BV29),"")</f>
        <v/>
      </c>
      <c r="BX29" s="38">
        <v>14.3</v>
      </c>
      <c r="BY29" s="38">
        <v>8.4</v>
      </c>
      <c r="BZ29" s="38">
        <v>1</v>
      </c>
      <c r="CA29" s="38">
        <v>13.88</v>
      </c>
      <c r="CB29" s="38">
        <v>0</v>
      </c>
      <c r="CC29" s="38">
        <v>14.5</v>
      </c>
      <c r="CD29" s="38">
        <v>9.1999999999999993</v>
      </c>
      <c r="CE29" s="38">
        <v>9.1</v>
      </c>
      <c r="CF29" s="38">
        <v>15.13</v>
      </c>
      <c r="CG29" s="38">
        <v>0</v>
      </c>
      <c r="CH29" s="38"/>
      <c r="CI29" s="38"/>
      <c r="CJ29" s="38"/>
      <c r="CK29" s="38"/>
      <c r="CL29" s="38"/>
      <c r="CM29" s="38">
        <v>1.6</v>
      </c>
      <c r="CN29" s="38">
        <v>1</v>
      </c>
      <c r="CO29" s="38">
        <v>1.3</v>
      </c>
      <c r="CP29" s="38">
        <v>1.65</v>
      </c>
      <c r="CQ29" s="38">
        <v>0</v>
      </c>
      <c r="CR29" s="45"/>
      <c r="CS29" s="11">
        <f>IF(SUM(BX29:CA29)-CB29&gt;0,SUM(BX29:CA29)-CB29,"")</f>
        <v>37.580000000000005</v>
      </c>
      <c r="CT29" s="11">
        <f>IF(CE29&gt;0,CE29,"")</f>
        <v>9.1</v>
      </c>
      <c r="CU29" s="11">
        <f>IF(SUM(CC29:CF29)-CG29&gt;0,SUM(CC29:CF29)-CG29,"")</f>
        <v>47.93</v>
      </c>
      <c r="CV29" s="11" t="str">
        <f>IF(CJ29&gt;0,CJ29,"")</f>
        <v/>
      </c>
      <c r="CW29" s="11" t="str">
        <f>IF(SUM(CH29:CK29)-CL29&gt;0,SUM(CH29:CK29)-CL29,"")</f>
        <v/>
      </c>
      <c r="CX29" s="11">
        <f>IF(CS29="",IF(MAX(CU29,CW29)&gt;0,MAX(CU29,CW29),""),MAX(CU29,CW29)+CS29)</f>
        <v>85.51</v>
      </c>
      <c r="CY29" s="11">
        <f>IF(CO29&gt;0,CO29,"")</f>
        <v>1.3</v>
      </c>
      <c r="CZ29" s="11">
        <f>IF(SUM(CM29:CP29)-CQ29&gt;0,SUM(CM29:CP29)-CQ29,"")</f>
        <v>5.5500000000000007</v>
      </c>
      <c r="DA29" s="11">
        <f>IF(SUM(CX29,CZ29)&gt;0,SUM(CX29,CZ29),"")</f>
        <v>91.06</v>
      </c>
      <c r="DB29" s="19" t="str">
        <f>IF(I29&gt;=0.001,IF(MAX(DU29,EQ29,FM29,GI29,HE29,IA29,IW29,JS29,KO29,LK29,MG29,NC29)-IF(I29="",0,I29)&gt;0.001,MAX(DU29,EQ29,FM29,GI29,HE29,IA29,IW29,JS29,KO29,LK29,MG29,NC29)-IF(I29="",0,I29),""),"")</f>
        <v/>
      </c>
      <c r="DC29" s="19" t="str">
        <f>IF(K29&gt;=0.001,IF(MAX(DX29,ET29,FP29,GL29,HH29,ID29,IZ29,JV29,KR29,LN29,MJ29,NF29)-IF(K29="",0,K29)&gt;0.001,MAX(DX29,ET29,FP29,GL29,HH29,ID29,IZ29,JV29,KR29,LN29,MJ29,NF29)-IF(K29="",0,K29),""),"")</f>
        <v/>
      </c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11" t="str">
        <f>IF(DK29&gt;0,DK29,"")</f>
        <v/>
      </c>
      <c r="DT29" s="11" t="str">
        <f>IF(SUM(DD29:DG29)-DH29&gt;0,SUM(DD29:DG29)-DH29,"")</f>
        <v/>
      </c>
      <c r="DU29" s="11" t="str">
        <f>IF(SUM(DI29:DL29)-DM29&gt;0,SUM(DI29:DL29)-DM29,"")</f>
        <v/>
      </c>
      <c r="DV29" s="11" t="str">
        <f>IF(SUM(DT29:DU29)&gt;0,SUM(DT29:DU29),"")</f>
        <v/>
      </c>
      <c r="DW29" s="11" t="str">
        <f>IF(DP29&gt;0,DP29,"")</f>
        <v/>
      </c>
      <c r="DX29" s="11" t="str">
        <f>IF(SUM(DN29:DQ29)-DR29&gt;0,SUM(DN29:DQ29)-DR29,"")</f>
        <v/>
      </c>
      <c r="DY29" s="11" t="str">
        <f>IF(SUM(DV29,DX29)&gt;0,SUM(DV29,DX29),"")</f>
        <v/>
      </c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14" t="str">
        <f>IF(EG29&gt;0,EG29,"")</f>
        <v/>
      </c>
      <c r="EP29" s="14" t="str">
        <f>IF(SUM(DZ29:EC29)-ED29&gt;0,SUM(DZ29:EC29)-ED29,"")</f>
        <v/>
      </c>
      <c r="EQ29" s="14" t="str">
        <f>IF(SUM(EE29:EH29)-EI29&gt;0,SUM(EE29:EH29)-EI29,"")</f>
        <v/>
      </c>
      <c r="ER29" s="14" t="str">
        <f>IF(SUM(EP29:EQ29)&gt;0,SUM(EP29:EQ29),"")</f>
        <v/>
      </c>
      <c r="ES29" s="14" t="str">
        <f>IF(EL29&gt;0,EL29,"")</f>
        <v/>
      </c>
      <c r="ET29" s="14" t="str">
        <f>IF(SUM(EJ29:EM29)-EN29&gt;0,SUM(EJ29:EM29)-EN29,"")</f>
        <v/>
      </c>
      <c r="EU29" s="14" t="str">
        <f>IF(SUM(ER29,ET29)&gt;0,SUM(ER29,ET29),"")</f>
        <v/>
      </c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11" t="str">
        <f>IF(FC29&gt;0,FC29,"")</f>
        <v/>
      </c>
      <c r="FL29" s="11" t="str">
        <f>IF(SUM(EV29:EY29)-EZ29&gt;0,SUM(EV29:EY29)-EZ29,"")</f>
        <v/>
      </c>
      <c r="FM29" s="11" t="str">
        <f>IF(SUM(FA29:FD29)-FE29&gt;0,SUM(FA29:FD29)-FE29,"")</f>
        <v/>
      </c>
      <c r="FN29" s="11" t="str">
        <f>IF(SUM(FL29:FM29)&gt;0,SUM(FL29:FM29),"")</f>
        <v/>
      </c>
      <c r="FO29" s="11" t="str">
        <f>IF(FH29&gt;0,FH29,"")</f>
        <v/>
      </c>
      <c r="FP29" s="11" t="str">
        <f>IF(SUM(FF29:FI29)-FJ29&gt;0,SUM(FF29:FI29)-FJ29,"")</f>
        <v/>
      </c>
      <c r="FQ29" s="11" t="str">
        <f>IF(SUM(FN29,FP29)&gt;0,SUM(FN29,FP29),"")</f>
        <v/>
      </c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14" t="str">
        <f>IF(FY29&gt;0,FY29,"")</f>
        <v/>
      </c>
      <c r="GH29" s="14" t="str">
        <f>IF(SUM(FR29:FU29)-FV29&gt;0,SUM(FR29:FU29)-FV29,"")</f>
        <v/>
      </c>
      <c r="GI29" s="14" t="str">
        <f>IF(SUM(FW29:FZ29)-GA29&gt;0,SUM(FW29:FZ29)-GA29,"")</f>
        <v/>
      </c>
      <c r="GJ29" s="14" t="str">
        <f>IF(SUM(GH29:GI29)&gt;0,SUM(GH29:GI29),"")</f>
        <v/>
      </c>
      <c r="GK29" s="14" t="str">
        <f>IF(GD29&gt;0,GD29,"")</f>
        <v/>
      </c>
      <c r="GL29" s="14" t="str">
        <f>IF(SUM(GB29:GE29)-GF29&gt;0,SUM(GB29:GE29)-GF29,"")</f>
        <v/>
      </c>
      <c r="GM29" s="14" t="str">
        <f>IF(SUM(GJ29,GL29)&gt;0,SUM(GJ29,GL29),"")</f>
        <v/>
      </c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11" t="str">
        <f>IF(GU29&gt;0,GU29,"")</f>
        <v/>
      </c>
      <c r="HD29" s="11" t="str">
        <f>IF(SUM(GN29:GQ29)-GR29&gt;0,SUM(GN29:GQ29)-GR29,"")</f>
        <v/>
      </c>
      <c r="HE29" s="11" t="str">
        <f>IF(SUM(GS29:GV29)-GW29&gt;0,SUM(GS29:GV29)-GW29,"")</f>
        <v/>
      </c>
      <c r="HF29" s="11" t="str">
        <f>IF(SUM(HD29:HE29)&gt;0,SUM(HD29:HE29),"")</f>
        <v/>
      </c>
      <c r="HG29" s="11" t="str">
        <f>IF(GZ29&gt;0,GZ29,"")</f>
        <v/>
      </c>
      <c r="HH29" s="11" t="str">
        <f>IF(SUM(GX29:HA29)-HB29&gt;0,SUM(GX29:HA29)-HB29,"")</f>
        <v/>
      </c>
      <c r="HI29" s="11" t="str">
        <f>IF(SUM(HF29,HH29)&gt;0,SUM(HF29,HH29),"")</f>
        <v/>
      </c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14" t="str">
        <f>IF(HQ29&gt;0,HQ29,"")</f>
        <v/>
      </c>
      <c r="HZ29" s="14" t="str">
        <f>IF(SUM(HJ29:HM29)-HN29&gt;0,SUM(HJ29:HM29)-HN29,"")</f>
        <v/>
      </c>
      <c r="IA29" s="14" t="str">
        <f>IF(SUM(HO29:HR29)-HS29&gt;0,SUM(HO29:HR29)-HS29,"")</f>
        <v/>
      </c>
      <c r="IB29" s="14" t="str">
        <f>IF(SUM(HZ29:IA29)&gt;0,SUM(HZ29:IA29),"")</f>
        <v/>
      </c>
      <c r="IC29" s="14" t="str">
        <f>IF(HV29&gt;0,HV29,"")</f>
        <v/>
      </c>
      <c r="ID29" s="14" t="str">
        <f>IF(SUM(HT29:HW29)-HX29&gt;0,SUM(HT29:HW29)-HX29,"")</f>
        <v/>
      </c>
      <c r="IE29" s="14" t="str">
        <f>IF(SUM(IB29,ID29)&gt;0,SUM(IB29,ID29),"")</f>
        <v/>
      </c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11" t="str">
        <f>IF(IM29&gt;0,IM29,"")</f>
        <v/>
      </c>
      <c r="IV29" s="11" t="str">
        <f>IF(SUM(IF29:II29)-IJ29&gt;0,SUM(IF29:II29)-IJ29,"")</f>
        <v/>
      </c>
      <c r="IW29" s="11" t="str">
        <f>IF(SUM(IK29:IN29)-IO29&gt;0,SUM(IK29:IN29)-IO29,"")</f>
        <v/>
      </c>
      <c r="IX29" s="11" t="str">
        <f>IF(SUM(IV29:IW29)&gt;0,SUM(IV29:IW29),"")</f>
        <v/>
      </c>
      <c r="IY29" s="11" t="str">
        <f>IF(IR29&gt;0,IR29,"")</f>
        <v/>
      </c>
      <c r="IZ29" s="11" t="str">
        <f>IF(SUM(IP29:IS29)-IT29&gt;0,SUM(IP29:IS29)-IT29,"")</f>
        <v/>
      </c>
      <c r="JA29" s="11" t="str">
        <f>IF(SUM(IX29,IZ29)&gt;0,SUM(IX29,IZ29),"")</f>
        <v/>
      </c>
      <c r="JB29" s="26"/>
      <c r="JC29" s="26"/>
      <c r="JD29" s="26"/>
      <c r="JE29" s="26"/>
      <c r="JF29" s="26"/>
      <c r="JG29" s="26"/>
      <c r="JH29" s="26"/>
      <c r="JI29" s="26"/>
      <c r="JJ29" s="26"/>
      <c r="JK29" s="26"/>
      <c r="JL29" s="26"/>
      <c r="JM29" s="26"/>
      <c r="JN29" s="26"/>
      <c r="JO29" s="26"/>
      <c r="JP29" s="26"/>
      <c r="JQ29" s="14" t="str">
        <f>IF(JI29&gt;0,JI29,"")</f>
        <v/>
      </c>
      <c r="JR29" s="14" t="str">
        <f>IF(SUM(JB29:JE29)-JF29&gt;0,SUM(JB29:JE29)-JF29,"")</f>
        <v/>
      </c>
      <c r="JS29" s="14" t="str">
        <f>IF(SUM(JG29:JJ29)-JK29&gt;0,SUM(JG29:JJ29)-JK29,"")</f>
        <v/>
      </c>
      <c r="JT29" s="14" t="str">
        <f>IF(SUM(JR29:JS29)&gt;0,SUM(JR29:JS29),"")</f>
        <v/>
      </c>
      <c r="JU29" s="14" t="str">
        <f>IF(JN29&gt;0,JN29,"")</f>
        <v/>
      </c>
      <c r="JV29" s="14" t="str">
        <f>IF(SUM(JL29:JO29)-JP29&gt;0,SUM(JL29:JO29)-JP29,"")</f>
        <v/>
      </c>
      <c r="JW29" s="14" t="str">
        <f>IF(SUM(JT29,JV29)&gt;0,SUM(JT29,JV29),"")</f>
        <v/>
      </c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11" t="str">
        <f>IF(KE29&gt;0,KE29,"")</f>
        <v/>
      </c>
      <c r="KN29" s="11" t="str">
        <f>IF(SUM(JX29:KA29)-KB29&gt;0,SUM(JX29:KA29)-KB29,"")</f>
        <v/>
      </c>
      <c r="KO29" s="11" t="str">
        <f>IF(SUM(KC29:KF29)-KG29&gt;0,SUM(KC29:KF29)-KG29,"")</f>
        <v/>
      </c>
      <c r="KP29" s="11" t="str">
        <f>IF(SUM(KN29:KO29)&gt;0,SUM(KN29:KO29),"")</f>
        <v/>
      </c>
      <c r="KQ29" s="11" t="str">
        <f>IF(KJ29&gt;0,KJ29,"")</f>
        <v/>
      </c>
      <c r="KR29" s="11" t="str">
        <f>IF(SUM(KH29:KK29)-KL29&gt;0,SUM(KH29:KK29)-KL29,"")</f>
        <v/>
      </c>
      <c r="KS29" s="11" t="str">
        <f>IF(SUM(KP29,KR29)&gt;0,SUM(KP29,KR29),"")</f>
        <v/>
      </c>
      <c r="KT29" s="26"/>
      <c r="KU29" s="26"/>
      <c r="KV29" s="26"/>
      <c r="KW29" s="26"/>
      <c r="KX29" s="26"/>
      <c r="KY29" s="26"/>
      <c r="KZ29" s="26"/>
      <c r="LA29" s="26"/>
      <c r="LB29" s="26"/>
      <c r="LC29" s="26"/>
      <c r="LD29" s="26"/>
      <c r="LE29" s="26"/>
      <c r="LF29" s="26"/>
      <c r="LG29" s="26"/>
      <c r="LH29" s="26"/>
      <c r="LI29" s="14" t="str">
        <f>IF(LA29&gt;0,LA29,"")</f>
        <v/>
      </c>
      <c r="LJ29" s="14" t="str">
        <f>IF(SUM(KT29:KW29)-KX29&gt;0,SUM(KT29:KW29)-KX29,"")</f>
        <v/>
      </c>
      <c r="LK29" s="14" t="str">
        <f>IF(SUM(KY29:LB29)-LC29&gt;0,SUM(KY29:LB29)-LC29,"")</f>
        <v/>
      </c>
      <c r="LL29" s="14" t="str">
        <f>IF(SUM(LJ29:LK29)&gt;0,SUM(LJ29:LK29),"")</f>
        <v/>
      </c>
      <c r="LM29" s="14" t="str">
        <f>IF(LF29&gt;0,LF29,"")</f>
        <v/>
      </c>
      <c r="LN29" s="14" t="str">
        <f>IF(SUM(LD29:LG29)-LH29&gt;0,SUM(LD29:LG29)-LH29,"")</f>
        <v/>
      </c>
      <c r="LO29" s="14" t="str">
        <f>IF(SUM(LL29,LN29)&gt;0,SUM(LL29,LN29),"")</f>
        <v/>
      </c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11" t="str">
        <f>IF(LW29&gt;0,LW29,"")</f>
        <v/>
      </c>
      <c r="MF29" s="11" t="str">
        <f>IF(SUM(LP29:LS29)-LT29&gt;0,SUM(LP29:LS29)-LT29,"")</f>
        <v/>
      </c>
      <c r="MG29" s="11" t="str">
        <f>IF(SUM(LU29:LX29)-LY29&gt;0,SUM(LU29:LX29)-LY29,"")</f>
        <v/>
      </c>
      <c r="MH29" s="11" t="str">
        <f>IF(SUM(MF29:MG29)&gt;0,SUM(MF29:MG29),"")</f>
        <v/>
      </c>
      <c r="MI29" s="11" t="str">
        <f>IF(MB29&gt;0,MB29,"")</f>
        <v/>
      </c>
      <c r="MJ29" s="11" t="str">
        <f>IF(SUM(LZ29:MC29)-MD29&gt;0,SUM(LZ29:MC29)-MD29,"")</f>
        <v/>
      </c>
      <c r="MK29" s="11" t="str">
        <f>IF(SUM(MH29,MJ29)&gt;0,SUM(MH29,MJ29),"")</f>
        <v/>
      </c>
      <c r="ML29" s="26"/>
      <c r="MM29" s="26"/>
      <c r="MN29" s="26"/>
      <c r="MO29" s="26"/>
      <c r="MP29" s="26"/>
      <c r="MQ29" s="26"/>
      <c r="MR29" s="26"/>
      <c r="MS29" s="26"/>
      <c r="MT29" s="26"/>
      <c r="MU29" s="26"/>
      <c r="MV29" s="26"/>
      <c r="MW29" s="26"/>
      <c r="MX29" s="26"/>
      <c r="MY29" s="26"/>
      <c r="MZ29" s="26"/>
      <c r="NA29" s="14" t="str">
        <f>IF(MS29&gt;0,MS29,"")</f>
        <v/>
      </c>
      <c r="NB29" s="14" t="str">
        <f>IF(SUM(ML29:MO29)-MP29&gt;0,SUM(ML29:MO29)-MP29,"")</f>
        <v/>
      </c>
      <c r="NC29" s="14" t="str">
        <f>IF(SUM(MQ29:MT29)-MU29&gt;0,SUM(MQ29:MT29)-MU29,"")</f>
        <v/>
      </c>
      <c r="ND29" s="14" t="str">
        <f>IF(SUM(NB29:NC29)&gt;0,SUM(NB29:NC29),"")</f>
        <v/>
      </c>
      <c r="NE29" s="14" t="str">
        <f>IF(MX29&gt;0,MX29,"")</f>
        <v/>
      </c>
      <c r="NF29" s="14" t="str">
        <f>IF(SUM(MV29:MY29)-MZ29&gt;0,SUM(MV29:MY29)-MZ29,"")</f>
        <v/>
      </c>
      <c r="NG29" s="14" t="str">
        <f>IF(SUM(ND29,NF29)&gt;0,SUM(ND29,NF29),"")</f>
        <v/>
      </c>
      <c r="NH29" s="38">
        <f>IF($CR29="P",BX29,(BX29+AT29)/2)</f>
        <v>7.15</v>
      </c>
      <c r="NI29" s="38">
        <f>IF($CR29="P",BY29,(BY29+AU29)/2)</f>
        <v>4.2</v>
      </c>
      <c r="NJ29" s="38">
        <f>IF($CR29="P",BZ29,(BZ29+AV29)/2)</f>
        <v>0.5</v>
      </c>
      <c r="NK29" s="38">
        <f>IF($CR29="P",CA29,(CA29+AW29)/2)</f>
        <v>6.94</v>
      </c>
      <c r="NL29" s="38">
        <f>IF($CR29="P",CB29,(CB29+AX29)/2)</f>
        <v>0</v>
      </c>
      <c r="NM29" s="38">
        <f>IF($CR29="P",CC29,(CC29+AY29)/2)</f>
        <v>7.25</v>
      </c>
      <c r="NN29" s="38">
        <f>IF($CR29="P",CD29,(CD29+AZ29)/2)</f>
        <v>4.5999999999999996</v>
      </c>
      <c r="NO29" s="38">
        <f>IF($CR29="P",CE29,(CE29+BA29)/2)</f>
        <v>4.55</v>
      </c>
      <c r="NP29" s="38">
        <f>IF($CR29="P",CF29,(CF29+BB29)/2)</f>
        <v>7.5650000000000004</v>
      </c>
      <c r="NQ29" s="38">
        <f>IF($CR29="P",CG29,(CG29+BC29)/2)</f>
        <v>0</v>
      </c>
      <c r="NR29" s="38">
        <f>IF($CR29="P",CH29,(CH29+BD29)/2)</f>
        <v>0</v>
      </c>
      <c r="NS29" s="38">
        <f>IF($CR29="P",CI29,(CI29+BE29)/2)</f>
        <v>0</v>
      </c>
      <c r="NT29" s="38">
        <f>IF($CR29="P",CJ29,(CJ29+BF29)/2)</f>
        <v>0</v>
      </c>
      <c r="NU29" s="38">
        <f>IF($CR29="P",CK29,(CK29+BG29)/2)</f>
        <v>0</v>
      </c>
      <c r="NV29" s="38">
        <f>IF($CR29="P",CL29,(CL29+BH29)/2)</f>
        <v>0</v>
      </c>
      <c r="NW29" s="38">
        <f>IF($CR29="P",CM29,(CM29+BI29)/2)</f>
        <v>0.8</v>
      </c>
      <c r="NX29" s="38">
        <f>IF($CR29="P",CN29,(CN29+BJ29)/2)</f>
        <v>0.5</v>
      </c>
      <c r="NY29" s="38">
        <f>IF($CR29="P",CO29,(CO29+BK29)/2)</f>
        <v>0.65</v>
      </c>
      <c r="NZ29" s="38">
        <f>IF($CR29="P",CP29,(CP29+BL29)/2)</f>
        <v>0.82499999999999996</v>
      </c>
      <c r="OA29" s="38">
        <f>IF($CR29="P",CQ29,(CQ29+BM29)/2)</f>
        <v>0</v>
      </c>
      <c r="OB29" s="45" t="s">
        <v>46</v>
      </c>
      <c r="OC29" s="11">
        <f>IF(SUM(NH29:NK29)-NL29&gt;0,SUM(NH29:NK29)-NL29,"")</f>
        <v>18.790000000000003</v>
      </c>
      <c r="OD29" s="11">
        <f>IF(NO29&gt;0,NO29,"")</f>
        <v>4.55</v>
      </c>
      <c r="OE29" s="11">
        <f>IF(SUM(NM29:NP29)-NQ29&gt;0,SUM(NM29:NP29)-NQ29,"")</f>
        <v>23.965</v>
      </c>
      <c r="OF29" s="11" t="str">
        <f>IF(NT29&gt;0,NT29,"")</f>
        <v/>
      </c>
      <c r="OG29" s="11" t="str">
        <f>IF(SUM(NR29:NU29)-NV29&gt;0,SUM(NR29:NU29)-NV29,"")</f>
        <v/>
      </c>
      <c r="OH29" s="11">
        <f>IF(OR(OC29&lt;&gt;"",OE29&lt;&gt;"",OG29&lt;&gt;""),OC29+MAX(OE29,OG29),"")</f>
        <v>42.755000000000003</v>
      </c>
      <c r="OI29" s="11">
        <f>IF(NY29&gt;0,NY29,"")</f>
        <v>0.65</v>
      </c>
      <c r="OJ29" s="11">
        <f t="shared" ref="OJ29" si="38">IF(SUM(NW29:NZ29)-OA29&gt;0,SUM(NW29:NZ29)-OA29,"")</f>
        <v>2.7750000000000004</v>
      </c>
      <c r="OK29" s="11">
        <f t="shared" ref="OK29" si="39">IF(SUM(OH29,OJ29)&gt;0,SUM(OH29,OJ29),"")</f>
        <v>45.53</v>
      </c>
    </row>
    <row r="30" spans="1:401" x14ac:dyDescent="0.2">
      <c r="A30" s="5" t="str" cm="1">
        <f t="array" ref="A30">IF(AND(F30="P",G30="P"),SUMPRODUCT((F$4:F$32="P")*(G$4:G$32="P")*(E$4:E$32&gt;E30))+1,IF(G30="P",SUMPRODUCT((F$4:F$32="")*(G$4:G$32="P")*(E$4:E$32&gt;E30))+1+SUMPRODUCT((F$4:F$32="P")*(G$4:G$32="P")),""))</f>
        <v/>
      </c>
      <c r="B30" s="6" t="s">
        <v>156</v>
      </c>
      <c r="C30" s="7" t="s">
        <v>3</v>
      </c>
      <c r="D30" s="5">
        <v>2002</v>
      </c>
      <c r="E30" s="15">
        <f>SUM(I30:M30)+I30*0.0000001</f>
        <v>43.110004310999997</v>
      </c>
      <c r="F30" s="3" t="str">
        <f>IF(OR(AND(AL30&gt;=AS$34,AM30&gt;=AS$38,AL30&lt;&gt;"",AJ30=""),AND(AN30&gt;=AS$34,AO30&gt;=AS$38,AN30&lt;&gt;"",AN30=""),AND(AQ30&gt;=AS$34,AR30&gt;=AS$38,AQ30&lt;&gt;"",AJ30=""),AND(BP30&gt;=BW$34,BQ30&gt;=BW$38,BP30&lt;&gt;"",BN30=""),AND(BR30&gt;=BW$34,BS30&gt;=BW$38,BR30&lt;&gt;"",BN30=""),AND(BU30&gt;=BW$34,BV30&gt;=BW$38,BU30&lt;&gt;"",BN30=""),AND(CT30&gt;=DA$34,CU30&gt;=DA$38,CT30&lt;&gt;"",CR30=""),AND(CV30&gt;=DA$34,CW30&gt;=DA$38,CV30&lt;&gt;"",CR30=""),AND(CY30&gt;=DA$34,CZ30&gt;=DA$38,CY30&lt;&gt;"",CR30=""),AND(DS30&gt;=DY$34,DU30&gt;=DY$38,DS30&lt;&gt;""),AND(DW30&gt;=DY$34,DX30&gt;=DY$38,DW30&lt;&gt;""),AND(EO30&gt;=EU$34,EQ30&gt;=EU$38,EO30&lt;&gt;""),AND(ES30&gt;=EU$34,ET30&gt;=EU$38,ES30&lt;&gt;""),AND(FK30&gt;=FQ$34,FM30&gt;=FQ$38,FK30&lt;&gt;""),AND(FO30&gt;=FQ$34,FP30&gt;=FQ$38,FO30&lt;&gt;""),AND(GG30&gt;=GM$34,GI30&gt;=GM$38,GG30&lt;&gt;""),AND(GK30&gt;=GM$34,GL30&gt;=GM$38,GK30&lt;&gt;""),AND(HC30&gt;=HI$34,HE30&gt;=HI$38,HC30&lt;&gt;""),AND(HG30&gt;=HI$34,HH30&gt;=HI$38,HG30&lt;&gt;""),AND(HY30&gt;=IE$34,IA30&gt;=IE$38,HY30&lt;&gt;""),AND(IC30&gt;=IE$34,ID30&gt;=IE$38,IC30&lt;&gt;""),AND(IU30&gt;=JA$34,IW30&gt;=JA$38,IU30&lt;&gt;""),AND(IY30&gt;=JA$34,IZ30&gt;=JA$38,IY30&lt;&gt;""),AND(JQ30&gt;=JW$34,JS30&gt;=JW$38,JQ30&lt;&gt;""),AND(JU30&gt;=JW$34,JV30&gt;=JW$38,JU30&lt;&gt;""),AND(KM30&gt;=KS$34,KO30&gt;=KS$38,KM30&lt;&gt;""),AND(KQ30&gt;=KS$34,KR30&gt;=KS$38,KQ30&lt;&gt;""),AND(LI30&gt;=LO$34,LK30&gt;=LO$38,LI30&lt;&gt;""),AND(LM30&gt;=LO$34,LN30&gt;=LO$38,LM30&lt;&gt;""),AND(ME30&gt;=MK$34,MG30&gt;=MK$38,ME30&lt;&gt;""),AND(MI30&gt;=MK$34,MJ30&gt;=MK$38,MI30&lt;&gt;""),AND(NA30&gt;=NG$34,NC30&gt;=NG$38,NA30&lt;&gt;""),AND(NE30&gt;=NG$34,NF30&gt;=NG$38,NE30&lt;&gt;"")),"P","")</f>
        <v/>
      </c>
      <c r="G30" s="3" t="str">
        <f>IF(OR(AND(AM30&gt;=AS$38,AL30&lt;&gt;"",AJ30=""),AND(AO30&gt;=AS$38,AN30&lt;&gt;"",AN30=""),AND(AR30&gt;=AS$38,AQ30&lt;&gt;"",AJ30=""),AND(BQ30&gt;=BW$38,BP30&lt;&gt;"",BN30=""),AND(BS30&gt;=BW$38,BR30&lt;&gt;"",BN30=""),AND(BV30&gt;=BW$38,BU30&lt;&gt;"",BN30=""),AND(CU30&gt;=DA$38,CT30&lt;&gt;"",CR30=""),AND(CW30&gt;=DA$38,CV30&lt;&gt;"",CR30=""),AND(CZ30&gt;=DA$38,CY30&lt;&gt;"",CR30=""),AND(DU30&gt;=DY$38,DS30&lt;&gt;""),AND(DX30&gt;=DY$38,DW30&lt;&gt;""),AND(EQ30&gt;=EU$38,EO30&lt;&gt;""),AND(ET30&gt;=EU$38,ES30&lt;&gt;""),AND(FM30&gt;=FQ$38,FK30&lt;&gt;""),AND(FP30&gt;=FQ$38,FO30&lt;&gt;""),AND(GI30&gt;=GM$38,GG30&lt;&gt;""),AND(GL30&gt;=GM$38,GK30&lt;&gt;""),AND(HE30&gt;=HI$38,HC30&lt;&gt;""),AND(HH30&gt;=HI$38,HG30&lt;&gt;""),AND(IA30&gt;=IE$38,HY30&lt;&gt;""),AND(ID30&gt;=IE$38,IC30&lt;&gt;""),AND(IW30&gt;=JA$38,IU30&lt;&gt;""),AND(IZ30&gt;=JA$38,IY30&lt;&gt;""),AND(JS30&gt;=JW$38,JQ30&lt;&gt;""),AND(JV30&gt;=JW$38,JU30&lt;&gt;""),AND(KO30&gt;=KS$38,KM30&lt;&gt;""),AND(KR30&gt;=KS$38,KQ30&lt;&gt;""),AND(LK30&gt;=LO$38,LI30&lt;&gt;""),AND(LN30&gt;=LO$38,LM30&lt;&gt;""),AND(MG30&gt;=MK$38,ME30&lt;&gt;""),AND(MJ30&gt;=MK$38,MI30&lt;&gt;""),AND(NC30&gt;=NG$38,NA30&lt;&gt;""),AND(NF30&gt;=NG$38,NE30&lt;&gt;"")),"P","")</f>
        <v/>
      </c>
      <c r="H30" s="67" t="str">
        <f>IF(F30="P","National Team",IF(G30="P","No DD",""))</f>
        <v/>
      </c>
      <c r="I30" s="14">
        <f>MAX(AM30,AO30,AR30,BQ30,BS30,BV30,CU30,CW30,CZ30)</f>
        <v>43.11</v>
      </c>
      <c r="J30" s="14" t="str">
        <f>IF(I30=0,"",IF(OR(I30=CW30,I30=CU30,I30=CZ30),$BX$1,IF(OR(I30=BS30,I30=BQ30,I30=BV30),$AT$1,IF(OR(I30=AO30,I30=AM30,I30=AR30),$P$1,""))))</f>
        <v>2022 Elite Canada</v>
      </c>
      <c r="K30" s="14">
        <f>IF(COUNT(AM30,AO30,AR30,BQ30,BS30,BV30,CU30,CW30,CZ30)&gt;1,LARGE((AM30,AO30,AR30,BQ30,BS30,BV30,CU30,CW30,CZ30),2),0)</f>
        <v>0</v>
      </c>
      <c r="L30" s="14" t="str">
        <f>IF(K30=0,"",IF(OR(K30=CW30,K30=CU30,K30=CZ30),$BX$1,IF(OR(K30=BS30,K30=BQ30,K30=BV30),$AT$1,IF(OR(K30=AO30,K30=AM30,K30=AR30),$P$1,""))))</f>
        <v/>
      </c>
      <c r="M30" s="14" t="str">
        <f>IF(MAX(DB30,DC30)&gt;0,MAX(DB30,DC30),"")</f>
        <v/>
      </c>
      <c r="N30" s="20" t="str">
        <f>IF(M30="","",IF(M30=#REF!,"(Vol 1)",IF(M30=DB30,"(Vol 2)",IF(M30=#REF!,"(Prelim)",IF(M30=DC30,"(Final)")))))</f>
        <v/>
      </c>
      <c r="O30" s="14" t="str">
        <f>IF(M30="","",IF(M30=#REF!,IF(M30+IF(#REF!="",0,#REF!)=NB30,$ML$1,IF(M30+IF(#REF!="",0,#REF!)=MF30,$LP$1,IF(M30+IF(#REF!="",0,#REF!)=LJ30,$KT$1,IF(M30+IF(#REF!="",0,#REF!)=KN30,$JX$1,IF(M30+IF(#REF!="",0,#REF!)=JR30,$JB$1,IF(M30+IF(#REF!="",0,#REF!)=IV30,$IF$1,IF(M30+IF(#REF!="",0,#REF!)=HZ30,$HJ$1,IF(M30+IF(#REF!="",0,#REF!)=HD30,$GN$1,IF(M30+IF(#REF!="",0,#REF!)=GH30,$FR$1,IF(M30+IF(#REF!="",0,#REF!)=FL30,$EV$1,IF(M30+IF(#REF!="",0,#REF!)=EP30,$DZ$1,IF(M30+IF(#REF!="",0,#REF!)=DT30,$DD$1)))))))))))),IF(M30=DB30,IF(M30+IF(I30="",0,I30)=NC30,$ML$1,IF(M30+IF(I30="",0,I30)=MG30,$LP$1,IF(M30+IF(I30="",0,I30)=LK30,$KT$1,IF(M30+IF(I30="",0,I30)=KO30,$JX$1,IF(M30+IF(I30="",0,I30)=JS30,$JB$1,IF(M30+IF(I30="",0,I30)=IW30,$IF$1,IF(M30+IF(I30="",0,I30)=IA30,$HJ$1,IF(M30+IF(I30="",0,I30)=HE30,$GN$1,IF(M30+IF(I30="",0,I30)=GI30,$FR$1,IF(M30+IF(I30="",0,I30)=FM30,$EV$1,IF(M30+IF(I30="",0,I30)=EQ30,$DZ$1,IF(M30+IF(I30="",0,I30)=DU30,$DD$1)))))))))))),IF(M30=#REF!,IF(M30+IF(#REF!="",0,#REF!)=ND30,$ML$1,IF(M30+IF(#REF!="",0,#REF!)=MH30,$LP$1,IF(M30+IF(#REF!="",0,#REF!)=LL30,$KT$1,IF(M30+IF(#REF!="",0,#REF!)=KP30,$JX$1,IF(M30+IF(#REF!="",0,#REF!)=JT30,$JB$1,IF(M30+IF(#REF!="",0,#REF!)=IX30,$IF$1,IF(M30+IF(#REF!="",0,#REF!)=IB30,$HJ$1,IF(M30+IF(#REF!="",0,#REF!)=HF30,$GN$1,IF(M30+IF(#REF!="",0,#REF!)=GJ30,$FR$1,IF(M30+IF(#REF!="",0,#REF!)=FN30,$EV$1,IF(M30+IF(#REF!="",0,#REF!)=ER30,$DZ$1,IF(M30+IF(#REF!="",0,#REF!)=DV30,$DD$1)))))))))))),IF(M30=DC30,IF(M30+IF(K30="",0,K30)=NF30,$ML$1,IF(M30+IF(K30="",0,K30)=MJ30,$LP$1,IF(M30+IF(K30="",0,K30)=LN30,$KT$1,IF(M30+IF(K30="",0,K30)=KR30,$JX$1,IF(M30+IF(K30="",0,K30)=JV30,$JB$1,IF(M30+IF(K30="",0,K30)=IZ30,$IF$1,IF(M30+IF(K30="",0,K30)=ID30,$HJ$1,IF(M30+IF(K30="",0,K30)=HH30,$GN$1,IF(M30+IF(K30="",0,K30)=GL30,$FR$1,IF(M30+IF(K30="",0,K30)=FP30,$EV$1,IF(M30+IF(K30="",0,K30)=ET30,$DZ$1,IF(M30+IF(K30="",0,K30)=DX30,$DD$1)))))))))))))))))</f>
        <v/>
      </c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45"/>
      <c r="AK30" s="11" t="str">
        <f>IF(SUM(P30:S30)-T30&gt;0,SUM(P30:S30)-T30,"")</f>
        <v/>
      </c>
      <c r="AL30" s="11" t="str">
        <f>IF(W30&gt;0,W30,"")</f>
        <v/>
      </c>
      <c r="AM30" s="11" t="str">
        <f>IF(SUM(U30:X30)-Y30&gt;0,SUM(U30:X30)-Y30,"")</f>
        <v/>
      </c>
      <c r="AN30" s="11" t="str">
        <f>IF(AB30&gt;0,AB30,"")</f>
        <v/>
      </c>
      <c r="AO30" s="11" t="str">
        <f>IF(SUM(Z30:AC30)-AD30&gt;0,SUM(Z30:AC30)-AD30,"")</f>
        <v/>
      </c>
      <c r="AP30" s="11" t="str">
        <f>IF(AK30="",IF(MAX(AM30,AO30)&gt;0,MAX(AM30,AO30),""),MAX(AM30,AO30)+AK30)</f>
        <v/>
      </c>
      <c r="AQ30" s="11" t="str">
        <f>IF(AG30&gt;0,AG30,"")</f>
        <v/>
      </c>
      <c r="AR30" s="11" t="str">
        <f>IF(SUM(AE30:AH30)-AI30&gt;0,SUM(AE30:AH30)-AI30,"")</f>
        <v/>
      </c>
      <c r="AS30" s="11" t="str">
        <f>IF(SUM(AP30,AR30)&gt;0,SUM(AP30,AR30),"")</f>
        <v/>
      </c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6"/>
      <c r="BO30" s="14" t="str">
        <f>IF(SUM(AT30:AW30)-AX30&gt;0,SUM(AT30:AW30)-AX30,"")</f>
        <v/>
      </c>
      <c r="BP30" s="14" t="str">
        <f>IF(BA30&gt;0,BA30,"")</f>
        <v/>
      </c>
      <c r="BQ30" s="14" t="str">
        <f>IF(SUM(AY30:BB30)-BC30&gt;0,SUM(AY30:BB30)-BC30,"")</f>
        <v/>
      </c>
      <c r="BR30" s="14" t="str">
        <f>IF(BF30&gt;0,BF30,"")</f>
        <v/>
      </c>
      <c r="BS30" s="14" t="str">
        <f>IF(SUM(BD30:BG30)-BH30&gt;0,SUM(BD30:BG30)-BH30,"")</f>
        <v/>
      </c>
      <c r="BT30" s="14" t="str">
        <f>IF(BO30="",IF(MAX(BQ30,BS30)&gt;0,MAX(BQ30,BS30),""),MAX(BQ30,BS30)+BO30)</f>
        <v/>
      </c>
      <c r="BU30" s="14" t="str">
        <f>IF(BK30&gt;0,BK30,"")</f>
        <v/>
      </c>
      <c r="BV30" s="14" t="str">
        <f>IF(SUM(BI30:BL30)-BM30&gt;0,SUM(BI30:BL30)-BM30,"")</f>
        <v/>
      </c>
      <c r="BW30" s="14" t="str">
        <f>IF(SUM(BT30,BV30)&gt;0,SUM(BT30,BV30),"")</f>
        <v/>
      </c>
      <c r="BX30" s="38">
        <v>15.1</v>
      </c>
      <c r="BY30" s="38">
        <v>9.5</v>
      </c>
      <c r="BZ30" s="38">
        <v>2.7</v>
      </c>
      <c r="CA30" s="38">
        <v>15.02</v>
      </c>
      <c r="CB30" s="38">
        <v>0</v>
      </c>
      <c r="CC30" s="38">
        <v>12.3</v>
      </c>
      <c r="CD30" s="38">
        <v>9.4</v>
      </c>
      <c r="CE30" s="38">
        <v>8</v>
      </c>
      <c r="CF30" s="38">
        <v>14.51</v>
      </c>
      <c r="CG30" s="38">
        <v>1.1000000000000001</v>
      </c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45"/>
      <c r="CS30" s="11">
        <f>IF(SUM(BX30:CA30)-CB30&gt;0,SUM(BX30:CA30)-CB30,"")</f>
        <v>42.32</v>
      </c>
      <c r="CT30" s="11">
        <f>IF(CE30&gt;0,CE30,"")</f>
        <v>8</v>
      </c>
      <c r="CU30" s="11">
        <f>IF(SUM(CC30:CF30)-CG30&gt;0,SUM(CC30:CF30)-CG30,"")</f>
        <v>43.11</v>
      </c>
      <c r="CV30" s="11" t="str">
        <f>IF(CJ30&gt;0,CJ30,"")</f>
        <v/>
      </c>
      <c r="CW30" s="11" t="str">
        <f>IF(SUM(CH30:CK30)-CL30&gt;0,SUM(CH30:CK30)-CL30,"")</f>
        <v/>
      </c>
      <c r="CX30" s="11">
        <f>IF(CS30="",IF(MAX(CU30,CW30)&gt;0,MAX(CU30,CW30),""),MAX(CU30,CW30)+CS30)</f>
        <v>85.43</v>
      </c>
      <c r="CY30" s="11" t="str">
        <f>IF(CO30&gt;0,CO30,"")</f>
        <v/>
      </c>
      <c r="CZ30" s="11" t="str">
        <f>IF(SUM(CM30:CP30)-CQ30&gt;0,SUM(CM30:CP30)-CQ30,"")</f>
        <v/>
      </c>
      <c r="DA30" s="11">
        <f>IF(SUM(CX30,CZ30)&gt;0,SUM(CX30,CZ30),"")</f>
        <v>85.43</v>
      </c>
      <c r="DB30" s="19" t="str">
        <f>IF(I30&gt;=0.001,IF(MAX(DU30,EQ30,FM30,GI30,HE30,IA30,IW30,JS30,KO30,LK30,MG30,NC30)-IF(I30="",0,I30)&gt;0.001,MAX(DU30,EQ30,FM30,GI30,HE30,IA30,IW30,JS30,KO30,LK30,MG30,NC30)-IF(I30="",0,I30),""),"")</f>
        <v/>
      </c>
      <c r="DC30" s="19" t="str">
        <f>IF(K30&gt;=0.001,IF(MAX(DX30,ET30,FP30,GL30,HH30,ID30,IZ30,JV30,KR30,LN30,MJ30,NF30)-IF(K30="",0,K30)&gt;0.001,MAX(DX30,ET30,FP30,GL30,HH30,ID30,IZ30,JV30,KR30,LN30,MJ30,NF30)-IF(K30="",0,K30),""),"")</f>
        <v/>
      </c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11" t="str">
        <f>IF(DK30&gt;0,DK30,"")</f>
        <v/>
      </c>
      <c r="DT30" s="11" t="str">
        <f>IF(SUM(DD30:DG30)-DH30&gt;0,SUM(DD30:DG30)-DH30,"")</f>
        <v/>
      </c>
      <c r="DU30" s="11" t="str">
        <f>IF(SUM(DI30:DL30)-DM30&gt;0,SUM(DI30:DL30)-DM30,"")</f>
        <v/>
      </c>
      <c r="DV30" s="11" t="str">
        <f>IF(SUM(DT30:DU30)&gt;0,SUM(DT30:DU30),"")</f>
        <v/>
      </c>
      <c r="DW30" s="11" t="str">
        <f>IF(DP30&gt;0,DP30,"")</f>
        <v/>
      </c>
      <c r="DX30" s="11" t="str">
        <f>IF(SUM(DN30:DQ30)-DR30&gt;0,SUM(DN30:DQ30)-DR30,"")</f>
        <v/>
      </c>
      <c r="DY30" s="11" t="str">
        <f>IF(SUM(DV30,DX30)&gt;0,SUM(DV30,DX30),"")</f>
        <v/>
      </c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14" t="str">
        <f>IF(EG30&gt;0,EG30,"")</f>
        <v/>
      </c>
      <c r="EP30" s="14" t="str">
        <f>IF(SUM(DZ30:EC30)-ED30&gt;0,SUM(DZ30:EC30)-ED30,"")</f>
        <v/>
      </c>
      <c r="EQ30" s="14" t="str">
        <f>IF(SUM(EE30:EH30)-EI30&gt;0,SUM(EE30:EH30)-EI30,"")</f>
        <v/>
      </c>
      <c r="ER30" s="14" t="str">
        <f>IF(SUM(EP30:EQ30)&gt;0,SUM(EP30:EQ30),"")</f>
        <v/>
      </c>
      <c r="ES30" s="14" t="str">
        <f>IF(EL30&gt;0,EL30,"")</f>
        <v/>
      </c>
      <c r="ET30" s="14" t="str">
        <f>IF(SUM(EJ30:EM30)-EN30&gt;0,SUM(EJ30:EM30)-EN30,"")</f>
        <v/>
      </c>
      <c r="EU30" s="14" t="str">
        <f>IF(SUM(ER30,ET30)&gt;0,SUM(ER30,ET30),"")</f>
        <v/>
      </c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11" t="str">
        <f>IF(FC30&gt;0,FC30,"")</f>
        <v/>
      </c>
      <c r="FL30" s="11" t="str">
        <f>IF(SUM(EV30:EY30)-EZ30&gt;0,SUM(EV30:EY30)-EZ30,"")</f>
        <v/>
      </c>
      <c r="FM30" s="11" t="str">
        <f>IF(SUM(FA30:FD30)-FE30&gt;0,SUM(FA30:FD30)-FE30,"")</f>
        <v/>
      </c>
      <c r="FN30" s="11" t="str">
        <f>IF(SUM(FL30:FM30)&gt;0,SUM(FL30:FM30),"")</f>
        <v/>
      </c>
      <c r="FO30" s="11" t="str">
        <f>IF(FH30&gt;0,FH30,"")</f>
        <v/>
      </c>
      <c r="FP30" s="11" t="str">
        <f>IF(SUM(FF30:FI30)-FJ30&gt;0,SUM(FF30:FI30)-FJ30,"")</f>
        <v/>
      </c>
      <c r="FQ30" s="11" t="str">
        <f>IF(SUM(FN30,FP30)&gt;0,SUM(FN30,FP30),"")</f>
        <v/>
      </c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14" t="str">
        <f>IF(FY30&gt;0,FY30,"")</f>
        <v/>
      </c>
      <c r="GH30" s="14" t="str">
        <f>IF(SUM(FR30:FU30)-FV30&gt;0,SUM(FR30:FU30)-FV30,"")</f>
        <v/>
      </c>
      <c r="GI30" s="14" t="str">
        <f>IF(SUM(FW30:FZ30)-GA30&gt;0,SUM(FW30:FZ30)-GA30,"")</f>
        <v/>
      </c>
      <c r="GJ30" s="14" t="str">
        <f>IF(SUM(GH30:GI30)&gt;0,SUM(GH30:GI30),"")</f>
        <v/>
      </c>
      <c r="GK30" s="14" t="str">
        <f>IF(GD30&gt;0,GD30,"")</f>
        <v/>
      </c>
      <c r="GL30" s="14" t="str">
        <f>IF(SUM(GB30:GE30)-GF30&gt;0,SUM(GB30:GE30)-GF30,"")</f>
        <v/>
      </c>
      <c r="GM30" s="14" t="str">
        <f>IF(SUM(GJ30,GL30)&gt;0,SUM(GJ30,GL30),"")</f>
        <v/>
      </c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11" t="str">
        <f>IF(GU30&gt;0,GU30,"")</f>
        <v/>
      </c>
      <c r="HD30" s="11" t="str">
        <f>IF(SUM(GN30:GQ30)-GR30&gt;0,SUM(GN30:GQ30)-GR30,"")</f>
        <v/>
      </c>
      <c r="HE30" s="11" t="str">
        <f>IF(SUM(GS30:GV30)-GW30&gt;0,SUM(GS30:GV30)-GW30,"")</f>
        <v/>
      </c>
      <c r="HF30" s="11" t="str">
        <f>IF(SUM(HD30:HE30)&gt;0,SUM(HD30:HE30),"")</f>
        <v/>
      </c>
      <c r="HG30" s="11" t="str">
        <f>IF(GZ30&gt;0,GZ30,"")</f>
        <v/>
      </c>
      <c r="HH30" s="11" t="str">
        <f>IF(SUM(GX30:HA30)-HB30&gt;0,SUM(GX30:HA30)-HB30,"")</f>
        <v/>
      </c>
      <c r="HI30" s="11" t="str">
        <f>IF(SUM(HF30,HH30)&gt;0,SUM(HF30,HH30),"")</f>
        <v/>
      </c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14" t="str">
        <f>IF(HQ30&gt;0,HQ30,"")</f>
        <v/>
      </c>
      <c r="HZ30" s="14" t="str">
        <f>IF(SUM(HJ30:HM30)-HN30&gt;0,SUM(HJ30:HM30)-HN30,"")</f>
        <v/>
      </c>
      <c r="IA30" s="14" t="str">
        <f>IF(SUM(HO30:HR30)-HS30&gt;0,SUM(HO30:HR30)-HS30,"")</f>
        <v/>
      </c>
      <c r="IB30" s="14" t="str">
        <f>IF(SUM(HZ30:IA30)&gt;0,SUM(HZ30:IA30),"")</f>
        <v/>
      </c>
      <c r="IC30" s="14" t="str">
        <f>IF(HV30&gt;0,HV30,"")</f>
        <v/>
      </c>
      <c r="ID30" s="14" t="str">
        <f>IF(SUM(HT30:HW30)-HX30&gt;0,SUM(HT30:HW30)-HX30,"")</f>
        <v/>
      </c>
      <c r="IE30" s="14" t="str">
        <f>IF(SUM(IB30,ID30)&gt;0,SUM(IB30,ID30),"")</f>
        <v/>
      </c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11" t="str">
        <f>IF(IM30&gt;0,IM30,"")</f>
        <v/>
      </c>
      <c r="IV30" s="11" t="str">
        <f>IF(SUM(IF30:II30)-IJ30&gt;0,SUM(IF30:II30)-IJ30,"")</f>
        <v/>
      </c>
      <c r="IW30" s="11" t="str">
        <f>IF(SUM(IK30:IN30)-IO30&gt;0,SUM(IK30:IN30)-IO30,"")</f>
        <v/>
      </c>
      <c r="IX30" s="11" t="str">
        <f>IF(SUM(IV30:IW30)&gt;0,SUM(IV30:IW30),"")</f>
        <v/>
      </c>
      <c r="IY30" s="11" t="str">
        <f>IF(IR30&gt;0,IR30,"")</f>
        <v/>
      </c>
      <c r="IZ30" s="11" t="str">
        <f>IF(SUM(IP30:IS30)-IT30&gt;0,SUM(IP30:IS30)-IT30,"")</f>
        <v/>
      </c>
      <c r="JA30" s="11" t="str">
        <f>IF(SUM(IX30,IZ30)&gt;0,SUM(IX30,IZ30),"")</f>
        <v/>
      </c>
      <c r="JB30" s="26"/>
      <c r="JC30" s="26"/>
      <c r="JD30" s="26"/>
      <c r="JE30" s="26"/>
      <c r="JF30" s="26"/>
      <c r="JG30" s="26"/>
      <c r="JH30" s="26"/>
      <c r="JI30" s="26"/>
      <c r="JJ30" s="26"/>
      <c r="JK30" s="26"/>
      <c r="JL30" s="26"/>
      <c r="JM30" s="26"/>
      <c r="JN30" s="26"/>
      <c r="JO30" s="26"/>
      <c r="JP30" s="26"/>
      <c r="JQ30" s="14" t="str">
        <f>IF(JI30&gt;0,JI30,"")</f>
        <v/>
      </c>
      <c r="JR30" s="14" t="str">
        <f>IF(SUM(JB30:JE30)-JF30&gt;0,SUM(JB30:JE30)-JF30,"")</f>
        <v/>
      </c>
      <c r="JS30" s="14" t="str">
        <f>IF(SUM(JG30:JJ30)-JK30&gt;0,SUM(JG30:JJ30)-JK30,"")</f>
        <v/>
      </c>
      <c r="JT30" s="14" t="str">
        <f>IF(SUM(JR30:JS30)&gt;0,SUM(JR30:JS30),"")</f>
        <v/>
      </c>
      <c r="JU30" s="14" t="str">
        <f>IF(JN30&gt;0,JN30,"")</f>
        <v/>
      </c>
      <c r="JV30" s="14" t="str">
        <f>IF(SUM(JL30:JO30)-JP30&gt;0,SUM(JL30:JO30)-JP30,"")</f>
        <v/>
      </c>
      <c r="JW30" s="14" t="str">
        <f>IF(SUM(JT30,JV30)&gt;0,SUM(JT30,JV30),"")</f>
        <v/>
      </c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11" t="str">
        <f>IF(KE30&gt;0,KE30,"")</f>
        <v/>
      </c>
      <c r="KN30" s="11" t="str">
        <f>IF(SUM(JX30:KA30)-KB30&gt;0,SUM(JX30:KA30)-KB30,"")</f>
        <v/>
      </c>
      <c r="KO30" s="11" t="str">
        <f>IF(SUM(KC30:KF30)-KG30&gt;0,SUM(KC30:KF30)-KG30,"")</f>
        <v/>
      </c>
      <c r="KP30" s="11" t="str">
        <f>IF(SUM(KN30:KO30)&gt;0,SUM(KN30:KO30),"")</f>
        <v/>
      </c>
      <c r="KQ30" s="11" t="str">
        <f>IF(KJ30&gt;0,KJ30,"")</f>
        <v/>
      </c>
      <c r="KR30" s="11" t="str">
        <f>IF(SUM(KH30:KK30)-KL30&gt;0,SUM(KH30:KK30)-KL30,"")</f>
        <v/>
      </c>
      <c r="KS30" s="11" t="str">
        <f>IF(SUM(KP30,KR30)&gt;0,SUM(KP30,KR30),"")</f>
        <v/>
      </c>
      <c r="KT30" s="26"/>
      <c r="KU30" s="26"/>
      <c r="KV30" s="26"/>
      <c r="KW30" s="26"/>
      <c r="KX30" s="26"/>
      <c r="KY30" s="26"/>
      <c r="KZ30" s="26"/>
      <c r="LA30" s="26"/>
      <c r="LB30" s="26"/>
      <c r="LC30" s="26"/>
      <c r="LD30" s="26"/>
      <c r="LE30" s="26"/>
      <c r="LF30" s="26"/>
      <c r="LG30" s="26"/>
      <c r="LH30" s="26"/>
      <c r="LI30" s="14" t="str">
        <f>IF(LA30&gt;0,LA30,"")</f>
        <v/>
      </c>
      <c r="LJ30" s="14" t="str">
        <f>IF(SUM(KT30:KW30)-KX30&gt;0,SUM(KT30:KW30)-KX30,"")</f>
        <v/>
      </c>
      <c r="LK30" s="14" t="str">
        <f>IF(SUM(KY30:LB30)-LC30&gt;0,SUM(KY30:LB30)-LC30,"")</f>
        <v/>
      </c>
      <c r="LL30" s="14" t="str">
        <f>IF(SUM(LJ30:LK30)&gt;0,SUM(LJ30:LK30),"")</f>
        <v/>
      </c>
      <c r="LM30" s="14" t="str">
        <f>IF(LF30&gt;0,LF30,"")</f>
        <v/>
      </c>
      <c r="LN30" s="14" t="str">
        <f>IF(SUM(LD30:LG30)-LH30&gt;0,SUM(LD30:LG30)-LH30,"")</f>
        <v/>
      </c>
      <c r="LO30" s="14" t="str">
        <f>IF(SUM(LL30,LN30)&gt;0,SUM(LL30,LN30),"")</f>
        <v/>
      </c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11" t="str">
        <f>IF(LW30&gt;0,LW30,"")</f>
        <v/>
      </c>
      <c r="MF30" s="11" t="str">
        <f>IF(SUM(LP30:LS30)-LT30&gt;0,SUM(LP30:LS30)-LT30,"")</f>
        <v/>
      </c>
      <c r="MG30" s="11" t="str">
        <f>IF(SUM(LU30:LX30)-LY30&gt;0,SUM(LU30:LX30)-LY30,"")</f>
        <v/>
      </c>
      <c r="MH30" s="11" t="str">
        <f>IF(SUM(MF30:MG30)&gt;0,SUM(MF30:MG30),"")</f>
        <v/>
      </c>
      <c r="MI30" s="11" t="str">
        <f>IF(MB30&gt;0,MB30,"")</f>
        <v/>
      </c>
      <c r="MJ30" s="11" t="str">
        <f>IF(SUM(LZ30:MC30)-MD30&gt;0,SUM(LZ30:MC30)-MD30,"")</f>
        <v/>
      </c>
      <c r="MK30" s="11" t="str">
        <f>IF(SUM(MH30,MJ30)&gt;0,SUM(MH30,MJ30),"")</f>
        <v/>
      </c>
      <c r="ML30" s="26"/>
      <c r="MM30" s="26"/>
      <c r="MN30" s="26"/>
      <c r="MO30" s="26"/>
      <c r="MP30" s="26"/>
      <c r="MQ30" s="26"/>
      <c r="MR30" s="26"/>
      <c r="MS30" s="26"/>
      <c r="MT30" s="26"/>
      <c r="MU30" s="26"/>
      <c r="MV30" s="26"/>
      <c r="MW30" s="26"/>
      <c r="MX30" s="26"/>
      <c r="MY30" s="26"/>
      <c r="MZ30" s="26"/>
      <c r="NA30" s="14" t="str">
        <f>IF(MS30&gt;0,MS30,"")</f>
        <v/>
      </c>
      <c r="NB30" s="14" t="str">
        <f>IF(SUM(ML30:MO30)-MP30&gt;0,SUM(ML30:MO30)-MP30,"")</f>
        <v/>
      </c>
      <c r="NC30" s="14" t="str">
        <f>IF(SUM(MQ30:MT30)-MU30&gt;0,SUM(MQ30:MT30)-MU30,"")</f>
        <v/>
      </c>
      <c r="ND30" s="14" t="str">
        <f>IF(SUM(NB30:NC30)&gt;0,SUM(NB30:NC30),"")</f>
        <v/>
      </c>
      <c r="NE30" s="14" t="str">
        <f>IF(MX30&gt;0,MX30,"")</f>
        <v/>
      </c>
      <c r="NF30" s="14" t="str">
        <f>IF(SUM(MV30:MY30)-MZ30&gt;0,SUM(MV30:MY30)-MZ30,"")</f>
        <v/>
      </c>
      <c r="NG30" s="14" t="str">
        <f>IF(SUM(ND30,NF30)&gt;0,SUM(ND30,NF30),"")</f>
        <v/>
      </c>
      <c r="NH30" s="38">
        <f>IF($CR30="P",BX30,(BX30+AT30)/2)</f>
        <v>7.55</v>
      </c>
      <c r="NI30" s="38">
        <f>IF($CR30="P",BY30,(BY30+AU30)/2)</f>
        <v>4.75</v>
      </c>
      <c r="NJ30" s="38">
        <f>IF($CR30="P",BZ30,(BZ30+AV30)/2)</f>
        <v>1.35</v>
      </c>
      <c r="NK30" s="38">
        <f>IF($CR30="P",CA30,(CA30+AW30)/2)</f>
        <v>7.51</v>
      </c>
      <c r="NL30" s="38">
        <f>IF($CR30="P",CB30,(CB30+AX30)/2)</f>
        <v>0</v>
      </c>
      <c r="NM30" s="38">
        <f>IF($CR30="P",CC30,(CC30+AY30)/2)</f>
        <v>6.15</v>
      </c>
      <c r="NN30" s="38">
        <f>IF($CR30="P",CD30,(CD30+AZ30)/2)</f>
        <v>4.7</v>
      </c>
      <c r="NO30" s="38">
        <f>IF($CR30="P",CE30,(CE30+BA30)/2)</f>
        <v>4</v>
      </c>
      <c r="NP30" s="38">
        <f>IF($CR30="P",CF30,(CF30+BB30)/2)</f>
        <v>7.2549999999999999</v>
      </c>
      <c r="NQ30" s="38">
        <f>IF($CR30="P",CG30,(CG30+BC30)/2)</f>
        <v>0.55000000000000004</v>
      </c>
      <c r="NR30" s="38">
        <f>IF($CR30="P",CH30,(CH30+BD30)/2)</f>
        <v>0</v>
      </c>
      <c r="NS30" s="38">
        <f>IF($CR30="P",CI30,(CI30+BE30)/2)</f>
        <v>0</v>
      </c>
      <c r="NT30" s="38">
        <f>IF($CR30="P",CJ30,(CJ30+BF30)/2)</f>
        <v>0</v>
      </c>
      <c r="NU30" s="38">
        <f>IF($CR30="P",CK30,(CK30+BG30)/2)</f>
        <v>0</v>
      </c>
      <c r="NV30" s="38">
        <f>IF($CR30="P",CL30,(CL30+BH30)/2)</f>
        <v>0</v>
      </c>
      <c r="NW30" s="38">
        <f>IF($CR30="P",CM30,(CM30+BI30)/2)</f>
        <v>0</v>
      </c>
      <c r="NX30" s="38">
        <f>IF($CR30="P",CN30,(CN30+BJ30)/2)</f>
        <v>0</v>
      </c>
      <c r="NY30" s="38">
        <f>IF($CR30="P",CO30,(CO30+BK30)/2)</f>
        <v>0</v>
      </c>
      <c r="NZ30" s="38">
        <f>IF($CR30="P",CP30,(CP30+BL30)/2)</f>
        <v>0</v>
      </c>
      <c r="OA30" s="38">
        <f>IF($CR30="P",CQ30,(CQ30+BM30)/2)</f>
        <v>0</v>
      </c>
      <c r="OB30" s="45" t="s">
        <v>46</v>
      </c>
      <c r="OC30" s="11">
        <f>IF(SUM(NH30:NK30)-NL30&gt;0,SUM(NH30:NK30)-NL30,"")</f>
        <v>21.16</v>
      </c>
      <c r="OD30" s="11">
        <f>IF(NO30&gt;0,NO30,"")</f>
        <v>4</v>
      </c>
      <c r="OE30" s="11">
        <f>IF(SUM(NM30:NP30)-NQ30&gt;0,SUM(NM30:NP30)-NQ30,"")</f>
        <v>21.555</v>
      </c>
      <c r="OF30" s="11" t="str">
        <f>IF(NT30&gt;0,NT30,"")</f>
        <v/>
      </c>
      <c r="OG30" s="11" t="str">
        <f>IF(SUM(NR30:NU30)-NV30&gt;0,SUM(NR30:NU30)-NV30,"")</f>
        <v/>
      </c>
      <c r="OH30" s="11">
        <f>IF(OR(OC30&lt;&gt;"",OE30&lt;&gt;"",OG30&lt;&gt;""),OC30+MAX(OE30,OG30),"")</f>
        <v>42.715000000000003</v>
      </c>
      <c r="OI30" s="11" t="str">
        <f>IF(NY30&gt;0,NY30,"")</f>
        <v/>
      </c>
      <c r="OJ30" s="11" t="str">
        <f t="shared" ref="OJ30" si="40">IF(SUM(NW30:NZ30)-OA30&gt;0,SUM(NW30:NZ30)-OA30,"")</f>
        <v/>
      </c>
      <c r="OK30" s="11">
        <f t="shared" ref="OK30" si="41">IF(SUM(OH30,OJ30)&gt;0,SUM(OH30,OJ30),"")</f>
        <v>42.715000000000003</v>
      </c>
    </row>
    <row r="31" spans="1:401" x14ac:dyDescent="0.2">
      <c r="A31" s="5" t="str" cm="1">
        <f t="array" ref="A31">IF(AND(F31="P",G31="P"),SUMPRODUCT((F$4:F$32="P")*(G$4:G$32="P")*(E$4:E$32&gt;E31))+1,IF(G31="P",SUMPRODUCT((F$4:F$32="")*(G$4:G$32="P")*(E$4:E$32&gt;E31))+1+SUMPRODUCT((F$4:F$32="P")*(G$4:G$32="P")),""))</f>
        <v/>
      </c>
      <c r="B31" s="6" t="s">
        <v>157</v>
      </c>
      <c r="C31" s="7" t="s">
        <v>3</v>
      </c>
      <c r="D31" s="5">
        <v>2005</v>
      </c>
      <c r="E31" s="15">
        <f>SUM(I31:M31)+I31*0.0000001</f>
        <v>10.530001053000001</v>
      </c>
      <c r="F31" s="3" t="str">
        <f>IF(OR(AND(AL31&gt;=AS$34,AM31&gt;=AS$38,AL31&lt;&gt;"",AJ31=""),AND(AN31&gt;=AS$34,AO31&gt;=AS$38,AN31&lt;&gt;"",AN31=""),AND(AQ31&gt;=AS$34,AR31&gt;=AS$38,AQ31&lt;&gt;"",AJ31=""),AND(BP31&gt;=BW$34,BQ31&gt;=BW$38,BP31&lt;&gt;"",BN31=""),AND(BR31&gt;=BW$34,BS31&gt;=BW$38,BR31&lt;&gt;"",BN31=""),AND(BU31&gt;=BW$34,BV31&gt;=BW$38,BU31&lt;&gt;"",BN31=""),AND(CT31&gt;=DA$34,CU31&gt;=DA$38,CT31&lt;&gt;"",CR31=""),AND(CV31&gt;=DA$34,CW31&gt;=DA$38,CV31&lt;&gt;"",CR31=""),AND(CY31&gt;=DA$34,CZ31&gt;=DA$38,CY31&lt;&gt;"",CR31=""),AND(DS31&gt;=DY$34,DU31&gt;=DY$38,DS31&lt;&gt;""),AND(DW31&gt;=DY$34,DX31&gt;=DY$38,DW31&lt;&gt;""),AND(EO31&gt;=EU$34,EQ31&gt;=EU$38,EO31&lt;&gt;""),AND(ES31&gt;=EU$34,ET31&gt;=EU$38,ES31&lt;&gt;""),AND(FK31&gt;=FQ$34,FM31&gt;=FQ$38,FK31&lt;&gt;""),AND(FO31&gt;=FQ$34,FP31&gt;=FQ$38,FO31&lt;&gt;""),AND(GG31&gt;=GM$34,GI31&gt;=GM$38,GG31&lt;&gt;""),AND(GK31&gt;=GM$34,GL31&gt;=GM$38,GK31&lt;&gt;""),AND(HC31&gt;=HI$34,HE31&gt;=HI$38,HC31&lt;&gt;""),AND(HG31&gt;=HI$34,HH31&gt;=HI$38,HG31&lt;&gt;""),AND(HY31&gt;=IE$34,IA31&gt;=IE$38,HY31&lt;&gt;""),AND(IC31&gt;=IE$34,ID31&gt;=IE$38,IC31&lt;&gt;""),AND(IU31&gt;=JA$34,IW31&gt;=JA$38,IU31&lt;&gt;""),AND(IY31&gt;=JA$34,IZ31&gt;=JA$38,IY31&lt;&gt;""),AND(JQ31&gt;=JW$34,JS31&gt;=JW$38,JQ31&lt;&gt;""),AND(JU31&gt;=JW$34,JV31&gt;=JW$38,JU31&lt;&gt;""),AND(KM31&gt;=KS$34,KO31&gt;=KS$38,KM31&lt;&gt;""),AND(KQ31&gt;=KS$34,KR31&gt;=KS$38,KQ31&lt;&gt;""),AND(LI31&gt;=LO$34,LK31&gt;=LO$38,LI31&lt;&gt;""),AND(LM31&gt;=LO$34,LN31&gt;=LO$38,LM31&lt;&gt;""),AND(ME31&gt;=MK$34,MG31&gt;=MK$38,ME31&lt;&gt;""),AND(MI31&gt;=MK$34,MJ31&gt;=MK$38,MI31&lt;&gt;""),AND(NA31&gt;=NG$34,NC31&gt;=NG$38,NA31&lt;&gt;""),AND(NE31&gt;=NG$34,NF31&gt;=NG$38,NE31&lt;&gt;"")),"P","")</f>
        <v/>
      </c>
      <c r="G31" s="3" t="str">
        <f>IF(OR(AND(AM31&gt;=AS$38,AL31&lt;&gt;"",AJ31=""),AND(AO31&gt;=AS$38,AN31&lt;&gt;"",AN31=""),AND(AR31&gt;=AS$38,AQ31&lt;&gt;"",AJ31=""),AND(BQ31&gt;=BW$38,BP31&lt;&gt;"",BN31=""),AND(BS31&gt;=BW$38,BR31&lt;&gt;"",BN31=""),AND(BV31&gt;=BW$38,BU31&lt;&gt;"",BN31=""),AND(CU31&gt;=DA$38,CT31&lt;&gt;"",CR31=""),AND(CW31&gt;=DA$38,CV31&lt;&gt;"",CR31=""),AND(CZ31&gt;=DA$38,CY31&lt;&gt;"",CR31=""),AND(DU31&gt;=DY$38,DS31&lt;&gt;""),AND(DX31&gt;=DY$38,DW31&lt;&gt;""),AND(EQ31&gt;=EU$38,EO31&lt;&gt;""),AND(ET31&gt;=EU$38,ES31&lt;&gt;""),AND(FM31&gt;=FQ$38,FK31&lt;&gt;""),AND(FP31&gt;=FQ$38,FO31&lt;&gt;""),AND(GI31&gt;=GM$38,GG31&lt;&gt;""),AND(GL31&gt;=GM$38,GK31&lt;&gt;""),AND(HE31&gt;=HI$38,HC31&lt;&gt;""),AND(HH31&gt;=HI$38,HG31&lt;&gt;""),AND(IA31&gt;=IE$38,HY31&lt;&gt;""),AND(ID31&gt;=IE$38,IC31&lt;&gt;""),AND(IW31&gt;=JA$38,IU31&lt;&gt;""),AND(IZ31&gt;=JA$38,IY31&lt;&gt;""),AND(JS31&gt;=JW$38,JQ31&lt;&gt;""),AND(JV31&gt;=JW$38,JU31&lt;&gt;""),AND(KO31&gt;=KS$38,KM31&lt;&gt;""),AND(KR31&gt;=KS$38,KQ31&lt;&gt;""),AND(LK31&gt;=LO$38,LI31&lt;&gt;""),AND(LN31&gt;=LO$38,LM31&lt;&gt;""),AND(MG31&gt;=MK$38,ME31&lt;&gt;""),AND(MJ31&gt;=MK$38,MI31&lt;&gt;""),AND(NC31&gt;=NG$38,NA31&lt;&gt;""),AND(NF31&gt;=NG$38,NE31&lt;&gt;"")),"P","")</f>
        <v/>
      </c>
      <c r="H31" s="67" t="str">
        <f>IF(F31="P","National Team",IF(G31="P","No DD",""))</f>
        <v/>
      </c>
      <c r="I31" s="14">
        <f>MAX(AM31,AO31,AR31,BQ31,BS31,BV31,CU31,CW31,CZ31)</f>
        <v>10.530000000000001</v>
      </c>
      <c r="J31" s="14" t="str">
        <f>IF(I31=0,"",IF(OR(I31=CW31,I31=CU31,I31=CZ31),$BX$1,IF(OR(I31=BS31,I31=BQ31,I31=BV31),$AT$1,IF(OR(I31=AO31,I31=AM31,I31=AR31),$P$1,""))))</f>
        <v>2022 Elite Canada</v>
      </c>
      <c r="K31" s="14">
        <f>IF(COUNT(AM31,AO31,AR31,BQ31,BS31,BV31,CU31,CW31,CZ31)&gt;1,LARGE((AM31,AO31,AR31,BQ31,BS31,BV31,CU31,CW31,CZ31),2),0)</f>
        <v>0</v>
      </c>
      <c r="L31" s="14" t="str">
        <f>IF(K31=0,"",IF(OR(K31=CW31,K31=CU31,K31=CZ31),$BX$1,IF(OR(K31=BS31,K31=BQ31,K31=BV31),$AT$1,IF(OR(K31=AO31,K31=AM31,K31=AR31),$P$1,""))))</f>
        <v/>
      </c>
      <c r="M31" s="14" t="str">
        <f>IF(MAX(DB31,DC31)&gt;0,MAX(DB31,DC31),"")</f>
        <v/>
      </c>
      <c r="N31" s="20" t="str">
        <f>IF(M31="","",IF(M31=#REF!,"(Vol 1)",IF(M31=DB31,"(Vol 2)",IF(M31=#REF!,"(Prelim)",IF(M31=DC31,"(Final)")))))</f>
        <v/>
      </c>
      <c r="O31" s="14" t="str">
        <f>IF(M31="","",IF(M31=#REF!,IF(M31+IF(#REF!="",0,#REF!)=NB31,$ML$1,IF(M31+IF(#REF!="",0,#REF!)=MF31,$LP$1,IF(M31+IF(#REF!="",0,#REF!)=LJ31,$KT$1,IF(M31+IF(#REF!="",0,#REF!)=KN31,$JX$1,IF(M31+IF(#REF!="",0,#REF!)=JR31,$JB$1,IF(M31+IF(#REF!="",0,#REF!)=IV31,$IF$1,IF(M31+IF(#REF!="",0,#REF!)=HZ31,$HJ$1,IF(M31+IF(#REF!="",0,#REF!)=HD31,$GN$1,IF(M31+IF(#REF!="",0,#REF!)=GH31,$FR$1,IF(M31+IF(#REF!="",0,#REF!)=FL31,$EV$1,IF(M31+IF(#REF!="",0,#REF!)=EP31,$DZ$1,IF(M31+IF(#REF!="",0,#REF!)=DT31,$DD$1)))))))))))),IF(M31=DB31,IF(M31+IF(I31="",0,I31)=NC31,$ML$1,IF(M31+IF(I31="",0,I31)=MG31,$LP$1,IF(M31+IF(I31="",0,I31)=LK31,$KT$1,IF(M31+IF(I31="",0,I31)=KO31,$JX$1,IF(M31+IF(I31="",0,I31)=JS31,$JB$1,IF(M31+IF(I31="",0,I31)=IW31,$IF$1,IF(M31+IF(I31="",0,I31)=IA31,$HJ$1,IF(M31+IF(I31="",0,I31)=HE31,$GN$1,IF(M31+IF(I31="",0,I31)=GI31,$FR$1,IF(M31+IF(I31="",0,I31)=FM31,$EV$1,IF(M31+IF(I31="",0,I31)=EQ31,$DZ$1,IF(M31+IF(I31="",0,I31)=DU31,$DD$1)))))))))))),IF(M31=#REF!,IF(M31+IF(#REF!="",0,#REF!)=ND31,$ML$1,IF(M31+IF(#REF!="",0,#REF!)=MH31,$LP$1,IF(M31+IF(#REF!="",0,#REF!)=LL31,$KT$1,IF(M31+IF(#REF!="",0,#REF!)=KP31,$JX$1,IF(M31+IF(#REF!="",0,#REF!)=JT31,$JB$1,IF(M31+IF(#REF!="",0,#REF!)=IX31,$IF$1,IF(M31+IF(#REF!="",0,#REF!)=IB31,$HJ$1,IF(M31+IF(#REF!="",0,#REF!)=HF31,$GN$1,IF(M31+IF(#REF!="",0,#REF!)=GJ31,$FR$1,IF(M31+IF(#REF!="",0,#REF!)=FN31,$EV$1,IF(M31+IF(#REF!="",0,#REF!)=ER31,$DZ$1,IF(M31+IF(#REF!="",0,#REF!)=DV31,$DD$1)))))))))))),IF(M31=DC31,IF(M31+IF(K31="",0,K31)=NF31,$ML$1,IF(M31+IF(K31="",0,K31)=MJ31,$LP$1,IF(M31+IF(K31="",0,K31)=LN31,$KT$1,IF(M31+IF(K31="",0,K31)=KR31,$JX$1,IF(M31+IF(K31="",0,K31)=JV31,$JB$1,IF(M31+IF(K31="",0,K31)=IZ31,$IF$1,IF(M31+IF(K31="",0,K31)=ID31,$HJ$1,IF(M31+IF(K31="",0,K31)=HH31,$GN$1,IF(M31+IF(K31="",0,K31)=GL31,$FR$1,IF(M31+IF(K31="",0,K31)=FP31,$EV$1,IF(M31+IF(K31="",0,K31)=ET31,$DZ$1,IF(M31+IF(K31="",0,K31)=DX31,$DD$1)))))))))))))))))</f>
        <v/>
      </c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45"/>
      <c r="AK31" s="11" t="str">
        <f>IF(SUM(P31:S31)-T31&gt;0,SUM(P31:S31)-T31,"")</f>
        <v/>
      </c>
      <c r="AL31" s="11" t="str">
        <f>IF(W31&gt;0,W31,"")</f>
        <v/>
      </c>
      <c r="AM31" s="11" t="str">
        <f>IF(SUM(U31:X31)-Y31&gt;0,SUM(U31:X31)-Y31,"")</f>
        <v/>
      </c>
      <c r="AN31" s="11" t="str">
        <f>IF(AB31&gt;0,AB31,"")</f>
        <v/>
      </c>
      <c r="AO31" s="11" t="str">
        <f>IF(SUM(Z31:AC31)-AD31&gt;0,SUM(Z31:AC31)-AD31,"")</f>
        <v/>
      </c>
      <c r="AP31" s="11" t="str">
        <f>IF(AK31="",IF(MAX(AM31,AO31)&gt;0,MAX(AM31,AO31),""),MAX(AM31,AO31)+AK31)</f>
        <v/>
      </c>
      <c r="AQ31" s="11" t="str">
        <f>IF(AG31&gt;0,AG31,"")</f>
        <v/>
      </c>
      <c r="AR31" s="11" t="str">
        <f>IF(SUM(AE31:AH31)-AI31&gt;0,SUM(AE31:AH31)-AI31,"")</f>
        <v/>
      </c>
      <c r="AS31" s="11" t="str">
        <f>IF(SUM(AP31,AR31)&gt;0,SUM(AP31,AR31),"")</f>
        <v/>
      </c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6"/>
      <c r="BO31" s="14" t="str">
        <f>IF(SUM(AT31:AW31)-AX31&gt;0,SUM(AT31:AW31)-AX31,"")</f>
        <v/>
      </c>
      <c r="BP31" s="14" t="str">
        <f>IF(BA31&gt;0,BA31,"")</f>
        <v/>
      </c>
      <c r="BQ31" s="14" t="str">
        <f>IF(SUM(AY31:BB31)-BC31&gt;0,SUM(AY31:BB31)-BC31,"")</f>
        <v/>
      </c>
      <c r="BR31" s="14" t="str">
        <f>IF(BF31&gt;0,BF31,"")</f>
        <v/>
      </c>
      <c r="BS31" s="14" t="str">
        <f>IF(SUM(BD31:BG31)-BH31&gt;0,SUM(BD31:BG31)-BH31,"")</f>
        <v/>
      </c>
      <c r="BT31" s="14" t="str">
        <f>IF(BO31="",IF(MAX(BQ31,BS31)&gt;0,MAX(BQ31,BS31),""),MAX(BQ31,BS31)+BO31)</f>
        <v/>
      </c>
      <c r="BU31" s="14" t="str">
        <f>IF(BK31&gt;0,BK31,"")</f>
        <v/>
      </c>
      <c r="BV31" s="14" t="str">
        <f>IF(SUM(BI31:BL31)-BM31&gt;0,SUM(BI31:BL31)-BM31,"")</f>
        <v/>
      </c>
      <c r="BW31" s="14" t="str">
        <f>IF(SUM(BT31,BV31)&gt;0,SUM(BT31,BV31),"")</f>
        <v/>
      </c>
      <c r="BX31" s="38">
        <v>16.7</v>
      </c>
      <c r="BY31" s="38">
        <v>9.4</v>
      </c>
      <c r="BZ31" s="38">
        <v>2.4</v>
      </c>
      <c r="CA31" s="38">
        <v>15.69</v>
      </c>
      <c r="CB31" s="38">
        <v>0</v>
      </c>
      <c r="CC31" s="38">
        <v>2.9</v>
      </c>
      <c r="CD31" s="38">
        <v>1.8</v>
      </c>
      <c r="CE31" s="38">
        <v>2.7</v>
      </c>
      <c r="CF31" s="38">
        <v>3.13</v>
      </c>
      <c r="CG31" s="38">
        <v>0</v>
      </c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45"/>
      <c r="CS31" s="11">
        <f>IF(SUM(BX31:CA31)-CB31&gt;0,SUM(BX31:CA31)-CB31,"")</f>
        <v>44.19</v>
      </c>
      <c r="CT31" s="11">
        <f>IF(CE31&gt;0,CE31,"")</f>
        <v>2.7</v>
      </c>
      <c r="CU31" s="11">
        <f>IF(SUM(CC31:CF31)-CG31&gt;0,SUM(CC31:CF31)-CG31,"")</f>
        <v>10.530000000000001</v>
      </c>
      <c r="CV31" s="11" t="str">
        <f>IF(CJ31&gt;0,CJ31,"")</f>
        <v/>
      </c>
      <c r="CW31" s="11" t="str">
        <f>IF(SUM(CH31:CK31)-CL31&gt;0,SUM(CH31:CK31)-CL31,"")</f>
        <v/>
      </c>
      <c r="CX31" s="11">
        <f>IF(CS31="",IF(MAX(CU31,CW31)&gt;0,MAX(CU31,CW31),""),MAX(CU31,CW31)+CS31)</f>
        <v>54.72</v>
      </c>
      <c r="CY31" s="11" t="str">
        <f>IF(CO31&gt;0,CO31,"")</f>
        <v/>
      </c>
      <c r="CZ31" s="11" t="str">
        <f>IF(SUM(CM31:CP31)-CQ31&gt;0,SUM(CM31:CP31)-CQ31,"")</f>
        <v/>
      </c>
      <c r="DA31" s="11">
        <f>IF(SUM(CX31,CZ31)&gt;0,SUM(CX31,CZ31),"")</f>
        <v>54.72</v>
      </c>
      <c r="DB31" s="19" t="str">
        <f>IF(I31&gt;=0.001,IF(MAX(DU31,EQ31,FM31,GI31,HE31,IA31,IW31,JS31,KO31,LK31,MG31,NC31)-IF(I31="",0,I31)&gt;0.001,MAX(DU31,EQ31,FM31,GI31,HE31,IA31,IW31,JS31,KO31,LK31,MG31,NC31)-IF(I31="",0,I31),""),"")</f>
        <v/>
      </c>
      <c r="DC31" s="19" t="str">
        <f>IF(K31&gt;=0.001,IF(MAX(DX31,ET31,FP31,GL31,HH31,ID31,IZ31,JV31,KR31,LN31,MJ31,NF31)-IF(K31="",0,K31)&gt;0.001,MAX(DX31,ET31,FP31,GL31,HH31,ID31,IZ31,JV31,KR31,LN31,MJ31,NF31)-IF(K31="",0,K31),""),"")</f>
        <v/>
      </c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11" t="str">
        <f>IF(DK31&gt;0,DK31,"")</f>
        <v/>
      </c>
      <c r="DT31" s="11" t="str">
        <f>IF(SUM(DD31:DG31)-DH31&gt;0,SUM(DD31:DG31)-DH31,"")</f>
        <v/>
      </c>
      <c r="DU31" s="11" t="str">
        <f>IF(SUM(DI31:DL31)-DM31&gt;0,SUM(DI31:DL31)-DM31,"")</f>
        <v/>
      </c>
      <c r="DV31" s="11" t="str">
        <f>IF(SUM(DT31:DU31)&gt;0,SUM(DT31:DU31),"")</f>
        <v/>
      </c>
      <c r="DW31" s="11" t="str">
        <f>IF(DP31&gt;0,DP31,"")</f>
        <v/>
      </c>
      <c r="DX31" s="11" t="str">
        <f>IF(SUM(DN31:DQ31)-DR31&gt;0,SUM(DN31:DQ31)-DR31,"")</f>
        <v/>
      </c>
      <c r="DY31" s="11" t="str">
        <f>IF(SUM(DV31,DX31)&gt;0,SUM(DV31,DX31),"")</f>
        <v/>
      </c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14" t="str">
        <f>IF(EG31&gt;0,EG31,"")</f>
        <v/>
      </c>
      <c r="EP31" s="14" t="str">
        <f>IF(SUM(DZ31:EC31)-ED31&gt;0,SUM(DZ31:EC31)-ED31,"")</f>
        <v/>
      </c>
      <c r="EQ31" s="14" t="str">
        <f>IF(SUM(EE31:EH31)-EI31&gt;0,SUM(EE31:EH31)-EI31,"")</f>
        <v/>
      </c>
      <c r="ER31" s="14" t="str">
        <f>IF(SUM(EP31:EQ31)&gt;0,SUM(EP31:EQ31),"")</f>
        <v/>
      </c>
      <c r="ES31" s="14" t="str">
        <f>IF(EL31&gt;0,EL31,"")</f>
        <v/>
      </c>
      <c r="ET31" s="14" t="str">
        <f>IF(SUM(EJ31:EM31)-EN31&gt;0,SUM(EJ31:EM31)-EN31,"")</f>
        <v/>
      </c>
      <c r="EU31" s="14" t="str">
        <f>IF(SUM(ER31,ET31)&gt;0,SUM(ER31,ET31),"")</f>
        <v/>
      </c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11" t="str">
        <f>IF(FC31&gt;0,FC31,"")</f>
        <v/>
      </c>
      <c r="FL31" s="11" t="str">
        <f>IF(SUM(EV31:EY31)-EZ31&gt;0,SUM(EV31:EY31)-EZ31,"")</f>
        <v/>
      </c>
      <c r="FM31" s="11" t="str">
        <f>IF(SUM(FA31:FD31)-FE31&gt;0,SUM(FA31:FD31)-FE31,"")</f>
        <v/>
      </c>
      <c r="FN31" s="11" t="str">
        <f>IF(SUM(FL31:FM31)&gt;0,SUM(FL31:FM31),"")</f>
        <v/>
      </c>
      <c r="FO31" s="11" t="str">
        <f>IF(FH31&gt;0,FH31,"")</f>
        <v/>
      </c>
      <c r="FP31" s="11" t="str">
        <f>IF(SUM(FF31:FI31)-FJ31&gt;0,SUM(FF31:FI31)-FJ31,"")</f>
        <v/>
      </c>
      <c r="FQ31" s="11" t="str">
        <f>IF(SUM(FN31,FP31)&gt;0,SUM(FN31,FP31),"")</f>
        <v/>
      </c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14" t="str">
        <f>IF(FY31&gt;0,FY31,"")</f>
        <v/>
      </c>
      <c r="GH31" s="14" t="str">
        <f>IF(SUM(FR31:FU31)-FV31&gt;0,SUM(FR31:FU31)-FV31,"")</f>
        <v/>
      </c>
      <c r="GI31" s="14" t="str">
        <f>IF(SUM(FW31:FZ31)-GA31&gt;0,SUM(FW31:FZ31)-GA31,"")</f>
        <v/>
      </c>
      <c r="GJ31" s="14" t="str">
        <f>IF(SUM(GH31:GI31)&gt;0,SUM(GH31:GI31),"")</f>
        <v/>
      </c>
      <c r="GK31" s="14" t="str">
        <f>IF(GD31&gt;0,GD31,"")</f>
        <v/>
      </c>
      <c r="GL31" s="14" t="str">
        <f>IF(SUM(GB31:GE31)-GF31&gt;0,SUM(GB31:GE31)-GF31,"")</f>
        <v/>
      </c>
      <c r="GM31" s="14" t="str">
        <f>IF(SUM(GJ31,GL31)&gt;0,SUM(GJ31,GL31),"")</f>
        <v/>
      </c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11" t="str">
        <f>IF(GU31&gt;0,GU31,"")</f>
        <v/>
      </c>
      <c r="HD31" s="11" t="str">
        <f>IF(SUM(GN31:GQ31)-GR31&gt;0,SUM(GN31:GQ31)-GR31,"")</f>
        <v/>
      </c>
      <c r="HE31" s="11" t="str">
        <f>IF(SUM(GS31:GV31)-GW31&gt;0,SUM(GS31:GV31)-GW31,"")</f>
        <v/>
      </c>
      <c r="HF31" s="11" t="str">
        <f>IF(SUM(HD31:HE31)&gt;0,SUM(HD31:HE31),"")</f>
        <v/>
      </c>
      <c r="HG31" s="11" t="str">
        <f>IF(GZ31&gt;0,GZ31,"")</f>
        <v/>
      </c>
      <c r="HH31" s="11" t="str">
        <f>IF(SUM(GX31:HA31)-HB31&gt;0,SUM(GX31:HA31)-HB31,"")</f>
        <v/>
      </c>
      <c r="HI31" s="11" t="str">
        <f>IF(SUM(HF31,HH31)&gt;0,SUM(HF31,HH31),"")</f>
        <v/>
      </c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14" t="str">
        <f>IF(HQ31&gt;0,HQ31,"")</f>
        <v/>
      </c>
      <c r="HZ31" s="14" t="str">
        <f>IF(SUM(HJ31:HM31)-HN31&gt;0,SUM(HJ31:HM31)-HN31,"")</f>
        <v/>
      </c>
      <c r="IA31" s="14" t="str">
        <f>IF(SUM(HO31:HR31)-HS31&gt;0,SUM(HO31:HR31)-HS31,"")</f>
        <v/>
      </c>
      <c r="IB31" s="14" t="str">
        <f>IF(SUM(HZ31:IA31)&gt;0,SUM(HZ31:IA31),"")</f>
        <v/>
      </c>
      <c r="IC31" s="14" t="str">
        <f>IF(HV31&gt;0,HV31,"")</f>
        <v/>
      </c>
      <c r="ID31" s="14" t="str">
        <f>IF(SUM(HT31:HW31)-HX31&gt;0,SUM(HT31:HW31)-HX31,"")</f>
        <v/>
      </c>
      <c r="IE31" s="14" t="str">
        <f>IF(SUM(IB31,ID31)&gt;0,SUM(IB31,ID31),"")</f>
        <v/>
      </c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11" t="str">
        <f>IF(IM31&gt;0,IM31,"")</f>
        <v/>
      </c>
      <c r="IV31" s="11" t="str">
        <f>IF(SUM(IF31:II31)-IJ31&gt;0,SUM(IF31:II31)-IJ31,"")</f>
        <v/>
      </c>
      <c r="IW31" s="11" t="str">
        <f>IF(SUM(IK31:IN31)-IO31&gt;0,SUM(IK31:IN31)-IO31,"")</f>
        <v/>
      </c>
      <c r="IX31" s="11" t="str">
        <f>IF(SUM(IV31:IW31)&gt;0,SUM(IV31:IW31),"")</f>
        <v/>
      </c>
      <c r="IY31" s="11" t="str">
        <f>IF(IR31&gt;0,IR31,"")</f>
        <v/>
      </c>
      <c r="IZ31" s="11" t="str">
        <f>IF(SUM(IP31:IS31)-IT31&gt;0,SUM(IP31:IS31)-IT31,"")</f>
        <v/>
      </c>
      <c r="JA31" s="11" t="str">
        <f>IF(SUM(IX31,IZ31)&gt;0,SUM(IX31,IZ31),"")</f>
        <v/>
      </c>
      <c r="JB31" s="26"/>
      <c r="JC31" s="26"/>
      <c r="JD31" s="26"/>
      <c r="JE31" s="26"/>
      <c r="JF31" s="26"/>
      <c r="JG31" s="26"/>
      <c r="JH31" s="26"/>
      <c r="JI31" s="26"/>
      <c r="JJ31" s="26"/>
      <c r="JK31" s="26"/>
      <c r="JL31" s="26"/>
      <c r="JM31" s="26"/>
      <c r="JN31" s="26"/>
      <c r="JO31" s="26"/>
      <c r="JP31" s="26"/>
      <c r="JQ31" s="14" t="str">
        <f>IF(JI31&gt;0,JI31,"")</f>
        <v/>
      </c>
      <c r="JR31" s="14" t="str">
        <f>IF(SUM(JB31:JE31)-JF31&gt;0,SUM(JB31:JE31)-JF31,"")</f>
        <v/>
      </c>
      <c r="JS31" s="14" t="str">
        <f>IF(SUM(JG31:JJ31)-JK31&gt;0,SUM(JG31:JJ31)-JK31,"")</f>
        <v/>
      </c>
      <c r="JT31" s="14" t="str">
        <f>IF(SUM(JR31:JS31)&gt;0,SUM(JR31:JS31),"")</f>
        <v/>
      </c>
      <c r="JU31" s="14" t="str">
        <f>IF(JN31&gt;0,JN31,"")</f>
        <v/>
      </c>
      <c r="JV31" s="14" t="str">
        <f>IF(SUM(JL31:JO31)-JP31&gt;0,SUM(JL31:JO31)-JP31,"")</f>
        <v/>
      </c>
      <c r="JW31" s="14" t="str">
        <f>IF(SUM(JT31,JV31)&gt;0,SUM(JT31,JV31),"")</f>
        <v/>
      </c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11" t="str">
        <f>IF(KE31&gt;0,KE31,"")</f>
        <v/>
      </c>
      <c r="KN31" s="11" t="str">
        <f>IF(SUM(JX31:KA31)-KB31&gt;0,SUM(JX31:KA31)-KB31,"")</f>
        <v/>
      </c>
      <c r="KO31" s="11" t="str">
        <f>IF(SUM(KC31:KF31)-KG31&gt;0,SUM(KC31:KF31)-KG31,"")</f>
        <v/>
      </c>
      <c r="KP31" s="11" t="str">
        <f>IF(SUM(KN31:KO31)&gt;0,SUM(KN31:KO31),"")</f>
        <v/>
      </c>
      <c r="KQ31" s="11" t="str">
        <f>IF(KJ31&gt;0,KJ31,"")</f>
        <v/>
      </c>
      <c r="KR31" s="11" t="str">
        <f>IF(SUM(KH31:KK31)-KL31&gt;0,SUM(KH31:KK31)-KL31,"")</f>
        <v/>
      </c>
      <c r="KS31" s="11" t="str">
        <f>IF(SUM(KP31,KR31)&gt;0,SUM(KP31,KR31),"")</f>
        <v/>
      </c>
      <c r="KT31" s="26"/>
      <c r="KU31" s="26"/>
      <c r="KV31" s="26"/>
      <c r="KW31" s="26"/>
      <c r="KX31" s="26"/>
      <c r="KY31" s="26"/>
      <c r="KZ31" s="26"/>
      <c r="LA31" s="26"/>
      <c r="LB31" s="26"/>
      <c r="LC31" s="26"/>
      <c r="LD31" s="26"/>
      <c r="LE31" s="26"/>
      <c r="LF31" s="26"/>
      <c r="LG31" s="26"/>
      <c r="LH31" s="26"/>
      <c r="LI31" s="14" t="str">
        <f>IF(LA31&gt;0,LA31,"")</f>
        <v/>
      </c>
      <c r="LJ31" s="14" t="str">
        <f>IF(SUM(KT31:KW31)-KX31&gt;0,SUM(KT31:KW31)-KX31,"")</f>
        <v/>
      </c>
      <c r="LK31" s="14" t="str">
        <f>IF(SUM(KY31:LB31)-LC31&gt;0,SUM(KY31:LB31)-LC31,"")</f>
        <v/>
      </c>
      <c r="LL31" s="14" t="str">
        <f>IF(SUM(LJ31:LK31)&gt;0,SUM(LJ31:LK31),"")</f>
        <v/>
      </c>
      <c r="LM31" s="14" t="str">
        <f>IF(LF31&gt;0,LF31,"")</f>
        <v/>
      </c>
      <c r="LN31" s="14" t="str">
        <f>IF(SUM(LD31:LG31)-LH31&gt;0,SUM(LD31:LG31)-LH31,"")</f>
        <v/>
      </c>
      <c r="LO31" s="14" t="str">
        <f>IF(SUM(LL31,LN31)&gt;0,SUM(LL31,LN31),"")</f>
        <v/>
      </c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11" t="str">
        <f>IF(LW31&gt;0,LW31,"")</f>
        <v/>
      </c>
      <c r="MF31" s="11" t="str">
        <f>IF(SUM(LP31:LS31)-LT31&gt;0,SUM(LP31:LS31)-LT31,"")</f>
        <v/>
      </c>
      <c r="MG31" s="11" t="str">
        <f>IF(SUM(LU31:LX31)-LY31&gt;0,SUM(LU31:LX31)-LY31,"")</f>
        <v/>
      </c>
      <c r="MH31" s="11" t="str">
        <f>IF(SUM(MF31:MG31)&gt;0,SUM(MF31:MG31),"")</f>
        <v/>
      </c>
      <c r="MI31" s="11" t="str">
        <f>IF(MB31&gt;0,MB31,"")</f>
        <v/>
      </c>
      <c r="MJ31" s="11" t="str">
        <f>IF(SUM(LZ31:MC31)-MD31&gt;0,SUM(LZ31:MC31)-MD31,"")</f>
        <v/>
      </c>
      <c r="MK31" s="11" t="str">
        <f>IF(SUM(MH31,MJ31)&gt;0,SUM(MH31,MJ31),"")</f>
        <v/>
      </c>
      <c r="ML31" s="26"/>
      <c r="MM31" s="26"/>
      <c r="MN31" s="26"/>
      <c r="MO31" s="26"/>
      <c r="MP31" s="26"/>
      <c r="MQ31" s="26"/>
      <c r="MR31" s="26"/>
      <c r="MS31" s="26"/>
      <c r="MT31" s="26"/>
      <c r="MU31" s="26"/>
      <c r="MV31" s="26"/>
      <c r="MW31" s="26"/>
      <c r="MX31" s="26"/>
      <c r="MY31" s="26"/>
      <c r="MZ31" s="26"/>
      <c r="NA31" s="14" t="str">
        <f>IF(MS31&gt;0,MS31,"")</f>
        <v/>
      </c>
      <c r="NB31" s="14" t="str">
        <f>IF(SUM(ML31:MO31)-MP31&gt;0,SUM(ML31:MO31)-MP31,"")</f>
        <v/>
      </c>
      <c r="NC31" s="14" t="str">
        <f>IF(SUM(MQ31:MT31)-MU31&gt;0,SUM(MQ31:MT31)-MU31,"")</f>
        <v/>
      </c>
      <c r="ND31" s="14" t="str">
        <f>IF(SUM(NB31:NC31)&gt;0,SUM(NB31:NC31),"")</f>
        <v/>
      </c>
      <c r="NE31" s="14" t="str">
        <f>IF(MX31&gt;0,MX31,"")</f>
        <v/>
      </c>
      <c r="NF31" s="14" t="str">
        <f>IF(SUM(MV31:MY31)-MZ31&gt;0,SUM(MV31:MY31)-MZ31,"")</f>
        <v/>
      </c>
      <c r="NG31" s="14" t="str">
        <f>IF(SUM(ND31,NF31)&gt;0,SUM(ND31,NF31),"")</f>
        <v/>
      </c>
      <c r="NH31" s="38">
        <f>IF($CR31="P",BX31,(BX31+AT31)/2)</f>
        <v>8.35</v>
      </c>
      <c r="NI31" s="38">
        <f>IF($CR31="P",BY31,(BY31+AU31)/2)</f>
        <v>4.7</v>
      </c>
      <c r="NJ31" s="38">
        <f>IF($CR31="P",BZ31,(BZ31+AV31)/2)</f>
        <v>1.2</v>
      </c>
      <c r="NK31" s="38">
        <f>IF($CR31="P",CA31,(CA31+AW31)/2)</f>
        <v>7.8449999999999998</v>
      </c>
      <c r="NL31" s="38">
        <f>IF($CR31="P",CB31,(CB31+AX31)/2)</f>
        <v>0</v>
      </c>
      <c r="NM31" s="38">
        <f>IF($CR31="P",CC31,(CC31+AY31)/2)</f>
        <v>1.45</v>
      </c>
      <c r="NN31" s="38">
        <f>IF($CR31="P",CD31,(CD31+AZ31)/2)</f>
        <v>0.9</v>
      </c>
      <c r="NO31" s="38">
        <f>IF($CR31="P",CE31,(CE31+BA31)/2)</f>
        <v>1.35</v>
      </c>
      <c r="NP31" s="38">
        <f>IF($CR31="P",CF31,(CF31+BB31)/2)</f>
        <v>1.5649999999999999</v>
      </c>
      <c r="NQ31" s="38">
        <f>IF($CR31="P",CG31,(CG31+BC31)/2)</f>
        <v>0</v>
      </c>
      <c r="NR31" s="38">
        <f>IF($CR31="P",CH31,(CH31+BD31)/2)</f>
        <v>0</v>
      </c>
      <c r="NS31" s="38">
        <f>IF($CR31="P",CI31,(CI31+BE31)/2)</f>
        <v>0</v>
      </c>
      <c r="NT31" s="38">
        <f>IF($CR31="P",CJ31,(CJ31+BF31)/2)</f>
        <v>0</v>
      </c>
      <c r="NU31" s="38">
        <f>IF($CR31="P",CK31,(CK31+BG31)/2)</f>
        <v>0</v>
      </c>
      <c r="NV31" s="38">
        <f>IF($CR31="P",CL31,(CL31+BH31)/2)</f>
        <v>0</v>
      </c>
      <c r="NW31" s="38">
        <f>IF($CR31="P",CM31,(CM31+BI31)/2)</f>
        <v>0</v>
      </c>
      <c r="NX31" s="38">
        <f>IF($CR31="P",CN31,(CN31+BJ31)/2)</f>
        <v>0</v>
      </c>
      <c r="NY31" s="38">
        <f>IF($CR31="P",CO31,(CO31+BK31)/2)</f>
        <v>0</v>
      </c>
      <c r="NZ31" s="38">
        <f>IF($CR31="P",CP31,(CP31+BL31)/2)</f>
        <v>0</v>
      </c>
      <c r="OA31" s="38">
        <f>IF($CR31="P",CQ31,(CQ31+BM31)/2)</f>
        <v>0</v>
      </c>
      <c r="OB31" s="45" t="s">
        <v>46</v>
      </c>
      <c r="OC31" s="11">
        <f>IF(SUM(NH31:NK31)-NL31&gt;0,SUM(NH31:NK31)-NL31,"")</f>
        <v>22.094999999999999</v>
      </c>
      <c r="OD31" s="11">
        <f>IF(NO31&gt;0,NO31,"")</f>
        <v>1.35</v>
      </c>
      <c r="OE31" s="11">
        <f>IF(SUM(NM31:NP31)-NQ31&gt;0,SUM(NM31:NP31)-NQ31,"")</f>
        <v>5.2650000000000006</v>
      </c>
      <c r="OF31" s="11" t="str">
        <f>IF(NT31&gt;0,NT31,"")</f>
        <v/>
      </c>
      <c r="OG31" s="11" t="str">
        <f>IF(SUM(NR31:NU31)-NV31&gt;0,SUM(NR31:NU31)-NV31,"")</f>
        <v/>
      </c>
      <c r="OH31" s="11">
        <f>IF(OR(OC31&lt;&gt;"",OE31&lt;&gt;"",OG31&lt;&gt;""),OC31+MAX(OE31,OG31),"")</f>
        <v>27.36</v>
      </c>
      <c r="OI31" s="11" t="str">
        <f>IF(NY31&gt;0,NY31,"")</f>
        <v/>
      </c>
      <c r="OJ31" s="11" t="str">
        <f t="shared" ref="OJ31" si="42">IF(SUM(NW31:NZ31)-OA31&gt;0,SUM(NW31:NZ31)-OA31,"")</f>
        <v/>
      </c>
      <c r="OK31" s="11">
        <f t="shared" ref="OK31" si="43">IF(SUM(OH31,OJ31)&gt;0,SUM(OH31,OJ31),"")</f>
        <v>27.36</v>
      </c>
    </row>
    <row r="32" spans="1:401" x14ac:dyDescent="0.2">
      <c r="B32" s="6"/>
      <c r="D32" s="1"/>
    </row>
    <row r="34" spans="1:371" x14ac:dyDescent="0.2">
      <c r="B34" s="39" t="s">
        <v>44</v>
      </c>
      <c r="C34" s="34"/>
      <c r="AL34" s="66"/>
      <c r="AM34" s="66"/>
      <c r="AN34" s="66"/>
      <c r="AQ34" s="32"/>
      <c r="AS34" s="35">
        <v>13.5</v>
      </c>
      <c r="BP34" s="66"/>
      <c r="BQ34" s="66"/>
      <c r="BR34" s="66"/>
      <c r="BU34" s="32"/>
      <c r="BW34" s="35">
        <v>13.5</v>
      </c>
      <c r="CT34" s="66"/>
      <c r="CU34" s="66"/>
      <c r="CV34" s="66"/>
      <c r="CY34" s="32"/>
      <c r="DA34" s="35">
        <v>13.5</v>
      </c>
      <c r="DS34" s="34"/>
      <c r="DW34" s="32"/>
      <c r="DY34" s="35">
        <v>13.5</v>
      </c>
      <c r="EO34" s="34"/>
      <c r="ES34" s="32"/>
      <c r="EU34" s="35">
        <v>13.5</v>
      </c>
      <c r="FK34" s="34"/>
      <c r="FO34" s="32"/>
      <c r="FQ34" s="35">
        <v>13.5</v>
      </c>
      <c r="GG34" s="34"/>
      <c r="GK34" s="32"/>
      <c r="GM34" s="35">
        <v>13.5</v>
      </c>
      <c r="HC34" s="34"/>
      <c r="HG34" s="32"/>
      <c r="HI34" s="35">
        <v>13.5</v>
      </c>
      <c r="HY34" s="34"/>
      <c r="IC34" s="32"/>
      <c r="IE34" s="35">
        <v>13.5</v>
      </c>
      <c r="IU34" s="34"/>
      <c r="IY34" s="32"/>
      <c r="JA34" s="35">
        <v>13.5</v>
      </c>
      <c r="JQ34" s="34"/>
      <c r="JU34" s="32"/>
      <c r="JW34" s="35">
        <v>13.5</v>
      </c>
      <c r="KM34" s="34"/>
      <c r="KQ34" s="32"/>
      <c r="KS34" s="35">
        <v>13.5</v>
      </c>
      <c r="LI34" s="34"/>
      <c r="LM34" s="32"/>
      <c r="LO34" s="35">
        <v>13.5</v>
      </c>
      <c r="ME34" s="34"/>
      <c r="MI34" s="32"/>
      <c r="MK34" s="35">
        <v>13.5</v>
      </c>
      <c r="NA34" s="34"/>
      <c r="NE34" s="32"/>
      <c r="NG34" s="35">
        <v>13.5</v>
      </c>
    </row>
    <row r="35" spans="1:371" hidden="1" x14ac:dyDescent="0.2">
      <c r="B35" s="48" t="s">
        <v>43</v>
      </c>
      <c r="C35" s="34"/>
      <c r="AL35" s="66"/>
      <c r="AM35" s="66"/>
      <c r="AN35" s="66"/>
      <c r="AQ35" s="32"/>
      <c r="AS35" s="52">
        <v>1000</v>
      </c>
      <c r="BP35" s="66"/>
      <c r="BQ35" s="66"/>
      <c r="BR35" s="66"/>
      <c r="BU35" s="32"/>
      <c r="BW35" s="52">
        <v>1000</v>
      </c>
      <c r="CT35" s="66"/>
      <c r="CU35" s="66"/>
      <c r="CV35" s="66"/>
      <c r="CY35" s="32"/>
      <c r="DA35" s="52">
        <v>1000</v>
      </c>
      <c r="DS35" s="34"/>
      <c r="DW35" s="32"/>
      <c r="DY35" s="52">
        <v>1000</v>
      </c>
      <c r="EO35" s="34"/>
      <c r="ES35" s="32"/>
      <c r="EU35" s="52">
        <v>1000</v>
      </c>
      <c r="FK35" s="34"/>
      <c r="FO35" s="32"/>
      <c r="FQ35" s="52">
        <v>1000</v>
      </c>
      <c r="GG35" s="34"/>
      <c r="GK35" s="32"/>
      <c r="GM35" s="52">
        <v>1000</v>
      </c>
      <c r="HC35" s="34"/>
      <c r="HG35" s="32"/>
      <c r="HI35" s="52">
        <v>1000</v>
      </c>
      <c r="HY35" s="34"/>
      <c r="IC35" s="32"/>
      <c r="IE35" s="52">
        <v>1000</v>
      </c>
      <c r="IU35" s="34"/>
      <c r="IY35" s="32"/>
      <c r="JA35" s="52">
        <v>1000</v>
      </c>
      <c r="JQ35" s="34"/>
      <c r="JU35" s="32"/>
      <c r="JW35" s="52">
        <v>1000</v>
      </c>
      <c r="KM35" s="34"/>
      <c r="KQ35" s="32"/>
      <c r="KS35" s="52">
        <v>1000</v>
      </c>
      <c r="LI35" s="34"/>
      <c r="LM35" s="32"/>
      <c r="LO35" s="52">
        <v>1000</v>
      </c>
      <c r="ME35" s="34"/>
      <c r="MI35" s="32"/>
      <c r="MK35" s="52">
        <v>1000</v>
      </c>
      <c r="NA35" s="34"/>
      <c r="NE35" s="32"/>
      <c r="NG35" s="52">
        <v>1000</v>
      </c>
    </row>
    <row r="36" spans="1:371" hidden="1" x14ac:dyDescent="0.2">
      <c r="A36" s="34"/>
      <c r="B36" s="49" t="s">
        <v>55</v>
      </c>
      <c r="C36" s="34"/>
      <c r="AL36" s="66"/>
      <c r="AM36" s="66"/>
      <c r="AN36" s="66"/>
      <c r="AP36" s="32"/>
      <c r="AQ36" s="32"/>
      <c r="AR36" s="32"/>
      <c r="AS36" s="50">
        <v>1000</v>
      </c>
      <c r="BP36" s="66"/>
      <c r="BQ36" s="66"/>
      <c r="BR36" s="66"/>
      <c r="BU36" s="32"/>
      <c r="BW36" s="50">
        <v>1000</v>
      </c>
      <c r="CT36" s="66"/>
      <c r="CU36" s="66"/>
      <c r="CV36" s="66"/>
      <c r="CX36" s="32"/>
      <c r="CY36" s="32"/>
      <c r="CZ36" s="32"/>
      <c r="DA36" s="50">
        <v>1000</v>
      </c>
      <c r="DS36" s="34"/>
      <c r="DW36" s="32"/>
      <c r="DY36" s="50">
        <v>1000</v>
      </c>
      <c r="EO36" s="34"/>
      <c r="ES36" s="32"/>
      <c r="EU36" s="50">
        <v>1000</v>
      </c>
      <c r="FK36" s="34"/>
      <c r="FO36" s="32"/>
      <c r="FQ36" s="50">
        <v>1000</v>
      </c>
      <c r="GG36" s="34"/>
      <c r="GK36" s="32"/>
      <c r="GM36" s="50">
        <v>1000</v>
      </c>
      <c r="HC36" s="34"/>
      <c r="HG36" s="32"/>
      <c r="HI36" s="50">
        <v>1000</v>
      </c>
      <c r="HY36" s="34"/>
      <c r="IC36" s="32"/>
      <c r="IE36" s="50">
        <v>1000</v>
      </c>
      <c r="IU36" s="34"/>
      <c r="IY36" s="32"/>
      <c r="JA36" s="50">
        <v>1000</v>
      </c>
      <c r="JQ36" s="34"/>
      <c r="JU36" s="32"/>
      <c r="JW36" s="50">
        <v>1000</v>
      </c>
      <c r="KM36" s="34"/>
      <c r="KQ36" s="32"/>
      <c r="KS36" s="50">
        <v>1000</v>
      </c>
      <c r="LI36" s="34"/>
      <c r="LM36" s="32"/>
      <c r="LO36" s="50">
        <v>1000</v>
      </c>
      <c r="ME36" s="34"/>
      <c r="MI36" s="32"/>
      <c r="MK36" s="50">
        <v>1000</v>
      </c>
      <c r="NA36" s="34"/>
      <c r="NE36" s="32"/>
      <c r="NG36" s="50">
        <v>1000</v>
      </c>
    </row>
    <row r="37" spans="1:371" hidden="1" x14ac:dyDescent="0.2">
      <c r="A37" s="34"/>
      <c r="B37" s="62" t="s">
        <v>62</v>
      </c>
      <c r="C37" s="34"/>
      <c r="AL37" s="66"/>
      <c r="AM37" s="66"/>
      <c r="AN37" s="66"/>
      <c r="AP37" s="32"/>
      <c r="AQ37" s="32"/>
      <c r="AR37" s="32"/>
      <c r="AS37" s="63">
        <v>1000</v>
      </c>
      <c r="BP37" s="66"/>
      <c r="BQ37" s="66"/>
      <c r="BR37" s="66"/>
      <c r="BU37" s="32"/>
      <c r="BW37" s="63">
        <v>1000</v>
      </c>
      <c r="CT37" s="66"/>
      <c r="CU37" s="66"/>
      <c r="CV37" s="66"/>
      <c r="CX37" s="32"/>
      <c r="CY37" s="32"/>
      <c r="CZ37" s="32"/>
      <c r="DA37" s="63">
        <v>1000</v>
      </c>
      <c r="DS37" s="34"/>
      <c r="DW37" s="32"/>
      <c r="DY37" s="63">
        <v>1000</v>
      </c>
      <c r="EO37" s="34"/>
      <c r="ES37" s="32"/>
      <c r="EU37" s="63">
        <v>1000</v>
      </c>
      <c r="FK37" s="34"/>
      <c r="FO37" s="32"/>
      <c r="FQ37" s="63">
        <v>1000</v>
      </c>
      <c r="GG37" s="34"/>
      <c r="GK37" s="32"/>
      <c r="GM37" s="63">
        <v>1000</v>
      </c>
      <c r="HC37" s="34"/>
      <c r="HG37" s="32"/>
      <c r="HI37" s="63">
        <v>1000</v>
      </c>
      <c r="HY37" s="34"/>
      <c r="IC37" s="32"/>
      <c r="IE37" s="63">
        <v>1000</v>
      </c>
      <c r="IU37" s="34"/>
      <c r="IY37" s="32"/>
      <c r="JA37" s="63">
        <v>1000</v>
      </c>
      <c r="JQ37" s="34"/>
      <c r="JU37" s="32"/>
      <c r="JW37" s="63">
        <v>1000</v>
      </c>
      <c r="KM37" s="34"/>
      <c r="KQ37" s="32"/>
      <c r="KS37" s="63">
        <v>1000</v>
      </c>
      <c r="LI37" s="34"/>
      <c r="LM37" s="32"/>
      <c r="LO37" s="63">
        <v>1000</v>
      </c>
      <c r="ME37" s="34"/>
      <c r="MI37" s="32"/>
      <c r="MK37" s="63">
        <v>1000</v>
      </c>
      <c r="NA37" s="34"/>
      <c r="NE37" s="32"/>
      <c r="NG37" s="63">
        <v>1000</v>
      </c>
    </row>
    <row r="38" spans="1:371" x14ac:dyDescent="0.2">
      <c r="A38" s="34"/>
      <c r="B38" s="60" t="s">
        <v>41</v>
      </c>
      <c r="C38" s="34"/>
      <c r="I38" s="2"/>
      <c r="AL38" s="66"/>
      <c r="AM38" s="66"/>
      <c r="AN38" s="66"/>
      <c r="AP38" s="32"/>
      <c r="AQ38" s="32"/>
      <c r="AR38" s="32"/>
      <c r="AS38" s="61">
        <v>52.8</v>
      </c>
      <c r="BP38" s="66"/>
      <c r="BQ38" s="66"/>
      <c r="BR38" s="66"/>
      <c r="BU38" s="32"/>
      <c r="BW38" s="61">
        <v>52.8</v>
      </c>
      <c r="CT38" s="66"/>
      <c r="CU38" s="66"/>
      <c r="CV38" s="66"/>
      <c r="CX38" s="32"/>
      <c r="CY38" s="32"/>
      <c r="CZ38" s="32"/>
      <c r="DA38" s="61">
        <v>52.8</v>
      </c>
      <c r="DS38" s="34"/>
      <c r="DW38" s="32"/>
      <c r="DY38" s="61">
        <v>52.8</v>
      </c>
      <c r="EO38" s="34"/>
      <c r="ES38" s="32"/>
      <c r="EU38" s="61">
        <v>52.8</v>
      </c>
      <c r="FK38" s="34"/>
      <c r="FO38" s="32"/>
      <c r="FQ38" s="61">
        <v>52.8</v>
      </c>
      <c r="GG38" s="34"/>
      <c r="GK38" s="32"/>
      <c r="GM38" s="61">
        <v>52.8</v>
      </c>
      <c r="HC38" s="34"/>
      <c r="HG38" s="32"/>
      <c r="HI38" s="61">
        <v>52.8</v>
      </c>
      <c r="HY38" s="34"/>
      <c r="IC38" s="32"/>
      <c r="IE38" s="61">
        <v>52.8</v>
      </c>
      <c r="IU38" s="34"/>
      <c r="IY38" s="32"/>
      <c r="JA38" s="61">
        <v>52.8</v>
      </c>
      <c r="JQ38" s="34"/>
      <c r="JU38" s="32"/>
      <c r="JW38" s="61">
        <v>52.8</v>
      </c>
      <c r="KM38" s="34"/>
      <c r="KQ38" s="32"/>
      <c r="KS38" s="61">
        <v>52.8</v>
      </c>
      <c r="LI38" s="34"/>
      <c r="LM38" s="32"/>
      <c r="LO38" s="61">
        <v>52.8</v>
      </c>
      <c r="ME38" s="34"/>
      <c r="MI38" s="32"/>
      <c r="MK38" s="61">
        <v>52.8</v>
      </c>
      <c r="NA38" s="34"/>
      <c r="NE38" s="32"/>
      <c r="NG38" s="61">
        <v>52.8</v>
      </c>
    </row>
    <row r="39" spans="1:371" hidden="1" x14ac:dyDescent="0.2">
      <c r="A39" s="34"/>
      <c r="B39" s="40" t="s">
        <v>42</v>
      </c>
      <c r="C39" s="34"/>
      <c r="I39" s="2"/>
      <c r="AL39" s="66"/>
      <c r="AM39" s="66"/>
      <c r="AN39" s="66"/>
      <c r="AP39" s="32"/>
      <c r="AQ39" s="32"/>
      <c r="AR39" s="32"/>
      <c r="AS39" s="36">
        <v>1000</v>
      </c>
      <c r="BP39" s="66"/>
      <c r="BQ39" s="66"/>
      <c r="BR39" s="66"/>
      <c r="BU39" s="32"/>
      <c r="BW39" s="36">
        <v>1000</v>
      </c>
      <c r="CT39" s="66"/>
      <c r="CU39" s="66"/>
      <c r="CV39" s="66"/>
      <c r="CX39" s="32"/>
      <c r="CY39" s="32"/>
      <c r="CZ39" s="32"/>
      <c r="DA39" s="36">
        <v>1000</v>
      </c>
      <c r="DS39" s="34"/>
      <c r="DW39" s="32"/>
      <c r="DY39" s="36">
        <v>1000</v>
      </c>
      <c r="EO39" s="34"/>
      <c r="ES39" s="32"/>
      <c r="EU39" s="36">
        <v>1000</v>
      </c>
      <c r="FK39" s="34"/>
      <c r="FO39" s="32"/>
      <c r="FQ39" s="36">
        <v>1000</v>
      </c>
      <c r="GG39" s="34"/>
      <c r="GK39" s="32"/>
      <c r="GM39" s="36">
        <v>1000</v>
      </c>
      <c r="HC39" s="34"/>
      <c r="HG39" s="32"/>
      <c r="HI39" s="36">
        <v>1000</v>
      </c>
      <c r="HY39" s="34"/>
      <c r="IC39" s="32"/>
      <c r="IE39" s="36">
        <v>1000</v>
      </c>
      <c r="IU39" s="34"/>
      <c r="IY39" s="32"/>
      <c r="JA39" s="36">
        <v>1000</v>
      </c>
      <c r="JQ39" s="34"/>
      <c r="JU39" s="32"/>
      <c r="JW39" s="36">
        <v>1000</v>
      </c>
      <c r="KM39" s="34"/>
      <c r="KQ39" s="32"/>
      <c r="KS39" s="36">
        <v>1000</v>
      </c>
      <c r="LI39" s="34"/>
      <c r="LM39" s="32"/>
      <c r="LO39" s="36">
        <v>1000</v>
      </c>
      <c r="ME39" s="34"/>
      <c r="MI39" s="32"/>
      <c r="MK39" s="36">
        <v>1000</v>
      </c>
      <c r="NA39" s="34"/>
      <c r="NE39" s="32"/>
      <c r="NG39" s="36">
        <v>1000</v>
      </c>
    </row>
    <row r="40" spans="1:371" hidden="1" x14ac:dyDescent="0.2">
      <c r="A40" s="34"/>
      <c r="B40" s="58" t="s">
        <v>54</v>
      </c>
      <c r="C40" s="34"/>
      <c r="AL40" s="66"/>
      <c r="AM40" s="66"/>
      <c r="AN40" s="66"/>
      <c r="AP40" s="32"/>
      <c r="AQ40" s="32"/>
      <c r="AR40" s="32"/>
      <c r="AS40" s="59">
        <v>1000</v>
      </c>
      <c r="BP40" s="66"/>
      <c r="BQ40" s="66"/>
      <c r="BR40" s="66"/>
      <c r="BU40" s="32"/>
      <c r="BV40" s="68"/>
      <c r="BW40" s="59">
        <v>1000</v>
      </c>
      <c r="CT40" s="66"/>
      <c r="CU40" s="66"/>
      <c r="CV40" s="66"/>
      <c r="CX40" s="32"/>
      <c r="CY40" s="32"/>
      <c r="CZ40" s="32"/>
      <c r="DA40" s="59">
        <v>1000</v>
      </c>
      <c r="DS40" s="34"/>
      <c r="DW40" s="32"/>
      <c r="DX40" s="68"/>
      <c r="DY40" s="59">
        <v>1000</v>
      </c>
      <c r="EO40" s="34"/>
      <c r="ES40" s="32"/>
      <c r="EU40" s="59">
        <v>1000</v>
      </c>
      <c r="FK40" s="34"/>
      <c r="FO40" s="32"/>
      <c r="FQ40" s="59">
        <v>1000</v>
      </c>
      <c r="GG40" s="34"/>
      <c r="GK40" s="32"/>
      <c r="GL40" s="68"/>
      <c r="GM40" s="59">
        <v>1000</v>
      </c>
      <c r="HC40" s="34"/>
      <c r="HG40" s="32"/>
      <c r="HH40" s="68"/>
      <c r="HI40" s="59">
        <v>1000</v>
      </c>
      <c r="HY40" s="34"/>
      <c r="IC40" s="32"/>
      <c r="ID40" s="68"/>
      <c r="IE40" s="59">
        <v>1000</v>
      </c>
      <c r="IU40" s="34"/>
      <c r="IY40" s="32"/>
      <c r="JA40" s="59">
        <v>1000</v>
      </c>
      <c r="JQ40" s="34"/>
      <c r="JU40" s="32"/>
      <c r="JW40" s="59">
        <v>1000</v>
      </c>
      <c r="KM40" s="34"/>
      <c r="KQ40" s="32"/>
      <c r="KS40" s="59">
        <v>1000</v>
      </c>
      <c r="LI40" s="34"/>
      <c r="LM40" s="32"/>
      <c r="LO40" s="59">
        <v>1000</v>
      </c>
      <c r="ME40" s="34"/>
      <c r="MI40" s="32"/>
      <c r="MK40" s="59">
        <v>1000</v>
      </c>
      <c r="NA40" s="34"/>
      <c r="NE40" s="32"/>
      <c r="NG40" s="59">
        <v>1000</v>
      </c>
    </row>
    <row r="41" spans="1:371" hidden="1" x14ac:dyDescent="0.2">
      <c r="A41" s="34"/>
      <c r="B41" s="41" t="s">
        <v>28</v>
      </c>
      <c r="C41" s="34"/>
      <c r="I41" s="2"/>
      <c r="AL41" s="66"/>
      <c r="AM41" s="66"/>
      <c r="AN41" s="66"/>
      <c r="AP41" s="32"/>
      <c r="AQ41" s="32"/>
      <c r="AR41" s="32"/>
      <c r="AS41" s="37">
        <v>1000</v>
      </c>
      <c r="BP41" s="66"/>
      <c r="BQ41" s="66"/>
      <c r="BR41" s="66"/>
      <c r="BU41" s="32"/>
      <c r="BW41" s="37">
        <v>1000</v>
      </c>
      <c r="CT41" s="66"/>
      <c r="CU41" s="66"/>
      <c r="CV41" s="66"/>
      <c r="CX41" s="32"/>
      <c r="CY41" s="32"/>
      <c r="CZ41" s="32"/>
      <c r="DA41" s="37">
        <v>1000</v>
      </c>
      <c r="DS41" s="34"/>
      <c r="DW41" s="32"/>
      <c r="DY41" s="37">
        <v>1000</v>
      </c>
      <c r="EO41" s="34"/>
      <c r="ES41" s="32"/>
      <c r="EU41" s="37">
        <v>1000</v>
      </c>
      <c r="FK41" s="34"/>
      <c r="FO41" s="32"/>
      <c r="FQ41" s="37">
        <v>1000</v>
      </c>
      <c r="GG41" s="34"/>
      <c r="GK41" s="32"/>
      <c r="GM41" s="37">
        <v>1000</v>
      </c>
      <c r="HC41" s="34"/>
      <c r="HG41" s="32"/>
      <c r="HI41" s="37">
        <v>1000</v>
      </c>
      <c r="HY41" s="34"/>
      <c r="IC41" s="32"/>
      <c r="ID41" s="68"/>
      <c r="IE41" s="37">
        <v>1000</v>
      </c>
      <c r="IU41" s="34"/>
      <c r="IY41" s="32"/>
      <c r="JA41" s="37">
        <v>1000</v>
      </c>
      <c r="JQ41" s="34"/>
      <c r="JU41" s="32"/>
      <c r="JW41" s="37">
        <v>1000</v>
      </c>
      <c r="KM41" s="34"/>
      <c r="KQ41" s="32"/>
      <c r="KS41" s="37">
        <v>1000</v>
      </c>
      <c r="LI41" s="34"/>
      <c r="LM41" s="32"/>
      <c r="LO41" s="37">
        <v>1000</v>
      </c>
      <c r="ME41" s="34"/>
      <c r="MI41" s="32"/>
      <c r="MK41" s="37">
        <v>1000</v>
      </c>
      <c r="NA41" s="34"/>
      <c r="NE41" s="32"/>
      <c r="NG41" s="37">
        <v>1000</v>
      </c>
    </row>
    <row r="42" spans="1:371" x14ac:dyDescent="0.2">
      <c r="B42" s="47" t="s">
        <v>47</v>
      </c>
      <c r="C42" s="2"/>
      <c r="AO42" s="32"/>
      <c r="AP42" s="32"/>
      <c r="AR42" s="32"/>
      <c r="CW42" s="32"/>
      <c r="CX42" s="32"/>
      <c r="CZ42" s="32"/>
      <c r="EP42" s="32"/>
    </row>
    <row r="43" spans="1:371" x14ac:dyDescent="0.2">
      <c r="A43" s="34"/>
      <c r="B43" s="34"/>
      <c r="C43" s="33"/>
      <c r="AK43" s="32"/>
      <c r="AL43" s="32"/>
      <c r="AM43" s="32"/>
      <c r="AN43" s="32"/>
      <c r="AO43" s="32"/>
      <c r="AP43" s="32"/>
      <c r="AR43" s="32"/>
      <c r="CS43" s="32"/>
      <c r="CT43" s="32"/>
      <c r="CU43" s="32"/>
      <c r="CV43" s="32"/>
      <c r="CW43" s="32"/>
      <c r="CX43" s="32"/>
      <c r="CZ43" s="32"/>
    </row>
    <row r="44" spans="1:371" ht="17" x14ac:dyDescent="0.2">
      <c r="A44" s="34"/>
      <c r="B44" s="34"/>
      <c r="C44" s="33"/>
      <c r="M44" s="16"/>
      <c r="N44" s="16"/>
      <c r="AK44" s="32"/>
      <c r="AL44" s="32"/>
      <c r="AM44" s="32"/>
      <c r="AN44" s="32"/>
      <c r="AO44" s="32"/>
      <c r="AP44" s="32"/>
      <c r="AR44" s="32"/>
      <c r="CS44" s="32"/>
      <c r="CT44" s="32"/>
      <c r="CU44" s="32"/>
      <c r="CV44" s="32"/>
      <c r="CW44" s="32"/>
      <c r="CX44" s="32"/>
      <c r="CZ44" s="32"/>
    </row>
    <row r="45" spans="1:371" ht="17" x14ac:dyDescent="0.2">
      <c r="A45" s="34"/>
      <c r="B45" s="34"/>
      <c r="C45" s="33"/>
      <c r="M45" s="16"/>
      <c r="AK45" s="32"/>
      <c r="AL45" s="32"/>
      <c r="AM45" s="32"/>
      <c r="AN45" s="32"/>
      <c r="AO45" s="32"/>
      <c r="AP45" s="32"/>
      <c r="AR45" s="32"/>
      <c r="CS45" s="32"/>
      <c r="CT45" s="32"/>
      <c r="CU45" s="32"/>
      <c r="CV45" s="32"/>
      <c r="CW45" s="32"/>
      <c r="CX45" s="32"/>
      <c r="CZ45" s="32"/>
    </row>
    <row r="46" spans="1:371" ht="17" x14ac:dyDescent="0.2">
      <c r="M46" s="16"/>
      <c r="N46" s="16"/>
      <c r="AK46" s="32"/>
      <c r="AL46" s="32"/>
      <c r="AM46" s="32"/>
      <c r="AN46" s="32"/>
      <c r="AO46" s="32"/>
      <c r="AP46" s="32"/>
      <c r="AR46" s="32"/>
      <c r="CS46" s="32"/>
      <c r="CT46" s="32"/>
      <c r="CU46" s="32"/>
      <c r="CV46" s="32"/>
      <c r="CW46" s="32"/>
      <c r="CX46" s="32"/>
      <c r="CZ46" s="32"/>
    </row>
    <row r="47" spans="1:371" ht="17" x14ac:dyDescent="0.2">
      <c r="M47" s="16"/>
      <c r="N47" s="16"/>
      <c r="AK47" s="32"/>
      <c r="AL47" s="32"/>
      <c r="AM47" s="32"/>
      <c r="AN47" s="32"/>
      <c r="AO47" s="32"/>
      <c r="AP47" s="32"/>
      <c r="AR47" s="32"/>
      <c r="CS47" s="32"/>
      <c r="CT47" s="32"/>
      <c r="CU47" s="32"/>
      <c r="CV47" s="32"/>
      <c r="CW47" s="32"/>
      <c r="CX47" s="32"/>
      <c r="CZ47" s="32"/>
    </row>
    <row r="48" spans="1:371" ht="17" x14ac:dyDescent="0.2">
      <c r="M48" s="16"/>
      <c r="N48" s="16"/>
      <c r="AK48" s="32"/>
      <c r="AL48" s="32"/>
      <c r="AM48" s="32"/>
      <c r="AN48" s="32"/>
      <c r="AO48" s="32"/>
      <c r="AP48" s="32"/>
      <c r="AR48" s="32"/>
      <c r="CS48" s="32"/>
      <c r="CT48" s="32"/>
      <c r="CU48" s="32"/>
      <c r="CV48" s="32"/>
      <c r="CW48" s="32"/>
      <c r="CX48" s="32"/>
      <c r="CZ48" s="32"/>
    </row>
    <row r="49" spans="13:15" ht="17" x14ac:dyDescent="0.2">
      <c r="M49" s="16"/>
      <c r="N49" s="16"/>
      <c r="O49" s="16"/>
    </row>
    <row r="50" spans="13:15" ht="17" x14ac:dyDescent="0.2">
      <c r="M50" s="16"/>
      <c r="N50" s="16"/>
      <c r="O50" s="16"/>
    </row>
    <row r="51" spans="13:15" ht="17" x14ac:dyDescent="0.2">
      <c r="M51" s="16"/>
      <c r="N51" s="16"/>
      <c r="O51" s="16"/>
    </row>
    <row r="52" spans="13:15" ht="17" x14ac:dyDescent="0.2">
      <c r="M52" s="16"/>
      <c r="N52" s="16"/>
      <c r="O52" s="16"/>
    </row>
    <row r="53" spans="13:15" ht="17" x14ac:dyDescent="0.2">
      <c r="M53" s="16"/>
      <c r="N53" s="16"/>
      <c r="O53" s="16"/>
    </row>
    <row r="54" spans="13:15" ht="17" x14ac:dyDescent="0.2">
      <c r="M54" s="16"/>
      <c r="N54" s="16"/>
      <c r="O54" s="16"/>
    </row>
    <row r="55" spans="13:15" ht="17" x14ac:dyDescent="0.2">
      <c r="M55" s="16"/>
      <c r="N55" s="16"/>
      <c r="O55" s="16"/>
    </row>
    <row r="56" spans="13:15" ht="17" x14ac:dyDescent="0.2">
      <c r="M56" s="16"/>
      <c r="N56" s="16"/>
      <c r="O56" s="16"/>
    </row>
    <row r="57" spans="13:15" ht="17" x14ac:dyDescent="0.2">
      <c r="M57" s="16"/>
      <c r="N57" s="16"/>
      <c r="O57" s="16"/>
    </row>
    <row r="58" spans="13:15" ht="17" x14ac:dyDescent="0.2">
      <c r="M58" s="16"/>
      <c r="N58" s="16"/>
      <c r="O58" s="16"/>
    </row>
    <row r="59" spans="13:15" ht="17" x14ac:dyDescent="0.2">
      <c r="M59" s="16"/>
      <c r="N59" s="16"/>
      <c r="O59" s="16"/>
    </row>
    <row r="60" spans="13:15" ht="17" x14ac:dyDescent="0.2">
      <c r="M60" s="16"/>
      <c r="N60" s="16"/>
      <c r="O60" s="16"/>
    </row>
    <row r="61" spans="13:15" ht="17" x14ac:dyDescent="0.2">
      <c r="M61" s="16"/>
      <c r="N61" s="16"/>
      <c r="O61" s="16"/>
    </row>
    <row r="62" spans="13:15" ht="17" x14ac:dyDescent="0.2">
      <c r="M62" s="16"/>
      <c r="N62" s="16"/>
      <c r="O62" s="16"/>
    </row>
    <row r="63" spans="13:15" ht="17" x14ac:dyDescent="0.2">
      <c r="M63" s="16"/>
      <c r="N63" s="16"/>
      <c r="O63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31">
      <sortCondition descending="1" ref="F1:F32"/>
    </sortState>
  </autoFilter>
  <sortState xmlns:xlrd2="http://schemas.microsoft.com/office/spreadsheetml/2017/richdata2" ref="A1:J3">
    <sortCondition ref="A1"/>
  </sortState>
  <mergeCells count="84">
    <mergeCell ref="FR2:FV2"/>
    <mergeCell ref="FF2:FJ2"/>
    <mergeCell ref="FA2:FE2"/>
    <mergeCell ref="EE2:EI2"/>
    <mergeCell ref="EV1:FQ1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NM2:NQ2"/>
    <mergeCell ref="NH1:OI1"/>
    <mergeCell ref="NH2:NL2"/>
    <mergeCell ref="NR2:NV2"/>
    <mergeCell ref="NW2:OA2"/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P4:AS31">
    <cfRule type="expression" dxfId="181" priority="1" stopIfTrue="1">
      <formula>IF($AJ4&lt;&gt;"",1,0)</formula>
    </cfRule>
  </conditionalFormatting>
  <conditionalFormatting sqref="AT4:BW31">
    <cfRule type="expression" dxfId="180" priority="3" stopIfTrue="1">
      <formula>IF($BN4&lt;&gt;"",1,0)</formula>
    </cfRule>
  </conditionalFormatting>
  <conditionalFormatting sqref="J1:J1048576 L1:L1048576">
    <cfRule type="expression" dxfId="179" priority="10">
      <formula>IF(J1=$BX$1,1,0)</formula>
    </cfRule>
    <cfRule type="expression" dxfId="178" priority="11">
      <formula>IF(J1=$AT$1,1,0)</formula>
    </cfRule>
    <cfRule type="expression" dxfId="177" priority="12">
      <formula>IF(J1=$P$1,1,0)</formula>
    </cfRule>
  </conditionalFormatting>
  <conditionalFormatting sqref="BX4:DA31">
    <cfRule type="expression" dxfId="176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75" priority="48339" operator="between">
      <formula>AS$38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74" priority="48384" operator="between">
      <formula>AS$38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73" priority="48429" operator="between">
      <formula>DY$37</formula>
      <formula>1000</formula>
    </cfRule>
    <cfRule type="cellIs" dxfId="172" priority="48430" operator="between">
      <formula>DY$36</formula>
      <formula>DY$37</formula>
    </cfRule>
    <cfRule type="cellIs" dxfId="171" priority="48431" operator="between">
      <formula>DY$35</formula>
      <formula>DY$36</formula>
    </cfRule>
    <cfRule type="cellIs" dxfId="170" priority="48432" operator="between">
      <formula>DY$34</formula>
      <formula>DY$35</formula>
    </cfRule>
  </conditionalFormatting>
  <conditionalFormatting sqref="AL1:AL1048576 BP1:BP1048576 CT1:CT1048576">
    <cfRule type="cellIs" dxfId="169" priority="48573" operator="between">
      <formula>AS$37</formula>
      <formula>1000</formula>
    </cfRule>
    <cfRule type="cellIs" dxfId="168" priority="48574" operator="between">
      <formula>AS$36</formula>
      <formula>AS$37</formula>
    </cfRule>
    <cfRule type="cellIs" dxfId="167" priority="48575" operator="between">
      <formula>AS$35</formula>
      <formula>AS$36</formula>
    </cfRule>
    <cfRule type="cellIs" dxfId="166" priority="48576" operator="between">
      <formula>AS$34</formula>
      <formula>AS$35</formula>
    </cfRule>
  </conditionalFormatting>
  <conditionalFormatting sqref="AM1:AM1048576 BQ1:BQ1048576 CU1:CU1048576">
    <cfRule type="cellIs" dxfId="165" priority="48609" operator="between">
      <formula>AS$38</formula>
      <formula>1000</formula>
    </cfRule>
  </conditionalFormatting>
  <conditionalFormatting sqref="AN1:AN1048576 BR1:BR1048576 CV1:CV1048576">
    <cfRule type="cellIs" dxfId="164" priority="48618" operator="between">
      <formula>AS$37</formula>
      <formula>1000</formula>
    </cfRule>
    <cfRule type="cellIs" dxfId="163" priority="48619" operator="between">
      <formula>AS$36</formula>
      <formula>AS$37</formula>
    </cfRule>
    <cfRule type="cellIs" dxfId="162" priority="48620" operator="between">
      <formula>AS$35</formula>
      <formula>AS$36</formula>
    </cfRule>
    <cfRule type="cellIs" dxfId="161" priority="48621" operator="between">
      <formula>AS$34</formula>
      <formula>AS$35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60" priority="48654" operator="between">
      <formula>AS$37</formula>
      <formula>1000</formula>
    </cfRule>
    <cfRule type="cellIs" dxfId="159" priority="48655" operator="between">
      <formula>AS$36</formula>
      <formula>AS$37</formula>
    </cfRule>
    <cfRule type="cellIs" dxfId="158" priority="48656" operator="between">
      <formula>AS$35</formula>
      <formula>AS$36</formula>
    </cfRule>
    <cfRule type="cellIs" dxfId="157" priority="48657" operator="between">
      <formula>AS$34</formula>
      <formula>AS$35</formula>
    </cfRule>
  </conditionalFormatting>
  <conditionalFormatting sqref="A1:A1048576">
    <cfRule type="expression" dxfId="156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401" width="10.83203125" hidden="1" customWidth="1"/>
  </cols>
  <sheetData>
    <row r="1" spans="1:40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5" t="s">
        <v>8</v>
      </c>
      <c r="H1" s="105" t="s">
        <v>9</v>
      </c>
      <c r="I1" s="107" t="s">
        <v>76</v>
      </c>
      <c r="J1" s="108" t="s">
        <v>26</v>
      </c>
      <c r="K1" s="107" t="s">
        <v>77</v>
      </c>
      <c r="L1" s="108" t="s">
        <v>26</v>
      </c>
      <c r="M1" s="109" t="s">
        <v>11</v>
      </c>
      <c r="N1" s="108" t="s">
        <v>27</v>
      </c>
      <c r="O1" s="108" t="s">
        <v>26</v>
      </c>
      <c r="P1" s="100" t="s">
        <v>106</v>
      </c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4" t="s">
        <v>123</v>
      </c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0" t="s">
        <v>133</v>
      </c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2" t="s">
        <v>11</v>
      </c>
      <c r="DC1" s="102"/>
      <c r="DD1" s="100" t="s">
        <v>130</v>
      </c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4" t="s">
        <v>132</v>
      </c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0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0"/>
      <c r="GO1" s="100"/>
      <c r="GP1" s="100"/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0"/>
      <c r="IS1" s="100"/>
      <c r="IT1" s="100"/>
      <c r="IU1" s="100"/>
      <c r="IV1" s="100"/>
      <c r="IW1" s="100"/>
      <c r="IX1" s="100"/>
      <c r="IY1" s="100"/>
      <c r="IZ1" s="100"/>
      <c r="JA1" s="100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0"/>
      <c r="LQ1" s="100"/>
      <c r="LR1" s="100"/>
      <c r="LS1" s="100"/>
      <c r="LT1" s="100"/>
      <c r="LU1" s="100"/>
      <c r="LV1" s="100"/>
      <c r="LW1" s="100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0" t="s">
        <v>56</v>
      </c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0"/>
      <c r="NX1" s="100"/>
      <c r="NY1" s="100"/>
      <c r="NZ1" s="100"/>
      <c r="OA1" s="100"/>
      <c r="OB1" s="100"/>
      <c r="OC1" s="100"/>
      <c r="OD1" s="100"/>
      <c r="OE1" s="100"/>
      <c r="OF1" s="100"/>
      <c r="OG1" s="100"/>
      <c r="OH1" s="100"/>
      <c r="OI1" s="100"/>
    </row>
    <row r="2" spans="1:401" x14ac:dyDescent="0.2">
      <c r="A2" s="105"/>
      <c r="B2" s="105"/>
      <c r="C2" s="105"/>
      <c r="D2" s="105"/>
      <c r="E2" s="105"/>
      <c r="F2" s="106"/>
      <c r="G2" s="105"/>
      <c r="H2" s="105"/>
      <c r="I2" s="107"/>
      <c r="J2" s="108"/>
      <c r="K2" s="107"/>
      <c r="L2" s="108"/>
      <c r="M2" s="109"/>
      <c r="N2" s="108"/>
      <c r="O2" s="108"/>
      <c r="P2" s="101" t="s">
        <v>16</v>
      </c>
      <c r="Q2" s="101"/>
      <c r="R2" s="101"/>
      <c r="S2" s="101"/>
      <c r="T2" s="101"/>
      <c r="U2" s="101" t="s">
        <v>17</v>
      </c>
      <c r="V2" s="101"/>
      <c r="W2" s="101"/>
      <c r="X2" s="101"/>
      <c r="Y2" s="101"/>
      <c r="Z2" s="101" t="s">
        <v>63</v>
      </c>
      <c r="AA2" s="101"/>
      <c r="AB2" s="101"/>
      <c r="AC2" s="101"/>
      <c r="AD2" s="101"/>
      <c r="AE2" s="101" t="s">
        <v>20</v>
      </c>
      <c r="AF2" s="101"/>
      <c r="AG2" s="101"/>
      <c r="AH2" s="101"/>
      <c r="AI2" s="101"/>
      <c r="AJ2" s="70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3" t="s">
        <v>16</v>
      </c>
      <c r="AU2" s="103"/>
      <c r="AV2" s="103"/>
      <c r="AW2" s="103"/>
      <c r="AX2" s="103"/>
      <c r="AY2" s="103" t="s">
        <v>17</v>
      </c>
      <c r="AZ2" s="103"/>
      <c r="BA2" s="103"/>
      <c r="BB2" s="103"/>
      <c r="BC2" s="103"/>
      <c r="BD2" s="103" t="s">
        <v>63</v>
      </c>
      <c r="BE2" s="103"/>
      <c r="BF2" s="103"/>
      <c r="BG2" s="103"/>
      <c r="BH2" s="103"/>
      <c r="BI2" s="103" t="s">
        <v>20</v>
      </c>
      <c r="BJ2" s="103"/>
      <c r="BK2" s="103"/>
      <c r="BL2" s="103"/>
      <c r="BM2" s="103"/>
      <c r="BN2" s="69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1" t="s">
        <v>16</v>
      </c>
      <c r="BY2" s="101"/>
      <c r="BZ2" s="101"/>
      <c r="CA2" s="101"/>
      <c r="CB2" s="101"/>
      <c r="CC2" s="101" t="s">
        <v>17</v>
      </c>
      <c r="CD2" s="101"/>
      <c r="CE2" s="101"/>
      <c r="CF2" s="101"/>
      <c r="CG2" s="101"/>
      <c r="CH2" s="101" t="s">
        <v>63</v>
      </c>
      <c r="CI2" s="101"/>
      <c r="CJ2" s="101"/>
      <c r="CK2" s="101"/>
      <c r="CL2" s="101"/>
      <c r="CM2" s="101" t="s">
        <v>20</v>
      </c>
      <c r="CN2" s="101"/>
      <c r="CO2" s="101"/>
      <c r="CP2" s="101"/>
      <c r="CQ2" s="101"/>
      <c r="CR2" s="70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17" t="s">
        <v>19</v>
      </c>
      <c r="DC2" s="17" t="s">
        <v>20</v>
      </c>
      <c r="DD2" s="101" t="s">
        <v>16</v>
      </c>
      <c r="DE2" s="101"/>
      <c r="DF2" s="101"/>
      <c r="DG2" s="101"/>
      <c r="DH2" s="101"/>
      <c r="DI2" s="101" t="s">
        <v>17</v>
      </c>
      <c r="DJ2" s="101"/>
      <c r="DK2" s="101"/>
      <c r="DL2" s="101"/>
      <c r="DM2" s="101"/>
      <c r="DN2" s="101" t="s">
        <v>20</v>
      </c>
      <c r="DO2" s="101"/>
      <c r="DP2" s="101"/>
      <c r="DQ2" s="101"/>
      <c r="DR2" s="101"/>
      <c r="DS2" s="70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3" t="s">
        <v>16</v>
      </c>
      <c r="EA2" s="103"/>
      <c r="EB2" s="103"/>
      <c r="EC2" s="103"/>
      <c r="ED2" s="103"/>
      <c r="EE2" s="103" t="s">
        <v>17</v>
      </c>
      <c r="EF2" s="103"/>
      <c r="EG2" s="103"/>
      <c r="EH2" s="103"/>
      <c r="EI2" s="103"/>
      <c r="EJ2" s="103" t="s">
        <v>20</v>
      </c>
      <c r="EK2" s="103"/>
      <c r="EL2" s="103"/>
      <c r="EM2" s="103"/>
      <c r="EN2" s="103"/>
      <c r="EO2" s="69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1" t="s">
        <v>16</v>
      </c>
      <c r="EW2" s="101"/>
      <c r="EX2" s="101"/>
      <c r="EY2" s="101"/>
      <c r="EZ2" s="101"/>
      <c r="FA2" s="101" t="s">
        <v>17</v>
      </c>
      <c r="FB2" s="101"/>
      <c r="FC2" s="101"/>
      <c r="FD2" s="101"/>
      <c r="FE2" s="101"/>
      <c r="FF2" s="101" t="s">
        <v>20</v>
      </c>
      <c r="FG2" s="101"/>
      <c r="FH2" s="101"/>
      <c r="FI2" s="101"/>
      <c r="FJ2" s="101"/>
      <c r="FK2" s="70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3" t="s">
        <v>16</v>
      </c>
      <c r="FS2" s="103"/>
      <c r="FT2" s="103"/>
      <c r="FU2" s="103"/>
      <c r="FV2" s="103"/>
      <c r="FW2" s="103" t="s">
        <v>17</v>
      </c>
      <c r="FX2" s="103"/>
      <c r="FY2" s="103"/>
      <c r="FZ2" s="103"/>
      <c r="GA2" s="103"/>
      <c r="GB2" s="103" t="s">
        <v>20</v>
      </c>
      <c r="GC2" s="103"/>
      <c r="GD2" s="103"/>
      <c r="GE2" s="103"/>
      <c r="GF2" s="103"/>
      <c r="GG2" s="69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1" t="s">
        <v>16</v>
      </c>
      <c r="GO2" s="101"/>
      <c r="GP2" s="101"/>
      <c r="GQ2" s="101"/>
      <c r="GR2" s="101"/>
      <c r="GS2" s="101" t="s">
        <v>17</v>
      </c>
      <c r="GT2" s="101"/>
      <c r="GU2" s="101"/>
      <c r="GV2" s="101"/>
      <c r="GW2" s="101"/>
      <c r="GX2" s="101" t="s">
        <v>20</v>
      </c>
      <c r="GY2" s="101"/>
      <c r="GZ2" s="101"/>
      <c r="HA2" s="101"/>
      <c r="HB2" s="101"/>
      <c r="HC2" s="70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3" t="s">
        <v>16</v>
      </c>
      <c r="HK2" s="103"/>
      <c r="HL2" s="103"/>
      <c r="HM2" s="103"/>
      <c r="HN2" s="103"/>
      <c r="HO2" s="103" t="s">
        <v>17</v>
      </c>
      <c r="HP2" s="103"/>
      <c r="HQ2" s="103"/>
      <c r="HR2" s="103"/>
      <c r="HS2" s="103"/>
      <c r="HT2" s="103" t="s">
        <v>20</v>
      </c>
      <c r="HU2" s="103"/>
      <c r="HV2" s="103"/>
      <c r="HW2" s="103"/>
      <c r="HX2" s="103"/>
      <c r="HY2" s="69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1" t="s">
        <v>16</v>
      </c>
      <c r="IG2" s="101"/>
      <c r="IH2" s="101"/>
      <c r="II2" s="101"/>
      <c r="IJ2" s="101"/>
      <c r="IK2" s="101" t="s">
        <v>17</v>
      </c>
      <c r="IL2" s="101"/>
      <c r="IM2" s="101"/>
      <c r="IN2" s="101"/>
      <c r="IO2" s="101"/>
      <c r="IP2" s="101" t="s">
        <v>20</v>
      </c>
      <c r="IQ2" s="101"/>
      <c r="IR2" s="101"/>
      <c r="IS2" s="101"/>
      <c r="IT2" s="101"/>
      <c r="IU2" s="70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3" t="s">
        <v>16</v>
      </c>
      <c r="JC2" s="103"/>
      <c r="JD2" s="103"/>
      <c r="JE2" s="103"/>
      <c r="JF2" s="103"/>
      <c r="JG2" s="103" t="s">
        <v>17</v>
      </c>
      <c r="JH2" s="103"/>
      <c r="JI2" s="103"/>
      <c r="JJ2" s="103"/>
      <c r="JK2" s="103"/>
      <c r="JL2" s="103" t="s">
        <v>20</v>
      </c>
      <c r="JM2" s="103"/>
      <c r="JN2" s="103"/>
      <c r="JO2" s="103"/>
      <c r="JP2" s="103"/>
      <c r="JQ2" s="69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1" t="s">
        <v>16</v>
      </c>
      <c r="JY2" s="101"/>
      <c r="JZ2" s="101"/>
      <c r="KA2" s="101"/>
      <c r="KB2" s="101"/>
      <c r="KC2" s="101" t="s">
        <v>17</v>
      </c>
      <c r="KD2" s="101"/>
      <c r="KE2" s="101"/>
      <c r="KF2" s="101"/>
      <c r="KG2" s="101"/>
      <c r="KH2" s="101" t="s">
        <v>20</v>
      </c>
      <c r="KI2" s="101"/>
      <c r="KJ2" s="101"/>
      <c r="KK2" s="101"/>
      <c r="KL2" s="101"/>
      <c r="KM2" s="70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3" t="s">
        <v>16</v>
      </c>
      <c r="KU2" s="103"/>
      <c r="KV2" s="103"/>
      <c r="KW2" s="103"/>
      <c r="KX2" s="103"/>
      <c r="KY2" s="103" t="s">
        <v>17</v>
      </c>
      <c r="KZ2" s="103"/>
      <c r="LA2" s="103"/>
      <c r="LB2" s="103"/>
      <c r="LC2" s="103"/>
      <c r="LD2" s="103" t="s">
        <v>20</v>
      </c>
      <c r="LE2" s="103"/>
      <c r="LF2" s="103"/>
      <c r="LG2" s="103"/>
      <c r="LH2" s="103"/>
      <c r="LI2" s="69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1" t="s">
        <v>16</v>
      </c>
      <c r="LQ2" s="101"/>
      <c r="LR2" s="101"/>
      <c r="LS2" s="101"/>
      <c r="LT2" s="101"/>
      <c r="LU2" s="101" t="s">
        <v>17</v>
      </c>
      <c r="LV2" s="101"/>
      <c r="LW2" s="101"/>
      <c r="LX2" s="101"/>
      <c r="LY2" s="101"/>
      <c r="LZ2" s="101" t="s">
        <v>20</v>
      </c>
      <c r="MA2" s="101"/>
      <c r="MB2" s="101"/>
      <c r="MC2" s="101"/>
      <c r="MD2" s="101"/>
      <c r="ME2" s="70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3" t="s">
        <v>16</v>
      </c>
      <c r="MM2" s="103"/>
      <c r="MN2" s="103"/>
      <c r="MO2" s="103"/>
      <c r="MP2" s="103"/>
      <c r="MQ2" s="103" t="s">
        <v>17</v>
      </c>
      <c r="MR2" s="103"/>
      <c r="MS2" s="103"/>
      <c r="MT2" s="103"/>
      <c r="MU2" s="103"/>
      <c r="MV2" s="103" t="s">
        <v>20</v>
      </c>
      <c r="MW2" s="103"/>
      <c r="MX2" s="103"/>
      <c r="MY2" s="103"/>
      <c r="MZ2" s="103"/>
      <c r="NA2" s="69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1" t="s">
        <v>16</v>
      </c>
      <c r="NI2" s="101"/>
      <c r="NJ2" s="101"/>
      <c r="NK2" s="101"/>
      <c r="NL2" s="101"/>
      <c r="NM2" s="101" t="s">
        <v>17</v>
      </c>
      <c r="NN2" s="101"/>
      <c r="NO2" s="101"/>
      <c r="NP2" s="101"/>
      <c r="NQ2" s="101"/>
      <c r="NR2" s="101" t="s">
        <v>63</v>
      </c>
      <c r="NS2" s="101"/>
      <c r="NT2" s="101"/>
      <c r="NU2" s="101"/>
      <c r="NV2" s="101"/>
      <c r="NW2" s="101" t="s">
        <v>20</v>
      </c>
      <c r="NX2" s="101"/>
      <c r="NY2" s="101"/>
      <c r="NZ2" s="101"/>
      <c r="OA2" s="101"/>
      <c r="OB2" s="7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5"/>
      <c r="B3" s="105"/>
      <c r="C3" s="105"/>
      <c r="D3" s="105"/>
      <c r="E3" s="105"/>
      <c r="F3" s="106"/>
      <c r="G3" s="105"/>
      <c r="H3" s="105"/>
      <c r="I3" s="107"/>
      <c r="J3" s="108"/>
      <c r="K3" s="107"/>
      <c r="L3" s="108"/>
      <c r="M3" s="109"/>
      <c r="N3" s="108"/>
      <c r="O3" s="108"/>
      <c r="P3" s="70" t="s">
        <v>12</v>
      </c>
      <c r="Q3" s="70" t="s">
        <v>13</v>
      </c>
      <c r="R3" s="70" t="s">
        <v>7</v>
      </c>
      <c r="S3" s="70" t="s">
        <v>14</v>
      </c>
      <c r="T3" s="70" t="s">
        <v>24</v>
      </c>
      <c r="U3" s="70" t="s">
        <v>12</v>
      </c>
      <c r="V3" s="70" t="s">
        <v>13</v>
      </c>
      <c r="W3" s="70" t="s">
        <v>7</v>
      </c>
      <c r="X3" s="70" t="s">
        <v>14</v>
      </c>
      <c r="Y3" s="70" t="s">
        <v>24</v>
      </c>
      <c r="Z3" s="70" t="s">
        <v>12</v>
      </c>
      <c r="AA3" s="70" t="s">
        <v>13</v>
      </c>
      <c r="AB3" s="70" t="s">
        <v>7</v>
      </c>
      <c r="AC3" s="70" t="s">
        <v>14</v>
      </c>
      <c r="AD3" s="70" t="s">
        <v>24</v>
      </c>
      <c r="AE3" s="70" t="s">
        <v>12</v>
      </c>
      <c r="AF3" s="70" t="s">
        <v>13</v>
      </c>
      <c r="AG3" s="70" t="s">
        <v>7</v>
      </c>
      <c r="AH3" s="70" t="s">
        <v>14</v>
      </c>
      <c r="AI3" s="70" t="s">
        <v>24</v>
      </c>
      <c r="AJ3" s="70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9" t="s">
        <v>12</v>
      </c>
      <c r="AU3" s="69" t="s">
        <v>13</v>
      </c>
      <c r="AV3" s="69" t="s">
        <v>7</v>
      </c>
      <c r="AW3" s="69" t="s">
        <v>14</v>
      </c>
      <c r="AX3" s="69" t="s">
        <v>24</v>
      </c>
      <c r="AY3" s="69" t="s">
        <v>12</v>
      </c>
      <c r="AZ3" s="69" t="s">
        <v>13</v>
      </c>
      <c r="BA3" s="69" t="s">
        <v>7</v>
      </c>
      <c r="BB3" s="69" t="s">
        <v>14</v>
      </c>
      <c r="BC3" s="69" t="s">
        <v>24</v>
      </c>
      <c r="BD3" s="69" t="s">
        <v>12</v>
      </c>
      <c r="BE3" s="69" t="s">
        <v>13</v>
      </c>
      <c r="BF3" s="69" t="s">
        <v>7</v>
      </c>
      <c r="BG3" s="69" t="s">
        <v>14</v>
      </c>
      <c r="BH3" s="69" t="s">
        <v>24</v>
      </c>
      <c r="BI3" s="69" t="s">
        <v>12</v>
      </c>
      <c r="BJ3" s="69" t="s">
        <v>13</v>
      </c>
      <c r="BK3" s="69" t="s">
        <v>7</v>
      </c>
      <c r="BL3" s="69" t="s">
        <v>14</v>
      </c>
      <c r="BM3" s="69" t="s">
        <v>24</v>
      </c>
      <c r="BN3" s="69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70" t="s">
        <v>12</v>
      </c>
      <c r="BY3" s="70" t="s">
        <v>13</v>
      </c>
      <c r="BZ3" s="70" t="s">
        <v>7</v>
      </c>
      <c r="CA3" s="70" t="s">
        <v>14</v>
      </c>
      <c r="CB3" s="70" t="s">
        <v>24</v>
      </c>
      <c r="CC3" s="70" t="s">
        <v>12</v>
      </c>
      <c r="CD3" s="70" t="s">
        <v>13</v>
      </c>
      <c r="CE3" s="70" t="s">
        <v>7</v>
      </c>
      <c r="CF3" s="70" t="s">
        <v>14</v>
      </c>
      <c r="CG3" s="70" t="s">
        <v>24</v>
      </c>
      <c r="CH3" s="70" t="s">
        <v>12</v>
      </c>
      <c r="CI3" s="70" t="s">
        <v>13</v>
      </c>
      <c r="CJ3" s="70" t="s">
        <v>7</v>
      </c>
      <c r="CK3" s="70" t="s">
        <v>14</v>
      </c>
      <c r="CL3" s="70" t="s">
        <v>24</v>
      </c>
      <c r="CM3" s="70" t="s">
        <v>12</v>
      </c>
      <c r="CN3" s="70" t="s">
        <v>13</v>
      </c>
      <c r="CO3" s="70" t="s">
        <v>7</v>
      </c>
      <c r="CP3" s="70" t="s">
        <v>14</v>
      </c>
      <c r="CQ3" s="70" t="s">
        <v>24</v>
      </c>
      <c r="CR3" s="70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8"/>
      <c r="DC3" s="18"/>
      <c r="DD3" s="70" t="s">
        <v>12</v>
      </c>
      <c r="DE3" s="70" t="s">
        <v>13</v>
      </c>
      <c r="DF3" s="70" t="s">
        <v>7</v>
      </c>
      <c r="DG3" s="70" t="s">
        <v>14</v>
      </c>
      <c r="DH3" s="70" t="s">
        <v>24</v>
      </c>
      <c r="DI3" s="70" t="s">
        <v>12</v>
      </c>
      <c r="DJ3" s="70" t="s">
        <v>13</v>
      </c>
      <c r="DK3" s="70" t="s">
        <v>7</v>
      </c>
      <c r="DL3" s="70" t="s">
        <v>14</v>
      </c>
      <c r="DM3" s="70" t="s">
        <v>24</v>
      </c>
      <c r="DN3" s="70" t="s">
        <v>12</v>
      </c>
      <c r="DO3" s="70" t="s">
        <v>13</v>
      </c>
      <c r="DP3" s="70" t="s">
        <v>7</v>
      </c>
      <c r="DQ3" s="70" t="s">
        <v>14</v>
      </c>
      <c r="DR3" s="70" t="s">
        <v>24</v>
      </c>
      <c r="DS3" s="10"/>
      <c r="DT3" s="9"/>
      <c r="DU3" s="9"/>
      <c r="DV3" s="9"/>
      <c r="DW3" s="9"/>
      <c r="DX3" s="10"/>
      <c r="DY3" s="10"/>
      <c r="DZ3" s="69" t="s">
        <v>12</v>
      </c>
      <c r="EA3" s="69" t="s">
        <v>13</v>
      </c>
      <c r="EB3" s="69" t="s">
        <v>7</v>
      </c>
      <c r="EC3" s="69" t="s">
        <v>14</v>
      </c>
      <c r="ED3" s="69" t="s">
        <v>24</v>
      </c>
      <c r="EE3" s="69" t="s">
        <v>12</v>
      </c>
      <c r="EF3" s="69" t="s">
        <v>13</v>
      </c>
      <c r="EG3" s="69" t="s">
        <v>7</v>
      </c>
      <c r="EH3" s="69" t="s">
        <v>14</v>
      </c>
      <c r="EI3" s="69" t="s">
        <v>24</v>
      </c>
      <c r="EJ3" s="69" t="s">
        <v>12</v>
      </c>
      <c r="EK3" s="69" t="s">
        <v>13</v>
      </c>
      <c r="EL3" s="69" t="s">
        <v>7</v>
      </c>
      <c r="EM3" s="69" t="s">
        <v>14</v>
      </c>
      <c r="EN3" s="30" t="s">
        <v>24</v>
      </c>
      <c r="EO3" s="13"/>
      <c r="EP3" s="12"/>
      <c r="EQ3" s="12"/>
      <c r="ER3" s="12"/>
      <c r="ES3" s="12"/>
      <c r="ET3" s="13"/>
      <c r="EU3" s="13"/>
      <c r="EV3" s="70" t="s">
        <v>12</v>
      </c>
      <c r="EW3" s="70" t="s">
        <v>13</v>
      </c>
      <c r="EX3" s="70" t="s">
        <v>7</v>
      </c>
      <c r="EY3" s="70" t="s">
        <v>14</v>
      </c>
      <c r="EZ3" s="70" t="s">
        <v>24</v>
      </c>
      <c r="FA3" s="70" t="s">
        <v>12</v>
      </c>
      <c r="FB3" s="70" t="s">
        <v>13</v>
      </c>
      <c r="FC3" s="70" t="s">
        <v>7</v>
      </c>
      <c r="FD3" s="70" t="s">
        <v>14</v>
      </c>
      <c r="FE3" s="70" t="s">
        <v>24</v>
      </c>
      <c r="FF3" s="70" t="s">
        <v>12</v>
      </c>
      <c r="FG3" s="70" t="s">
        <v>13</v>
      </c>
      <c r="FH3" s="70" t="s">
        <v>7</v>
      </c>
      <c r="FI3" s="70" t="s">
        <v>14</v>
      </c>
      <c r="FJ3" s="70" t="s">
        <v>24</v>
      </c>
      <c r="FK3" s="10"/>
      <c r="FL3" s="9"/>
      <c r="FM3" s="9"/>
      <c r="FN3" s="9"/>
      <c r="FO3" s="9"/>
      <c r="FP3" s="10"/>
      <c r="FQ3" s="10"/>
      <c r="FR3" s="69" t="s">
        <v>12</v>
      </c>
      <c r="FS3" s="69" t="s">
        <v>13</v>
      </c>
      <c r="FT3" s="69" t="s">
        <v>7</v>
      </c>
      <c r="FU3" s="69" t="s">
        <v>14</v>
      </c>
      <c r="FV3" s="69" t="s">
        <v>24</v>
      </c>
      <c r="FW3" s="69" t="s">
        <v>12</v>
      </c>
      <c r="FX3" s="69" t="s">
        <v>13</v>
      </c>
      <c r="FY3" s="69" t="s">
        <v>7</v>
      </c>
      <c r="FZ3" s="69" t="s">
        <v>14</v>
      </c>
      <c r="GA3" s="69" t="s">
        <v>24</v>
      </c>
      <c r="GB3" s="69" t="s">
        <v>12</v>
      </c>
      <c r="GC3" s="69" t="s">
        <v>13</v>
      </c>
      <c r="GD3" s="69" t="s">
        <v>7</v>
      </c>
      <c r="GE3" s="69" t="s">
        <v>14</v>
      </c>
      <c r="GF3" s="69" t="s">
        <v>24</v>
      </c>
      <c r="GG3" s="13"/>
      <c r="GH3" s="12"/>
      <c r="GI3" s="12"/>
      <c r="GJ3" s="12"/>
      <c r="GK3" s="12"/>
      <c r="GL3" s="13"/>
      <c r="GM3" s="13"/>
      <c r="GN3" s="70" t="s">
        <v>12</v>
      </c>
      <c r="GO3" s="70" t="s">
        <v>13</v>
      </c>
      <c r="GP3" s="70" t="s">
        <v>7</v>
      </c>
      <c r="GQ3" s="70" t="s">
        <v>14</v>
      </c>
      <c r="GR3" s="70" t="s">
        <v>24</v>
      </c>
      <c r="GS3" s="70" t="s">
        <v>12</v>
      </c>
      <c r="GT3" s="70" t="s">
        <v>13</v>
      </c>
      <c r="GU3" s="70" t="s">
        <v>7</v>
      </c>
      <c r="GV3" s="70" t="s">
        <v>14</v>
      </c>
      <c r="GW3" s="70" t="s">
        <v>24</v>
      </c>
      <c r="GX3" s="70" t="s">
        <v>12</v>
      </c>
      <c r="GY3" s="70" t="s">
        <v>13</v>
      </c>
      <c r="GZ3" s="70" t="s">
        <v>7</v>
      </c>
      <c r="HA3" s="70" t="s">
        <v>14</v>
      </c>
      <c r="HB3" s="70" t="s">
        <v>24</v>
      </c>
      <c r="HC3" s="10"/>
      <c r="HD3" s="9"/>
      <c r="HE3" s="9"/>
      <c r="HF3" s="9"/>
      <c r="HG3" s="9"/>
      <c r="HH3" s="10"/>
      <c r="HI3" s="10"/>
      <c r="HJ3" s="69" t="s">
        <v>12</v>
      </c>
      <c r="HK3" s="69" t="s">
        <v>13</v>
      </c>
      <c r="HL3" s="69" t="s">
        <v>7</v>
      </c>
      <c r="HM3" s="69" t="s">
        <v>14</v>
      </c>
      <c r="HN3" s="69" t="s">
        <v>24</v>
      </c>
      <c r="HO3" s="69" t="s">
        <v>12</v>
      </c>
      <c r="HP3" s="69" t="s">
        <v>13</v>
      </c>
      <c r="HQ3" s="69" t="s">
        <v>7</v>
      </c>
      <c r="HR3" s="69" t="s">
        <v>14</v>
      </c>
      <c r="HS3" s="69" t="s">
        <v>24</v>
      </c>
      <c r="HT3" s="69" t="s">
        <v>12</v>
      </c>
      <c r="HU3" s="69" t="s">
        <v>13</v>
      </c>
      <c r="HV3" s="69" t="s">
        <v>7</v>
      </c>
      <c r="HW3" s="69" t="s">
        <v>14</v>
      </c>
      <c r="HX3" s="69" t="s">
        <v>24</v>
      </c>
      <c r="HY3" s="13"/>
      <c r="HZ3" s="12"/>
      <c r="IA3" s="12"/>
      <c r="IB3" s="12"/>
      <c r="IC3" s="12"/>
      <c r="ID3" s="13"/>
      <c r="IE3" s="13"/>
      <c r="IF3" s="70" t="s">
        <v>12</v>
      </c>
      <c r="IG3" s="70" t="s">
        <v>13</v>
      </c>
      <c r="IH3" s="70" t="s">
        <v>7</v>
      </c>
      <c r="II3" s="70" t="s">
        <v>14</v>
      </c>
      <c r="IJ3" s="70" t="s">
        <v>24</v>
      </c>
      <c r="IK3" s="70" t="s">
        <v>12</v>
      </c>
      <c r="IL3" s="70" t="s">
        <v>13</v>
      </c>
      <c r="IM3" s="70" t="s">
        <v>7</v>
      </c>
      <c r="IN3" s="70" t="s">
        <v>14</v>
      </c>
      <c r="IO3" s="70" t="s">
        <v>24</v>
      </c>
      <c r="IP3" s="70" t="s">
        <v>12</v>
      </c>
      <c r="IQ3" s="70" t="s">
        <v>13</v>
      </c>
      <c r="IR3" s="70" t="s">
        <v>7</v>
      </c>
      <c r="IS3" s="70" t="s">
        <v>14</v>
      </c>
      <c r="IT3" s="70" t="s">
        <v>24</v>
      </c>
      <c r="IU3" s="10"/>
      <c r="IV3" s="9"/>
      <c r="IW3" s="9"/>
      <c r="IX3" s="9"/>
      <c r="IY3" s="9"/>
      <c r="IZ3" s="10"/>
      <c r="JA3" s="10"/>
      <c r="JB3" s="69" t="s">
        <v>12</v>
      </c>
      <c r="JC3" s="69" t="s">
        <v>13</v>
      </c>
      <c r="JD3" s="69" t="s">
        <v>7</v>
      </c>
      <c r="JE3" s="69" t="s">
        <v>14</v>
      </c>
      <c r="JF3" s="69" t="s">
        <v>24</v>
      </c>
      <c r="JG3" s="69" t="s">
        <v>12</v>
      </c>
      <c r="JH3" s="69" t="s">
        <v>13</v>
      </c>
      <c r="JI3" s="69" t="s">
        <v>7</v>
      </c>
      <c r="JJ3" s="69" t="s">
        <v>14</v>
      </c>
      <c r="JK3" s="69" t="s">
        <v>24</v>
      </c>
      <c r="JL3" s="69" t="s">
        <v>12</v>
      </c>
      <c r="JM3" s="69" t="s">
        <v>13</v>
      </c>
      <c r="JN3" s="69" t="s">
        <v>7</v>
      </c>
      <c r="JO3" s="69" t="s">
        <v>14</v>
      </c>
      <c r="JP3" s="69" t="s">
        <v>24</v>
      </c>
      <c r="JQ3" s="13"/>
      <c r="JR3" s="12"/>
      <c r="JS3" s="12"/>
      <c r="JT3" s="12"/>
      <c r="JU3" s="12"/>
      <c r="JV3" s="13"/>
      <c r="JW3" s="13"/>
      <c r="JX3" s="70" t="s">
        <v>12</v>
      </c>
      <c r="JY3" s="70" t="s">
        <v>13</v>
      </c>
      <c r="JZ3" s="70" t="s">
        <v>7</v>
      </c>
      <c r="KA3" s="70" t="s">
        <v>14</v>
      </c>
      <c r="KB3" s="70" t="s">
        <v>24</v>
      </c>
      <c r="KC3" s="70" t="s">
        <v>12</v>
      </c>
      <c r="KD3" s="70" t="s">
        <v>13</v>
      </c>
      <c r="KE3" s="70" t="s">
        <v>7</v>
      </c>
      <c r="KF3" s="70" t="s">
        <v>14</v>
      </c>
      <c r="KG3" s="70" t="s">
        <v>24</v>
      </c>
      <c r="KH3" s="70" t="s">
        <v>12</v>
      </c>
      <c r="KI3" s="70" t="s">
        <v>13</v>
      </c>
      <c r="KJ3" s="70" t="s">
        <v>7</v>
      </c>
      <c r="KK3" s="70" t="s">
        <v>14</v>
      </c>
      <c r="KL3" s="70" t="s">
        <v>24</v>
      </c>
      <c r="KM3" s="10"/>
      <c r="KN3" s="9"/>
      <c r="KO3" s="9"/>
      <c r="KP3" s="9"/>
      <c r="KQ3" s="9"/>
      <c r="KR3" s="10"/>
      <c r="KS3" s="10"/>
      <c r="KT3" s="69" t="s">
        <v>12</v>
      </c>
      <c r="KU3" s="69" t="s">
        <v>13</v>
      </c>
      <c r="KV3" s="69" t="s">
        <v>7</v>
      </c>
      <c r="KW3" s="69" t="s">
        <v>14</v>
      </c>
      <c r="KX3" s="69" t="s">
        <v>24</v>
      </c>
      <c r="KY3" s="69" t="s">
        <v>12</v>
      </c>
      <c r="KZ3" s="69" t="s">
        <v>13</v>
      </c>
      <c r="LA3" s="69" t="s">
        <v>7</v>
      </c>
      <c r="LB3" s="69" t="s">
        <v>14</v>
      </c>
      <c r="LC3" s="69" t="s">
        <v>24</v>
      </c>
      <c r="LD3" s="69" t="s">
        <v>12</v>
      </c>
      <c r="LE3" s="69" t="s">
        <v>13</v>
      </c>
      <c r="LF3" s="69" t="s">
        <v>7</v>
      </c>
      <c r="LG3" s="69" t="s">
        <v>14</v>
      </c>
      <c r="LH3" s="69" t="s">
        <v>24</v>
      </c>
      <c r="LI3" s="13"/>
      <c r="LJ3" s="12"/>
      <c r="LK3" s="12"/>
      <c r="LL3" s="12"/>
      <c r="LM3" s="12"/>
      <c r="LN3" s="13"/>
      <c r="LO3" s="13"/>
      <c r="LP3" s="70" t="s">
        <v>12</v>
      </c>
      <c r="LQ3" s="70" t="s">
        <v>13</v>
      </c>
      <c r="LR3" s="70" t="s">
        <v>7</v>
      </c>
      <c r="LS3" s="70" t="s">
        <v>14</v>
      </c>
      <c r="LT3" s="70" t="s">
        <v>24</v>
      </c>
      <c r="LU3" s="70" t="s">
        <v>12</v>
      </c>
      <c r="LV3" s="70" t="s">
        <v>13</v>
      </c>
      <c r="LW3" s="70" t="s">
        <v>7</v>
      </c>
      <c r="LX3" s="70" t="s">
        <v>14</v>
      </c>
      <c r="LY3" s="70" t="s">
        <v>24</v>
      </c>
      <c r="LZ3" s="70" t="s">
        <v>12</v>
      </c>
      <c r="MA3" s="70" t="s">
        <v>13</v>
      </c>
      <c r="MB3" s="70" t="s">
        <v>7</v>
      </c>
      <c r="MC3" s="70" t="s">
        <v>14</v>
      </c>
      <c r="MD3" s="70" t="s">
        <v>24</v>
      </c>
      <c r="ME3" s="10"/>
      <c r="MF3" s="9"/>
      <c r="MG3" s="9"/>
      <c r="MH3" s="9"/>
      <c r="MI3" s="9"/>
      <c r="MJ3" s="10"/>
      <c r="MK3" s="10"/>
      <c r="ML3" s="69" t="s">
        <v>12</v>
      </c>
      <c r="MM3" s="69" t="s">
        <v>13</v>
      </c>
      <c r="MN3" s="69" t="s">
        <v>7</v>
      </c>
      <c r="MO3" s="69" t="s">
        <v>14</v>
      </c>
      <c r="MP3" s="69" t="s">
        <v>24</v>
      </c>
      <c r="MQ3" s="69" t="s">
        <v>12</v>
      </c>
      <c r="MR3" s="69" t="s">
        <v>13</v>
      </c>
      <c r="MS3" s="69" t="s">
        <v>7</v>
      </c>
      <c r="MT3" s="69" t="s">
        <v>14</v>
      </c>
      <c r="MU3" s="69" t="s">
        <v>24</v>
      </c>
      <c r="MV3" s="69" t="s">
        <v>12</v>
      </c>
      <c r="MW3" s="69" t="s">
        <v>13</v>
      </c>
      <c r="MX3" s="69" t="s">
        <v>7</v>
      </c>
      <c r="MY3" s="69" t="s">
        <v>14</v>
      </c>
      <c r="MZ3" s="69" t="s">
        <v>24</v>
      </c>
      <c r="NA3" s="13"/>
      <c r="NB3" s="12"/>
      <c r="NC3" s="12"/>
      <c r="ND3" s="12"/>
      <c r="NE3" s="12"/>
      <c r="NF3" s="13"/>
      <c r="NG3" s="13"/>
      <c r="NH3" s="70" t="s">
        <v>12</v>
      </c>
      <c r="NI3" s="70" t="s">
        <v>13</v>
      </c>
      <c r="NJ3" s="70" t="s">
        <v>7</v>
      </c>
      <c r="NK3" s="70" t="s">
        <v>14</v>
      </c>
      <c r="NL3" s="70" t="s">
        <v>24</v>
      </c>
      <c r="NM3" s="70" t="s">
        <v>12</v>
      </c>
      <c r="NN3" s="70" t="s">
        <v>13</v>
      </c>
      <c r="NO3" s="70" t="s">
        <v>7</v>
      </c>
      <c r="NP3" s="70" t="s">
        <v>14</v>
      </c>
      <c r="NQ3" s="70" t="s">
        <v>24</v>
      </c>
      <c r="NR3" s="70" t="s">
        <v>12</v>
      </c>
      <c r="NS3" s="70" t="s">
        <v>13</v>
      </c>
      <c r="NT3" s="70" t="s">
        <v>7</v>
      </c>
      <c r="NU3" s="70" t="s">
        <v>14</v>
      </c>
      <c r="NV3" s="70" t="s">
        <v>24</v>
      </c>
      <c r="NW3" s="70" t="s">
        <v>12</v>
      </c>
      <c r="NX3" s="70" t="s">
        <v>13</v>
      </c>
      <c r="NY3" s="70" t="s">
        <v>7</v>
      </c>
      <c r="NZ3" s="70" t="s">
        <v>14</v>
      </c>
      <c r="OA3" s="70" t="s">
        <v>24</v>
      </c>
      <c r="OB3" s="7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IF(AND(F4="P",G4="P"),SUMPRODUCT((F$4:F$29="P")*(G$4:G$29="P")*(E$4:E$29&gt;E4))+1,IF(G4="P",SUMPRODUCT((F$4:F$29="")*(G$4:G$29="P")*(E$4:E$29&gt;E4))+1+SUMPRODUCT((F$4:F$29="P")*(G$4:G$29="P")),""))</f>
        <v>1</v>
      </c>
      <c r="B4" s="8" t="s">
        <v>93</v>
      </c>
      <c r="C4" s="4" t="s">
        <v>5</v>
      </c>
      <c r="D4" s="22">
        <v>2001</v>
      </c>
      <c r="E4" s="15">
        <f>SUM(I4:M4)</f>
        <v>102.57</v>
      </c>
      <c r="F4" s="3" t="str">
        <f>IF(OR(AND(AL4&gt;=AS$31,AM4&gt;=AS$35,AL4&lt;&gt;"",AJ4=""),AND(AN4&gt;=AS$31,AO4&gt;=AS$35,AN4&lt;&gt;"",AN4=""),AND(AQ4&gt;=AS$31,AR4&gt;=AS$35,AQ4&lt;&gt;"",AJ4=""),AND(BP4&gt;=BW$31,BQ4&gt;=BW$35,BP4&lt;&gt;"",BN4=""),AND(BR4&gt;=BW$31,BS4&gt;=BW$35,BR4&lt;&gt;"",BN4=""),AND(BU4&gt;=BW$31,BV4&gt;=BW$35,BU4&lt;&gt;"",BN4=""),AND(CT4&gt;=DA$31,CU4&gt;=DA$35,CT4&lt;&gt;"",CR4=""),AND(CV4&gt;=DA$31,CW4&gt;=DA$35,CV4&lt;&gt;"",CR4=""),AND(CY4&gt;=DA$31,CZ4&gt;=DA$35,CY4&lt;&gt;"",CR4=""),AND(DS4&gt;=DY$31,DU4&gt;=DY$35,DS4&lt;&gt;""),AND(DW4&gt;=DY$31,DX4&gt;=DY$35,DW4&lt;&gt;""),AND(EO4&gt;=EU$31,EQ4&gt;=EU$35,EO4&lt;&gt;""),AND(ES4&gt;=EU$31,ET4&gt;=EU$35,ES4&lt;&gt;""),AND(FK4&gt;=FQ$31,FM4&gt;=FQ$35,FK4&lt;&gt;""),AND(FO4&gt;=FQ$31,FP4&gt;=FQ$35,FO4&lt;&gt;""),AND(GG4&gt;=GM$31,GI4&gt;=GM$35,GG4&lt;&gt;""),AND(GK4&gt;=GM$31,GL4&gt;=GM$35,GK4&lt;&gt;""),AND(HC4&gt;=HI$31,HE4&gt;=HI$35,HC4&lt;&gt;""),AND(HG4&gt;=HI$31,HH4&gt;=HI$35,HG4&lt;&gt;""),AND(HY4&gt;=IE$31,IA4&gt;=IE$35,HY4&lt;&gt;""),AND(IC4&gt;=IE$31,ID4&gt;=IE$35,IC4&lt;&gt;""),AND(IU4&gt;=JA$31,IW4&gt;=JA$35,IU4&lt;&gt;""),AND(IY4&gt;=JA$31,IZ4&gt;=JA$35,IY4&lt;&gt;""),AND(JQ4&gt;=JW$31,JS4&gt;=JW$35,JQ4&lt;&gt;""),AND(JU4&gt;=JW$31,JV4&gt;=JW$35,JU4&lt;&gt;""),AND(KM4&gt;=KS$31,KO4&gt;=KS$35,KM4&lt;&gt;""),AND(KQ4&gt;=KS$31,KR4&gt;=KS$35,KQ4&lt;&gt;""),AND(LI4&gt;=LO$31,LK4&gt;=LO$35,LI4&lt;&gt;""),AND(LM4&gt;=LO$31,LN4&gt;=LO$35,LM4&lt;&gt;""),AND(ME4&gt;=MK$31,MG4&gt;=MK$35,ME4&lt;&gt;""),AND(MI4&gt;=MK$31,MJ4&gt;=MK$35,MI4&lt;&gt;""),AND(NA4&gt;=NG$31,NC4&gt;=NG$35,NA4&lt;&gt;""),AND(NE4&gt;=NG$31,NF4&gt;=NG$35,NE4&lt;&gt;"")),"P","")</f>
        <v>P</v>
      </c>
      <c r="G4" s="3" t="str">
        <f>IF(OR(AND(AM4&gt;=AS$35,AL4&lt;&gt;"",AJ4=""),AND(AO4&gt;=AS$35,AN4&lt;&gt;"",AN4=""),AND(AR4&gt;=AS$35,AQ4&lt;&gt;"",AJ4=""),AND(BQ4&gt;=BW$35,BP4&lt;&gt;"",BN4=""),AND(BS4&gt;=BW$35,BR4&lt;&gt;"",BN4=""),AND(BV4&gt;=BW$35,BU4&lt;&gt;"",BN4=""),AND(CU4&gt;=DA$35,CT4&lt;&gt;"",CR4=""),AND(CW4&gt;=DA$35,CV4&lt;&gt;"",CR4=""),AND(CZ4&gt;=DA$35,CY4&lt;&gt;"",CR4=""),AND(DU4&gt;=DY$35,DS4&lt;&gt;""),AND(DX4&gt;=DY$35,DW4&lt;&gt;""),AND(EQ4&gt;=EU$35,EO4&lt;&gt;""),AND(ET4&gt;=EU$35,ES4&lt;&gt;""),AND(FM4&gt;=FQ$35,FK4&lt;&gt;""),AND(FP4&gt;=FQ$35,FO4&lt;&gt;""),AND(GI4&gt;=GM$35,GG4&lt;&gt;""),AND(GL4&gt;=GM$35,GK4&lt;&gt;""),AND(HE4&gt;=HI$35,HC4&lt;&gt;""),AND(HH4&gt;=HI$35,HG4&lt;&gt;""),AND(IA4&gt;=IE$35,HY4&lt;&gt;""),AND(ID4&gt;=IE$35,IC4&lt;&gt;""),AND(IW4&gt;=JA$35,IU4&lt;&gt;""),AND(IZ4&gt;=JA$35,IY4&lt;&gt;""),AND(JS4&gt;=JW$35,JQ4&lt;&gt;""),AND(JV4&gt;=JW$35,JU4&lt;&gt;""),AND(KO4&gt;=KS$35,KM4&lt;&gt;""),AND(KR4&gt;=KS$35,KQ4&lt;&gt;""),AND(LK4&gt;=LO$35,LI4&lt;&gt;""),AND(LN4&gt;=LO$35,LM4&lt;&gt;""),AND(MG4&gt;=MK$35,ME4&lt;&gt;""),AND(MJ4&gt;=MK$35,MI4&lt;&gt;""),AND(NC4&gt;=NG$35,NA4&lt;&gt;""),AND(NF4&gt;=NG$35,NE4&lt;&gt;"")),"P","")</f>
        <v>P</v>
      </c>
      <c r="H4" s="67" t="str">
        <f>IF(F4="P","National Team",IF(G4="P","No DD",""))</f>
        <v>National Team</v>
      </c>
      <c r="I4" s="14">
        <f>MAX(AM4,AO4,AR4,BQ4,BS4,BV4,CU4,CW4,CZ4)</f>
        <v>51.56</v>
      </c>
      <c r="J4" s="14" t="str">
        <f>IF(I4=0,"",IF(OR(I4=CW4,I4=CU4,I4=CZ4),$BX$1,IF(OR(I4=BS4,I4=BQ4,I4=BV4),$AT$1,IF(OR(I4=AO4,I4=AM4,I4=AR4),$P$1,""))))</f>
        <v>2021 Elite Canada</v>
      </c>
      <c r="K4" s="14">
        <f>IF(COUNT(AM4,AO4,AR4,BQ4,BS4,BV4,CU4,CW4,CZ4)&gt;1,LARGE((AM4,AO4,AR4,BQ4,BS4,BV4,CU4,CW4,CZ4),2),0)</f>
        <v>51.01</v>
      </c>
      <c r="L4" s="14" t="str">
        <f>IF(K4=0,"",IF(OR(K4=CW4,K4=CU4,K4=CZ4),$BX$1,IF(OR(K4=BS4,K4=BQ4,K4=BV4),$AT$1,IF(OR(K4=AO4,K4=AM4,K4=AR4),$P$1,""))))</f>
        <v>2022 Elite Canada</v>
      </c>
      <c r="M4" s="14" t="str">
        <f>IF(MAX(DB4,DC4)&gt;0,MAX(DB4,DC4),"")</f>
        <v/>
      </c>
      <c r="N4" s="20" t="str">
        <f>IF(M4="","",IF(M4=#REF!,"(Vol 1)",IF(M4=DB4,"(Vol 2)",IF(M4=#REF!,"(Prelim)",IF(M4=DC4,"(Final)")))))</f>
        <v/>
      </c>
      <c r="O4" s="14" t="str">
        <f>IF(M4="","",IF(M4=#REF!,IF(M4+IF(#REF!="",0,#REF!)=NB4,$ML$1,IF(M4+IF(#REF!="",0,#REF!)=MF4,$LP$1,IF(M4+IF(#REF!="",0,#REF!)=LJ4,$KT$1,IF(M4+IF(#REF!="",0,#REF!)=KN4,$JX$1,IF(M4+IF(#REF!="",0,#REF!)=JR4,$JB$1,IF(M4+IF(#REF!="",0,#REF!)=IV4,$IF$1,IF(M4+IF(#REF!="",0,#REF!)=HZ4,$HJ$1,IF(M4+IF(#REF!="",0,#REF!)=HD4,$GN$1,IF(M4+IF(#REF!="",0,#REF!)=GH4,$FR$1,IF(M4+IF(#REF!="",0,#REF!)=FL4,$EV$1,IF(M4+IF(#REF!="",0,#REF!)=EP4,$DZ$1,IF(M4+IF(#REF!="",0,#REF!)=DT4,$DD$1)))))))))))),IF(M4=DB4,IF(M4+IF(I4="",0,I4)=NC4,$ML$1,IF(M4+IF(I4="",0,I4)=MG4,$LP$1,IF(M4+IF(I4="",0,I4)=LK4,$KT$1,IF(M4+IF(I4="",0,I4)=KO4,$JX$1,IF(M4+IF(I4="",0,I4)=JS4,$JB$1,IF(M4+IF(I4="",0,I4)=IW4,$IF$1,IF(M4+IF(I4="",0,I4)=IA4,$HJ$1,IF(M4+IF(I4="",0,I4)=HE4,$GN$1,IF(M4+IF(I4="",0,I4)=GI4,$FR$1,IF(M4+IF(I4="",0,I4)=FM4,$EV$1,IF(M4+IF(I4="",0,I4)=EQ4,$DZ$1,IF(M4+IF(I4="",0,I4)=DU4,$DD$1)))))))))))),IF(M4=#REF!,IF(M4+IF(#REF!="",0,#REF!)=ND4,$ML$1,IF(M4+IF(#REF!="",0,#REF!)=MH4,$LP$1,IF(M4+IF(#REF!="",0,#REF!)=LL4,$KT$1,IF(M4+IF(#REF!="",0,#REF!)=KP4,$JX$1,IF(M4+IF(#REF!="",0,#REF!)=JT4,$JB$1,IF(M4+IF(#REF!="",0,#REF!)=IX4,$IF$1,IF(M4+IF(#REF!="",0,#REF!)=IB4,$HJ$1,IF(M4+IF(#REF!="",0,#REF!)=HF4,$GN$1,IF(M4+IF(#REF!="",0,#REF!)=GJ4,$FR$1,IF(M4+IF(#REF!="",0,#REF!)=FN4,$EV$1,IF(M4+IF(#REF!="",0,#REF!)=ER4,$DZ$1,IF(M4+IF(#REF!="",0,#REF!)=DV4,$DD$1)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))</f>
        <v/>
      </c>
      <c r="P4" s="38">
        <v>15.6</v>
      </c>
      <c r="Q4" s="38">
        <v>9.1</v>
      </c>
      <c r="R4" s="38">
        <v>3.7</v>
      </c>
      <c r="S4" s="38">
        <v>15.08</v>
      </c>
      <c r="T4" s="38">
        <v>0</v>
      </c>
      <c r="U4" s="38">
        <v>13</v>
      </c>
      <c r="V4" s="38">
        <v>9.1999999999999993</v>
      </c>
      <c r="W4" s="38">
        <v>13.3</v>
      </c>
      <c r="X4" s="38">
        <v>14.365</v>
      </c>
      <c r="Y4" s="38">
        <v>0</v>
      </c>
      <c r="Z4" s="38">
        <v>13.5</v>
      </c>
      <c r="AA4" s="38">
        <v>9.3000000000000007</v>
      </c>
      <c r="AB4" s="38">
        <v>13.3</v>
      </c>
      <c r="AC4" s="38">
        <v>14.63</v>
      </c>
      <c r="AD4" s="38">
        <v>0</v>
      </c>
      <c r="AE4" s="38">
        <v>14</v>
      </c>
      <c r="AF4" s="38">
        <v>9.6</v>
      </c>
      <c r="AG4" s="38">
        <v>13.3</v>
      </c>
      <c r="AH4" s="38">
        <v>14.66</v>
      </c>
      <c r="AI4" s="38">
        <v>0</v>
      </c>
      <c r="AJ4" s="45"/>
      <c r="AK4" s="11">
        <f>IF(SUM(P4:S4)-T4&gt;0,SUM(P4:S4)-T4,"")</f>
        <v>43.48</v>
      </c>
      <c r="AL4" s="11">
        <f>IF(W4&gt;0,W4,"")</f>
        <v>13.3</v>
      </c>
      <c r="AM4" s="11">
        <f>IF(SUM(U4:X4)-Y4&gt;0,SUM(U4:X4)-Y4,"")</f>
        <v>49.865000000000002</v>
      </c>
      <c r="AN4" s="11">
        <f>IF(AB4&gt;0,AB4,"")</f>
        <v>13.3</v>
      </c>
      <c r="AO4" s="11">
        <f>IF(SUM(Z4:AC4)-AD4&gt;0,SUM(Z4:AC4)-AD4,"")</f>
        <v>50.730000000000004</v>
      </c>
      <c r="AP4" s="11">
        <f>IF(AK4="",IF(MAX(AM4,AO4)&gt;0,MAX(AM4,AO4),""),MAX(AM4,AO4)+AK4)</f>
        <v>94.210000000000008</v>
      </c>
      <c r="AQ4" s="11">
        <f>IF(AG4&gt;0,AG4,"")</f>
        <v>13.3</v>
      </c>
      <c r="AR4" s="11">
        <f>IF(SUM(AE4:AH4)-AI4&gt;0,SUM(AE4:AH4)-AI4,"")</f>
        <v>51.56</v>
      </c>
      <c r="AS4" s="11">
        <f>IF(SUM(AP4,AR4)&gt;0,SUM(AP4,AR4),"")</f>
        <v>145.77000000000001</v>
      </c>
      <c r="AT4" s="42">
        <v>16.3</v>
      </c>
      <c r="AU4" s="42">
        <v>8.6999999999999993</v>
      </c>
      <c r="AV4" s="42">
        <v>3.5</v>
      </c>
      <c r="AW4" s="42">
        <v>15.31</v>
      </c>
      <c r="AX4" s="42">
        <v>0</v>
      </c>
      <c r="AY4" s="42">
        <v>11.8</v>
      </c>
      <c r="AZ4" s="42">
        <v>8.5</v>
      </c>
      <c r="BA4" s="42">
        <v>11.9</v>
      </c>
      <c r="BB4" s="42">
        <v>14.21</v>
      </c>
      <c r="BC4" s="42">
        <v>0</v>
      </c>
      <c r="BD4" s="42">
        <v>6.6</v>
      </c>
      <c r="BE4" s="42">
        <v>4.4000000000000004</v>
      </c>
      <c r="BF4" s="42">
        <v>7.1</v>
      </c>
      <c r="BG4" s="42">
        <v>7.5949999999999998</v>
      </c>
      <c r="BH4" s="42">
        <v>0</v>
      </c>
      <c r="BI4" s="42">
        <v>10.8</v>
      </c>
      <c r="BJ4" s="42">
        <v>8.4</v>
      </c>
      <c r="BK4" s="42">
        <v>11.7</v>
      </c>
      <c r="BL4" s="42">
        <v>13.29</v>
      </c>
      <c r="BM4" s="42">
        <v>0</v>
      </c>
      <c r="BN4" s="46"/>
      <c r="BO4" s="14">
        <f>IF(SUM(AT4:AW4)-AX4&gt;0,SUM(AT4:AW4)-AX4,"")</f>
        <v>43.81</v>
      </c>
      <c r="BP4" s="14">
        <f>IF(BA4&gt;0,BA4,"")</f>
        <v>11.9</v>
      </c>
      <c r="BQ4" s="14">
        <f>IF(SUM(AY4:BB4)-BC4&gt;0,SUM(AY4:BB4)-BC4,"")</f>
        <v>46.410000000000004</v>
      </c>
      <c r="BR4" s="14">
        <f>IF(BF4&gt;0,BF4,"")</f>
        <v>7.1</v>
      </c>
      <c r="BS4" s="14">
        <f>IF(SUM(BD4:BG4)-BH4&gt;0,SUM(BD4:BG4)-BH4,"")</f>
        <v>25.695</v>
      </c>
      <c r="BT4" s="14">
        <f>IF(BO4="",IF(MAX(BQ4,BS4)&gt;0,MAX(BQ4,BS4),""),MAX(BQ4,BS4)+BO4)</f>
        <v>90.22</v>
      </c>
      <c r="BU4" s="14">
        <f>IF(BK4&gt;0,BK4,"")</f>
        <v>11.7</v>
      </c>
      <c r="BV4" s="14">
        <f>IF(SUM(BI4:BL4)-BM4&gt;0,SUM(BI4:BL4)-BM4,"")</f>
        <v>44.19</v>
      </c>
      <c r="BW4" s="14">
        <f>IF(SUM(BT4,BV4)&gt;0,SUM(BT4,BV4),"")</f>
        <v>134.41</v>
      </c>
      <c r="BX4" s="38"/>
      <c r="BY4" s="38"/>
      <c r="BZ4" s="38"/>
      <c r="CA4" s="38"/>
      <c r="CB4" s="38"/>
      <c r="CC4" s="38">
        <v>13.6</v>
      </c>
      <c r="CD4" s="38">
        <v>9.4</v>
      </c>
      <c r="CE4" s="38">
        <v>13.3</v>
      </c>
      <c r="CF4" s="38">
        <v>14.71</v>
      </c>
      <c r="CG4" s="38">
        <v>0</v>
      </c>
      <c r="CH4" s="38">
        <v>12.1</v>
      </c>
      <c r="CI4" s="38">
        <v>9.1999999999999993</v>
      </c>
      <c r="CJ4" s="38">
        <v>13.4</v>
      </c>
      <c r="CK4" s="38">
        <v>14.34</v>
      </c>
      <c r="CL4" s="38">
        <v>0</v>
      </c>
      <c r="CM4" s="38">
        <v>8.1999999999999993</v>
      </c>
      <c r="CN4" s="38">
        <v>5.2</v>
      </c>
      <c r="CO4" s="38">
        <v>8.1</v>
      </c>
      <c r="CP4" s="38">
        <v>8.99</v>
      </c>
      <c r="CQ4" s="38">
        <v>0</v>
      </c>
      <c r="CR4" s="45"/>
      <c r="CS4" s="11" t="str">
        <f>IF(SUM(BX4:CA4)-CB4&gt;0,SUM(BX4:CA4)-CB4,"")</f>
        <v/>
      </c>
      <c r="CT4" s="11">
        <f>IF(CE4&gt;0,CE4,"")</f>
        <v>13.3</v>
      </c>
      <c r="CU4" s="11">
        <f>IF(SUM(CC4:CF4)-CG4&gt;0,SUM(CC4:CF4)-CG4,"")</f>
        <v>51.01</v>
      </c>
      <c r="CV4" s="11">
        <f>IF(CJ4&gt;0,CJ4,"")</f>
        <v>13.4</v>
      </c>
      <c r="CW4" s="11">
        <f>IF(SUM(CH4:CK4)-CL4&gt;0,SUM(CH4:CK4)-CL4,"")</f>
        <v>49.039999999999992</v>
      </c>
      <c r="CX4" s="11">
        <f>IF(CS4="",IF(MAX(CU4,CW4)&gt;0,MAX(CU4,CW4),""),MAX(CU4,CW4)+CS4)</f>
        <v>51.01</v>
      </c>
      <c r="CY4" s="11">
        <f>IF(CO4&gt;0,CO4,"")</f>
        <v>8.1</v>
      </c>
      <c r="CZ4" s="11">
        <f>IF(SUM(CM4:CP4)-CQ4&gt;0,SUM(CM4:CP4)-CQ4,"")</f>
        <v>30.490000000000002</v>
      </c>
      <c r="DA4" s="11">
        <f>IF(SUM(CX4,CZ4)&gt;0,SUM(CX4,CZ4),"")</f>
        <v>81.5</v>
      </c>
      <c r="DB4" s="19" t="str">
        <f>IF(I4&gt;=0.001,IF(MAX(DU4,EQ4,FM4,GI4,HE4,IA4,IW4,JS4,KO4,LK4,MG4,NC4)-IF(I4="",0,I4)&gt;0.001,MAX(DU4,EQ4,FM4,GI4,HE4,IA4,IW4,JS4,KO4,LK4,MG4,NC4)-IF(I4="",0,I4),""),"")</f>
        <v/>
      </c>
      <c r="DC4" s="19" t="str">
        <f>IF(K4&gt;=0.001,IF(MAX(DX4,ET4,FP4,GL4,HH4,ID4,IZ4,JV4,KR4,LN4,MJ4,NF4)-IF(K4="",0,K4)&gt;0.001,MAX(DX4,ET4,FP4,GL4,HH4,ID4,IZ4,JV4,KR4,LN4,MJ4,NF4)-IF(K4="",0,K4),""),"")</f>
        <v/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11" t="str">
        <f>IF(DK4&gt;0,DK4,"")</f>
        <v/>
      </c>
      <c r="DT4" s="11" t="str">
        <f>IF(SUM(DD4:DG4)-DH4&gt;0,SUM(DD4:DG4)-DH4,"")</f>
        <v/>
      </c>
      <c r="DU4" s="11" t="str">
        <f>IF(SUM(DI4:DL4)-DM4&gt;0,SUM(DI4:DL4)-DM4,"")</f>
        <v/>
      </c>
      <c r="DV4" s="11" t="str">
        <f>IF(SUM(DT4:DU4)&gt;0,SUM(DT4:DU4),"")</f>
        <v/>
      </c>
      <c r="DW4" s="11" t="str">
        <f>IF(DP4&gt;0,DP4,"")</f>
        <v/>
      </c>
      <c r="DX4" s="11" t="str">
        <f>IF(SUM(DN4:DQ4)-DR4&gt;0,SUM(DN4:DQ4)-DR4,"")</f>
        <v/>
      </c>
      <c r="DY4" s="11" t="str">
        <f>IF(SUM(DV4,DX4)&gt;0,SUM(DV4,DX4),"")</f>
        <v/>
      </c>
      <c r="DZ4" s="26">
        <v>15</v>
      </c>
      <c r="EA4" s="26">
        <v>9.1999999999999993</v>
      </c>
      <c r="EB4" s="26">
        <v>2.7</v>
      </c>
      <c r="EC4" s="26">
        <v>15.16</v>
      </c>
      <c r="ED4" s="26">
        <v>0</v>
      </c>
      <c r="EE4" s="26">
        <v>12.8</v>
      </c>
      <c r="EF4" s="26">
        <v>8.6999999999999993</v>
      </c>
      <c r="EG4" s="26">
        <v>11.1</v>
      </c>
      <c r="EH4" s="26">
        <v>14.565</v>
      </c>
      <c r="EI4" s="26">
        <v>0</v>
      </c>
      <c r="EJ4" s="26">
        <v>3.2</v>
      </c>
      <c r="EK4" s="26">
        <v>1.8</v>
      </c>
      <c r="EL4" s="26">
        <v>2</v>
      </c>
      <c r="EM4" s="26">
        <v>3.31</v>
      </c>
      <c r="EN4" s="26">
        <v>0</v>
      </c>
      <c r="EO4" s="14">
        <f>IF(EG4&gt;0,EG4,"")</f>
        <v>11.1</v>
      </c>
      <c r="EP4" s="14">
        <f>IF(SUM(DZ4:EC4)-ED4&gt;0,SUM(DZ4:EC4)-ED4,"")</f>
        <v>42.06</v>
      </c>
      <c r="EQ4" s="14">
        <f>IF(SUM(EE4:EH4)-EI4&gt;0,SUM(EE4:EH4)-EI4,"")</f>
        <v>47.164999999999999</v>
      </c>
      <c r="ER4" s="14">
        <f>IF(SUM(EP4:EQ4)&gt;0,SUM(EP4:EQ4),"")</f>
        <v>89.224999999999994</v>
      </c>
      <c r="ES4" s="14">
        <f>IF(EL4&gt;0,EL4,"")</f>
        <v>2</v>
      </c>
      <c r="ET4" s="14">
        <f>IF(SUM(EJ4:EM4)-EN4&gt;0,SUM(EJ4:EM4)-EN4,"")</f>
        <v>10.31</v>
      </c>
      <c r="EU4" s="14">
        <f>IF(SUM(ER4,ET4)&gt;0,SUM(ER4,ET4),"")</f>
        <v>99.534999999999997</v>
      </c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11" t="str">
        <f>IF(FC4&gt;0,FC4,"")</f>
        <v/>
      </c>
      <c r="FL4" s="11" t="str">
        <f>IF(SUM(EV4:EY4)-EZ4&gt;0,SUM(EV4:EY4)-EZ4,"")</f>
        <v/>
      </c>
      <c r="FM4" s="11" t="str">
        <f>IF(SUM(FA4:FD4)-FE4&gt;0,SUM(FA4:FD4)-FE4,"")</f>
        <v/>
      </c>
      <c r="FN4" s="11" t="str">
        <f>IF(SUM(FL4:FM4)&gt;0,SUM(FL4:FM4),"")</f>
        <v/>
      </c>
      <c r="FO4" s="11" t="str">
        <f>IF(FH4&gt;0,FH4,"")</f>
        <v/>
      </c>
      <c r="FP4" s="11" t="str">
        <f>IF(SUM(FF4:FI4)-FJ4&gt;0,SUM(FF4:FI4)-FJ4,"")</f>
        <v/>
      </c>
      <c r="FQ4" s="11" t="str">
        <f>IF(SUM(FN4,FP4)&gt;0,SUM(FN4,FP4),"")</f>
        <v/>
      </c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14" t="str">
        <f>IF(FY4&gt;0,FY4,"")</f>
        <v/>
      </c>
      <c r="GH4" s="14" t="str">
        <f>IF(SUM(FR4:FU4)-FV4&gt;0,SUM(FR4:FU4)-FV4,"")</f>
        <v/>
      </c>
      <c r="GI4" s="14" t="str">
        <f>IF(SUM(FW4:FZ4)-GA4&gt;0,SUM(FW4:FZ4)-GA4,"")</f>
        <v/>
      </c>
      <c r="GJ4" s="14" t="str">
        <f>IF(SUM(GH4:GI4)&gt;0,SUM(GH4:GI4),"")</f>
        <v/>
      </c>
      <c r="GK4" s="14" t="str">
        <f>IF(GD4&gt;0,GD4,"")</f>
        <v/>
      </c>
      <c r="GL4" s="14" t="str">
        <f>IF(SUM(GB4:GE4)-GF4&gt;0,SUM(GB4:GE4)-GF4,"")</f>
        <v/>
      </c>
      <c r="GM4" s="14" t="str">
        <f>IF(SUM(GJ4,GL4)&gt;0,SUM(GJ4,GL4),"")</f>
        <v/>
      </c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11" t="str">
        <f>IF(GU4&gt;0,GU4,"")</f>
        <v/>
      </c>
      <c r="HD4" s="11" t="str">
        <f>IF(SUM(GN4:GQ4)-GR4&gt;0,SUM(GN4:GQ4)-GR4,"")</f>
        <v/>
      </c>
      <c r="HE4" s="11" t="str">
        <f>IF(SUM(GS4:GV4)-GW4&gt;0,SUM(GS4:GV4)-GW4,"")</f>
        <v/>
      </c>
      <c r="HF4" s="11" t="str">
        <f>IF(SUM(HD4:HE4)&gt;0,SUM(HD4:HE4),"")</f>
        <v/>
      </c>
      <c r="HG4" s="11" t="str">
        <f>IF(GZ4&gt;0,GZ4,"")</f>
        <v/>
      </c>
      <c r="HH4" s="11" t="str">
        <f>IF(SUM(GX4:HA4)-HB4&gt;0,SUM(GX4:HA4)-HB4,"")</f>
        <v/>
      </c>
      <c r="HI4" s="11" t="str">
        <f>IF(SUM(HF4,HH4)&gt;0,SUM(HF4,HH4),"")</f>
        <v/>
      </c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8">
        <f>IF($CR4="P",BX4,(BX4+AT4)/2)</f>
        <v>8.15</v>
      </c>
      <c r="NI4" s="38">
        <f>IF($CR4="P",BY4,(BY4+AU4)/2)</f>
        <v>4.3499999999999996</v>
      </c>
      <c r="NJ4" s="38">
        <f>IF($CR4="P",BZ4,(BZ4+AV4)/2)</f>
        <v>1.75</v>
      </c>
      <c r="NK4" s="38">
        <f>IF($CR4="P",CA4,(CA4+AW4)/2)</f>
        <v>7.6550000000000002</v>
      </c>
      <c r="NL4" s="38">
        <f>IF($CR4="P",CB4,(CB4+AX4)/2)</f>
        <v>0</v>
      </c>
      <c r="NM4" s="38">
        <f>IF($CR4="P",CC4,(CC4+AY4)/2)</f>
        <v>12.7</v>
      </c>
      <c r="NN4" s="38">
        <f>IF($CR4="P",CD4,(CD4+AZ4)/2)</f>
        <v>8.9499999999999993</v>
      </c>
      <c r="NO4" s="38">
        <f>IF($CR4="P",CE4,(CE4+BA4)/2)</f>
        <v>12.600000000000001</v>
      </c>
      <c r="NP4" s="38">
        <f>IF($CR4="P",CF4,(CF4+BB4)/2)</f>
        <v>14.46</v>
      </c>
      <c r="NQ4" s="38">
        <f>IF($CR4="P",CG4,(CG4+BC4)/2)</f>
        <v>0</v>
      </c>
      <c r="NR4" s="38">
        <f>IF($CR4="P",CH4,(CH4+BD4)/2)</f>
        <v>9.35</v>
      </c>
      <c r="NS4" s="38">
        <f>IF($CR4="P",CI4,(CI4+BE4)/2)</f>
        <v>6.8</v>
      </c>
      <c r="NT4" s="38">
        <f>IF($CR4="P",CJ4,(CJ4+BF4)/2)</f>
        <v>10.25</v>
      </c>
      <c r="NU4" s="38">
        <f>IF($CR4="P",CK4,(CK4+BG4)/2)</f>
        <v>10.967499999999999</v>
      </c>
      <c r="NV4" s="38">
        <f>IF($CR4="P",CL4,(CL4+BH4)/2)</f>
        <v>0</v>
      </c>
      <c r="NW4" s="38">
        <f>IF($CR4="P",CM4,(CM4+BI4)/2)</f>
        <v>9.5</v>
      </c>
      <c r="NX4" s="38">
        <f>IF($CR4="P",CN4,(CN4+BJ4)/2)</f>
        <v>6.8000000000000007</v>
      </c>
      <c r="NY4" s="38">
        <f>IF($CR4="P",CO4,(CO4+BK4)/2)</f>
        <v>9.8999999999999986</v>
      </c>
      <c r="NZ4" s="38">
        <f>IF($CR4="P",CP4,(CP4+BL4)/2)</f>
        <v>11.14</v>
      </c>
      <c r="OA4" s="38">
        <f>IF($CR4="P",CQ4,(CQ4+BM4)/2)</f>
        <v>0</v>
      </c>
      <c r="OB4" s="45" t="s">
        <v>46</v>
      </c>
      <c r="OC4" s="11">
        <f>IF(SUM(NH4:NK4)-NL4&gt;0,SUM(NH4:NK4)-NL4,"")</f>
        <v>21.905000000000001</v>
      </c>
      <c r="OD4" s="11">
        <f>IF(NO4&gt;0,NO4,"")</f>
        <v>12.600000000000001</v>
      </c>
      <c r="OE4" s="11">
        <f>IF(SUM(NM4:NP4)-NQ4&gt;0,SUM(NM4:NP4)-NQ4,"")</f>
        <v>48.71</v>
      </c>
      <c r="OF4" s="11">
        <f>IF(NT4&gt;0,NT4,"")</f>
        <v>10.25</v>
      </c>
      <c r="OG4" s="11">
        <f>IF(SUM(NR4:NU4)-NV4&gt;0,SUM(NR4:NU4)-NV4,"")</f>
        <v>37.3675</v>
      </c>
      <c r="OH4" s="11">
        <f>IF(OR(OC4&lt;&gt;"",OE4&lt;&gt;"",OG4&lt;&gt;""),OC4+MAX(OE4,OG4),"")</f>
        <v>70.615000000000009</v>
      </c>
      <c r="OI4" s="11">
        <f>IF(NY4&gt;0,NY4,"")</f>
        <v>9.8999999999999986</v>
      </c>
      <c r="OJ4" s="11">
        <f t="shared" ref="OJ4:OJ7" si="0">IF(SUM(NW4:NZ4)-OA4&gt;0,SUM(NW4:NZ4)-OA4,"")</f>
        <v>37.340000000000003</v>
      </c>
      <c r="OK4" s="11">
        <f t="shared" ref="OK4:OK7" si="1">IF(SUM(OH4,OJ4)&gt;0,SUM(OH4,OJ4),"")</f>
        <v>107.95500000000001</v>
      </c>
    </row>
    <row r="5" spans="1:401" x14ac:dyDescent="0.2">
      <c r="A5" s="5" cm="1">
        <f t="array" ref="A5">IF(AND(F5="P",G5="P"),SUMPRODUCT((F$4:F$29="P")*(G$4:G$29="P")*(E$4:E$29&gt;E5))+1,IF(G5="P",SUMPRODUCT((F$4:F$29="")*(G$4:G$29="P")*(E$4:E$29&gt;E5))+1+SUMPRODUCT((F$4:F$29="P")*(G$4:G$29="P")),""))</f>
        <v>2</v>
      </c>
      <c r="B5" s="8" t="s">
        <v>72</v>
      </c>
      <c r="C5" s="4" t="s">
        <v>5</v>
      </c>
      <c r="D5" s="5">
        <v>2002</v>
      </c>
      <c r="E5" s="15">
        <f>SUM(I5:M5)</f>
        <v>101.87</v>
      </c>
      <c r="F5" s="3" t="str">
        <f>IF(OR(AND(AL5&gt;=AS$31,AM5&gt;=AS$35,AL5&lt;&gt;"",AJ5=""),AND(AN5&gt;=AS$31,AO5&gt;=AS$35,AN5&lt;&gt;"",AN5=""),AND(AQ5&gt;=AS$31,AR5&gt;=AS$35,AQ5&lt;&gt;"",AJ5=""),AND(BP5&gt;=BW$31,BQ5&gt;=BW$35,BP5&lt;&gt;"",BN5=""),AND(BR5&gt;=BW$31,BS5&gt;=BW$35,BR5&lt;&gt;"",BN5=""),AND(BU5&gt;=BW$31,BV5&gt;=BW$35,BU5&lt;&gt;"",BN5=""),AND(CT5&gt;=DA$31,CU5&gt;=DA$35,CT5&lt;&gt;"",CR5=""),AND(CV5&gt;=DA$31,CW5&gt;=DA$35,CV5&lt;&gt;"",CR5=""),AND(CY5&gt;=DA$31,CZ5&gt;=DA$35,CY5&lt;&gt;"",CR5=""),AND(DS5&gt;=DY$31,DU5&gt;=DY$35,DS5&lt;&gt;""),AND(DW5&gt;=DY$31,DX5&gt;=DY$35,DW5&lt;&gt;""),AND(EO5&gt;=EU$31,EQ5&gt;=EU$35,EO5&lt;&gt;""),AND(ES5&gt;=EU$31,ET5&gt;=EU$35,ES5&lt;&gt;""),AND(FK5&gt;=FQ$31,FM5&gt;=FQ$35,FK5&lt;&gt;""),AND(FO5&gt;=FQ$31,FP5&gt;=FQ$35,FO5&lt;&gt;""),AND(GG5&gt;=GM$31,GI5&gt;=GM$35,GG5&lt;&gt;""),AND(GK5&gt;=GM$31,GL5&gt;=GM$35,GK5&lt;&gt;""),AND(HC5&gt;=HI$31,HE5&gt;=HI$35,HC5&lt;&gt;""),AND(HG5&gt;=HI$31,HH5&gt;=HI$35,HG5&lt;&gt;""),AND(HY5&gt;=IE$31,IA5&gt;=IE$35,HY5&lt;&gt;""),AND(IC5&gt;=IE$31,ID5&gt;=IE$35,IC5&lt;&gt;""),AND(IU5&gt;=JA$31,IW5&gt;=JA$35,IU5&lt;&gt;""),AND(IY5&gt;=JA$31,IZ5&gt;=JA$35,IY5&lt;&gt;""),AND(JQ5&gt;=JW$31,JS5&gt;=JW$35,JQ5&lt;&gt;""),AND(JU5&gt;=JW$31,JV5&gt;=JW$35,JU5&lt;&gt;""),AND(KM5&gt;=KS$31,KO5&gt;=KS$35,KM5&lt;&gt;""),AND(KQ5&gt;=KS$31,KR5&gt;=KS$35,KQ5&lt;&gt;""),AND(LI5&gt;=LO$31,LK5&gt;=LO$35,LI5&lt;&gt;""),AND(LM5&gt;=LO$31,LN5&gt;=LO$35,LM5&lt;&gt;""),AND(ME5&gt;=MK$31,MG5&gt;=MK$35,ME5&lt;&gt;""),AND(MI5&gt;=MK$31,MJ5&gt;=MK$35,MI5&lt;&gt;""),AND(NA5&gt;=NG$31,NC5&gt;=NG$35,NA5&lt;&gt;""),AND(NE5&gt;=NG$31,NF5&gt;=NG$35,NE5&lt;&gt;"")),"P","")</f>
        <v>P</v>
      </c>
      <c r="G5" s="3" t="str">
        <f>IF(OR(AND(AM5&gt;=AS$35,AL5&lt;&gt;"",AJ5=""),AND(AO5&gt;=AS$35,AN5&lt;&gt;"",AN5=""),AND(AR5&gt;=AS$35,AQ5&lt;&gt;"",AJ5=""),AND(BQ5&gt;=BW$35,BP5&lt;&gt;"",BN5=""),AND(BS5&gt;=BW$35,BR5&lt;&gt;"",BN5=""),AND(BV5&gt;=BW$35,BU5&lt;&gt;"",BN5=""),AND(CU5&gt;=DA$35,CT5&lt;&gt;"",CR5=""),AND(CW5&gt;=DA$35,CV5&lt;&gt;"",CR5=""),AND(CZ5&gt;=DA$35,CY5&lt;&gt;"",CR5=""),AND(DU5&gt;=DY$35,DS5&lt;&gt;""),AND(DX5&gt;=DY$35,DW5&lt;&gt;""),AND(EQ5&gt;=EU$35,EO5&lt;&gt;""),AND(ET5&gt;=EU$35,ES5&lt;&gt;""),AND(FM5&gt;=FQ$35,FK5&lt;&gt;""),AND(FP5&gt;=FQ$35,FO5&lt;&gt;""),AND(GI5&gt;=GM$35,GG5&lt;&gt;""),AND(GL5&gt;=GM$35,GK5&lt;&gt;""),AND(HE5&gt;=HI$35,HC5&lt;&gt;""),AND(HH5&gt;=HI$35,HG5&lt;&gt;""),AND(IA5&gt;=IE$35,HY5&lt;&gt;""),AND(ID5&gt;=IE$35,IC5&lt;&gt;""),AND(IW5&gt;=JA$35,IU5&lt;&gt;""),AND(IZ5&gt;=JA$35,IY5&lt;&gt;""),AND(JS5&gt;=JW$35,JQ5&lt;&gt;""),AND(JV5&gt;=JW$35,JU5&lt;&gt;""),AND(KO5&gt;=KS$35,KM5&lt;&gt;""),AND(KR5&gt;=KS$35,KQ5&lt;&gt;""),AND(LK5&gt;=LO$35,LI5&lt;&gt;""),AND(LN5&gt;=LO$35,LM5&lt;&gt;""),AND(MG5&gt;=MK$35,ME5&lt;&gt;""),AND(MJ5&gt;=MK$35,MI5&lt;&gt;""),AND(NC5&gt;=NG$35,NA5&lt;&gt;""),AND(NF5&gt;=NG$35,NE5&lt;&gt;"")),"P","")</f>
        <v>P</v>
      </c>
      <c r="H5" s="67" t="str">
        <f>IF(F5="P","National Team",IF(G5="P","No DD",""))</f>
        <v>National Team</v>
      </c>
      <c r="I5" s="14">
        <f>MAX(AM5,AO5,AR5,BQ5,BS5,BV5,CU5,CW5,CZ5)</f>
        <v>51.075000000000003</v>
      </c>
      <c r="J5" s="14" t="str">
        <f>IF(I5=0,"",IF(OR(I5=CW5,I5=CU5,I5=CZ5),$BX$1,IF(OR(I5=BS5,I5=BQ5,I5=BV5),$AT$1,IF(OR(I5=AO5,I5=AM5,I5=AR5),$P$1,""))))</f>
        <v>2022 Elite Canada</v>
      </c>
      <c r="K5" s="14">
        <f>IF(COUNT(AM5,AO5,AR5,BQ5,BS5,BV5,CU5,CW5,CZ5)&gt;1,LARGE((AM5,AO5,AR5,BQ5,BS5,BV5,CU5,CW5,CZ5),2),0)</f>
        <v>50.795000000000002</v>
      </c>
      <c r="L5" s="14" t="str">
        <f>IF(K5=0,"",IF(OR(K5=CW5,K5=CU5,K5=CZ5),$BX$1,IF(OR(K5=BS5,K5=BQ5,K5=BV5),$AT$1,IF(OR(K5=AO5,K5=AM5,K5=AR5),$P$1,""))))</f>
        <v>2021 Elite Canada</v>
      </c>
      <c r="M5" s="14" t="str">
        <f>IF(MAX(DB5,DC5)&gt;0,MAX(DB5,DC5),"")</f>
        <v/>
      </c>
      <c r="N5" s="20" t="str">
        <f>IF(M5="","",IF(M5=#REF!,"(Vol 1)",IF(M5=DB5,"(Vol 2)",IF(M5=#REF!,"(Prelim)",IF(M5=DC5,"(Final)")))))</f>
        <v/>
      </c>
      <c r="O5" s="14" t="str">
        <f>IF(M5="","",IF(M5=#REF!,IF(M5+IF(#REF!="",0,#REF!)=NB5,$ML$1,IF(M5+IF(#REF!="",0,#REF!)=MF5,$LP$1,IF(M5+IF(#REF!="",0,#REF!)=LJ5,$KT$1,IF(M5+IF(#REF!="",0,#REF!)=KN5,$JX$1,IF(M5+IF(#REF!="",0,#REF!)=JR5,$JB$1,IF(M5+IF(#REF!="",0,#REF!)=IV5,$IF$1,IF(M5+IF(#REF!="",0,#REF!)=HZ5,$HJ$1,IF(M5+IF(#REF!="",0,#REF!)=HD5,$GN$1,IF(M5+IF(#REF!="",0,#REF!)=GH5,$FR$1,IF(M5+IF(#REF!="",0,#REF!)=FL5,$EV$1,IF(M5+IF(#REF!="",0,#REF!)=EP5,$DZ$1,IF(M5+IF(#REF!="",0,#REF!)=DT5,$DD$1)))))))))))),IF(M5=DB5,IF(M5+IF(I5="",0,I5)=NC5,$ML$1,IF(M5+IF(I5="",0,I5)=MG5,$LP$1,IF(M5+IF(I5="",0,I5)=LK5,$KT$1,IF(M5+IF(I5="",0,I5)=KO5,$JX$1,IF(M5+IF(I5="",0,I5)=JS5,$JB$1,IF(M5+IF(I5="",0,I5)=IW5,$IF$1,IF(M5+IF(I5="",0,I5)=IA5,$HJ$1,IF(M5+IF(I5="",0,I5)=HE5,$GN$1,IF(M5+IF(I5="",0,I5)=GI5,$FR$1,IF(M5+IF(I5="",0,I5)=FM5,$EV$1,IF(M5+IF(I5="",0,I5)=EQ5,$DZ$1,IF(M5+IF(I5="",0,I5)=DU5,$DD$1)))))))))))),IF(M5=#REF!,IF(M5+IF(#REF!="",0,#REF!)=ND5,$ML$1,IF(M5+IF(#REF!="",0,#REF!)=MH5,$LP$1,IF(M5+IF(#REF!="",0,#REF!)=LL5,$KT$1,IF(M5+IF(#REF!="",0,#REF!)=KP5,$JX$1,IF(M5+IF(#REF!="",0,#REF!)=JT5,$JB$1,IF(M5+IF(#REF!="",0,#REF!)=IX5,$IF$1,IF(M5+IF(#REF!="",0,#REF!)=IB5,$HJ$1,IF(M5+IF(#REF!="",0,#REF!)=HF5,$GN$1,IF(M5+IF(#REF!="",0,#REF!)=GJ5,$FR$1,IF(M5+IF(#REF!="",0,#REF!)=FN5,$EV$1,IF(M5+IF(#REF!="",0,#REF!)=ER5,$DZ$1,IF(M5+IF(#REF!="",0,#REF!)=DV5,$DD$1)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))</f>
        <v/>
      </c>
      <c r="P5" s="38">
        <v>17.7</v>
      </c>
      <c r="Q5" s="38">
        <v>9.5</v>
      </c>
      <c r="R5" s="38">
        <v>3.9</v>
      </c>
      <c r="S5" s="38">
        <v>15.395</v>
      </c>
      <c r="T5" s="38">
        <v>0</v>
      </c>
      <c r="U5" s="38">
        <v>14.7</v>
      </c>
      <c r="V5" s="38">
        <v>9</v>
      </c>
      <c r="W5" s="38">
        <v>12.7</v>
      </c>
      <c r="X5" s="38">
        <v>14.395</v>
      </c>
      <c r="Y5" s="38">
        <v>0</v>
      </c>
      <c r="Z5" s="38">
        <v>14.5</v>
      </c>
      <c r="AA5" s="38">
        <v>9.1</v>
      </c>
      <c r="AB5" s="38">
        <v>12.7</v>
      </c>
      <c r="AC5" s="38">
        <v>14.265000000000001</v>
      </c>
      <c r="AD5" s="38">
        <v>0</v>
      </c>
      <c r="AE5" s="38">
        <v>14.4</v>
      </c>
      <c r="AF5" s="38">
        <v>8.5</v>
      </c>
      <c r="AG5" s="38">
        <v>11.4</v>
      </c>
      <c r="AH5" s="38">
        <v>13.994999999999999</v>
      </c>
      <c r="AI5" s="38">
        <v>0</v>
      </c>
      <c r="AJ5" s="45"/>
      <c r="AK5" s="11">
        <f>IF(SUM(P5:S5)-T5&gt;0,SUM(P5:S5)-T5,"")</f>
        <v>46.494999999999997</v>
      </c>
      <c r="AL5" s="11">
        <f>IF(W5&gt;0,W5,"")</f>
        <v>12.7</v>
      </c>
      <c r="AM5" s="11">
        <f>IF(SUM(U5:X5)-Y5&gt;0,SUM(U5:X5)-Y5,"")</f>
        <v>50.795000000000002</v>
      </c>
      <c r="AN5" s="11">
        <f>IF(AB5&gt;0,AB5,"")</f>
        <v>12.7</v>
      </c>
      <c r="AO5" s="11">
        <f>IF(SUM(Z5:AC5)-AD5&gt;0,SUM(Z5:AC5)-AD5,"")</f>
        <v>50.564999999999998</v>
      </c>
      <c r="AP5" s="11">
        <f>IF(AK5="",IF(MAX(AM5,AO5)&gt;0,MAX(AM5,AO5),""),MAX(AM5,AO5)+AK5)</f>
        <v>97.289999999999992</v>
      </c>
      <c r="AQ5" s="11">
        <f>IF(AG5&gt;0,AG5,"")</f>
        <v>11.4</v>
      </c>
      <c r="AR5" s="11">
        <f>IF(SUM(AE5:AH5)-AI5&gt;0,SUM(AE5:AH5)-AI5,"")</f>
        <v>48.294999999999995</v>
      </c>
      <c r="AS5" s="11">
        <f>IF(SUM(AP5,AR5)&gt;0,SUM(AP5,AR5),"")</f>
        <v>145.58499999999998</v>
      </c>
      <c r="AT5" s="42">
        <v>17.2</v>
      </c>
      <c r="AU5" s="42">
        <v>9.6</v>
      </c>
      <c r="AV5" s="42">
        <v>3.7</v>
      </c>
      <c r="AW5" s="42">
        <v>15.17</v>
      </c>
      <c r="AX5" s="42">
        <v>0</v>
      </c>
      <c r="AY5" s="42">
        <v>11.8</v>
      </c>
      <c r="AZ5" s="42">
        <v>8.3000000000000007</v>
      </c>
      <c r="BA5" s="42">
        <v>11.2</v>
      </c>
      <c r="BB5" s="42">
        <v>12.154999999999999</v>
      </c>
      <c r="BC5" s="42">
        <v>0</v>
      </c>
      <c r="BD5" s="42">
        <v>4.2</v>
      </c>
      <c r="BE5" s="42">
        <v>2.7</v>
      </c>
      <c r="BF5" s="42">
        <v>3.4</v>
      </c>
      <c r="BG5" s="42">
        <v>4.4950000000000001</v>
      </c>
      <c r="BH5" s="42">
        <v>0</v>
      </c>
      <c r="BI5" s="42">
        <v>12.2</v>
      </c>
      <c r="BJ5" s="42">
        <v>8.1999999999999993</v>
      </c>
      <c r="BK5" s="42">
        <v>11.5</v>
      </c>
      <c r="BL5" s="42">
        <v>12.61</v>
      </c>
      <c r="BM5" s="42">
        <v>0</v>
      </c>
      <c r="BN5" s="46"/>
      <c r="BO5" s="14">
        <f>IF(SUM(AT5:AW5)-AX5&gt;0,SUM(AT5:AW5)-AX5,"")</f>
        <v>45.669999999999995</v>
      </c>
      <c r="BP5" s="14">
        <f>IF(BA5&gt;0,BA5,"")</f>
        <v>11.2</v>
      </c>
      <c r="BQ5" s="14">
        <f>IF(SUM(AY5:BB5)-BC5&gt;0,SUM(AY5:BB5)-BC5,"")</f>
        <v>43.454999999999998</v>
      </c>
      <c r="BR5" s="14">
        <f>IF(BF5&gt;0,BF5,"")</f>
        <v>3.4</v>
      </c>
      <c r="BS5" s="14">
        <f>IF(SUM(BD5:BG5)-BH5&gt;0,SUM(BD5:BG5)-BH5,"")</f>
        <v>14.795000000000002</v>
      </c>
      <c r="BT5" s="14">
        <f>IF(BO5="",IF(MAX(BQ5,BS5)&gt;0,MAX(BQ5,BS5),""),MAX(BQ5,BS5)+BO5)</f>
        <v>89.125</v>
      </c>
      <c r="BU5" s="14">
        <f>IF(BK5&gt;0,BK5,"")</f>
        <v>11.5</v>
      </c>
      <c r="BV5" s="14">
        <f>IF(SUM(BI5:BL5)-BM5&gt;0,SUM(BI5:BL5)-BM5,"")</f>
        <v>44.51</v>
      </c>
      <c r="BW5" s="14">
        <f>IF(SUM(BT5,BV5)&gt;0,SUM(BT5,BV5),"")</f>
        <v>133.63499999999999</v>
      </c>
      <c r="BX5" s="38"/>
      <c r="BY5" s="38"/>
      <c r="BZ5" s="38"/>
      <c r="CA5" s="38"/>
      <c r="CB5" s="38"/>
      <c r="CC5" s="38">
        <v>14.1</v>
      </c>
      <c r="CD5" s="38">
        <v>8.9</v>
      </c>
      <c r="CE5" s="38">
        <v>12.9</v>
      </c>
      <c r="CF5" s="38">
        <v>13.875</v>
      </c>
      <c r="CG5" s="38">
        <v>0</v>
      </c>
      <c r="CH5" s="38">
        <v>4.4000000000000004</v>
      </c>
      <c r="CI5" s="38">
        <v>2.8</v>
      </c>
      <c r="CJ5" s="38">
        <v>4.4000000000000004</v>
      </c>
      <c r="CK5" s="38">
        <v>4.3449999999999998</v>
      </c>
      <c r="CL5" s="38">
        <v>0</v>
      </c>
      <c r="CM5" s="38">
        <v>14.9</v>
      </c>
      <c r="CN5" s="38">
        <v>9.1999999999999993</v>
      </c>
      <c r="CO5" s="38">
        <v>12.9</v>
      </c>
      <c r="CP5" s="38">
        <v>14.074999999999999</v>
      </c>
      <c r="CQ5" s="38">
        <v>0</v>
      </c>
      <c r="CR5" s="45"/>
      <c r="CS5" s="11" t="str">
        <f>IF(SUM(BX5:CA5)-CB5&gt;0,SUM(BX5:CA5)-CB5,"")</f>
        <v/>
      </c>
      <c r="CT5" s="11">
        <f>IF(CE5&gt;0,CE5,"")</f>
        <v>12.9</v>
      </c>
      <c r="CU5" s="11">
        <f>IF(SUM(CC5:CF5)-CG5&gt;0,SUM(CC5:CF5)-CG5,"")</f>
        <v>49.774999999999999</v>
      </c>
      <c r="CV5" s="11">
        <f>IF(CJ5&gt;0,CJ5,"")</f>
        <v>4.4000000000000004</v>
      </c>
      <c r="CW5" s="11">
        <f>IF(SUM(CH5:CK5)-CL5&gt;0,SUM(CH5:CK5)-CL5,"")</f>
        <v>15.945</v>
      </c>
      <c r="CX5" s="11">
        <f>IF(CS5="",IF(MAX(CU5,CW5)&gt;0,MAX(CU5,CW5),""),MAX(CU5,CW5)+CS5)</f>
        <v>49.774999999999999</v>
      </c>
      <c r="CY5" s="11">
        <f>IF(CO5&gt;0,CO5,"")</f>
        <v>12.9</v>
      </c>
      <c r="CZ5" s="11">
        <f>IF(SUM(CM5:CP5)-CQ5&gt;0,SUM(CM5:CP5)-CQ5,"")</f>
        <v>51.075000000000003</v>
      </c>
      <c r="DA5" s="11">
        <f>IF(SUM(CX5,CZ5)&gt;0,SUM(CX5,CZ5),"")</f>
        <v>100.85</v>
      </c>
      <c r="DB5" s="19" t="str">
        <f>IF(I5&gt;=0.001,IF(MAX(DU5,EQ5,FM5,GI5,HE5,IA5,IW5,JS5,KO5,LK5,MG5,NC5)-IF(I5="",0,I5)&gt;0.001,MAX(DU5,EQ5,FM5,GI5,HE5,IA5,IW5,JS5,KO5,LK5,MG5,NC5)-IF(I5="",0,I5),""),"")</f>
        <v/>
      </c>
      <c r="DC5" s="19" t="str">
        <f>IF(K5&gt;=0.001,IF(MAX(DX5,ET5,FP5,GL5,HH5,ID5,IZ5,JV5,KR5,LN5,MJ5,NF5)-IF(K5="",0,K5)&gt;0.001,MAX(DX5,ET5,FP5,GL5,HH5,ID5,IZ5,JV5,KR5,LN5,MJ5,NF5)-IF(K5="",0,K5),""),"")</f>
        <v/>
      </c>
      <c r="DD5" s="25">
        <v>16.899999999999999</v>
      </c>
      <c r="DE5" s="25">
        <v>9.1999999999999993</v>
      </c>
      <c r="DF5" s="25">
        <v>2.7</v>
      </c>
      <c r="DG5" s="25">
        <v>14.935</v>
      </c>
      <c r="DH5" s="25">
        <v>0</v>
      </c>
      <c r="DI5" s="25">
        <v>14.5</v>
      </c>
      <c r="DJ5" s="25">
        <v>8.9</v>
      </c>
      <c r="DK5" s="25">
        <v>10.7</v>
      </c>
      <c r="DL5" s="25">
        <v>13.74</v>
      </c>
      <c r="DM5" s="25">
        <v>0</v>
      </c>
      <c r="DN5" s="25"/>
      <c r="DO5" s="25"/>
      <c r="DP5" s="25"/>
      <c r="DQ5" s="25"/>
      <c r="DR5" s="25"/>
      <c r="DS5" s="11">
        <f>IF(DK5&gt;0,DK5,"")</f>
        <v>10.7</v>
      </c>
      <c r="DT5" s="11">
        <f>IF(SUM(DD5:DG5)-DH5&gt;0,SUM(DD5:DG5)-DH5,"")</f>
        <v>43.734999999999999</v>
      </c>
      <c r="DU5" s="11">
        <f>IF(SUM(DI5:DL5)-DM5&gt;0,SUM(DI5:DL5)-DM5,"")</f>
        <v>47.839999999999996</v>
      </c>
      <c r="DV5" s="11">
        <f>IF(SUM(DT5:DU5)&gt;0,SUM(DT5:DU5),"")</f>
        <v>91.574999999999989</v>
      </c>
      <c r="DW5" s="11" t="str">
        <f>IF(DP5&gt;0,DP5,"")</f>
        <v/>
      </c>
      <c r="DX5" s="11" t="str">
        <f>IF(SUM(DN5:DQ5)-DR5&gt;0,SUM(DN5:DQ5)-DR5,"")</f>
        <v/>
      </c>
      <c r="DY5" s="11">
        <f>IF(SUM(DV5,DX5)&gt;0,SUM(DV5,DX5),"")</f>
        <v>91.574999999999989</v>
      </c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14" t="str">
        <f>IF(EG5&gt;0,EG5,"")</f>
        <v/>
      </c>
      <c r="EP5" s="14" t="str">
        <f>IF(SUM(DZ5:EC5)-ED5&gt;0,SUM(DZ5:EC5)-ED5,"")</f>
        <v/>
      </c>
      <c r="EQ5" s="14" t="str">
        <f>IF(SUM(EE5:EH5)-EI5&gt;0,SUM(EE5:EH5)-EI5,"")</f>
        <v/>
      </c>
      <c r="ER5" s="14" t="str">
        <f>IF(SUM(EP5:EQ5)&gt;0,SUM(EP5:EQ5),"")</f>
        <v/>
      </c>
      <c r="ES5" s="14" t="str">
        <f>IF(EL5&gt;0,EL5,"")</f>
        <v/>
      </c>
      <c r="ET5" s="14" t="str">
        <f>IF(SUM(EJ5:EM5)-EN5&gt;0,SUM(EJ5:EM5)-EN5,"")</f>
        <v/>
      </c>
      <c r="EU5" s="14" t="str">
        <f>IF(SUM(ER5,ET5)&gt;0,SUM(ER5,ET5),"")</f>
        <v/>
      </c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11" t="str">
        <f>IF(FC5&gt;0,FC5,"")</f>
        <v/>
      </c>
      <c r="FL5" s="11" t="str">
        <f>IF(SUM(EV5:EY5)-EZ5&gt;0,SUM(EV5:EY5)-EZ5,"")</f>
        <v/>
      </c>
      <c r="FM5" s="11" t="str">
        <f>IF(SUM(FA5:FD5)-FE5&gt;0,SUM(FA5:FD5)-FE5,"")</f>
        <v/>
      </c>
      <c r="FN5" s="11" t="str">
        <f>IF(SUM(FL5:FM5)&gt;0,SUM(FL5:FM5),"")</f>
        <v/>
      </c>
      <c r="FO5" s="11" t="str">
        <f>IF(FH5&gt;0,FH5,"")</f>
        <v/>
      </c>
      <c r="FP5" s="11" t="str">
        <f>IF(SUM(FF5:FI5)-FJ5&gt;0,SUM(FF5:FI5)-FJ5,"")</f>
        <v/>
      </c>
      <c r="FQ5" s="11" t="str">
        <f>IF(SUM(FN5,FP5)&gt;0,SUM(FN5,FP5),"")</f>
        <v/>
      </c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14" t="str">
        <f>IF(FY5&gt;0,FY5,"")</f>
        <v/>
      </c>
      <c r="GH5" s="14" t="str">
        <f>IF(SUM(FR5:FU5)-FV5&gt;0,SUM(FR5:FU5)-FV5,"")</f>
        <v/>
      </c>
      <c r="GI5" s="14" t="str">
        <f>IF(SUM(FW5:FZ5)-GA5&gt;0,SUM(FW5:FZ5)-GA5,"")</f>
        <v/>
      </c>
      <c r="GJ5" s="14" t="str">
        <f>IF(SUM(GH5:GI5)&gt;0,SUM(GH5:GI5),"")</f>
        <v/>
      </c>
      <c r="GK5" s="14" t="str">
        <f>IF(GD5&gt;0,GD5,"")</f>
        <v/>
      </c>
      <c r="GL5" s="14" t="str">
        <f>IF(SUM(GB5:GE5)-GF5&gt;0,SUM(GB5:GE5)-GF5,"")</f>
        <v/>
      </c>
      <c r="GM5" s="14" t="str">
        <f>IF(SUM(GJ5,GL5)&gt;0,SUM(GJ5,GL5),"")</f>
        <v/>
      </c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11" t="str">
        <f>IF(GU5&gt;0,GU5,"")</f>
        <v/>
      </c>
      <c r="HD5" s="11" t="str">
        <f>IF(SUM(GN5:GQ5)-GR5&gt;0,SUM(GN5:GQ5)-GR5,"")</f>
        <v/>
      </c>
      <c r="HE5" s="11" t="str">
        <f>IF(SUM(GS5:GV5)-GW5&gt;0,SUM(GS5:GV5)-GW5,"")</f>
        <v/>
      </c>
      <c r="HF5" s="11" t="str">
        <f>IF(SUM(HD5:HE5)&gt;0,SUM(HD5:HE5),"")</f>
        <v/>
      </c>
      <c r="HG5" s="11" t="str">
        <f>IF(GZ5&gt;0,GZ5,"")</f>
        <v/>
      </c>
      <c r="HH5" s="11" t="str">
        <f>IF(SUM(GX5:HA5)-HB5&gt;0,SUM(GX5:HA5)-HB5,"")</f>
        <v/>
      </c>
      <c r="HI5" s="11" t="str">
        <f>IF(SUM(HF5,HH5)&gt;0,SUM(HF5,HH5),"")</f>
        <v/>
      </c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26"/>
      <c r="JN5" s="26"/>
      <c r="JO5" s="26"/>
      <c r="JP5" s="26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6"/>
      <c r="KU5" s="26"/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5"/>
      <c r="LQ5" s="25"/>
      <c r="LR5" s="25"/>
      <c r="LS5" s="25"/>
      <c r="LT5" s="25"/>
      <c r="LU5" s="25"/>
      <c r="LV5" s="25"/>
      <c r="LW5" s="25"/>
      <c r="LX5" s="25"/>
      <c r="LY5" s="25"/>
      <c r="LZ5" s="54"/>
      <c r="MA5" s="25"/>
      <c r="MB5" s="25"/>
      <c r="MC5" s="25"/>
      <c r="MD5" s="25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8">
        <f>IF($CR5="P",BX5,(BX5+AT5)/2)</f>
        <v>8.6</v>
      </c>
      <c r="NI5" s="38">
        <f>IF($CR5="P",BY5,(BY5+AU5)/2)</f>
        <v>4.8</v>
      </c>
      <c r="NJ5" s="38">
        <f>IF($CR5="P",BZ5,(BZ5+AV5)/2)</f>
        <v>1.85</v>
      </c>
      <c r="NK5" s="38">
        <f>IF($CR5="P",CA5,(CA5+AW5)/2)</f>
        <v>7.585</v>
      </c>
      <c r="NL5" s="38">
        <f>IF($CR5="P",CB5,(CB5+AX5)/2)</f>
        <v>0</v>
      </c>
      <c r="NM5" s="38">
        <f>IF($CR5="P",CC5,(CC5+AY5)/2)</f>
        <v>12.95</v>
      </c>
      <c r="NN5" s="38">
        <f>IF($CR5="P",CD5,(CD5+AZ5)/2)</f>
        <v>8.6000000000000014</v>
      </c>
      <c r="NO5" s="38">
        <f>IF($CR5="P",CE5,(CE5+BA5)/2)</f>
        <v>12.05</v>
      </c>
      <c r="NP5" s="38">
        <f>IF($CR5="P",CF5,(CF5+BB5)/2)</f>
        <v>13.015000000000001</v>
      </c>
      <c r="NQ5" s="38">
        <f>IF($CR5="P",CG5,(CG5+BC5)/2)</f>
        <v>0</v>
      </c>
      <c r="NR5" s="38">
        <f>IF($CR5="P",CH5,(CH5+BD5)/2)</f>
        <v>4.3000000000000007</v>
      </c>
      <c r="NS5" s="38">
        <f>IF($CR5="P",CI5,(CI5+BE5)/2)</f>
        <v>2.75</v>
      </c>
      <c r="NT5" s="38">
        <f>IF($CR5="P",CJ5,(CJ5+BF5)/2)</f>
        <v>3.9000000000000004</v>
      </c>
      <c r="NU5" s="38">
        <f>IF($CR5="P",CK5,(CK5+BG5)/2)</f>
        <v>4.42</v>
      </c>
      <c r="NV5" s="38">
        <f>IF($CR5="P",CL5,(CL5+BH5)/2)</f>
        <v>0</v>
      </c>
      <c r="NW5" s="38">
        <f>IF($CR5="P",CM5,(CM5+BI5)/2)</f>
        <v>13.55</v>
      </c>
      <c r="NX5" s="38">
        <f>IF($CR5="P",CN5,(CN5+BJ5)/2)</f>
        <v>8.6999999999999993</v>
      </c>
      <c r="NY5" s="38">
        <f>IF($CR5="P",CO5,(CO5+BK5)/2)</f>
        <v>12.2</v>
      </c>
      <c r="NZ5" s="38">
        <f>IF($CR5="P",CP5,(CP5+BL5)/2)</f>
        <v>13.342499999999999</v>
      </c>
      <c r="OA5" s="38">
        <f>IF($CR5="P",CQ5,(CQ5+BM5)/2)</f>
        <v>0</v>
      </c>
      <c r="OB5" s="45" t="s">
        <v>46</v>
      </c>
      <c r="OC5" s="11">
        <f>IF(SUM(NH5:NK5)-NL5&gt;0,SUM(NH5:NK5)-NL5,"")</f>
        <v>22.834999999999997</v>
      </c>
      <c r="OD5" s="11">
        <f>IF(NO5&gt;0,NO5,"")</f>
        <v>12.05</v>
      </c>
      <c r="OE5" s="11">
        <f>IF(SUM(NM5:NP5)-NQ5&gt;0,SUM(NM5:NP5)-NQ5,"")</f>
        <v>46.615000000000002</v>
      </c>
      <c r="OF5" s="11">
        <f>IF(NT5&gt;0,NT5,"")</f>
        <v>3.9000000000000004</v>
      </c>
      <c r="OG5" s="11">
        <f>IF(SUM(NR5:NU5)-NV5&gt;0,SUM(NR5:NU5)-NV5,"")</f>
        <v>15.370000000000001</v>
      </c>
      <c r="OH5" s="11">
        <f>IF(OR(OC5&lt;&gt;"",OE5&lt;&gt;"",OG5&lt;&gt;""),OC5+MAX(OE5,OG5),"")</f>
        <v>69.45</v>
      </c>
      <c r="OI5" s="11">
        <f>IF(NY5&gt;0,NY5,"")</f>
        <v>12.2</v>
      </c>
      <c r="OJ5" s="11">
        <f t="shared" si="0"/>
        <v>47.792500000000004</v>
      </c>
      <c r="OK5" s="11">
        <f t="shared" si="1"/>
        <v>117.24250000000001</v>
      </c>
    </row>
    <row r="6" spans="1:401" x14ac:dyDescent="0.2">
      <c r="A6" s="5" cm="1">
        <f t="array" ref="A6">IF(AND(F6="P",G6="P"),SUMPRODUCT((F$4:F$29="P")*(G$4:G$29="P")*(E$4:E$29&gt;E6))+1,IF(G6="P",SUMPRODUCT((F$4:F$29="")*(G$4:G$29="P")*(E$4:E$29&gt;E6))+1+SUMPRODUCT((F$4:F$29="P")*(G$4:G$29="P")),""))</f>
        <v>3</v>
      </c>
      <c r="B6" s="6" t="s">
        <v>122</v>
      </c>
      <c r="C6" s="7" t="s">
        <v>3</v>
      </c>
      <c r="D6" s="22">
        <v>2001</v>
      </c>
      <c r="E6" s="15">
        <f>SUM(I6:M6)</f>
        <v>101.19</v>
      </c>
      <c r="F6" s="3" t="str">
        <f>IF(OR(AND(AL6&gt;=AS$31,AM6&gt;=AS$35,AL6&lt;&gt;"",AJ6=""),AND(AN6&gt;=AS$31,AO6&gt;=AS$35,AN6&lt;&gt;"",AN6=""),AND(AQ6&gt;=AS$31,AR6&gt;=AS$35,AQ6&lt;&gt;"",AJ6=""),AND(BP6&gt;=BW$31,BQ6&gt;=BW$35,BP6&lt;&gt;"",BN6=""),AND(BR6&gt;=BW$31,BS6&gt;=BW$35,BR6&lt;&gt;"",BN6=""),AND(BU6&gt;=BW$31,BV6&gt;=BW$35,BU6&lt;&gt;"",BN6=""),AND(CT6&gt;=DA$31,CU6&gt;=DA$35,CT6&lt;&gt;"",CR6=""),AND(CV6&gt;=DA$31,CW6&gt;=DA$35,CV6&lt;&gt;"",CR6=""),AND(CY6&gt;=DA$31,CZ6&gt;=DA$35,CY6&lt;&gt;"",CR6=""),AND(DS6&gt;=DY$31,DU6&gt;=DY$35,DS6&lt;&gt;""),AND(DW6&gt;=DY$31,DX6&gt;=DY$35,DW6&lt;&gt;""),AND(EO6&gt;=EU$31,EQ6&gt;=EU$35,EO6&lt;&gt;""),AND(ES6&gt;=EU$31,ET6&gt;=EU$35,ES6&lt;&gt;""),AND(FK6&gt;=FQ$31,FM6&gt;=FQ$35,FK6&lt;&gt;""),AND(FO6&gt;=FQ$31,FP6&gt;=FQ$35,FO6&lt;&gt;""),AND(GG6&gt;=GM$31,GI6&gt;=GM$35,GG6&lt;&gt;""),AND(GK6&gt;=GM$31,GL6&gt;=GM$35,GK6&lt;&gt;""),AND(HC6&gt;=HI$31,HE6&gt;=HI$35,HC6&lt;&gt;""),AND(HG6&gt;=HI$31,HH6&gt;=HI$35,HG6&lt;&gt;""),AND(HY6&gt;=IE$31,IA6&gt;=IE$35,HY6&lt;&gt;""),AND(IC6&gt;=IE$31,ID6&gt;=IE$35,IC6&lt;&gt;""),AND(IU6&gt;=JA$31,IW6&gt;=JA$35,IU6&lt;&gt;""),AND(IY6&gt;=JA$31,IZ6&gt;=JA$35,IY6&lt;&gt;""),AND(JQ6&gt;=JW$31,JS6&gt;=JW$35,JQ6&lt;&gt;""),AND(JU6&gt;=JW$31,JV6&gt;=JW$35,JU6&lt;&gt;""),AND(KM6&gt;=KS$31,KO6&gt;=KS$35,KM6&lt;&gt;""),AND(KQ6&gt;=KS$31,KR6&gt;=KS$35,KQ6&lt;&gt;""),AND(LI6&gt;=LO$31,LK6&gt;=LO$35,LI6&lt;&gt;""),AND(LM6&gt;=LO$31,LN6&gt;=LO$35,LM6&lt;&gt;""),AND(ME6&gt;=MK$31,MG6&gt;=MK$35,ME6&lt;&gt;""),AND(MI6&gt;=MK$31,MJ6&gt;=MK$35,MI6&lt;&gt;""),AND(NA6&gt;=NG$31,NC6&gt;=NG$35,NA6&lt;&gt;""),AND(NE6&gt;=NG$31,NF6&gt;=NG$35,NE6&lt;&gt;"")),"P","")</f>
        <v>P</v>
      </c>
      <c r="G6" s="3" t="str">
        <f>IF(OR(AND(AM6&gt;=AS$35,AL6&lt;&gt;"",AJ6=""),AND(AO6&gt;=AS$35,AN6&lt;&gt;"",AN6=""),AND(AR6&gt;=AS$35,AQ6&lt;&gt;"",AJ6=""),AND(BQ6&gt;=BW$35,BP6&lt;&gt;"",BN6=""),AND(BS6&gt;=BW$35,BR6&lt;&gt;"",BN6=""),AND(BV6&gt;=BW$35,BU6&lt;&gt;"",BN6=""),AND(CU6&gt;=DA$35,CT6&lt;&gt;"",CR6=""),AND(CW6&gt;=DA$35,CV6&lt;&gt;"",CR6=""),AND(CZ6&gt;=DA$35,CY6&lt;&gt;"",CR6=""),AND(DU6&gt;=DY$35,DS6&lt;&gt;""),AND(DX6&gt;=DY$35,DW6&lt;&gt;""),AND(EQ6&gt;=EU$35,EO6&lt;&gt;""),AND(ET6&gt;=EU$35,ES6&lt;&gt;""),AND(FM6&gt;=FQ$35,FK6&lt;&gt;""),AND(FP6&gt;=FQ$35,FO6&lt;&gt;""),AND(GI6&gt;=GM$35,GG6&lt;&gt;""),AND(GL6&gt;=GM$35,GK6&lt;&gt;""),AND(HE6&gt;=HI$35,HC6&lt;&gt;""),AND(HH6&gt;=HI$35,HG6&lt;&gt;""),AND(IA6&gt;=IE$35,HY6&lt;&gt;""),AND(ID6&gt;=IE$35,IC6&lt;&gt;""),AND(IW6&gt;=JA$35,IU6&lt;&gt;""),AND(IZ6&gt;=JA$35,IY6&lt;&gt;""),AND(JS6&gt;=JW$35,JQ6&lt;&gt;""),AND(JV6&gt;=JW$35,JU6&lt;&gt;""),AND(KO6&gt;=KS$35,KM6&lt;&gt;""),AND(KR6&gt;=KS$35,KQ6&lt;&gt;""),AND(LK6&gt;=LO$35,LI6&lt;&gt;""),AND(LN6&gt;=LO$35,LM6&lt;&gt;""),AND(MG6&gt;=MK$35,ME6&lt;&gt;""),AND(MJ6&gt;=MK$35,MI6&lt;&gt;""),AND(NC6&gt;=NG$35,NA6&lt;&gt;""),AND(NF6&gt;=NG$35,NE6&lt;&gt;"")),"P","")</f>
        <v>P</v>
      </c>
      <c r="H6" s="67" t="str">
        <f>IF(F6="P","National Team",IF(G6="P","No DD",""))</f>
        <v>National Team</v>
      </c>
      <c r="I6" s="14">
        <f>MAX(AM6,AO6,AR6,BQ6,BS6,BV6,CU6,CW6,CZ6)</f>
        <v>51.120000000000005</v>
      </c>
      <c r="J6" s="14" t="str">
        <f>IF(I6=0,"",IF(OR(I6=CW6,I6=CU6,I6=CZ6),$BX$1,IF(OR(I6=BS6,I6=BQ6,I6=BV6),$AT$1,IF(OR(I6=AO6,I6=AM6,I6=AR6),$P$1,""))))</f>
        <v>2022 Elite Canada</v>
      </c>
      <c r="K6" s="14">
        <f>IF(COUNT(AM6,AO6,AR6,BQ6,BS6,BV6,CU6,CW6,CZ6)&gt;1,LARGE((AM6,AO6,AR6,BQ6,BS6,BV6,CU6,CW6,CZ6),2),0)</f>
        <v>50.069999999999993</v>
      </c>
      <c r="L6" s="14" t="str">
        <f>IF(K6=0,"",IF(OR(K6=CW6,K6=CU6,K6=CZ6),$BX$1,IF(OR(K6=BS6,K6=BQ6,K6=BV6),$AT$1,IF(OR(K6=AO6,K6=AM6,K6=AR6),$P$1,""))))</f>
        <v>2022 Elite Canada</v>
      </c>
      <c r="M6" s="14" t="str">
        <f>IF(MAX(DB6,DC6)&gt;0,MAX(DB6,DC6),"")</f>
        <v/>
      </c>
      <c r="N6" s="20" t="str">
        <f>IF(M6="","",IF(M6=#REF!,"(Vol 1)",IF(M6=DB6,"(Vol 2)",IF(M6=#REF!,"(Prelim)",IF(M6=DC6,"(Final)")))))</f>
        <v/>
      </c>
      <c r="O6" s="14" t="str">
        <f>IF(M6="","",IF(M6=#REF!,IF(M6+IF(#REF!="",0,#REF!)=NB6,$ML$1,IF(M6+IF(#REF!="",0,#REF!)=MF6,$LP$1,IF(M6+IF(#REF!="",0,#REF!)=LJ6,$KT$1,IF(M6+IF(#REF!="",0,#REF!)=KN6,$JX$1,IF(M6+IF(#REF!="",0,#REF!)=JR6,$JB$1,IF(M6+IF(#REF!="",0,#REF!)=IV6,$IF$1,IF(M6+IF(#REF!="",0,#REF!)=HZ6,$HJ$1,IF(M6+IF(#REF!="",0,#REF!)=HD6,$GN$1,IF(M6+IF(#REF!="",0,#REF!)=GH6,$FR$1,IF(M6+IF(#REF!="",0,#REF!)=FL6,$EV$1,IF(M6+IF(#REF!="",0,#REF!)=EP6,$DZ$1,IF(M6+IF(#REF!="",0,#REF!)=DT6,$DD$1)))))))))))),IF(M6=DB6,IF(M6+IF(I6="",0,I6)=NC6,$ML$1,IF(M6+IF(I6="",0,I6)=MG6,$LP$1,IF(M6+IF(I6="",0,I6)=LK6,$KT$1,IF(M6+IF(I6="",0,I6)=KO6,$JX$1,IF(M6+IF(I6="",0,I6)=JS6,$JB$1,IF(M6+IF(I6="",0,I6)=IW6,$IF$1,IF(M6+IF(I6="",0,I6)=IA6,$HJ$1,IF(M6+IF(I6="",0,I6)=HE6,$GN$1,IF(M6+IF(I6="",0,I6)=GI6,$FR$1,IF(M6+IF(I6="",0,I6)=FM6,$EV$1,IF(M6+IF(I6="",0,I6)=EQ6,$DZ$1,IF(M6+IF(I6="",0,I6)=DU6,$DD$1)))))))))))),IF(M6=#REF!,IF(M6+IF(#REF!="",0,#REF!)=ND6,$ML$1,IF(M6+IF(#REF!="",0,#REF!)=MH6,$LP$1,IF(M6+IF(#REF!="",0,#REF!)=LL6,$KT$1,IF(M6+IF(#REF!="",0,#REF!)=KP6,$JX$1,IF(M6+IF(#REF!="",0,#REF!)=JT6,$JB$1,IF(M6+IF(#REF!="",0,#REF!)=IX6,$IF$1,IF(M6+IF(#REF!="",0,#REF!)=IB6,$HJ$1,IF(M6+IF(#REF!="",0,#REF!)=HF6,$GN$1,IF(M6+IF(#REF!="",0,#REF!)=GJ6,$FR$1,IF(M6+IF(#REF!="",0,#REF!)=FN6,$EV$1,IF(M6+IF(#REF!="",0,#REF!)=ER6,$DZ$1,IF(M6+IF(#REF!="",0,#REF!)=DV6,$DD$1)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))</f>
        <v/>
      </c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45"/>
      <c r="AK6" s="11" t="str">
        <f>IF(SUM(P6:S6)-T6&gt;0,SUM(P6:S6)-T6,"")</f>
        <v/>
      </c>
      <c r="AL6" s="11" t="str">
        <f>IF(W6&gt;0,W6,"")</f>
        <v/>
      </c>
      <c r="AM6" s="11" t="str">
        <f>IF(SUM(U6:X6)-Y6&gt;0,SUM(U6:X6)-Y6,"")</f>
        <v/>
      </c>
      <c r="AN6" s="11" t="str">
        <f>IF(AB6&gt;0,AB6,"")</f>
        <v/>
      </c>
      <c r="AO6" s="11" t="str">
        <f>IF(SUM(Z6:AC6)-AD6&gt;0,SUM(Z6:AC6)-AD6,"")</f>
        <v/>
      </c>
      <c r="AP6" s="11" t="str">
        <f>IF(AK6="",IF(MAX(AM6,AO6)&gt;0,MAX(AM6,AO6),""),MAX(AM6,AO6)+AK6)</f>
        <v/>
      </c>
      <c r="AQ6" s="11" t="str">
        <f>IF(AG6&gt;0,AG6,"")</f>
        <v/>
      </c>
      <c r="AR6" s="11" t="str">
        <f>IF(SUM(AE6:AH6)-AI6&gt;0,SUM(AE6:AH6)-AI6,"")</f>
        <v/>
      </c>
      <c r="AS6" s="11" t="str">
        <f>IF(SUM(AP6,AR6)&gt;0,SUM(AP6,AR6),"")</f>
        <v/>
      </c>
      <c r="AT6" s="42">
        <v>16.5</v>
      </c>
      <c r="AU6" s="42">
        <v>9</v>
      </c>
      <c r="AV6" s="42">
        <v>2.5</v>
      </c>
      <c r="AW6" s="42">
        <v>15.13</v>
      </c>
      <c r="AX6" s="42">
        <v>2</v>
      </c>
      <c r="AY6" s="42">
        <v>15.7</v>
      </c>
      <c r="AZ6" s="42">
        <v>8.9</v>
      </c>
      <c r="BA6" s="42">
        <v>8.5</v>
      </c>
      <c r="BB6" s="42">
        <v>14.505000000000001</v>
      </c>
      <c r="BC6" s="42">
        <v>0.3</v>
      </c>
      <c r="BD6" s="42"/>
      <c r="BE6" s="42"/>
      <c r="BF6" s="42"/>
      <c r="BG6" s="42"/>
      <c r="BH6" s="42"/>
      <c r="BI6" s="42">
        <v>15.3</v>
      </c>
      <c r="BJ6" s="42">
        <v>9.3000000000000007</v>
      </c>
      <c r="BK6" s="42">
        <v>10.4</v>
      </c>
      <c r="BL6" s="42">
        <v>14.64</v>
      </c>
      <c r="BM6" s="42">
        <v>0</v>
      </c>
      <c r="BN6" s="46"/>
      <c r="BO6" s="14">
        <f>IF(SUM(AT6:AW6)-AX6&gt;0,SUM(AT6:AW6)-AX6,"")</f>
        <v>41.13</v>
      </c>
      <c r="BP6" s="14">
        <f>IF(BA6&gt;0,BA6,"")</f>
        <v>8.5</v>
      </c>
      <c r="BQ6" s="14">
        <f>IF(SUM(AY6:BB6)-BC6&gt;0,SUM(AY6:BB6)-BC6,"")</f>
        <v>47.305000000000007</v>
      </c>
      <c r="BR6" s="14" t="str">
        <f>IF(BF6&gt;0,BF6,"")</f>
        <v/>
      </c>
      <c r="BS6" s="14" t="str">
        <f>IF(SUM(BD6:BG6)-BH6&gt;0,SUM(BD6:BG6)-BH6,"")</f>
        <v/>
      </c>
      <c r="BT6" s="14">
        <f>IF(BO6="",IF(MAX(BQ6,BS6)&gt;0,MAX(BQ6,BS6),""),MAX(BQ6,BS6)+BO6)</f>
        <v>88.435000000000002</v>
      </c>
      <c r="BU6" s="14">
        <f>IF(BK6&gt;0,BK6,"")</f>
        <v>10.4</v>
      </c>
      <c r="BV6" s="14">
        <f>IF(SUM(BI6:BL6)-BM6&gt;0,SUM(BI6:BL6)-BM6,"")</f>
        <v>49.64</v>
      </c>
      <c r="BW6" s="14">
        <f>IF(SUM(BT6,BV6)&gt;0,SUM(BT6,BV6),"")</f>
        <v>138.07499999999999</v>
      </c>
      <c r="BX6" s="38"/>
      <c r="BY6" s="38"/>
      <c r="BZ6" s="38"/>
      <c r="CA6" s="38"/>
      <c r="CB6" s="38"/>
      <c r="CC6" s="38">
        <v>14.1</v>
      </c>
      <c r="CD6" s="38">
        <v>8.3000000000000007</v>
      </c>
      <c r="CE6" s="38">
        <v>10.8</v>
      </c>
      <c r="CF6" s="38">
        <v>13.17</v>
      </c>
      <c r="CG6" s="38">
        <v>0</v>
      </c>
      <c r="CH6" s="38">
        <v>14.2</v>
      </c>
      <c r="CI6" s="38">
        <v>9.4</v>
      </c>
      <c r="CJ6" s="38">
        <v>12.2</v>
      </c>
      <c r="CK6" s="38">
        <v>14.27</v>
      </c>
      <c r="CL6" s="38">
        <v>0</v>
      </c>
      <c r="CM6" s="38">
        <v>14.9</v>
      </c>
      <c r="CN6" s="38">
        <v>9.3000000000000007</v>
      </c>
      <c r="CO6" s="38">
        <v>12.2</v>
      </c>
      <c r="CP6" s="38">
        <v>14.72</v>
      </c>
      <c r="CQ6" s="38">
        <v>0</v>
      </c>
      <c r="CR6" s="45"/>
      <c r="CS6" s="11" t="str">
        <f>IF(SUM(BX6:CA6)-CB6&gt;0,SUM(BX6:CA6)-CB6,"")</f>
        <v/>
      </c>
      <c r="CT6" s="11">
        <f>IF(CE6&gt;0,CE6,"")</f>
        <v>10.8</v>
      </c>
      <c r="CU6" s="11">
        <f>IF(SUM(CC6:CF6)-CG6&gt;0,SUM(CC6:CF6)-CG6,"")</f>
        <v>46.370000000000005</v>
      </c>
      <c r="CV6" s="11">
        <f>IF(CJ6&gt;0,CJ6,"")</f>
        <v>12.2</v>
      </c>
      <c r="CW6" s="11">
        <f>IF(SUM(CH6:CK6)-CL6&gt;0,SUM(CH6:CK6)-CL6,"")</f>
        <v>50.069999999999993</v>
      </c>
      <c r="CX6" s="11">
        <f>IF(CS6="",IF(MAX(CU6,CW6)&gt;0,MAX(CU6,CW6),""),MAX(CU6,CW6)+CS6)</f>
        <v>50.069999999999993</v>
      </c>
      <c r="CY6" s="11">
        <f>IF(CO6&gt;0,CO6,"")</f>
        <v>12.2</v>
      </c>
      <c r="CZ6" s="11">
        <f>IF(SUM(CM6:CP6)-CQ6&gt;0,SUM(CM6:CP6)-CQ6,"")</f>
        <v>51.120000000000005</v>
      </c>
      <c r="DA6" s="11">
        <f>IF(SUM(CX6,CZ6)&gt;0,SUM(CX6,CZ6),"")</f>
        <v>101.19</v>
      </c>
      <c r="DB6" s="19" t="str">
        <f>IF(I6&gt;=0.001,IF(MAX(DU6,EQ6,FM6,GI6,HE6,IA6,IW6,JS6,KO6,LK6,MG6,NC6)-IF(I6="",0,I6)&gt;0.001,MAX(DU6,EQ6,FM6,GI6,HE6,IA6,IW6,JS6,KO6,LK6,MG6,NC6)-IF(I6="",0,I6),""),"")</f>
        <v/>
      </c>
      <c r="DC6" s="19" t="str">
        <f>IF(K6&gt;=0.001,IF(MAX(DX6,ET6,FP6,GL6,HH6,ID6,IZ6,JV6,KR6,LN6,MJ6,NF6)-IF(K6="",0,K6)&gt;0.001,MAX(DX6,ET6,FP6,GL6,HH6,ID6,IZ6,JV6,KR6,LN6,MJ6,NF6)-IF(K6="",0,K6),""),"")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11" t="str">
        <f>IF(FC6&gt;0,FC6,"")</f>
        <v/>
      </c>
      <c r="FL6" s="11" t="str">
        <f>IF(SUM(EV6:EY6)-EZ6&gt;0,SUM(EV6:EY6)-EZ6,"")</f>
        <v/>
      </c>
      <c r="FM6" s="11" t="str">
        <f>IF(SUM(FA6:FD6)-FE6&gt;0,SUM(FA6:FD6)-FE6,"")</f>
        <v/>
      </c>
      <c r="FN6" s="11" t="str">
        <f>IF(SUM(FL6:FM6)&gt;0,SUM(FL6:FM6),"")</f>
        <v/>
      </c>
      <c r="FO6" s="11" t="str">
        <f>IF(FH6&gt;0,FH6,"")</f>
        <v/>
      </c>
      <c r="FP6" s="11" t="str">
        <f>IF(SUM(FF6:FI6)-FJ6&gt;0,SUM(FF6:FI6)-FJ6,"")</f>
        <v/>
      </c>
      <c r="FQ6" s="11" t="str">
        <f>IF(SUM(FN6,FP6)&gt;0,SUM(FN6,FP6),"")</f>
        <v/>
      </c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8">
        <f>IF($CR6="P",BX6,(BX6+AT6)/2)</f>
        <v>8.25</v>
      </c>
      <c r="NI6" s="38">
        <f>IF($CR6="P",BY6,(BY6+AU6)/2)</f>
        <v>4.5</v>
      </c>
      <c r="NJ6" s="38">
        <f>IF($CR6="P",BZ6,(BZ6+AV6)/2)</f>
        <v>1.25</v>
      </c>
      <c r="NK6" s="38">
        <f>IF($CR6="P",CA6,(CA6+AW6)/2)</f>
        <v>7.5650000000000004</v>
      </c>
      <c r="NL6" s="38">
        <f>IF($CR6="P",CB6,(CB6+AX6)/2)</f>
        <v>1</v>
      </c>
      <c r="NM6" s="38">
        <f>IF($CR6="P",CC6,(CC6+AY6)/2)</f>
        <v>14.899999999999999</v>
      </c>
      <c r="NN6" s="38">
        <f>IF($CR6="P",CD6,(CD6+AZ6)/2)</f>
        <v>8.6000000000000014</v>
      </c>
      <c r="NO6" s="38">
        <f>IF($CR6="P",CE6,(CE6+BA6)/2)</f>
        <v>9.65</v>
      </c>
      <c r="NP6" s="38">
        <f>IF($CR6="P",CF6,(CF6+BB6)/2)</f>
        <v>13.8375</v>
      </c>
      <c r="NQ6" s="38">
        <f>IF($CR6="P",CG6,(CG6+BC6)/2)</f>
        <v>0.15</v>
      </c>
      <c r="NR6" s="38">
        <f>IF($CR6="P",CH6,(CH6+BD6)/2)</f>
        <v>7.1</v>
      </c>
      <c r="NS6" s="38">
        <f>IF($CR6="P",CI6,(CI6+BE6)/2)</f>
        <v>4.7</v>
      </c>
      <c r="NT6" s="38">
        <f>IF($CR6="P",CJ6,(CJ6+BF6)/2)</f>
        <v>6.1</v>
      </c>
      <c r="NU6" s="38">
        <f>IF($CR6="P",CK6,(CK6+BG6)/2)</f>
        <v>7.1349999999999998</v>
      </c>
      <c r="NV6" s="38">
        <f>IF($CR6="P",CL6,(CL6+BH6)/2)</f>
        <v>0</v>
      </c>
      <c r="NW6" s="38">
        <f>IF($CR6="P",CM6,(CM6+BI6)/2)</f>
        <v>15.100000000000001</v>
      </c>
      <c r="NX6" s="38">
        <f>IF($CR6="P",CN6,(CN6+BJ6)/2)</f>
        <v>9.3000000000000007</v>
      </c>
      <c r="NY6" s="38">
        <f>IF($CR6="P",CO6,(CO6+BK6)/2)</f>
        <v>11.3</v>
      </c>
      <c r="NZ6" s="38">
        <f>IF($CR6="P",CP6,(CP6+BL6)/2)</f>
        <v>14.68</v>
      </c>
      <c r="OA6" s="38">
        <f>IF($CR6="P",CQ6,(CQ6+BM6)/2)</f>
        <v>0</v>
      </c>
      <c r="OB6" s="45" t="s">
        <v>46</v>
      </c>
      <c r="OC6" s="11">
        <f>IF(SUM(NH6:NK6)-NL6&gt;0,SUM(NH6:NK6)-NL6,"")</f>
        <v>20.565000000000001</v>
      </c>
      <c r="OD6" s="11">
        <f>IF(NO6&gt;0,NO6,"")</f>
        <v>9.65</v>
      </c>
      <c r="OE6" s="11">
        <f>IF(SUM(NM6:NP6)-NQ6&gt;0,SUM(NM6:NP6)-NQ6,"")</f>
        <v>46.837499999999999</v>
      </c>
      <c r="OF6" s="11">
        <f>IF(NT6&gt;0,NT6,"")</f>
        <v>6.1</v>
      </c>
      <c r="OG6" s="11">
        <f>IF(SUM(NR6:NU6)-NV6&gt;0,SUM(NR6:NU6)-NV6,"")</f>
        <v>25.034999999999997</v>
      </c>
      <c r="OH6" s="11">
        <f>IF(OR(OC6&lt;&gt;"",OE6&lt;&gt;"",OG6&lt;&gt;""),OC6+MAX(OE6,OG6),"")</f>
        <v>67.402500000000003</v>
      </c>
      <c r="OI6" s="11">
        <f>IF(NY6&gt;0,NY6,"")</f>
        <v>11.3</v>
      </c>
      <c r="OJ6" s="11">
        <f t="shared" si="0"/>
        <v>50.38</v>
      </c>
      <c r="OK6" s="11">
        <f t="shared" si="1"/>
        <v>117.7825</v>
      </c>
    </row>
    <row r="7" spans="1:401" x14ac:dyDescent="0.2">
      <c r="A7" s="5" cm="1">
        <f t="array" ref="A7">IF(AND(F7="P",G7="P"),SUMPRODUCT((F$4:F$29="P")*(G$4:G$29="P")*(E$4:E$29&gt;E7))+1,IF(G7="P",SUMPRODUCT((F$4:F$29="")*(G$4:G$29="P")*(E$4:E$29&gt;E7))+1+SUMPRODUCT((F$4:F$29="P")*(G$4:G$29="P")),""))</f>
        <v>4</v>
      </c>
      <c r="B7" s="6" t="s">
        <v>124</v>
      </c>
      <c r="C7" s="7" t="s">
        <v>3</v>
      </c>
      <c r="D7" s="22">
        <v>2004</v>
      </c>
      <c r="E7" s="15">
        <f>SUM(I7:M7)</f>
        <v>98.97999999999999</v>
      </c>
      <c r="F7" s="3" t="str">
        <f>IF(OR(AND(AL7&gt;=AS$31,AM7&gt;=AS$35,AL7&lt;&gt;"",AJ7=""),AND(AN7&gt;=AS$31,AO7&gt;=AS$35,AN7&lt;&gt;"",AN7=""),AND(AQ7&gt;=AS$31,AR7&gt;=AS$35,AQ7&lt;&gt;"",AJ7=""),AND(BP7&gt;=BW$31,BQ7&gt;=BW$35,BP7&lt;&gt;"",BN7=""),AND(BR7&gt;=BW$31,BS7&gt;=BW$35,BR7&lt;&gt;"",BN7=""),AND(BU7&gt;=BW$31,BV7&gt;=BW$35,BU7&lt;&gt;"",BN7=""),AND(CT7&gt;=DA$31,CU7&gt;=DA$35,CT7&lt;&gt;"",CR7=""),AND(CV7&gt;=DA$31,CW7&gt;=DA$35,CV7&lt;&gt;"",CR7=""),AND(CY7&gt;=DA$31,CZ7&gt;=DA$35,CY7&lt;&gt;"",CR7=""),AND(DS7&gt;=DY$31,DU7&gt;=DY$35,DS7&lt;&gt;""),AND(DW7&gt;=DY$31,DX7&gt;=DY$35,DW7&lt;&gt;""),AND(EO7&gt;=EU$31,EQ7&gt;=EU$35,EO7&lt;&gt;""),AND(ES7&gt;=EU$31,ET7&gt;=EU$35,ES7&lt;&gt;""),AND(FK7&gt;=FQ$31,FM7&gt;=FQ$35,FK7&lt;&gt;""),AND(FO7&gt;=FQ$31,FP7&gt;=FQ$35,FO7&lt;&gt;""),AND(GG7&gt;=GM$31,GI7&gt;=GM$35,GG7&lt;&gt;""),AND(GK7&gt;=GM$31,GL7&gt;=GM$35,GK7&lt;&gt;""),AND(HC7&gt;=HI$31,HE7&gt;=HI$35,HC7&lt;&gt;""),AND(HG7&gt;=HI$31,HH7&gt;=HI$35,HG7&lt;&gt;""),AND(HY7&gt;=IE$31,IA7&gt;=IE$35,HY7&lt;&gt;""),AND(IC7&gt;=IE$31,ID7&gt;=IE$35,IC7&lt;&gt;""),AND(IU7&gt;=JA$31,IW7&gt;=JA$35,IU7&lt;&gt;""),AND(IY7&gt;=JA$31,IZ7&gt;=JA$35,IY7&lt;&gt;""),AND(JQ7&gt;=JW$31,JS7&gt;=JW$35,JQ7&lt;&gt;""),AND(JU7&gt;=JW$31,JV7&gt;=JW$35,JU7&lt;&gt;""),AND(KM7&gt;=KS$31,KO7&gt;=KS$35,KM7&lt;&gt;""),AND(KQ7&gt;=KS$31,KR7&gt;=KS$35,KQ7&lt;&gt;""),AND(LI7&gt;=LO$31,LK7&gt;=LO$35,LI7&lt;&gt;""),AND(LM7&gt;=LO$31,LN7&gt;=LO$35,LM7&lt;&gt;""),AND(ME7&gt;=MK$31,MG7&gt;=MK$35,ME7&lt;&gt;""),AND(MI7&gt;=MK$31,MJ7&gt;=MK$35,MI7&lt;&gt;""),AND(NA7&gt;=NG$31,NC7&gt;=NG$35,NA7&lt;&gt;""),AND(NE7&gt;=NG$31,NF7&gt;=NG$35,NE7&lt;&gt;"")),"P","")</f>
        <v>P</v>
      </c>
      <c r="G7" s="3" t="str">
        <f>IF(OR(AND(AM7&gt;=AS$35,AL7&lt;&gt;"",AJ7=""),AND(AO7&gt;=AS$35,AN7&lt;&gt;"",AN7=""),AND(AR7&gt;=AS$35,AQ7&lt;&gt;"",AJ7=""),AND(BQ7&gt;=BW$35,BP7&lt;&gt;"",BN7=""),AND(BS7&gt;=BW$35,BR7&lt;&gt;"",BN7=""),AND(BV7&gt;=BW$35,BU7&lt;&gt;"",BN7=""),AND(CU7&gt;=DA$35,CT7&lt;&gt;"",CR7=""),AND(CW7&gt;=DA$35,CV7&lt;&gt;"",CR7=""),AND(CZ7&gt;=DA$35,CY7&lt;&gt;"",CR7=""),AND(DU7&gt;=DY$35,DS7&lt;&gt;""),AND(DX7&gt;=DY$35,DW7&lt;&gt;""),AND(EQ7&gt;=EU$35,EO7&lt;&gt;""),AND(ET7&gt;=EU$35,ES7&lt;&gt;""),AND(FM7&gt;=FQ$35,FK7&lt;&gt;""),AND(FP7&gt;=FQ$35,FO7&lt;&gt;""),AND(GI7&gt;=GM$35,GG7&lt;&gt;""),AND(GL7&gt;=GM$35,GK7&lt;&gt;""),AND(HE7&gt;=HI$35,HC7&lt;&gt;""),AND(HH7&gt;=HI$35,HG7&lt;&gt;""),AND(IA7&gt;=IE$35,HY7&lt;&gt;""),AND(ID7&gt;=IE$35,IC7&lt;&gt;""),AND(IW7&gt;=JA$35,IU7&lt;&gt;""),AND(IZ7&gt;=JA$35,IY7&lt;&gt;""),AND(JS7&gt;=JW$35,JQ7&lt;&gt;""),AND(JV7&gt;=JW$35,JU7&lt;&gt;""),AND(KO7&gt;=KS$35,KM7&lt;&gt;""),AND(KR7&gt;=KS$35,KQ7&lt;&gt;""),AND(LK7&gt;=LO$35,LI7&lt;&gt;""),AND(LN7&gt;=LO$35,LM7&lt;&gt;""),AND(MG7&gt;=MK$35,ME7&lt;&gt;""),AND(MJ7&gt;=MK$35,MI7&lt;&gt;""),AND(NC7&gt;=NG$35,NA7&lt;&gt;""),AND(NF7&gt;=NG$35,NE7&lt;&gt;"")),"P","")</f>
        <v>P</v>
      </c>
      <c r="H7" s="67" t="str">
        <f>IF(F7="P","National Team",IF(G7="P","No DD",""))</f>
        <v>National Team</v>
      </c>
      <c r="I7" s="14">
        <f>MAX(AM7,AO7,AR7,BQ7,BS7,BV7,CU7,CW7,CZ7)</f>
        <v>49.56</v>
      </c>
      <c r="J7" s="14" t="str">
        <f>IF(I7=0,"",IF(OR(I7=CW7,I7=CU7,I7=CZ7),$BX$1,IF(OR(I7=BS7,I7=BQ7,I7=BV7),$AT$1,IF(OR(I7=AO7,I7=AM7,I7=AR7),$P$1,""))))</f>
        <v>2022 Elite Canada</v>
      </c>
      <c r="K7" s="14">
        <f>IF(COUNT(AM7,AO7,AR7,BQ7,BS7,BV7,CU7,CW7,CZ7)&gt;1,LARGE((AM7,AO7,AR7,BQ7,BS7,BV7,CU7,CW7,CZ7),2),0)</f>
        <v>49.419999999999995</v>
      </c>
      <c r="L7" s="14" t="str">
        <f>IF(K7=0,"",IF(OR(K7=CW7,K7=CU7,K7=CZ7),$BX$1,IF(OR(K7=BS7,K7=BQ7,K7=BV7),$AT$1,IF(OR(K7=AO7,K7=AM7,K7=AR7),$P$1,""))))</f>
        <v>2022 Elite Canada</v>
      </c>
      <c r="M7" s="14" t="str">
        <f>IF(MAX(DB7,DC7)&gt;0,MAX(DB7,DC7),"")</f>
        <v/>
      </c>
      <c r="N7" s="20" t="str">
        <f>IF(M7="","",IF(M7=#REF!,"(Vol 1)",IF(M7=DB7,"(Vol 2)",IF(M7=#REF!,"(Prelim)",IF(M7=DC7,"(Final)")))))</f>
        <v/>
      </c>
      <c r="O7" s="14" t="str">
        <f>IF(M7="","",IF(M7=#REF!,IF(M7+IF(#REF!="",0,#REF!)=NB7,$ML$1,IF(M7+IF(#REF!="",0,#REF!)=MF7,$LP$1,IF(M7+IF(#REF!="",0,#REF!)=LJ7,$KT$1,IF(M7+IF(#REF!="",0,#REF!)=KN7,$JX$1,IF(M7+IF(#REF!="",0,#REF!)=JR7,$JB$1,IF(M7+IF(#REF!="",0,#REF!)=IV7,$IF$1,IF(M7+IF(#REF!="",0,#REF!)=HZ7,$HJ$1,IF(M7+IF(#REF!="",0,#REF!)=HD7,$GN$1,IF(M7+IF(#REF!="",0,#REF!)=GH7,$FR$1,IF(M7+IF(#REF!="",0,#REF!)=FL7,$EV$1,IF(M7+IF(#REF!="",0,#REF!)=EP7,$DZ$1,IF(M7+IF(#REF!="",0,#REF!)=DT7,$DD$1)))))))))))),IF(M7=DB7,IF(M7+IF(I7="",0,I7)=NC7,$ML$1,IF(M7+IF(I7="",0,I7)=MG7,$LP$1,IF(M7+IF(I7="",0,I7)=LK7,$KT$1,IF(M7+IF(I7="",0,I7)=KO7,$JX$1,IF(M7+IF(I7="",0,I7)=JS7,$JB$1,IF(M7+IF(I7="",0,I7)=IW7,$IF$1,IF(M7+IF(I7="",0,I7)=IA7,$HJ$1,IF(M7+IF(I7="",0,I7)=HE7,$GN$1,IF(M7+IF(I7="",0,I7)=GI7,$FR$1,IF(M7+IF(I7="",0,I7)=FM7,$EV$1,IF(M7+IF(I7="",0,I7)=EQ7,$DZ$1,IF(M7+IF(I7="",0,I7)=DU7,$DD$1)))))))))))),IF(M7=#REF!,IF(M7+IF(#REF!="",0,#REF!)=ND7,$ML$1,IF(M7+IF(#REF!="",0,#REF!)=MH7,$LP$1,IF(M7+IF(#REF!="",0,#REF!)=LL7,$KT$1,IF(M7+IF(#REF!="",0,#REF!)=KP7,$JX$1,IF(M7+IF(#REF!="",0,#REF!)=JT7,$JB$1,IF(M7+IF(#REF!="",0,#REF!)=IX7,$IF$1,IF(M7+IF(#REF!="",0,#REF!)=IB7,$HJ$1,IF(M7+IF(#REF!="",0,#REF!)=HF7,$GN$1,IF(M7+IF(#REF!="",0,#REF!)=GJ7,$FR$1,IF(M7+IF(#REF!="",0,#REF!)=FN7,$EV$1,IF(M7+IF(#REF!="",0,#REF!)=ER7,$DZ$1,IF(M7+IF(#REF!="",0,#REF!)=DV7,$DD$1)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))</f>
        <v/>
      </c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45"/>
      <c r="AK7" s="11" t="str">
        <f>IF(SUM(P7:S7)-T7&gt;0,SUM(P7:S7)-T7,"")</f>
        <v/>
      </c>
      <c r="AL7" s="11" t="str">
        <f>IF(W7&gt;0,W7,"")</f>
        <v/>
      </c>
      <c r="AM7" s="11" t="str">
        <f>IF(SUM(U7:X7)-Y7&gt;0,SUM(U7:X7)-Y7,"")</f>
        <v/>
      </c>
      <c r="AN7" s="11" t="str">
        <f>IF(AB7&gt;0,AB7,"")</f>
        <v/>
      </c>
      <c r="AO7" s="11" t="str">
        <f>IF(SUM(Z7:AC7)-AD7&gt;0,SUM(Z7:AC7)-AD7,"")</f>
        <v/>
      </c>
      <c r="AP7" s="11" t="str">
        <f>IF(AK7="",IF(MAX(AM7,AO7)&gt;0,MAX(AM7,AO7),""),MAX(AM7,AO7)+AK7)</f>
        <v/>
      </c>
      <c r="AQ7" s="11" t="str">
        <f>IF(AG7&gt;0,AG7,"")</f>
        <v/>
      </c>
      <c r="AR7" s="11" t="str">
        <f>IF(SUM(AE7:AH7)-AI7&gt;0,SUM(AE7:AH7)-AI7,"")</f>
        <v/>
      </c>
      <c r="AS7" s="11" t="str">
        <f>IF(SUM(AP7,AR7)&gt;0,SUM(AP7,AR7),"")</f>
        <v/>
      </c>
      <c r="AT7" s="42">
        <v>15.2</v>
      </c>
      <c r="AU7" s="42">
        <v>9.1</v>
      </c>
      <c r="AV7" s="42">
        <v>2.1</v>
      </c>
      <c r="AW7" s="42">
        <v>15.27</v>
      </c>
      <c r="AX7" s="42">
        <v>0</v>
      </c>
      <c r="AY7" s="42">
        <v>5.8</v>
      </c>
      <c r="AZ7" s="42">
        <v>3.7</v>
      </c>
      <c r="BA7" s="42">
        <v>5.2</v>
      </c>
      <c r="BB7" s="42">
        <v>6.03</v>
      </c>
      <c r="BC7" s="42">
        <v>0</v>
      </c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6"/>
      <c r="BO7" s="14">
        <f>IF(SUM(AT7:AW7)-AX7&gt;0,SUM(AT7:AW7)-AX7,"")</f>
        <v>41.67</v>
      </c>
      <c r="BP7" s="14">
        <f>IF(BA7&gt;0,BA7,"")</f>
        <v>5.2</v>
      </c>
      <c r="BQ7" s="14">
        <f>IF(SUM(AY7:BB7)-BC7&gt;0,SUM(AY7:BB7)-BC7,"")</f>
        <v>20.73</v>
      </c>
      <c r="BR7" s="14" t="str">
        <f>IF(BF7&gt;0,BF7,"")</f>
        <v/>
      </c>
      <c r="BS7" s="14" t="str">
        <f>IF(SUM(BD7:BG7)-BH7&gt;0,SUM(BD7:BG7)-BH7,"")</f>
        <v/>
      </c>
      <c r="BT7" s="14">
        <f>IF(BO7="",IF(MAX(BQ7,BS7)&gt;0,MAX(BQ7,BS7),""),MAX(BQ7,BS7)+BO7)</f>
        <v>62.400000000000006</v>
      </c>
      <c r="BU7" s="14" t="str">
        <f>IF(BK7&gt;0,BK7,"")</f>
        <v/>
      </c>
      <c r="BV7" s="14" t="str">
        <f>IF(SUM(BI7:BL7)-BM7&gt;0,SUM(BI7:BL7)-BM7,"")</f>
        <v/>
      </c>
      <c r="BW7" s="14">
        <f>IF(SUM(BT7,BV7)&gt;0,SUM(BT7,BV7),"")</f>
        <v>62.400000000000006</v>
      </c>
      <c r="BX7" s="38">
        <v>15.6</v>
      </c>
      <c r="BY7" s="38">
        <v>9.4</v>
      </c>
      <c r="BZ7" s="38">
        <v>2.2999999999999998</v>
      </c>
      <c r="CA7" s="38">
        <v>15.66</v>
      </c>
      <c r="CB7" s="38">
        <v>0</v>
      </c>
      <c r="CC7" s="38">
        <v>13.5</v>
      </c>
      <c r="CD7" s="38">
        <v>9.5</v>
      </c>
      <c r="CE7" s="38">
        <v>11.8</v>
      </c>
      <c r="CF7" s="38">
        <v>14.62</v>
      </c>
      <c r="CG7" s="38">
        <v>0</v>
      </c>
      <c r="CH7" s="38"/>
      <c r="CI7" s="38"/>
      <c r="CJ7" s="38"/>
      <c r="CK7" s="38"/>
      <c r="CL7" s="38"/>
      <c r="CM7" s="38">
        <v>14.1</v>
      </c>
      <c r="CN7" s="38">
        <v>9.1</v>
      </c>
      <c r="CO7" s="38">
        <v>11.8</v>
      </c>
      <c r="CP7" s="38">
        <v>14.56</v>
      </c>
      <c r="CQ7" s="38">
        <v>0</v>
      </c>
      <c r="CR7" s="45"/>
      <c r="CS7" s="11">
        <f>IF(SUM(BX7:CA7)-CB7&gt;0,SUM(BX7:CA7)-CB7,"")</f>
        <v>42.96</v>
      </c>
      <c r="CT7" s="11">
        <f>IF(CE7&gt;0,CE7,"")</f>
        <v>11.8</v>
      </c>
      <c r="CU7" s="11">
        <f>IF(SUM(CC7:CF7)-CG7&gt;0,SUM(CC7:CF7)-CG7,"")</f>
        <v>49.419999999999995</v>
      </c>
      <c r="CV7" s="11" t="str">
        <f>IF(CJ7&gt;0,CJ7,"")</f>
        <v/>
      </c>
      <c r="CW7" s="11" t="str">
        <f>IF(SUM(CH7:CK7)-CL7&gt;0,SUM(CH7:CK7)-CL7,"")</f>
        <v/>
      </c>
      <c r="CX7" s="11">
        <f>IF(CS7="",IF(MAX(CU7,CW7)&gt;0,MAX(CU7,CW7),""),MAX(CU7,CW7)+CS7)</f>
        <v>92.38</v>
      </c>
      <c r="CY7" s="11">
        <f>IF(CO7&gt;0,CO7,"")</f>
        <v>11.8</v>
      </c>
      <c r="CZ7" s="11">
        <f>IF(SUM(CM7:CP7)-CQ7&gt;0,SUM(CM7:CP7)-CQ7,"")</f>
        <v>49.56</v>
      </c>
      <c r="DA7" s="11">
        <f>IF(SUM(CX7,CZ7)&gt;0,SUM(CX7,CZ7),"")</f>
        <v>141.94</v>
      </c>
      <c r="DB7" s="19" t="str">
        <f>IF(I7&gt;=0.001,IF(MAX(DU7,EQ7,FM7,GI7,HE7,IA7,IW7,JS7,KO7,LK7,MG7,NC7)-IF(I7="",0,I7)&gt;0.001,MAX(DU7,EQ7,FM7,GI7,HE7,IA7,IW7,JS7,KO7,LK7,MG7,NC7)-IF(I7="",0,I7),""),"")</f>
        <v/>
      </c>
      <c r="DC7" s="19" t="str">
        <f>IF(K7&gt;=0.001,IF(MAX(DX7,ET7,FP7,GL7,HH7,ID7,IZ7,JV7,KR7,LN7,MJ7,NF7)-IF(K7="",0,K7)&gt;0.001,MAX(DX7,ET7,FP7,GL7,HH7,ID7,IZ7,JV7,KR7,LN7,MJ7,NF7)-IF(K7="",0,K7),""),"")</f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11" t="str">
        <f>IF(FC7&gt;0,FC7,"")</f>
        <v/>
      </c>
      <c r="FL7" s="11" t="str">
        <f>IF(SUM(EV7:EY7)-EZ7&gt;0,SUM(EV7:EY7)-EZ7,"")</f>
        <v/>
      </c>
      <c r="FM7" s="11" t="str">
        <f>IF(SUM(FA7:FD7)-FE7&gt;0,SUM(FA7:FD7)-FE7,"")</f>
        <v/>
      </c>
      <c r="FN7" s="11" t="str">
        <f>IF(SUM(FL7:FM7)&gt;0,SUM(FL7:FM7),"")</f>
        <v/>
      </c>
      <c r="FO7" s="11" t="str">
        <f>IF(FH7&gt;0,FH7,"")</f>
        <v/>
      </c>
      <c r="FP7" s="11" t="str">
        <f>IF(SUM(FF7:FI7)-FJ7&gt;0,SUM(FF7:FI7)-FJ7,"")</f>
        <v/>
      </c>
      <c r="FQ7" s="11" t="str">
        <f>IF(SUM(FN7,FP7)&gt;0,SUM(FN7,FP7),"")</f>
        <v/>
      </c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5"/>
      <c r="LQ7" s="25"/>
      <c r="LR7" s="25"/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8">
        <f>IF($CR7="P",BX7,(BX7+AT7)/2)</f>
        <v>15.399999999999999</v>
      </c>
      <c r="NI7" s="38">
        <f>IF($CR7="P",BY7,(BY7+AU7)/2)</f>
        <v>9.25</v>
      </c>
      <c r="NJ7" s="38">
        <f>IF($CR7="P",BZ7,(BZ7+AV7)/2)</f>
        <v>2.2000000000000002</v>
      </c>
      <c r="NK7" s="38">
        <f>IF($CR7="P",CA7,(CA7+AW7)/2)</f>
        <v>15.465</v>
      </c>
      <c r="NL7" s="38">
        <f>IF($CR7="P",CB7,(CB7+AX7)/2)</f>
        <v>0</v>
      </c>
      <c r="NM7" s="38">
        <f>IF($CR7="P",CC7,(CC7+AY7)/2)</f>
        <v>9.65</v>
      </c>
      <c r="NN7" s="38">
        <f>IF($CR7="P",CD7,(CD7+AZ7)/2)</f>
        <v>6.6</v>
      </c>
      <c r="NO7" s="38">
        <f>IF($CR7="P",CE7,(CE7+BA7)/2)</f>
        <v>8.5</v>
      </c>
      <c r="NP7" s="38">
        <f>IF($CR7="P",CF7,(CF7+BB7)/2)</f>
        <v>10.324999999999999</v>
      </c>
      <c r="NQ7" s="38">
        <f>IF($CR7="P",CG7,(CG7+BC7)/2)</f>
        <v>0</v>
      </c>
      <c r="NR7" s="38">
        <f>IF($CR7="P",CH7,(CH7+BD7)/2)</f>
        <v>0</v>
      </c>
      <c r="NS7" s="38">
        <f>IF($CR7="P",CI7,(CI7+BE7)/2)</f>
        <v>0</v>
      </c>
      <c r="NT7" s="38">
        <f>IF($CR7="P",CJ7,(CJ7+BF7)/2)</f>
        <v>0</v>
      </c>
      <c r="NU7" s="38">
        <f>IF($CR7="P",CK7,(CK7+BG7)/2)</f>
        <v>0</v>
      </c>
      <c r="NV7" s="38">
        <f>IF($CR7="P",CL7,(CL7+BH7)/2)</f>
        <v>0</v>
      </c>
      <c r="NW7" s="38">
        <f>IF($CR7="P",CM7,(CM7+BI7)/2)</f>
        <v>7.05</v>
      </c>
      <c r="NX7" s="38">
        <f>IF($CR7="P",CN7,(CN7+BJ7)/2)</f>
        <v>4.55</v>
      </c>
      <c r="NY7" s="38">
        <f>IF($CR7="P",CO7,(CO7+BK7)/2)</f>
        <v>5.9</v>
      </c>
      <c r="NZ7" s="38">
        <f>IF($CR7="P",CP7,(CP7+BL7)/2)</f>
        <v>7.28</v>
      </c>
      <c r="OA7" s="38">
        <f>IF($CR7="P",CQ7,(CQ7+BM7)/2)</f>
        <v>0</v>
      </c>
      <c r="OB7" s="45" t="s">
        <v>46</v>
      </c>
      <c r="OC7" s="11">
        <f>IF(SUM(NH7:NK7)-NL7&gt;0,SUM(NH7:NK7)-NL7,"")</f>
        <v>42.314999999999998</v>
      </c>
      <c r="OD7" s="11">
        <f>IF(NO7&gt;0,NO7,"")</f>
        <v>8.5</v>
      </c>
      <c r="OE7" s="11">
        <f>IF(SUM(NM7:NP7)-NQ7&gt;0,SUM(NM7:NP7)-NQ7,"")</f>
        <v>35.075000000000003</v>
      </c>
      <c r="OF7" s="11" t="str">
        <f>IF(NT7&gt;0,NT7,"")</f>
        <v/>
      </c>
      <c r="OG7" s="11" t="str">
        <f>IF(SUM(NR7:NU7)-NV7&gt;0,SUM(NR7:NU7)-NV7,"")</f>
        <v/>
      </c>
      <c r="OH7" s="11">
        <f>IF(OR(OC7&lt;&gt;"",OE7&lt;&gt;"",OG7&lt;&gt;""),OC7+MAX(OE7,OG7),"")</f>
        <v>77.39</v>
      </c>
      <c r="OI7" s="11">
        <f>IF(NY7&gt;0,NY7,"")</f>
        <v>5.9</v>
      </c>
      <c r="OJ7" s="11">
        <f t="shared" si="0"/>
        <v>24.78</v>
      </c>
      <c r="OK7" s="11">
        <f t="shared" si="1"/>
        <v>102.17</v>
      </c>
    </row>
    <row r="8" spans="1:401" x14ac:dyDescent="0.2">
      <c r="A8" s="5" cm="1">
        <f t="array" ref="A8">IF(AND(F8="P",G8="P"),SUMPRODUCT((F$4:F$29="P")*(G$4:G$29="P")*(E$4:E$29&gt;E8))+1,IF(G8="P",SUMPRODUCT((F$4:F$29="")*(G$4:G$29="P")*(E$4:E$29&gt;E8))+1+SUMPRODUCT((F$4:F$29="P")*(G$4:G$29="P")),""))</f>
        <v>5</v>
      </c>
      <c r="B8" s="8" t="s">
        <v>84</v>
      </c>
      <c r="C8" s="4" t="s">
        <v>5</v>
      </c>
      <c r="D8" s="22">
        <v>2003</v>
      </c>
      <c r="E8" s="15">
        <f>SUM(I8:M8)</f>
        <v>98.72999999999999</v>
      </c>
      <c r="F8" s="3" t="str">
        <f>IF(OR(AND(AL8&gt;=AS$31,AM8&gt;=AS$35,AL8&lt;&gt;"",AJ8=""),AND(AN8&gt;=AS$31,AO8&gt;=AS$35,AN8&lt;&gt;"",AN8=""),AND(AQ8&gt;=AS$31,AR8&gt;=AS$35,AQ8&lt;&gt;"",AJ8=""),AND(BP8&gt;=BW$31,BQ8&gt;=BW$35,BP8&lt;&gt;"",BN8=""),AND(BR8&gt;=BW$31,BS8&gt;=BW$35,BR8&lt;&gt;"",BN8=""),AND(BU8&gt;=BW$31,BV8&gt;=BW$35,BU8&lt;&gt;"",BN8=""),AND(CT8&gt;=DA$31,CU8&gt;=DA$35,CT8&lt;&gt;"",CR8=""),AND(CV8&gt;=DA$31,CW8&gt;=DA$35,CV8&lt;&gt;"",CR8=""),AND(CY8&gt;=DA$31,CZ8&gt;=DA$35,CY8&lt;&gt;"",CR8=""),AND(DS8&gt;=DY$31,DU8&gt;=DY$35,DS8&lt;&gt;""),AND(DW8&gt;=DY$31,DX8&gt;=DY$35,DW8&lt;&gt;""),AND(EO8&gt;=EU$31,EQ8&gt;=EU$35,EO8&lt;&gt;""),AND(ES8&gt;=EU$31,ET8&gt;=EU$35,ES8&lt;&gt;""),AND(FK8&gt;=FQ$31,FM8&gt;=FQ$35,FK8&lt;&gt;""),AND(FO8&gt;=FQ$31,FP8&gt;=FQ$35,FO8&lt;&gt;""),AND(GG8&gt;=GM$31,GI8&gt;=GM$35,GG8&lt;&gt;""),AND(GK8&gt;=GM$31,GL8&gt;=GM$35,GK8&lt;&gt;""),AND(HC8&gt;=HI$31,HE8&gt;=HI$35,HC8&lt;&gt;""),AND(HG8&gt;=HI$31,HH8&gt;=HI$35,HG8&lt;&gt;""),AND(HY8&gt;=IE$31,IA8&gt;=IE$35,HY8&lt;&gt;""),AND(IC8&gt;=IE$31,ID8&gt;=IE$35,IC8&lt;&gt;""),AND(IU8&gt;=JA$31,IW8&gt;=JA$35,IU8&lt;&gt;""),AND(IY8&gt;=JA$31,IZ8&gt;=JA$35,IY8&lt;&gt;""),AND(JQ8&gt;=JW$31,JS8&gt;=JW$35,JQ8&lt;&gt;""),AND(JU8&gt;=JW$31,JV8&gt;=JW$35,JU8&lt;&gt;""),AND(KM8&gt;=KS$31,KO8&gt;=KS$35,KM8&lt;&gt;""),AND(KQ8&gt;=KS$31,KR8&gt;=KS$35,KQ8&lt;&gt;""),AND(LI8&gt;=LO$31,LK8&gt;=LO$35,LI8&lt;&gt;""),AND(LM8&gt;=LO$31,LN8&gt;=LO$35,LM8&lt;&gt;""),AND(ME8&gt;=MK$31,MG8&gt;=MK$35,ME8&lt;&gt;""),AND(MI8&gt;=MK$31,MJ8&gt;=MK$35,MI8&lt;&gt;""),AND(NA8&gt;=NG$31,NC8&gt;=NG$35,NA8&lt;&gt;""),AND(NE8&gt;=NG$31,NF8&gt;=NG$35,NE8&lt;&gt;"")),"P","")</f>
        <v/>
      </c>
      <c r="G8" s="3" t="str">
        <f>IF(OR(AND(AM8&gt;=AS$35,AL8&lt;&gt;"",AJ8=""),AND(AO8&gt;=AS$35,AN8&lt;&gt;"",AN8=""),AND(AR8&gt;=AS$35,AQ8&lt;&gt;"",AJ8=""),AND(BQ8&gt;=BW$35,BP8&lt;&gt;"",BN8=""),AND(BS8&gt;=BW$35,BR8&lt;&gt;"",BN8=""),AND(BV8&gt;=BW$35,BU8&lt;&gt;"",BN8=""),AND(CU8&gt;=DA$35,CT8&lt;&gt;"",CR8=""),AND(CW8&gt;=DA$35,CV8&lt;&gt;"",CR8=""),AND(CZ8&gt;=DA$35,CY8&lt;&gt;"",CR8=""),AND(DU8&gt;=DY$35,DS8&lt;&gt;""),AND(DX8&gt;=DY$35,DW8&lt;&gt;""),AND(EQ8&gt;=EU$35,EO8&lt;&gt;""),AND(ET8&gt;=EU$35,ES8&lt;&gt;""),AND(FM8&gt;=FQ$35,FK8&lt;&gt;""),AND(FP8&gt;=FQ$35,FO8&lt;&gt;""),AND(GI8&gt;=GM$35,GG8&lt;&gt;""),AND(GL8&gt;=GM$35,GK8&lt;&gt;""),AND(HE8&gt;=HI$35,HC8&lt;&gt;""),AND(HH8&gt;=HI$35,HG8&lt;&gt;""),AND(IA8&gt;=IE$35,HY8&lt;&gt;""),AND(ID8&gt;=IE$35,IC8&lt;&gt;""),AND(IW8&gt;=JA$35,IU8&lt;&gt;""),AND(IZ8&gt;=JA$35,IY8&lt;&gt;""),AND(JS8&gt;=JW$35,JQ8&lt;&gt;""),AND(JV8&gt;=JW$35,JU8&lt;&gt;""),AND(KO8&gt;=KS$35,KM8&lt;&gt;""),AND(KR8&gt;=KS$35,KQ8&lt;&gt;""),AND(LK8&gt;=LO$35,LI8&lt;&gt;""),AND(LN8&gt;=LO$35,LM8&lt;&gt;""),AND(MG8&gt;=MK$35,ME8&lt;&gt;""),AND(MJ8&gt;=MK$35,MI8&lt;&gt;""),AND(NC8&gt;=NG$35,NA8&lt;&gt;""),AND(NF8&gt;=NG$35,NE8&lt;&gt;"")),"P","")</f>
        <v>P</v>
      </c>
      <c r="H8" s="67" t="str">
        <f>IF(F8="P","National Team",IF(G8="P","No DD",""))</f>
        <v>No DD</v>
      </c>
      <c r="I8" s="14">
        <f>MAX(AM8,AO8,AR8,BQ8,BS8,BV8,CU8,CW8,CZ8)</f>
        <v>49.964999999999996</v>
      </c>
      <c r="J8" s="14" t="str">
        <f>IF(I8=0,"",IF(OR(I8=CW8,I8=CU8,I8=CZ8),$BX$1,IF(OR(I8=BS8,I8=BQ8,I8=BV8),$AT$1,IF(OR(I8=AO8,I8=AM8,I8=AR8),$P$1,""))))</f>
        <v>2021 Elite Canada</v>
      </c>
      <c r="K8" s="14">
        <f>IF(COUNT(AM8,AO8,AR8,BQ8,BS8,BV8,CU8,CW8,CZ8)&gt;1,LARGE((AM8,AO8,AR8,BQ8,BS8,BV8,CU8,CW8,CZ8),2),0)</f>
        <v>48.765000000000001</v>
      </c>
      <c r="L8" s="14" t="str">
        <f>IF(K8=0,"",IF(OR(K8=CW8,K8=CU8,K8=CZ8),$BX$1,IF(OR(K8=BS8,K8=BQ8,K8=BV8),$AT$1,IF(OR(K8=AO8,K8=AM8,K8=AR8),$P$1,""))))</f>
        <v>2021 Elite Canada</v>
      </c>
      <c r="M8" s="14" t="str">
        <f>IF(MAX(DB8,DC8)&gt;0,MAX(DB8,DC8),"")</f>
        <v/>
      </c>
      <c r="N8" s="20" t="str">
        <f>IF(M8="","",IF(M8=#REF!,"(Vol 1)",IF(M8=DB8,"(Vol 2)",IF(M8=#REF!,"(Prelim)",IF(M8=DC8,"(Final)")))))</f>
        <v/>
      </c>
      <c r="O8" s="14" t="str">
        <f>IF(M8="","",IF(M8=#REF!,IF(M8+IF(#REF!="",0,#REF!)=NB8,$ML$1,IF(M8+IF(#REF!="",0,#REF!)=MF8,$LP$1,IF(M8+IF(#REF!="",0,#REF!)=LJ8,$KT$1,IF(M8+IF(#REF!="",0,#REF!)=KN8,$JX$1,IF(M8+IF(#REF!="",0,#REF!)=JR8,$JB$1,IF(M8+IF(#REF!="",0,#REF!)=IV8,$IF$1,IF(M8+IF(#REF!="",0,#REF!)=HZ8,$HJ$1,IF(M8+IF(#REF!="",0,#REF!)=HD8,$GN$1,IF(M8+IF(#REF!="",0,#REF!)=GH8,$FR$1,IF(M8+IF(#REF!="",0,#REF!)=FL8,$EV$1,IF(M8+IF(#REF!="",0,#REF!)=EP8,$DZ$1,IF(M8+IF(#REF!="",0,#REF!)=DT8,$DD$1)))))))))))),IF(M8=DB8,IF(M8+IF(I8="",0,I8)=NC8,$ML$1,IF(M8+IF(I8="",0,I8)=MG8,$LP$1,IF(M8+IF(I8="",0,I8)=LK8,$KT$1,IF(M8+IF(I8="",0,I8)=KO8,$JX$1,IF(M8+IF(I8="",0,I8)=JS8,$JB$1,IF(M8+IF(I8="",0,I8)=IW8,$IF$1,IF(M8+IF(I8="",0,I8)=IA8,$HJ$1,IF(M8+IF(I8="",0,I8)=HE8,$GN$1,IF(M8+IF(I8="",0,I8)=GI8,$FR$1,IF(M8+IF(I8="",0,I8)=FM8,$EV$1,IF(M8+IF(I8="",0,I8)=EQ8,$DZ$1,IF(M8+IF(I8="",0,I8)=DU8,$DD$1)))))))))))),IF(M8=#REF!,IF(M8+IF(#REF!="",0,#REF!)=ND8,$ML$1,IF(M8+IF(#REF!="",0,#REF!)=MH8,$LP$1,IF(M8+IF(#REF!="",0,#REF!)=LL8,$KT$1,IF(M8+IF(#REF!="",0,#REF!)=KP8,$JX$1,IF(M8+IF(#REF!="",0,#REF!)=JT8,$JB$1,IF(M8+IF(#REF!="",0,#REF!)=IX8,$IF$1,IF(M8+IF(#REF!="",0,#REF!)=IB8,$HJ$1,IF(M8+IF(#REF!="",0,#REF!)=HF8,$GN$1,IF(M8+IF(#REF!="",0,#REF!)=GJ8,$FR$1,IF(M8+IF(#REF!="",0,#REF!)=FN8,$EV$1,IF(M8+IF(#REF!="",0,#REF!)=ER8,$DZ$1,IF(M8+IF(#REF!="",0,#REF!)=DV8,$DD$1)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))</f>
        <v/>
      </c>
      <c r="P8" s="38">
        <v>16.3</v>
      </c>
      <c r="Q8" s="38">
        <v>8.9</v>
      </c>
      <c r="R8" s="38">
        <v>2.1</v>
      </c>
      <c r="S8" s="38">
        <v>14.494999999999999</v>
      </c>
      <c r="T8" s="38">
        <v>0</v>
      </c>
      <c r="U8" s="38">
        <v>15.4</v>
      </c>
      <c r="V8" s="38">
        <v>8.9</v>
      </c>
      <c r="W8" s="38">
        <v>10.6</v>
      </c>
      <c r="X8" s="38">
        <v>13.865</v>
      </c>
      <c r="Y8" s="38">
        <v>0</v>
      </c>
      <c r="Z8" s="38"/>
      <c r="AA8" s="38"/>
      <c r="AB8" s="38"/>
      <c r="AC8" s="38"/>
      <c r="AD8" s="38"/>
      <c r="AE8" s="38">
        <v>15.8</v>
      </c>
      <c r="AF8" s="38">
        <v>9.5</v>
      </c>
      <c r="AG8" s="38">
        <v>10.6</v>
      </c>
      <c r="AH8" s="38">
        <v>14.065</v>
      </c>
      <c r="AI8" s="38">
        <v>0</v>
      </c>
      <c r="AJ8" s="45"/>
      <c r="AK8" s="11">
        <f>IF(SUM(P8:S8)-T8&gt;0,SUM(P8:S8)-T8,"")</f>
        <v>41.795000000000002</v>
      </c>
      <c r="AL8" s="11">
        <f>IF(W8&gt;0,W8,"")</f>
        <v>10.6</v>
      </c>
      <c r="AM8" s="11">
        <f>IF(SUM(U8:X8)-Y8&gt;0,SUM(U8:X8)-Y8,"")</f>
        <v>48.765000000000001</v>
      </c>
      <c r="AN8" s="11" t="str">
        <f>IF(AB8&gt;0,AB8,"")</f>
        <v/>
      </c>
      <c r="AO8" s="11" t="str">
        <f>IF(SUM(Z8:AC8)-AD8&gt;0,SUM(Z8:AC8)-AD8,"")</f>
        <v/>
      </c>
      <c r="AP8" s="11">
        <f>IF(AK8="",IF(MAX(AM8,AO8)&gt;0,MAX(AM8,AO8),""),MAX(AM8,AO8)+AK8)</f>
        <v>90.56</v>
      </c>
      <c r="AQ8" s="11">
        <f>IF(AG8&gt;0,AG8,"")</f>
        <v>10.6</v>
      </c>
      <c r="AR8" s="11">
        <f>IF(SUM(AE8:AH8)-AI8&gt;0,SUM(AE8:AH8)-AI8,"")</f>
        <v>49.964999999999996</v>
      </c>
      <c r="AS8" s="11">
        <f>IF(SUM(AP8,AR8)&gt;0,SUM(AP8,AR8),"")</f>
        <v>140.52500000000001</v>
      </c>
      <c r="AT8" s="42">
        <v>16.8</v>
      </c>
      <c r="AU8" s="42">
        <v>8.9</v>
      </c>
      <c r="AV8" s="42">
        <v>2.1</v>
      </c>
      <c r="AW8" s="42">
        <v>14.49</v>
      </c>
      <c r="AX8" s="42">
        <v>0</v>
      </c>
      <c r="AY8" s="42">
        <v>2.9</v>
      </c>
      <c r="AZ8" s="42">
        <v>1.7</v>
      </c>
      <c r="BA8" s="42">
        <v>2.5</v>
      </c>
      <c r="BB8" s="42">
        <v>2.83</v>
      </c>
      <c r="BC8" s="42">
        <v>0</v>
      </c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6"/>
      <c r="BO8" s="14">
        <f>IF(SUM(AT8:AW8)-AX8&gt;0,SUM(AT8:AW8)-AX8,"")</f>
        <v>42.290000000000006</v>
      </c>
      <c r="BP8" s="14">
        <f>IF(BA8&gt;0,BA8,"")</f>
        <v>2.5</v>
      </c>
      <c r="BQ8" s="14">
        <f>IF(SUM(AY8:BB8)-BC8&gt;0,SUM(AY8:BB8)-BC8,"")</f>
        <v>9.93</v>
      </c>
      <c r="BR8" s="14" t="str">
        <f>IF(BF8&gt;0,BF8,"")</f>
        <v/>
      </c>
      <c r="BS8" s="14" t="str">
        <f>IF(SUM(BD8:BG8)-BH8&gt;0,SUM(BD8:BG8)-BH8,"")</f>
        <v/>
      </c>
      <c r="BT8" s="14">
        <f>IF(BO8="",IF(MAX(BQ8,BS8)&gt;0,MAX(BQ8,BS8),""),MAX(BQ8,BS8)+BO8)</f>
        <v>52.220000000000006</v>
      </c>
      <c r="BU8" s="14" t="str">
        <f>IF(BK8&gt;0,BK8,"")</f>
        <v/>
      </c>
      <c r="BV8" s="14" t="str">
        <f>IF(SUM(BI8:BL8)-BM8&gt;0,SUM(BI8:BL8)-BM8,"")</f>
        <v/>
      </c>
      <c r="BW8" s="14">
        <f>IF(SUM(BT8,BV8)&gt;0,SUM(BT8,BV8),"")</f>
        <v>52.220000000000006</v>
      </c>
      <c r="BX8" s="38">
        <v>16.34</v>
      </c>
      <c r="BY8" s="38">
        <v>9.5</v>
      </c>
      <c r="BZ8" s="38">
        <v>2.1</v>
      </c>
      <c r="CA8" s="38">
        <v>14.64</v>
      </c>
      <c r="CB8" s="38">
        <v>0</v>
      </c>
      <c r="CC8" s="38">
        <v>15.3</v>
      </c>
      <c r="CD8" s="38">
        <v>9.5</v>
      </c>
      <c r="CE8" s="38">
        <v>8.6</v>
      </c>
      <c r="CF8" s="38">
        <v>14.28</v>
      </c>
      <c r="CG8" s="38">
        <v>0.2</v>
      </c>
      <c r="CH8" s="38"/>
      <c r="CI8" s="38"/>
      <c r="CJ8" s="38"/>
      <c r="CK8" s="38"/>
      <c r="CL8" s="38"/>
      <c r="CM8" s="38">
        <v>14.8</v>
      </c>
      <c r="CN8" s="38">
        <v>9.1</v>
      </c>
      <c r="CO8" s="38">
        <v>10.5</v>
      </c>
      <c r="CP8" s="38">
        <v>13.89</v>
      </c>
      <c r="CQ8" s="38">
        <v>0</v>
      </c>
      <c r="CR8" s="45"/>
      <c r="CS8" s="11">
        <f>IF(SUM(BX8:CA8)-CB8&gt;0,SUM(BX8:CA8)-CB8,"")</f>
        <v>42.58</v>
      </c>
      <c r="CT8" s="11">
        <f>IF(CE8&gt;0,CE8,"")</f>
        <v>8.6</v>
      </c>
      <c r="CU8" s="11">
        <f>IF(SUM(CC8:CF8)-CG8&gt;0,SUM(CC8:CF8)-CG8,"")</f>
        <v>47.48</v>
      </c>
      <c r="CV8" s="11" t="str">
        <f>IF(CJ8&gt;0,CJ8,"")</f>
        <v/>
      </c>
      <c r="CW8" s="11" t="str">
        <f>IF(SUM(CH8:CK8)-CL8&gt;0,SUM(CH8:CK8)-CL8,"")</f>
        <v/>
      </c>
      <c r="CX8" s="11">
        <f>IF(CS8="",IF(MAX(CU8,CW8)&gt;0,MAX(CU8,CW8),""),MAX(CU8,CW8)+CS8)</f>
        <v>90.06</v>
      </c>
      <c r="CY8" s="11">
        <f>IF(CO8&gt;0,CO8,"")</f>
        <v>10.5</v>
      </c>
      <c r="CZ8" s="11">
        <f>IF(SUM(CM8:CP8)-CQ8&gt;0,SUM(CM8:CP8)-CQ8,"")</f>
        <v>48.29</v>
      </c>
      <c r="DA8" s="11">
        <f>IF(SUM(CX8,CZ8)&gt;0,SUM(CX8,CZ8),"")</f>
        <v>138.35</v>
      </c>
      <c r="DB8" s="19" t="str">
        <f>IF(I8&gt;=0.001,IF(MAX(DU8,EQ8,FM8,GI8,HE8,IA8,IW8,JS8,KO8,LK8,MG8,NC8)-IF(I8="",0,I8)&gt;0.001,MAX(DU8,EQ8,FM8,GI8,HE8,IA8,IW8,JS8,KO8,LK8,MG8,NC8)-IF(I8="",0,I8),""),"")</f>
        <v/>
      </c>
      <c r="DC8" s="19" t="str">
        <f>IF(K8&gt;=0.001,IF(MAX(DX8,ET8,FP8,GL8,HH8,ID8,IZ8,JV8,KR8,LN8,MJ8,NF8)-IF(K8="",0,K8)&gt;0.001,MAX(DX8,ET8,FP8,GL8,HH8,ID8,IZ8,JV8,KR8,LN8,MJ8,NF8)-IF(K8="",0,K8),""),"")</f>
        <v/>
      </c>
      <c r="DD8" s="25">
        <v>1.4</v>
      </c>
      <c r="DE8" s="25">
        <v>1</v>
      </c>
      <c r="DF8" s="25">
        <v>1.3</v>
      </c>
      <c r="DG8" s="25">
        <v>1.47</v>
      </c>
      <c r="DH8" s="25">
        <v>0</v>
      </c>
      <c r="DI8" s="25">
        <v>13.3</v>
      </c>
      <c r="DJ8" s="25">
        <v>8.9</v>
      </c>
      <c r="DK8" s="25">
        <v>10.6</v>
      </c>
      <c r="DL8" s="25">
        <v>13.425000000000001</v>
      </c>
      <c r="DM8" s="25">
        <v>0</v>
      </c>
      <c r="DN8" s="25"/>
      <c r="DO8" s="25"/>
      <c r="DP8" s="25"/>
      <c r="DQ8" s="25"/>
      <c r="DR8" s="25"/>
      <c r="DS8" s="11">
        <f>IF(DK8&gt;0,DK8,"")</f>
        <v>10.6</v>
      </c>
      <c r="DT8" s="11">
        <f>IF(SUM(DD8:DG8)-DH8&gt;0,SUM(DD8:DG8)-DH8,"")</f>
        <v>5.17</v>
      </c>
      <c r="DU8" s="11">
        <f>IF(SUM(DI8:DL8)-DM8&gt;0,SUM(DI8:DL8)-DM8,"")</f>
        <v>46.225000000000009</v>
      </c>
      <c r="DV8" s="11">
        <f>IF(SUM(DT8:DU8)&gt;0,SUM(DT8:DU8),"")</f>
        <v>51.39500000000001</v>
      </c>
      <c r="DW8" s="11" t="str">
        <f>IF(DP8&gt;0,DP8,"")</f>
        <v/>
      </c>
      <c r="DX8" s="11" t="str">
        <f>IF(SUM(DN8:DQ8)-DR8&gt;0,SUM(DN8:DQ8)-DR8,"")</f>
        <v/>
      </c>
      <c r="DY8" s="11">
        <f>IF(SUM(DV8,DX8)&gt;0,SUM(DV8,DX8),"")</f>
        <v>51.39500000000001</v>
      </c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26"/>
      <c r="JN8" s="26"/>
      <c r="JO8" s="26"/>
      <c r="JP8" s="26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6"/>
      <c r="KU8" s="26"/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8">
        <f>IF($CR8="P",BX8,(BX8+AT8)/2)</f>
        <v>16.57</v>
      </c>
      <c r="NI8" s="38">
        <f>IF($CR8="P",BY8,(BY8+AU8)/2)</f>
        <v>9.1999999999999993</v>
      </c>
      <c r="NJ8" s="38">
        <f>IF($CR8="P",BZ8,(BZ8+AV8)/2)</f>
        <v>2.1</v>
      </c>
      <c r="NK8" s="38">
        <f>IF($CR8="P",CA8,(CA8+AW8)/2)</f>
        <v>14.565000000000001</v>
      </c>
      <c r="NL8" s="38">
        <f>IF($CR8="P",CB8,(CB8+AX8)/2)</f>
        <v>0</v>
      </c>
      <c r="NM8" s="38">
        <f>IF($CR8="P",CC8,(CC8+AY8)/2)</f>
        <v>9.1</v>
      </c>
      <c r="NN8" s="38">
        <f>IF($CR8="P",CD8,(CD8+AZ8)/2)</f>
        <v>5.6</v>
      </c>
      <c r="NO8" s="38">
        <f>IF($CR8="P",CE8,(CE8+BA8)/2)</f>
        <v>5.55</v>
      </c>
      <c r="NP8" s="38">
        <f>IF($CR8="P",CF8,(CF8+BB8)/2)</f>
        <v>8.5549999999999997</v>
      </c>
      <c r="NQ8" s="38">
        <f>IF($CR8="P",CG8,(CG8+BC8)/2)</f>
        <v>0.1</v>
      </c>
      <c r="NR8" s="38">
        <f>IF($CR8="P",CH8,(CH8+BD8)/2)</f>
        <v>0</v>
      </c>
      <c r="NS8" s="38">
        <f>IF($CR8="P",CI8,(CI8+BE8)/2)</f>
        <v>0</v>
      </c>
      <c r="NT8" s="38">
        <f>IF($CR8="P",CJ8,(CJ8+BF8)/2)</f>
        <v>0</v>
      </c>
      <c r="NU8" s="38">
        <f>IF($CR8="P",CK8,(CK8+BG8)/2)</f>
        <v>0</v>
      </c>
      <c r="NV8" s="38">
        <f>IF($CR8="P",CL8,(CL8+BH8)/2)</f>
        <v>0</v>
      </c>
      <c r="NW8" s="38">
        <f>IF($CR8="P",CM8,(CM8+BI8)/2)</f>
        <v>7.4</v>
      </c>
      <c r="NX8" s="38">
        <f>IF($CR8="P",CN8,(CN8+BJ8)/2)</f>
        <v>4.55</v>
      </c>
      <c r="NY8" s="38">
        <f>IF($CR8="P",CO8,(CO8+BK8)/2)</f>
        <v>5.25</v>
      </c>
      <c r="NZ8" s="38">
        <f>IF($CR8="P",CP8,(CP8+BL8)/2)</f>
        <v>6.9450000000000003</v>
      </c>
      <c r="OA8" s="38">
        <f>IF($CR8="P",CQ8,(CQ8+BM8)/2)</f>
        <v>0</v>
      </c>
      <c r="OB8" s="45" t="s">
        <v>46</v>
      </c>
      <c r="OC8" s="11">
        <f>IF(SUM(NH8:NK8)-NL8&gt;0,SUM(NH8:NK8)-NL8,"")</f>
        <v>42.435000000000002</v>
      </c>
      <c r="OD8" s="11">
        <f>IF(NO8&gt;0,NO8,"")</f>
        <v>5.55</v>
      </c>
      <c r="OE8" s="11">
        <f>IF(SUM(NM8:NP8)-NQ8&gt;0,SUM(NM8:NP8)-NQ8,"")</f>
        <v>28.704999999999998</v>
      </c>
      <c r="OF8" s="11" t="str">
        <f>IF(NT8&gt;0,NT8,"")</f>
        <v/>
      </c>
      <c r="OG8" s="11" t="str">
        <f>IF(SUM(NR8:NU8)-NV8&gt;0,SUM(NR8:NU8)-NV8,"")</f>
        <v/>
      </c>
      <c r="OH8" s="11">
        <f>IF(OR(OC8&lt;&gt;"",OE8&lt;&gt;"",OG8&lt;&gt;""),OC8+MAX(OE8,OG8),"")</f>
        <v>71.14</v>
      </c>
      <c r="OI8" s="11">
        <f>IF(NY8&gt;0,NY8,"")</f>
        <v>5.25</v>
      </c>
      <c r="OJ8" s="11">
        <f t="shared" ref="OJ8" si="2">IF(SUM(NW8:NZ8)-OA8&gt;0,SUM(NW8:NZ8)-OA8,"")</f>
        <v>24.145</v>
      </c>
      <c r="OK8" s="11">
        <f t="shared" ref="OK8" si="3">IF(SUM(OH8,OJ8)&gt;0,SUM(OH8,OJ8),"")</f>
        <v>95.284999999999997</v>
      </c>
    </row>
    <row r="9" spans="1:401" x14ac:dyDescent="0.2">
      <c r="A9" s="5" cm="1">
        <f t="array" ref="A9">IF(AND(F9="P",G9="P"),SUMPRODUCT((F$4:F$29="P")*(G$4:G$29="P")*(E$4:E$29&gt;E9))+1,IF(G9="P",SUMPRODUCT((F$4:F$29="")*(G$4:G$29="P")*(E$4:E$29&gt;E9))+1+SUMPRODUCT((F$4:F$29="P")*(G$4:G$29="P")),""))</f>
        <v>6</v>
      </c>
      <c r="B9" s="8" t="s">
        <v>103</v>
      </c>
      <c r="C9" s="4" t="s">
        <v>6</v>
      </c>
      <c r="D9" s="22">
        <v>2004</v>
      </c>
      <c r="E9" s="15">
        <f>SUM(I9:M9)</f>
        <v>96.6</v>
      </c>
      <c r="F9" s="3" t="str">
        <f>IF(OR(AND(AL9&gt;=AS$31,AM9&gt;=AS$35,AL9&lt;&gt;"",AJ9=""),AND(AN9&gt;=AS$31,AO9&gt;=AS$35,AN9&lt;&gt;"",AN9=""),AND(AQ9&gt;=AS$31,AR9&gt;=AS$35,AQ9&lt;&gt;"",AJ9=""),AND(BP9&gt;=BW$31,BQ9&gt;=BW$35,BP9&lt;&gt;"",BN9=""),AND(BR9&gt;=BW$31,BS9&gt;=BW$35,BR9&lt;&gt;"",BN9=""),AND(BU9&gt;=BW$31,BV9&gt;=BW$35,BU9&lt;&gt;"",BN9=""),AND(CT9&gt;=DA$31,CU9&gt;=DA$35,CT9&lt;&gt;"",CR9=""),AND(CV9&gt;=DA$31,CW9&gt;=DA$35,CV9&lt;&gt;"",CR9=""),AND(CY9&gt;=DA$31,CZ9&gt;=DA$35,CY9&lt;&gt;"",CR9=""),AND(DS9&gt;=DY$31,DU9&gt;=DY$35,DS9&lt;&gt;""),AND(DW9&gt;=DY$31,DX9&gt;=DY$35,DW9&lt;&gt;""),AND(EO9&gt;=EU$31,EQ9&gt;=EU$35,EO9&lt;&gt;""),AND(ES9&gt;=EU$31,ET9&gt;=EU$35,ES9&lt;&gt;""),AND(FK9&gt;=FQ$31,FM9&gt;=FQ$35,FK9&lt;&gt;""),AND(FO9&gt;=FQ$31,FP9&gt;=FQ$35,FO9&lt;&gt;""),AND(GG9&gt;=GM$31,GI9&gt;=GM$35,GG9&lt;&gt;""),AND(GK9&gt;=GM$31,GL9&gt;=GM$35,GK9&lt;&gt;""),AND(HC9&gt;=HI$31,HE9&gt;=HI$35,HC9&lt;&gt;""),AND(HG9&gt;=HI$31,HH9&gt;=HI$35,HG9&lt;&gt;""),AND(HY9&gt;=IE$31,IA9&gt;=IE$35,HY9&lt;&gt;""),AND(IC9&gt;=IE$31,ID9&gt;=IE$35,IC9&lt;&gt;""),AND(IU9&gt;=JA$31,IW9&gt;=JA$35,IU9&lt;&gt;""),AND(IY9&gt;=JA$31,IZ9&gt;=JA$35,IY9&lt;&gt;""),AND(JQ9&gt;=JW$31,JS9&gt;=JW$35,JQ9&lt;&gt;""),AND(JU9&gt;=JW$31,JV9&gt;=JW$35,JU9&lt;&gt;""),AND(KM9&gt;=KS$31,KO9&gt;=KS$35,KM9&lt;&gt;""),AND(KQ9&gt;=KS$31,KR9&gt;=KS$35,KQ9&lt;&gt;""),AND(LI9&gt;=LO$31,LK9&gt;=LO$35,LI9&lt;&gt;""),AND(LM9&gt;=LO$31,LN9&gt;=LO$35,LM9&lt;&gt;""),AND(ME9&gt;=MK$31,MG9&gt;=MK$35,ME9&lt;&gt;""),AND(MI9&gt;=MK$31,MJ9&gt;=MK$35,MI9&lt;&gt;""),AND(NA9&gt;=NG$31,NC9&gt;=NG$35,NA9&lt;&gt;""),AND(NE9&gt;=NG$31,NF9&gt;=NG$35,NE9&lt;&gt;"")),"P","")</f>
        <v/>
      </c>
      <c r="G9" s="3" t="str">
        <f>IF(OR(AND(AM9&gt;=AS$35,AL9&lt;&gt;"",AJ9=""),AND(AO9&gt;=AS$35,AN9&lt;&gt;"",AN9=""),AND(AR9&gt;=AS$35,AQ9&lt;&gt;"",AJ9=""),AND(BQ9&gt;=BW$35,BP9&lt;&gt;"",BN9=""),AND(BS9&gt;=BW$35,BR9&lt;&gt;"",BN9=""),AND(BV9&gt;=BW$35,BU9&lt;&gt;"",BN9=""),AND(CU9&gt;=DA$35,CT9&lt;&gt;"",CR9=""),AND(CW9&gt;=DA$35,CV9&lt;&gt;"",CR9=""),AND(CZ9&gt;=DA$35,CY9&lt;&gt;"",CR9=""),AND(DU9&gt;=DY$35,DS9&lt;&gt;""),AND(DX9&gt;=DY$35,DW9&lt;&gt;""),AND(EQ9&gt;=EU$35,EO9&lt;&gt;""),AND(ET9&gt;=EU$35,ES9&lt;&gt;""),AND(FM9&gt;=FQ$35,FK9&lt;&gt;""),AND(FP9&gt;=FQ$35,FO9&lt;&gt;""),AND(GI9&gt;=GM$35,GG9&lt;&gt;""),AND(GL9&gt;=GM$35,GK9&lt;&gt;""),AND(HE9&gt;=HI$35,HC9&lt;&gt;""),AND(HH9&gt;=HI$35,HG9&lt;&gt;""),AND(IA9&gt;=IE$35,HY9&lt;&gt;""),AND(ID9&gt;=IE$35,IC9&lt;&gt;""),AND(IW9&gt;=JA$35,IU9&lt;&gt;""),AND(IZ9&gt;=JA$35,IY9&lt;&gt;""),AND(JS9&gt;=JW$35,JQ9&lt;&gt;""),AND(JV9&gt;=JW$35,JU9&lt;&gt;""),AND(KO9&gt;=KS$35,KM9&lt;&gt;""),AND(KR9&gt;=KS$35,KQ9&lt;&gt;""),AND(LK9&gt;=LO$35,LI9&lt;&gt;""),AND(LN9&gt;=LO$35,LM9&lt;&gt;""),AND(MG9&gt;=MK$35,ME9&lt;&gt;""),AND(MJ9&gt;=MK$35,MI9&lt;&gt;""),AND(NC9&gt;=NG$35,NA9&lt;&gt;""),AND(NF9&gt;=NG$35,NE9&lt;&gt;"")),"P","")</f>
        <v>P</v>
      </c>
      <c r="H9" s="67" t="str">
        <f>IF(F9="P","National Team",IF(G9="P","No DD",""))</f>
        <v>No DD</v>
      </c>
      <c r="I9" s="14">
        <f>MAX(AM9,AO9,AR9,BQ9,BS9,BV9,CU9,CW9,CZ9)</f>
        <v>48.725000000000001</v>
      </c>
      <c r="J9" s="14" t="str">
        <f>IF(I9=0,"",IF(OR(I9=CW9,I9=CU9,I9=CZ9),$BX$1,IF(OR(I9=BS9,I9=BQ9,I9=BV9),$AT$1,IF(OR(I9=AO9,I9=AM9,I9=AR9),$P$1,""))))</f>
        <v>2021 Elite Canada</v>
      </c>
      <c r="K9" s="14">
        <f>IF(COUNT(AM9,AO9,AR9,BQ9,BS9,BV9,CU9,CW9,CZ9)&gt;1,LARGE((AM9,AO9,AR9,BQ9,BS9,BV9,CU9,CW9,CZ9),2),0)</f>
        <v>47.875</v>
      </c>
      <c r="L9" s="14" t="str">
        <f>IF(K9=0,"",IF(OR(K9=CW9,K9=CU9,K9=CZ9),$BX$1,IF(OR(K9=BS9,K9=BQ9,K9=BV9),$AT$1,IF(OR(K9=AO9,K9=AM9,K9=AR9),$P$1,""))))</f>
        <v>2021 Canadian Championships</v>
      </c>
      <c r="M9" s="14" t="str">
        <f>IF(MAX(DB9,DC9)&gt;0,MAX(DB9,DC9),"")</f>
        <v/>
      </c>
      <c r="N9" s="20" t="str">
        <f>IF(M9="","",IF(M9=#REF!,"(Vol 1)",IF(M9=DB9,"(Vol 2)",IF(M9=#REF!,"(Prelim)",IF(M9=DC9,"(Final)")))))</f>
        <v/>
      </c>
      <c r="O9" s="14" t="str">
        <f>IF(M9="","",IF(M9=#REF!,IF(M9+IF(#REF!="",0,#REF!)=NB9,$ML$1,IF(M9+IF(#REF!="",0,#REF!)=MF9,$LP$1,IF(M9+IF(#REF!="",0,#REF!)=LJ9,$KT$1,IF(M9+IF(#REF!="",0,#REF!)=KN9,$JX$1,IF(M9+IF(#REF!="",0,#REF!)=JR9,$JB$1,IF(M9+IF(#REF!="",0,#REF!)=IV9,$IF$1,IF(M9+IF(#REF!="",0,#REF!)=HZ9,$HJ$1,IF(M9+IF(#REF!="",0,#REF!)=HD9,$GN$1,IF(M9+IF(#REF!="",0,#REF!)=GH9,$FR$1,IF(M9+IF(#REF!="",0,#REF!)=FL9,$EV$1,IF(M9+IF(#REF!="",0,#REF!)=EP9,$DZ$1,IF(M9+IF(#REF!="",0,#REF!)=DT9,$DD$1)))))))))))),IF(M9=DB9,IF(M9+IF(I9="",0,I9)=NC9,$ML$1,IF(M9+IF(I9="",0,I9)=MG9,$LP$1,IF(M9+IF(I9="",0,I9)=LK9,$KT$1,IF(M9+IF(I9="",0,I9)=KO9,$JX$1,IF(M9+IF(I9="",0,I9)=JS9,$JB$1,IF(M9+IF(I9="",0,I9)=IW9,$IF$1,IF(M9+IF(I9="",0,I9)=IA9,$HJ$1,IF(M9+IF(I9="",0,I9)=HE9,$GN$1,IF(M9+IF(I9="",0,I9)=GI9,$FR$1,IF(M9+IF(I9="",0,I9)=FM9,$EV$1,IF(M9+IF(I9="",0,I9)=EQ9,$DZ$1,IF(M9+IF(I9="",0,I9)=DU9,$DD$1)))))))))))),IF(M9=#REF!,IF(M9+IF(#REF!="",0,#REF!)=ND9,$ML$1,IF(M9+IF(#REF!="",0,#REF!)=MH9,$LP$1,IF(M9+IF(#REF!="",0,#REF!)=LL9,$KT$1,IF(M9+IF(#REF!="",0,#REF!)=KP9,$JX$1,IF(M9+IF(#REF!="",0,#REF!)=JT9,$JB$1,IF(M9+IF(#REF!="",0,#REF!)=IX9,$IF$1,IF(M9+IF(#REF!="",0,#REF!)=IB9,$HJ$1,IF(M9+IF(#REF!="",0,#REF!)=HF9,$GN$1,IF(M9+IF(#REF!="",0,#REF!)=GJ9,$FR$1,IF(M9+IF(#REF!="",0,#REF!)=FN9,$EV$1,IF(M9+IF(#REF!="",0,#REF!)=ER9,$DZ$1,IF(M9+IF(#REF!="",0,#REF!)=DV9,$DD$1)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))</f>
        <v/>
      </c>
      <c r="P9" s="38">
        <v>17.3</v>
      </c>
      <c r="Q9" s="38">
        <v>9.4</v>
      </c>
      <c r="R9" s="38">
        <v>2</v>
      </c>
      <c r="S9" s="38">
        <v>14.074999999999999</v>
      </c>
      <c r="T9" s="38">
        <v>0</v>
      </c>
      <c r="U9" s="38">
        <v>7.2</v>
      </c>
      <c r="V9" s="38">
        <v>4.4000000000000004</v>
      </c>
      <c r="W9" s="38">
        <v>6.1</v>
      </c>
      <c r="X9" s="38">
        <v>6.92</v>
      </c>
      <c r="Y9" s="38">
        <v>0</v>
      </c>
      <c r="Z9" s="38"/>
      <c r="AA9" s="38"/>
      <c r="AB9" s="38"/>
      <c r="AC9" s="38"/>
      <c r="AD9" s="38"/>
      <c r="AE9" s="38">
        <v>15.7</v>
      </c>
      <c r="AF9" s="38">
        <v>9.4</v>
      </c>
      <c r="AG9" s="38">
        <v>10</v>
      </c>
      <c r="AH9" s="38">
        <v>13.625</v>
      </c>
      <c r="AI9" s="38">
        <v>0</v>
      </c>
      <c r="AJ9" s="45"/>
      <c r="AK9" s="11">
        <f>IF(SUM(P9:S9)-T9&gt;0,SUM(P9:S9)-T9,"")</f>
        <v>42.775000000000006</v>
      </c>
      <c r="AL9" s="11">
        <f>IF(W9&gt;0,W9,"")</f>
        <v>6.1</v>
      </c>
      <c r="AM9" s="11">
        <f>IF(SUM(U9:X9)-Y9&gt;0,SUM(U9:X9)-Y9,"")</f>
        <v>24.620000000000005</v>
      </c>
      <c r="AN9" s="11" t="str">
        <f>IF(AB9&gt;0,AB9,"")</f>
        <v/>
      </c>
      <c r="AO9" s="11" t="str">
        <f>IF(SUM(Z9:AC9)-AD9&gt;0,SUM(Z9:AC9)-AD9,"")</f>
        <v/>
      </c>
      <c r="AP9" s="11">
        <f>IF(AK9="",IF(MAX(AM9,AO9)&gt;0,MAX(AM9,AO9),""),MAX(AM9,AO9)+AK9)</f>
        <v>67.39500000000001</v>
      </c>
      <c r="AQ9" s="11">
        <f>IF(AG9&gt;0,AG9,"")</f>
        <v>10</v>
      </c>
      <c r="AR9" s="11">
        <f>IF(SUM(AE9:AH9)-AI9&gt;0,SUM(AE9:AH9)-AI9,"")</f>
        <v>48.725000000000001</v>
      </c>
      <c r="AS9" s="11">
        <f>IF(SUM(AP9,AR9)&gt;0,SUM(AP9,AR9),"")</f>
        <v>116.12</v>
      </c>
      <c r="AT9" s="42">
        <v>12.2</v>
      </c>
      <c r="AU9" s="42">
        <v>7.2</v>
      </c>
      <c r="AV9" s="42">
        <v>0.8</v>
      </c>
      <c r="AW9" s="42">
        <v>11.79</v>
      </c>
      <c r="AX9" s="42">
        <v>0</v>
      </c>
      <c r="AY9" s="42">
        <v>14.5</v>
      </c>
      <c r="AZ9" s="42">
        <v>9.4</v>
      </c>
      <c r="BA9" s="42">
        <v>10</v>
      </c>
      <c r="BB9" s="42">
        <v>13.975</v>
      </c>
      <c r="BC9" s="42">
        <v>0</v>
      </c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6"/>
      <c r="BO9" s="14">
        <f>IF(SUM(AT9:AW9)-AX9&gt;0,SUM(AT9:AW9)-AX9,"")</f>
        <v>31.99</v>
      </c>
      <c r="BP9" s="14">
        <f>IF(BA9&gt;0,BA9,"")</f>
        <v>10</v>
      </c>
      <c r="BQ9" s="14">
        <f>IF(SUM(AY9:BB9)-BC9&gt;0,SUM(AY9:BB9)-BC9,"")</f>
        <v>47.875</v>
      </c>
      <c r="BR9" s="14" t="str">
        <f>IF(BF9&gt;0,BF9,"")</f>
        <v/>
      </c>
      <c r="BS9" s="14" t="str">
        <f>IF(SUM(BD9:BG9)-BH9&gt;0,SUM(BD9:BG9)-BH9,"")</f>
        <v/>
      </c>
      <c r="BT9" s="14">
        <f>IF(BO9="",IF(MAX(BQ9,BS9)&gt;0,MAX(BQ9,BS9),""),MAX(BQ9,BS9)+BO9)</f>
        <v>79.864999999999995</v>
      </c>
      <c r="BU9" s="14" t="str">
        <f>IF(BK9&gt;0,BK9,"")</f>
        <v/>
      </c>
      <c r="BV9" s="14" t="str">
        <f>IF(SUM(BI9:BL9)-BM9&gt;0,SUM(BI9:BL9)-BM9,"")</f>
        <v/>
      </c>
      <c r="BW9" s="14">
        <f>IF(SUM(BT9,BV9)&gt;0,SUM(BT9,BV9),"")</f>
        <v>79.864999999999995</v>
      </c>
      <c r="BX9" s="38">
        <v>14.8</v>
      </c>
      <c r="BY9" s="38">
        <v>9.1999999999999993</v>
      </c>
      <c r="BZ9" s="38">
        <v>2.9</v>
      </c>
      <c r="CA9" s="38">
        <v>13.97</v>
      </c>
      <c r="CB9" s="38">
        <v>2</v>
      </c>
      <c r="CC9" s="38">
        <v>13.6</v>
      </c>
      <c r="CD9" s="38">
        <v>9.1999999999999993</v>
      </c>
      <c r="CE9" s="38">
        <v>9.8000000000000007</v>
      </c>
      <c r="CF9" s="38">
        <v>13.69</v>
      </c>
      <c r="CG9" s="38">
        <v>0</v>
      </c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45"/>
      <c r="CS9" s="11">
        <f>IF(SUM(BX9:CA9)-CB9&gt;0,SUM(BX9:CA9)-CB9,"")</f>
        <v>38.869999999999997</v>
      </c>
      <c r="CT9" s="11">
        <f>IF(CE9&gt;0,CE9,"")</f>
        <v>9.8000000000000007</v>
      </c>
      <c r="CU9" s="11">
        <f>IF(SUM(CC9:CF9)-CG9&gt;0,SUM(CC9:CF9)-CG9,"")</f>
        <v>46.289999999999992</v>
      </c>
      <c r="CV9" s="11" t="str">
        <f>IF(CJ9&gt;0,CJ9,"")</f>
        <v/>
      </c>
      <c r="CW9" s="11" t="str">
        <f>IF(SUM(CH9:CK9)-CL9&gt;0,SUM(CH9:CK9)-CL9,"")</f>
        <v/>
      </c>
      <c r="CX9" s="11">
        <f>IF(CS9="",IF(MAX(CU9,CW9)&gt;0,MAX(CU9,CW9),""),MAX(CU9,CW9)+CS9)</f>
        <v>85.16</v>
      </c>
      <c r="CY9" s="11" t="str">
        <f>IF(CO9&gt;0,CO9,"")</f>
        <v/>
      </c>
      <c r="CZ9" s="11" t="str">
        <f>IF(SUM(CM9:CP9)-CQ9&gt;0,SUM(CM9:CP9)-CQ9,"")</f>
        <v/>
      </c>
      <c r="DA9" s="11">
        <f>IF(SUM(CX9,CZ9)&gt;0,SUM(CX9,CZ9),"")</f>
        <v>85.16</v>
      </c>
      <c r="DB9" s="19" t="str">
        <f>IF(I9&gt;=0.001,IF(MAX(DU9,EQ9,FM9,GI9,HE9,IA9,IW9,JS9,KO9,LK9,MG9,NC9)-IF(I9="",0,I9)&gt;0.001,MAX(DU9,EQ9,FM9,GI9,HE9,IA9,IW9,JS9,KO9,LK9,MG9,NC9)-IF(I9="",0,I9),""),"")</f>
        <v/>
      </c>
      <c r="DC9" s="19" t="str">
        <f>IF(K9&gt;=0.001,IF(MAX(DX9,ET9,FP9,GL9,HH9,ID9,IZ9,JV9,KR9,LN9,MJ9,NF9)-IF(K9="",0,K9)&gt;0.001,MAX(DX9,ET9,FP9,GL9,HH9,ID9,IZ9,JV9,KR9,LN9,MJ9,NF9)-IF(K9="",0,K9),""),"")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8">
        <f>IF($CR9="P",BX9,(BX9+AT9)/2)</f>
        <v>13.5</v>
      </c>
      <c r="NI9" s="38">
        <f>IF($CR9="P",BY9,(BY9+AU9)/2)</f>
        <v>8.1999999999999993</v>
      </c>
      <c r="NJ9" s="38">
        <f>IF($CR9="P",BZ9,(BZ9+AV9)/2)</f>
        <v>1.85</v>
      </c>
      <c r="NK9" s="38">
        <f>IF($CR9="P",CA9,(CA9+AW9)/2)</f>
        <v>12.879999999999999</v>
      </c>
      <c r="NL9" s="38">
        <f>IF($CR9="P",CB9,(CB9+AX9)/2)</f>
        <v>1</v>
      </c>
      <c r="NM9" s="38">
        <f>IF($CR9="P",CC9,(CC9+AY9)/2)</f>
        <v>14.05</v>
      </c>
      <c r="NN9" s="38">
        <f>IF($CR9="P",CD9,(CD9+AZ9)/2)</f>
        <v>9.3000000000000007</v>
      </c>
      <c r="NO9" s="38">
        <f>IF($CR9="P",CE9,(CE9+BA9)/2)</f>
        <v>9.9</v>
      </c>
      <c r="NP9" s="38">
        <f>IF($CR9="P",CF9,(CF9+BB9)/2)</f>
        <v>13.8325</v>
      </c>
      <c r="NQ9" s="38">
        <f>IF($CR9="P",CG9,(CG9+BC9)/2)</f>
        <v>0</v>
      </c>
      <c r="NR9" s="38">
        <f>IF($CR9="P",CH9,(CH9+BD9)/2)</f>
        <v>0</v>
      </c>
      <c r="NS9" s="38">
        <f>IF($CR9="P",CI9,(CI9+BE9)/2)</f>
        <v>0</v>
      </c>
      <c r="NT9" s="38">
        <f>IF($CR9="P",CJ9,(CJ9+BF9)/2)</f>
        <v>0</v>
      </c>
      <c r="NU9" s="38">
        <f>IF($CR9="P",CK9,(CK9+BG9)/2)</f>
        <v>0</v>
      </c>
      <c r="NV9" s="38">
        <f>IF($CR9="P",CL9,(CL9+BH9)/2)</f>
        <v>0</v>
      </c>
      <c r="NW9" s="38">
        <f>IF($CR9="P",CM9,(CM9+BI9)/2)</f>
        <v>0</v>
      </c>
      <c r="NX9" s="38">
        <f>IF($CR9="P",CN9,(CN9+BJ9)/2)</f>
        <v>0</v>
      </c>
      <c r="NY9" s="38">
        <f>IF($CR9="P",CO9,(CO9+BK9)/2)</f>
        <v>0</v>
      </c>
      <c r="NZ9" s="38">
        <f>IF($CR9="P",CP9,(CP9+BL9)/2)</f>
        <v>0</v>
      </c>
      <c r="OA9" s="38">
        <f>IF($CR9="P",CQ9,(CQ9+BM9)/2)</f>
        <v>0</v>
      </c>
      <c r="OB9" s="45" t="s">
        <v>46</v>
      </c>
      <c r="OC9" s="11">
        <f>IF(SUM(NH9:NK9)-NL9&gt;0,SUM(NH9:NK9)-NL9,"")</f>
        <v>35.43</v>
      </c>
      <c r="OD9" s="11">
        <f>IF(NO9&gt;0,NO9,"")</f>
        <v>9.9</v>
      </c>
      <c r="OE9" s="11">
        <f>IF(SUM(NM9:NP9)-NQ9&gt;0,SUM(NM9:NP9)-NQ9,"")</f>
        <v>47.082499999999996</v>
      </c>
      <c r="OF9" s="11" t="str">
        <f>IF(NT9&gt;0,NT9,"")</f>
        <v/>
      </c>
      <c r="OG9" s="11" t="str">
        <f>IF(SUM(NR9:NU9)-NV9&gt;0,SUM(NR9:NU9)-NV9,"")</f>
        <v/>
      </c>
      <c r="OH9" s="11">
        <f>IF(OR(OC9&lt;&gt;"",OE9&lt;&gt;"",OG9&lt;&gt;""),OC9+MAX(OE9,OG9),"")</f>
        <v>82.512499999999989</v>
      </c>
      <c r="OI9" s="11" t="str">
        <f>IF(NY9&gt;0,NY9,"")</f>
        <v/>
      </c>
      <c r="OJ9" s="11" t="str">
        <f t="shared" ref="OJ9" si="4">IF(SUM(NW9:NZ9)-OA9&gt;0,SUM(NW9:NZ9)-OA9,"")</f>
        <v/>
      </c>
      <c r="OK9" s="11">
        <f t="shared" ref="OK9" si="5">IF(SUM(OH9,OJ9)&gt;0,SUM(OH9,OJ9),"")</f>
        <v>82.512499999999989</v>
      </c>
    </row>
    <row r="10" spans="1:401" x14ac:dyDescent="0.2">
      <c r="A10" s="5" t="str" cm="1">
        <f t="array" ref="A10">IF(AND(F10="P",G10="P"),SUMPRODUCT((F$4:F$29="P")*(G$4:G$29="P")*(E$4:E$29&gt;E10))+1,IF(G10="P",SUMPRODUCT((F$4:F$29="")*(G$4:G$29="P")*(E$4:E$29&gt;E10))+1+SUMPRODUCT((F$4:F$29="P")*(G$4:G$29="P")),""))</f>
        <v/>
      </c>
      <c r="B10" s="8" t="s">
        <v>75</v>
      </c>
      <c r="C10" s="4" t="s">
        <v>4</v>
      </c>
      <c r="D10" s="22">
        <v>2003</v>
      </c>
      <c r="E10" s="15">
        <f>SUM(I10:M10)</f>
        <v>94.259999999999991</v>
      </c>
      <c r="F10" s="3" t="str">
        <f>IF(OR(AND(AL10&gt;=AS$31,AM10&gt;=AS$35,AL10&lt;&gt;"",AJ10=""),AND(AN10&gt;=AS$31,AO10&gt;=AS$35,AN10&lt;&gt;"",AN10=""),AND(AQ10&gt;=AS$31,AR10&gt;=AS$35,AQ10&lt;&gt;"",AJ10=""),AND(BP10&gt;=BW$31,BQ10&gt;=BW$35,BP10&lt;&gt;"",BN10=""),AND(BR10&gt;=BW$31,BS10&gt;=BW$35,BR10&lt;&gt;"",BN10=""),AND(BU10&gt;=BW$31,BV10&gt;=BW$35,BU10&lt;&gt;"",BN10=""),AND(CT10&gt;=DA$31,CU10&gt;=DA$35,CT10&lt;&gt;"",CR10=""),AND(CV10&gt;=DA$31,CW10&gt;=DA$35,CV10&lt;&gt;"",CR10=""),AND(CY10&gt;=DA$31,CZ10&gt;=DA$35,CY10&lt;&gt;"",CR10=""),AND(DS10&gt;=DY$31,DU10&gt;=DY$35,DS10&lt;&gt;""),AND(DW10&gt;=DY$31,DX10&gt;=DY$35,DW10&lt;&gt;""),AND(EO10&gt;=EU$31,EQ10&gt;=EU$35,EO10&lt;&gt;""),AND(ES10&gt;=EU$31,ET10&gt;=EU$35,ES10&lt;&gt;""),AND(FK10&gt;=FQ$31,FM10&gt;=FQ$35,FK10&lt;&gt;""),AND(FO10&gt;=FQ$31,FP10&gt;=FQ$35,FO10&lt;&gt;""),AND(GG10&gt;=GM$31,GI10&gt;=GM$35,GG10&lt;&gt;""),AND(GK10&gt;=GM$31,GL10&gt;=GM$35,GK10&lt;&gt;""),AND(HC10&gt;=HI$31,HE10&gt;=HI$35,HC10&lt;&gt;""),AND(HG10&gt;=HI$31,HH10&gt;=HI$35,HG10&lt;&gt;""),AND(HY10&gt;=IE$31,IA10&gt;=IE$35,HY10&lt;&gt;""),AND(IC10&gt;=IE$31,ID10&gt;=IE$35,IC10&lt;&gt;""),AND(IU10&gt;=JA$31,IW10&gt;=JA$35,IU10&lt;&gt;""),AND(IY10&gt;=JA$31,IZ10&gt;=JA$35,IY10&lt;&gt;""),AND(JQ10&gt;=JW$31,JS10&gt;=JW$35,JQ10&lt;&gt;""),AND(JU10&gt;=JW$31,JV10&gt;=JW$35,JU10&lt;&gt;""),AND(KM10&gt;=KS$31,KO10&gt;=KS$35,KM10&lt;&gt;""),AND(KQ10&gt;=KS$31,KR10&gt;=KS$35,KQ10&lt;&gt;""),AND(LI10&gt;=LO$31,LK10&gt;=LO$35,LI10&lt;&gt;""),AND(LM10&gt;=LO$31,LN10&gt;=LO$35,LM10&lt;&gt;""),AND(ME10&gt;=MK$31,MG10&gt;=MK$35,ME10&lt;&gt;""),AND(MI10&gt;=MK$31,MJ10&gt;=MK$35,MI10&lt;&gt;""),AND(NA10&gt;=NG$31,NC10&gt;=NG$35,NA10&lt;&gt;""),AND(NE10&gt;=NG$31,NF10&gt;=NG$35,NE10&lt;&gt;"")),"P","")</f>
        <v/>
      </c>
      <c r="G10" s="3" t="str">
        <f>IF(OR(AND(AM10&gt;=AS$35,AL10&lt;&gt;"",AJ10=""),AND(AO10&gt;=AS$35,AN10&lt;&gt;"",AN10=""),AND(AR10&gt;=AS$35,AQ10&lt;&gt;"",AJ10=""),AND(BQ10&gt;=BW$35,BP10&lt;&gt;"",BN10=""),AND(BS10&gt;=BW$35,BR10&lt;&gt;"",BN10=""),AND(BV10&gt;=BW$35,BU10&lt;&gt;"",BN10=""),AND(CU10&gt;=DA$35,CT10&lt;&gt;"",CR10=""),AND(CW10&gt;=DA$35,CV10&lt;&gt;"",CR10=""),AND(CZ10&gt;=DA$35,CY10&lt;&gt;"",CR10=""),AND(DU10&gt;=DY$35,DS10&lt;&gt;""),AND(DX10&gt;=DY$35,DW10&lt;&gt;""),AND(EQ10&gt;=EU$35,EO10&lt;&gt;""),AND(ET10&gt;=EU$35,ES10&lt;&gt;""),AND(FM10&gt;=FQ$35,FK10&lt;&gt;""),AND(FP10&gt;=FQ$35,FO10&lt;&gt;""),AND(GI10&gt;=GM$35,GG10&lt;&gt;""),AND(GL10&gt;=GM$35,GK10&lt;&gt;""),AND(HE10&gt;=HI$35,HC10&lt;&gt;""),AND(HH10&gt;=HI$35,HG10&lt;&gt;""),AND(IA10&gt;=IE$35,HY10&lt;&gt;""),AND(ID10&gt;=IE$35,IC10&lt;&gt;""),AND(IW10&gt;=JA$35,IU10&lt;&gt;""),AND(IZ10&gt;=JA$35,IY10&lt;&gt;""),AND(JS10&gt;=JW$35,JQ10&lt;&gt;""),AND(JV10&gt;=JW$35,JU10&lt;&gt;""),AND(KO10&gt;=KS$35,KM10&lt;&gt;""),AND(KR10&gt;=KS$35,KQ10&lt;&gt;""),AND(LK10&gt;=LO$35,LI10&lt;&gt;""),AND(LN10&gt;=LO$35,LM10&lt;&gt;""),AND(MG10&gt;=MK$35,ME10&lt;&gt;""),AND(MJ10&gt;=MK$35,MI10&lt;&gt;""),AND(NC10&gt;=NG$35,NA10&lt;&gt;""),AND(NF10&gt;=NG$35,NE10&lt;&gt;"")),"P","")</f>
        <v/>
      </c>
      <c r="H10" s="67" t="str">
        <f>IF(F10="P","National Team",IF(G10="P","No DD",""))</f>
        <v/>
      </c>
      <c r="I10" s="14">
        <f>MAX(AM10,AO10,AR10,BQ10,BS10,BV10,CU10,CW10,CZ10)</f>
        <v>47.254999999999995</v>
      </c>
      <c r="J10" s="14" t="str">
        <f>IF(I10=0,"",IF(OR(I10=CW10,I10=CU10,I10=CZ10),$BX$1,IF(OR(I10=BS10,I10=BQ10,I10=BV10),$AT$1,IF(OR(I10=AO10,I10=AM10,I10=AR10),$P$1,""))))</f>
        <v>2021 Canadian Championships</v>
      </c>
      <c r="K10" s="14">
        <f>IF(COUNT(AM10,AO10,AR10,BQ10,BS10,BV10,CU10,CW10,CZ10)&gt;1,LARGE((AM10,AO10,AR10,BQ10,BS10,BV10,CU10,CW10,CZ10),2),0)</f>
        <v>47.004999999999995</v>
      </c>
      <c r="L10" s="14" t="str">
        <f>IF(K10=0,"",IF(OR(K10=CW10,K10=CU10,K10=CZ10),$BX$1,IF(OR(K10=BS10,K10=BQ10,K10=BV10),$AT$1,IF(OR(K10=AO10,K10=AM10,K10=AR10),$P$1,""))))</f>
        <v>2021 Canadian Championships</v>
      </c>
      <c r="M10" s="14" t="str">
        <f>IF(MAX(DB10,DC10)&gt;0,MAX(DB10,DC10),"")</f>
        <v/>
      </c>
      <c r="N10" s="20" t="str">
        <f>IF(M10="","",IF(M10=#REF!,"(Vol 1)",IF(M10=DB10,"(Vol 2)",IF(M10=#REF!,"(Prelim)",IF(M10=DC10,"(Final)")))))</f>
        <v/>
      </c>
      <c r="O10" s="14" t="str">
        <f>IF(M10="","",IF(M10=#REF!,IF(M10+IF(#REF!="",0,#REF!)=NB10,$ML$1,IF(M10+IF(#REF!="",0,#REF!)=MF10,$LP$1,IF(M10+IF(#REF!="",0,#REF!)=LJ10,$KT$1,IF(M10+IF(#REF!="",0,#REF!)=KN10,$JX$1,IF(M10+IF(#REF!="",0,#REF!)=JR10,$JB$1,IF(M10+IF(#REF!="",0,#REF!)=IV10,$IF$1,IF(M10+IF(#REF!="",0,#REF!)=HZ10,$HJ$1,IF(M10+IF(#REF!="",0,#REF!)=HD10,$GN$1,IF(M10+IF(#REF!="",0,#REF!)=GH10,$FR$1,IF(M10+IF(#REF!="",0,#REF!)=FL10,$EV$1,IF(M10+IF(#REF!="",0,#REF!)=EP10,$DZ$1,IF(M10+IF(#REF!="",0,#REF!)=DT10,$DD$1)))))))))))),IF(M10=DB10,IF(M10+IF(I10="",0,I10)=NC10,$ML$1,IF(M10+IF(I10="",0,I10)=MG10,$LP$1,IF(M10+IF(I10="",0,I10)=LK10,$KT$1,IF(M10+IF(I10="",0,I10)=KO10,$JX$1,IF(M10+IF(I10="",0,I10)=JS10,$JB$1,IF(M10+IF(I10="",0,I10)=IW10,$IF$1,IF(M10+IF(I10="",0,I10)=IA10,$HJ$1,IF(M10+IF(I10="",0,I10)=HE10,$GN$1,IF(M10+IF(I10="",0,I10)=GI10,$FR$1,IF(M10+IF(I10="",0,I10)=FM10,$EV$1,IF(M10+IF(I10="",0,I10)=EQ10,$DZ$1,IF(M10+IF(I10="",0,I10)=DU10,$DD$1)))))))))))),IF(M10=#REF!,IF(M10+IF(#REF!="",0,#REF!)=ND10,$ML$1,IF(M10+IF(#REF!="",0,#REF!)=MH10,$LP$1,IF(M10+IF(#REF!="",0,#REF!)=LL10,$KT$1,IF(M10+IF(#REF!="",0,#REF!)=KP10,$JX$1,IF(M10+IF(#REF!="",0,#REF!)=JT10,$JB$1,IF(M10+IF(#REF!="",0,#REF!)=IX10,$IF$1,IF(M10+IF(#REF!="",0,#REF!)=IB10,$HJ$1,IF(M10+IF(#REF!="",0,#REF!)=HF10,$GN$1,IF(M10+IF(#REF!="",0,#REF!)=GJ10,$FR$1,IF(M10+IF(#REF!="",0,#REF!)=FN10,$EV$1,IF(M10+IF(#REF!="",0,#REF!)=ER10,$DZ$1,IF(M10+IF(#REF!="",0,#REF!)=DV10,$DD$1)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))</f>
        <v/>
      </c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5"/>
      <c r="AK10" s="11" t="str">
        <f>IF(SUM(P10:S10)-T10&gt;0,SUM(P10:S10)-T10,"")</f>
        <v/>
      </c>
      <c r="AL10" s="11" t="str">
        <f>IF(W10&gt;0,W10,"")</f>
        <v/>
      </c>
      <c r="AM10" s="11" t="str">
        <f>IF(SUM(U10:X10)-Y10&gt;0,SUM(U10:X10)-Y10,"")</f>
        <v/>
      </c>
      <c r="AN10" s="11" t="str">
        <f>IF(AB10&gt;0,AB10,"")</f>
        <v/>
      </c>
      <c r="AO10" s="11" t="str">
        <f>IF(SUM(Z10:AC10)-AD10&gt;0,SUM(Z10:AC10)-AD10,"")</f>
        <v/>
      </c>
      <c r="AP10" s="11" t="str">
        <f>IF(AK10="",IF(MAX(AM10,AO10)&gt;0,MAX(AM10,AO10),""),MAX(AM10,AO10)+AK10)</f>
        <v/>
      </c>
      <c r="AQ10" s="11" t="str">
        <f>IF(AG10&gt;0,AG10,"")</f>
        <v/>
      </c>
      <c r="AR10" s="11" t="str">
        <f>IF(SUM(AE10:AH10)-AI10&gt;0,SUM(AE10:AH10)-AI10,"")</f>
        <v/>
      </c>
      <c r="AS10" s="11" t="str">
        <f>IF(SUM(AP10,AR10)&gt;0,SUM(AP10,AR10),"")</f>
        <v/>
      </c>
      <c r="AT10" s="42">
        <v>14.9</v>
      </c>
      <c r="AU10" s="42">
        <v>9.1999999999999993</v>
      </c>
      <c r="AV10" s="42">
        <v>2.7</v>
      </c>
      <c r="AW10" s="42">
        <v>13.855</v>
      </c>
      <c r="AX10" s="42">
        <v>0</v>
      </c>
      <c r="AY10" s="42">
        <v>14.2</v>
      </c>
      <c r="AZ10" s="42">
        <v>9.6</v>
      </c>
      <c r="BA10" s="42">
        <v>9.8000000000000007</v>
      </c>
      <c r="BB10" s="42">
        <v>13.654999999999999</v>
      </c>
      <c r="BC10" s="42">
        <v>0</v>
      </c>
      <c r="BD10" s="42"/>
      <c r="BE10" s="42"/>
      <c r="BF10" s="42"/>
      <c r="BG10" s="42"/>
      <c r="BH10" s="42"/>
      <c r="BI10" s="42">
        <v>14.3</v>
      </c>
      <c r="BJ10" s="42">
        <v>9</v>
      </c>
      <c r="BK10" s="42">
        <v>10</v>
      </c>
      <c r="BL10" s="42">
        <v>13.705</v>
      </c>
      <c r="BM10" s="42">
        <v>0</v>
      </c>
      <c r="BN10" s="46"/>
      <c r="BO10" s="14">
        <f>IF(SUM(AT10:AW10)-AX10&gt;0,SUM(AT10:AW10)-AX10,"")</f>
        <v>40.655000000000001</v>
      </c>
      <c r="BP10" s="14">
        <f>IF(BA10&gt;0,BA10,"")</f>
        <v>9.8000000000000007</v>
      </c>
      <c r="BQ10" s="14">
        <f>IF(SUM(AY10:BB10)-BC10&gt;0,SUM(AY10:BB10)-BC10,"")</f>
        <v>47.254999999999995</v>
      </c>
      <c r="BR10" s="14" t="str">
        <f>IF(BF10&gt;0,BF10,"")</f>
        <v/>
      </c>
      <c r="BS10" s="14" t="str">
        <f>IF(SUM(BD10:BG10)-BH10&gt;0,SUM(BD10:BG10)-BH10,"")</f>
        <v/>
      </c>
      <c r="BT10" s="14">
        <f>IF(BO10="",IF(MAX(BQ10,BS10)&gt;0,MAX(BQ10,BS10),""),MAX(BQ10,BS10)+BO10)</f>
        <v>87.91</v>
      </c>
      <c r="BU10" s="14">
        <f>IF(BK10&gt;0,BK10,"")</f>
        <v>10</v>
      </c>
      <c r="BV10" s="14">
        <f>IF(SUM(BI10:BL10)-BM10&gt;0,SUM(BI10:BL10)-BM10,"")</f>
        <v>47.004999999999995</v>
      </c>
      <c r="BW10" s="14">
        <f>IF(SUM(BT10,BV10)&gt;0,SUM(BT10,BV10),"")</f>
        <v>134.91499999999999</v>
      </c>
      <c r="BX10" s="38">
        <v>13.8</v>
      </c>
      <c r="BY10" s="38">
        <v>8.6999999999999993</v>
      </c>
      <c r="BZ10" s="38">
        <v>0.8</v>
      </c>
      <c r="CA10" s="38">
        <v>13.29</v>
      </c>
      <c r="CB10" s="38">
        <v>4</v>
      </c>
      <c r="CC10" s="38">
        <v>13.9</v>
      </c>
      <c r="CD10" s="38">
        <v>9.1</v>
      </c>
      <c r="CE10" s="38">
        <v>9.6999999999999993</v>
      </c>
      <c r="CF10" s="38">
        <v>13.4</v>
      </c>
      <c r="CG10" s="38">
        <v>0</v>
      </c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45"/>
      <c r="CS10" s="11">
        <f>IF(SUM(BX10:CA10)-CB10&gt;0,SUM(BX10:CA10)-CB10,"")</f>
        <v>32.590000000000003</v>
      </c>
      <c r="CT10" s="11">
        <f>IF(CE10&gt;0,CE10,"")</f>
        <v>9.6999999999999993</v>
      </c>
      <c r="CU10" s="11">
        <f>IF(SUM(CC10:CF10)-CG10&gt;0,SUM(CC10:CF10)-CG10,"")</f>
        <v>46.1</v>
      </c>
      <c r="CV10" s="11" t="str">
        <f>IF(CJ10&gt;0,CJ10,"")</f>
        <v/>
      </c>
      <c r="CW10" s="11" t="str">
        <f>IF(SUM(CH10:CK10)-CL10&gt;0,SUM(CH10:CK10)-CL10,"")</f>
        <v/>
      </c>
      <c r="CX10" s="11">
        <f>IF(CS10="",IF(MAX(CU10,CW10)&gt;0,MAX(CU10,CW10),""),MAX(CU10,CW10)+CS10)</f>
        <v>78.69</v>
      </c>
      <c r="CY10" s="11" t="str">
        <f>IF(CO10&gt;0,CO10,"")</f>
        <v/>
      </c>
      <c r="CZ10" s="11" t="str">
        <f>IF(SUM(CM10:CP10)-CQ10&gt;0,SUM(CM10:CP10)-CQ10,"")</f>
        <v/>
      </c>
      <c r="DA10" s="11">
        <f>IF(SUM(CX10,CZ10)&gt;0,SUM(CX10,CZ10),"")</f>
        <v>78.69</v>
      </c>
      <c r="DB10" s="19" t="str">
        <f>IF(I10&gt;=0.001,IF(MAX(DU10,EQ10,FM10,GI10,HE10,IA10,IW10,JS10,KO10,LK10,MG10,NC10)-IF(I10="",0,I10)&gt;0.001,MAX(DU10,EQ10,FM10,GI10,HE10,IA10,IW10,JS10,KO10,LK10,MG10,NC10)-IF(I10="",0,I10),""),"")</f>
        <v/>
      </c>
      <c r="DC10" s="19" t="str">
        <f>IF(K10&gt;=0.001,IF(MAX(DX10,ET10,FP10,GL10,HH10,ID10,IZ10,JV10,KR10,LN10,MJ10,NF10)-IF(K10="",0,K10)&gt;0.001,MAX(DX10,ET10,FP10,GL10,HH10,ID10,IZ10,JV10,KR10,LN10,MJ10,NF10)-IF(K10="",0,K10),""),"")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11" t="str">
        <f>IF(DK10&gt;0,DK10,"")</f>
        <v/>
      </c>
      <c r="DT10" s="11" t="str">
        <f>IF(SUM(DD10:DG10)-DH10&gt;0,SUM(DD10:DG10)-DH10,"")</f>
        <v/>
      </c>
      <c r="DU10" s="11" t="str">
        <f>IF(SUM(DI10:DL10)-DM10&gt;0,SUM(DI10:DL10)-DM10,"")</f>
        <v/>
      </c>
      <c r="DV10" s="11" t="str">
        <f>IF(SUM(DT10:DU10)&gt;0,SUM(DT10:DU10),"")</f>
        <v/>
      </c>
      <c r="DW10" s="11" t="str">
        <f>IF(DP10&gt;0,DP10,"")</f>
        <v/>
      </c>
      <c r="DX10" s="11" t="str">
        <f>IF(SUM(DN10:DQ10)-DR10&gt;0,SUM(DN10:DQ10)-DR10,"")</f>
        <v/>
      </c>
      <c r="DY10" s="11" t="str">
        <f>IF(SUM(DV10,DX10)&gt;0,SUM(DV10,DX10),"")</f>
        <v/>
      </c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11" t="str">
        <f>IF(FC10&gt;0,FC10,"")</f>
        <v/>
      </c>
      <c r="FL10" s="11" t="str">
        <f>IF(SUM(EV10:EY10)-EZ10&gt;0,SUM(EV10:EY10)-EZ10,"")</f>
        <v/>
      </c>
      <c r="FM10" s="11" t="str">
        <f>IF(SUM(FA10:FD10)-FE10&gt;0,SUM(FA10:FD10)-FE10,"")</f>
        <v/>
      </c>
      <c r="FN10" s="11" t="str">
        <f>IF(SUM(FL10:FM10)&gt;0,SUM(FL10:FM10),"")</f>
        <v/>
      </c>
      <c r="FO10" s="11" t="str">
        <f>IF(FH10&gt;0,FH10,"")</f>
        <v/>
      </c>
      <c r="FP10" s="11" t="str">
        <f>IF(SUM(FF10:FI10)-FJ10&gt;0,SUM(FF10:FI10)-FJ10,"")</f>
        <v/>
      </c>
      <c r="FQ10" s="11" t="str">
        <f>IF(SUM(FN10,FP10)&gt;0,SUM(FN10,FP10),"")</f>
        <v/>
      </c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8">
        <f>IF($CR10="P",BX10,(BX10+AT10)/2)</f>
        <v>14.350000000000001</v>
      </c>
      <c r="NI10" s="38">
        <f>IF($CR10="P",BY10,(BY10+AU10)/2)</f>
        <v>8.9499999999999993</v>
      </c>
      <c r="NJ10" s="38">
        <f>IF($CR10="P",BZ10,(BZ10+AV10)/2)</f>
        <v>1.75</v>
      </c>
      <c r="NK10" s="38">
        <f>IF($CR10="P",CA10,(CA10+AW10)/2)</f>
        <v>13.5725</v>
      </c>
      <c r="NL10" s="38">
        <f>IF($CR10="P",CB10,(CB10+AX10)/2)</f>
        <v>2</v>
      </c>
      <c r="NM10" s="38">
        <f>IF($CR10="P",CC10,(CC10+AY10)/2)</f>
        <v>14.05</v>
      </c>
      <c r="NN10" s="38">
        <f>IF($CR10="P",CD10,(CD10+AZ10)/2)</f>
        <v>9.35</v>
      </c>
      <c r="NO10" s="38">
        <f>IF($CR10="P",CE10,(CE10+BA10)/2)</f>
        <v>9.75</v>
      </c>
      <c r="NP10" s="38">
        <f>IF($CR10="P",CF10,(CF10+BB10)/2)</f>
        <v>13.5275</v>
      </c>
      <c r="NQ10" s="38">
        <f>IF($CR10="P",CG10,(CG10+BC10)/2)</f>
        <v>0</v>
      </c>
      <c r="NR10" s="38">
        <f>IF($CR10="P",CH10,(CH10+BD10)/2)</f>
        <v>0</v>
      </c>
      <c r="NS10" s="38">
        <f>IF($CR10="P",CI10,(CI10+BE10)/2)</f>
        <v>0</v>
      </c>
      <c r="NT10" s="38">
        <f>IF($CR10="P",CJ10,(CJ10+BF10)/2)</f>
        <v>0</v>
      </c>
      <c r="NU10" s="38">
        <f>IF($CR10="P",CK10,(CK10+BG10)/2)</f>
        <v>0</v>
      </c>
      <c r="NV10" s="38">
        <f>IF($CR10="P",CL10,(CL10+BH10)/2)</f>
        <v>0</v>
      </c>
      <c r="NW10" s="38">
        <f>IF($CR10="P",CM10,(CM10+BI10)/2)</f>
        <v>7.15</v>
      </c>
      <c r="NX10" s="38">
        <f>IF($CR10="P",CN10,(CN10+BJ10)/2)</f>
        <v>4.5</v>
      </c>
      <c r="NY10" s="38">
        <f>IF($CR10="P",CO10,(CO10+BK10)/2)</f>
        <v>5</v>
      </c>
      <c r="NZ10" s="38">
        <f>IF($CR10="P",CP10,(CP10+BL10)/2)</f>
        <v>6.8525</v>
      </c>
      <c r="OA10" s="38">
        <f>IF($CR10="P",CQ10,(CQ10+BM10)/2)</f>
        <v>0</v>
      </c>
      <c r="OB10" s="45" t="s">
        <v>46</v>
      </c>
      <c r="OC10" s="11">
        <f>IF(SUM(NH10:NK10)-NL10&gt;0,SUM(NH10:NK10)-NL10,"")</f>
        <v>36.622500000000002</v>
      </c>
      <c r="OD10" s="11">
        <f>IF(NO10&gt;0,NO10,"")</f>
        <v>9.75</v>
      </c>
      <c r="OE10" s="11">
        <f>IF(SUM(NM10:NP10)-NQ10&gt;0,SUM(NM10:NP10)-NQ10,"")</f>
        <v>46.677499999999995</v>
      </c>
      <c r="OF10" s="11" t="str">
        <f>IF(NT10&gt;0,NT10,"")</f>
        <v/>
      </c>
      <c r="OG10" s="11" t="str">
        <f>IF(SUM(NR10:NU10)-NV10&gt;0,SUM(NR10:NU10)-NV10,"")</f>
        <v/>
      </c>
      <c r="OH10" s="11">
        <f>IF(OR(OC10&lt;&gt;"",OE10&lt;&gt;"",OG10&lt;&gt;""),OC10+MAX(OE10,OG10),"")</f>
        <v>83.3</v>
      </c>
      <c r="OI10" s="11">
        <f>IF(NY10&gt;0,NY10,"")</f>
        <v>5</v>
      </c>
      <c r="OJ10" s="11">
        <f t="shared" ref="OJ10" si="6">IF(SUM(NW10:NZ10)-OA10&gt;0,SUM(NW10:NZ10)-OA10,"")</f>
        <v>23.502499999999998</v>
      </c>
      <c r="OK10" s="11">
        <f t="shared" ref="OK10" si="7">IF(SUM(OH10,OJ10)&gt;0,SUM(OH10,OJ10),"")</f>
        <v>106.80249999999999</v>
      </c>
    </row>
    <row r="11" spans="1:401" x14ac:dyDescent="0.2">
      <c r="A11" s="5" t="str" cm="1">
        <f t="array" ref="A11">IF(AND(F11="P",G11="P"),SUMPRODUCT((F$4:F$29="P")*(G$4:G$29="P")*(E$4:E$29&gt;E11))+1,IF(G11="P",SUMPRODUCT((F$4:F$29="")*(G$4:G$29="P")*(E$4:E$29&gt;E11))+1+SUMPRODUCT((F$4:F$29="P")*(G$4:G$29="P")),""))</f>
        <v/>
      </c>
      <c r="B11" s="6" t="s">
        <v>102</v>
      </c>
      <c r="C11" s="7" t="s">
        <v>5</v>
      </c>
      <c r="D11" s="22">
        <v>2001</v>
      </c>
      <c r="E11" s="15">
        <f>SUM(I11:M11)</f>
        <v>93.88</v>
      </c>
      <c r="F11" s="3" t="str">
        <f>IF(OR(AND(AL11&gt;=AS$31,AM11&gt;=AS$35,AL11&lt;&gt;"",AJ11=""),AND(AN11&gt;=AS$31,AO11&gt;=AS$35,AN11&lt;&gt;"",AN11=""),AND(AQ11&gt;=AS$31,AR11&gt;=AS$35,AQ11&lt;&gt;"",AJ11=""),AND(BP11&gt;=BW$31,BQ11&gt;=BW$35,BP11&lt;&gt;"",BN11=""),AND(BR11&gt;=BW$31,BS11&gt;=BW$35,BR11&lt;&gt;"",BN11=""),AND(BU11&gt;=BW$31,BV11&gt;=BW$35,BU11&lt;&gt;"",BN11=""),AND(CT11&gt;=DA$31,CU11&gt;=DA$35,CT11&lt;&gt;"",CR11=""),AND(CV11&gt;=DA$31,CW11&gt;=DA$35,CV11&lt;&gt;"",CR11=""),AND(CY11&gt;=DA$31,CZ11&gt;=DA$35,CY11&lt;&gt;"",CR11=""),AND(DS11&gt;=DY$31,DU11&gt;=DY$35,DS11&lt;&gt;""),AND(DW11&gt;=DY$31,DX11&gt;=DY$35,DW11&lt;&gt;""),AND(EO11&gt;=EU$31,EQ11&gt;=EU$35,EO11&lt;&gt;""),AND(ES11&gt;=EU$31,ET11&gt;=EU$35,ES11&lt;&gt;""),AND(FK11&gt;=FQ$31,FM11&gt;=FQ$35,FK11&lt;&gt;""),AND(FO11&gt;=FQ$31,FP11&gt;=FQ$35,FO11&lt;&gt;""),AND(GG11&gt;=GM$31,GI11&gt;=GM$35,GG11&lt;&gt;""),AND(GK11&gt;=GM$31,GL11&gt;=GM$35,GK11&lt;&gt;""),AND(HC11&gt;=HI$31,HE11&gt;=HI$35,HC11&lt;&gt;""),AND(HG11&gt;=HI$31,HH11&gt;=HI$35,HG11&lt;&gt;""),AND(HY11&gt;=IE$31,IA11&gt;=IE$35,HY11&lt;&gt;""),AND(IC11&gt;=IE$31,ID11&gt;=IE$35,IC11&lt;&gt;""),AND(IU11&gt;=JA$31,IW11&gt;=JA$35,IU11&lt;&gt;""),AND(IY11&gt;=JA$31,IZ11&gt;=JA$35,IY11&lt;&gt;""),AND(JQ11&gt;=JW$31,JS11&gt;=JW$35,JQ11&lt;&gt;""),AND(JU11&gt;=JW$31,JV11&gt;=JW$35,JU11&lt;&gt;""),AND(KM11&gt;=KS$31,KO11&gt;=KS$35,KM11&lt;&gt;""),AND(KQ11&gt;=KS$31,KR11&gt;=KS$35,KQ11&lt;&gt;""),AND(LI11&gt;=LO$31,LK11&gt;=LO$35,LI11&lt;&gt;""),AND(LM11&gt;=LO$31,LN11&gt;=LO$35,LM11&lt;&gt;""),AND(ME11&gt;=MK$31,MG11&gt;=MK$35,ME11&lt;&gt;""),AND(MI11&gt;=MK$31,MJ11&gt;=MK$35,MI11&lt;&gt;""),AND(NA11&gt;=NG$31,NC11&gt;=NG$35,NA11&lt;&gt;""),AND(NE11&gt;=NG$31,NF11&gt;=NG$35,NE11&lt;&gt;"")),"P","")</f>
        <v/>
      </c>
      <c r="G11" s="3" t="str">
        <f>IF(OR(AND(AM11&gt;=AS$35,AL11&lt;&gt;"",AJ11=""),AND(AO11&gt;=AS$35,AN11&lt;&gt;"",AN11=""),AND(AR11&gt;=AS$35,AQ11&lt;&gt;"",AJ11=""),AND(BQ11&gt;=BW$35,BP11&lt;&gt;"",BN11=""),AND(BS11&gt;=BW$35,BR11&lt;&gt;"",BN11=""),AND(BV11&gt;=BW$35,BU11&lt;&gt;"",BN11=""),AND(CU11&gt;=DA$35,CT11&lt;&gt;"",CR11=""),AND(CW11&gt;=DA$35,CV11&lt;&gt;"",CR11=""),AND(CZ11&gt;=DA$35,CY11&lt;&gt;"",CR11=""),AND(DU11&gt;=DY$35,DS11&lt;&gt;""),AND(DX11&gt;=DY$35,DW11&lt;&gt;""),AND(EQ11&gt;=EU$35,EO11&lt;&gt;""),AND(ET11&gt;=EU$35,ES11&lt;&gt;""),AND(FM11&gt;=FQ$35,FK11&lt;&gt;""),AND(FP11&gt;=FQ$35,FO11&lt;&gt;""),AND(GI11&gt;=GM$35,GG11&lt;&gt;""),AND(GL11&gt;=GM$35,GK11&lt;&gt;""),AND(HE11&gt;=HI$35,HC11&lt;&gt;""),AND(HH11&gt;=HI$35,HG11&lt;&gt;""),AND(IA11&gt;=IE$35,HY11&lt;&gt;""),AND(ID11&gt;=IE$35,IC11&lt;&gt;""),AND(IW11&gt;=JA$35,IU11&lt;&gt;""),AND(IZ11&gt;=JA$35,IY11&lt;&gt;""),AND(JS11&gt;=JW$35,JQ11&lt;&gt;""),AND(JV11&gt;=JW$35,JU11&lt;&gt;""),AND(KO11&gt;=KS$35,KM11&lt;&gt;""),AND(KR11&gt;=KS$35,KQ11&lt;&gt;""),AND(LK11&gt;=LO$35,LI11&lt;&gt;""),AND(LN11&gt;=LO$35,LM11&lt;&gt;""),AND(MG11&gt;=MK$35,ME11&lt;&gt;""),AND(MJ11&gt;=MK$35,MI11&lt;&gt;""),AND(NC11&gt;=NG$35,NA11&lt;&gt;""),AND(NF11&gt;=NG$35,NE11&lt;&gt;"")),"P","")</f>
        <v/>
      </c>
      <c r="H11" s="67" t="str">
        <f>IF(F11="P","National Team",IF(G11="P","No DD",""))</f>
        <v/>
      </c>
      <c r="I11" s="14">
        <f>MAX(AM11,AO11,AR11,BQ11,BS11,BV11,CU11,CW11,CZ11)</f>
        <v>47.47</v>
      </c>
      <c r="J11" s="14" t="str">
        <f>IF(I11=0,"",IF(OR(I11=CW11,I11=CU11,I11=CZ11),$BX$1,IF(OR(I11=BS11,I11=BQ11,I11=BV11),$AT$1,IF(OR(I11=AO11,I11=AM11,I11=AR11),$P$1,""))))</f>
        <v>2022 Elite Canada</v>
      </c>
      <c r="K11" s="14">
        <f>IF(COUNT(AM11,AO11,AR11,BQ11,BS11,BV11,CU11,CW11,CZ11)&gt;1,LARGE((AM11,AO11,AR11,BQ11,BS11,BV11,CU11,CW11,CZ11),2),0)</f>
        <v>46.41</v>
      </c>
      <c r="L11" s="14" t="str">
        <f>IF(K11=0,"",IF(OR(K11=CW11,K11=CU11,K11=CZ11),$BX$1,IF(OR(K11=BS11,K11=BQ11,K11=BV11),$AT$1,IF(OR(K11=AO11,K11=AM11,K11=AR11),$P$1,""))))</f>
        <v>2021 Elite Canada</v>
      </c>
      <c r="M11" s="14" t="str">
        <f>IF(MAX(DB11,DC11)&gt;0,MAX(DB11,DC11),"")</f>
        <v/>
      </c>
      <c r="N11" s="20" t="str">
        <f>IF(M11="","",IF(M11=#REF!,"(Vol 1)",IF(M11=DB11,"(Vol 2)",IF(M11=#REF!,"(Prelim)",IF(M11=DC11,"(Final)")))))</f>
        <v/>
      </c>
      <c r="O11" s="14" t="str">
        <f>IF(M11="","",IF(M11=#REF!,IF(M11+IF(#REF!="",0,#REF!)=NB11,$ML$1,IF(M11+IF(#REF!="",0,#REF!)=MF11,$LP$1,IF(M11+IF(#REF!="",0,#REF!)=LJ11,$KT$1,IF(M11+IF(#REF!="",0,#REF!)=KN11,$JX$1,IF(M11+IF(#REF!="",0,#REF!)=JR11,$JB$1,IF(M11+IF(#REF!="",0,#REF!)=IV11,$IF$1,IF(M11+IF(#REF!="",0,#REF!)=HZ11,$HJ$1,IF(M11+IF(#REF!="",0,#REF!)=HD11,$GN$1,IF(M11+IF(#REF!="",0,#REF!)=GH11,$FR$1,IF(M11+IF(#REF!="",0,#REF!)=FL11,$EV$1,IF(M11+IF(#REF!="",0,#REF!)=EP11,$DZ$1,IF(M11+IF(#REF!="",0,#REF!)=DT11,$DD$1)))))))))))),IF(M11=DB11,IF(M11+IF(I11="",0,I11)=NC11,$ML$1,IF(M11+IF(I11="",0,I11)=MG11,$LP$1,IF(M11+IF(I11="",0,I11)=LK11,$KT$1,IF(M11+IF(I11="",0,I11)=KO11,$JX$1,IF(M11+IF(I11="",0,I11)=JS11,$JB$1,IF(M11+IF(I11="",0,I11)=IW11,$IF$1,IF(M11+IF(I11="",0,I11)=IA11,$HJ$1,IF(M11+IF(I11="",0,I11)=HE11,$GN$1,IF(M11+IF(I11="",0,I11)=GI11,$FR$1,IF(M11+IF(I11="",0,I11)=FM11,$EV$1,IF(M11+IF(I11="",0,I11)=EQ11,$DZ$1,IF(M11+IF(I11="",0,I11)=DU11,$DD$1)))))))))))),IF(M11=#REF!,IF(M11+IF(#REF!="",0,#REF!)=ND11,$ML$1,IF(M11+IF(#REF!="",0,#REF!)=MH11,$LP$1,IF(M11+IF(#REF!="",0,#REF!)=LL11,$KT$1,IF(M11+IF(#REF!="",0,#REF!)=KP11,$JX$1,IF(M11+IF(#REF!="",0,#REF!)=JT11,$JB$1,IF(M11+IF(#REF!="",0,#REF!)=IX11,$IF$1,IF(M11+IF(#REF!="",0,#REF!)=IB11,$HJ$1,IF(M11+IF(#REF!="",0,#REF!)=HF11,$GN$1,IF(M11+IF(#REF!="",0,#REF!)=GJ11,$FR$1,IF(M11+IF(#REF!="",0,#REF!)=FN11,$EV$1,IF(M11+IF(#REF!="",0,#REF!)=ER11,$DZ$1,IF(M11+IF(#REF!="",0,#REF!)=DV11,$DD$1)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))</f>
        <v/>
      </c>
      <c r="P11" s="38">
        <v>16.100000000000001</v>
      </c>
      <c r="Q11" s="38">
        <v>9.6</v>
      </c>
      <c r="R11" s="38">
        <v>2.2000000000000002</v>
      </c>
      <c r="S11" s="38">
        <v>14.725</v>
      </c>
      <c r="T11" s="38">
        <v>0</v>
      </c>
      <c r="U11" s="38">
        <v>13.8</v>
      </c>
      <c r="V11" s="38">
        <v>9.5</v>
      </c>
      <c r="W11" s="38">
        <v>9.6999999999999993</v>
      </c>
      <c r="X11" s="38">
        <v>13.41</v>
      </c>
      <c r="Y11" s="38">
        <v>0</v>
      </c>
      <c r="Z11" s="38"/>
      <c r="AA11" s="38"/>
      <c r="AB11" s="38"/>
      <c r="AC11" s="38"/>
      <c r="AD11" s="38"/>
      <c r="AE11" s="38">
        <v>5.2</v>
      </c>
      <c r="AF11" s="38">
        <v>3.4</v>
      </c>
      <c r="AG11" s="38">
        <v>4.3</v>
      </c>
      <c r="AH11" s="38">
        <v>5.49</v>
      </c>
      <c r="AI11" s="38">
        <v>0</v>
      </c>
      <c r="AJ11" s="45"/>
      <c r="AK11" s="11">
        <f>IF(SUM(P11:S11)-T11&gt;0,SUM(P11:S11)-T11,"")</f>
        <v>42.625</v>
      </c>
      <c r="AL11" s="11">
        <f>IF(W11&gt;0,W11,"")</f>
        <v>9.6999999999999993</v>
      </c>
      <c r="AM11" s="11">
        <f>IF(SUM(U11:X11)-Y11&gt;0,SUM(U11:X11)-Y11,"")</f>
        <v>46.41</v>
      </c>
      <c r="AN11" s="11" t="str">
        <f>IF(AB11&gt;0,AB11,"")</f>
        <v/>
      </c>
      <c r="AO11" s="11" t="str">
        <f>IF(SUM(Z11:AC11)-AD11&gt;0,SUM(Z11:AC11)-AD11,"")</f>
        <v/>
      </c>
      <c r="AP11" s="11">
        <f>IF(AK11="",IF(MAX(AM11,AO11)&gt;0,MAX(AM11,AO11),""),MAX(AM11,AO11)+AK11)</f>
        <v>89.034999999999997</v>
      </c>
      <c r="AQ11" s="11">
        <f>IF(AG11&gt;0,AG11,"")</f>
        <v>4.3</v>
      </c>
      <c r="AR11" s="11">
        <f>IF(SUM(AE11:AH11)-AI11&gt;0,SUM(AE11:AH11)-AI11,"")</f>
        <v>18.39</v>
      </c>
      <c r="AS11" s="11">
        <f>IF(SUM(AP11,AR11)&gt;0,SUM(AP11,AR11),"")</f>
        <v>107.425</v>
      </c>
      <c r="AT11" s="42">
        <v>15.8</v>
      </c>
      <c r="AU11" s="42">
        <v>9.4</v>
      </c>
      <c r="AV11" s="42">
        <v>2</v>
      </c>
      <c r="AW11" s="42">
        <v>14.115</v>
      </c>
      <c r="AX11" s="42">
        <v>0</v>
      </c>
      <c r="AY11" s="42">
        <v>13.9</v>
      </c>
      <c r="AZ11" s="42">
        <v>8.8000000000000007</v>
      </c>
      <c r="BA11" s="42">
        <v>8.1999999999999993</v>
      </c>
      <c r="BB11" s="42">
        <v>13.39</v>
      </c>
      <c r="BC11" s="42">
        <v>0.6</v>
      </c>
      <c r="BD11" s="42"/>
      <c r="BE11" s="42"/>
      <c r="BF11" s="42"/>
      <c r="BG11" s="42"/>
      <c r="BH11" s="42"/>
      <c r="BI11" s="42">
        <v>14.1</v>
      </c>
      <c r="BJ11" s="42">
        <v>8.8000000000000007</v>
      </c>
      <c r="BK11" s="42">
        <v>9.4</v>
      </c>
      <c r="BL11" s="42">
        <v>11.71</v>
      </c>
      <c r="BM11" s="42">
        <v>0</v>
      </c>
      <c r="BN11" s="46"/>
      <c r="BO11" s="14">
        <f>IF(SUM(AT11:AW11)-AX11&gt;0,SUM(AT11:AW11)-AX11,"")</f>
        <v>41.315000000000005</v>
      </c>
      <c r="BP11" s="14">
        <f>IF(BA11&gt;0,BA11,"")</f>
        <v>8.1999999999999993</v>
      </c>
      <c r="BQ11" s="14">
        <f>IF(SUM(AY11:BB11)-BC11&gt;0,SUM(AY11:BB11)-BC11,"")</f>
        <v>43.690000000000005</v>
      </c>
      <c r="BR11" s="14" t="str">
        <f>IF(BF11&gt;0,BF11,"")</f>
        <v/>
      </c>
      <c r="BS11" s="14" t="str">
        <f>IF(SUM(BD11:BG11)-BH11&gt;0,SUM(BD11:BG11)-BH11,"")</f>
        <v/>
      </c>
      <c r="BT11" s="14">
        <f>IF(BO11="",IF(MAX(BQ11,BS11)&gt;0,MAX(BQ11,BS11),""),MAX(BQ11,BS11)+BO11)</f>
        <v>85.00500000000001</v>
      </c>
      <c r="BU11" s="14">
        <f>IF(BK11&gt;0,BK11,"")</f>
        <v>9.4</v>
      </c>
      <c r="BV11" s="14">
        <f>IF(SUM(BI11:BL11)-BM11&gt;0,SUM(BI11:BL11)-BM11,"")</f>
        <v>44.01</v>
      </c>
      <c r="BW11" s="14">
        <f>IF(SUM(BT11,BV11)&gt;0,SUM(BT11,BV11),"")</f>
        <v>129.01500000000001</v>
      </c>
      <c r="BX11" s="38">
        <v>14.7</v>
      </c>
      <c r="BY11" s="38">
        <v>9.1999999999999993</v>
      </c>
      <c r="BZ11" s="38">
        <v>2</v>
      </c>
      <c r="CA11" s="38">
        <v>14.27</v>
      </c>
      <c r="CB11" s="38">
        <v>0</v>
      </c>
      <c r="CC11" s="38">
        <v>13.1</v>
      </c>
      <c r="CD11" s="38">
        <v>9.1</v>
      </c>
      <c r="CE11" s="38">
        <v>10.3</v>
      </c>
      <c r="CF11" s="38">
        <v>13.47</v>
      </c>
      <c r="CG11" s="38">
        <v>0</v>
      </c>
      <c r="CH11" s="38"/>
      <c r="CI11" s="38"/>
      <c r="CJ11" s="38"/>
      <c r="CK11" s="38"/>
      <c r="CL11" s="38"/>
      <c r="CM11" s="38">
        <v>14</v>
      </c>
      <c r="CN11" s="38">
        <v>9.4</v>
      </c>
      <c r="CO11" s="38">
        <v>10.3</v>
      </c>
      <c r="CP11" s="38">
        <v>13.77</v>
      </c>
      <c r="CQ11" s="38">
        <v>0</v>
      </c>
      <c r="CR11" s="45"/>
      <c r="CS11" s="11">
        <f>IF(SUM(BX11:CA11)-CB11&gt;0,SUM(BX11:CA11)-CB11,"")</f>
        <v>40.17</v>
      </c>
      <c r="CT11" s="11">
        <f>IF(CE11&gt;0,CE11,"")</f>
        <v>10.3</v>
      </c>
      <c r="CU11" s="11">
        <f>IF(SUM(CC11:CF11)-CG11&gt;0,SUM(CC11:CF11)-CG11,"")</f>
        <v>45.97</v>
      </c>
      <c r="CV11" s="11" t="str">
        <f>IF(CJ11&gt;0,CJ11,"")</f>
        <v/>
      </c>
      <c r="CW11" s="11" t="str">
        <f>IF(SUM(CH11:CK11)-CL11&gt;0,SUM(CH11:CK11)-CL11,"")</f>
        <v/>
      </c>
      <c r="CX11" s="11">
        <f>IF(CS11="",IF(MAX(CU11,CW11)&gt;0,MAX(CU11,CW11),""),MAX(CU11,CW11)+CS11)</f>
        <v>86.14</v>
      </c>
      <c r="CY11" s="11">
        <f>IF(CO11&gt;0,CO11,"")</f>
        <v>10.3</v>
      </c>
      <c r="CZ11" s="11">
        <f>IF(SUM(CM11:CP11)-CQ11&gt;0,SUM(CM11:CP11)-CQ11,"")</f>
        <v>47.47</v>
      </c>
      <c r="DA11" s="11">
        <f>IF(SUM(CX11,CZ11)&gt;0,SUM(CX11,CZ11),"")</f>
        <v>133.61000000000001</v>
      </c>
      <c r="DB11" s="19" t="str">
        <f>IF(I11&gt;=0.001,IF(MAX(DU11,EQ11,FM11,GI11,HE11,IA11,IW11,JS11,KO11,LK11,MG11,NC11)-IF(I11="",0,I11)&gt;0.001,MAX(DU11,EQ11,FM11,GI11,HE11,IA11,IW11,JS11,KO11,LK11,MG11,NC11)-IF(I11="",0,I11),""),"")</f>
        <v/>
      </c>
      <c r="DC11" s="19" t="str">
        <f>IF(K11&gt;=0.001,IF(MAX(DX11,ET11,FP11,GL11,HH11,ID11,IZ11,JV11,KR11,LN11,MJ11,NF11)-IF(K11="",0,K11)&gt;0.001,MAX(DX11,ET11,FP11,GL11,HH11,ID11,IZ11,JV11,KR11,LN11,MJ11,NF11)-IF(K11="",0,K11),""),"")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11" t="str">
        <f>IF(FC11&gt;0,FC11,"")</f>
        <v/>
      </c>
      <c r="FL11" s="11" t="str">
        <f>IF(SUM(EV11:EY11)-EZ11&gt;0,SUM(EV11:EY11)-EZ11,"")</f>
        <v/>
      </c>
      <c r="FM11" s="11" t="str">
        <f>IF(SUM(FA11:FD11)-FE11&gt;0,SUM(FA11:FD11)-FE11,"")</f>
        <v/>
      </c>
      <c r="FN11" s="11" t="str">
        <f>IF(SUM(FL11:FM11)&gt;0,SUM(FL11:FM11),"")</f>
        <v/>
      </c>
      <c r="FO11" s="11" t="str">
        <f>IF(FH11&gt;0,FH11,"")</f>
        <v/>
      </c>
      <c r="FP11" s="11" t="str">
        <f>IF(SUM(FF11:FI11)-FJ11&gt;0,SUM(FF11:FI11)-FJ11,"")</f>
        <v/>
      </c>
      <c r="FQ11" s="11" t="str">
        <f>IF(SUM(FN11,FP11)&gt;0,SUM(FN11,FP11),"")</f>
        <v/>
      </c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8">
        <f>IF($CR11="P",BX11,(BX11+AT11)/2)</f>
        <v>15.25</v>
      </c>
      <c r="NI11" s="38">
        <f>IF($CR11="P",BY11,(BY11+AU11)/2)</f>
        <v>9.3000000000000007</v>
      </c>
      <c r="NJ11" s="38">
        <f>IF($CR11="P",BZ11,(BZ11+AV11)/2)</f>
        <v>2</v>
      </c>
      <c r="NK11" s="38">
        <f>IF($CR11="P",CA11,(CA11+AW11)/2)</f>
        <v>14.192499999999999</v>
      </c>
      <c r="NL11" s="38">
        <f>IF($CR11="P",CB11,(CB11+AX11)/2)</f>
        <v>0</v>
      </c>
      <c r="NM11" s="38">
        <f>IF($CR11="P",CC11,(CC11+AY11)/2)</f>
        <v>13.5</v>
      </c>
      <c r="NN11" s="38">
        <f>IF($CR11="P",CD11,(CD11+AZ11)/2)</f>
        <v>8.9499999999999993</v>
      </c>
      <c r="NO11" s="38">
        <f>IF($CR11="P",CE11,(CE11+BA11)/2)</f>
        <v>9.25</v>
      </c>
      <c r="NP11" s="38">
        <f>IF($CR11="P",CF11,(CF11+BB11)/2)</f>
        <v>13.43</v>
      </c>
      <c r="NQ11" s="38">
        <f>IF($CR11="P",CG11,(CG11+BC11)/2)</f>
        <v>0.3</v>
      </c>
      <c r="NR11" s="38">
        <f>IF($CR11="P",CH11,(CH11+BD11)/2)</f>
        <v>0</v>
      </c>
      <c r="NS11" s="38">
        <f>IF($CR11="P",CI11,(CI11+BE11)/2)</f>
        <v>0</v>
      </c>
      <c r="NT11" s="38">
        <f>IF($CR11="P",CJ11,(CJ11+BF11)/2)</f>
        <v>0</v>
      </c>
      <c r="NU11" s="38">
        <f>IF($CR11="P",CK11,(CK11+BG11)/2)</f>
        <v>0</v>
      </c>
      <c r="NV11" s="38">
        <f>IF($CR11="P",CL11,(CL11+BH11)/2)</f>
        <v>0</v>
      </c>
      <c r="NW11" s="38">
        <f>IF($CR11="P",CM11,(CM11+BI11)/2)</f>
        <v>14.05</v>
      </c>
      <c r="NX11" s="38">
        <f>IF($CR11="P",CN11,(CN11+BJ11)/2)</f>
        <v>9.1000000000000014</v>
      </c>
      <c r="NY11" s="38">
        <f>IF($CR11="P",CO11,(CO11+BK11)/2)</f>
        <v>9.8500000000000014</v>
      </c>
      <c r="NZ11" s="38">
        <f>IF($CR11="P",CP11,(CP11+BL11)/2)</f>
        <v>12.74</v>
      </c>
      <c r="OA11" s="38">
        <f>IF($CR11="P",CQ11,(CQ11+BM11)/2)</f>
        <v>0</v>
      </c>
      <c r="OB11" s="45" t="s">
        <v>46</v>
      </c>
      <c r="OC11" s="11">
        <f>IF(SUM(NH11:NK11)-NL11&gt;0,SUM(NH11:NK11)-NL11,"")</f>
        <v>40.7425</v>
      </c>
      <c r="OD11" s="11">
        <f>IF(NO11&gt;0,NO11,"")</f>
        <v>9.25</v>
      </c>
      <c r="OE11" s="11">
        <f>IF(SUM(NM11:NP11)-NQ11&gt;0,SUM(NM11:NP11)-NQ11,"")</f>
        <v>44.83</v>
      </c>
      <c r="OF11" s="11" t="str">
        <f>IF(NT11&gt;0,NT11,"")</f>
        <v/>
      </c>
      <c r="OG11" s="11" t="str">
        <f>IF(SUM(NR11:NU11)-NV11&gt;0,SUM(NR11:NU11)-NV11,"")</f>
        <v/>
      </c>
      <c r="OH11" s="11">
        <f>IF(OR(OC11&lt;&gt;"",OE11&lt;&gt;"",OG11&lt;&gt;""),OC11+MAX(OE11,OG11),"")</f>
        <v>85.572499999999991</v>
      </c>
      <c r="OI11" s="11">
        <f>IF(NY11&gt;0,NY11,"")</f>
        <v>9.8500000000000014</v>
      </c>
      <c r="OJ11" s="11">
        <f t="shared" ref="OJ11" si="8">IF(SUM(NW11:NZ11)-OA11&gt;0,SUM(NW11:NZ11)-OA11,"")</f>
        <v>45.74</v>
      </c>
      <c r="OK11" s="11">
        <f t="shared" ref="OK11" si="9">IF(SUM(OH11,OJ11)&gt;0,SUM(OH11,OJ11),"")</f>
        <v>131.3125</v>
      </c>
    </row>
    <row r="12" spans="1:401" x14ac:dyDescent="0.2">
      <c r="A12" s="5" t="str" cm="1">
        <f t="array" ref="A12">IF(AND(F12="P",G12="P"),SUMPRODUCT((F$4:F$29="P")*(G$4:G$29="P")*(E$4:E$29&gt;E12))+1,IF(G12="P",SUMPRODUCT((F$4:F$29="")*(G$4:G$29="P")*(E$4:E$29&gt;E12))+1+SUMPRODUCT((F$4:F$29="P")*(G$4:G$29="P")),""))</f>
        <v/>
      </c>
      <c r="B12" s="8" t="s">
        <v>136</v>
      </c>
      <c r="C12" s="4" t="s">
        <v>4</v>
      </c>
      <c r="D12" s="22">
        <v>2005</v>
      </c>
      <c r="E12" s="15">
        <f>SUM(I12:M12)</f>
        <v>93.724999999999994</v>
      </c>
      <c r="F12" s="3" t="str">
        <f>IF(OR(AND(AL12&gt;=AS$31,AM12&gt;=AS$35,AL12&lt;&gt;"",AJ12=""),AND(AN12&gt;=AS$31,AO12&gt;=AS$35,AN12&lt;&gt;"",AN12=""),AND(AQ12&gt;=AS$31,AR12&gt;=AS$35,AQ12&lt;&gt;"",AJ12=""),AND(BP12&gt;=BW$31,BQ12&gt;=BW$35,BP12&lt;&gt;"",BN12=""),AND(BR12&gt;=BW$31,BS12&gt;=BW$35,BR12&lt;&gt;"",BN12=""),AND(BU12&gt;=BW$31,BV12&gt;=BW$35,BU12&lt;&gt;"",BN12=""),AND(CT12&gt;=DA$31,CU12&gt;=DA$35,CT12&lt;&gt;"",CR12=""),AND(CV12&gt;=DA$31,CW12&gt;=DA$35,CV12&lt;&gt;"",CR12=""),AND(CY12&gt;=DA$31,CZ12&gt;=DA$35,CY12&lt;&gt;"",CR12=""),AND(DS12&gt;=DY$31,DU12&gt;=DY$35,DS12&lt;&gt;""),AND(DW12&gt;=DY$31,DX12&gt;=DY$35,DW12&lt;&gt;""),AND(EO12&gt;=EU$31,EQ12&gt;=EU$35,EO12&lt;&gt;""),AND(ES12&gt;=EU$31,ET12&gt;=EU$35,ES12&lt;&gt;""),AND(FK12&gt;=FQ$31,FM12&gt;=FQ$35,FK12&lt;&gt;""),AND(FO12&gt;=FQ$31,FP12&gt;=FQ$35,FO12&lt;&gt;""),AND(GG12&gt;=GM$31,GI12&gt;=GM$35,GG12&lt;&gt;""),AND(GK12&gt;=GM$31,GL12&gt;=GM$35,GK12&lt;&gt;""),AND(HC12&gt;=HI$31,HE12&gt;=HI$35,HC12&lt;&gt;""),AND(HG12&gt;=HI$31,HH12&gt;=HI$35,HG12&lt;&gt;""),AND(HY12&gt;=IE$31,IA12&gt;=IE$35,HY12&lt;&gt;""),AND(IC12&gt;=IE$31,ID12&gt;=IE$35,IC12&lt;&gt;""),AND(IU12&gt;=JA$31,IW12&gt;=JA$35,IU12&lt;&gt;""),AND(IY12&gt;=JA$31,IZ12&gt;=JA$35,IY12&lt;&gt;""),AND(JQ12&gt;=JW$31,JS12&gt;=JW$35,JQ12&lt;&gt;""),AND(JU12&gt;=JW$31,JV12&gt;=JW$35,JU12&lt;&gt;""),AND(KM12&gt;=KS$31,KO12&gt;=KS$35,KM12&lt;&gt;""),AND(KQ12&gt;=KS$31,KR12&gt;=KS$35,KQ12&lt;&gt;""),AND(LI12&gt;=LO$31,LK12&gt;=LO$35,LI12&lt;&gt;""),AND(LM12&gt;=LO$31,LN12&gt;=LO$35,LM12&lt;&gt;""),AND(ME12&gt;=MK$31,MG12&gt;=MK$35,ME12&lt;&gt;""),AND(MI12&gt;=MK$31,MJ12&gt;=MK$35,MI12&lt;&gt;""),AND(NA12&gt;=NG$31,NC12&gt;=NG$35,NA12&lt;&gt;""),AND(NE12&gt;=NG$31,NF12&gt;=NG$35,NE12&lt;&gt;"")),"P","")</f>
        <v/>
      </c>
      <c r="G12" s="3" t="str">
        <f>IF(OR(AND(AM12&gt;=AS$35,AL12&lt;&gt;"",AJ12=""),AND(AO12&gt;=AS$35,AN12&lt;&gt;"",AN12=""),AND(AR12&gt;=AS$35,AQ12&lt;&gt;"",AJ12=""),AND(BQ12&gt;=BW$35,BP12&lt;&gt;"",BN12=""),AND(BS12&gt;=BW$35,BR12&lt;&gt;"",BN12=""),AND(BV12&gt;=BW$35,BU12&lt;&gt;"",BN12=""),AND(CU12&gt;=DA$35,CT12&lt;&gt;"",CR12=""),AND(CW12&gt;=DA$35,CV12&lt;&gt;"",CR12=""),AND(CZ12&gt;=DA$35,CY12&lt;&gt;"",CR12=""),AND(DU12&gt;=DY$35,DS12&lt;&gt;""),AND(DX12&gt;=DY$35,DW12&lt;&gt;""),AND(EQ12&gt;=EU$35,EO12&lt;&gt;""),AND(ET12&gt;=EU$35,ES12&lt;&gt;""),AND(FM12&gt;=FQ$35,FK12&lt;&gt;""),AND(FP12&gt;=FQ$35,FO12&lt;&gt;""),AND(GI12&gt;=GM$35,GG12&lt;&gt;""),AND(GL12&gt;=GM$35,GK12&lt;&gt;""),AND(HE12&gt;=HI$35,HC12&lt;&gt;""),AND(HH12&gt;=HI$35,HG12&lt;&gt;""),AND(IA12&gt;=IE$35,HY12&lt;&gt;""),AND(ID12&gt;=IE$35,IC12&lt;&gt;""),AND(IW12&gt;=JA$35,IU12&lt;&gt;""),AND(IZ12&gt;=JA$35,IY12&lt;&gt;""),AND(JS12&gt;=JW$35,JQ12&lt;&gt;""),AND(JV12&gt;=JW$35,JU12&lt;&gt;""),AND(KO12&gt;=KS$35,KM12&lt;&gt;""),AND(KR12&gt;=KS$35,KQ12&lt;&gt;""),AND(LK12&gt;=LO$35,LI12&lt;&gt;""),AND(LN12&gt;=LO$35,LM12&lt;&gt;""),AND(MG12&gt;=MK$35,ME12&lt;&gt;""),AND(MJ12&gt;=MK$35,MI12&lt;&gt;""),AND(NC12&gt;=NG$35,NA12&lt;&gt;""),AND(NF12&gt;=NG$35,NE12&lt;&gt;"")),"P","")</f>
        <v/>
      </c>
      <c r="H12" s="67" t="str">
        <f>IF(F12="P","National Team",IF(G12="P","No DD",""))</f>
        <v/>
      </c>
      <c r="I12" s="14">
        <f>MAX(AM12,AO12,AR12,BQ12,BS12,BV12,CU12,CW12,CZ12)</f>
        <v>46.97</v>
      </c>
      <c r="J12" s="14" t="str">
        <f>IF(I12=0,"",IF(OR(I12=CW12,I12=CU12,I12=CZ12),$BX$1,IF(OR(I12=BS12,I12=BQ12,I12=BV12),$AT$1,IF(OR(I12=AO12,I12=AM12,I12=AR12),$P$1,""))))</f>
        <v>2022 Elite Canada</v>
      </c>
      <c r="K12" s="14">
        <f>IF(COUNT(AM12,AO12,AR12,BQ12,BS12,BV12,CU12,CW12,CZ12)&gt;1,LARGE((AM12,AO12,AR12,BQ12,BS12,BV12,CU12,CW12,CZ12),2),0)</f>
        <v>46.755000000000003</v>
      </c>
      <c r="L12" s="14" t="str">
        <f>IF(K12=0,"",IF(OR(K12=CW12,K12=CU12,K12=CZ12),$BX$1,IF(OR(K12=BS12,K12=BQ12,K12=BV12),$AT$1,IF(OR(K12=AO12,K12=AM12,K12=AR12),$P$1,""))))</f>
        <v>2021 Elite Canada</v>
      </c>
      <c r="M12" s="14" t="str">
        <f>IF(MAX(DB12,DC12)&gt;0,MAX(DB12,DC12),"")</f>
        <v/>
      </c>
      <c r="N12" s="20" t="str">
        <f>IF(M12="","",IF(M12=#REF!,"(Vol 1)",IF(M12=DB12,"(Vol 2)",IF(M12=#REF!,"(Prelim)",IF(M12=DC12,"(Final)")))))</f>
        <v/>
      </c>
      <c r="O12" s="14" t="str">
        <f>IF(M12="","",IF(M12=#REF!,IF(M12+IF(#REF!="",0,#REF!)=NB12,$ML$1,IF(M12+IF(#REF!="",0,#REF!)=MF12,$LP$1,IF(M12+IF(#REF!="",0,#REF!)=LJ12,$KT$1,IF(M12+IF(#REF!="",0,#REF!)=KN12,$JX$1,IF(M12+IF(#REF!="",0,#REF!)=JR12,$JB$1,IF(M12+IF(#REF!="",0,#REF!)=IV12,$IF$1,IF(M12+IF(#REF!="",0,#REF!)=HZ12,$HJ$1,IF(M12+IF(#REF!="",0,#REF!)=HD12,$GN$1,IF(M12+IF(#REF!="",0,#REF!)=GH12,$FR$1,IF(M12+IF(#REF!="",0,#REF!)=FL12,$EV$1,IF(M12+IF(#REF!="",0,#REF!)=EP12,$DZ$1,IF(M12+IF(#REF!="",0,#REF!)=DT12,$DD$1)))))))))))),IF(M12=DB12,IF(M12+IF(I12="",0,I12)=NC12,$ML$1,IF(M12+IF(I12="",0,I12)=MG12,$LP$1,IF(M12+IF(I12="",0,I12)=LK12,$KT$1,IF(M12+IF(I12="",0,I12)=KO12,$JX$1,IF(M12+IF(I12="",0,I12)=JS12,$JB$1,IF(M12+IF(I12="",0,I12)=IW12,$IF$1,IF(M12+IF(I12="",0,I12)=IA12,$HJ$1,IF(M12+IF(I12="",0,I12)=HE12,$GN$1,IF(M12+IF(I12="",0,I12)=GI12,$FR$1,IF(M12+IF(I12="",0,I12)=FM12,$EV$1,IF(M12+IF(I12="",0,I12)=EQ12,$DZ$1,IF(M12+IF(I12="",0,I12)=DU12,$DD$1)))))))))))),IF(M12=#REF!,IF(M12+IF(#REF!="",0,#REF!)=ND12,$ML$1,IF(M12+IF(#REF!="",0,#REF!)=MH12,$LP$1,IF(M12+IF(#REF!="",0,#REF!)=LL12,$KT$1,IF(M12+IF(#REF!="",0,#REF!)=KP12,$JX$1,IF(M12+IF(#REF!="",0,#REF!)=JT12,$JB$1,IF(M12+IF(#REF!="",0,#REF!)=IX12,$IF$1,IF(M12+IF(#REF!="",0,#REF!)=IB12,$HJ$1,IF(M12+IF(#REF!="",0,#REF!)=HF12,$GN$1,IF(M12+IF(#REF!="",0,#REF!)=GJ12,$FR$1,IF(M12+IF(#REF!="",0,#REF!)=FN12,$EV$1,IF(M12+IF(#REF!="",0,#REF!)=ER12,$DZ$1,IF(M12+IF(#REF!="",0,#REF!)=DV12,$DD$1)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))</f>
        <v/>
      </c>
      <c r="P12" s="38">
        <v>16</v>
      </c>
      <c r="Q12" s="38">
        <v>9.6999999999999993</v>
      </c>
      <c r="R12" s="38">
        <v>0</v>
      </c>
      <c r="S12" s="38">
        <v>14.27</v>
      </c>
      <c r="T12" s="38">
        <v>0</v>
      </c>
      <c r="U12" s="38">
        <v>14.6</v>
      </c>
      <c r="V12" s="38">
        <v>9.6</v>
      </c>
      <c r="W12" s="38">
        <v>9.1999999999999993</v>
      </c>
      <c r="X12" s="38">
        <v>13.654999999999999</v>
      </c>
      <c r="Y12" s="38">
        <v>0.3</v>
      </c>
      <c r="Z12" s="38"/>
      <c r="AA12" s="38"/>
      <c r="AB12" s="38"/>
      <c r="AC12" s="38"/>
      <c r="AD12" s="38"/>
      <c r="AE12" s="38">
        <v>13.8</v>
      </c>
      <c r="AF12" s="38">
        <v>9.4</v>
      </c>
      <c r="AG12" s="38">
        <v>9.1999999999999993</v>
      </c>
      <c r="AH12" s="38">
        <v>13.725</v>
      </c>
      <c r="AI12" s="38">
        <v>0.3</v>
      </c>
      <c r="AJ12" s="45"/>
      <c r="AK12" s="11">
        <f>IF(SUM(P12:S12)-T12&gt;0,SUM(P12:S12)-T12,"")</f>
        <v>39.97</v>
      </c>
      <c r="AL12" s="11">
        <f>IF(W12&gt;0,W12,"")</f>
        <v>9.1999999999999993</v>
      </c>
      <c r="AM12" s="11">
        <f>IF(SUM(U12:X12)-Y12&gt;0,SUM(U12:X12)-Y12,"")</f>
        <v>46.755000000000003</v>
      </c>
      <c r="AN12" s="11" t="str">
        <f>IF(AB12&gt;0,AB12,"")</f>
        <v/>
      </c>
      <c r="AO12" s="11" t="str">
        <f>IF(SUM(Z12:AC12)-AD12&gt;0,SUM(Z12:AC12)-AD12,"")</f>
        <v/>
      </c>
      <c r="AP12" s="11">
        <f>IF(AK12="",IF(MAX(AM12,AO12)&gt;0,MAX(AM12,AO12),""),MAX(AM12,AO12)+AK12)</f>
        <v>86.724999999999994</v>
      </c>
      <c r="AQ12" s="11">
        <f>IF(AG12&gt;0,AG12,"")</f>
        <v>9.1999999999999993</v>
      </c>
      <c r="AR12" s="11">
        <f>IF(SUM(AE12:AH12)-AI12&gt;0,SUM(AE12:AH12)-AI12,"")</f>
        <v>45.82500000000001</v>
      </c>
      <c r="AS12" s="11">
        <f>IF(SUM(AP12,AR12)&gt;0,SUM(AP12,AR12),"")</f>
        <v>132.55000000000001</v>
      </c>
      <c r="AT12" s="42">
        <v>16.3</v>
      </c>
      <c r="AU12" s="42">
        <v>9.3000000000000007</v>
      </c>
      <c r="AV12" s="42">
        <v>0</v>
      </c>
      <c r="AW12" s="42">
        <v>14.425000000000001</v>
      </c>
      <c r="AX12" s="42">
        <v>0</v>
      </c>
      <c r="AY12" s="42">
        <v>1.3</v>
      </c>
      <c r="AZ12" s="42">
        <v>1</v>
      </c>
      <c r="BA12" s="42">
        <v>1.5</v>
      </c>
      <c r="BB12" s="42">
        <v>1.43</v>
      </c>
      <c r="BC12" s="42">
        <v>0</v>
      </c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6"/>
      <c r="BO12" s="14">
        <f>IF(SUM(AT12:AW12)-AX12&gt;0,SUM(AT12:AW12)-AX12,"")</f>
        <v>40.025000000000006</v>
      </c>
      <c r="BP12" s="14">
        <f>IF(BA12&gt;0,BA12,"")</f>
        <v>1.5</v>
      </c>
      <c r="BQ12" s="14">
        <f>IF(SUM(AY12:BB12)-BC12&gt;0,SUM(AY12:BB12)-BC12,"")</f>
        <v>5.2299999999999995</v>
      </c>
      <c r="BR12" s="14" t="str">
        <f>IF(BF12&gt;0,BF12,"")</f>
        <v/>
      </c>
      <c r="BS12" s="14" t="str">
        <f>IF(SUM(BD12:BG12)-BH12&gt;0,SUM(BD12:BG12)-BH12,"")</f>
        <v/>
      </c>
      <c r="BT12" s="14">
        <f>IF(BO12="",IF(MAX(BQ12,BS12)&gt;0,MAX(BQ12,BS12),""),MAX(BQ12,BS12)+BO12)</f>
        <v>45.255000000000003</v>
      </c>
      <c r="BU12" s="14" t="str">
        <f>IF(BK12&gt;0,BK12,"")</f>
        <v/>
      </c>
      <c r="BV12" s="14" t="str">
        <f>IF(SUM(BI12:BL12)-BM12&gt;0,SUM(BI12:BL12)-BM12,"")</f>
        <v/>
      </c>
      <c r="BW12" s="14">
        <f>IF(SUM(BT12,BV12)&gt;0,SUM(BT12,BV12),"")</f>
        <v>45.255000000000003</v>
      </c>
      <c r="BX12" s="38">
        <v>15.2</v>
      </c>
      <c r="BY12" s="38">
        <v>9.9</v>
      </c>
      <c r="BZ12" s="38">
        <v>1.5</v>
      </c>
      <c r="CA12" s="38">
        <v>14.62</v>
      </c>
      <c r="CB12" s="38">
        <v>0</v>
      </c>
      <c r="CC12" s="38">
        <v>13.6</v>
      </c>
      <c r="CD12" s="38">
        <v>9.5</v>
      </c>
      <c r="CE12" s="38">
        <v>9.6999999999999993</v>
      </c>
      <c r="CF12" s="38">
        <v>14.17</v>
      </c>
      <c r="CG12" s="38">
        <v>0</v>
      </c>
      <c r="CH12" s="38"/>
      <c r="CI12" s="38"/>
      <c r="CJ12" s="38"/>
      <c r="CK12" s="38"/>
      <c r="CL12" s="38"/>
      <c r="CM12" s="38">
        <v>12.7</v>
      </c>
      <c r="CN12" s="38">
        <v>8.6</v>
      </c>
      <c r="CO12" s="38">
        <v>8.4</v>
      </c>
      <c r="CP12" s="38">
        <v>13.65</v>
      </c>
      <c r="CQ12" s="38">
        <v>0.4</v>
      </c>
      <c r="CR12" s="45"/>
      <c r="CS12" s="11">
        <f>IF(SUM(BX12:CA12)-CB12&gt;0,SUM(BX12:CA12)-CB12,"")</f>
        <v>41.22</v>
      </c>
      <c r="CT12" s="11">
        <f>IF(CE12&gt;0,CE12,"")</f>
        <v>9.6999999999999993</v>
      </c>
      <c r="CU12" s="11">
        <f>IF(SUM(CC12:CF12)-CG12&gt;0,SUM(CC12:CF12)-CG12,"")</f>
        <v>46.97</v>
      </c>
      <c r="CV12" s="11" t="str">
        <f>IF(CJ12&gt;0,CJ12,"")</f>
        <v/>
      </c>
      <c r="CW12" s="11" t="str">
        <f>IF(SUM(CH12:CK12)-CL12&gt;0,SUM(CH12:CK12)-CL12,"")</f>
        <v/>
      </c>
      <c r="CX12" s="11">
        <f>IF(CS12="",IF(MAX(CU12,CW12)&gt;0,MAX(CU12,CW12),""),MAX(CU12,CW12)+CS12)</f>
        <v>88.19</v>
      </c>
      <c r="CY12" s="11">
        <f>IF(CO12&gt;0,CO12,"")</f>
        <v>8.4</v>
      </c>
      <c r="CZ12" s="11">
        <f>IF(SUM(CM12:CP12)-CQ12&gt;0,SUM(CM12:CP12)-CQ12,"")</f>
        <v>42.949999999999996</v>
      </c>
      <c r="DA12" s="11">
        <f>IF(SUM(CX12,CZ12)&gt;0,SUM(CX12,CZ12),"")</f>
        <v>131.13999999999999</v>
      </c>
      <c r="DB12" s="19" t="str">
        <f>IF(I12&gt;=0.001,IF(MAX(DU12,EQ12,FM12,GI12,HE12,IA12,IW12,JS12,KO12,LK12,MG12,NC12)-IF(I12="",0,I12)&gt;0.001,MAX(DU12,EQ12,FM12,GI12,HE12,IA12,IW12,JS12,KO12,LK12,MG12,NC12)-IF(I12="",0,I12),""),"")</f>
        <v/>
      </c>
      <c r="DC12" s="19" t="str">
        <f>IF(K12&gt;=0.001,IF(MAX(DX12,ET12,FP12,GL12,HH12,ID12,IZ12,JV12,KR12,LN12,MJ12,NF12)-IF(K12="",0,K12)&gt;0.001,MAX(DX12,ET12,FP12,GL12,HH12,ID12,IZ12,JV12,KR12,LN12,MJ12,NF12)-IF(K12="",0,K12),""),"")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8">
        <f>IF($CR12="P",BX12,(BX12+AT12)/2)</f>
        <v>15.75</v>
      </c>
      <c r="NI12" s="38">
        <f>IF($CR12="P",BY12,(BY12+AU12)/2)</f>
        <v>9.6000000000000014</v>
      </c>
      <c r="NJ12" s="38">
        <f>IF($CR12="P",BZ12,(BZ12+AV12)/2)</f>
        <v>0.75</v>
      </c>
      <c r="NK12" s="38">
        <f>IF($CR12="P",CA12,(CA12+AW12)/2)</f>
        <v>14.522500000000001</v>
      </c>
      <c r="NL12" s="38">
        <f>IF($CR12="P",CB12,(CB12+AX12)/2)</f>
        <v>0</v>
      </c>
      <c r="NM12" s="38">
        <f>IF($CR12="P",CC12,(CC12+AY12)/2)</f>
        <v>7.45</v>
      </c>
      <c r="NN12" s="38">
        <f>IF($CR12="P",CD12,(CD12+AZ12)/2)</f>
        <v>5.25</v>
      </c>
      <c r="NO12" s="38">
        <f>IF($CR12="P",CE12,(CE12+BA12)/2)</f>
        <v>5.6</v>
      </c>
      <c r="NP12" s="38">
        <f>IF($CR12="P",CF12,(CF12+BB12)/2)</f>
        <v>7.8</v>
      </c>
      <c r="NQ12" s="38">
        <f>IF($CR12="P",CG12,(CG12+BC12)/2)</f>
        <v>0</v>
      </c>
      <c r="NR12" s="38">
        <f>IF($CR12="P",CH12,(CH12+BD12)/2)</f>
        <v>0</v>
      </c>
      <c r="NS12" s="38">
        <f>IF($CR12="P",CI12,(CI12+BE12)/2)</f>
        <v>0</v>
      </c>
      <c r="NT12" s="38">
        <f>IF($CR12="P",CJ12,(CJ12+BF12)/2)</f>
        <v>0</v>
      </c>
      <c r="NU12" s="38">
        <f>IF($CR12="P",CK12,(CK12+BG12)/2)</f>
        <v>0</v>
      </c>
      <c r="NV12" s="38">
        <f>IF($CR12="P",CL12,(CL12+BH12)/2)</f>
        <v>0</v>
      </c>
      <c r="NW12" s="38">
        <f>IF($CR12="P",CM12,(CM12+BI12)/2)</f>
        <v>6.35</v>
      </c>
      <c r="NX12" s="38">
        <f>IF($CR12="P",CN12,(CN12+BJ12)/2)</f>
        <v>4.3</v>
      </c>
      <c r="NY12" s="38">
        <f>IF($CR12="P",CO12,(CO12+BK12)/2)</f>
        <v>4.2</v>
      </c>
      <c r="NZ12" s="38">
        <f>IF($CR12="P",CP12,(CP12+BL12)/2)</f>
        <v>6.8250000000000002</v>
      </c>
      <c r="OA12" s="38">
        <f>IF($CR12="P",CQ12,(CQ12+BM12)/2)</f>
        <v>0.2</v>
      </c>
      <c r="OB12" s="45" t="s">
        <v>46</v>
      </c>
      <c r="OC12" s="11">
        <f>IF(SUM(NH12:NK12)-NL12&gt;0,SUM(NH12:NK12)-NL12,"")</f>
        <v>40.622500000000002</v>
      </c>
      <c r="OD12" s="11">
        <f>IF(NO12&gt;0,NO12,"")</f>
        <v>5.6</v>
      </c>
      <c r="OE12" s="11">
        <f>IF(SUM(NM12:NP12)-NQ12&gt;0,SUM(NM12:NP12)-NQ12,"")</f>
        <v>26.099999999999998</v>
      </c>
      <c r="OF12" s="11" t="str">
        <f>IF(NT12&gt;0,NT12,"")</f>
        <v/>
      </c>
      <c r="OG12" s="11" t="str">
        <f>IF(SUM(NR12:NU12)-NV12&gt;0,SUM(NR12:NU12)-NV12,"")</f>
        <v/>
      </c>
      <c r="OH12" s="11">
        <f>IF(OR(OC12&lt;&gt;"",OE12&lt;&gt;"",OG12&lt;&gt;""),OC12+MAX(OE12,OG12),"")</f>
        <v>66.722499999999997</v>
      </c>
      <c r="OI12" s="11">
        <f>IF(NY12&gt;0,NY12,"")</f>
        <v>4.2</v>
      </c>
      <c r="OJ12" s="11">
        <f t="shared" ref="OJ12" si="10">IF(SUM(NW12:NZ12)-OA12&gt;0,SUM(NW12:NZ12)-OA12,"")</f>
        <v>21.474999999999998</v>
      </c>
      <c r="OK12" s="11">
        <f t="shared" ref="OK12" si="11">IF(SUM(OH12,OJ12)&gt;0,SUM(OH12,OJ12),"")</f>
        <v>88.197499999999991</v>
      </c>
    </row>
    <row r="13" spans="1:401" x14ac:dyDescent="0.2">
      <c r="A13" s="5" t="str" cm="1">
        <f t="array" ref="A13">IF(AND(F13="P",G13="P"),SUMPRODUCT((F$4:F$29="P")*(G$4:G$29="P")*(E$4:E$29&gt;E13))+1,IF(G13="P",SUMPRODUCT((F$4:F$29="")*(G$4:G$29="P")*(E$4:E$29&gt;E13))+1+SUMPRODUCT((F$4:F$29="P")*(G$4:G$29="P")),""))</f>
        <v/>
      </c>
      <c r="B13" s="6" t="s">
        <v>71</v>
      </c>
      <c r="C13" s="7" t="s">
        <v>3</v>
      </c>
      <c r="D13" s="7">
        <v>2002</v>
      </c>
      <c r="E13" s="15">
        <f>SUM(I13:M13)</f>
        <v>93.155000000000001</v>
      </c>
      <c r="F13" s="3" t="str">
        <f>IF(OR(AND(AL13&gt;=AS$31,AM13&gt;=AS$35,AL13&lt;&gt;"",AJ13=""),AND(AN13&gt;=AS$31,AO13&gt;=AS$35,AN13&lt;&gt;"",AN13=""),AND(AQ13&gt;=AS$31,AR13&gt;=AS$35,AQ13&lt;&gt;"",AJ13=""),AND(BP13&gt;=BW$31,BQ13&gt;=BW$35,BP13&lt;&gt;"",BN13=""),AND(BR13&gt;=BW$31,BS13&gt;=BW$35,BR13&lt;&gt;"",BN13=""),AND(BU13&gt;=BW$31,BV13&gt;=BW$35,BU13&lt;&gt;"",BN13=""),AND(CT13&gt;=DA$31,CU13&gt;=DA$35,CT13&lt;&gt;"",CR13=""),AND(CV13&gt;=DA$31,CW13&gt;=DA$35,CV13&lt;&gt;"",CR13=""),AND(CY13&gt;=DA$31,CZ13&gt;=DA$35,CY13&lt;&gt;"",CR13=""),AND(DS13&gt;=DY$31,DU13&gt;=DY$35,DS13&lt;&gt;""),AND(DW13&gt;=DY$31,DX13&gt;=DY$35,DW13&lt;&gt;""),AND(EO13&gt;=EU$31,EQ13&gt;=EU$35,EO13&lt;&gt;""),AND(ES13&gt;=EU$31,ET13&gt;=EU$35,ES13&lt;&gt;""),AND(FK13&gt;=FQ$31,FM13&gt;=FQ$35,FK13&lt;&gt;""),AND(FO13&gt;=FQ$31,FP13&gt;=FQ$35,FO13&lt;&gt;""),AND(GG13&gt;=GM$31,GI13&gt;=GM$35,GG13&lt;&gt;""),AND(GK13&gt;=GM$31,GL13&gt;=GM$35,GK13&lt;&gt;""),AND(HC13&gt;=HI$31,HE13&gt;=HI$35,HC13&lt;&gt;""),AND(HG13&gt;=HI$31,HH13&gt;=HI$35,HG13&lt;&gt;""),AND(HY13&gt;=IE$31,IA13&gt;=IE$35,HY13&lt;&gt;""),AND(IC13&gt;=IE$31,ID13&gt;=IE$35,IC13&lt;&gt;""),AND(IU13&gt;=JA$31,IW13&gt;=JA$35,IU13&lt;&gt;""),AND(IY13&gt;=JA$31,IZ13&gt;=JA$35,IY13&lt;&gt;""),AND(JQ13&gt;=JW$31,JS13&gt;=JW$35,JQ13&lt;&gt;""),AND(JU13&gt;=JW$31,JV13&gt;=JW$35,JU13&lt;&gt;""),AND(KM13&gt;=KS$31,KO13&gt;=KS$35,KM13&lt;&gt;""),AND(KQ13&gt;=KS$31,KR13&gt;=KS$35,KQ13&lt;&gt;""),AND(LI13&gt;=LO$31,LK13&gt;=LO$35,LI13&lt;&gt;""),AND(LM13&gt;=LO$31,LN13&gt;=LO$35,LM13&lt;&gt;""),AND(ME13&gt;=MK$31,MG13&gt;=MK$35,ME13&lt;&gt;""),AND(MI13&gt;=MK$31,MJ13&gt;=MK$35,MI13&lt;&gt;""),AND(NA13&gt;=NG$31,NC13&gt;=NG$35,NA13&lt;&gt;""),AND(NE13&gt;=NG$31,NF13&gt;=NG$35,NE13&lt;&gt;"")),"P","")</f>
        <v/>
      </c>
      <c r="G13" s="3" t="str">
        <f>IF(OR(AND(AM13&gt;=AS$35,AL13&lt;&gt;"",AJ13=""),AND(AO13&gt;=AS$35,AN13&lt;&gt;"",AN13=""),AND(AR13&gt;=AS$35,AQ13&lt;&gt;"",AJ13=""),AND(BQ13&gt;=BW$35,BP13&lt;&gt;"",BN13=""),AND(BS13&gt;=BW$35,BR13&lt;&gt;"",BN13=""),AND(BV13&gt;=BW$35,BU13&lt;&gt;"",BN13=""),AND(CU13&gt;=DA$35,CT13&lt;&gt;"",CR13=""),AND(CW13&gt;=DA$35,CV13&lt;&gt;"",CR13=""),AND(CZ13&gt;=DA$35,CY13&lt;&gt;"",CR13=""),AND(DU13&gt;=DY$35,DS13&lt;&gt;""),AND(DX13&gt;=DY$35,DW13&lt;&gt;""),AND(EQ13&gt;=EU$35,EO13&lt;&gt;""),AND(ET13&gt;=EU$35,ES13&lt;&gt;""),AND(FM13&gt;=FQ$35,FK13&lt;&gt;""),AND(FP13&gt;=FQ$35,FO13&lt;&gt;""),AND(GI13&gt;=GM$35,GG13&lt;&gt;""),AND(GL13&gt;=GM$35,GK13&lt;&gt;""),AND(HE13&gt;=HI$35,HC13&lt;&gt;""),AND(HH13&gt;=HI$35,HG13&lt;&gt;""),AND(IA13&gt;=IE$35,HY13&lt;&gt;""),AND(ID13&gt;=IE$35,IC13&lt;&gt;""),AND(IW13&gt;=JA$35,IU13&lt;&gt;""),AND(IZ13&gt;=JA$35,IY13&lt;&gt;""),AND(JS13&gt;=JW$35,JQ13&lt;&gt;""),AND(JV13&gt;=JW$35,JU13&lt;&gt;""),AND(KO13&gt;=KS$35,KM13&lt;&gt;""),AND(KR13&gt;=KS$35,KQ13&lt;&gt;""),AND(LK13&gt;=LO$35,LI13&lt;&gt;""),AND(LN13&gt;=LO$35,LM13&lt;&gt;""),AND(MG13&gt;=MK$35,ME13&lt;&gt;""),AND(MJ13&gt;=MK$35,MI13&lt;&gt;""),AND(NC13&gt;=NG$35,NA13&lt;&gt;""),AND(NF13&gt;=NG$35,NE13&lt;&gt;"")),"P","")</f>
        <v/>
      </c>
      <c r="H13" s="67" t="str">
        <f>IF(F13="P","National Team",IF(G13="P","No DD",""))</f>
        <v/>
      </c>
      <c r="I13" s="14">
        <f>MAX(AM13,AO13,AR13,BQ13,BS13,BV13,CU13,CW13,CZ13)</f>
        <v>47.089999999999996</v>
      </c>
      <c r="J13" s="14" t="str">
        <f>IF(I13=0,"",IF(OR(I13=CW13,I13=CU13,I13=CZ13),$BX$1,IF(OR(I13=BS13,I13=BQ13,I13=BV13),$AT$1,IF(OR(I13=AO13,I13=AM13,I13=AR13),$P$1,""))))</f>
        <v>2022 Elite Canada</v>
      </c>
      <c r="K13" s="14">
        <f>IF(COUNT(AM13,AO13,AR13,BQ13,BS13,BV13,CU13,CW13,CZ13)&gt;1,LARGE((AM13,AO13,AR13,BQ13,BS13,BV13,CU13,CW13,CZ13),2),0)</f>
        <v>46.064999999999998</v>
      </c>
      <c r="L13" s="14" t="str">
        <f>IF(K13=0,"",IF(OR(K13=CW13,K13=CU13,K13=CZ13),$BX$1,IF(OR(K13=BS13,K13=BQ13,K13=BV13),$AT$1,IF(OR(K13=AO13,K13=AM13,K13=AR13),$P$1,""))))</f>
        <v>2021 Canadian Championships</v>
      </c>
      <c r="M13" s="14" t="str">
        <f>IF(MAX(DB13,DC13)&gt;0,MAX(DB13,DC13),"")</f>
        <v/>
      </c>
      <c r="N13" s="20" t="str">
        <f>IF(M13="","",IF(M13=#REF!,"(Vol 1)",IF(M13=DB13,"(Vol 2)",IF(M13=#REF!,"(Prelim)",IF(M13=DC13,"(Final)")))))</f>
        <v/>
      </c>
      <c r="O13" s="14" t="str">
        <f>IF(M13="","",IF(M13=#REF!,IF(M13+IF(#REF!="",0,#REF!)=NB13,$ML$1,IF(M13+IF(#REF!="",0,#REF!)=MF13,$LP$1,IF(M13+IF(#REF!="",0,#REF!)=LJ13,$KT$1,IF(M13+IF(#REF!="",0,#REF!)=KN13,$JX$1,IF(M13+IF(#REF!="",0,#REF!)=JR13,$JB$1,IF(M13+IF(#REF!="",0,#REF!)=IV13,$IF$1,IF(M13+IF(#REF!="",0,#REF!)=HZ13,$HJ$1,IF(M13+IF(#REF!="",0,#REF!)=HD13,$GN$1,IF(M13+IF(#REF!="",0,#REF!)=GH13,$FR$1,IF(M13+IF(#REF!="",0,#REF!)=FL13,$EV$1,IF(M13+IF(#REF!="",0,#REF!)=EP13,$DZ$1,IF(M13+IF(#REF!="",0,#REF!)=DT13,$DD$1)))))))))))),IF(M13=DB13,IF(M13+IF(I13="",0,I13)=NC13,$ML$1,IF(M13+IF(I13="",0,I13)=MG13,$LP$1,IF(M13+IF(I13="",0,I13)=LK13,$KT$1,IF(M13+IF(I13="",0,I13)=KO13,$JX$1,IF(M13+IF(I13="",0,I13)=JS13,$JB$1,IF(M13+IF(I13="",0,I13)=IW13,$IF$1,IF(M13+IF(I13="",0,I13)=IA13,$HJ$1,IF(M13+IF(I13="",0,I13)=HE13,$GN$1,IF(M13+IF(I13="",0,I13)=GI13,$FR$1,IF(M13+IF(I13="",0,I13)=FM13,$EV$1,IF(M13+IF(I13="",0,I13)=EQ13,$DZ$1,IF(M13+IF(I13="",0,I13)=DU13,$DD$1)))))))))))),IF(M13=#REF!,IF(M13+IF(#REF!="",0,#REF!)=ND13,$ML$1,IF(M13+IF(#REF!="",0,#REF!)=MH13,$LP$1,IF(M13+IF(#REF!="",0,#REF!)=LL13,$KT$1,IF(M13+IF(#REF!="",0,#REF!)=KP13,$JX$1,IF(M13+IF(#REF!="",0,#REF!)=JT13,$JB$1,IF(M13+IF(#REF!="",0,#REF!)=IX13,$IF$1,IF(M13+IF(#REF!="",0,#REF!)=IB13,$HJ$1,IF(M13+IF(#REF!="",0,#REF!)=HF13,$GN$1,IF(M13+IF(#REF!="",0,#REF!)=GJ13,$FR$1,IF(M13+IF(#REF!="",0,#REF!)=FN13,$EV$1,IF(M13+IF(#REF!="",0,#REF!)=ER13,$DZ$1,IF(M13+IF(#REF!="",0,#REF!)=DV13,$DD$1)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))</f>
        <v/>
      </c>
      <c r="P13" s="38">
        <v>16</v>
      </c>
      <c r="Q13" s="38">
        <v>9.4</v>
      </c>
      <c r="R13" s="38">
        <v>4</v>
      </c>
      <c r="S13" s="38">
        <v>14.795</v>
      </c>
      <c r="T13" s="38">
        <v>0.2</v>
      </c>
      <c r="U13" s="38">
        <v>15.2</v>
      </c>
      <c r="V13" s="38">
        <v>9.3000000000000007</v>
      </c>
      <c r="W13" s="38">
        <v>8.6</v>
      </c>
      <c r="X13" s="38">
        <v>14.645</v>
      </c>
      <c r="Y13" s="38">
        <v>2.8</v>
      </c>
      <c r="Z13" s="38">
        <v>0</v>
      </c>
      <c r="AA13" s="38">
        <v>0</v>
      </c>
      <c r="AB13" s="38">
        <v>0</v>
      </c>
      <c r="AC13" s="38">
        <v>0</v>
      </c>
      <c r="AD13" s="38">
        <v>0</v>
      </c>
      <c r="AE13" s="38">
        <v>14.8</v>
      </c>
      <c r="AF13" s="38">
        <v>9.1</v>
      </c>
      <c r="AG13" s="38">
        <v>9.1999999999999993</v>
      </c>
      <c r="AH13" s="38">
        <v>14.175000000000001</v>
      </c>
      <c r="AI13" s="38">
        <v>2.2000000000000002</v>
      </c>
      <c r="AJ13" s="45"/>
      <c r="AK13" s="11">
        <f>IF(SUM(P13:S13)-T13&gt;0,SUM(P13:S13)-T13,"")</f>
        <v>43.994999999999997</v>
      </c>
      <c r="AL13" s="11">
        <f>IF(W13&gt;0,W13,"")</f>
        <v>8.6</v>
      </c>
      <c r="AM13" s="11">
        <f>IF(SUM(U13:X13)-Y13&gt;0,SUM(U13:X13)-Y13,"")</f>
        <v>44.945000000000007</v>
      </c>
      <c r="AN13" s="11" t="str">
        <f>IF(AB13&gt;0,AB13,"")</f>
        <v/>
      </c>
      <c r="AO13" s="11" t="str">
        <f>IF(SUM(Z13:AC13)-AD13&gt;0,SUM(Z13:AC13)-AD13,"")</f>
        <v/>
      </c>
      <c r="AP13" s="11">
        <f>IF(AK13="",IF(MAX(AM13,AO13)&gt;0,MAX(AM13,AO13),""),MAX(AM13,AO13)+AK13)</f>
        <v>88.94</v>
      </c>
      <c r="AQ13" s="11">
        <f>IF(AG13&gt;0,AG13,"")</f>
        <v>9.1999999999999993</v>
      </c>
      <c r="AR13" s="11">
        <f>IF(SUM(AE13:AH13)-AI13&gt;0,SUM(AE13:AH13)-AI13,"")</f>
        <v>45.074999999999989</v>
      </c>
      <c r="AS13" s="11">
        <f>IF(SUM(AP13,AR13)&gt;0,SUM(AP13,AR13),"")</f>
        <v>134.01499999999999</v>
      </c>
      <c r="AT13" s="42">
        <v>15.8</v>
      </c>
      <c r="AU13" s="42">
        <v>9.5</v>
      </c>
      <c r="AV13" s="42">
        <v>4</v>
      </c>
      <c r="AW13" s="42">
        <v>14.865</v>
      </c>
      <c r="AX13" s="42">
        <v>0</v>
      </c>
      <c r="AY13" s="42">
        <v>2.6</v>
      </c>
      <c r="AZ13" s="42">
        <v>1.7</v>
      </c>
      <c r="BA13" s="42">
        <v>2.7</v>
      </c>
      <c r="BB13" s="42">
        <v>3.03</v>
      </c>
      <c r="BC13" s="42">
        <v>0</v>
      </c>
      <c r="BD13" s="42">
        <v>11.3</v>
      </c>
      <c r="BE13" s="42">
        <v>6.7</v>
      </c>
      <c r="BF13" s="42">
        <v>7</v>
      </c>
      <c r="BG13" s="42">
        <v>11.715</v>
      </c>
      <c r="BH13" s="42">
        <v>0</v>
      </c>
      <c r="BI13" s="42">
        <v>13.4</v>
      </c>
      <c r="BJ13" s="42">
        <v>8.9</v>
      </c>
      <c r="BK13" s="42">
        <v>10.5</v>
      </c>
      <c r="BL13" s="42">
        <v>13.965</v>
      </c>
      <c r="BM13" s="42">
        <v>0.7</v>
      </c>
      <c r="BN13" s="46"/>
      <c r="BO13" s="14">
        <f>IF(SUM(AT13:AW13)-AX13&gt;0,SUM(AT13:AW13)-AX13,"")</f>
        <v>44.164999999999999</v>
      </c>
      <c r="BP13" s="14">
        <f>IF(BA13&gt;0,BA13,"")</f>
        <v>2.7</v>
      </c>
      <c r="BQ13" s="14">
        <f>IF(SUM(AY13:BB13)-BC13&gt;0,SUM(AY13:BB13)-BC13,"")</f>
        <v>10.029999999999999</v>
      </c>
      <c r="BR13" s="14">
        <f>IF(BF13&gt;0,BF13,"")</f>
        <v>7</v>
      </c>
      <c r="BS13" s="14">
        <f>IF(SUM(BD13:BG13)-BH13&gt;0,SUM(BD13:BG13)-BH13,"")</f>
        <v>36.715000000000003</v>
      </c>
      <c r="BT13" s="14">
        <f>IF(BO13="",IF(MAX(BQ13,BS13)&gt;0,MAX(BQ13,BS13),""),MAX(BQ13,BS13)+BO13)</f>
        <v>80.88</v>
      </c>
      <c r="BU13" s="14">
        <f>IF(BK13&gt;0,BK13,"")</f>
        <v>10.5</v>
      </c>
      <c r="BV13" s="14">
        <f>IF(SUM(BI13:BL13)-BM13&gt;0,SUM(BI13:BL13)-BM13,"")</f>
        <v>46.064999999999998</v>
      </c>
      <c r="BW13" s="14">
        <f>IF(SUM(BT13,BV13)&gt;0,SUM(BT13,BV13),"")</f>
        <v>126.94499999999999</v>
      </c>
      <c r="BX13" s="38"/>
      <c r="BY13" s="38"/>
      <c r="BZ13" s="38"/>
      <c r="CA13" s="38"/>
      <c r="CB13" s="38"/>
      <c r="CC13" s="38">
        <v>12.5</v>
      </c>
      <c r="CD13" s="38">
        <v>9.1999999999999993</v>
      </c>
      <c r="CE13" s="38">
        <v>10.6</v>
      </c>
      <c r="CF13" s="38">
        <v>13.984999999999999</v>
      </c>
      <c r="CG13" s="38">
        <v>0.6</v>
      </c>
      <c r="CH13" s="38">
        <v>13.4</v>
      </c>
      <c r="CI13" s="38">
        <v>9.1</v>
      </c>
      <c r="CJ13" s="38">
        <v>10.6</v>
      </c>
      <c r="CK13" s="38">
        <v>14.59</v>
      </c>
      <c r="CL13" s="38">
        <v>0.6</v>
      </c>
      <c r="CM13" s="38">
        <v>13.3</v>
      </c>
      <c r="CN13" s="38">
        <v>7.8</v>
      </c>
      <c r="CO13" s="38">
        <v>9.9</v>
      </c>
      <c r="CP13" s="38">
        <v>12.885</v>
      </c>
      <c r="CQ13" s="38">
        <v>0</v>
      </c>
      <c r="CR13" s="45"/>
      <c r="CS13" s="11" t="str">
        <f>IF(SUM(BX13:CA13)-CB13&gt;0,SUM(BX13:CA13)-CB13,"")</f>
        <v/>
      </c>
      <c r="CT13" s="11">
        <f>IF(CE13&gt;0,CE13,"")</f>
        <v>10.6</v>
      </c>
      <c r="CU13" s="11">
        <f>IF(SUM(CC13:CF13)-CG13&gt;0,SUM(CC13:CF13)-CG13,"")</f>
        <v>45.684999999999995</v>
      </c>
      <c r="CV13" s="11">
        <f>IF(CJ13&gt;0,CJ13,"")</f>
        <v>10.6</v>
      </c>
      <c r="CW13" s="11">
        <f>IF(SUM(CH13:CK13)-CL13&gt;0,SUM(CH13:CK13)-CL13,"")</f>
        <v>47.089999999999996</v>
      </c>
      <c r="CX13" s="11">
        <f>IF(CS13="",IF(MAX(CU13,CW13)&gt;0,MAX(CU13,CW13),""),MAX(CU13,CW13)+CS13)</f>
        <v>47.089999999999996</v>
      </c>
      <c r="CY13" s="11">
        <f>IF(CO13&gt;0,CO13,"")</f>
        <v>9.9</v>
      </c>
      <c r="CZ13" s="11">
        <f>IF(SUM(CM13:CP13)-CQ13&gt;0,SUM(CM13:CP13)-CQ13,"")</f>
        <v>43.884999999999998</v>
      </c>
      <c r="DA13" s="11">
        <f>IF(SUM(CX13,CZ13)&gt;0,SUM(CX13,CZ13),"")</f>
        <v>90.974999999999994</v>
      </c>
      <c r="DB13" s="19" t="str">
        <f>IF(I13&gt;=0.001,IF(MAX(DU13,EQ13,FM13,GI13,HE13,IA13,IW13,JS13,KO13,LK13,MG13,NC13)-IF(I13="",0,I13)&gt;0.001,MAX(DU13,EQ13,FM13,GI13,HE13,IA13,IW13,JS13,KO13,LK13,MG13,NC13)-IF(I13="",0,I13),""),"")</f>
        <v/>
      </c>
      <c r="DC13" s="19" t="str">
        <f>IF(K13&gt;=0.001,IF(MAX(DX13,ET13,FP13,GL13,HH13,ID13,IZ13,JV13,KR13,LN13,MJ13,NF13)-IF(K13="",0,K13)&gt;0.001,MAX(DX13,ET13,FP13,GL13,HH13,ID13,IZ13,JV13,KR13,LN13,MJ13,NF13)-IF(K13="",0,K13),""),"")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8">
        <f>IF($CR13="P",BX13,(BX13+AT13)/2)</f>
        <v>7.9</v>
      </c>
      <c r="NI13" s="38">
        <f>IF($CR13="P",BY13,(BY13+AU13)/2)</f>
        <v>4.75</v>
      </c>
      <c r="NJ13" s="38">
        <f>IF($CR13="P",BZ13,(BZ13+AV13)/2)</f>
        <v>2</v>
      </c>
      <c r="NK13" s="38">
        <f>IF($CR13="P",CA13,(CA13+AW13)/2)</f>
        <v>7.4325000000000001</v>
      </c>
      <c r="NL13" s="38">
        <f>IF($CR13="P",CB13,(CB13+AX13)/2)</f>
        <v>0</v>
      </c>
      <c r="NM13" s="38">
        <f>IF($CR13="P",CC13,(CC13+AY13)/2)</f>
        <v>7.55</v>
      </c>
      <c r="NN13" s="38">
        <f>IF($CR13="P",CD13,(CD13+AZ13)/2)</f>
        <v>5.4499999999999993</v>
      </c>
      <c r="NO13" s="38">
        <f>IF($CR13="P",CE13,(CE13+BA13)/2)</f>
        <v>6.65</v>
      </c>
      <c r="NP13" s="38">
        <f>IF($CR13="P",CF13,(CF13+BB13)/2)</f>
        <v>8.5075000000000003</v>
      </c>
      <c r="NQ13" s="38">
        <f>IF($CR13="P",CG13,(CG13+BC13)/2)</f>
        <v>0.3</v>
      </c>
      <c r="NR13" s="38">
        <f>IF($CR13="P",CH13,(CH13+BD13)/2)</f>
        <v>12.350000000000001</v>
      </c>
      <c r="NS13" s="38">
        <f>IF($CR13="P",CI13,(CI13+BE13)/2)</f>
        <v>7.9</v>
      </c>
      <c r="NT13" s="38">
        <f>IF($CR13="P",CJ13,(CJ13+BF13)/2)</f>
        <v>8.8000000000000007</v>
      </c>
      <c r="NU13" s="38">
        <f>IF($CR13="P",CK13,(CK13+BG13)/2)</f>
        <v>13.1525</v>
      </c>
      <c r="NV13" s="38">
        <f>IF($CR13="P",CL13,(CL13+BH13)/2)</f>
        <v>0.3</v>
      </c>
      <c r="NW13" s="38">
        <f>IF($CR13="P",CM13,(CM13+BI13)/2)</f>
        <v>13.350000000000001</v>
      </c>
      <c r="NX13" s="38">
        <f>IF($CR13="P",CN13,(CN13+BJ13)/2)</f>
        <v>8.35</v>
      </c>
      <c r="NY13" s="38">
        <f>IF($CR13="P",CO13,(CO13+BK13)/2)</f>
        <v>10.199999999999999</v>
      </c>
      <c r="NZ13" s="38">
        <f>IF($CR13="P",CP13,(CP13+BL13)/2)</f>
        <v>13.425000000000001</v>
      </c>
      <c r="OA13" s="38">
        <f>IF($CR13="P",CQ13,(CQ13+BM13)/2)</f>
        <v>0.35</v>
      </c>
      <c r="OB13" s="45" t="s">
        <v>46</v>
      </c>
      <c r="OC13" s="11">
        <f>IF(SUM(NH13:NK13)-NL13&gt;0,SUM(NH13:NK13)-NL13,"")</f>
        <v>22.0825</v>
      </c>
      <c r="OD13" s="11">
        <f>IF(NO13&gt;0,NO13,"")</f>
        <v>6.65</v>
      </c>
      <c r="OE13" s="11">
        <f>IF(SUM(NM13:NP13)-NQ13&gt;0,SUM(NM13:NP13)-NQ13,"")</f>
        <v>27.857499999999998</v>
      </c>
      <c r="OF13" s="11">
        <f>IF(NT13&gt;0,NT13,"")</f>
        <v>8.8000000000000007</v>
      </c>
      <c r="OG13" s="11">
        <f>IF(SUM(NR13:NU13)-NV13&gt;0,SUM(NR13:NU13)-NV13,"")</f>
        <v>41.902500000000003</v>
      </c>
      <c r="OH13" s="11">
        <f>IF(OR(OC13&lt;&gt;"",OE13&lt;&gt;"",OG13&lt;&gt;""),OC13+MAX(OE13,OG13),"")</f>
        <v>63.984999999999999</v>
      </c>
      <c r="OI13" s="11">
        <f>IF(NY13&gt;0,NY13,"")</f>
        <v>10.199999999999999</v>
      </c>
      <c r="OJ13" s="11">
        <f t="shared" ref="OJ13" si="12">IF(SUM(NW13:NZ13)-OA13&gt;0,SUM(NW13:NZ13)-OA13,"")</f>
        <v>44.975000000000001</v>
      </c>
      <c r="OK13" s="11">
        <f t="shared" ref="OK13" si="13">IF(SUM(OH13,OJ13)&gt;0,SUM(OH13,OJ13),"")</f>
        <v>108.96000000000001</v>
      </c>
    </row>
    <row r="14" spans="1:401" x14ac:dyDescent="0.2">
      <c r="A14" s="5" t="str" cm="1">
        <f t="array" ref="A14">IF(AND(F14="P",G14="P"),SUMPRODUCT((F$4:F$29="P")*(G$4:G$29="P")*(E$4:E$29&gt;E14))+1,IF(G14="P",SUMPRODUCT((F$4:F$29="")*(G$4:G$29="P")*(E$4:E$29&gt;E14))+1+SUMPRODUCT((F$4:F$29="P")*(G$4:G$29="P")),""))</f>
        <v/>
      </c>
      <c r="B14" s="8" t="s">
        <v>82</v>
      </c>
      <c r="C14" s="4" t="s">
        <v>81</v>
      </c>
      <c r="D14" s="22">
        <v>2002</v>
      </c>
      <c r="E14" s="15">
        <f>SUM(I14:M14)</f>
        <v>92.75</v>
      </c>
      <c r="F14" s="3" t="str">
        <f>IF(OR(AND(AL14&gt;=AS$31,AM14&gt;=AS$35,AL14&lt;&gt;"",AJ14=""),AND(AN14&gt;=AS$31,AO14&gt;=AS$35,AN14&lt;&gt;"",AN14=""),AND(AQ14&gt;=AS$31,AR14&gt;=AS$35,AQ14&lt;&gt;"",AJ14=""),AND(BP14&gt;=BW$31,BQ14&gt;=BW$35,BP14&lt;&gt;"",BN14=""),AND(BR14&gt;=BW$31,BS14&gt;=BW$35,BR14&lt;&gt;"",BN14=""),AND(BU14&gt;=BW$31,BV14&gt;=BW$35,BU14&lt;&gt;"",BN14=""),AND(CT14&gt;=DA$31,CU14&gt;=DA$35,CT14&lt;&gt;"",CR14=""),AND(CV14&gt;=DA$31,CW14&gt;=DA$35,CV14&lt;&gt;"",CR14=""),AND(CY14&gt;=DA$31,CZ14&gt;=DA$35,CY14&lt;&gt;"",CR14=""),AND(DS14&gt;=DY$31,DU14&gt;=DY$35,DS14&lt;&gt;""),AND(DW14&gt;=DY$31,DX14&gt;=DY$35,DW14&lt;&gt;""),AND(EO14&gt;=EU$31,EQ14&gt;=EU$35,EO14&lt;&gt;""),AND(ES14&gt;=EU$31,ET14&gt;=EU$35,ES14&lt;&gt;""),AND(FK14&gt;=FQ$31,FM14&gt;=FQ$35,FK14&lt;&gt;""),AND(FO14&gt;=FQ$31,FP14&gt;=FQ$35,FO14&lt;&gt;""),AND(GG14&gt;=GM$31,GI14&gt;=GM$35,GG14&lt;&gt;""),AND(GK14&gt;=GM$31,GL14&gt;=GM$35,GK14&lt;&gt;""),AND(HC14&gt;=HI$31,HE14&gt;=HI$35,HC14&lt;&gt;""),AND(HG14&gt;=HI$31,HH14&gt;=HI$35,HG14&lt;&gt;""),AND(HY14&gt;=IE$31,IA14&gt;=IE$35,HY14&lt;&gt;""),AND(IC14&gt;=IE$31,ID14&gt;=IE$35,IC14&lt;&gt;""),AND(IU14&gt;=JA$31,IW14&gt;=JA$35,IU14&lt;&gt;""),AND(IY14&gt;=JA$31,IZ14&gt;=JA$35,IY14&lt;&gt;""),AND(JQ14&gt;=JW$31,JS14&gt;=JW$35,JQ14&lt;&gt;""),AND(JU14&gt;=JW$31,JV14&gt;=JW$35,JU14&lt;&gt;""),AND(KM14&gt;=KS$31,KO14&gt;=KS$35,KM14&lt;&gt;""),AND(KQ14&gt;=KS$31,KR14&gt;=KS$35,KQ14&lt;&gt;""),AND(LI14&gt;=LO$31,LK14&gt;=LO$35,LI14&lt;&gt;""),AND(LM14&gt;=LO$31,LN14&gt;=LO$35,LM14&lt;&gt;""),AND(ME14&gt;=MK$31,MG14&gt;=MK$35,ME14&lt;&gt;""),AND(MI14&gt;=MK$31,MJ14&gt;=MK$35,MI14&lt;&gt;""),AND(NA14&gt;=NG$31,NC14&gt;=NG$35,NA14&lt;&gt;""),AND(NE14&gt;=NG$31,NF14&gt;=NG$35,NE14&lt;&gt;"")),"P","")</f>
        <v/>
      </c>
      <c r="G14" s="3" t="str">
        <f>IF(OR(AND(AM14&gt;=AS$35,AL14&lt;&gt;"",AJ14=""),AND(AO14&gt;=AS$35,AN14&lt;&gt;"",AN14=""),AND(AR14&gt;=AS$35,AQ14&lt;&gt;"",AJ14=""),AND(BQ14&gt;=BW$35,BP14&lt;&gt;"",BN14=""),AND(BS14&gt;=BW$35,BR14&lt;&gt;"",BN14=""),AND(BV14&gt;=BW$35,BU14&lt;&gt;"",BN14=""),AND(CU14&gt;=DA$35,CT14&lt;&gt;"",CR14=""),AND(CW14&gt;=DA$35,CV14&lt;&gt;"",CR14=""),AND(CZ14&gt;=DA$35,CY14&lt;&gt;"",CR14=""),AND(DU14&gt;=DY$35,DS14&lt;&gt;""),AND(DX14&gt;=DY$35,DW14&lt;&gt;""),AND(EQ14&gt;=EU$35,EO14&lt;&gt;""),AND(ET14&gt;=EU$35,ES14&lt;&gt;""),AND(FM14&gt;=FQ$35,FK14&lt;&gt;""),AND(FP14&gt;=FQ$35,FO14&lt;&gt;""),AND(GI14&gt;=GM$35,GG14&lt;&gt;""),AND(GL14&gt;=GM$35,GK14&lt;&gt;""),AND(HE14&gt;=HI$35,HC14&lt;&gt;""),AND(HH14&gt;=HI$35,HG14&lt;&gt;""),AND(IA14&gt;=IE$35,HY14&lt;&gt;""),AND(ID14&gt;=IE$35,IC14&lt;&gt;""),AND(IW14&gt;=JA$35,IU14&lt;&gt;""),AND(IZ14&gt;=JA$35,IY14&lt;&gt;""),AND(JS14&gt;=JW$35,JQ14&lt;&gt;""),AND(JV14&gt;=JW$35,JU14&lt;&gt;""),AND(KO14&gt;=KS$35,KM14&lt;&gt;""),AND(KR14&gt;=KS$35,KQ14&lt;&gt;""),AND(LK14&gt;=LO$35,LI14&lt;&gt;""),AND(LN14&gt;=LO$35,LM14&lt;&gt;""),AND(MG14&gt;=MK$35,ME14&lt;&gt;""),AND(MJ14&gt;=MK$35,MI14&lt;&gt;""),AND(NC14&gt;=NG$35,NA14&lt;&gt;""),AND(NF14&gt;=NG$35,NE14&lt;&gt;"")),"P","")</f>
        <v/>
      </c>
      <c r="H14" s="67" t="str">
        <f>IF(F14="P","National Team",IF(G14="P","No DD",""))</f>
        <v/>
      </c>
      <c r="I14" s="14">
        <f>MAX(AM14,AO14,AR14,BQ14,BS14,BV14,CU14,CW14,CZ14)</f>
        <v>46.410000000000004</v>
      </c>
      <c r="J14" s="14" t="str">
        <f>IF(I14=0,"",IF(OR(I14=CW14,I14=CU14,I14=CZ14),$BX$1,IF(OR(I14=BS14,I14=BQ14,I14=BV14),$AT$1,IF(OR(I14=AO14,I14=AM14,I14=AR14),$P$1,""))))</f>
        <v>2021 Elite Canada</v>
      </c>
      <c r="K14" s="14">
        <f>IF(COUNT(AM14,AO14,AR14,BQ14,BS14,BV14,CU14,CW14,CZ14)&gt;1,LARGE((AM14,AO14,AR14,BQ14,BS14,BV14,CU14,CW14,CZ14),2),0)</f>
        <v>46.339999999999996</v>
      </c>
      <c r="L14" s="14" t="str">
        <f>IF(K14=0,"",IF(OR(K14=CW14,K14=CU14,K14=CZ14),$BX$1,IF(OR(K14=BS14,K14=BQ14,K14=BV14),$AT$1,IF(OR(K14=AO14,K14=AM14,K14=AR14),$P$1,""))))</f>
        <v>2021 Elite Canada</v>
      </c>
      <c r="M14" s="14" t="str">
        <f>IF(MAX(DB14,DC14)&gt;0,MAX(DB14,DC14),"")</f>
        <v/>
      </c>
      <c r="N14" s="20" t="str">
        <f>IF(M14="","",IF(M14=#REF!,"(Vol 1)",IF(M14=DB14,"(Vol 2)",IF(M14=#REF!,"(Prelim)",IF(M14=DC14,"(Final)")))))</f>
        <v/>
      </c>
      <c r="O14" s="14" t="str">
        <f>IF(M14="","",IF(M14=#REF!,IF(M14+IF(#REF!="",0,#REF!)=NB14,$ML$1,IF(M14+IF(#REF!="",0,#REF!)=MF14,$LP$1,IF(M14+IF(#REF!="",0,#REF!)=LJ14,$KT$1,IF(M14+IF(#REF!="",0,#REF!)=KN14,$JX$1,IF(M14+IF(#REF!="",0,#REF!)=JR14,$JB$1,IF(M14+IF(#REF!="",0,#REF!)=IV14,$IF$1,IF(M14+IF(#REF!="",0,#REF!)=HZ14,$HJ$1,IF(M14+IF(#REF!="",0,#REF!)=HD14,$GN$1,IF(M14+IF(#REF!="",0,#REF!)=GH14,$FR$1,IF(M14+IF(#REF!="",0,#REF!)=FL14,$EV$1,IF(M14+IF(#REF!="",0,#REF!)=EP14,$DZ$1,IF(M14+IF(#REF!="",0,#REF!)=DT14,$DD$1)))))))))))),IF(M14=DB14,IF(M14+IF(I14="",0,I14)=NC14,$ML$1,IF(M14+IF(I14="",0,I14)=MG14,$LP$1,IF(M14+IF(I14="",0,I14)=LK14,$KT$1,IF(M14+IF(I14="",0,I14)=KO14,$JX$1,IF(M14+IF(I14="",0,I14)=JS14,$JB$1,IF(M14+IF(I14="",0,I14)=IW14,$IF$1,IF(M14+IF(I14="",0,I14)=IA14,$HJ$1,IF(M14+IF(I14="",0,I14)=HE14,$GN$1,IF(M14+IF(I14="",0,I14)=GI14,$FR$1,IF(M14+IF(I14="",0,I14)=FM14,$EV$1,IF(M14+IF(I14="",0,I14)=EQ14,$DZ$1,IF(M14+IF(I14="",0,I14)=DU14,$DD$1)))))))))))),IF(M14=#REF!,IF(M14+IF(#REF!="",0,#REF!)=ND14,$ML$1,IF(M14+IF(#REF!="",0,#REF!)=MH14,$LP$1,IF(M14+IF(#REF!="",0,#REF!)=LL14,$KT$1,IF(M14+IF(#REF!="",0,#REF!)=KP14,$JX$1,IF(M14+IF(#REF!="",0,#REF!)=JT14,$JB$1,IF(M14+IF(#REF!="",0,#REF!)=IX14,$IF$1,IF(M14+IF(#REF!="",0,#REF!)=IB14,$HJ$1,IF(M14+IF(#REF!="",0,#REF!)=HF14,$GN$1,IF(M14+IF(#REF!="",0,#REF!)=GJ14,$FR$1,IF(M14+IF(#REF!="",0,#REF!)=FN14,$EV$1,IF(M14+IF(#REF!="",0,#REF!)=ER14,$DZ$1,IF(M14+IF(#REF!="",0,#REF!)=DV14,$DD$1)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))</f>
        <v/>
      </c>
      <c r="P14" s="38">
        <v>15.7</v>
      </c>
      <c r="Q14" s="38">
        <v>9.5</v>
      </c>
      <c r="R14" s="38">
        <v>2.2000000000000002</v>
      </c>
      <c r="S14" s="38">
        <v>13.38</v>
      </c>
      <c r="T14" s="38">
        <v>0</v>
      </c>
      <c r="U14" s="38">
        <v>14.8</v>
      </c>
      <c r="V14" s="38">
        <v>9.1</v>
      </c>
      <c r="W14" s="38">
        <v>9.6999999999999993</v>
      </c>
      <c r="X14" s="38">
        <v>12.74</v>
      </c>
      <c r="Y14" s="38">
        <v>0</v>
      </c>
      <c r="Z14" s="38"/>
      <c r="AA14" s="38"/>
      <c r="AB14" s="38"/>
      <c r="AC14" s="38"/>
      <c r="AD14" s="38"/>
      <c r="AE14" s="38">
        <v>14.8</v>
      </c>
      <c r="AF14" s="38">
        <v>8.9</v>
      </c>
      <c r="AG14" s="38">
        <v>9.6999999999999993</v>
      </c>
      <c r="AH14" s="38">
        <v>13.01</v>
      </c>
      <c r="AI14" s="38">
        <v>0</v>
      </c>
      <c r="AJ14" s="45"/>
      <c r="AK14" s="11">
        <f>IF(SUM(P14:S14)-T14&gt;0,SUM(P14:S14)-T14,"")</f>
        <v>40.78</v>
      </c>
      <c r="AL14" s="11">
        <f>IF(W14&gt;0,W14,"")</f>
        <v>9.6999999999999993</v>
      </c>
      <c r="AM14" s="11">
        <f>IF(SUM(U14:X14)-Y14&gt;0,SUM(U14:X14)-Y14,"")</f>
        <v>46.339999999999996</v>
      </c>
      <c r="AN14" s="11" t="str">
        <f>IF(AB14&gt;0,AB14,"")</f>
        <v/>
      </c>
      <c r="AO14" s="11" t="str">
        <f>IF(SUM(Z14:AC14)-AD14&gt;0,SUM(Z14:AC14)-AD14,"")</f>
        <v/>
      </c>
      <c r="AP14" s="11">
        <f>IF(AK14="",IF(MAX(AM14,AO14)&gt;0,MAX(AM14,AO14),""),MAX(AM14,AO14)+AK14)</f>
        <v>87.12</v>
      </c>
      <c r="AQ14" s="11">
        <f>IF(AG14&gt;0,AG14,"")</f>
        <v>9.6999999999999993</v>
      </c>
      <c r="AR14" s="11">
        <f>IF(SUM(AE14:AH14)-AI14&gt;0,SUM(AE14:AH14)-AI14,"")</f>
        <v>46.410000000000004</v>
      </c>
      <c r="AS14" s="11">
        <f>IF(SUM(AP14,AR14)&gt;0,SUM(AP14,AR14),"")</f>
        <v>133.53</v>
      </c>
      <c r="AT14" s="42">
        <v>15.3</v>
      </c>
      <c r="AU14" s="42">
        <v>9.6</v>
      </c>
      <c r="AV14" s="42">
        <v>2.2000000000000002</v>
      </c>
      <c r="AW14" s="42">
        <v>13.34</v>
      </c>
      <c r="AX14" s="42">
        <v>0</v>
      </c>
      <c r="AY14" s="42">
        <v>2.6</v>
      </c>
      <c r="AZ14" s="42">
        <v>1.8</v>
      </c>
      <c r="BA14" s="42">
        <v>2.2999999999999998</v>
      </c>
      <c r="BB14" s="42">
        <v>2.6</v>
      </c>
      <c r="BC14" s="42">
        <v>0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6"/>
      <c r="BO14" s="14">
        <f>IF(SUM(AT14:AW14)-AX14&gt;0,SUM(AT14:AW14)-AX14,"")</f>
        <v>40.44</v>
      </c>
      <c r="BP14" s="14">
        <f>IF(BA14&gt;0,BA14,"")</f>
        <v>2.2999999999999998</v>
      </c>
      <c r="BQ14" s="14">
        <f>IF(SUM(AY14:BB14)-BC14&gt;0,SUM(AY14:BB14)-BC14,"")</f>
        <v>9.3000000000000007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49.739999999999995</v>
      </c>
      <c r="BU14" s="14" t="str">
        <f>IF(BK14&gt;0,BK14,"")</f>
        <v/>
      </c>
      <c r="BV14" s="14" t="str">
        <f>IF(SUM(BI14:BL14)-BM14&gt;0,SUM(BI14:BL14)-BM14,"")</f>
        <v/>
      </c>
      <c r="BW14" s="14">
        <f>IF(SUM(BT14,BV14)&gt;0,SUM(BT14,BV14),"")</f>
        <v>49.739999999999995</v>
      </c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45"/>
      <c r="CS14" s="11" t="str">
        <f>IF(SUM(BX14:CA14)-CB14&gt;0,SUM(BX14:CA14)-CB14,"")</f>
        <v/>
      </c>
      <c r="CT14" s="11" t="str">
        <f>IF(CE14&gt;0,CE14,"")</f>
        <v/>
      </c>
      <c r="CU14" s="11" t="str">
        <f>IF(SUM(CC14:CF14)-CG14&gt;0,SUM(CC14:CF14)-CG14,"")</f>
        <v/>
      </c>
      <c r="CV14" s="11" t="str">
        <f>IF(CJ14&gt;0,CJ14,"")</f>
        <v/>
      </c>
      <c r="CW14" s="11" t="str">
        <f>IF(SUM(CH14:CK14)-CL14&gt;0,SUM(CH14:CK14)-CL14,"")</f>
        <v/>
      </c>
      <c r="CX14" s="11" t="str">
        <f>IF(CS14="",IF(MAX(CU14,CW14)&gt;0,MAX(CU14,CW14),""),MAX(CU14,CW14)+CS14)</f>
        <v/>
      </c>
      <c r="CY14" s="11" t="str">
        <f>IF(CO14&gt;0,CO14,"")</f>
        <v/>
      </c>
      <c r="CZ14" s="11" t="str">
        <f>IF(SUM(CM14:CP14)-CQ14&gt;0,SUM(CM14:CP14)-CQ14,"")</f>
        <v/>
      </c>
      <c r="DA14" s="11" t="str">
        <f>IF(SUM(CX14,CZ14)&gt;0,SUM(CX14,CZ14),"")</f>
        <v/>
      </c>
      <c r="DB14" s="19" t="str">
        <f>IF(I14&gt;=0.001,IF(MAX(DU14,EQ14,FM14,GI14,HE14,IA14,IW14,JS14,KO14,LK14,MG14,NC14)-IF(I14="",0,I14)&gt;0.001,MAX(DU14,EQ14,FM14,GI14,HE14,IA14,IW14,JS14,KO14,LK14,MG14,NC14)-IF(I14="",0,I14),""),"")</f>
        <v/>
      </c>
      <c r="DC14" s="19" t="str">
        <f>IF(K14&gt;=0.001,IF(MAX(DX14,ET14,FP14,GL14,HH14,ID14,IZ14,JV14,KR14,LN14,MJ14,NF14)-IF(K14="",0,K14)&gt;0.001,MAX(DX14,ET14,FP14,GL14,HH14,ID14,IZ14,JV14,KR14,LN14,MJ14,NF14)-IF(K14="",0,K14),""),"")</f>
        <v/>
      </c>
      <c r="DD14" s="25">
        <v>14.1</v>
      </c>
      <c r="DE14" s="25">
        <v>9.4</v>
      </c>
      <c r="DF14" s="25">
        <v>1.8</v>
      </c>
      <c r="DG14" s="25">
        <v>13.734999999999999</v>
      </c>
      <c r="DH14" s="25">
        <v>0</v>
      </c>
      <c r="DI14" s="25">
        <v>12.2</v>
      </c>
      <c r="DJ14" s="25">
        <v>9.1999999999999993</v>
      </c>
      <c r="DK14" s="25">
        <v>9.6999999999999993</v>
      </c>
      <c r="DL14" s="25">
        <v>12.965</v>
      </c>
      <c r="DM14" s="25">
        <v>0</v>
      </c>
      <c r="DN14" s="25"/>
      <c r="DO14" s="25"/>
      <c r="DP14" s="25"/>
      <c r="DQ14" s="25"/>
      <c r="DR14" s="25"/>
      <c r="DS14" s="11">
        <f>IF(DK14&gt;0,DK14,"")</f>
        <v>9.6999999999999993</v>
      </c>
      <c r="DT14" s="11">
        <f>IF(SUM(DD14:DG14)-DH14&gt;0,SUM(DD14:DG14)-DH14,"")</f>
        <v>39.034999999999997</v>
      </c>
      <c r="DU14" s="11">
        <f>IF(SUM(DI14:DL14)-DM14&gt;0,SUM(DI14:DL14)-DM14,"")</f>
        <v>44.064999999999998</v>
      </c>
      <c r="DV14" s="11">
        <f>IF(SUM(DT14:DU14)&gt;0,SUM(DT14:DU14),"")</f>
        <v>83.1</v>
      </c>
      <c r="DW14" s="11" t="str">
        <f>IF(DP14&gt;0,DP14,"")</f>
        <v/>
      </c>
      <c r="DX14" s="11" t="str">
        <f>IF(SUM(DN14:DQ14)-DR14&gt;0,SUM(DN14:DQ14)-DR14,"")</f>
        <v/>
      </c>
      <c r="DY14" s="11">
        <f>IF(SUM(DV14,DX14)&gt;0,SUM(DV14,DX14),"")</f>
        <v>83.1</v>
      </c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11" t="str">
        <f>IF(FC14&gt;0,FC14,"")</f>
        <v/>
      </c>
      <c r="FL14" s="11" t="str">
        <f>IF(SUM(EV14:EY14)-EZ14&gt;0,SUM(EV14:EY14)-EZ14,"")</f>
        <v/>
      </c>
      <c r="FM14" s="11" t="str">
        <f>IF(SUM(FA14:FD14)-FE14&gt;0,SUM(FA14:FD14)-FE14,"")</f>
        <v/>
      </c>
      <c r="FN14" s="11" t="str">
        <f>IF(SUM(FL14:FM14)&gt;0,SUM(FL14:FM14),"")</f>
        <v/>
      </c>
      <c r="FO14" s="11" t="str">
        <f>IF(FH14&gt;0,FH14,"")</f>
        <v/>
      </c>
      <c r="FP14" s="11" t="str">
        <f>IF(SUM(FF14:FI14)-FJ14&gt;0,SUM(FF14:FI14)-FJ14,"")</f>
        <v/>
      </c>
      <c r="FQ14" s="11" t="str">
        <f>IF(SUM(FN14,FP14)&gt;0,SUM(FN14,FP14),"")</f>
        <v/>
      </c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8">
        <f>IF($CR14="P",BX14,(BX14+AT14)/2)</f>
        <v>7.65</v>
      </c>
      <c r="NI14" s="38">
        <f>IF($CR14="P",BY14,(BY14+AU14)/2)</f>
        <v>4.8</v>
      </c>
      <c r="NJ14" s="38">
        <f>IF($CR14="P",BZ14,(BZ14+AV14)/2)</f>
        <v>1.1000000000000001</v>
      </c>
      <c r="NK14" s="38">
        <f>IF($CR14="P",CA14,(CA14+AW14)/2)</f>
        <v>6.67</v>
      </c>
      <c r="NL14" s="38">
        <f>IF($CR14="P",CB14,(CB14+AX14)/2)</f>
        <v>0</v>
      </c>
      <c r="NM14" s="38">
        <f>IF($CR14="P",CC14,(CC14+AY14)/2)</f>
        <v>1.3</v>
      </c>
      <c r="NN14" s="38">
        <f>IF($CR14="P",CD14,(CD14+AZ14)/2)</f>
        <v>0.9</v>
      </c>
      <c r="NO14" s="38">
        <f>IF($CR14="P",CE14,(CE14+BA14)/2)</f>
        <v>1.1499999999999999</v>
      </c>
      <c r="NP14" s="38">
        <f>IF($CR14="P",CF14,(CF14+BB14)/2)</f>
        <v>1.3</v>
      </c>
      <c r="NQ14" s="38">
        <f>IF($CR14="P",CG14,(CG14+BC14)/2)</f>
        <v>0</v>
      </c>
      <c r="NR14" s="38">
        <f>IF($CR14="P",CH14,(CH14+BD14)/2)</f>
        <v>0</v>
      </c>
      <c r="NS14" s="38">
        <f>IF($CR14="P",CI14,(CI14+BE14)/2)</f>
        <v>0</v>
      </c>
      <c r="NT14" s="38">
        <f>IF($CR14="P",CJ14,(CJ14+BF14)/2)</f>
        <v>0</v>
      </c>
      <c r="NU14" s="38">
        <f>IF($CR14="P",CK14,(CK14+BG14)/2)</f>
        <v>0</v>
      </c>
      <c r="NV14" s="38">
        <f>IF($CR14="P",CL14,(CL14+BH14)/2)</f>
        <v>0</v>
      </c>
      <c r="NW14" s="38">
        <f>IF($CR14="P",CM14,(CM14+BI14)/2)</f>
        <v>0</v>
      </c>
      <c r="NX14" s="38">
        <f>IF($CR14="P",CN14,(CN14+BJ14)/2)</f>
        <v>0</v>
      </c>
      <c r="NY14" s="38">
        <f>IF($CR14="P",CO14,(CO14+BK14)/2)</f>
        <v>0</v>
      </c>
      <c r="NZ14" s="38">
        <f>IF($CR14="P",CP14,(CP14+BL14)/2)</f>
        <v>0</v>
      </c>
      <c r="OA14" s="38">
        <f>IF($CR14="P",CQ14,(CQ14+BM14)/2)</f>
        <v>0</v>
      </c>
      <c r="OB14" s="45" t="s">
        <v>46</v>
      </c>
      <c r="OC14" s="11">
        <f>IF(SUM(NH14:NK14)-NL14&gt;0,SUM(NH14:NK14)-NL14,"")</f>
        <v>20.22</v>
      </c>
      <c r="OD14" s="11">
        <f>IF(NO14&gt;0,NO14,"")</f>
        <v>1.1499999999999999</v>
      </c>
      <c r="OE14" s="11">
        <f>IF(SUM(NM14:NP14)-NQ14&gt;0,SUM(NM14:NP14)-NQ14,"")</f>
        <v>4.6500000000000004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24.869999999999997</v>
      </c>
      <c r="OI14" s="11" t="str">
        <f>IF(NY14&gt;0,NY14,"")</f>
        <v/>
      </c>
      <c r="OJ14" s="11" t="str">
        <f t="shared" ref="OJ14" si="14">IF(SUM(NW14:NZ14)-OA14&gt;0,SUM(NW14:NZ14)-OA14,"")</f>
        <v/>
      </c>
      <c r="OK14" s="11">
        <f t="shared" ref="OK14" si="15">IF(SUM(OH14,OJ14)&gt;0,SUM(OH14,OJ14),"")</f>
        <v>24.869999999999997</v>
      </c>
    </row>
    <row r="15" spans="1:401" x14ac:dyDescent="0.2">
      <c r="A15" s="5" t="str" cm="1">
        <f t="array" ref="A15">IF(AND(F15="P",G15="P"),SUMPRODUCT((F$4:F$29="P")*(G$4:G$29="P")*(E$4:E$29&gt;E15))+1,IF(G15="P",SUMPRODUCT((F$4:F$29="")*(G$4:G$29="P")*(E$4:E$29&gt;E15))+1+SUMPRODUCT((F$4:F$29="P")*(G$4:G$29="P")),""))</f>
        <v/>
      </c>
      <c r="B15" s="8" t="s">
        <v>98</v>
      </c>
      <c r="C15" s="4" t="s">
        <v>5</v>
      </c>
      <c r="D15" s="22">
        <v>2003</v>
      </c>
      <c r="E15" s="15">
        <f>SUM(I15:M15)</f>
        <v>92.08</v>
      </c>
      <c r="F15" s="3" t="str">
        <f>IF(OR(AND(AL15&gt;=AS$31,AM15&gt;=AS$35,AL15&lt;&gt;"",AJ15=""),AND(AN15&gt;=AS$31,AO15&gt;=AS$35,AN15&lt;&gt;"",AN15=""),AND(AQ15&gt;=AS$31,AR15&gt;=AS$35,AQ15&lt;&gt;"",AJ15=""),AND(BP15&gt;=BW$31,BQ15&gt;=BW$35,BP15&lt;&gt;"",BN15=""),AND(BR15&gt;=BW$31,BS15&gt;=BW$35,BR15&lt;&gt;"",BN15=""),AND(BU15&gt;=BW$31,BV15&gt;=BW$35,BU15&lt;&gt;"",BN15=""),AND(CT15&gt;=DA$31,CU15&gt;=DA$35,CT15&lt;&gt;"",CR15=""),AND(CV15&gt;=DA$31,CW15&gt;=DA$35,CV15&lt;&gt;"",CR15=""),AND(CY15&gt;=DA$31,CZ15&gt;=DA$35,CY15&lt;&gt;"",CR15=""),AND(DS15&gt;=DY$31,DU15&gt;=DY$35,DS15&lt;&gt;""),AND(DW15&gt;=DY$31,DX15&gt;=DY$35,DW15&lt;&gt;""),AND(EO15&gt;=EU$31,EQ15&gt;=EU$35,EO15&lt;&gt;""),AND(ES15&gt;=EU$31,ET15&gt;=EU$35,ES15&lt;&gt;""),AND(FK15&gt;=FQ$31,FM15&gt;=FQ$35,FK15&lt;&gt;""),AND(FO15&gt;=FQ$31,FP15&gt;=FQ$35,FO15&lt;&gt;""),AND(GG15&gt;=GM$31,GI15&gt;=GM$35,GG15&lt;&gt;""),AND(GK15&gt;=GM$31,GL15&gt;=GM$35,GK15&lt;&gt;""),AND(HC15&gt;=HI$31,HE15&gt;=HI$35,HC15&lt;&gt;""),AND(HG15&gt;=HI$31,HH15&gt;=HI$35,HG15&lt;&gt;""),AND(HY15&gt;=IE$31,IA15&gt;=IE$35,HY15&lt;&gt;""),AND(IC15&gt;=IE$31,ID15&gt;=IE$35,IC15&lt;&gt;""),AND(IU15&gt;=JA$31,IW15&gt;=JA$35,IU15&lt;&gt;""),AND(IY15&gt;=JA$31,IZ15&gt;=JA$35,IY15&lt;&gt;""),AND(JQ15&gt;=JW$31,JS15&gt;=JW$35,JQ15&lt;&gt;""),AND(JU15&gt;=JW$31,JV15&gt;=JW$35,JU15&lt;&gt;""),AND(KM15&gt;=KS$31,KO15&gt;=KS$35,KM15&lt;&gt;""),AND(KQ15&gt;=KS$31,KR15&gt;=KS$35,KQ15&lt;&gt;""),AND(LI15&gt;=LO$31,LK15&gt;=LO$35,LI15&lt;&gt;""),AND(LM15&gt;=LO$31,LN15&gt;=LO$35,LM15&lt;&gt;""),AND(ME15&gt;=MK$31,MG15&gt;=MK$35,ME15&lt;&gt;""),AND(MI15&gt;=MK$31,MJ15&gt;=MK$35,MI15&lt;&gt;""),AND(NA15&gt;=NG$31,NC15&gt;=NG$35,NA15&lt;&gt;""),AND(NE15&gt;=NG$31,NF15&gt;=NG$35,NE15&lt;&gt;"")),"P","")</f>
        <v/>
      </c>
      <c r="G15" s="3" t="str">
        <f>IF(OR(AND(AM15&gt;=AS$35,AL15&lt;&gt;"",AJ15=""),AND(AO15&gt;=AS$35,AN15&lt;&gt;"",AN15=""),AND(AR15&gt;=AS$35,AQ15&lt;&gt;"",AJ15=""),AND(BQ15&gt;=BW$35,BP15&lt;&gt;"",BN15=""),AND(BS15&gt;=BW$35,BR15&lt;&gt;"",BN15=""),AND(BV15&gt;=BW$35,BU15&lt;&gt;"",BN15=""),AND(CU15&gt;=DA$35,CT15&lt;&gt;"",CR15=""),AND(CW15&gt;=DA$35,CV15&lt;&gt;"",CR15=""),AND(CZ15&gt;=DA$35,CY15&lt;&gt;"",CR15=""),AND(DU15&gt;=DY$35,DS15&lt;&gt;""),AND(DX15&gt;=DY$35,DW15&lt;&gt;""),AND(EQ15&gt;=EU$35,EO15&lt;&gt;""),AND(ET15&gt;=EU$35,ES15&lt;&gt;""),AND(FM15&gt;=FQ$35,FK15&lt;&gt;""),AND(FP15&gt;=FQ$35,FO15&lt;&gt;""),AND(GI15&gt;=GM$35,GG15&lt;&gt;""),AND(GL15&gt;=GM$35,GK15&lt;&gt;""),AND(HE15&gt;=HI$35,HC15&lt;&gt;""),AND(HH15&gt;=HI$35,HG15&lt;&gt;""),AND(IA15&gt;=IE$35,HY15&lt;&gt;""),AND(ID15&gt;=IE$35,IC15&lt;&gt;""),AND(IW15&gt;=JA$35,IU15&lt;&gt;""),AND(IZ15&gt;=JA$35,IY15&lt;&gt;""),AND(JS15&gt;=JW$35,JQ15&lt;&gt;""),AND(JV15&gt;=JW$35,JU15&lt;&gt;""),AND(KO15&gt;=KS$35,KM15&lt;&gt;""),AND(KR15&gt;=KS$35,KQ15&lt;&gt;""),AND(LK15&gt;=LO$35,LI15&lt;&gt;""),AND(LN15&gt;=LO$35,LM15&lt;&gt;""),AND(MG15&gt;=MK$35,ME15&lt;&gt;""),AND(MJ15&gt;=MK$35,MI15&lt;&gt;""),AND(NC15&gt;=NG$35,NA15&lt;&gt;""),AND(NF15&gt;=NG$35,NE15&lt;&gt;"")),"P","")</f>
        <v/>
      </c>
      <c r="H15" s="67" t="str">
        <f>IF(F15="P","National Team",IF(G15="P","No DD",""))</f>
        <v/>
      </c>
      <c r="I15" s="14">
        <f>MAX(AM15,AO15,AR15,BQ15,BS15,BV15,CU15,CW15,CZ15)</f>
        <v>46.68</v>
      </c>
      <c r="J15" s="14" t="str">
        <f>IF(I15=0,"",IF(OR(I15=CW15,I15=CU15,I15=CZ15),$BX$1,IF(OR(I15=BS15,I15=BQ15,I15=BV15),$AT$1,IF(OR(I15=AO15,I15=AM15,I15=AR15),$P$1,""))))</f>
        <v>2022 Elite Canada</v>
      </c>
      <c r="K15" s="14">
        <f>IF(COUNT(AM15,AO15,AR15,BQ15,BS15,BV15,CU15,CW15,CZ15)&gt;1,LARGE((AM15,AO15,AR15,BQ15,BS15,BV15,CU15,CW15,CZ15),2),0)</f>
        <v>45.4</v>
      </c>
      <c r="L15" s="14" t="str">
        <f>IF(K15=0,"",IF(OR(K15=CW15,K15=CU15,K15=CZ15),$BX$1,IF(OR(K15=BS15,K15=BQ15,K15=BV15),$AT$1,IF(OR(K15=AO15,K15=AM15,K15=AR15),$P$1,""))))</f>
        <v>2022 Elite Canada</v>
      </c>
      <c r="M15" s="14" t="str">
        <f>IF(MAX(DB15,DC15)&gt;0,MAX(DB15,DC15),"")</f>
        <v/>
      </c>
      <c r="N15" s="20" t="str">
        <f>IF(M15="","",IF(M15=#REF!,"(Vol 1)",IF(M15=DB15,"(Vol 2)",IF(M15=#REF!,"(Prelim)",IF(M15=DC15,"(Final)")))))</f>
        <v/>
      </c>
      <c r="O15" s="14" t="str">
        <f>IF(M15="","",IF(M15=#REF!,IF(M15+IF(#REF!="",0,#REF!)=NB15,$ML$1,IF(M15+IF(#REF!="",0,#REF!)=MF15,$LP$1,IF(M15+IF(#REF!="",0,#REF!)=LJ15,$KT$1,IF(M15+IF(#REF!="",0,#REF!)=KN15,$JX$1,IF(M15+IF(#REF!="",0,#REF!)=JR15,$JB$1,IF(M15+IF(#REF!="",0,#REF!)=IV15,$IF$1,IF(M15+IF(#REF!="",0,#REF!)=HZ15,$HJ$1,IF(M15+IF(#REF!="",0,#REF!)=HD15,$GN$1,IF(M15+IF(#REF!="",0,#REF!)=GH15,$FR$1,IF(M15+IF(#REF!="",0,#REF!)=FL15,$EV$1,IF(M15+IF(#REF!="",0,#REF!)=EP15,$DZ$1,IF(M15+IF(#REF!="",0,#REF!)=DT15,$DD$1)))))))))))),IF(M15=DB15,IF(M15+IF(I15="",0,I15)=NC15,$ML$1,IF(M15+IF(I15="",0,I15)=MG15,$LP$1,IF(M15+IF(I15="",0,I15)=LK15,$KT$1,IF(M15+IF(I15="",0,I15)=KO15,$JX$1,IF(M15+IF(I15="",0,I15)=JS15,$JB$1,IF(M15+IF(I15="",0,I15)=IW15,$IF$1,IF(M15+IF(I15="",0,I15)=IA15,$HJ$1,IF(M15+IF(I15="",0,I15)=HE15,$GN$1,IF(M15+IF(I15="",0,I15)=GI15,$FR$1,IF(M15+IF(I15="",0,I15)=FM15,$EV$1,IF(M15+IF(I15="",0,I15)=EQ15,$DZ$1,IF(M15+IF(I15="",0,I15)=DU15,$DD$1)))))))))))),IF(M15=#REF!,IF(M15+IF(#REF!="",0,#REF!)=ND15,$ML$1,IF(M15+IF(#REF!="",0,#REF!)=MH15,$LP$1,IF(M15+IF(#REF!="",0,#REF!)=LL15,$KT$1,IF(M15+IF(#REF!="",0,#REF!)=KP15,$JX$1,IF(M15+IF(#REF!="",0,#REF!)=JT15,$JB$1,IF(M15+IF(#REF!="",0,#REF!)=IX15,$IF$1,IF(M15+IF(#REF!="",0,#REF!)=IB15,$HJ$1,IF(M15+IF(#REF!="",0,#REF!)=HF15,$GN$1,IF(M15+IF(#REF!="",0,#REF!)=GJ15,$FR$1,IF(M15+IF(#REF!="",0,#REF!)=FN15,$EV$1,IF(M15+IF(#REF!="",0,#REF!)=ER15,$DZ$1,IF(M15+IF(#REF!="",0,#REF!)=DV15,$DD$1)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))</f>
        <v/>
      </c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45"/>
      <c r="AK15" s="11" t="str">
        <f>IF(SUM(P15:S15)-T15&gt;0,SUM(P15:S15)-T15,"")</f>
        <v/>
      </c>
      <c r="AL15" s="11" t="str">
        <f>IF(W15&gt;0,W15,"")</f>
        <v/>
      </c>
      <c r="AM15" s="11" t="str">
        <f>IF(SUM(U15:X15)-Y15&gt;0,SUM(U15:X15)-Y15,"")</f>
        <v/>
      </c>
      <c r="AN15" s="11" t="str">
        <f>IF(AB15&gt;0,AB15,"")</f>
        <v/>
      </c>
      <c r="AO15" s="11" t="str">
        <f>IF(SUM(Z15:AC15)-AD15&gt;0,SUM(Z15:AC15)-AD15,"")</f>
        <v/>
      </c>
      <c r="AP15" s="11" t="str">
        <f>IF(AK15="",IF(MAX(AM15,AO15)&gt;0,MAX(AM15,AO15),""),MAX(AM15,AO15)+AK15)</f>
        <v/>
      </c>
      <c r="AQ15" s="11" t="str">
        <f>IF(AG15&gt;0,AG15,"")</f>
        <v/>
      </c>
      <c r="AR15" s="11" t="str">
        <f>IF(SUM(AE15:AH15)-AI15&gt;0,SUM(AE15:AH15)-AI15,"")</f>
        <v/>
      </c>
      <c r="AS15" s="11" t="str">
        <f>IF(SUM(AP15,AR15)&gt;0,SUM(AP15,AR15),"")</f>
        <v/>
      </c>
      <c r="AT15" s="42">
        <v>6.7</v>
      </c>
      <c r="AU15" s="42">
        <v>3.7</v>
      </c>
      <c r="AV15" s="42">
        <v>0.7</v>
      </c>
      <c r="AW15" s="42">
        <v>5.3849999999999998</v>
      </c>
      <c r="AX15" s="42">
        <v>0</v>
      </c>
      <c r="AY15" s="42">
        <v>8.1999999999999993</v>
      </c>
      <c r="AZ15" s="42">
        <v>5.0999999999999996</v>
      </c>
      <c r="BA15" s="42">
        <v>6</v>
      </c>
      <c r="BB15" s="42">
        <v>7.34</v>
      </c>
      <c r="BC15" s="42">
        <v>0</v>
      </c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6"/>
      <c r="BO15" s="14">
        <f>IF(SUM(AT15:AW15)-AX15&gt;0,SUM(AT15:AW15)-AX15,"")</f>
        <v>16.484999999999999</v>
      </c>
      <c r="BP15" s="14">
        <f>IF(BA15&gt;0,BA15,"")</f>
        <v>6</v>
      </c>
      <c r="BQ15" s="14">
        <f>IF(SUM(AY15:BB15)-BC15&gt;0,SUM(AY15:BB15)-BC15,"")</f>
        <v>26.639999999999997</v>
      </c>
      <c r="BR15" s="14" t="str">
        <f>IF(BF15&gt;0,BF15,"")</f>
        <v/>
      </c>
      <c r="BS15" s="14" t="str">
        <f>IF(SUM(BD15:BG15)-BH15&gt;0,SUM(BD15:BG15)-BH15,"")</f>
        <v/>
      </c>
      <c r="BT15" s="14">
        <f>IF(BO15="",IF(MAX(BQ15,BS15)&gt;0,MAX(BQ15,BS15),""),MAX(BQ15,BS15)+BO15)</f>
        <v>43.125</v>
      </c>
      <c r="BU15" s="14" t="str">
        <f>IF(BK15&gt;0,BK15,"")</f>
        <v/>
      </c>
      <c r="BV15" s="14" t="str">
        <f>IF(SUM(BI15:BL15)-BM15&gt;0,SUM(BI15:BL15)-BM15,"")</f>
        <v/>
      </c>
      <c r="BW15" s="14">
        <f>IF(SUM(BT15,BV15)&gt;0,SUM(BT15,BV15),"")</f>
        <v>43.125</v>
      </c>
      <c r="BX15" s="38">
        <v>15.8</v>
      </c>
      <c r="BY15" s="38">
        <v>9.5</v>
      </c>
      <c r="BZ15" s="38">
        <v>2.2000000000000002</v>
      </c>
      <c r="CA15" s="38">
        <v>13.75</v>
      </c>
      <c r="CB15" s="38">
        <v>0</v>
      </c>
      <c r="CC15" s="38">
        <v>13.4</v>
      </c>
      <c r="CD15" s="38">
        <v>9.1999999999999993</v>
      </c>
      <c r="CE15" s="38">
        <v>9.9</v>
      </c>
      <c r="CF15" s="38">
        <v>12.9</v>
      </c>
      <c r="CG15" s="38">
        <v>0</v>
      </c>
      <c r="CH15" s="38"/>
      <c r="CI15" s="38"/>
      <c r="CJ15" s="38"/>
      <c r="CK15" s="38"/>
      <c r="CL15" s="38"/>
      <c r="CM15" s="38">
        <v>14</v>
      </c>
      <c r="CN15" s="38">
        <v>9.4</v>
      </c>
      <c r="CO15" s="38">
        <v>10.1</v>
      </c>
      <c r="CP15" s="38">
        <v>13.18</v>
      </c>
      <c r="CQ15" s="38">
        <v>0</v>
      </c>
      <c r="CR15" s="45"/>
      <c r="CS15" s="11">
        <f>IF(SUM(BX15:CA15)-CB15&gt;0,SUM(BX15:CA15)-CB15,"")</f>
        <v>41.25</v>
      </c>
      <c r="CT15" s="11">
        <f>IF(CE15&gt;0,CE15,"")</f>
        <v>9.9</v>
      </c>
      <c r="CU15" s="11">
        <f>IF(SUM(CC15:CF15)-CG15&gt;0,SUM(CC15:CF15)-CG15,"")</f>
        <v>45.4</v>
      </c>
      <c r="CV15" s="11" t="str">
        <f>IF(CJ15&gt;0,CJ15,"")</f>
        <v/>
      </c>
      <c r="CW15" s="11" t="str">
        <f>IF(SUM(CH15:CK15)-CL15&gt;0,SUM(CH15:CK15)-CL15,"")</f>
        <v/>
      </c>
      <c r="CX15" s="11">
        <f>IF(CS15="",IF(MAX(CU15,CW15)&gt;0,MAX(CU15,CW15),""),MAX(CU15,CW15)+CS15)</f>
        <v>86.65</v>
      </c>
      <c r="CY15" s="11">
        <f>IF(CO15&gt;0,CO15,"")</f>
        <v>10.1</v>
      </c>
      <c r="CZ15" s="11">
        <f>IF(SUM(CM15:CP15)-CQ15&gt;0,SUM(CM15:CP15)-CQ15,"")</f>
        <v>46.68</v>
      </c>
      <c r="DA15" s="11">
        <f>IF(SUM(CX15,CZ15)&gt;0,SUM(CX15,CZ15),"")</f>
        <v>133.33000000000001</v>
      </c>
      <c r="DB15" s="19" t="str">
        <f>IF(I15&gt;=0.001,IF(MAX(DU15,EQ15,FM15,GI15,HE15,IA15,IW15,JS15,KO15,LK15,MG15,NC15)-IF(I15="",0,I15)&gt;0.001,MAX(DU15,EQ15,FM15,GI15,HE15,IA15,IW15,JS15,KO15,LK15,MG15,NC15)-IF(I15="",0,I15),""),"")</f>
        <v/>
      </c>
      <c r="DC15" s="19" t="str">
        <f>IF(K15&gt;=0.001,IF(MAX(DX15,ET15,FP15,GL15,HH15,ID15,IZ15,JV15,KR15,LN15,MJ15,NF15)-IF(K15="",0,K15)&gt;0.001,MAX(DX15,ET15,FP15,GL15,HH15,ID15,IZ15,JV15,KR15,LN15,MJ15,NF15)-IF(K15="",0,K15),""),"")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11" t="str">
        <f>IF(FC15&gt;0,FC15,"")</f>
        <v/>
      </c>
      <c r="FL15" s="11" t="str">
        <f>IF(SUM(EV15:EY15)-EZ15&gt;0,SUM(EV15:EY15)-EZ15,"")</f>
        <v/>
      </c>
      <c r="FM15" s="11" t="str">
        <f>IF(SUM(FA15:FD15)-FE15&gt;0,SUM(FA15:FD15)-FE15,"")</f>
        <v/>
      </c>
      <c r="FN15" s="11" t="str">
        <f>IF(SUM(FL15:FM15)&gt;0,SUM(FL15:FM15),"")</f>
        <v/>
      </c>
      <c r="FO15" s="11" t="str">
        <f>IF(FH15&gt;0,FH15,"")</f>
        <v/>
      </c>
      <c r="FP15" s="11" t="str">
        <f>IF(SUM(FF15:FI15)-FJ15&gt;0,SUM(FF15:FI15)-FJ15,"")</f>
        <v/>
      </c>
      <c r="FQ15" s="11" t="str">
        <f>IF(SUM(FN15,FP15)&gt;0,SUM(FN15,FP15),"")</f>
        <v/>
      </c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8">
        <f>IF($CR15="P",BX15,(BX15+AT15)/2)</f>
        <v>11.25</v>
      </c>
      <c r="NI15" s="38">
        <f>IF($CR15="P",BY15,(BY15+AU15)/2)</f>
        <v>6.6</v>
      </c>
      <c r="NJ15" s="38">
        <f>IF($CR15="P",BZ15,(BZ15+AV15)/2)</f>
        <v>1.4500000000000002</v>
      </c>
      <c r="NK15" s="38">
        <f>IF($CR15="P",CA15,(CA15+AW15)/2)</f>
        <v>9.567499999999999</v>
      </c>
      <c r="NL15" s="38">
        <f>IF($CR15="P",CB15,(CB15+AX15)/2)</f>
        <v>0</v>
      </c>
      <c r="NM15" s="38">
        <f>IF($CR15="P",CC15,(CC15+AY15)/2)</f>
        <v>10.8</v>
      </c>
      <c r="NN15" s="38">
        <f>IF($CR15="P",CD15,(CD15+AZ15)/2)</f>
        <v>7.1499999999999995</v>
      </c>
      <c r="NO15" s="38">
        <f>IF($CR15="P",CE15,(CE15+BA15)/2)</f>
        <v>7.95</v>
      </c>
      <c r="NP15" s="38">
        <f>IF($CR15="P",CF15,(CF15+BB15)/2)</f>
        <v>10.120000000000001</v>
      </c>
      <c r="NQ15" s="38">
        <f>IF($CR15="P",CG15,(CG15+BC15)/2)</f>
        <v>0</v>
      </c>
      <c r="NR15" s="38">
        <f>IF($CR15="P",CH15,(CH15+BD15)/2)</f>
        <v>0</v>
      </c>
      <c r="NS15" s="38">
        <f>IF($CR15="P",CI15,(CI15+BE15)/2)</f>
        <v>0</v>
      </c>
      <c r="NT15" s="38">
        <f>IF($CR15="P",CJ15,(CJ15+BF15)/2)</f>
        <v>0</v>
      </c>
      <c r="NU15" s="38">
        <f>IF($CR15="P",CK15,(CK15+BG15)/2)</f>
        <v>0</v>
      </c>
      <c r="NV15" s="38">
        <f>IF($CR15="P",CL15,(CL15+BH15)/2)</f>
        <v>0</v>
      </c>
      <c r="NW15" s="38">
        <f>IF($CR15="P",CM15,(CM15+BI15)/2)</f>
        <v>7</v>
      </c>
      <c r="NX15" s="38">
        <f>IF($CR15="P",CN15,(CN15+BJ15)/2)</f>
        <v>4.7</v>
      </c>
      <c r="NY15" s="38">
        <f>IF($CR15="P",CO15,(CO15+BK15)/2)</f>
        <v>5.05</v>
      </c>
      <c r="NZ15" s="38">
        <f>IF($CR15="P",CP15,(CP15+BL15)/2)</f>
        <v>6.59</v>
      </c>
      <c r="OA15" s="38">
        <f>IF($CR15="P",CQ15,(CQ15+BM15)/2)</f>
        <v>0</v>
      </c>
      <c r="OB15" s="45" t="s">
        <v>46</v>
      </c>
      <c r="OC15" s="11">
        <f>IF(SUM(NH15:NK15)-NL15&gt;0,SUM(NH15:NK15)-NL15,"")</f>
        <v>28.8675</v>
      </c>
      <c r="OD15" s="11">
        <f>IF(NO15&gt;0,NO15,"")</f>
        <v>7.95</v>
      </c>
      <c r="OE15" s="11">
        <f>IF(SUM(NM15:NP15)-NQ15&gt;0,SUM(NM15:NP15)-NQ15,"")</f>
        <v>36.019999999999996</v>
      </c>
      <c r="OF15" s="11" t="str">
        <f>IF(NT15&gt;0,NT15,"")</f>
        <v/>
      </c>
      <c r="OG15" s="11" t="str">
        <f>IF(SUM(NR15:NU15)-NV15&gt;0,SUM(NR15:NU15)-NV15,"")</f>
        <v/>
      </c>
      <c r="OH15" s="11">
        <f>IF(OR(OC15&lt;&gt;"",OE15&lt;&gt;"",OG15&lt;&gt;""),OC15+MAX(OE15,OG15),"")</f>
        <v>64.887499999999989</v>
      </c>
      <c r="OI15" s="11">
        <f>IF(NY15&gt;0,NY15,"")</f>
        <v>5.05</v>
      </c>
      <c r="OJ15" s="11">
        <f t="shared" ref="OJ15" si="16">IF(SUM(NW15:NZ15)-OA15&gt;0,SUM(NW15:NZ15)-OA15,"")</f>
        <v>23.34</v>
      </c>
      <c r="OK15" s="11">
        <f t="shared" ref="OK15" si="17">IF(SUM(OH15,OJ15)&gt;0,SUM(OH15,OJ15),"")</f>
        <v>88.227499999999992</v>
      </c>
    </row>
    <row r="16" spans="1:401" x14ac:dyDescent="0.2">
      <c r="A16" s="5" t="str" cm="1">
        <f t="array" ref="A16">IF(AND(F16="P",G16="P"),SUMPRODUCT((F$4:F$29="P")*(G$4:G$29="P")*(E$4:E$29&gt;E16))+1,IF(G16="P",SUMPRODUCT((F$4:F$29="")*(G$4:G$29="P")*(E$4:E$29&gt;E16))+1+SUMPRODUCT((F$4:F$29="P")*(G$4:G$29="P")),""))</f>
        <v/>
      </c>
      <c r="B16" s="6" t="s">
        <v>113</v>
      </c>
      <c r="C16" s="7" t="s">
        <v>6</v>
      </c>
      <c r="D16" s="22">
        <v>2003</v>
      </c>
      <c r="E16" s="15">
        <f>SUM(I16:M16)</f>
        <v>91.960000000000008</v>
      </c>
      <c r="F16" s="3" t="str">
        <f>IF(OR(AND(AL16&gt;=AS$31,AM16&gt;=AS$35,AL16&lt;&gt;"",AJ16=""),AND(AN16&gt;=AS$31,AO16&gt;=AS$35,AN16&lt;&gt;"",AN16=""),AND(AQ16&gt;=AS$31,AR16&gt;=AS$35,AQ16&lt;&gt;"",AJ16=""),AND(BP16&gt;=BW$31,BQ16&gt;=BW$35,BP16&lt;&gt;"",BN16=""),AND(BR16&gt;=BW$31,BS16&gt;=BW$35,BR16&lt;&gt;"",BN16=""),AND(BU16&gt;=BW$31,BV16&gt;=BW$35,BU16&lt;&gt;"",BN16=""),AND(CT16&gt;=DA$31,CU16&gt;=DA$35,CT16&lt;&gt;"",CR16=""),AND(CV16&gt;=DA$31,CW16&gt;=DA$35,CV16&lt;&gt;"",CR16=""),AND(CY16&gt;=DA$31,CZ16&gt;=DA$35,CY16&lt;&gt;"",CR16=""),AND(DS16&gt;=DY$31,DU16&gt;=DY$35,DS16&lt;&gt;""),AND(DW16&gt;=DY$31,DX16&gt;=DY$35,DW16&lt;&gt;""),AND(EO16&gt;=EU$31,EQ16&gt;=EU$35,EO16&lt;&gt;""),AND(ES16&gt;=EU$31,ET16&gt;=EU$35,ES16&lt;&gt;""),AND(FK16&gt;=FQ$31,FM16&gt;=FQ$35,FK16&lt;&gt;""),AND(FO16&gt;=FQ$31,FP16&gt;=FQ$35,FO16&lt;&gt;""),AND(GG16&gt;=GM$31,GI16&gt;=GM$35,GG16&lt;&gt;""),AND(GK16&gt;=GM$31,GL16&gt;=GM$35,GK16&lt;&gt;""),AND(HC16&gt;=HI$31,HE16&gt;=HI$35,HC16&lt;&gt;""),AND(HG16&gt;=HI$31,HH16&gt;=HI$35,HG16&lt;&gt;""),AND(HY16&gt;=IE$31,IA16&gt;=IE$35,HY16&lt;&gt;""),AND(IC16&gt;=IE$31,ID16&gt;=IE$35,IC16&lt;&gt;""),AND(IU16&gt;=JA$31,IW16&gt;=JA$35,IU16&lt;&gt;""),AND(IY16&gt;=JA$31,IZ16&gt;=JA$35,IY16&lt;&gt;""),AND(JQ16&gt;=JW$31,JS16&gt;=JW$35,JQ16&lt;&gt;""),AND(JU16&gt;=JW$31,JV16&gt;=JW$35,JU16&lt;&gt;""),AND(KM16&gt;=KS$31,KO16&gt;=KS$35,KM16&lt;&gt;""),AND(KQ16&gt;=KS$31,KR16&gt;=KS$35,KQ16&lt;&gt;""),AND(LI16&gt;=LO$31,LK16&gt;=LO$35,LI16&lt;&gt;""),AND(LM16&gt;=LO$31,LN16&gt;=LO$35,LM16&lt;&gt;""),AND(ME16&gt;=MK$31,MG16&gt;=MK$35,ME16&lt;&gt;""),AND(MI16&gt;=MK$31,MJ16&gt;=MK$35,MI16&lt;&gt;""),AND(NA16&gt;=NG$31,NC16&gt;=NG$35,NA16&lt;&gt;""),AND(NE16&gt;=NG$31,NF16&gt;=NG$35,NE16&lt;&gt;"")),"P","")</f>
        <v/>
      </c>
      <c r="G16" s="3" t="str">
        <f>IF(OR(AND(AM16&gt;=AS$35,AL16&lt;&gt;"",AJ16=""),AND(AO16&gt;=AS$35,AN16&lt;&gt;"",AN16=""),AND(AR16&gt;=AS$35,AQ16&lt;&gt;"",AJ16=""),AND(BQ16&gt;=BW$35,BP16&lt;&gt;"",BN16=""),AND(BS16&gt;=BW$35,BR16&lt;&gt;"",BN16=""),AND(BV16&gt;=BW$35,BU16&lt;&gt;"",BN16=""),AND(CU16&gt;=DA$35,CT16&lt;&gt;"",CR16=""),AND(CW16&gt;=DA$35,CV16&lt;&gt;"",CR16=""),AND(CZ16&gt;=DA$35,CY16&lt;&gt;"",CR16=""),AND(DU16&gt;=DY$35,DS16&lt;&gt;""),AND(DX16&gt;=DY$35,DW16&lt;&gt;""),AND(EQ16&gt;=EU$35,EO16&lt;&gt;""),AND(ET16&gt;=EU$35,ES16&lt;&gt;""),AND(FM16&gt;=FQ$35,FK16&lt;&gt;""),AND(FP16&gt;=FQ$35,FO16&lt;&gt;""),AND(GI16&gt;=GM$35,GG16&lt;&gt;""),AND(GL16&gt;=GM$35,GK16&lt;&gt;""),AND(HE16&gt;=HI$35,HC16&lt;&gt;""),AND(HH16&gt;=HI$35,HG16&lt;&gt;""),AND(IA16&gt;=IE$35,HY16&lt;&gt;""),AND(ID16&gt;=IE$35,IC16&lt;&gt;""),AND(IW16&gt;=JA$35,IU16&lt;&gt;""),AND(IZ16&gt;=JA$35,IY16&lt;&gt;""),AND(JS16&gt;=JW$35,JQ16&lt;&gt;""),AND(JV16&gt;=JW$35,JU16&lt;&gt;""),AND(KO16&gt;=KS$35,KM16&lt;&gt;""),AND(KR16&gt;=KS$35,KQ16&lt;&gt;""),AND(LK16&gt;=LO$35,LI16&lt;&gt;""),AND(LN16&gt;=LO$35,LM16&lt;&gt;""),AND(MG16&gt;=MK$35,ME16&lt;&gt;""),AND(MJ16&gt;=MK$35,MI16&lt;&gt;""),AND(NC16&gt;=NG$35,NA16&lt;&gt;""),AND(NF16&gt;=NG$35,NE16&lt;&gt;"")),"P","")</f>
        <v/>
      </c>
      <c r="H16" s="67" t="str">
        <f>IF(F16="P","National Team",IF(G16="P","No DD",""))</f>
        <v/>
      </c>
      <c r="I16" s="14">
        <f>MAX(AM16,AO16,AR16,BQ16,BS16,BV16,CU16,CW16,CZ16)</f>
        <v>46.17</v>
      </c>
      <c r="J16" s="14" t="str">
        <f>IF(I16=0,"",IF(OR(I16=CW16,I16=CU16,I16=CZ16),$BX$1,IF(OR(I16=BS16,I16=BQ16,I16=BV16),$AT$1,IF(OR(I16=AO16,I16=AM16,I16=AR16),$P$1,""))))</f>
        <v>2022 Elite Canada</v>
      </c>
      <c r="K16" s="14">
        <f>IF(COUNT(AM16,AO16,AR16,BQ16,BS16,BV16,CU16,CW16,CZ16)&gt;1,LARGE((AM16,AO16,AR16,BQ16,BS16,BV16,CU16,CW16,CZ16),2),0)</f>
        <v>45.79</v>
      </c>
      <c r="L16" s="14" t="str">
        <f>IF(K16=0,"",IF(OR(K16=CW16,K16=CU16,K16=CZ16),$BX$1,IF(OR(K16=BS16,K16=BQ16,K16=BV16),$AT$1,IF(OR(K16=AO16,K16=AM16,K16=AR16),$P$1,""))))</f>
        <v>2021 Canadian Championships</v>
      </c>
      <c r="M16" s="14" t="str">
        <f>IF(MAX(DB16,DC16)&gt;0,MAX(DB16,DC16),"")</f>
        <v/>
      </c>
      <c r="N16" s="20" t="str">
        <f>IF(M16="","",IF(M16=#REF!,"(Vol 1)",IF(M16=DB16,"(Vol 2)",IF(M16=#REF!,"(Prelim)",IF(M16=DC16,"(Final)")))))</f>
        <v/>
      </c>
      <c r="O16" s="14" t="str">
        <f>IF(M16="","",IF(M16=#REF!,IF(M16+IF(#REF!="",0,#REF!)=NB16,$ML$1,IF(M16+IF(#REF!="",0,#REF!)=MF16,$LP$1,IF(M16+IF(#REF!="",0,#REF!)=LJ16,$KT$1,IF(M16+IF(#REF!="",0,#REF!)=KN16,$JX$1,IF(M16+IF(#REF!="",0,#REF!)=JR16,$JB$1,IF(M16+IF(#REF!="",0,#REF!)=IV16,$IF$1,IF(M16+IF(#REF!="",0,#REF!)=HZ16,$HJ$1,IF(M16+IF(#REF!="",0,#REF!)=HD16,$GN$1,IF(M16+IF(#REF!="",0,#REF!)=GH16,$FR$1,IF(M16+IF(#REF!="",0,#REF!)=FL16,$EV$1,IF(M16+IF(#REF!="",0,#REF!)=EP16,$DZ$1,IF(M16+IF(#REF!="",0,#REF!)=DT16,$DD$1)))))))))))),IF(M16=DB16,IF(M16+IF(I16="",0,I16)=NC16,$ML$1,IF(M16+IF(I16="",0,I16)=MG16,$LP$1,IF(M16+IF(I16="",0,I16)=LK16,$KT$1,IF(M16+IF(I16="",0,I16)=KO16,$JX$1,IF(M16+IF(I16="",0,I16)=JS16,$JB$1,IF(M16+IF(I16="",0,I16)=IW16,$IF$1,IF(M16+IF(I16="",0,I16)=IA16,$HJ$1,IF(M16+IF(I16="",0,I16)=HE16,$GN$1,IF(M16+IF(I16="",0,I16)=GI16,$FR$1,IF(M16+IF(I16="",0,I16)=FM16,$EV$1,IF(M16+IF(I16="",0,I16)=EQ16,$DZ$1,IF(M16+IF(I16="",0,I16)=DU16,$DD$1)))))))))))),IF(M16=#REF!,IF(M16+IF(#REF!="",0,#REF!)=ND16,$ML$1,IF(M16+IF(#REF!="",0,#REF!)=MH16,$LP$1,IF(M16+IF(#REF!="",0,#REF!)=LL16,$KT$1,IF(M16+IF(#REF!="",0,#REF!)=KP16,$JX$1,IF(M16+IF(#REF!="",0,#REF!)=JT16,$JB$1,IF(M16+IF(#REF!="",0,#REF!)=IX16,$IF$1,IF(M16+IF(#REF!="",0,#REF!)=IB16,$HJ$1,IF(M16+IF(#REF!="",0,#REF!)=HF16,$GN$1,IF(M16+IF(#REF!="",0,#REF!)=GJ16,$FR$1,IF(M16+IF(#REF!="",0,#REF!)=FN16,$EV$1,IF(M16+IF(#REF!="",0,#REF!)=ER16,$DZ$1,IF(M16+IF(#REF!="",0,#REF!)=DV16,$DD$1)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))</f>
        <v/>
      </c>
      <c r="P16" s="38">
        <v>16</v>
      </c>
      <c r="Q16" s="38">
        <v>9</v>
      </c>
      <c r="R16" s="38">
        <v>1.8</v>
      </c>
      <c r="S16" s="38">
        <v>13.46</v>
      </c>
      <c r="T16" s="38">
        <v>0</v>
      </c>
      <c r="U16" s="38">
        <v>15.4</v>
      </c>
      <c r="V16" s="38">
        <v>9.4</v>
      </c>
      <c r="W16" s="38">
        <v>7.8</v>
      </c>
      <c r="X16" s="38">
        <v>13.09</v>
      </c>
      <c r="Y16" s="38">
        <v>1</v>
      </c>
      <c r="Z16" s="38"/>
      <c r="AA16" s="38"/>
      <c r="AB16" s="38"/>
      <c r="AC16" s="38"/>
      <c r="AD16" s="38"/>
      <c r="AE16" s="38">
        <v>1.6</v>
      </c>
      <c r="AF16" s="38">
        <v>1</v>
      </c>
      <c r="AG16" s="38">
        <v>1.3</v>
      </c>
      <c r="AH16" s="38">
        <v>1.4350000000000001</v>
      </c>
      <c r="AI16" s="38">
        <v>0</v>
      </c>
      <c r="AJ16" s="45"/>
      <c r="AK16" s="11">
        <f>IF(SUM(P16:S16)-T16&gt;0,SUM(P16:S16)-T16,"")</f>
        <v>40.260000000000005</v>
      </c>
      <c r="AL16" s="11">
        <f>IF(W16&gt;0,W16,"")</f>
        <v>7.8</v>
      </c>
      <c r="AM16" s="11">
        <f>IF(SUM(U16:X16)-Y16&gt;0,SUM(U16:X16)-Y16,"")</f>
        <v>44.69</v>
      </c>
      <c r="AN16" s="11" t="str">
        <f>IF(AB16&gt;0,AB16,"")</f>
        <v/>
      </c>
      <c r="AO16" s="11" t="str">
        <f>IF(SUM(Z16:AC16)-AD16&gt;0,SUM(Z16:AC16)-AD16,"")</f>
        <v/>
      </c>
      <c r="AP16" s="11">
        <f>IF(AK16="",IF(MAX(AM16,AO16)&gt;0,MAX(AM16,AO16),""),MAX(AM16,AO16)+AK16)</f>
        <v>84.95</v>
      </c>
      <c r="AQ16" s="11">
        <f>IF(AG16&gt;0,AG16,"")</f>
        <v>1.3</v>
      </c>
      <c r="AR16" s="11">
        <f>IF(SUM(AE16:AH16)-AI16&gt;0,SUM(AE16:AH16)-AI16,"")</f>
        <v>5.3350000000000009</v>
      </c>
      <c r="AS16" s="11">
        <f>IF(SUM(AP16,AR16)&gt;0,SUM(AP16,AR16),"")</f>
        <v>90.284999999999997</v>
      </c>
      <c r="AT16" s="42">
        <v>15.9</v>
      </c>
      <c r="AU16" s="42">
        <v>9.6999999999999993</v>
      </c>
      <c r="AV16" s="42">
        <v>2</v>
      </c>
      <c r="AW16" s="42">
        <v>13.51</v>
      </c>
      <c r="AX16" s="42">
        <v>0</v>
      </c>
      <c r="AY16" s="42">
        <v>14.4</v>
      </c>
      <c r="AZ16" s="42">
        <v>9.4</v>
      </c>
      <c r="BA16" s="42">
        <v>8.8000000000000007</v>
      </c>
      <c r="BB16" s="42">
        <v>13.19</v>
      </c>
      <c r="BC16" s="42">
        <v>0</v>
      </c>
      <c r="BD16" s="42"/>
      <c r="BE16" s="42"/>
      <c r="BF16" s="42"/>
      <c r="BG16" s="42"/>
      <c r="BH16" s="42"/>
      <c r="BI16" s="42">
        <v>13.7</v>
      </c>
      <c r="BJ16" s="42">
        <v>9</v>
      </c>
      <c r="BK16" s="42">
        <v>8.1999999999999993</v>
      </c>
      <c r="BL16" s="42">
        <v>13.074999999999999</v>
      </c>
      <c r="BM16" s="42">
        <v>0.6</v>
      </c>
      <c r="BN16" s="46"/>
      <c r="BO16" s="14">
        <f>IF(SUM(AT16:AW16)-AX16&gt;0,SUM(AT16:AW16)-AX16,"")</f>
        <v>41.11</v>
      </c>
      <c r="BP16" s="14">
        <f>IF(BA16&gt;0,BA16,"")</f>
        <v>8.8000000000000007</v>
      </c>
      <c r="BQ16" s="14">
        <f>IF(SUM(AY16:BB16)-BC16&gt;0,SUM(AY16:BB16)-BC16,"")</f>
        <v>45.79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86.9</v>
      </c>
      <c r="BU16" s="14">
        <f>IF(BK16&gt;0,BK16,"")</f>
        <v>8.1999999999999993</v>
      </c>
      <c r="BV16" s="14">
        <f>IF(SUM(BI16:BL16)-BM16&gt;0,SUM(BI16:BL16)-BM16,"")</f>
        <v>43.374999999999993</v>
      </c>
      <c r="BW16" s="14">
        <f>IF(SUM(BT16,BV16)&gt;0,SUM(BT16,BV16),"")</f>
        <v>130.27500000000001</v>
      </c>
      <c r="BX16" s="38">
        <v>15.8</v>
      </c>
      <c r="BY16" s="38">
        <v>9.5</v>
      </c>
      <c r="BZ16" s="38">
        <v>2.2000000000000002</v>
      </c>
      <c r="CA16" s="38">
        <v>14.05</v>
      </c>
      <c r="CB16" s="38">
        <v>0</v>
      </c>
      <c r="CC16" s="38">
        <v>14.4</v>
      </c>
      <c r="CD16" s="38">
        <v>9.1</v>
      </c>
      <c r="CE16" s="38">
        <v>8.8000000000000007</v>
      </c>
      <c r="CF16" s="38">
        <v>13.21</v>
      </c>
      <c r="CG16" s="38">
        <v>0</v>
      </c>
      <c r="CH16" s="38"/>
      <c r="CI16" s="38"/>
      <c r="CJ16" s="38"/>
      <c r="CK16" s="38"/>
      <c r="CL16" s="38"/>
      <c r="CM16" s="38">
        <v>14.5</v>
      </c>
      <c r="CN16" s="38">
        <v>9.1999999999999993</v>
      </c>
      <c r="CO16" s="38">
        <v>8.8000000000000007</v>
      </c>
      <c r="CP16" s="38">
        <v>13.67</v>
      </c>
      <c r="CQ16" s="38">
        <v>0</v>
      </c>
      <c r="CR16" s="45"/>
      <c r="CS16" s="11">
        <f>IF(SUM(BX16:CA16)-CB16&gt;0,SUM(BX16:CA16)-CB16,"")</f>
        <v>41.55</v>
      </c>
      <c r="CT16" s="11">
        <f>IF(CE16&gt;0,CE16,"")</f>
        <v>8.8000000000000007</v>
      </c>
      <c r="CU16" s="11">
        <f>IF(SUM(CC16:CF16)-CG16&gt;0,SUM(CC16:CF16)-CG16,"")</f>
        <v>45.51</v>
      </c>
      <c r="CV16" s="11" t="str">
        <f>IF(CJ16&gt;0,CJ16,"")</f>
        <v/>
      </c>
      <c r="CW16" s="11" t="str">
        <f>IF(SUM(CH16:CK16)-CL16&gt;0,SUM(CH16:CK16)-CL16,"")</f>
        <v/>
      </c>
      <c r="CX16" s="11">
        <f>IF(CS16="",IF(MAX(CU16,CW16)&gt;0,MAX(CU16,CW16),""),MAX(CU16,CW16)+CS16)</f>
        <v>87.06</v>
      </c>
      <c r="CY16" s="11">
        <f>IF(CO16&gt;0,CO16,"")</f>
        <v>8.8000000000000007</v>
      </c>
      <c r="CZ16" s="11">
        <f>IF(SUM(CM16:CP16)-CQ16&gt;0,SUM(CM16:CP16)-CQ16,"")</f>
        <v>46.17</v>
      </c>
      <c r="DA16" s="11">
        <f>IF(SUM(CX16,CZ16)&gt;0,SUM(CX16,CZ16),"")</f>
        <v>133.23000000000002</v>
      </c>
      <c r="DB16" s="19" t="str">
        <f>IF(I16&gt;=0.001,IF(MAX(DU16,EQ16,FM16,GI16,HE16,IA16,IW16,JS16,KO16,LK16,MG16,NC16)-IF(I16="",0,I16)&gt;0.001,MAX(DU16,EQ16,FM16,GI16,HE16,IA16,IW16,JS16,KO16,LK16,MG16,NC16)-IF(I16="",0,I16),""),"")</f>
        <v/>
      </c>
      <c r="DC16" s="19" t="str">
        <f>IF(K16&gt;=0.001,IF(MAX(DX16,ET16,FP16,GL16,HH16,ID16,IZ16,JV16,KR16,LN16,MJ16,NF16)-IF(K16="",0,K16)&gt;0.001,MAX(DX16,ET16,FP16,GL16,HH16,ID16,IZ16,JV16,KR16,LN16,MJ16,NF16)-IF(K16="",0,K16),""),"")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11" t="str">
        <f>IF(FC16&gt;0,FC16,"")</f>
        <v/>
      </c>
      <c r="FL16" s="11" t="str">
        <f>IF(SUM(EV16:EY16)-EZ16&gt;0,SUM(EV16:EY16)-EZ16,"")</f>
        <v/>
      </c>
      <c r="FM16" s="11" t="str">
        <f>IF(SUM(FA16:FD16)-FE16&gt;0,SUM(FA16:FD16)-FE16,"")</f>
        <v/>
      </c>
      <c r="FN16" s="11" t="str">
        <f>IF(SUM(FL16:FM16)&gt;0,SUM(FL16:FM16),"")</f>
        <v/>
      </c>
      <c r="FO16" s="11" t="str">
        <f>IF(FH16&gt;0,FH16,"")</f>
        <v/>
      </c>
      <c r="FP16" s="11" t="str">
        <f>IF(SUM(FF16:FI16)-FJ16&gt;0,SUM(FF16:FI16)-FJ16,"")</f>
        <v/>
      </c>
      <c r="FQ16" s="11" t="str">
        <f>IF(SUM(FN16,FP16)&gt;0,SUM(FN16,FP16),"")</f>
        <v/>
      </c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8">
        <f>IF($CR16="P",BX16,(BX16+AT16)/2)</f>
        <v>15.850000000000001</v>
      </c>
      <c r="NI16" s="38">
        <f>IF($CR16="P",BY16,(BY16+AU16)/2)</f>
        <v>9.6</v>
      </c>
      <c r="NJ16" s="38">
        <f>IF($CR16="P",BZ16,(BZ16+AV16)/2)</f>
        <v>2.1</v>
      </c>
      <c r="NK16" s="38">
        <f>IF($CR16="P",CA16,(CA16+AW16)/2)</f>
        <v>13.780000000000001</v>
      </c>
      <c r="NL16" s="38">
        <f>IF($CR16="P",CB16,(CB16+AX16)/2)</f>
        <v>0</v>
      </c>
      <c r="NM16" s="38">
        <f>IF($CR16="P",CC16,(CC16+AY16)/2)</f>
        <v>14.4</v>
      </c>
      <c r="NN16" s="38">
        <f>IF($CR16="P",CD16,(CD16+AZ16)/2)</f>
        <v>9.25</v>
      </c>
      <c r="NO16" s="38">
        <f>IF($CR16="P",CE16,(CE16+BA16)/2)</f>
        <v>8.8000000000000007</v>
      </c>
      <c r="NP16" s="38">
        <f>IF($CR16="P",CF16,(CF16+BB16)/2)</f>
        <v>13.2</v>
      </c>
      <c r="NQ16" s="38">
        <f>IF($CR16="P",CG16,(CG16+BC16)/2)</f>
        <v>0</v>
      </c>
      <c r="NR16" s="38">
        <f>IF($CR16="P",CH16,(CH16+BD16)/2)</f>
        <v>0</v>
      </c>
      <c r="NS16" s="38">
        <f>IF($CR16="P",CI16,(CI16+BE16)/2)</f>
        <v>0</v>
      </c>
      <c r="NT16" s="38">
        <f>IF($CR16="P",CJ16,(CJ16+BF16)/2)</f>
        <v>0</v>
      </c>
      <c r="NU16" s="38">
        <f>IF($CR16="P",CK16,(CK16+BG16)/2)</f>
        <v>0</v>
      </c>
      <c r="NV16" s="38">
        <f>IF($CR16="P",CL16,(CL16+BH16)/2)</f>
        <v>0</v>
      </c>
      <c r="NW16" s="38">
        <f>IF($CR16="P",CM16,(CM16+BI16)/2)</f>
        <v>14.1</v>
      </c>
      <c r="NX16" s="38">
        <f>IF($CR16="P",CN16,(CN16+BJ16)/2)</f>
        <v>9.1</v>
      </c>
      <c r="NY16" s="38">
        <f>IF($CR16="P",CO16,(CO16+BK16)/2)</f>
        <v>8.5</v>
      </c>
      <c r="NZ16" s="38">
        <f>IF($CR16="P",CP16,(CP16+BL16)/2)</f>
        <v>13.372499999999999</v>
      </c>
      <c r="OA16" s="38">
        <f>IF($CR16="P",CQ16,(CQ16+BM16)/2)</f>
        <v>0.3</v>
      </c>
      <c r="OB16" s="45" t="s">
        <v>46</v>
      </c>
      <c r="OC16" s="11">
        <f>IF(SUM(NH16:NK16)-NL16&gt;0,SUM(NH16:NK16)-NL16,"")</f>
        <v>41.330000000000005</v>
      </c>
      <c r="OD16" s="11">
        <f>IF(NO16&gt;0,NO16,"")</f>
        <v>8.8000000000000007</v>
      </c>
      <c r="OE16" s="11">
        <f>IF(SUM(NM16:NP16)-NQ16&gt;0,SUM(NM16:NP16)-NQ16,"")</f>
        <v>45.650000000000006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86.980000000000018</v>
      </c>
      <c r="OI16" s="11">
        <f>IF(NY16&gt;0,NY16,"")</f>
        <v>8.5</v>
      </c>
      <c r="OJ16" s="11">
        <f t="shared" ref="OJ16" si="18">IF(SUM(NW16:NZ16)-OA16&gt;0,SUM(NW16:NZ16)-OA16,"")</f>
        <v>44.772500000000001</v>
      </c>
      <c r="OK16" s="11">
        <f t="shared" ref="OK16" si="19">IF(SUM(OH16,OJ16)&gt;0,SUM(OH16,OJ16),"")</f>
        <v>131.75250000000003</v>
      </c>
    </row>
    <row r="17" spans="1:401" x14ac:dyDescent="0.2">
      <c r="A17" s="5" t="str" cm="1">
        <f t="array" ref="A17">IF(AND(F17="P",G17="P"),SUMPRODUCT((F$4:F$29="P")*(G$4:G$29="P")*(E$4:E$29&gt;E17))+1,IF(G17="P",SUMPRODUCT((F$4:F$29="")*(G$4:G$29="P")*(E$4:E$29&gt;E17))+1+SUMPRODUCT((F$4:F$29="P")*(G$4:G$29="P")),""))</f>
        <v/>
      </c>
      <c r="B17" s="8" t="s">
        <v>80</v>
      </c>
      <c r="C17" s="4" t="s">
        <v>4</v>
      </c>
      <c r="D17" s="22">
        <v>2004</v>
      </c>
      <c r="E17" s="15">
        <f>SUM(I17:M17)</f>
        <v>90.669999999999987</v>
      </c>
      <c r="F17" s="3" t="str">
        <f>IF(OR(AND(AL17&gt;=AS$31,AM17&gt;=AS$35,AL17&lt;&gt;"",AJ17=""),AND(AN17&gt;=AS$31,AO17&gt;=AS$35,AN17&lt;&gt;"",AN17=""),AND(AQ17&gt;=AS$31,AR17&gt;=AS$35,AQ17&lt;&gt;"",AJ17=""),AND(BP17&gt;=BW$31,BQ17&gt;=BW$35,BP17&lt;&gt;"",BN17=""),AND(BR17&gt;=BW$31,BS17&gt;=BW$35,BR17&lt;&gt;"",BN17=""),AND(BU17&gt;=BW$31,BV17&gt;=BW$35,BU17&lt;&gt;"",BN17=""),AND(CT17&gt;=DA$31,CU17&gt;=DA$35,CT17&lt;&gt;"",CR17=""),AND(CV17&gt;=DA$31,CW17&gt;=DA$35,CV17&lt;&gt;"",CR17=""),AND(CY17&gt;=DA$31,CZ17&gt;=DA$35,CY17&lt;&gt;"",CR17=""),AND(DS17&gt;=DY$31,DU17&gt;=DY$35,DS17&lt;&gt;""),AND(DW17&gt;=DY$31,DX17&gt;=DY$35,DW17&lt;&gt;""),AND(EO17&gt;=EU$31,EQ17&gt;=EU$35,EO17&lt;&gt;""),AND(ES17&gt;=EU$31,ET17&gt;=EU$35,ES17&lt;&gt;""),AND(FK17&gt;=FQ$31,FM17&gt;=FQ$35,FK17&lt;&gt;""),AND(FO17&gt;=FQ$31,FP17&gt;=FQ$35,FO17&lt;&gt;""),AND(GG17&gt;=GM$31,GI17&gt;=GM$35,GG17&lt;&gt;""),AND(GK17&gt;=GM$31,GL17&gt;=GM$35,GK17&lt;&gt;""),AND(HC17&gt;=HI$31,HE17&gt;=HI$35,HC17&lt;&gt;""),AND(HG17&gt;=HI$31,HH17&gt;=HI$35,HG17&lt;&gt;""),AND(HY17&gt;=IE$31,IA17&gt;=IE$35,HY17&lt;&gt;""),AND(IC17&gt;=IE$31,ID17&gt;=IE$35,IC17&lt;&gt;""),AND(IU17&gt;=JA$31,IW17&gt;=JA$35,IU17&lt;&gt;""),AND(IY17&gt;=JA$31,IZ17&gt;=JA$35,IY17&lt;&gt;""),AND(JQ17&gt;=JW$31,JS17&gt;=JW$35,JQ17&lt;&gt;""),AND(JU17&gt;=JW$31,JV17&gt;=JW$35,JU17&lt;&gt;""),AND(KM17&gt;=KS$31,KO17&gt;=KS$35,KM17&lt;&gt;""),AND(KQ17&gt;=KS$31,KR17&gt;=KS$35,KQ17&lt;&gt;""),AND(LI17&gt;=LO$31,LK17&gt;=LO$35,LI17&lt;&gt;""),AND(LM17&gt;=LO$31,LN17&gt;=LO$35,LM17&lt;&gt;""),AND(ME17&gt;=MK$31,MG17&gt;=MK$35,ME17&lt;&gt;""),AND(MI17&gt;=MK$31,MJ17&gt;=MK$35,MI17&lt;&gt;""),AND(NA17&gt;=NG$31,NC17&gt;=NG$35,NA17&lt;&gt;""),AND(NE17&gt;=NG$31,NF17&gt;=NG$35,NE17&lt;&gt;"")),"P","")</f>
        <v/>
      </c>
      <c r="G17" s="3" t="str">
        <f>IF(OR(AND(AM17&gt;=AS$35,AL17&lt;&gt;"",AJ17=""),AND(AO17&gt;=AS$35,AN17&lt;&gt;"",AN17=""),AND(AR17&gt;=AS$35,AQ17&lt;&gt;"",AJ17=""),AND(BQ17&gt;=BW$35,BP17&lt;&gt;"",BN17=""),AND(BS17&gt;=BW$35,BR17&lt;&gt;"",BN17=""),AND(BV17&gt;=BW$35,BU17&lt;&gt;"",BN17=""),AND(CU17&gt;=DA$35,CT17&lt;&gt;"",CR17=""),AND(CW17&gt;=DA$35,CV17&lt;&gt;"",CR17=""),AND(CZ17&gt;=DA$35,CY17&lt;&gt;"",CR17=""),AND(DU17&gt;=DY$35,DS17&lt;&gt;""),AND(DX17&gt;=DY$35,DW17&lt;&gt;""),AND(EQ17&gt;=EU$35,EO17&lt;&gt;""),AND(ET17&gt;=EU$35,ES17&lt;&gt;""),AND(FM17&gt;=FQ$35,FK17&lt;&gt;""),AND(FP17&gt;=FQ$35,FO17&lt;&gt;""),AND(GI17&gt;=GM$35,GG17&lt;&gt;""),AND(GL17&gt;=GM$35,GK17&lt;&gt;""),AND(HE17&gt;=HI$35,HC17&lt;&gt;""),AND(HH17&gt;=HI$35,HG17&lt;&gt;""),AND(IA17&gt;=IE$35,HY17&lt;&gt;""),AND(ID17&gt;=IE$35,IC17&lt;&gt;""),AND(IW17&gt;=JA$35,IU17&lt;&gt;""),AND(IZ17&gt;=JA$35,IY17&lt;&gt;""),AND(JS17&gt;=JW$35,JQ17&lt;&gt;""),AND(JV17&gt;=JW$35,JU17&lt;&gt;""),AND(KO17&gt;=KS$35,KM17&lt;&gt;""),AND(KR17&gt;=KS$35,KQ17&lt;&gt;""),AND(LK17&gt;=LO$35,LI17&lt;&gt;""),AND(LN17&gt;=LO$35,LM17&lt;&gt;""),AND(MG17&gt;=MK$35,ME17&lt;&gt;""),AND(MJ17&gt;=MK$35,MI17&lt;&gt;""),AND(NC17&gt;=NG$35,NA17&lt;&gt;""),AND(NF17&gt;=NG$35,NE17&lt;&gt;"")),"P","")</f>
        <v/>
      </c>
      <c r="H17" s="67" t="str">
        <f>IF(F17="P","National Team",IF(G17="P","No DD",""))</f>
        <v/>
      </c>
      <c r="I17" s="14">
        <f>MAX(AM17,AO17,AR17,BQ17,BS17,BV17,CU17,CW17,CZ17)</f>
        <v>45.54</v>
      </c>
      <c r="J17" s="14" t="str">
        <f>IF(I17=0,"",IF(OR(I17=CW17,I17=CU17,I17=CZ17),$BX$1,IF(OR(I17=BS17,I17=BQ17,I17=BV17),$AT$1,IF(OR(I17=AO17,I17=AM17,I17=AR17),$P$1,""))))</f>
        <v>2021 Canadian Championships</v>
      </c>
      <c r="K17" s="14">
        <f>IF(COUNT(AM17,AO17,AR17,BQ17,BS17,BV17,CU17,CW17,CZ17)&gt;1,LARGE((AM17,AO17,AR17,BQ17,BS17,BV17,CU17,CW17,CZ17),2),0)</f>
        <v>45.129999999999995</v>
      </c>
      <c r="L17" s="14" t="str">
        <f>IF(K17=0,"",IF(OR(K17=CW17,K17=CU17,K17=CZ17),$BX$1,IF(OR(K17=BS17,K17=BQ17,K17=BV17),$AT$1,IF(OR(K17=AO17,K17=AM17,K17=AR17),$P$1,""))))</f>
        <v>2022 Elite Canada</v>
      </c>
      <c r="M17" s="14" t="str">
        <f>IF(MAX(DB17,DC17)&gt;0,MAX(DB17,DC17),"")</f>
        <v/>
      </c>
      <c r="N17" s="20" t="str">
        <f>IF(M17="","",IF(M17=#REF!,"(Vol 1)",IF(M17=DB17,"(Vol 2)",IF(M17=#REF!,"(Prelim)",IF(M17=DC17,"(Final)")))))</f>
        <v/>
      </c>
      <c r="O17" s="14" t="str">
        <f>IF(M17="","",IF(M17=#REF!,IF(M17+IF(#REF!="",0,#REF!)=NB17,$ML$1,IF(M17+IF(#REF!="",0,#REF!)=MF17,$LP$1,IF(M17+IF(#REF!="",0,#REF!)=LJ17,$KT$1,IF(M17+IF(#REF!="",0,#REF!)=KN17,$JX$1,IF(M17+IF(#REF!="",0,#REF!)=JR17,$JB$1,IF(M17+IF(#REF!="",0,#REF!)=IV17,$IF$1,IF(M17+IF(#REF!="",0,#REF!)=HZ17,$HJ$1,IF(M17+IF(#REF!="",0,#REF!)=HD17,$GN$1,IF(M17+IF(#REF!="",0,#REF!)=GH17,$FR$1,IF(M17+IF(#REF!="",0,#REF!)=FL17,$EV$1,IF(M17+IF(#REF!="",0,#REF!)=EP17,$DZ$1,IF(M17+IF(#REF!="",0,#REF!)=DT17,$DD$1)))))))))))),IF(M17=DB17,IF(M17+IF(I17="",0,I17)=NC17,$ML$1,IF(M17+IF(I17="",0,I17)=MG17,$LP$1,IF(M17+IF(I17="",0,I17)=LK17,$KT$1,IF(M17+IF(I17="",0,I17)=KO17,$JX$1,IF(M17+IF(I17="",0,I17)=JS17,$JB$1,IF(M17+IF(I17="",0,I17)=IW17,$IF$1,IF(M17+IF(I17="",0,I17)=IA17,$HJ$1,IF(M17+IF(I17="",0,I17)=HE17,$GN$1,IF(M17+IF(I17="",0,I17)=GI17,$FR$1,IF(M17+IF(I17="",0,I17)=FM17,$EV$1,IF(M17+IF(I17="",0,I17)=EQ17,$DZ$1,IF(M17+IF(I17="",0,I17)=DU17,$DD$1)))))))))))),IF(M17=#REF!,IF(M17+IF(#REF!="",0,#REF!)=ND17,$ML$1,IF(M17+IF(#REF!="",0,#REF!)=MH17,$LP$1,IF(M17+IF(#REF!="",0,#REF!)=LL17,$KT$1,IF(M17+IF(#REF!="",0,#REF!)=KP17,$JX$1,IF(M17+IF(#REF!="",0,#REF!)=JT17,$JB$1,IF(M17+IF(#REF!="",0,#REF!)=IX17,$IF$1,IF(M17+IF(#REF!="",0,#REF!)=IB17,$HJ$1,IF(M17+IF(#REF!="",0,#REF!)=HF17,$GN$1,IF(M17+IF(#REF!="",0,#REF!)=GJ17,$FR$1,IF(M17+IF(#REF!="",0,#REF!)=FN17,$EV$1,IF(M17+IF(#REF!="",0,#REF!)=ER17,$DZ$1,IF(M17+IF(#REF!="",0,#REF!)=DV17,$DD$1)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))</f>
        <v/>
      </c>
      <c r="P17" s="38">
        <v>15.9</v>
      </c>
      <c r="Q17" s="38">
        <v>9.5</v>
      </c>
      <c r="R17" s="38">
        <v>1.5</v>
      </c>
      <c r="S17" s="38">
        <v>13.79</v>
      </c>
      <c r="T17" s="38">
        <v>0</v>
      </c>
      <c r="U17" s="38">
        <v>7.1</v>
      </c>
      <c r="V17" s="38">
        <v>4.4000000000000004</v>
      </c>
      <c r="W17" s="38">
        <v>5.7</v>
      </c>
      <c r="X17" s="38">
        <v>6.585</v>
      </c>
      <c r="Y17" s="38">
        <v>0</v>
      </c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45"/>
      <c r="AK17" s="11">
        <f>IF(SUM(P17:S17)-T17&gt;0,SUM(P17:S17)-T17,"")</f>
        <v>40.69</v>
      </c>
      <c r="AL17" s="11">
        <f>IF(W17&gt;0,W17,"")</f>
        <v>5.7</v>
      </c>
      <c r="AM17" s="11">
        <f>IF(SUM(U17:X17)-Y17&gt;0,SUM(U17:X17)-Y17,"")</f>
        <v>23.785</v>
      </c>
      <c r="AN17" s="11" t="str">
        <f>IF(AB17&gt;0,AB17,"")</f>
        <v/>
      </c>
      <c r="AO17" s="11" t="str">
        <f>IF(SUM(Z17:AC17)-AD17&gt;0,SUM(Z17:AC17)-AD17,"")</f>
        <v/>
      </c>
      <c r="AP17" s="11">
        <f>IF(AK17="",IF(MAX(AM17,AO17)&gt;0,MAX(AM17,AO17),""),MAX(AM17,AO17)+AK17)</f>
        <v>64.474999999999994</v>
      </c>
      <c r="AQ17" s="11" t="str">
        <f>IF(AG17&gt;0,AG17,"")</f>
        <v/>
      </c>
      <c r="AR17" s="11" t="str">
        <f>IF(SUM(AE17:AH17)-AI17&gt;0,SUM(AE17:AH17)-AI17,"")</f>
        <v/>
      </c>
      <c r="AS17" s="11">
        <f>IF(SUM(AP17,AR17)&gt;0,SUM(AP17,AR17),"")</f>
        <v>64.474999999999994</v>
      </c>
      <c r="AT17" s="42">
        <v>16.7</v>
      </c>
      <c r="AU17" s="42">
        <v>9.8000000000000007</v>
      </c>
      <c r="AV17" s="42">
        <v>1.5</v>
      </c>
      <c r="AW17" s="42">
        <v>13.99</v>
      </c>
      <c r="AX17" s="42">
        <v>0</v>
      </c>
      <c r="AY17" s="42">
        <v>14.1</v>
      </c>
      <c r="AZ17" s="42">
        <v>9.1999999999999993</v>
      </c>
      <c r="BA17" s="42">
        <v>9.1</v>
      </c>
      <c r="BB17" s="42">
        <v>13.14</v>
      </c>
      <c r="BC17" s="42">
        <v>0</v>
      </c>
      <c r="BD17" s="42"/>
      <c r="BE17" s="42"/>
      <c r="BF17" s="42"/>
      <c r="BG17" s="42"/>
      <c r="BH17" s="42"/>
      <c r="BI17" s="42">
        <v>13.5</v>
      </c>
      <c r="BJ17" s="42">
        <v>8.9</v>
      </c>
      <c r="BK17" s="42">
        <v>8.5</v>
      </c>
      <c r="BL17" s="42">
        <v>13.355</v>
      </c>
      <c r="BM17" s="42">
        <v>0.3</v>
      </c>
      <c r="BN17" s="46"/>
      <c r="BO17" s="14">
        <f>IF(SUM(AT17:AW17)-AX17&gt;0,SUM(AT17:AW17)-AX17,"")</f>
        <v>41.99</v>
      </c>
      <c r="BP17" s="14">
        <f>IF(BA17&gt;0,BA17,"")</f>
        <v>9.1</v>
      </c>
      <c r="BQ17" s="14">
        <f>IF(SUM(AY17:BB17)-BC17&gt;0,SUM(AY17:BB17)-BC17,"")</f>
        <v>45.54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87.53</v>
      </c>
      <c r="BU17" s="14">
        <f>IF(BK17&gt;0,BK17,"")</f>
        <v>8.5</v>
      </c>
      <c r="BV17" s="14">
        <f>IF(SUM(BI17:BL17)-BM17&gt;0,SUM(BI17:BL17)-BM17,"")</f>
        <v>43.954999999999998</v>
      </c>
      <c r="BW17" s="14">
        <f>IF(SUM(BT17,BV17)&gt;0,SUM(BT17,BV17),"")</f>
        <v>131.48500000000001</v>
      </c>
      <c r="BX17" s="38">
        <v>14.1</v>
      </c>
      <c r="BY17" s="38">
        <v>9.6</v>
      </c>
      <c r="BZ17" s="38">
        <v>1.4</v>
      </c>
      <c r="CA17" s="38">
        <v>13.97</v>
      </c>
      <c r="CB17" s="38">
        <v>4</v>
      </c>
      <c r="CC17" s="38">
        <v>13.9</v>
      </c>
      <c r="CD17" s="38">
        <v>9</v>
      </c>
      <c r="CE17" s="38">
        <v>9</v>
      </c>
      <c r="CF17" s="38">
        <v>13.23</v>
      </c>
      <c r="CG17" s="38">
        <v>0</v>
      </c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45"/>
      <c r="CS17" s="11">
        <f>IF(SUM(BX17:CA17)-CB17&gt;0,SUM(BX17:CA17)-CB17,"")</f>
        <v>35.07</v>
      </c>
      <c r="CT17" s="11">
        <f>IF(CE17&gt;0,CE17,"")</f>
        <v>9</v>
      </c>
      <c r="CU17" s="11">
        <f>IF(SUM(CC17:CF17)-CG17&gt;0,SUM(CC17:CF17)-CG17,"")</f>
        <v>45.129999999999995</v>
      </c>
      <c r="CV17" s="11" t="str">
        <f>IF(CJ17&gt;0,CJ17,"")</f>
        <v/>
      </c>
      <c r="CW17" s="11" t="str">
        <f>IF(SUM(CH17:CK17)-CL17&gt;0,SUM(CH17:CK17)-CL17,"")</f>
        <v/>
      </c>
      <c r="CX17" s="11">
        <f>IF(CS17="",IF(MAX(CU17,CW17)&gt;0,MAX(CU17,CW17),""),MAX(CU17,CW17)+CS17)</f>
        <v>80.199999999999989</v>
      </c>
      <c r="CY17" s="11" t="str">
        <f>IF(CO17&gt;0,CO17,"")</f>
        <v/>
      </c>
      <c r="CZ17" s="11" t="str">
        <f>IF(SUM(CM17:CP17)-CQ17&gt;0,SUM(CM17:CP17)-CQ17,"")</f>
        <v/>
      </c>
      <c r="DA17" s="11">
        <f>IF(SUM(CX17,CZ17)&gt;0,SUM(CX17,CZ17),"")</f>
        <v>80.199999999999989</v>
      </c>
      <c r="DB17" s="19" t="str">
        <f>IF(I17&gt;=0.001,IF(MAX(DU17,EQ17,FM17,GI17,HE17,IA17,IW17,JS17,KO17,LK17,MG17,NC17)-IF(I17="",0,I17)&gt;0.001,MAX(DU17,EQ17,FM17,GI17,HE17,IA17,IW17,JS17,KO17,LK17,MG17,NC17)-IF(I17="",0,I17),""),"")</f>
        <v/>
      </c>
      <c r="DC17" s="19" t="str">
        <f>IF(K17&gt;=0.001,IF(MAX(DX17,ET17,FP17,GL17,HH17,ID17,IZ17,JV17,KR17,LN17,MJ17,NF17)-IF(K17="",0,K17)&gt;0.001,MAX(DX17,ET17,FP17,GL17,HH17,ID17,IZ17,JV17,KR17,LN17,MJ17,NF17)-IF(K17="",0,K17),""),"")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11" t="str">
        <f>IF(FC17&gt;0,FC17,"")</f>
        <v/>
      </c>
      <c r="FL17" s="11" t="str">
        <f>IF(SUM(EV17:EY17)-EZ17&gt;0,SUM(EV17:EY17)-EZ17,"")</f>
        <v/>
      </c>
      <c r="FM17" s="11" t="str">
        <f>IF(SUM(FA17:FD17)-FE17&gt;0,SUM(FA17:FD17)-FE17,"")</f>
        <v/>
      </c>
      <c r="FN17" s="11" t="str">
        <f>IF(SUM(FL17:FM17)&gt;0,SUM(FL17:FM17),"")</f>
        <v/>
      </c>
      <c r="FO17" s="11" t="str">
        <f>IF(FH17&gt;0,FH17,"")</f>
        <v/>
      </c>
      <c r="FP17" s="11" t="str">
        <f>IF(SUM(FF17:FI17)-FJ17&gt;0,SUM(FF17:FI17)-FJ17,"")</f>
        <v/>
      </c>
      <c r="FQ17" s="11" t="str">
        <f>IF(SUM(FN17,FP17)&gt;0,SUM(FN17,FP17),"")</f>
        <v/>
      </c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8">
        <f>IF($CR17="P",BX17,(BX17+AT17)/2)</f>
        <v>15.399999999999999</v>
      </c>
      <c r="NI17" s="38">
        <f>IF($CR17="P",BY17,(BY17+AU17)/2)</f>
        <v>9.6999999999999993</v>
      </c>
      <c r="NJ17" s="38">
        <f>IF($CR17="P",BZ17,(BZ17+AV17)/2)</f>
        <v>1.45</v>
      </c>
      <c r="NK17" s="38">
        <f>IF($CR17="P",CA17,(CA17+AW17)/2)</f>
        <v>13.98</v>
      </c>
      <c r="NL17" s="38">
        <f>IF($CR17="P",CB17,(CB17+AX17)/2)</f>
        <v>2</v>
      </c>
      <c r="NM17" s="38">
        <f>IF($CR17="P",CC17,(CC17+AY17)/2)</f>
        <v>14</v>
      </c>
      <c r="NN17" s="38">
        <f>IF($CR17="P",CD17,(CD17+AZ17)/2)</f>
        <v>9.1</v>
      </c>
      <c r="NO17" s="38">
        <f>IF($CR17="P",CE17,(CE17+BA17)/2)</f>
        <v>9.0500000000000007</v>
      </c>
      <c r="NP17" s="38">
        <f>IF($CR17="P",CF17,(CF17+BB17)/2)</f>
        <v>13.185</v>
      </c>
      <c r="NQ17" s="38">
        <f>IF($CR17="P",CG17,(CG17+BC17)/2)</f>
        <v>0</v>
      </c>
      <c r="NR17" s="38">
        <f>IF($CR17="P",CH17,(CH17+BD17)/2)</f>
        <v>0</v>
      </c>
      <c r="NS17" s="38">
        <f>IF($CR17="P",CI17,(CI17+BE17)/2)</f>
        <v>0</v>
      </c>
      <c r="NT17" s="38">
        <f>IF($CR17="P",CJ17,(CJ17+BF17)/2)</f>
        <v>0</v>
      </c>
      <c r="NU17" s="38">
        <f>IF($CR17="P",CK17,(CK17+BG17)/2)</f>
        <v>0</v>
      </c>
      <c r="NV17" s="38">
        <f>IF($CR17="P",CL17,(CL17+BH17)/2)</f>
        <v>0</v>
      </c>
      <c r="NW17" s="38">
        <f>IF($CR17="P",CM17,(CM17+BI17)/2)</f>
        <v>6.75</v>
      </c>
      <c r="NX17" s="38">
        <f>IF($CR17="P",CN17,(CN17+BJ17)/2)</f>
        <v>4.45</v>
      </c>
      <c r="NY17" s="38">
        <f>IF($CR17="P",CO17,(CO17+BK17)/2)</f>
        <v>4.25</v>
      </c>
      <c r="NZ17" s="38">
        <f>IF($CR17="P",CP17,(CP17+BL17)/2)</f>
        <v>6.6775000000000002</v>
      </c>
      <c r="OA17" s="38">
        <f>IF($CR17="P",CQ17,(CQ17+BM17)/2)</f>
        <v>0.15</v>
      </c>
      <c r="OB17" s="45" t="s">
        <v>46</v>
      </c>
      <c r="OC17" s="11">
        <f>IF(SUM(NH17:NK17)-NL17&gt;0,SUM(NH17:NK17)-NL17,"")</f>
        <v>38.53</v>
      </c>
      <c r="OD17" s="11">
        <f>IF(NO17&gt;0,NO17,"")</f>
        <v>9.0500000000000007</v>
      </c>
      <c r="OE17" s="11">
        <f>IF(SUM(NM17:NP17)-NQ17&gt;0,SUM(NM17:NP17)-NQ17,"")</f>
        <v>45.335000000000008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83.865000000000009</v>
      </c>
      <c r="OI17" s="11">
        <f>IF(NY17&gt;0,NY17,"")</f>
        <v>4.25</v>
      </c>
      <c r="OJ17" s="11">
        <f t="shared" ref="OJ17" si="20">IF(SUM(NW17:NZ17)-OA17&gt;0,SUM(NW17:NZ17)-OA17,"")</f>
        <v>21.977499999999999</v>
      </c>
      <c r="OK17" s="11">
        <f t="shared" ref="OK17" si="21">IF(SUM(OH17,OJ17)&gt;0,SUM(OH17,OJ17),"")</f>
        <v>105.8425</v>
      </c>
    </row>
    <row r="18" spans="1:401" x14ac:dyDescent="0.2">
      <c r="A18" s="5" t="str" cm="1">
        <f t="array" ref="A18">IF(AND(F18="P",G18="P"),SUMPRODUCT((F$4:F$29="P")*(G$4:G$29="P")*(E$4:E$29&gt;E18))+1,IF(G18="P",SUMPRODUCT((F$4:F$29="")*(G$4:G$29="P")*(E$4:E$29&gt;E18))+1+SUMPRODUCT((F$4:F$29="P")*(G$4:G$29="P")),""))</f>
        <v/>
      </c>
      <c r="B18" s="6" t="s">
        <v>116</v>
      </c>
      <c r="C18" s="7" t="s">
        <v>6</v>
      </c>
      <c r="D18" s="22">
        <v>2003</v>
      </c>
      <c r="E18" s="15">
        <f>SUM(I18:M18)</f>
        <v>89.10499999999999</v>
      </c>
      <c r="F18" s="3" t="str">
        <f>IF(OR(AND(AL18&gt;=AS$31,AM18&gt;=AS$35,AL18&lt;&gt;"",AJ18=""),AND(AN18&gt;=AS$31,AO18&gt;=AS$35,AN18&lt;&gt;"",AN18=""),AND(AQ18&gt;=AS$31,AR18&gt;=AS$35,AQ18&lt;&gt;"",AJ18=""),AND(BP18&gt;=BW$31,BQ18&gt;=BW$35,BP18&lt;&gt;"",BN18=""),AND(BR18&gt;=BW$31,BS18&gt;=BW$35,BR18&lt;&gt;"",BN18=""),AND(BU18&gt;=BW$31,BV18&gt;=BW$35,BU18&lt;&gt;"",BN18=""),AND(CT18&gt;=DA$31,CU18&gt;=DA$35,CT18&lt;&gt;"",CR18=""),AND(CV18&gt;=DA$31,CW18&gt;=DA$35,CV18&lt;&gt;"",CR18=""),AND(CY18&gt;=DA$31,CZ18&gt;=DA$35,CY18&lt;&gt;"",CR18=""),AND(DS18&gt;=DY$31,DU18&gt;=DY$35,DS18&lt;&gt;""),AND(DW18&gt;=DY$31,DX18&gt;=DY$35,DW18&lt;&gt;""),AND(EO18&gt;=EU$31,EQ18&gt;=EU$35,EO18&lt;&gt;""),AND(ES18&gt;=EU$31,ET18&gt;=EU$35,ES18&lt;&gt;""),AND(FK18&gt;=FQ$31,FM18&gt;=FQ$35,FK18&lt;&gt;""),AND(FO18&gt;=FQ$31,FP18&gt;=FQ$35,FO18&lt;&gt;""),AND(GG18&gt;=GM$31,GI18&gt;=GM$35,GG18&lt;&gt;""),AND(GK18&gt;=GM$31,GL18&gt;=GM$35,GK18&lt;&gt;""),AND(HC18&gt;=HI$31,HE18&gt;=HI$35,HC18&lt;&gt;""),AND(HG18&gt;=HI$31,HH18&gt;=HI$35,HG18&lt;&gt;""),AND(HY18&gt;=IE$31,IA18&gt;=IE$35,HY18&lt;&gt;""),AND(IC18&gt;=IE$31,ID18&gt;=IE$35,IC18&lt;&gt;""),AND(IU18&gt;=JA$31,IW18&gt;=JA$35,IU18&lt;&gt;""),AND(IY18&gt;=JA$31,IZ18&gt;=JA$35,IY18&lt;&gt;""),AND(JQ18&gt;=JW$31,JS18&gt;=JW$35,JQ18&lt;&gt;""),AND(JU18&gt;=JW$31,JV18&gt;=JW$35,JU18&lt;&gt;""),AND(KM18&gt;=KS$31,KO18&gt;=KS$35,KM18&lt;&gt;""),AND(KQ18&gt;=KS$31,KR18&gt;=KS$35,KQ18&lt;&gt;""),AND(LI18&gt;=LO$31,LK18&gt;=LO$35,LI18&lt;&gt;""),AND(LM18&gt;=LO$31,LN18&gt;=LO$35,LM18&lt;&gt;""),AND(ME18&gt;=MK$31,MG18&gt;=MK$35,ME18&lt;&gt;""),AND(MI18&gt;=MK$31,MJ18&gt;=MK$35,MI18&lt;&gt;""),AND(NA18&gt;=NG$31,NC18&gt;=NG$35,NA18&lt;&gt;""),AND(NE18&gt;=NG$31,NF18&gt;=NG$35,NE18&lt;&gt;"")),"P","")</f>
        <v/>
      </c>
      <c r="G18" s="3" t="str">
        <f>IF(OR(AND(AM18&gt;=AS$35,AL18&lt;&gt;"",AJ18=""),AND(AO18&gt;=AS$35,AN18&lt;&gt;"",AN18=""),AND(AR18&gt;=AS$35,AQ18&lt;&gt;"",AJ18=""),AND(BQ18&gt;=BW$35,BP18&lt;&gt;"",BN18=""),AND(BS18&gt;=BW$35,BR18&lt;&gt;"",BN18=""),AND(BV18&gt;=BW$35,BU18&lt;&gt;"",BN18=""),AND(CU18&gt;=DA$35,CT18&lt;&gt;"",CR18=""),AND(CW18&gt;=DA$35,CV18&lt;&gt;"",CR18=""),AND(CZ18&gt;=DA$35,CY18&lt;&gt;"",CR18=""),AND(DU18&gt;=DY$35,DS18&lt;&gt;""),AND(DX18&gt;=DY$35,DW18&lt;&gt;""),AND(EQ18&gt;=EU$35,EO18&lt;&gt;""),AND(ET18&gt;=EU$35,ES18&lt;&gt;""),AND(FM18&gt;=FQ$35,FK18&lt;&gt;""),AND(FP18&gt;=FQ$35,FO18&lt;&gt;""),AND(GI18&gt;=GM$35,GG18&lt;&gt;""),AND(GL18&gt;=GM$35,GK18&lt;&gt;""),AND(HE18&gt;=HI$35,HC18&lt;&gt;""),AND(HH18&gt;=HI$35,HG18&lt;&gt;""),AND(IA18&gt;=IE$35,HY18&lt;&gt;""),AND(ID18&gt;=IE$35,IC18&lt;&gt;""),AND(IW18&gt;=JA$35,IU18&lt;&gt;""),AND(IZ18&gt;=JA$35,IY18&lt;&gt;""),AND(JS18&gt;=JW$35,JQ18&lt;&gt;""),AND(JV18&gt;=JW$35,JU18&lt;&gt;""),AND(KO18&gt;=KS$35,KM18&lt;&gt;""),AND(KR18&gt;=KS$35,KQ18&lt;&gt;""),AND(LK18&gt;=LO$35,LI18&lt;&gt;""),AND(LN18&gt;=LO$35,LM18&lt;&gt;""),AND(MG18&gt;=MK$35,ME18&lt;&gt;""),AND(MJ18&gt;=MK$35,MI18&lt;&gt;""),AND(NC18&gt;=NG$35,NA18&lt;&gt;""),AND(NF18&gt;=NG$35,NE18&lt;&gt;"")),"P","")</f>
        <v/>
      </c>
      <c r="H18" s="67" t="str">
        <f>IF(F18="P","National Team",IF(G18="P","No DD",""))</f>
        <v/>
      </c>
      <c r="I18" s="14">
        <f>MAX(AM18,AO18,AR18,BQ18,BS18,BV18,CU18,CW18,CZ18)</f>
        <v>46.384999999999991</v>
      </c>
      <c r="J18" s="14" t="str">
        <f>IF(I18=0,"",IF(OR(I18=CW18,I18=CU18,I18=CZ18),$BX$1,IF(OR(I18=BS18,I18=BQ18,I18=BV18),$AT$1,IF(OR(I18=AO18,I18=AM18,I18=AR18),$P$1,""))))</f>
        <v>2021 Canadian Championships</v>
      </c>
      <c r="K18" s="14">
        <f>IF(COUNT(AM18,AO18,AR18,BQ18,BS18,BV18,CU18,CW18,CZ18)&gt;1,LARGE((AM18,AO18,AR18,BQ18,BS18,BV18,CU18,CW18,CZ18),2),0)</f>
        <v>42.72</v>
      </c>
      <c r="L18" s="14" t="str">
        <f>IF(K18=0,"",IF(OR(K18=CW18,K18=CU18,K18=CZ18),$BX$1,IF(OR(K18=BS18,K18=BQ18,K18=BV18),$AT$1,IF(OR(K18=AO18,K18=AM18,K18=AR18),$P$1,""))))</f>
        <v>2021 Canadian Championships</v>
      </c>
      <c r="M18" s="14" t="str">
        <f>IF(MAX(DB18,DC18)&gt;0,MAX(DB18,DC18),"")</f>
        <v/>
      </c>
      <c r="N18" s="20" t="str">
        <f>IF(M18="","",IF(M18=#REF!,"(Vol 1)",IF(M18=DB18,"(Vol 2)",IF(M18=#REF!,"(Prelim)",IF(M18=DC18,"(Final)")))))</f>
        <v/>
      </c>
      <c r="O18" s="14" t="str">
        <f>IF(M18="","",IF(M18=#REF!,IF(M18+IF(#REF!="",0,#REF!)=NB18,$ML$1,IF(M18+IF(#REF!="",0,#REF!)=MF18,$LP$1,IF(M18+IF(#REF!="",0,#REF!)=LJ18,$KT$1,IF(M18+IF(#REF!="",0,#REF!)=KN18,$JX$1,IF(M18+IF(#REF!="",0,#REF!)=JR18,$JB$1,IF(M18+IF(#REF!="",0,#REF!)=IV18,$IF$1,IF(M18+IF(#REF!="",0,#REF!)=HZ18,$HJ$1,IF(M18+IF(#REF!="",0,#REF!)=HD18,$GN$1,IF(M18+IF(#REF!="",0,#REF!)=GH18,$FR$1,IF(M18+IF(#REF!="",0,#REF!)=FL18,$EV$1,IF(M18+IF(#REF!="",0,#REF!)=EP18,$DZ$1,IF(M18+IF(#REF!="",0,#REF!)=DT18,$DD$1)))))))))))),IF(M18=DB18,IF(M18+IF(I18="",0,I18)=NC18,$ML$1,IF(M18+IF(I18="",0,I18)=MG18,$LP$1,IF(M18+IF(I18="",0,I18)=LK18,$KT$1,IF(M18+IF(I18="",0,I18)=KO18,$JX$1,IF(M18+IF(I18="",0,I18)=JS18,$JB$1,IF(M18+IF(I18="",0,I18)=IW18,$IF$1,IF(M18+IF(I18="",0,I18)=IA18,$HJ$1,IF(M18+IF(I18="",0,I18)=HE18,$GN$1,IF(M18+IF(I18="",0,I18)=GI18,$FR$1,IF(M18+IF(I18="",0,I18)=FM18,$EV$1,IF(M18+IF(I18="",0,I18)=EQ18,$DZ$1,IF(M18+IF(I18="",0,I18)=DU18,$DD$1)))))))))))),IF(M18=#REF!,IF(M18+IF(#REF!="",0,#REF!)=ND18,$ML$1,IF(M18+IF(#REF!="",0,#REF!)=MH18,$LP$1,IF(M18+IF(#REF!="",0,#REF!)=LL18,$KT$1,IF(M18+IF(#REF!="",0,#REF!)=KP18,$JX$1,IF(M18+IF(#REF!="",0,#REF!)=JT18,$JB$1,IF(M18+IF(#REF!="",0,#REF!)=IX18,$IF$1,IF(M18+IF(#REF!="",0,#REF!)=IB18,$HJ$1,IF(M18+IF(#REF!="",0,#REF!)=HF18,$GN$1,IF(M18+IF(#REF!="",0,#REF!)=GJ18,$FR$1,IF(M18+IF(#REF!="",0,#REF!)=FN18,$EV$1,IF(M18+IF(#REF!="",0,#REF!)=ER18,$DZ$1,IF(M18+IF(#REF!="",0,#REF!)=DV18,$DD$1)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))</f>
        <v/>
      </c>
      <c r="P18" s="38">
        <v>7.2</v>
      </c>
      <c r="Q18" s="38">
        <v>4.5999999999999996</v>
      </c>
      <c r="R18" s="38">
        <v>1.3</v>
      </c>
      <c r="S18" s="38">
        <v>7.3150000000000004</v>
      </c>
      <c r="T18" s="38">
        <v>0</v>
      </c>
      <c r="U18" s="38">
        <v>2.8</v>
      </c>
      <c r="V18" s="38">
        <v>1.8</v>
      </c>
      <c r="W18" s="38">
        <v>2.2999999999999998</v>
      </c>
      <c r="X18" s="38">
        <v>2.98</v>
      </c>
      <c r="Y18" s="38">
        <v>0</v>
      </c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45"/>
      <c r="AK18" s="11">
        <f>IF(SUM(P18:S18)-T18&gt;0,SUM(P18:S18)-T18,"")</f>
        <v>20.415000000000003</v>
      </c>
      <c r="AL18" s="11">
        <f>IF(W18&gt;0,W18,"")</f>
        <v>2.2999999999999998</v>
      </c>
      <c r="AM18" s="11">
        <f>IF(SUM(U18:X18)-Y18&gt;0,SUM(U18:X18)-Y18,"")</f>
        <v>9.879999999999999</v>
      </c>
      <c r="AN18" s="11" t="str">
        <f>IF(AB18&gt;0,AB18,"")</f>
        <v/>
      </c>
      <c r="AO18" s="11" t="str">
        <f>IF(SUM(Z18:AC18)-AD18&gt;0,SUM(Z18:AC18)-AD18,"")</f>
        <v/>
      </c>
      <c r="AP18" s="11">
        <f>IF(AK18="",IF(MAX(AM18,AO18)&gt;0,MAX(AM18,AO18),""),MAX(AM18,AO18)+AK18)</f>
        <v>30.295000000000002</v>
      </c>
      <c r="AQ18" s="11" t="str">
        <f>IF(AG18&gt;0,AG18,"")</f>
        <v/>
      </c>
      <c r="AR18" s="11" t="str">
        <f>IF(SUM(AE18:AH18)-AI18&gt;0,SUM(AE18:AH18)-AI18,"")</f>
        <v/>
      </c>
      <c r="AS18" s="11">
        <f>IF(SUM(AP18,AR18)&gt;0,SUM(AP18,AR18),"")</f>
        <v>30.295000000000002</v>
      </c>
      <c r="AT18" s="42">
        <v>15</v>
      </c>
      <c r="AU18" s="42">
        <v>9.4</v>
      </c>
      <c r="AV18" s="42">
        <v>2.1</v>
      </c>
      <c r="AW18" s="42">
        <v>14.525</v>
      </c>
      <c r="AX18" s="42">
        <v>0</v>
      </c>
      <c r="AY18" s="42">
        <v>11.9</v>
      </c>
      <c r="AZ18" s="42">
        <v>8.9</v>
      </c>
      <c r="BA18" s="42">
        <v>8.8000000000000007</v>
      </c>
      <c r="BB18" s="42">
        <v>13.12</v>
      </c>
      <c r="BC18" s="42">
        <v>0</v>
      </c>
      <c r="BD18" s="42"/>
      <c r="BE18" s="42"/>
      <c r="BF18" s="42"/>
      <c r="BG18" s="42"/>
      <c r="BH18" s="42"/>
      <c r="BI18" s="42">
        <v>14.6</v>
      </c>
      <c r="BJ18" s="42">
        <v>9.1999999999999993</v>
      </c>
      <c r="BK18" s="42">
        <v>8.8000000000000007</v>
      </c>
      <c r="BL18" s="42">
        <v>13.785</v>
      </c>
      <c r="BM18" s="42">
        <v>0</v>
      </c>
      <c r="BN18" s="46"/>
      <c r="BO18" s="14">
        <f>IF(SUM(AT18:AW18)-AX18&gt;0,SUM(AT18:AW18)-AX18,"")</f>
        <v>41.024999999999999</v>
      </c>
      <c r="BP18" s="14">
        <f>IF(BA18&gt;0,BA18,"")</f>
        <v>8.8000000000000007</v>
      </c>
      <c r="BQ18" s="14">
        <f>IF(SUM(AY18:BB18)-BC18&gt;0,SUM(AY18:BB18)-BC18,"")</f>
        <v>42.72</v>
      </c>
      <c r="BR18" s="14" t="str">
        <f>IF(BF18&gt;0,BF18,"")</f>
        <v/>
      </c>
      <c r="BS18" s="14" t="str">
        <f>IF(SUM(BD18:BG18)-BH18&gt;0,SUM(BD18:BG18)-BH18,"")</f>
        <v/>
      </c>
      <c r="BT18" s="14">
        <f>IF(BO18="",IF(MAX(BQ18,BS18)&gt;0,MAX(BQ18,BS18),""),MAX(BQ18,BS18)+BO18)</f>
        <v>83.745000000000005</v>
      </c>
      <c r="BU18" s="14">
        <f>IF(BK18&gt;0,BK18,"")</f>
        <v>8.8000000000000007</v>
      </c>
      <c r="BV18" s="14">
        <f>IF(SUM(BI18:BL18)-BM18&gt;0,SUM(BI18:BL18)-BM18,"")</f>
        <v>46.384999999999991</v>
      </c>
      <c r="BW18" s="14">
        <f>IF(SUM(BT18,BV18)&gt;0,SUM(BT18,BV18),"")</f>
        <v>130.13</v>
      </c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45"/>
      <c r="CS18" s="11" t="str">
        <f>IF(SUM(BX18:CA18)-CB18&gt;0,SUM(BX18:CA18)-CB18,"")</f>
        <v/>
      </c>
      <c r="CT18" s="11" t="str">
        <f>IF(CE18&gt;0,CE18,"")</f>
        <v/>
      </c>
      <c r="CU18" s="11" t="str">
        <f>IF(SUM(CC18:CF18)-CG18&gt;0,SUM(CC18:CF18)-CG18,"")</f>
        <v/>
      </c>
      <c r="CV18" s="11" t="str">
        <f>IF(CJ18&gt;0,CJ18,"")</f>
        <v/>
      </c>
      <c r="CW18" s="11" t="str">
        <f>IF(SUM(CH18:CK18)-CL18&gt;0,SUM(CH18:CK18)-CL18,"")</f>
        <v/>
      </c>
      <c r="CX18" s="11" t="str">
        <f>IF(CS18="",IF(MAX(CU18,CW18)&gt;0,MAX(CU18,CW18),""),MAX(CU18,CW18)+CS18)</f>
        <v/>
      </c>
      <c r="CY18" s="11" t="str">
        <f>IF(CO18&gt;0,CO18,"")</f>
        <v/>
      </c>
      <c r="CZ18" s="11" t="str">
        <f>IF(SUM(CM18:CP18)-CQ18&gt;0,SUM(CM18:CP18)-CQ18,"")</f>
        <v/>
      </c>
      <c r="DA18" s="11" t="str">
        <f>IF(SUM(CX18,CZ18)&gt;0,SUM(CX18,CZ18),"")</f>
        <v/>
      </c>
      <c r="DB18" s="19" t="str">
        <f>IF(I18&gt;=0.001,IF(MAX(DU18,EQ18,FM18,GI18,HE18,IA18,IW18,JS18,KO18,LK18,MG18,NC18)-IF(I18="",0,I18)&gt;0.001,MAX(DU18,EQ18,FM18,GI18,HE18,IA18,IW18,JS18,KO18,LK18,MG18,NC18)-IF(I18="",0,I18),""),"")</f>
        <v/>
      </c>
      <c r="DC18" s="19" t="str">
        <f>IF(K18&gt;=0.001,IF(MAX(DX18,ET18,FP18,GL18,HH18,ID18,IZ18,JV18,KR18,LN18,MJ18,NF18)-IF(K18="",0,K18)&gt;0.001,MAX(DX18,ET18,FP18,GL18,HH18,ID18,IZ18,JV18,KR18,LN18,MJ18,NF18)-IF(K18="",0,K18),""),"")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8">
        <f>IF($CR18="P",BX18,(BX18+AT18)/2)</f>
        <v>7.5</v>
      </c>
      <c r="NI18" s="38">
        <f>IF($CR18="P",BY18,(BY18+AU18)/2)</f>
        <v>4.7</v>
      </c>
      <c r="NJ18" s="38">
        <f>IF($CR18="P",BZ18,(BZ18+AV18)/2)</f>
        <v>1.05</v>
      </c>
      <c r="NK18" s="38">
        <f>IF($CR18="P",CA18,(CA18+AW18)/2)</f>
        <v>7.2625000000000002</v>
      </c>
      <c r="NL18" s="38">
        <f>IF($CR18="P",CB18,(CB18+AX18)/2)</f>
        <v>0</v>
      </c>
      <c r="NM18" s="38">
        <f>IF($CR18="P",CC18,(CC18+AY18)/2)</f>
        <v>5.95</v>
      </c>
      <c r="NN18" s="38">
        <f>IF($CR18="P",CD18,(CD18+AZ18)/2)</f>
        <v>4.45</v>
      </c>
      <c r="NO18" s="38">
        <f>IF($CR18="P",CE18,(CE18+BA18)/2)</f>
        <v>4.4000000000000004</v>
      </c>
      <c r="NP18" s="38">
        <f>IF($CR18="P",CF18,(CF18+BB18)/2)</f>
        <v>6.56</v>
      </c>
      <c r="NQ18" s="38">
        <f>IF($CR18="P",CG18,(CG18+BC18)/2)</f>
        <v>0</v>
      </c>
      <c r="NR18" s="38">
        <f>IF($CR18="P",CH18,(CH18+BD18)/2)</f>
        <v>0</v>
      </c>
      <c r="NS18" s="38">
        <f>IF($CR18="P",CI18,(CI18+BE18)/2)</f>
        <v>0</v>
      </c>
      <c r="NT18" s="38">
        <f>IF($CR18="P",CJ18,(CJ18+BF18)/2)</f>
        <v>0</v>
      </c>
      <c r="NU18" s="38">
        <f>IF($CR18="P",CK18,(CK18+BG18)/2)</f>
        <v>0</v>
      </c>
      <c r="NV18" s="38">
        <f>IF($CR18="P",CL18,(CL18+BH18)/2)</f>
        <v>0</v>
      </c>
      <c r="NW18" s="38">
        <f>IF($CR18="P",CM18,(CM18+BI18)/2)</f>
        <v>7.3</v>
      </c>
      <c r="NX18" s="38">
        <f>IF($CR18="P",CN18,(CN18+BJ18)/2)</f>
        <v>4.5999999999999996</v>
      </c>
      <c r="NY18" s="38">
        <f>IF($CR18="P",CO18,(CO18+BK18)/2)</f>
        <v>4.4000000000000004</v>
      </c>
      <c r="NZ18" s="38">
        <f>IF($CR18="P",CP18,(CP18+BL18)/2)</f>
        <v>6.8925000000000001</v>
      </c>
      <c r="OA18" s="38">
        <f>IF($CR18="P",CQ18,(CQ18+BM18)/2)</f>
        <v>0</v>
      </c>
      <c r="OB18" s="45" t="s">
        <v>46</v>
      </c>
      <c r="OC18" s="11">
        <f>IF(SUM(NH18:NK18)-NL18&gt;0,SUM(NH18:NK18)-NL18,"")</f>
        <v>20.512499999999999</v>
      </c>
      <c r="OD18" s="11">
        <f>IF(NO18&gt;0,NO18,"")</f>
        <v>4.4000000000000004</v>
      </c>
      <c r="OE18" s="11">
        <f>IF(SUM(NM18:NP18)-NQ18&gt;0,SUM(NM18:NP18)-NQ18,"")</f>
        <v>21.36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41.872500000000002</v>
      </c>
      <c r="OI18" s="11">
        <f>IF(NY18&gt;0,NY18,"")</f>
        <v>4.4000000000000004</v>
      </c>
      <c r="OJ18" s="11">
        <f t="shared" ref="OJ18" si="22">IF(SUM(NW18:NZ18)-OA18&gt;0,SUM(NW18:NZ18)-OA18,"")</f>
        <v>23.192499999999995</v>
      </c>
      <c r="OK18" s="11">
        <f t="shared" ref="OK18" si="23">IF(SUM(OH18,OJ18)&gt;0,SUM(OH18,OJ18),"")</f>
        <v>65.064999999999998</v>
      </c>
    </row>
    <row r="19" spans="1:401" x14ac:dyDescent="0.2">
      <c r="A19" s="5" t="str" cm="1">
        <f t="array" ref="A19">IF(AND(F19="P",G19="P"),SUMPRODUCT((F$4:F$29="P")*(G$4:G$29="P")*(E$4:E$29&gt;E19))+1,IF(G19="P",SUMPRODUCT((F$4:F$29="")*(G$4:G$29="P")*(E$4:E$29&gt;E19))+1+SUMPRODUCT((F$4:F$29="P")*(G$4:G$29="P")),""))</f>
        <v/>
      </c>
      <c r="B19" s="8" t="s">
        <v>153</v>
      </c>
      <c r="C19" s="4" t="s">
        <v>4</v>
      </c>
      <c r="D19" s="22">
        <v>2004</v>
      </c>
      <c r="E19" s="15">
        <f>SUM(I19:M19)</f>
        <v>88.72</v>
      </c>
      <c r="F19" s="3" t="str">
        <f>IF(OR(AND(AL19&gt;=AS$31,AM19&gt;=AS$35,AL19&lt;&gt;"",AJ19=""),AND(AN19&gt;=AS$31,AO19&gt;=AS$35,AN19&lt;&gt;"",AN19=""),AND(AQ19&gt;=AS$31,AR19&gt;=AS$35,AQ19&lt;&gt;"",AJ19=""),AND(BP19&gt;=BW$31,BQ19&gt;=BW$35,BP19&lt;&gt;"",BN19=""),AND(BR19&gt;=BW$31,BS19&gt;=BW$35,BR19&lt;&gt;"",BN19=""),AND(BU19&gt;=BW$31,BV19&gt;=BW$35,BU19&lt;&gt;"",BN19=""),AND(CT19&gt;=DA$31,CU19&gt;=DA$35,CT19&lt;&gt;"",CR19=""),AND(CV19&gt;=DA$31,CW19&gt;=DA$35,CV19&lt;&gt;"",CR19=""),AND(CY19&gt;=DA$31,CZ19&gt;=DA$35,CY19&lt;&gt;"",CR19=""),AND(DS19&gt;=DY$31,DU19&gt;=DY$35,DS19&lt;&gt;""),AND(DW19&gt;=DY$31,DX19&gt;=DY$35,DW19&lt;&gt;""),AND(EO19&gt;=EU$31,EQ19&gt;=EU$35,EO19&lt;&gt;""),AND(ES19&gt;=EU$31,ET19&gt;=EU$35,ES19&lt;&gt;""),AND(FK19&gt;=FQ$31,FM19&gt;=FQ$35,FK19&lt;&gt;""),AND(FO19&gt;=FQ$31,FP19&gt;=FQ$35,FO19&lt;&gt;""),AND(GG19&gt;=GM$31,GI19&gt;=GM$35,GG19&lt;&gt;""),AND(GK19&gt;=GM$31,GL19&gt;=GM$35,GK19&lt;&gt;""),AND(HC19&gt;=HI$31,HE19&gt;=HI$35,HC19&lt;&gt;""),AND(HG19&gt;=HI$31,HH19&gt;=HI$35,HG19&lt;&gt;""),AND(HY19&gt;=IE$31,IA19&gt;=IE$35,HY19&lt;&gt;""),AND(IC19&gt;=IE$31,ID19&gt;=IE$35,IC19&lt;&gt;""),AND(IU19&gt;=JA$31,IW19&gt;=JA$35,IU19&lt;&gt;""),AND(IY19&gt;=JA$31,IZ19&gt;=JA$35,IY19&lt;&gt;""),AND(JQ19&gt;=JW$31,JS19&gt;=JW$35,JQ19&lt;&gt;""),AND(JU19&gt;=JW$31,JV19&gt;=JW$35,JU19&lt;&gt;""),AND(KM19&gt;=KS$31,KO19&gt;=KS$35,KM19&lt;&gt;""),AND(KQ19&gt;=KS$31,KR19&gt;=KS$35,KQ19&lt;&gt;""),AND(LI19&gt;=LO$31,LK19&gt;=LO$35,LI19&lt;&gt;""),AND(LM19&gt;=LO$31,LN19&gt;=LO$35,LM19&lt;&gt;""),AND(ME19&gt;=MK$31,MG19&gt;=MK$35,ME19&lt;&gt;""),AND(MI19&gt;=MK$31,MJ19&gt;=MK$35,MI19&lt;&gt;""),AND(NA19&gt;=NG$31,NC19&gt;=NG$35,NA19&lt;&gt;""),AND(NE19&gt;=NG$31,NF19&gt;=NG$35,NE19&lt;&gt;"")),"P","")</f>
        <v/>
      </c>
      <c r="G19" s="3" t="str">
        <f>IF(OR(AND(AM19&gt;=AS$35,AL19&lt;&gt;"",AJ19=""),AND(AO19&gt;=AS$35,AN19&lt;&gt;"",AN19=""),AND(AR19&gt;=AS$35,AQ19&lt;&gt;"",AJ19=""),AND(BQ19&gt;=BW$35,BP19&lt;&gt;"",BN19=""),AND(BS19&gt;=BW$35,BR19&lt;&gt;"",BN19=""),AND(BV19&gt;=BW$35,BU19&lt;&gt;"",BN19=""),AND(CU19&gt;=DA$35,CT19&lt;&gt;"",CR19=""),AND(CW19&gt;=DA$35,CV19&lt;&gt;"",CR19=""),AND(CZ19&gt;=DA$35,CY19&lt;&gt;"",CR19=""),AND(DU19&gt;=DY$35,DS19&lt;&gt;""),AND(DX19&gt;=DY$35,DW19&lt;&gt;""),AND(EQ19&gt;=EU$35,EO19&lt;&gt;""),AND(ET19&gt;=EU$35,ES19&lt;&gt;""),AND(FM19&gt;=FQ$35,FK19&lt;&gt;""),AND(FP19&gt;=FQ$35,FO19&lt;&gt;""),AND(GI19&gt;=GM$35,GG19&lt;&gt;""),AND(GL19&gt;=GM$35,GK19&lt;&gt;""),AND(HE19&gt;=HI$35,HC19&lt;&gt;""),AND(HH19&gt;=HI$35,HG19&lt;&gt;""),AND(IA19&gt;=IE$35,HY19&lt;&gt;""),AND(ID19&gt;=IE$35,IC19&lt;&gt;""),AND(IW19&gt;=JA$35,IU19&lt;&gt;""),AND(IZ19&gt;=JA$35,IY19&lt;&gt;""),AND(JS19&gt;=JW$35,JQ19&lt;&gt;""),AND(JV19&gt;=JW$35,JU19&lt;&gt;""),AND(KO19&gt;=KS$35,KM19&lt;&gt;""),AND(KR19&gt;=KS$35,KQ19&lt;&gt;""),AND(LK19&gt;=LO$35,LI19&lt;&gt;""),AND(LN19&gt;=LO$35,LM19&lt;&gt;""),AND(MG19&gt;=MK$35,ME19&lt;&gt;""),AND(MJ19&gt;=MK$35,MI19&lt;&gt;""),AND(NC19&gt;=NG$35,NA19&lt;&gt;""),AND(NF19&gt;=NG$35,NE19&lt;&gt;"")),"P","")</f>
        <v/>
      </c>
      <c r="H19" s="67" t="str">
        <f>IF(F19="P","National Team",IF(G19="P","No DD",""))</f>
        <v/>
      </c>
      <c r="I19" s="14">
        <f>MAX(AM19,AO19,AR19,BQ19,BS19,BV19,CU19,CW19,CZ19)</f>
        <v>46.64</v>
      </c>
      <c r="J19" s="14" t="str">
        <f>IF(I19=0,"",IF(OR(I19=CW19,I19=CU19,I19=CZ19),$BX$1,IF(OR(I19=BS19,I19=BQ19,I19=BV19),$AT$1,IF(OR(I19=AO19,I19=AM19,I19=AR19),$P$1,""))))</f>
        <v>2022 Elite Canada</v>
      </c>
      <c r="K19" s="14">
        <f>IF(COUNT(AM19,AO19,AR19,BQ19,BS19,BV19,CU19,CW19,CZ19)&gt;1,LARGE((AM19,AO19,AR19,BQ19,BS19,BV19,CU19,CW19,CZ19),2),0)</f>
        <v>42.08</v>
      </c>
      <c r="L19" s="14" t="str">
        <f>IF(K19=0,"",IF(OR(K19=CW19,K19=CU19,K19=CZ19),$BX$1,IF(OR(K19=BS19,K19=BQ19,K19=BV19),$AT$1,IF(OR(K19=AO19,K19=AM19,K19=AR19),$P$1,""))))</f>
        <v>2022 Elite Canada</v>
      </c>
      <c r="M19" s="14" t="str">
        <f>IF(MAX(DB19,DC19)&gt;0,MAX(DB19,DC19),"")</f>
        <v/>
      </c>
      <c r="N19" s="20" t="str">
        <f>IF(M19="","",IF(M19=#REF!,"(Vol 1)",IF(M19=DB19,"(Vol 2)",IF(M19=#REF!,"(Prelim)",IF(M19=DC19,"(Final)")))))</f>
        <v/>
      </c>
      <c r="O19" s="14" t="str">
        <f>IF(M19="","",IF(M19=#REF!,IF(M19+IF(#REF!="",0,#REF!)=NB19,$ML$1,IF(M19+IF(#REF!="",0,#REF!)=MF19,$LP$1,IF(M19+IF(#REF!="",0,#REF!)=LJ19,$KT$1,IF(M19+IF(#REF!="",0,#REF!)=KN19,$JX$1,IF(M19+IF(#REF!="",0,#REF!)=JR19,$JB$1,IF(M19+IF(#REF!="",0,#REF!)=IV19,$IF$1,IF(M19+IF(#REF!="",0,#REF!)=HZ19,$HJ$1,IF(M19+IF(#REF!="",0,#REF!)=HD19,$GN$1,IF(M19+IF(#REF!="",0,#REF!)=GH19,$FR$1,IF(M19+IF(#REF!="",0,#REF!)=FL19,$EV$1,IF(M19+IF(#REF!="",0,#REF!)=EP19,$DZ$1,IF(M19+IF(#REF!="",0,#REF!)=DT19,$DD$1)))))))))))),IF(M19=DB19,IF(M19+IF(I19="",0,I19)=NC19,$ML$1,IF(M19+IF(I19="",0,I19)=MG19,$LP$1,IF(M19+IF(I19="",0,I19)=LK19,$KT$1,IF(M19+IF(I19="",0,I19)=KO19,$JX$1,IF(M19+IF(I19="",0,I19)=JS19,$JB$1,IF(M19+IF(I19="",0,I19)=IW19,$IF$1,IF(M19+IF(I19="",0,I19)=IA19,$HJ$1,IF(M19+IF(I19="",0,I19)=HE19,$GN$1,IF(M19+IF(I19="",0,I19)=GI19,$FR$1,IF(M19+IF(I19="",0,I19)=FM19,$EV$1,IF(M19+IF(I19="",0,I19)=EQ19,$DZ$1,IF(M19+IF(I19="",0,I19)=DU19,$DD$1)))))))))))),IF(M19=#REF!,IF(M19+IF(#REF!="",0,#REF!)=ND19,$ML$1,IF(M19+IF(#REF!="",0,#REF!)=MH19,$LP$1,IF(M19+IF(#REF!="",0,#REF!)=LL19,$KT$1,IF(M19+IF(#REF!="",0,#REF!)=KP19,$JX$1,IF(M19+IF(#REF!="",0,#REF!)=JT19,$JB$1,IF(M19+IF(#REF!="",0,#REF!)=IX19,$IF$1,IF(M19+IF(#REF!="",0,#REF!)=IB19,$HJ$1,IF(M19+IF(#REF!="",0,#REF!)=HF19,$GN$1,IF(M19+IF(#REF!="",0,#REF!)=GJ19,$FR$1,IF(M19+IF(#REF!="",0,#REF!)=FN19,$EV$1,IF(M19+IF(#REF!="",0,#REF!)=ER19,$DZ$1,IF(M19+IF(#REF!="",0,#REF!)=DV19,$DD$1)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))</f>
        <v/>
      </c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45"/>
      <c r="AK19" s="11" t="str">
        <f>IF(SUM(P19:S19)-T19&gt;0,SUM(P19:S19)-T19,"")</f>
        <v/>
      </c>
      <c r="AL19" s="11" t="str">
        <f>IF(W19&gt;0,W19,"")</f>
        <v/>
      </c>
      <c r="AM19" s="11" t="str">
        <f>IF(SUM(U19:X19)-Y19&gt;0,SUM(U19:X19)-Y19,"")</f>
        <v/>
      </c>
      <c r="AN19" s="11" t="str">
        <f>IF(AB19&gt;0,AB19,"")</f>
        <v/>
      </c>
      <c r="AO19" s="11" t="str">
        <f>IF(SUM(Z19:AC19)-AD19&gt;0,SUM(Z19:AC19)-AD19,"")</f>
        <v/>
      </c>
      <c r="AP19" s="11" t="str">
        <f>IF(AK19="",IF(MAX(AM19,AO19)&gt;0,MAX(AM19,AO19),""),MAX(AM19,AO19)+AK19)</f>
        <v/>
      </c>
      <c r="AQ19" s="11" t="str">
        <f>IF(AG19&gt;0,AG19,"")</f>
        <v/>
      </c>
      <c r="AR19" s="11" t="str">
        <f>IF(SUM(AE19:AH19)-AI19&gt;0,SUM(AE19:AH19)-AI19,"")</f>
        <v/>
      </c>
      <c r="AS19" s="11" t="str">
        <f>IF(SUM(AP19,AR19)&gt;0,SUM(AP19,AR19),"")</f>
        <v/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6"/>
      <c r="BO19" s="14" t="str">
        <f>IF(SUM(AT19:AW19)-AX19&gt;0,SUM(AT19:AW19)-AX19,"")</f>
        <v/>
      </c>
      <c r="BP19" s="14" t="str">
        <f>IF(BA19&gt;0,BA19,"")</f>
        <v/>
      </c>
      <c r="BQ19" s="14" t="str">
        <f>IF(SUM(AY19:BB19)-BC19&gt;0,SUM(AY19:BB19)-BC19,"")</f>
        <v/>
      </c>
      <c r="BR19" s="14" t="str">
        <f>IF(BF19&gt;0,BF19,"")</f>
        <v/>
      </c>
      <c r="BS19" s="14" t="str">
        <f>IF(SUM(BD19:BG19)-BH19&gt;0,SUM(BD19:BG19)-BH19,"")</f>
        <v/>
      </c>
      <c r="BT19" s="14" t="str">
        <f>IF(BO19="",IF(MAX(BQ19,BS19)&gt;0,MAX(BQ19,BS19),""),MAX(BQ19,BS19)+BO19)</f>
        <v/>
      </c>
      <c r="BU19" s="14" t="str">
        <f>IF(BK19&gt;0,BK19,"")</f>
        <v/>
      </c>
      <c r="BV19" s="14" t="str">
        <f>IF(SUM(BI19:BL19)-BM19&gt;0,SUM(BI19:BL19)-BM19,"")</f>
        <v/>
      </c>
      <c r="BW19" s="14" t="str">
        <f>IF(SUM(BT19,BV19)&gt;0,SUM(BT19,BV19),"")</f>
        <v/>
      </c>
      <c r="BX19" s="38">
        <v>16.399999999999999</v>
      </c>
      <c r="BY19" s="38">
        <v>9.6</v>
      </c>
      <c r="BZ19" s="38">
        <v>1.5</v>
      </c>
      <c r="CA19" s="38">
        <v>13.7</v>
      </c>
      <c r="CB19" s="38">
        <v>0</v>
      </c>
      <c r="CC19" s="38">
        <v>15.3</v>
      </c>
      <c r="CD19" s="38">
        <v>9.3000000000000007</v>
      </c>
      <c r="CE19" s="38">
        <v>8.5</v>
      </c>
      <c r="CF19" s="38">
        <v>13.84</v>
      </c>
      <c r="CG19" s="38">
        <v>0.3</v>
      </c>
      <c r="CH19" s="38"/>
      <c r="CI19" s="38"/>
      <c r="CJ19" s="38"/>
      <c r="CK19" s="38"/>
      <c r="CL19" s="38"/>
      <c r="CM19" s="38">
        <v>12.2</v>
      </c>
      <c r="CN19" s="38">
        <v>9.3000000000000007</v>
      </c>
      <c r="CO19" s="38">
        <v>7.9</v>
      </c>
      <c r="CP19" s="38">
        <v>13.58</v>
      </c>
      <c r="CQ19" s="38">
        <v>0.9</v>
      </c>
      <c r="CR19" s="45"/>
      <c r="CS19" s="11">
        <f>IF(SUM(BX19:CA19)-CB19&gt;0,SUM(BX19:CA19)-CB19,"")</f>
        <v>41.2</v>
      </c>
      <c r="CT19" s="11">
        <f>IF(CE19&gt;0,CE19,"")</f>
        <v>8.5</v>
      </c>
      <c r="CU19" s="11">
        <f>IF(SUM(CC19:CF19)-CG19&gt;0,SUM(CC19:CF19)-CG19,"")</f>
        <v>46.64</v>
      </c>
      <c r="CV19" s="11" t="str">
        <f>IF(CJ19&gt;0,CJ19,"")</f>
        <v/>
      </c>
      <c r="CW19" s="11" t="str">
        <f>IF(SUM(CH19:CK19)-CL19&gt;0,SUM(CH19:CK19)-CL19,"")</f>
        <v/>
      </c>
      <c r="CX19" s="11">
        <f>IF(CS19="",IF(MAX(CU19,CW19)&gt;0,MAX(CU19,CW19),""),MAX(CU19,CW19)+CS19)</f>
        <v>87.84</v>
      </c>
      <c r="CY19" s="11">
        <f>IF(CO19&gt;0,CO19,"")</f>
        <v>7.9</v>
      </c>
      <c r="CZ19" s="11">
        <f>IF(SUM(CM19:CP19)-CQ19&gt;0,SUM(CM19:CP19)-CQ19,"")</f>
        <v>42.08</v>
      </c>
      <c r="DA19" s="11">
        <f>IF(SUM(CX19,CZ19)&gt;0,SUM(CX19,CZ19),"")</f>
        <v>129.92000000000002</v>
      </c>
      <c r="DB19" s="19" t="str">
        <f>IF(I19&gt;=0.001,IF(MAX(DU19,EQ19,FM19,GI19,HE19,IA19,IW19,JS19,KO19,LK19,MG19,NC19)-IF(I19="",0,I19)&gt;0.001,MAX(DU19,EQ19,FM19,GI19,HE19,IA19,IW19,JS19,KO19,LK19,MG19,NC19)-IF(I19="",0,I19),""),"")</f>
        <v/>
      </c>
      <c r="DC19" s="19" t="str">
        <f>IF(K19&gt;=0.001,IF(MAX(DX19,ET19,FP19,GL19,HH19,ID19,IZ19,JV19,KR19,LN19,MJ19,NF19)-IF(K19="",0,K19)&gt;0.001,MAX(DX19,ET19,FP19,GL19,HH19,ID19,IZ19,JV19,KR19,LN19,MJ19,NF19)-IF(K19="",0,K19),""),"")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8">
        <f>IF($CR19="P",BX19,(BX19+AT19)/2)</f>
        <v>8.1999999999999993</v>
      </c>
      <c r="NI19" s="38">
        <f>IF($CR19="P",BY19,(BY19+AU19)/2)</f>
        <v>4.8</v>
      </c>
      <c r="NJ19" s="38">
        <f>IF($CR19="P",BZ19,(BZ19+AV19)/2)</f>
        <v>0.75</v>
      </c>
      <c r="NK19" s="38">
        <f>IF($CR19="P",CA19,(CA19+AW19)/2)</f>
        <v>6.85</v>
      </c>
      <c r="NL19" s="38">
        <f>IF($CR19="P",CB19,(CB19+AX19)/2)</f>
        <v>0</v>
      </c>
      <c r="NM19" s="38">
        <f>IF($CR19="P",CC19,(CC19+AY19)/2)</f>
        <v>7.65</v>
      </c>
      <c r="NN19" s="38">
        <f>IF($CR19="P",CD19,(CD19+AZ19)/2)</f>
        <v>4.6500000000000004</v>
      </c>
      <c r="NO19" s="38">
        <f>IF($CR19="P",CE19,(CE19+BA19)/2)</f>
        <v>4.25</v>
      </c>
      <c r="NP19" s="38">
        <f>IF($CR19="P",CF19,(CF19+BB19)/2)</f>
        <v>6.92</v>
      </c>
      <c r="NQ19" s="38">
        <f>IF($CR19="P",CG19,(CG19+BC19)/2)</f>
        <v>0.15</v>
      </c>
      <c r="NR19" s="38">
        <f>IF($CR19="P",CH19,(CH19+BD19)/2)</f>
        <v>0</v>
      </c>
      <c r="NS19" s="38">
        <f>IF($CR19="P",CI19,(CI19+BE19)/2)</f>
        <v>0</v>
      </c>
      <c r="NT19" s="38">
        <f>IF($CR19="P",CJ19,(CJ19+BF19)/2)</f>
        <v>0</v>
      </c>
      <c r="NU19" s="38">
        <f>IF($CR19="P",CK19,(CK19+BG19)/2)</f>
        <v>0</v>
      </c>
      <c r="NV19" s="38">
        <f>IF($CR19="P",CL19,(CL19+BH19)/2)</f>
        <v>0</v>
      </c>
      <c r="NW19" s="38">
        <f>IF($CR19="P",CM19,(CM19+BI19)/2)</f>
        <v>6.1</v>
      </c>
      <c r="NX19" s="38">
        <f>IF($CR19="P",CN19,(CN19+BJ19)/2)</f>
        <v>4.6500000000000004</v>
      </c>
      <c r="NY19" s="38">
        <f>IF($CR19="P",CO19,(CO19+BK19)/2)</f>
        <v>3.95</v>
      </c>
      <c r="NZ19" s="38">
        <f>IF($CR19="P",CP19,(CP19+BL19)/2)</f>
        <v>6.79</v>
      </c>
      <c r="OA19" s="38">
        <f>IF($CR19="P",CQ19,(CQ19+BM19)/2)</f>
        <v>0.45</v>
      </c>
      <c r="OB19" s="45" t="s">
        <v>46</v>
      </c>
      <c r="OC19" s="11">
        <f>IF(SUM(NH19:NK19)-NL19&gt;0,SUM(NH19:NK19)-NL19,"")</f>
        <v>20.6</v>
      </c>
      <c r="OD19" s="11">
        <f>IF(NO19&gt;0,NO19,"")</f>
        <v>4.25</v>
      </c>
      <c r="OE19" s="11">
        <f>IF(SUM(NM19:NP19)-NQ19&gt;0,SUM(NM19:NP19)-NQ19,"")</f>
        <v>23.32</v>
      </c>
      <c r="OF19" s="11" t="str">
        <f>IF(NT19&gt;0,NT19,"")</f>
        <v/>
      </c>
      <c r="OG19" s="11" t="str">
        <f>IF(SUM(NR19:NU19)-NV19&gt;0,SUM(NR19:NU19)-NV19,"")</f>
        <v/>
      </c>
      <c r="OH19" s="11">
        <f>IF(OR(OC19&lt;&gt;"",OE19&lt;&gt;"",OG19&lt;&gt;""),OC19+MAX(OE19,OG19),"")</f>
        <v>43.92</v>
      </c>
      <c r="OI19" s="11">
        <f>IF(NY19&gt;0,NY19,"")</f>
        <v>3.95</v>
      </c>
      <c r="OJ19" s="11">
        <f t="shared" ref="OJ19" si="24">IF(SUM(NW19:NZ19)-OA19&gt;0,SUM(NW19:NZ19)-OA19,"")</f>
        <v>21.04</v>
      </c>
      <c r="OK19" s="11">
        <f t="shared" ref="OK19" si="25">IF(SUM(OH19,OJ19)&gt;0,SUM(OH19,OJ19),"")</f>
        <v>64.960000000000008</v>
      </c>
    </row>
    <row r="20" spans="1:401" x14ac:dyDescent="0.2">
      <c r="A20" s="5" t="str" cm="1">
        <f t="array" ref="A20">IF(AND(F20="P",G20="P"),SUMPRODUCT((F$4:F$29="P")*(G$4:G$29="P")*(E$4:E$29&gt;E20))+1,IF(G20="P",SUMPRODUCT((F$4:F$29="")*(G$4:G$29="P")*(E$4:E$29&gt;E20))+1+SUMPRODUCT((F$4:F$29="P")*(G$4:G$29="P")),""))</f>
        <v/>
      </c>
      <c r="B20" s="6" t="s">
        <v>90</v>
      </c>
      <c r="C20" s="7" t="s">
        <v>5</v>
      </c>
      <c r="D20" s="5">
        <v>2004</v>
      </c>
      <c r="E20" s="15">
        <f>SUM(I20:M20)</f>
        <v>87.88</v>
      </c>
      <c r="F20" s="3" t="str">
        <f>IF(OR(AND(AL20&gt;=AS$31,AM20&gt;=AS$35,AL20&lt;&gt;"",AJ20=""),AND(AN20&gt;=AS$31,AO20&gt;=AS$35,AN20&lt;&gt;"",AN20=""),AND(AQ20&gt;=AS$31,AR20&gt;=AS$35,AQ20&lt;&gt;"",AJ20=""),AND(BP20&gt;=BW$31,BQ20&gt;=BW$35,BP20&lt;&gt;"",BN20=""),AND(BR20&gt;=BW$31,BS20&gt;=BW$35,BR20&lt;&gt;"",BN20=""),AND(BU20&gt;=BW$31,BV20&gt;=BW$35,BU20&lt;&gt;"",BN20=""),AND(CT20&gt;=DA$31,CU20&gt;=DA$35,CT20&lt;&gt;"",CR20=""),AND(CV20&gt;=DA$31,CW20&gt;=DA$35,CV20&lt;&gt;"",CR20=""),AND(CY20&gt;=DA$31,CZ20&gt;=DA$35,CY20&lt;&gt;"",CR20=""),AND(DS20&gt;=DY$31,DU20&gt;=DY$35,DS20&lt;&gt;""),AND(DW20&gt;=DY$31,DX20&gt;=DY$35,DW20&lt;&gt;""),AND(EO20&gt;=EU$31,EQ20&gt;=EU$35,EO20&lt;&gt;""),AND(ES20&gt;=EU$31,ET20&gt;=EU$35,ES20&lt;&gt;""),AND(FK20&gt;=FQ$31,FM20&gt;=FQ$35,FK20&lt;&gt;""),AND(FO20&gt;=FQ$31,FP20&gt;=FQ$35,FO20&lt;&gt;""),AND(GG20&gt;=GM$31,GI20&gt;=GM$35,GG20&lt;&gt;""),AND(GK20&gt;=GM$31,GL20&gt;=GM$35,GK20&lt;&gt;""),AND(HC20&gt;=HI$31,HE20&gt;=HI$35,HC20&lt;&gt;""),AND(HG20&gt;=HI$31,HH20&gt;=HI$35,HG20&lt;&gt;""),AND(HY20&gt;=IE$31,IA20&gt;=IE$35,HY20&lt;&gt;""),AND(IC20&gt;=IE$31,ID20&gt;=IE$35,IC20&lt;&gt;""),AND(IU20&gt;=JA$31,IW20&gt;=JA$35,IU20&lt;&gt;""),AND(IY20&gt;=JA$31,IZ20&gt;=JA$35,IY20&lt;&gt;""),AND(JQ20&gt;=JW$31,JS20&gt;=JW$35,JQ20&lt;&gt;""),AND(JU20&gt;=JW$31,JV20&gt;=JW$35,JU20&lt;&gt;""),AND(KM20&gt;=KS$31,KO20&gt;=KS$35,KM20&lt;&gt;""),AND(KQ20&gt;=KS$31,KR20&gt;=KS$35,KQ20&lt;&gt;""),AND(LI20&gt;=LO$31,LK20&gt;=LO$35,LI20&lt;&gt;""),AND(LM20&gt;=LO$31,LN20&gt;=LO$35,LM20&lt;&gt;""),AND(ME20&gt;=MK$31,MG20&gt;=MK$35,ME20&lt;&gt;""),AND(MI20&gt;=MK$31,MJ20&gt;=MK$35,MI20&lt;&gt;""),AND(NA20&gt;=NG$31,NC20&gt;=NG$35,NA20&lt;&gt;""),AND(NE20&gt;=NG$31,NF20&gt;=NG$35,NE20&lt;&gt;"")),"P","")</f>
        <v/>
      </c>
      <c r="G20" s="3" t="str">
        <f>IF(OR(AND(AM20&gt;=AS$35,AL20&lt;&gt;"",AJ20=""),AND(AO20&gt;=AS$35,AN20&lt;&gt;"",AN20=""),AND(AR20&gt;=AS$35,AQ20&lt;&gt;"",AJ20=""),AND(BQ20&gt;=BW$35,BP20&lt;&gt;"",BN20=""),AND(BS20&gt;=BW$35,BR20&lt;&gt;"",BN20=""),AND(BV20&gt;=BW$35,BU20&lt;&gt;"",BN20=""),AND(CU20&gt;=DA$35,CT20&lt;&gt;"",CR20=""),AND(CW20&gt;=DA$35,CV20&lt;&gt;"",CR20=""),AND(CZ20&gt;=DA$35,CY20&lt;&gt;"",CR20=""),AND(DU20&gt;=DY$35,DS20&lt;&gt;""),AND(DX20&gt;=DY$35,DW20&lt;&gt;""),AND(EQ20&gt;=EU$35,EO20&lt;&gt;""),AND(ET20&gt;=EU$35,ES20&lt;&gt;""),AND(FM20&gt;=FQ$35,FK20&lt;&gt;""),AND(FP20&gt;=FQ$35,FO20&lt;&gt;""),AND(GI20&gt;=GM$35,GG20&lt;&gt;""),AND(GL20&gt;=GM$35,GK20&lt;&gt;""),AND(HE20&gt;=HI$35,HC20&lt;&gt;""),AND(HH20&gt;=HI$35,HG20&lt;&gt;""),AND(IA20&gt;=IE$35,HY20&lt;&gt;""),AND(ID20&gt;=IE$35,IC20&lt;&gt;""),AND(IW20&gt;=JA$35,IU20&lt;&gt;""),AND(IZ20&gt;=JA$35,IY20&lt;&gt;""),AND(JS20&gt;=JW$35,JQ20&lt;&gt;""),AND(JV20&gt;=JW$35,JU20&lt;&gt;""),AND(KO20&gt;=KS$35,KM20&lt;&gt;""),AND(KR20&gt;=KS$35,KQ20&lt;&gt;""),AND(LK20&gt;=LO$35,LI20&lt;&gt;""),AND(LN20&gt;=LO$35,LM20&lt;&gt;""),AND(MG20&gt;=MK$35,ME20&lt;&gt;""),AND(MJ20&gt;=MK$35,MI20&lt;&gt;""),AND(NC20&gt;=NG$35,NA20&lt;&gt;""),AND(NF20&gt;=NG$35,NE20&lt;&gt;"")),"P","")</f>
        <v/>
      </c>
      <c r="H20" s="67" t="str">
        <f>IF(F20="P","National Team",IF(G20="P","No DD",""))</f>
        <v/>
      </c>
      <c r="I20" s="14">
        <f>MAX(AM20,AO20,AR20,BQ20,BS20,BV20,CU20,CW20,CZ20)</f>
        <v>45.725000000000001</v>
      </c>
      <c r="J20" s="14" t="str">
        <f>IF(I20=0,"",IF(OR(I20=CW20,I20=CU20,I20=CZ20),$BX$1,IF(OR(I20=BS20,I20=BQ20,I20=BV20),$AT$1,IF(OR(I20=AO20,I20=AM20,I20=AR20),$P$1,""))))</f>
        <v>2021 Canadian Championships</v>
      </c>
      <c r="K20" s="14">
        <f>IF(COUNT(AM20,AO20,AR20,BQ20,BS20,BV20,CU20,CW20,CZ20)&gt;1,LARGE((AM20,AO20,AR20,BQ20,BS20,BV20,CU20,CW20,CZ20),2),0)</f>
        <v>42.155000000000001</v>
      </c>
      <c r="L20" s="14" t="str">
        <f>IF(K20=0,"",IF(OR(K20=CW20,K20=CU20,K20=CZ20),$BX$1,IF(OR(K20=BS20,K20=BQ20,K20=BV20),$AT$1,IF(OR(K20=AO20,K20=AM20,K20=AR20),$P$1,""))))</f>
        <v>2021 Elite Canada</v>
      </c>
      <c r="M20" s="14" t="str">
        <f>IF(MAX(DB20,DC20)&gt;0,MAX(DB20,DC20),"")</f>
        <v/>
      </c>
      <c r="N20" s="20" t="str">
        <f>IF(M20="","",IF(M20=#REF!,"(Vol 1)",IF(M20=DB20,"(Vol 2)",IF(M20=#REF!,"(Prelim)",IF(M20=DC20,"(Final)")))))</f>
        <v/>
      </c>
      <c r="O20" s="14" t="str">
        <f>IF(M20="","",IF(M20=#REF!,IF(M20+IF(#REF!="",0,#REF!)=NB20,$ML$1,IF(M20+IF(#REF!="",0,#REF!)=MF20,$LP$1,IF(M20+IF(#REF!="",0,#REF!)=LJ20,$KT$1,IF(M20+IF(#REF!="",0,#REF!)=KN20,$JX$1,IF(M20+IF(#REF!="",0,#REF!)=JR20,$JB$1,IF(M20+IF(#REF!="",0,#REF!)=IV20,$IF$1,IF(M20+IF(#REF!="",0,#REF!)=HZ20,$HJ$1,IF(M20+IF(#REF!="",0,#REF!)=HD20,$GN$1,IF(M20+IF(#REF!="",0,#REF!)=GH20,$FR$1,IF(M20+IF(#REF!="",0,#REF!)=FL20,$EV$1,IF(M20+IF(#REF!="",0,#REF!)=EP20,$DZ$1,IF(M20+IF(#REF!="",0,#REF!)=DT20,$DD$1)))))))))))),IF(M20=DB20,IF(M20+IF(I20="",0,I20)=NC20,$ML$1,IF(M20+IF(I20="",0,I20)=MG20,$LP$1,IF(M20+IF(I20="",0,I20)=LK20,$KT$1,IF(M20+IF(I20="",0,I20)=KO20,$JX$1,IF(M20+IF(I20="",0,I20)=JS20,$JB$1,IF(M20+IF(I20="",0,I20)=IW20,$IF$1,IF(M20+IF(I20="",0,I20)=IA20,$HJ$1,IF(M20+IF(I20="",0,I20)=HE20,$GN$1,IF(M20+IF(I20="",0,I20)=GI20,$FR$1,IF(M20+IF(I20="",0,I20)=FM20,$EV$1,IF(M20+IF(I20="",0,I20)=EQ20,$DZ$1,IF(M20+IF(I20="",0,I20)=DU20,$DD$1)))))))))))),IF(M20=#REF!,IF(M20+IF(#REF!="",0,#REF!)=ND20,$ML$1,IF(M20+IF(#REF!="",0,#REF!)=MH20,$LP$1,IF(M20+IF(#REF!="",0,#REF!)=LL20,$KT$1,IF(M20+IF(#REF!="",0,#REF!)=KP20,$JX$1,IF(M20+IF(#REF!="",0,#REF!)=JT20,$JB$1,IF(M20+IF(#REF!="",0,#REF!)=IX20,$IF$1,IF(M20+IF(#REF!="",0,#REF!)=IB20,$HJ$1,IF(M20+IF(#REF!="",0,#REF!)=HF20,$GN$1,IF(M20+IF(#REF!="",0,#REF!)=GJ20,$FR$1,IF(M20+IF(#REF!="",0,#REF!)=FN20,$EV$1,IF(M20+IF(#REF!="",0,#REF!)=ER20,$DZ$1,IF(M20+IF(#REF!="",0,#REF!)=DV20,$DD$1)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))</f>
        <v/>
      </c>
      <c r="P20" s="38">
        <v>15.3</v>
      </c>
      <c r="Q20" s="38">
        <v>9.4</v>
      </c>
      <c r="R20" s="38">
        <v>2</v>
      </c>
      <c r="S20" s="38">
        <v>13.47</v>
      </c>
      <c r="T20" s="38">
        <v>0</v>
      </c>
      <c r="U20" s="38">
        <v>11.9</v>
      </c>
      <c r="V20" s="38">
        <v>9</v>
      </c>
      <c r="W20" s="38">
        <v>8.4</v>
      </c>
      <c r="X20" s="38">
        <v>13.255000000000001</v>
      </c>
      <c r="Y20" s="38">
        <v>0.4</v>
      </c>
      <c r="Z20" s="38"/>
      <c r="AA20" s="38"/>
      <c r="AB20" s="38"/>
      <c r="AC20" s="38"/>
      <c r="AD20" s="38"/>
      <c r="AE20" s="38">
        <v>10.6</v>
      </c>
      <c r="AF20" s="38">
        <v>7.2</v>
      </c>
      <c r="AG20" s="38">
        <v>6.8</v>
      </c>
      <c r="AH20" s="38">
        <v>10.574999999999999</v>
      </c>
      <c r="AI20" s="38">
        <v>0</v>
      </c>
      <c r="AJ20" s="45"/>
      <c r="AK20" s="11">
        <f>IF(SUM(P20:S20)-T20&gt;0,SUM(P20:S20)-T20,"")</f>
        <v>40.17</v>
      </c>
      <c r="AL20" s="11">
        <f>IF(W20&gt;0,W20,"")</f>
        <v>8.4</v>
      </c>
      <c r="AM20" s="11">
        <f>IF(SUM(U20:X20)-Y20&gt;0,SUM(U20:X20)-Y20,"")</f>
        <v>42.155000000000001</v>
      </c>
      <c r="AN20" s="11" t="str">
        <f>IF(AB20&gt;0,AB20,"")</f>
        <v/>
      </c>
      <c r="AO20" s="11" t="str">
        <f>IF(SUM(Z20:AC20)-AD20&gt;0,SUM(Z20:AC20)-AD20,"")</f>
        <v/>
      </c>
      <c r="AP20" s="11">
        <f>IF(AK20="",IF(MAX(AM20,AO20)&gt;0,MAX(AM20,AO20),""),MAX(AM20,AO20)+AK20)</f>
        <v>82.325000000000003</v>
      </c>
      <c r="AQ20" s="11">
        <f>IF(AG20&gt;0,AG20,"")</f>
        <v>6.8</v>
      </c>
      <c r="AR20" s="11">
        <f>IF(SUM(AE20:AH20)-AI20&gt;0,SUM(AE20:AH20)-AI20,"")</f>
        <v>35.174999999999997</v>
      </c>
      <c r="AS20" s="11">
        <f>IF(SUM(AP20,AR20)&gt;0,SUM(AP20,AR20),"")</f>
        <v>117.5</v>
      </c>
      <c r="AT20" s="42">
        <v>15.1</v>
      </c>
      <c r="AU20" s="42">
        <v>9.4</v>
      </c>
      <c r="AV20" s="42">
        <v>2</v>
      </c>
      <c r="AW20" s="42">
        <v>13.12</v>
      </c>
      <c r="AX20" s="42">
        <v>0</v>
      </c>
      <c r="AY20" s="42">
        <v>14</v>
      </c>
      <c r="AZ20" s="42">
        <v>9.1999999999999993</v>
      </c>
      <c r="BA20" s="42">
        <v>8.8000000000000007</v>
      </c>
      <c r="BB20" s="42">
        <v>13.725</v>
      </c>
      <c r="BC20" s="42">
        <v>0</v>
      </c>
      <c r="BD20" s="42"/>
      <c r="BE20" s="42"/>
      <c r="BF20" s="42"/>
      <c r="BG20" s="42"/>
      <c r="BH20" s="42"/>
      <c r="BI20" s="42">
        <v>9.4</v>
      </c>
      <c r="BJ20" s="42">
        <v>6.1</v>
      </c>
      <c r="BK20" s="42">
        <v>6.3</v>
      </c>
      <c r="BL20" s="42">
        <v>9.4049999999999994</v>
      </c>
      <c r="BM20" s="42">
        <v>0</v>
      </c>
      <c r="BN20" s="46"/>
      <c r="BO20" s="14">
        <f>IF(SUM(AT20:AW20)-AX20&gt;0,SUM(AT20:AW20)-AX20,"")</f>
        <v>39.619999999999997</v>
      </c>
      <c r="BP20" s="14">
        <f>IF(BA20&gt;0,BA20,"")</f>
        <v>8.8000000000000007</v>
      </c>
      <c r="BQ20" s="14">
        <f>IF(SUM(AY20:BB20)-BC20&gt;0,SUM(AY20:BB20)-BC20,"")</f>
        <v>45.725000000000001</v>
      </c>
      <c r="BR20" s="14" t="str">
        <f>IF(BF20&gt;0,BF20,"")</f>
        <v/>
      </c>
      <c r="BS20" s="14" t="str">
        <f>IF(SUM(BD20:BG20)-BH20&gt;0,SUM(BD20:BG20)-BH20,"")</f>
        <v/>
      </c>
      <c r="BT20" s="14">
        <f>IF(BO20="",IF(MAX(BQ20,BS20)&gt;0,MAX(BQ20,BS20),""),MAX(BQ20,BS20)+BO20)</f>
        <v>85.344999999999999</v>
      </c>
      <c r="BU20" s="14">
        <f>IF(BK20&gt;0,BK20,"")</f>
        <v>6.3</v>
      </c>
      <c r="BV20" s="14">
        <f>IF(SUM(BI20:BL20)-BM20&gt;0,SUM(BI20:BL20)-BM20,"")</f>
        <v>31.204999999999998</v>
      </c>
      <c r="BW20" s="14">
        <f>IF(SUM(BT20,BV20)&gt;0,SUM(BT20,BV20),"")</f>
        <v>116.55</v>
      </c>
      <c r="BX20" s="38">
        <v>15.5</v>
      </c>
      <c r="BY20" s="38">
        <v>9.6999999999999993</v>
      </c>
      <c r="BZ20" s="38">
        <v>2</v>
      </c>
      <c r="CA20" s="38">
        <v>13.37</v>
      </c>
      <c r="CB20" s="38">
        <v>0</v>
      </c>
      <c r="CC20" s="38">
        <v>7.8</v>
      </c>
      <c r="CD20" s="38">
        <v>5.6</v>
      </c>
      <c r="CE20" s="38">
        <v>4.5</v>
      </c>
      <c r="CF20" s="38">
        <v>8.18</v>
      </c>
      <c r="CG20" s="38">
        <v>0</v>
      </c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45"/>
      <c r="CS20" s="11">
        <f>IF(SUM(BX20:CA20)-CB20&gt;0,SUM(BX20:CA20)-CB20,"")</f>
        <v>40.57</v>
      </c>
      <c r="CT20" s="11">
        <f>IF(CE20&gt;0,CE20,"")</f>
        <v>4.5</v>
      </c>
      <c r="CU20" s="11">
        <f>IF(SUM(CC20:CF20)-CG20&gt;0,SUM(CC20:CF20)-CG20,"")</f>
        <v>26.08</v>
      </c>
      <c r="CV20" s="11" t="str">
        <f>IF(CJ20&gt;0,CJ20,"")</f>
        <v/>
      </c>
      <c r="CW20" s="11" t="str">
        <f>IF(SUM(CH20:CK20)-CL20&gt;0,SUM(CH20:CK20)-CL20,"")</f>
        <v/>
      </c>
      <c r="CX20" s="11">
        <f>IF(CS20="",IF(MAX(CU20,CW20)&gt;0,MAX(CU20,CW20),""),MAX(CU20,CW20)+CS20)</f>
        <v>66.650000000000006</v>
      </c>
      <c r="CY20" s="11" t="str">
        <f>IF(CO20&gt;0,CO20,"")</f>
        <v/>
      </c>
      <c r="CZ20" s="11" t="str">
        <f>IF(SUM(CM20:CP20)-CQ20&gt;0,SUM(CM20:CP20)-CQ20,"")</f>
        <v/>
      </c>
      <c r="DA20" s="11">
        <f>IF(SUM(CX20,CZ20)&gt;0,SUM(CX20,CZ20),"")</f>
        <v>66.650000000000006</v>
      </c>
      <c r="DB20" s="19" t="str">
        <f>IF(I20&gt;=0.001,IF(MAX(DU20,EQ20,FM20,GI20,HE20,IA20,IW20,JS20,KO20,LK20,MG20,NC20)-IF(I20="",0,I20)&gt;0.001,MAX(DU20,EQ20,FM20,GI20,HE20,IA20,IW20,JS20,KO20,LK20,MG20,NC20)-IF(I20="",0,I20),""),"")</f>
        <v/>
      </c>
      <c r="DC20" s="19" t="str">
        <f>IF(K20&gt;=0.001,IF(MAX(DX20,ET20,FP20,GL20,HH20,ID20,IZ20,JV20,KR20,LN20,MJ20,NF20)-IF(K20="",0,K20)&gt;0.001,MAX(DX20,ET20,FP20,GL20,HH20,ID20,IZ20,JV20,KR20,LN20,MJ20,NF20)-IF(K20="",0,K20),""),"")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26"/>
      <c r="JN20" s="26"/>
      <c r="JO20" s="26"/>
      <c r="JP20" s="26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6"/>
      <c r="KU20" s="26"/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8">
        <f>IF($CR20="P",BX20,(BX20+AT20)/2)</f>
        <v>15.3</v>
      </c>
      <c r="NI20" s="38">
        <f>IF($CR20="P",BY20,(BY20+AU20)/2)</f>
        <v>9.5500000000000007</v>
      </c>
      <c r="NJ20" s="38">
        <f>IF($CR20="P",BZ20,(BZ20+AV20)/2)</f>
        <v>2</v>
      </c>
      <c r="NK20" s="38">
        <f>IF($CR20="P",CA20,(CA20+AW20)/2)</f>
        <v>13.244999999999999</v>
      </c>
      <c r="NL20" s="38">
        <f>IF($CR20="P",CB20,(CB20+AX20)/2)</f>
        <v>0</v>
      </c>
      <c r="NM20" s="38">
        <f>IF($CR20="P",CC20,(CC20+AY20)/2)</f>
        <v>10.9</v>
      </c>
      <c r="NN20" s="38">
        <f>IF($CR20="P",CD20,(CD20+AZ20)/2)</f>
        <v>7.3999999999999995</v>
      </c>
      <c r="NO20" s="38">
        <f>IF($CR20="P",CE20,(CE20+BA20)/2)</f>
        <v>6.65</v>
      </c>
      <c r="NP20" s="38">
        <f>IF($CR20="P",CF20,(CF20+BB20)/2)</f>
        <v>10.952500000000001</v>
      </c>
      <c r="NQ20" s="38">
        <f>IF($CR20="P",CG20,(CG20+BC20)/2)</f>
        <v>0</v>
      </c>
      <c r="NR20" s="38">
        <f>IF($CR20="P",CH20,(CH20+BD20)/2)</f>
        <v>0</v>
      </c>
      <c r="NS20" s="38">
        <f>IF($CR20="P",CI20,(CI20+BE20)/2)</f>
        <v>0</v>
      </c>
      <c r="NT20" s="38">
        <f>IF($CR20="P",CJ20,(CJ20+BF20)/2)</f>
        <v>0</v>
      </c>
      <c r="NU20" s="38">
        <f>IF($CR20="P",CK20,(CK20+BG20)/2)</f>
        <v>0</v>
      </c>
      <c r="NV20" s="38">
        <f>IF($CR20="P",CL20,(CL20+BH20)/2)</f>
        <v>0</v>
      </c>
      <c r="NW20" s="38">
        <f>IF($CR20="P",CM20,(CM20+BI20)/2)</f>
        <v>4.7</v>
      </c>
      <c r="NX20" s="38">
        <f>IF($CR20="P",CN20,(CN20+BJ20)/2)</f>
        <v>3.05</v>
      </c>
      <c r="NY20" s="38">
        <f>IF($CR20="P",CO20,(CO20+BK20)/2)</f>
        <v>3.15</v>
      </c>
      <c r="NZ20" s="38">
        <f>IF($CR20="P",CP20,(CP20+BL20)/2)</f>
        <v>4.7024999999999997</v>
      </c>
      <c r="OA20" s="38">
        <f>IF($CR20="P",CQ20,(CQ20+BM20)/2)</f>
        <v>0</v>
      </c>
      <c r="OB20" s="45" t="s">
        <v>46</v>
      </c>
      <c r="OC20" s="11">
        <f>IF(SUM(NH20:NK20)-NL20&gt;0,SUM(NH20:NK20)-NL20,"")</f>
        <v>40.094999999999999</v>
      </c>
      <c r="OD20" s="11">
        <f>IF(NO20&gt;0,NO20,"")</f>
        <v>6.65</v>
      </c>
      <c r="OE20" s="11">
        <f>IF(SUM(NM20:NP20)-NQ20&gt;0,SUM(NM20:NP20)-NQ20,"")</f>
        <v>35.902500000000003</v>
      </c>
      <c r="OF20" s="11" t="str">
        <f>IF(NT20&gt;0,NT20,"")</f>
        <v/>
      </c>
      <c r="OG20" s="11" t="str">
        <f>IF(SUM(NR20:NU20)-NV20&gt;0,SUM(NR20:NU20)-NV20,"")</f>
        <v/>
      </c>
      <c r="OH20" s="11">
        <f>IF(OR(OC20&lt;&gt;"",OE20&lt;&gt;"",OG20&lt;&gt;""),OC20+MAX(OE20,OG20),"")</f>
        <v>75.997500000000002</v>
      </c>
      <c r="OI20" s="11">
        <f>IF(NY20&gt;0,NY20,"")</f>
        <v>3.15</v>
      </c>
      <c r="OJ20" s="11">
        <f t="shared" ref="OJ20" si="26">IF(SUM(NW20:NZ20)-OA20&gt;0,SUM(NW20:NZ20)-OA20,"")</f>
        <v>15.602499999999999</v>
      </c>
      <c r="OK20" s="11">
        <f t="shared" ref="OK20" si="27">IF(SUM(OH20,OJ20)&gt;0,SUM(OH20,OJ20),"")</f>
        <v>91.6</v>
      </c>
    </row>
    <row r="21" spans="1:401" x14ac:dyDescent="0.2">
      <c r="A21" s="5" t="str" cm="1">
        <f t="array" ref="A21">IF(AND(F21="P",G21="P"),SUMPRODUCT((F$4:F$29="P")*(G$4:G$29="P")*(E$4:E$29&gt;E21))+1,IF(G21="P",SUMPRODUCT((F$4:F$29="")*(G$4:G$29="P")*(E$4:E$29&gt;E21))+1+SUMPRODUCT((F$4:F$29="P")*(G$4:G$29="P")),""))</f>
        <v/>
      </c>
      <c r="B21" s="6" t="s">
        <v>114</v>
      </c>
      <c r="C21" s="7" t="s">
        <v>4</v>
      </c>
      <c r="D21" s="22">
        <v>2002</v>
      </c>
      <c r="E21" s="15">
        <f>SUM(I21:M21)</f>
        <v>86.055000000000007</v>
      </c>
      <c r="F21" s="3" t="str">
        <f>IF(OR(AND(AL21&gt;=AS$31,AM21&gt;=AS$35,AL21&lt;&gt;"",AJ21=""),AND(AN21&gt;=AS$31,AO21&gt;=AS$35,AN21&lt;&gt;"",AN21=""),AND(AQ21&gt;=AS$31,AR21&gt;=AS$35,AQ21&lt;&gt;"",AJ21=""),AND(BP21&gt;=BW$31,BQ21&gt;=BW$35,BP21&lt;&gt;"",BN21=""),AND(BR21&gt;=BW$31,BS21&gt;=BW$35,BR21&lt;&gt;"",BN21=""),AND(BU21&gt;=BW$31,BV21&gt;=BW$35,BU21&lt;&gt;"",BN21=""),AND(CT21&gt;=DA$31,CU21&gt;=DA$35,CT21&lt;&gt;"",CR21=""),AND(CV21&gt;=DA$31,CW21&gt;=DA$35,CV21&lt;&gt;"",CR21=""),AND(CY21&gt;=DA$31,CZ21&gt;=DA$35,CY21&lt;&gt;"",CR21=""),AND(DS21&gt;=DY$31,DU21&gt;=DY$35,DS21&lt;&gt;""),AND(DW21&gt;=DY$31,DX21&gt;=DY$35,DW21&lt;&gt;""),AND(EO21&gt;=EU$31,EQ21&gt;=EU$35,EO21&lt;&gt;""),AND(ES21&gt;=EU$31,ET21&gt;=EU$35,ES21&lt;&gt;""),AND(FK21&gt;=FQ$31,FM21&gt;=FQ$35,FK21&lt;&gt;""),AND(FO21&gt;=FQ$31,FP21&gt;=FQ$35,FO21&lt;&gt;""),AND(GG21&gt;=GM$31,GI21&gt;=GM$35,GG21&lt;&gt;""),AND(GK21&gt;=GM$31,GL21&gt;=GM$35,GK21&lt;&gt;""),AND(HC21&gt;=HI$31,HE21&gt;=HI$35,HC21&lt;&gt;""),AND(HG21&gt;=HI$31,HH21&gt;=HI$35,HG21&lt;&gt;""),AND(HY21&gt;=IE$31,IA21&gt;=IE$35,HY21&lt;&gt;""),AND(IC21&gt;=IE$31,ID21&gt;=IE$35,IC21&lt;&gt;""),AND(IU21&gt;=JA$31,IW21&gt;=JA$35,IU21&lt;&gt;""),AND(IY21&gt;=JA$31,IZ21&gt;=JA$35,IY21&lt;&gt;""),AND(JQ21&gt;=JW$31,JS21&gt;=JW$35,JQ21&lt;&gt;""),AND(JU21&gt;=JW$31,JV21&gt;=JW$35,JU21&lt;&gt;""),AND(KM21&gt;=KS$31,KO21&gt;=KS$35,KM21&lt;&gt;""),AND(KQ21&gt;=KS$31,KR21&gt;=KS$35,KQ21&lt;&gt;""),AND(LI21&gt;=LO$31,LK21&gt;=LO$35,LI21&lt;&gt;""),AND(LM21&gt;=LO$31,LN21&gt;=LO$35,LM21&lt;&gt;""),AND(ME21&gt;=MK$31,MG21&gt;=MK$35,ME21&lt;&gt;""),AND(MI21&gt;=MK$31,MJ21&gt;=MK$35,MI21&lt;&gt;""),AND(NA21&gt;=NG$31,NC21&gt;=NG$35,NA21&lt;&gt;""),AND(NE21&gt;=NG$31,NF21&gt;=NG$35,NE21&lt;&gt;"")),"P","")</f>
        <v/>
      </c>
      <c r="G21" s="3" t="str">
        <f>IF(OR(AND(AM21&gt;=AS$35,AL21&lt;&gt;"",AJ21=""),AND(AO21&gt;=AS$35,AN21&lt;&gt;"",AN21=""),AND(AR21&gt;=AS$35,AQ21&lt;&gt;"",AJ21=""),AND(BQ21&gt;=BW$35,BP21&lt;&gt;"",BN21=""),AND(BS21&gt;=BW$35,BR21&lt;&gt;"",BN21=""),AND(BV21&gt;=BW$35,BU21&lt;&gt;"",BN21=""),AND(CU21&gt;=DA$35,CT21&lt;&gt;"",CR21=""),AND(CW21&gt;=DA$35,CV21&lt;&gt;"",CR21=""),AND(CZ21&gt;=DA$35,CY21&lt;&gt;"",CR21=""),AND(DU21&gt;=DY$35,DS21&lt;&gt;""),AND(DX21&gt;=DY$35,DW21&lt;&gt;""),AND(EQ21&gt;=EU$35,EO21&lt;&gt;""),AND(ET21&gt;=EU$35,ES21&lt;&gt;""),AND(FM21&gt;=FQ$35,FK21&lt;&gt;""),AND(FP21&gt;=FQ$35,FO21&lt;&gt;""),AND(GI21&gt;=GM$35,GG21&lt;&gt;""),AND(GL21&gt;=GM$35,GK21&lt;&gt;""),AND(HE21&gt;=HI$35,HC21&lt;&gt;""),AND(HH21&gt;=HI$35,HG21&lt;&gt;""),AND(IA21&gt;=IE$35,HY21&lt;&gt;""),AND(ID21&gt;=IE$35,IC21&lt;&gt;""),AND(IW21&gt;=JA$35,IU21&lt;&gt;""),AND(IZ21&gt;=JA$35,IY21&lt;&gt;""),AND(JS21&gt;=JW$35,JQ21&lt;&gt;""),AND(JV21&gt;=JW$35,JU21&lt;&gt;""),AND(KO21&gt;=KS$35,KM21&lt;&gt;""),AND(KR21&gt;=KS$35,KQ21&lt;&gt;""),AND(LK21&gt;=LO$35,LI21&lt;&gt;""),AND(LN21&gt;=LO$35,LM21&lt;&gt;""),AND(MG21&gt;=MK$35,ME21&lt;&gt;""),AND(MJ21&gt;=MK$35,MI21&lt;&gt;""),AND(NC21&gt;=NG$35,NA21&lt;&gt;""),AND(NF21&gt;=NG$35,NE21&lt;&gt;"")),"P","")</f>
        <v/>
      </c>
      <c r="H21" s="67" t="str">
        <f>IF(F21="P","National Team",IF(G21="P","No DD",""))</f>
        <v/>
      </c>
      <c r="I21" s="14">
        <f>MAX(AM21,AO21,AR21,BQ21,BS21,BV21,CU21,CW21,CZ21)</f>
        <v>43.635000000000005</v>
      </c>
      <c r="J21" s="14" t="str">
        <f>IF(I21=0,"",IF(OR(I21=CW21,I21=CU21,I21=CZ21),$BX$1,IF(OR(I21=BS21,I21=BQ21,I21=BV21),$AT$1,IF(OR(I21=AO21,I21=AM21,I21=AR21),$P$1,""))))</f>
        <v>2021 Canadian Championships</v>
      </c>
      <c r="K21" s="14">
        <f>IF(COUNT(AM21,AO21,AR21,BQ21,BS21,BV21,CU21,CW21,CZ21)&gt;1,LARGE((AM21,AO21,AR21,BQ21,BS21,BV21,CU21,CW21,CZ21),2),0)</f>
        <v>42.42</v>
      </c>
      <c r="L21" s="14" t="str">
        <f>IF(K21=0,"",IF(OR(K21=CW21,K21=CU21,K21=CZ21),$BX$1,IF(OR(K21=BS21,K21=BQ21,K21=BV21),$AT$1,IF(OR(K21=AO21,K21=AM21,K21=AR21),$P$1,""))))</f>
        <v>2021 Elite Canada</v>
      </c>
      <c r="M21" s="14" t="str">
        <f>IF(MAX(DB21,DC21)&gt;0,MAX(DB21,DC21),"")</f>
        <v/>
      </c>
      <c r="N21" s="20" t="str">
        <f>IF(M21="","",IF(M21=#REF!,"(Vol 1)",IF(M21=DB21,"(Vol 2)",IF(M21=#REF!,"(Prelim)",IF(M21=DC21,"(Final)")))))</f>
        <v/>
      </c>
      <c r="O21" s="14" t="str">
        <f>IF(M21="","",IF(M21=#REF!,IF(M21+IF(#REF!="",0,#REF!)=NB21,$ML$1,IF(M21+IF(#REF!="",0,#REF!)=MF21,$LP$1,IF(M21+IF(#REF!="",0,#REF!)=LJ21,$KT$1,IF(M21+IF(#REF!="",0,#REF!)=KN21,$JX$1,IF(M21+IF(#REF!="",0,#REF!)=JR21,$JB$1,IF(M21+IF(#REF!="",0,#REF!)=IV21,$IF$1,IF(M21+IF(#REF!="",0,#REF!)=HZ21,$HJ$1,IF(M21+IF(#REF!="",0,#REF!)=HD21,$GN$1,IF(M21+IF(#REF!="",0,#REF!)=GH21,$FR$1,IF(M21+IF(#REF!="",0,#REF!)=FL21,$EV$1,IF(M21+IF(#REF!="",0,#REF!)=EP21,$DZ$1,IF(M21+IF(#REF!="",0,#REF!)=DT21,$DD$1)))))))))))),IF(M21=DB21,IF(M21+IF(I21="",0,I21)=NC21,$ML$1,IF(M21+IF(I21="",0,I21)=MG21,$LP$1,IF(M21+IF(I21="",0,I21)=LK21,$KT$1,IF(M21+IF(I21="",0,I21)=KO21,$JX$1,IF(M21+IF(I21="",0,I21)=JS21,$JB$1,IF(M21+IF(I21="",0,I21)=IW21,$IF$1,IF(M21+IF(I21="",0,I21)=IA21,$HJ$1,IF(M21+IF(I21="",0,I21)=HE21,$GN$1,IF(M21+IF(I21="",0,I21)=GI21,$FR$1,IF(M21+IF(I21="",0,I21)=FM21,$EV$1,IF(M21+IF(I21="",0,I21)=EQ21,$DZ$1,IF(M21+IF(I21="",0,I21)=DU21,$DD$1)))))))))))),IF(M21=#REF!,IF(M21+IF(#REF!="",0,#REF!)=ND21,$ML$1,IF(M21+IF(#REF!="",0,#REF!)=MH21,$LP$1,IF(M21+IF(#REF!="",0,#REF!)=LL21,$KT$1,IF(M21+IF(#REF!="",0,#REF!)=KP21,$JX$1,IF(M21+IF(#REF!="",0,#REF!)=JT21,$JB$1,IF(M21+IF(#REF!="",0,#REF!)=IX21,$IF$1,IF(M21+IF(#REF!="",0,#REF!)=IB21,$HJ$1,IF(M21+IF(#REF!="",0,#REF!)=HF21,$GN$1,IF(M21+IF(#REF!="",0,#REF!)=GJ21,$FR$1,IF(M21+IF(#REF!="",0,#REF!)=FN21,$EV$1,IF(M21+IF(#REF!="",0,#REF!)=ER21,$DZ$1,IF(M21+IF(#REF!="",0,#REF!)=DV21,$DD$1)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))</f>
        <v/>
      </c>
      <c r="P21" s="38">
        <v>9.8000000000000007</v>
      </c>
      <c r="Q21" s="38">
        <v>5.0999999999999996</v>
      </c>
      <c r="R21" s="38">
        <v>0.9</v>
      </c>
      <c r="S21" s="38">
        <v>8.2850000000000001</v>
      </c>
      <c r="T21" s="38">
        <v>0</v>
      </c>
      <c r="U21" s="38">
        <v>15.2</v>
      </c>
      <c r="V21" s="38">
        <v>9.1999999999999993</v>
      </c>
      <c r="W21" s="38">
        <v>6.8</v>
      </c>
      <c r="X21" s="38">
        <v>13.22</v>
      </c>
      <c r="Y21" s="38">
        <v>2</v>
      </c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45"/>
      <c r="AK21" s="11">
        <f>IF(SUM(P21:S21)-T21&gt;0,SUM(P21:S21)-T21,"")</f>
        <v>24.085000000000001</v>
      </c>
      <c r="AL21" s="11">
        <f>IF(W21&gt;0,W21,"")</f>
        <v>6.8</v>
      </c>
      <c r="AM21" s="11">
        <f>IF(SUM(U21:X21)-Y21&gt;0,SUM(U21:X21)-Y21,"")</f>
        <v>42.42</v>
      </c>
      <c r="AN21" s="11" t="str">
        <f>IF(AB21&gt;0,AB21,"")</f>
        <v/>
      </c>
      <c r="AO21" s="11" t="str">
        <f>IF(SUM(Z21:AC21)-AD21&gt;0,SUM(Z21:AC21)-AD21,"")</f>
        <v/>
      </c>
      <c r="AP21" s="11">
        <f>IF(AK21="",IF(MAX(AM21,AO21)&gt;0,MAX(AM21,AO21),""),MAX(AM21,AO21)+AK21)</f>
        <v>66.504999999999995</v>
      </c>
      <c r="AQ21" s="11" t="str">
        <f>IF(AG21&gt;0,AG21,"")</f>
        <v/>
      </c>
      <c r="AR21" s="11" t="str">
        <f>IF(SUM(AE21:AH21)-AI21&gt;0,SUM(AE21:AH21)-AI21,"")</f>
        <v/>
      </c>
      <c r="AS21" s="11">
        <f>IF(SUM(AP21,AR21)&gt;0,SUM(AP21,AR21),"")</f>
        <v>66.504999999999995</v>
      </c>
      <c r="AT21" s="42">
        <v>15</v>
      </c>
      <c r="AU21" s="42">
        <v>9.5</v>
      </c>
      <c r="AV21" s="42">
        <v>1.9</v>
      </c>
      <c r="AW21" s="42">
        <v>13.755000000000001</v>
      </c>
      <c r="AX21" s="42">
        <v>0</v>
      </c>
      <c r="AY21" s="42">
        <v>12.9</v>
      </c>
      <c r="AZ21" s="42">
        <v>9.3000000000000007</v>
      </c>
      <c r="BA21" s="42">
        <v>6.9</v>
      </c>
      <c r="BB21" s="42">
        <v>13.055</v>
      </c>
      <c r="BC21" s="42">
        <v>1.9</v>
      </c>
      <c r="BD21" s="42"/>
      <c r="BE21" s="42"/>
      <c r="BF21" s="42"/>
      <c r="BG21" s="42"/>
      <c r="BH21" s="42"/>
      <c r="BI21" s="42">
        <v>14.5</v>
      </c>
      <c r="BJ21" s="42">
        <v>8.9</v>
      </c>
      <c r="BK21" s="42">
        <v>8</v>
      </c>
      <c r="BL21" s="42">
        <v>13.035</v>
      </c>
      <c r="BM21" s="42">
        <v>0.8</v>
      </c>
      <c r="BN21" s="46"/>
      <c r="BO21" s="14">
        <f>IF(SUM(AT21:AW21)-AX21&gt;0,SUM(AT21:AW21)-AX21,"")</f>
        <v>40.155000000000001</v>
      </c>
      <c r="BP21" s="14">
        <f>IF(BA21&gt;0,BA21,"")</f>
        <v>6.9</v>
      </c>
      <c r="BQ21" s="14">
        <f>IF(SUM(AY21:BB21)-BC21&gt;0,SUM(AY21:BB21)-BC21,"")</f>
        <v>40.255000000000003</v>
      </c>
      <c r="BR21" s="14" t="str">
        <f>IF(BF21&gt;0,BF21,"")</f>
        <v/>
      </c>
      <c r="BS21" s="14" t="str">
        <f>IF(SUM(BD21:BG21)-BH21&gt;0,SUM(BD21:BG21)-BH21,"")</f>
        <v/>
      </c>
      <c r="BT21" s="14">
        <f>IF(BO21="",IF(MAX(BQ21,BS21)&gt;0,MAX(BQ21,BS21),""),MAX(BQ21,BS21)+BO21)</f>
        <v>80.41</v>
      </c>
      <c r="BU21" s="14">
        <f>IF(BK21&gt;0,BK21,"")</f>
        <v>8</v>
      </c>
      <c r="BV21" s="14">
        <f>IF(SUM(BI21:BL21)-BM21&gt;0,SUM(BI21:BL21)-BM21,"")</f>
        <v>43.635000000000005</v>
      </c>
      <c r="BW21" s="14">
        <f>IF(SUM(BT21,BV21)&gt;0,SUM(BT21,BV21),"")</f>
        <v>124.045</v>
      </c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45"/>
      <c r="CS21" s="11" t="str">
        <f>IF(SUM(BX21:CA21)-CB21&gt;0,SUM(BX21:CA21)-CB21,"")</f>
        <v/>
      </c>
      <c r="CT21" s="11" t="str">
        <f>IF(CE21&gt;0,CE21,"")</f>
        <v/>
      </c>
      <c r="CU21" s="11" t="str">
        <f>IF(SUM(CC21:CF21)-CG21&gt;0,SUM(CC21:CF21)-CG21,"")</f>
        <v/>
      </c>
      <c r="CV21" s="11" t="str">
        <f>IF(CJ21&gt;0,CJ21,"")</f>
        <v/>
      </c>
      <c r="CW21" s="11" t="str">
        <f>IF(SUM(CH21:CK21)-CL21&gt;0,SUM(CH21:CK21)-CL21,"")</f>
        <v/>
      </c>
      <c r="CX21" s="11" t="str">
        <f>IF(CS21="",IF(MAX(CU21,CW21)&gt;0,MAX(CU21,CW21),""),MAX(CU21,CW21)+CS21)</f>
        <v/>
      </c>
      <c r="CY21" s="11" t="str">
        <f>IF(CO21&gt;0,CO21,"")</f>
        <v/>
      </c>
      <c r="CZ21" s="11" t="str">
        <f>IF(SUM(CM21:CP21)-CQ21&gt;0,SUM(CM21:CP21)-CQ21,"")</f>
        <v/>
      </c>
      <c r="DA21" s="11" t="str">
        <f>IF(SUM(CX21,CZ21)&gt;0,SUM(CX21,CZ21),"")</f>
        <v/>
      </c>
      <c r="DB21" s="19" t="str">
        <f>IF(I21&gt;=0.001,IF(MAX(DU21,EQ21,FM21,GI21,HE21,IA21,IW21,JS21,KO21,LK21,MG21,NC21)-IF(I21="",0,I21)&gt;0.001,MAX(DU21,EQ21,FM21,GI21,HE21,IA21,IW21,JS21,KO21,LK21,MG21,NC21)-IF(I21="",0,I21),""),"")</f>
        <v/>
      </c>
      <c r="DC21" s="19" t="str">
        <f>IF(K21&gt;=0.001,IF(MAX(DX21,ET21,FP21,GL21,HH21,ID21,IZ21,JV21,KR21,LN21,MJ21,NF21)-IF(K21="",0,K21)&gt;0.001,MAX(DX21,ET21,FP21,GL21,HH21,ID21,IZ21,JV21,KR21,LN21,MJ21,NF21)-IF(K21="",0,K21),""),"")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8">
        <f>IF($CR21="P",BX21,(BX21+AT21)/2)</f>
        <v>7.5</v>
      </c>
      <c r="NI21" s="38">
        <f>IF($CR21="P",BY21,(BY21+AU21)/2)</f>
        <v>4.75</v>
      </c>
      <c r="NJ21" s="38">
        <f>IF($CR21="P",BZ21,(BZ21+AV21)/2)</f>
        <v>0.95</v>
      </c>
      <c r="NK21" s="38">
        <f>IF($CR21="P",CA21,(CA21+AW21)/2)</f>
        <v>6.8775000000000004</v>
      </c>
      <c r="NL21" s="38">
        <f>IF($CR21="P",CB21,(CB21+AX21)/2)</f>
        <v>0</v>
      </c>
      <c r="NM21" s="38">
        <f>IF($CR21="P",CC21,(CC21+AY21)/2)</f>
        <v>6.45</v>
      </c>
      <c r="NN21" s="38">
        <f>IF($CR21="P",CD21,(CD21+AZ21)/2)</f>
        <v>4.6500000000000004</v>
      </c>
      <c r="NO21" s="38">
        <f>IF($CR21="P",CE21,(CE21+BA21)/2)</f>
        <v>3.45</v>
      </c>
      <c r="NP21" s="38">
        <f>IF($CR21="P",CF21,(CF21+BB21)/2)</f>
        <v>6.5274999999999999</v>
      </c>
      <c r="NQ21" s="38">
        <f>IF($CR21="P",CG21,(CG21+BC21)/2)</f>
        <v>0.95</v>
      </c>
      <c r="NR21" s="38">
        <f>IF($CR21="P",CH21,(CH21+BD21)/2)</f>
        <v>0</v>
      </c>
      <c r="NS21" s="38">
        <f>IF($CR21="P",CI21,(CI21+BE21)/2)</f>
        <v>0</v>
      </c>
      <c r="NT21" s="38">
        <f>IF($CR21="P",CJ21,(CJ21+BF21)/2)</f>
        <v>0</v>
      </c>
      <c r="NU21" s="38">
        <f>IF($CR21="P",CK21,(CK21+BG21)/2)</f>
        <v>0</v>
      </c>
      <c r="NV21" s="38">
        <f>IF($CR21="P",CL21,(CL21+BH21)/2)</f>
        <v>0</v>
      </c>
      <c r="NW21" s="38">
        <f>IF($CR21="P",CM21,(CM21+BI21)/2)</f>
        <v>7.25</v>
      </c>
      <c r="NX21" s="38">
        <f>IF($CR21="P",CN21,(CN21+BJ21)/2)</f>
        <v>4.45</v>
      </c>
      <c r="NY21" s="38">
        <f>IF($CR21="P",CO21,(CO21+BK21)/2)</f>
        <v>4</v>
      </c>
      <c r="NZ21" s="38">
        <f>IF($CR21="P",CP21,(CP21+BL21)/2)</f>
        <v>6.5175000000000001</v>
      </c>
      <c r="OA21" s="38">
        <f>IF($CR21="P",CQ21,(CQ21+BM21)/2)</f>
        <v>0.4</v>
      </c>
      <c r="OB21" s="45" t="s">
        <v>46</v>
      </c>
      <c r="OC21" s="11">
        <f>IF(SUM(NH21:NK21)-NL21&gt;0,SUM(NH21:NK21)-NL21,"")</f>
        <v>20.077500000000001</v>
      </c>
      <c r="OD21" s="11">
        <f>IF(NO21&gt;0,NO21,"")</f>
        <v>3.45</v>
      </c>
      <c r="OE21" s="11">
        <f>IF(SUM(NM21:NP21)-NQ21&gt;0,SUM(NM21:NP21)-NQ21,"")</f>
        <v>20.127500000000001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40.204999999999998</v>
      </c>
      <c r="OI21" s="11">
        <f>IF(NY21&gt;0,NY21,"")</f>
        <v>4</v>
      </c>
      <c r="OJ21" s="11">
        <f t="shared" ref="OJ21" si="28">IF(SUM(NW21:NZ21)-OA21&gt;0,SUM(NW21:NZ21)-OA21,"")</f>
        <v>21.817500000000003</v>
      </c>
      <c r="OK21" s="11">
        <f t="shared" ref="OK21" si="29">IF(SUM(OH21,OJ21)&gt;0,SUM(OH21,OJ21),"")</f>
        <v>62.022500000000001</v>
      </c>
    </row>
    <row r="22" spans="1:401" x14ac:dyDescent="0.2">
      <c r="A22" s="5" t="str" cm="1">
        <f t="array" ref="A22">IF(AND(F22="P",G22="P"),SUMPRODUCT((F$4:F$29="P")*(G$4:G$29="P")*(E$4:E$29&gt;E22))+1,IF(G22="P",SUMPRODUCT((F$4:F$29="")*(G$4:G$29="P")*(E$4:E$29&gt;E22))+1+SUMPRODUCT((F$4:F$29="P")*(G$4:G$29="P")),""))</f>
        <v/>
      </c>
      <c r="B22" s="6" t="s">
        <v>115</v>
      </c>
      <c r="C22" s="7" t="s">
        <v>5</v>
      </c>
      <c r="D22" s="22">
        <v>2001</v>
      </c>
      <c r="E22" s="15">
        <f>SUM(I22:M22)</f>
        <v>76.655000000000001</v>
      </c>
      <c r="F22" s="3" t="str">
        <f>IF(OR(AND(AL22&gt;=AS$31,AM22&gt;=AS$35,AL22&lt;&gt;"",AJ22=""),AND(AN22&gt;=AS$31,AO22&gt;=AS$35,AN22&lt;&gt;"",AN22=""),AND(AQ22&gt;=AS$31,AR22&gt;=AS$35,AQ22&lt;&gt;"",AJ22=""),AND(BP22&gt;=BW$31,BQ22&gt;=BW$35,BP22&lt;&gt;"",BN22=""),AND(BR22&gt;=BW$31,BS22&gt;=BW$35,BR22&lt;&gt;"",BN22=""),AND(BU22&gt;=BW$31,BV22&gt;=BW$35,BU22&lt;&gt;"",BN22=""),AND(CT22&gt;=DA$31,CU22&gt;=DA$35,CT22&lt;&gt;"",CR22=""),AND(CV22&gt;=DA$31,CW22&gt;=DA$35,CV22&lt;&gt;"",CR22=""),AND(CY22&gt;=DA$31,CZ22&gt;=DA$35,CY22&lt;&gt;"",CR22=""),AND(DS22&gt;=DY$31,DU22&gt;=DY$35,DS22&lt;&gt;""),AND(DW22&gt;=DY$31,DX22&gt;=DY$35,DW22&lt;&gt;""),AND(EO22&gt;=EU$31,EQ22&gt;=EU$35,EO22&lt;&gt;""),AND(ES22&gt;=EU$31,ET22&gt;=EU$35,ES22&lt;&gt;""),AND(FK22&gt;=FQ$31,FM22&gt;=FQ$35,FK22&lt;&gt;""),AND(FO22&gt;=FQ$31,FP22&gt;=FQ$35,FO22&lt;&gt;""),AND(GG22&gt;=GM$31,GI22&gt;=GM$35,GG22&lt;&gt;""),AND(GK22&gt;=GM$31,GL22&gt;=GM$35,GK22&lt;&gt;""),AND(HC22&gt;=HI$31,HE22&gt;=HI$35,HC22&lt;&gt;""),AND(HG22&gt;=HI$31,HH22&gt;=HI$35,HG22&lt;&gt;""),AND(HY22&gt;=IE$31,IA22&gt;=IE$35,HY22&lt;&gt;""),AND(IC22&gt;=IE$31,ID22&gt;=IE$35,IC22&lt;&gt;""),AND(IU22&gt;=JA$31,IW22&gt;=JA$35,IU22&lt;&gt;""),AND(IY22&gt;=JA$31,IZ22&gt;=JA$35,IY22&lt;&gt;""),AND(JQ22&gt;=JW$31,JS22&gt;=JW$35,JQ22&lt;&gt;""),AND(JU22&gt;=JW$31,JV22&gt;=JW$35,JU22&lt;&gt;""),AND(KM22&gt;=KS$31,KO22&gt;=KS$35,KM22&lt;&gt;""),AND(KQ22&gt;=KS$31,KR22&gt;=KS$35,KQ22&lt;&gt;""),AND(LI22&gt;=LO$31,LK22&gt;=LO$35,LI22&lt;&gt;""),AND(LM22&gt;=LO$31,LN22&gt;=LO$35,LM22&lt;&gt;""),AND(ME22&gt;=MK$31,MG22&gt;=MK$35,ME22&lt;&gt;""),AND(MI22&gt;=MK$31,MJ22&gt;=MK$35,MI22&lt;&gt;""),AND(NA22&gt;=NG$31,NC22&gt;=NG$35,NA22&lt;&gt;""),AND(NE22&gt;=NG$31,NF22&gt;=NG$35,NE22&lt;&gt;"")),"P","")</f>
        <v/>
      </c>
      <c r="G22" s="3" t="str">
        <f>IF(OR(AND(AM22&gt;=AS$35,AL22&lt;&gt;"",AJ22=""),AND(AO22&gt;=AS$35,AN22&lt;&gt;"",AN22=""),AND(AR22&gt;=AS$35,AQ22&lt;&gt;"",AJ22=""),AND(BQ22&gt;=BW$35,BP22&lt;&gt;"",BN22=""),AND(BS22&gt;=BW$35,BR22&lt;&gt;"",BN22=""),AND(BV22&gt;=BW$35,BU22&lt;&gt;"",BN22=""),AND(CU22&gt;=DA$35,CT22&lt;&gt;"",CR22=""),AND(CW22&gt;=DA$35,CV22&lt;&gt;"",CR22=""),AND(CZ22&gt;=DA$35,CY22&lt;&gt;"",CR22=""),AND(DU22&gt;=DY$35,DS22&lt;&gt;""),AND(DX22&gt;=DY$35,DW22&lt;&gt;""),AND(EQ22&gt;=EU$35,EO22&lt;&gt;""),AND(ET22&gt;=EU$35,ES22&lt;&gt;""),AND(FM22&gt;=FQ$35,FK22&lt;&gt;""),AND(FP22&gt;=FQ$35,FO22&lt;&gt;""),AND(GI22&gt;=GM$35,GG22&lt;&gt;""),AND(GL22&gt;=GM$35,GK22&lt;&gt;""),AND(HE22&gt;=HI$35,HC22&lt;&gt;""),AND(HH22&gt;=HI$35,HG22&lt;&gt;""),AND(IA22&gt;=IE$35,HY22&lt;&gt;""),AND(ID22&gt;=IE$35,IC22&lt;&gt;""),AND(IW22&gt;=JA$35,IU22&lt;&gt;""),AND(IZ22&gt;=JA$35,IY22&lt;&gt;""),AND(JS22&gt;=JW$35,JQ22&lt;&gt;""),AND(JV22&gt;=JW$35,JU22&lt;&gt;""),AND(KO22&gt;=KS$35,KM22&lt;&gt;""),AND(KR22&gt;=KS$35,KQ22&lt;&gt;""),AND(LK22&gt;=LO$35,LI22&lt;&gt;""),AND(LN22&gt;=LO$35,LM22&lt;&gt;""),AND(MG22&gt;=MK$35,ME22&lt;&gt;""),AND(MJ22&gt;=MK$35,MI22&lt;&gt;""),AND(NC22&gt;=NG$35,NA22&lt;&gt;""),AND(NF22&gt;=NG$35,NE22&lt;&gt;"")),"P","")</f>
        <v/>
      </c>
      <c r="H22" s="67" t="str">
        <f>IF(F22="P","National Team",IF(G22="P","No DD",""))</f>
        <v/>
      </c>
      <c r="I22" s="14">
        <f>MAX(AM22,AO22,AR22,BQ22,BS22,BV22,CU22,CW22,CZ22)</f>
        <v>46.25</v>
      </c>
      <c r="J22" s="14" t="str">
        <f>IF(I22=0,"",IF(OR(I22=CW22,I22=CU22,I22=CZ22),$BX$1,IF(OR(I22=BS22,I22=BQ22,I22=BV22),$AT$1,IF(OR(I22=AO22,I22=AM22,I22=AR22),$P$1,""))))</f>
        <v>2022 Elite Canada</v>
      </c>
      <c r="K22" s="14">
        <f>IF(COUNT(AM22,AO22,AR22,BQ22,BS22,BV22,CU22,CW22,CZ22)&gt;1,LARGE((AM22,AO22,AR22,BQ22,BS22,BV22,CU22,CW22,CZ22),2),0)</f>
        <v>30.405000000000001</v>
      </c>
      <c r="L22" s="14" t="str">
        <f>IF(K22=0,"",IF(OR(K22=CW22,K22=CU22,K22=CZ22),$BX$1,IF(OR(K22=BS22,K22=BQ22,K22=BV22),$AT$1,IF(OR(K22=AO22,K22=AM22,K22=AR22),$P$1,""))))</f>
        <v>2021 Canadian Championships</v>
      </c>
      <c r="M22" s="14" t="str">
        <f>IF(MAX(DB22,DC22)&gt;0,MAX(DB22,DC22),"")</f>
        <v/>
      </c>
      <c r="N22" s="20" t="str">
        <f>IF(M22="","",IF(M22=#REF!,"(Vol 1)",IF(M22=DB22,"(Vol 2)",IF(M22=#REF!,"(Prelim)",IF(M22=DC22,"(Final)")))))</f>
        <v/>
      </c>
      <c r="O22" s="14" t="str">
        <f>IF(M22="","",IF(M22=#REF!,IF(M22+IF(#REF!="",0,#REF!)=NB22,$ML$1,IF(M22+IF(#REF!="",0,#REF!)=MF22,$LP$1,IF(M22+IF(#REF!="",0,#REF!)=LJ22,$KT$1,IF(M22+IF(#REF!="",0,#REF!)=KN22,$JX$1,IF(M22+IF(#REF!="",0,#REF!)=JR22,$JB$1,IF(M22+IF(#REF!="",0,#REF!)=IV22,$IF$1,IF(M22+IF(#REF!="",0,#REF!)=HZ22,$HJ$1,IF(M22+IF(#REF!="",0,#REF!)=HD22,$GN$1,IF(M22+IF(#REF!="",0,#REF!)=GH22,$FR$1,IF(M22+IF(#REF!="",0,#REF!)=FL22,$EV$1,IF(M22+IF(#REF!="",0,#REF!)=EP22,$DZ$1,IF(M22+IF(#REF!="",0,#REF!)=DT22,$DD$1)))))))))))),IF(M22=DB22,IF(M22+IF(I22="",0,I22)=NC22,$ML$1,IF(M22+IF(I22="",0,I22)=MG22,$LP$1,IF(M22+IF(I22="",0,I22)=LK22,$KT$1,IF(M22+IF(I22="",0,I22)=KO22,$JX$1,IF(M22+IF(I22="",0,I22)=JS22,$JB$1,IF(M22+IF(I22="",0,I22)=IW22,$IF$1,IF(M22+IF(I22="",0,I22)=IA22,$HJ$1,IF(M22+IF(I22="",0,I22)=HE22,$GN$1,IF(M22+IF(I22="",0,I22)=GI22,$FR$1,IF(M22+IF(I22="",0,I22)=FM22,$EV$1,IF(M22+IF(I22="",0,I22)=EQ22,$DZ$1,IF(M22+IF(I22="",0,I22)=DU22,$DD$1)))))))))))),IF(M22=#REF!,IF(M22+IF(#REF!="",0,#REF!)=ND22,$ML$1,IF(M22+IF(#REF!="",0,#REF!)=MH22,$LP$1,IF(M22+IF(#REF!="",0,#REF!)=LL22,$KT$1,IF(M22+IF(#REF!="",0,#REF!)=KP22,$JX$1,IF(M22+IF(#REF!="",0,#REF!)=JT22,$JB$1,IF(M22+IF(#REF!="",0,#REF!)=IX22,$IF$1,IF(M22+IF(#REF!="",0,#REF!)=IB22,$HJ$1,IF(M22+IF(#REF!="",0,#REF!)=HF22,$GN$1,IF(M22+IF(#REF!="",0,#REF!)=GJ22,$FR$1,IF(M22+IF(#REF!="",0,#REF!)=FN22,$EV$1,IF(M22+IF(#REF!="",0,#REF!)=ER22,$DZ$1,IF(M22+IF(#REF!="",0,#REF!)=DV22,$DD$1)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))</f>
        <v/>
      </c>
      <c r="P22" s="38">
        <v>14.9</v>
      </c>
      <c r="Q22" s="38">
        <v>8.4</v>
      </c>
      <c r="R22" s="38">
        <v>0.8</v>
      </c>
      <c r="S22" s="38">
        <v>12.41</v>
      </c>
      <c r="T22" s="38">
        <v>0</v>
      </c>
      <c r="U22" s="38">
        <v>1.4</v>
      </c>
      <c r="V22" s="38">
        <v>0.9</v>
      </c>
      <c r="W22" s="38">
        <v>1.5</v>
      </c>
      <c r="X22" s="38">
        <v>1.4550000000000001</v>
      </c>
      <c r="Y22" s="38">
        <v>0.2</v>
      </c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45"/>
      <c r="AK22" s="11">
        <f>IF(SUM(P22:S22)-T22&gt;0,SUM(P22:S22)-T22,"")</f>
        <v>36.510000000000005</v>
      </c>
      <c r="AL22" s="11">
        <f>IF(W22&gt;0,W22,"")</f>
        <v>1.5</v>
      </c>
      <c r="AM22" s="11">
        <f>IF(SUM(U22:X22)-Y22&gt;0,SUM(U22:X22)-Y22,"")</f>
        <v>5.0549999999999997</v>
      </c>
      <c r="AN22" s="11" t="str">
        <f>IF(AB22&gt;0,AB22,"")</f>
        <v/>
      </c>
      <c r="AO22" s="11" t="str">
        <f>IF(SUM(Z22:AC22)-AD22&gt;0,SUM(Z22:AC22)-AD22,"")</f>
        <v/>
      </c>
      <c r="AP22" s="11">
        <f>IF(AK22="",IF(MAX(AM22,AO22)&gt;0,MAX(AM22,AO22),""),MAX(AM22,AO22)+AK22)</f>
        <v>41.565000000000005</v>
      </c>
      <c r="AQ22" s="11" t="str">
        <f>IF(AG22&gt;0,AG22,"")</f>
        <v/>
      </c>
      <c r="AR22" s="11" t="str">
        <f>IF(SUM(AE22:AH22)-AI22&gt;0,SUM(AE22:AH22)-AI22,"")</f>
        <v/>
      </c>
      <c r="AS22" s="11">
        <f>IF(SUM(AP22,AR22)&gt;0,SUM(AP22,AR22),"")</f>
        <v>41.565000000000005</v>
      </c>
      <c r="AT22" s="42">
        <v>15.4</v>
      </c>
      <c r="AU22" s="42">
        <v>8.9</v>
      </c>
      <c r="AV22" s="42">
        <v>2.1</v>
      </c>
      <c r="AW22" s="42">
        <v>13.574999999999999</v>
      </c>
      <c r="AX22" s="42">
        <v>0</v>
      </c>
      <c r="AY22" s="42">
        <v>9.1</v>
      </c>
      <c r="AZ22" s="42">
        <v>6.2</v>
      </c>
      <c r="BA22" s="42">
        <v>6.5</v>
      </c>
      <c r="BB22" s="42">
        <v>8.8049999999999997</v>
      </c>
      <c r="BC22" s="42">
        <v>0.2</v>
      </c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6"/>
      <c r="BO22" s="14">
        <f>IF(SUM(AT22:AW22)-AX22&gt;0,SUM(AT22:AW22)-AX22,"")</f>
        <v>39.975000000000001</v>
      </c>
      <c r="BP22" s="14">
        <f>IF(BA22&gt;0,BA22,"")</f>
        <v>6.5</v>
      </c>
      <c r="BQ22" s="14">
        <f>IF(SUM(AY22:BB22)-BC22&gt;0,SUM(AY22:BB22)-BC22,"")</f>
        <v>30.405000000000001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70.38</v>
      </c>
      <c r="BU22" s="14" t="str">
        <f>IF(BK22&gt;0,BK22,"")</f>
        <v/>
      </c>
      <c r="BV22" s="14" t="str">
        <f>IF(SUM(BI22:BL22)-BM22&gt;0,SUM(BI22:BL22)-BM22,"")</f>
        <v/>
      </c>
      <c r="BW22" s="14">
        <f>IF(SUM(BT22,BV22)&gt;0,SUM(BT22,BV22),"")</f>
        <v>70.38</v>
      </c>
      <c r="BX22" s="38">
        <v>15.6</v>
      </c>
      <c r="BY22" s="38">
        <v>9.8000000000000007</v>
      </c>
      <c r="BZ22" s="38">
        <v>2.1</v>
      </c>
      <c r="CA22" s="38">
        <v>13.28</v>
      </c>
      <c r="CB22" s="38">
        <v>0</v>
      </c>
      <c r="CC22" s="38">
        <v>13.9</v>
      </c>
      <c r="CD22" s="38">
        <v>9.5</v>
      </c>
      <c r="CE22" s="38">
        <v>9.6</v>
      </c>
      <c r="CF22" s="38">
        <v>13.25</v>
      </c>
      <c r="CG22" s="38">
        <v>0</v>
      </c>
      <c r="CH22" s="38"/>
      <c r="CI22" s="38"/>
      <c r="CJ22" s="38"/>
      <c r="CK22" s="38"/>
      <c r="CL22" s="38"/>
      <c r="CM22" s="38">
        <v>3.8</v>
      </c>
      <c r="CN22" s="38">
        <v>2.5</v>
      </c>
      <c r="CO22" s="38">
        <v>3.3</v>
      </c>
      <c r="CP22" s="38">
        <v>3.9</v>
      </c>
      <c r="CQ22" s="38">
        <v>0</v>
      </c>
      <c r="CR22" s="45"/>
      <c r="CS22" s="11">
        <f>IF(SUM(BX22:CA22)-CB22&gt;0,SUM(BX22:CA22)-CB22,"")</f>
        <v>40.78</v>
      </c>
      <c r="CT22" s="11">
        <f>IF(CE22&gt;0,CE22,"")</f>
        <v>9.6</v>
      </c>
      <c r="CU22" s="11">
        <f>IF(SUM(CC22:CF22)-CG22&gt;0,SUM(CC22:CF22)-CG22,"")</f>
        <v>46.25</v>
      </c>
      <c r="CV22" s="11" t="str">
        <f>IF(CJ22&gt;0,CJ22,"")</f>
        <v/>
      </c>
      <c r="CW22" s="11" t="str">
        <f>IF(SUM(CH22:CK22)-CL22&gt;0,SUM(CH22:CK22)-CL22,"")</f>
        <v/>
      </c>
      <c r="CX22" s="11">
        <f>IF(CS22="",IF(MAX(CU22,CW22)&gt;0,MAX(CU22,CW22),""),MAX(CU22,CW22)+CS22)</f>
        <v>87.03</v>
      </c>
      <c r="CY22" s="11">
        <f>IF(CO22&gt;0,CO22,"")</f>
        <v>3.3</v>
      </c>
      <c r="CZ22" s="11">
        <f>IF(SUM(CM22:CP22)-CQ22&gt;0,SUM(CM22:CP22)-CQ22,"")</f>
        <v>13.5</v>
      </c>
      <c r="DA22" s="11">
        <f>IF(SUM(CX22,CZ22)&gt;0,SUM(CX22,CZ22),"")</f>
        <v>100.53</v>
      </c>
      <c r="DB22" s="19" t="str">
        <f>IF(I22&gt;=0.001,IF(MAX(DU22,EQ22,FM22,GI22,HE22,IA22,IW22,JS22,KO22,LK22,MG22,NC22)-IF(I22="",0,I22)&gt;0.001,MAX(DU22,EQ22,FM22,GI22,HE22,IA22,IW22,JS22,KO22,LK22,MG22,NC22)-IF(I22="",0,I22),""),"")</f>
        <v/>
      </c>
      <c r="DC22" s="19" t="str">
        <f>IF(K22&gt;=0.001,IF(MAX(DX22,ET22,FP22,GL22,HH22,ID22,IZ22,JV22,KR22,LN22,MJ22,NF22)-IF(K22="",0,K22)&gt;0.001,MAX(DX22,ET22,FP22,GL22,HH22,ID22,IZ22,JV22,KR22,LN22,MJ22,NF22)-IF(K22="",0,K22),""),"")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26"/>
      <c r="JN22" s="26"/>
      <c r="JO22" s="26"/>
      <c r="JP22" s="26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6"/>
      <c r="KU22" s="26"/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8">
        <f>IF($CR22="P",BX22,(BX22+AT22)/2)</f>
        <v>15.5</v>
      </c>
      <c r="NI22" s="38">
        <f>IF($CR22="P",BY22,(BY22+AU22)/2)</f>
        <v>9.3500000000000014</v>
      </c>
      <c r="NJ22" s="38">
        <f>IF($CR22="P",BZ22,(BZ22+AV22)/2)</f>
        <v>2.1</v>
      </c>
      <c r="NK22" s="38">
        <f>IF($CR22="P",CA22,(CA22+AW22)/2)</f>
        <v>13.427499999999998</v>
      </c>
      <c r="NL22" s="38">
        <f>IF($CR22="P",CB22,(CB22+AX22)/2)</f>
        <v>0</v>
      </c>
      <c r="NM22" s="38">
        <f>IF($CR22="P",CC22,(CC22+AY22)/2)</f>
        <v>11.5</v>
      </c>
      <c r="NN22" s="38">
        <f>IF($CR22="P",CD22,(CD22+AZ22)/2)</f>
        <v>7.85</v>
      </c>
      <c r="NO22" s="38">
        <f>IF($CR22="P",CE22,(CE22+BA22)/2)</f>
        <v>8.0500000000000007</v>
      </c>
      <c r="NP22" s="38">
        <f>IF($CR22="P",CF22,(CF22+BB22)/2)</f>
        <v>11.0275</v>
      </c>
      <c r="NQ22" s="38">
        <f>IF($CR22="P",CG22,(CG22+BC22)/2)</f>
        <v>0.1</v>
      </c>
      <c r="NR22" s="38">
        <f>IF($CR22="P",CH22,(CH22+BD22)/2)</f>
        <v>0</v>
      </c>
      <c r="NS22" s="38">
        <f>IF($CR22="P",CI22,(CI22+BE22)/2)</f>
        <v>0</v>
      </c>
      <c r="NT22" s="38">
        <f>IF($CR22="P",CJ22,(CJ22+BF22)/2)</f>
        <v>0</v>
      </c>
      <c r="NU22" s="38">
        <f>IF($CR22="P",CK22,(CK22+BG22)/2)</f>
        <v>0</v>
      </c>
      <c r="NV22" s="38">
        <f>IF($CR22="P",CL22,(CL22+BH22)/2)</f>
        <v>0</v>
      </c>
      <c r="NW22" s="38">
        <f>IF($CR22="P",CM22,(CM22+BI22)/2)</f>
        <v>1.9</v>
      </c>
      <c r="NX22" s="38">
        <f>IF($CR22="P",CN22,(CN22+BJ22)/2)</f>
        <v>1.25</v>
      </c>
      <c r="NY22" s="38">
        <f>IF($CR22="P",CO22,(CO22+BK22)/2)</f>
        <v>1.65</v>
      </c>
      <c r="NZ22" s="38">
        <f>IF($CR22="P",CP22,(CP22+BL22)/2)</f>
        <v>1.95</v>
      </c>
      <c r="OA22" s="38">
        <f>IF($CR22="P",CQ22,(CQ22+BM22)/2)</f>
        <v>0</v>
      </c>
      <c r="OB22" s="45" t="s">
        <v>46</v>
      </c>
      <c r="OC22" s="11">
        <f>IF(SUM(NH22:NK22)-NL22&gt;0,SUM(NH22:NK22)-NL22,"")</f>
        <v>40.377499999999998</v>
      </c>
      <c r="OD22" s="11">
        <f>IF(NO22&gt;0,NO22,"")</f>
        <v>8.0500000000000007</v>
      </c>
      <c r="OE22" s="11">
        <f>IF(SUM(NM22:NP22)-NQ22&gt;0,SUM(NM22:NP22)-NQ22,"")</f>
        <v>38.327500000000001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78.704999999999998</v>
      </c>
      <c r="OI22" s="11">
        <f>IF(NY22&gt;0,NY22,"")</f>
        <v>1.65</v>
      </c>
      <c r="OJ22" s="11">
        <f t="shared" ref="OJ22" si="30">IF(SUM(NW22:NZ22)-OA22&gt;0,SUM(NW22:NZ22)-OA22,"")</f>
        <v>6.75</v>
      </c>
      <c r="OK22" s="11">
        <f t="shared" ref="OK22" si="31">IF(SUM(OH22,OJ22)&gt;0,SUM(OH22,OJ22),"")</f>
        <v>85.454999999999998</v>
      </c>
    </row>
    <row r="23" spans="1:401" x14ac:dyDescent="0.2">
      <c r="A23" s="5" t="str" cm="1">
        <f t="array" ref="A23">IF(AND(F23="P",G23="P"),SUMPRODUCT((F$4:F$29="P")*(G$4:G$29="P")*(E$4:E$29&gt;E23))+1,IF(G23="P",SUMPRODUCT((F$4:F$29="")*(G$4:G$29="P")*(E$4:E$29&gt;E23))+1+SUMPRODUCT((F$4:F$29="P")*(G$4:G$29="P")),""))</f>
        <v/>
      </c>
      <c r="B23" s="8" t="s">
        <v>85</v>
      </c>
      <c r="C23" s="4" t="s">
        <v>5</v>
      </c>
      <c r="D23" s="22">
        <v>2004</v>
      </c>
      <c r="E23" s="15">
        <f>SUM(I23:M23)</f>
        <v>55.149999999999991</v>
      </c>
      <c r="F23" s="3" t="str">
        <f>IF(OR(AND(AL23&gt;=AS$31,AM23&gt;=AS$35,AL23&lt;&gt;"",AJ23=""),AND(AN23&gt;=AS$31,AO23&gt;=AS$35,AN23&lt;&gt;"",AN23=""),AND(AQ23&gt;=AS$31,AR23&gt;=AS$35,AQ23&lt;&gt;"",AJ23=""),AND(BP23&gt;=BW$31,BQ23&gt;=BW$35,BP23&lt;&gt;"",BN23=""),AND(BR23&gt;=BW$31,BS23&gt;=BW$35,BR23&lt;&gt;"",BN23=""),AND(BU23&gt;=BW$31,BV23&gt;=BW$35,BU23&lt;&gt;"",BN23=""),AND(CT23&gt;=DA$31,CU23&gt;=DA$35,CT23&lt;&gt;"",CR23=""),AND(CV23&gt;=DA$31,CW23&gt;=DA$35,CV23&lt;&gt;"",CR23=""),AND(CY23&gt;=DA$31,CZ23&gt;=DA$35,CY23&lt;&gt;"",CR23=""),AND(DS23&gt;=DY$31,DU23&gt;=DY$35,DS23&lt;&gt;""),AND(DW23&gt;=DY$31,DX23&gt;=DY$35,DW23&lt;&gt;""),AND(EO23&gt;=EU$31,EQ23&gt;=EU$35,EO23&lt;&gt;""),AND(ES23&gt;=EU$31,ET23&gt;=EU$35,ES23&lt;&gt;""),AND(FK23&gt;=FQ$31,FM23&gt;=FQ$35,FK23&lt;&gt;""),AND(FO23&gt;=FQ$31,FP23&gt;=FQ$35,FO23&lt;&gt;""),AND(GG23&gt;=GM$31,GI23&gt;=GM$35,GG23&lt;&gt;""),AND(GK23&gt;=GM$31,GL23&gt;=GM$35,GK23&lt;&gt;""),AND(HC23&gt;=HI$31,HE23&gt;=HI$35,HC23&lt;&gt;""),AND(HG23&gt;=HI$31,HH23&gt;=HI$35,HG23&lt;&gt;""),AND(HY23&gt;=IE$31,IA23&gt;=IE$35,HY23&lt;&gt;""),AND(IC23&gt;=IE$31,ID23&gt;=IE$35,IC23&lt;&gt;""),AND(IU23&gt;=JA$31,IW23&gt;=JA$35,IU23&lt;&gt;""),AND(IY23&gt;=JA$31,IZ23&gt;=JA$35,IY23&lt;&gt;""),AND(JQ23&gt;=JW$31,JS23&gt;=JW$35,JQ23&lt;&gt;""),AND(JU23&gt;=JW$31,JV23&gt;=JW$35,JU23&lt;&gt;""),AND(KM23&gt;=KS$31,KO23&gt;=KS$35,KM23&lt;&gt;""),AND(KQ23&gt;=KS$31,KR23&gt;=KS$35,KQ23&lt;&gt;""),AND(LI23&gt;=LO$31,LK23&gt;=LO$35,LI23&lt;&gt;""),AND(LM23&gt;=LO$31,LN23&gt;=LO$35,LM23&lt;&gt;""),AND(ME23&gt;=MK$31,MG23&gt;=MK$35,ME23&lt;&gt;""),AND(MI23&gt;=MK$31,MJ23&gt;=MK$35,MI23&lt;&gt;""),AND(NA23&gt;=NG$31,NC23&gt;=NG$35,NA23&lt;&gt;""),AND(NE23&gt;=NG$31,NF23&gt;=NG$35,NE23&lt;&gt;"")),"P","")</f>
        <v/>
      </c>
      <c r="G23" s="3" t="str">
        <f>IF(OR(AND(AM23&gt;=AS$35,AL23&lt;&gt;"",AJ23=""),AND(AO23&gt;=AS$35,AN23&lt;&gt;"",AN23=""),AND(AR23&gt;=AS$35,AQ23&lt;&gt;"",AJ23=""),AND(BQ23&gt;=BW$35,BP23&lt;&gt;"",BN23=""),AND(BS23&gt;=BW$35,BR23&lt;&gt;"",BN23=""),AND(BV23&gt;=BW$35,BU23&lt;&gt;"",BN23=""),AND(CU23&gt;=DA$35,CT23&lt;&gt;"",CR23=""),AND(CW23&gt;=DA$35,CV23&lt;&gt;"",CR23=""),AND(CZ23&gt;=DA$35,CY23&lt;&gt;"",CR23=""),AND(DU23&gt;=DY$35,DS23&lt;&gt;""),AND(DX23&gt;=DY$35,DW23&lt;&gt;""),AND(EQ23&gt;=EU$35,EO23&lt;&gt;""),AND(ET23&gt;=EU$35,ES23&lt;&gt;""),AND(FM23&gt;=FQ$35,FK23&lt;&gt;""),AND(FP23&gt;=FQ$35,FO23&lt;&gt;""),AND(GI23&gt;=GM$35,GG23&lt;&gt;""),AND(GL23&gt;=GM$35,GK23&lt;&gt;""),AND(HE23&gt;=HI$35,HC23&lt;&gt;""),AND(HH23&gt;=HI$35,HG23&lt;&gt;""),AND(IA23&gt;=IE$35,HY23&lt;&gt;""),AND(ID23&gt;=IE$35,IC23&lt;&gt;""),AND(IW23&gt;=JA$35,IU23&lt;&gt;""),AND(IZ23&gt;=JA$35,IY23&lt;&gt;""),AND(JS23&gt;=JW$35,JQ23&lt;&gt;""),AND(JV23&gt;=JW$35,JU23&lt;&gt;""),AND(KO23&gt;=KS$35,KM23&lt;&gt;""),AND(KR23&gt;=KS$35,KQ23&lt;&gt;""),AND(LK23&gt;=LO$35,LI23&lt;&gt;""),AND(LN23&gt;=LO$35,LM23&lt;&gt;""),AND(MG23&gt;=MK$35,ME23&lt;&gt;""),AND(MJ23&gt;=MK$35,MI23&lt;&gt;""),AND(NC23&gt;=NG$35,NA23&lt;&gt;""),AND(NF23&gt;=NG$35,NE23&lt;&gt;"")),"P","")</f>
        <v/>
      </c>
      <c r="H23" s="67" t="str">
        <f>IF(F23="P","National Team",IF(G23="P","No DD",""))</f>
        <v/>
      </c>
      <c r="I23" s="14">
        <f>MAX(AM23,AO23,AR23,BQ23,BS23,BV23,CU23,CW23,CZ23)</f>
        <v>45.389999999999993</v>
      </c>
      <c r="J23" s="14" t="str">
        <f>IF(I23=0,"",IF(OR(I23=CW23,I23=CU23,I23=CZ23),$BX$1,IF(OR(I23=BS23,I23=BQ23,I23=BV23),$AT$1,IF(OR(I23=AO23,I23=AM23,I23=AR23),$P$1,""))))</f>
        <v>2022 Elite Canada</v>
      </c>
      <c r="K23" s="14">
        <f>IF(COUNT(AM23,AO23,AR23,BQ23,BS23,BV23,CU23,CW23,CZ23)&gt;1,LARGE((AM23,AO23,AR23,BQ23,BS23,BV23,CU23,CW23,CZ23),2),0)</f>
        <v>9.76</v>
      </c>
      <c r="L23" s="14" t="str">
        <f>IF(K23=0,"",IF(OR(K23=CW23,K23=CU23,K23=CZ23),$BX$1,IF(OR(K23=BS23,K23=BQ23,K23=BV23),$AT$1,IF(OR(K23=AO23,K23=AM23,K23=AR23),$P$1,""))))</f>
        <v>2022 Elite Canada</v>
      </c>
      <c r="M23" s="14" t="str">
        <f>IF(MAX(DB23,DC23)&gt;0,MAX(DB23,DC23),"")</f>
        <v/>
      </c>
      <c r="N23" s="20" t="str">
        <f>IF(M23="","",IF(M23=#REF!,"(Vol 1)",IF(M23=DB23,"(Vol 2)",IF(M23=#REF!,"(Prelim)",IF(M23=DC23,"(Final)")))))</f>
        <v/>
      </c>
      <c r="O23" s="14" t="str">
        <f>IF(M23="","",IF(M23=#REF!,IF(M23+IF(#REF!="",0,#REF!)=NB23,$ML$1,IF(M23+IF(#REF!="",0,#REF!)=MF23,$LP$1,IF(M23+IF(#REF!="",0,#REF!)=LJ23,$KT$1,IF(M23+IF(#REF!="",0,#REF!)=KN23,$JX$1,IF(M23+IF(#REF!="",0,#REF!)=JR23,$JB$1,IF(M23+IF(#REF!="",0,#REF!)=IV23,$IF$1,IF(M23+IF(#REF!="",0,#REF!)=HZ23,$HJ$1,IF(M23+IF(#REF!="",0,#REF!)=HD23,$GN$1,IF(M23+IF(#REF!="",0,#REF!)=GH23,$FR$1,IF(M23+IF(#REF!="",0,#REF!)=FL23,$EV$1,IF(M23+IF(#REF!="",0,#REF!)=EP23,$DZ$1,IF(M23+IF(#REF!="",0,#REF!)=DT23,$DD$1)))))))))))),IF(M23=DB23,IF(M23+IF(I23="",0,I23)=NC23,$ML$1,IF(M23+IF(I23="",0,I23)=MG23,$LP$1,IF(M23+IF(I23="",0,I23)=LK23,$KT$1,IF(M23+IF(I23="",0,I23)=KO23,$JX$1,IF(M23+IF(I23="",0,I23)=JS23,$JB$1,IF(M23+IF(I23="",0,I23)=IW23,$IF$1,IF(M23+IF(I23="",0,I23)=IA23,$HJ$1,IF(M23+IF(I23="",0,I23)=HE23,$GN$1,IF(M23+IF(I23="",0,I23)=GI23,$FR$1,IF(M23+IF(I23="",0,I23)=FM23,$EV$1,IF(M23+IF(I23="",0,I23)=EQ23,$DZ$1,IF(M23+IF(I23="",0,I23)=DU23,$DD$1)))))))))))),IF(M23=#REF!,IF(M23+IF(#REF!="",0,#REF!)=ND23,$ML$1,IF(M23+IF(#REF!="",0,#REF!)=MH23,$LP$1,IF(M23+IF(#REF!="",0,#REF!)=LL23,$KT$1,IF(M23+IF(#REF!="",0,#REF!)=KP23,$JX$1,IF(M23+IF(#REF!="",0,#REF!)=JT23,$JB$1,IF(M23+IF(#REF!="",0,#REF!)=IX23,$IF$1,IF(M23+IF(#REF!="",0,#REF!)=IB23,$HJ$1,IF(M23+IF(#REF!="",0,#REF!)=HF23,$GN$1,IF(M23+IF(#REF!="",0,#REF!)=GJ23,$FR$1,IF(M23+IF(#REF!="",0,#REF!)=FN23,$EV$1,IF(M23+IF(#REF!="",0,#REF!)=ER23,$DZ$1,IF(M23+IF(#REF!="",0,#REF!)=DV23,$DD$1)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))</f>
        <v/>
      </c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45"/>
      <c r="AK23" s="11" t="str">
        <f>IF(SUM(P23:S23)-T23&gt;0,SUM(P23:S23)-T23,"")</f>
        <v/>
      </c>
      <c r="AL23" s="11" t="str">
        <f>IF(W23&gt;0,W23,"")</f>
        <v/>
      </c>
      <c r="AM23" s="11" t="str">
        <f>IF(SUM(U23:X23)-Y23&gt;0,SUM(U23:X23)-Y23,"")</f>
        <v/>
      </c>
      <c r="AN23" s="11" t="str">
        <f>IF(AB23&gt;0,AB23,"")</f>
        <v/>
      </c>
      <c r="AO23" s="11" t="str">
        <f>IF(SUM(Z23:AC23)-AD23&gt;0,SUM(Z23:AC23)-AD23,"")</f>
        <v/>
      </c>
      <c r="AP23" s="11" t="str">
        <f>IF(AK23="",IF(MAX(AM23,AO23)&gt;0,MAX(AM23,AO23),""),MAX(AM23,AO23)+AK23)</f>
        <v/>
      </c>
      <c r="AQ23" s="11" t="str">
        <f>IF(AG23&gt;0,AG23,"")</f>
        <v/>
      </c>
      <c r="AR23" s="11" t="str">
        <f>IF(SUM(AE23:AH23)-AI23&gt;0,SUM(AE23:AH23)-AI23,"")</f>
        <v/>
      </c>
      <c r="AS23" s="11" t="str">
        <f>IF(SUM(AP23,AR23)&gt;0,SUM(AP23,AR23),"")</f>
        <v/>
      </c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6"/>
      <c r="BO23" s="14" t="str">
        <f>IF(SUM(AT23:AW23)-AX23&gt;0,SUM(AT23:AW23)-AX23,"")</f>
        <v/>
      </c>
      <c r="BP23" s="14" t="str">
        <f>IF(BA23&gt;0,BA23,"")</f>
        <v/>
      </c>
      <c r="BQ23" s="14" t="str">
        <f>IF(SUM(AY23:BB23)-BC23&gt;0,SUM(AY23:BB23)-BC23,"")</f>
        <v/>
      </c>
      <c r="BR23" s="14" t="str">
        <f>IF(BF23&gt;0,BF23,"")</f>
        <v/>
      </c>
      <c r="BS23" s="14" t="str">
        <f>IF(SUM(BD23:BG23)-BH23&gt;0,SUM(BD23:BG23)-BH23,"")</f>
        <v/>
      </c>
      <c r="BT23" s="14" t="str">
        <f>IF(BO23="",IF(MAX(BQ23,BS23)&gt;0,MAX(BQ23,BS23),""),MAX(BQ23,BS23)+BO23)</f>
        <v/>
      </c>
      <c r="BU23" s="14" t="str">
        <f>IF(BK23&gt;0,BK23,"")</f>
        <v/>
      </c>
      <c r="BV23" s="14" t="str">
        <f>IF(SUM(BI23:BL23)-BM23&gt;0,SUM(BI23:BL23)-BM23,"")</f>
        <v/>
      </c>
      <c r="BW23" s="14" t="str">
        <f>IF(SUM(BT23,BV23)&gt;0,SUM(BT23,BV23),"")</f>
        <v/>
      </c>
      <c r="BX23" s="38">
        <v>16.899999999999999</v>
      </c>
      <c r="BY23" s="38">
        <v>9.6999999999999993</v>
      </c>
      <c r="BZ23" s="38">
        <v>1.4</v>
      </c>
      <c r="CA23" s="38">
        <v>13.63</v>
      </c>
      <c r="CB23" s="38">
        <v>0</v>
      </c>
      <c r="CC23" s="38">
        <v>14.9</v>
      </c>
      <c r="CD23" s="38">
        <v>9.1999999999999993</v>
      </c>
      <c r="CE23" s="38">
        <v>8.1999999999999993</v>
      </c>
      <c r="CF23" s="38">
        <v>13.69</v>
      </c>
      <c r="CG23" s="38">
        <v>0.6</v>
      </c>
      <c r="CH23" s="38"/>
      <c r="CI23" s="38"/>
      <c r="CJ23" s="38"/>
      <c r="CK23" s="38"/>
      <c r="CL23" s="38"/>
      <c r="CM23" s="38">
        <v>3.2</v>
      </c>
      <c r="CN23" s="38">
        <v>1.9</v>
      </c>
      <c r="CO23" s="38">
        <v>1.8</v>
      </c>
      <c r="CP23" s="38">
        <v>2.86</v>
      </c>
      <c r="CQ23" s="38">
        <v>0</v>
      </c>
      <c r="CR23" s="45"/>
      <c r="CS23" s="11">
        <f>IF(SUM(BX23:CA23)-CB23&gt;0,SUM(BX23:CA23)-CB23,"")</f>
        <v>41.629999999999995</v>
      </c>
      <c r="CT23" s="11">
        <f>IF(CE23&gt;0,CE23,"")</f>
        <v>8.1999999999999993</v>
      </c>
      <c r="CU23" s="11">
        <f>IF(SUM(CC23:CF23)-CG23&gt;0,SUM(CC23:CF23)-CG23,"")</f>
        <v>45.389999999999993</v>
      </c>
      <c r="CV23" s="11" t="str">
        <f>IF(CJ23&gt;0,CJ23,"")</f>
        <v/>
      </c>
      <c r="CW23" s="11" t="str">
        <f>IF(SUM(CH23:CK23)-CL23&gt;0,SUM(CH23:CK23)-CL23,"")</f>
        <v/>
      </c>
      <c r="CX23" s="11">
        <f>IF(CS23="",IF(MAX(CU23,CW23)&gt;0,MAX(CU23,CW23),""),MAX(CU23,CW23)+CS23)</f>
        <v>87.019999999999982</v>
      </c>
      <c r="CY23" s="11">
        <f>IF(CO23&gt;0,CO23,"")</f>
        <v>1.8</v>
      </c>
      <c r="CZ23" s="11">
        <f>IF(SUM(CM23:CP23)-CQ23&gt;0,SUM(CM23:CP23)-CQ23,"")</f>
        <v>9.76</v>
      </c>
      <c r="DA23" s="11">
        <f>IF(SUM(CX23,CZ23)&gt;0,SUM(CX23,CZ23),"")</f>
        <v>96.779999999999987</v>
      </c>
      <c r="DB23" s="19" t="str">
        <f>IF(I23&gt;=0.001,IF(MAX(DU23,EQ23,FM23,GI23,HE23,IA23,IW23,JS23,KO23,LK23,MG23,NC23)-IF(I23="",0,I23)&gt;0.001,MAX(DU23,EQ23,FM23,GI23,HE23,IA23,IW23,JS23,KO23,LK23,MG23,NC23)-IF(I23="",0,I23),""),"")</f>
        <v/>
      </c>
      <c r="DC23" s="19" t="str">
        <f>IF(K23&gt;=0.001,IF(MAX(DX23,ET23,FP23,GL23,HH23,ID23,IZ23,JV23,KR23,LN23,MJ23,NF23)-IF(K23="",0,K23)&gt;0.001,MAX(DX23,ET23,FP23,GL23,HH23,ID23,IZ23,JV23,KR23,LN23,MJ23,NF23)-IF(K23="",0,K23),""),"")</f>
        <v/>
      </c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26"/>
      <c r="JN23" s="26"/>
      <c r="JO23" s="26"/>
      <c r="JP23" s="26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6"/>
      <c r="KU23" s="26"/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8">
        <f>IF($CR23="P",BX23,(BX23+AT23)/2)</f>
        <v>8.4499999999999993</v>
      </c>
      <c r="NI23" s="38">
        <f>IF($CR23="P",BY23,(BY23+AU23)/2)</f>
        <v>4.8499999999999996</v>
      </c>
      <c r="NJ23" s="38">
        <f>IF($CR23="P",BZ23,(BZ23+AV23)/2)</f>
        <v>0.7</v>
      </c>
      <c r="NK23" s="38">
        <f>IF($CR23="P",CA23,(CA23+AW23)/2)</f>
        <v>6.8150000000000004</v>
      </c>
      <c r="NL23" s="38">
        <f>IF($CR23="P",CB23,(CB23+AX23)/2)</f>
        <v>0</v>
      </c>
      <c r="NM23" s="38">
        <f>IF($CR23="P",CC23,(CC23+AY23)/2)</f>
        <v>7.45</v>
      </c>
      <c r="NN23" s="38">
        <f>IF($CR23="P",CD23,(CD23+AZ23)/2)</f>
        <v>4.5999999999999996</v>
      </c>
      <c r="NO23" s="38">
        <f>IF($CR23="P",CE23,(CE23+BA23)/2)</f>
        <v>4.0999999999999996</v>
      </c>
      <c r="NP23" s="38">
        <f>IF($CR23="P",CF23,(CF23+BB23)/2)</f>
        <v>6.8449999999999998</v>
      </c>
      <c r="NQ23" s="38">
        <f>IF($CR23="P",CG23,(CG23+BC23)/2)</f>
        <v>0.3</v>
      </c>
      <c r="NR23" s="38">
        <f>IF($CR23="P",CH23,(CH23+BD23)/2)</f>
        <v>0</v>
      </c>
      <c r="NS23" s="38">
        <f>IF($CR23="P",CI23,(CI23+BE23)/2)</f>
        <v>0</v>
      </c>
      <c r="NT23" s="38">
        <f>IF($CR23="P",CJ23,(CJ23+BF23)/2)</f>
        <v>0</v>
      </c>
      <c r="NU23" s="38">
        <f>IF($CR23="P",CK23,(CK23+BG23)/2)</f>
        <v>0</v>
      </c>
      <c r="NV23" s="38">
        <f>IF($CR23="P",CL23,(CL23+BH23)/2)</f>
        <v>0</v>
      </c>
      <c r="NW23" s="38">
        <f>IF($CR23="P",CM23,(CM23+BI23)/2)</f>
        <v>1.6</v>
      </c>
      <c r="NX23" s="38">
        <f>IF($CR23="P",CN23,(CN23+BJ23)/2)</f>
        <v>0.95</v>
      </c>
      <c r="NY23" s="38">
        <f>IF($CR23="P",CO23,(CO23+BK23)/2)</f>
        <v>0.9</v>
      </c>
      <c r="NZ23" s="38">
        <f>IF($CR23="P",CP23,(CP23+BL23)/2)</f>
        <v>1.43</v>
      </c>
      <c r="OA23" s="38">
        <f>IF($CR23="P",CQ23,(CQ23+BM23)/2)</f>
        <v>0</v>
      </c>
      <c r="OB23" s="45" t="s">
        <v>46</v>
      </c>
      <c r="OC23" s="11">
        <f>IF(SUM(NH23:NK23)-NL23&gt;0,SUM(NH23:NK23)-NL23,"")</f>
        <v>20.814999999999998</v>
      </c>
      <c r="OD23" s="11">
        <f>IF(NO23&gt;0,NO23,"")</f>
        <v>4.0999999999999996</v>
      </c>
      <c r="OE23" s="11">
        <f>IF(SUM(NM23:NP23)-NQ23&gt;0,SUM(NM23:NP23)-NQ23,"")</f>
        <v>22.694999999999997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43.509999999999991</v>
      </c>
      <c r="OI23" s="11">
        <f>IF(NY23&gt;0,NY23,"")</f>
        <v>0.9</v>
      </c>
      <c r="OJ23" s="11">
        <f t="shared" ref="OJ23" si="32">IF(SUM(NW23:NZ23)-OA23&gt;0,SUM(NW23:NZ23)-OA23,"")</f>
        <v>4.88</v>
      </c>
      <c r="OK23" s="11">
        <f t="shared" ref="OK23" si="33">IF(SUM(OH23,OJ23)&gt;0,SUM(OH23,OJ23),"")</f>
        <v>48.389999999999993</v>
      </c>
    </row>
    <row r="24" spans="1:401" x14ac:dyDescent="0.2">
      <c r="A24" s="5" t="str" cm="1">
        <f t="array" ref="A24">IF(AND(F24="P",G24="P"),SUMPRODUCT((F$4:F$29="P")*(G$4:G$29="P")*(E$4:E$29&gt;E24))+1,IF(G24="P",SUMPRODUCT((F$4:F$29="")*(G$4:G$29="P")*(E$4:E$29&gt;E24))+1+SUMPRODUCT((F$4:F$29="P")*(G$4:G$29="P")),""))</f>
        <v/>
      </c>
      <c r="B24" s="8" t="s">
        <v>155</v>
      </c>
      <c r="C24" s="4" t="s">
        <v>3</v>
      </c>
      <c r="D24" s="22">
        <v>2004</v>
      </c>
      <c r="E24" s="15">
        <f>SUM(I24:M24)</f>
        <v>41.78</v>
      </c>
      <c r="F24" s="3" t="str">
        <f>IF(OR(AND(AL24&gt;=AS$31,AM24&gt;=AS$35,AL24&lt;&gt;"",AJ24=""),AND(AN24&gt;=AS$31,AO24&gt;=AS$35,AN24&lt;&gt;"",AN24=""),AND(AQ24&gt;=AS$31,AR24&gt;=AS$35,AQ24&lt;&gt;"",AJ24=""),AND(BP24&gt;=BW$31,BQ24&gt;=BW$35,BP24&lt;&gt;"",BN24=""),AND(BR24&gt;=BW$31,BS24&gt;=BW$35,BR24&lt;&gt;"",BN24=""),AND(BU24&gt;=BW$31,BV24&gt;=BW$35,BU24&lt;&gt;"",BN24=""),AND(CT24&gt;=DA$31,CU24&gt;=DA$35,CT24&lt;&gt;"",CR24=""),AND(CV24&gt;=DA$31,CW24&gt;=DA$35,CV24&lt;&gt;"",CR24=""),AND(CY24&gt;=DA$31,CZ24&gt;=DA$35,CY24&lt;&gt;"",CR24=""),AND(DS24&gt;=DY$31,DU24&gt;=DY$35,DS24&lt;&gt;""),AND(DW24&gt;=DY$31,DX24&gt;=DY$35,DW24&lt;&gt;""),AND(EO24&gt;=EU$31,EQ24&gt;=EU$35,EO24&lt;&gt;""),AND(ES24&gt;=EU$31,ET24&gt;=EU$35,ES24&lt;&gt;""),AND(FK24&gt;=FQ$31,FM24&gt;=FQ$35,FK24&lt;&gt;""),AND(FO24&gt;=FQ$31,FP24&gt;=FQ$35,FO24&lt;&gt;""),AND(GG24&gt;=GM$31,GI24&gt;=GM$35,GG24&lt;&gt;""),AND(GK24&gt;=GM$31,GL24&gt;=GM$35,GK24&lt;&gt;""),AND(HC24&gt;=HI$31,HE24&gt;=HI$35,HC24&lt;&gt;""),AND(HG24&gt;=HI$31,HH24&gt;=HI$35,HG24&lt;&gt;""),AND(HY24&gt;=IE$31,IA24&gt;=IE$35,HY24&lt;&gt;""),AND(IC24&gt;=IE$31,ID24&gt;=IE$35,IC24&lt;&gt;""),AND(IU24&gt;=JA$31,IW24&gt;=JA$35,IU24&lt;&gt;""),AND(IY24&gt;=JA$31,IZ24&gt;=JA$35,IY24&lt;&gt;""),AND(JQ24&gt;=JW$31,JS24&gt;=JW$35,JQ24&lt;&gt;""),AND(JU24&gt;=JW$31,JV24&gt;=JW$35,JU24&lt;&gt;""),AND(KM24&gt;=KS$31,KO24&gt;=KS$35,KM24&lt;&gt;""),AND(KQ24&gt;=KS$31,KR24&gt;=KS$35,KQ24&lt;&gt;""),AND(LI24&gt;=LO$31,LK24&gt;=LO$35,LI24&lt;&gt;""),AND(LM24&gt;=LO$31,LN24&gt;=LO$35,LM24&lt;&gt;""),AND(ME24&gt;=MK$31,MG24&gt;=MK$35,ME24&lt;&gt;""),AND(MI24&gt;=MK$31,MJ24&gt;=MK$35,MI24&lt;&gt;""),AND(NA24&gt;=NG$31,NC24&gt;=NG$35,NA24&lt;&gt;""),AND(NE24&gt;=NG$31,NF24&gt;=NG$35,NE24&lt;&gt;"")),"P","")</f>
        <v/>
      </c>
      <c r="G24" s="3" t="str">
        <f>IF(OR(AND(AM24&gt;=AS$35,AL24&lt;&gt;"",AJ24=""),AND(AO24&gt;=AS$35,AN24&lt;&gt;"",AN24=""),AND(AR24&gt;=AS$35,AQ24&lt;&gt;"",AJ24=""),AND(BQ24&gt;=BW$35,BP24&lt;&gt;"",BN24=""),AND(BS24&gt;=BW$35,BR24&lt;&gt;"",BN24=""),AND(BV24&gt;=BW$35,BU24&lt;&gt;"",BN24=""),AND(CU24&gt;=DA$35,CT24&lt;&gt;"",CR24=""),AND(CW24&gt;=DA$35,CV24&lt;&gt;"",CR24=""),AND(CZ24&gt;=DA$35,CY24&lt;&gt;"",CR24=""),AND(DU24&gt;=DY$35,DS24&lt;&gt;""),AND(DX24&gt;=DY$35,DW24&lt;&gt;""),AND(EQ24&gt;=EU$35,EO24&lt;&gt;""),AND(ET24&gt;=EU$35,ES24&lt;&gt;""),AND(FM24&gt;=FQ$35,FK24&lt;&gt;""),AND(FP24&gt;=FQ$35,FO24&lt;&gt;""),AND(GI24&gt;=GM$35,GG24&lt;&gt;""),AND(GL24&gt;=GM$35,GK24&lt;&gt;""),AND(HE24&gt;=HI$35,HC24&lt;&gt;""),AND(HH24&gt;=HI$35,HG24&lt;&gt;""),AND(IA24&gt;=IE$35,HY24&lt;&gt;""),AND(ID24&gt;=IE$35,IC24&lt;&gt;""),AND(IW24&gt;=JA$35,IU24&lt;&gt;""),AND(IZ24&gt;=JA$35,IY24&lt;&gt;""),AND(JS24&gt;=JW$35,JQ24&lt;&gt;""),AND(JV24&gt;=JW$35,JU24&lt;&gt;""),AND(KO24&gt;=KS$35,KM24&lt;&gt;""),AND(KR24&gt;=KS$35,KQ24&lt;&gt;""),AND(LK24&gt;=LO$35,LI24&lt;&gt;""),AND(LN24&gt;=LO$35,LM24&lt;&gt;""),AND(MG24&gt;=MK$35,ME24&lt;&gt;""),AND(MJ24&gt;=MK$35,MI24&lt;&gt;""),AND(NC24&gt;=NG$35,NA24&lt;&gt;""),AND(NF24&gt;=NG$35,NE24&lt;&gt;"")),"P","")</f>
        <v/>
      </c>
      <c r="H24" s="67" t="str">
        <f>IF(F24="P","National Team",IF(G24="P","No DD",""))</f>
        <v/>
      </c>
      <c r="I24" s="14">
        <f>MAX(AM24,AO24,AR24,BQ24,BS24,BV24,CU24,CW24,CZ24)</f>
        <v>41.78</v>
      </c>
      <c r="J24" s="14" t="str">
        <f>IF(I24=0,"",IF(OR(I24=CW24,I24=CU24,I24=CZ24),$BX$1,IF(OR(I24=BS24,I24=BQ24,I24=BV24),$AT$1,IF(OR(I24=AO24,I24=AM24,I24=AR24),$P$1,""))))</f>
        <v>2022 Elite Canada</v>
      </c>
      <c r="K24" s="14">
        <f>IF(COUNT(AM24,AO24,AR24,BQ24,BS24,BV24,CU24,CW24,CZ24)&gt;1,LARGE((AM24,AO24,AR24,BQ24,BS24,BV24,CU24,CW24,CZ24),2),0)</f>
        <v>0</v>
      </c>
      <c r="L24" s="14" t="str">
        <f>IF(K24=0,"",IF(OR(K24=CW24,K24=CU24,K24=CZ24),$BX$1,IF(OR(K24=BS24,K24=BQ24,K24=BV24),$AT$1,IF(OR(K24=AO24,K24=AM24,K24=AR24),$P$1,""))))</f>
        <v/>
      </c>
      <c r="M24" s="14" t="str">
        <f>IF(MAX(DB24,DC24)&gt;0,MAX(DB24,DC24),"")</f>
        <v/>
      </c>
      <c r="N24" s="20" t="str">
        <f>IF(M24="","",IF(M24=#REF!,"(Vol 1)",IF(M24=DB24,"(Vol 2)",IF(M24=#REF!,"(Prelim)",IF(M24=DC24,"(Final)")))))</f>
        <v/>
      </c>
      <c r="O24" s="14" t="str">
        <f>IF(M24="","",IF(M24=#REF!,IF(M24+IF(#REF!="",0,#REF!)=NB24,$ML$1,IF(M24+IF(#REF!="",0,#REF!)=MF24,$LP$1,IF(M24+IF(#REF!="",0,#REF!)=LJ24,$KT$1,IF(M24+IF(#REF!="",0,#REF!)=KN24,$JX$1,IF(M24+IF(#REF!="",0,#REF!)=JR24,$JB$1,IF(M24+IF(#REF!="",0,#REF!)=IV24,$IF$1,IF(M24+IF(#REF!="",0,#REF!)=HZ24,$HJ$1,IF(M24+IF(#REF!="",0,#REF!)=HD24,$GN$1,IF(M24+IF(#REF!="",0,#REF!)=GH24,$FR$1,IF(M24+IF(#REF!="",0,#REF!)=FL24,$EV$1,IF(M24+IF(#REF!="",0,#REF!)=EP24,$DZ$1,IF(M24+IF(#REF!="",0,#REF!)=DT24,$DD$1)))))))))))),IF(M24=DB24,IF(M24+IF(I24="",0,I24)=NC24,$ML$1,IF(M24+IF(I24="",0,I24)=MG24,$LP$1,IF(M24+IF(I24="",0,I24)=LK24,$KT$1,IF(M24+IF(I24="",0,I24)=KO24,$JX$1,IF(M24+IF(I24="",0,I24)=JS24,$JB$1,IF(M24+IF(I24="",0,I24)=IW24,$IF$1,IF(M24+IF(I24="",0,I24)=IA24,$HJ$1,IF(M24+IF(I24="",0,I24)=HE24,$GN$1,IF(M24+IF(I24="",0,I24)=GI24,$FR$1,IF(M24+IF(I24="",0,I24)=FM24,$EV$1,IF(M24+IF(I24="",0,I24)=EQ24,$DZ$1,IF(M24+IF(I24="",0,I24)=DU24,$DD$1)))))))))))),IF(M24=#REF!,IF(M24+IF(#REF!="",0,#REF!)=ND24,$ML$1,IF(M24+IF(#REF!="",0,#REF!)=MH24,$LP$1,IF(M24+IF(#REF!="",0,#REF!)=LL24,$KT$1,IF(M24+IF(#REF!="",0,#REF!)=KP24,$JX$1,IF(M24+IF(#REF!="",0,#REF!)=JT24,$JB$1,IF(M24+IF(#REF!="",0,#REF!)=IX24,$IF$1,IF(M24+IF(#REF!="",0,#REF!)=IB24,$HJ$1,IF(M24+IF(#REF!="",0,#REF!)=HF24,$GN$1,IF(M24+IF(#REF!="",0,#REF!)=GJ24,$FR$1,IF(M24+IF(#REF!="",0,#REF!)=FN24,$EV$1,IF(M24+IF(#REF!="",0,#REF!)=ER24,$DZ$1,IF(M24+IF(#REF!="",0,#REF!)=DV24,$DD$1)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))</f>
        <v/>
      </c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45"/>
      <c r="AK24" s="11" t="str">
        <f>IF(SUM(P24:S24)-T24&gt;0,SUM(P24:S24)-T24,"")</f>
        <v/>
      </c>
      <c r="AL24" s="11" t="str">
        <f>IF(W24&gt;0,W24,"")</f>
        <v/>
      </c>
      <c r="AM24" s="11" t="str">
        <f>IF(SUM(U24:X24)-Y24&gt;0,SUM(U24:X24)-Y24,"")</f>
        <v/>
      </c>
      <c r="AN24" s="11" t="str">
        <f>IF(AB24&gt;0,AB24,"")</f>
        <v/>
      </c>
      <c r="AO24" s="11" t="str">
        <f>IF(SUM(Z24:AC24)-AD24&gt;0,SUM(Z24:AC24)-AD24,"")</f>
        <v/>
      </c>
      <c r="AP24" s="11" t="str">
        <f>IF(AK24="",IF(MAX(AM24,AO24)&gt;0,MAX(AM24,AO24),""),MAX(AM24,AO24)+AK24)</f>
        <v/>
      </c>
      <c r="AQ24" s="11" t="str">
        <f>IF(AG24&gt;0,AG24,"")</f>
        <v/>
      </c>
      <c r="AR24" s="11" t="str">
        <f>IF(SUM(AE24:AH24)-AI24&gt;0,SUM(AE24:AH24)-AI24,"")</f>
        <v/>
      </c>
      <c r="AS24" s="11" t="str">
        <f>IF(SUM(AP24,AR24)&gt;0,SUM(AP24,AR24),"")</f>
        <v/>
      </c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6"/>
      <c r="BO24" s="14" t="str">
        <f>IF(SUM(AT24:AW24)-AX24&gt;0,SUM(AT24:AW24)-AX24,"")</f>
        <v/>
      </c>
      <c r="BP24" s="14" t="str">
        <f>IF(BA24&gt;0,BA24,"")</f>
        <v/>
      </c>
      <c r="BQ24" s="14" t="str">
        <f>IF(SUM(AY24:BB24)-BC24&gt;0,SUM(AY24:BB24)-BC24,"")</f>
        <v/>
      </c>
      <c r="BR24" s="14" t="str">
        <f>IF(BF24&gt;0,BF24,"")</f>
        <v/>
      </c>
      <c r="BS24" s="14" t="str">
        <f>IF(SUM(BD24:BG24)-BH24&gt;0,SUM(BD24:BG24)-BH24,"")</f>
        <v/>
      </c>
      <c r="BT24" s="14" t="str">
        <f>IF(BO24="",IF(MAX(BQ24,BS24)&gt;0,MAX(BQ24,BS24),""),MAX(BQ24,BS24)+BO24)</f>
        <v/>
      </c>
      <c r="BU24" s="14" t="str">
        <f>IF(BK24&gt;0,BK24,"")</f>
        <v/>
      </c>
      <c r="BV24" s="14" t="str">
        <f>IF(SUM(BI24:BL24)-BM24&gt;0,SUM(BI24:BL24)-BM24,"")</f>
        <v/>
      </c>
      <c r="BW24" s="14" t="str">
        <f>IF(SUM(BT24,BV24)&gt;0,SUM(BT24,BV24),"")</f>
        <v/>
      </c>
      <c r="BX24" s="38">
        <v>16.3</v>
      </c>
      <c r="BY24" s="38">
        <v>9.6</v>
      </c>
      <c r="BZ24" s="38">
        <v>1.5</v>
      </c>
      <c r="CA24" s="38">
        <v>14.6</v>
      </c>
      <c r="CB24" s="38">
        <v>0</v>
      </c>
      <c r="CC24" s="38">
        <v>13</v>
      </c>
      <c r="CD24" s="38">
        <v>8</v>
      </c>
      <c r="CE24" s="38">
        <v>8.3000000000000007</v>
      </c>
      <c r="CF24" s="38">
        <v>12.98</v>
      </c>
      <c r="CG24" s="38">
        <v>0.5</v>
      </c>
      <c r="CH24" s="38"/>
      <c r="CI24" s="38"/>
      <c r="CJ24" s="38"/>
      <c r="CK24" s="38"/>
      <c r="CL24" s="38"/>
      <c r="CM24" s="38">
        <v>0</v>
      </c>
      <c r="CN24" s="38">
        <v>0</v>
      </c>
      <c r="CO24" s="38">
        <v>0</v>
      </c>
      <c r="CP24" s="38">
        <v>0</v>
      </c>
      <c r="CQ24" s="38">
        <v>0</v>
      </c>
      <c r="CR24" s="45"/>
      <c r="CS24" s="11">
        <f>IF(SUM(BX24:CA24)-CB24&gt;0,SUM(BX24:CA24)-CB24,"")</f>
        <v>42</v>
      </c>
      <c r="CT24" s="11">
        <f>IF(CE24&gt;0,CE24,"")</f>
        <v>8.3000000000000007</v>
      </c>
      <c r="CU24" s="11">
        <f>IF(SUM(CC24:CF24)-CG24&gt;0,SUM(CC24:CF24)-CG24,"")</f>
        <v>41.78</v>
      </c>
      <c r="CV24" s="11" t="str">
        <f>IF(CJ24&gt;0,CJ24,"")</f>
        <v/>
      </c>
      <c r="CW24" s="11" t="str">
        <f>IF(SUM(CH24:CK24)-CL24&gt;0,SUM(CH24:CK24)-CL24,"")</f>
        <v/>
      </c>
      <c r="CX24" s="11">
        <f>IF(CS24="",IF(MAX(CU24,CW24)&gt;0,MAX(CU24,CW24),""),MAX(CU24,CW24)+CS24)</f>
        <v>83.78</v>
      </c>
      <c r="CY24" s="11" t="str">
        <f>IF(CO24&gt;0,CO24,"")</f>
        <v/>
      </c>
      <c r="CZ24" s="11" t="str">
        <f>IF(SUM(CM24:CP24)-CQ24&gt;0,SUM(CM24:CP24)-CQ24,"")</f>
        <v/>
      </c>
      <c r="DA24" s="11">
        <f>IF(SUM(CX24,CZ24)&gt;0,SUM(CX24,CZ24),"")</f>
        <v>83.78</v>
      </c>
      <c r="DB24" s="19" t="str">
        <f>IF(I24&gt;=0.001,IF(MAX(DU24,EQ24,FM24,GI24,HE24,IA24,IW24,JS24,KO24,LK24,MG24,NC24)-IF(I24="",0,I24)&gt;0.001,MAX(DU24,EQ24,FM24,GI24,HE24,IA24,IW24,JS24,KO24,LK24,MG24,NC24)-IF(I24="",0,I24),""),"")</f>
        <v/>
      </c>
      <c r="DC24" s="19" t="str">
        <f>IF(K24&gt;=0.001,IF(MAX(DX24,ET24,FP24,GL24,HH24,ID24,IZ24,JV24,KR24,LN24,MJ24,NF24)-IF(K24="",0,K24)&gt;0.001,MAX(DX24,ET24,FP24,GL24,HH24,ID24,IZ24,JV24,KR24,LN24,MJ24,NF24)-IF(K24="",0,K24),""),"")</f>
        <v/>
      </c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8">
        <f>IF($CR24="P",BX24,(BX24+AT24)/2)</f>
        <v>8.15</v>
      </c>
      <c r="NI24" s="38">
        <f>IF($CR24="P",BY24,(BY24+AU24)/2)</f>
        <v>4.8</v>
      </c>
      <c r="NJ24" s="38">
        <f>IF($CR24="P",BZ24,(BZ24+AV24)/2)</f>
        <v>0.75</v>
      </c>
      <c r="NK24" s="38">
        <f>IF($CR24="P",CA24,(CA24+AW24)/2)</f>
        <v>7.3</v>
      </c>
      <c r="NL24" s="38">
        <f>IF($CR24="P",CB24,(CB24+AX24)/2)</f>
        <v>0</v>
      </c>
      <c r="NM24" s="38">
        <f>IF($CR24="P",CC24,(CC24+AY24)/2)</f>
        <v>6.5</v>
      </c>
      <c r="NN24" s="38">
        <f>IF($CR24="P",CD24,(CD24+AZ24)/2)</f>
        <v>4</v>
      </c>
      <c r="NO24" s="38">
        <f>IF($CR24="P",CE24,(CE24+BA24)/2)</f>
        <v>4.1500000000000004</v>
      </c>
      <c r="NP24" s="38">
        <f>IF($CR24="P",CF24,(CF24+BB24)/2)</f>
        <v>6.49</v>
      </c>
      <c r="NQ24" s="38">
        <f>IF($CR24="P",CG24,(CG24+BC24)/2)</f>
        <v>0.25</v>
      </c>
      <c r="NR24" s="38">
        <f>IF($CR24="P",CH24,(CH24+BD24)/2)</f>
        <v>0</v>
      </c>
      <c r="NS24" s="38">
        <f>IF($CR24="P",CI24,(CI24+BE24)/2)</f>
        <v>0</v>
      </c>
      <c r="NT24" s="38">
        <f>IF($CR24="P",CJ24,(CJ24+BF24)/2)</f>
        <v>0</v>
      </c>
      <c r="NU24" s="38">
        <f>IF($CR24="P",CK24,(CK24+BG24)/2)</f>
        <v>0</v>
      </c>
      <c r="NV24" s="38">
        <f>IF($CR24="P",CL24,(CL24+BH24)/2)</f>
        <v>0</v>
      </c>
      <c r="NW24" s="38">
        <f>IF($CR24="P",CM24,(CM24+BI24)/2)</f>
        <v>0</v>
      </c>
      <c r="NX24" s="38">
        <f>IF($CR24="P",CN24,(CN24+BJ24)/2)</f>
        <v>0</v>
      </c>
      <c r="NY24" s="38">
        <f>IF($CR24="P",CO24,(CO24+BK24)/2)</f>
        <v>0</v>
      </c>
      <c r="NZ24" s="38">
        <f>IF($CR24="P",CP24,(CP24+BL24)/2)</f>
        <v>0</v>
      </c>
      <c r="OA24" s="38">
        <f>IF($CR24="P",CQ24,(CQ24+BM24)/2)</f>
        <v>0</v>
      </c>
      <c r="OB24" s="45" t="s">
        <v>46</v>
      </c>
      <c r="OC24" s="11">
        <f>IF(SUM(NH24:NK24)-NL24&gt;0,SUM(NH24:NK24)-NL24,"")</f>
        <v>21</v>
      </c>
      <c r="OD24" s="11">
        <f>IF(NO24&gt;0,NO24,"")</f>
        <v>4.1500000000000004</v>
      </c>
      <c r="OE24" s="11">
        <f>IF(SUM(NM24:NP24)-NQ24&gt;0,SUM(NM24:NP24)-NQ24,"")</f>
        <v>20.89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41.89</v>
      </c>
      <c r="OI24" s="11" t="str">
        <f>IF(NY24&gt;0,NY24,"")</f>
        <v/>
      </c>
      <c r="OJ24" s="11" t="str">
        <f t="shared" ref="OJ24" si="34">IF(SUM(NW24:NZ24)-OA24&gt;0,SUM(NW24:NZ24)-OA24,"")</f>
        <v/>
      </c>
      <c r="OK24" s="11">
        <f t="shared" ref="OK24" si="35">IF(SUM(OH24,OJ24)&gt;0,SUM(OH24,OJ24),"")</f>
        <v>41.89</v>
      </c>
    </row>
    <row r="25" spans="1:401" x14ac:dyDescent="0.2">
      <c r="A25" s="5" t="str" cm="1">
        <f t="array" ref="A25">IF(AND(F25="P",G25="P"),SUMPRODUCT((F$4:F$29="P")*(G$4:G$29="P")*(E$4:E$29&gt;E25))+1,IF(G25="P",SUMPRODUCT((F$4:F$29="")*(G$4:G$29="P")*(E$4:E$29&gt;E25))+1+SUMPRODUCT((F$4:F$29="P")*(G$4:G$29="P")),""))</f>
        <v/>
      </c>
      <c r="B25" s="8" t="s">
        <v>154</v>
      </c>
      <c r="C25" s="4" t="s">
        <v>3</v>
      </c>
      <c r="D25" s="22">
        <v>2005</v>
      </c>
      <c r="E25" s="15">
        <f>SUM(I25:M25)</f>
        <v>41.1</v>
      </c>
      <c r="F25" s="3" t="str">
        <f>IF(OR(AND(AL25&gt;=AS$31,AM25&gt;=AS$35,AL25&lt;&gt;"",AJ25=""),AND(AN25&gt;=AS$31,AO25&gt;=AS$35,AN25&lt;&gt;"",AN25=""),AND(AQ25&gt;=AS$31,AR25&gt;=AS$35,AQ25&lt;&gt;"",AJ25=""),AND(BP25&gt;=BW$31,BQ25&gt;=BW$35,BP25&lt;&gt;"",BN25=""),AND(BR25&gt;=BW$31,BS25&gt;=BW$35,BR25&lt;&gt;"",BN25=""),AND(BU25&gt;=BW$31,BV25&gt;=BW$35,BU25&lt;&gt;"",BN25=""),AND(CT25&gt;=DA$31,CU25&gt;=DA$35,CT25&lt;&gt;"",CR25=""),AND(CV25&gt;=DA$31,CW25&gt;=DA$35,CV25&lt;&gt;"",CR25=""),AND(CY25&gt;=DA$31,CZ25&gt;=DA$35,CY25&lt;&gt;"",CR25=""),AND(DS25&gt;=DY$31,DU25&gt;=DY$35,DS25&lt;&gt;""),AND(DW25&gt;=DY$31,DX25&gt;=DY$35,DW25&lt;&gt;""),AND(EO25&gt;=EU$31,EQ25&gt;=EU$35,EO25&lt;&gt;""),AND(ES25&gt;=EU$31,ET25&gt;=EU$35,ES25&lt;&gt;""),AND(FK25&gt;=FQ$31,FM25&gt;=FQ$35,FK25&lt;&gt;""),AND(FO25&gt;=FQ$31,FP25&gt;=FQ$35,FO25&lt;&gt;""),AND(GG25&gt;=GM$31,GI25&gt;=GM$35,GG25&lt;&gt;""),AND(GK25&gt;=GM$31,GL25&gt;=GM$35,GK25&lt;&gt;""),AND(HC25&gt;=HI$31,HE25&gt;=HI$35,HC25&lt;&gt;""),AND(HG25&gt;=HI$31,HH25&gt;=HI$35,HG25&lt;&gt;""),AND(HY25&gt;=IE$31,IA25&gt;=IE$35,HY25&lt;&gt;""),AND(IC25&gt;=IE$31,ID25&gt;=IE$35,IC25&lt;&gt;""),AND(IU25&gt;=JA$31,IW25&gt;=JA$35,IU25&lt;&gt;""),AND(IY25&gt;=JA$31,IZ25&gt;=JA$35,IY25&lt;&gt;""),AND(JQ25&gt;=JW$31,JS25&gt;=JW$35,JQ25&lt;&gt;""),AND(JU25&gt;=JW$31,JV25&gt;=JW$35,JU25&lt;&gt;""),AND(KM25&gt;=KS$31,KO25&gt;=KS$35,KM25&lt;&gt;""),AND(KQ25&gt;=KS$31,KR25&gt;=KS$35,KQ25&lt;&gt;""),AND(LI25&gt;=LO$31,LK25&gt;=LO$35,LI25&lt;&gt;""),AND(LM25&gt;=LO$31,LN25&gt;=LO$35,LM25&lt;&gt;""),AND(ME25&gt;=MK$31,MG25&gt;=MK$35,ME25&lt;&gt;""),AND(MI25&gt;=MK$31,MJ25&gt;=MK$35,MI25&lt;&gt;""),AND(NA25&gt;=NG$31,NC25&gt;=NG$35,NA25&lt;&gt;""),AND(NE25&gt;=NG$31,NF25&gt;=NG$35,NE25&lt;&gt;"")),"P","")</f>
        <v/>
      </c>
      <c r="G25" s="3" t="str">
        <f>IF(OR(AND(AM25&gt;=AS$35,AL25&lt;&gt;"",AJ25=""),AND(AO25&gt;=AS$35,AN25&lt;&gt;"",AN25=""),AND(AR25&gt;=AS$35,AQ25&lt;&gt;"",AJ25=""),AND(BQ25&gt;=BW$35,BP25&lt;&gt;"",BN25=""),AND(BS25&gt;=BW$35,BR25&lt;&gt;"",BN25=""),AND(BV25&gt;=BW$35,BU25&lt;&gt;"",BN25=""),AND(CU25&gt;=DA$35,CT25&lt;&gt;"",CR25=""),AND(CW25&gt;=DA$35,CV25&lt;&gt;"",CR25=""),AND(CZ25&gt;=DA$35,CY25&lt;&gt;"",CR25=""),AND(DU25&gt;=DY$35,DS25&lt;&gt;""),AND(DX25&gt;=DY$35,DW25&lt;&gt;""),AND(EQ25&gt;=EU$35,EO25&lt;&gt;""),AND(ET25&gt;=EU$35,ES25&lt;&gt;""),AND(FM25&gt;=FQ$35,FK25&lt;&gt;""),AND(FP25&gt;=FQ$35,FO25&lt;&gt;""),AND(GI25&gt;=GM$35,GG25&lt;&gt;""),AND(GL25&gt;=GM$35,GK25&lt;&gt;""),AND(HE25&gt;=HI$35,HC25&lt;&gt;""),AND(HH25&gt;=HI$35,HG25&lt;&gt;""),AND(IA25&gt;=IE$35,HY25&lt;&gt;""),AND(ID25&gt;=IE$35,IC25&lt;&gt;""),AND(IW25&gt;=JA$35,IU25&lt;&gt;""),AND(IZ25&gt;=JA$35,IY25&lt;&gt;""),AND(JS25&gt;=JW$35,JQ25&lt;&gt;""),AND(JV25&gt;=JW$35,JU25&lt;&gt;""),AND(KO25&gt;=KS$35,KM25&lt;&gt;""),AND(KR25&gt;=KS$35,KQ25&lt;&gt;""),AND(LK25&gt;=LO$35,LI25&lt;&gt;""),AND(LN25&gt;=LO$35,LM25&lt;&gt;""),AND(MG25&gt;=MK$35,ME25&lt;&gt;""),AND(MJ25&gt;=MK$35,MI25&lt;&gt;""),AND(NC25&gt;=NG$35,NA25&lt;&gt;""),AND(NF25&gt;=NG$35,NE25&lt;&gt;"")),"P","")</f>
        <v/>
      </c>
      <c r="H25" s="67" t="str">
        <f>IF(F25="P","National Team",IF(G25="P","No DD",""))</f>
        <v/>
      </c>
      <c r="I25" s="14">
        <f>MAX(AM25,AO25,AR25,BQ25,BS25,BV25,CU25,CW25,CZ25)</f>
        <v>41.1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0</v>
      </c>
      <c r="L25" s="14" t="str">
        <f>IF(K25=0,"",IF(OR(K25=CW25,K25=CU25,K25=CZ25),$BX$1,IF(OR(K25=BS25,K25=BQ25,K25=BV25),$AT$1,IF(OR(K25=AO25,K25=AM25,K25=AR25),$P$1,""))))</f>
        <v/>
      </c>
      <c r="M25" s="14" t="str">
        <f>IF(MAX(DB25,DC25)&gt;0,MAX(DB25,DC25),"")</f>
        <v/>
      </c>
      <c r="N25" s="20" t="str">
        <f>IF(M25="","",IF(M25=#REF!,"(Vol 1)",IF(M25=DB25,"(Vol 2)",IF(M25=#REF!,"(Prelim)",IF(M25=DC25,"(Final)")))))</f>
        <v/>
      </c>
      <c r="O25" s="14" t="str">
        <f>IF(M25="","",IF(M25=#REF!,IF(M25+IF(#REF!="",0,#REF!)=NB25,$ML$1,IF(M25+IF(#REF!="",0,#REF!)=MF25,$LP$1,IF(M25+IF(#REF!="",0,#REF!)=LJ25,$KT$1,IF(M25+IF(#REF!="",0,#REF!)=KN25,$JX$1,IF(M25+IF(#REF!="",0,#REF!)=JR25,$JB$1,IF(M25+IF(#REF!="",0,#REF!)=IV25,$IF$1,IF(M25+IF(#REF!="",0,#REF!)=HZ25,$HJ$1,IF(M25+IF(#REF!="",0,#REF!)=HD25,$GN$1,IF(M25+IF(#REF!="",0,#REF!)=GH25,$FR$1,IF(M25+IF(#REF!="",0,#REF!)=FL25,$EV$1,IF(M25+IF(#REF!="",0,#REF!)=EP25,$DZ$1,IF(M25+IF(#REF!="",0,#REF!)=DT25,$DD$1)))))))))))),IF(M25=DB25,IF(M25+IF(I25="",0,I25)=NC25,$ML$1,IF(M25+IF(I25="",0,I25)=MG25,$LP$1,IF(M25+IF(I25="",0,I25)=LK25,$KT$1,IF(M25+IF(I25="",0,I25)=KO25,$JX$1,IF(M25+IF(I25="",0,I25)=JS25,$JB$1,IF(M25+IF(I25="",0,I25)=IW25,$IF$1,IF(M25+IF(I25="",0,I25)=IA25,$HJ$1,IF(M25+IF(I25="",0,I25)=HE25,$GN$1,IF(M25+IF(I25="",0,I25)=GI25,$FR$1,IF(M25+IF(I25="",0,I25)=FM25,$EV$1,IF(M25+IF(I25="",0,I25)=EQ25,$DZ$1,IF(M25+IF(I25="",0,I25)=DU25,$DD$1)))))))))))),IF(M25=#REF!,IF(M25+IF(#REF!="",0,#REF!)=ND25,$ML$1,IF(M25+IF(#REF!="",0,#REF!)=MH25,$LP$1,IF(M25+IF(#REF!="",0,#REF!)=LL25,$KT$1,IF(M25+IF(#REF!="",0,#REF!)=KP25,$JX$1,IF(M25+IF(#REF!="",0,#REF!)=JT25,$JB$1,IF(M25+IF(#REF!="",0,#REF!)=IX25,$IF$1,IF(M25+IF(#REF!="",0,#REF!)=IB25,$HJ$1,IF(M25+IF(#REF!="",0,#REF!)=HF25,$GN$1,IF(M25+IF(#REF!="",0,#REF!)=GJ25,$FR$1,IF(M25+IF(#REF!="",0,#REF!)=FN25,$EV$1,IF(M25+IF(#REF!="",0,#REF!)=ER25,$DZ$1,IF(M25+IF(#REF!="",0,#REF!)=DV25,$DD$1)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))</f>
        <v/>
      </c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45"/>
      <c r="AK25" s="11" t="str">
        <f>IF(SUM(P25:S25)-T25&gt;0,SUM(P25:S25)-T25,"")</f>
        <v/>
      </c>
      <c r="AL25" s="11" t="str">
        <f>IF(W25&gt;0,W25,"")</f>
        <v/>
      </c>
      <c r="AM25" s="11" t="str">
        <f>IF(SUM(U25:X25)-Y25&gt;0,SUM(U25:X25)-Y25,"")</f>
        <v/>
      </c>
      <c r="AN25" s="11" t="str">
        <f>IF(AB25&gt;0,AB25,"")</f>
        <v/>
      </c>
      <c r="AO25" s="11" t="str">
        <f>IF(SUM(Z25:AC25)-AD25&gt;0,SUM(Z25:AC25)-AD25,"")</f>
        <v/>
      </c>
      <c r="AP25" s="11" t="str">
        <f>IF(AK25="",IF(MAX(AM25,AO25)&gt;0,MAX(AM25,AO25),""),MAX(AM25,AO25)+AK25)</f>
        <v/>
      </c>
      <c r="AQ25" s="11" t="str">
        <f>IF(AG25&gt;0,AG25,"")</f>
        <v/>
      </c>
      <c r="AR25" s="11" t="str">
        <f>IF(SUM(AE25:AH25)-AI25&gt;0,SUM(AE25:AH25)-AI25,"")</f>
        <v/>
      </c>
      <c r="AS25" s="11" t="str">
        <f>IF(SUM(AP25,AR25)&gt;0,SUM(AP25,AR25),"")</f>
        <v/>
      </c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6"/>
      <c r="BO25" s="14" t="str">
        <f>IF(SUM(AT25:AW25)-AX25&gt;0,SUM(AT25:AW25)-AX25,"")</f>
        <v/>
      </c>
      <c r="BP25" s="14" t="str">
        <f>IF(BA25&gt;0,BA25,"")</f>
        <v/>
      </c>
      <c r="BQ25" s="14" t="str">
        <f>IF(SUM(AY25:BB25)-BC25&gt;0,SUM(AY25:BB25)-BC25,"")</f>
        <v/>
      </c>
      <c r="BR25" s="14" t="str">
        <f>IF(BF25&gt;0,BF25,"")</f>
        <v/>
      </c>
      <c r="BS25" s="14" t="str">
        <f>IF(SUM(BD25:BG25)-BH25&gt;0,SUM(BD25:BG25)-BH25,"")</f>
        <v/>
      </c>
      <c r="BT25" s="14" t="str">
        <f>IF(BO25="",IF(MAX(BQ25,BS25)&gt;0,MAX(BQ25,BS25),""),MAX(BQ25,BS25)+BO25)</f>
        <v/>
      </c>
      <c r="BU25" s="14" t="str">
        <f>IF(BK25&gt;0,BK25,"")</f>
        <v/>
      </c>
      <c r="BV25" s="14" t="str">
        <f>IF(SUM(BI25:BL25)-BM25&gt;0,SUM(BI25:BL25)-BM25,"")</f>
        <v/>
      </c>
      <c r="BW25" s="14" t="str">
        <f>IF(SUM(BT25,BV25)&gt;0,SUM(BT25,BV25),"")</f>
        <v/>
      </c>
      <c r="BX25" s="38">
        <v>13.7</v>
      </c>
      <c r="BY25" s="38">
        <v>9.3000000000000007</v>
      </c>
      <c r="BZ25" s="38">
        <v>2.2999999999999998</v>
      </c>
      <c r="CA25" s="38">
        <v>13.36</v>
      </c>
      <c r="CB25" s="38">
        <v>0</v>
      </c>
      <c r="CC25" s="38">
        <v>11.8</v>
      </c>
      <c r="CD25" s="38">
        <v>9.1999999999999993</v>
      </c>
      <c r="CE25" s="38">
        <v>8</v>
      </c>
      <c r="CF25" s="38">
        <v>12.9</v>
      </c>
      <c r="CG25" s="38">
        <v>0.8</v>
      </c>
      <c r="CH25" s="38"/>
      <c r="CI25" s="38"/>
      <c r="CJ25" s="38"/>
      <c r="CK25" s="38"/>
      <c r="CL25" s="38"/>
      <c r="CM25" s="38">
        <v>0</v>
      </c>
      <c r="CN25" s="38">
        <v>0</v>
      </c>
      <c r="CO25" s="38">
        <v>0</v>
      </c>
      <c r="CP25" s="38">
        <v>0</v>
      </c>
      <c r="CQ25" s="38">
        <v>0</v>
      </c>
      <c r="CR25" s="45"/>
      <c r="CS25" s="11">
        <f>IF(SUM(BX25:CA25)-CB25&gt;0,SUM(BX25:CA25)-CB25,"")</f>
        <v>38.659999999999997</v>
      </c>
      <c r="CT25" s="11">
        <f>IF(CE25&gt;0,CE25,"")</f>
        <v>8</v>
      </c>
      <c r="CU25" s="11">
        <f>IF(SUM(CC25:CF25)-CG25&gt;0,SUM(CC25:CF25)-CG25,"")</f>
        <v>41.1</v>
      </c>
      <c r="CV25" s="11" t="str">
        <f>IF(CJ25&gt;0,CJ25,"")</f>
        <v/>
      </c>
      <c r="CW25" s="11" t="str">
        <f>IF(SUM(CH25:CK25)-CL25&gt;0,SUM(CH25:CK25)-CL25,"")</f>
        <v/>
      </c>
      <c r="CX25" s="11">
        <f>IF(CS25="",IF(MAX(CU25,CW25)&gt;0,MAX(CU25,CW25),""),MAX(CU25,CW25)+CS25)</f>
        <v>79.759999999999991</v>
      </c>
      <c r="CY25" s="11" t="str">
        <f>IF(CO25&gt;0,CO25,"")</f>
        <v/>
      </c>
      <c r="CZ25" s="11" t="str">
        <f>IF(SUM(CM25:CP25)-CQ25&gt;0,SUM(CM25:CP25)-CQ25,"")</f>
        <v/>
      </c>
      <c r="DA25" s="11">
        <f>IF(SUM(CX25,CZ25)&gt;0,SUM(CX25,CZ25),"")</f>
        <v>79.759999999999991</v>
      </c>
      <c r="DB25" s="19" t="str">
        <f>IF(I25&gt;=0.001,IF(MAX(DU25,EQ25,FM25,GI25,HE25,IA25,IW25,JS25,KO25,LK25,MG25,NC25)-IF(I25="",0,I25)&gt;0.001,MAX(DU25,EQ25,FM25,GI25,HE25,IA25,IW25,JS25,KO25,LK25,MG25,NC25)-IF(I25="",0,I25),""),"")</f>
        <v/>
      </c>
      <c r="DC25" s="19" t="str">
        <f>IF(K25&gt;=0.001,IF(MAX(DX25,ET25,FP25,GL25,HH25,ID25,IZ25,JV25,KR25,LN25,MJ25,NF25)-IF(K25="",0,K25)&gt;0.001,MAX(DX25,ET25,FP25,GL25,HH25,ID25,IZ25,JV25,KR25,LN25,MJ25,NF25)-IF(K25="",0,K25),""),"")</f>
        <v/>
      </c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8">
        <f>IF($CR25="P",BX25,(BX25+AT25)/2)</f>
        <v>6.85</v>
      </c>
      <c r="NI25" s="38">
        <f>IF($CR25="P",BY25,(BY25+AU25)/2)</f>
        <v>4.6500000000000004</v>
      </c>
      <c r="NJ25" s="38">
        <f>IF($CR25="P",BZ25,(BZ25+AV25)/2)</f>
        <v>1.1499999999999999</v>
      </c>
      <c r="NK25" s="38">
        <f>IF($CR25="P",CA25,(CA25+AW25)/2)</f>
        <v>6.68</v>
      </c>
      <c r="NL25" s="38">
        <f>IF($CR25="P",CB25,(CB25+AX25)/2)</f>
        <v>0</v>
      </c>
      <c r="NM25" s="38">
        <f>IF($CR25="P",CC25,(CC25+AY25)/2)</f>
        <v>5.9</v>
      </c>
      <c r="NN25" s="38">
        <f>IF($CR25="P",CD25,(CD25+AZ25)/2)</f>
        <v>4.5999999999999996</v>
      </c>
      <c r="NO25" s="38">
        <f>IF($CR25="P",CE25,(CE25+BA25)/2)</f>
        <v>4</v>
      </c>
      <c r="NP25" s="38">
        <f>IF($CR25="P",CF25,(CF25+BB25)/2)</f>
        <v>6.45</v>
      </c>
      <c r="NQ25" s="38">
        <f>IF($CR25="P",CG25,(CG25+BC25)/2)</f>
        <v>0.4</v>
      </c>
      <c r="NR25" s="38">
        <f>IF($CR25="P",CH25,(CH25+BD25)/2)</f>
        <v>0</v>
      </c>
      <c r="NS25" s="38">
        <f>IF($CR25="P",CI25,(CI25+BE25)/2)</f>
        <v>0</v>
      </c>
      <c r="NT25" s="38">
        <f>IF($CR25="P",CJ25,(CJ25+BF25)/2)</f>
        <v>0</v>
      </c>
      <c r="NU25" s="38">
        <f>IF($CR25="P",CK25,(CK25+BG25)/2)</f>
        <v>0</v>
      </c>
      <c r="NV25" s="38">
        <f>IF($CR25="P",CL25,(CL25+BH25)/2)</f>
        <v>0</v>
      </c>
      <c r="NW25" s="38">
        <f>IF($CR25="P",CM25,(CM25+BI25)/2)</f>
        <v>0</v>
      </c>
      <c r="NX25" s="38">
        <f>IF($CR25="P",CN25,(CN25+BJ25)/2)</f>
        <v>0</v>
      </c>
      <c r="NY25" s="38">
        <f>IF($CR25="P",CO25,(CO25+BK25)/2)</f>
        <v>0</v>
      </c>
      <c r="NZ25" s="38">
        <f>IF($CR25="P",CP25,(CP25+BL25)/2)</f>
        <v>0</v>
      </c>
      <c r="OA25" s="38">
        <f>IF($CR25="P",CQ25,(CQ25+BM25)/2)</f>
        <v>0</v>
      </c>
      <c r="OB25" s="45" t="s">
        <v>46</v>
      </c>
      <c r="OC25" s="11">
        <f>IF(SUM(NH25:NK25)-NL25&gt;0,SUM(NH25:NK25)-NL25,"")</f>
        <v>19.329999999999998</v>
      </c>
      <c r="OD25" s="11">
        <f>IF(NO25&gt;0,NO25,"")</f>
        <v>4</v>
      </c>
      <c r="OE25" s="11">
        <f>IF(SUM(NM25:NP25)-NQ25&gt;0,SUM(NM25:NP25)-NQ25,"")</f>
        <v>20.55</v>
      </c>
      <c r="OF25" s="11" t="str">
        <f>IF(NT25&gt;0,NT25,"")</f>
        <v/>
      </c>
      <c r="OG25" s="11" t="str">
        <f>IF(SUM(NR25:NU25)-NV25&gt;0,SUM(NR25:NU25)-NV25,"")</f>
        <v/>
      </c>
      <c r="OH25" s="11">
        <f>IF(OR(OC25&lt;&gt;"",OE25&lt;&gt;"",OG25&lt;&gt;""),OC25+MAX(OE25,OG25),"")</f>
        <v>39.879999999999995</v>
      </c>
      <c r="OI25" s="11" t="str">
        <f>IF(NY25&gt;0,NY25,"")</f>
        <v/>
      </c>
      <c r="OJ25" s="11" t="str">
        <f t="shared" ref="OJ25" si="36">IF(SUM(NW25:NZ25)-OA25&gt;0,SUM(NW25:NZ25)-OA25,"")</f>
        <v/>
      </c>
      <c r="OK25" s="11">
        <f t="shared" ref="OK25" si="37">IF(SUM(OH25,OJ25)&gt;0,SUM(OH25,OJ25),"")</f>
        <v>39.879999999999995</v>
      </c>
    </row>
    <row r="26" spans="1:401" x14ac:dyDescent="0.2">
      <c r="A26" s="5" t="str" cm="1">
        <f t="array" ref="A26">IF(AND(F26="P",G26="P"),SUMPRODUCT((F$4:F$29="P")*(G$4:G$29="P")*(E$4:E$29&gt;E26))+1,IF(G26="P",SUMPRODUCT((F$4:F$29="")*(G$4:G$29="P")*(E$4:E$29&gt;E26))+1+SUMPRODUCT((F$4:F$29="P")*(G$4:G$29="P")),""))</f>
        <v/>
      </c>
      <c r="B26" s="8" t="s">
        <v>83</v>
      </c>
      <c r="C26" s="4" t="s">
        <v>4</v>
      </c>
      <c r="D26" s="22">
        <v>2004</v>
      </c>
      <c r="E26" s="15">
        <f>SUM(I26:M26)</f>
        <v>34.715000000000003</v>
      </c>
      <c r="F26" s="3" t="str">
        <f>IF(OR(AND(AL26&gt;=AS$31,AM26&gt;=AS$35,AL26&lt;&gt;"",AJ26=""),AND(AN26&gt;=AS$31,AO26&gt;=AS$35,AN26&lt;&gt;"",AN26=""),AND(AQ26&gt;=AS$31,AR26&gt;=AS$35,AQ26&lt;&gt;"",AJ26=""),AND(BP26&gt;=BW$31,BQ26&gt;=BW$35,BP26&lt;&gt;"",BN26=""),AND(BR26&gt;=BW$31,BS26&gt;=BW$35,BR26&lt;&gt;"",BN26=""),AND(BU26&gt;=BW$31,BV26&gt;=BW$35,BU26&lt;&gt;"",BN26=""),AND(CT26&gt;=DA$31,CU26&gt;=DA$35,CT26&lt;&gt;"",CR26=""),AND(CV26&gt;=DA$31,CW26&gt;=DA$35,CV26&lt;&gt;"",CR26=""),AND(CY26&gt;=DA$31,CZ26&gt;=DA$35,CY26&lt;&gt;"",CR26=""),AND(DS26&gt;=DY$31,DU26&gt;=DY$35,DS26&lt;&gt;""),AND(DW26&gt;=DY$31,DX26&gt;=DY$35,DW26&lt;&gt;""),AND(EO26&gt;=EU$31,EQ26&gt;=EU$35,EO26&lt;&gt;""),AND(ES26&gt;=EU$31,ET26&gt;=EU$35,ES26&lt;&gt;""),AND(FK26&gt;=FQ$31,FM26&gt;=FQ$35,FK26&lt;&gt;""),AND(FO26&gt;=FQ$31,FP26&gt;=FQ$35,FO26&lt;&gt;""),AND(GG26&gt;=GM$31,GI26&gt;=GM$35,GG26&lt;&gt;""),AND(GK26&gt;=GM$31,GL26&gt;=GM$35,GK26&lt;&gt;""),AND(HC26&gt;=HI$31,HE26&gt;=HI$35,HC26&lt;&gt;""),AND(HG26&gt;=HI$31,HH26&gt;=HI$35,HG26&lt;&gt;""),AND(HY26&gt;=IE$31,IA26&gt;=IE$35,HY26&lt;&gt;""),AND(IC26&gt;=IE$31,ID26&gt;=IE$35,IC26&lt;&gt;""),AND(IU26&gt;=JA$31,IW26&gt;=JA$35,IU26&lt;&gt;""),AND(IY26&gt;=JA$31,IZ26&gt;=JA$35,IY26&lt;&gt;""),AND(JQ26&gt;=JW$31,JS26&gt;=JW$35,JQ26&lt;&gt;""),AND(JU26&gt;=JW$31,JV26&gt;=JW$35,JU26&lt;&gt;""),AND(KM26&gt;=KS$31,KO26&gt;=KS$35,KM26&lt;&gt;""),AND(KQ26&gt;=KS$31,KR26&gt;=KS$35,KQ26&lt;&gt;""),AND(LI26&gt;=LO$31,LK26&gt;=LO$35,LI26&lt;&gt;""),AND(LM26&gt;=LO$31,LN26&gt;=LO$35,LM26&lt;&gt;""),AND(ME26&gt;=MK$31,MG26&gt;=MK$35,ME26&lt;&gt;""),AND(MI26&gt;=MK$31,MJ26&gt;=MK$35,MI26&lt;&gt;""),AND(NA26&gt;=NG$31,NC26&gt;=NG$35,NA26&lt;&gt;""),AND(NE26&gt;=NG$31,NF26&gt;=NG$35,NE26&lt;&gt;"")),"P","")</f>
        <v/>
      </c>
      <c r="G26" s="3" t="str">
        <f>IF(OR(AND(AM26&gt;=AS$35,AL26&lt;&gt;"",AJ26=""),AND(AO26&gt;=AS$35,AN26&lt;&gt;"",AN26=""),AND(AR26&gt;=AS$35,AQ26&lt;&gt;"",AJ26=""),AND(BQ26&gt;=BW$35,BP26&lt;&gt;"",BN26=""),AND(BS26&gt;=BW$35,BR26&lt;&gt;"",BN26=""),AND(BV26&gt;=BW$35,BU26&lt;&gt;"",BN26=""),AND(CU26&gt;=DA$35,CT26&lt;&gt;"",CR26=""),AND(CW26&gt;=DA$35,CV26&lt;&gt;"",CR26=""),AND(CZ26&gt;=DA$35,CY26&lt;&gt;"",CR26=""),AND(DU26&gt;=DY$35,DS26&lt;&gt;""),AND(DX26&gt;=DY$35,DW26&lt;&gt;""),AND(EQ26&gt;=EU$35,EO26&lt;&gt;""),AND(ET26&gt;=EU$35,ES26&lt;&gt;""),AND(FM26&gt;=FQ$35,FK26&lt;&gt;""),AND(FP26&gt;=FQ$35,FO26&lt;&gt;""),AND(GI26&gt;=GM$35,GG26&lt;&gt;""),AND(GL26&gt;=GM$35,GK26&lt;&gt;""),AND(HE26&gt;=HI$35,HC26&lt;&gt;""),AND(HH26&gt;=HI$35,HG26&lt;&gt;""),AND(IA26&gt;=IE$35,HY26&lt;&gt;""),AND(ID26&gt;=IE$35,IC26&lt;&gt;""),AND(IW26&gt;=JA$35,IU26&lt;&gt;""),AND(IZ26&gt;=JA$35,IY26&lt;&gt;""),AND(JS26&gt;=JW$35,JQ26&lt;&gt;""),AND(JV26&gt;=JW$35,JU26&lt;&gt;""),AND(KO26&gt;=KS$35,KM26&lt;&gt;""),AND(KR26&gt;=KS$35,KQ26&lt;&gt;""),AND(LK26&gt;=LO$35,LI26&lt;&gt;""),AND(LN26&gt;=LO$35,LM26&lt;&gt;""),AND(MG26&gt;=MK$35,ME26&lt;&gt;""),AND(MJ26&gt;=MK$35,MI26&lt;&gt;""),AND(NC26&gt;=NG$35,NA26&lt;&gt;""),AND(NF26&gt;=NG$35,NE26&lt;&gt;"")),"P","")</f>
        <v/>
      </c>
      <c r="H26" s="67" t="str">
        <f>IF(F26="P","National Team",IF(G26="P","No DD",""))</f>
        <v/>
      </c>
      <c r="I26" s="14">
        <f>MAX(AM26,AO26,AR26,BQ26,BS26,BV26,CU26,CW26,CZ26)</f>
        <v>24.35</v>
      </c>
      <c r="J26" s="14" t="str">
        <f>IF(I26=0,"",IF(OR(I26=CW26,I26=CU26,I26=CZ26),$BX$1,IF(OR(I26=BS26,I26=BQ26,I26=BV26),$AT$1,IF(OR(I26=AO26,I26=AM26,I26=AR26),$P$1,""))))</f>
        <v>2021 Elite Canada</v>
      </c>
      <c r="K26" s="14">
        <f>IF(COUNT(AM26,AO26,AR26,BQ26,BS26,BV26,CU26,CW26,CZ26)&gt;1,LARGE((AM26,AO26,AR26,BQ26,BS26,BV26,CU26,CW26,CZ26),2),0)</f>
        <v>10.365</v>
      </c>
      <c r="L26" s="14" t="str">
        <f>IF(K26=0,"",IF(OR(K26=CW26,K26=CU26,K26=CZ26),$BX$1,IF(OR(K26=BS26,K26=BQ26,K26=BV26),$AT$1,IF(OR(K26=AO26,K26=AM26,K26=AR26),$P$1,""))))</f>
        <v>2021 Canadian Championships</v>
      </c>
      <c r="M26" s="14" t="str">
        <f>IF(MAX(DB26,DC26)&gt;0,MAX(DB26,DC26),"")</f>
        <v/>
      </c>
      <c r="N26" s="20" t="str">
        <f>IF(M26="","",IF(M26=#REF!,"(Vol 1)",IF(M26=DB26,"(Vol 2)",IF(M26=#REF!,"(Prelim)",IF(M26=DC26,"(Final)")))))</f>
        <v/>
      </c>
      <c r="O26" s="14" t="str">
        <f>IF(M26="","",IF(M26=#REF!,IF(M26+IF(#REF!="",0,#REF!)=NB26,$ML$1,IF(M26+IF(#REF!="",0,#REF!)=MF26,$LP$1,IF(M26+IF(#REF!="",0,#REF!)=LJ26,$KT$1,IF(M26+IF(#REF!="",0,#REF!)=KN26,$JX$1,IF(M26+IF(#REF!="",0,#REF!)=JR26,$JB$1,IF(M26+IF(#REF!="",0,#REF!)=IV26,$IF$1,IF(M26+IF(#REF!="",0,#REF!)=HZ26,$HJ$1,IF(M26+IF(#REF!="",0,#REF!)=HD26,$GN$1,IF(M26+IF(#REF!="",0,#REF!)=GH26,$FR$1,IF(M26+IF(#REF!="",0,#REF!)=FL26,$EV$1,IF(M26+IF(#REF!="",0,#REF!)=EP26,$DZ$1,IF(M26+IF(#REF!="",0,#REF!)=DT26,$DD$1)))))))))))),IF(M26=DB26,IF(M26+IF(I26="",0,I26)=NC26,$ML$1,IF(M26+IF(I26="",0,I26)=MG26,$LP$1,IF(M26+IF(I26="",0,I26)=LK26,$KT$1,IF(M26+IF(I26="",0,I26)=KO26,$JX$1,IF(M26+IF(I26="",0,I26)=JS26,$JB$1,IF(M26+IF(I26="",0,I26)=IW26,$IF$1,IF(M26+IF(I26="",0,I26)=IA26,$HJ$1,IF(M26+IF(I26="",0,I26)=HE26,$GN$1,IF(M26+IF(I26="",0,I26)=GI26,$FR$1,IF(M26+IF(I26="",0,I26)=FM26,$EV$1,IF(M26+IF(I26="",0,I26)=EQ26,$DZ$1,IF(M26+IF(I26="",0,I26)=DU26,$DD$1)))))))))))),IF(M26=#REF!,IF(M26+IF(#REF!="",0,#REF!)=ND26,$ML$1,IF(M26+IF(#REF!="",0,#REF!)=MH26,$LP$1,IF(M26+IF(#REF!="",0,#REF!)=LL26,$KT$1,IF(M26+IF(#REF!="",0,#REF!)=KP26,$JX$1,IF(M26+IF(#REF!="",0,#REF!)=JT26,$JB$1,IF(M26+IF(#REF!="",0,#REF!)=IX26,$IF$1,IF(M26+IF(#REF!="",0,#REF!)=IB26,$HJ$1,IF(M26+IF(#REF!="",0,#REF!)=HF26,$GN$1,IF(M26+IF(#REF!="",0,#REF!)=GJ26,$FR$1,IF(M26+IF(#REF!="",0,#REF!)=FN26,$EV$1,IF(M26+IF(#REF!="",0,#REF!)=ER26,$DZ$1,IF(M26+IF(#REF!="",0,#REF!)=DV26,$DD$1)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))</f>
        <v/>
      </c>
      <c r="P26" s="38">
        <v>14.5</v>
      </c>
      <c r="Q26" s="38">
        <v>9.1999999999999993</v>
      </c>
      <c r="R26" s="38">
        <v>2.9</v>
      </c>
      <c r="S26" s="38">
        <v>15.175000000000001</v>
      </c>
      <c r="T26" s="38">
        <v>0</v>
      </c>
      <c r="U26" s="38">
        <v>7.4</v>
      </c>
      <c r="V26" s="38">
        <v>4.3</v>
      </c>
      <c r="W26" s="38">
        <v>5.3</v>
      </c>
      <c r="X26" s="38">
        <v>7.35</v>
      </c>
      <c r="Y26" s="38">
        <v>0</v>
      </c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45"/>
      <c r="AK26" s="11">
        <f>IF(SUM(P26:S26)-T26&gt;0,SUM(P26:S26)-T26,"")</f>
        <v>41.774999999999999</v>
      </c>
      <c r="AL26" s="11">
        <f>IF(W26&gt;0,W26,"")</f>
        <v>5.3</v>
      </c>
      <c r="AM26" s="11">
        <f>IF(SUM(U26:X26)-Y26&gt;0,SUM(U26:X26)-Y26,"")</f>
        <v>24.35</v>
      </c>
      <c r="AN26" s="11" t="str">
        <f>IF(AB26&gt;0,AB26,"")</f>
        <v/>
      </c>
      <c r="AO26" s="11" t="str">
        <f>IF(SUM(Z26:AC26)-AD26&gt;0,SUM(Z26:AC26)-AD26,"")</f>
        <v/>
      </c>
      <c r="AP26" s="11">
        <f>IF(AK26="",IF(MAX(AM26,AO26)&gt;0,MAX(AM26,AO26),""),MAX(AM26,AO26)+AK26)</f>
        <v>66.125</v>
      </c>
      <c r="AQ26" s="11" t="str">
        <f>IF(AG26&gt;0,AG26,"")</f>
        <v/>
      </c>
      <c r="AR26" s="11" t="str">
        <f>IF(SUM(AE26:AH26)-AI26&gt;0,SUM(AE26:AH26)-AI26,"")</f>
        <v/>
      </c>
      <c r="AS26" s="11">
        <f>IF(SUM(AP26,AR26)&gt;0,SUM(AP26,AR26),"")</f>
        <v>66.125</v>
      </c>
      <c r="AT26" s="42">
        <v>15.1</v>
      </c>
      <c r="AU26" s="42">
        <v>8.8000000000000007</v>
      </c>
      <c r="AV26" s="42">
        <v>2.9</v>
      </c>
      <c r="AW26" s="42">
        <v>15.46</v>
      </c>
      <c r="AX26" s="42">
        <v>0</v>
      </c>
      <c r="AY26" s="42">
        <v>3</v>
      </c>
      <c r="AZ26" s="42">
        <v>1.7</v>
      </c>
      <c r="BA26" s="42">
        <v>2.5</v>
      </c>
      <c r="BB26" s="42">
        <v>3.165</v>
      </c>
      <c r="BC26" s="42">
        <v>0</v>
      </c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6"/>
      <c r="BO26" s="14">
        <f>IF(SUM(AT26:AW26)-AX26&gt;0,SUM(AT26:AW26)-AX26,"")</f>
        <v>42.26</v>
      </c>
      <c r="BP26" s="14">
        <f>IF(BA26&gt;0,BA26,"")</f>
        <v>2.5</v>
      </c>
      <c r="BQ26" s="14">
        <f>IF(SUM(AY26:BB26)-BC26&gt;0,SUM(AY26:BB26)-BC26,"")</f>
        <v>10.365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52.625</v>
      </c>
      <c r="BU26" s="14" t="str">
        <f>IF(BK26&gt;0,BK26,"")</f>
        <v/>
      </c>
      <c r="BV26" s="14" t="str">
        <f>IF(SUM(BI26:BL26)-BM26&gt;0,SUM(BI26:BL26)-BM26,"")</f>
        <v/>
      </c>
      <c r="BW26" s="14">
        <f>IF(SUM(BT26,BV26)&gt;0,SUM(BT26,BV26),"")</f>
        <v>52.625</v>
      </c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45"/>
      <c r="CS26" s="11" t="str">
        <f>IF(SUM(BX26:CA26)-CB26&gt;0,SUM(BX26:CA26)-CB26,"")</f>
        <v/>
      </c>
      <c r="CT26" s="11" t="str">
        <f>IF(CE26&gt;0,CE26,"")</f>
        <v/>
      </c>
      <c r="CU26" s="11" t="str">
        <f>IF(SUM(CC26:CF26)-CG26&gt;0,SUM(CC26:CF26)-CG26,"")</f>
        <v/>
      </c>
      <c r="CV26" s="11" t="str">
        <f>IF(CJ26&gt;0,CJ26,"")</f>
        <v/>
      </c>
      <c r="CW26" s="11" t="str">
        <f>IF(SUM(CH26:CK26)-CL26&gt;0,SUM(CH26:CK26)-CL26,"")</f>
        <v/>
      </c>
      <c r="CX26" s="11" t="str">
        <f>IF(CS26="",IF(MAX(CU26,CW26)&gt;0,MAX(CU26,CW26),""),MAX(CU26,CW26)+CS26)</f>
        <v/>
      </c>
      <c r="CY26" s="11" t="str">
        <f>IF(CO26&gt;0,CO26,"")</f>
        <v/>
      </c>
      <c r="CZ26" s="11" t="str">
        <f>IF(SUM(CM26:CP26)-CQ26&gt;0,SUM(CM26:CP26)-CQ26,"")</f>
        <v/>
      </c>
      <c r="DA26" s="11" t="str">
        <f>IF(SUM(CX26,CZ26)&gt;0,SUM(CX26,CZ26),"")</f>
        <v/>
      </c>
      <c r="DB26" s="19" t="str">
        <f>IF(I26&gt;=0.001,IF(MAX(DU26,EQ26,FM26,GI26,HE26,IA26,IW26,JS26,KO26,LK26,MG26,NC26)-IF(I26="",0,I26)&gt;0.001,MAX(DU26,EQ26,FM26,GI26,HE26,IA26,IW26,JS26,KO26,LK26,MG26,NC26)-IF(I26="",0,I26),""),"")</f>
        <v/>
      </c>
      <c r="DC26" s="19" t="str">
        <f>IF(K26&gt;=0.001,IF(MAX(DX26,ET26,FP26,GL26,HH26,ID26,IZ26,JV26,KR26,LN26,MJ26,NF26)-IF(K26="",0,K26)&gt;0.001,MAX(DX26,ET26,FP26,GL26,HH26,ID26,IZ26,JV26,KR26,LN26,MJ26,NF26)-IF(K26="",0,K26),""),"")</f>
        <v/>
      </c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6"/>
      <c r="JM26" s="26"/>
      <c r="JN26" s="26"/>
      <c r="JO26" s="26"/>
      <c r="JP26" s="26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6"/>
      <c r="MM26" s="26"/>
      <c r="MN26" s="26"/>
      <c r="MO26" s="26"/>
      <c r="MP26" s="26"/>
      <c r="MQ26" s="26"/>
      <c r="MR26" s="26"/>
      <c r="MS26" s="26"/>
      <c r="MT26" s="26"/>
      <c r="MU26" s="26"/>
      <c r="MV26" s="26"/>
      <c r="MW26" s="26"/>
      <c r="MX26" s="26"/>
      <c r="MY26" s="26"/>
      <c r="MZ26" s="26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8">
        <f>IF($CR26="P",BX26,(BX26+AT26)/2)</f>
        <v>7.55</v>
      </c>
      <c r="NI26" s="38">
        <f>IF($CR26="P",BY26,(BY26+AU26)/2)</f>
        <v>4.4000000000000004</v>
      </c>
      <c r="NJ26" s="38">
        <f>IF($CR26="P",BZ26,(BZ26+AV26)/2)</f>
        <v>1.45</v>
      </c>
      <c r="NK26" s="38">
        <f>IF($CR26="P",CA26,(CA26+AW26)/2)</f>
        <v>7.73</v>
      </c>
      <c r="NL26" s="38">
        <f>IF($CR26="P",CB26,(CB26+AX26)/2)</f>
        <v>0</v>
      </c>
      <c r="NM26" s="38">
        <f>IF($CR26="P",CC26,(CC26+AY26)/2)</f>
        <v>1.5</v>
      </c>
      <c r="NN26" s="38">
        <f>IF($CR26="P",CD26,(CD26+AZ26)/2)</f>
        <v>0.85</v>
      </c>
      <c r="NO26" s="38">
        <f>IF($CR26="P",CE26,(CE26+BA26)/2)</f>
        <v>1.25</v>
      </c>
      <c r="NP26" s="38">
        <f>IF($CR26="P",CF26,(CF26+BB26)/2)</f>
        <v>1.5825</v>
      </c>
      <c r="NQ26" s="38">
        <f>IF($CR26="P",CG26,(CG26+BC26)/2)</f>
        <v>0</v>
      </c>
      <c r="NR26" s="38">
        <f>IF($CR26="P",CH26,(CH26+BD26)/2)</f>
        <v>0</v>
      </c>
      <c r="NS26" s="38">
        <f>IF($CR26="P",CI26,(CI26+BE26)/2)</f>
        <v>0</v>
      </c>
      <c r="NT26" s="38">
        <f>IF($CR26="P",CJ26,(CJ26+BF26)/2)</f>
        <v>0</v>
      </c>
      <c r="NU26" s="38">
        <f>IF($CR26="P",CK26,(CK26+BG26)/2)</f>
        <v>0</v>
      </c>
      <c r="NV26" s="38">
        <f>IF($CR26="P",CL26,(CL26+BH26)/2)</f>
        <v>0</v>
      </c>
      <c r="NW26" s="38">
        <f>IF($CR26="P",CM26,(CM26+BI26)/2)</f>
        <v>0</v>
      </c>
      <c r="NX26" s="38">
        <f>IF($CR26="P",CN26,(CN26+BJ26)/2)</f>
        <v>0</v>
      </c>
      <c r="NY26" s="38">
        <f>IF($CR26="P",CO26,(CO26+BK26)/2)</f>
        <v>0</v>
      </c>
      <c r="NZ26" s="38">
        <f>IF($CR26="P",CP26,(CP26+BL26)/2)</f>
        <v>0</v>
      </c>
      <c r="OA26" s="38">
        <f>IF($CR26="P",CQ26,(CQ26+BM26)/2)</f>
        <v>0</v>
      </c>
      <c r="OB26" s="45" t="s">
        <v>46</v>
      </c>
      <c r="OC26" s="11">
        <f>IF(SUM(NH26:NK26)-NL26&gt;0,SUM(NH26:NK26)-NL26,"")</f>
        <v>21.13</v>
      </c>
      <c r="OD26" s="11">
        <f>IF(NO26&gt;0,NO26,"")</f>
        <v>1.25</v>
      </c>
      <c r="OE26" s="11">
        <f>IF(SUM(NM26:NP26)-NQ26&gt;0,SUM(NM26:NP26)-NQ26,"")</f>
        <v>5.1825000000000001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26.3125</v>
      </c>
      <c r="OI26" s="11" t="str">
        <f>IF(NY26&gt;0,NY26,"")</f>
        <v/>
      </c>
      <c r="OJ26" s="11" t="str">
        <f t="shared" ref="OJ26" si="38">IF(SUM(NW26:NZ26)-OA26&gt;0,SUM(NW26:NZ26)-OA26,"")</f>
        <v/>
      </c>
      <c r="OK26" s="11">
        <f t="shared" ref="OK26" si="39">IF(SUM(OH26,OJ26)&gt;0,SUM(OH26,OJ26),"")</f>
        <v>26.3125</v>
      </c>
    </row>
    <row r="27" spans="1:401" x14ac:dyDescent="0.2">
      <c r="A27" s="5" t="str" cm="1">
        <f t="array" ref="A27">IF(AND(F27="P",G27="P"),SUMPRODUCT((F$4:F$29="P")*(G$4:G$29="P")*(E$4:E$29&gt;E27))+1,IF(G27="P",SUMPRODUCT((F$4:F$29="")*(G$4:G$29="P")*(E$4:E$29&gt;E27))+1+SUMPRODUCT((F$4:F$29="P")*(G$4:G$29="P")),""))</f>
        <v/>
      </c>
      <c r="B27" s="8" t="s">
        <v>86</v>
      </c>
      <c r="C27" s="4" t="s">
        <v>5</v>
      </c>
      <c r="D27" s="22">
        <v>2003</v>
      </c>
      <c r="E27" s="15">
        <f>SUM(I27:M27)</f>
        <v>22.794999999999998</v>
      </c>
      <c r="F27" s="3" t="str">
        <f>IF(OR(AND(AL27&gt;=AS$31,AM27&gt;=AS$35,AL27&lt;&gt;"",AJ27=""),AND(AN27&gt;=AS$31,AO27&gt;=AS$35,AN27&lt;&gt;"",AN27=""),AND(AQ27&gt;=AS$31,AR27&gt;=AS$35,AQ27&lt;&gt;"",AJ27=""),AND(BP27&gt;=BW$31,BQ27&gt;=BW$35,BP27&lt;&gt;"",BN27=""),AND(BR27&gt;=BW$31,BS27&gt;=BW$35,BR27&lt;&gt;"",BN27=""),AND(BU27&gt;=BW$31,BV27&gt;=BW$35,BU27&lt;&gt;"",BN27=""),AND(CT27&gt;=DA$31,CU27&gt;=DA$35,CT27&lt;&gt;"",CR27=""),AND(CV27&gt;=DA$31,CW27&gt;=DA$35,CV27&lt;&gt;"",CR27=""),AND(CY27&gt;=DA$31,CZ27&gt;=DA$35,CY27&lt;&gt;"",CR27=""),AND(DS27&gt;=DY$31,DU27&gt;=DY$35,DS27&lt;&gt;""),AND(DW27&gt;=DY$31,DX27&gt;=DY$35,DW27&lt;&gt;""),AND(EO27&gt;=EU$31,EQ27&gt;=EU$35,EO27&lt;&gt;""),AND(ES27&gt;=EU$31,ET27&gt;=EU$35,ES27&lt;&gt;""),AND(FK27&gt;=FQ$31,FM27&gt;=FQ$35,FK27&lt;&gt;""),AND(FO27&gt;=FQ$31,FP27&gt;=FQ$35,FO27&lt;&gt;""),AND(GG27&gt;=GM$31,GI27&gt;=GM$35,GG27&lt;&gt;""),AND(GK27&gt;=GM$31,GL27&gt;=GM$35,GK27&lt;&gt;""),AND(HC27&gt;=HI$31,HE27&gt;=HI$35,HC27&lt;&gt;""),AND(HG27&gt;=HI$31,HH27&gt;=HI$35,HG27&lt;&gt;""),AND(HY27&gt;=IE$31,IA27&gt;=IE$35,HY27&lt;&gt;""),AND(IC27&gt;=IE$31,ID27&gt;=IE$35,IC27&lt;&gt;""),AND(IU27&gt;=JA$31,IW27&gt;=JA$35,IU27&lt;&gt;""),AND(IY27&gt;=JA$31,IZ27&gt;=JA$35,IY27&lt;&gt;""),AND(JQ27&gt;=JW$31,JS27&gt;=JW$35,JQ27&lt;&gt;""),AND(JU27&gt;=JW$31,JV27&gt;=JW$35,JU27&lt;&gt;""),AND(KM27&gt;=KS$31,KO27&gt;=KS$35,KM27&lt;&gt;""),AND(KQ27&gt;=KS$31,KR27&gt;=KS$35,KQ27&lt;&gt;""),AND(LI27&gt;=LO$31,LK27&gt;=LO$35,LI27&lt;&gt;""),AND(LM27&gt;=LO$31,LN27&gt;=LO$35,LM27&lt;&gt;""),AND(ME27&gt;=MK$31,MG27&gt;=MK$35,ME27&lt;&gt;""),AND(MI27&gt;=MK$31,MJ27&gt;=MK$35,MI27&lt;&gt;""),AND(NA27&gt;=NG$31,NC27&gt;=NG$35,NA27&lt;&gt;""),AND(NE27&gt;=NG$31,NF27&gt;=NG$35,NE27&lt;&gt;"")),"P","")</f>
        <v/>
      </c>
      <c r="G27" s="3" t="str">
        <f>IF(OR(AND(AM27&gt;=AS$35,AL27&lt;&gt;"",AJ27=""),AND(AO27&gt;=AS$35,AN27&lt;&gt;"",AN27=""),AND(AR27&gt;=AS$35,AQ27&lt;&gt;"",AJ27=""),AND(BQ27&gt;=BW$35,BP27&lt;&gt;"",BN27=""),AND(BS27&gt;=BW$35,BR27&lt;&gt;"",BN27=""),AND(BV27&gt;=BW$35,BU27&lt;&gt;"",BN27=""),AND(CU27&gt;=DA$35,CT27&lt;&gt;"",CR27=""),AND(CW27&gt;=DA$35,CV27&lt;&gt;"",CR27=""),AND(CZ27&gt;=DA$35,CY27&lt;&gt;"",CR27=""),AND(DU27&gt;=DY$35,DS27&lt;&gt;""),AND(DX27&gt;=DY$35,DW27&lt;&gt;""),AND(EQ27&gt;=EU$35,EO27&lt;&gt;""),AND(ET27&gt;=EU$35,ES27&lt;&gt;""),AND(FM27&gt;=FQ$35,FK27&lt;&gt;""),AND(FP27&gt;=FQ$35,FO27&lt;&gt;""),AND(GI27&gt;=GM$35,GG27&lt;&gt;""),AND(GL27&gt;=GM$35,GK27&lt;&gt;""),AND(HE27&gt;=HI$35,HC27&lt;&gt;""),AND(HH27&gt;=HI$35,HG27&lt;&gt;""),AND(IA27&gt;=IE$35,HY27&lt;&gt;""),AND(ID27&gt;=IE$35,IC27&lt;&gt;""),AND(IW27&gt;=JA$35,IU27&lt;&gt;""),AND(IZ27&gt;=JA$35,IY27&lt;&gt;""),AND(JS27&gt;=JW$35,JQ27&lt;&gt;""),AND(JV27&gt;=JW$35,JU27&lt;&gt;""),AND(KO27&gt;=KS$35,KM27&lt;&gt;""),AND(KR27&gt;=KS$35,KQ27&lt;&gt;""),AND(LK27&gt;=LO$35,LI27&lt;&gt;""),AND(LN27&gt;=LO$35,LM27&lt;&gt;""),AND(MG27&gt;=MK$35,ME27&lt;&gt;""),AND(MJ27&gt;=MK$35,MI27&lt;&gt;""),AND(NC27&gt;=NG$35,NA27&lt;&gt;""),AND(NF27&gt;=NG$35,NE27&lt;&gt;"")),"P","")</f>
        <v/>
      </c>
      <c r="H27" s="67" t="str">
        <f>IF(F27="P","National Team",IF(G27="P","No DD",""))</f>
        <v/>
      </c>
      <c r="I27" s="14">
        <f>MAX(AM27,AO27,AR27,BQ27,BS27,BV27,CU27,CW27,CZ27)</f>
        <v>22.794999999999998</v>
      </c>
      <c r="J27" s="14" t="str">
        <f>IF(I27=0,"",IF(OR(I27=CW27,I27=CU27,I27=CZ27),$BX$1,IF(OR(I27=BS27,I27=BQ27,I27=BV27),$AT$1,IF(OR(I27=AO27,I27=AM27,I27=AR27),$P$1,""))))</f>
        <v>2021 Canadian Championships</v>
      </c>
      <c r="K27" s="14">
        <f>IF(COUNT(AM27,AO27,AR27,BQ27,BS27,BV27,CU27,CW27,CZ27)&gt;1,LARGE((AM27,AO27,AR27,BQ27,BS27,BV27,CU27,CW27,CZ27),2),0)</f>
        <v>0</v>
      </c>
      <c r="L27" s="14" t="str">
        <f>IF(K27=0,"",IF(OR(K27=CW27,K27=CU27,K27=CZ27),$BX$1,IF(OR(K27=BS27,K27=BQ27,K27=BV27),$AT$1,IF(OR(K27=AO27,K27=AM27,K27=AR27),$P$1,""))))</f>
        <v/>
      </c>
      <c r="M27" s="14" t="str">
        <f>IF(MAX(DB27,DC27)&gt;0,MAX(DB27,DC27),"")</f>
        <v/>
      </c>
      <c r="N27" s="20" t="str">
        <f>IF(M27="","",IF(M27=#REF!,"(Vol 1)",IF(M27=DB27,"(Vol 2)",IF(M27=#REF!,"(Prelim)",IF(M27=DC27,"(Final)")))))</f>
        <v/>
      </c>
      <c r="O27" s="14" t="str">
        <f>IF(M27="","",IF(M27=#REF!,IF(M27+IF(#REF!="",0,#REF!)=NB27,$ML$1,IF(M27+IF(#REF!="",0,#REF!)=MF27,$LP$1,IF(M27+IF(#REF!="",0,#REF!)=LJ27,$KT$1,IF(M27+IF(#REF!="",0,#REF!)=KN27,$JX$1,IF(M27+IF(#REF!="",0,#REF!)=JR27,$JB$1,IF(M27+IF(#REF!="",0,#REF!)=IV27,$IF$1,IF(M27+IF(#REF!="",0,#REF!)=HZ27,$HJ$1,IF(M27+IF(#REF!="",0,#REF!)=HD27,$GN$1,IF(M27+IF(#REF!="",0,#REF!)=GH27,$FR$1,IF(M27+IF(#REF!="",0,#REF!)=FL27,$EV$1,IF(M27+IF(#REF!="",0,#REF!)=EP27,$DZ$1,IF(M27+IF(#REF!="",0,#REF!)=DT27,$DD$1)))))))))))),IF(M27=DB27,IF(M27+IF(I27="",0,I27)=NC27,$ML$1,IF(M27+IF(I27="",0,I27)=MG27,$LP$1,IF(M27+IF(I27="",0,I27)=LK27,$KT$1,IF(M27+IF(I27="",0,I27)=KO27,$JX$1,IF(M27+IF(I27="",0,I27)=JS27,$JB$1,IF(M27+IF(I27="",0,I27)=IW27,$IF$1,IF(M27+IF(I27="",0,I27)=IA27,$HJ$1,IF(M27+IF(I27="",0,I27)=HE27,$GN$1,IF(M27+IF(I27="",0,I27)=GI27,$FR$1,IF(M27+IF(I27="",0,I27)=FM27,$EV$1,IF(M27+IF(I27="",0,I27)=EQ27,$DZ$1,IF(M27+IF(I27="",0,I27)=DU27,$DD$1)))))))))))),IF(M27=#REF!,IF(M27+IF(#REF!="",0,#REF!)=ND27,$ML$1,IF(M27+IF(#REF!="",0,#REF!)=MH27,$LP$1,IF(M27+IF(#REF!="",0,#REF!)=LL27,$KT$1,IF(M27+IF(#REF!="",0,#REF!)=KP27,$JX$1,IF(M27+IF(#REF!="",0,#REF!)=JT27,$JB$1,IF(M27+IF(#REF!="",0,#REF!)=IX27,$IF$1,IF(M27+IF(#REF!="",0,#REF!)=IB27,$HJ$1,IF(M27+IF(#REF!="",0,#REF!)=HF27,$GN$1,IF(M27+IF(#REF!="",0,#REF!)=GJ27,$FR$1,IF(M27+IF(#REF!="",0,#REF!)=FN27,$EV$1,IF(M27+IF(#REF!="",0,#REF!)=ER27,$DZ$1,IF(M27+IF(#REF!="",0,#REF!)=DV27,$DD$1)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))</f>
        <v/>
      </c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45"/>
      <c r="AK27" s="11" t="str">
        <f>IF(SUM(P27:S27)-T27&gt;0,SUM(P27:S27)-T27,"")</f>
        <v/>
      </c>
      <c r="AL27" s="11" t="str">
        <f>IF(W27&gt;0,W27,"")</f>
        <v/>
      </c>
      <c r="AM27" s="11" t="str">
        <f>IF(SUM(U27:X27)-Y27&gt;0,SUM(U27:X27)-Y27,"")</f>
        <v/>
      </c>
      <c r="AN27" s="11" t="str">
        <f>IF(AB27&gt;0,AB27,"")</f>
        <v/>
      </c>
      <c r="AO27" s="11" t="str">
        <f>IF(SUM(Z27:AC27)-AD27&gt;0,SUM(Z27:AC27)-AD27,"")</f>
        <v/>
      </c>
      <c r="AP27" s="11" t="str">
        <f>IF(AK27="",IF(MAX(AM27,AO27)&gt;0,MAX(AM27,AO27),""),MAX(AM27,AO27)+AK27)</f>
        <v/>
      </c>
      <c r="AQ27" s="11" t="str">
        <f>IF(AG27&gt;0,AG27,"")</f>
        <v/>
      </c>
      <c r="AR27" s="11" t="str">
        <f>IF(SUM(AE27:AH27)-AI27&gt;0,SUM(AE27:AH27)-AI27,"")</f>
        <v/>
      </c>
      <c r="AS27" s="11" t="str">
        <f>IF(SUM(AP27,AR27)&gt;0,SUM(AP27,AR27),"")</f>
        <v/>
      </c>
      <c r="AT27" s="42">
        <v>15.4</v>
      </c>
      <c r="AU27" s="42">
        <v>9.4</v>
      </c>
      <c r="AV27" s="42">
        <v>1.4</v>
      </c>
      <c r="AW27" s="42">
        <v>13.64</v>
      </c>
      <c r="AX27" s="42">
        <v>0</v>
      </c>
      <c r="AY27" s="42">
        <v>6.1</v>
      </c>
      <c r="AZ27" s="42">
        <v>4.7</v>
      </c>
      <c r="BA27" s="42">
        <v>5.6</v>
      </c>
      <c r="BB27" s="42">
        <v>6.3949999999999996</v>
      </c>
      <c r="BC27" s="42">
        <v>0</v>
      </c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6"/>
      <c r="BO27" s="14">
        <f>IF(SUM(AT27:AW27)-AX27&gt;0,SUM(AT27:AW27)-AX27,"")</f>
        <v>39.840000000000003</v>
      </c>
      <c r="BP27" s="14">
        <f>IF(BA27&gt;0,BA27,"")</f>
        <v>5.6</v>
      </c>
      <c r="BQ27" s="14">
        <f>IF(SUM(AY27:BB27)-BC27&gt;0,SUM(AY27:BB27)-BC27,"")</f>
        <v>22.794999999999998</v>
      </c>
      <c r="BR27" s="14" t="str">
        <f>IF(BF27&gt;0,BF27,"")</f>
        <v/>
      </c>
      <c r="BS27" s="14" t="str">
        <f>IF(SUM(BD27:BG27)-BH27&gt;0,SUM(BD27:BG27)-BH27,"")</f>
        <v/>
      </c>
      <c r="BT27" s="14">
        <f>IF(BO27="",IF(MAX(BQ27,BS27)&gt;0,MAX(BQ27,BS27),""),MAX(BQ27,BS27)+BO27)</f>
        <v>62.635000000000005</v>
      </c>
      <c r="BU27" s="14" t="str">
        <f>IF(BK27&gt;0,BK27,"")</f>
        <v/>
      </c>
      <c r="BV27" s="14" t="str">
        <f>IF(SUM(BI27:BL27)-BM27&gt;0,SUM(BI27:BL27)-BM27,"")</f>
        <v/>
      </c>
      <c r="BW27" s="14">
        <f>IF(SUM(BT27,BV27)&gt;0,SUM(BT27,BV27),"")</f>
        <v>62.635000000000005</v>
      </c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45"/>
      <c r="CS27" s="11" t="str">
        <f>IF(SUM(BX27:CA27)-CB27&gt;0,SUM(BX27:CA27)-CB27,"")</f>
        <v/>
      </c>
      <c r="CT27" s="11" t="str">
        <f>IF(CE27&gt;0,CE27,"")</f>
        <v/>
      </c>
      <c r="CU27" s="11" t="str">
        <f>IF(SUM(CC27:CF27)-CG27&gt;0,SUM(CC27:CF27)-CG27,"")</f>
        <v/>
      </c>
      <c r="CV27" s="11" t="str">
        <f>IF(CJ27&gt;0,CJ27,"")</f>
        <v/>
      </c>
      <c r="CW27" s="11" t="str">
        <f>IF(SUM(CH27:CK27)-CL27&gt;0,SUM(CH27:CK27)-CL27,"")</f>
        <v/>
      </c>
      <c r="CX27" s="11" t="str">
        <f>IF(CS27="",IF(MAX(CU27,CW27)&gt;0,MAX(CU27,CW27),""),MAX(CU27,CW27)+CS27)</f>
        <v/>
      </c>
      <c r="CY27" s="11" t="str">
        <f>IF(CO27&gt;0,CO27,"")</f>
        <v/>
      </c>
      <c r="CZ27" s="11" t="str">
        <f>IF(SUM(CM27:CP27)-CQ27&gt;0,SUM(CM27:CP27)-CQ27,"")</f>
        <v/>
      </c>
      <c r="DA27" s="11" t="str">
        <f>IF(SUM(CX27,CZ27)&gt;0,SUM(CX27,CZ27),"")</f>
        <v/>
      </c>
      <c r="DB27" s="19" t="str">
        <f>IF(I27&gt;=0.001,IF(MAX(DU27,EQ27,FM27,GI27,HE27,IA27,IW27,JS27,KO27,LK27,MG27,NC27)-IF(I27="",0,I27)&gt;0.001,MAX(DU27,EQ27,FM27,GI27,HE27,IA27,IW27,JS27,KO27,LK27,MG27,NC27)-IF(I27="",0,I27),""),"")</f>
        <v/>
      </c>
      <c r="DC27" s="19" t="str">
        <f>IF(K27&gt;=0.001,IF(MAX(DX27,ET27,FP27,GL27,HH27,ID27,IZ27,JV27,KR27,LN27,MJ27,NF27)-IF(K27="",0,K27)&gt;0.001,MAX(DX27,ET27,FP27,GL27,HH27,ID27,IZ27,JV27,KR27,LN27,MJ27,NF27)-IF(K27="",0,K27),""),"")</f>
        <v/>
      </c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8">
        <f>IF($CR27="P",BX27,(BX27+AT27)/2)</f>
        <v>7.7</v>
      </c>
      <c r="NI27" s="38">
        <f>IF($CR27="P",BY27,(BY27+AU27)/2)</f>
        <v>4.7</v>
      </c>
      <c r="NJ27" s="38">
        <f>IF($CR27="P",BZ27,(BZ27+AV27)/2)</f>
        <v>0.7</v>
      </c>
      <c r="NK27" s="38">
        <f>IF($CR27="P",CA27,(CA27+AW27)/2)</f>
        <v>6.82</v>
      </c>
      <c r="NL27" s="38">
        <f>IF($CR27="P",CB27,(CB27+AX27)/2)</f>
        <v>0</v>
      </c>
      <c r="NM27" s="38">
        <f>IF($CR27="P",CC27,(CC27+AY27)/2)</f>
        <v>3.05</v>
      </c>
      <c r="NN27" s="38">
        <f>IF($CR27="P",CD27,(CD27+AZ27)/2)</f>
        <v>2.35</v>
      </c>
      <c r="NO27" s="38">
        <f>IF($CR27="P",CE27,(CE27+BA27)/2)</f>
        <v>2.8</v>
      </c>
      <c r="NP27" s="38">
        <f>IF($CR27="P",CF27,(CF27+BB27)/2)</f>
        <v>3.1974999999999998</v>
      </c>
      <c r="NQ27" s="38">
        <f>IF($CR27="P",CG27,(CG27+BC27)/2)</f>
        <v>0</v>
      </c>
      <c r="NR27" s="38">
        <f>IF($CR27="P",CH27,(CH27+BD27)/2)</f>
        <v>0</v>
      </c>
      <c r="NS27" s="38">
        <f>IF($CR27="P",CI27,(CI27+BE27)/2)</f>
        <v>0</v>
      </c>
      <c r="NT27" s="38">
        <f>IF($CR27="P",CJ27,(CJ27+BF27)/2)</f>
        <v>0</v>
      </c>
      <c r="NU27" s="38">
        <f>IF($CR27="P",CK27,(CK27+BG27)/2)</f>
        <v>0</v>
      </c>
      <c r="NV27" s="38">
        <f>IF($CR27="P",CL27,(CL27+BH27)/2)</f>
        <v>0</v>
      </c>
      <c r="NW27" s="38">
        <f>IF($CR27="P",CM27,(CM27+BI27)/2)</f>
        <v>0</v>
      </c>
      <c r="NX27" s="38">
        <f>IF($CR27="P",CN27,(CN27+BJ27)/2)</f>
        <v>0</v>
      </c>
      <c r="NY27" s="38">
        <f>IF($CR27="P",CO27,(CO27+BK27)/2)</f>
        <v>0</v>
      </c>
      <c r="NZ27" s="38">
        <f>IF($CR27="P",CP27,(CP27+BL27)/2)</f>
        <v>0</v>
      </c>
      <c r="OA27" s="38">
        <f>IF($CR27="P",CQ27,(CQ27+BM27)/2)</f>
        <v>0</v>
      </c>
      <c r="OB27" s="45" t="s">
        <v>46</v>
      </c>
      <c r="OC27" s="11">
        <f>IF(SUM(NH27:NK27)-NL27&gt;0,SUM(NH27:NK27)-NL27,"")</f>
        <v>19.920000000000002</v>
      </c>
      <c r="OD27" s="11">
        <f>IF(NO27&gt;0,NO27,"")</f>
        <v>2.8</v>
      </c>
      <c r="OE27" s="11">
        <f>IF(SUM(NM27:NP27)-NQ27&gt;0,SUM(NM27:NP27)-NQ27,"")</f>
        <v>11.397499999999999</v>
      </c>
      <c r="OF27" s="11" t="str">
        <f>IF(NT27&gt;0,NT27,"")</f>
        <v/>
      </c>
      <c r="OG27" s="11" t="str">
        <f>IF(SUM(NR27:NU27)-NV27&gt;0,SUM(NR27:NU27)-NV27,"")</f>
        <v/>
      </c>
      <c r="OH27" s="11">
        <f>IF(OR(OC27&lt;&gt;"",OE27&lt;&gt;"",OG27&lt;&gt;""),OC27+MAX(OE27,OG27),"")</f>
        <v>31.317500000000003</v>
      </c>
      <c r="OI27" s="11" t="str">
        <f>IF(NY27&gt;0,NY27,"")</f>
        <v/>
      </c>
      <c r="OJ27" s="11" t="str">
        <f t="shared" ref="OJ27" si="40">IF(SUM(NW27:NZ27)-OA27&gt;0,SUM(NW27:NZ27)-OA27,"")</f>
        <v/>
      </c>
      <c r="OK27" s="11">
        <f t="shared" ref="OK27" si="41">IF(SUM(OH27,OJ27)&gt;0,SUM(OH27,OJ27),"")</f>
        <v>31.317500000000003</v>
      </c>
    </row>
    <row r="28" spans="1:401" x14ac:dyDescent="0.2">
      <c r="A28" s="5" t="str" cm="1">
        <f t="array" ref="A28">IF(AND(F28="P",G28="P"),SUMPRODUCT((F$4:F$29="P")*(G$4:G$29="P")*(E$4:E$29&gt;E28))+1,IF(G28="P",SUMPRODUCT((F$4:F$29="")*(G$4:G$29="P")*(E$4:E$29&gt;E28))+1+SUMPRODUCT((F$4:F$29="P")*(G$4:G$29="P")),""))</f>
        <v/>
      </c>
      <c r="B28" s="8" t="s">
        <v>92</v>
      </c>
      <c r="C28" s="4" t="s">
        <v>5</v>
      </c>
      <c r="D28" s="22">
        <v>2001</v>
      </c>
      <c r="E28" s="15">
        <f>SUM(I28:M28)</f>
        <v>21.14</v>
      </c>
      <c r="F28" s="3" t="str">
        <f>IF(OR(AND(AL28&gt;=AS$31,AM28&gt;=AS$35,AL28&lt;&gt;"",AJ28=""),AND(AN28&gt;=AS$31,AO28&gt;=AS$35,AN28&lt;&gt;"",AN28=""),AND(AQ28&gt;=AS$31,AR28&gt;=AS$35,AQ28&lt;&gt;"",AJ28=""),AND(BP28&gt;=BW$31,BQ28&gt;=BW$35,BP28&lt;&gt;"",BN28=""),AND(BR28&gt;=BW$31,BS28&gt;=BW$35,BR28&lt;&gt;"",BN28=""),AND(BU28&gt;=BW$31,BV28&gt;=BW$35,BU28&lt;&gt;"",BN28=""),AND(CT28&gt;=DA$31,CU28&gt;=DA$35,CT28&lt;&gt;"",CR28=""),AND(CV28&gt;=DA$31,CW28&gt;=DA$35,CV28&lt;&gt;"",CR28=""),AND(CY28&gt;=DA$31,CZ28&gt;=DA$35,CY28&lt;&gt;"",CR28=""),AND(DS28&gt;=DY$31,DU28&gt;=DY$35,DS28&lt;&gt;""),AND(DW28&gt;=DY$31,DX28&gt;=DY$35,DW28&lt;&gt;""),AND(EO28&gt;=EU$31,EQ28&gt;=EU$35,EO28&lt;&gt;""),AND(ES28&gt;=EU$31,ET28&gt;=EU$35,ES28&lt;&gt;""),AND(FK28&gt;=FQ$31,FM28&gt;=FQ$35,FK28&lt;&gt;""),AND(FO28&gt;=FQ$31,FP28&gt;=FQ$35,FO28&lt;&gt;""),AND(GG28&gt;=GM$31,GI28&gt;=GM$35,GG28&lt;&gt;""),AND(GK28&gt;=GM$31,GL28&gt;=GM$35,GK28&lt;&gt;""),AND(HC28&gt;=HI$31,HE28&gt;=HI$35,HC28&lt;&gt;""),AND(HG28&gt;=HI$31,HH28&gt;=HI$35,HG28&lt;&gt;""),AND(HY28&gt;=IE$31,IA28&gt;=IE$35,HY28&lt;&gt;""),AND(IC28&gt;=IE$31,ID28&gt;=IE$35,IC28&lt;&gt;""),AND(IU28&gt;=JA$31,IW28&gt;=JA$35,IU28&lt;&gt;""),AND(IY28&gt;=JA$31,IZ28&gt;=JA$35,IY28&lt;&gt;""),AND(JQ28&gt;=JW$31,JS28&gt;=JW$35,JQ28&lt;&gt;""),AND(JU28&gt;=JW$31,JV28&gt;=JW$35,JU28&lt;&gt;""),AND(KM28&gt;=KS$31,KO28&gt;=KS$35,KM28&lt;&gt;""),AND(KQ28&gt;=KS$31,KR28&gt;=KS$35,KQ28&lt;&gt;""),AND(LI28&gt;=LO$31,LK28&gt;=LO$35,LI28&lt;&gt;""),AND(LM28&gt;=LO$31,LN28&gt;=LO$35,LM28&lt;&gt;""),AND(ME28&gt;=MK$31,MG28&gt;=MK$35,ME28&lt;&gt;""),AND(MI28&gt;=MK$31,MJ28&gt;=MK$35,MI28&lt;&gt;""),AND(NA28&gt;=NG$31,NC28&gt;=NG$35,NA28&lt;&gt;""),AND(NE28&gt;=NG$31,NF28&gt;=NG$35,NE28&lt;&gt;"")),"P","")</f>
        <v/>
      </c>
      <c r="G28" s="3" t="str">
        <f>IF(OR(AND(AM28&gt;=AS$35,AL28&lt;&gt;"",AJ28=""),AND(AO28&gt;=AS$35,AN28&lt;&gt;"",AN28=""),AND(AR28&gt;=AS$35,AQ28&lt;&gt;"",AJ28=""),AND(BQ28&gt;=BW$35,BP28&lt;&gt;"",BN28=""),AND(BS28&gt;=BW$35,BR28&lt;&gt;"",BN28=""),AND(BV28&gt;=BW$35,BU28&lt;&gt;"",BN28=""),AND(CU28&gt;=DA$35,CT28&lt;&gt;"",CR28=""),AND(CW28&gt;=DA$35,CV28&lt;&gt;"",CR28=""),AND(CZ28&gt;=DA$35,CY28&lt;&gt;"",CR28=""),AND(DU28&gt;=DY$35,DS28&lt;&gt;""),AND(DX28&gt;=DY$35,DW28&lt;&gt;""),AND(EQ28&gt;=EU$35,EO28&lt;&gt;""),AND(ET28&gt;=EU$35,ES28&lt;&gt;""),AND(FM28&gt;=FQ$35,FK28&lt;&gt;""),AND(FP28&gt;=FQ$35,FO28&lt;&gt;""),AND(GI28&gt;=GM$35,GG28&lt;&gt;""),AND(GL28&gt;=GM$35,GK28&lt;&gt;""),AND(HE28&gt;=HI$35,HC28&lt;&gt;""),AND(HH28&gt;=HI$35,HG28&lt;&gt;""),AND(IA28&gt;=IE$35,HY28&lt;&gt;""),AND(ID28&gt;=IE$35,IC28&lt;&gt;""),AND(IW28&gt;=JA$35,IU28&lt;&gt;""),AND(IZ28&gt;=JA$35,IY28&lt;&gt;""),AND(JS28&gt;=JW$35,JQ28&lt;&gt;""),AND(JV28&gt;=JW$35,JU28&lt;&gt;""),AND(KO28&gt;=KS$35,KM28&lt;&gt;""),AND(KR28&gt;=KS$35,KQ28&lt;&gt;""),AND(LK28&gt;=LO$35,LI28&lt;&gt;""),AND(LN28&gt;=LO$35,LM28&lt;&gt;""),AND(MG28&gt;=MK$35,ME28&lt;&gt;""),AND(MJ28&gt;=MK$35,MI28&lt;&gt;""),AND(NC28&gt;=NG$35,NA28&lt;&gt;""),AND(NF28&gt;=NG$35,NE28&lt;&gt;"")),"P","")</f>
        <v/>
      </c>
      <c r="H28" s="67" t="str">
        <f>IF(F28="P","National Team",IF(G28="P","No DD",""))</f>
        <v/>
      </c>
      <c r="I28" s="14">
        <f>MAX(AM28,AO28,AR28,BQ28,BS28,BV28,CU28,CW28,CZ28)</f>
        <v>21.14</v>
      </c>
      <c r="J28" s="14" t="str">
        <f>IF(I28=0,"",IF(OR(I28=CW28,I28=CU28,I28=CZ28),$BX$1,IF(OR(I28=BS28,I28=BQ28,I28=BV28),$AT$1,IF(OR(I28=AO28,I28=AM28,I28=AR28),$P$1,""))))</f>
        <v>2022 Elite Canada</v>
      </c>
      <c r="K28" s="14">
        <f>IF(COUNT(AM28,AO28,AR28,BQ28,BS28,BV28,CU28,CW28,CZ28)&gt;1,LARGE((AM28,AO28,AR28,BQ28,BS28,BV28,CU28,CW28,CZ28),2),0)</f>
        <v>0</v>
      </c>
      <c r="L28" s="14" t="str">
        <f>IF(K28=0,"",IF(OR(K28=CW28,K28=CU28,K28=CZ28),$BX$1,IF(OR(K28=BS28,K28=BQ28,K28=BV28),$AT$1,IF(OR(K28=AO28,K28=AM28,K28=AR28),$P$1,""))))</f>
        <v/>
      </c>
      <c r="M28" s="14" t="str">
        <f>IF(MAX(DB28,DC28)&gt;0,MAX(DB28,DC28),"")</f>
        <v/>
      </c>
      <c r="N28" s="20" t="str">
        <f>IF(M28="","",IF(M28=#REF!,"(Vol 1)",IF(M28=DB28,"(Vol 2)",IF(M28=#REF!,"(Prelim)",IF(M28=DC28,"(Final)")))))</f>
        <v/>
      </c>
      <c r="O28" s="14" t="str">
        <f>IF(M28="","",IF(M28=#REF!,IF(M28+IF(#REF!="",0,#REF!)=NB28,$ML$1,IF(M28+IF(#REF!="",0,#REF!)=MF28,$LP$1,IF(M28+IF(#REF!="",0,#REF!)=LJ28,$KT$1,IF(M28+IF(#REF!="",0,#REF!)=KN28,$JX$1,IF(M28+IF(#REF!="",0,#REF!)=JR28,$JB$1,IF(M28+IF(#REF!="",0,#REF!)=IV28,$IF$1,IF(M28+IF(#REF!="",0,#REF!)=HZ28,$HJ$1,IF(M28+IF(#REF!="",0,#REF!)=HD28,$GN$1,IF(M28+IF(#REF!="",0,#REF!)=GH28,$FR$1,IF(M28+IF(#REF!="",0,#REF!)=FL28,$EV$1,IF(M28+IF(#REF!="",0,#REF!)=EP28,$DZ$1,IF(M28+IF(#REF!="",0,#REF!)=DT28,$DD$1)))))))))))),IF(M28=DB28,IF(M28+IF(I28="",0,I28)=NC28,$ML$1,IF(M28+IF(I28="",0,I28)=MG28,$LP$1,IF(M28+IF(I28="",0,I28)=LK28,$KT$1,IF(M28+IF(I28="",0,I28)=KO28,$JX$1,IF(M28+IF(I28="",0,I28)=JS28,$JB$1,IF(M28+IF(I28="",0,I28)=IW28,$IF$1,IF(M28+IF(I28="",0,I28)=IA28,$HJ$1,IF(M28+IF(I28="",0,I28)=HE28,$GN$1,IF(M28+IF(I28="",0,I28)=GI28,$FR$1,IF(M28+IF(I28="",0,I28)=FM28,$EV$1,IF(M28+IF(I28="",0,I28)=EQ28,$DZ$1,IF(M28+IF(I28="",0,I28)=DU28,$DD$1)))))))))))),IF(M28=#REF!,IF(M28+IF(#REF!="",0,#REF!)=ND28,$ML$1,IF(M28+IF(#REF!="",0,#REF!)=MH28,$LP$1,IF(M28+IF(#REF!="",0,#REF!)=LL28,$KT$1,IF(M28+IF(#REF!="",0,#REF!)=KP28,$JX$1,IF(M28+IF(#REF!="",0,#REF!)=JT28,$JB$1,IF(M28+IF(#REF!="",0,#REF!)=IX28,$IF$1,IF(M28+IF(#REF!="",0,#REF!)=IB28,$HJ$1,IF(M28+IF(#REF!="",0,#REF!)=HF28,$GN$1,IF(M28+IF(#REF!="",0,#REF!)=GJ28,$FR$1,IF(M28+IF(#REF!="",0,#REF!)=FN28,$EV$1,IF(M28+IF(#REF!="",0,#REF!)=ER28,$DZ$1,IF(M28+IF(#REF!="",0,#REF!)=DV28,$DD$1)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))</f>
        <v/>
      </c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45"/>
      <c r="AK28" s="11" t="str">
        <f>IF(SUM(P28:S28)-T28&gt;0,SUM(P28:S28)-T28,"")</f>
        <v/>
      </c>
      <c r="AL28" s="11" t="str">
        <f>IF(W28&gt;0,W28,"")</f>
        <v/>
      </c>
      <c r="AM28" s="11" t="str">
        <f>IF(SUM(U28:X28)-Y28&gt;0,SUM(U28:X28)-Y28,"")</f>
        <v/>
      </c>
      <c r="AN28" s="11" t="str">
        <f>IF(AB28&gt;0,AB28,"")</f>
        <v/>
      </c>
      <c r="AO28" s="11" t="str">
        <f>IF(SUM(Z28:AC28)-AD28&gt;0,SUM(Z28:AC28)-AD28,"")</f>
        <v/>
      </c>
      <c r="AP28" s="11" t="str">
        <f>IF(AK28="",IF(MAX(AM28,AO28)&gt;0,MAX(AM28,AO28),""),MAX(AM28,AO28)+AK28)</f>
        <v/>
      </c>
      <c r="AQ28" s="11" t="str">
        <f>IF(AG28&gt;0,AG28,"")</f>
        <v/>
      </c>
      <c r="AR28" s="11" t="str">
        <f>IF(SUM(AE28:AH28)-AI28&gt;0,SUM(AE28:AH28)-AI28,"")</f>
        <v/>
      </c>
      <c r="AS28" s="11" t="str">
        <f>IF(SUM(AP28,AR28)&gt;0,SUM(AP28,AR28),"")</f>
        <v/>
      </c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6"/>
      <c r="BO28" s="14" t="str">
        <f>IF(SUM(AT28:AW28)-AX28&gt;0,SUM(AT28:AW28)-AX28,"")</f>
        <v/>
      </c>
      <c r="BP28" s="14" t="str">
        <f>IF(BA28&gt;0,BA28,"")</f>
        <v/>
      </c>
      <c r="BQ28" s="14" t="str">
        <f>IF(SUM(AY28:BB28)-BC28&gt;0,SUM(AY28:BB28)-BC28,"")</f>
        <v/>
      </c>
      <c r="BR28" s="14" t="str">
        <f>IF(BF28&gt;0,BF28,"")</f>
        <v/>
      </c>
      <c r="BS28" s="14" t="str">
        <f>IF(SUM(BD28:BG28)-BH28&gt;0,SUM(BD28:BG28)-BH28,"")</f>
        <v/>
      </c>
      <c r="BT28" s="14" t="str">
        <f>IF(BO28="",IF(MAX(BQ28,BS28)&gt;0,MAX(BQ28,BS28),""),MAX(BQ28,BS28)+BO28)</f>
        <v/>
      </c>
      <c r="BU28" s="14" t="str">
        <f>IF(BK28&gt;0,BK28,"")</f>
        <v/>
      </c>
      <c r="BV28" s="14" t="str">
        <f>IF(SUM(BI28:BL28)-BM28&gt;0,SUM(BI28:BL28)-BM28,"")</f>
        <v/>
      </c>
      <c r="BW28" s="14" t="str">
        <f>IF(SUM(BT28,BV28)&gt;0,SUM(BT28,BV28),"")</f>
        <v/>
      </c>
      <c r="BX28" s="38">
        <v>14.6</v>
      </c>
      <c r="BY28" s="38">
        <v>9.6999999999999993</v>
      </c>
      <c r="BZ28" s="38">
        <v>1.4</v>
      </c>
      <c r="CA28" s="38">
        <v>12.62</v>
      </c>
      <c r="CB28" s="38">
        <v>0</v>
      </c>
      <c r="CC28" s="38">
        <v>6.7</v>
      </c>
      <c r="CD28" s="38">
        <v>4.5</v>
      </c>
      <c r="CE28" s="38">
        <v>3.4</v>
      </c>
      <c r="CF28" s="38">
        <v>6.54</v>
      </c>
      <c r="CG28" s="38">
        <v>0</v>
      </c>
      <c r="CH28" s="38"/>
      <c r="CI28" s="38"/>
      <c r="CJ28" s="38"/>
      <c r="CK28" s="38"/>
      <c r="CL28" s="38"/>
      <c r="CM28" s="38">
        <v>0</v>
      </c>
      <c r="CN28" s="38">
        <v>0</v>
      </c>
      <c r="CO28" s="38">
        <v>0</v>
      </c>
      <c r="CP28" s="38">
        <v>0</v>
      </c>
      <c r="CQ28" s="38">
        <v>0</v>
      </c>
      <c r="CR28" s="45"/>
      <c r="CS28" s="11">
        <f>IF(SUM(BX28:CA28)-CB28&gt;0,SUM(BX28:CA28)-CB28,"")</f>
        <v>38.319999999999993</v>
      </c>
      <c r="CT28" s="11">
        <f>IF(CE28&gt;0,CE28,"")</f>
        <v>3.4</v>
      </c>
      <c r="CU28" s="11">
        <f>IF(SUM(CC28:CF28)-CG28&gt;0,SUM(CC28:CF28)-CG28,"")</f>
        <v>21.14</v>
      </c>
      <c r="CV28" s="11" t="str">
        <f>IF(CJ28&gt;0,CJ28,"")</f>
        <v/>
      </c>
      <c r="CW28" s="11" t="str">
        <f>IF(SUM(CH28:CK28)-CL28&gt;0,SUM(CH28:CK28)-CL28,"")</f>
        <v/>
      </c>
      <c r="CX28" s="11">
        <f>IF(CS28="",IF(MAX(CU28,CW28)&gt;0,MAX(CU28,CW28),""),MAX(CU28,CW28)+CS28)</f>
        <v>59.459999999999994</v>
      </c>
      <c r="CY28" s="11" t="str">
        <f>IF(CO28&gt;0,CO28,"")</f>
        <v/>
      </c>
      <c r="CZ28" s="11" t="str">
        <f>IF(SUM(CM28:CP28)-CQ28&gt;0,SUM(CM28:CP28)-CQ28,"")</f>
        <v/>
      </c>
      <c r="DA28" s="11">
        <f>IF(SUM(CX28,CZ28)&gt;0,SUM(CX28,CZ28),"")</f>
        <v>59.459999999999994</v>
      </c>
      <c r="DB28" s="19" t="str">
        <f>IF(I28&gt;=0.001,IF(MAX(DU28,EQ28,FM28,GI28,HE28,IA28,IW28,JS28,KO28,LK28,MG28,NC28)-IF(I28="",0,I28)&gt;0.001,MAX(DU28,EQ28,FM28,GI28,HE28,IA28,IW28,JS28,KO28,LK28,MG28,NC28)-IF(I28="",0,I28),""),"")</f>
        <v/>
      </c>
      <c r="DC28" s="19" t="str">
        <f>IF(K28&gt;=0.001,IF(MAX(DX28,ET28,FP28,GL28,HH28,ID28,IZ28,JV28,KR28,LN28,MJ28,NF28)-IF(K28="",0,K28)&gt;0.001,MAX(DX28,ET28,FP28,GL28,HH28,ID28,IZ28,JV28,KR28,LN28,MJ28,NF28)-IF(K28="",0,K28),""),"")</f>
        <v/>
      </c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8">
        <f>IF($CR28="P",BX28,(BX28+AT28)/2)</f>
        <v>7.3</v>
      </c>
      <c r="NI28" s="38">
        <f>IF($CR28="P",BY28,(BY28+AU28)/2)</f>
        <v>4.8499999999999996</v>
      </c>
      <c r="NJ28" s="38">
        <f>IF($CR28="P",BZ28,(BZ28+AV28)/2)</f>
        <v>0.7</v>
      </c>
      <c r="NK28" s="38">
        <f>IF($CR28="P",CA28,(CA28+AW28)/2)</f>
        <v>6.31</v>
      </c>
      <c r="NL28" s="38">
        <f>IF($CR28="P",CB28,(CB28+AX28)/2)</f>
        <v>0</v>
      </c>
      <c r="NM28" s="38">
        <f>IF($CR28="P",CC28,(CC28+AY28)/2)</f>
        <v>3.35</v>
      </c>
      <c r="NN28" s="38">
        <f>IF($CR28="P",CD28,(CD28+AZ28)/2)</f>
        <v>2.25</v>
      </c>
      <c r="NO28" s="38">
        <f>IF($CR28="P",CE28,(CE28+BA28)/2)</f>
        <v>1.7</v>
      </c>
      <c r="NP28" s="38">
        <f>IF($CR28="P",CF28,(CF28+BB28)/2)</f>
        <v>3.27</v>
      </c>
      <c r="NQ28" s="38">
        <f>IF($CR28="P",CG28,(CG28+BC28)/2)</f>
        <v>0</v>
      </c>
      <c r="NR28" s="38">
        <f>IF($CR28="P",CH28,(CH28+BD28)/2)</f>
        <v>0</v>
      </c>
      <c r="NS28" s="38">
        <f>IF($CR28="P",CI28,(CI28+BE28)/2)</f>
        <v>0</v>
      </c>
      <c r="NT28" s="38">
        <f>IF($CR28="P",CJ28,(CJ28+BF28)/2)</f>
        <v>0</v>
      </c>
      <c r="NU28" s="38">
        <f>IF($CR28="P",CK28,(CK28+BG28)/2)</f>
        <v>0</v>
      </c>
      <c r="NV28" s="38">
        <f>IF($CR28="P",CL28,(CL28+BH28)/2)</f>
        <v>0</v>
      </c>
      <c r="NW28" s="38">
        <f>IF($CR28="P",CM28,(CM28+BI28)/2)</f>
        <v>0</v>
      </c>
      <c r="NX28" s="38">
        <f>IF($CR28="P",CN28,(CN28+BJ28)/2)</f>
        <v>0</v>
      </c>
      <c r="NY28" s="38">
        <f>IF($CR28="P",CO28,(CO28+BK28)/2)</f>
        <v>0</v>
      </c>
      <c r="NZ28" s="38">
        <f>IF($CR28="P",CP28,(CP28+BL28)/2)</f>
        <v>0</v>
      </c>
      <c r="OA28" s="38">
        <f>IF($CR28="P",CQ28,(CQ28+BM28)/2)</f>
        <v>0</v>
      </c>
      <c r="OB28" s="45" t="s">
        <v>46</v>
      </c>
      <c r="OC28" s="11">
        <f>IF(SUM(NH28:NK28)-NL28&gt;0,SUM(NH28:NK28)-NL28,"")</f>
        <v>19.159999999999997</v>
      </c>
      <c r="OD28" s="11">
        <f>IF(NO28&gt;0,NO28,"")</f>
        <v>1.7</v>
      </c>
      <c r="OE28" s="11">
        <f>IF(SUM(NM28:NP28)-NQ28&gt;0,SUM(NM28:NP28)-NQ28,"")</f>
        <v>10.57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29.729999999999997</v>
      </c>
      <c r="OI28" s="11" t="str">
        <f>IF(NY28&gt;0,NY28,"")</f>
        <v/>
      </c>
      <c r="OJ28" s="11" t="str">
        <f t="shared" ref="OJ28" si="42">IF(SUM(NW28:NZ28)-OA28&gt;0,SUM(NW28:NZ28)-OA28,"")</f>
        <v/>
      </c>
      <c r="OK28" s="11">
        <f t="shared" ref="OK28" si="43">IF(SUM(OH28,OJ28)&gt;0,SUM(OH28,OJ28),"")</f>
        <v>29.729999999999997</v>
      </c>
    </row>
    <row r="29" spans="1:401" x14ac:dyDescent="0.2">
      <c r="B29" s="6"/>
      <c r="D29" s="1"/>
    </row>
    <row r="31" spans="1:401" x14ac:dyDescent="0.2">
      <c r="B31" s="39" t="s">
        <v>44</v>
      </c>
      <c r="C31" s="34"/>
      <c r="AL31" s="66"/>
      <c r="AM31" s="66"/>
      <c r="AN31" s="66"/>
      <c r="AQ31" s="32"/>
      <c r="AS31" s="35">
        <v>11.2</v>
      </c>
      <c r="BP31" s="66"/>
      <c r="BQ31" s="66"/>
      <c r="BR31" s="66"/>
      <c r="BU31" s="32"/>
      <c r="BW31" s="35">
        <v>11.2</v>
      </c>
      <c r="CT31" s="66"/>
      <c r="CU31" s="66"/>
      <c r="CV31" s="66"/>
      <c r="CY31" s="32"/>
      <c r="DA31" s="35">
        <v>11.2</v>
      </c>
      <c r="DS31" s="34"/>
      <c r="DW31" s="32"/>
      <c r="DY31" s="35">
        <v>11.2</v>
      </c>
      <c r="EO31" s="34"/>
      <c r="ES31" s="32"/>
      <c r="EU31" s="35">
        <v>11.2</v>
      </c>
      <c r="FK31" s="34"/>
      <c r="FO31" s="32"/>
      <c r="FQ31" s="35">
        <v>11.2</v>
      </c>
      <c r="GG31" s="34"/>
      <c r="GK31" s="32"/>
      <c r="GM31" s="35">
        <v>11.2</v>
      </c>
      <c r="HC31" s="34"/>
      <c r="HG31" s="32"/>
      <c r="HI31" s="35">
        <v>11.2</v>
      </c>
      <c r="HY31" s="34"/>
      <c r="IC31" s="32"/>
      <c r="IE31" s="35">
        <v>11.2</v>
      </c>
      <c r="IU31" s="34"/>
      <c r="IY31" s="32"/>
      <c r="JA31" s="35">
        <v>11.2</v>
      </c>
      <c r="JQ31" s="34"/>
      <c r="JU31" s="32"/>
      <c r="JW31" s="35">
        <v>11.2</v>
      </c>
      <c r="KM31" s="34"/>
      <c r="KQ31" s="32"/>
      <c r="KS31" s="35">
        <v>11.2</v>
      </c>
      <c r="LI31" s="34"/>
      <c r="LM31" s="32"/>
      <c r="LO31" s="35">
        <v>11.2</v>
      </c>
      <c r="ME31" s="34"/>
      <c r="MI31" s="32"/>
      <c r="MK31" s="35">
        <v>11.2</v>
      </c>
      <c r="NA31" s="34"/>
      <c r="NE31" s="32"/>
      <c r="NG31" s="35">
        <v>11.2</v>
      </c>
    </row>
    <row r="32" spans="1:401" hidden="1" x14ac:dyDescent="0.2">
      <c r="B32" s="48" t="s">
        <v>43</v>
      </c>
      <c r="C32" s="34"/>
      <c r="AL32" s="66"/>
      <c r="AM32" s="66"/>
      <c r="AN32" s="66"/>
      <c r="AQ32" s="32"/>
      <c r="AS32" s="52">
        <v>1000</v>
      </c>
      <c r="BP32" s="66"/>
      <c r="BQ32" s="66"/>
      <c r="BR32" s="66"/>
      <c r="BU32" s="32"/>
      <c r="BW32" s="52">
        <v>1000</v>
      </c>
      <c r="CT32" s="66"/>
      <c r="CU32" s="66"/>
      <c r="CV32" s="66"/>
      <c r="CY32" s="32"/>
      <c r="DA32" s="52">
        <v>1000</v>
      </c>
      <c r="DS32" s="34"/>
      <c r="DW32" s="32"/>
      <c r="DY32" s="52">
        <v>1000</v>
      </c>
      <c r="EO32" s="34"/>
      <c r="ES32" s="32"/>
      <c r="EU32" s="52">
        <v>1000</v>
      </c>
      <c r="FK32" s="34"/>
      <c r="FO32" s="32"/>
      <c r="FQ32" s="52">
        <v>1000</v>
      </c>
      <c r="GG32" s="34"/>
      <c r="GK32" s="32"/>
      <c r="GM32" s="52">
        <v>1000</v>
      </c>
      <c r="HC32" s="34"/>
      <c r="HG32" s="32"/>
      <c r="HI32" s="52">
        <v>1000</v>
      </c>
      <c r="HY32" s="34"/>
      <c r="IC32" s="32"/>
      <c r="IE32" s="52">
        <v>1000</v>
      </c>
      <c r="IU32" s="34"/>
      <c r="IY32" s="32"/>
      <c r="JA32" s="52">
        <v>1000</v>
      </c>
      <c r="JQ32" s="34"/>
      <c r="JU32" s="32"/>
      <c r="JW32" s="52">
        <v>1000</v>
      </c>
      <c r="KM32" s="34"/>
      <c r="KQ32" s="32"/>
      <c r="KS32" s="52">
        <v>1000</v>
      </c>
      <c r="LI32" s="34"/>
      <c r="LM32" s="32"/>
      <c r="LO32" s="52">
        <v>1000</v>
      </c>
      <c r="ME32" s="34"/>
      <c r="MI32" s="32"/>
      <c r="MK32" s="52">
        <v>1000</v>
      </c>
      <c r="NA32" s="34"/>
      <c r="NE32" s="32"/>
      <c r="NG32" s="52">
        <v>1000</v>
      </c>
    </row>
    <row r="33" spans="1:371" hidden="1" x14ac:dyDescent="0.2">
      <c r="A33" s="34"/>
      <c r="B33" s="49" t="s">
        <v>55</v>
      </c>
      <c r="C33" s="34"/>
      <c r="AL33" s="66"/>
      <c r="AM33" s="66"/>
      <c r="AN33" s="66"/>
      <c r="AP33" s="32"/>
      <c r="AQ33" s="32"/>
      <c r="AR33" s="32"/>
      <c r="AS33" s="50">
        <v>1000</v>
      </c>
      <c r="BP33" s="66"/>
      <c r="BQ33" s="66"/>
      <c r="BR33" s="66"/>
      <c r="BU33" s="32"/>
      <c r="BW33" s="50">
        <v>1000</v>
      </c>
      <c r="CT33" s="66"/>
      <c r="CU33" s="66"/>
      <c r="CV33" s="66"/>
      <c r="CX33" s="32"/>
      <c r="CY33" s="32"/>
      <c r="CZ33" s="32"/>
      <c r="DA33" s="50">
        <v>1000</v>
      </c>
      <c r="DS33" s="34"/>
      <c r="DW33" s="32"/>
      <c r="DY33" s="50">
        <v>1000</v>
      </c>
      <c r="EO33" s="34"/>
      <c r="ES33" s="32"/>
      <c r="EU33" s="50">
        <v>1000</v>
      </c>
      <c r="FK33" s="34"/>
      <c r="FO33" s="32"/>
      <c r="FQ33" s="50">
        <v>1000</v>
      </c>
      <c r="GG33" s="34"/>
      <c r="GK33" s="32"/>
      <c r="GM33" s="50">
        <v>1000</v>
      </c>
      <c r="HC33" s="34"/>
      <c r="HG33" s="32"/>
      <c r="HI33" s="50">
        <v>1000</v>
      </c>
      <c r="HY33" s="34"/>
      <c r="IC33" s="32"/>
      <c r="IE33" s="50">
        <v>1000</v>
      </c>
      <c r="IU33" s="34"/>
      <c r="IY33" s="32"/>
      <c r="JA33" s="50">
        <v>1000</v>
      </c>
      <c r="JQ33" s="34"/>
      <c r="JU33" s="32"/>
      <c r="JW33" s="50">
        <v>1000</v>
      </c>
      <c r="KM33" s="34"/>
      <c r="KQ33" s="32"/>
      <c r="KS33" s="50">
        <v>1000</v>
      </c>
      <c r="LI33" s="34"/>
      <c r="LM33" s="32"/>
      <c r="LO33" s="50">
        <v>1000</v>
      </c>
      <c r="ME33" s="34"/>
      <c r="MI33" s="32"/>
      <c r="MK33" s="50">
        <v>1000</v>
      </c>
      <c r="NA33" s="34"/>
      <c r="NE33" s="32"/>
      <c r="NG33" s="50">
        <v>1000</v>
      </c>
    </row>
    <row r="34" spans="1:371" hidden="1" x14ac:dyDescent="0.2">
      <c r="A34" s="34"/>
      <c r="B34" s="62" t="s">
        <v>62</v>
      </c>
      <c r="C34" s="34"/>
      <c r="AL34" s="66"/>
      <c r="AM34" s="66"/>
      <c r="AN34" s="66"/>
      <c r="AP34" s="32"/>
      <c r="AQ34" s="32"/>
      <c r="AR34" s="32"/>
      <c r="AS34" s="63">
        <v>1000</v>
      </c>
      <c r="BP34" s="66"/>
      <c r="BQ34" s="66"/>
      <c r="BR34" s="66"/>
      <c r="BU34" s="32"/>
      <c r="BW34" s="63">
        <v>1000</v>
      </c>
      <c r="CT34" s="66"/>
      <c r="CU34" s="66"/>
      <c r="CV34" s="66"/>
      <c r="CX34" s="32"/>
      <c r="CY34" s="32"/>
      <c r="CZ34" s="32"/>
      <c r="DA34" s="63">
        <v>1000</v>
      </c>
      <c r="DS34" s="34"/>
      <c r="DW34" s="32"/>
      <c r="DY34" s="63">
        <v>1000</v>
      </c>
      <c r="EO34" s="34"/>
      <c r="ES34" s="32"/>
      <c r="EU34" s="63">
        <v>1000</v>
      </c>
      <c r="FK34" s="34"/>
      <c r="FO34" s="32"/>
      <c r="FQ34" s="63">
        <v>1000</v>
      </c>
      <c r="GG34" s="34"/>
      <c r="GK34" s="32"/>
      <c r="GM34" s="63">
        <v>1000</v>
      </c>
      <c r="HC34" s="34"/>
      <c r="HG34" s="32"/>
      <c r="HI34" s="63">
        <v>1000</v>
      </c>
      <c r="HY34" s="34"/>
      <c r="IC34" s="32"/>
      <c r="IE34" s="63">
        <v>1000</v>
      </c>
      <c r="IU34" s="34"/>
      <c r="IY34" s="32"/>
      <c r="JA34" s="63">
        <v>1000</v>
      </c>
      <c r="JQ34" s="34"/>
      <c r="JU34" s="32"/>
      <c r="JW34" s="63">
        <v>1000</v>
      </c>
      <c r="KM34" s="34"/>
      <c r="KQ34" s="32"/>
      <c r="KS34" s="63">
        <v>1000</v>
      </c>
      <c r="LI34" s="34"/>
      <c r="LM34" s="32"/>
      <c r="LO34" s="63">
        <v>1000</v>
      </c>
      <c r="ME34" s="34"/>
      <c r="MI34" s="32"/>
      <c r="MK34" s="63">
        <v>1000</v>
      </c>
      <c r="NA34" s="34"/>
      <c r="NE34" s="32"/>
      <c r="NG34" s="63">
        <v>1000</v>
      </c>
    </row>
    <row r="35" spans="1:371" x14ac:dyDescent="0.2">
      <c r="A35" s="34"/>
      <c r="B35" s="60" t="s">
        <v>41</v>
      </c>
      <c r="C35" s="34"/>
      <c r="I35" s="2"/>
      <c r="AL35" s="66"/>
      <c r="AM35" s="66"/>
      <c r="AN35" s="66"/>
      <c r="AP35" s="32"/>
      <c r="AQ35" s="32"/>
      <c r="AR35" s="32"/>
      <c r="AS35" s="61">
        <v>48.3</v>
      </c>
      <c r="BP35" s="66"/>
      <c r="BQ35" s="66"/>
      <c r="BR35" s="66"/>
      <c r="BU35" s="32"/>
      <c r="BW35" s="61">
        <v>48.3</v>
      </c>
      <c r="CT35" s="66"/>
      <c r="CU35" s="66"/>
      <c r="CV35" s="66"/>
      <c r="CX35" s="32"/>
      <c r="CY35" s="32"/>
      <c r="CZ35" s="32"/>
      <c r="DA35" s="61">
        <v>48.3</v>
      </c>
      <c r="DS35" s="34"/>
      <c r="DW35" s="32"/>
      <c r="DY35" s="61">
        <v>48.3</v>
      </c>
      <c r="EO35" s="34"/>
      <c r="ES35" s="32"/>
      <c r="EU35" s="61">
        <v>48.3</v>
      </c>
      <c r="FK35" s="34"/>
      <c r="FO35" s="32"/>
      <c r="FQ35" s="61">
        <v>48.3</v>
      </c>
      <c r="GG35" s="34"/>
      <c r="GK35" s="32"/>
      <c r="GM35" s="61">
        <v>48.3</v>
      </c>
      <c r="HC35" s="34"/>
      <c r="HG35" s="32"/>
      <c r="HI35" s="61">
        <v>48.3</v>
      </c>
      <c r="HY35" s="34"/>
      <c r="IC35" s="32"/>
      <c r="IE35" s="61">
        <v>48.3</v>
      </c>
      <c r="IU35" s="34"/>
      <c r="IY35" s="32"/>
      <c r="JA35" s="61">
        <v>48.3</v>
      </c>
      <c r="JQ35" s="34"/>
      <c r="JU35" s="32"/>
      <c r="JW35" s="61">
        <v>48.3</v>
      </c>
      <c r="KM35" s="34"/>
      <c r="KQ35" s="32"/>
      <c r="KS35" s="61">
        <v>48.3</v>
      </c>
      <c r="LI35" s="34"/>
      <c r="LM35" s="32"/>
      <c r="LO35" s="61">
        <v>48.3</v>
      </c>
      <c r="ME35" s="34"/>
      <c r="MI35" s="32"/>
      <c r="MK35" s="61">
        <v>48.3</v>
      </c>
      <c r="NA35" s="34"/>
      <c r="NE35" s="32"/>
      <c r="NG35" s="61">
        <v>48.3</v>
      </c>
    </row>
    <row r="36" spans="1:371" hidden="1" x14ac:dyDescent="0.2">
      <c r="A36" s="34"/>
      <c r="B36" s="40" t="s">
        <v>42</v>
      </c>
      <c r="C36" s="34"/>
      <c r="I36" s="2"/>
      <c r="AL36" s="66"/>
      <c r="AM36" s="66"/>
      <c r="AN36" s="66"/>
      <c r="AP36" s="32"/>
      <c r="AQ36" s="32"/>
      <c r="AR36" s="32"/>
      <c r="AS36" s="36">
        <v>1000</v>
      </c>
      <c r="BP36" s="66"/>
      <c r="BQ36" s="66"/>
      <c r="BR36" s="66"/>
      <c r="BU36" s="32"/>
      <c r="BW36" s="36">
        <v>1000</v>
      </c>
      <c r="CT36" s="66"/>
      <c r="CU36" s="66"/>
      <c r="CV36" s="66"/>
      <c r="CX36" s="32"/>
      <c r="CY36" s="32"/>
      <c r="CZ36" s="32"/>
      <c r="DA36" s="36">
        <v>1000</v>
      </c>
      <c r="DS36" s="34"/>
      <c r="DW36" s="32"/>
      <c r="DY36" s="36">
        <v>1000</v>
      </c>
      <c r="EO36" s="34"/>
      <c r="ES36" s="32"/>
      <c r="EU36" s="36">
        <v>1000</v>
      </c>
      <c r="FK36" s="34"/>
      <c r="FO36" s="32"/>
      <c r="FQ36" s="36">
        <v>1000</v>
      </c>
      <c r="GG36" s="34"/>
      <c r="GK36" s="32"/>
      <c r="GM36" s="36">
        <v>1000</v>
      </c>
      <c r="HC36" s="34"/>
      <c r="HG36" s="32"/>
      <c r="HI36" s="36">
        <v>1000</v>
      </c>
      <c r="HY36" s="34"/>
      <c r="IC36" s="32"/>
      <c r="IE36" s="36">
        <v>1000</v>
      </c>
      <c r="IU36" s="34"/>
      <c r="IY36" s="32"/>
      <c r="JA36" s="36">
        <v>1000</v>
      </c>
      <c r="JQ36" s="34"/>
      <c r="JU36" s="32"/>
      <c r="JW36" s="36">
        <v>1000</v>
      </c>
      <c r="KM36" s="34"/>
      <c r="KQ36" s="32"/>
      <c r="KS36" s="36">
        <v>1000</v>
      </c>
      <c r="LI36" s="34"/>
      <c r="LM36" s="32"/>
      <c r="LO36" s="36">
        <v>1000</v>
      </c>
      <c r="ME36" s="34"/>
      <c r="MI36" s="32"/>
      <c r="MK36" s="36">
        <v>1000</v>
      </c>
      <c r="NA36" s="34"/>
      <c r="NE36" s="32"/>
      <c r="NG36" s="36">
        <v>1000</v>
      </c>
    </row>
    <row r="37" spans="1:371" hidden="1" x14ac:dyDescent="0.2">
      <c r="A37" s="34"/>
      <c r="B37" s="58" t="s">
        <v>54</v>
      </c>
      <c r="C37" s="34"/>
      <c r="AL37" s="66"/>
      <c r="AM37" s="66"/>
      <c r="AN37" s="66"/>
      <c r="AP37" s="32"/>
      <c r="AQ37" s="32"/>
      <c r="AR37" s="32"/>
      <c r="AS37" s="59">
        <v>1000</v>
      </c>
      <c r="BP37" s="66"/>
      <c r="BQ37" s="66"/>
      <c r="BR37" s="66"/>
      <c r="BU37" s="32"/>
      <c r="BV37" s="68"/>
      <c r="BW37" s="59">
        <v>1000</v>
      </c>
      <c r="CT37" s="66"/>
      <c r="CU37" s="66"/>
      <c r="CV37" s="66"/>
      <c r="CX37" s="32"/>
      <c r="CY37" s="32"/>
      <c r="CZ37" s="32"/>
      <c r="DA37" s="59">
        <v>1000</v>
      </c>
      <c r="DS37" s="34"/>
      <c r="DW37" s="32"/>
      <c r="DX37" s="68"/>
      <c r="DY37" s="59">
        <v>1000</v>
      </c>
      <c r="EO37" s="34"/>
      <c r="ES37" s="32"/>
      <c r="EU37" s="59">
        <v>1000</v>
      </c>
      <c r="FK37" s="34"/>
      <c r="FO37" s="32"/>
      <c r="FQ37" s="59">
        <v>1000</v>
      </c>
      <c r="GG37" s="34"/>
      <c r="GK37" s="32"/>
      <c r="GL37" s="68"/>
      <c r="GM37" s="59">
        <v>1000</v>
      </c>
      <c r="HC37" s="34"/>
      <c r="HG37" s="32"/>
      <c r="HH37" s="68"/>
      <c r="HI37" s="59">
        <v>1000</v>
      </c>
      <c r="HY37" s="34"/>
      <c r="IC37" s="32"/>
      <c r="ID37" s="68"/>
      <c r="IE37" s="59">
        <v>1000</v>
      </c>
      <c r="IU37" s="34"/>
      <c r="IY37" s="32"/>
      <c r="JA37" s="59">
        <v>1000</v>
      </c>
      <c r="JQ37" s="34"/>
      <c r="JU37" s="32"/>
      <c r="JW37" s="59">
        <v>1000</v>
      </c>
      <c r="KM37" s="34"/>
      <c r="KQ37" s="32"/>
      <c r="KS37" s="59">
        <v>1000</v>
      </c>
      <c r="LI37" s="34"/>
      <c r="LM37" s="32"/>
      <c r="LO37" s="59">
        <v>1000</v>
      </c>
      <c r="ME37" s="34"/>
      <c r="MI37" s="32"/>
      <c r="MK37" s="59">
        <v>1000</v>
      </c>
      <c r="NA37" s="34"/>
      <c r="NE37" s="32"/>
      <c r="NG37" s="59">
        <v>1000</v>
      </c>
    </row>
    <row r="38" spans="1:371" hidden="1" x14ac:dyDescent="0.2">
      <c r="A38" s="34"/>
      <c r="B38" s="41" t="s">
        <v>28</v>
      </c>
      <c r="C38" s="34"/>
      <c r="I38" s="2"/>
      <c r="AL38" s="66"/>
      <c r="AM38" s="66"/>
      <c r="AN38" s="66"/>
      <c r="AP38" s="32"/>
      <c r="AQ38" s="32"/>
      <c r="AR38" s="32"/>
      <c r="AS38" s="37">
        <v>1000</v>
      </c>
      <c r="BP38" s="66"/>
      <c r="BQ38" s="66"/>
      <c r="BR38" s="66"/>
      <c r="BU38" s="32"/>
      <c r="BW38" s="37">
        <v>1000</v>
      </c>
      <c r="CT38" s="66"/>
      <c r="CU38" s="66"/>
      <c r="CV38" s="66"/>
      <c r="CX38" s="32"/>
      <c r="CY38" s="32"/>
      <c r="CZ38" s="32"/>
      <c r="DA38" s="37">
        <v>1000</v>
      </c>
      <c r="DS38" s="34"/>
      <c r="DW38" s="32"/>
      <c r="DY38" s="37">
        <v>1000</v>
      </c>
      <c r="EO38" s="34"/>
      <c r="ES38" s="32"/>
      <c r="EU38" s="37">
        <v>1000</v>
      </c>
      <c r="FK38" s="34"/>
      <c r="FO38" s="32"/>
      <c r="FQ38" s="37">
        <v>1000</v>
      </c>
      <c r="GG38" s="34"/>
      <c r="GK38" s="32"/>
      <c r="GM38" s="37">
        <v>1000</v>
      </c>
      <c r="HC38" s="34"/>
      <c r="HG38" s="32"/>
      <c r="HI38" s="37">
        <v>1000</v>
      </c>
      <c r="HY38" s="34"/>
      <c r="IC38" s="32"/>
      <c r="ID38" s="68"/>
      <c r="IE38" s="37">
        <v>1000</v>
      </c>
      <c r="IU38" s="34"/>
      <c r="IY38" s="32"/>
      <c r="JA38" s="37">
        <v>1000</v>
      </c>
      <c r="JQ38" s="34"/>
      <c r="JU38" s="32"/>
      <c r="JW38" s="37">
        <v>1000</v>
      </c>
      <c r="KM38" s="34"/>
      <c r="KQ38" s="32"/>
      <c r="KS38" s="37">
        <v>1000</v>
      </c>
      <c r="LI38" s="34"/>
      <c r="LM38" s="32"/>
      <c r="LO38" s="37">
        <v>1000</v>
      </c>
      <c r="ME38" s="34"/>
      <c r="MI38" s="32"/>
      <c r="MK38" s="37">
        <v>1000</v>
      </c>
      <c r="NA38" s="34"/>
      <c r="NE38" s="32"/>
      <c r="NG38" s="37">
        <v>1000</v>
      </c>
    </row>
    <row r="39" spans="1:371" x14ac:dyDescent="0.2">
      <c r="B39" s="47" t="s">
        <v>47</v>
      </c>
      <c r="C39" s="2"/>
      <c r="AO39" s="32"/>
      <c r="AP39" s="32"/>
      <c r="AR39" s="32"/>
      <c r="CW39" s="32"/>
      <c r="CX39" s="32"/>
      <c r="CZ39" s="32"/>
      <c r="EP39" s="32"/>
    </row>
    <row r="40" spans="1:371" x14ac:dyDescent="0.2">
      <c r="A40" s="34"/>
      <c r="B40" s="34"/>
      <c r="C40" s="33"/>
      <c r="AK40" s="32"/>
      <c r="AL40" s="32"/>
      <c r="AM40" s="32"/>
      <c r="AN40" s="32"/>
      <c r="AO40" s="32"/>
      <c r="AP40" s="32"/>
      <c r="AR40" s="32"/>
      <c r="CS40" s="32"/>
      <c r="CT40" s="32"/>
      <c r="CU40" s="32"/>
      <c r="CV40" s="32"/>
      <c r="CW40" s="32"/>
      <c r="CX40" s="32"/>
      <c r="CZ40" s="32"/>
    </row>
    <row r="41" spans="1:371" ht="17" x14ac:dyDescent="0.2">
      <c r="A41" s="34"/>
      <c r="B41" s="34"/>
      <c r="C41" s="33"/>
      <c r="M41" s="16"/>
      <c r="N41" s="16"/>
      <c r="AK41" s="32"/>
      <c r="AL41" s="32"/>
      <c r="AM41" s="32"/>
      <c r="AN41" s="32"/>
      <c r="AO41" s="32"/>
      <c r="AP41" s="32"/>
      <c r="AR41" s="32"/>
      <c r="CS41" s="32"/>
      <c r="CT41" s="32"/>
      <c r="CU41" s="32"/>
      <c r="CV41" s="32"/>
      <c r="CW41" s="32"/>
      <c r="CX41" s="32"/>
      <c r="CZ41" s="32"/>
    </row>
    <row r="42" spans="1:371" ht="17" x14ac:dyDescent="0.2">
      <c r="A42" s="34"/>
      <c r="B42" s="34"/>
      <c r="C42" s="33"/>
      <c r="M42" s="16"/>
      <c r="AK42" s="32"/>
      <c r="AL42" s="32"/>
      <c r="AM42" s="32"/>
      <c r="AN42" s="32"/>
      <c r="AO42" s="32"/>
      <c r="AP42" s="32"/>
      <c r="AR42" s="32"/>
      <c r="CS42" s="32"/>
      <c r="CT42" s="32"/>
      <c r="CU42" s="32"/>
      <c r="CV42" s="32"/>
      <c r="CW42" s="32"/>
      <c r="CX42" s="32"/>
      <c r="CZ42" s="32"/>
    </row>
    <row r="43" spans="1:371" ht="17" x14ac:dyDescent="0.2">
      <c r="M43" s="16"/>
      <c r="N43" s="16"/>
      <c r="AK43" s="32"/>
      <c r="AL43" s="32"/>
      <c r="AM43" s="32"/>
      <c r="AN43" s="32"/>
      <c r="AO43" s="32"/>
      <c r="AP43" s="32"/>
      <c r="AR43" s="32"/>
      <c r="CS43" s="32"/>
      <c r="CT43" s="32"/>
      <c r="CU43" s="32"/>
      <c r="CV43" s="32"/>
      <c r="CW43" s="32"/>
      <c r="CX43" s="32"/>
      <c r="CZ43" s="32"/>
    </row>
    <row r="44" spans="1:371" ht="17" x14ac:dyDescent="0.2">
      <c r="M44" s="16"/>
      <c r="N44" s="16"/>
      <c r="AK44" s="32"/>
      <c r="AL44" s="32"/>
      <c r="AM44" s="32"/>
      <c r="AN44" s="32"/>
      <c r="AO44" s="32"/>
      <c r="AP44" s="32"/>
      <c r="AR44" s="32"/>
      <c r="CS44" s="32"/>
      <c r="CT44" s="32"/>
      <c r="CU44" s="32"/>
      <c r="CV44" s="32"/>
      <c r="CW44" s="32"/>
      <c r="CX44" s="32"/>
      <c r="CZ44" s="32"/>
    </row>
    <row r="45" spans="1:371" ht="17" x14ac:dyDescent="0.2">
      <c r="M45" s="16"/>
      <c r="N45" s="16"/>
      <c r="AK45" s="32"/>
      <c r="AL45" s="32"/>
      <c r="AM45" s="32"/>
      <c r="AN45" s="32"/>
      <c r="AO45" s="32"/>
      <c r="AP45" s="32"/>
      <c r="AR45" s="32"/>
      <c r="CS45" s="32"/>
      <c r="CT45" s="32"/>
      <c r="CU45" s="32"/>
      <c r="CV45" s="32"/>
      <c r="CW45" s="32"/>
      <c r="CX45" s="32"/>
      <c r="CZ45" s="32"/>
    </row>
    <row r="46" spans="1:371" ht="17" x14ac:dyDescent="0.2">
      <c r="M46" s="16"/>
      <c r="N46" s="16"/>
      <c r="O46" s="16"/>
    </row>
    <row r="47" spans="1:371" ht="17" x14ac:dyDescent="0.2">
      <c r="M47" s="16"/>
      <c r="N47" s="16"/>
      <c r="O47" s="16"/>
    </row>
    <row r="48" spans="1:371" ht="17" x14ac:dyDescent="0.2">
      <c r="M48" s="16"/>
      <c r="N48" s="16"/>
      <c r="O48" s="16"/>
    </row>
    <row r="49" spans="13:15" ht="17" x14ac:dyDescent="0.2">
      <c r="M49" s="16"/>
      <c r="N49" s="16"/>
      <c r="O49" s="16"/>
    </row>
    <row r="50" spans="13:15" ht="17" x14ac:dyDescent="0.2">
      <c r="M50" s="16"/>
      <c r="N50" s="16"/>
      <c r="O50" s="16"/>
    </row>
    <row r="51" spans="13:15" ht="17" x14ac:dyDescent="0.2">
      <c r="M51" s="16"/>
      <c r="N51" s="16"/>
      <c r="O51" s="16"/>
    </row>
    <row r="52" spans="13:15" ht="17" x14ac:dyDescent="0.2">
      <c r="M52" s="16"/>
      <c r="N52" s="16"/>
      <c r="O52" s="16"/>
    </row>
    <row r="53" spans="13:15" ht="17" x14ac:dyDescent="0.2">
      <c r="M53" s="16"/>
      <c r="N53" s="16"/>
      <c r="O53" s="16"/>
    </row>
    <row r="54" spans="13:15" ht="17" x14ac:dyDescent="0.2">
      <c r="M54" s="16"/>
      <c r="N54" s="16"/>
      <c r="O54" s="16"/>
    </row>
    <row r="55" spans="13:15" ht="17" x14ac:dyDescent="0.2">
      <c r="M55" s="16"/>
      <c r="N55" s="16"/>
      <c r="O55" s="16"/>
    </row>
    <row r="56" spans="13:15" ht="17" x14ac:dyDescent="0.2">
      <c r="M56" s="16"/>
      <c r="N56" s="16"/>
      <c r="O56" s="16"/>
    </row>
    <row r="57" spans="13:15" ht="17" x14ac:dyDescent="0.2">
      <c r="M57" s="16"/>
      <c r="N57" s="16"/>
      <c r="O57" s="16"/>
    </row>
    <row r="58" spans="13:15" ht="17" x14ac:dyDescent="0.2">
      <c r="M58" s="16"/>
      <c r="N58" s="16"/>
      <c r="O58" s="16"/>
    </row>
    <row r="59" spans="13:15" ht="17" x14ac:dyDescent="0.2">
      <c r="M59" s="16"/>
      <c r="N59" s="16"/>
      <c r="O59" s="16"/>
    </row>
    <row r="60" spans="13:15" ht="17" x14ac:dyDescent="0.2">
      <c r="M60" s="16"/>
      <c r="N60" s="16"/>
      <c r="O60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28">
      <sortCondition descending="1" ref="F1:F29"/>
    </sortState>
  </autoFilter>
  <mergeCells count="84"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DD2:DH2"/>
    <mergeCell ref="DI2:DM2"/>
    <mergeCell ref="DN2:DR2"/>
    <mergeCell ref="DZ2:ED2"/>
    <mergeCell ref="EE2:EI2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LP1:MK1"/>
    <mergeCell ref="DD1:DY1"/>
    <mergeCell ref="DZ1:EU1"/>
    <mergeCell ref="EV1:FQ1"/>
    <mergeCell ref="FR1:GM1"/>
    <mergeCell ref="GN1:HI1"/>
    <mergeCell ref="CH2:CL2"/>
    <mergeCell ref="CM2:CQ2"/>
    <mergeCell ref="M1:M3"/>
    <mergeCell ref="N1:N3"/>
    <mergeCell ref="O1:O3"/>
    <mergeCell ref="P1:AS1"/>
    <mergeCell ref="AT1:BW1"/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</mergeCells>
  <conditionalFormatting sqref="H4:H1048576">
    <cfRule type="containsText" dxfId="155" priority="9" operator="containsText" text="No DD">
      <formula>NOT(ISERROR(SEARCH("No DD",H4)))</formula>
    </cfRule>
    <cfRule type="containsText" dxfId="154" priority="10" operator="containsText" text="Merit">
      <formula>NOT(ISERROR(SEARCH("Merit",H4)))</formula>
    </cfRule>
    <cfRule type="containsText" dxfId="153" priority="11" operator="containsText" text="Excellence">
      <formula>NOT(ISERROR(SEARCH("Excellence",H4)))</formula>
    </cfRule>
    <cfRule type="containsText" dxfId="152" priority="12" operator="containsText" text="Worlds Team">
      <formula>NOT(ISERROR(SEARCH("Worlds Team",H4)))</formula>
    </cfRule>
    <cfRule type="containsText" dxfId="151" priority="13" operator="containsText" text="National Team">
      <formula>NOT(ISERROR(SEARCH("National Team",H4)))</formula>
    </cfRule>
  </conditionalFormatting>
  <conditionalFormatting sqref="P4:AS28">
    <cfRule type="expression" dxfId="150" priority="6" stopIfTrue="1">
      <formula>IF($AJ4&lt;&gt;"",1,0)</formula>
    </cfRule>
  </conditionalFormatting>
  <conditionalFormatting sqref="AT4:BW28">
    <cfRule type="expression" dxfId="149" priority="7" stopIfTrue="1">
      <formula>IF($BN4&lt;&gt;"",1,0)</formula>
    </cfRule>
  </conditionalFormatting>
  <conditionalFormatting sqref="J1:J1048576 L1:L1048576">
    <cfRule type="expression" dxfId="148" priority="14">
      <formula>IF(J1=$BX$1,1,0)</formula>
    </cfRule>
    <cfRule type="expression" dxfId="147" priority="15">
      <formula>IF(J1=$AT$1,1,0)</formula>
    </cfRule>
    <cfRule type="expression" dxfId="146" priority="16">
      <formula>IF(J1=$P$1,1,0)</formula>
    </cfRule>
  </conditionalFormatting>
  <conditionalFormatting sqref="BX4:DA28">
    <cfRule type="expression" dxfId="145" priority="8" stopIfTrue="1">
      <formula>IF($CR4&lt;&gt;"",1,0)</formula>
    </cfRule>
  </conditionalFormatting>
  <conditionalFormatting sqref="A1:A1048576">
    <cfRule type="expression" dxfId="144" priority="50443">
      <formula>AND(G1&lt;&gt;"",F1="")</formula>
    </cfRule>
  </conditionalFormatting>
  <conditionalFormatting sqref="H1:H3">
    <cfRule type="containsText" dxfId="143" priority="1" operator="containsText" text="No DD">
      <formula>NOT(ISERROR(SEARCH("No DD",H1)))</formula>
    </cfRule>
    <cfRule type="containsText" dxfId="142" priority="2" operator="containsText" text="Merit">
      <formula>NOT(ISERROR(SEARCH("Merit",H1)))</formula>
    </cfRule>
    <cfRule type="containsText" dxfId="141" priority="3" operator="containsText" text="Excellence">
      <formula>NOT(ISERROR(SEARCH("Excellence",H1)))</formula>
    </cfRule>
    <cfRule type="containsText" dxfId="140" priority="4" operator="containsText" text="Worlds Team">
      <formula>NOT(ISERROR(SEARCH("Worlds Team",H1)))</formula>
    </cfRule>
    <cfRule type="containsText" dxfId="139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8" priority="50483" operator="between">
      <formula>AS$35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37" priority="50528" operator="between">
      <formula>AS$35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36" priority="50573" operator="between">
      <formula>DY$34</formula>
      <formula>1000</formula>
    </cfRule>
    <cfRule type="cellIs" dxfId="135" priority="50574" operator="between">
      <formula>DY$33</formula>
      <formula>DY$34</formula>
    </cfRule>
    <cfRule type="cellIs" dxfId="134" priority="50575" operator="between">
      <formula>DY$32</formula>
      <formula>DY$33</formula>
    </cfRule>
    <cfRule type="cellIs" dxfId="133" priority="50576" operator="between">
      <formula>DY$31</formula>
      <formula>DY$32</formula>
    </cfRule>
  </conditionalFormatting>
  <conditionalFormatting sqref="AL1:AL1048576 BP1:BP1048576 CT1:CT1048576">
    <cfRule type="cellIs" dxfId="132" priority="50717" operator="between">
      <formula>AS$34</formula>
      <formula>1000</formula>
    </cfRule>
    <cfRule type="cellIs" dxfId="131" priority="50718" operator="between">
      <formula>AS$33</formula>
      <formula>AS$34</formula>
    </cfRule>
    <cfRule type="cellIs" dxfId="130" priority="50719" operator="between">
      <formula>AS$32</formula>
      <formula>AS$33</formula>
    </cfRule>
    <cfRule type="cellIs" dxfId="129" priority="50720" operator="between">
      <formula>AS$31</formula>
      <formula>AS$32</formula>
    </cfRule>
  </conditionalFormatting>
  <conditionalFormatting sqref="AM1:AM1048576 BQ1:BQ1048576 CU1:CU1048576">
    <cfRule type="cellIs" dxfId="128" priority="50753" operator="between">
      <formula>AS$35</formula>
      <formula>1000</formula>
    </cfRule>
  </conditionalFormatting>
  <conditionalFormatting sqref="AN1:AN1048576 BR1:BR1048576 CV1:CV1048576">
    <cfRule type="cellIs" dxfId="127" priority="50762" operator="between">
      <formula>AS$34</formula>
      <formula>1000</formula>
    </cfRule>
    <cfRule type="cellIs" dxfId="126" priority="50763" operator="between">
      <formula>AS$33</formula>
      <formula>AS$34</formula>
    </cfRule>
    <cfRule type="cellIs" dxfId="125" priority="50764" operator="between">
      <formula>AS$32</formula>
      <formula>AS$33</formula>
    </cfRule>
    <cfRule type="cellIs" dxfId="124" priority="50765" operator="between">
      <formula>AS$31</formula>
      <formula>AS$32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23" priority="50798" operator="between">
      <formula>AS$34</formula>
      <formula>1000</formula>
    </cfRule>
    <cfRule type="cellIs" dxfId="122" priority="50799" operator="between">
      <formula>AS$33</formula>
      <formula>AS$34</formula>
    </cfRule>
    <cfRule type="cellIs" dxfId="121" priority="50800" operator="between">
      <formula>AS$32</formula>
      <formula>AS$33</formula>
    </cfRule>
    <cfRule type="cellIs" dxfId="120" priority="50801" operator="between">
      <formula>AS$31</formula>
      <formula>AS$32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customWidth="1"/>
    <col min="153" max="172" width="10.83203125" hidden="1" customWidth="1"/>
    <col min="173" max="178" width="10.83203125" style="67" customWidth="1"/>
    <col min="179" max="198" width="10.83203125" hidden="1" customWidth="1"/>
    <col min="199" max="204" width="10.83203125" style="67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162</v>
      </c>
      <c r="J1" s="108" t="s">
        <v>26</v>
      </c>
      <c r="K1" s="107" t="s">
        <v>163</v>
      </c>
      <c r="L1" s="108" t="s">
        <v>26</v>
      </c>
      <c r="M1" s="108" t="s">
        <v>10</v>
      </c>
      <c r="N1" s="108" t="s">
        <v>26</v>
      </c>
      <c r="O1" s="109" t="s">
        <v>11</v>
      </c>
      <c r="P1" s="108" t="s">
        <v>27</v>
      </c>
      <c r="Q1" s="108" t="s">
        <v>26</v>
      </c>
      <c r="R1" s="100" t="s">
        <v>106</v>
      </c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4" t="s">
        <v>123</v>
      </c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0" t="s">
        <v>133</v>
      </c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2" t="s">
        <v>164</v>
      </c>
      <c r="CV1" s="102"/>
      <c r="CW1" s="100" t="s">
        <v>128</v>
      </c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4" t="s">
        <v>129</v>
      </c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0" t="s">
        <v>175</v>
      </c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4" t="s">
        <v>179</v>
      </c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0"/>
      <c r="HT1" s="100"/>
      <c r="HU1" s="100"/>
      <c r="HV1" s="100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0"/>
      <c r="IX1" s="100"/>
      <c r="IY1" s="100"/>
      <c r="IZ1" s="100"/>
      <c r="JA1" s="100"/>
      <c r="JB1" s="100"/>
      <c r="JC1" s="100"/>
      <c r="JD1" s="100"/>
      <c r="JE1" s="100"/>
      <c r="JF1" s="100"/>
      <c r="JG1" s="100"/>
      <c r="JH1" s="100"/>
      <c r="JI1" s="100"/>
      <c r="JJ1" s="100"/>
      <c r="JK1" s="100"/>
      <c r="JL1" s="100"/>
      <c r="JM1" s="100"/>
      <c r="JN1" s="100"/>
      <c r="JO1" s="100"/>
      <c r="JP1" s="100"/>
      <c r="JQ1" s="100"/>
      <c r="JR1" s="100"/>
      <c r="JS1" s="100"/>
      <c r="JT1" s="100"/>
      <c r="JU1" s="100"/>
      <c r="JV1" s="100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0"/>
      <c r="KX1" s="100"/>
      <c r="KY1" s="100"/>
      <c r="KZ1" s="100"/>
      <c r="LA1" s="100"/>
      <c r="LB1" s="100"/>
      <c r="LC1" s="100"/>
      <c r="LD1" s="100"/>
      <c r="LE1" s="100"/>
      <c r="LF1" s="100"/>
      <c r="LG1" s="100"/>
      <c r="LH1" s="100"/>
      <c r="LI1" s="100"/>
      <c r="LJ1" s="100"/>
      <c r="LK1" s="100"/>
      <c r="LL1" s="100"/>
      <c r="LM1" s="100"/>
      <c r="LN1" s="100"/>
      <c r="LO1" s="100"/>
      <c r="LP1" s="100"/>
      <c r="LQ1" s="100"/>
      <c r="LR1" s="100"/>
      <c r="LS1" s="100"/>
      <c r="LT1" s="100"/>
      <c r="LU1" s="100"/>
      <c r="LV1" s="100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0"/>
      <c r="MX1" s="100"/>
      <c r="MY1" s="100"/>
      <c r="MZ1" s="100"/>
      <c r="NA1" s="100"/>
      <c r="NB1" s="100"/>
      <c r="NC1" s="100"/>
      <c r="ND1" s="100"/>
      <c r="NE1" s="100"/>
      <c r="NF1" s="100"/>
      <c r="NG1" s="100"/>
      <c r="NH1" s="100"/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0" t="s">
        <v>56</v>
      </c>
      <c r="OX1" s="100"/>
      <c r="OY1" s="100"/>
      <c r="OZ1" s="100"/>
      <c r="PA1" s="100"/>
      <c r="PB1" s="100"/>
      <c r="PC1" s="100"/>
      <c r="PD1" s="100"/>
      <c r="PE1" s="100"/>
      <c r="PF1" s="100"/>
      <c r="PG1" s="100"/>
      <c r="PH1" s="100"/>
      <c r="PI1" s="100"/>
      <c r="PJ1" s="100"/>
      <c r="PK1" s="100"/>
      <c r="PL1" s="100"/>
      <c r="PM1" s="100"/>
      <c r="PN1" s="100"/>
      <c r="PO1" s="100"/>
      <c r="PP1" s="100"/>
      <c r="PQ1" s="100"/>
      <c r="PR1" s="100"/>
      <c r="PS1" s="100"/>
      <c r="PT1" s="100"/>
      <c r="PU1" s="100"/>
      <c r="PV1" s="100"/>
      <c r="PW1" s="100"/>
    </row>
    <row r="2" spans="1:439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8"/>
      <c r="N2" s="108"/>
      <c r="O2" s="109"/>
      <c r="P2" s="108"/>
      <c r="Q2" s="108"/>
      <c r="R2" s="101" t="s">
        <v>165</v>
      </c>
      <c r="S2" s="101"/>
      <c r="T2" s="101"/>
      <c r="U2" s="101"/>
      <c r="V2" s="101" t="s">
        <v>166</v>
      </c>
      <c r="W2" s="101"/>
      <c r="X2" s="101"/>
      <c r="Y2" s="101"/>
      <c r="Z2" s="101" t="s">
        <v>167</v>
      </c>
      <c r="AA2" s="101"/>
      <c r="AB2" s="101"/>
      <c r="AC2" s="101"/>
      <c r="AD2" s="101" t="s">
        <v>168</v>
      </c>
      <c r="AE2" s="101"/>
      <c r="AF2" s="101"/>
      <c r="AG2" s="101"/>
      <c r="AH2" s="111" t="s">
        <v>169</v>
      </c>
      <c r="AI2" s="111"/>
      <c r="AJ2" s="111"/>
      <c r="AK2" s="111"/>
      <c r="AL2" s="72"/>
      <c r="AM2" s="72" t="s">
        <v>170</v>
      </c>
      <c r="AN2" s="72" t="s">
        <v>171</v>
      </c>
      <c r="AO2" s="72" t="s">
        <v>167</v>
      </c>
      <c r="AP2" s="72" t="s">
        <v>57</v>
      </c>
      <c r="AQ2" s="72" t="s">
        <v>172</v>
      </c>
      <c r="AR2" s="72" t="s">
        <v>15</v>
      </c>
      <c r="AS2" s="103" t="s">
        <v>165</v>
      </c>
      <c r="AT2" s="103"/>
      <c r="AU2" s="103"/>
      <c r="AV2" s="103"/>
      <c r="AW2" s="103" t="s">
        <v>166</v>
      </c>
      <c r="AX2" s="103"/>
      <c r="AY2" s="103"/>
      <c r="AZ2" s="103"/>
      <c r="BA2" s="103" t="s">
        <v>167</v>
      </c>
      <c r="BB2" s="103"/>
      <c r="BC2" s="103"/>
      <c r="BD2" s="103"/>
      <c r="BE2" s="103" t="s">
        <v>168</v>
      </c>
      <c r="BF2" s="103"/>
      <c r="BG2" s="103"/>
      <c r="BH2" s="103"/>
      <c r="BI2" s="112" t="s">
        <v>169</v>
      </c>
      <c r="BJ2" s="112"/>
      <c r="BK2" s="112"/>
      <c r="BL2" s="112"/>
      <c r="BM2" s="71"/>
      <c r="BN2" s="71" t="s">
        <v>170</v>
      </c>
      <c r="BO2" s="71" t="s">
        <v>171</v>
      </c>
      <c r="BP2" s="71" t="s">
        <v>167</v>
      </c>
      <c r="BQ2" s="71" t="s">
        <v>57</v>
      </c>
      <c r="BR2" s="71" t="s">
        <v>172</v>
      </c>
      <c r="BS2" s="71" t="s">
        <v>15</v>
      </c>
      <c r="BT2" s="101" t="s">
        <v>165</v>
      </c>
      <c r="BU2" s="101"/>
      <c r="BV2" s="101"/>
      <c r="BW2" s="101"/>
      <c r="BX2" s="101" t="s">
        <v>166</v>
      </c>
      <c r="BY2" s="101"/>
      <c r="BZ2" s="101"/>
      <c r="CA2" s="101"/>
      <c r="CB2" s="101" t="s">
        <v>167</v>
      </c>
      <c r="CC2" s="101"/>
      <c r="CD2" s="101"/>
      <c r="CE2" s="101"/>
      <c r="CF2" s="101" t="s">
        <v>168</v>
      </c>
      <c r="CG2" s="101"/>
      <c r="CH2" s="101"/>
      <c r="CI2" s="101"/>
      <c r="CJ2" s="111" t="s">
        <v>169</v>
      </c>
      <c r="CK2" s="111"/>
      <c r="CL2" s="111"/>
      <c r="CM2" s="111"/>
      <c r="CN2" s="72"/>
      <c r="CO2" s="72" t="s">
        <v>170</v>
      </c>
      <c r="CP2" s="72" t="s">
        <v>171</v>
      </c>
      <c r="CQ2" s="72" t="s">
        <v>167</v>
      </c>
      <c r="CR2" s="72" t="s">
        <v>57</v>
      </c>
      <c r="CS2" s="72" t="s">
        <v>172</v>
      </c>
      <c r="CT2" s="72" t="s">
        <v>15</v>
      </c>
      <c r="CU2" s="77" t="s">
        <v>171</v>
      </c>
      <c r="CV2" s="77" t="s">
        <v>20</v>
      </c>
      <c r="CW2" s="101" t="s">
        <v>165</v>
      </c>
      <c r="CX2" s="101"/>
      <c r="CY2" s="101"/>
      <c r="CZ2" s="101"/>
      <c r="DA2" s="101" t="s">
        <v>166</v>
      </c>
      <c r="DB2" s="101"/>
      <c r="DC2" s="101"/>
      <c r="DD2" s="101"/>
      <c r="DE2" s="101" t="s">
        <v>167</v>
      </c>
      <c r="DF2" s="101"/>
      <c r="DG2" s="101"/>
      <c r="DH2" s="101"/>
      <c r="DI2" s="101" t="s">
        <v>168</v>
      </c>
      <c r="DJ2" s="101"/>
      <c r="DK2" s="101"/>
      <c r="DL2" s="101"/>
      <c r="DM2" s="110" t="s">
        <v>169</v>
      </c>
      <c r="DN2" s="110"/>
      <c r="DO2" s="110"/>
      <c r="DP2" s="110"/>
      <c r="DQ2" s="72" t="s">
        <v>170</v>
      </c>
      <c r="DR2" s="72" t="s">
        <v>171</v>
      </c>
      <c r="DS2" s="72" t="s">
        <v>167</v>
      </c>
      <c r="DT2" s="72" t="s">
        <v>57</v>
      </c>
      <c r="DU2" s="72" t="s">
        <v>172</v>
      </c>
      <c r="DV2" s="72" t="s">
        <v>15</v>
      </c>
      <c r="DW2" s="103" t="s">
        <v>165</v>
      </c>
      <c r="DX2" s="103"/>
      <c r="DY2" s="103"/>
      <c r="DZ2" s="103"/>
      <c r="EA2" s="103" t="s">
        <v>166</v>
      </c>
      <c r="EB2" s="103"/>
      <c r="EC2" s="103"/>
      <c r="ED2" s="103"/>
      <c r="EE2" s="103" t="s">
        <v>167</v>
      </c>
      <c r="EF2" s="103"/>
      <c r="EG2" s="103"/>
      <c r="EH2" s="103"/>
      <c r="EI2" s="103" t="s">
        <v>168</v>
      </c>
      <c r="EJ2" s="103"/>
      <c r="EK2" s="103"/>
      <c r="EL2" s="103"/>
      <c r="EM2" s="112" t="s">
        <v>169</v>
      </c>
      <c r="EN2" s="112"/>
      <c r="EO2" s="112"/>
      <c r="EP2" s="112"/>
      <c r="EQ2" s="71" t="s">
        <v>170</v>
      </c>
      <c r="ER2" s="71" t="s">
        <v>171</v>
      </c>
      <c r="ES2" s="71" t="s">
        <v>167</v>
      </c>
      <c r="ET2" s="71" t="s">
        <v>57</v>
      </c>
      <c r="EU2" s="71" t="s">
        <v>172</v>
      </c>
      <c r="EV2" s="71" t="s">
        <v>15</v>
      </c>
      <c r="EW2" s="101" t="s">
        <v>165</v>
      </c>
      <c r="EX2" s="101"/>
      <c r="EY2" s="101"/>
      <c r="EZ2" s="101"/>
      <c r="FA2" s="101" t="s">
        <v>166</v>
      </c>
      <c r="FB2" s="101"/>
      <c r="FC2" s="101"/>
      <c r="FD2" s="101"/>
      <c r="FE2" s="101" t="s">
        <v>167</v>
      </c>
      <c r="FF2" s="101"/>
      <c r="FG2" s="101"/>
      <c r="FH2" s="101"/>
      <c r="FI2" s="101" t="s">
        <v>168</v>
      </c>
      <c r="FJ2" s="101"/>
      <c r="FK2" s="101"/>
      <c r="FL2" s="101"/>
      <c r="FM2" s="110" t="s">
        <v>169</v>
      </c>
      <c r="FN2" s="110"/>
      <c r="FO2" s="110"/>
      <c r="FP2" s="110"/>
      <c r="FQ2" s="72" t="s">
        <v>170</v>
      </c>
      <c r="FR2" s="72" t="s">
        <v>171</v>
      </c>
      <c r="FS2" s="72" t="s">
        <v>167</v>
      </c>
      <c r="FT2" s="72" t="s">
        <v>57</v>
      </c>
      <c r="FU2" s="72" t="s">
        <v>172</v>
      </c>
      <c r="FV2" s="72" t="s">
        <v>15</v>
      </c>
      <c r="FW2" s="103" t="s">
        <v>165</v>
      </c>
      <c r="FX2" s="103"/>
      <c r="FY2" s="103"/>
      <c r="FZ2" s="103"/>
      <c r="GA2" s="103" t="s">
        <v>166</v>
      </c>
      <c r="GB2" s="103"/>
      <c r="GC2" s="103"/>
      <c r="GD2" s="103"/>
      <c r="GE2" s="103" t="s">
        <v>167</v>
      </c>
      <c r="GF2" s="103"/>
      <c r="GG2" s="103"/>
      <c r="GH2" s="103"/>
      <c r="GI2" s="103" t="s">
        <v>168</v>
      </c>
      <c r="GJ2" s="103"/>
      <c r="GK2" s="103"/>
      <c r="GL2" s="103"/>
      <c r="GM2" s="112" t="s">
        <v>169</v>
      </c>
      <c r="GN2" s="112"/>
      <c r="GO2" s="112"/>
      <c r="GP2" s="112"/>
      <c r="GQ2" s="71" t="s">
        <v>170</v>
      </c>
      <c r="GR2" s="71" t="s">
        <v>171</v>
      </c>
      <c r="GS2" s="71" t="s">
        <v>167</v>
      </c>
      <c r="GT2" s="71" t="s">
        <v>57</v>
      </c>
      <c r="GU2" s="71" t="s">
        <v>172</v>
      </c>
      <c r="GV2" s="71" t="s">
        <v>15</v>
      </c>
      <c r="GW2" s="101" t="s">
        <v>165</v>
      </c>
      <c r="GX2" s="101"/>
      <c r="GY2" s="101"/>
      <c r="GZ2" s="101"/>
      <c r="HA2" s="101" t="s">
        <v>166</v>
      </c>
      <c r="HB2" s="101"/>
      <c r="HC2" s="101"/>
      <c r="HD2" s="101"/>
      <c r="HE2" s="101" t="s">
        <v>167</v>
      </c>
      <c r="HF2" s="101"/>
      <c r="HG2" s="101"/>
      <c r="HH2" s="101"/>
      <c r="HI2" s="101" t="s">
        <v>168</v>
      </c>
      <c r="HJ2" s="101"/>
      <c r="HK2" s="101"/>
      <c r="HL2" s="101"/>
      <c r="HM2" s="110" t="s">
        <v>169</v>
      </c>
      <c r="HN2" s="110"/>
      <c r="HO2" s="110"/>
      <c r="HP2" s="110"/>
      <c r="HQ2" s="72" t="s">
        <v>170</v>
      </c>
      <c r="HR2" s="72" t="s">
        <v>171</v>
      </c>
      <c r="HS2" s="72" t="s">
        <v>167</v>
      </c>
      <c r="HT2" s="72" t="s">
        <v>57</v>
      </c>
      <c r="HU2" s="72" t="s">
        <v>172</v>
      </c>
      <c r="HV2" s="72" t="s">
        <v>15</v>
      </c>
      <c r="HW2" s="103" t="s">
        <v>165</v>
      </c>
      <c r="HX2" s="103"/>
      <c r="HY2" s="103"/>
      <c r="HZ2" s="103"/>
      <c r="IA2" s="103" t="s">
        <v>166</v>
      </c>
      <c r="IB2" s="103"/>
      <c r="IC2" s="103"/>
      <c r="ID2" s="103"/>
      <c r="IE2" s="103" t="s">
        <v>167</v>
      </c>
      <c r="IF2" s="103"/>
      <c r="IG2" s="103"/>
      <c r="IH2" s="103"/>
      <c r="II2" s="103" t="s">
        <v>168</v>
      </c>
      <c r="IJ2" s="103"/>
      <c r="IK2" s="103"/>
      <c r="IL2" s="103"/>
      <c r="IM2" s="112" t="s">
        <v>169</v>
      </c>
      <c r="IN2" s="112"/>
      <c r="IO2" s="112"/>
      <c r="IP2" s="112"/>
      <c r="IQ2" s="71" t="s">
        <v>170</v>
      </c>
      <c r="IR2" s="71" t="s">
        <v>171</v>
      </c>
      <c r="IS2" s="71" t="s">
        <v>167</v>
      </c>
      <c r="IT2" s="71" t="s">
        <v>57</v>
      </c>
      <c r="IU2" s="71" t="s">
        <v>172</v>
      </c>
      <c r="IV2" s="71" t="s">
        <v>15</v>
      </c>
      <c r="IW2" s="101" t="s">
        <v>165</v>
      </c>
      <c r="IX2" s="101"/>
      <c r="IY2" s="101"/>
      <c r="IZ2" s="101"/>
      <c r="JA2" s="101" t="s">
        <v>166</v>
      </c>
      <c r="JB2" s="101"/>
      <c r="JC2" s="101"/>
      <c r="JD2" s="101"/>
      <c r="JE2" s="101" t="s">
        <v>167</v>
      </c>
      <c r="JF2" s="101"/>
      <c r="JG2" s="101"/>
      <c r="JH2" s="101"/>
      <c r="JI2" s="101" t="s">
        <v>168</v>
      </c>
      <c r="JJ2" s="101"/>
      <c r="JK2" s="101"/>
      <c r="JL2" s="101"/>
      <c r="JM2" s="110" t="s">
        <v>169</v>
      </c>
      <c r="JN2" s="110"/>
      <c r="JO2" s="110"/>
      <c r="JP2" s="110"/>
      <c r="JQ2" s="72" t="s">
        <v>170</v>
      </c>
      <c r="JR2" s="72" t="s">
        <v>171</v>
      </c>
      <c r="JS2" s="72" t="s">
        <v>167</v>
      </c>
      <c r="JT2" s="72" t="s">
        <v>57</v>
      </c>
      <c r="JU2" s="72" t="s">
        <v>172</v>
      </c>
      <c r="JV2" s="72" t="s">
        <v>15</v>
      </c>
      <c r="JW2" s="103" t="s">
        <v>165</v>
      </c>
      <c r="JX2" s="103"/>
      <c r="JY2" s="103"/>
      <c r="JZ2" s="103"/>
      <c r="KA2" s="103" t="s">
        <v>166</v>
      </c>
      <c r="KB2" s="103"/>
      <c r="KC2" s="103"/>
      <c r="KD2" s="103"/>
      <c r="KE2" s="103" t="s">
        <v>167</v>
      </c>
      <c r="KF2" s="103"/>
      <c r="KG2" s="103"/>
      <c r="KH2" s="103"/>
      <c r="KI2" s="103" t="s">
        <v>168</v>
      </c>
      <c r="KJ2" s="103"/>
      <c r="KK2" s="103"/>
      <c r="KL2" s="103"/>
      <c r="KM2" s="112" t="s">
        <v>169</v>
      </c>
      <c r="KN2" s="112"/>
      <c r="KO2" s="112"/>
      <c r="KP2" s="112"/>
      <c r="KQ2" s="71" t="s">
        <v>170</v>
      </c>
      <c r="KR2" s="71" t="s">
        <v>171</v>
      </c>
      <c r="KS2" s="71" t="s">
        <v>167</v>
      </c>
      <c r="KT2" s="71" t="s">
        <v>57</v>
      </c>
      <c r="KU2" s="71" t="s">
        <v>172</v>
      </c>
      <c r="KV2" s="71" t="s">
        <v>15</v>
      </c>
      <c r="KW2" s="101" t="s">
        <v>165</v>
      </c>
      <c r="KX2" s="101"/>
      <c r="KY2" s="101"/>
      <c r="KZ2" s="101"/>
      <c r="LA2" s="101" t="s">
        <v>166</v>
      </c>
      <c r="LB2" s="101"/>
      <c r="LC2" s="101"/>
      <c r="LD2" s="101"/>
      <c r="LE2" s="101" t="s">
        <v>167</v>
      </c>
      <c r="LF2" s="101"/>
      <c r="LG2" s="101"/>
      <c r="LH2" s="101"/>
      <c r="LI2" s="101" t="s">
        <v>168</v>
      </c>
      <c r="LJ2" s="101"/>
      <c r="LK2" s="101"/>
      <c r="LL2" s="101"/>
      <c r="LM2" s="110" t="s">
        <v>169</v>
      </c>
      <c r="LN2" s="110"/>
      <c r="LO2" s="110"/>
      <c r="LP2" s="110"/>
      <c r="LQ2" s="72" t="s">
        <v>170</v>
      </c>
      <c r="LR2" s="72" t="s">
        <v>171</v>
      </c>
      <c r="LS2" s="72" t="s">
        <v>167</v>
      </c>
      <c r="LT2" s="72" t="s">
        <v>57</v>
      </c>
      <c r="LU2" s="72" t="s">
        <v>172</v>
      </c>
      <c r="LV2" s="72" t="s">
        <v>15</v>
      </c>
      <c r="LW2" s="103" t="s">
        <v>165</v>
      </c>
      <c r="LX2" s="103"/>
      <c r="LY2" s="103"/>
      <c r="LZ2" s="103"/>
      <c r="MA2" s="103" t="s">
        <v>166</v>
      </c>
      <c r="MB2" s="103"/>
      <c r="MC2" s="103"/>
      <c r="MD2" s="103"/>
      <c r="ME2" s="103" t="s">
        <v>167</v>
      </c>
      <c r="MF2" s="103"/>
      <c r="MG2" s="103"/>
      <c r="MH2" s="103"/>
      <c r="MI2" s="103" t="s">
        <v>168</v>
      </c>
      <c r="MJ2" s="103"/>
      <c r="MK2" s="103"/>
      <c r="ML2" s="103"/>
      <c r="MM2" s="112" t="s">
        <v>169</v>
      </c>
      <c r="MN2" s="112"/>
      <c r="MO2" s="112"/>
      <c r="MP2" s="112"/>
      <c r="MQ2" s="71" t="s">
        <v>170</v>
      </c>
      <c r="MR2" s="71" t="s">
        <v>171</v>
      </c>
      <c r="MS2" s="71" t="s">
        <v>167</v>
      </c>
      <c r="MT2" s="71" t="s">
        <v>57</v>
      </c>
      <c r="MU2" s="71" t="s">
        <v>172</v>
      </c>
      <c r="MV2" s="71" t="s">
        <v>15</v>
      </c>
      <c r="MW2" s="101" t="s">
        <v>165</v>
      </c>
      <c r="MX2" s="101"/>
      <c r="MY2" s="101"/>
      <c r="MZ2" s="101"/>
      <c r="NA2" s="101" t="s">
        <v>166</v>
      </c>
      <c r="NB2" s="101"/>
      <c r="NC2" s="101"/>
      <c r="ND2" s="101"/>
      <c r="NE2" s="101" t="s">
        <v>167</v>
      </c>
      <c r="NF2" s="101"/>
      <c r="NG2" s="101"/>
      <c r="NH2" s="101"/>
      <c r="NI2" s="101" t="s">
        <v>168</v>
      </c>
      <c r="NJ2" s="101"/>
      <c r="NK2" s="101"/>
      <c r="NL2" s="101"/>
      <c r="NM2" s="110" t="s">
        <v>169</v>
      </c>
      <c r="NN2" s="110"/>
      <c r="NO2" s="110"/>
      <c r="NP2" s="110"/>
      <c r="NQ2" s="72" t="s">
        <v>170</v>
      </c>
      <c r="NR2" s="72" t="s">
        <v>171</v>
      </c>
      <c r="NS2" s="72" t="s">
        <v>167</v>
      </c>
      <c r="NT2" s="72" t="s">
        <v>57</v>
      </c>
      <c r="NU2" s="72" t="s">
        <v>172</v>
      </c>
      <c r="NV2" s="72" t="s">
        <v>15</v>
      </c>
      <c r="NW2" s="103" t="s">
        <v>165</v>
      </c>
      <c r="NX2" s="103"/>
      <c r="NY2" s="103"/>
      <c r="NZ2" s="103"/>
      <c r="OA2" s="103" t="s">
        <v>166</v>
      </c>
      <c r="OB2" s="103"/>
      <c r="OC2" s="103"/>
      <c r="OD2" s="103"/>
      <c r="OE2" s="103" t="s">
        <v>167</v>
      </c>
      <c r="OF2" s="103"/>
      <c r="OG2" s="103"/>
      <c r="OH2" s="103"/>
      <c r="OI2" s="103" t="s">
        <v>168</v>
      </c>
      <c r="OJ2" s="103"/>
      <c r="OK2" s="103"/>
      <c r="OL2" s="103"/>
      <c r="OM2" s="112" t="s">
        <v>169</v>
      </c>
      <c r="ON2" s="112"/>
      <c r="OO2" s="112"/>
      <c r="OP2" s="112"/>
      <c r="OQ2" s="71" t="s">
        <v>170</v>
      </c>
      <c r="OR2" s="71" t="s">
        <v>171</v>
      </c>
      <c r="OS2" s="71" t="s">
        <v>167</v>
      </c>
      <c r="OT2" s="71" t="s">
        <v>57</v>
      </c>
      <c r="OU2" s="71" t="s">
        <v>172</v>
      </c>
      <c r="OV2" s="71" t="s">
        <v>15</v>
      </c>
      <c r="OW2" s="101" t="s">
        <v>165</v>
      </c>
      <c r="OX2" s="101"/>
      <c r="OY2" s="101"/>
      <c r="OZ2" s="101"/>
      <c r="PA2" s="101" t="s">
        <v>166</v>
      </c>
      <c r="PB2" s="101"/>
      <c r="PC2" s="101"/>
      <c r="PD2" s="101"/>
      <c r="PE2" s="101" t="s">
        <v>167</v>
      </c>
      <c r="PF2" s="101"/>
      <c r="PG2" s="101"/>
      <c r="PH2" s="101"/>
      <c r="PI2" s="101" t="s">
        <v>168</v>
      </c>
      <c r="PJ2" s="101"/>
      <c r="PK2" s="101"/>
      <c r="PL2" s="101"/>
      <c r="PM2" s="111" t="s">
        <v>169</v>
      </c>
      <c r="PN2" s="111"/>
      <c r="PO2" s="111"/>
      <c r="PP2" s="111"/>
      <c r="PQ2" s="72"/>
      <c r="PR2" s="72" t="s">
        <v>170</v>
      </c>
      <c r="PS2" s="72" t="s">
        <v>171</v>
      </c>
      <c r="PT2" s="72" t="s">
        <v>167</v>
      </c>
      <c r="PU2" s="72" t="s">
        <v>57</v>
      </c>
      <c r="PV2" s="72" t="s">
        <v>172</v>
      </c>
      <c r="PW2" s="72" t="s">
        <v>15</v>
      </c>
    </row>
    <row r="3" spans="1:439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8"/>
      <c r="N3" s="108"/>
      <c r="O3" s="109"/>
      <c r="P3" s="108"/>
      <c r="Q3" s="108"/>
      <c r="R3" s="72" t="s">
        <v>12</v>
      </c>
      <c r="S3" s="72" t="s">
        <v>7</v>
      </c>
      <c r="T3" s="72" t="s">
        <v>24</v>
      </c>
      <c r="U3" s="72" t="s">
        <v>25</v>
      </c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3" t="s">
        <v>12</v>
      </c>
      <c r="AI3" s="73" t="s">
        <v>7</v>
      </c>
      <c r="AJ3" s="73" t="s">
        <v>24</v>
      </c>
      <c r="AK3" s="73" t="s">
        <v>25</v>
      </c>
      <c r="AL3" s="72" t="s">
        <v>45</v>
      </c>
      <c r="AM3" s="72"/>
      <c r="AN3" s="72"/>
      <c r="AO3" s="72"/>
      <c r="AP3" s="72"/>
      <c r="AQ3" s="72"/>
      <c r="AR3" s="72"/>
      <c r="AS3" s="71" t="s">
        <v>12</v>
      </c>
      <c r="AT3" s="71" t="s">
        <v>7</v>
      </c>
      <c r="AU3" s="71" t="s">
        <v>24</v>
      </c>
      <c r="AV3" s="71" t="s">
        <v>25</v>
      </c>
      <c r="AW3" s="71" t="s">
        <v>12</v>
      </c>
      <c r="AX3" s="71" t="s">
        <v>7</v>
      </c>
      <c r="AY3" s="71" t="s">
        <v>24</v>
      </c>
      <c r="AZ3" s="71" t="s">
        <v>25</v>
      </c>
      <c r="BA3" s="71" t="s">
        <v>12</v>
      </c>
      <c r="BB3" s="71" t="s">
        <v>7</v>
      </c>
      <c r="BC3" s="71" t="s">
        <v>24</v>
      </c>
      <c r="BD3" s="71" t="s">
        <v>25</v>
      </c>
      <c r="BE3" s="71" t="s">
        <v>12</v>
      </c>
      <c r="BF3" s="71" t="s">
        <v>7</v>
      </c>
      <c r="BG3" s="71" t="s">
        <v>24</v>
      </c>
      <c r="BH3" s="71" t="s">
        <v>25</v>
      </c>
      <c r="BI3" s="75" t="s">
        <v>12</v>
      </c>
      <c r="BJ3" s="75" t="s">
        <v>7</v>
      </c>
      <c r="BK3" s="75" t="s">
        <v>24</v>
      </c>
      <c r="BL3" s="75" t="s">
        <v>25</v>
      </c>
      <c r="BM3" s="71" t="s">
        <v>45</v>
      </c>
      <c r="BN3" s="71"/>
      <c r="BO3" s="71"/>
      <c r="BP3" s="71"/>
      <c r="BQ3" s="71"/>
      <c r="BR3" s="71"/>
      <c r="BS3" s="71"/>
      <c r="BT3" s="72" t="s">
        <v>12</v>
      </c>
      <c r="BU3" s="72" t="s">
        <v>7</v>
      </c>
      <c r="BV3" s="72" t="s">
        <v>24</v>
      </c>
      <c r="BW3" s="72" t="s">
        <v>25</v>
      </c>
      <c r="BX3" s="72" t="s">
        <v>12</v>
      </c>
      <c r="BY3" s="72" t="s">
        <v>7</v>
      </c>
      <c r="BZ3" s="72" t="s">
        <v>24</v>
      </c>
      <c r="CA3" s="72" t="s">
        <v>25</v>
      </c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3" t="s">
        <v>12</v>
      </c>
      <c r="CK3" s="73" t="s">
        <v>7</v>
      </c>
      <c r="CL3" s="73" t="s">
        <v>24</v>
      </c>
      <c r="CM3" s="73" t="s">
        <v>25</v>
      </c>
      <c r="CN3" s="72" t="s">
        <v>45</v>
      </c>
      <c r="CO3" s="72"/>
      <c r="CP3" s="72"/>
      <c r="CQ3" s="72"/>
      <c r="CR3" s="72"/>
      <c r="CS3" s="72"/>
      <c r="CT3" s="72"/>
      <c r="CU3" s="77"/>
      <c r="CV3" s="77"/>
      <c r="CW3" s="72" t="s">
        <v>12</v>
      </c>
      <c r="CX3" s="72" t="s">
        <v>7</v>
      </c>
      <c r="CY3" s="72" t="s">
        <v>24</v>
      </c>
      <c r="CZ3" s="72" t="s">
        <v>25</v>
      </c>
      <c r="DA3" s="72" t="s">
        <v>12</v>
      </c>
      <c r="DB3" s="72" t="s">
        <v>7</v>
      </c>
      <c r="DC3" s="72" t="s">
        <v>24</v>
      </c>
      <c r="DD3" s="72" t="s">
        <v>25</v>
      </c>
      <c r="DE3" s="72" t="s">
        <v>12</v>
      </c>
      <c r="DF3" s="72" t="s">
        <v>7</v>
      </c>
      <c r="DG3" s="72" t="s">
        <v>24</v>
      </c>
      <c r="DH3" s="72" t="s">
        <v>25</v>
      </c>
      <c r="DI3" s="72" t="s">
        <v>12</v>
      </c>
      <c r="DJ3" s="72" t="s">
        <v>7</v>
      </c>
      <c r="DK3" s="72" t="s">
        <v>24</v>
      </c>
      <c r="DL3" s="72" t="s">
        <v>25</v>
      </c>
      <c r="DM3" s="74" t="s">
        <v>12</v>
      </c>
      <c r="DN3" s="74" t="s">
        <v>7</v>
      </c>
      <c r="DO3" s="74" t="s">
        <v>24</v>
      </c>
      <c r="DP3" s="74" t="s">
        <v>25</v>
      </c>
      <c r="DQ3" s="72"/>
      <c r="DR3" s="72"/>
      <c r="DS3" s="72"/>
      <c r="DT3" s="72"/>
      <c r="DU3" s="72"/>
      <c r="DV3" s="72"/>
      <c r="DW3" s="71" t="s">
        <v>12</v>
      </c>
      <c r="DX3" s="71" t="s">
        <v>7</v>
      </c>
      <c r="DY3" s="71" t="s">
        <v>24</v>
      </c>
      <c r="DZ3" s="71" t="s">
        <v>25</v>
      </c>
      <c r="EA3" s="71" t="s">
        <v>12</v>
      </c>
      <c r="EB3" s="71" t="s">
        <v>7</v>
      </c>
      <c r="EC3" s="71" t="s">
        <v>24</v>
      </c>
      <c r="ED3" s="71" t="s">
        <v>25</v>
      </c>
      <c r="EE3" s="71" t="s">
        <v>12</v>
      </c>
      <c r="EF3" s="71" t="s">
        <v>7</v>
      </c>
      <c r="EG3" s="71" t="s">
        <v>24</v>
      </c>
      <c r="EH3" s="71" t="s">
        <v>25</v>
      </c>
      <c r="EI3" s="71" t="s">
        <v>12</v>
      </c>
      <c r="EJ3" s="71" t="s">
        <v>7</v>
      </c>
      <c r="EK3" s="71" t="s">
        <v>24</v>
      </c>
      <c r="EL3" s="71" t="s">
        <v>25</v>
      </c>
      <c r="EM3" s="75" t="s">
        <v>12</v>
      </c>
      <c r="EN3" s="75" t="s">
        <v>7</v>
      </c>
      <c r="EO3" s="75" t="s">
        <v>24</v>
      </c>
      <c r="EP3" s="75" t="s">
        <v>25</v>
      </c>
      <c r="EQ3" s="71"/>
      <c r="ER3" s="71"/>
      <c r="ES3" s="71"/>
      <c r="ET3" s="71"/>
      <c r="EU3" s="71"/>
      <c r="EV3" s="71"/>
      <c r="EW3" s="72" t="s">
        <v>12</v>
      </c>
      <c r="EX3" s="72" t="s">
        <v>7</v>
      </c>
      <c r="EY3" s="72" t="s">
        <v>24</v>
      </c>
      <c r="EZ3" s="72" t="s">
        <v>25</v>
      </c>
      <c r="FA3" s="72" t="s">
        <v>12</v>
      </c>
      <c r="FB3" s="72" t="s">
        <v>7</v>
      </c>
      <c r="FC3" s="72" t="s">
        <v>24</v>
      </c>
      <c r="FD3" s="72" t="s">
        <v>25</v>
      </c>
      <c r="FE3" s="72" t="s">
        <v>12</v>
      </c>
      <c r="FF3" s="72" t="s">
        <v>7</v>
      </c>
      <c r="FG3" s="72" t="s">
        <v>24</v>
      </c>
      <c r="FH3" s="72" t="s">
        <v>25</v>
      </c>
      <c r="FI3" s="72" t="s">
        <v>12</v>
      </c>
      <c r="FJ3" s="72" t="s">
        <v>7</v>
      </c>
      <c r="FK3" s="72" t="s">
        <v>24</v>
      </c>
      <c r="FL3" s="72" t="s">
        <v>25</v>
      </c>
      <c r="FM3" s="74" t="s">
        <v>12</v>
      </c>
      <c r="FN3" s="74" t="s">
        <v>7</v>
      </c>
      <c r="FO3" s="74" t="s">
        <v>24</v>
      </c>
      <c r="FP3" s="74" t="s">
        <v>25</v>
      </c>
      <c r="FQ3" s="72"/>
      <c r="FR3" s="72"/>
      <c r="FS3" s="72"/>
      <c r="FT3" s="72"/>
      <c r="FU3" s="72"/>
      <c r="FV3" s="72"/>
      <c r="FW3" s="71" t="s">
        <v>12</v>
      </c>
      <c r="FX3" s="71" t="s">
        <v>7</v>
      </c>
      <c r="FY3" s="71" t="s">
        <v>24</v>
      </c>
      <c r="FZ3" s="71" t="s">
        <v>25</v>
      </c>
      <c r="GA3" s="71" t="s">
        <v>12</v>
      </c>
      <c r="GB3" s="71" t="s">
        <v>7</v>
      </c>
      <c r="GC3" s="71" t="s">
        <v>24</v>
      </c>
      <c r="GD3" s="71" t="s">
        <v>25</v>
      </c>
      <c r="GE3" s="71" t="s">
        <v>12</v>
      </c>
      <c r="GF3" s="71" t="s">
        <v>7</v>
      </c>
      <c r="GG3" s="71" t="s">
        <v>24</v>
      </c>
      <c r="GH3" s="71" t="s">
        <v>25</v>
      </c>
      <c r="GI3" s="71" t="s">
        <v>12</v>
      </c>
      <c r="GJ3" s="71" t="s">
        <v>7</v>
      </c>
      <c r="GK3" s="71" t="s">
        <v>24</v>
      </c>
      <c r="GL3" s="71" t="s">
        <v>25</v>
      </c>
      <c r="GM3" s="75" t="s">
        <v>12</v>
      </c>
      <c r="GN3" s="75" t="s">
        <v>7</v>
      </c>
      <c r="GO3" s="75" t="s">
        <v>24</v>
      </c>
      <c r="GP3" s="75" t="s">
        <v>25</v>
      </c>
      <c r="GQ3" s="71"/>
      <c r="GR3" s="71"/>
      <c r="GS3" s="71"/>
      <c r="GT3" s="71"/>
      <c r="GU3" s="71"/>
      <c r="GV3" s="71"/>
      <c r="GW3" s="72" t="s">
        <v>12</v>
      </c>
      <c r="GX3" s="72" t="s">
        <v>7</v>
      </c>
      <c r="GY3" s="72" t="s">
        <v>24</v>
      </c>
      <c r="GZ3" s="72" t="s">
        <v>25</v>
      </c>
      <c r="HA3" s="72" t="s">
        <v>12</v>
      </c>
      <c r="HB3" s="72" t="s">
        <v>7</v>
      </c>
      <c r="HC3" s="72" t="s">
        <v>24</v>
      </c>
      <c r="HD3" s="72" t="s">
        <v>25</v>
      </c>
      <c r="HE3" s="72" t="s">
        <v>12</v>
      </c>
      <c r="HF3" s="72" t="s">
        <v>7</v>
      </c>
      <c r="HG3" s="72" t="s">
        <v>24</v>
      </c>
      <c r="HH3" s="72" t="s">
        <v>25</v>
      </c>
      <c r="HI3" s="72" t="s">
        <v>12</v>
      </c>
      <c r="HJ3" s="72" t="s">
        <v>7</v>
      </c>
      <c r="HK3" s="72" t="s">
        <v>24</v>
      </c>
      <c r="HL3" s="72" t="s">
        <v>25</v>
      </c>
      <c r="HM3" s="74" t="s">
        <v>12</v>
      </c>
      <c r="HN3" s="74" t="s">
        <v>7</v>
      </c>
      <c r="HO3" s="74" t="s">
        <v>24</v>
      </c>
      <c r="HP3" s="74" t="s">
        <v>25</v>
      </c>
      <c r="HQ3" s="72"/>
      <c r="HR3" s="72"/>
      <c r="HS3" s="72"/>
      <c r="HT3" s="72"/>
      <c r="HU3" s="72"/>
      <c r="HV3" s="72"/>
      <c r="HW3" s="71" t="s">
        <v>12</v>
      </c>
      <c r="HX3" s="71" t="s">
        <v>7</v>
      </c>
      <c r="HY3" s="71" t="s">
        <v>24</v>
      </c>
      <c r="HZ3" s="71" t="s">
        <v>25</v>
      </c>
      <c r="IA3" s="71" t="s">
        <v>12</v>
      </c>
      <c r="IB3" s="71" t="s">
        <v>7</v>
      </c>
      <c r="IC3" s="71" t="s">
        <v>24</v>
      </c>
      <c r="ID3" s="71" t="s">
        <v>25</v>
      </c>
      <c r="IE3" s="71" t="s">
        <v>12</v>
      </c>
      <c r="IF3" s="71" t="s">
        <v>7</v>
      </c>
      <c r="IG3" s="71" t="s">
        <v>24</v>
      </c>
      <c r="IH3" s="71" t="s">
        <v>25</v>
      </c>
      <c r="II3" s="71" t="s">
        <v>12</v>
      </c>
      <c r="IJ3" s="71" t="s">
        <v>7</v>
      </c>
      <c r="IK3" s="71" t="s">
        <v>24</v>
      </c>
      <c r="IL3" s="71" t="s">
        <v>25</v>
      </c>
      <c r="IM3" s="75" t="s">
        <v>12</v>
      </c>
      <c r="IN3" s="75" t="s">
        <v>7</v>
      </c>
      <c r="IO3" s="75" t="s">
        <v>24</v>
      </c>
      <c r="IP3" s="75" t="s">
        <v>25</v>
      </c>
      <c r="IQ3" s="71"/>
      <c r="IR3" s="71"/>
      <c r="IS3" s="71"/>
      <c r="IT3" s="71"/>
      <c r="IU3" s="71"/>
      <c r="IV3" s="71"/>
      <c r="IW3" s="72" t="s">
        <v>12</v>
      </c>
      <c r="IX3" s="72" t="s">
        <v>7</v>
      </c>
      <c r="IY3" s="72" t="s">
        <v>24</v>
      </c>
      <c r="IZ3" s="72" t="s">
        <v>25</v>
      </c>
      <c r="JA3" s="72" t="s">
        <v>12</v>
      </c>
      <c r="JB3" s="72" t="s">
        <v>7</v>
      </c>
      <c r="JC3" s="72" t="s">
        <v>24</v>
      </c>
      <c r="JD3" s="72" t="s">
        <v>25</v>
      </c>
      <c r="JE3" s="72" t="s">
        <v>12</v>
      </c>
      <c r="JF3" s="72" t="s">
        <v>7</v>
      </c>
      <c r="JG3" s="72" t="s">
        <v>24</v>
      </c>
      <c r="JH3" s="72" t="s">
        <v>25</v>
      </c>
      <c r="JI3" s="72" t="s">
        <v>12</v>
      </c>
      <c r="JJ3" s="72" t="s">
        <v>7</v>
      </c>
      <c r="JK3" s="72" t="s">
        <v>24</v>
      </c>
      <c r="JL3" s="72" t="s">
        <v>25</v>
      </c>
      <c r="JM3" s="74" t="s">
        <v>12</v>
      </c>
      <c r="JN3" s="74" t="s">
        <v>7</v>
      </c>
      <c r="JO3" s="74" t="s">
        <v>24</v>
      </c>
      <c r="JP3" s="74" t="s">
        <v>25</v>
      </c>
      <c r="JQ3" s="72"/>
      <c r="JR3" s="72"/>
      <c r="JS3" s="72"/>
      <c r="JT3" s="72"/>
      <c r="JU3" s="72"/>
      <c r="JV3" s="72"/>
      <c r="JW3" s="71" t="s">
        <v>12</v>
      </c>
      <c r="JX3" s="71" t="s">
        <v>7</v>
      </c>
      <c r="JY3" s="71" t="s">
        <v>24</v>
      </c>
      <c r="JZ3" s="71" t="s">
        <v>25</v>
      </c>
      <c r="KA3" s="71" t="s">
        <v>12</v>
      </c>
      <c r="KB3" s="71" t="s">
        <v>7</v>
      </c>
      <c r="KC3" s="71" t="s">
        <v>24</v>
      </c>
      <c r="KD3" s="71" t="s">
        <v>25</v>
      </c>
      <c r="KE3" s="71" t="s">
        <v>12</v>
      </c>
      <c r="KF3" s="71" t="s">
        <v>7</v>
      </c>
      <c r="KG3" s="71" t="s">
        <v>24</v>
      </c>
      <c r="KH3" s="71" t="s">
        <v>25</v>
      </c>
      <c r="KI3" s="71" t="s">
        <v>12</v>
      </c>
      <c r="KJ3" s="71" t="s">
        <v>7</v>
      </c>
      <c r="KK3" s="71" t="s">
        <v>24</v>
      </c>
      <c r="KL3" s="71" t="s">
        <v>25</v>
      </c>
      <c r="KM3" s="75" t="s">
        <v>12</v>
      </c>
      <c r="KN3" s="75" t="s">
        <v>7</v>
      </c>
      <c r="KO3" s="75" t="s">
        <v>24</v>
      </c>
      <c r="KP3" s="75" t="s">
        <v>25</v>
      </c>
      <c r="KQ3" s="71"/>
      <c r="KR3" s="71"/>
      <c r="KS3" s="71"/>
      <c r="KT3" s="71"/>
      <c r="KU3" s="71"/>
      <c r="KV3" s="71"/>
      <c r="KW3" s="72" t="s">
        <v>12</v>
      </c>
      <c r="KX3" s="72" t="s">
        <v>7</v>
      </c>
      <c r="KY3" s="72" t="s">
        <v>24</v>
      </c>
      <c r="KZ3" s="72" t="s">
        <v>25</v>
      </c>
      <c r="LA3" s="72" t="s">
        <v>12</v>
      </c>
      <c r="LB3" s="72" t="s">
        <v>7</v>
      </c>
      <c r="LC3" s="72" t="s">
        <v>24</v>
      </c>
      <c r="LD3" s="72" t="s">
        <v>25</v>
      </c>
      <c r="LE3" s="72" t="s">
        <v>12</v>
      </c>
      <c r="LF3" s="72" t="s">
        <v>7</v>
      </c>
      <c r="LG3" s="72" t="s">
        <v>24</v>
      </c>
      <c r="LH3" s="72" t="s">
        <v>25</v>
      </c>
      <c r="LI3" s="72" t="s">
        <v>12</v>
      </c>
      <c r="LJ3" s="72" t="s">
        <v>7</v>
      </c>
      <c r="LK3" s="72" t="s">
        <v>24</v>
      </c>
      <c r="LL3" s="72" t="s">
        <v>25</v>
      </c>
      <c r="LM3" s="74" t="s">
        <v>12</v>
      </c>
      <c r="LN3" s="74" t="s">
        <v>7</v>
      </c>
      <c r="LO3" s="74" t="s">
        <v>24</v>
      </c>
      <c r="LP3" s="74" t="s">
        <v>25</v>
      </c>
      <c r="LQ3" s="72"/>
      <c r="LR3" s="72"/>
      <c r="LS3" s="72"/>
      <c r="LT3" s="72"/>
      <c r="LU3" s="72"/>
      <c r="LV3" s="72"/>
      <c r="LW3" s="71" t="s">
        <v>12</v>
      </c>
      <c r="LX3" s="71" t="s">
        <v>7</v>
      </c>
      <c r="LY3" s="71" t="s">
        <v>24</v>
      </c>
      <c r="LZ3" s="71" t="s">
        <v>25</v>
      </c>
      <c r="MA3" s="71" t="s">
        <v>12</v>
      </c>
      <c r="MB3" s="71" t="s">
        <v>7</v>
      </c>
      <c r="MC3" s="71" t="s">
        <v>24</v>
      </c>
      <c r="MD3" s="71" t="s">
        <v>25</v>
      </c>
      <c r="ME3" s="71" t="s">
        <v>12</v>
      </c>
      <c r="MF3" s="71" t="s">
        <v>7</v>
      </c>
      <c r="MG3" s="71" t="s">
        <v>24</v>
      </c>
      <c r="MH3" s="71" t="s">
        <v>25</v>
      </c>
      <c r="MI3" s="71" t="s">
        <v>12</v>
      </c>
      <c r="MJ3" s="71" t="s">
        <v>7</v>
      </c>
      <c r="MK3" s="71" t="s">
        <v>24</v>
      </c>
      <c r="ML3" s="71" t="s">
        <v>25</v>
      </c>
      <c r="MM3" s="75" t="s">
        <v>12</v>
      </c>
      <c r="MN3" s="75" t="s">
        <v>7</v>
      </c>
      <c r="MO3" s="75" t="s">
        <v>24</v>
      </c>
      <c r="MP3" s="75" t="s">
        <v>25</v>
      </c>
      <c r="MQ3" s="71"/>
      <c r="MR3" s="71"/>
      <c r="MS3" s="71"/>
      <c r="MT3" s="71"/>
      <c r="MU3" s="71"/>
      <c r="MV3" s="71"/>
      <c r="MW3" s="72" t="s">
        <v>12</v>
      </c>
      <c r="MX3" s="72" t="s">
        <v>7</v>
      </c>
      <c r="MY3" s="72" t="s">
        <v>24</v>
      </c>
      <c r="MZ3" s="72" t="s">
        <v>25</v>
      </c>
      <c r="NA3" s="72" t="s">
        <v>12</v>
      </c>
      <c r="NB3" s="72" t="s">
        <v>7</v>
      </c>
      <c r="NC3" s="72" t="s">
        <v>24</v>
      </c>
      <c r="ND3" s="72" t="s">
        <v>25</v>
      </c>
      <c r="NE3" s="72" t="s">
        <v>12</v>
      </c>
      <c r="NF3" s="72" t="s">
        <v>7</v>
      </c>
      <c r="NG3" s="72" t="s">
        <v>24</v>
      </c>
      <c r="NH3" s="72" t="s">
        <v>25</v>
      </c>
      <c r="NI3" s="72" t="s">
        <v>12</v>
      </c>
      <c r="NJ3" s="72" t="s">
        <v>7</v>
      </c>
      <c r="NK3" s="72" t="s">
        <v>24</v>
      </c>
      <c r="NL3" s="72" t="s">
        <v>25</v>
      </c>
      <c r="NM3" s="74" t="s">
        <v>12</v>
      </c>
      <c r="NN3" s="74" t="s">
        <v>7</v>
      </c>
      <c r="NO3" s="74" t="s">
        <v>24</v>
      </c>
      <c r="NP3" s="74" t="s">
        <v>25</v>
      </c>
      <c r="NQ3" s="72"/>
      <c r="NR3" s="72"/>
      <c r="NS3" s="72"/>
      <c r="NT3" s="72"/>
      <c r="NU3" s="72"/>
      <c r="NV3" s="72"/>
      <c r="NW3" s="71" t="s">
        <v>12</v>
      </c>
      <c r="NX3" s="71" t="s">
        <v>7</v>
      </c>
      <c r="NY3" s="71" t="s">
        <v>24</v>
      </c>
      <c r="NZ3" s="71" t="s">
        <v>25</v>
      </c>
      <c r="OA3" s="71" t="s">
        <v>12</v>
      </c>
      <c r="OB3" s="71" t="s">
        <v>7</v>
      </c>
      <c r="OC3" s="71" t="s">
        <v>24</v>
      </c>
      <c r="OD3" s="71" t="s">
        <v>25</v>
      </c>
      <c r="OE3" s="71" t="s">
        <v>12</v>
      </c>
      <c r="OF3" s="71" t="s">
        <v>7</v>
      </c>
      <c r="OG3" s="71" t="s">
        <v>24</v>
      </c>
      <c r="OH3" s="71" t="s">
        <v>25</v>
      </c>
      <c r="OI3" s="71" t="s">
        <v>12</v>
      </c>
      <c r="OJ3" s="71" t="s">
        <v>7</v>
      </c>
      <c r="OK3" s="71" t="s">
        <v>24</v>
      </c>
      <c r="OL3" s="71" t="s">
        <v>25</v>
      </c>
      <c r="OM3" s="75" t="s">
        <v>12</v>
      </c>
      <c r="ON3" s="75" t="s">
        <v>7</v>
      </c>
      <c r="OO3" s="75" t="s">
        <v>24</v>
      </c>
      <c r="OP3" s="75" t="s">
        <v>25</v>
      </c>
      <c r="OQ3" s="71"/>
      <c r="OR3" s="71"/>
      <c r="OS3" s="71"/>
      <c r="OT3" s="71"/>
      <c r="OU3" s="71"/>
      <c r="OV3" s="71"/>
      <c r="OW3" s="72" t="s">
        <v>12</v>
      </c>
      <c r="OX3" s="72" t="s">
        <v>7</v>
      </c>
      <c r="OY3" s="72" t="s">
        <v>24</v>
      </c>
      <c r="OZ3" s="72" t="s">
        <v>25</v>
      </c>
      <c r="PA3" s="72" t="s">
        <v>12</v>
      </c>
      <c r="PB3" s="72" t="s">
        <v>7</v>
      </c>
      <c r="PC3" s="72" t="s">
        <v>24</v>
      </c>
      <c r="PD3" s="72" t="s">
        <v>25</v>
      </c>
      <c r="PE3" s="72" t="s">
        <v>12</v>
      </c>
      <c r="PF3" s="72" t="s">
        <v>7</v>
      </c>
      <c r="PG3" s="72" t="s">
        <v>24</v>
      </c>
      <c r="PH3" s="72" t="s">
        <v>25</v>
      </c>
      <c r="PI3" s="72" t="s">
        <v>12</v>
      </c>
      <c r="PJ3" s="72" t="s">
        <v>7</v>
      </c>
      <c r="PK3" s="72" t="s">
        <v>24</v>
      </c>
      <c r="PL3" s="72" t="s">
        <v>25</v>
      </c>
      <c r="PM3" s="73" t="s">
        <v>12</v>
      </c>
      <c r="PN3" s="73" t="s">
        <v>7</v>
      </c>
      <c r="PO3" s="73" t="s">
        <v>24</v>
      </c>
      <c r="PP3" s="73" t="s">
        <v>25</v>
      </c>
      <c r="PQ3" s="72" t="s">
        <v>45</v>
      </c>
      <c r="PR3" s="72"/>
      <c r="PS3" s="72"/>
      <c r="PT3" s="72"/>
      <c r="PU3" s="72"/>
      <c r="PV3" s="72"/>
      <c r="PW3" s="72"/>
    </row>
    <row r="4" spans="1:439" x14ac:dyDescent="0.2">
      <c r="A4" s="5" cm="1">
        <f t="array" ref="A4">IF(AND(F4="P",G4="P"),SUMPRODUCT((F$4:F$12="P")*(G$4:G$12="P")*(E$4:E$12&gt;E4))+1,IF(G4="P",SUMPRODUCT((F$4:F$12="")*(G$4:G$12="P")*(E$4:E$12&gt;E4))+1+SUMPRODUCT((F$4:F$12="P")*(G$4:G$12="P")),""))</f>
        <v>1</v>
      </c>
      <c r="B4" s="78" t="s">
        <v>152</v>
      </c>
      <c r="C4" s="5" t="s">
        <v>3</v>
      </c>
      <c r="D4" s="5">
        <v>2003</v>
      </c>
      <c r="E4" s="15">
        <f>SUM(I4:O4)+SUM(I4:M4)*0.0000001+SUM(I4)*0.0000000000001</f>
        <v>96.960009696004832</v>
      </c>
      <c r="F4" s="3" t="str">
        <f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67" t="str">
        <f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National Team</v>
      </c>
      <c r="I4" s="14">
        <f>IF(COUNT(AN4,BO4,CP4)&gt;0,LARGE((AN4,BO4,CP4),1),0)</f>
        <v>48.26</v>
      </c>
      <c r="J4" s="14" t="str">
        <f>IF(I4=0,"",IF(I4=CP4,$BT$1,IF(I4=BO4,$AS$1,IF(I4=AN4,$R$1,""))))</f>
        <v>2022 Elite Canada</v>
      </c>
      <c r="K4" s="14">
        <f>IF(COUNT(AN4,BO4,CP4)&gt;1,LARGE((AN4,BO4,CP4),2),0)</f>
        <v>0</v>
      </c>
      <c r="L4" s="14" t="str">
        <f>IF(K4=0,"",IF(K4=CP4,$BT$1,IF(K4=BO4,$AS$1,IF(K4=AN4,$R$1,""))))</f>
        <v/>
      </c>
      <c r="M4" s="14">
        <f>IF(MAX(AQ4,BR4,CS4)&gt;0,MAX(AQ4,BR4,CS4),0)</f>
        <v>48.699999999999996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45"/>
      <c r="AM4" s="79" t="str">
        <f>IF(SUM(S4,W4)&gt;0,SUM(S4,W4),"")</f>
        <v/>
      </c>
      <c r="AN4" s="79" t="str">
        <f>IF(SUM(R4:S4,U4:W4,Y4)-T4-X4&gt;0,SUM(R4:S4,U4:W4,Y4)-T4-X4,"")</f>
        <v/>
      </c>
      <c r="AO4" s="79" t="str">
        <f>IF(SUM(Z4:AA4,AC4)-AB4&gt;0,SUM(Z4:AA4,AC4)-AB4,"")</f>
        <v/>
      </c>
      <c r="AP4" s="79" t="str">
        <f>IF(SUM(AE4,AI4)&gt;0,SUM(AE4,AI4),"")</f>
        <v/>
      </c>
      <c r="AQ4" s="79" t="str">
        <f>IF(SUM(AD4:AE4,AG4:AI4,AK4)-SUM(AF4,AJ4)&gt;0,SUM(AD4:AE4,AG4:AI4,AK4)-SUM(AF4,AJ4),"")</f>
        <v/>
      </c>
      <c r="AR4" s="79" t="str">
        <f>IF(SUM(AN4,AQ4)&gt;0,SUM(AN4,AQ4),"")</f>
        <v/>
      </c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46"/>
      <c r="BN4" s="20" t="str">
        <f>IF(SUM(AT4,AX4)&gt;0,SUM(AT4,AX4),"")</f>
        <v/>
      </c>
      <c r="BO4" s="20" t="str">
        <f>IF(SUM(AS4:AT4,AV4:AX4,AZ4)-AU4-AY4&gt;0,SUM(AS4:AT4,AV4:AX4,AZ4)-AU4-AY4,"")</f>
        <v/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 t="str">
        <f>IF(SUM(BO4,BR4)&gt;0,SUM(BO4,BR4),"")</f>
        <v/>
      </c>
      <c r="BT4" s="27">
        <v>17.5</v>
      </c>
      <c r="BU4" s="27">
        <v>6.5</v>
      </c>
      <c r="BV4" s="27">
        <v>0</v>
      </c>
      <c r="BW4" s="27">
        <v>0</v>
      </c>
      <c r="BX4" s="27">
        <v>18.36</v>
      </c>
      <c r="BY4" s="27">
        <v>5.9</v>
      </c>
      <c r="BZ4" s="27">
        <v>0</v>
      </c>
      <c r="CA4" s="27">
        <v>0</v>
      </c>
      <c r="CB4" s="27"/>
      <c r="CC4" s="27"/>
      <c r="CD4" s="27"/>
      <c r="CE4" s="27"/>
      <c r="CF4" s="27">
        <v>18.100000000000001</v>
      </c>
      <c r="CG4" s="27">
        <v>6.5</v>
      </c>
      <c r="CH4" s="27">
        <v>0</v>
      </c>
      <c r="CI4" s="27">
        <v>0</v>
      </c>
      <c r="CJ4" s="27">
        <v>18.2</v>
      </c>
      <c r="CK4" s="27">
        <v>5.9</v>
      </c>
      <c r="CL4" s="27">
        <v>0</v>
      </c>
      <c r="CM4" s="27">
        <v>0</v>
      </c>
      <c r="CN4" s="45"/>
      <c r="CO4" s="79">
        <f>IF(SUM(BU4,BY4)&gt;0,SUM(BU4,BY4),"")</f>
        <v>12.4</v>
      </c>
      <c r="CP4" s="79">
        <f>IF(SUM(BT4:BU4,BW4:BY4,CA4)-BV4-BZ4&gt;0,SUM(BT4:BU4,BW4:BY4,CA4)-BV4-BZ4,"")</f>
        <v>48.26</v>
      </c>
      <c r="CQ4" s="79" t="str">
        <f>IF(SUM(CB4:CC4,CE4)-CD4&gt;0,SUM(CB4:CC4,CE4)-CD4,"")</f>
        <v/>
      </c>
      <c r="CR4" s="79">
        <f>IF(SUM(CG4,CK4)&gt;0,SUM(CG4,CK4),"")</f>
        <v>12.4</v>
      </c>
      <c r="CS4" s="79">
        <f>IF(SUM(CF4:CG4,CI4:CK4,CM4)-SUM(CH4,CL4)&gt;0,SUM(CF4:CG4,CI4:CK4,CM4)-SUM(CH4,CL4),"")</f>
        <v>48.699999999999996</v>
      </c>
      <c r="CT4" s="79">
        <f>IF(SUM(CP4,CS4)&gt;0,SUM(CP4,CS4),"")</f>
        <v>96.96</v>
      </c>
      <c r="CU4" s="80" t="str">
        <f>IF(K4&gt;=0.001,IF(MAX(DR4,ER4,FR4,GR4,HR4,IR4,JR4,KR4,LR4,MR4,NR4,OR4)-IF(K4="",0,K4)&gt;0.001,MAX(DR4,ER4,FR4,GR4,HR4,IR4,JR4,KR4,LR4,MR4,NR4,OR4)-IF(K4="",0,K4),""),"")</f>
        <v/>
      </c>
      <c r="CV4" s="80" t="str">
        <f>IF(M4&gt;=0.001,IF(MAX(DU4,EU4,FU4,GU4,HU4,IU4,JU4,KU4,LU4,MU4,NU4,OU4)-IF(M4="",0,M4)&gt;0.001,MAX(DU4,EU4,FU4,GU4,HU4,IU4,JU4,KU4,LU4,MU4,NU4,OU4)-IF(M4="",0,M4),""),"")</f>
        <v/>
      </c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79" t="str">
        <f>IF(SUM(CX4,DB4)&gt;0,SUM(CX4,DB4),"")</f>
        <v/>
      </c>
      <c r="DR4" s="79" t="str">
        <f>IF(SUM(CW4:CX4,CZ4:DB4,DD4)-CY4-DC4&gt;0,SUM(CW4:CX4,CZ4:DB4,DD4)-CY4-DC4,"")</f>
        <v/>
      </c>
      <c r="DS4" s="79" t="str">
        <f>IF(SUM(DE4:DF4,DH4)-DG4&gt;0,SUM(DE4:DF4,DH4)-DG4,"")</f>
        <v/>
      </c>
      <c r="DT4" s="79" t="str">
        <f>IF(SUM(DJ4,DN4)&gt;0,SUM(DJ4,DN4),"")</f>
        <v/>
      </c>
      <c r="DU4" s="79" t="str">
        <f>IF(SUM(DI4:DJ4,DL4:DN4,DP4)-SUM(DK4,DO4)&gt;0,SUM(DI4:DJ4,DL4:DN4,DP4)-SUM(DK4,DO4),"")</f>
        <v/>
      </c>
      <c r="DV4" s="79" t="str">
        <f>IF(SUM(DR4,DU4)&gt;0,SUM(DR4,DU4),"")</f>
        <v/>
      </c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79" t="str">
        <f>IF(SUM(EX4,FB4)&gt;0,SUM(EX4,FB4),"")</f>
        <v/>
      </c>
      <c r="FR4" s="79" t="str">
        <f>IF(SUM(EW4:EX4,EZ4:FB4,FD4)-EY4-FC4&gt;0,SUM(EW4:EX4,EZ4:FB4,FD4)-EY4-FC4,"")</f>
        <v/>
      </c>
      <c r="FS4" s="79" t="str">
        <f>IF(SUM(FE4:FF4,FH4)-FG4&gt;0,SUM(FE4:FF4,FH4)-FG4,"")</f>
        <v/>
      </c>
      <c r="FT4" s="79" t="str">
        <f>IF(SUM(FJ4,FN4)&gt;0,SUM(FJ4,FN4),"")</f>
        <v/>
      </c>
      <c r="FU4" s="79" t="str">
        <f>IF(SUM(FI4:FJ4,FL4:FN4,FP4)-SUM(FK4,FO4)&gt;0,SUM(FI4:FJ4,FL4:FN4,FP4)-SUM(FK4,FO4),"")</f>
        <v/>
      </c>
      <c r="FV4" s="79" t="str">
        <f>IF(SUM(FR4,FU4)&gt;0,SUM(FR4,FU4),"")</f>
        <v/>
      </c>
      <c r="FW4" s="26">
        <v>17.8</v>
      </c>
      <c r="FX4" s="26">
        <v>6.9</v>
      </c>
      <c r="FY4" s="26">
        <v>0</v>
      </c>
      <c r="FZ4" s="26">
        <v>0</v>
      </c>
      <c r="GA4" s="26">
        <v>17.3</v>
      </c>
      <c r="GB4" s="26">
        <v>5.7</v>
      </c>
      <c r="GC4" s="26">
        <v>0</v>
      </c>
      <c r="GD4" s="26">
        <v>0</v>
      </c>
      <c r="GE4" s="26"/>
      <c r="GF4" s="26"/>
      <c r="GG4" s="26"/>
      <c r="GH4" s="26"/>
      <c r="GI4" s="26">
        <v>17.5</v>
      </c>
      <c r="GJ4" s="26">
        <v>6.5</v>
      </c>
      <c r="GK4" s="26">
        <v>0</v>
      </c>
      <c r="GL4" s="26">
        <v>0</v>
      </c>
      <c r="GM4" s="26">
        <v>16.2</v>
      </c>
      <c r="GN4" s="26">
        <v>3.7</v>
      </c>
      <c r="GO4" s="26">
        <v>0</v>
      </c>
      <c r="GP4" s="26">
        <v>0</v>
      </c>
      <c r="GQ4" s="20">
        <f>IF(SUM(FX4,GB4)&gt;0,SUM(FX4,GB4),"")</f>
        <v>12.600000000000001</v>
      </c>
      <c r="GR4" s="20">
        <f>IF(SUM(FW4:FX4,FZ4:GB4,GD4)-FY4-GC4&gt;0,SUM(FW4:FX4,FZ4:GB4,GD4)-FY4-GC4,"")</f>
        <v>47.7</v>
      </c>
      <c r="GS4" s="20" t="str">
        <f>IF(SUM(GE4:GF4,GH4)-GG4&gt;0,SUM(GE4:GF4,GH4)-GG4,"")</f>
        <v/>
      </c>
      <c r="GT4" s="20">
        <f>IF(SUM(GJ4,GN4)&gt;0,SUM(GJ4,GN4),"")</f>
        <v>10.199999999999999</v>
      </c>
      <c r="GU4" s="20">
        <f>IF(SUM(GI4:GJ4,GL4:GN4,GP4)-SUM(GK4,GO4)&gt;0,SUM(GI4:GJ4,GL4:GN4,GP4)-SUM(GK4,GO4),"")</f>
        <v>43.900000000000006</v>
      </c>
      <c r="GV4" s="20">
        <f>IF(SUM(GR4,GU4)&gt;0,SUM(GR4,GU4),"")</f>
        <v>91.600000000000009</v>
      </c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79" t="str">
        <f>IF(SUM(GX4,HB4)&gt;0,SUM(GX4,HB4),"")</f>
        <v/>
      </c>
      <c r="HR4" s="79" t="str">
        <f>IF(SUM(GW4:GX4,GZ4:HB4,HD4)-GY4-HC4&gt;0,SUM(GW4:GX4,GZ4:HB4,HD4)-GY4-HC4,"")</f>
        <v/>
      </c>
      <c r="HS4" s="79" t="str">
        <f>IF(SUM(HE4:HF4,HH4)-HG4&gt;0,SUM(HE4:HF4,HH4)-HG4,"")</f>
        <v/>
      </c>
      <c r="HT4" s="79" t="str">
        <f>IF(SUM(HJ4,HN4)&gt;0,SUM(HJ4,HN4),"")</f>
        <v/>
      </c>
      <c r="HU4" s="79" t="str">
        <f>IF(SUM(HI4:HJ4,HL4:HN4,HP4)-SUM(HK4,HO4)&gt;0,SUM(HI4:HJ4,HL4:HN4,HP4)-SUM(HK4,HO4),"")</f>
        <v/>
      </c>
      <c r="HV4" s="79" t="str">
        <f>IF(SUM(HR4,HU4)&gt;0,SUM(HR4,HU4),"")</f>
        <v/>
      </c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79" t="str">
        <f>IF(SUM(IX4,JB4)&gt;0,SUM(IX4,JB4),"")</f>
        <v/>
      </c>
      <c r="JR4" s="79" t="str">
        <f>IF(SUM(IW4:IX4,IZ4:JB4,JD4)-IY4-JC4&gt;0,SUM(IW4:IX4,IZ4:JB4,JD4)-IY4-JC4,"")</f>
        <v/>
      </c>
      <c r="JS4" s="79" t="str">
        <f>IF(SUM(JE4:JF4,JH4)-JG4&gt;0,SUM(JE4:JF4,JH4)-JG4,"")</f>
        <v/>
      </c>
      <c r="JT4" s="79" t="str">
        <f>IF(SUM(JJ4,JN4)&gt;0,SUM(JJ4,JN4),"")</f>
        <v/>
      </c>
      <c r="JU4" s="79" t="str">
        <f>IF(SUM(JI4:JJ4,JL4:JN4,JP4)-SUM(JK4,JO4)&gt;0,SUM(JI4:JJ4,JL4:JN4,JP4)-SUM(JK4,JO4),"")</f>
        <v/>
      </c>
      <c r="JV4" s="79" t="str">
        <f>IF(SUM(JR4,JU4)&gt;0,SUM(JR4,JU4),"")</f>
        <v/>
      </c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79" t="str">
        <f>IF(SUM(KX4,LB4)&gt;0,SUM(KX4,LB4),"")</f>
        <v/>
      </c>
      <c r="LR4" s="79" t="str">
        <f>IF(SUM(KW4:KX4,KZ4:LB4,LD4)-KY4-LC4&gt;0,SUM(KW4:KX4,KZ4:LB4,LD4)-KY4-LC4,"")</f>
        <v/>
      </c>
      <c r="LS4" s="79" t="str">
        <f>IF(SUM(LE4:LF4,LH4)-LG4&gt;0,SUM(LE4:LF4,LH4)-LG4,"")</f>
        <v/>
      </c>
      <c r="LT4" s="79" t="str">
        <f>IF(SUM(LJ4,LN4)&gt;0,SUM(LJ4,LN4),"")</f>
        <v/>
      </c>
      <c r="LU4" s="79" t="str">
        <f>IF(SUM(LI4:LJ4,LL4:LN4,LP4)-SUM(LK4,LO4)&gt;0,SUM(LI4:LJ4,LL4:LN4,LP4)-SUM(LK4,LO4),"")</f>
        <v/>
      </c>
      <c r="LV4" s="79" t="str">
        <f>IF(SUM(LR4,LU4)&gt;0,SUM(LR4,LU4),"")</f>
        <v/>
      </c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79" t="str">
        <f>IF(SUM(MX4,NB4)&gt;0,SUM(MX4,NB4),"")</f>
        <v/>
      </c>
      <c r="NR4" s="79" t="str">
        <f>IF(SUM(MW4:MX4,MZ4:NB4,ND4)-MY4-NC4&gt;0,SUM(MW4:MX4,MZ4:NB4,ND4)-MY4-NC4,"")</f>
        <v/>
      </c>
      <c r="NS4" s="79" t="str">
        <f>IF(SUM(NE4:NF4,NH4)-NG4&gt;0,SUM(NE4:NF4,NH4)-NG4,"")</f>
        <v/>
      </c>
      <c r="NT4" s="79" t="str">
        <f>IF(SUM(NJ4,NN4)&gt;0,SUM(NJ4,NN4),"")</f>
        <v/>
      </c>
      <c r="NU4" s="79" t="str">
        <f>IF(SUM(NI4:NJ4,NL4:NN4,NP4)-SUM(NK4,NO4)&gt;0,SUM(NI4:NJ4,NL4:NN4,NP4)-SUM(NK4,NO4),"")</f>
        <v/>
      </c>
      <c r="NV4" s="79" t="str">
        <f>IF(SUM(NR4,NU4)&gt;0,SUM(NR4,NU4),"")</f>
        <v/>
      </c>
      <c r="NW4" s="26"/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8.75</v>
      </c>
      <c r="OX4" s="38">
        <f>IF($CN4="P",BU4,(BU4+AT4)/2)</f>
        <v>3.25</v>
      </c>
      <c r="OY4" s="38">
        <f>IF($CN4="P",BV4,(BV4+AU4)/2)</f>
        <v>0</v>
      </c>
      <c r="OZ4" s="38">
        <f>IF($CN4="P",BW4,(BW4+AV4)/2)</f>
        <v>0</v>
      </c>
      <c r="PA4" s="38">
        <f>IF($CN4="P",BX4,(BX4+AW4)/2)</f>
        <v>9.18</v>
      </c>
      <c r="PB4" s="38">
        <f>IF($CN4="P",BY4,(BY4+AX4)/2)</f>
        <v>2.95</v>
      </c>
      <c r="PC4" s="38">
        <f>IF($CN4="P",BZ4,(BZ4+AY4)/2)</f>
        <v>0</v>
      </c>
      <c r="PD4" s="38">
        <f>IF($CN4="P",CA4,(CA4+AZ4)/2)</f>
        <v>0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9.0500000000000007</v>
      </c>
      <c r="PJ4" s="38">
        <f>IF($CN4="P",CG4,(CG4+BF4)/2)</f>
        <v>3.25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9.1</v>
      </c>
      <c r="PN4" s="38">
        <f>IF($CN4="P",CK4,(CK4+BJ4)/2)</f>
        <v>2.95</v>
      </c>
      <c r="PO4" s="38">
        <f>IF($CN4="P",CL4,(CL4+BK4)/2)</f>
        <v>0</v>
      </c>
      <c r="PP4" s="38">
        <f>IF($CN4="P",CM4,(CM4+BL4)/2)</f>
        <v>0</v>
      </c>
      <c r="PQ4" s="45" t="s">
        <v>46</v>
      </c>
      <c r="PR4" s="79">
        <f>IF(SUM(OX4,PB4)&gt;0,SUM(OX4,PB4),"")</f>
        <v>6.2</v>
      </c>
      <c r="PS4" s="79">
        <f>IF(SUM(OW4:OX4,OZ4:PB4,PD4)-OY4-PC4&gt;0,SUM(OW4:OX4,OZ4:PB4,PD4)-OY4-PC4,"")</f>
        <v>24.13</v>
      </c>
      <c r="PT4" s="79" t="str">
        <f>IF(SUM(PE4:PF4,PH4)-PG4&gt;0,SUM(PE4:PF4,PH4)-PG4,"")</f>
        <v/>
      </c>
      <c r="PU4" s="79">
        <f>IF(SUM(PJ4,PN4)&gt;0,SUM(PJ4,PN4),"")</f>
        <v>6.2</v>
      </c>
      <c r="PV4" s="79">
        <f>IF(SUM(PI4:PJ4,PL4:PN4,PP4)-SUM(PK4,PO4)&gt;0,SUM(PI4:PJ4,PL4:PN4,PP4)-SUM(PK4,PO4),"")</f>
        <v>24.349999999999998</v>
      </c>
      <c r="PW4" s="79">
        <f>IF(SUM(PS4,PV4)&gt;0,SUM(PS4,PV4),"")</f>
        <v>48.48</v>
      </c>
    </row>
    <row r="5" spans="1:439" x14ac:dyDescent="0.2">
      <c r="A5" s="5">
        <f>IF(AND(F5="P",G5="P"),SUMPRODUCT((F$4:F$12="P")*(G$4:G$12="P")*(E$4:E$12&gt;E5))+1,IF(G5="P",SUMPRODUCT((F$4:F$12="")*(G$4:G$12="P")*(E$4:E$12&gt;E5))+1+SUMPRODUCT((F$4:F$12="P")*(G$4:G$12="P")),""))</f>
        <v>2</v>
      </c>
      <c r="B5" s="78" t="s">
        <v>100</v>
      </c>
      <c r="C5" s="5" t="s">
        <v>4</v>
      </c>
      <c r="D5" s="5">
        <v>2004</v>
      </c>
      <c r="E5" s="15">
        <f>SUM(I5:O5)+SUM(I5:M5)*0.0000001+SUM(I5)*0.0000000000001</f>
        <v>88.70000887000441</v>
      </c>
      <c r="F5" s="3" t="str">
        <f>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P","")</f>
        <v>P</v>
      </c>
      <c r="G5" s="3" t="str">
        <f>IF(OR(AND(AN5&gt;=AR$18,AN5&lt;&gt;"",AL5=""),AND(AQ5&gt;=AR$18,AQ5&lt;&gt;"",AL5=""),AND(BO5&gt;=BS$18,BO5&lt;&gt;"",BM5=""),AND(BR5&gt;=BS$18,BR5&lt;&gt;"",BM5=""),AND(CP5&gt;=CT$18,CP5&lt;&gt;"",CN5=""),AND(CS5&gt;=CT$18,CS5&lt;&gt;"",CN5=""),AND(DR5&gt;=DV$18,DR5&lt;&gt;""),AND(DU5&gt;=DV$18,DU5&lt;&gt;""),AND(ER5&gt;=EV$18,ER5&lt;&gt;""),AND(EU5&gt;=EV$18,EU5&lt;&gt;""),AND(FR5&gt;=FV$18,FR5&lt;&gt;""),AND(FU5&gt;=FV$18,FU5&lt;&gt;""),AND(GR5&gt;=GV$18,GR5&lt;&gt;""),AND(GU5&gt;=GV$18,GU5&lt;&gt;""),AND(HR5&gt;=HV$18,HR5&lt;&gt;""),AND(HU5&gt;=HV$18,HU5&lt;&gt;""),AND(IR5&gt;=IV$18,IR5&lt;&gt;""),AND(IU5&gt;=IV$18,IU5&lt;&gt;""),AND(JR5&gt;=JV$18,JR5&lt;&gt;""),AND(JU5&gt;=JV$18,JU5&lt;&gt;""),AND(KR5&gt;=KV$18,KR5&lt;&gt;""),AND(KU5&gt;=KV$18,KU5&lt;&gt;""),AND(LR5&gt;=LV$18,LR5&lt;&gt;""),AND(LU5&gt;=LV$18,LU5&lt;&gt;""),AND(MR5&gt;=MV$18,MR5&lt;&gt;""),AND(MU5&gt;=MV$18,MU5&lt;&gt;""),AND(NR5&gt;=NV$18,NR5&lt;&gt;""),AND(NU5&gt;=NV$18,NU5&lt;&gt;""),AND(OR5&gt;=OV$18,OR5&lt;&gt;""),AND(OU5&gt;=OV$18,OU5&lt;&gt;"")),"P","")</f>
        <v>P</v>
      </c>
      <c r="H5" s="67" t="str">
        <f>IF(AND(G5="P",F5=""),"No DD",IF(OR(AND(AM5&gt;=AR$17,AN5&gt;=AR$21,AM5&lt;&gt;"",AL5=""),AND(AP5&gt;=AR$17,AQ5&gt;=AR$21,AP5&lt;&gt;"",AL5=""),AND(BN5&gt;=BS$17,BO5&gt;=BS$21,BN5&lt;&gt;"",BM5=""),AND(BQ5&gt;=BS$17,BR5&gt;=BS$21,BQ5&lt;&gt;"",BM5=""),AND(CO5&gt;=CT$17,CP5&gt;=CT$21,CO5&lt;&gt;"",CN5=""),AND(CR5&gt;=CT$17,CS5&gt;=CT$21,CR5&lt;&gt;""),AND(DQ5&gt;=DV$17,DR5&gt;=DV$21,DQ5&lt;&gt;""),AND(DT5&gt;=DV$17,DU5&gt;=DV$21,DT5&lt;&gt;""),AND(EQ5&gt;=EV$17,ER5&gt;=EV$21,EQ5&lt;&gt;""),AND(ET5&gt;=EV$17,EU5&gt;=EV$21,ET5&lt;&gt;""),AND(FQ5&gt;=FV$17,FR5&gt;=FV$21,FQ5&lt;&gt;""),AND(FT5&gt;=FV$17,FU5&gt;=FV$21,FT5&lt;&gt;""),AND(GQ5&gt;=GV$17,GR5&gt;=GV$21,GQ5&lt;&gt;""),AND(GT5&gt;=GV$17,GU5&gt;=GV$21,GT5&lt;&gt;""),AND(HQ5&gt;=HV$17,HR5&gt;=HV$21,HQ5&lt;&gt;""),AND(HT5&gt;=HV$17,HU5&gt;=HV$21,HT5&lt;&gt;""),AND(IQ5&gt;=IV$17,IR5&gt;=IV$21,IQ5&lt;&gt;""),AND(IT5&gt;=IV$17,IU5&gt;=IV$21,IT5&lt;&gt;""),AND(JQ5&gt;=JV$17,JR5&gt;=JV$21,JQ5&lt;&gt;""),AND(JT5&gt;=JV$17,JU5&gt;=JV$21,JT5&lt;&gt;""),AND(KQ5&gt;=KV$17,KR5&gt;=KV$21,KQ5&lt;&gt;""),AND(KT5&gt;=KV$17,KU5&gt;=KV$21,KT5&lt;&gt;""),AND(LQ5&gt;=LV$17,LR5&gt;=LV$21,LQ5&lt;&gt;""),AND(LT5&gt;=LV$17,LU5&gt;=LV$21,LT5&lt;&gt;""),AND(MQ5&gt;=MV$17,MR5&gt;=MV$21,MQ5&lt;&gt;""),AND(MT5&gt;=MV$17,MU5&gt;=MV$21,MT5&lt;&gt;""),AND(NQ5&gt;=NV$17,NR5&gt;=NV$21,NQ5&lt;&gt;""),AND(NT5&gt;=NV$17,NU5&gt;=NV$21,NT5&lt;&gt;""),AND(OQ5&gt;=OV$17,OR5&gt;=OV$21,OQ5&lt;&gt;""),AND(OT5&gt;=OV$17,OU5&gt;=OV$21,OT5&lt;&gt;"")),"Merit",IF(OR(AND(AM5&gt;=AR$16,AN5&gt;=AR$20,AM5&lt;&gt;"",AL5=""),AND(AP5&gt;=AR$16,AQ5&gt;=AR$20,AP5&lt;&gt;"",AL5=""),AND(BN5&gt;=BS$16,BO5&gt;=BS$20,BN5&lt;&gt;"",BM5=""),AND(BQ5&gt;=BS$16,BR5&gt;=BS$20,BQ5&lt;&gt;"",BM5=""),AND(CO5&gt;=CT$16,CP5&gt;=CT$20,CO5&lt;&gt;"",CN5=""),AND(CR5&gt;=CT$16,CS5&gt;=CT$20,CR5&lt;&gt;""),AND(DQ5&gt;=DV$16,DR5&gt;=DV$20,DQ5&lt;&gt;""),AND(DT5&gt;=DV$16,DU5&gt;=DV$20,DT5&lt;&gt;""),AND(EQ5&gt;=EV$16,ER5&gt;=EV$20,EQ5&lt;&gt;""),AND(ET5&gt;=EV$16,EU5&gt;=EV$20,ET5&lt;&gt;""),AND(FQ5&gt;=FV$16,FR5&gt;=FV$20,FQ5&lt;&gt;""),AND(FT5&gt;=FV$16,FU5&gt;=FV$20,FT5&lt;&gt;""),AND(GQ5&gt;=GV$16,GR5&gt;=GV$20,GQ5&lt;&gt;""),AND(GT5&gt;=GV$16,GU5&gt;=GV$20,GT5&lt;&gt;""),AND(HQ5&gt;=HV$16,HR5&gt;=HV$20,HQ5&lt;&gt;""),AND(HT5&gt;=HV$16,HU5&gt;=HV$20,HT5&lt;&gt;""),AND(IQ5&gt;=IV$16,IR5&gt;=IV$20,IQ5&lt;&gt;""),AND(IT5&gt;=IV$16,IU5&gt;=IV$20,IT5&lt;&gt;""),AND(JQ5&gt;=JV$16,JR5&gt;=JV$20,JQ5&lt;&gt;""),AND(JT5&gt;=JV$16,JU5&gt;=JV$20,JT5&lt;&gt;""),AND(KQ5&gt;=KV$16,KR5&gt;=KV$20,KQ5&lt;&gt;""),AND(KT5&gt;=KV$16,KU5&gt;=KV$20,KT5&lt;&gt;""),AND(LQ5&gt;=LV$16,LR5&gt;=LV$20,LQ5&lt;&gt;""),AND(LT5&gt;=LV$16,LU5&gt;=LV$20,LT5&lt;&gt;""),AND(MQ5&gt;=MV$16,MR5&gt;=MV$20,MQ5&lt;&gt;""),AND(MT5&gt;=MV$16,MU5&gt;=MV$20,MT5&lt;&gt;""),AND(NQ5&gt;=NV$16,NR5&gt;=NV$20,NQ5&lt;&gt;""),AND(NT5&gt;=NV$16,NU5&gt;=NV$20,NT5&lt;&gt;""),AND(OQ5&gt;=OV$16,OR5&gt;=OV$20,OQ5&lt;&gt;""),AND(OT5&gt;=OV$16,OU5&gt;=OV$20,OT5&lt;&gt;"")),"Excellence",IF(F5="P","National Team",""))))</f>
        <v>National Team</v>
      </c>
      <c r="I5" s="14">
        <f>IF(COUNT(AN5,BO5,CP5)&gt;0,LARGE((AN5,BO5,CP5),1),0)</f>
        <v>44.1</v>
      </c>
      <c r="J5" s="14" t="str">
        <f>IF(I5=0,"",IF(I5=CP5,$BT$1,IF(I5=BO5,$AS$1,IF(I5=AN5,$R$1,""))))</f>
        <v>2022 Elite Canada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44.6</v>
      </c>
      <c r="N5" s="14" t="str">
        <f>IF(M5=0,"",IF(M5=CS5,$BT$1,IF(M5=BR5,$AS$1,IF(M5=AQ5,$R$1,""))))</f>
        <v>2022 Elite Canada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45"/>
      <c r="AM5" s="79" t="str">
        <f>IF(SUM(S5,W5)&gt;0,SUM(S5,W5),"")</f>
        <v/>
      </c>
      <c r="AN5" s="79" t="str">
        <f>IF(SUM(R5:S5,U5:W5,Y5)-T5-X5&gt;0,SUM(R5:S5,U5:W5,Y5)-T5-X5,"")</f>
        <v/>
      </c>
      <c r="AO5" s="79" t="str">
        <f>IF(SUM(Z5:AA5,AC5)-AB5&gt;0,SUM(Z5:AA5,AC5)-AB5,"")</f>
        <v/>
      </c>
      <c r="AP5" s="79" t="str">
        <f>IF(SUM(AE5,AI5)&gt;0,SUM(AE5,AI5),"")</f>
        <v/>
      </c>
      <c r="AQ5" s="79" t="str">
        <f>IF(SUM(AD5:AE5,AG5:AI5,AK5)-SUM(AF5,AJ5)&gt;0,SUM(AD5:AE5,AG5:AI5,AK5)-SUM(AF5,AJ5),"")</f>
        <v/>
      </c>
      <c r="AR5" s="79" t="str">
        <f>IF(SUM(AN5,AQ5)&gt;0,SUM(AN5,AQ5),"")</f>
        <v/>
      </c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7">
        <v>16.5</v>
      </c>
      <c r="BU5" s="27">
        <v>4.7</v>
      </c>
      <c r="BV5" s="27">
        <v>0</v>
      </c>
      <c r="BW5" s="27">
        <v>0.3</v>
      </c>
      <c r="BX5" s="27">
        <v>17</v>
      </c>
      <c r="BY5" s="27">
        <v>5</v>
      </c>
      <c r="BZ5" s="27">
        <v>0</v>
      </c>
      <c r="CA5" s="27">
        <v>0.6</v>
      </c>
      <c r="CB5" s="27"/>
      <c r="CC5" s="27"/>
      <c r="CD5" s="27"/>
      <c r="CE5" s="27"/>
      <c r="CF5" s="27">
        <v>17.399999999999999</v>
      </c>
      <c r="CG5" s="27">
        <v>4.7</v>
      </c>
      <c r="CH5" s="27">
        <v>0</v>
      </c>
      <c r="CI5" s="27">
        <v>0.3</v>
      </c>
      <c r="CJ5" s="27">
        <v>16.8</v>
      </c>
      <c r="CK5" s="27">
        <v>4.8</v>
      </c>
      <c r="CL5" s="27">
        <v>0</v>
      </c>
      <c r="CM5" s="27">
        <v>0.6</v>
      </c>
      <c r="CN5" s="45"/>
      <c r="CO5" s="79">
        <f>IF(SUM(BU5,BY5)&gt;0,SUM(BU5,BY5),"")</f>
        <v>9.6999999999999993</v>
      </c>
      <c r="CP5" s="79">
        <f>IF(SUM(BT5:BU5,BW5:BY5,CA5)-BV5-BZ5&gt;0,SUM(BT5:BU5,BW5:BY5,CA5)-BV5-BZ5,"")</f>
        <v>44.1</v>
      </c>
      <c r="CQ5" s="79" t="str">
        <f>IF(SUM(CB5:CC5,CE5)-CD5&gt;0,SUM(CB5:CC5,CE5)-CD5,"")</f>
        <v/>
      </c>
      <c r="CR5" s="79">
        <f>IF(SUM(CG5,CK5)&gt;0,SUM(CG5,CK5),"")</f>
        <v>9.5</v>
      </c>
      <c r="CS5" s="79">
        <f>IF(SUM(CF5:CG5,CI5:CK5,CM5)-SUM(CH5,CL5)&gt;0,SUM(CF5:CG5,CI5:CK5,CM5)-SUM(CH5,CL5),"")</f>
        <v>44.6</v>
      </c>
      <c r="CT5" s="79">
        <f>IF(SUM(CP5,CS5)&gt;0,SUM(CP5,CS5),"")</f>
        <v>88.7</v>
      </c>
      <c r="CU5" s="80" t="str">
        <f>IF(K5&gt;=0.001,IF(MAX(DR5,ER5,FR5,GR5,HR5,IR5,JR5,KR5,LR5,MR5,NR5,OR5)-IF(K5="",0,K5)&gt;0.001,MAX(DR5,ER5,FR5,GR5,HR5,IR5,JR5,KR5,LR5,MR5,NR5,OR5)-IF(K5="",0,K5),""),"")</f>
        <v/>
      </c>
      <c r="CV5" s="80" t="str">
        <f>IF(M5&gt;=0.001,IF(MAX(DU5,EU5,FU5,GU5,HU5,IU5,JU5,KU5,LU5,MU5,NU5,OU5)-IF(M5="",0,M5)&gt;0.001,MAX(DU5,EU5,FU5,GU5,HU5,IU5,JU5,KU5,LU5,MU5,NU5,OU5)-IF(M5="",0,M5),""),"")</f>
        <v/>
      </c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79" t="str">
        <f>IF(SUM(CX5,DB5)&gt;0,SUM(CX5,DB5),"")</f>
        <v/>
      </c>
      <c r="DR5" s="79" t="str">
        <f>IF(SUM(CW5:CX5,CZ5:DB5,DD5)-CY5-DC5&gt;0,SUM(CW5:CX5,CZ5:DB5,DD5)-CY5-DC5,"")</f>
        <v/>
      </c>
      <c r="DS5" s="79" t="str">
        <f>IF(SUM(DE5:DF5,DH5)-DG5&gt;0,SUM(DE5:DF5,DH5)-DG5,"")</f>
        <v/>
      </c>
      <c r="DT5" s="79" t="str">
        <f>IF(SUM(DJ5,DN5)&gt;0,SUM(DJ5,DN5),"")</f>
        <v/>
      </c>
      <c r="DU5" s="79" t="str">
        <f>IF(SUM(DI5:DJ5,DL5:DN5,DP5)-SUM(DK5,DO5)&gt;0,SUM(DI5:DJ5,DL5:DN5,DP5)-SUM(DK5,DO5),"")</f>
        <v/>
      </c>
      <c r="DV5" s="79" t="str">
        <f>IF(SUM(DR5,DU5)&gt;0,SUM(DR5,DU5),"")</f>
        <v/>
      </c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79" t="str">
        <f>IF(SUM(EX5,FB5)&gt;0,SUM(EX5,FB5),"")</f>
        <v/>
      </c>
      <c r="FR5" s="79" t="str">
        <f>IF(SUM(EW5:EX5,EZ5:FB5,FD5)-EY5-FC5&gt;0,SUM(EW5:EX5,EZ5:FB5,FD5)-EY5-FC5,"")</f>
        <v/>
      </c>
      <c r="FS5" s="79" t="str">
        <f>IF(SUM(FE5:FF5,FH5)-FG5&gt;0,SUM(FE5:FF5,FH5)-FG5,"")</f>
        <v/>
      </c>
      <c r="FT5" s="79" t="str">
        <f>IF(SUM(FJ5,FN5)&gt;0,SUM(FJ5,FN5),"")</f>
        <v/>
      </c>
      <c r="FU5" s="79" t="str">
        <f>IF(SUM(FI5:FJ5,FL5:FN5,FP5)-SUM(FK5,FO5)&gt;0,SUM(FI5:FJ5,FL5:FN5,FP5)-SUM(FK5,FO5),"")</f>
        <v/>
      </c>
      <c r="FV5" s="79" t="str">
        <f>IF(SUM(FR5,FU5)&gt;0,SUM(FR5,FU5),"")</f>
        <v/>
      </c>
      <c r="FW5" s="26">
        <v>15.3</v>
      </c>
      <c r="FX5" s="26">
        <v>2.9</v>
      </c>
      <c r="FY5" s="26">
        <v>0</v>
      </c>
      <c r="FZ5" s="26">
        <v>0</v>
      </c>
      <c r="GA5" s="26">
        <v>17</v>
      </c>
      <c r="GB5" s="26">
        <v>4.8</v>
      </c>
      <c r="GC5" s="26">
        <v>0</v>
      </c>
      <c r="GD5" s="26">
        <v>0</v>
      </c>
      <c r="GE5" s="26"/>
      <c r="GF5" s="26"/>
      <c r="GG5" s="26"/>
      <c r="GH5" s="26"/>
      <c r="GI5" s="26">
        <v>16.600000000000001</v>
      </c>
      <c r="GJ5" s="26">
        <v>5.3</v>
      </c>
      <c r="GK5" s="26">
        <v>0.2</v>
      </c>
      <c r="GL5" s="26">
        <v>0</v>
      </c>
      <c r="GM5" s="26">
        <v>16.899999999999999</v>
      </c>
      <c r="GN5" s="26">
        <v>4.4000000000000004</v>
      </c>
      <c r="GO5" s="26">
        <v>0.4</v>
      </c>
      <c r="GP5" s="26">
        <v>0</v>
      </c>
      <c r="GQ5" s="20">
        <f>IF(SUM(FX5,GB5)&gt;0,SUM(FX5,GB5),"")</f>
        <v>7.6999999999999993</v>
      </c>
      <c r="GR5" s="20">
        <f>IF(SUM(FW5:FX5,FZ5:GB5,GD5)-FY5-GC5&gt;0,SUM(FW5:FX5,FZ5:GB5,GD5)-FY5-GC5,"")</f>
        <v>40</v>
      </c>
      <c r="GS5" s="20" t="str">
        <f>IF(SUM(GE5:GF5,GH5)-GG5&gt;0,SUM(GE5:GF5,GH5)-GG5,"")</f>
        <v/>
      </c>
      <c r="GT5" s="20">
        <f>IF(SUM(GJ5,GN5)&gt;0,SUM(GJ5,GN5),"")</f>
        <v>9.6999999999999993</v>
      </c>
      <c r="GU5" s="20">
        <f>IF(SUM(GI5:GJ5,GL5:GN5,GP5)-SUM(GK5,GO5)&gt;0,SUM(GI5:GJ5,GL5:GN5,GP5)-SUM(GK5,GO5),"")</f>
        <v>42.599999999999994</v>
      </c>
      <c r="GV5" s="20">
        <f>IF(SUM(GR5,GU5)&gt;0,SUM(GR5,GU5),"")</f>
        <v>82.6</v>
      </c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79" t="str">
        <f>IF(SUM(GX5,HB5)&gt;0,SUM(GX5,HB5),"")</f>
        <v/>
      </c>
      <c r="HR5" s="79" t="str">
        <f>IF(SUM(GW5:GX5,GZ5:HB5,HD5)-GY5-HC5&gt;0,SUM(GW5:GX5,GZ5:HB5,HD5)-GY5-HC5,"")</f>
        <v/>
      </c>
      <c r="HS5" s="79" t="str">
        <f>IF(SUM(HE5:HF5,HH5)-HG5&gt;0,SUM(HE5:HF5,HH5)-HG5,"")</f>
        <v/>
      </c>
      <c r="HT5" s="79" t="str">
        <f>IF(SUM(HJ5,HN5)&gt;0,SUM(HJ5,HN5),"")</f>
        <v/>
      </c>
      <c r="HU5" s="79" t="str">
        <f>IF(SUM(HI5:HJ5,HL5:HN5,HP5)-SUM(HK5,HO5)&gt;0,SUM(HI5:HJ5,HL5:HN5,HP5)-SUM(HK5,HO5),"")</f>
        <v/>
      </c>
      <c r="HV5" s="79" t="str">
        <f>IF(SUM(HR5,HU5)&gt;0,SUM(HR5,HU5),"")</f>
        <v/>
      </c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79" t="str">
        <f>IF(SUM(IX5,JB5)&gt;0,SUM(IX5,JB5),"")</f>
        <v/>
      </c>
      <c r="JR5" s="79" t="str">
        <f>IF(SUM(IW5:IX5,IZ5:JB5,JD5)-IY5-JC5&gt;0,SUM(IW5:IX5,IZ5:JB5,JD5)-IY5-JC5,"")</f>
        <v/>
      </c>
      <c r="JS5" s="79" t="str">
        <f>IF(SUM(JE5:JF5,JH5)-JG5&gt;0,SUM(JE5:JF5,JH5)-JG5,"")</f>
        <v/>
      </c>
      <c r="JT5" s="79" t="str">
        <f>IF(SUM(JJ5,JN5)&gt;0,SUM(JJ5,JN5),"")</f>
        <v/>
      </c>
      <c r="JU5" s="79" t="str">
        <f>IF(SUM(JI5:JJ5,JL5:JN5,JP5)-SUM(JK5,JO5)&gt;0,SUM(JI5:JJ5,JL5:JN5,JP5)-SUM(JK5,JO5),"")</f>
        <v/>
      </c>
      <c r="JV5" s="79" t="str">
        <f>IF(SUM(JR5,JU5)&gt;0,SUM(JR5,JU5),"")</f>
        <v/>
      </c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79" t="str">
        <f>IF(SUM(KX5,LB5)&gt;0,SUM(KX5,LB5),"")</f>
        <v/>
      </c>
      <c r="LR5" s="79" t="str">
        <f>IF(SUM(KW5:KX5,KZ5:LB5,LD5)-KY5-LC5&gt;0,SUM(KW5:KX5,KZ5:LB5,LD5)-KY5-LC5,"")</f>
        <v/>
      </c>
      <c r="LS5" s="79" t="str">
        <f>IF(SUM(LE5:LF5,LH5)-LG5&gt;0,SUM(LE5:LF5,LH5)-LG5,"")</f>
        <v/>
      </c>
      <c r="LT5" s="79" t="str">
        <f>IF(SUM(LJ5,LN5)&gt;0,SUM(LJ5,LN5),"")</f>
        <v/>
      </c>
      <c r="LU5" s="79" t="str">
        <f>IF(SUM(LI5:LJ5,LL5:LN5,LP5)-SUM(LK5,LO5)&gt;0,SUM(LI5:LJ5,LL5:LN5,LP5)-SUM(LK5,LO5),"")</f>
        <v/>
      </c>
      <c r="LV5" s="79" t="str">
        <f>IF(SUM(LR5,LU5)&gt;0,SUM(LR5,LU5),"")</f>
        <v/>
      </c>
      <c r="LW5" s="26"/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79" t="str">
        <f>IF(SUM(MX5,NB5)&gt;0,SUM(MX5,NB5),"")</f>
        <v/>
      </c>
      <c r="NR5" s="79" t="str">
        <f>IF(SUM(MW5:MX5,MZ5:NB5,ND5)-MY5-NC5&gt;0,SUM(MW5:MX5,MZ5:NB5,ND5)-MY5-NC5,"")</f>
        <v/>
      </c>
      <c r="NS5" s="79" t="str">
        <f>IF(SUM(NE5:NF5,NH5)-NG5&gt;0,SUM(NE5:NF5,NH5)-NG5,"")</f>
        <v/>
      </c>
      <c r="NT5" s="79" t="str">
        <f>IF(SUM(NJ5,NN5)&gt;0,SUM(NJ5,NN5),"")</f>
        <v/>
      </c>
      <c r="NU5" s="79" t="str">
        <f>IF(SUM(NI5:NJ5,NL5:NN5,NP5)-SUM(NK5,NO5)&gt;0,SUM(NI5:NJ5,NL5:NN5,NP5)-SUM(NK5,NO5),"")</f>
        <v/>
      </c>
      <c r="NV5" s="79" t="str">
        <f>IF(SUM(NR5,NU5)&gt;0,SUM(NR5,NU5),"")</f>
        <v/>
      </c>
      <c r="NW5" s="26"/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8.25</v>
      </c>
      <c r="OX5" s="38">
        <f>IF($CN5="P",BU5,(BU5+AT5)/2)</f>
        <v>2.35</v>
      </c>
      <c r="OY5" s="38">
        <f>IF($CN5="P",BV5,(BV5+AU5)/2)</f>
        <v>0</v>
      </c>
      <c r="OZ5" s="38">
        <f>IF($CN5="P",BW5,(BW5+AV5)/2)</f>
        <v>0.15</v>
      </c>
      <c r="PA5" s="38">
        <f>IF($CN5="P",BX5,(BX5+AW5)/2)</f>
        <v>8.5</v>
      </c>
      <c r="PB5" s="38">
        <f>IF($CN5="P",BY5,(BY5+AX5)/2)</f>
        <v>2.5</v>
      </c>
      <c r="PC5" s="38">
        <f>IF($CN5="P",BZ5,(BZ5+AY5)/2)</f>
        <v>0</v>
      </c>
      <c r="PD5" s="38">
        <f>IF($CN5="P",CA5,(CA5+AZ5)/2)</f>
        <v>0.3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8.6999999999999993</v>
      </c>
      <c r="PJ5" s="38">
        <f>IF($CN5="P",CG5,(CG5+BF5)/2)</f>
        <v>2.35</v>
      </c>
      <c r="PK5" s="38">
        <f>IF($CN5="P",CH5,(CH5+BG5)/2)</f>
        <v>0</v>
      </c>
      <c r="PL5" s="38">
        <f>IF($CN5="P",CI5,(CI5+BH5)/2)</f>
        <v>0.15</v>
      </c>
      <c r="PM5" s="38">
        <f>IF($CN5="P",CJ5,(CJ5+BI5)/2)</f>
        <v>8.4</v>
      </c>
      <c r="PN5" s="38">
        <f>IF($CN5="P",CK5,(CK5+BJ5)/2)</f>
        <v>2.4</v>
      </c>
      <c r="PO5" s="38">
        <f>IF($CN5="P",CL5,(CL5+BK5)/2)</f>
        <v>0</v>
      </c>
      <c r="PP5" s="38">
        <f>IF($CN5="P",CM5,(CM5+BL5)/2)</f>
        <v>0.3</v>
      </c>
      <c r="PQ5" s="45" t="s">
        <v>46</v>
      </c>
      <c r="PR5" s="79">
        <f>IF(SUM(OX5,PB5)&gt;0,SUM(OX5,PB5),"")</f>
        <v>4.8499999999999996</v>
      </c>
      <c r="PS5" s="79">
        <f>IF(SUM(OW5:OX5,OZ5:PB5,PD5)-OY5-PC5&gt;0,SUM(OW5:OX5,OZ5:PB5,PD5)-OY5-PC5,"")</f>
        <v>22.05</v>
      </c>
      <c r="PT5" s="79" t="str">
        <f>IF(SUM(PE5:PF5,PH5)-PG5&gt;0,SUM(PE5:PF5,PH5)-PG5,"")</f>
        <v/>
      </c>
      <c r="PU5" s="79">
        <f>IF(SUM(PJ5,PN5)&gt;0,SUM(PJ5,PN5),"")</f>
        <v>4.75</v>
      </c>
      <c r="PV5" s="79">
        <f>IF(SUM(PI5:PJ5,PL5:PN5,PP5)-SUM(PK5,PO5)&gt;0,SUM(PI5:PJ5,PL5:PN5,PP5)-SUM(PK5,PO5),"")</f>
        <v>22.3</v>
      </c>
      <c r="PW5" s="79">
        <f>IF(SUM(PS5,PV5)&gt;0,SUM(PS5,PV5),"")</f>
        <v>44.35</v>
      </c>
    </row>
    <row r="6" spans="1:439" x14ac:dyDescent="0.2">
      <c r="A6" s="5">
        <f>IF(AND(F6="P",G6="P"),SUMPRODUCT((F$4:F$12="P")*(G$4:G$12="P")*(E$4:E$12&gt;E6))+1,IF(G6="P",SUMPRODUCT((F$4:F$12="")*(G$4:G$12="P")*(E$4:E$12&gt;E6))+1+SUMPRODUCT((F$4:F$12="P")*(G$4:G$12="P")),""))</f>
        <v>3</v>
      </c>
      <c r="B6" s="78" t="s">
        <v>73</v>
      </c>
      <c r="C6" s="5" t="s">
        <v>4</v>
      </c>
      <c r="D6" s="5">
        <v>2002</v>
      </c>
      <c r="E6" s="15">
        <f>SUM(I6:O6)+SUM(I6:M6)*0.0000001+SUM(I6)*0.0000000000001</f>
        <v>2.0000002000002001E-4</v>
      </c>
      <c r="F6" s="3" t="str">
        <f>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P","")</f>
        <v>P</v>
      </c>
      <c r="G6" s="3" t="str">
        <f>IF(OR(AND(AN6&gt;=AR$18,AN6&lt;&gt;"",AL6=""),AND(AQ6&gt;=AR$18,AQ6&lt;&gt;"",AL6=""),AND(BO6&gt;=BS$18,BO6&lt;&gt;"",BM6=""),AND(BR6&gt;=BS$18,BR6&lt;&gt;"",BM6=""),AND(CP6&gt;=CT$18,CP6&lt;&gt;"",CN6=""),AND(CS6&gt;=CT$18,CS6&lt;&gt;"",CN6=""),AND(DR6&gt;=DV$18,DR6&lt;&gt;""),AND(DU6&gt;=DV$18,DU6&lt;&gt;""),AND(ER6&gt;=EV$18,ER6&lt;&gt;""),AND(EU6&gt;=EV$18,EU6&lt;&gt;""),AND(FR6&gt;=FV$18,FR6&lt;&gt;""),AND(FU6&gt;=FV$18,FU6&lt;&gt;""),AND(GR6&gt;=GV$18,GR6&lt;&gt;""),AND(GU6&gt;=GV$18,GU6&lt;&gt;""),AND(HR6&gt;=HV$18,HR6&lt;&gt;""),AND(HU6&gt;=HV$18,HU6&lt;&gt;""),AND(IR6&gt;=IV$18,IR6&lt;&gt;""),AND(IU6&gt;=IV$18,IU6&lt;&gt;""),AND(JR6&gt;=JV$18,JR6&lt;&gt;""),AND(JU6&gt;=JV$18,JU6&lt;&gt;""),AND(KR6&gt;=KV$18,KR6&lt;&gt;""),AND(KU6&gt;=KV$18,KU6&lt;&gt;""),AND(LR6&gt;=LV$18,LR6&lt;&gt;""),AND(LU6&gt;=LV$18,LU6&lt;&gt;""),AND(MR6&gt;=MV$18,MR6&lt;&gt;""),AND(MU6&gt;=MV$18,MU6&lt;&gt;""),AND(NR6&gt;=NV$18,NR6&lt;&gt;""),AND(NU6&gt;=NV$18,NU6&lt;&gt;""),AND(OR6&gt;=OV$18,OR6&lt;&gt;""),AND(OU6&gt;=OV$18,OU6&lt;&gt;"")),"P","")</f>
        <v>P</v>
      </c>
      <c r="H6" s="67" t="str">
        <f>IF(AND(G6="P",F6=""),"No DD",IF(OR(AND(AM6&gt;=AR$17,AN6&gt;=AR$21,AM6&lt;&gt;"",AL6=""),AND(AP6&gt;=AR$17,AQ6&gt;=AR$21,AP6&lt;&gt;"",AL6=""),AND(BN6&gt;=BS$17,BO6&gt;=BS$21,BN6&lt;&gt;"",BM6=""),AND(BQ6&gt;=BS$17,BR6&gt;=BS$21,BQ6&lt;&gt;"",BM6=""),AND(CO6&gt;=CT$17,CP6&gt;=CT$21,CO6&lt;&gt;"",CN6=""),AND(CR6&gt;=CT$17,CS6&gt;=CT$21,CR6&lt;&gt;""),AND(DQ6&gt;=DV$17,DR6&gt;=DV$21,DQ6&lt;&gt;""),AND(DT6&gt;=DV$17,DU6&gt;=DV$21,DT6&lt;&gt;""),AND(EQ6&gt;=EV$17,ER6&gt;=EV$21,EQ6&lt;&gt;""),AND(ET6&gt;=EV$17,EU6&gt;=EV$21,ET6&lt;&gt;""),AND(FQ6&gt;=FV$17,FR6&gt;=FV$21,FQ6&lt;&gt;""),AND(FT6&gt;=FV$17,FU6&gt;=FV$21,FT6&lt;&gt;""),AND(GQ6&gt;=GV$17,GR6&gt;=GV$21,GQ6&lt;&gt;""),AND(GT6&gt;=GV$17,GU6&gt;=GV$21,GT6&lt;&gt;""),AND(HQ6&gt;=HV$17,HR6&gt;=HV$21,HQ6&lt;&gt;""),AND(HT6&gt;=HV$17,HU6&gt;=HV$21,HT6&lt;&gt;""),AND(IQ6&gt;=IV$17,IR6&gt;=IV$21,IQ6&lt;&gt;""),AND(IT6&gt;=IV$17,IU6&gt;=IV$21,IT6&lt;&gt;""),AND(JQ6&gt;=JV$17,JR6&gt;=JV$21,JQ6&lt;&gt;""),AND(JT6&gt;=JV$17,JU6&gt;=JV$21,JT6&lt;&gt;""),AND(KQ6&gt;=KV$17,KR6&gt;=KV$21,KQ6&lt;&gt;""),AND(KT6&gt;=KV$17,KU6&gt;=KV$21,KT6&lt;&gt;""),AND(LQ6&gt;=LV$17,LR6&gt;=LV$21,LQ6&lt;&gt;""),AND(LT6&gt;=LV$17,LU6&gt;=LV$21,LT6&lt;&gt;""),AND(MQ6&gt;=MV$17,MR6&gt;=MV$21,MQ6&lt;&gt;""),AND(MT6&gt;=MV$17,MU6&gt;=MV$21,MT6&lt;&gt;""),AND(NQ6&gt;=NV$17,NR6&gt;=NV$21,NQ6&lt;&gt;""),AND(NT6&gt;=NV$17,NU6&gt;=NV$21,NT6&lt;&gt;""),AND(OQ6&gt;=OV$17,OR6&gt;=OV$21,OQ6&lt;&gt;""),AND(OT6&gt;=OV$17,OU6&gt;=OV$21,OT6&lt;&gt;"")),"Merit",IF(OR(AND(AM6&gt;=AR$16,AN6&gt;=AR$20,AM6&lt;&gt;"",AL6=""),AND(AP6&gt;=AR$16,AQ6&gt;=AR$20,AP6&lt;&gt;"",AL6=""),AND(BN6&gt;=BS$16,BO6&gt;=BS$20,BN6&lt;&gt;"",BM6=""),AND(BQ6&gt;=BS$16,BR6&gt;=BS$20,BQ6&lt;&gt;"",BM6=""),AND(CO6&gt;=CT$16,CP6&gt;=CT$20,CO6&lt;&gt;"",CN6=""),AND(CR6&gt;=CT$16,CS6&gt;=CT$20,CR6&lt;&gt;""),AND(DQ6&gt;=DV$16,DR6&gt;=DV$20,DQ6&lt;&gt;""),AND(DT6&gt;=DV$16,DU6&gt;=DV$20,DT6&lt;&gt;""),AND(EQ6&gt;=EV$16,ER6&gt;=EV$20,EQ6&lt;&gt;""),AND(ET6&gt;=EV$16,EU6&gt;=EV$20,ET6&lt;&gt;""),AND(FQ6&gt;=FV$16,FR6&gt;=FV$20,FQ6&lt;&gt;""),AND(FT6&gt;=FV$16,FU6&gt;=FV$20,FT6&lt;&gt;""),AND(GQ6&gt;=GV$16,GR6&gt;=GV$20,GQ6&lt;&gt;""),AND(GT6&gt;=GV$16,GU6&gt;=GV$20,GT6&lt;&gt;""),AND(HQ6&gt;=HV$16,HR6&gt;=HV$20,HQ6&lt;&gt;""),AND(HT6&gt;=HV$16,HU6&gt;=HV$20,HT6&lt;&gt;""),AND(IQ6&gt;=IV$16,IR6&gt;=IV$20,IQ6&lt;&gt;""),AND(IT6&gt;=IV$16,IU6&gt;=IV$20,IT6&lt;&gt;""),AND(JQ6&gt;=JV$16,JR6&gt;=JV$20,JQ6&lt;&gt;""),AND(JT6&gt;=JV$16,JU6&gt;=JV$20,JT6&lt;&gt;""),AND(KQ6&gt;=KV$16,KR6&gt;=KV$20,KQ6&lt;&gt;""),AND(KT6&gt;=KV$16,KU6&gt;=KV$20,KT6&lt;&gt;""),AND(LQ6&gt;=LV$16,LR6&gt;=LV$20,LQ6&lt;&gt;""),AND(LT6&gt;=LV$16,LU6&gt;=LV$20,LT6&lt;&gt;""),AND(MQ6&gt;=MV$16,MR6&gt;=MV$20,MQ6&lt;&gt;""),AND(MT6&gt;=MV$16,MU6&gt;=MV$20,MT6&lt;&gt;""),AND(NQ6&gt;=NV$16,NR6&gt;=NV$20,NQ6&lt;&gt;""),AND(NT6&gt;=NV$16,NU6&gt;=NV$20,NT6&lt;&gt;""),AND(OQ6&gt;=OV$16,OR6&gt;=OV$20,OQ6&lt;&gt;""),AND(OT6&gt;=OV$16,OU6&gt;=OV$20,OT6&lt;&gt;"")),"Excellence",IF(F6="P","National Team",""))))</f>
        <v>National Team</v>
      </c>
      <c r="I6" s="14">
        <f>IF(COUNT(AN6,BO6,CP6)&gt;0,LARGE((AN6,BO6,CP6),1),0)</f>
        <v>2.0000000000000001E-4</v>
      </c>
      <c r="J6" s="14" t="str">
        <f>IF(I6=0,"",IF(I6=CP6,$BT$1,IF(I6=BO6,$AS$1,IF(I6=AN6,$R$1,""))))</f>
        <v>2021 Elite Canada</v>
      </c>
      <c r="K6" s="14">
        <f>IF(COUNT(AN6,BO6,CP6)&gt;1,LARGE((AN6,BO6,CP6),2),0)</f>
        <v>0</v>
      </c>
      <c r="L6" s="14" t="str">
        <f>IF(K6=0,"",IF(K6=CP6,$BT$1,IF(K6=BO6,$AS$1,IF(K6=AN6,$R$1,""))))</f>
        <v/>
      </c>
      <c r="M6" s="14">
        <f>IF(MAX(AQ6,BR6,CS6)&gt;0,MAX(AQ6,BR6,CS6),0)</f>
        <v>0</v>
      </c>
      <c r="N6" s="14" t="str">
        <f>IF(M6=0,"",IF(M6=CS6,$BT$1,IF(M6=BR6,$AS$1,IF(M6=AQ6,$R$1,""))))</f>
        <v/>
      </c>
      <c r="O6" s="14" t="str">
        <f>IF(MAX(CU6:CV6)&gt;0,MAX(CU6:CV6),"")</f>
        <v/>
      </c>
      <c r="P6" s="20" t="str">
        <f>IF(O6="","",IF(O6=CU6,"("&amp;CU$2&amp;")",IF(O6=CV6,"("&amp;CV$2&amp;")")))</f>
        <v/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7">
        <v>1E-4</v>
      </c>
      <c r="S6" s="27">
        <v>1E-4</v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45"/>
      <c r="AM6" s="79">
        <f>IF(SUM(S6,W6)&gt;0,SUM(S6,W6),"")</f>
        <v>1E-4</v>
      </c>
      <c r="AN6" s="79">
        <f>IF(SUM(R6:S6,U6:W6,Y6)-T6-X6&gt;0,SUM(R6:S6,U6:W6,Y6)-T6-X6,"")</f>
        <v>2.0000000000000001E-4</v>
      </c>
      <c r="AO6" s="79" t="str">
        <f>IF(SUM(Z6:AA6,AC6)-AB6&gt;0,SUM(Z6:AA6,AC6)-AB6,"")</f>
        <v/>
      </c>
      <c r="AP6" s="79" t="str">
        <f>IF(SUM(AE6,AI6)&gt;0,SUM(AE6,AI6),"")</f>
        <v/>
      </c>
      <c r="AQ6" s="79" t="str">
        <f>IF(SUM(AD6:AE6,AG6:AI6,AK6)-SUM(AF6,AJ6)&gt;0,SUM(AD6:AE6,AG6:AI6,AK6)-SUM(AF6,AJ6),"")</f>
        <v/>
      </c>
      <c r="AR6" s="79">
        <f>IF(SUM(AN6,AQ6)&gt;0,SUM(AN6,AQ6),"")</f>
        <v>2.0000000000000001E-4</v>
      </c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46"/>
      <c r="BN6" s="20" t="str">
        <f>IF(SUM(AT6,AX6)&gt;0,SUM(AT6,AX6),"")</f>
        <v/>
      </c>
      <c r="BO6" s="20" t="str">
        <f>IF(SUM(AS6:AT6,AV6:AX6,AZ6)-AU6-AY6&gt;0,SUM(AS6:AT6,AV6:AX6,AZ6)-AU6-AY6,"")</f>
        <v/>
      </c>
      <c r="BP6" s="20" t="str">
        <f>IF(SUM(BA6:BB6,BD6)-BC6&gt;0,SUM(BA6:BB6,BD6)-BC6,"")</f>
        <v/>
      </c>
      <c r="BQ6" s="20" t="str">
        <f>IF(SUM(BF6,BJ6)&gt;0,SUM(BF6,BJ6),"")</f>
        <v/>
      </c>
      <c r="BR6" s="20" t="str">
        <f>IF(SUM(BE6:BF6,BH6:BJ6,BL6)-SUM(BG6,BK6)&gt;0,SUM(BE6:BF6,BH6:BJ6,BL6)-SUM(BG6,BK6),"")</f>
        <v/>
      </c>
      <c r="BS6" s="20" t="str">
        <f>IF(SUM(BO6,BR6)&gt;0,SUM(BO6,BR6),"")</f>
        <v/>
      </c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45"/>
      <c r="CO6" s="79" t="str">
        <f>IF(SUM(BU6,BY6)&gt;0,SUM(BU6,BY6),"")</f>
        <v/>
      </c>
      <c r="CP6" s="79" t="str">
        <f>IF(SUM(BT6:BU6,BW6:BY6,CA6)-BV6-BZ6&gt;0,SUM(BT6:BU6,BW6:BY6,CA6)-BV6-BZ6,"")</f>
        <v/>
      </c>
      <c r="CQ6" s="79" t="str">
        <f>IF(SUM(CB6:CC6,CE6)-CD6&gt;0,SUM(CB6:CC6,CE6)-CD6,"")</f>
        <v/>
      </c>
      <c r="CR6" s="79" t="str">
        <f>IF(SUM(CG6,CK6)&gt;0,SUM(CG6,CK6),"")</f>
        <v/>
      </c>
      <c r="CS6" s="79" t="str">
        <f>IF(SUM(CF6:CG6,CI6:CK6,CM6)-SUM(CH6,CL6)&gt;0,SUM(CF6:CG6,CI6:CK6,CM6)-SUM(CH6,CL6),"")</f>
        <v/>
      </c>
      <c r="CT6" s="79" t="str">
        <f>IF(SUM(CP6,CS6)&gt;0,SUM(CP6,CS6),"")</f>
        <v/>
      </c>
      <c r="CU6" s="80" t="str">
        <f>IF(K6&gt;=0.001,IF(MAX(DR6,ER6,FR6,GR6,HR6,IR6,JR6,KR6,LR6,MR6,NR6,OR6)-IF(K6="",0,K6)&gt;0.001,MAX(DR6,ER6,FR6,GR6,HR6,IR6,JR6,KR6,LR6,MR6,NR6,OR6)-IF(K6="",0,K6),""),"")</f>
        <v/>
      </c>
      <c r="CV6" s="80" t="str">
        <f>IF(M6&gt;=0.001,IF(MAX(DU6,EU6,FU6,GU6,HU6,IU6,JU6,KU6,LU6,MU6,NU6,OU6)-IF(M6="",0,M6)&gt;0.001,MAX(DU6,EU6,FU6,GU6,HU6,IU6,JU6,KU6,LU6,MU6,NU6,OU6)-IF(M6="",0,M6),""),"")</f>
        <v/>
      </c>
      <c r="CW6" s="25"/>
      <c r="CX6" s="25">
        <v>1E-4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79">
        <f>IF(SUM(CX6,DB6)&gt;0,SUM(CX6,DB6),"")</f>
        <v>1E-4</v>
      </c>
      <c r="DR6" s="79">
        <f>IF(SUM(CW6:CX6,CZ6:DB6,DD6)-CY6-DC6&gt;0,SUM(CW6:CX6,CZ6:DB6,DD6)-CY6-DC6,"")</f>
        <v>1E-4</v>
      </c>
      <c r="DS6" s="79" t="str">
        <f>IF(SUM(DE6:DF6,DH6)-DG6&gt;0,SUM(DE6:DF6,DH6)-DG6,"")</f>
        <v/>
      </c>
      <c r="DT6" s="79" t="str">
        <f>IF(SUM(DJ6,DN6)&gt;0,SUM(DJ6,DN6),"")</f>
        <v/>
      </c>
      <c r="DU6" s="79" t="str">
        <f>IF(SUM(DI6:DJ6,DL6:DN6,DP6)-SUM(DK6,DO6)&gt;0,SUM(DI6:DJ6,DL6:DN6,DP6)-SUM(DK6,DO6),"")</f>
        <v/>
      </c>
      <c r="DV6" s="79">
        <f>IF(SUM(DR6,DU6)&gt;0,SUM(DR6,DU6),"")</f>
        <v>1E-4</v>
      </c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0" t="str">
        <f>IF(SUM(DX6,EB6)&gt;0,SUM(DX6,EB6),"")</f>
        <v/>
      </c>
      <c r="ER6" s="20" t="str">
        <f>IF(SUM(DW6:DX6,DZ6:EB6,ED6)-DY6-EC6&gt;0,SUM(DW6:DX6,DZ6:EB6,ED6)-DY6-EC6,"")</f>
        <v/>
      </c>
      <c r="ES6" s="20" t="str">
        <f>IF(SUM(EE6:EF6,EH6)-EG6&gt;0,SUM(EE6:EF6,EH6)-EG6,"")</f>
        <v/>
      </c>
      <c r="ET6" s="20" t="str">
        <f>IF(SUM(EJ6,EN6)&gt;0,SUM(EJ6,EN6),"")</f>
        <v/>
      </c>
      <c r="EU6" s="20" t="str">
        <f>IF(SUM(EI6:EJ6,EL6:EN6,EP6)-SUM(EK6,EO6)&gt;0,SUM(EI6:EJ6,EL6:EN6,EP6)-SUM(EK6,EO6),"")</f>
        <v/>
      </c>
      <c r="EV6" s="20" t="str">
        <f>IF(SUM(ER6,EU6)&gt;0,SUM(ER6,EU6),"")</f>
        <v/>
      </c>
      <c r="EW6" s="25">
        <v>17.2</v>
      </c>
      <c r="EX6" s="25">
        <v>5.5</v>
      </c>
      <c r="EY6" s="25">
        <v>0</v>
      </c>
      <c r="EZ6" s="25">
        <v>0</v>
      </c>
      <c r="FA6" s="25">
        <v>16.899999999999999</v>
      </c>
      <c r="FB6" s="25">
        <v>5.3</v>
      </c>
      <c r="FC6" s="25">
        <v>0</v>
      </c>
      <c r="FD6" s="25">
        <v>0</v>
      </c>
      <c r="FE6" s="25"/>
      <c r="FF6" s="25"/>
      <c r="FG6" s="25"/>
      <c r="FH6" s="25"/>
      <c r="FI6" s="25">
        <v>17.2</v>
      </c>
      <c r="FJ6" s="25">
        <v>5.5</v>
      </c>
      <c r="FK6" s="25">
        <v>0</v>
      </c>
      <c r="FL6" s="25">
        <v>0</v>
      </c>
      <c r="FM6" s="25">
        <v>16.899999999999999</v>
      </c>
      <c r="FN6" s="25">
        <v>5.3</v>
      </c>
      <c r="FO6" s="25">
        <v>0</v>
      </c>
      <c r="FP6" s="25">
        <v>0</v>
      </c>
      <c r="FQ6" s="79">
        <f>IF(SUM(EX6,FB6)&gt;0,SUM(EX6,FB6),"")</f>
        <v>10.8</v>
      </c>
      <c r="FR6" s="79">
        <f>IF(SUM(EW6:EX6,EZ6:FB6,FD6)-EY6-FC6&gt;0,SUM(EW6:EX6,EZ6:FB6,FD6)-EY6-FC6,"")</f>
        <v>44.899999999999991</v>
      </c>
      <c r="FS6" s="79" t="str">
        <f>IF(SUM(FE6:FF6,FH6)-FG6&gt;0,SUM(FE6:FF6,FH6)-FG6,"")</f>
        <v/>
      </c>
      <c r="FT6" s="79">
        <f>IF(SUM(FJ6,FN6)&gt;0,SUM(FJ6,FN6),"")</f>
        <v>10.8</v>
      </c>
      <c r="FU6" s="79">
        <f>IF(SUM(FI6:FJ6,FL6:FN6,FP6)-SUM(FK6,FO6)&gt;0,SUM(FI6:FJ6,FL6:FN6,FP6)-SUM(FK6,FO6),"")</f>
        <v>44.899999999999991</v>
      </c>
      <c r="FV6" s="79">
        <f>IF(SUM(FR6,FU6)&gt;0,SUM(FR6,FU6),"")</f>
        <v>89.799999999999983</v>
      </c>
      <c r="FW6" s="26">
        <v>16.8</v>
      </c>
      <c r="FX6" s="26">
        <v>5.9</v>
      </c>
      <c r="FY6" s="26">
        <v>0</v>
      </c>
      <c r="FZ6" s="26">
        <v>0</v>
      </c>
      <c r="GA6" s="26">
        <v>17.2</v>
      </c>
      <c r="GB6" s="26">
        <v>6.1</v>
      </c>
      <c r="GC6" s="26">
        <v>0</v>
      </c>
      <c r="GD6" s="26">
        <v>0</v>
      </c>
      <c r="GE6" s="26"/>
      <c r="GF6" s="26"/>
      <c r="GG6" s="26"/>
      <c r="GH6" s="26"/>
      <c r="GI6" s="26">
        <v>17.3</v>
      </c>
      <c r="GJ6" s="26">
        <v>6.1</v>
      </c>
      <c r="GK6" s="26">
        <v>0</v>
      </c>
      <c r="GL6" s="26">
        <v>0</v>
      </c>
      <c r="GM6" s="26">
        <v>17.3</v>
      </c>
      <c r="GN6" s="26">
        <v>5.9</v>
      </c>
      <c r="GO6" s="26">
        <v>0</v>
      </c>
      <c r="GP6" s="26">
        <v>0</v>
      </c>
      <c r="GQ6" s="20">
        <f>IF(SUM(FX6,GB6)&gt;0,SUM(FX6,GB6),"")</f>
        <v>12</v>
      </c>
      <c r="GR6" s="20">
        <f>IF(SUM(FW6:FX6,FZ6:GB6,GD6)-FY6-GC6&gt;0,SUM(FW6:FX6,FZ6:GB6,GD6)-FY6-GC6,"")</f>
        <v>46.000000000000007</v>
      </c>
      <c r="GS6" s="20" t="str">
        <f>IF(SUM(GE6:GF6,GH6)-GG6&gt;0,SUM(GE6:GF6,GH6)-GG6,"")</f>
        <v/>
      </c>
      <c r="GT6" s="20">
        <f>IF(SUM(GJ6,GN6)&gt;0,SUM(GJ6,GN6),"")</f>
        <v>12</v>
      </c>
      <c r="GU6" s="20">
        <f>IF(SUM(GI6:GJ6,GL6:GN6,GP6)-SUM(GK6,GO6)&gt;0,SUM(GI6:GJ6,GL6:GN6,GP6)-SUM(GK6,GO6),"")</f>
        <v>46.6</v>
      </c>
      <c r="GV6" s="20">
        <f>IF(SUM(GR6,GU6)&gt;0,SUM(GR6,GU6),"")</f>
        <v>92.600000000000009</v>
      </c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79" t="str">
        <f>IF(SUM(GX6,HB6)&gt;0,SUM(GX6,HB6),"")</f>
        <v/>
      </c>
      <c r="HR6" s="79" t="str">
        <f>IF(SUM(GW6:GX6,GZ6:HB6,HD6)-GY6-HC6&gt;0,SUM(GW6:GX6,GZ6:HB6,HD6)-GY6-HC6,"")</f>
        <v/>
      </c>
      <c r="HS6" s="79" t="str">
        <f>IF(SUM(HE6:HF6,HH6)-HG6&gt;0,SUM(HE6:HF6,HH6)-HG6,"")</f>
        <v/>
      </c>
      <c r="HT6" s="79" t="str">
        <f>IF(SUM(HJ6,HN6)&gt;0,SUM(HJ6,HN6),"")</f>
        <v/>
      </c>
      <c r="HU6" s="79" t="str">
        <f>IF(SUM(HI6:HJ6,HL6:HN6,HP6)-SUM(HK6,HO6)&gt;0,SUM(HI6:HJ6,HL6:HN6,HP6)-SUM(HK6,HO6),"")</f>
        <v/>
      </c>
      <c r="HV6" s="79" t="str">
        <f>IF(SUM(HR6,HU6)&gt;0,SUM(HR6,HU6),"")</f>
        <v/>
      </c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0" t="str">
        <f>IF(SUM(HX6,IB6)&gt;0,SUM(HX6,IB6),"")</f>
        <v/>
      </c>
      <c r="IR6" s="20" t="str">
        <f>IF(SUM(HW6:HX6,HZ6:IB6,ID6)-HY6-IC6&gt;0,SUM(HW6:HX6,HZ6:IB6,ID6)-HY6-IC6,"")</f>
        <v/>
      </c>
      <c r="IS6" s="20" t="str">
        <f>IF(SUM(IE6:IF6,IH6)-IG6&gt;0,SUM(IE6:IF6,IH6)-IG6,"")</f>
        <v/>
      </c>
      <c r="IT6" s="20" t="str">
        <f>IF(SUM(IJ6,IN6)&gt;0,SUM(IJ6,IN6),"")</f>
        <v/>
      </c>
      <c r="IU6" s="20" t="str">
        <f>IF(SUM(II6:IJ6,IL6:IN6,IP6)-SUM(IK6,IO6)&gt;0,SUM(II6:IJ6,IL6:IN6,IP6)-SUM(IK6,IO6),"")</f>
        <v/>
      </c>
      <c r="IV6" s="20" t="str">
        <f>IF(SUM(IR6,IU6)&gt;0,SUM(IR6,IU6),"")</f>
        <v/>
      </c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79" t="str">
        <f>IF(SUM(IX6,JB6)&gt;0,SUM(IX6,JB6),"")</f>
        <v/>
      </c>
      <c r="JR6" s="79" t="str">
        <f>IF(SUM(IW6:IX6,IZ6:JB6,JD6)-IY6-JC6&gt;0,SUM(IW6:IX6,IZ6:JB6,JD6)-IY6-JC6,"")</f>
        <v/>
      </c>
      <c r="JS6" s="79" t="str">
        <f>IF(SUM(JE6:JF6,JH6)-JG6&gt;0,SUM(JE6:JF6,JH6)-JG6,"")</f>
        <v/>
      </c>
      <c r="JT6" s="79" t="str">
        <f>IF(SUM(JJ6,JN6)&gt;0,SUM(JJ6,JN6),"")</f>
        <v/>
      </c>
      <c r="JU6" s="79" t="str">
        <f>IF(SUM(JI6:JJ6,JL6:JN6,JP6)-SUM(JK6,JO6)&gt;0,SUM(JI6:JJ6,JL6:JN6,JP6)-SUM(JK6,JO6),"")</f>
        <v/>
      </c>
      <c r="JV6" s="79" t="str">
        <f>IF(SUM(JR6,JU6)&gt;0,SUM(JR6,JU6),"")</f>
        <v/>
      </c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0" t="str">
        <f>IF(SUM(JX6,KB6)&gt;0,SUM(JX6,KB6),"")</f>
        <v/>
      </c>
      <c r="KR6" s="20" t="str">
        <f>IF(SUM(JW6:JX6,JZ6:KB6,KD6)-JY6-KC6&gt;0,SUM(JW6:JX6,JZ6:KB6,KD6)-JY6-KC6,"")</f>
        <v/>
      </c>
      <c r="KS6" s="20" t="str">
        <f>IF(SUM(KE6:KF6,KH6)-KG6&gt;0,SUM(KE6:KF6,KH6)-KG6,"")</f>
        <v/>
      </c>
      <c r="KT6" s="20" t="str">
        <f>IF(SUM(KJ6,KN6)&gt;0,SUM(KJ6,KN6),"")</f>
        <v/>
      </c>
      <c r="KU6" s="20" t="str">
        <f>IF(SUM(KI6:KJ6,KL6:KN6,KP6)-SUM(KK6,KO6)&gt;0,SUM(KI6:KJ6,KL6:KN6,KP6)-SUM(KK6,KO6),"")</f>
        <v/>
      </c>
      <c r="KV6" s="20" t="str">
        <f>IF(SUM(KR6,KU6)&gt;0,SUM(KR6,KU6),"")</f>
        <v/>
      </c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79" t="str">
        <f>IF(SUM(KX6,LB6)&gt;0,SUM(KX6,LB6),"")</f>
        <v/>
      </c>
      <c r="LR6" s="79" t="str">
        <f>IF(SUM(KW6:KX6,KZ6:LB6,LD6)-KY6-LC6&gt;0,SUM(KW6:KX6,KZ6:LB6,LD6)-KY6-LC6,"")</f>
        <v/>
      </c>
      <c r="LS6" s="79" t="str">
        <f>IF(SUM(LE6:LF6,LH6)-LG6&gt;0,SUM(LE6:LF6,LH6)-LG6,"")</f>
        <v/>
      </c>
      <c r="LT6" s="79" t="str">
        <f>IF(SUM(LJ6,LN6)&gt;0,SUM(LJ6,LN6),"")</f>
        <v/>
      </c>
      <c r="LU6" s="79" t="str">
        <f>IF(SUM(LI6:LJ6,LL6:LN6,LP6)-SUM(LK6,LO6)&gt;0,SUM(LI6:LJ6,LL6:LN6,LP6)-SUM(LK6,LO6),"")</f>
        <v/>
      </c>
      <c r="LV6" s="79" t="str">
        <f>IF(SUM(LR6,LU6)&gt;0,SUM(LR6,LU6),"")</f>
        <v/>
      </c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0" t="str">
        <f>IF(SUM(LX6,MB6)&gt;0,SUM(LX6,MB6),"")</f>
        <v/>
      </c>
      <c r="MR6" s="20" t="str">
        <f>IF(SUM(LW6:LX6,LZ6:MB6,MD6)-LY6-MC6&gt;0,SUM(LW6:LX6,LZ6:MB6,MD6)-LY6-MC6,"")</f>
        <v/>
      </c>
      <c r="MS6" s="20" t="str">
        <f>IF(SUM(ME6:MF6,MH6)-MG6&gt;0,SUM(ME6:MF6,MH6)-MG6,"")</f>
        <v/>
      </c>
      <c r="MT6" s="20" t="str">
        <f>IF(SUM(MJ6,MN6)&gt;0,SUM(MJ6,MN6),"")</f>
        <v/>
      </c>
      <c r="MU6" s="20" t="str">
        <f>IF(SUM(MI6:MJ6,ML6:MN6,MP6)-SUM(MK6,MO6)&gt;0,SUM(MI6:MJ6,ML6:MN6,MP6)-SUM(MK6,MO6),"")</f>
        <v/>
      </c>
      <c r="MV6" s="20" t="str">
        <f>IF(SUM(MR6,MU6)&gt;0,SUM(MR6,MU6),"")</f>
        <v/>
      </c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79" t="str">
        <f>IF(SUM(MX6,NB6)&gt;0,SUM(MX6,NB6),"")</f>
        <v/>
      </c>
      <c r="NR6" s="79" t="str">
        <f>IF(SUM(MW6:MX6,MZ6:NB6,ND6)-MY6-NC6&gt;0,SUM(MW6:MX6,MZ6:NB6,ND6)-MY6-NC6,"")</f>
        <v/>
      </c>
      <c r="NS6" s="79" t="str">
        <f>IF(SUM(NE6:NF6,NH6)-NG6&gt;0,SUM(NE6:NF6,NH6)-NG6,"")</f>
        <v/>
      </c>
      <c r="NT6" s="79" t="str">
        <f>IF(SUM(NJ6,NN6)&gt;0,SUM(NJ6,NN6),"")</f>
        <v/>
      </c>
      <c r="NU6" s="79" t="str">
        <f>IF(SUM(NI6:NJ6,NL6:NN6,NP6)-SUM(NK6,NO6)&gt;0,SUM(NI6:NJ6,NL6:NN6,NP6)-SUM(NK6,NO6),"")</f>
        <v/>
      </c>
      <c r="NV6" s="79" t="str">
        <f>IF(SUM(NR6,NU6)&gt;0,SUM(NR6,NU6),"")</f>
        <v/>
      </c>
      <c r="NW6" s="26"/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0" t="str">
        <f>IF(SUM(NX6,OB6)&gt;0,SUM(NX6,OB6),"")</f>
        <v/>
      </c>
      <c r="OR6" s="20" t="str">
        <f>IF(SUM(NW6:NX6,NZ6:OB6,OD6)-NY6-OC6&gt;0,SUM(NW6:NX6,NZ6:OB6,OD6)-NY6-OC6,"")</f>
        <v/>
      </c>
      <c r="OS6" s="20" t="str">
        <f>IF(SUM(OE6:OF6,OH6)-OG6&gt;0,SUM(OE6:OF6,OH6)-OG6,"")</f>
        <v/>
      </c>
      <c r="OT6" s="20" t="str">
        <f>IF(SUM(OJ6,ON6)&gt;0,SUM(OJ6,ON6),"")</f>
        <v/>
      </c>
      <c r="OU6" s="20" t="str">
        <f>IF(SUM(OI6:OJ6,OL6:ON6,OP6)-SUM(OK6,OO6)&gt;0,SUM(OI6:OJ6,OL6:ON6,OP6)-SUM(OK6,OO6),"")</f>
        <v/>
      </c>
      <c r="OV6" s="20" t="str">
        <f>IF(SUM(OR6,OU6)&gt;0,SUM(OR6,OU6),"")</f>
        <v/>
      </c>
      <c r="OW6" s="38">
        <f>IF($CN6="P",BT6,(BT6+AS6)/2)</f>
        <v>0</v>
      </c>
      <c r="OX6" s="38">
        <f>IF($CN6="P",BU6,(BU6+AT6)/2)</f>
        <v>0</v>
      </c>
      <c r="OY6" s="38">
        <f>IF($CN6="P",BV6,(BV6+AU6)/2)</f>
        <v>0</v>
      </c>
      <c r="OZ6" s="38">
        <f>IF($CN6="P",BW6,(BW6+AV6)/2)</f>
        <v>0</v>
      </c>
      <c r="PA6" s="38">
        <f>IF($CN6="P",BX6,(BX6+AW6)/2)</f>
        <v>0</v>
      </c>
      <c r="PB6" s="38">
        <f>IF($CN6="P",BY6,(BY6+AX6)/2)</f>
        <v>0</v>
      </c>
      <c r="PC6" s="38">
        <f>IF($CN6="P",BZ6,(BZ6+AY6)/2)</f>
        <v>0</v>
      </c>
      <c r="PD6" s="38">
        <f>IF($CN6="P",CA6,(CA6+AZ6)/2)</f>
        <v>0</v>
      </c>
      <c r="PE6" s="38">
        <f>IF($CN6="P",CB6,(CB6+BA6)/2)</f>
        <v>0</v>
      </c>
      <c r="PF6" s="38">
        <f>IF($CN6="P",CC6,(CC6+BB6)/2)</f>
        <v>0</v>
      </c>
      <c r="PG6" s="38">
        <f>IF($CN6="P",CD6,(CD6+BC6)/2)</f>
        <v>0</v>
      </c>
      <c r="PH6" s="38">
        <f>IF($CN6="P",CE6,(CE6+BD6)/2)</f>
        <v>0</v>
      </c>
      <c r="PI6" s="38">
        <f>IF($CN6="P",CF6,(CF6+BE6)/2)</f>
        <v>0</v>
      </c>
      <c r="PJ6" s="38">
        <f>IF($CN6="P",CG6,(CG6+BF6)/2)</f>
        <v>0</v>
      </c>
      <c r="PK6" s="38">
        <f>IF($CN6="P",CH6,(CH6+BG6)/2)</f>
        <v>0</v>
      </c>
      <c r="PL6" s="38">
        <f>IF($CN6="P",CI6,(CI6+BH6)/2)</f>
        <v>0</v>
      </c>
      <c r="PM6" s="38">
        <f>IF($CN6="P",CJ6,(CJ6+BI6)/2)</f>
        <v>0</v>
      </c>
      <c r="PN6" s="38">
        <f>IF($CN6="P",CK6,(CK6+BJ6)/2)</f>
        <v>0</v>
      </c>
      <c r="PO6" s="38">
        <f>IF($CN6="P",CL6,(CL6+BK6)/2)</f>
        <v>0</v>
      </c>
      <c r="PP6" s="38">
        <f>IF($CN6="P",CM6,(CM6+BL6)/2)</f>
        <v>0</v>
      </c>
      <c r="PQ6" s="45" t="s">
        <v>46</v>
      </c>
      <c r="PR6" s="79" t="str">
        <f>IF(SUM(OX6,PB6)&gt;0,SUM(OX6,PB6),"")</f>
        <v/>
      </c>
      <c r="PS6" s="79" t="str">
        <f>IF(SUM(OW6:OX6,OZ6:PB6,PD6)-OY6-PC6&gt;0,SUM(OW6:OX6,OZ6:PB6,PD6)-OY6-PC6,"")</f>
        <v/>
      </c>
      <c r="PT6" s="79" t="str">
        <f>IF(SUM(PE6:PF6,PH6)-PG6&gt;0,SUM(PE6:PF6,PH6)-PG6,"")</f>
        <v/>
      </c>
      <c r="PU6" s="79" t="str">
        <f>IF(SUM(PJ6,PN6)&gt;0,SUM(PJ6,PN6),"")</f>
        <v/>
      </c>
      <c r="PV6" s="79" t="str">
        <f>IF(SUM(PI6:PJ6,PL6:PN6,PP6)-SUM(PK6,PO6)&gt;0,SUM(PI6:PJ6,PL6:PN6,PP6)-SUM(PK6,PO6),"")</f>
        <v/>
      </c>
      <c r="PW6" s="79" t="str">
        <f>IF(SUM(PS6,PV6)&gt;0,SUM(PS6,PV6),"")</f>
        <v/>
      </c>
    </row>
    <row r="7" spans="1:439" x14ac:dyDescent="0.2">
      <c r="A7" s="5" t="str">
        <f>IF(AND(F7="P",G7="P"),SUMPRODUCT((F$4:F$12="P")*(G$4:G$12="P")*(E$4:E$12&gt;E7))+1,IF(G7="P",SUMPRODUCT((F$4:F$12="")*(G$4:G$12="P")*(E$4:E$12&gt;E7))+1+SUMPRODUCT((F$4:F$12="P")*(G$4:G$12="P")),""))</f>
        <v/>
      </c>
      <c r="B7" s="78" t="s">
        <v>74</v>
      </c>
      <c r="C7" s="5" t="s">
        <v>4</v>
      </c>
      <c r="D7" s="5">
        <v>2003</v>
      </c>
      <c r="E7" s="15">
        <f>SUM(I7:O7)+SUM(I7:M7)*0.0000001+SUM(I7)*0.0000000000001</f>
        <v>81.700008170004168</v>
      </c>
      <c r="F7" s="3" t="str">
        <f>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P","")</f>
        <v/>
      </c>
      <c r="G7" s="3" t="str">
        <f>IF(OR(AND(AN7&gt;=AR$18,AN7&lt;&gt;"",AL7=""),AND(AQ7&gt;=AR$18,AQ7&lt;&gt;"",AL7=""),AND(BO7&gt;=BS$18,BO7&lt;&gt;"",BM7=""),AND(BR7&gt;=BS$18,BR7&lt;&gt;"",BM7=""),AND(CP7&gt;=CT$18,CP7&lt;&gt;"",CN7=""),AND(CS7&gt;=CT$18,CS7&lt;&gt;"",CN7=""),AND(DR7&gt;=DV$18,DR7&lt;&gt;""),AND(DU7&gt;=DV$18,DU7&lt;&gt;""),AND(ER7&gt;=EV$18,ER7&lt;&gt;""),AND(EU7&gt;=EV$18,EU7&lt;&gt;""),AND(FR7&gt;=FV$18,FR7&lt;&gt;""),AND(FU7&gt;=FV$18,FU7&lt;&gt;""),AND(GR7&gt;=GV$18,GR7&lt;&gt;""),AND(GU7&gt;=GV$18,GU7&lt;&gt;""),AND(HR7&gt;=HV$18,HR7&lt;&gt;""),AND(HU7&gt;=HV$18,HU7&lt;&gt;""),AND(IR7&gt;=IV$18,IR7&lt;&gt;""),AND(IU7&gt;=IV$18,IU7&lt;&gt;""),AND(JR7&gt;=JV$18,JR7&lt;&gt;""),AND(JU7&gt;=JV$18,JU7&lt;&gt;""),AND(KR7&gt;=KV$18,KR7&lt;&gt;""),AND(KU7&gt;=KV$18,KU7&lt;&gt;""),AND(LR7&gt;=LV$18,LR7&lt;&gt;""),AND(LU7&gt;=LV$18,LU7&lt;&gt;""),AND(MR7&gt;=MV$18,MR7&lt;&gt;""),AND(MU7&gt;=MV$18,MU7&lt;&gt;""),AND(NR7&gt;=NV$18,NR7&lt;&gt;""),AND(NU7&gt;=NV$18,NU7&lt;&gt;""),AND(OR7&gt;=OV$18,OR7&lt;&gt;""),AND(OU7&gt;=OV$18,OU7&lt;&gt;"")),"P","")</f>
        <v/>
      </c>
      <c r="H7" s="67" t="str">
        <f>IF(AND(G7="P",F7=""),"No DD",IF(OR(AND(AM7&gt;=AR$17,AN7&gt;=AR$21,AM7&lt;&gt;"",AL7=""),AND(AP7&gt;=AR$17,AQ7&gt;=AR$21,AP7&lt;&gt;"",AL7=""),AND(BN7&gt;=BS$17,BO7&gt;=BS$21,BN7&lt;&gt;"",BM7=""),AND(BQ7&gt;=BS$17,BR7&gt;=BS$21,BQ7&lt;&gt;"",BM7=""),AND(CO7&gt;=CT$17,CP7&gt;=CT$21,CO7&lt;&gt;"",CN7=""),AND(CR7&gt;=CT$17,CS7&gt;=CT$21,CR7&lt;&gt;""),AND(DQ7&gt;=DV$17,DR7&gt;=DV$21,DQ7&lt;&gt;""),AND(DT7&gt;=DV$17,DU7&gt;=DV$21,DT7&lt;&gt;""),AND(EQ7&gt;=EV$17,ER7&gt;=EV$21,EQ7&lt;&gt;""),AND(ET7&gt;=EV$17,EU7&gt;=EV$21,ET7&lt;&gt;""),AND(FQ7&gt;=FV$17,FR7&gt;=FV$21,FQ7&lt;&gt;""),AND(FT7&gt;=FV$17,FU7&gt;=FV$21,FT7&lt;&gt;""),AND(GQ7&gt;=GV$17,GR7&gt;=GV$21,GQ7&lt;&gt;""),AND(GT7&gt;=GV$17,GU7&gt;=GV$21,GT7&lt;&gt;""),AND(HQ7&gt;=HV$17,HR7&gt;=HV$21,HQ7&lt;&gt;""),AND(HT7&gt;=HV$17,HU7&gt;=HV$21,HT7&lt;&gt;""),AND(IQ7&gt;=IV$17,IR7&gt;=IV$21,IQ7&lt;&gt;""),AND(IT7&gt;=IV$17,IU7&gt;=IV$21,IT7&lt;&gt;""),AND(JQ7&gt;=JV$17,JR7&gt;=JV$21,JQ7&lt;&gt;""),AND(JT7&gt;=JV$17,JU7&gt;=JV$21,JT7&lt;&gt;""),AND(KQ7&gt;=KV$17,KR7&gt;=KV$21,KQ7&lt;&gt;""),AND(KT7&gt;=KV$17,KU7&gt;=KV$21,KT7&lt;&gt;""),AND(LQ7&gt;=LV$17,LR7&gt;=LV$21,LQ7&lt;&gt;""),AND(LT7&gt;=LV$17,LU7&gt;=LV$21,LT7&lt;&gt;""),AND(MQ7&gt;=MV$17,MR7&gt;=MV$21,MQ7&lt;&gt;""),AND(MT7&gt;=MV$17,MU7&gt;=MV$21,MT7&lt;&gt;""),AND(NQ7&gt;=NV$17,NR7&gt;=NV$21,NQ7&lt;&gt;""),AND(NT7&gt;=NV$17,NU7&gt;=NV$21,NT7&lt;&gt;""),AND(OQ7&gt;=OV$17,OR7&gt;=OV$21,OQ7&lt;&gt;""),AND(OT7&gt;=OV$17,OU7&gt;=OV$21,OT7&lt;&gt;"")),"Merit",IF(OR(AND(AM7&gt;=AR$16,AN7&gt;=AR$20,AM7&lt;&gt;"",AL7=""),AND(AP7&gt;=AR$16,AQ7&gt;=AR$20,AP7&lt;&gt;"",AL7=""),AND(BN7&gt;=BS$16,BO7&gt;=BS$20,BN7&lt;&gt;"",BM7=""),AND(BQ7&gt;=BS$16,BR7&gt;=BS$20,BQ7&lt;&gt;"",BM7=""),AND(CO7&gt;=CT$16,CP7&gt;=CT$20,CO7&lt;&gt;"",CN7=""),AND(CR7&gt;=CT$16,CS7&gt;=CT$20,CR7&lt;&gt;""),AND(DQ7&gt;=DV$16,DR7&gt;=DV$20,DQ7&lt;&gt;""),AND(DT7&gt;=DV$16,DU7&gt;=DV$20,DT7&lt;&gt;""),AND(EQ7&gt;=EV$16,ER7&gt;=EV$20,EQ7&lt;&gt;""),AND(ET7&gt;=EV$16,EU7&gt;=EV$20,ET7&lt;&gt;""),AND(FQ7&gt;=FV$16,FR7&gt;=FV$20,FQ7&lt;&gt;""),AND(FT7&gt;=FV$16,FU7&gt;=FV$20,FT7&lt;&gt;""),AND(GQ7&gt;=GV$16,GR7&gt;=GV$20,GQ7&lt;&gt;""),AND(GT7&gt;=GV$16,GU7&gt;=GV$20,GT7&lt;&gt;""),AND(HQ7&gt;=HV$16,HR7&gt;=HV$20,HQ7&lt;&gt;""),AND(HT7&gt;=HV$16,HU7&gt;=HV$20,HT7&lt;&gt;""),AND(IQ7&gt;=IV$16,IR7&gt;=IV$20,IQ7&lt;&gt;""),AND(IT7&gt;=IV$16,IU7&gt;=IV$20,IT7&lt;&gt;""),AND(JQ7&gt;=JV$16,JR7&gt;=JV$20,JQ7&lt;&gt;""),AND(JT7&gt;=JV$16,JU7&gt;=JV$20,JT7&lt;&gt;""),AND(KQ7&gt;=KV$16,KR7&gt;=KV$20,KQ7&lt;&gt;""),AND(KT7&gt;=KV$16,KU7&gt;=KV$20,KT7&lt;&gt;""),AND(LQ7&gt;=LV$16,LR7&gt;=LV$20,LQ7&lt;&gt;""),AND(LT7&gt;=LV$16,LU7&gt;=LV$20,LT7&lt;&gt;""),AND(MQ7&gt;=MV$16,MR7&gt;=MV$20,MQ7&lt;&gt;""),AND(MT7&gt;=MV$16,MU7&gt;=MV$20,MT7&lt;&gt;""),AND(NQ7&gt;=NV$16,NR7&gt;=NV$20,NQ7&lt;&gt;""),AND(NT7&gt;=NV$16,NU7&gt;=NV$20,NT7&lt;&gt;""),AND(OQ7&gt;=OV$16,OR7&gt;=OV$20,OQ7&lt;&gt;""),AND(OT7&gt;=OV$16,OU7&gt;=OV$20,OT7&lt;&gt;"")),"Excellence",IF(F7="P","National Team",""))))</f>
        <v/>
      </c>
      <c r="I7" s="14">
        <f>IF(COUNT(AN7,BO7,CP7)&gt;0,LARGE((AN7,BO7,CP7),1),0)</f>
        <v>41.6</v>
      </c>
      <c r="J7" s="14" t="str">
        <f>IF(I7=0,"",IF(I7=CP7,$BT$1,IF(I7=BO7,$AS$1,IF(I7=AN7,$R$1,""))))</f>
        <v>2022 Elite Canada</v>
      </c>
      <c r="K7" s="14">
        <f>IF(COUNT(AN7,BO7,CP7)&gt;1,LARGE((AN7,BO7,CP7),2),0)</f>
        <v>0</v>
      </c>
      <c r="L7" s="14" t="str">
        <f>IF(K7=0,"",IF(K7=CP7,$BT$1,IF(K7=BO7,$AS$1,IF(K7=AN7,$R$1,""))))</f>
        <v/>
      </c>
      <c r="M7" s="14">
        <f>IF(MAX(AQ7,BR7,CS7)&gt;0,MAX(AQ7,BR7,CS7),0)</f>
        <v>40.1</v>
      </c>
      <c r="N7" s="14" t="str">
        <f>IF(M7=0,"",IF(M7=CS7,$BT$1,IF(M7=BR7,$AS$1,IF(M7=AQ7,$R$1,""))))</f>
        <v>2022 Elite Canada</v>
      </c>
      <c r="O7" s="14" t="str">
        <f>IF(MAX(CU7:CV7)&gt;0,MAX(CU7:CV7),"")</f>
        <v/>
      </c>
      <c r="P7" s="20" t="str">
        <f>IF(O7="","",IF(O7=CU7,"("&amp;CU$2&amp;")",IF(O7=CV7,"("&amp;CV$2&amp;")")))</f>
        <v/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45"/>
      <c r="AM7" s="79" t="str">
        <f>IF(SUM(S7,W7)&gt;0,SUM(S7,W7),"")</f>
        <v/>
      </c>
      <c r="AN7" s="79" t="str">
        <f>IF(SUM(R7:S7,U7:W7,Y7)-T7-X7&gt;0,SUM(R7:S7,U7:W7,Y7)-T7-X7,"")</f>
        <v/>
      </c>
      <c r="AO7" s="79" t="str">
        <f>IF(SUM(Z7:AA7,AC7)-AB7&gt;0,SUM(Z7:AA7,AC7)-AB7,"")</f>
        <v/>
      </c>
      <c r="AP7" s="79" t="str">
        <f>IF(SUM(AE7,AI7)&gt;0,SUM(AE7,AI7),"")</f>
        <v/>
      </c>
      <c r="AQ7" s="79" t="str">
        <f>IF(SUM(AD7:AE7,AG7:AI7,AK7)-SUM(AF7,AJ7)&gt;0,SUM(AD7:AE7,AG7:AI7,AK7)-SUM(AF7,AJ7),"")</f>
        <v/>
      </c>
      <c r="AR7" s="79" t="str">
        <f>IF(SUM(AN7,AQ7)&gt;0,SUM(AN7,AQ7),"")</f>
        <v/>
      </c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46"/>
      <c r="BN7" s="20" t="str">
        <f>IF(SUM(AT7,AX7)&gt;0,SUM(AT7,AX7),"")</f>
        <v/>
      </c>
      <c r="BO7" s="20" t="str">
        <f>IF(SUM(AS7:AT7,AV7:AX7,AZ7)-AU7-AY7&gt;0,SUM(AS7:AT7,AV7:AX7,AZ7)-AU7-AY7,"")</f>
        <v/>
      </c>
      <c r="BP7" s="20" t="str">
        <f>IF(SUM(BA7:BB7,BD7)-BC7&gt;0,SUM(BA7:BB7,BD7)-BC7,"")</f>
        <v/>
      </c>
      <c r="BQ7" s="20" t="str">
        <f>IF(SUM(BF7,BJ7)&gt;0,SUM(BF7,BJ7),"")</f>
        <v/>
      </c>
      <c r="BR7" s="20" t="str">
        <f>IF(SUM(BE7:BF7,BH7:BJ7,BL7)-SUM(BG7,BK7)&gt;0,SUM(BE7:BF7,BH7:BJ7,BL7)-SUM(BG7,BK7),"")</f>
        <v/>
      </c>
      <c r="BS7" s="20" t="str">
        <f>IF(SUM(BO7,BR7)&gt;0,SUM(BO7,BR7),"")</f>
        <v/>
      </c>
      <c r="BT7" s="27">
        <v>15.4</v>
      </c>
      <c r="BU7" s="27">
        <v>5.0999999999999996</v>
      </c>
      <c r="BV7" s="27">
        <v>0</v>
      </c>
      <c r="BW7" s="27">
        <v>0.3</v>
      </c>
      <c r="BX7" s="27">
        <v>15.2</v>
      </c>
      <c r="BY7" s="27">
        <v>5</v>
      </c>
      <c r="BZ7" s="27">
        <v>0</v>
      </c>
      <c r="CA7" s="27">
        <v>0.6</v>
      </c>
      <c r="CB7" s="27"/>
      <c r="CC7" s="27"/>
      <c r="CD7" s="27"/>
      <c r="CE7" s="27"/>
      <c r="CF7" s="27">
        <v>15.7</v>
      </c>
      <c r="CG7" s="27">
        <v>4.2</v>
      </c>
      <c r="CH7" s="27">
        <v>0.4</v>
      </c>
      <c r="CI7" s="27">
        <v>0.3</v>
      </c>
      <c r="CJ7" s="27">
        <v>16.7</v>
      </c>
      <c r="CK7" s="27">
        <v>3.6</v>
      </c>
      <c r="CL7" s="27">
        <v>0</v>
      </c>
      <c r="CM7" s="27">
        <v>0</v>
      </c>
      <c r="CN7" s="45"/>
      <c r="CO7" s="79">
        <f>IF(SUM(BU7,BY7)&gt;0,SUM(BU7,BY7),"")</f>
        <v>10.1</v>
      </c>
      <c r="CP7" s="79">
        <f>IF(SUM(BT7:BU7,BW7:BY7,CA7)-BV7-BZ7&gt;0,SUM(BT7:BU7,BW7:BY7,CA7)-BV7-BZ7,"")</f>
        <v>41.6</v>
      </c>
      <c r="CQ7" s="79" t="str">
        <f>IF(SUM(CB7:CC7,CE7)-CD7&gt;0,SUM(CB7:CC7,CE7)-CD7,"")</f>
        <v/>
      </c>
      <c r="CR7" s="79">
        <f>IF(SUM(CG7,CK7)&gt;0,SUM(CG7,CK7),"")</f>
        <v>7.8000000000000007</v>
      </c>
      <c r="CS7" s="79">
        <f>IF(SUM(CF7:CG7,CI7:CK7,CM7)-SUM(CH7,CL7)&gt;0,SUM(CF7:CG7,CI7:CK7,CM7)-SUM(CH7,CL7),"")</f>
        <v>40.1</v>
      </c>
      <c r="CT7" s="79">
        <f>IF(SUM(CP7,CS7)&gt;0,SUM(CP7,CS7),"")</f>
        <v>81.7</v>
      </c>
      <c r="CU7" s="80" t="str">
        <f>IF(K7&gt;=0.001,IF(MAX(DR7,ER7,FR7,GR7,HR7,IR7,JR7,KR7,LR7,MR7,NR7,OR7)-IF(K7="",0,K7)&gt;0.001,MAX(DR7,ER7,FR7,GR7,HR7,IR7,JR7,KR7,LR7,MR7,NR7,OR7)-IF(K7="",0,K7),""),"")</f>
        <v/>
      </c>
      <c r="CV7" s="80" t="str">
        <f>IF(M7&gt;=0.001,IF(MAX(DU7,EU7,FU7,GU7,HU7,IU7,JU7,KU7,LU7,MU7,NU7,OU7)-IF(M7="",0,M7)&gt;0.001,MAX(DU7,EU7,FU7,GU7,HU7,IU7,JU7,KU7,LU7,MU7,NU7,OU7)-IF(M7="",0,M7),""),"")</f>
        <v/>
      </c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79" t="str">
        <f>IF(SUM(CX7,DB7)&gt;0,SUM(CX7,DB7),"")</f>
        <v/>
      </c>
      <c r="DR7" s="79" t="str">
        <f>IF(SUM(CW7:CX7,CZ7:DB7,DD7)-CY7-DC7&gt;0,SUM(CW7:CX7,CZ7:DB7,DD7)-CY7-DC7,"")</f>
        <v/>
      </c>
      <c r="DS7" s="79" t="str">
        <f>IF(SUM(DE7:DF7,DH7)-DG7&gt;0,SUM(DE7:DF7,DH7)-DG7,"")</f>
        <v/>
      </c>
      <c r="DT7" s="79" t="str">
        <f>IF(SUM(DJ7,DN7)&gt;0,SUM(DJ7,DN7),"")</f>
        <v/>
      </c>
      <c r="DU7" s="79" t="str">
        <f>IF(SUM(DI7:DJ7,DL7:DN7,DP7)-SUM(DK7,DO7)&gt;0,SUM(DI7:DJ7,DL7:DN7,DP7)-SUM(DK7,DO7),"")</f>
        <v/>
      </c>
      <c r="DV7" s="79" t="str">
        <f>IF(SUM(DR7,DU7)&gt;0,SUM(DR7,DU7),"")</f>
        <v/>
      </c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0" t="str">
        <f>IF(SUM(DX7,EB7)&gt;0,SUM(DX7,EB7),"")</f>
        <v/>
      </c>
      <c r="ER7" s="20" t="str">
        <f>IF(SUM(DW7:DX7,DZ7:EB7,ED7)-DY7-EC7&gt;0,SUM(DW7:DX7,DZ7:EB7,ED7)-DY7-EC7,"")</f>
        <v/>
      </c>
      <c r="ES7" s="20" t="str">
        <f>IF(SUM(EE7:EF7,EH7)-EG7&gt;0,SUM(EE7:EF7,EH7)-EG7,"")</f>
        <v/>
      </c>
      <c r="ET7" s="20" t="str">
        <f>IF(SUM(EJ7,EN7)&gt;0,SUM(EJ7,EN7),"")</f>
        <v/>
      </c>
      <c r="EU7" s="20" t="str">
        <f>IF(SUM(EI7:EJ7,EL7:EN7,EP7)-SUM(EK7,EO7)&gt;0,SUM(EI7:EJ7,EL7:EN7,EP7)-SUM(EK7,EO7),"")</f>
        <v/>
      </c>
      <c r="EV7" s="20" t="str">
        <f>IF(SUM(ER7,EU7)&gt;0,SUM(ER7,EU7),"")</f>
        <v/>
      </c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79" t="str">
        <f>IF(SUM(EX7,FB7)&gt;0,SUM(EX7,FB7),"")</f>
        <v/>
      </c>
      <c r="FR7" s="79" t="str">
        <f>IF(SUM(EW7:EX7,EZ7:FB7,FD7)-EY7-FC7&gt;0,SUM(EW7:EX7,EZ7:FB7,FD7)-EY7-FC7,"")</f>
        <v/>
      </c>
      <c r="FS7" s="79" t="str">
        <f>IF(SUM(FE7:FF7,FH7)-FG7&gt;0,SUM(FE7:FF7,FH7)-FG7,"")</f>
        <v/>
      </c>
      <c r="FT7" s="79" t="str">
        <f>IF(SUM(FJ7,FN7)&gt;0,SUM(FJ7,FN7),"")</f>
        <v/>
      </c>
      <c r="FU7" s="79" t="str">
        <f>IF(SUM(FI7:FJ7,FL7:FN7,FP7)-SUM(FK7,FO7)&gt;0,SUM(FI7:FJ7,FL7:FN7,FP7)-SUM(FK7,FO7),"")</f>
        <v/>
      </c>
      <c r="FV7" s="79" t="str">
        <f>IF(SUM(FR7,FU7)&gt;0,SUM(FR7,FU7),"")</f>
        <v/>
      </c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0" t="str">
        <f>IF(SUM(FX7,GB7)&gt;0,SUM(FX7,GB7),"")</f>
        <v/>
      </c>
      <c r="GR7" s="20" t="str">
        <f>IF(SUM(FW7:FX7,FZ7:GB7,GD7)-FY7-GC7&gt;0,SUM(FW7:FX7,FZ7:GB7,GD7)-FY7-GC7,"")</f>
        <v/>
      </c>
      <c r="GS7" s="20" t="str">
        <f>IF(SUM(GE7:GF7,GH7)-GG7&gt;0,SUM(GE7:GF7,GH7)-GG7,"")</f>
        <v/>
      </c>
      <c r="GT7" s="20" t="str">
        <f>IF(SUM(GJ7,GN7)&gt;0,SUM(GJ7,GN7),"")</f>
        <v/>
      </c>
      <c r="GU7" s="20" t="str">
        <f>IF(SUM(GI7:GJ7,GL7:GN7,GP7)-SUM(GK7,GO7)&gt;0,SUM(GI7:GJ7,GL7:GN7,GP7)-SUM(GK7,GO7),"")</f>
        <v/>
      </c>
      <c r="GV7" s="20" t="str">
        <f>IF(SUM(GR7,GU7)&gt;0,SUM(GR7,GU7),"")</f>
        <v/>
      </c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79" t="str">
        <f>IF(SUM(GX7,HB7)&gt;0,SUM(GX7,HB7),"")</f>
        <v/>
      </c>
      <c r="HR7" s="79" t="str">
        <f>IF(SUM(GW7:GX7,GZ7:HB7,HD7)-GY7-HC7&gt;0,SUM(GW7:GX7,GZ7:HB7,HD7)-GY7-HC7,"")</f>
        <v/>
      </c>
      <c r="HS7" s="79" t="str">
        <f>IF(SUM(HE7:HF7,HH7)-HG7&gt;0,SUM(HE7:HF7,HH7)-HG7,"")</f>
        <v/>
      </c>
      <c r="HT7" s="79" t="str">
        <f>IF(SUM(HJ7,HN7)&gt;0,SUM(HJ7,HN7),"")</f>
        <v/>
      </c>
      <c r="HU7" s="79" t="str">
        <f>IF(SUM(HI7:HJ7,HL7:HN7,HP7)-SUM(HK7,HO7)&gt;0,SUM(HI7:HJ7,HL7:HN7,HP7)-SUM(HK7,HO7),"")</f>
        <v/>
      </c>
      <c r="HV7" s="79" t="str">
        <f>IF(SUM(HR7,HU7)&gt;0,SUM(HR7,HU7),"")</f>
        <v/>
      </c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0" t="str">
        <f>IF(SUM(HX7,IB7)&gt;0,SUM(HX7,IB7),"")</f>
        <v/>
      </c>
      <c r="IR7" s="20" t="str">
        <f>IF(SUM(HW7:HX7,HZ7:IB7,ID7)-HY7-IC7&gt;0,SUM(HW7:HX7,HZ7:IB7,ID7)-HY7-IC7,"")</f>
        <v/>
      </c>
      <c r="IS7" s="20" t="str">
        <f>IF(SUM(IE7:IF7,IH7)-IG7&gt;0,SUM(IE7:IF7,IH7)-IG7,"")</f>
        <v/>
      </c>
      <c r="IT7" s="20" t="str">
        <f>IF(SUM(IJ7,IN7)&gt;0,SUM(IJ7,IN7),"")</f>
        <v/>
      </c>
      <c r="IU7" s="20" t="str">
        <f>IF(SUM(II7:IJ7,IL7:IN7,IP7)-SUM(IK7,IO7)&gt;0,SUM(II7:IJ7,IL7:IN7,IP7)-SUM(IK7,IO7),"")</f>
        <v/>
      </c>
      <c r="IV7" s="20" t="str">
        <f>IF(SUM(IR7,IU7)&gt;0,SUM(IR7,IU7),"")</f>
        <v/>
      </c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79" t="str">
        <f>IF(SUM(IX7,JB7)&gt;0,SUM(IX7,JB7),"")</f>
        <v/>
      </c>
      <c r="JR7" s="79" t="str">
        <f>IF(SUM(IW7:IX7,IZ7:JB7,JD7)-IY7-JC7&gt;0,SUM(IW7:IX7,IZ7:JB7,JD7)-IY7-JC7,"")</f>
        <v/>
      </c>
      <c r="JS7" s="79" t="str">
        <f>IF(SUM(JE7:JF7,JH7)-JG7&gt;0,SUM(JE7:JF7,JH7)-JG7,"")</f>
        <v/>
      </c>
      <c r="JT7" s="79" t="str">
        <f>IF(SUM(JJ7,JN7)&gt;0,SUM(JJ7,JN7),"")</f>
        <v/>
      </c>
      <c r="JU7" s="79" t="str">
        <f>IF(SUM(JI7:JJ7,JL7:JN7,JP7)-SUM(JK7,JO7)&gt;0,SUM(JI7:JJ7,JL7:JN7,JP7)-SUM(JK7,JO7),"")</f>
        <v/>
      </c>
      <c r="JV7" s="79" t="str">
        <f>IF(SUM(JR7,JU7)&gt;0,SUM(JR7,JU7),"")</f>
        <v/>
      </c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0" t="str">
        <f>IF(SUM(JX7,KB7)&gt;0,SUM(JX7,KB7),"")</f>
        <v/>
      </c>
      <c r="KR7" s="20" t="str">
        <f>IF(SUM(JW7:JX7,JZ7:KB7,KD7)-JY7-KC7&gt;0,SUM(JW7:JX7,JZ7:KB7,KD7)-JY7-KC7,"")</f>
        <v/>
      </c>
      <c r="KS7" s="20" t="str">
        <f>IF(SUM(KE7:KF7,KH7)-KG7&gt;0,SUM(KE7:KF7,KH7)-KG7,"")</f>
        <v/>
      </c>
      <c r="KT7" s="20" t="str">
        <f>IF(SUM(KJ7,KN7)&gt;0,SUM(KJ7,KN7),"")</f>
        <v/>
      </c>
      <c r="KU7" s="20" t="str">
        <f>IF(SUM(KI7:KJ7,KL7:KN7,KP7)-SUM(KK7,KO7)&gt;0,SUM(KI7:KJ7,KL7:KN7,KP7)-SUM(KK7,KO7),"")</f>
        <v/>
      </c>
      <c r="KV7" s="20" t="str">
        <f>IF(SUM(KR7,KU7)&gt;0,SUM(KR7,KU7),"")</f>
        <v/>
      </c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79" t="str">
        <f>IF(SUM(KX7,LB7)&gt;0,SUM(KX7,LB7),"")</f>
        <v/>
      </c>
      <c r="LR7" s="79" t="str">
        <f>IF(SUM(KW7:KX7,KZ7:LB7,LD7)-KY7-LC7&gt;0,SUM(KW7:KX7,KZ7:LB7,LD7)-KY7-LC7,"")</f>
        <v/>
      </c>
      <c r="LS7" s="79" t="str">
        <f>IF(SUM(LE7:LF7,LH7)-LG7&gt;0,SUM(LE7:LF7,LH7)-LG7,"")</f>
        <v/>
      </c>
      <c r="LT7" s="79" t="str">
        <f>IF(SUM(LJ7,LN7)&gt;0,SUM(LJ7,LN7),"")</f>
        <v/>
      </c>
      <c r="LU7" s="79" t="str">
        <f>IF(SUM(LI7:LJ7,LL7:LN7,LP7)-SUM(LK7,LO7)&gt;0,SUM(LI7:LJ7,LL7:LN7,LP7)-SUM(LK7,LO7),"")</f>
        <v/>
      </c>
      <c r="LV7" s="79" t="str">
        <f>IF(SUM(LR7,LU7)&gt;0,SUM(LR7,LU7),"")</f>
        <v/>
      </c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0" t="str">
        <f>IF(SUM(LX7,MB7)&gt;0,SUM(LX7,MB7),"")</f>
        <v/>
      </c>
      <c r="MR7" s="20" t="str">
        <f>IF(SUM(LW7:LX7,LZ7:MB7,MD7)-LY7-MC7&gt;0,SUM(LW7:LX7,LZ7:MB7,MD7)-LY7-MC7,"")</f>
        <v/>
      </c>
      <c r="MS7" s="20" t="str">
        <f>IF(SUM(ME7:MF7,MH7)-MG7&gt;0,SUM(ME7:MF7,MH7)-MG7,"")</f>
        <v/>
      </c>
      <c r="MT7" s="20" t="str">
        <f>IF(SUM(MJ7,MN7)&gt;0,SUM(MJ7,MN7),"")</f>
        <v/>
      </c>
      <c r="MU7" s="20" t="str">
        <f>IF(SUM(MI7:MJ7,ML7:MN7,MP7)-SUM(MK7,MO7)&gt;0,SUM(MI7:MJ7,ML7:MN7,MP7)-SUM(MK7,MO7),"")</f>
        <v/>
      </c>
      <c r="MV7" s="20" t="str">
        <f>IF(SUM(MR7,MU7)&gt;0,SUM(MR7,MU7),"")</f>
        <v/>
      </c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79" t="str">
        <f>IF(SUM(MX7,NB7)&gt;0,SUM(MX7,NB7),"")</f>
        <v/>
      </c>
      <c r="NR7" s="79" t="str">
        <f>IF(SUM(MW7:MX7,MZ7:NB7,ND7)-MY7-NC7&gt;0,SUM(MW7:MX7,MZ7:NB7,ND7)-MY7-NC7,"")</f>
        <v/>
      </c>
      <c r="NS7" s="79" t="str">
        <f>IF(SUM(NE7:NF7,NH7)-NG7&gt;0,SUM(NE7:NF7,NH7)-NG7,"")</f>
        <v/>
      </c>
      <c r="NT7" s="79" t="str">
        <f>IF(SUM(NJ7,NN7)&gt;0,SUM(NJ7,NN7),"")</f>
        <v/>
      </c>
      <c r="NU7" s="79" t="str">
        <f>IF(SUM(NI7:NJ7,NL7:NN7,NP7)-SUM(NK7,NO7)&gt;0,SUM(NI7:NJ7,NL7:NN7,NP7)-SUM(NK7,NO7),"")</f>
        <v/>
      </c>
      <c r="NV7" s="79" t="str">
        <f>IF(SUM(NR7,NU7)&gt;0,SUM(NR7,NU7),"")</f>
        <v/>
      </c>
      <c r="NW7" s="26"/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0" t="str">
        <f>IF(SUM(NX7,OB7)&gt;0,SUM(NX7,OB7),"")</f>
        <v/>
      </c>
      <c r="OR7" s="20" t="str">
        <f>IF(SUM(NW7:NX7,NZ7:OB7,OD7)-NY7-OC7&gt;0,SUM(NW7:NX7,NZ7:OB7,OD7)-NY7-OC7,"")</f>
        <v/>
      </c>
      <c r="OS7" s="20" t="str">
        <f>IF(SUM(OE7:OF7,OH7)-OG7&gt;0,SUM(OE7:OF7,OH7)-OG7,"")</f>
        <v/>
      </c>
      <c r="OT7" s="20" t="str">
        <f>IF(SUM(OJ7,ON7)&gt;0,SUM(OJ7,ON7),"")</f>
        <v/>
      </c>
      <c r="OU7" s="20" t="str">
        <f>IF(SUM(OI7:OJ7,OL7:ON7,OP7)-SUM(OK7,OO7)&gt;0,SUM(OI7:OJ7,OL7:ON7,OP7)-SUM(OK7,OO7),"")</f>
        <v/>
      </c>
      <c r="OV7" s="20" t="str">
        <f>IF(SUM(OR7,OU7)&gt;0,SUM(OR7,OU7),"")</f>
        <v/>
      </c>
      <c r="OW7" s="38">
        <f>IF($CN7="P",BT7,(BT7+AS7)/2)</f>
        <v>7.7</v>
      </c>
      <c r="OX7" s="38">
        <f>IF($CN7="P",BU7,(BU7+AT7)/2)</f>
        <v>2.5499999999999998</v>
      </c>
      <c r="OY7" s="38">
        <f>IF($CN7="P",BV7,(BV7+AU7)/2)</f>
        <v>0</v>
      </c>
      <c r="OZ7" s="38">
        <f>IF($CN7="P",BW7,(BW7+AV7)/2)</f>
        <v>0.15</v>
      </c>
      <c r="PA7" s="38">
        <f>IF($CN7="P",BX7,(BX7+AW7)/2)</f>
        <v>7.6</v>
      </c>
      <c r="PB7" s="38">
        <f>IF($CN7="P",BY7,(BY7+AX7)/2)</f>
        <v>2.5</v>
      </c>
      <c r="PC7" s="38">
        <f>IF($CN7="P",BZ7,(BZ7+AY7)/2)</f>
        <v>0</v>
      </c>
      <c r="PD7" s="38">
        <f>IF($CN7="P",CA7,(CA7+AZ7)/2)</f>
        <v>0.3</v>
      </c>
      <c r="PE7" s="38">
        <f>IF($CN7="P",CB7,(CB7+BA7)/2)</f>
        <v>0</v>
      </c>
      <c r="PF7" s="38">
        <f>IF($CN7="P",CC7,(CC7+BB7)/2)</f>
        <v>0</v>
      </c>
      <c r="PG7" s="38">
        <f>IF($CN7="P",CD7,(CD7+BC7)/2)</f>
        <v>0</v>
      </c>
      <c r="PH7" s="38">
        <f>IF($CN7="P",CE7,(CE7+BD7)/2)</f>
        <v>0</v>
      </c>
      <c r="PI7" s="38">
        <f>IF($CN7="P",CF7,(CF7+BE7)/2)</f>
        <v>7.85</v>
      </c>
      <c r="PJ7" s="38">
        <f>IF($CN7="P",CG7,(CG7+BF7)/2)</f>
        <v>2.1</v>
      </c>
      <c r="PK7" s="38">
        <f>IF($CN7="P",CH7,(CH7+BG7)/2)</f>
        <v>0.2</v>
      </c>
      <c r="PL7" s="38">
        <f>IF($CN7="P",CI7,(CI7+BH7)/2)</f>
        <v>0.15</v>
      </c>
      <c r="PM7" s="38">
        <f>IF($CN7="P",CJ7,(CJ7+BI7)/2)</f>
        <v>8.35</v>
      </c>
      <c r="PN7" s="38">
        <f>IF($CN7="P",CK7,(CK7+BJ7)/2)</f>
        <v>1.8</v>
      </c>
      <c r="PO7" s="38">
        <f>IF($CN7="P",CL7,(CL7+BK7)/2)</f>
        <v>0</v>
      </c>
      <c r="PP7" s="38">
        <f>IF($CN7="P",CM7,(CM7+BL7)/2)</f>
        <v>0</v>
      </c>
      <c r="PQ7" s="45" t="s">
        <v>46</v>
      </c>
      <c r="PR7" s="79">
        <f>IF(SUM(OX7,PB7)&gt;0,SUM(OX7,PB7),"")</f>
        <v>5.05</v>
      </c>
      <c r="PS7" s="79">
        <f>IF(SUM(OW7:OX7,OZ7:PB7,PD7)-OY7-PC7&gt;0,SUM(OW7:OX7,OZ7:PB7,PD7)-OY7-PC7,"")</f>
        <v>20.8</v>
      </c>
      <c r="PT7" s="79" t="str">
        <f>IF(SUM(PE7:PF7,PH7)-PG7&gt;0,SUM(PE7:PF7,PH7)-PG7,"")</f>
        <v/>
      </c>
      <c r="PU7" s="79">
        <f>IF(SUM(PJ7,PN7)&gt;0,SUM(PJ7,PN7),"")</f>
        <v>3.9000000000000004</v>
      </c>
      <c r="PV7" s="79">
        <f>IF(SUM(PI7:PJ7,PL7:PN7,PP7)-SUM(PK7,PO7)&gt;0,SUM(PI7:PJ7,PL7:PN7,PP7)-SUM(PK7,PO7),"")</f>
        <v>20.05</v>
      </c>
      <c r="PW7" s="79">
        <f>IF(SUM(PS7,PV7)&gt;0,SUM(PS7,PV7),"")</f>
        <v>40.85</v>
      </c>
    </row>
    <row r="8" spans="1:439" x14ac:dyDescent="0.2">
      <c r="A8" s="5" t="str">
        <f>IF(AND(F8="P",G8="P"),SUMPRODUCT((F$4:F$12="P")*(G$4:G$12="P")*(E$4:E$12&gt;E8))+1,IF(G8="P",SUMPRODUCT((F$4:F$12="")*(G$4:G$12="P")*(E$4:E$12&gt;E8))+1+SUMPRODUCT((F$4:F$12="P")*(G$4:G$12="P")),""))</f>
        <v/>
      </c>
      <c r="B8" s="78" t="s">
        <v>117</v>
      </c>
      <c r="C8" s="5" t="s">
        <v>4</v>
      </c>
      <c r="D8" s="5">
        <v>2004</v>
      </c>
      <c r="E8" s="15">
        <f>SUM(I8:O8)+SUM(I8:M8)*0.0000001+SUM(I8)*0.0000000000001</f>
        <v>79.20010792001402</v>
      </c>
      <c r="F8" s="3" t="str">
        <f>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P","")</f>
        <v/>
      </c>
      <c r="G8" s="3" t="str">
        <f>IF(OR(AND(AN8&gt;=AR$18,AN8&lt;&gt;"",AL8=""),AND(AQ8&gt;=AR$18,AQ8&lt;&gt;"",AL8=""),AND(BO8&gt;=BS$18,BO8&lt;&gt;"",BM8=""),AND(BR8&gt;=BS$18,BR8&lt;&gt;"",BM8=""),AND(CP8&gt;=CT$18,CP8&lt;&gt;"",CN8=""),AND(CS8&gt;=CT$18,CS8&lt;&gt;"",CN8=""),AND(DR8&gt;=DV$18,DR8&lt;&gt;""),AND(DU8&gt;=DV$18,DU8&lt;&gt;""),AND(ER8&gt;=EV$18,ER8&lt;&gt;""),AND(EU8&gt;=EV$18,EU8&lt;&gt;""),AND(FR8&gt;=FV$18,FR8&lt;&gt;""),AND(FU8&gt;=FV$18,FU8&lt;&gt;""),AND(GR8&gt;=GV$18,GR8&lt;&gt;""),AND(GU8&gt;=GV$18,GU8&lt;&gt;""),AND(HR8&gt;=HV$18,HR8&lt;&gt;""),AND(HU8&gt;=HV$18,HU8&lt;&gt;""),AND(IR8&gt;=IV$18,IR8&lt;&gt;""),AND(IU8&gt;=IV$18,IU8&lt;&gt;""),AND(JR8&gt;=JV$18,JR8&lt;&gt;""),AND(JU8&gt;=JV$18,JU8&lt;&gt;""),AND(KR8&gt;=KV$18,KR8&lt;&gt;""),AND(KU8&gt;=KV$18,KU8&lt;&gt;""),AND(LR8&gt;=LV$18,LR8&lt;&gt;""),AND(LU8&gt;=LV$18,LU8&lt;&gt;""),AND(MR8&gt;=MV$18,MR8&lt;&gt;""),AND(MU8&gt;=MV$18,MU8&lt;&gt;""),AND(NR8&gt;=NV$18,NR8&lt;&gt;""),AND(NU8&gt;=NV$18,NU8&lt;&gt;""),AND(OR8&gt;=OV$18,OR8&lt;&gt;""),AND(OU8&gt;=OV$18,OU8&lt;&gt;"")),"P","")</f>
        <v/>
      </c>
      <c r="H8" s="67" t="str">
        <f>IF(AND(G8="P",F8=""),"No DD",IF(OR(AND(AM8&gt;=AR$17,AN8&gt;=AR$21,AM8&lt;&gt;"",AL8=""),AND(AP8&gt;=AR$17,AQ8&gt;=AR$21,AP8&lt;&gt;"",AL8=""),AND(BN8&gt;=BS$17,BO8&gt;=BS$21,BN8&lt;&gt;"",BM8=""),AND(BQ8&gt;=BS$17,BR8&gt;=BS$21,BQ8&lt;&gt;"",BM8=""),AND(CO8&gt;=CT$17,CP8&gt;=CT$21,CO8&lt;&gt;"",CN8=""),AND(CR8&gt;=CT$17,CS8&gt;=CT$21,CR8&lt;&gt;""),AND(DQ8&gt;=DV$17,DR8&gt;=DV$21,DQ8&lt;&gt;""),AND(DT8&gt;=DV$17,DU8&gt;=DV$21,DT8&lt;&gt;""),AND(EQ8&gt;=EV$17,ER8&gt;=EV$21,EQ8&lt;&gt;""),AND(ET8&gt;=EV$17,EU8&gt;=EV$21,ET8&lt;&gt;""),AND(FQ8&gt;=FV$17,FR8&gt;=FV$21,FQ8&lt;&gt;""),AND(FT8&gt;=FV$17,FU8&gt;=FV$21,FT8&lt;&gt;""),AND(GQ8&gt;=GV$17,GR8&gt;=GV$21,GQ8&lt;&gt;""),AND(GT8&gt;=GV$17,GU8&gt;=GV$21,GT8&lt;&gt;""),AND(HQ8&gt;=HV$17,HR8&gt;=HV$21,HQ8&lt;&gt;""),AND(HT8&gt;=HV$17,HU8&gt;=HV$21,HT8&lt;&gt;""),AND(IQ8&gt;=IV$17,IR8&gt;=IV$21,IQ8&lt;&gt;""),AND(IT8&gt;=IV$17,IU8&gt;=IV$21,IT8&lt;&gt;""),AND(JQ8&gt;=JV$17,JR8&gt;=JV$21,JQ8&lt;&gt;""),AND(JT8&gt;=JV$17,JU8&gt;=JV$21,JT8&lt;&gt;""),AND(KQ8&gt;=KV$17,KR8&gt;=KV$21,KQ8&lt;&gt;""),AND(KT8&gt;=KV$17,KU8&gt;=KV$21,KT8&lt;&gt;""),AND(LQ8&gt;=LV$17,LR8&gt;=LV$21,LQ8&lt;&gt;""),AND(LT8&gt;=LV$17,LU8&gt;=LV$21,LT8&lt;&gt;""),AND(MQ8&gt;=MV$17,MR8&gt;=MV$21,MQ8&lt;&gt;""),AND(MT8&gt;=MV$17,MU8&gt;=MV$21,MT8&lt;&gt;""),AND(NQ8&gt;=NV$17,NR8&gt;=NV$21,NQ8&lt;&gt;""),AND(NT8&gt;=NV$17,NU8&gt;=NV$21,NT8&lt;&gt;""),AND(OQ8&gt;=OV$17,OR8&gt;=OV$21,OQ8&lt;&gt;""),AND(OT8&gt;=OV$17,OU8&gt;=OV$21,OT8&lt;&gt;"")),"Merit",IF(OR(AND(AM8&gt;=AR$16,AN8&gt;=AR$20,AM8&lt;&gt;"",AL8=""),AND(AP8&gt;=AR$16,AQ8&gt;=AR$20,AP8&lt;&gt;"",AL8=""),AND(BN8&gt;=BS$16,BO8&gt;=BS$20,BN8&lt;&gt;"",BM8=""),AND(BQ8&gt;=BS$16,BR8&gt;=BS$20,BQ8&lt;&gt;"",BM8=""),AND(CO8&gt;=CT$16,CP8&gt;=CT$20,CO8&lt;&gt;"",CN8=""),AND(CR8&gt;=CT$16,CS8&gt;=CT$20,CR8&lt;&gt;""),AND(DQ8&gt;=DV$16,DR8&gt;=DV$20,DQ8&lt;&gt;""),AND(DT8&gt;=DV$16,DU8&gt;=DV$20,DT8&lt;&gt;""),AND(EQ8&gt;=EV$16,ER8&gt;=EV$20,EQ8&lt;&gt;""),AND(ET8&gt;=EV$16,EU8&gt;=EV$20,ET8&lt;&gt;""),AND(FQ8&gt;=FV$16,FR8&gt;=FV$20,FQ8&lt;&gt;""),AND(FT8&gt;=FV$16,FU8&gt;=FV$20,FT8&lt;&gt;""),AND(GQ8&gt;=GV$16,GR8&gt;=GV$20,GQ8&lt;&gt;""),AND(GT8&gt;=GV$16,GU8&gt;=GV$20,GT8&lt;&gt;""),AND(HQ8&gt;=HV$16,HR8&gt;=HV$20,HQ8&lt;&gt;""),AND(HT8&gt;=HV$16,HU8&gt;=HV$20,HT8&lt;&gt;""),AND(IQ8&gt;=IV$16,IR8&gt;=IV$20,IQ8&lt;&gt;""),AND(IT8&gt;=IV$16,IU8&gt;=IV$20,IT8&lt;&gt;""),AND(JQ8&gt;=JV$16,JR8&gt;=JV$20,JQ8&lt;&gt;""),AND(JT8&gt;=JV$16,JU8&gt;=JV$20,JT8&lt;&gt;""),AND(KQ8&gt;=KV$16,KR8&gt;=KV$20,KQ8&lt;&gt;""),AND(KT8&gt;=KV$16,KU8&gt;=KV$20,KT8&lt;&gt;""),AND(LQ8&gt;=LV$16,LR8&gt;=LV$20,LQ8&lt;&gt;""),AND(LT8&gt;=LV$16,LU8&gt;=LV$20,LT8&lt;&gt;""),AND(MQ8&gt;=MV$16,MR8&gt;=MV$20,MQ8&lt;&gt;""),AND(MT8&gt;=MV$16,MU8&gt;=MV$20,MT8&lt;&gt;""),AND(NQ8&gt;=NV$16,NR8&gt;=NV$20,NQ8&lt;&gt;""),AND(NT8&gt;=NV$16,NU8&gt;=NV$20,NT8&lt;&gt;""),AND(OQ8&gt;=OV$16,OR8&gt;=OV$20,OQ8&lt;&gt;""),AND(OT8&gt;=OV$16,OU8&gt;=OV$20,OT8&lt;&gt;"")),"Excellence",IF(F8="P","National Team",""))))</f>
        <v/>
      </c>
      <c r="I8" s="14">
        <f>IF(COUNT(AN8,BO8,CP8)&gt;0,LARGE((AN8,BO8,CP8),1),0)</f>
        <v>40.199999999999996</v>
      </c>
      <c r="J8" s="14" t="str">
        <f>IF(I8=0,"",IF(I8=CP8,$BT$1,IF(I8=BO8,$AS$1,IF(I8=AN8,$R$1,""))))</f>
        <v>2022 Elite Canada</v>
      </c>
      <c r="K8" s="14">
        <f>IF(COUNT(AN8,BO8,CP8)&gt;1,LARGE((AN8,BO8,CP8),2),0)</f>
        <v>1E-4</v>
      </c>
      <c r="L8" s="14" t="str">
        <f>IF(K8=0,"",IF(K8=CP8,$BT$1,IF(K8=BO8,$AS$1,IF(K8=AN8,$R$1,""))))</f>
        <v>2021 Canadian Championships</v>
      </c>
      <c r="M8" s="14">
        <f>IF(MAX(AQ8,BR8,CS8)&gt;0,MAX(AQ8,BR8,CS8),0)</f>
        <v>38.999999999999993</v>
      </c>
      <c r="N8" s="14" t="str">
        <f>IF(M8=0,"",IF(M8=CS8,$BT$1,IF(M8=BR8,$AS$1,IF(M8=AQ8,$R$1,""))))</f>
        <v>2022 Elite Canada</v>
      </c>
      <c r="O8" s="14" t="str">
        <f>IF(MAX(CU8:CV8)&gt;0,MAX(CU8:CV8),"")</f>
        <v/>
      </c>
      <c r="P8" s="20" t="str">
        <f>IF(O8="","",IF(O8=CU8,"("&amp;CU$2&amp;")",IF(O8=CV8,"("&amp;CV$2&amp;")")))</f>
        <v/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7"/>
      <c r="S8" s="27">
        <v>1E-4</v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45"/>
      <c r="AM8" s="79">
        <f>IF(SUM(S8,W8)&gt;0,SUM(S8,W8),"")</f>
        <v>1E-4</v>
      </c>
      <c r="AN8" s="79">
        <f>IF(SUM(R8:S8,U8:W8,Y8)-T8-X8&gt;0,SUM(R8:S8,U8:W8,Y8)-T8-X8,"")</f>
        <v>1E-4</v>
      </c>
      <c r="AO8" s="79" t="str">
        <f>IF(SUM(Z8:AA8,AC8)-AB8&gt;0,SUM(Z8:AA8,AC8)-AB8,"")</f>
        <v/>
      </c>
      <c r="AP8" s="79" t="str">
        <f>IF(SUM(AE8,AI8)&gt;0,SUM(AE8,AI8),"")</f>
        <v/>
      </c>
      <c r="AQ8" s="79" t="str">
        <f>IF(SUM(AD8:AE8,AG8:AI8,AK8)-SUM(AF8,AJ8)&gt;0,SUM(AD8:AE8,AG8:AI8,AK8)-SUM(AF8,AJ8),"")</f>
        <v/>
      </c>
      <c r="AR8" s="79">
        <f>IF(SUM(AN8,AQ8)&gt;0,SUM(AN8,AQ8),"")</f>
        <v>1E-4</v>
      </c>
      <c r="AS8" s="26"/>
      <c r="AT8" s="26">
        <v>1E-4</v>
      </c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46"/>
      <c r="BN8" s="20">
        <f>IF(SUM(AT8,AX8)&gt;0,SUM(AT8,AX8),"")</f>
        <v>1E-4</v>
      </c>
      <c r="BO8" s="20">
        <f>IF(SUM(AS8:AT8,AV8:AX8,AZ8)-AU8-AY8&gt;0,SUM(AS8:AT8,AV8:AX8,AZ8)-AU8-AY8,"")</f>
        <v>1E-4</v>
      </c>
      <c r="BP8" s="20" t="str">
        <f>IF(SUM(BA8:BB8,BD8)-BC8&gt;0,SUM(BA8:BB8,BD8)-BC8,"")</f>
        <v/>
      </c>
      <c r="BQ8" s="20" t="str">
        <f>IF(SUM(BF8,BJ8)&gt;0,SUM(BF8,BJ8),"")</f>
        <v/>
      </c>
      <c r="BR8" s="20" t="str">
        <f>IF(SUM(BE8:BF8,BH8:BJ8,BL8)-SUM(BG8,BK8)&gt;0,SUM(BE8:BF8,BH8:BJ8,BL8)-SUM(BG8,BK8),"")</f>
        <v/>
      </c>
      <c r="BS8" s="20">
        <f>IF(SUM(BO8,BR8)&gt;0,SUM(BO8,BR8),"")</f>
        <v>1E-4</v>
      </c>
      <c r="BT8" s="27">
        <v>15.9</v>
      </c>
      <c r="BU8" s="27">
        <v>4.5999999999999996</v>
      </c>
      <c r="BV8" s="27">
        <v>0</v>
      </c>
      <c r="BW8" s="27">
        <v>0.3</v>
      </c>
      <c r="BX8" s="27">
        <v>15</v>
      </c>
      <c r="BY8" s="27">
        <v>4.0999999999999996</v>
      </c>
      <c r="BZ8" s="27">
        <v>0</v>
      </c>
      <c r="CA8" s="27">
        <v>0.3</v>
      </c>
      <c r="CB8" s="27"/>
      <c r="CC8" s="27"/>
      <c r="CD8" s="27"/>
      <c r="CE8" s="27"/>
      <c r="CF8" s="27">
        <v>15.5</v>
      </c>
      <c r="CG8" s="27">
        <v>3.2</v>
      </c>
      <c r="CH8" s="27">
        <v>0.2</v>
      </c>
      <c r="CI8" s="27">
        <v>0</v>
      </c>
      <c r="CJ8" s="27">
        <v>16.100000000000001</v>
      </c>
      <c r="CK8" s="27">
        <v>4.0999999999999996</v>
      </c>
      <c r="CL8" s="27">
        <v>0</v>
      </c>
      <c r="CM8" s="27">
        <v>0.3</v>
      </c>
      <c r="CN8" s="45"/>
      <c r="CO8" s="79">
        <f>IF(SUM(BU8,BY8)&gt;0,SUM(BU8,BY8),"")</f>
        <v>8.6999999999999993</v>
      </c>
      <c r="CP8" s="79">
        <f>IF(SUM(BT8:BU8,BW8:BY8,CA8)-BV8-BZ8&gt;0,SUM(BT8:BU8,BW8:BY8,CA8)-BV8-BZ8,"")</f>
        <v>40.199999999999996</v>
      </c>
      <c r="CQ8" s="79" t="str">
        <f>IF(SUM(CB8:CC8,CE8)-CD8&gt;0,SUM(CB8:CC8,CE8)-CD8,"")</f>
        <v/>
      </c>
      <c r="CR8" s="79">
        <f>IF(SUM(CG8,CK8)&gt;0,SUM(CG8,CK8),"")</f>
        <v>7.3</v>
      </c>
      <c r="CS8" s="79">
        <f>IF(SUM(CF8:CG8,CI8:CK8,CM8)-SUM(CH8,CL8)&gt;0,SUM(CF8:CG8,CI8:CK8,CM8)-SUM(CH8,CL8),"")</f>
        <v>38.999999999999993</v>
      </c>
      <c r="CT8" s="79">
        <f>IF(SUM(CP8,CS8)&gt;0,SUM(CP8,CS8),"")</f>
        <v>79.199999999999989</v>
      </c>
      <c r="CU8" s="80" t="str">
        <f>IF(K8&gt;=0.001,IF(MAX(DR8,ER8,FR8,GR8,HR8,IR8,JR8,KR8,LR8,MR8,NR8,OR8)-IF(K8="",0,K8)&gt;0.001,MAX(DR8,ER8,FR8,GR8,HR8,IR8,JR8,KR8,LR8,MR8,NR8,OR8)-IF(K8="",0,K8),""),"")</f>
        <v/>
      </c>
      <c r="CV8" s="80" t="str">
        <f>IF(M8&gt;=0.001,IF(MAX(DU8,EU8,FU8,GU8,HU8,IU8,JU8,KU8,LU8,MU8,NU8,OU8)-IF(M8="",0,M8)&gt;0.001,MAX(DU8,EU8,FU8,GU8,HU8,IU8,JU8,KU8,LU8,MU8,NU8,OU8)-IF(M8="",0,M8),""),"")</f>
        <v/>
      </c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79" t="str">
        <f>IF(SUM(CX8,DB8)&gt;0,SUM(CX8,DB8),"")</f>
        <v/>
      </c>
      <c r="DR8" s="79" t="str">
        <f>IF(SUM(CW8:CX8,CZ8:DB8,DD8)-CY8-DC8&gt;0,SUM(CW8:CX8,CZ8:DB8,DD8)-CY8-DC8,"")</f>
        <v/>
      </c>
      <c r="DS8" s="79" t="str">
        <f>IF(SUM(DE8:DF8,DH8)-DG8&gt;0,SUM(DE8:DF8,DH8)-DG8,"")</f>
        <v/>
      </c>
      <c r="DT8" s="79" t="str">
        <f>IF(SUM(DJ8,DN8)&gt;0,SUM(DJ8,DN8),"")</f>
        <v/>
      </c>
      <c r="DU8" s="79" t="str">
        <f>IF(SUM(DI8:DJ8,DL8:DN8,DP8)-SUM(DK8,DO8)&gt;0,SUM(DI8:DJ8,DL8:DN8,DP8)-SUM(DK8,DO8),"")</f>
        <v/>
      </c>
      <c r="DV8" s="79" t="str">
        <f>IF(SUM(DR8,DU8)&gt;0,SUM(DR8,DU8),"")</f>
        <v/>
      </c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0" t="str">
        <f>IF(SUM(DX8,EB8)&gt;0,SUM(DX8,EB8),"")</f>
        <v/>
      </c>
      <c r="ER8" s="20" t="str">
        <f>IF(SUM(DW8:DX8,DZ8:EB8,ED8)-DY8-EC8&gt;0,SUM(DW8:DX8,DZ8:EB8,ED8)-DY8-EC8,"")</f>
        <v/>
      </c>
      <c r="ES8" s="20" t="str">
        <f>IF(SUM(EE8:EF8,EH8)-EG8&gt;0,SUM(EE8:EF8,EH8)-EG8,"")</f>
        <v/>
      </c>
      <c r="ET8" s="20" t="str">
        <f>IF(SUM(EJ8,EN8)&gt;0,SUM(EJ8,EN8),"")</f>
        <v/>
      </c>
      <c r="EU8" s="20" t="str">
        <f>IF(SUM(EI8:EJ8,EL8:EN8,EP8)-SUM(EK8,EO8)&gt;0,SUM(EI8:EJ8,EL8:EN8,EP8)-SUM(EK8,EO8),"")</f>
        <v/>
      </c>
      <c r="EV8" s="20" t="str">
        <f>IF(SUM(ER8,EU8)&gt;0,SUM(ER8,EU8),"")</f>
        <v/>
      </c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79" t="str">
        <f>IF(SUM(EX8,FB8)&gt;0,SUM(EX8,FB8),"")</f>
        <v/>
      </c>
      <c r="FR8" s="79" t="str">
        <f>IF(SUM(EW8:EX8,EZ8:FB8,FD8)-EY8-FC8&gt;0,SUM(EW8:EX8,EZ8:FB8,FD8)-EY8-FC8,"")</f>
        <v/>
      </c>
      <c r="FS8" s="79" t="str">
        <f>IF(SUM(FE8:FF8,FH8)-FG8&gt;0,SUM(FE8:FF8,FH8)-FG8,"")</f>
        <v/>
      </c>
      <c r="FT8" s="79" t="str">
        <f>IF(SUM(FJ8,FN8)&gt;0,SUM(FJ8,FN8),"")</f>
        <v/>
      </c>
      <c r="FU8" s="79" t="str">
        <f>IF(SUM(FI8:FJ8,FL8:FN8,FP8)-SUM(FK8,FO8)&gt;0,SUM(FI8:FJ8,FL8:FN8,FP8)-SUM(FK8,FO8),"")</f>
        <v/>
      </c>
      <c r="FV8" s="79" t="str">
        <f>IF(SUM(FR8,FU8)&gt;0,SUM(FR8,FU8),"")</f>
        <v/>
      </c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0" t="str">
        <f>IF(SUM(FX8,GB8)&gt;0,SUM(FX8,GB8),"")</f>
        <v/>
      </c>
      <c r="GR8" s="20" t="str">
        <f>IF(SUM(FW8:FX8,FZ8:GB8,GD8)-FY8-GC8&gt;0,SUM(FW8:FX8,FZ8:GB8,GD8)-FY8-GC8,"")</f>
        <v/>
      </c>
      <c r="GS8" s="20" t="str">
        <f>IF(SUM(GE8:GF8,GH8)-GG8&gt;0,SUM(GE8:GF8,GH8)-GG8,"")</f>
        <v/>
      </c>
      <c r="GT8" s="20" t="str">
        <f>IF(SUM(GJ8,GN8)&gt;0,SUM(GJ8,GN8),"")</f>
        <v/>
      </c>
      <c r="GU8" s="20" t="str">
        <f>IF(SUM(GI8:GJ8,GL8:GN8,GP8)-SUM(GK8,GO8)&gt;0,SUM(GI8:GJ8,GL8:GN8,GP8)-SUM(GK8,GO8),"")</f>
        <v/>
      </c>
      <c r="GV8" s="20" t="str">
        <f>IF(SUM(GR8,GU8)&gt;0,SUM(GR8,GU8),"")</f>
        <v/>
      </c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79" t="str">
        <f>IF(SUM(GX8,HB8)&gt;0,SUM(GX8,HB8),"")</f>
        <v/>
      </c>
      <c r="HR8" s="79" t="str">
        <f>IF(SUM(GW8:GX8,GZ8:HB8,HD8)-GY8-HC8&gt;0,SUM(GW8:GX8,GZ8:HB8,HD8)-GY8-HC8,"")</f>
        <v/>
      </c>
      <c r="HS8" s="79" t="str">
        <f>IF(SUM(HE8:HF8,HH8)-HG8&gt;0,SUM(HE8:HF8,HH8)-HG8,"")</f>
        <v/>
      </c>
      <c r="HT8" s="79" t="str">
        <f>IF(SUM(HJ8,HN8)&gt;0,SUM(HJ8,HN8),"")</f>
        <v/>
      </c>
      <c r="HU8" s="79" t="str">
        <f>IF(SUM(HI8:HJ8,HL8:HN8,HP8)-SUM(HK8,HO8)&gt;0,SUM(HI8:HJ8,HL8:HN8,HP8)-SUM(HK8,HO8),"")</f>
        <v/>
      </c>
      <c r="HV8" s="79" t="str">
        <f>IF(SUM(HR8,HU8)&gt;0,SUM(HR8,HU8),"")</f>
        <v/>
      </c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0" t="str">
        <f>IF(SUM(HX8,IB8)&gt;0,SUM(HX8,IB8),"")</f>
        <v/>
      </c>
      <c r="IR8" s="20" t="str">
        <f>IF(SUM(HW8:HX8,HZ8:IB8,ID8)-HY8-IC8&gt;0,SUM(HW8:HX8,HZ8:IB8,ID8)-HY8-IC8,"")</f>
        <v/>
      </c>
      <c r="IS8" s="20" t="str">
        <f>IF(SUM(IE8:IF8,IH8)-IG8&gt;0,SUM(IE8:IF8,IH8)-IG8,"")</f>
        <v/>
      </c>
      <c r="IT8" s="20" t="str">
        <f>IF(SUM(IJ8,IN8)&gt;0,SUM(IJ8,IN8),"")</f>
        <v/>
      </c>
      <c r="IU8" s="20" t="str">
        <f>IF(SUM(II8:IJ8,IL8:IN8,IP8)-SUM(IK8,IO8)&gt;0,SUM(II8:IJ8,IL8:IN8,IP8)-SUM(IK8,IO8),"")</f>
        <v/>
      </c>
      <c r="IV8" s="20" t="str">
        <f>IF(SUM(IR8,IU8)&gt;0,SUM(IR8,IU8),"")</f>
        <v/>
      </c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79" t="str">
        <f>IF(SUM(IX8,JB8)&gt;0,SUM(IX8,JB8),"")</f>
        <v/>
      </c>
      <c r="JR8" s="79" t="str">
        <f>IF(SUM(IW8:IX8,IZ8:JB8,JD8)-IY8-JC8&gt;0,SUM(IW8:IX8,IZ8:JB8,JD8)-IY8-JC8,"")</f>
        <v/>
      </c>
      <c r="JS8" s="79" t="str">
        <f>IF(SUM(JE8:JF8,JH8)-JG8&gt;0,SUM(JE8:JF8,JH8)-JG8,"")</f>
        <v/>
      </c>
      <c r="JT8" s="79" t="str">
        <f>IF(SUM(JJ8,JN8)&gt;0,SUM(JJ8,JN8),"")</f>
        <v/>
      </c>
      <c r="JU8" s="79" t="str">
        <f>IF(SUM(JI8:JJ8,JL8:JN8,JP8)-SUM(JK8,JO8)&gt;0,SUM(JI8:JJ8,JL8:JN8,JP8)-SUM(JK8,JO8),"")</f>
        <v/>
      </c>
      <c r="JV8" s="79" t="str">
        <f>IF(SUM(JR8,JU8)&gt;0,SUM(JR8,JU8),"")</f>
        <v/>
      </c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0" t="str">
        <f>IF(SUM(JX8,KB8)&gt;0,SUM(JX8,KB8),"")</f>
        <v/>
      </c>
      <c r="KR8" s="20" t="str">
        <f>IF(SUM(JW8:JX8,JZ8:KB8,KD8)-JY8-KC8&gt;0,SUM(JW8:JX8,JZ8:KB8,KD8)-JY8-KC8,"")</f>
        <v/>
      </c>
      <c r="KS8" s="20" t="str">
        <f>IF(SUM(KE8:KF8,KH8)-KG8&gt;0,SUM(KE8:KF8,KH8)-KG8,"")</f>
        <v/>
      </c>
      <c r="KT8" s="20" t="str">
        <f>IF(SUM(KJ8,KN8)&gt;0,SUM(KJ8,KN8),"")</f>
        <v/>
      </c>
      <c r="KU8" s="20" t="str">
        <f>IF(SUM(KI8:KJ8,KL8:KN8,KP8)-SUM(KK8,KO8)&gt;0,SUM(KI8:KJ8,KL8:KN8,KP8)-SUM(KK8,KO8),"")</f>
        <v/>
      </c>
      <c r="KV8" s="20" t="str">
        <f>IF(SUM(KR8,KU8)&gt;0,SUM(KR8,KU8),"")</f>
        <v/>
      </c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79" t="str">
        <f>IF(SUM(KX8,LB8)&gt;0,SUM(KX8,LB8),"")</f>
        <v/>
      </c>
      <c r="LR8" s="79" t="str">
        <f>IF(SUM(KW8:KX8,KZ8:LB8,LD8)-KY8-LC8&gt;0,SUM(KW8:KX8,KZ8:LB8,LD8)-KY8-LC8,"")</f>
        <v/>
      </c>
      <c r="LS8" s="79" t="str">
        <f>IF(SUM(LE8:LF8,LH8)-LG8&gt;0,SUM(LE8:LF8,LH8)-LG8,"")</f>
        <v/>
      </c>
      <c r="LT8" s="79" t="str">
        <f>IF(SUM(LJ8,LN8)&gt;0,SUM(LJ8,LN8),"")</f>
        <v/>
      </c>
      <c r="LU8" s="79" t="str">
        <f>IF(SUM(LI8:LJ8,LL8:LN8,LP8)-SUM(LK8,LO8)&gt;0,SUM(LI8:LJ8,LL8:LN8,LP8)-SUM(LK8,LO8),"")</f>
        <v/>
      </c>
      <c r="LV8" s="79" t="str">
        <f>IF(SUM(LR8,LU8)&gt;0,SUM(LR8,LU8),"")</f>
        <v/>
      </c>
      <c r="LW8" s="26"/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0" t="str">
        <f>IF(SUM(LX8,MB8)&gt;0,SUM(LX8,MB8),"")</f>
        <v/>
      </c>
      <c r="MR8" s="20" t="str">
        <f>IF(SUM(LW8:LX8,LZ8:MB8,MD8)-LY8-MC8&gt;0,SUM(LW8:LX8,LZ8:MB8,MD8)-LY8-MC8,"")</f>
        <v/>
      </c>
      <c r="MS8" s="20" t="str">
        <f>IF(SUM(ME8:MF8,MH8)-MG8&gt;0,SUM(ME8:MF8,MH8)-MG8,"")</f>
        <v/>
      </c>
      <c r="MT8" s="20" t="str">
        <f>IF(SUM(MJ8,MN8)&gt;0,SUM(MJ8,MN8),"")</f>
        <v/>
      </c>
      <c r="MU8" s="20" t="str">
        <f>IF(SUM(MI8:MJ8,ML8:MN8,MP8)-SUM(MK8,MO8)&gt;0,SUM(MI8:MJ8,ML8:MN8,MP8)-SUM(MK8,MO8),"")</f>
        <v/>
      </c>
      <c r="MV8" s="20" t="str">
        <f>IF(SUM(MR8,MU8)&gt;0,SUM(MR8,MU8),"")</f>
        <v/>
      </c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79" t="str">
        <f>IF(SUM(MX8,NB8)&gt;0,SUM(MX8,NB8),"")</f>
        <v/>
      </c>
      <c r="NR8" s="79" t="str">
        <f>IF(SUM(MW8:MX8,MZ8:NB8,ND8)-MY8-NC8&gt;0,SUM(MW8:MX8,MZ8:NB8,ND8)-MY8-NC8,"")</f>
        <v/>
      </c>
      <c r="NS8" s="79" t="str">
        <f>IF(SUM(NE8:NF8,NH8)-NG8&gt;0,SUM(NE8:NF8,NH8)-NG8,"")</f>
        <v/>
      </c>
      <c r="NT8" s="79" t="str">
        <f>IF(SUM(NJ8,NN8)&gt;0,SUM(NJ8,NN8),"")</f>
        <v/>
      </c>
      <c r="NU8" s="79" t="str">
        <f>IF(SUM(NI8:NJ8,NL8:NN8,NP8)-SUM(NK8,NO8)&gt;0,SUM(NI8:NJ8,NL8:NN8,NP8)-SUM(NK8,NO8),"")</f>
        <v/>
      </c>
      <c r="NV8" s="79" t="str">
        <f>IF(SUM(NR8,NU8)&gt;0,SUM(NR8,NU8),"")</f>
        <v/>
      </c>
      <c r="NW8" s="26"/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0" t="str">
        <f>IF(SUM(NX8,OB8)&gt;0,SUM(NX8,OB8),"")</f>
        <v/>
      </c>
      <c r="OR8" s="20" t="str">
        <f>IF(SUM(NW8:NX8,NZ8:OB8,OD8)-NY8-OC8&gt;0,SUM(NW8:NX8,NZ8:OB8,OD8)-NY8-OC8,"")</f>
        <v/>
      </c>
      <c r="OS8" s="20" t="str">
        <f>IF(SUM(OE8:OF8,OH8)-OG8&gt;0,SUM(OE8:OF8,OH8)-OG8,"")</f>
        <v/>
      </c>
      <c r="OT8" s="20" t="str">
        <f>IF(SUM(OJ8,ON8)&gt;0,SUM(OJ8,ON8),"")</f>
        <v/>
      </c>
      <c r="OU8" s="20" t="str">
        <f>IF(SUM(OI8:OJ8,OL8:ON8,OP8)-SUM(OK8,OO8)&gt;0,SUM(OI8:OJ8,OL8:ON8,OP8)-SUM(OK8,OO8),"")</f>
        <v/>
      </c>
      <c r="OV8" s="20" t="str">
        <f>IF(SUM(OR8,OU8)&gt;0,SUM(OR8,OU8),"")</f>
        <v/>
      </c>
      <c r="OW8" s="38">
        <f>IF($CN8="P",BT8,(BT8+AS8)/2)</f>
        <v>7.95</v>
      </c>
      <c r="OX8" s="38">
        <f>IF($CN8="P",BU8,(BU8+AT8)/2)</f>
        <v>2.3000499999999997</v>
      </c>
      <c r="OY8" s="38">
        <f>IF($CN8="P",BV8,(BV8+AU8)/2)</f>
        <v>0</v>
      </c>
      <c r="OZ8" s="38">
        <f>IF($CN8="P",BW8,(BW8+AV8)/2)</f>
        <v>0.15</v>
      </c>
      <c r="PA8" s="38">
        <f>IF($CN8="P",BX8,(BX8+AW8)/2)</f>
        <v>7.5</v>
      </c>
      <c r="PB8" s="38">
        <f>IF($CN8="P",BY8,(BY8+AX8)/2)</f>
        <v>2.0499999999999998</v>
      </c>
      <c r="PC8" s="38">
        <f>IF($CN8="P",BZ8,(BZ8+AY8)/2)</f>
        <v>0</v>
      </c>
      <c r="PD8" s="38">
        <f>IF($CN8="P",CA8,(CA8+AZ8)/2)</f>
        <v>0.15</v>
      </c>
      <c r="PE8" s="38">
        <f>IF($CN8="P",CB8,(CB8+BA8)/2)</f>
        <v>0</v>
      </c>
      <c r="PF8" s="38">
        <f>IF($CN8="P",CC8,(CC8+BB8)/2)</f>
        <v>0</v>
      </c>
      <c r="PG8" s="38">
        <f>IF($CN8="P",CD8,(CD8+BC8)/2)</f>
        <v>0</v>
      </c>
      <c r="PH8" s="38">
        <f>IF($CN8="P",CE8,(CE8+BD8)/2)</f>
        <v>0</v>
      </c>
      <c r="PI8" s="38">
        <f>IF($CN8="P",CF8,(CF8+BE8)/2)</f>
        <v>7.75</v>
      </c>
      <c r="PJ8" s="38">
        <f>IF($CN8="P",CG8,(CG8+BF8)/2)</f>
        <v>1.6</v>
      </c>
      <c r="PK8" s="38">
        <f>IF($CN8="P",CH8,(CH8+BG8)/2)</f>
        <v>0.1</v>
      </c>
      <c r="PL8" s="38">
        <f>IF($CN8="P",CI8,(CI8+BH8)/2)</f>
        <v>0</v>
      </c>
      <c r="PM8" s="38">
        <f>IF($CN8="P",CJ8,(CJ8+BI8)/2)</f>
        <v>8.0500000000000007</v>
      </c>
      <c r="PN8" s="38">
        <f>IF($CN8="P",CK8,(CK8+BJ8)/2)</f>
        <v>2.0499999999999998</v>
      </c>
      <c r="PO8" s="38">
        <f>IF($CN8="P",CL8,(CL8+BK8)/2)</f>
        <v>0</v>
      </c>
      <c r="PP8" s="38">
        <f>IF($CN8="P",CM8,(CM8+BL8)/2)</f>
        <v>0.15</v>
      </c>
      <c r="PQ8" s="45" t="s">
        <v>46</v>
      </c>
      <c r="PR8" s="79">
        <f>IF(SUM(OX8,PB8)&gt;0,SUM(OX8,PB8),"")</f>
        <v>4.3500499999999995</v>
      </c>
      <c r="PS8" s="79">
        <f>IF(SUM(OW8:OX8,OZ8:PB8,PD8)-OY8-PC8&gt;0,SUM(OW8:OX8,OZ8:PB8,PD8)-OY8-PC8,"")</f>
        <v>20.10005</v>
      </c>
      <c r="PT8" s="79" t="str">
        <f>IF(SUM(PE8:PF8,PH8)-PG8&gt;0,SUM(PE8:PF8,PH8)-PG8,"")</f>
        <v/>
      </c>
      <c r="PU8" s="79">
        <f>IF(SUM(PJ8,PN8)&gt;0,SUM(PJ8,PN8),"")</f>
        <v>3.65</v>
      </c>
      <c r="PV8" s="79">
        <f>IF(SUM(PI8:PJ8,PL8:PN8,PP8)-SUM(PK8,PO8)&gt;0,SUM(PI8:PJ8,PL8:PN8,PP8)-SUM(PK8,PO8),"")</f>
        <v>19.499999999999996</v>
      </c>
      <c r="PW8" s="79">
        <f>IF(SUM(PS8,PV8)&gt;0,SUM(PS8,PV8),"")</f>
        <v>39.600049999999996</v>
      </c>
    </row>
    <row r="9" spans="1:439" x14ac:dyDescent="0.2">
      <c r="A9" s="5" t="str">
        <f>IF(AND(F9="P",G9="P"),SUMPRODUCT((F$4:F$12="P")*(G$4:G$12="P")*(E$4:E$12&gt;E9))+1,IF(G9="P",SUMPRODUCT((F$4:F$12="")*(G$4:G$12="P")*(E$4:E$12&gt;E9))+1+SUMPRODUCT((F$4:F$12="P")*(G$4:G$12="P")),""))</f>
        <v/>
      </c>
      <c r="B9" s="78" t="s">
        <v>134</v>
      </c>
      <c r="C9" s="5" t="s">
        <v>4</v>
      </c>
      <c r="D9" s="5">
        <v>2005</v>
      </c>
      <c r="E9" s="15">
        <f>SUM(I9:O9)+SUM(I9:M9)*0.0000001+SUM(I9)*0.0000000000001</f>
        <v>76.200007620003859</v>
      </c>
      <c r="F9" s="3" t="str">
        <f>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P","")</f>
        <v/>
      </c>
      <c r="G9" s="3" t="str">
        <f>IF(OR(AND(AN9&gt;=AR$18,AN9&lt;&gt;"",AL9=""),AND(AQ9&gt;=AR$18,AQ9&lt;&gt;"",AL9=""),AND(BO9&gt;=BS$18,BO9&lt;&gt;"",BM9=""),AND(BR9&gt;=BS$18,BR9&lt;&gt;"",BM9=""),AND(CP9&gt;=CT$18,CP9&lt;&gt;"",CN9=""),AND(CS9&gt;=CT$18,CS9&lt;&gt;"",CN9=""),AND(DR9&gt;=DV$18,DR9&lt;&gt;""),AND(DU9&gt;=DV$18,DU9&lt;&gt;""),AND(ER9&gt;=EV$18,ER9&lt;&gt;""),AND(EU9&gt;=EV$18,EU9&lt;&gt;""),AND(FR9&gt;=FV$18,FR9&lt;&gt;""),AND(FU9&gt;=FV$18,FU9&lt;&gt;""),AND(GR9&gt;=GV$18,GR9&lt;&gt;""),AND(GU9&gt;=GV$18,GU9&lt;&gt;""),AND(HR9&gt;=HV$18,HR9&lt;&gt;""),AND(HU9&gt;=HV$18,HU9&lt;&gt;""),AND(IR9&gt;=IV$18,IR9&lt;&gt;""),AND(IU9&gt;=IV$18,IU9&lt;&gt;""),AND(JR9&gt;=JV$18,JR9&lt;&gt;""),AND(JU9&gt;=JV$18,JU9&lt;&gt;""),AND(KR9&gt;=KV$18,KR9&lt;&gt;""),AND(KU9&gt;=KV$18,KU9&lt;&gt;""),AND(LR9&gt;=LV$18,LR9&lt;&gt;""),AND(LU9&gt;=LV$18,LU9&lt;&gt;""),AND(MR9&gt;=MV$18,MR9&lt;&gt;""),AND(MU9&gt;=MV$18,MU9&lt;&gt;""),AND(NR9&gt;=NV$18,NR9&lt;&gt;""),AND(NU9&gt;=NV$18,NU9&lt;&gt;""),AND(OR9&gt;=OV$18,OR9&lt;&gt;""),AND(OU9&gt;=OV$18,OU9&lt;&gt;"")),"P","")</f>
        <v/>
      </c>
      <c r="H9" s="67" t="str">
        <f>IF(AND(G9="P",F9=""),"No DD",IF(OR(AND(AM9&gt;=AR$17,AN9&gt;=AR$21,AM9&lt;&gt;"",AL9=""),AND(AP9&gt;=AR$17,AQ9&gt;=AR$21,AP9&lt;&gt;"",AL9=""),AND(BN9&gt;=BS$17,BO9&gt;=BS$21,BN9&lt;&gt;"",BM9=""),AND(BQ9&gt;=BS$17,BR9&gt;=BS$21,BQ9&lt;&gt;"",BM9=""),AND(CO9&gt;=CT$17,CP9&gt;=CT$21,CO9&lt;&gt;"",CN9=""),AND(CR9&gt;=CT$17,CS9&gt;=CT$21,CR9&lt;&gt;""),AND(DQ9&gt;=DV$17,DR9&gt;=DV$21,DQ9&lt;&gt;""),AND(DT9&gt;=DV$17,DU9&gt;=DV$21,DT9&lt;&gt;""),AND(EQ9&gt;=EV$17,ER9&gt;=EV$21,EQ9&lt;&gt;""),AND(ET9&gt;=EV$17,EU9&gt;=EV$21,ET9&lt;&gt;""),AND(FQ9&gt;=FV$17,FR9&gt;=FV$21,FQ9&lt;&gt;""),AND(FT9&gt;=FV$17,FU9&gt;=FV$21,FT9&lt;&gt;""),AND(GQ9&gt;=GV$17,GR9&gt;=GV$21,GQ9&lt;&gt;""),AND(GT9&gt;=GV$17,GU9&gt;=GV$21,GT9&lt;&gt;""),AND(HQ9&gt;=HV$17,HR9&gt;=HV$21,HQ9&lt;&gt;""),AND(HT9&gt;=HV$17,HU9&gt;=HV$21,HT9&lt;&gt;""),AND(IQ9&gt;=IV$17,IR9&gt;=IV$21,IQ9&lt;&gt;""),AND(IT9&gt;=IV$17,IU9&gt;=IV$21,IT9&lt;&gt;""),AND(JQ9&gt;=JV$17,JR9&gt;=JV$21,JQ9&lt;&gt;""),AND(JT9&gt;=JV$17,JU9&gt;=JV$21,JT9&lt;&gt;""),AND(KQ9&gt;=KV$17,KR9&gt;=KV$21,KQ9&lt;&gt;""),AND(KT9&gt;=KV$17,KU9&gt;=KV$21,KT9&lt;&gt;""),AND(LQ9&gt;=LV$17,LR9&gt;=LV$21,LQ9&lt;&gt;""),AND(LT9&gt;=LV$17,LU9&gt;=LV$21,LT9&lt;&gt;""),AND(MQ9&gt;=MV$17,MR9&gt;=MV$21,MQ9&lt;&gt;""),AND(MT9&gt;=MV$17,MU9&gt;=MV$21,MT9&lt;&gt;""),AND(NQ9&gt;=NV$17,NR9&gt;=NV$21,NQ9&lt;&gt;""),AND(NT9&gt;=NV$17,NU9&gt;=NV$21,NT9&lt;&gt;""),AND(OQ9&gt;=OV$17,OR9&gt;=OV$21,OQ9&lt;&gt;""),AND(OT9&gt;=OV$17,OU9&gt;=OV$21,OT9&lt;&gt;"")),"Merit",IF(OR(AND(AM9&gt;=AR$16,AN9&gt;=AR$20,AM9&lt;&gt;"",AL9=""),AND(AP9&gt;=AR$16,AQ9&gt;=AR$20,AP9&lt;&gt;"",AL9=""),AND(BN9&gt;=BS$16,BO9&gt;=BS$20,BN9&lt;&gt;"",BM9=""),AND(BQ9&gt;=BS$16,BR9&gt;=BS$20,BQ9&lt;&gt;"",BM9=""),AND(CO9&gt;=CT$16,CP9&gt;=CT$20,CO9&lt;&gt;"",CN9=""),AND(CR9&gt;=CT$16,CS9&gt;=CT$20,CR9&lt;&gt;""),AND(DQ9&gt;=DV$16,DR9&gt;=DV$20,DQ9&lt;&gt;""),AND(DT9&gt;=DV$16,DU9&gt;=DV$20,DT9&lt;&gt;""),AND(EQ9&gt;=EV$16,ER9&gt;=EV$20,EQ9&lt;&gt;""),AND(ET9&gt;=EV$16,EU9&gt;=EV$20,ET9&lt;&gt;""),AND(FQ9&gt;=FV$16,FR9&gt;=FV$20,FQ9&lt;&gt;""),AND(FT9&gt;=FV$16,FU9&gt;=FV$20,FT9&lt;&gt;""),AND(GQ9&gt;=GV$16,GR9&gt;=GV$20,GQ9&lt;&gt;""),AND(GT9&gt;=GV$16,GU9&gt;=GV$20,GT9&lt;&gt;""),AND(HQ9&gt;=HV$16,HR9&gt;=HV$20,HQ9&lt;&gt;""),AND(HT9&gt;=HV$16,HU9&gt;=HV$20,HT9&lt;&gt;""),AND(IQ9&gt;=IV$16,IR9&gt;=IV$20,IQ9&lt;&gt;""),AND(IT9&gt;=IV$16,IU9&gt;=IV$20,IT9&lt;&gt;""),AND(JQ9&gt;=JV$16,JR9&gt;=JV$20,JQ9&lt;&gt;""),AND(JT9&gt;=JV$16,JU9&gt;=JV$20,JT9&lt;&gt;""),AND(KQ9&gt;=KV$16,KR9&gt;=KV$20,KQ9&lt;&gt;""),AND(KT9&gt;=KV$16,KU9&gt;=KV$20,KT9&lt;&gt;""),AND(LQ9&gt;=LV$16,LR9&gt;=LV$20,LQ9&lt;&gt;""),AND(LT9&gt;=LV$16,LU9&gt;=LV$20,LT9&lt;&gt;""),AND(MQ9&gt;=MV$16,MR9&gt;=MV$20,MQ9&lt;&gt;""),AND(MT9&gt;=MV$16,MU9&gt;=MV$20,MT9&lt;&gt;""),AND(NQ9&gt;=NV$16,NR9&gt;=NV$20,NQ9&lt;&gt;""),AND(NT9&gt;=NV$16,NU9&gt;=NV$20,NT9&lt;&gt;""),AND(OQ9&gt;=OV$16,OR9&gt;=OV$20,OQ9&lt;&gt;""),AND(OT9&gt;=OV$16,OU9&gt;=OV$20,OT9&lt;&gt;"")),"Excellence",IF(F9="P","National Team",""))))</f>
        <v/>
      </c>
      <c r="I9" s="14">
        <f>IF(COUNT(AN9,BO9,CP9)&gt;0,LARGE((AN9,BO9,CP9),1),0)</f>
        <v>38.6</v>
      </c>
      <c r="J9" s="14" t="str">
        <f>IF(I9=0,"",IF(I9=CP9,$BT$1,IF(I9=BO9,$AS$1,IF(I9=AN9,$R$1,""))))</f>
        <v>2022 Elite Canada</v>
      </c>
      <c r="K9" s="14">
        <f>IF(COUNT(AN9,BO9,CP9)&gt;1,LARGE((AN9,BO9,CP9),2),0)</f>
        <v>0</v>
      </c>
      <c r="L9" s="14" t="str">
        <f>IF(K9=0,"",IF(K9=CP9,$BT$1,IF(K9=BO9,$AS$1,IF(K9=AN9,$R$1,""))))</f>
        <v/>
      </c>
      <c r="M9" s="14">
        <f>IF(MAX(AQ9,BR9,CS9)&gt;0,MAX(AQ9,BR9,CS9),0)</f>
        <v>37.599999999999994</v>
      </c>
      <c r="N9" s="14" t="str">
        <f>IF(M9=0,"",IF(M9=CS9,$BT$1,IF(M9=BR9,$AS$1,IF(M9=AQ9,$R$1,""))))</f>
        <v>2022 Elite Canada</v>
      </c>
      <c r="O9" s="14" t="str">
        <f>IF(MAX(CU9:CV9)&gt;0,MAX(CU9:CV9),"")</f>
        <v/>
      </c>
      <c r="P9" s="20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45"/>
      <c r="AM9" s="79" t="str">
        <f>IF(SUM(S9,W9)&gt;0,SUM(S9,W9),"")</f>
        <v/>
      </c>
      <c r="AN9" s="79" t="str">
        <f>IF(SUM(R9:S9,U9:W9,Y9)-T9-X9&gt;0,SUM(R9:S9,U9:W9,Y9)-T9-X9,"")</f>
        <v/>
      </c>
      <c r="AO9" s="79" t="str">
        <f>IF(SUM(Z9:AA9,AC9)-AB9&gt;0,SUM(Z9:AA9,AC9)-AB9,"")</f>
        <v/>
      </c>
      <c r="AP9" s="79" t="str">
        <f>IF(SUM(AE9,AI9)&gt;0,SUM(AE9,AI9),"")</f>
        <v/>
      </c>
      <c r="AQ9" s="79" t="str">
        <f>IF(SUM(AD9:AE9,AG9:AI9,AK9)-SUM(AF9,AJ9)&gt;0,SUM(AD9:AE9,AG9:AI9,AK9)-SUM(AF9,AJ9),"")</f>
        <v/>
      </c>
      <c r="AR9" s="79" t="str">
        <f>IF(SUM(AN9,AQ9)&gt;0,SUM(AN9,AQ9),"")</f>
        <v/>
      </c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46"/>
      <c r="BN9" s="20" t="str">
        <f>IF(SUM(AT9,AX9)&gt;0,SUM(AT9,AX9),"")</f>
        <v/>
      </c>
      <c r="BO9" s="20" t="str">
        <f>IF(SUM(AS9:AT9,AV9:AX9,AZ9)-AU9-AY9&gt;0,SUM(AS9:AT9,AV9:AX9,AZ9)-AU9-AY9,"")</f>
        <v/>
      </c>
      <c r="BP9" s="20" t="str">
        <f>IF(SUM(BA9:BB9,BD9)-BC9&gt;0,SUM(BA9:BB9,BD9)-BC9,"")</f>
        <v/>
      </c>
      <c r="BQ9" s="20" t="str">
        <f>IF(SUM(BF9,BJ9)&gt;0,SUM(BF9,BJ9),"")</f>
        <v/>
      </c>
      <c r="BR9" s="20" t="str">
        <f>IF(SUM(BE9:BF9,BH9:BJ9,BL9)-SUM(BG9,BK9)&gt;0,SUM(BE9:BF9,BH9:BJ9,BL9)-SUM(BG9,BK9),"")</f>
        <v/>
      </c>
      <c r="BS9" s="20" t="str">
        <f>IF(SUM(BO9,BR9)&gt;0,SUM(BO9,BR9),"")</f>
        <v/>
      </c>
      <c r="BT9" s="27">
        <v>15.6</v>
      </c>
      <c r="BU9" s="27">
        <v>3.2</v>
      </c>
      <c r="BV9" s="27">
        <v>0</v>
      </c>
      <c r="BW9" s="27">
        <v>0</v>
      </c>
      <c r="BX9" s="27">
        <v>15.4</v>
      </c>
      <c r="BY9" s="27">
        <v>4.0999999999999996</v>
      </c>
      <c r="BZ9" s="27">
        <v>0</v>
      </c>
      <c r="CA9" s="27">
        <v>0.3</v>
      </c>
      <c r="CB9" s="27"/>
      <c r="CC9" s="27"/>
      <c r="CD9" s="27"/>
      <c r="CE9" s="27"/>
      <c r="CF9" s="27">
        <v>14.8</v>
      </c>
      <c r="CG9" s="27">
        <v>3.4</v>
      </c>
      <c r="CH9" s="27">
        <v>0</v>
      </c>
      <c r="CI9" s="27">
        <v>0</v>
      </c>
      <c r="CJ9" s="27">
        <v>15.2</v>
      </c>
      <c r="CK9" s="27">
        <v>3.9</v>
      </c>
      <c r="CL9" s="27">
        <v>0</v>
      </c>
      <c r="CM9" s="27">
        <v>0.3</v>
      </c>
      <c r="CN9" s="45"/>
      <c r="CO9" s="79">
        <f>IF(SUM(BU9,BY9)&gt;0,SUM(BU9,BY9),"")</f>
        <v>7.3</v>
      </c>
      <c r="CP9" s="79">
        <f>IF(SUM(BT9:BU9,BW9:BY9,CA9)-BV9-BZ9&gt;0,SUM(BT9:BU9,BW9:BY9,CA9)-BV9-BZ9,"")</f>
        <v>38.6</v>
      </c>
      <c r="CQ9" s="79" t="str">
        <f>IF(SUM(CB9:CC9,CE9)-CD9&gt;0,SUM(CB9:CC9,CE9)-CD9,"")</f>
        <v/>
      </c>
      <c r="CR9" s="79">
        <f>IF(SUM(CG9,CK9)&gt;0,SUM(CG9,CK9),"")</f>
        <v>7.3</v>
      </c>
      <c r="CS9" s="79">
        <f>IF(SUM(CF9:CG9,CI9:CK9,CM9)-SUM(CH9,CL9)&gt;0,SUM(CF9:CG9,CI9:CK9,CM9)-SUM(CH9,CL9),"")</f>
        <v>37.599999999999994</v>
      </c>
      <c r="CT9" s="79">
        <f>IF(SUM(CP9,CS9)&gt;0,SUM(CP9,CS9),"")</f>
        <v>76.199999999999989</v>
      </c>
      <c r="CU9" s="80" t="str">
        <f>IF(K9&gt;=0.001,IF(MAX(DR9,ER9,FR9,GR9,HR9,IR9,JR9,KR9,LR9,MR9,NR9,OR9)-IF(K9="",0,K9)&gt;0.001,MAX(DR9,ER9,FR9,GR9,HR9,IR9,JR9,KR9,LR9,MR9,NR9,OR9)-IF(K9="",0,K9),""),"")</f>
        <v/>
      </c>
      <c r="CV9" s="80" t="str">
        <f>IF(M9&gt;=0.001,IF(MAX(DU9,EU9,FU9,GU9,HU9,IU9,JU9,KU9,LU9,MU9,NU9,OU9)-IF(M9="",0,M9)&gt;0.001,MAX(DU9,EU9,FU9,GU9,HU9,IU9,JU9,KU9,LU9,MU9,NU9,OU9)-IF(M9="",0,M9),""),"")</f>
        <v/>
      </c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79" t="str">
        <f>IF(SUM(CX9,DB9)&gt;0,SUM(CX9,DB9),"")</f>
        <v/>
      </c>
      <c r="DR9" s="79" t="str">
        <f>IF(SUM(CW9:CX9,CZ9:DB9,DD9)-CY9-DC9&gt;0,SUM(CW9:CX9,CZ9:DB9,DD9)-CY9-DC9,"")</f>
        <v/>
      </c>
      <c r="DS9" s="79" t="str">
        <f>IF(SUM(DE9:DF9,DH9)-DG9&gt;0,SUM(DE9:DF9,DH9)-DG9,"")</f>
        <v/>
      </c>
      <c r="DT9" s="79" t="str">
        <f>IF(SUM(DJ9,DN9)&gt;0,SUM(DJ9,DN9),"")</f>
        <v/>
      </c>
      <c r="DU9" s="79" t="str">
        <f>IF(SUM(DI9:DJ9,DL9:DN9,DP9)-SUM(DK9,DO9)&gt;0,SUM(DI9:DJ9,DL9:DN9,DP9)-SUM(DK9,DO9),"")</f>
        <v/>
      </c>
      <c r="DV9" s="79" t="str">
        <f>IF(SUM(DR9,DU9)&gt;0,SUM(DR9,DU9),"")</f>
        <v/>
      </c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0" t="str">
        <f>IF(SUM(DX9,EB9)&gt;0,SUM(DX9,EB9),"")</f>
        <v/>
      </c>
      <c r="ER9" s="20" t="str">
        <f>IF(SUM(DW9:DX9,DZ9:EB9,ED9)-DY9-EC9&gt;0,SUM(DW9:DX9,DZ9:EB9,ED9)-DY9-EC9,"")</f>
        <v/>
      </c>
      <c r="ES9" s="20" t="str">
        <f>IF(SUM(EE9:EF9,EH9)-EG9&gt;0,SUM(EE9:EF9,EH9)-EG9,"")</f>
        <v/>
      </c>
      <c r="ET9" s="20" t="str">
        <f>IF(SUM(EJ9,EN9)&gt;0,SUM(EJ9,EN9),"")</f>
        <v/>
      </c>
      <c r="EU9" s="20" t="str">
        <f>IF(SUM(EI9:EJ9,EL9:EN9,EP9)-SUM(EK9,EO9)&gt;0,SUM(EI9:EJ9,EL9:EN9,EP9)-SUM(EK9,EO9),"")</f>
        <v/>
      </c>
      <c r="EV9" s="20" t="str">
        <f>IF(SUM(ER9,EU9)&gt;0,SUM(ER9,EU9),"")</f>
        <v/>
      </c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79" t="str">
        <f>IF(SUM(EX9,FB9)&gt;0,SUM(EX9,FB9),"")</f>
        <v/>
      </c>
      <c r="FR9" s="79" t="str">
        <f>IF(SUM(EW9:EX9,EZ9:FB9,FD9)-EY9-FC9&gt;0,SUM(EW9:EX9,EZ9:FB9,FD9)-EY9-FC9,"")</f>
        <v/>
      </c>
      <c r="FS9" s="79" t="str">
        <f>IF(SUM(FE9:FF9,FH9)-FG9&gt;0,SUM(FE9:FF9,FH9)-FG9,"")</f>
        <v/>
      </c>
      <c r="FT9" s="79" t="str">
        <f>IF(SUM(FJ9,FN9)&gt;0,SUM(FJ9,FN9),"")</f>
        <v/>
      </c>
      <c r="FU9" s="79" t="str">
        <f>IF(SUM(FI9:FJ9,FL9:FN9,FP9)-SUM(FK9,FO9)&gt;0,SUM(FI9:FJ9,FL9:FN9,FP9)-SUM(FK9,FO9),"")</f>
        <v/>
      </c>
      <c r="FV9" s="79" t="str">
        <f>IF(SUM(FR9,FU9)&gt;0,SUM(FR9,FU9),"")</f>
        <v/>
      </c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0" t="str">
        <f>IF(SUM(FX9,GB9)&gt;0,SUM(FX9,GB9),"")</f>
        <v/>
      </c>
      <c r="GR9" s="20" t="str">
        <f>IF(SUM(FW9:FX9,FZ9:GB9,GD9)-FY9-GC9&gt;0,SUM(FW9:FX9,FZ9:GB9,GD9)-FY9-GC9,"")</f>
        <v/>
      </c>
      <c r="GS9" s="20" t="str">
        <f>IF(SUM(GE9:GF9,GH9)-GG9&gt;0,SUM(GE9:GF9,GH9)-GG9,"")</f>
        <v/>
      </c>
      <c r="GT9" s="20" t="str">
        <f>IF(SUM(GJ9,GN9)&gt;0,SUM(GJ9,GN9),"")</f>
        <v/>
      </c>
      <c r="GU9" s="20" t="str">
        <f>IF(SUM(GI9:GJ9,GL9:GN9,GP9)-SUM(GK9,GO9)&gt;0,SUM(GI9:GJ9,GL9:GN9,GP9)-SUM(GK9,GO9),"")</f>
        <v/>
      </c>
      <c r="GV9" s="20" t="str">
        <f>IF(SUM(GR9,GU9)&gt;0,SUM(GR9,GU9),"")</f>
        <v/>
      </c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79" t="str">
        <f>IF(SUM(GX9,HB9)&gt;0,SUM(GX9,HB9),"")</f>
        <v/>
      </c>
      <c r="HR9" s="79" t="str">
        <f>IF(SUM(GW9:GX9,GZ9:HB9,HD9)-GY9-HC9&gt;0,SUM(GW9:GX9,GZ9:HB9,HD9)-GY9-HC9,"")</f>
        <v/>
      </c>
      <c r="HS9" s="79" t="str">
        <f>IF(SUM(HE9:HF9,HH9)-HG9&gt;0,SUM(HE9:HF9,HH9)-HG9,"")</f>
        <v/>
      </c>
      <c r="HT9" s="79" t="str">
        <f>IF(SUM(HJ9,HN9)&gt;0,SUM(HJ9,HN9),"")</f>
        <v/>
      </c>
      <c r="HU9" s="79" t="str">
        <f>IF(SUM(HI9:HJ9,HL9:HN9,HP9)-SUM(HK9,HO9)&gt;0,SUM(HI9:HJ9,HL9:HN9,HP9)-SUM(HK9,HO9),"")</f>
        <v/>
      </c>
      <c r="HV9" s="79" t="str">
        <f>IF(SUM(HR9,HU9)&gt;0,SUM(HR9,HU9),"")</f>
        <v/>
      </c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0" t="str">
        <f>IF(SUM(HX9,IB9)&gt;0,SUM(HX9,IB9),"")</f>
        <v/>
      </c>
      <c r="IR9" s="20" t="str">
        <f>IF(SUM(HW9:HX9,HZ9:IB9,ID9)-HY9-IC9&gt;0,SUM(HW9:HX9,HZ9:IB9,ID9)-HY9-IC9,"")</f>
        <v/>
      </c>
      <c r="IS9" s="20" t="str">
        <f>IF(SUM(IE9:IF9,IH9)-IG9&gt;0,SUM(IE9:IF9,IH9)-IG9,"")</f>
        <v/>
      </c>
      <c r="IT9" s="20" t="str">
        <f>IF(SUM(IJ9,IN9)&gt;0,SUM(IJ9,IN9),"")</f>
        <v/>
      </c>
      <c r="IU9" s="20" t="str">
        <f>IF(SUM(II9:IJ9,IL9:IN9,IP9)-SUM(IK9,IO9)&gt;0,SUM(II9:IJ9,IL9:IN9,IP9)-SUM(IK9,IO9),"")</f>
        <v/>
      </c>
      <c r="IV9" s="20" t="str">
        <f>IF(SUM(IR9,IU9)&gt;0,SUM(IR9,IU9),"")</f>
        <v/>
      </c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79" t="str">
        <f>IF(SUM(IX9,JB9)&gt;0,SUM(IX9,JB9),"")</f>
        <v/>
      </c>
      <c r="JR9" s="79" t="str">
        <f>IF(SUM(IW9:IX9,IZ9:JB9,JD9)-IY9-JC9&gt;0,SUM(IW9:IX9,IZ9:JB9,JD9)-IY9-JC9,"")</f>
        <v/>
      </c>
      <c r="JS9" s="79" t="str">
        <f>IF(SUM(JE9:JF9,JH9)-JG9&gt;0,SUM(JE9:JF9,JH9)-JG9,"")</f>
        <v/>
      </c>
      <c r="JT9" s="79" t="str">
        <f>IF(SUM(JJ9,JN9)&gt;0,SUM(JJ9,JN9),"")</f>
        <v/>
      </c>
      <c r="JU9" s="79" t="str">
        <f>IF(SUM(JI9:JJ9,JL9:JN9,JP9)-SUM(JK9,JO9)&gt;0,SUM(JI9:JJ9,JL9:JN9,JP9)-SUM(JK9,JO9),"")</f>
        <v/>
      </c>
      <c r="JV9" s="79" t="str">
        <f>IF(SUM(JR9,JU9)&gt;0,SUM(JR9,JU9),"")</f>
        <v/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0" t="str">
        <f>IF(SUM(JX9,KB9)&gt;0,SUM(JX9,KB9),"")</f>
        <v/>
      </c>
      <c r="KR9" s="20" t="str">
        <f>IF(SUM(JW9:JX9,JZ9:KB9,KD9)-JY9-KC9&gt;0,SUM(JW9:JX9,JZ9:KB9,KD9)-JY9-KC9,"")</f>
        <v/>
      </c>
      <c r="KS9" s="20" t="str">
        <f>IF(SUM(KE9:KF9,KH9)-KG9&gt;0,SUM(KE9:KF9,KH9)-KG9,"")</f>
        <v/>
      </c>
      <c r="KT9" s="20" t="str">
        <f>IF(SUM(KJ9,KN9)&gt;0,SUM(KJ9,KN9),"")</f>
        <v/>
      </c>
      <c r="KU9" s="20" t="str">
        <f>IF(SUM(KI9:KJ9,KL9:KN9,KP9)-SUM(KK9,KO9)&gt;0,SUM(KI9:KJ9,KL9:KN9,KP9)-SUM(KK9,KO9),"")</f>
        <v/>
      </c>
      <c r="KV9" s="20" t="str">
        <f>IF(SUM(KR9,KU9)&gt;0,SUM(KR9,KU9),"")</f>
        <v/>
      </c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79" t="str">
        <f>IF(SUM(KX9,LB9)&gt;0,SUM(KX9,LB9),"")</f>
        <v/>
      </c>
      <c r="LR9" s="79" t="str">
        <f>IF(SUM(KW9:KX9,KZ9:LB9,LD9)-KY9-LC9&gt;0,SUM(KW9:KX9,KZ9:LB9,LD9)-KY9-LC9,"")</f>
        <v/>
      </c>
      <c r="LS9" s="79" t="str">
        <f>IF(SUM(LE9:LF9,LH9)-LG9&gt;0,SUM(LE9:LF9,LH9)-LG9,"")</f>
        <v/>
      </c>
      <c r="LT9" s="79" t="str">
        <f>IF(SUM(LJ9,LN9)&gt;0,SUM(LJ9,LN9),"")</f>
        <v/>
      </c>
      <c r="LU9" s="79" t="str">
        <f>IF(SUM(LI9:LJ9,LL9:LN9,LP9)-SUM(LK9,LO9)&gt;0,SUM(LI9:LJ9,LL9:LN9,LP9)-SUM(LK9,LO9),"")</f>
        <v/>
      </c>
      <c r="LV9" s="79" t="str">
        <f>IF(SUM(LR9,LU9)&gt;0,SUM(LR9,LU9),"")</f>
        <v/>
      </c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0" t="str">
        <f>IF(SUM(LX9,MB9)&gt;0,SUM(LX9,MB9),"")</f>
        <v/>
      </c>
      <c r="MR9" s="20" t="str">
        <f>IF(SUM(LW9:LX9,LZ9:MB9,MD9)-LY9-MC9&gt;0,SUM(LW9:LX9,LZ9:MB9,MD9)-LY9-MC9,"")</f>
        <v/>
      </c>
      <c r="MS9" s="20" t="str">
        <f>IF(SUM(ME9:MF9,MH9)-MG9&gt;0,SUM(ME9:MF9,MH9)-MG9,"")</f>
        <v/>
      </c>
      <c r="MT9" s="20" t="str">
        <f>IF(SUM(MJ9,MN9)&gt;0,SUM(MJ9,MN9),"")</f>
        <v/>
      </c>
      <c r="MU9" s="20" t="str">
        <f>IF(SUM(MI9:MJ9,ML9:MN9,MP9)-SUM(MK9,MO9)&gt;0,SUM(MI9:MJ9,ML9:MN9,MP9)-SUM(MK9,MO9),"")</f>
        <v/>
      </c>
      <c r="MV9" s="20" t="str">
        <f>IF(SUM(MR9,MU9)&gt;0,SUM(MR9,MU9),"")</f>
        <v/>
      </c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79" t="str">
        <f>IF(SUM(MX9,NB9)&gt;0,SUM(MX9,NB9),"")</f>
        <v/>
      </c>
      <c r="NR9" s="79" t="str">
        <f>IF(SUM(MW9:MX9,MZ9:NB9,ND9)-MY9-NC9&gt;0,SUM(MW9:MX9,MZ9:NB9,ND9)-MY9-NC9,"")</f>
        <v/>
      </c>
      <c r="NS9" s="79" t="str">
        <f>IF(SUM(NE9:NF9,NH9)-NG9&gt;0,SUM(NE9:NF9,NH9)-NG9,"")</f>
        <v/>
      </c>
      <c r="NT9" s="79" t="str">
        <f>IF(SUM(NJ9,NN9)&gt;0,SUM(NJ9,NN9),"")</f>
        <v/>
      </c>
      <c r="NU9" s="79" t="str">
        <f>IF(SUM(NI9:NJ9,NL9:NN9,NP9)-SUM(NK9,NO9)&gt;0,SUM(NI9:NJ9,NL9:NN9,NP9)-SUM(NK9,NO9),"")</f>
        <v/>
      </c>
      <c r="NV9" s="79" t="str">
        <f>IF(SUM(NR9,NU9)&gt;0,SUM(NR9,NU9),"")</f>
        <v/>
      </c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0" t="str">
        <f>IF(SUM(NX9,OB9)&gt;0,SUM(NX9,OB9),"")</f>
        <v/>
      </c>
      <c r="OR9" s="20" t="str">
        <f>IF(SUM(NW9:NX9,NZ9:OB9,OD9)-NY9-OC9&gt;0,SUM(NW9:NX9,NZ9:OB9,OD9)-NY9-OC9,"")</f>
        <v/>
      </c>
      <c r="OS9" s="20" t="str">
        <f>IF(SUM(OE9:OF9,OH9)-OG9&gt;0,SUM(OE9:OF9,OH9)-OG9,"")</f>
        <v/>
      </c>
      <c r="OT9" s="20" t="str">
        <f>IF(SUM(OJ9,ON9)&gt;0,SUM(OJ9,ON9),"")</f>
        <v/>
      </c>
      <c r="OU9" s="20" t="str">
        <f>IF(SUM(OI9:OJ9,OL9:ON9,OP9)-SUM(OK9,OO9)&gt;0,SUM(OI9:OJ9,OL9:ON9,OP9)-SUM(OK9,OO9),"")</f>
        <v/>
      </c>
      <c r="OV9" s="20" t="str">
        <f>IF(SUM(OR9,OU9)&gt;0,SUM(OR9,OU9),"")</f>
        <v/>
      </c>
      <c r="OW9" s="38">
        <f>IF($CN9="P",BT9,(BT9+AS9)/2)</f>
        <v>7.8</v>
      </c>
      <c r="OX9" s="38">
        <f>IF($CN9="P",BU9,(BU9+AT9)/2)</f>
        <v>1.6</v>
      </c>
      <c r="OY9" s="38">
        <f>IF($CN9="P",BV9,(BV9+AU9)/2)</f>
        <v>0</v>
      </c>
      <c r="OZ9" s="38">
        <f>IF($CN9="P",BW9,(BW9+AV9)/2)</f>
        <v>0</v>
      </c>
      <c r="PA9" s="38">
        <f>IF($CN9="P",BX9,(BX9+AW9)/2)</f>
        <v>7.7</v>
      </c>
      <c r="PB9" s="38">
        <f>IF($CN9="P",BY9,(BY9+AX9)/2)</f>
        <v>2.0499999999999998</v>
      </c>
      <c r="PC9" s="38">
        <f>IF($CN9="P",BZ9,(BZ9+AY9)/2)</f>
        <v>0</v>
      </c>
      <c r="PD9" s="38">
        <f>IF($CN9="P",CA9,(CA9+AZ9)/2)</f>
        <v>0.15</v>
      </c>
      <c r="PE9" s="38">
        <f>IF($CN9="P",CB9,(CB9+BA9)/2)</f>
        <v>0</v>
      </c>
      <c r="PF9" s="38">
        <f>IF($CN9="P",CC9,(CC9+BB9)/2)</f>
        <v>0</v>
      </c>
      <c r="PG9" s="38">
        <f>IF($CN9="P",CD9,(CD9+BC9)/2)</f>
        <v>0</v>
      </c>
      <c r="PH9" s="38">
        <f>IF($CN9="P",CE9,(CE9+BD9)/2)</f>
        <v>0</v>
      </c>
      <c r="PI9" s="38">
        <f>IF($CN9="P",CF9,(CF9+BE9)/2)</f>
        <v>7.4</v>
      </c>
      <c r="PJ9" s="38">
        <f>IF($CN9="P",CG9,(CG9+BF9)/2)</f>
        <v>1.7</v>
      </c>
      <c r="PK9" s="38">
        <f>IF($CN9="P",CH9,(CH9+BG9)/2)</f>
        <v>0</v>
      </c>
      <c r="PL9" s="38">
        <f>IF($CN9="P",CI9,(CI9+BH9)/2)</f>
        <v>0</v>
      </c>
      <c r="PM9" s="38">
        <f>IF($CN9="P",CJ9,(CJ9+BI9)/2)</f>
        <v>7.6</v>
      </c>
      <c r="PN9" s="38">
        <f>IF($CN9="P",CK9,(CK9+BJ9)/2)</f>
        <v>1.95</v>
      </c>
      <c r="PO9" s="38">
        <f>IF($CN9="P",CL9,(CL9+BK9)/2)</f>
        <v>0</v>
      </c>
      <c r="PP9" s="38">
        <f>IF($CN9="P",CM9,(CM9+BL9)/2)</f>
        <v>0.15</v>
      </c>
      <c r="PQ9" s="45" t="s">
        <v>46</v>
      </c>
      <c r="PR9" s="79">
        <f>IF(SUM(OX9,PB9)&gt;0,SUM(OX9,PB9),"")</f>
        <v>3.65</v>
      </c>
      <c r="PS9" s="79">
        <f>IF(SUM(OW9:OX9,OZ9:PB9,PD9)-OY9-PC9&gt;0,SUM(OW9:OX9,OZ9:PB9,PD9)-OY9-PC9,"")</f>
        <v>19.3</v>
      </c>
      <c r="PT9" s="79" t="str">
        <f>IF(SUM(PE9:PF9,PH9)-PG9&gt;0,SUM(PE9:PF9,PH9)-PG9,"")</f>
        <v/>
      </c>
      <c r="PU9" s="79">
        <f>IF(SUM(PJ9,PN9)&gt;0,SUM(PJ9,PN9),"")</f>
        <v>3.65</v>
      </c>
      <c r="PV9" s="79">
        <f>IF(SUM(PI9:PJ9,PL9:PN9,PP9)-SUM(PK9,PO9)&gt;0,SUM(PI9:PJ9,PL9:PN9,PP9)-SUM(PK9,PO9),"")</f>
        <v>18.799999999999997</v>
      </c>
      <c r="PW9" s="79">
        <f>IF(SUM(PS9,PV9)&gt;0,SUM(PS9,PV9),"")</f>
        <v>38.099999999999994</v>
      </c>
    </row>
    <row r="10" spans="1:439" x14ac:dyDescent="0.2">
      <c r="A10" s="5" t="str">
        <f>IF(AND(F10="P",G10="P"),SUMPRODUCT((F$4:F$12="P")*(G$4:G$12="P")*(E$4:E$12&gt;E10))+1,IF(G10="P",SUMPRODUCT((F$4:F$12="")*(G$4:G$12="P")*(E$4:E$12&gt;E10))+1+SUMPRODUCT((F$4:F$12="P")*(G$4:G$12="P")),""))</f>
        <v/>
      </c>
      <c r="B10" s="78" t="s">
        <v>87</v>
      </c>
      <c r="C10" s="5" t="s">
        <v>4</v>
      </c>
      <c r="D10" s="5">
        <v>2004</v>
      </c>
      <c r="E10" s="15">
        <f>SUM(I10:O10)+SUM(I10:M10)*0.0000001+SUM(I10)*0.0000000000001</f>
        <v>35.30010353001353</v>
      </c>
      <c r="F10" s="3" t="str">
        <f>IF(OR(AND(AM10&gt;=AR$14,AN10&gt;=AR$18,AM10&lt;&gt;"",AL10=""),AND(AP10&gt;=AR$14,AQ10&gt;=AR$18,AP10&lt;&gt;"",AL10=""),AND(BN10&gt;=BS$14,BO10&gt;=BS$18,BN10&lt;&gt;"",BM10=""),AND(BQ10&gt;=BS$14,BR10&gt;=BS$18,BQ10&lt;&gt;"",BM10=""),AND(CO10&gt;=CT$14,CP10&gt;=CT$18,CO10&lt;&gt;"",CN10=""),AND(CR10&gt;=CT$14,CS10&gt;=CT$18,CR10&lt;&gt;""),AND(DQ10&gt;=DV$14,DR10&gt;=DV$18,DQ10&lt;&gt;""),AND(DT10&gt;=DV$14,DU10&gt;=DV$18,DT10&lt;&gt;""),AND(EQ10&gt;=EV$14,ER10&gt;=EV$18,EQ10&lt;&gt;""),AND(ET10&gt;=EV$14,EU10&gt;=EV$18,ET10&lt;&gt;""),AND(FQ10&gt;=FV$14,FR10&gt;=FV$18,FQ10&lt;&gt;""),AND(FT10&gt;=FV$14,FU10&gt;=FV$18,FT10&lt;&gt;""),AND(GQ10&gt;=GV$14,GR10&gt;=GV$18,GQ10&lt;&gt;""),AND(GT10&gt;=GV$14,GU10&gt;=GV$18,GT10&lt;&gt;""),AND(HQ10&gt;=HV$14,HR10&gt;=HV$18,HQ10&lt;&gt;""),AND(HT10&gt;=HV$14,HU10&gt;=HV$18,HT10&lt;&gt;""),AND(IQ10&gt;=IV$14,IR10&gt;=IV$18,IQ10&lt;&gt;""),AND(IT10&gt;=IV$14,IU10&gt;=IV$18,IT10&lt;&gt;""),AND(JQ10&gt;=JV$14,JR10&gt;=JV$18,JQ10&lt;&gt;""),AND(JT10&gt;=JV$14,JU10&gt;=JV$18,JT10&lt;&gt;""),AND(KQ10&gt;=KV$14,KR10&gt;=KV$18,KQ10&lt;&gt;""),AND(KT10&gt;=KV$14,KU10&gt;=KV$18,KT10&lt;&gt;""),AND(LQ10&gt;=LV$14,LR10&gt;=LV$18,LQ10&lt;&gt;""),AND(LT10&gt;=LV$14,LU10&gt;=LV$18,LT10&lt;&gt;""),AND(MQ10&gt;=MV$14,MR10&gt;=MV$18,MQ10&lt;&gt;""),AND(MT10&gt;=MV$14,MU10&gt;=MV$18,MT10&lt;&gt;""),AND(NQ10&gt;=NV$14,NR10&gt;=NV$18,NQ10&lt;&gt;""),AND(NT10&gt;=NV$14,NU10&gt;=NV$18,NT10&lt;&gt;""),AND(OQ10&gt;=OV$14,OR10&gt;=OV$18,OQ10&lt;&gt;""),AND(OT10&gt;=OV$14,OU10&gt;=OV$18,OT10&lt;&gt;"")),"P","")</f>
        <v/>
      </c>
      <c r="G10" s="3" t="str">
        <f>IF(OR(AND(AN10&gt;=AR$18,AN10&lt;&gt;"",AL10=""),AND(AQ10&gt;=AR$18,AQ10&lt;&gt;"",AL10=""),AND(BO10&gt;=BS$18,BO10&lt;&gt;"",BM10=""),AND(BR10&gt;=BS$18,BR10&lt;&gt;"",BM10=""),AND(CP10&gt;=CT$18,CP10&lt;&gt;"",CN10=""),AND(CS10&gt;=CT$18,CS10&lt;&gt;"",CN10=""),AND(DR10&gt;=DV$18,DR10&lt;&gt;""),AND(DU10&gt;=DV$18,DU10&lt;&gt;""),AND(ER10&gt;=EV$18,ER10&lt;&gt;""),AND(EU10&gt;=EV$18,EU10&lt;&gt;""),AND(FR10&gt;=FV$18,FR10&lt;&gt;""),AND(FU10&gt;=FV$18,FU10&lt;&gt;""),AND(GR10&gt;=GV$18,GR10&lt;&gt;""),AND(GU10&gt;=GV$18,GU10&lt;&gt;""),AND(HR10&gt;=HV$18,HR10&lt;&gt;""),AND(HU10&gt;=HV$18,HU10&lt;&gt;""),AND(IR10&gt;=IV$18,IR10&lt;&gt;""),AND(IU10&gt;=IV$18,IU10&lt;&gt;""),AND(JR10&gt;=JV$18,JR10&lt;&gt;""),AND(JU10&gt;=JV$18,JU10&lt;&gt;""),AND(KR10&gt;=KV$18,KR10&lt;&gt;""),AND(KU10&gt;=KV$18,KU10&lt;&gt;""),AND(LR10&gt;=LV$18,LR10&lt;&gt;""),AND(LU10&gt;=LV$18,LU10&lt;&gt;""),AND(MR10&gt;=MV$18,MR10&lt;&gt;""),AND(MU10&gt;=MV$18,MU10&lt;&gt;""),AND(NR10&gt;=NV$18,NR10&lt;&gt;""),AND(NU10&gt;=NV$18,NU10&lt;&gt;""),AND(OR10&gt;=OV$18,OR10&lt;&gt;""),AND(OU10&gt;=OV$18,OU10&lt;&gt;"")),"P","")</f>
        <v/>
      </c>
      <c r="H10" s="67" t="str">
        <f>IF(AND(G10="P",F10=""),"No DD",IF(OR(AND(AM10&gt;=AR$17,AN10&gt;=AR$21,AM10&lt;&gt;"",AL10=""),AND(AP10&gt;=AR$17,AQ10&gt;=AR$21,AP10&lt;&gt;"",AL10=""),AND(BN10&gt;=BS$17,BO10&gt;=BS$21,BN10&lt;&gt;"",BM10=""),AND(BQ10&gt;=BS$17,BR10&gt;=BS$21,BQ10&lt;&gt;"",BM10=""),AND(CO10&gt;=CT$17,CP10&gt;=CT$21,CO10&lt;&gt;"",CN10=""),AND(CR10&gt;=CT$17,CS10&gt;=CT$21,CR10&lt;&gt;""),AND(DQ10&gt;=DV$17,DR10&gt;=DV$21,DQ10&lt;&gt;""),AND(DT10&gt;=DV$17,DU10&gt;=DV$21,DT10&lt;&gt;""),AND(EQ10&gt;=EV$17,ER10&gt;=EV$21,EQ10&lt;&gt;""),AND(ET10&gt;=EV$17,EU10&gt;=EV$21,ET10&lt;&gt;""),AND(FQ10&gt;=FV$17,FR10&gt;=FV$21,FQ10&lt;&gt;""),AND(FT10&gt;=FV$17,FU10&gt;=FV$21,FT10&lt;&gt;""),AND(GQ10&gt;=GV$17,GR10&gt;=GV$21,GQ10&lt;&gt;""),AND(GT10&gt;=GV$17,GU10&gt;=GV$21,GT10&lt;&gt;""),AND(HQ10&gt;=HV$17,HR10&gt;=HV$21,HQ10&lt;&gt;""),AND(HT10&gt;=HV$17,HU10&gt;=HV$21,HT10&lt;&gt;""),AND(IQ10&gt;=IV$17,IR10&gt;=IV$21,IQ10&lt;&gt;""),AND(IT10&gt;=IV$17,IU10&gt;=IV$21,IT10&lt;&gt;""),AND(JQ10&gt;=JV$17,JR10&gt;=JV$21,JQ10&lt;&gt;""),AND(JT10&gt;=JV$17,JU10&gt;=JV$21,JT10&lt;&gt;""),AND(KQ10&gt;=KV$17,KR10&gt;=KV$21,KQ10&lt;&gt;""),AND(KT10&gt;=KV$17,KU10&gt;=KV$21,KT10&lt;&gt;""),AND(LQ10&gt;=LV$17,LR10&gt;=LV$21,LQ10&lt;&gt;""),AND(LT10&gt;=LV$17,LU10&gt;=LV$21,LT10&lt;&gt;""),AND(MQ10&gt;=MV$17,MR10&gt;=MV$21,MQ10&lt;&gt;""),AND(MT10&gt;=MV$17,MU10&gt;=MV$21,MT10&lt;&gt;""),AND(NQ10&gt;=NV$17,NR10&gt;=NV$21,NQ10&lt;&gt;""),AND(NT10&gt;=NV$17,NU10&gt;=NV$21,NT10&lt;&gt;""),AND(OQ10&gt;=OV$17,OR10&gt;=OV$21,OQ10&lt;&gt;""),AND(OT10&gt;=OV$17,OU10&gt;=OV$21,OT10&lt;&gt;"")),"Merit",IF(OR(AND(AM10&gt;=AR$16,AN10&gt;=AR$20,AM10&lt;&gt;"",AL10=""),AND(AP10&gt;=AR$16,AQ10&gt;=AR$20,AP10&lt;&gt;"",AL10=""),AND(BN10&gt;=BS$16,BO10&gt;=BS$20,BN10&lt;&gt;"",BM10=""),AND(BQ10&gt;=BS$16,BR10&gt;=BS$20,BQ10&lt;&gt;"",BM10=""),AND(CO10&gt;=CT$16,CP10&gt;=CT$20,CO10&lt;&gt;"",CN10=""),AND(CR10&gt;=CT$16,CS10&gt;=CT$20,CR10&lt;&gt;""),AND(DQ10&gt;=DV$16,DR10&gt;=DV$20,DQ10&lt;&gt;""),AND(DT10&gt;=DV$16,DU10&gt;=DV$20,DT10&lt;&gt;""),AND(EQ10&gt;=EV$16,ER10&gt;=EV$20,EQ10&lt;&gt;""),AND(ET10&gt;=EV$16,EU10&gt;=EV$20,ET10&lt;&gt;""),AND(FQ10&gt;=FV$16,FR10&gt;=FV$20,FQ10&lt;&gt;""),AND(FT10&gt;=FV$16,FU10&gt;=FV$20,FT10&lt;&gt;""),AND(GQ10&gt;=GV$16,GR10&gt;=GV$20,GQ10&lt;&gt;""),AND(GT10&gt;=GV$16,GU10&gt;=GV$20,GT10&lt;&gt;""),AND(HQ10&gt;=HV$16,HR10&gt;=HV$20,HQ10&lt;&gt;""),AND(HT10&gt;=HV$16,HU10&gt;=HV$20,HT10&lt;&gt;""),AND(IQ10&gt;=IV$16,IR10&gt;=IV$20,IQ10&lt;&gt;""),AND(IT10&gt;=IV$16,IU10&gt;=IV$20,IT10&lt;&gt;""),AND(JQ10&gt;=JV$16,JR10&gt;=JV$20,JQ10&lt;&gt;""),AND(JT10&gt;=JV$16,JU10&gt;=JV$20,JT10&lt;&gt;""),AND(KQ10&gt;=KV$16,KR10&gt;=KV$20,KQ10&lt;&gt;""),AND(KT10&gt;=KV$16,KU10&gt;=KV$20,KT10&lt;&gt;""),AND(LQ10&gt;=LV$16,LR10&gt;=LV$20,LQ10&lt;&gt;""),AND(LT10&gt;=LV$16,LU10&gt;=LV$20,LT10&lt;&gt;""),AND(MQ10&gt;=MV$16,MR10&gt;=MV$20,MQ10&lt;&gt;""),AND(MT10&gt;=MV$16,MU10&gt;=MV$20,MT10&lt;&gt;""),AND(NQ10&gt;=NV$16,NR10&gt;=NV$20,NQ10&lt;&gt;""),AND(NT10&gt;=NV$16,NU10&gt;=NV$20,NT10&lt;&gt;""),AND(OQ10&gt;=OV$16,OR10&gt;=OV$20,OQ10&lt;&gt;""),AND(OT10&gt;=OV$16,OU10&gt;=OV$20,OT10&lt;&gt;"")),"Excellence",IF(F10="P","National Team",""))))</f>
        <v/>
      </c>
      <c r="I10" s="14">
        <f>IF(COUNT(AN10,BO10,CP10)&gt;0,LARGE((AN10,BO10,CP10),1),0)</f>
        <v>35.299999999999997</v>
      </c>
      <c r="J10" s="14" t="str">
        <f>IF(I10=0,"",IF(I10=CP10,$BT$1,IF(I10=BO10,$AS$1,IF(I10=AN10,$R$1,""))))</f>
        <v>2022 Elite Canada</v>
      </c>
      <c r="K10" s="14">
        <f>IF(COUNT(AN10,BO10,CP10)&gt;1,LARGE((AN10,BO10,CP10),2),0)</f>
        <v>1E-4</v>
      </c>
      <c r="L10" s="14" t="str">
        <f>IF(K10=0,"",IF(K10=CP10,$BT$1,IF(K10=BO10,$AS$1,IF(K10=AN10,$R$1,""))))</f>
        <v>2021 Canadian Championships</v>
      </c>
      <c r="M10" s="14">
        <f>IF(MAX(AQ10,BR10,CS10)&gt;0,MAX(AQ10,BR10,CS10),0)</f>
        <v>0</v>
      </c>
      <c r="N10" s="14" t="str">
        <f>IF(M10=0,"",IF(M10=CS10,$BT$1,IF(M10=BR10,$AS$1,IF(M10=AQ10,$R$1,""))))</f>
        <v/>
      </c>
      <c r="O10" s="14" t="str">
        <f>IF(MAX(CU10:CV10)&gt;0,MAX(CU10:CV10),"")</f>
        <v/>
      </c>
      <c r="P10" s="20" t="str">
        <f>IF(O10="","",IF(O10=CU10,"("&amp;CU$2&amp;")",IF(O10=CV10,"("&amp;CV$2&amp;")")))</f>
        <v/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45"/>
      <c r="AM10" s="79" t="str">
        <f>IF(SUM(S10,W10)&gt;0,SUM(S10,W10),"")</f>
        <v/>
      </c>
      <c r="AN10" s="79" t="str">
        <f>IF(SUM(R10:S10,U10:W10,Y10)-T10-X10&gt;0,SUM(R10:S10,U10:W10,Y10)-T10-X10,"")</f>
        <v/>
      </c>
      <c r="AO10" s="79" t="str">
        <f>IF(SUM(Z10:AA10,AC10)-AB10&gt;0,SUM(Z10:AA10,AC10)-AB10,"")</f>
        <v/>
      </c>
      <c r="AP10" s="79" t="str">
        <f>IF(SUM(AE10,AI10)&gt;0,SUM(AE10,AI10),"")</f>
        <v/>
      </c>
      <c r="AQ10" s="79" t="str">
        <f>IF(SUM(AD10:AE10,AG10:AI10,AK10)-SUM(AF10,AJ10)&gt;0,SUM(AD10:AE10,AG10:AI10,AK10)-SUM(AF10,AJ10),"")</f>
        <v/>
      </c>
      <c r="AR10" s="79" t="str">
        <f>IF(SUM(AN10,AQ10)&gt;0,SUM(AN10,AQ10),"")</f>
        <v/>
      </c>
      <c r="AS10" s="26"/>
      <c r="AT10" s="26">
        <v>1E-4</v>
      </c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46"/>
      <c r="BN10" s="20">
        <f>IF(SUM(AT10,AX10)&gt;0,SUM(AT10,AX10),"")</f>
        <v>1E-4</v>
      </c>
      <c r="BO10" s="20">
        <f>IF(SUM(AS10:AT10,AV10:AX10,AZ10)-AU10-AY10&gt;0,SUM(AS10:AT10,AV10:AX10,AZ10)-AU10-AY10,"")</f>
        <v>1E-4</v>
      </c>
      <c r="BP10" s="20" t="str">
        <f>IF(SUM(BA10:BB10,BD10)-BC10&gt;0,SUM(BA10:BB10,BD10)-BC10,"")</f>
        <v/>
      </c>
      <c r="BQ10" s="20" t="str">
        <f>IF(SUM(BF10,BJ10)&gt;0,SUM(BF10,BJ10),"")</f>
        <v/>
      </c>
      <c r="BR10" s="20" t="str">
        <f>IF(SUM(BE10:BF10,BH10:BJ10,BL10)-SUM(BG10,BK10)&gt;0,SUM(BE10:BF10,BH10:BJ10,BL10)-SUM(BG10,BK10),"")</f>
        <v/>
      </c>
      <c r="BS10" s="20">
        <f>IF(SUM(BO10,BR10)&gt;0,SUM(BO10,BR10),"")</f>
        <v>1E-4</v>
      </c>
      <c r="BT10" s="27">
        <v>16.600000000000001</v>
      </c>
      <c r="BU10" s="27">
        <v>1.2</v>
      </c>
      <c r="BV10" s="27">
        <v>0.2</v>
      </c>
      <c r="BW10" s="27">
        <v>0</v>
      </c>
      <c r="BX10" s="27">
        <v>16.7</v>
      </c>
      <c r="BY10" s="27">
        <v>1.2</v>
      </c>
      <c r="BZ10" s="27">
        <v>0.2</v>
      </c>
      <c r="CA10" s="27">
        <v>0</v>
      </c>
      <c r="CB10" s="27"/>
      <c r="CC10" s="27"/>
      <c r="CD10" s="27"/>
      <c r="CE10" s="27"/>
      <c r="CF10" s="27">
        <v>0</v>
      </c>
      <c r="CG10" s="27">
        <v>0</v>
      </c>
      <c r="CH10" s="27">
        <v>0</v>
      </c>
      <c r="CI10" s="27">
        <v>0</v>
      </c>
      <c r="CJ10" s="27">
        <v>0</v>
      </c>
      <c r="CK10" s="27">
        <v>0</v>
      </c>
      <c r="CL10" s="27">
        <v>0</v>
      </c>
      <c r="CM10" s="27">
        <v>0</v>
      </c>
      <c r="CN10" s="45"/>
      <c r="CO10" s="79">
        <f>IF(SUM(BU10,BY10)&gt;0,SUM(BU10,BY10),"")</f>
        <v>2.4</v>
      </c>
      <c r="CP10" s="79">
        <f>IF(SUM(BT10:BU10,BW10:BY10,CA10)-BV10-BZ10&gt;0,SUM(BT10:BU10,BW10:BY10,CA10)-BV10-BZ10,"")</f>
        <v>35.299999999999997</v>
      </c>
      <c r="CQ10" s="79" t="str">
        <f>IF(SUM(CB10:CC10,CE10)-CD10&gt;0,SUM(CB10:CC10,CE10)-CD10,"")</f>
        <v/>
      </c>
      <c r="CR10" s="79" t="str">
        <f>IF(SUM(CG10,CK10)&gt;0,SUM(CG10,CK10),"")</f>
        <v/>
      </c>
      <c r="CS10" s="79" t="str">
        <f>IF(SUM(CF10:CG10,CI10:CK10,CM10)-SUM(CH10,CL10)&gt;0,SUM(CF10:CG10,CI10:CK10,CM10)-SUM(CH10,CL10),"")</f>
        <v/>
      </c>
      <c r="CT10" s="79">
        <f>IF(SUM(CP10,CS10)&gt;0,SUM(CP10,CS10),"")</f>
        <v>35.299999999999997</v>
      </c>
      <c r="CU10" s="80" t="str">
        <f>IF(K10&gt;=0.001,IF(MAX(DR10,ER10,FR10,GR10,HR10,IR10,JR10,KR10,LR10,MR10,NR10,OR10)-IF(K10="",0,K10)&gt;0.001,MAX(DR10,ER10,FR10,GR10,HR10,IR10,JR10,KR10,LR10,MR10,NR10,OR10)-IF(K10="",0,K10),""),"")</f>
        <v/>
      </c>
      <c r="CV10" s="80" t="str">
        <f>IF(M10&gt;=0.001,IF(MAX(DU10,EU10,FU10,GU10,HU10,IU10,JU10,KU10,LU10,MU10,NU10,OU10)-IF(M10="",0,M10)&gt;0.001,MAX(DU10,EU10,FU10,GU10,HU10,IU10,JU10,KU10,LU10,MU10,NU10,OU10)-IF(M10="",0,M10),""),"")</f>
        <v/>
      </c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79" t="str">
        <f>IF(SUM(CX10,DB10)&gt;0,SUM(CX10,DB10),"")</f>
        <v/>
      </c>
      <c r="DR10" s="79" t="str">
        <f>IF(SUM(CW10:CX10,CZ10:DB10,DD10)-CY10-DC10&gt;0,SUM(CW10:CX10,CZ10:DB10,DD10)-CY10-DC10,"")</f>
        <v/>
      </c>
      <c r="DS10" s="79" t="str">
        <f>IF(SUM(DE10:DF10,DH10)-DG10&gt;0,SUM(DE10:DF10,DH10)-DG10,"")</f>
        <v/>
      </c>
      <c r="DT10" s="79" t="str">
        <f>IF(SUM(DJ10,DN10)&gt;0,SUM(DJ10,DN10),"")</f>
        <v/>
      </c>
      <c r="DU10" s="79" t="str">
        <f>IF(SUM(DI10:DJ10,DL10:DN10,DP10)-SUM(DK10,DO10)&gt;0,SUM(DI10:DJ10,DL10:DN10,DP10)-SUM(DK10,DO10),"")</f>
        <v/>
      </c>
      <c r="DV10" s="79" t="str">
        <f>IF(SUM(DR10,DU10)&gt;0,SUM(DR10,DU10),"")</f>
        <v/>
      </c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0" t="str">
        <f>IF(SUM(DX10,EB10)&gt;0,SUM(DX10,EB10),"")</f>
        <v/>
      </c>
      <c r="ER10" s="20" t="str">
        <f>IF(SUM(DW10:DX10,DZ10:EB10,ED10)-DY10-EC10&gt;0,SUM(DW10:DX10,DZ10:EB10,ED10)-DY10-EC10,"")</f>
        <v/>
      </c>
      <c r="ES10" s="20" t="str">
        <f>IF(SUM(EE10:EF10,EH10)-EG10&gt;0,SUM(EE10:EF10,EH10)-EG10,"")</f>
        <v/>
      </c>
      <c r="ET10" s="20" t="str">
        <f>IF(SUM(EJ10,EN10)&gt;0,SUM(EJ10,EN10),"")</f>
        <v/>
      </c>
      <c r="EU10" s="20" t="str">
        <f>IF(SUM(EI10:EJ10,EL10:EN10,EP10)-SUM(EK10,EO10)&gt;0,SUM(EI10:EJ10,EL10:EN10,EP10)-SUM(EK10,EO10),"")</f>
        <v/>
      </c>
      <c r="EV10" s="20" t="str">
        <f>IF(SUM(ER10,EU10)&gt;0,SUM(ER10,EU10),"")</f>
        <v/>
      </c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79" t="str">
        <f>IF(SUM(EX10,FB10)&gt;0,SUM(EX10,FB10),"")</f>
        <v/>
      </c>
      <c r="FR10" s="79" t="str">
        <f>IF(SUM(EW10:EX10,EZ10:FB10,FD10)-EY10-FC10&gt;0,SUM(EW10:EX10,EZ10:FB10,FD10)-EY10-FC10,"")</f>
        <v/>
      </c>
      <c r="FS10" s="79" t="str">
        <f>IF(SUM(FE10:FF10,FH10)-FG10&gt;0,SUM(FE10:FF10,FH10)-FG10,"")</f>
        <v/>
      </c>
      <c r="FT10" s="79" t="str">
        <f>IF(SUM(FJ10,FN10)&gt;0,SUM(FJ10,FN10),"")</f>
        <v/>
      </c>
      <c r="FU10" s="79" t="str">
        <f>IF(SUM(FI10:FJ10,FL10:FN10,FP10)-SUM(FK10,FO10)&gt;0,SUM(FI10:FJ10,FL10:FN10,FP10)-SUM(FK10,FO10),"")</f>
        <v/>
      </c>
      <c r="FV10" s="79" t="str">
        <f>IF(SUM(FR10,FU10)&gt;0,SUM(FR10,FU10),"")</f>
        <v/>
      </c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0" t="str">
        <f>IF(SUM(FX10,GB10)&gt;0,SUM(FX10,GB10),"")</f>
        <v/>
      </c>
      <c r="GR10" s="20" t="str">
        <f>IF(SUM(FW10:FX10,FZ10:GB10,GD10)-FY10-GC10&gt;0,SUM(FW10:FX10,FZ10:GB10,GD10)-FY10-GC10,"")</f>
        <v/>
      </c>
      <c r="GS10" s="20" t="str">
        <f>IF(SUM(GE10:GF10,GH10)-GG10&gt;0,SUM(GE10:GF10,GH10)-GG10,"")</f>
        <v/>
      </c>
      <c r="GT10" s="20" t="str">
        <f>IF(SUM(GJ10,GN10)&gt;0,SUM(GJ10,GN10),"")</f>
        <v/>
      </c>
      <c r="GU10" s="20" t="str">
        <f>IF(SUM(GI10:GJ10,GL10:GN10,GP10)-SUM(GK10,GO10)&gt;0,SUM(GI10:GJ10,GL10:GN10,GP10)-SUM(GK10,GO10),"")</f>
        <v/>
      </c>
      <c r="GV10" s="20" t="str">
        <f>IF(SUM(GR10,GU10)&gt;0,SUM(GR10,GU10),"")</f>
        <v/>
      </c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79" t="str">
        <f>IF(SUM(GX10,HB10)&gt;0,SUM(GX10,HB10),"")</f>
        <v/>
      </c>
      <c r="HR10" s="79" t="str">
        <f>IF(SUM(GW10:GX10,GZ10:HB10,HD10)-GY10-HC10&gt;0,SUM(GW10:GX10,GZ10:HB10,HD10)-GY10-HC10,"")</f>
        <v/>
      </c>
      <c r="HS10" s="79" t="str">
        <f>IF(SUM(HE10:HF10,HH10)-HG10&gt;0,SUM(HE10:HF10,HH10)-HG10,"")</f>
        <v/>
      </c>
      <c r="HT10" s="79" t="str">
        <f>IF(SUM(HJ10,HN10)&gt;0,SUM(HJ10,HN10),"")</f>
        <v/>
      </c>
      <c r="HU10" s="79" t="str">
        <f>IF(SUM(HI10:HJ10,HL10:HN10,HP10)-SUM(HK10,HO10)&gt;0,SUM(HI10:HJ10,HL10:HN10,HP10)-SUM(HK10,HO10),"")</f>
        <v/>
      </c>
      <c r="HV10" s="79" t="str">
        <f>IF(SUM(HR10,HU10)&gt;0,SUM(HR10,HU10),"")</f>
        <v/>
      </c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0" t="str">
        <f>IF(SUM(HX10,IB10)&gt;0,SUM(HX10,IB10),"")</f>
        <v/>
      </c>
      <c r="IR10" s="20" t="str">
        <f>IF(SUM(HW10:HX10,HZ10:IB10,ID10)-HY10-IC10&gt;0,SUM(HW10:HX10,HZ10:IB10,ID10)-HY10-IC10,"")</f>
        <v/>
      </c>
      <c r="IS10" s="20" t="str">
        <f>IF(SUM(IE10:IF10,IH10)-IG10&gt;0,SUM(IE10:IF10,IH10)-IG10,"")</f>
        <v/>
      </c>
      <c r="IT10" s="20" t="str">
        <f>IF(SUM(IJ10,IN10)&gt;0,SUM(IJ10,IN10),"")</f>
        <v/>
      </c>
      <c r="IU10" s="20" t="str">
        <f>IF(SUM(II10:IJ10,IL10:IN10,IP10)-SUM(IK10,IO10)&gt;0,SUM(II10:IJ10,IL10:IN10,IP10)-SUM(IK10,IO10),"")</f>
        <v/>
      </c>
      <c r="IV10" s="20" t="str">
        <f>IF(SUM(IR10,IU10)&gt;0,SUM(IR10,IU10),"")</f>
        <v/>
      </c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79" t="str">
        <f>IF(SUM(IX10,JB10)&gt;0,SUM(IX10,JB10),"")</f>
        <v/>
      </c>
      <c r="JR10" s="79" t="str">
        <f>IF(SUM(IW10:IX10,IZ10:JB10,JD10)-IY10-JC10&gt;0,SUM(IW10:IX10,IZ10:JB10,JD10)-IY10-JC10,"")</f>
        <v/>
      </c>
      <c r="JS10" s="79" t="str">
        <f>IF(SUM(JE10:JF10,JH10)-JG10&gt;0,SUM(JE10:JF10,JH10)-JG10,"")</f>
        <v/>
      </c>
      <c r="JT10" s="79" t="str">
        <f>IF(SUM(JJ10,JN10)&gt;0,SUM(JJ10,JN10),"")</f>
        <v/>
      </c>
      <c r="JU10" s="79" t="str">
        <f>IF(SUM(JI10:JJ10,JL10:JN10,JP10)-SUM(JK10,JO10)&gt;0,SUM(JI10:JJ10,JL10:JN10,JP10)-SUM(JK10,JO10),"")</f>
        <v/>
      </c>
      <c r="JV10" s="79" t="str">
        <f>IF(SUM(JR10,JU10)&gt;0,SUM(JR10,JU10),"")</f>
        <v/>
      </c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0" t="str">
        <f>IF(SUM(JX10,KB10)&gt;0,SUM(JX10,KB10),"")</f>
        <v/>
      </c>
      <c r="KR10" s="20" t="str">
        <f>IF(SUM(JW10:JX10,JZ10:KB10,KD10)-JY10-KC10&gt;0,SUM(JW10:JX10,JZ10:KB10,KD10)-JY10-KC10,"")</f>
        <v/>
      </c>
      <c r="KS10" s="20" t="str">
        <f>IF(SUM(KE10:KF10,KH10)-KG10&gt;0,SUM(KE10:KF10,KH10)-KG10,"")</f>
        <v/>
      </c>
      <c r="KT10" s="20" t="str">
        <f>IF(SUM(KJ10,KN10)&gt;0,SUM(KJ10,KN10),"")</f>
        <v/>
      </c>
      <c r="KU10" s="20" t="str">
        <f>IF(SUM(KI10:KJ10,KL10:KN10,KP10)-SUM(KK10,KO10)&gt;0,SUM(KI10:KJ10,KL10:KN10,KP10)-SUM(KK10,KO10),"")</f>
        <v/>
      </c>
      <c r="KV10" s="20" t="str">
        <f>IF(SUM(KR10,KU10)&gt;0,SUM(KR10,KU10),"")</f>
        <v/>
      </c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79" t="str">
        <f>IF(SUM(KX10,LB10)&gt;0,SUM(KX10,LB10),"")</f>
        <v/>
      </c>
      <c r="LR10" s="79" t="str">
        <f>IF(SUM(KW10:KX10,KZ10:LB10,LD10)-KY10-LC10&gt;0,SUM(KW10:KX10,KZ10:LB10,LD10)-KY10-LC10,"")</f>
        <v/>
      </c>
      <c r="LS10" s="79" t="str">
        <f>IF(SUM(LE10:LF10,LH10)-LG10&gt;0,SUM(LE10:LF10,LH10)-LG10,"")</f>
        <v/>
      </c>
      <c r="LT10" s="79" t="str">
        <f>IF(SUM(LJ10,LN10)&gt;0,SUM(LJ10,LN10),"")</f>
        <v/>
      </c>
      <c r="LU10" s="79" t="str">
        <f>IF(SUM(LI10:LJ10,LL10:LN10,LP10)-SUM(LK10,LO10)&gt;0,SUM(LI10:LJ10,LL10:LN10,LP10)-SUM(LK10,LO10),"")</f>
        <v/>
      </c>
      <c r="LV10" s="79" t="str">
        <f>IF(SUM(LR10,LU10)&gt;0,SUM(LR10,LU10),"")</f>
        <v/>
      </c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0" t="str">
        <f>IF(SUM(LX10,MB10)&gt;0,SUM(LX10,MB10),"")</f>
        <v/>
      </c>
      <c r="MR10" s="20" t="str">
        <f>IF(SUM(LW10:LX10,LZ10:MB10,MD10)-LY10-MC10&gt;0,SUM(LW10:LX10,LZ10:MB10,MD10)-LY10-MC10,"")</f>
        <v/>
      </c>
      <c r="MS10" s="20" t="str">
        <f>IF(SUM(ME10:MF10,MH10)-MG10&gt;0,SUM(ME10:MF10,MH10)-MG10,"")</f>
        <v/>
      </c>
      <c r="MT10" s="20" t="str">
        <f>IF(SUM(MJ10,MN10)&gt;0,SUM(MJ10,MN10),"")</f>
        <v/>
      </c>
      <c r="MU10" s="20" t="str">
        <f>IF(SUM(MI10:MJ10,ML10:MN10,MP10)-SUM(MK10,MO10)&gt;0,SUM(MI10:MJ10,ML10:MN10,MP10)-SUM(MK10,MO10),"")</f>
        <v/>
      </c>
      <c r="MV10" s="20" t="str">
        <f>IF(SUM(MR10,MU10)&gt;0,SUM(MR10,MU10),"")</f>
        <v/>
      </c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79" t="str">
        <f>IF(SUM(MX10,NB10)&gt;0,SUM(MX10,NB10),"")</f>
        <v/>
      </c>
      <c r="NR10" s="79" t="str">
        <f>IF(SUM(MW10:MX10,MZ10:NB10,ND10)-MY10-NC10&gt;0,SUM(MW10:MX10,MZ10:NB10,ND10)-MY10-NC10,"")</f>
        <v/>
      </c>
      <c r="NS10" s="79" t="str">
        <f>IF(SUM(NE10:NF10,NH10)-NG10&gt;0,SUM(NE10:NF10,NH10)-NG10,"")</f>
        <v/>
      </c>
      <c r="NT10" s="79" t="str">
        <f>IF(SUM(NJ10,NN10)&gt;0,SUM(NJ10,NN10),"")</f>
        <v/>
      </c>
      <c r="NU10" s="79" t="str">
        <f>IF(SUM(NI10:NJ10,NL10:NN10,NP10)-SUM(NK10,NO10)&gt;0,SUM(NI10:NJ10,NL10:NN10,NP10)-SUM(NK10,NO10),"")</f>
        <v/>
      </c>
      <c r="NV10" s="79" t="str">
        <f>IF(SUM(NR10,NU10)&gt;0,SUM(NR10,NU10),"")</f>
        <v/>
      </c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0" t="str">
        <f>IF(SUM(NX10,OB10)&gt;0,SUM(NX10,OB10),"")</f>
        <v/>
      </c>
      <c r="OR10" s="20" t="str">
        <f>IF(SUM(NW10:NX10,NZ10:OB10,OD10)-NY10-OC10&gt;0,SUM(NW10:NX10,NZ10:OB10,OD10)-NY10-OC10,"")</f>
        <v/>
      </c>
      <c r="OS10" s="20" t="str">
        <f>IF(SUM(OE10:OF10,OH10)-OG10&gt;0,SUM(OE10:OF10,OH10)-OG10,"")</f>
        <v/>
      </c>
      <c r="OT10" s="20" t="str">
        <f>IF(SUM(OJ10,ON10)&gt;0,SUM(OJ10,ON10),"")</f>
        <v/>
      </c>
      <c r="OU10" s="20" t="str">
        <f>IF(SUM(OI10:OJ10,OL10:ON10,OP10)-SUM(OK10,OO10)&gt;0,SUM(OI10:OJ10,OL10:ON10,OP10)-SUM(OK10,OO10),"")</f>
        <v/>
      </c>
      <c r="OV10" s="20" t="str">
        <f>IF(SUM(OR10,OU10)&gt;0,SUM(OR10,OU10),"")</f>
        <v/>
      </c>
      <c r="OW10" s="38">
        <f>IF($CN10="P",BT10,(BT10+AS10)/2)</f>
        <v>8.3000000000000007</v>
      </c>
      <c r="OX10" s="38">
        <f>IF($CN10="P",BU10,(BU10+AT10)/2)</f>
        <v>0.60004999999999997</v>
      </c>
      <c r="OY10" s="38">
        <f>IF($CN10="P",BV10,(BV10+AU10)/2)</f>
        <v>0.1</v>
      </c>
      <c r="OZ10" s="38">
        <f>IF($CN10="P",BW10,(BW10+AV10)/2)</f>
        <v>0</v>
      </c>
      <c r="PA10" s="38">
        <f>IF($CN10="P",BX10,(BX10+AW10)/2)</f>
        <v>8.35</v>
      </c>
      <c r="PB10" s="38">
        <f>IF($CN10="P",BY10,(BY10+AX10)/2)</f>
        <v>0.6</v>
      </c>
      <c r="PC10" s="38">
        <f>IF($CN10="P",BZ10,(BZ10+AY10)/2)</f>
        <v>0.1</v>
      </c>
      <c r="PD10" s="38">
        <f>IF($CN10="P",CA10,(CA10+AZ10)/2)</f>
        <v>0</v>
      </c>
      <c r="PE10" s="38">
        <f>IF($CN10="P",CB10,(CB10+BA10)/2)</f>
        <v>0</v>
      </c>
      <c r="PF10" s="38">
        <f>IF($CN10="P",CC10,(CC10+BB10)/2)</f>
        <v>0</v>
      </c>
      <c r="PG10" s="38">
        <f>IF($CN10="P",CD10,(CD10+BC10)/2)</f>
        <v>0</v>
      </c>
      <c r="PH10" s="38">
        <f>IF($CN10="P",CE10,(CE10+BD10)/2)</f>
        <v>0</v>
      </c>
      <c r="PI10" s="38">
        <f>IF($CN10="P",CF10,(CF10+BE10)/2)</f>
        <v>0</v>
      </c>
      <c r="PJ10" s="38">
        <f>IF($CN10="P",CG10,(CG10+BF10)/2)</f>
        <v>0</v>
      </c>
      <c r="PK10" s="38">
        <f>IF($CN10="P",CH10,(CH10+BG10)/2)</f>
        <v>0</v>
      </c>
      <c r="PL10" s="38">
        <f>IF($CN10="P",CI10,(CI10+BH10)/2)</f>
        <v>0</v>
      </c>
      <c r="PM10" s="38">
        <f>IF($CN10="P",CJ10,(CJ10+BI10)/2)</f>
        <v>0</v>
      </c>
      <c r="PN10" s="38">
        <f>IF($CN10="P",CK10,(CK10+BJ10)/2)</f>
        <v>0</v>
      </c>
      <c r="PO10" s="38">
        <f>IF($CN10="P",CL10,(CL10+BK10)/2)</f>
        <v>0</v>
      </c>
      <c r="PP10" s="38">
        <f>IF($CN10="P",CM10,(CM10+BL10)/2)</f>
        <v>0</v>
      </c>
      <c r="PQ10" s="45" t="s">
        <v>46</v>
      </c>
      <c r="PR10" s="79">
        <f>IF(SUM(OX10,PB10)&gt;0,SUM(OX10,PB10),"")</f>
        <v>1.2000500000000001</v>
      </c>
      <c r="PS10" s="79">
        <f>IF(SUM(OW10:OX10,OZ10:PB10,PD10)-OY10-PC10&gt;0,SUM(OW10:OX10,OZ10:PB10,PD10)-OY10-PC10,"")</f>
        <v>17.65005</v>
      </c>
      <c r="PT10" s="79" t="str">
        <f>IF(SUM(PE10:PF10,PH10)-PG10&gt;0,SUM(PE10:PF10,PH10)-PG10,"")</f>
        <v/>
      </c>
      <c r="PU10" s="79" t="str">
        <f>IF(SUM(PJ10,PN10)&gt;0,SUM(PJ10,PN10),"")</f>
        <v/>
      </c>
      <c r="PV10" s="79" t="str">
        <f>IF(SUM(PI10:PJ10,PL10:PN10,PP10)-SUM(PK10,PO10)&gt;0,SUM(PI10:PJ10,PL10:PN10,PP10)-SUM(PK10,PO10),"")</f>
        <v/>
      </c>
      <c r="PW10" s="79">
        <f>IF(SUM(PS10,PV10)&gt;0,SUM(PS10,PV10),"")</f>
        <v>17.65005</v>
      </c>
    </row>
    <row r="11" spans="1:439" x14ac:dyDescent="0.2">
      <c r="A11" s="5" t="str">
        <f>IF(AND(F11="P",G11="P"),SUMPRODUCT((F$4:F$12="P")*(G$4:G$12="P")*(E$4:E$12&gt;E11))+1,IF(G11="P",SUMPRODUCT((F$4:F$12="")*(G$4:G$12="P")*(E$4:E$12&gt;E11))+1+SUMPRODUCT((F$4:F$12="P")*(G$4:G$12="P")),""))</f>
        <v/>
      </c>
      <c r="B11" s="78" t="s">
        <v>104</v>
      </c>
      <c r="C11" s="5" t="s">
        <v>3</v>
      </c>
      <c r="D11" s="5">
        <v>2003</v>
      </c>
      <c r="E11" s="15">
        <f>SUM(I11:O11)+SUM(I11:M11)*0.0000001+SUM(I11)*0.0000000000001</f>
        <v>1.0000001000001001E-4</v>
      </c>
      <c r="F11" s="3" t="str">
        <f>IF(OR(AND(AM11&gt;=AR$14,AN11&gt;=AR$18,AM11&lt;&gt;"",AL11=""),AND(AP11&gt;=AR$14,AQ11&gt;=AR$18,AP11&lt;&gt;"",AL11=""),AND(BN11&gt;=BS$14,BO11&gt;=BS$18,BN11&lt;&gt;"",BM11=""),AND(BQ11&gt;=BS$14,BR11&gt;=BS$18,BQ11&lt;&gt;"",BM11=""),AND(CO11&gt;=CT$14,CP11&gt;=CT$18,CO11&lt;&gt;"",CN11=""),AND(CR11&gt;=CT$14,CS11&gt;=CT$18,CR11&lt;&gt;""),AND(DQ11&gt;=DV$14,DR11&gt;=DV$18,DQ11&lt;&gt;""),AND(DT11&gt;=DV$14,DU11&gt;=DV$18,DT11&lt;&gt;""),AND(EQ11&gt;=EV$14,ER11&gt;=EV$18,EQ11&lt;&gt;""),AND(ET11&gt;=EV$14,EU11&gt;=EV$18,ET11&lt;&gt;""),AND(FQ11&gt;=FV$14,FR11&gt;=FV$18,FQ11&lt;&gt;""),AND(FT11&gt;=FV$14,FU11&gt;=FV$18,FT11&lt;&gt;""),AND(GQ11&gt;=GV$14,GR11&gt;=GV$18,GQ11&lt;&gt;""),AND(GT11&gt;=GV$14,GU11&gt;=GV$18,GT11&lt;&gt;""),AND(HQ11&gt;=HV$14,HR11&gt;=HV$18,HQ11&lt;&gt;""),AND(HT11&gt;=HV$14,HU11&gt;=HV$18,HT11&lt;&gt;""),AND(IQ11&gt;=IV$14,IR11&gt;=IV$18,IQ11&lt;&gt;""),AND(IT11&gt;=IV$14,IU11&gt;=IV$18,IT11&lt;&gt;""),AND(JQ11&gt;=JV$14,JR11&gt;=JV$18,JQ11&lt;&gt;""),AND(JT11&gt;=JV$14,JU11&gt;=JV$18,JT11&lt;&gt;""),AND(KQ11&gt;=KV$14,KR11&gt;=KV$18,KQ11&lt;&gt;""),AND(KT11&gt;=KV$14,KU11&gt;=KV$18,KT11&lt;&gt;""),AND(LQ11&gt;=LV$14,LR11&gt;=LV$18,LQ11&lt;&gt;""),AND(LT11&gt;=LV$14,LU11&gt;=LV$18,LT11&lt;&gt;""),AND(MQ11&gt;=MV$14,MR11&gt;=MV$18,MQ11&lt;&gt;""),AND(MT11&gt;=MV$14,MU11&gt;=MV$18,MT11&lt;&gt;""),AND(NQ11&gt;=NV$14,NR11&gt;=NV$18,NQ11&lt;&gt;""),AND(NT11&gt;=NV$14,NU11&gt;=NV$18,NT11&lt;&gt;""),AND(OQ11&gt;=OV$14,OR11&gt;=OV$18,OQ11&lt;&gt;""),AND(OT11&gt;=OV$14,OU11&gt;=OV$18,OT11&lt;&gt;"")),"P","")</f>
        <v/>
      </c>
      <c r="G11" s="3" t="str">
        <f>IF(OR(AND(AN11&gt;=AR$18,AN11&lt;&gt;"",AL11=""),AND(AQ11&gt;=AR$18,AQ11&lt;&gt;"",AL11=""),AND(BO11&gt;=BS$18,BO11&lt;&gt;"",BM11=""),AND(BR11&gt;=BS$18,BR11&lt;&gt;"",BM11=""),AND(CP11&gt;=CT$18,CP11&lt;&gt;"",CN11=""),AND(CS11&gt;=CT$18,CS11&lt;&gt;"",CN11=""),AND(DR11&gt;=DV$18,DR11&lt;&gt;""),AND(DU11&gt;=DV$18,DU11&lt;&gt;""),AND(ER11&gt;=EV$18,ER11&lt;&gt;""),AND(EU11&gt;=EV$18,EU11&lt;&gt;""),AND(FR11&gt;=FV$18,FR11&lt;&gt;""),AND(FU11&gt;=FV$18,FU11&lt;&gt;""),AND(GR11&gt;=GV$18,GR11&lt;&gt;""),AND(GU11&gt;=GV$18,GU11&lt;&gt;""),AND(HR11&gt;=HV$18,HR11&lt;&gt;""),AND(HU11&gt;=HV$18,HU11&lt;&gt;""),AND(IR11&gt;=IV$18,IR11&lt;&gt;""),AND(IU11&gt;=IV$18,IU11&lt;&gt;""),AND(JR11&gt;=JV$18,JR11&lt;&gt;""),AND(JU11&gt;=JV$18,JU11&lt;&gt;""),AND(KR11&gt;=KV$18,KR11&lt;&gt;""),AND(KU11&gt;=KV$18,KU11&lt;&gt;""),AND(LR11&gt;=LV$18,LR11&lt;&gt;""),AND(LU11&gt;=LV$18,LU11&lt;&gt;""),AND(MR11&gt;=MV$18,MR11&lt;&gt;""),AND(MU11&gt;=MV$18,MU11&lt;&gt;""),AND(NR11&gt;=NV$18,NR11&lt;&gt;""),AND(NU11&gt;=NV$18,NU11&lt;&gt;""),AND(OR11&gt;=OV$18,OR11&lt;&gt;""),AND(OU11&gt;=OV$18,OU11&lt;&gt;"")),"P","")</f>
        <v/>
      </c>
      <c r="H11" s="67" t="str">
        <f>IF(AND(G11="P",F11=""),"No DD",IF(OR(AND(AM11&gt;=AR$17,AN11&gt;=AR$21,AM11&lt;&gt;"",AL11=""),AND(AP11&gt;=AR$17,AQ11&gt;=AR$21,AP11&lt;&gt;"",AL11=""),AND(BN11&gt;=BS$17,BO11&gt;=BS$21,BN11&lt;&gt;"",BM11=""),AND(BQ11&gt;=BS$17,BR11&gt;=BS$21,BQ11&lt;&gt;"",BM11=""),AND(CO11&gt;=CT$17,CP11&gt;=CT$21,CO11&lt;&gt;"",CN11=""),AND(CR11&gt;=CT$17,CS11&gt;=CT$21,CR11&lt;&gt;""),AND(DQ11&gt;=DV$17,DR11&gt;=DV$21,DQ11&lt;&gt;""),AND(DT11&gt;=DV$17,DU11&gt;=DV$21,DT11&lt;&gt;""),AND(EQ11&gt;=EV$17,ER11&gt;=EV$21,EQ11&lt;&gt;""),AND(ET11&gt;=EV$17,EU11&gt;=EV$21,ET11&lt;&gt;""),AND(FQ11&gt;=FV$17,FR11&gt;=FV$21,FQ11&lt;&gt;""),AND(FT11&gt;=FV$17,FU11&gt;=FV$21,FT11&lt;&gt;""),AND(GQ11&gt;=GV$17,GR11&gt;=GV$21,GQ11&lt;&gt;""),AND(GT11&gt;=GV$17,GU11&gt;=GV$21,GT11&lt;&gt;""),AND(HQ11&gt;=HV$17,HR11&gt;=HV$21,HQ11&lt;&gt;""),AND(HT11&gt;=HV$17,HU11&gt;=HV$21,HT11&lt;&gt;""),AND(IQ11&gt;=IV$17,IR11&gt;=IV$21,IQ11&lt;&gt;""),AND(IT11&gt;=IV$17,IU11&gt;=IV$21,IT11&lt;&gt;""),AND(JQ11&gt;=JV$17,JR11&gt;=JV$21,JQ11&lt;&gt;""),AND(JT11&gt;=JV$17,JU11&gt;=JV$21,JT11&lt;&gt;""),AND(KQ11&gt;=KV$17,KR11&gt;=KV$21,KQ11&lt;&gt;""),AND(KT11&gt;=KV$17,KU11&gt;=KV$21,KT11&lt;&gt;""),AND(LQ11&gt;=LV$17,LR11&gt;=LV$21,LQ11&lt;&gt;""),AND(LT11&gt;=LV$17,LU11&gt;=LV$21,LT11&lt;&gt;""),AND(MQ11&gt;=MV$17,MR11&gt;=MV$21,MQ11&lt;&gt;""),AND(MT11&gt;=MV$17,MU11&gt;=MV$21,MT11&lt;&gt;""),AND(NQ11&gt;=NV$17,NR11&gt;=NV$21,NQ11&lt;&gt;""),AND(NT11&gt;=NV$17,NU11&gt;=NV$21,NT11&lt;&gt;""),AND(OQ11&gt;=OV$17,OR11&gt;=OV$21,OQ11&lt;&gt;""),AND(OT11&gt;=OV$17,OU11&gt;=OV$21,OT11&lt;&gt;"")),"Merit",IF(OR(AND(AM11&gt;=AR$16,AN11&gt;=AR$20,AM11&lt;&gt;"",AL11=""),AND(AP11&gt;=AR$16,AQ11&gt;=AR$20,AP11&lt;&gt;"",AL11=""),AND(BN11&gt;=BS$16,BO11&gt;=BS$20,BN11&lt;&gt;"",BM11=""),AND(BQ11&gt;=BS$16,BR11&gt;=BS$20,BQ11&lt;&gt;"",BM11=""),AND(CO11&gt;=CT$16,CP11&gt;=CT$20,CO11&lt;&gt;"",CN11=""),AND(CR11&gt;=CT$16,CS11&gt;=CT$20,CR11&lt;&gt;""),AND(DQ11&gt;=DV$16,DR11&gt;=DV$20,DQ11&lt;&gt;""),AND(DT11&gt;=DV$16,DU11&gt;=DV$20,DT11&lt;&gt;""),AND(EQ11&gt;=EV$16,ER11&gt;=EV$20,EQ11&lt;&gt;""),AND(ET11&gt;=EV$16,EU11&gt;=EV$20,ET11&lt;&gt;""),AND(FQ11&gt;=FV$16,FR11&gt;=FV$20,FQ11&lt;&gt;""),AND(FT11&gt;=FV$16,FU11&gt;=FV$20,FT11&lt;&gt;""),AND(GQ11&gt;=GV$16,GR11&gt;=GV$20,GQ11&lt;&gt;""),AND(GT11&gt;=GV$16,GU11&gt;=GV$20,GT11&lt;&gt;""),AND(HQ11&gt;=HV$16,HR11&gt;=HV$20,HQ11&lt;&gt;""),AND(HT11&gt;=HV$16,HU11&gt;=HV$20,HT11&lt;&gt;""),AND(IQ11&gt;=IV$16,IR11&gt;=IV$20,IQ11&lt;&gt;""),AND(IT11&gt;=IV$16,IU11&gt;=IV$20,IT11&lt;&gt;""),AND(JQ11&gt;=JV$16,JR11&gt;=JV$20,JQ11&lt;&gt;""),AND(JT11&gt;=JV$16,JU11&gt;=JV$20,JT11&lt;&gt;""),AND(KQ11&gt;=KV$16,KR11&gt;=KV$20,KQ11&lt;&gt;""),AND(KT11&gt;=KV$16,KU11&gt;=KV$20,KT11&lt;&gt;""),AND(LQ11&gt;=LV$16,LR11&gt;=LV$20,LQ11&lt;&gt;""),AND(LT11&gt;=LV$16,LU11&gt;=LV$20,LT11&lt;&gt;""),AND(MQ11&gt;=MV$16,MR11&gt;=MV$20,MQ11&lt;&gt;""),AND(MT11&gt;=MV$16,MU11&gt;=MV$20,MT11&lt;&gt;""),AND(NQ11&gt;=NV$16,NR11&gt;=NV$20,NQ11&lt;&gt;""),AND(NT11&gt;=NV$16,NU11&gt;=NV$20,NT11&lt;&gt;""),AND(OQ11&gt;=OV$16,OR11&gt;=OV$20,OQ11&lt;&gt;""),AND(OT11&gt;=OV$16,OU11&gt;=OV$20,OT11&lt;&gt;"")),"Excellence",IF(F11="P","National Team",""))))</f>
        <v/>
      </c>
      <c r="I11" s="14">
        <f>IF(COUNT(AN11,BO11,CP11)&gt;0,LARGE((AN11,BO11,CP11),1),0)</f>
        <v>1E-4</v>
      </c>
      <c r="J11" s="14" t="str">
        <f>IF(I11=0,"",IF(I11=CP11,$BT$1,IF(I11=BO11,$AS$1,IF(I11=AN11,$R$1,""))))</f>
        <v>2021 Elite Canada</v>
      </c>
      <c r="K11" s="14">
        <f>IF(COUNT(AN11,BO11,CP11)&gt;1,LARGE((AN11,BO11,CP11),2),0)</f>
        <v>0</v>
      </c>
      <c r="L11" s="14" t="str">
        <f>IF(K11=0,"",IF(K11=CP11,$BT$1,IF(K11=BO11,$AS$1,IF(K11=AN11,$R$1,""))))</f>
        <v/>
      </c>
      <c r="M11" s="14">
        <f>IF(MAX(AQ11,BR11,CS11)&gt;0,MAX(AQ11,BR11,CS11),0)</f>
        <v>0</v>
      </c>
      <c r="N11" s="14" t="str">
        <f>IF(M11=0,"",IF(M11=CS11,$BT$1,IF(M11=BR11,$AS$1,IF(M11=AQ11,$R$1,""))))</f>
        <v/>
      </c>
      <c r="O11" s="14" t="str">
        <f>IF(MAX(CU11:CV11)&gt;0,MAX(CU11:CV11),"")</f>
        <v/>
      </c>
      <c r="P11" s="20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7"/>
      <c r="S11" s="27">
        <v>1E-4</v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45"/>
      <c r="AM11" s="79">
        <f>IF(SUM(S11,W11)&gt;0,SUM(S11,W11),"")</f>
        <v>1E-4</v>
      </c>
      <c r="AN11" s="79">
        <f>IF(SUM(R11:S11,U11:W11,Y11)-T11-X11&gt;0,SUM(R11:S11,U11:W11,Y11)-T11-X11,"")</f>
        <v>1E-4</v>
      </c>
      <c r="AO11" s="79" t="str">
        <f>IF(SUM(Z11:AA11,AC11)-AB11&gt;0,SUM(Z11:AA11,AC11)-AB11,"")</f>
        <v/>
      </c>
      <c r="AP11" s="79" t="str">
        <f>IF(SUM(AE11,AI11)&gt;0,SUM(AE11,AI11),"")</f>
        <v/>
      </c>
      <c r="AQ11" s="79" t="str">
        <f>IF(SUM(AD11:AE11,AG11:AI11,AK11)-SUM(AF11,AJ11)&gt;0,SUM(AD11:AE11,AG11:AI11,AK11)-SUM(AF11,AJ11),"")</f>
        <v/>
      </c>
      <c r="AR11" s="79">
        <f>IF(SUM(AN11,AQ11)&gt;0,SUM(AN11,AQ11),"")</f>
        <v>1E-4</v>
      </c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46"/>
      <c r="BN11" s="20" t="str">
        <f>IF(SUM(AT11,AX11)&gt;0,SUM(AT11,AX11),"")</f>
        <v/>
      </c>
      <c r="BO11" s="20" t="str">
        <f>IF(SUM(AS11:AT11,AV11:AX11,AZ11)-AU11-AY11&gt;0,SUM(AS11:AT11,AV11:AX11,AZ11)-AU11-AY11,"")</f>
        <v/>
      </c>
      <c r="BP11" s="20" t="str">
        <f>IF(SUM(BA11:BB11,BD11)-BC11&gt;0,SUM(BA11:BB11,BD11)-BC11,"")</f>
        <v/>
      </c>
      <c r="BQ11" s="20" t="str">
        <f>IF(SUM(BF11,BJ11)&gt;0,SUM(BF11,BJ11),"")</f>
        <v/>
      </c>
      <c r="BR11" s="20" t="str">
        <f>IF(SUM(BE11:BF11,BH11:BJ11,BL11)-SUM(BG11,BK11)&gt;0,SUM(BE11:BF11,BH11:BJ11,BL11)-SUM(BG11,BK11),"")</f>
        <v/>
      </c>
      <c r="BS11" s="20" t="str">
        <f>IF(SUM(BO11,BR11)&gt;0,SUM(BO11,BR11),"")</f>
        <v/>
      </c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45"/>
      <c r="CO11" s="79" t="str">
        <f>IF(SUM(BU11,BY11)&gt;0,SUM(BU11,BY11),"")</f>
        <v/>
      </c>
      <c r="CP11" s="79" t="str">
        <f>IF(SUM(BT11:BU11,BW11:BY11,CA11)-BV11-BZ11&gt;0,SUM(BT11:BU11,BW11:BY11,CA11)-BV11-BZ11,"")</f>
        <v/>
      </c>
      <c r="CQ11" s="79" t="str">
        <f>IF(SUM(CB11:CC11,CE11)-CD11&gt;0,SUM(CB11:CC11,CE11)-CD11,"")</f>
        <v/>
      </c>
      <c r="CR11" s="79" t="str">
        <f>IF(SUM(CG11,CK11)&gt;0,SUM(CG11,CK11),"")</f>
        <v/>
      </c>
      <c r="CS11" s="79" t="str">
        <f>IF(SUM(CF11:CG11,CI11:CK11,CM11)-SUM(CH11,CL11)&gt;0,SUM(CF11:CG11,CI11:CK11,CM11)-SUM(CH11,CL11),"")</f>
        <v/>
      </c>
      <c r="CT11" s="79" t="str">
        <f>IF(SUM(CP11,CS11)&gt;0,SUM(CP11,CS11),"")</f>
        <v/>
      </c>
      <c r="CU11" s="80" t="str">
        <f>IF(K11&gt;=0.001,IF(MAX(DR11,ER11,FR11,GR11,HR11,IR11,JR11,KR11,LR11,MR11,NR11,OR11)-IF(K11="",0,K11)&gt;0.001,MAX(DR11,ER11,FR11,GR11,HR11,IR11,JR11,KR11,LR11,MR11,NR11,OR11)-IF(K11="",0,K11),""),"")</f>
        <v/>
      </c>
      <c r="CV11" s="80" t="str">
        <f>IF(M11&gt;=0.001,IF(MAX(DU11,EU11,FU11,GU11,HU11,IU11,JU11,KU11,LU11,MU11,NU11,OU11)-IF(M11="",0,M11)&gt;0.001,MAX(DU11,EU11,FU11,GU11,HU11,IU11,JU11,KU11,LU11,MU11,NU11,OU11)-IF(M11="",0,M11),""),"")</f>
        <v/>
      </c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79" t="str">
        <f>IF(SUM(CX11,DB11)&gt;0,SUM(CX11,DB11),"")</f>
        <v/>
      </c>
      <c r="DR11" s="79" t="str">
        <f>IF(SUM(CW11:CX11,CZ11:DB11,DD11)-CY11-DC11&gt;0,SUM(CW11:CX11,CZ11:DB11,DD11)-CY11-DC11,"")</f>
        <v/>
      </c>
      <c r="DS11" s="79" t="str">
        <f>IF(SUM(DE11:DF11,DH11)-DG11&gt;0,SUM(DE11:DF11,DH11)-DG11,"")</f>
        <v/>
      </c>
      <c r="DT11" s="79" t="str">
        <f>IF(SUM(DJ11,DN11)&gt;0,SUM(DJ11,DN11),"")</f>
        <v/>
      </c>
      <c r="DU11" s="79" t="str">
        <f>IF(SUM(DI11:DJ11,DL11:DN11,DP11)-SUM(DK11,DO11)&gt;0,SUM(DI11:DJ11,DL11:DN11,DP11)-SUM(DK11,DO11),"")</f>
        <v/>
      </c>
      <c r="DV11" s="79" t="str">
        <f>IF(SUM(DR11,DU11)&gt;0,SUM(DR11,DU11),"")</f>
        <v/>
      </c>
      <c r="DW11" s="26"/>
      <c r="DX11" s="26">
        <v>1E-4</v>
      </c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0">
        <f>IF(SUM(DX11,EB11)&gt;0,SUM(DX11,EB11),"")</f>
        <v>1E-4</v>
      </c>
      <c r="ER11" s="20">
        <f>IF(SUM(DW11:DX11,DZ11:EB11,ED11)-DY11-EC11&gt;0,SUM(DW11:DX11,DZ11:EB11,ED11)-DY11-EC11,"")</f>
        <v>1E-4</v>
      </c>
      <c r="ES11" s="20" t="str">
        <f>IF(SUM(EE11:EF11,EH11)-EG11&gt;0,SUM(EE11:EF11,EH11)-EG11,"")</f>
        <v/>
      </c>
      <c r="ET11" s="20" t="str">
        <f>IF(SUM(EJ11,EN11)&gt;0,SUM(EJ11,EN11),"")</f>
        <v/>
      </c>
      <c r="EU11" s="20" t="str">
        <f>IF(SUM(EI11:EJ11,EL11:EN11,EP11)-SUM(EK11,EO11)&gt;0,SUM(EI11:EJ11,EL11:EN11,EP11)-SUM(EK11,EO11),"")</f>
        <v/>
      </c>
      <c r="EV11" s="20">
        <f>IF(SUM(ER11,EU11)&gt;0,SUM(ER11,EU11),"")</f>
        <v>1E-4</v>
      </c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79" t="str">
        <f>IF(SUM(EX11,FB11)&gt;0,SUM(EX11,FB11),"")</f>
        <v/>
      </c>
      <c r="FR11" s="79" t="str">
        <f>IF(SUM(EW11:EX11,EZ11:FB11,FD11)-EY11-FC11&gt;0,SUM(EW11:EX11,EZ11:FB11,FD11)-EY11-FC11,"")</f>
        <v/>
      </c>
      <c r="FS11" s="79" t="str">
        <f>IF(SUM(FE11:FF11,FH11)-FG11&gt;0,SUM(FE11:FF11,FH11)-FG11,"")</f>
        <v/>
      </c>
      <c r="FT11" s="79" t="str">
        <f>IF(SUM(FJ11,FN11)&gt;0,SUM(FJ11,FN11),"")</f>
        <v/>
      </c>
      <c r="FU11" s="79" t="str">
        <f>IF(SUM(FI11:FJ11,FL11:FN11,FP11)-SUM(FK11,FO11)&gt;0,SUM(FI11:FJ11,FL11:FN11,FP11)-SUM(FK11,FO11),"")</f>
        <v/>
      </c>
      <c r="FV11" s="79" t="str">
        <f>IF(SUM(FR11,FU11)&gt;0,SUM(FR11,FU11),"")</f>
        <v/>
      </c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0" t="str">
        <f>IF(SUM(FX11,GB11)&gt;0,SUM(FX11,GB11),"")</f>
        <v/>
      </c>
      <c r="GR11" s="20" t="str">
        <f>IF(SUM(FW11:FX11,FZ11:GB11,GD11)-FY11-GC11&gt;0,SUM(FW11:FX11,FZ11:GB11,GD11)-FY11-GC11,"")</f>
        <v/>
      </c>
      <c r="GS11" s="20" t="str">
        <f>IF(SUM(GE11:GF11,GH11)-GG11&gt;0,SUM(GE11:GF11,GH11)-GG11,"")</f>
        <v/>
      </c>
      <c r="GT11" s="20" t="str">
        <f>IF(SUM(GJ11,GN11)&gt;0,SUM(GJ11,GN11),"")</f>
        <v/>
      </c>
      <c r="GU11" s="20" t="str">
        <f>IF(SUM(GI11:GJ11,GL11:GN11,GP11)-SUM(GK11,GO11)&gt;0,SUM(GI11:GJ11,GL11:GN11,GP11)-SUM(GK11,GO11),"")</f>
        <v/>
      </c>
      <c r="GV11" s="20" t="str">
        <f>IF(SUM(GR11,GU11)&gt;0,SUM(GR11,GU11),"")</f>
        <v/>
      </c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79" t="str">
        <f>IF(SUM(GX11,HB11)&gt;0,SUM(GX11,HB11),"")</f>
        <v/>
      </c>
      <c r="HR11" s="79" t="str">
        <f>IF(SUM(GW11:GX11,GZ11:HB11,HD11)-GY11-HC11&gt;0,SUM(GW11:GX11,GZ11:HB11,HD11)-GY11-HC11,"")</f>
        <v/>
      </c>
      <c r="HS11" s="79" t="str">
        <f>IF(SUM(HE11:HF11,HH11)-HG11&gt;0,SUM(HE11:HF11,HH11)-HG11,"")</f>
        <v/>
      </c>
      <c r="HT11" s="79" t="str">
        <f>IF(SUM(HJ11,HN11)&gt;0,SUM(HJ11,HN11),"")</f>
        <v/>
      </c>
      <c r="HU11" s="79" t="str">
        <f>IF(SUM(HI11:HJ11,HL11:HN11,HP11)-SUM(HK11,HO11)&gt;0,SUM(HI11:HJ11,HL11:HN11,HP11)-SUM(HK11,HO11),"")</f>
        <v/>
      </c>
      <c r="HV11" s="79" t="str">
        <f>IF(SUM(HR11,HU11)&gt;0,SUM(HR11,HU11),"")</f>
        <v/>
      </c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0" t="str">
        <f>IF(SUM(HX11,IB11)&gt;0,SUM(HX11,IB11),"")</f>
        <v/>
      </c>
      <c r="IR11" s="20" t="str">
        <f>IF(SUM(HW11:HX11,HZ11:IB11,ID11)-HY11-IC11&gt;0,SUM(HW11:HX11,HZ11:IB11,ID11)-HY11-IC11,"")</f>
        <v/>
      </c>
      <c r="IS11" s="20" t="str">
        <f>IF(SUM(IE11:IF11,IH11)-IG11&gt;0,SUM(IE11:IF11,IH11)-IG11,"")</f>
        <v/>
      </c>
      <c r="IT11" s="20" t="str">
        <f>IF(SUM(IJ11,IN11)&gt;0,SUM(IJ11,IN11),"")</f>
        <v/>
      </c>
      <c r="IU11" s="20" t="str">
        <f>IF(SUM(II11:IJ11,IL11:IN11,IP11)-SUM(IK11,IO11)&gt;0,SUM(II11:IJ11,IL11:IN11,IP11)-SUM(IK11,IO11),"")</f>
        <v/>
      </c>
      <c r="IV11" s="20" t="str">
        <f>IF(SUM(IR11,IU11)&gt;0,SUM(IR11,IU11),"")</f>
        <v/>
      </c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79" t="str">
        <f>IF(SUM(IX11,JB11)&gt;0,SUM(IX11,JB11),"")</f>
        <v/>
      </c>
      <c r="JR11" s="79" t="str">
        <f>IF(SUM(IW11:IX11,IZ11:JB11,JD11)-IY11-JC11&gt;0,SUM(IW11:IX11,IZ11:JB11,JD11)-IY11-JC11,"")</f>
        <v/>
      </c>
      <c r="JS11" s="79" t="str">
        <f>IF(SUM(JE11:JF11,JH11)-JG11&gt;0,SUM(JE11:JF11,JH11)-JG11,"")</f>
        <v/>
      </c>
      <c r="JT11" s="79" t="str">
        <f>IF(SUM(JJ11,JN11)&gt;0,SUM(JJ11,JN11),"")</f>
        <v/>
      </c>
      <c r="JU11" s="79" t="str">
        <f>IF(SUM(JI11:JJ11,JL11:JN11,JP11)-SUM(JK11,JO11)&gt;0,SUM(JI11:JJ11,JL11:JN11,JP11)-SUM(JK11,JO11),"")</f>
        <v/>
      </c>
      <c r="JV11" s="79" t="str">
        <f>IF(SUM(JR11,JU11)&gt;0,SUM(JR11,JU11),"")</f>
        <v/>
      </c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0" t="str">
        <f>IF(SUM(JX11,KB11)&gt;0,SUM(JX11,KB11),"")</f>
        <v/>
      </c>
      <c r="KR11" s="20" t="str">
        <f>IF(SUM(JW11:JX11,JZ11:KB11,KD11)-JY11-KC11&gt;0,SUM(JW11:JX11,JZ11:KB11,KD11)-JY11-KC11,"")</f>
        <v/>
      </c>
      <c r="KS11" s="20" t="str">
        <f>IF(SUM(KE11:KF11,KH11)-KG11&gt;0,SUM(KE11:KF11,KH11)-KG11,"")</f>
        <v/>
      </c>
      <c r="KT11" s="20" t="str">
        <f>IF(SUM(KJ11,KN11)&gt;0,SUM(KJ11,KN11),"")</f>
        <v/>
      </c>
      <c r="KU11" s="20" t="str">
        <f>IF(SUM(KI11:KJ11,KL11:KN11,KP11)-SUM(KK11,KO11)&gt;0,SUM(KI11:KJ11,KL11:KN11,KP11)-SUM(KK11,KO11),"")</f>
        <v/>
      </c>
      <c r="KV11" s="20" t="str">
        <f>IF(SUM(KR11,KU11)&gt;0,SUM(KR11,KU11),"")</f>
        <v/>
      </c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79" t="str">
        <f>IF(SUM(KX11,LB11)&gt;0,SUM(KX11,LB11),"")</f>
        <v/>
      </c>
      <c r="LR11" s="79" t="str">
        <f>IF(SUM(KW11:KX11,KZ11:LB11,LD11)-KY11-LC11&gt;0,SUM(KW11:KX11,KZ11:LB11,LD11)-KY11-LC11,"")</f>
        <v/>
      </c>
      <c r="LS11" s="79" t="str">
        <f>IF(SUM(LE11:LF11,LH11)-LG11&gt;0,SUM(LE11:LF11,LH11)-LG11,"")</f>
        <v/>
      </c>
      <c r="LT11" s="79" t="str">
        <f>IF(SUM(LJ11,LN11)&gt;0,SUM(LJ11,LN11),"")</f>
        <v/>
      </c>
      <c r="LU11" s="79" t="str">
        <f>IF(SUM(LI11:LJ11,LL11:LN11,LP11)-SUM(LK11,LO11)&gt;0,SUM(LI11:LJ11,LL11:LN11,LP11)-SUM(LK11,LO11),"")</f>
        <v/>
      </c>
      <c r="LV11" s="79" t="str">
        <f>IF(SUM(LR11,LU11)&gt;0,SUM(LR11,LU11),"")</f>
        <v/>
      </c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0" t="str">
        <f>IF(SUM(LX11,MB11)&gt;0,SUM(LX11,MB11),"")</f>
        <v/>
      </c>
      <c r="MR11" s="20" t="str">
        <f>IF(SUM(LW11:LX11,LZ11:MB11,MD11)-LY11-MC11&gt;0,SUM(LW11:LX11,LZ11:MB11,MD11)-LY11-MC11,"")</f>
        <v/>
      </c>
      <c r="MS11" s="20" t="str">
        <f>IF(SUM(ME11:MF11,MH11)-MG11&gt;0,SUM(ME11:MF11,MH11)-MG11,"")</f>
        <v/>
      </c>
      <c r="MT11" s="20" t="str">
        <f>IF(SUM(MJ11,MN11)&gt;0,SUM(MJ11,MN11),"")</f>
        <v/>
      </c>
      <c r="MU11" s="20" t="str">
        <f>IF(SUM(MI11:MJ11,ML11:MN11,MP11)-SUM(MK11,MO11)&gt;0,SUM(MI11:MJ11,ML11:MN11,MP11)-SUM(MK11,MO11),"")</f>
        <v/>
      </c>
      <c r="MV11" s="20" t="str">
        <f>IF(SUM(MR11,MU11)&gt;0,SUM(MR11,MU11),"")</f>
        <v/>
      </c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79" t="str">
        <f>IF(SUM(MX11,NB11)&gt;0,SUM(MX11,NB11),"")</f>
        <v/>
      </c>
      <c r="NR11" s="79" t="str">
        <f>IF(SUM(MW11:MX11,MZ11:NB11,ND11)-MY11-NC11&gt;0,SUM(MW11:MX11,MZ11:NB11,ND11)-MY11-NC11,"")</f>
        <v/>
      </c>
      <c r="NS11" s="79" t="str">
        <f>IF(SUM(NE11:NF11,NH11)-NG11&gt;0,SUM(NE11:NF11,NH11)-NG11,"")</f>
        <v/>
      </c>
      <c r="NT11" s="79" t="str">
        <f>IF(SUM(NJ11,NN11)&gt;0,SUM(NJ11,NN11),"")</f>
        <v/>
      </c>
      <c r="NU11" s="79" t="str">
        <f>IF(SUM(NI11:NJ11,NL11:NN11,NP11)-SUM(NK11,NO11)&gt;0,SUM(NI11:NJ11,NL11:NN11,NP11)-SUM(NK11,NO11),"")</f>
        <v/>
      </c>
      <c r="NV11" s="79" t="str">
        <f>IF(SUM(NR11,NU11)&gt;0,SUM(NR11,NU11),"")</f>
        <v/>
      </c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0" t="str">
        <f>IF(SUM(NX11,OB11)&gt;0,SUM(NX11,OB11),"")</f>
        <v/>
      </c>
      <c r="OR11" s="20" t="str">
        <f>IF(SUM(NW11:NX11,NZ11:OB11,OD11)-NY11-OC11&gt;0,SUM(NW11:NX11,NZ11:OB11,OD11)-NY11-OC11,"")</f>
        <v/>
      </c>
      <c r="OS11" s="20" t="str">
        <f>IF(SUM(OE11:OF11,OH11)-OG11&gt;0,SUM(OE11:OF11,OH11)-OG11,"")</f>
        <v/>
      </c>
      <c r="OT11" s="20" t="str">
        <f>IF(SUM(OJ11,ON11)&gt;0,SUM(OJ11,ON11),"")</f>
        <v/>
      </c>
      <c r="OU11" s="20" t="str">
        <f>IF(SUM(OI11:OJ11,OL11:ON11,OP11)-SUM(OK11,OO11)&gt;0,SUM(OI11:OJ11,OL11:ON11,OP11)-SUM(OK11,OO11),"")</f>
        <v/>
      </c>
      <c r="OV11" s="20" t="str">
        <f>IF(SUM(OR11,OU11)&gt;0,SUM(OR11,OU11),"")</f>
        <v/>
      </c>
      <c r="OW11" s="38">
        <f>IF($CN11="P",BT11,(BT11+AS11)/2)</f>
        <v>0</v>
      </c>
      <c r="OX11" s="38">
        <f>IF($CN11="P",BU11,(BU11+AT11)/2)</f>
        <v>0</v>
      </c>
      <c r="OY11" s="38">
        <f>IF($CN11="P",BV11,(BV11+AU11)/2)</f>
        <v>0</v>
      </c>
      <c r="OZ11" s="38">
        <f>IF($CN11="P",BW11,(BW11+AV11)/2)</f>
        <v>0</v>
      </c>
      <c r="PA11" s="38">
        <f>IF($CN11="P",BX11,(BX11+AW11)/2)</f>
        <v>0</v>
      </c>
      <c r="PB11" s="38">
        <f>IF($CN11="P",BY11,(BY11+AX11)/2)</f>
        <v>0</v>
      </c>
      <c r="PC11" s="38">
        <f>IF($CN11="P",BZ11,(BZ11+AY11)/2)</f>
        <v>0</v>
      </c>
      <c r="PD11" s="38">
        <f>IF($CN11="P",CA11,(CA11+AZ11)/2)</f>
        <v>0</v>
      </c>
      <c r="PE11" s="38">
        <f>IF($CN11="P",CB11,(CB11+BA11)/2)</f>
        <v>0</v>
      </c>
      <c r="PF11" s="38">
        <f>IF($CN11="P",CC11,(CC11+BB11)/2)</f>
        <v>0</v>
      </c>
      <c r="PG11" s="38">
        <f>IF($CN11="P",CD11,(CD11+BC11)/2)</f>
        <v>0</v>
      </c>
      <c r="PH11" s="38">
        <f>IF($CN11="P",CE11,(CE11+BD11)/2)</f>
        <v>0</v>
      </c>
      <c r="PI11" s="38">
        <f>IF($CN11="P",CF11,(CF11+BE11)/2)</f>
        <v>0</v>
      </c>
      <c r="PJ11" s="38">
        <f>IF($CN11="P",CG11,(CG11+BF11)/2)</f>
        <v>0</v>
      </c>
      <c r="PK11" s="38">
        <f>IF($CN11="P",CH11,(CH11+BG11)/2)</f>
        <v>0</v>
      </c>
      <c r="PL11" s="38">
        <f>IF($CN11="P",CI11,(CI11+BH11)/2)</f>
        <v>0</v>
      </c>
      <c r="PM11" s="38">
        <f>IF($CN11="P",CJ11,(CJ11+BI11)/2)</f>
        <v>0</v>
      </c>
      <c r="PN11" s="38">
        <f>IF($CN11="P",CK11,(CK11+BJ11)/2)</f>
        <v>0</v>
      </c>
      <c r="PO11" s="38">
        <f>IF($CN11="P",CL11,(CL11+BK11)/2)</f>
        <v>0</v>
      </c>
      <c r="PP11" s="38">
        <f>IF($CN11="P",CM11,(CM11+BL11)/2)</f>
        <v>0</v>
      </c>
      <c r="PQ11" s="45" t="s">
        <v>46</v>
      </c>
      <c r="PR11" s="79" t="str">
        <f>IF(SUM(OX11,PB11)&gt;0,SUM(OX11,PB11),"")</f>
        <v/>
      </c>
      <c r="PS11" s="79" t="str">
        <f>IF(SUM(OW11:OX11,OZ11:PB11,PD11)-OY11-PC11&gt;0,SUM(OW11:OX11,OZ11:PB11,PD11)-OY11-PC11,"")</f>
        <v/>
      </c>
      <c r="PT11" s="79" t="str">
        <f>IF(SUM(PE11:PF11,PH11)-PG11&gt;0,SUM(PE11:PF11,PH11)-PG11,"")</f>
        <v/>
      </c>
      <c r="PU11" s="79" t="str">
        <f>IF(SUM(PJ11,PN11)&gt;0,SUM(PJ11,PN11),"")</f>
        <v/>
      </c>
      <c r="PV11" s="79" t="str">
        <f>IF(SUM(PI11:PJ11,PL11:PN11,PP11)-SUM(PK11,PO11)&gt;0,SUM(PI11:PJ11,PL11:PN11,PP11)-SUM(PK11,PO11),"")</f>
        <v/>
      </c>
      <c r="PW11" s="79" t="str">
        <f>IF(SUM(PS11,PV11)&gt;0,SUM(PS11,PV11),"")</f>
        <v/>
      </c>
    </row>
    <row r="12" spans="1:439" ht="17" x14ac:dyDescent="0.2">
      <c r="O12" s="16"/>
      <c r="P12" s="16"/>
      <c r="Q12" s="16"/>
    </row>
    <row r="13" spans="1:439" ht="17" x14ac:dyDescent="0.2">
      <c r="O13" s="16"/>
      <c r="P13" s="16"/>
      <c r="Q13" s="16"/>
    </row>
    <row r="14" spans="1:439" ht="17" x14ac:dyDescent="0.2">
      <c r="B14" s="81" t="s">
        <v>44</v>
      </c>
      <c r="O14" s="16"/>
      <c r="P14" s="16"/>
      <c r="Q14" s="16"/>
      <c r="AM14" s="5"/>
      <c r="AR14" s="82">
        <v>1E-4</v>
      </c>
      <c r="BN14" s="5"/>
      <c r="BS14" s="82">
        <v>1E-4</v>
      </c>
      <c r="CO14" s="5"/>
      <c r="CT14" s="82">
        <v>9.1</v>
      </c>
      <c r="DQ14" s="5"/>
      <c r="DV14" s="82">
        <v>1E-4</v>
      </c>
      <c r="EQ14" s="5"/>
      <c r="EV14" s="82">
        <v>1E-4</v>
      </c>
      <c r="FQ14" s="5"/>
      <c r="FV14" s="82">
        <v>9.1</v>
      </c>
      <c r="GQ14" s="5"/>
      <c r="GV14" s="82">
        <v>9.1</v>
      </c>
      <c r="HQ14" s="5"/>
      <c r="HV14" s="82">
        <v>9.1</v>
      </c>
      <c r="IQ14" s="5"/>
      <c r="IV14" s="82">
        <v>9.1</v>
      </c>
      <c r="JQ14" s="5"/>
      <c r="JV14" s="82">
        <v>9.1</v>
      </c>
      <c r="KQ14" s="5"/>
      <c r="KV14" s="82">
        <v>9.1</v>
      </c>
      <c r="LQ14" s="5"/>
      <c r="LV14" s="82">
        <v>9.1</v>
      </c>
      <c r="MQ14" s="5"/>
      <c r="MV14" s="82">
        <v>9.1</v>
      </c>
      <c r="NQ14" s="5"/>
      <c r="NV14" s="82">
        <v>9.1</v>
      </c>
      <c r="OQ14" s="5"/>
      <c r="OV14" s="82">
        <v>9.1</v>
      </c>
    </row>
    <row r="15" spans="1:439" ht="17" hidden="1" x14ac:dyDescent="0.2">
      <c r="B15" s="83" t="s">
        <v>43</v>
      </c>
      <c r="O15" s="16"/>
      <c r="P15" s="16"/>
      <c r="Q15" s="16"/>
      <c r="AM15" s="5"/>
      <c r="AR15" s="84">
        <v>1000</v>
      </c>
      <c r="BN15" s="5"/>
      <c r="BS15" s="84">
        <v>1000</v>
      </c>
      <c r="CO15" s="5"/>
      <c r="CT15" s="84">
        <v>1000</v>
      </c>
      <c r="DQ15" s="5"/>
      <c r="DV15" s="84">
        <v>1000</v>
      </c>
      <c r="EQ15" s="5"/>
      <c r="EV15" s="84">
        <v>1000</v>
      </c>
      <c r="FQ15" s="5"/>
      <c r="FV15" s="84">
        <v>1000</v>
      </c>
      <c r="GQ15" s="5"/>
      <c r="GV15" s="84">
        <v>1000</v>
      </c>
      <c r="HQ15" s="5"/>
      <c r="HV15" s="84">
        <v>1000</v>
      </c>
      <c r="IQ15" s="5"/>
      <c r="IV15" s="84">
        <v>1000</v>
      </c>
      <c r="JQ15" s="5"/>
      <c r="JV15" s="84">
        <v>1000</v>
      </c>
      <c r="KQ15" s="5"/>
      <c r="KV15" s="84">
        <v>1000</v>
      </c>
      <c r="LQ15" s="5"/>
      <c r="LV15" s="84">
        <v>1000</v>
      </c>
      <c r="MQ15" s="5"/>
      <c r="MV15" s="84">
        <v>1000</v>
      </c>
      <c r="NQ15" s="5"/>
      <c r="NV15" s="84">
        <v>1000</v>
      </c>
      <c r="OQ15" s="5"/>
      <c r="OV15" s="84">
        <v>1000</v>
      </c>
    </row>
    <row r="16" spans="1:439" ht="17" hidden="1" x14ac:dyDescent="0.2">
      <c r="A16" s="78"/>
      <c r="B16" s="76" t="s">
        <v>55</v>
      </c>
      <c r="C16" s="85"/>
      <c r="O16" s="16"/>
      <c r="P16" s="16"/>
      <c r="Q16" s="16"/>
      <c r="AM16" s="5"/>
      <c r="AR16" s="86">
        <v>1000</v>
      </c>
      <c r="BN16" s="5"/>
      <c r="BS16" s="86">
        <v>1000</v>
      </c>
      <c r="CO16" s="5"/>
      <c r="CT16" s="86">
        <v>1000</v>
      </c>
      <c r="DQ16" s="5"/>
      <c r="DV16" s="86">
        <v>1000</v>
      </c>
      <c r="EQ16" s="5"/>
      <c r="EV16" s="86">
        <v>1000</v>
      </c>
      <c r="FQ16" s="5"/>
      <c r="FV16" s="86">
        <v>1000</v>
      </c>
      <c r="GQ16" s="5"/>
      <c r="GV16" s="86">
        <v>1000</v>
      </c>
      <c r="HQ16" s="5"/>
      <c r="HV16" s="86">
        <v>1000</v>
      </c>
      <c r="IQ16" s="5"/>
      <c r="IV16" s="86">
        <v>1000</v>
      </c>
      <c r="JQ16" s="5"/>
      <c r="JV16" s="86">
        <v>1000</v>
      </c>
      <c r="KQ16" s="5"/>
      <c r="KV16" s="86">
        <v>1000</v>
      </c>
      <c r="LQ16" s="5"/>
      <c r="LV16" s="86">
        <v>1000</v>
      </c>
      <c r="MQ16" s="5"/>
      <c r="MV16" s="86">
        <v>1000</v>
      </c>
      <c r="NQ16" s="5"/>
      <c r="NV16" s="86">
        <v>1000</v>
      </c>
      <c r="OQ16" s="5"/>
      <c r="OV16" s="86">
        <v>1000</v>
      </c>
    </row>
    <row r="17" spans="1:412" ht="17" hidden="1" x14ac:dyDescent="0.2">
      <c r="A17" s="78"/>
      <c r="B17" s="87" t="s">
        <v>62</v>
      </c>
      <c r="C17" s="85"/>
      <c r="O17" s="16"/>
      <c r="P17" s="16"/>
      <c r="Q17" s="16"/>
      <c r="AM17" s="5"/>
      <c r="AR17" s="88">
        <v>1000</v>
      </c>
      <c r="BN17" s="5"/>
      <c r="BS17" s="88">
        <v>1000</v>
      </c>
      <c r="CO17" s="5"/>
      <c r="CT17" s="88">
        <v>1000</v>
      </c>
      <c r="DQ17" s="5"/>
      <c r="DV17" s="88">
        <v>1000</v>
      </c>
      <c r="EQ17" s="5"/>
      <c r="EV17" s="88">
        <v>1000</v>
      </c>
      <c r="FQ17" s="5"/>
      <c r="FV17" s="88">
        <v>1000</v>
      </c>
      <c r="GQ17" s="5"/>
      <c r="GV17" s="88">
        <v>1000</v>
      </c>
      <c r="HQ17" s="5"/>
      <c r="HV17" s="88">
        <v>1000</v>
      </c>
      <c r="IQ17" s="5"/>
      <c r="IV17" s="88">
        <v>1000</v>
      </c>
      <c r="JQ17" s="5"/>
      <c r="JV17" s="88">
        <v>1000</v>
      </c>
      <c r="KQ17" s="5"/>
      <c r="KV17" s="88">
        <v>1000</v>
      </c>
      <c r="LQ17" s="5"/>
      <c r="LV17" s="88">
        <v>1000</v>
      </c>
      <c r="MQ17" s="5"/>
      <c r="MV17" s="88">
        <v>1000</v>
      </c>
      <c r="NQ17" s="5"/>
      <c r="NV17" s="88">
        <v>1000</v>
      </c>
      <c r="OQ17" s="5"/>
      <c r="OV17" s="88">
        <v>1000</v>
      </c>
    </row>
    <row r="18" spans="1:412" ht="17" x14ac:dyDescent="0.2">
      <c r="A18" s="78"/>
      <c r="B18" s="89" t="s">
        <v>41</v>
      </c>
      <c r="C18" s="85"/>
      <c r="O18" s="16"/>
      <c r="P18" s="16"/>
      <c r="Q18" s="16"/>
      <c r="AM18" s="5"/>
      <c r="AO18" s="67" t="s">
        <v>178</v>
      </c>
      <c r="AR18" s="90">
        <v>2.0000000000000001E-4</v>
      </c>
      <c r="BN18" s="5"/>
      <c r="BP18" s="67" t="s">
        <v>178</v>
      </c>
      <c r="BS18" s="90">
        <v>2.0000000000000001E-4</v>
      </c>
      <c r="CO18" s="5"/>
      <c r="CT18" s="90">
        <v>44.1</v>
      </c>
      <c r="DQ18" s="5"/>
      <c r="DS18" s="67" t="s">
        <v>178</v>
      </c>
      <c r="DV18" s="90">
        <v>2.0000000000000001E-4</v>
      </c>
      <c r="EQ18" s="5"/>
      <c r="ES18" s="67" t="s">
        <v>178</v>
      </c>
      <c r="EV18" s="90">
        <v>2.0000000000000001E-4</v>
      </c>
      <c r="FQ18" s="5"/>
      <c r="FV18" s="90">
        <v>44.1</v>
      </c>
      <c r="GQ18" s="5"/>
      <c r="GV18" s="90">
        <v>44.1</v>
      </c>
      <c r="HQ18" s="5"/>
      <c r="HV18" s="90">
        <v>44.1</v>
      </c>
      <c r="IQ18" s="5"/>
      <c r="IV18" s="90">
        <v>44.1</v>
      </c>
      <c r="JQ18" s="5"/>
      <c r="JV18" s="90">
        <v>44.1</v>
      </c>
      <c r="KQ18" s="5"/>
      <c r="KV18" s="90">
        <v>44.1</v>
      </c>
      <c r="LQ18" s="5"/>
      <c r="LV18" s="90">
        <v>44.1</v>
      </c>
      <c r="MQ18" s="5"/>
      <c r="MV18" s="90">
        <v>44.1</v>
      </c>
      <c r="NQ18" s="5"/>
      <c r="NV18" s="90">
        <v>44.1</v>
      </c>
      <c r="OQ18" s="5"/>
      <c r="OV18" s="90">
        <v>44.1</v>
      </c>
    </row>
    <row r="19" spans="1:412" ht="17" hidden="1" x14ac:dyDescent="0.2">
      <c r="A19" s="78"/>
      <c r="B19" s="91" t="s">
        <v>42</v>
      </c>
      <c r="C19" s="85"/>
      <c r="O19" s="16"/>
      <c r="P19" s="16"/>
      <c r="Q19" s="16"/>
      <c r="AM19" s="5"/>
      <c r="AR19" s="92">
        <v>1000</v>
      </c>
      <c r="BN19" s="5"/>
      <c r="BS19" s="92">
        <v>1000</v>
      </c>
      <c r="CO19" s="5"/>
      <c r="CT19" s="92">
        <v>1000</v>
      </c>
      <c r="DQ19" s="5"/>
      <c r="DV19" s="92">
        <v>1000</v>
      </c>
      <c r="EQ19" s="5"/>
      <c r="EV19" s="92">
        <v>1000</v>
      </c>
      <c r="FQ19" s="5"/>
      <c r="FV19" s="92">
        <v>1000</v>
      </c>
      <c r="GQ19" s="5"/>
      <c r="GV19" s="92">
        <v>1000</v>
      </c>
      <c r="HQ19" s="5"/>
      <c r="HV19" s="92">
        <v>1000</v>
      </c>
      <c r="IQ19" s="5"/>
      <c r="IV19" s="92">
        <v>1000</v>
      </c>
      <c r="JQ19" s="5"/>
      <c r="JV19" s="92">
        <v>1000</v>
      </c>
      <c r="KQ19" s="5"/>
      <c r="KV19" s="92">
        <v>1000</v>
      </c>
      <c r="LQ19" s="5"/>
      <c r="LV19" s="92">
        <v>1000</v>
      </c>
      <c r="MQ19" s="5"/>
      <c r="MV19" s="92">
        <v>1000</v>
      </c>
      <c r="NQ19" s="5"/>
      <c r="NV19" s="92">
        <v>1000</v>
      </c>
      <c r="OQ19" s="5"/>
      <c r="OV19" s="92">
        <v>1000</v>
      </c>
    </row>
    <row r="20" spans="1:412" ht="17" hidden="1" x14ac:dyDescent="0.2">
      <c r="A20" s="78"/>
      <c r="B20" s="93" t="s">
        <v>54</v>
      </c>
      <c r="C20" s="85"/>
      <c r="O20" s="16"/>
      <c r="P20" s="16"/>
      <c r="Q20" s="16"/>
      <c r="AM20" s="5"/>
      <c r="AR20" s="94">
        <v>1000</v>
      </c>
      <c r="BN20" s="5"/>
      <c r="BS20" s="94">
        <v>1000</v>
      </c>
      <c r="CO20" s="5"/>
      <c r="CT20" s="94">
        <v>1000</v>
      </c>
      <c r="DQ20" s="5"/>
      <c r="DV20" s="94">
        <v>1000</v>
      </c>
      <c r="EQ20" s="5"/>
      <c r="EV20" s="94">
        <v>1000</v>
      </c>
      <c r="FQ20" s="5"/>
      <c r="FV20" s="94">
        <v>1000</v>
      </c>
      <c r="GQ20" s="5"/>
      <c r="GV20" s="94">
        <v>1000</v>
      </c>
      <c r="HQ20" s="5"/>
      <c r="HV20" s="94">
        <v>1000</v>
      </c>
      <c r="IQ20" s="5"/>
      <c r="IV20" s="94">
        <v>1000</v>
      </c>
      <c r="JQ20" s="5"/>
      <c r="JV20" s="94">
        <v>1000</v>
      </c>
      <c r="KQ20" s="5"/>
      <c r="KV20" s="94">
        <v>1000</v>
      </c>
      <c r="LQ20" s="5"/>
      <c r="LV20" s="94">
        <v>1000</v>
      </c>
      <c r="MQ20" s="5"/>
      <c r="MV20" s="94">
        <v>1000</v>
      </c>
      <c r="NQ20" s="5"/>
      <c r="NV20" s="94">
        <v>1000</v>
      </c>
      <c r="OQ20" s="5"/>
      <c r="OV20" s="94">
        <v>1000</v>
      </c>
    </row>
    <row r="21" spans="1:412" ht="17" hidden="1" x14ac:dyDescent="0.2">
      <c r="A21" s="78"/>
      <c r="B21" s="95" t="s">
        <v>28</v>
      </c>
      <c r="C21" s="85"/>
      <c r="O21" s="16"/>
      <c r="P21" s="16"/>
      <c r="Q21" s="16"/>
      <c r="AM21" s="5"/>
      <c r="AR21" s="96">
        <v>1000</v>
      </c>
      <c r="BN21" s="5"/>
      <c r="BS21" s="96">
        <v>1000</v>
      </c>
      <c r="CO21" s="5"/>
      <c r="CT21" s="96">
        <v>1000</v>
      </c>
      <c r="DQ21" s="5"/>
      <c r="DV21" s="96">
        <v>1000</v>
      </c>
      <c r="EQ21" s="5"/>
      <c r="EV21" s="96">
        <v>1000</v>
      </c>
      <c r="FQ21" s="5"/>
      <c r="FV21" s="96">
        <v>1000</v>
      </c>
      <c r="GQ21" s="5"/>
      <c r="GV21" s="96">
        <v>1000</v>
      </c>
      <c r="HQ21" s="5"/>
      <c r="HV21" s="96">
        <v>1000</v>
      </c>
      <c r="IQ21" s="5"/>
      <c r="IV21" s="96">
        <v>1000</v>
      </c>
      <c r="JQ21" s="5"/>
      <c r="JV21" s="96">
        <v>1000</v>
      </c>
      <c r="KQ21" s="5"/>
      <c r="KV21" s="96">
        <v>1000</v>
      </c>
      <c r="LQ21" s="5"/>
      <c r="LV21" s="96">
        <v>1000</v>
      </c>
      <c r="MQ21" s="5"/>
      <c r="MV21" s="96">
        <v>1000</v>
      </c>
      <c r="NQ21" s="5"/>
      <c r="NV21" s="96">
        <v>1000</v>
      </c>
      <c r="OQ21" s="5"/>
      <c r="OV21" s="96">
        <v>1000</v>
      </c>
    </row>
    <row r="22" spans="1:412" x14ac:dyDescent="0.2">
      <c r="B22" s="47" t="s">
        <v>47</v>
      </c>
      <c r="C22" s="2"/>
    </row>
    <row r="23" spans="1:412" x14ac:dyDescent="0.2">
      <c r="A23" s="78"/>
      <c r="B23" s="78"/>
      <c r="C23" s="85"/>
    </row>
    <row r="24" spans="1:412" x14ac:dyDescent="0.2">
      <c r="A24" s="78"/>
      <c r="B24" s="78"/>
      <c r="C24" s="85"/>
    </row>
    <row r="25" spans="1:412" x14ac:dyDescent="0.2">
      <c r="A25" s="78"/>
      <c r="B25" s="78"/>
      <c r="C25" s="85"/>
    </row>
    <row r="26" spans="1:412" x14ac:dyDescent="0.2">
      <c r="A26" s="78"/>
      <c r="B26" s="78"/>
      <c r="C26" s="78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1">
      <sortCondition descending="1" ref="F1:F12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1">
    <cfRule type="expression" dxfId="119" priority="5" stopIfTrue="1">
      <formula>IF($AL4&lt;&gt;"",1,0)</formula>
    </cfRule>
  </conditionalFormatting>
  <conditionalFormatting sqref="AS4:BS11">
    <cfRule type="expression" dxfId="118" priority="10" stopIfTrue="1">
      <formula>IF($BM4&lt;&gt;"",1,0)</formula>
    </cfRule>
  </conditionalFormatting>
  <conditionalFormatting sqref="J1:J1048576 L1:L1048576 N1:N1048576">
    <cfRule type="expression" dxfId="117" priority="17">
      <formula>IF(J1=$BT$1,1,0)</formula>
    </cfRule>
    <cfRule type="expression" dxfId="116" priority="18">
      <formula>IF(J1=$AS$1,1,0)</formula>
    </cfRule>
    <cfRule type="expression" dxfId="115" priority="19">
      <formula>IF(J1=$R$1,1,0)</formula>
    </cfRule>
  </conditionalFormatting>
  <conditionalFormatting sqref="BT4:CT11">
    <cfRule type="expression" dxfId="114" priority="11" stopIfTrue="1">
      <formula>IF($CN4&lt;&gt;"",1,0)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107" priority="50850" operator="between">
      <formula>AR$17</formula>
      <formula>1000</formula>
    </cfRule>
    <cfRule type="cellIs" dxfId="106" priority="50851" operator="between">
      <formula>AR$16</formula>
      <formula>AR$17</formula>
    </cfRule>
    <cfRule type="cellIs" dxfId="105" priority="50852" operator="between">
      <formula>AR$15</formula>
      <formula>AR$16</formula>
    </cfRule>
    <cfRule type="cellIs" dxfId="104" priority="50853" operator="between">
      <formula>AR$14</formula>
      <formula>AR$15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103" priority="51030" operator="between">
      <formula>AR$21</formula>
      <formula>1000</formula>
    </cfRule>
    <cfRule type="cellIs" dxfId="102" priority="51031" operator="between">
      <formula>AR$20</formula>
      <formula>AR$21</formula>
    </cfRule>
    <cfRule type="cellIs" dxfId="101" priority="51032" operator="between">
      <formula>AR$19</formula>
      <formula>AR$20</formula>
    </cfRule>
    <cfRule type="cellIs" dxfId="100" priority="51033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9" priority="51210" operator="between">
      <formula>AR$14</formula>
      <formula>AR$15</formula>
    </cfRule>
    <cfRule type="cellIs" dxfId="98" priority="51211" operator="between">
      <formula>AR$15</formula>
      <formula>AR$16</formula>
    </cfRule>
    <cfRule type="cellIs" dxfId="97" priority="51212" operator="between">
      <formula>AR$16</formula>
      <formula>AR$17</formula>
    </cfRule>
    <cfRule type="cellIs" dxfId="96" priority="51213" operator="between">
      <formula>AR$17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5" priority="51390" operator="between">
      <formula>AR$18</formula>
      <formula>AR$19</formula>
    </cfRule>
    <cfRule type="cellIs" dxfId="94" priority="51391" operator="between">
      <formula>AR$19</formula>
      <formula>AR$20</formula>
    </cfRule>
    <cfRule type="cellIs" dxfId="93" priority="51392" operator="between">
      <formula>AR$20</formula>
      <formula>AR$21</formula>
    </cfRule>
    <cfRule type="cellIs" dxfId="92" priority="51393" operator="between">
      <formula>AR$21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162</v>
      </c>
      <c r="J1" s="108" t="s">
        <v>26</v>
      </c>
      <c r="K1" s="107" t="s">
        <v>163</v>
      </c>
      <c r="L1" s="108" t="s">
        <v>26</v>
      </c>
      <c r="M1" s="108" t="s">
        <v>10</v>
      </c>
      <c r="N1" s="108" t="s">
        <v>26</v>
      </c>
      <c r="O1" s="109" t="s">
        <v>11</v>
      </c>
      <c r="P1" s="108" t="s">
        <v>27</v>
      </c>
      <c r="Q1" s="108" t="s">
        <v>26</v>
      </c>
      <c r="R1" s="100" t="s">
        <v>106</v>
      </c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4" t="s">
        <v>123</v>
      </c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0" t="s">
        <v>133</v>
      </c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2" t="s">
        <v>164</v>
      </c>
      <c r="CV1" s="102"/>
      <c r="CW1" s="100" t="s">
        <v>175</v>
      </c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4" t="s">
        <v>179</v>
      </c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0"/>
      <c r="HT1" s="100"/>
      <c r="HU1" s="100"/>
      <c r="HV1" s="100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0"/>
      <c r="IX1" s="100"/>
      <c r="IY1" s="100"/>
      <c r="IZ1" s="100"/>
      <c r="JA1" s="100"/>
      <c r="JB1" s="100"/>
      <c r="JC1" s="100"/>
      <c r="JD1" s="100"/>
      <c r="JE1" s="100"/>
      <c r="JF1" s="100"/>
      <c r="JG1" s="100"/>
      <c r="JH1" s="100"/>
      <c r="JI1" s="100"/>
      <c r="JJ1" s="100"/>
      <c r="JK1" s="100"/>
      <c r="JL1" s="100"/>
      <c r="JM1" s="100"/>
      <c r="JN1" s="100"/>
      <c r="JO1" s="100"/>
      <c r="JP1" s="100"/>
      <c r="JQ1" s="100"/>
      <c r="JR1" s="100"/>
      <c r="JS1" s="100"/>
      <c r="JT1" s="100"/>
      <c r="JU1" s="100"/>
      <c r="JV1" s="100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0"/>
      <c r="KX1" s="100"/>
      <c r="KY1" s="100"/>
      <c r="KZ1" s="100"/>
      <c r="LA1" s="100"/>
      <c r="LB1" s="100"/>
      <c r="LC1" s="100"/>
      <c r="LD1" s="100"/>
      <c r="LE1" s="100"/>
      <c r="LF1" s="100"/>
      <c r="LG1" s="100"/>
      <c r="LH1" s="100"/>
      <c r="LI1" s="100"/>
      <c r="LJ1" s="100"/>
      <c r="LK1" s="100"/>
      <c r="LL1" s="100"/>
      <c r="LM1" s="100"/>
      <c r="LN1" s="100"/>
      <c r="LO1" s="100"/>
      <c r="LP1" s="100"/>
      <c r="LQ1" s="100"/>
      <c r="LR1" s="100"/>
      <c r="LS1" s="100"/>
      <c r="LT1" s="100"/>
      <c r="LU1" s="100"/>
      <c r="LV1" s="100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0"/>
      <c r="MX1" s="100"/>
      <c r="MY1" s="100"/>
      <c r="MZ1" s="100"/>
      <c r="NA1" s="100"/>
      <c r="NB1" s="100"/>
      <c r="NC1" s="100"/>
      <c r="ND1" s="100"/>
      <c r="NE1" s="100"/>
      <c r="NF1" s="100"/>
      <c r="NG1" s="100"/>
      <c r="NH1" s="100"/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0" t="s">
        <v>56</v>
      </c>
      <c r="OX1" s="100"/>
      <c r="OY1" s="100"/>
      <c r="OZ1" s="100"/>
      <c r="PA1" s="100"/>
      <c r="PB1" s="100"/>
      <c r="PC1" s="100"/>
      <c r="PD1" s="100"/>
      <c r="PE1" s="100"/>
      <c r="PF1" s="100"/>
      <c r="PG1" s="100"/>
      <c r="PH1" s="100"/>
      <c r="PI1" s="100"/>
      <c r="PJ1" s="100"/>
      <c r="PK1" s="100"/>
      <c r="PL1" s="100"/>
      <c r="PM1" s="100"/>
      <c r="PN1" s="100"/>
      <c r="PO1" s="100"/>
      <c r="PP1" s="100"/>
      <c r="PQ1" s="100"/>
      <c r="PR1" s="100"/>
      <c r="PS1" s="100"/>
      <c r="PT1" s="100"/>
      <c r="PU1" s="100"/>
      <c r="PV1" s="100"/>
      <c r="PW1" s="100"/>
    </row>
    <row r="2" spans="1:439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8"/>
      <c r="N2" s="108"/>
      <c r="O2" s="109"/>
      <c r="P2" s="108"/>
      <c r="Q2" s="108"/>
      <c r="R2" s="101" t="s">
        <v>165</v>
      </c>
      <c r="S2" s="101"/>
      <c r="T2" s="101"/>
      <c r="U2" s="101"/>
      <c r="V2" s="101" t="s">
        <v>166</v>
      </c>
      <c r="W2" s="101"/>
      <c r="X2" s="101"/>
      <c r="Y2" s="101"/>
      <c r="Z2" s="101" t="s">
        <v>167</v>
      </c>
      <c r="AA2" s="101"/>
      <c r="AB2" s="101"/>
      <c r="AC2" s="101"/>
      <c r="AD2" s="101" t="s">
        <v>168</v>
      </c>
      <c r="AE2" s="101"/>
      <c r="AF2" s="101"/>
      <c r="AG2" s="101"/>
      <c r="AH2" s="111" t="s">
        <v>169</v>
      </c>
      <c r="AI2" s="111"/>
      <c r="AJ2" s="111"/>
      <c r="AK2" s="111"/>
      <c r="AL2" s="72"/>
      <c r="AM2" s="72" t="s">
        <v>170</v>
      </c>
      <c r="AN2" s="72" t="s">
        <v>171</v>
      </c>
      <c r="AO2" s="72" t="s">
        <v>167</v>
      </c>
      <c r="AP2" s="72" t="s">
        <v>57</v>
      </c>
      <c r="AQ2" s="72" t="s">
        <v>172</v>
      </c>
      <c r="AR2" s="72" t="s">
        <v>15</v>
      </c>
      <c r="AS2" s="103" t="s">
        <v>165</v>
      </c>
      <c r="AT2" s="103"/>
      <c r="AU2" s="103"/>
      <c r="AV2" s="103"/>
      <c r="AW2" s="103" t="s">
        <v>166</v>
      </c>
      <c r="AX2" s="103"/>
      <c r="AY2" s="103"/>
      <c r="AZ2" s="103"/>
      <c r="BA2" s="103" t="s">
        <v>167</v>
      </c>
      <c r="BB2" s="103"/>
      <c r="BC2" s="103"/>
      <c r="BD2" s="103"/>
      <c r="BE2" s="103" t="s">
        <v>168</v>
      </c>
      <c r="BF2" s="103"/>
      <c r="BG2" s="103"/>
      <c r="BH2" s="103"/>
      <c r="BI2" s="112" t="s">
        <v>169</v>
      </c>
      <c r="BJ2" s="112"/>
      <c r="BK2" s="112"/>
      <c r="BL2" s="112"/>
      <c r="BM2" s="71"/>
      <c r="BN2" s="71" t="s">
        <v>170</v>
      </c>
      <c r="BO2" s="71" t="s">
        <v>171</v>
      </c>
      <c r="BP2" s="71" t="s">
        <v>167</v>
      </c>
      <c r="BQ2" s="71" t="s">
        <v>57</v>
      </c>
      <c r="BR2" s="71" t="s">
        <v>172</v>
      </c>
      <c r="BS2" s="71" t="s">
        <v>15</v>
      </c>
      <c r="BT2" s="101" t="s">
        <v>165</v>
      </c>
      <c r="BU2" s="101"/>
      <c r="BV2" s="101"/>
      <c r="BW2" s="101"/>
      <c r="BX2" s="101" t="s">
        <v>166</v>
      </c>
      <c r="BY2" s="101"/>
      <c r="BZ2" s="101"/>
      <c r="CA2" s="101"/>
      <c r="CB2" s="101" t="s">
        <v>167</v>
      </c>
      <c r="CC2" s="101"/>
      <c r="CD2" s="101"/>
      <c r="CE2" s="101"/>
      <c r="CF2" s="101" t="s">
        <v>168</v>
      </c>
      <c r="CG2" s="101"/>
      <c r="CH2" s="101"/>
      <c r="CI2" s="101"/>
      <c r="CJ2" s="111" t="s">
        <v>169</v>
      </c>
      <c r="CK2" s="111"/>
      <c r="CL2" s="111"/>
      <c r="CM2" s="111"/>
      <c r="CN2" s="72"/>
      <c r="CO2" s="72" t="s">
        <v>170</v>
      </c>
      <c r="CP2" s="72" t="s">
        <v>171</v>
      </c>
      <c r="CQ2" s="72" t="s">
        <v>167</v>
      </c>
      <c r="CR2" s="72" t="s">
        <v>57</v>
      </c>
      <c r="CS2" s="72" t="s">
        <v>172</v>
      </c>
      <c r="CT2" s="72" t="s">
        <v>15</v>
      </c>
      <c r="CU2" s="77" t="s">
        <v>171</v>
      </c>
      <c r="CV2" s="77" t="s">
        <v>20</v>
      </c>
      <c r="CW2" s="101" t="s">
        <v>165</v>
      </c>
      <c r="CX2" s="101"/>
      <c r="CY2" s="101"/>
      <c r="CZ2" s="101"/>
      <c r="DA2" s="101" t="s">
        <v>166</v>
      </c>
      <c r="DB2" s="101"/>
      <c r="DC2" s="101"/>
      <c r="DD2" s="101"/>
      <c r="DE2" s="101" t="s">
        <v>167</v>
      </c>
      <c r="DF2" s="101"/>
      <c r="DG2" s="101"/>
      <c r="DH2" s="101"/>
      <c r="DI2" s="101" t="s">
        <v>168</v>
      </c>
      <c r="DJ2" s="101"/>
      <c r="DK2" s="101"/>
      <c r="DL2" s="101"/>
      <c r="DM2" s="110" t="s">
        <v>169</v>
      </c>
      <c r="DN2" s="110"/>
      <c r="DO2" s="110"/>
      <c r="DP2" s="110"/>
      <c r="DQ2" s="72" t="s">
        <v>170</v>
      </c>
      <c r="DR2" s="72" t="s">
        <v>171</v>
      </c>
      <c r="DS2" s="72" t="s">
        <v>167</v>
      </c>
      <c r="DT2" s="72" t="s">
        <v>57</v>
      </c>
      <c r="DU2" s="72" t="s">
        <v>172</v>
      </c>
      <c r="DV2" s="72" t="s">
        <v>15</v>
      </c>
      <c r="DW2" s="103" t="s">
        <v>165</v>
      </c>
      <c r="DX2" s="103"/>
      <c r="DY2" s="103"/>
      <c r="DZ2" s="103"/>
      <c r="EA2" s="103" t="s">
        <v>166</v>
      </c>
      <c r="EB2" s="103"/>
      <c r="EC2" s="103"/>
      <c r="ED2" s="103"/>
      <c r="EE2" s="103" t="s">
        <v>167</v>
      </c>
      <c r="EF2" s="103"/>
      <c r="EG2" s="103"/>
      <c r="EH2" s="103"/>
      <c r="EI2" s="103" t="s">
        <v>168</v>
      </c>
      <c r="EJ2" s="103"/>
      <c r="EK2" s="103"/>
      <c r="EL2" s="103"/>
      <c r="EM2" s="112" t="s">
        <v>169</v>
      </c>
      <c r="EN2" s="112"/>
      <c r="EO2" s="112"/>
      <c r="EP2" s="112"/>
      <c r="EQ2" s="71" t="s">
        <v>170</v>
      </c>
      <c r="ER2" s="71" t="s">
        <v>171</v>
      </c>
      <c r="ES2" s="71" t="s">
        <v>167</v>
      </c>
      <c r="ET2" s="71" t="s">
        <v>57</v>
      </c>
      <c r="EU2" s="71" t="s">
        <v>172</v>
      </c>
      <c r="EV2" s="71" t="s">
        <v>15</v>
      </c>
      <c r="EW2" s="101" t="s">
        <v>165</v>
      </c>
      <c r="EX2" s="101"/>
      <c r="EY2" s="101"/>
      <c r="EZ2" s="101"/>
      <c r="FA2" s="101" t="s">
        <v>166</v>
      </c>
      <c r="FB2" s="101"/>
      <c r="FC2" s="101"/>
      <c r="FD2" s="101"/>
      <c r="FE2" s="101" t="s">
        <v>167</v>
      </c>
      <c r="FF2" s="101"/>
      <c r="FG2" s="101"/>
      <c r="FH2" s="101"/>
      <c r="FI2" s="101" t="s">
        <v>168</v>
      </c>
      <c r="FJ2" s="101"/>
      <c r="FK2" s="101"/>
      <c r="FL2" s="101"/>
      <c r="FM2" s="110" t="s">
        <v>169</v>
      </c>
      <c r="FN2" s="110"/>
      <c r="FO2" s="110"/>
      <c r="FP2" s="110"/>
      <c r="FQ2" s="72" t="s">
        <v>170</v>
      </c>
      <c r="FR2" s="72" t="s">
        <v>171</v>
      </c>
      <c r="FS2" s="72" t="s">
        <v>167</v>
      </c>
      <c r="FT2" s="72" t="s">
        <v>57</v>
      </c>
      <c r="FU2" s="72" t="s">
        <v>172</v>
      </c>
      <c r="FV2" s="72" t="s">
        <v>15</v>
      </c>
      <c r="FW2" s="103" t="s">
        <v>165</v>
      </c>
      <c r="FX2" s="103"/>
      <c r="FY2" s="103"/>
      <c r="FZ2" s="103"/>
      <c r="GA2" s="103" t="s">
        <v>166</v>
      </c>
      <c r="GB2" s="103"/>
      <c r="GC2" s="103"/>
      <c r="GD2" s="103"/>
      <c r="GE2" s="103" t="s">
        <v>167</v>
      </c>
      <c r="GF2" s="103"/>
      <c r="GG2" s="103"/>
      <c r="GH2" s="103"/>
      <c r="GI2" s="103" t="s">
        <v>168</v>
      </c>
      <c r="GJ2" s="103"/>
      <c r="GK2" s="103"/>
      <c r="GL2" s="103"/>
      <c r="GM2" s="112" t="s">
        <v>169</v>
      </c>
      <c r="GN2" s="112"/>
      <c r="GO2" s="112"/>
      <c r="GP2" s="112"/>
      <c r="GQ2" s="71" t="s">
        <v>170</v>
      </c>
      <c r="GR2" s="71" t="s">
        <v>171</v>
      </c>
      <c r="GS2" s="71" t="s">
        <v>167</v>
      </c>
      <c r="GT2" s="71" t="s">
        <v>57</v>
      </c>
      <c r="GU2" s="71" t="s">
        <v>172</v>
      </c>
      <c r="GV2" s="71" t="s">
        <v>15</v>
      </c>
      <c r="GW2" s="101" t="s">
        <v>165</v>
      </c>
      <c r="GX2" s="101"/>
      <c r="GY2" s="101"/>
      <c r="GZ2" s="101"/>
      <c r="HA2" s="101" t="s">
        <v>166</v>
      </c>
      <c r="HB2" s="101"/>
      <c r="HC2" s="101"/>
      <c r="HD2" s="101"/>
      <c r="HE2" s="101" t="s">
        <v>167</v>
      </c>
      <c r="HF2" s="101"/>
      <c r="HG2" s="101"/>
      <c r="HH2" s="101"/>
      <c r="HI2" s="101" t="s">
        <v>168</v>
      </c>
      <c r="HJ2" s="101"/>
      <c r="HK2" s="101"/>
      <c r="HL2" s="101"/>
      <c r="HM2" s="110" t="s">
        <v>169</v>
      </c>
      <c r="HN2" s="110"/>
      <c r="HO2" s="110"/>
      <c r="HP2" s="110"/>
      <c r="HQ2" s="72" t="s">
        <v>170</v>
      </c>
      <c r="HR2" s="72" t="s">
        <v>171</v>
      </c>
      <c r="HS2" s="72" t="s">
        <v>167</v>
      </c>
      <c r="HT2" s="72" t="s">
        <v>57</v>
      </c>
      <c r="HU2" s="72" t="s">
        <v>172</v>
      </c>
      <c r="HV2" s="72" t="s">
        <v>15</v>
      </c>
      <c r="HW2" s="103" t="s">
        <v>165</v>
      </c>
      <c r="HX2" s="103"/>
      <c r="HY2" s="103"/>
      <c r="HZ2" s="103"/>
      <c r="IA2" s="103" t="s">
        <v>166</v>
      </c>
      <c r="IB2" s="103"/>
      <c r="IC2" s="103"/>
      <c r="ID2" s="103"/>
      <c r="IE2" s="103" t="s">
        <v>167</v>
      </c>
      <c r="IF2" s="103"/>
      <c r="IG2" s="103"/>
      <c r="IH2" s="103"/>
      <c r="II2" s="103" t="s">
        <v>168</v>
      </c>
      <c r="IJ2" s="103"/>
      <c r="IK2" s="103"/>
      <c r="IL2" s="103"/>
      <c r="IM2" s="112" t="s">
        <v>169</v>
      </c>
      <c r="IN2" s="112"/>
      <c r="IO2" s="112"/>
      <c r="IP2" s="112"/>
      <c r="IQ2" s="71" t="s">
        <v>170</v>
      </c>
      <c r="IR2" s="71" t="s">
        <v>171</v>
      </c>
      <c r="IS2" s="71" t="s">
        <v>167</v>
      </c>
      <c r="IT2" s="71" t="s">
        <v>57</v>
      </c>
      <c r="IU2" s="71" t="s">
        <v>172</v>
      </c>
      <c r="IV2" s="71" t="s">
        <v>15</v>
      </c>
      <c r="IW2" s="101" t="s">
        <v>165</v>
      </c>
      <c r="IX2" s="101"/>
      <c r="IY2" s="101"/>
      <c r="IZ2" s="101"/>
      <c r="JA2" s="101" t="s">
        <v>166</v>
      </c>
      <c r="JB2" s="101"/>
      <c r="JC2" s="101"/>
      <c r="JD2" s="101"/>
      <c r="JE2" s="101" t="s">
        <v>167</v>
      </c>
      <c r="JF2" s="101"/>
      <c r="JG2" s="101"/>
      <c r="JH2" s="101"/>
      <c r="JI2" s="101" t="s">
        <v>168</v>
      </c>
      <c r="JJ2" s="101"/>
      <c r="JK2" s="101"/>
      <c r="JL2" s="101"/>
      <c r="JM2" s="110" t="s">
        <v>169</v>
      </c>
      <c r="JN2" s="110"/>
      <c r="JO2" s="110"/>
      <c r="JP2" s="110"/>
      <c r="JQ2" s="72" t="s">
        <v>170</v>
      </c>
      <c r="JR2" s="72" t="s">
        <v>171</v>
      </c>
      <c r="JS2" s="72" t="s">
        <v>167</v>
      </c>
      <c r="JT2" s="72" t="s">
        <v>57</v>
      </c>
      <c r="JU2" s="72" t="s">
        <v>172</v>
      </c>
      <c r="JV2" s="72" t="s">
        <v>15</v>
      </c>
      <c r="JW2" s="103" t="s">
        <v>165</v>
      </c>
      <c r="JX2" s="103"/>
      <c r="JY2" s="103"/>
      <c r="JZ2" s="103"/>
      <c r="KA2" s="103" t="s">
        <v>166</v>
      </c>
      <c r="KB2" s="103"/>
      <c r="KC2" s="103"/>
      <c r="KD2" s="103"/>
      <c r="KE2" s="103" t="s">
        <v>167</v>
      </c>
      <c r="KF2" s="103"/>
      <c r="KG2" s="103"/>
      <c r="KH2" s="103"/>
      <c r="KI2" s="103" t="s">
        <v>168</v>
      </c>
      <c r="KJ2" s="103"/>
      <c r="KK2" s="103"/>
      <c r="KL2" s="103"/>
      <c r="KM2" s="112" t="s">
        <v>169</v>
      </c>
      <c r="KN2" s="112"/>
      <c r="KO2" s="112"/>
      <c r="KP2" s="112"/>
      <c r="KQ2" s="71" t="s">
        <v>170</v>
      </c>
      <c r="KR2" s="71" t="s">
        <v>171</v>
      </c>
      <c r="KS2" s="71" t="s">
        <v>167</v>
      </c>
      <c r="KT2" s="71" t="s">
        <v>57</v>
      </c>
      <c r="KU2" s="71" t="s">
        <v>172</v>
      </c>
      <c r="KV2" s="71" t="s">
        <v>15</v>
      </c>
      <c r="KW2" s="101" t="s">
        <v>165</v>
      </c>
      <c r="KX2" s="101"/>
      <c r="KY2" s="101"/>
      <c r="KZ2" s="101"/>
      <c r="LA2" s="101" t="s">
        <v>166</v>
      </c>
      <c r="LB2" s="101"/>
      <c r="LC2" s="101"/>
      <c r="LD2" s="101"/>
      <c r="LE2" s="101" t="s">
        <v>167</v>
      </c>
      <c r="LF2" s="101"/>
      <c r="LG2" s="101"/>
      <c r="LH2" s="101"/>
      <c r="LI2" s="101" t="s">
        <v>168</v>
      </c>
      <c r="LJ2" s="101"/>
      <c r="LK2" s="101"/>
      <c r="LL2" s="101"/>
      <c r="LM2" s="110" t="s">
        <v>169</v>
      </c>
      <c r="LN2" s="110"/>
      <c r="LO2" s="110"/>
      <c r="LP2" s="110"/>
      <c r="LQ2" s="72" t="s">
        <v>170</v>
      </c>
      <c r="LR2" s="72" t="s">
        <v>171</v>
      </c>
      <c r="LS2" s="72" t="s">
        <v>167</v>
      </c>
      <c r="LT2" s="72" t="s">
        <v>57</v>
      </c>
      <c r="LU2" s="72" t="s">
        <v>172</v>
      </c>
      <c r="LV2" s="72" t="s">
        <v>15</v>
      </c>
      <c r="LW2" s="103" t="s">
        <v>165</v>
      </c>
      <c r="LX2" s="103"/>
      <c r="LY2" s="103"/>
      <c r="LZ2" s="103"/>
      <c r="MA2" s="103" t="s">
        <v>166</v>
      </c>
      <c r="MB2" s="103"/>
      <c r="MC2" s="103"/>
      <c r="MD2" s="103"/>
      <c r="ME2" s="103" t="s">
        <v>167</v>
      </c>
      <c r="MF2" s="103"/>
      <c r="MG2" s="103"/>
      <c r="MH2" s="103"/>
      <c r="MI2" s="103" t="s">
        <v>168</v>
      </c>
      <c r="MJ2" s="103"/>
      <c r="MK2" s="103"/>
      <c r="ML2" s="103"/>
      <c r="MM2" s="112" t="s">
        <v>169</v>
      </c>
      <c r="MN2" s="112"/>
      <c r="MO2" s="112"/>
      <c r="MP2" s="112"/>
      <c r="MQ2" s="71" t="s">
        <v>170</v>
      </c>
      <c r="MR2" s="71" t="s">
        <v>171</v>
      </c>
      <c r="MS2" s="71" t="s">
        <v>167</v>
      </c>
      <c r="MT2" s="71" t="s">
        <v>57</v>
      </c>
      <c r="MU2" s="71" t="s">
        <v>172</v>
      </c>
      <c r="MV2" s="71" t="s">
        <v>15</v>
      </c>
      <c r="MW2" s="101" t="s">
        <v>165</v>
      </c>
      <c r="MX2" s="101"/>
      <c r="MY2" s="101"/>
      <c r="MZ2" s="101"/>
      <c r="NA2" s="101" t="s">
        <v>166</v>
      </c>
      <c r="NB2" s="101"/>
      <c r="NC2" s="101"/>
      <c r="ND2" s="101"/>
      <c r="NE2" s="101" t="s">
        <v>167</v>
      </c>
      <c r="NF2" s="101"/>
      <c r="NG2" s="101"/>
      <c r="NH2" s="101"/>
      <c r="NI2" s="101" t="s">
        <v>168</v>
      </c>
      <c r="NJ2" s="101"/>
      <c r="NK2" s="101"/>
      <c r="NL2" s="101"/>
      <c r="NM2" s="110" t="s">
        <v>169</v>
      </c>
      <c r="NN2" s="110"/>
      <c r="NO2" s="110"/>
      <c r="NP2" s="110"/>
      <c r="NQ2" s="72" t="s">
        <v>170</v>
      </c>
      <c r="NR2" s="72" t="s">
        <v>171</v>
      </c>
      <c r="NS2" s="72" t="s">
        <v>167</v>
      </c>
      <c r="NT2" s="72" t="s">
        <v>57</v>
      </c>
      <c r="NU2" s="72" t="s">
        <v>172</v>
      </c>
      <c r="NV2" s="72" t="s">
        <v>15</v>
      </c>
      <c r="NW2" s="103" t="s">
        <v>165</v>
      </c>
      <c r="NX2" s="103"/>
      <c r="NY2" s="103"/>
      <c r="NZ2" s="103"/>
      <c r="OA2" s="103" t="s">
        <v>166</v>
      </c>
      <c r="OB2" s="103"/>
      <c r="OC2" s="103"/>
      <c r="OD2" s="103"/>
      <c r="OE2" s="103" t="s">
        <v>167</v>
      </c>
      <c r="OF2" s="103"/>
      <c r="OG2" s="103"/>
      <c r="OH2" s="103"/>
      <c r="OI2" s="103" t="s">
        <v>168</v>
      </c>
      <c r="OJ2" s="103"/>
      <c r="OK2" s="103"/>
      <c r="OL2" s="103"/>
      <c r="OM2" s="112" t="s">
        <v>169</v>
      </c>
      <c r="ON2" s="112"/>
      <c r="OO2" s="112"/>
      <c r="OP2" s="112"/>
      <c r="OQ2" s="71" t="s">
        <v>170</v>
      </c>
      <c r="OR2" s="71" t="s">
        <v>171</v>
      </c>
      <c r="OS2" s="71" t="s">
        <v>167</v>
      </c>
      <c r="OT2" s="71" t="s">
        <v>57</v>
      </c>
      <c r="OU2" s="71" t="s">
        <v>172</v>
      </c>
      <c r="OV2" s="71" t="s">
        <v>15</v>
      </c>
      <c r="OW2" s="101" t="s">
        <v>165</v>
      </c>
      <c r="OX2" s="101"/>
      <c r="OY2" s="101"/>
      <c r="OZ2" s="101"/>
      <c r="PA2" s="101" t="s">
        <v>166</v>
      </c>
      <c r="PB2" s="101"/>
      <c r="PC2" s="101"/>
      <c r="PD2" s="101"/>
      <c r="PE2" s="101" t="s">
        <v>167</v>
      </c>
      <c r="PF2" s="101"/>
      <c r="PG2" s="101"/>
      <c r="PH2" s="101"/>
      <c r="PI2" s="101" t="s">
        <v>168</v>
      </c>
      <c r="PJ2" s="101"/>
      <c r="PK2" s="101"/>
      <c r="PL2" s="101"/>
      <c r="PM2" s="111" t="s">
        <v>169</v>
      </c>
      <c r="PN2" s="111"/>
      <c r="PO2" s="111"/>
      <c r="PP2" s="111"/>
      <c r="PQ2" s="72"/>
      <c r="PR2" s="72" t="s">
        <v>170</v>
      </c>
      <c r="PS2" s="72" t="s">
        <v>171</v>
      </c>
      <c r="PT2" s="72" t="s">
        <v>167</v>
      </c>
      <c r="PU2" s="72" t="s">
        <v>57</v>
      </c>
      <c r="PV2" s="72" t="s">
        <v>172</v>
      </c>
      <c r="PW2" s="72" t="s">
        <v>15</v>
      </c>
    </row>
    <row r="3" spans="1:439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8"/>
      <c r="N3" s="108"/>
      <c r="O3" s="109"/>
      <c r="P3" s="108"/>
      <c r="Q3" s="108"/>
      <c r="R3" s="72" t="s">
        <v>12</v>
      </c>
      <c r="S3" s="72" t="s">
        <v>7</v>
      </c>
      <c r="T3" s="72" t="s">
        <v>24</v>
      </c>
      <c r="U3" s="72" t="s">
        <v>25</v>
      </c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3" t="s">
        <v>12</v>
      </c>
      <c r="AI3" s="73" t="s">
        <v>7</v>
      </c>
      <c r="AJ3" s="73" t="s">
        <v>24</v>
      </c>
      <c r="AK3" s="73" t="s">
        <v>25</v>
      </c>
      <c r="AL3" s="72" t="s">
        <v>45</v>
      </c>
      <c r="AM3" s="72"/>
      <c r="AN3" s="72"/>
      <c r="AO3" s="72"/>
      <c r="AP3" s="72"/>
      <c r="AQ3" s="72"/>
      <c r="AR3" s="72"/>
      <c r="AS3" s="71" t="s">
        <v>12</v>
      </c>
      <c r="AT3" s="71" t="s">
        <v>7</v>
      </c>
      <c r="AU3" s="71" t="s">
        <v>24</v>
      </c>
      <c r="AV3" s="71" t="s">
        <v>25</v>
      </c>
      <c r="AW3" s="71" t="s">
        <v>12</v>
      </c>
      <c r="AX3" s="71" t="s">
        <v>7</v>
      </c>
      <c r="AY3" s="71" t="s">
        <v>24</v>
      </c>
      <c r="AZ3" s="71" t="s">
        <v>25</v>
      </c>
      <c r="BA3" s="71" t="s">
        <v>12</v>
      </c>
      <c r="BB3" s="71" t="s">
        <v>7</v>
      </c>
      <c r="BC3" s="71" t="s">
        <v>24</v>
      </c>
      <c r="BD3" s="71" t="s">
        <v>25</v>
      </c>
      <c r="BE3" s="71" t="s">
        <v>12</v>
      </c>
      <c r="BF3" s="71" t="s">
        <v>7</v>
      </c>
      <c r="BG3" s="71" t="s">
        <v>24</v>
      </c>
      <c r="BH3" s="71" t="s">
        <v>25</v>
      </c>
      <c r="BI3" s="75" t="s">
        <v>12</v>
      </c>
      <c r="BJ3" s="75" t="s">
        <v>7</v>
      </c>
      <c r="BK3" s="75" t="s">
        <v>24</v>
      </c>
      <c r="BL3" s="75" t="s">
        <v>25</v>
      </c>
      <c r="BM3" s="71" t="s">
        <v>45</v>
      </c>
      <c r="BN3" s="71"/>
      <c r="BO3" s="71"/>
      <c r="BP3" s="71"/>
      <c r="BQ3" s="71"/>
      <c r="BR3" s="71"/>
      <c r="BS3" s="71"/>
      <c r="BT3" s="72" t="s">
        <v>12</v>
      </c>
      <c r="BU3" s="72" t="s">
        <v>7</v>
      </c>
      <c r="BV3" s="72" t="s">
        <v>24</v>
      </c>
      <c r="BW3" s="72" t="s">
        <v>25</v>
      </c>
      <c r="BX3" s="72" t="s">
        <v>12</v>
      </c>
      <c r="BY3" s="72" t="s">
        <v>7</v>
      </c>
      <c r="BZ3" s="72" t="s">
        <v>24</v>
      </c>
      <c r="CA3" s="72" t="s">
        <v>25</v>
      </c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3" t="s">
        <v>12</v>
      </c>
      <c r="CK3" s="73" t="s">
        <v>7</v>
      </c>
      <c r="CL3" s="73" t="s">
        <v>24</v>
      </c>
      <c r="CM3" s="73" t="s">
        <v>25</v>
      </c>
      <c r="CN3" s="72" t="s">
        <v>45</v>
      </c>
      <c r="CO3" s="72"/>
      <c r="CP3" s="72"/>
      <c r="CQ3" s="72"/>
      <c r="CR3" s="72"/>
      <c r="CS3" s="72"/>
      <c r="CT3" s="72"/>
      <c r="CU3" s="77"/>
      <c r="CV3" s="77"/>
      <c r="CW3" s="72" t="s">
        <v>12</v>
      </c>
      <c r="CX3" s="72" t="s">
        <v>7</v>
      </c>
      <c r="CY3" s="72" t="s">
        <v>24</v>
      </c>
      <c r="CZ3" s="72" t="s">
        <v>25</v>
      </c>
      <c r="DA3" s="72" t="s">
        <v>12</v>
      </c>
      <c r="DB3" s="72" t="s">
        <v>7</v>
      </c>
      <c r="DC3" s="72" t="s">
        <v>24</v>
      </c>
      <c r="DD3" s="72" t="s">
        <v>25</v>
      </c>
      <c r="DE3" s="72" t="s">
        <v>12</v>
      </c>
      <c r="DF3" s="72" t="s">
        <v>7</v>
      </c>
      <c r="DG3" s="72" t="s">
        <v>24</v>
      </c>
      <c r="DH3" s="72" t="s">
        <v>25</v>
      </c>
      <c r="DI3" s="72" t="s">
        <v>12</v>
      </c>
      <c r="DJ3" s="72" t="s">
        <v>7</v>
      </c>
      <c r="DK3" s="72" t="s">
        <v>24</v>
      </c>
      <c r="DL3" s="72" t="s">
        <v>25</v>
      </c>
      <c r="DM3" s="74" t="s">
        <v>12</v>
      </c>
      <c r="DN3" s="74" t="s">
        <v>7</v>
      </c>
      <c r="DO3" s="74" t="s">
        <v>24</v>
      </c>
      <c r="DP3" s="74" t="s">
        <v>25</v>
      </c>
      <c r="DQ3" s="72"/>
      <c r="DR3" s="72"/>
      <c r="DS3" s="72"/>
      <c r="DT3" s="72"/>
      <c r="DU3" s="72"/>
      <c r="DV3" s="72"/>
      <c r="DW3" s="71" t="s">
        <v>12</v>
      </c>
      <c r="DX3" s="71" t="s">
        <v>7</v>
      </c>
      <c r="DY3" s="71" t="s">
        <v>24</v>
      </c>
      <c r="DZ3" s="71" t="s">
        <v>25</v>
      </c>
      <c r="EA3" s="71" t="s">
        <v>12</v>
      </c>
      <c r="EB3" s="71" t="s">
        <v>7</v>
      </c>
      <c r="EC3" s="71" t="s">
        <v>24</v>
      </c>
      <c r="ED3" s="71" t="s">
        <v>25</v>
      </c>
      <c r="EE3" s="71" t="s">
        <v>12</v>
      </c>
      <c r="EF3" s="71" t="s">
        <v>7</v>
      </c>
      <c r="EG3" s="71" t="s">
        <v>24</v>
      </c>
      <c r="EH3" s="71" t="s">
        <v>25</v>
      </c>
      <c r="EI3" s="71" t="s">
        <v>12</v>
      </c>
      <c r="EJ3" s="71" t="s">
        <v>7</v>
      </c>
      <c r="EK3" s="71" t="s">
        <v>24</v>
      </c>
      <c r="EL3" s="71" t="s">
        <v>25</v>
      </c>
      <c r="EM3" s="75" t="s">
        <v>12</v>
      </c>
      <c r="EN3" s="75" t="s">
        <v>7</v>
      </c>
      <c r="EO3" s="75" t="s">
        <v>24</v>
      </c>
      <c r="EP3" s="75" t="s">
        <v>25</v>
      </c>
      <c r="EQ3" s="71"/>
      <c r="ER3" s="71"/>
      <c r="ES3" s="71"/>
      <c r="ET3" s="71"/>
      <c r="EU3" s="71"/>
      <c r="EV3" s="71"/>
      <c r="EW3" s="72" t="s">
        <v>12</v>
      </c>
      <c r="EX3" s="72" t="s">
        <v>7</v>
      </c>
      <c r="EY3" s="72" t="s">
        <v>24</v>
      </c>
      <c r="EZ3" s="72" t="s">
        <v>25</v>
      </c>
      <c r="FA3" s="72" t="s">
        <v>12</v>
      </c>
      <c r="FB3" s="72" t="s">
        <v>7</v>
      </c>
      <c r="FC3" s="72" t="s">
        <v>24</v>
      </c>
      <c r="FD3" s="72" t="s">
        <v>25</v>
      </c>
      <c r="FE3" s="72" t="s">
        <v>12</v>
      </c>
      <c r="FF3" s="72" t="s">
        <v>7</v>
      </c>
      <c r="FG3" s="72" t="s">
        <v>24</v>
      </c>
      <c r="FH3" s="72" t="s">
        <v>25</v>
      </c>
      <c r="FI3" s="72" t="s">
        <v>12</v>
      </c>
      <c r="FJ3" s="72" t="s">
        <v>7</v>
      </c>
      <c r="FK3" s="72" t="s">
        <v>24</v>
      </c>
      <c r="FL3" s="72" t="s">
        <v>25</v>
      </c>
      <c r="FM3" s="74" t="s">
        <v>12</v>
      </c>
      <c r="FN3" s="74" t="s">
        <v>7</v>
      </c>
      <c r="FO3" s="74" t="s">
        <v>24</v>
      </c>
      <c r="FP3" s="74" t="s">
        <v>25</v>
      </c>
      <c r="FQ3" s="72"/>
      <c r="FR3" s="72"/>
      <c r="FS3" s="72"/>
      <c r="FT3" s="72"/>
      <c r="FU3" s="72"/>
      <c r="FV3" s="72"/>
      <c r="FW3" s="71" t="s">
        <v>12</v>
      </c>
      <c r="FX3" s="71" t="s">
        <v>7</v>
      </c>
      <c r="FY3" s="71" t="s">
        <v>24</v>
      </c>
      <c r="FZ3" s="71" t="s">
        <v>25</v>
      </c>
      <c r="GA3" s="71" t="s">
        <v>12</v>
      </c>
      <c r="GB3" s="71" t="s">
        <v>7</v>
      </c>
      <c r="GC3" s="71" t="s">
        <v>24</v>
      </c>
      <c r="GD3" s="71" t="s">
        <v>25</v>
      </c>
      <c r="GE3" s="71" t="s">
        <v>12</v>
      </c>
      <c r="GF3" s="71" t="s">
        <v>7</v>
      </c>
      <c r="GG3" s="71" t="s">
        <v>24</v>
      </c>
      <c r="GH3" s="71" t="s">
        <v>25</v>
      </c>
      <c r="GI3" s="71" t="s">
        <v>12</v>
      </c>
      <c r="GJ3" s="71" t="s">
        <v>7</v>
      </c>
      <c r="GK3" s="71" t="s">
        <v>24</v>
      </c>
      <c r="GL3" s="71" t="s">
        <v>25</v>
      </c>
      <c r="GM3" s="75" t="s">
        <v>12</v>
      </c>
      <c r="GN3" s="75" t="s">
        <v>7</v>
      </c>
      <c r="GO3" s="75" t="s">
        <v>24</v>
      </c>
      <c r="GP3" s="75" t="s">
        <v>25</v>
      </c>
      <c r="GQ3" s="71"/>
      <c r="GR3" s="71"/>
      <c r="GS3" s="71"/>
      <c r="GT3" s="71"/>
      <c r="GU3" s="71"/>
      <c r="GV3" s="71"/>
      <c r="GW3" s="72" t="s">
        <v>12</v>
      </c>
      <c r="GX3" s="72" t="s">
        <v>7</v>
      </c>
      <c r="GY3" s="72" t="s">
        <v>24</v>
      </c>
      <c r="GZ3" s="72" t="s">
        <v>25</v>
      </c>
      <c r="HA3" s="72" t="s">
        <v>12</v>
      </c>
      <c r="HB3" s="72" t="s">
        <v>7</v>
      </c>
      <c r="HC3" s="72" t="s">
        <v>24</v>
      </c>
      <c r="HD3" s="72" t="s">
        <v>25</v>
      </c>
      <c r="HE3" s="72" t="s">
        <v>12</v>
      </c>
      <c r="HF3" s="72" t="s">
        <v>7</v>
      </c>
      <c r="HG3" s="72" t="s">
        <v>24</v>
      </c>
      <c r="HH3" s="72" t="s">
        <v>25</v>
      </c>
      <c r="HI3" s="72" t="s">
        <v>12</v>
      </c>
      <c r="HJ3" s="72" t="s">
        <v>7</v>
      </c>
      <c r="HK3" s="72" t="s">
        <v>24</v>
      </c>
      <c r="HL3" s="72" t="s">
        <v>25</v>
      </c>
      <c r="HM3" s="74" t="s">
        <v>12</v>
      </c>
      <c r="HN3" s="74" t="s">
        <v>7</v>
      </c>
      <c r="HO3" s="74" t="s">
        <v>24</v>
      </c>
      <c r="HP3" s="74" t="s">
        <v>25</v>
      </c>
      <c r="HQ3" s="72"/>
      <c r="HR3" s="72"/>
      <c r="HS3" s="72"/>
      <c r="HT3" s="72"/>
      <c r="HU3" s="72"/>
      <c r="HV3" s="72"/>
      <c r="HW3" s="71" t="s">
        <v>12</v>
      </c>
      <c r="HX3" s="71" t="s">
        <v>7</v>
      </c>
      <c r="HY3" s="71" t="s">
        <v>24</v>
      </c>
      <c r="HZ3" s="71" t="s">
        <v>25</v>
      </c>
      <c r="IA3" s="71" t="s">
        <v>12</v>
      </c>
      <c r="IB3" s="71" t="s">
        <v>7</v>
      </c>
      <c r="IC3" s="71" t="s">
        <v>24</v>
      </c>
      <c r="ID3" s="71" t="s">
        <v>25</v>
      </c>
      <c r="IE3" s="71" t="s">
        <v>12</v>
      </c>
      <c r="IF3" s="71" t="s">
        <v>7</v>
      </c>
      <c r="IG3" s="71" t="s">
        <v>24</v>
      </c>
      <c r="IH3" s="71" t="s">
        <v>25</v>
      </c>
      <c r="II3" s="71" t="s">
        <v>12</v>
      </c>
      <c r="IJ3" s="71" t="s">
        <v>7</v>
      </c>
      <c r="IK3" s="71" t="s">
        <v>24</v>
      </c>
      <c r="IL3" s="71" t="s">
        <v>25</v>
      </c>
      <c r="IM3" s="75" t="s">
        <v>12</v>
      </c>
      <c r="IN3" s="75" t="s">
        <v>7</v>
      </c>
      <c r="IO3" s="75" t="s">
        <v>24</v>
      </c>
      <c r="IP3" s="75" t="s">
        <v>25</v>
      </c>
      <c r="IQ3" s="71"/>
      <c r="IR3" s="71"/>
      <c r="IS3" s="71"/>
      <c r="IT3" s="71"/>
      <c r="IU3" s="71"/>
      <c r="IV3" s="71"/>
      <c r="IW3" s="72" t="s">
        <v>12</v>
      </c>
      <c r="IX3" s="72" t="s">
        <v>7</v>
      </c>
      <c r="IY3" s="72" t="s">
        <v>24</v>
      </c>
      <c r="IZ3" s="72" t="s">
        <v>25</v>
      </c>
      <c r="JA3" s="72" t="s">
        <v>12</v>
      </c>
      <c r="JB3" s="72" t="s">
        <v>7</v>
      </c>
      <c r="JC3" s="72" t="s">
        <v>24</v>
      </c>
      <c r="JD3" s="72" t="s">
        <v>25</v>
      </c>
      <c r="JE3" s="72" t="s">
        <v>12</v>
      </c>
      <c r="JF3" s="72" t="s">
        <v>7</v>
      </c>
      <c r="JG3" s="72" t="s">
        <v>24</v>
      </c>
      <c r="JH3" s="72" t="s">
        <v>25</v>
      </c>
      <c r="JI3" s="72" t="s">
        <v>12</v>
      </c>
      <c r="JJ3" s="72" t="s">
        <v>7</v>
      </c>
      <c r="JK3" s="72" t="s">
        <v>24</v>
      </c>
      <c r="JL3" s="72" t="s">
        <v>25</v>
      </c>
      <c r="JM3" s="74" t="s">
        <v>12</v>
      </c>
      <c r="JN3" s="74" t="s">
        <v>7</v>
      </c>
      <c r="JO3" s="74" t="s">
        <v>24</v>
      </c>
      <c r="JP3" s="74" t="s">
        <v>25</v>
      </c>
      <c r="JQ3" s="72"/>
      <c r="JR3" s="72"/>
      <c r="JS3" s="72"/>
      <c r="JT3" s="72"/>
      <c r="JU3" s="72"/>
      <c r="JV3" s="72"/>
      <c r="JW3" s="71" t="s">
        <v>12</v>
      </c>
      <c r="JX3" s="71" t="s">
        <v>7</v>
      </c>
      <c r="JY3" s="71" t="s">
        <v>24</v>
      </c>
      <c r="JZ3" s="71" t="s">
        <v>25</v>
      </c>
      <c r="KA3" s="71" t="s">
        <v>12</v>
      </c>
      <c r="KB3" s="71" t="s">
        <v>7</v>
      </c>
      <c r="KC3" s="71" t="s">
        <v>24</v>
      </c>
      <c r="KD3" s="71" t="s">
        <v>25</v>
      </c>
      <c r="KE3" s="71" t="s">
        <v>12</v>
      </c>
      <c r="KF3" s="71" t="s">
        <v>7</v>
      </c>
      <c r="KG3" s="71" t="s">
        <v>24</v>
      </c>
      <c r="KH3" s="71" t="s">
        <v>25</v>
      </c>
      <c r="KI3" s="71" t="s">
        <v>12</v>
      </c>
      <c r="KJ3" s="71" t="s">
        <v>7</v>
      </c>
      <c r="KK3" s="71" t="s">
        <v>24</v>
      </c>
      <c r="KL3" s="71" t="s">
        <v>25</v>
      </c>
      <c r="KM3" s="75" t="s">
        <v>12</v>
      </c>
      <c r="KN3" s="75" t="s">
        <v>7</v>
      </c>
      <c r="KO3" s="75" t="s">
        <v>24</v>
      </c>
      <c r="KP3" s="75" t="s">
        <v>25</v>
      </c>
      <c r="KQ3" s="71"/>
      <c r="KR3" s="71"/>
      <c r="KS3" s="71"/>
      <c r="KT3" s="71"/>
      <c r="KU3" s="71"/>
      <c r="KV3" s="71"/>
      <c r="KW3" s="72" t="s">
        <v>12</v>
      </c>
      <c r="KX3" s="72" t="s">
        <v>7</v>
      </c>
      <c r="KY3" s="72" t="s">
        <v>24</v>
      </c>
      <c r="KZ3" s="72" t="s">
        <v>25</v>
      </c>
      <c r="LA3" s="72" t="s">
        <v>12</v>
      </c>
      <c r="LB3" s="72" t="s">
        <v>7</v>
      </c>
      <c r="LC3" s="72" t="s">
        <v>24</v>
      </c>
      <c r="LD3" s="72" t="s">
        <v>25</v>
      </c>
      <c r="LE3" s="72" t="s">
        <v>12</v>
      </c>
      <c r="LF3" s="72" t="s">
        <v>7</v>
      </c>
      <c r="LG3" s="72" t="s">
        <v>24</v>
      </c>
      <c r="LH3" s="72" t="s">
        <v>25</v>
      </c>
      <c r="LI3" s="72" t="s">
        <v>12</v>
      </c>
      <c r="LJ3" s="72" t="s">
        <v>7</v>
      </c>
      <c r="LK3" s="72" t="s">
        <v>24</v>
      </c>
      <c r="LL3" s="72" t="s">
        <v>25</v>
      </c>
      <c r="LM3" s="74" t="s">
        <v>12</v>
      </c>
      <c r="LN3" s="74" t="s">
        <v>7</v>
      </c>
      <c r="LO3" s="74" t="s">
        <v>24</v>
      </c>
      <c r="LP3" s="74" t="s">
        <v>25</v>
      </c>
      <c r="LQ3" s="72"/>
      <c r="LR3" s="72"/>
      <c r="LS3" s="72"/>
      <c r="LT3" s="72"/>
      <c r="LU3" s="72"/>
      <c r="LV3" s="72"/>
      <c r="LW3" s="71" t="s">
        <v>12</v>
      </c>
      <c r="LX3" s="71" t="s">
        <v>7</v>
      </c>
      <c r="LY3" s="71" t="s">
        <v>24</v>
      </c>
      <c r="LZ3" s="71" t="s">
        <v>25</v>
      </c>
      <c r="MA3" s="71" t="s">
        <v>12</v>
      </c>
      <c r="MB3" s="71" t="s">
        <v>7</v>
      </c>
      <c r="MC3" s="71" t="s">
        <v>24</v>
      </c>
      <c r="MD3" s="71" t="s">
        <v>25</v>
      </c>
      <c r="ME3" s="71" t="s">
        <v>12</v>
      </c>
      <c r="MF3" s="71" t="s">
        <v>7</v>
      </c>
      <c r="MG3" s="71" t="s">
        <v>24</v>
      </c>
      <c r="MH3" s="71" t="s">
        <v>25</v>
      </c>
      <c r="MI3" s="71" t="s">
        <v>12</v>
      </c>
      <c r="MJ3" s="71" t="s">
        <v>7</v>
      </c>
      <c r="MK3" s="71" t="s">
        <v>24</v>
      </c>
      <c r="ML3" s="71" t="s">
        <v>25</v>
      </c>
      <c r="MM3" s="75" t="s">
        <v>12</v>
      </c>
      <c r="MN3" s="75" t="s">
        <v>7</v>
      </c>
      <c r="MO3" s="75" t="s">
        <v>24</v>
      </c>
      <c r="MP3" s="75" t="s">
        <v>25</v>
      </c>
      <c r="MQ3" s="71"/>
      <c r="MR3" s="71"/>
      <c r="MS3" s="71"/>
      <c r="MT3" s="71"/>
      <c r="MU3" s="71"/>
      <c r="MV3" s="71"/>
      <c r="MW3" s="72" t="s">
        <v>12</v>
      </c>
      <c r="MX3" s="72" t="s">
        <v>7</v>
      </c>
      <c r="MY3" s="72" t="s">
        <v>24</v>
      </c>
      <c r="MZ3" s="72" t="s">
        <v>25</v>
      </c>
      <c r="NA3" s="72" t="s">
        <v>12</v>
      </c>
      <c r="NB3" s="72" t="s">
        <v>7</v>
      </c>
      <c r="NC3" s="72" t="s">
        <v>24</v>
      </c>
      <c r="ND3" s="72" t="s">
        <v>25</v>
      </c>
      <c r="NE3" s="72" t="s">
        <v>12</v>
      </c>
      <c r="NF3" s="72" t="s">
        <v>7</v>
      </c>
      <c r="NG3" s="72" t="s">
        <v>24</v>
      </c>
      <c r="NH3" s="72" t="s">
        <v>25</v>
      </c>
      <c r="NI3" s="72" t="s">
        <v>12</v>
      </c>
      <c r="NJ3" s="72" t="s">
        <v>7</v>
      </c>
      <c r="NK3" s="72" t="s">
        <v>24</v>
      </c>
      <c r="NL3" s="72" t="s">
        <v>25</v>
      </c>
      <c r="NM3" s="74" t="s">
        <v>12</v>
      </c>
      <c r="NN3" s="74" t="s">
        <v>7</v>
      </c>
      <c r="NO3" s="74" t="s">
        <v>24</v>
      </c>
      <c r="NP3" s="74" t="s">
        <v>25</v>
      </c>
      <c r="NQ3" s="72"/>
      <c r="NR3" s="72"/>
      <c r="NS3" s="72"/>
      <c r="NT3" s="72"/>
      <c r="NU3" s="72"/>
      <c r="NV3" s="72"/>
      <c r="NW3" s="71" t="s">
        <v>12</v>
      </c>
      <c r="NX3" s="71" t="s">
        <v>7</v>
      </c>
      <c r="NY3" s="71" t="s">
        <v>24</v>
      </c>
      <c r="NZ3" s="71" t="s">
        <v>25</v>
      </c>
      <c r="OA3" s="71" t="s">
        <v>12</v>
      </c>
      <c r="OB3" s="71" t="s">
        <v>7</v>
      </c>
      <c r="OC3" s="71" t="s">
        <v>24</v>
      </c>
      <c r="OD3" s="71" t="s">
        <v>25</v>
      </c>
      <c r="OE3" s="71" t="s">
        <v>12</v>
      </c>
      <c r="OF3" s="71" t="s">
        <v>7</v>
      </c>
      <c r="OG3" s="71" t="s">
        <v>24</v>
      </c>
      <c r="OH3" s="71" t="s">
        <v>25</v>
      </c>
      <c r="OI3" s="71" t="s">
        <v>12</v>
      </c>
      <c r="OJ3" s="71" t="s">
        <v>7</v>
      </c>
      <c r="OK3" s="71" t="s">
        <v>24</v>
      </c>
      <c r="OL3" s="71" t="s">
        <v>25</v>
      </c>
      <c r="OM3" s="75" t="s">
        <v>12</v>
      </c>
      <c r="ON3" s="75" t="s">
        <v>7</v>
      </c>
      <c r="OO3" s="75" t="s">
        <v>24</v>
      </c>
      <c r="OP3" s="75" t="s">
        <v>25</v>
      </c>
      <c r="OQ3" s="71"/>
      <c r="OR3" s="71"/>
      <c r="OS3" s="71"/>
      <c r="OT3" s="71"/>
      <c r="OU3" s="71"/>
      <c r="OV3" s="71"/>
      <c r="OW3" s="72" t="s">
        <v>12</v>
      </c>
      <c r="OX3" s="72" t="s">
        <v>7</v>
      </c>
      <c r="OY3" s="72" t="s">
        <v>24</v>
      </c>
      <c r="OZ3" s="72" t="s">
        <v>25</v>
      </c>
      <c r="PA3" s="72" t="s">
        <v>12</v>
      </c>
      <c r="PB3" s="72" t="s">
        <v>7</v>
      </c>
      <c r="PC3" s="72" t="s">
        <v>24</v>
      </c>
      <c r="PD3" s="72" t="s">
        <v>25</v>
      </c>
      <c r="PE3" s="72" t="s">
        <v>12</v>
      </c>
      <c r="PF3" s="72" t="s">
        <v>7</v>
      </c>
      <c r="PG3" s="72" t="s">
        <v>24</v>
      </c>
      <c r="PH3" s="72" t="s">
        <v>25</v>
      </c>
      <c r="PI3" s="72" t="s">
        <v>12</v>
      </c>
      <c r="PJ3" s="72" t="s">
        <v>7</v>
      </c>
      <c r="PK3" s="72" t="s">
        <v>24</v>
      </c>
      <c r="PL3" s="72" t="s">
        <v>25</v>
      </c>
      <c r="PM3" s="73" t="s">
        <v>12</v>
      </c>
      <c r="PN3" s="73" t="s">
        <v>7</v>
      </c>
      <c r="PO3" s="73" t="s">
        <v>24</v>
      </c>
      <c r="PP3" s="73" t="s">
        <v>25</v>
      </c>
      <c r="PQ3" s="72" t="s">
        <v>45</v>
      </c>
      <c r="PR3" s="72"/>
      <c r="PS3" s="72"/>
      <c r="PT3" s="72"/>
      <c r="PU3" s="72"/>
      <c r="PV3" s="72"/>
      <c r="PW3" s="72"/>
    </row>
    <row r="4" spans="1:439" x14ac:dyDescent="0.2">
      <c r="A4" s="5">
        <f>IF(AND(F4="P",G4="P"),SUMPRODUCT((F$4:F$21="P")*(G$4:G$21="P")*(E$4:E$21&gt;E4))+1,IF(G4="P",SUMPRODUCT((F$4:F$21="")*(G$4:G$21="P")*(E$4:E$21&gt;E4))+1+SUMPRODUCT((F$4:F$21="P")*(G$4:G$21="P")),""))</f>
        <v>1</v>
      </c>
      <c r="B4" s="78" t="s">
        <v>118</v>
      </c>
      <c r="C4" s="5" t="s">
        <v>3</v>
      </c>
      <c r="D4" s="5">
        <v>2004</v>
      </c>
      <c r="E4" s="15">
        <f>SUM(I4:O4)+SUM(I4:M4)*0.0000001+SUM(I4)*0.0000000000001</f>
        <v>88.100218794025423</v>
      </c>
      <c r="F4" s="3" t="str">
        <f>IF(OR(AND(AM4&gt;=AR$23,AN4&gt;=AR$27,AM4&lt;&gt;"",AL4=""),AND(AP4&gt;=AR$23,AQ4&gt;=AR$27,AP4&lt;&gt;"",AL4=""),AND(BN4&gt;=BS$23,BO4&gt;=BS$27,BN4&lt;&gt;"",BM4=""),AND(BQ4&gt;=BS$23,BR4&gt;=BS$27,BQ4&lt;&gt;"",BM4=""),AND(CO4&gt;=CT$23,CP4&gt;=CT$27,CO4&lt;&gt;"",CN4=""),AND(CR4&gt;=CT$23,CS4&gt;=CT$27,CR4&lt;&gt;""),AND(DQ4&gt;=DV$23,DR4&gt;=DV$27,DQ4&lt;&gt;""),AND(DT4&gt;=DV$23,DU4&gt;=DV$27,DT4&lt;&gt;""),AND(EQ4&gt;=EV$23,ER4&gt;=EV$27,EQ4&lt;&gt;""),AND(ET4&gt;=EV$23,EU4&gt;=EV$27,ET4&lt;&gt;""),AND(FQ4&gt;=FV$23,FR4&gt;=FV$27,FQ4&lt;&gt;""),AND(FT4&gt;=FV$23,FU4&gt;=FV$27,FT4&lt;&gt;""),AND(GQ4&gt;=GV$23,GR4&gt;=GV$27,GQ4&lt;&gt;""),AND(GT4&gt;=GV$23,GU4&gt;=GV$27,GT4&lt;&gt;""),AND(HQ4&gt;=HV$23,HR4&gt;=HV$27,HQ4&lt;&gt;""),AND(HT4&gt;=HV$23,HU4&gt;=HV$27,HT4&lt;&gt;""),AND(IQ4&gt;=IV$23,IR4&gt;=IV$27,IQ4&lt;&gt;""),AND(IT4&gt;=IV$23,IU4&gt;=IV$27,IT4&lt;&gt;""),AND(JQ4&gt;=JV$23,JR4&gt;=JV$27,JQ4&lt;&gt;""),AND(JT4&gt;=JV$23,JU4&gt;=JV$27,JT4&lt;&gt;""),AND(KQ4&gt;=KV$23,KR4&gt;=KV$27,KQ4&lt;&gt;""),AND(KT4&gt;=KV$23,KU4&gt;=KV$27,KT4&lt;&gt;""),AND(LQ4&gt;=LV$23,LR4&gt;=LV$27,LQ4&lt;&gt;""),AND(LT4&gt;=LV$23,LU4&gt;=LV$27,LT4&lt;&gt;""),AND(MQ4&gt;=MV$23,MR4&gt;=MV$27,MQ4&lt;&gt;""),AND(MT4&gt;=MV$23,MU4&gt;=MV$27,MT4&lt;&gt;""),AND(NQ4&gt;=NV$23,NR4&gt;=NV$27,NQ4&lt;&gt;""),AND(NT4&gt;=NV$23,NU4&gt;=NV$27,NT4&lt;&gt;""),AND(OQ4&gt;=OV$23,OR4&gt;=OV$27,OQ4&lt;&gt;""),AND(OT4&gt;=OV$23,OU4&gt;=OV$27,OT4&lt;&gt;"")),"P","")</f>
        <v>P</v>
      </c>
      <c r="G4" s="3" t="str">
        <f>IF(OR(AND(AN4&gt;=AR$27,AN4&lt;&gt;"",AL4=""),AND(AQ4&gt;=AR$27,AQ4&lt;&gt;"",AL4=""),AND(BO4&gt;=BS$27,BO4&lt;&gt;"",BM4=""),AND(BR4&gt;=BS$27,BR4&lt;&gt;"",BM4=""),AND(CP4&gt;=CT$27,CP4&lt;&gt;"",CN4=""),AND(CS4&gt;=CT$27,CS4&lt;&gt;"",CN4=""),AND(DR4&gt;=DV$27,DR4&lt;&gt;""),AND(DU4&gt;=DV$27,DU4&lt;&gt;""),AND(ER4&gt;=EV$27,ER4&lt;&gt;""),AND(EU4&gt;=EV$27,EU4&lt;&gt;""),AND(FR4&gt;=FV$27,FR4&lt;&gt;""),AND(FU4&gt;=FV$27,FU4&lt;&gt;""),AND(GR4&gt;=GV$27,GR4&lt;&gt;""),AND(GU4&gt;=GV$27,GU4&lt;&gt;""),AND(HR4&gt;=HV$27,HR4&lt;&gt;""),AND(HU4&gt;=HV$27,HU4&lt;&gt;""),AND(IR4&gt;=IV$27,IR4&lt;&gt;""),AND(IU4&gt;=IV$27,IU4&lt;&gt;""),AND(JR4&gt;=JV$27,JR4&lt;&gt;""),AND(JU4&gt;=JV$27,JU4&lt;&gt;""),AND(KR4&gt;=KV$27,KR4&lt;&gt;""),AND(KU4&gt;=KV$27,KU4&lt;&gt;""),AND(LR4&gt;=LV$27,LR4&lt;&gt;""),AND(LU4&gt;=LV$27,LU4&lt;&gt;""),AND(MR4&gt;=MV$27,MR4&lt;&gt;""),AND(MU4&gt;=MV$27,MU4&lt;&gt;""),AND(NR4&gt;=NV$27,NR4&lt;&gt;""),AND(NU4&gt;=NV$27,NU4&lt;&gt;""),AND(OR4&gt;=OV$27,OR4&lt;&gt;""),AND(OU4&gt;=OV$27,OU4&lt;&gt;"")),"P","")</f>
        <v>P</v>
      </c>
      <c r="H4" s="67" t="str">
        <f>IF(AND(G4="P",F4=""),"No DD",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Merit",IF(OR(AND(AM4&gt;=AR$25,AN4&gt;=AR$29,AM4&lt;&gt;"",AL4=""),AND(AP4&gt;=AR$25,AQ4&gt;=AR$29,AP4&lt;&gt;"",AL4=""),AND(BN4&gt;=BS$25,BO4&gt;=BS$29,BN4&lt;&gt;"",BM4=""),AND(BQ4&gt;=BS$25,BR4&gt;=BS$29,BQ4&lt;&gt;"",BM4=""),AND(CO4&gt;=CT$25,CP4&gt;=CT$29,CO4&lt;&gt;"",CN4=""),AND(CR4&gt;=CT$25,CS4&gt;=CT$29,CR4&lt;&gt;""),AND(DQ4&gt;=DV$25,DR4&gt;=DV$29,DQ4&lt;&gt;""),AND(DT4&gt;=DV$25,DU4&gt;=DV$29,DT4&lt;&gt;""),AND(EQ4&gt;=EV$25,ER4&gt;=EV$29,EQ4&lt;&gt;""),AND(ET4&gt;=EV$25,EU4&gt;=EV$29,ET4&lt;&gt;""),AND(FQ4&gt;=FV$25,FR4&gt;=FV$29,FQ4&lt;&gt;""),AND(FT4&gt;=FV$25,FU4&gt;=FV$29,FT4&lt;&gt;""),AND(GQ4&gt;=GV$25,GR4&gt;=GV$29,GQ4&lt;&gt;""),AND(GT4&gt;=GV$25,GU4&gt;=GV$29,GT4&lt;&gt;""),AND(HQ4&gt;=HV$25,HR4&gt;=HV$29,HQ4&lt;&gt;""),AND(HT4&gt;=HV$25,HU4&gt;=HV$29,HT4&lt;&gt;""),AND(IQ4&gt;=IV$25,IR4&gt;=IV$29,IQ4&lt;&gt;""),AND(IT4&gt;=IV$25,IU4&gt;=IV$29,IT4&lt;&gt;""),AND(JQ4&gt;=JV$25,JR4&gt;=JV$29,JQ4&lt;&gt;""),AND(JT4&gt;=JV$25,JU4&gt;=JV$29,JT4&lt;&gt;""),AND(KQ4&gt;=KV$25,KR4&gt;=KV$29,KQ4&lt;&gt;""),AND(KT4&gt;=KV$25,KU4&gt;=KV$29,KT4&lt;&gt;""),AND(LQ4&gt;=LV$25,LR4&gt;=LV$29,LQ4&lt;&gt;""),AND(LT4&gt;=LV$25,LU4&gt;=LV$29,LT4&lt;&gt;""),AND(MQ4&gt;=MV$25,MR4&gt;=MV$29,MQ4&lt;&gt;""),AND(MT4&gt;=MV$25,MU4&gt;=MV$29,MT4&lt;&gt;""),AND(NQ4&gt;=NV$25,NR4&gt;=NV$29,NQ4&lt;&gt;""),AND(NT4&gt;=NV$25,NU4&gt;=NV$29,NT4&lt;&gt;""),AND(OQ4&gt;=OV$25,OR4&gt;=OV$29,OQ4&lt;&gt;""),AND(OT4&gt;=OV$25,OU4&gt;=OV$29,OT4&lt;&gt;"")),"Excellence",IF(F4="P","National Team",""))))</f>
        <v>National Team</v>
      </c>
      <c r="I4" s="14">
        <f>IF(COUNT(AN4,BO4,CP4)&gt;0,LARGE((AN4,BO4,CP4),1),0)</f>
        <v>44.2</v>
      </c>
      <c r="J4" s="14" t="str">
        <f>IF(I4=0,"",IF(I4=CP4,$BT$1,IF(I4=BO4,$AS$1,IF(I4=AN4,$R$1,""))))</f>
        <v>2022 Elite Canada</v>
      </c>
      <c r="K4" s="14">
        <f>IF(COUNT(AN4,BO4,CP4)&gt;1,LARGE((AN4,BO4,CP4),2),0)</f>
        <v>2.1000000000000001E-4</v>
      </c>
      <c r="L4" s="14" t="str">
        <f>IF(K4=0,"",IF(K4=CP4,$BT$1,IF(K4=BO4,$AS$1,IF(K4=AN4,$R$1,""))))</f>
        <v>2021 Canadian Championships</v>
      </c>
      <c r="M4" s="14">
        <f>IF(MAX(AQ4,BR4,CS4)&gt;0,MAX(AQ4,BR4,CS4),0)</f>
        <v>43.739999999999995</v>
      </c>
      <c r="N4" s="14" t="str">
        <f>IF(M4=0,"",IF(M4=CS4,$BT$1,IF(M4=BR4,$AS$1,IF(M4=AQ4,$R$1,""))))</f>
        <v>2022 Elite Canada</v>
      </c>
      <c r="O4" s="14">
        <f>IF(MAX(CU4:CV4)&gt;0,MAX(CU4:CV4),"")</f>
        <v>0.16000000000000369</v>
      </c>
      <c r="P4" s="20" t="str">
        <f>IF(O4="","",IF(O4=CU4,"("&amp;CU$2&amp;")",IF(O4=CV4,"("&amp;CV$2&amp;")")))</f>
        <v>(Final)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45"/>
      <c r="AM4" s="79" t="str">
        <f>IF(SUM(S4,W4)&gt;0,SUM(S4,W4),"")</f>
        <v/>
      </c>
      <c r="AN4" s="79" t="str">
        <f>IF(SUM(R4:S4,U4:W4,Y4)-T4-X4&gt;0,SUM(R4:S4,U4:W4,Y4)-T4-X4,"")</f>
        <v/>
      </c>
      <c r="AO4" s="79" t="str">
        <f>IF(SUM(Z4:AA4,AC4)-AB4&gt;0,SUM(Z4:AA4,AC4)-AB4,"")</f>
        <v/>
      </c>
      <c r="AP4" s="79" t="str">
        <f>IF(SUM(AE4,AI4)&gt;0,SUM(AE4,AI4),"")</f>
        <v/>
      </c>
      <c r="AQ4" s="79" t="str">
        <f>IF(SUM(AD4:AE4,AG4:AI4,AK4)-SUM(AF4,AJ4)&gt;0,SUM(AD4:AE4,AG4:AI4,AK4)-SUM(AF4,AJ4),"")</f>
        <v/>
      </c>
      <c r="AR4" s="79" t="str">
        <f>IF(SUM(AN4,AQ4)&gt;0,SUM(AN4,AQ4),"")</f>
        <v/>
      </c>
      <c r="AS4" s="26">
        <v>1.1E-4</v>
      </c>
      <c r="AT4" s="26">
        <v>1E-4</v>
      </c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46"/>
      <c r="BN4" s="20">
        <f>IF(SUM(AT4,AX4)&gt;0,SUM(AT4,AX4),"")</f>
        <v>1E-4</v>
      </c>
      <c r="BO4" s="20">
        <f>IF(SUM(AS4:AT4,AV4:AX4,AZ4)-AU4-AY4&gt;0,SUM(AS4:AT4,AV4:AX4,AZ4)-AU4-AY4,"")</f>
        <v>2.1000000000000001E-4</v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>
        <f>IF(SUM(BO4,BR4)&gt;0,SUM(BO4,BR4),"")</f>
        <v>2.1000000000000001E-4</v>
      </c>
      <c r="BT4" s="27">
        <v>18.2</v>
      </c>
      <c r="BU4" s="27">
        <v>3.6</v>
      </c>
      <c r="BV4" s="27">
        <v>0</v>
      </c>
      <c r="BW4" s="27">
        <v>0</v>
      </c>
      <c r="BX4" s="27">
        <v>17.600000000000001</v>
      </c>
      <c r="BY4" s="27">
        <v>4.5</v>
      </c>
      <c r="BZ4" s="27">
        <v>0</v>
      </c>
      <c r="CA4" s="27">
        <v>0.3</v>
      </c>
      <c r="CB4" s="27"/>
      <c r="CC4" s="27"/>
      <c r="CD4" s="27"/>
      <c r="CE4" s="27"/>
      <c r="CF4" s="27">
        <v>17.940000000000001</v>
      </c>
      <c r="CG4" s="27">
        <v>3.6</v>
      </c>
      <c r="CH4" s="27">
        <v>0</v>
      </c>
      <c r="CI4" s="27">
        <v>0</v>
      </c>
      <c r="CJ4" s="27">
        <v>17.399999999999999</v>
      </c>
      <c r="CK4" s="27">
        <v>4.5</v>
      </c>
      <c r="CL4" s="27">
        <v>0</v>
      </c>
      <c r="CM4" s="27">
        <v>0.3</v>
      </c>
      <c r="CN4" s="45"/>
      <c r="CO4" s="79">
        <f>IF(SUM(BU4,BY4)&gt;0,SUM(BU4,BY4),"")</f>
        <v>8.1</v>
      </c>
      <c r="CP4" s="79">
        <f>IF(SUM(BT4:BU4,BW4:BY4,CA4)-BV4-BZ4&gt;0,SUM(BT4:BU4,BW4:BY4,CA4)-BV4-BZ4,"")</f>
        <v>44.2</v>
      </c>
      <c r="CQ4" s="79" t="str">
        <f>IF(SUM(CB4:CC4,CE4)-CD4&gt;0,SUM(CB4:CC4,CE4)-CD4,"")</f>
        <v/>
      </c>
      <c r="CR4" s="79">
        <f>IF(SUM(CG4,CK4)&gt;0,SUM(CG4,CK4),"")</f>
        <v>8.1</v>
      </c>
      <c r="CS4" s="79">
        <f>IF(SUM(CF4:CG4,CI4:CK4,CM4)-SUM(CH4,CL4)&gt;0,SUM(CF4:CG4,CI4:CK4,CM4)-SUM(CH4,CL4),"")</f>
        <v>43.739999999999995</v>
      </c>
      <c r="CT4" s="79">
        <f>IF(SUM(CP4,CS4)&gt;0,SUM(CP4,CS4),"")</f>
        <v>87.94</v>
      </c>
      <c r="CU4" s="80" t="str">
        <f>IF(K4&gt;=0.001,IF(MAX(DR4,ER4,FR4,GR4,HR4,IR4,JR4,KR4,LR4,MR4,NR4,OR4)-IF(K4="",0,K4)&gt;0.001,MAX(DR4,ER4,FR4,GR4,HR4,IR4,JR4,KR4,LR4,MR4,NR4,OR4)-IF(K4="",0,K4),""),"")</f>
        <v/>
      </c>
      <c r="CV4" s="80">
        <f>IF(M4&gt;=0.001,IF(MAX(DU4,EU4,FU4,GU4,HU4,IU4,JU4,KU4,LU4,MU4,NU4,OU4)-IF(M4="",0,M4)&gt;0.001,MAX(DU4,EU4,FU4,GU4,HU4,IU4,JU4,KU4,LU4,MU4,NU4,OU4)-IF(M4="",0,M4),""),"")</f>
        <v>0.16000000000000369</v>
      </c>
      <c r="CW4" s="25">
        <v>17.600000000000001</v>
      </c>
      <c r="CX4" s="25">
        <v>3.6</v>
      </c>
      <c r="CY4" s="25">
        <v>0</v>
      </c>
      <c r="CZ4" s="25">
        <v>0</v>
      </c>
      <c r="DA4" s="25">
        <v>17.399999999999999</v>
      </c>
      <c r="DB4" s="25">
        <v>4.5</v>
      </c>
      <c r="DC4" s="25">
        <v>0</v>
      </c>
      <c r="DD4" s="25">
        <v>0.3</v>
      </c>
      <c r="DE4" s="25"/>
      <c r="DF4" s="25"/>
      <c r="DG4" s="25"/>
      <c r="DH4" s="25"/>
      <c r="DI4" s="25">
        <v>18.100000000000001</v>
      </c>
      <c r="DJ4" s="25">
        <v>3.6</v>
      </c>
      <c r="DK4" s="25">
        <v>0</v>
      </c>
      <c r="DL4" s="25">
        <v>0</v>
      </c>
      <c r="DM4" s="25">
        <v>17.399999999999999</v>
      </c>
      <c r="DN4" s="25">
        <v>4.5</v>
      </c>
      <c r="DO4" s="25">
        <v>0</v>
      </c>
      <c r="DP4" s="25">
        <v>0.3</v>
      </c>
      <c r="DQ4" s="79">
        <f>IF(SUM(CX4,DB4)&gt;0,SUM(CX4,DB4),"")</f>
        <v>8.1</v>
      </c>
      <c r="DR4" s="79">
        <f>IF(SUM(CW4:CX4,CZ4:DB4,DD4)-CY4-DC4&gt;0,SUM(CW4:CX4,CZ4:DB4,DD4)-CY4-DC4,"")</f>
        <v>43.4</v>
      </c>
      <c r="DS4" s="79" t="str">
        <f>IF(SUM(DE4:DF4,DH4)-DG4&gt;0,SUM(DE4:DF4,DH4)-DG4,"")</f>
        <v/>
      </c>
      <c r="DT4" s="79">
        <f>IF(SUM(DJ4,DN4)&gt;0,SUM(DJ4,DN4),"")</f>
        <v>8.1</v>
      </c>
      <c r="DU4" s="79">
        <f>IF(SUM(DI4:DJ4,DL4:DN4,DP4)-SUM(DK4,DO4)&gt;0,SUM(DI4:DJ4,DL4:DN4,DP4)-SUM(DK4,DO4),"")</f>
        <v>43.9</v>
      </c>
      <c r="DV4" s="79">
        <f>IF(SUM(DR4,DU4)&gt;0,SUM(DR4,DU4),"")</f>
        <v>87.3</v>
      </c>
      <c r="DW4" s="26">
        <v>16.7</v>
      </c>
      <c r="DX4" s="26">
        <v>4.5</v>
      </c>
      <c r="DY4" s="26">
        <v>0</v>
      </c>
      <c r="DZ4" s="26">
        <v>0.3</v>
      </c>
      <c r="EA4" s="26">
        <v>17.100000000000001</v>
      </c>
      <c r="EB4" s="26">
        <v>4.3</v>
      </c>
      <c r="EC4" s="26">
        <v>0</v>
      </c>
      <c r="ED4" s="26">
        <v>0.3</v>
      </c>
      <c r="EE4" s="26"/>
      <c r="EF4" s="26"/>
      <c r="EG4" s="26"/>
      <c r="EH4" s="26"/>
      <c r="EI4" s="26">
        <v>16.600000000000001</v>
      </c>
      <c r="EJ4" s="26">
        <v>4.5</v>
      </c>
      <c r="EK4" s="26">
        <v>0</v>
      </c>
      <c r="EL4" s="26">
        <v>0.3</v>
      </c>
      <c r="EM4" s="26">
        <v>17.100000000000001</v>
      </c>
      <c r="EN4" s="26">
        <v>4.3</v>
      </c>
      <c r="EO4" s="26">
        <v>0</v>
      </c>
      <c r="EP4" s="26">
        <v>0.3</v>
      </c>
      <c r="EQ4" s="20">
        <f>IF(SUM(DX4,EB4)&gt;0,SUM(DX4,EB4),"")</f>
        <v>8.8000000000000007</v>
      </c>
      <c r="ER4" s="20">
        <f>IF(SUM(DW4:DX4,DZ4:EB4,ED4)-DY4-EC4&gt;0,SUM(DW4:DX4,DZ4:EB4,ED4)-DY4-EC4,"")</f>
        <v>43.199999999999996</v>
      </c>
      <c r="ES4" s="20" t="str">
        <f>IF(SUM(EE4:EF4,EH4)-EG4&gt;0,SUM(EE4:EF4,EH4)-EG4,"")</f>
        <v/>
      </c>
      <c r="ET4" s="20">
        <f>IF(SUM(EJ4,EN4)&gt;0,SUM(EJ4,EN4),"")</f>
        <v>8.8000000000000007</v>
      </c>
      <c r="EU4" s="20">
        <f>IF(SUM(EI4:EJ4,EL4:EN4,EP4)-SUM(EK4,EO4)&gt;0,SUM(EI4:EJ4,EL4:EN4,EP4)-SUM(EK4,EO4),"")</f>
        <v>43.099999999999994</v>
      </c>
      <c r="EV4" s="20">
        <f>IF(SUM(ER4,EU4)&gt;0,SUM(ER4,EU4),"")</f>
        <v>86.299999999999983</v>
      </c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79" t="str">
        <f>IF(SUM(EX4,FB4)&gt;0,SUM(EX4,FB4),"")</f>
        <v/>
      </c>
      <c r="FR4" s="79" t="str">
        <f>IF(SUM(EW4:EX4,EZ4:FB4,FD4)-EY4-FC4&gt;0,SUM(EW4:EX4,EZ4:FB4,FD4)-EY4-FC4,"")</f>
        <v/>
      </c>
      <c r="FS4" s="79" t="str">
        <f>IF(SUM(FE4:FF4,FH4)-FG4&gt;0,SUM(FE4:FF4,FH4)-FG4,"")</f>
        <v/>
      </c>
      <c r="FT4" s="79" t="str">
        <f>IF(SUM(FJ4,FN4)&gt;0,SUM(FJ4,FN4),"")</f>
        <v/>
      </c>
      <c r="FU4" s="79" t="str">
        <f>IF(SUM(FI4:FJ4,FL4:FN4,FP4)-SUM(FK4,FO4)&gt;0,SUM(FI4:FJ4,FL4:FN4,FP4)-SUM(FK4,FO4),"")</f>
        <v/>
      </c>
      <c r="FV4" s="79" t="str">
        <f>IF(SUM(FR4,FU4)&gt;0,SUM(FR4,FU4),"")</f>
        <v/>
      </c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79" t="str">
        <f>IF(SUM(GX4,HB4)&gt;0,SUM(GX4,HB4),"")</f>
        <v/>
      </c>
      <c r="HR4" s="79" t="str">
        <f>IF(SUM(GW4:GX4,GZ4:HB4,HD4)-GY4-HC4&gt;0,SUM(GW4:GX4,GZ4:HB4,HD4)-GY4-HC4,"")</f>
        <v/>
      </c>
      <c r="HS4" s="79" t="str">
        <f>IF(SUM(HE4:HF4,HH4)-HG4&gt;0,SUM(HE4:HF4,HH4)-HG4,"")</f>
        <v/>
      </c>
      <c r="HT4" s="79" t="str">
        <f>IF(SUM(HJ4,HN4)&gt;0,SUM(HJ4,HN4),"")</f>
        <v/>
      </c>
      <c r="HU4" s="79" t="str">
        <f>IF(SUM(HI4:HJ4,HL4:HN4,HP4)-SUM(HK4,HO4)&gt;0,SUM(HI4:HJ4,HL4:HN4,HP4)-SUM(HK4,HO4),"")</f>
        <v/>
      </c>
      <c r="HV4" s="79" t="str">
        <f>IF(SUM(HR4,HU4)&gt;0,SUM(HR4,HU4),"")</f>
        <v/>
      </c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79" t="str">
        <f>IF(SUM(IX4,JB4)&gt;0,SUM(IX4,JB4),"")</f>
        <v/>
      </c>
      <c r="JR4" s="79" t="str">
        <f>IF(SUM(IW4:IX4,IZ4:JB4,JD4)-IY4-JC4&gt;0,SUM(IW4:IX4,IZ4:JB4,JD4)-IY4-JC4,"")</f>
        <v/>
      </c>
      <c r="JS4" s="79" t="str">
        <f>IF(SUM(JE4:JF4,JH4)-JG4&gt;0,SUM(JE4:JF4,JH4)-JG4,"")</f>
        <v/>
      </c>
      <c r="JT4" s="79" t="str">
        <f>IF(SUM(JJ4,JN4)&gt;0,SUM(JJ4,JN4),"")</f>
        <v/>
      </c>
      <c r="JU4" s="79" t="str">
        <f>IF(SUM(JI4:JJ4,JL4:JN4,JP4)-SUM(JK4,JO4)&gt;0,SUM(JI4:JJ4,JL4:JN4,JP4)-SUM(JK4,JO4),"")</f>
        <v/>
      </c>
      <c r="JV4" s="79" t="str">
        <f>IF(SUM(JR4,JU4)&gt;0,SUM(JR4,JU4),"")</f>
        <v/>
      </c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79" t="str">
        <f>IF(SUM(KX4,LB4)&gt;0,SUM(KX4,LB4),"")</f>
        <v/>
      </c>
      <c r="LR4" s="79" t="str">
        <f>IF(SUM(KW4:KX4,KZ4:LB4,LD4)-KY4-LC4&gt;0,SUM(KW4:KX4,KZ4:LB4,LD4)-KY4-LC4,"")</f>
        <v/>
      </c>
      <c r="LS4" s="79" t="str">
        <f>IF(SUM(LE4:LF4,LH4)-LG4&gt;0,SUM(LE4:LF4,LH4)-LG4,"")</f>
        <v/>
      </c>
      <c r="LT4" s="79" t="str">
        <f>IF(SUM(LJ4,LN4)&gt;0,SUM(LJ4,LN4),"")</f>
        <v/>
      </c>
      <c r="LU4" s="79" t="str">
        <f>IF(SUM(LI4:LJ4,LL4:LN4,LP4)-SUM(LK4,LO4)&gt;0,SUM(LI4:LJ4,LL4:LN4,LP4)-SUM(LK4,LO4),"")</f>
        <v/>
      </c>
      <c r="LV4" s="79" t="str">
        <f>IF(SUM(LR4,LU4)&gt;0,SUM(LR4,LU4),"")</f>
        <v/>
      </c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79" t="str">
        <f>IF(SUM(MX4,NB4)&gt;0,SUM(MX4,NB4),"")</f>
        <v/>
      </c>
      <c r="NR4" s="79" t="str">
        <f>IF(SUM(MW4:MX4,MZ4:NB4,ND4)-MY4-NC4&gt;0,SUM(MW4:MX4,MZ4:NB4,ND4)-MY4-NC4,"")</f>
        <v/>
      </c>
      <c r="NS4" s="79" t="str">
        <f>IF(SUM(NE4:NF4,NH4)-NG4&gt;0,SUM(NE4:NF4,NH4)-NG4,"")</f>
        <v/>
      </c>
      <c r="NT4" s="79" t="str">
        <f>IF(SUM(NJ4,NN4)&gt;0,SUM(NJ4,NN4),"")</f>
        <v/>
      </c>
      <c r="NU4" s="79" t="str">
        <f>IF(SUM(NI4:NJ4,NL4:NN4,NP4)-SUM(NK4,NO4)&gt;0,SUM(NI4:NJ4,NL4:NN4,NP4)-SUM(NK4,NO4),"")</f>
        <v/>
      </c>
      <c r="NV4" s="79" t="str">
        <f>IF(SUM(NR4,NU4)&gt;0,SUM(NR4,NU4),"")</f>
        <v/>
      </c>
      <c r="NW4" s="26"/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9.1000549999999993</v>
      </c>
      <c r="OX4" s="38">
        <f>IF($CN4="P",BU4,(BU4+AT4)/2)</f>
        <v>1.8000500000000001</v>
      </c>
      <c r="OY4" s="38">
        <f>IF($CN4="P",BV4,(BV4+AU4)/2)</f>
        <v>0</v>
      </c>
      <c r="OZ4" s="38">
        <f>IF($CN4="P",BW4,(BW4+AV4)/2)</f>
        <v>0</v>
      </c>
      <c r="PA4" s="38">
        <f>IF($CN4="P",BX4,(BX4+AW4)/2)</f>
        <v>8.8000000000000007</v>
      </c>
      <c r="PB4" s="38">
        <f>IF($CN4="P",BY4,(BY4+AX4)/2)</f>
        <v>2.25</v>
      </c>
      <c r="PC4" s="38">
        <f>IF($CN4="P",BZ4,(BZ4+AY4)/2)</f>
        <v>0</v>
      </c>
      <c r="PD4" s="38">
        <f>IF($CN4="P",CA4,(CA4+AZ4)/2)</f>
        <v>0.15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8.9700000000000006</v>
      </c>
      <c r="PJ4" s="38">
        <f>IF($CN4="P",CG4,(CG4+BF4)/2)</f>
        <v>1.8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8.6999999999999993</v>
      </c>
      <c r="PN4" s="38">
        <f>IF($CN4="P",CK4,(CK4+BJ4)/2)</f>
        <v>2.25</v>
      </c>
      <c r="PO4" s="38">
        <f>IF($CN4="P",CL4,(CL4+BK4)/2)</f>
        <v>0</v>
      </c>
      <c r="PP4" s="38">
        <f>IF($CN4="P",CM4,(CM4+BL4)/2)</f>
        <v>0.15</v>
      </c>
      <c r="PQ4" s="45" t="s">
        <v>46</v>
      </c>
      <c r="PR4" s="79">
        <f>IF(SUM(OX4,PB4)&gt;0,SUM(OX4,PB4),"")</f>
        <v>4.0500500000000006</v>
      </c>
      <c r="PS4" s="79">
        <f>IF(SUM(OW4:OX4,OZ4:PB4,PD4)-OY4-PC4&gt;0,SUM(OW4:OX4,OZ4:PB4,PD4)-OY4-PC4,"")</f>
        <v>22.100104999999999</v>
      </c>
      <c r="PT4" s="79" t="str">
        <f>IF(SUM(PE4:PF4,PH4)-PG4&gt;0,SUM(PE4:PF4,PH4)-PG4,"")</f>
        <v/>
      </c>
      <c r="PU4" s="79">
        <f>IF(SUM(PJ4,PN4)&gt;0,SUM(PJ4,PN4),"")</f>
        <v>4.05</v>
      </c>
      <c r="PV4" s="79">
        <f>IF(SUM(PI4:PJ4,PL4:PN4,PP4)-SUM(PK4,PO4)&gt;0,SUM(PI4:PJ4,PL4:PN4,PP4)-SUM(PK4,PO4),"")</f>
        <v>21.869999999999997</v>
      </c>
      <c r="PW4" s="79">
        <f>IF(SUM(PS4,PV4)&gt;0,SUM(PS4,PV4),"")</f>
        <v>43.970104999999997</v>
      </c>
    </row>
    <row r="5" spans="1:439" x14ac:dyDescent="0.2">
      <c r="A5" s="5">
        <f>IF(AND(F5="P",G5="P"),SUMPRODUCT((F$4:F$21="P")*(G$4:G$21="P")*(E$4:E$21&gt;E5))+1,IF(G5="P",SUMPRODUCT((F$4:F$21="")*(G$4:G$21="P")*(E$4:E$21&gt;E5))+1+SUMPRODUCT((F$4:F$21="P")*(G$4:G$21="P")),""))</f>
        <v>2</v>
      </c>
      <c r="B5" s="78" t="s">
        <v>91</v>
      </c>
      <c r="C5" s="5" t="s">
        <v>4</v>
      </c>
      <c r="D5" s="5">
        <v>2003</v>
      </c>
      <c r="E5" s="15">
        <f>SUM(I5:O5)+SUM(I5:M5)*0.0000001+SUM(I5)*0.0000000000001</f>
        <v>84.440008444004206</v>
      </c>
      <c r="F5" s="3" t="str">
        <f>IF(OR(AND(AM5&gt;=AR$23,AN5&gt;=AR$27,AM5&lt;&gt;"",AL5=""),AND(AP5&gt;=AR$23,AQ5&gt;=AR$27,AP5&lt;&gt;"",AL5=""),AND(BN5&gt;=BS$23,BO5&gt;=BS$27,BN5&lt;&gt;"",BM5=""),AND(BQ5&gt;=BS$23,BR5&gt;=BS$27,BQ5&lt;&gt;"",BM5=""),AND(CO5&gt;=CT$23,CP5&gt;=CT$27,CO5&lt;&gt;"",CN5=""),AND(CR5&gt;=CT$23,CS5&gt;=CT$27,CR5&lt;&gt;""),AND(DQ5&gt;=DV$23,DR5&gt;=DV$27,DQ5&lt;&gt;""),AND(DT5&gt;=DV$23,DU5&gt;=DV$27,DT5&lt;&gt;""),AND(EQ5&gt;=EV$23,ER5&gt;=EV$27,EQ5&lt;&gt;""),AND(ET5&gt;=EV$23,EU5&gt;=EV$27,ET5&lt;&gt;""),AND(FQ5&gt;=FV$23,FR5&gt;=FV$27,FQ5&lt;&gt;""),AND(FT5&gt;=FV$23,FU5&gt;=FV$27,FT5&lt;&gt;""),AND(GQ5&gt;=GV$23,GR5&gt;=GV$27,GQ5&lt;&gt;""),AND(GT5&gt;=GV$23,GU5&gt;=GV$27,GT5&lt;&gt;""),AND(HQ5&gt;=HV$23,HR5&gt;=HV$27,HQ5&lt;&gt;""),AND(HT5&gt;=HV$23,HU5&gt;=HV$27,HT5&lt;&gt;""),AND(IQ5&gt;=IV$23,IR5&gt;=IV$27,IQ5&lt;&gt;""),AND(IT5&gt;=IV$23,IU5&gt;=IV$27,IT5&lt;&gt;""),AND(JQ5&gt;=JV$23,JR5&gt;=JV$27,JQ5&lt;&gt;""),AND(JT5&gt;=JV$23,JU5&gt;=JV$27,JT5&lt;&gt;""),AND(KQ5&gt;=KV$23,KR5&gt;=KV$27,KQ5&lt;&gt;""),AND(KT5&gt;=KV$23,KU5&gt;=KV$27,KT5&lt;&gt;""),AND(LQ5&gt;=LV$23,LR5&gt;=LV$27,LQ5&lt;&gt;""),AND(LT5&gt;=LV$23,LU5&gt;=LV$27,LT5&lt;&gt;""),AND(MQ5&gt;=MV$23,MR5&gt;=MV$27,MQ5&lt;&gt;""),AND(MT5&gt;=MV$23,MU5&gt;=MV$27,MT5&lt;&gt;""),AND(NQ5&gt;=NV$23,NR5&gt;=NV$27,NQ5&lt;&gt;""),AND(NT5&gt;=NV$23,NU5&gt;=NV$27,NT5&lt;&gt;""),AND(OQ5&gt;=OV$23,OR5&gt;=OV$27,OQ5&lt;&gt;""),AND(OT5&gt;=OV$23,OU5&gt;=OV$27,OT5&lt;&gt;"")),"P","")</f>
        <v>P</v>
      </c>
      <c r="G5" s="3" t="str">
        <f>IF(OR(AND(AN5&gt;=AR$27,AN5&lt;&gt;"",AL5=""),AND(AQ5&gt;=AR$27,AQ5&lt;&gt;"",AL5=""),AND(BO5&gt;=BS$27,BO5&lt;&gt;"",BM5=""),AND(BR5&gt;=BS$27,BR5&lt;&gt;"",BM5=""),AND(CP5&gt;=CT$27,CP5&lt;&gt;"",CN5=""),AND(CS5&gt;=CT$27,CS5&lt;&gt;"",CN5=""),AND(DR5&gt;=DV$27,DR5&lt;&gt;""),AND(DU5&gt;=DV$27,DU5&lt;&gt;""),AND(ER5&gt;=EV$27,ER5&lt;&gt;""),AND(EU5&gt;=EV$27,EU5&lt;&gt;""),AND(FR5&gt;=FV$27,FR5&lt;&gt;""),AND(FU5&gt;=FV$27,FU5&lt;&gt;""),AND(GR5&gt;=GV$27,GR5&lt;&gt;""),AND(GU5&gt;=GV$27,GU5&lt;&gt;""),AND(HR5&gt;=HV$27,HR5&lt;&gt;""),AND(HU5&gt;=HV$27,HU5&lt;&gt;""),AND(IR5&gt;=IV$27,IR5&lt;&gt;""),AND(IU5&gt;=IV$27,IU5&lt;&gt;""),AND(JR5&gt;=JV$27,JR5&lt;&gt;""),AND(JU5&gt;=JV$27,JU5&lt;&gt;""),AND(KR5&gt;=KV$27,KR5&lt;&gt;""),AND(KU5&gt;=KV$27,KU5&lt;&gt;""),AND(LR5&gt;=LV$27,LR5&lt;&gt;""),AND(LU5&gt;=LV$27,LU5&lt;&gt;""),AND(MR5&gt;=MV$27,MR5&lt;&gt;""),AND(MU5&gt;=MV$27,MU5&lt;&gt;""),AND(NR5&gt;=NV$27,NR5&lt;&gt;""),AND(NU5&gt;=NV$27,NU5&lt;&gt;""),AND(OR5&gt;=OV$27,OR5&lt;&gt;""),AND(OU5&gt;=OV$27,OU5&lt;&gt;"")),"P","")</f>
        <v>P</v>
      </c>
      <c r="H5" s="67" t="str">
        <f>IF(AND(G5="P",F5=""),"No DD",IF(OR(AND(AM5&gt;=AR$26,AN5&gt;=AR$30,AM5&lt;&gt;"",AL5=""),AND(AP5&gt;=AR$26,AQ5&gt;=AR$30,AP5&lt;&gt;"",AL5=""),AND(BN5&gt;=BS$26,BO5&gt;=BS$30,BN5&lt;&gt;"",BM5=""),AND(BQ5&gt;=BS$26,BR5&gt;=BS$30,BQ5&lt;&gt;"",BM5=""),AND(CO5&gt;=CT$26,CP5&gt;=CT$30,CO5&lt;&gt;"",CN5=""),AND(CR5&gt;=CT$26,CS5&gt;=CT$30,CR5&lt;&gt;""),AND(DQ5&gt;=DV$26,DR5&gt;=DV$30,DQ5&lt;&gt;""),AND(DT5&gt;=DV$26,DU5&gt;=DV$30,DT5&lt;&gt;""),AND(EQ5&gt;=EV$26,ER5&gt;=EV$30,EQ5&lt;&gt;""),AND(ET5&gt;=EV$26,EU5&gt;=EV$30,ET5&lt;&gt;""),AND(FQ5&gt;=FV$26,FR5&gt;=FV$30,FQ5&lt;&gt;""),AND(FT5&gt;=FV$26,FU5&gt;=FV$30,FT5&lt;&gt;""),AND(GQ5&gt;=GV$26,GR5&gt;=GV$30,GQ5&lt;&gt;""),AND(GT5&gt;=GV$26,GU5&gt;=GV$30,GT5&lt;&gt;""),AND(HQ5&gt;=HV$26,HR5&gt;=HV$30,HQ5&lt;&gt;""),AND(HT5&gt;=HV$26,HU5&gt;=HV$30,HT5&lt;&gt;""),AND(IQ5&gt;=IV$26,IR5&gt;=IV$30,IQ5&lt;&gt;""),AND(IT5&gt;=IV$26,IU5&gt;=IV$30,IT5&lt;&gt;""),AND(JQ5&gt;=JV$26,JR5&gt;=JV$30,JQ5&lt;&gt;""),AND(JT5&gt;=JV$26,JU5&gt;=JV$30,JT5&lt;&gt;""),AND(KQ5&gt;=KV$26,KR5&gt;=KV$30,KQ5&lt;&gt;""),AND(KT5&gt;=KV$26,KU5&gt;=KV$30,KT5&lt;&gt;""),AND(LQ5&gt;=LV$26,LR5&gt;=LV$30,LQ5&lt;&gt;""),AND(LT5&gt;=LV$26,LU5&gt;=LV$30,LT5&lt;&gt;""),AND(MQ5&gt;=MV$26,MR5&gt;=MV$30,MQ5&lt;&gt;""),AND(MT5&gt;=MV$26,MU5&gt;=MV$30,MT5&lt;&gt;""),AND(NQ5&gt;=NV$26,NR5&gt;=NV$30,NQ5&lt;&gt;""),AND(NT5&gt;=NV$26,NU5&gt;=NV$30,NT5&lt;&gt;""),AND(OQ5&gt;=OV$26,OR5&gt;=OV$30,OQ5&lt;&gt;""),AND(OT5&gt;=OV$26,OU5&gt;=OV$30,OT5&lt;&gt;"")),"Merit",IF(OR(AND(AM5&gt;=AR$25,AN5&gt;=AR$29,AM5&lt;&gt;"",AL5=""),AND(AP5&gt;=AR$25,AQ5&gt;=AR$29,AP5&lt;&gt;"",AL5=""),AND(BN5&gt;=BS$25,BO5&gt;=BS$29,BN5&lt;&gt;"",BM5=""),AND(BQ5&gt;=BS$25,BR5&gt;=BS$29,BQ5&lt;&gt;"",BM5=""),AND(CO5&gt;=CT$25,CP5&gt;=CT$29,CO5&lt;&gt;"",CN5=""),AND(CR5&gt;=CT$25,CS5&gt;=CT$29,CR5&lt;&gt;""),AND(DQ5&gt;=DV$25,DR5&gt;=DV$29,DQ5&lt;&gt;""),AND(DT5&gt;=DV$25,DU5&gt;=DV$29,DT5&lt;&gt;""),AND(EQ5&gt;=EV$25,ER5&gt;=EV$29,EQ5&lt;&gt;""),AND(ET5&gt;=EV$25,EU5&gt;=EV$29,ET5&lt;&gt;""),AND(FQ5&gt;=FV$25,FR5&gt;=FV$29,FQ5&lt;&gt;""),AND(FT5&gt;=FV$25,FU5&gt;=FV$29,FT5&lt;&gt;""),AND(GQ5&gt;=GV$25,GR5&gt;=GV$29,GQ5&lt;&gt;""),AND(GT5&gt;=GV$25,GU5&gt;=GV$29,GT5&lt;&gt;""),AND(HQ5&gt;=HV$25,HR5&gt;=HV$29,HQ5&lt;&gt;""),AND(HT5&gt;=HV$25,HU5&gt;=HV$29,HT5&lt;&gt;""),AND(IQ5&gt;=IV$25,IR5&gt;=IV$29,IQ5&lt;&gt;""),AND(IT5&gt;=IV$25,IU5&gt;=IV$29,IT5&lt;&gt;""),AND(JQ5&gt;=JV$25,JR5&gt;=JV$29,JQ5&lt;&gt;""),AND(JT5&gt;=JV$25,JU5&gt;=JV$29,JT5&lt;&gt;""),AND(KQ5&gt;=KV$25,KR5&gt;=KV$29,KQ5&lt;&gt;""),AND(KT5&gt;=KV$25,KU5&gt;=KV$29,KT5&lt;&gt;""),AND(LQ5&gt;=LV$25,LR5&gt;=LV$29,LQ5&lt;&gt;""),AND(LT5&gt;=LV$25,LU5&gt;=LV$29,LT5&lt;&gt;""),AND(MQ5&gt;=MV$25,MR5&gt;=MV$29,MQ5&lt;&gt;""),AND(MT5&gt;=MV$25,MU5&gt;=MV$29,MT5&lt;&gt;""),AND(NQ5&gt;=NV$25,NR5&gt;=NV$29,NQ5&lt;&gt;""),AND(NT5&gt;=NV$25,NU5&gt;=NV$29,NT5&lt;&gt;""),AND(OQ5&gt;=OV$25,OR5&gt;=OV$29,OQ5&lt;&gt;""),AND(OT5&gt;=OV$25,OU5&gt;=OV$29,OT5&lt;&gt;"")),"Excellence",IF(F5="P","National Team",""))))</f>
        <v>National Team</v>
      </c>
      <c r="I5" s="14">
        <f>IF(COUNT(AN5,BO5,CP5)&gt;0,LARGE((AN5,BO5,CP5),1),0)</f>
        <v>42.1</v>
      </c>
      <c r="J5" s="14" t="str">
        <f>IF(I5=0,"",IF(I5=CP5,$BT$1,IF(I5=BO5,$AS$1,IF(I5=AN5,$R$1,""))))</f>
        <v>2022 Elite Canada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42.339999999999996</v>
      </c>
      <c r="N5" s="14" t="str">
        <f>IF(M5=0,"",IF(M5=CS5,$BT$1,IF(M5=BR5,$AS$1,IF(M5=AQ5,$R$1,""))))</f>
        <v>2022 Elite Canada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45"/>
      <c r="AM5" s="79" t="str">
        <f>IF(SUM(S5,W5)&gt;0,SUM(S5,W5),"")</f>
        <v/>
      </c>
      <c r="AN5" s="79" t="str">
        <f>IF(SUM(R5:S5,U5:W5,Y5)-T5-X5&gt;0,SUM(R5:S5,U5:W5,Y5)-T5-X5,"")</f>
        <v/>
      </c>
      <c r="AO5" s="79" t="str">
        <f>IF(SUM(Z5:AA5,AC5)-AB5&gt;0,SUM(Z5:AA5,AC5)-AB5,"")</f>
        <v/>
      </c>
      <c r="AP5" s="79" t="str">
        <f>IF(SUM(AE5,AI5)&gt;0,SUM(AE5,AI5),"")</f>
        <v/>
      </c>
      <c r="AQ5" s="79" t="str">
        <f>IF(SUM(AD5:AE5,AG5:AI5,AK5)-SUM(AF5,AJ5)&gt;0,SUM(AD5:AE5,AG5:AI5,AK5)-SUM(AF5,AJ5),"")</f>
        <v/>
      </c>
      <c r="AR5" s="79" t="str">
        <f>IF(SUM(AN5,AQ5)&gt;0,SUM(AN5,AQ5),"")</f>
        <v/>
      </c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7">
        <v>16.7</v>
      </c>
      <c r="BU5" s="27">
        <v>3.9</v>
      </c>
      <c r="BV5" s="27">
        <v>0</v>
      </c>
      <c r="BW5" s="27">
        <v>0.3</v>
      </c>
      <c r="BX5" s="27">
        <v>16.8</v>
      </c>
      <c r="BY5" s="27">
        <v>4.0999999999999996</v>
      </c>
      <c r="BZ5" s="27">
        <v>0</v>
      </c>
      <c r="CA5" s="27">
        <v>0.3</v>
      </c>
      <c r="CB5" s="27"/>
      <c r="CC5" s="27"/>
      <c r="CD5" s="27"/>
      <c r="CE5" s="27"/>
      <c r="CF5" s="27">
        <v>17.079999999999998</v>
      </c>
      <c r="CG5" s="27">
        <v>3.9</v>
      </c>
      <c r="CH5" s="27">
        <v>0</v>
      </c>
      <c r="CI5" s="27">
        <v>0.3</v>
      </c>
      <c r="CJ5" s="27">
        <v>16.66</v>
      </c>
      <c r="CK5" s="27">
        <v>4.0999999999999996</v>
      </c>
      <c r="CL5" s="27">
        <v>0</v>
      </c>
      <c r="CM5" s="27">
        <v>0.3</v>
      </c>
      <c r="CN5" s="45"/>
      <c r="CO5" s="79">
        <f>IF(SUM(BU5,BY5)&gt;0,SUM(BU5,BY5),"")</f>
        <v>8</v>
      </c>
      <c r="CP5" s="79">
        <f>IF(SUM(BT5:BU5,BW5:BY5,CA5)-BV5-BZ5&gt;0,SUM(BT5:BU5,BW5:BY5,CA5)-BV5-BZ5,"")</f>
        <v>42.1</v>
      </c>
      <c r="CQ5" s="79" t="str">
        <f>IF(SUM(CB5:CC5,CE5)-CD5&gt;0,SUM(CB5:CC5,CE5)-CD5,"")</f>
        <v/>
      </c>
      <c r="CR5" s="79">
        <f>IF(SUM(CG5,CK5)&gt;0,SUM(CG5,CK5),"")</f>
        <v>8</v>
      </c>
      <c r="CS5" s="79">
        <f>IF(SUM(CF5:CG5,CI5:CK5,CM5)-SUM(CH5,CL5)&gt;0,SUM(CF5:CG5,CI5:CK5,CM5)-SUM(CH5,CL5),"")</f>
        <v>42.339999999999996</v>
      </c>
      <c r="CT5" s="79">
        <f>IF(SUM(CP5,CS5)&gt;0,SUM(CP5,CS5),"")</f>
        <v>84.44</v>
      </c>
      <c r="CU5" s="80" t="str">
        <f>IF(K5&gt;=0.001,IF(MAX(DR5,ER5,FR5,GR5,HR5,IR5,JR5,KR5,LR5,MR5,NR5,OR5)-IF(K5="",0,K5)&gt;0.001,MAX(DR5,ER5,FR5,GR5,HR5,IR5,JR5,KR5,LR5,MR5,NR5,OR5)-IF(K5="",0,K5),""),"")</f>
        <v/>
      </c>
      <c r="CV5" s="80" t="str">
        <f>IF(M5&gt;=0.001,IF(MAX(DU5,EU5,FU5,GU5,HU5,IU5,JU5,KU5,LU5,MU5,NU5,OU5)-IF(M5="",0,M5)&gt;0.001,MAX(DU5,EU5,FU5,GU5,HU5,IU5,JU5,KU5,LU5,MU5,NU5,OU5)-IF(M5="",0,M5),""),"")</f>
        <v/>
      </c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79" t="str">
        <f>IF(SUM(CX5,DB5)&gt;0,SUM(CX5,DB5),"")</f>
        <v/>
      </c>
      <c r="DR5" s="79" t="str">
        <f>IF(SUM(CW5:CX5,CZ5:DB5,DD5)-CY5-DC5&gt;0,SUM(CW5:CX5,CZ5:DB5,DD5)-CY5-DC5,"")</f>
        <v/>
      </c>
      <c r="DS5" s="79" t="str">
        <f>IF(SUM(DE5:DF5,DH5)-DG5&gt;0,SUM(DE5:DF5,DH5)-DG5,"")</f>
        <v/>
      </c>
      <c r="DT5" s="79" t="str">
        <f>IF(SUM(DJ5,DN5)&gt;0,SUM(DJ5,DN5),"")</f>
        <v/>
      </c>
      <c r="DU5" s="79" t="str">
        <f>IF(SUM(DI5:DJ5,DL5:DN5,DP5)-SUM(DK5,DO5)&gt;0,SUM(DI5:DJ5,DL5:DN5,DP5)-SUM(DK5,DO5),"")</f>
        <v/>
      </c>
      <c r="DV5" s="79" t="str">
        <f>IF(SUM(DR5,DU5)&gt;0,SUM(DR5,DU5),"")</f>
        <v/>
      </c>
      <c r="DW5" s="26">
        <v>16.899999999999999</v>
      </c>
      <c r="DX5" s="26">
        <v>4.3</v>
      </c>
      <c r="DY5" s="26">
        <v>0</v>
      </c>
      <c r="DZ5" s="26">
        <v>0.3</v>
      </c>
      <c r="EA5" s="26">
        <v>16.7</v>
      </c>
      <c r="EB5" s="26">
        <v>4.5999999999999996</v>
      </c>
      <c r="EC5" s="26">
        <v>0</v>
      </c>
      <c r="ED5" s="26">
        <v>0.6</v>
      </c>
      <c r="EE5" s="26"/>
      <c r="EF5" s="26"/>
      <c r="EG5" s="26"/>
      <c r="EH5" s="26"/>
      <c r="EI5" s="26">
        <v>16.100000000000001</v>
      </c>
      <c r="EJ5" s="26">
        <v>4.0999999999999996</v>
      </c>
      <c r="EK5" s="26">
        <v>0</v>
      </c>
      <c r="EL5" s="26">
        <v>0.3</v>
      </c>
      <c r="EM5" s="26">
        <v>15.2</v>
      </c>
      <c r="EN5" s="26">
        <v>1.9</v>
      </c>
      <c r="EO5" s="26">
        <v>0</v>
      </c>
      <c r="EP5" s="26">
        <v>0.3</v>
      </c>
      <c r="EQ5" s="20">
        <f>IF(SUM(DX5,EB5)&gt;0,SUM(DX5,EB5),"")</f>
        <v>8.8999999999999986</v>
      </c>
      <c r="ER5" s="20">
        <f>IF(SUM(DW5:DX5,DZ5:EB5,ED5)-DY5-EC5&gt;0,SUM(DW5:DX5,DZ5:EB5,ED5)-DY5-EC5,"")</f>
        <v>43.400000000000006</v>
      </c>
      <c r="ES5" s="20" t="str">
        <f>IF(SUM(EE5:EF5,EH5)-EG5&gt;0,SUM(EE5:EF5,EH5)-EG5,"")</f>
        <v/>
      </c>
      <c r="ET5" s="20">
        <f>IF(SUM(EJ5,EN5)&gt;0,SUM(EJ5,EN5),"")</f>
        <v>6</v>
      </c>
      <c r="EU5" s="20">
        <f>IF(SUM(EI5:EJ5,EL5:EN5,EP5)-SUM(EK5,EO5)&gt;0,SUM(EI5:EJ5,EL5:EN5,EP5)-SUM(EK5,EO5),"")</f>
        <v>37.9</v>
      </c>
      <c r="EV5" s="20">
        <f>IF(SUM(ER5,EU5)&gt;0,SUM(ER5,EU5),"")</f>
        <v>81.300000000000011</v>
      </c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79" t="str">
        <f>IF(SUM(EX5,FB5)&gt;0,SUM(EX5,FB5),"")</f>
        <v/>
      </c>
      <c r="FR5" s="79" t="str">
        <f>IF(SUM(EW5:EX5,EZ5:FB5,FD5)-EY5-FC5&gt;0,SUM(EW5:EX5,EZ5:FB5,FD5)-EY5-FC5,"")</f>
        <v/>
      </c>
      <c r="FS5" s="79" t="str">
        <f>IF(SUM(FE5:FF5,FH5)-FG5&gt;0,SUM(FE5:FF5,FH5)-FG5,"")</f>
        <v/>
      </c>
      <c r="FT5" s="79" t="str">
        <f>IF(SUM(FJ5,FN5)&gt;0,SUM(FJ5,FN5),"")</f>
        <v/>
      </c>
      <c r="FU5" s="79" t="str">
        <f>IF(SUM(FI5:FJ5,FL5:FN5,FP5)-SUM(FK5,FO5)&gt;0,SUM(FI5:FJ5,FL5:FN5,FP5)-SUM(FK5,FO5),"")</f>
        <v/>
      </c>
      <c r="FV5" s="79" t="str">
        <f>IF(SUM(FR5,FU5)&gt;0,SUM(FR5,FU5),"")</f>
        <v/>
      </c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79" t="str">
        <f>IF(SUM(GX5,HB5)&gt;0,SUM(GX5,HB5),"")</f>
        <v/>
      </c>
      <c r="HR5" s="79" t="str">
        <f>IF(SUM(GW5:GX5,GZ5:HB5,HD5)-GY5-HC5&gt;0,SUM(GW5:GX5,GZ5:HB5,HD5)-GY5-HC5,"")</f>
        <v/>
      </c>
      <c r="HS5" s="79" t="str">
        <f>IF(SUM(HE5:HF5,HH5)-HG5&gt;0,SUM(HE5:HF5,HH5)-HG5,"")</f>
        <v/>
      </c>
      <c r="HT5" s="79" t="str">
        <f>IF(SUM(HJ5,HN5)&gt;0,SUM(HJ5,HN5),"")</f>
        <v/>
      </c>
      <c r="HU5" s="79" t="str">
        <f>IF(SUM(HI5:HJ5,HL5:HN5,HP5)-SUM(HK5,HO5)&gt;0,SUM(HI5:HJ5,HL5:HN5,HP5)-SUM(HK5,HO5),"")</f>
        <v/>
      </c>
      <c r="HV5" s="79" t="str">
        <f>IF(SUM(HR5,HU5)&gt;0,SUM(HR5,HU5),"")</f>
        <v/>
      </c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79" t="str">
        <f>IF(SUM(IX5,JB5)&gt;0,SUM(IX5,JB5),"")</f>
        <v/>
      </c>
      <c r="JR5" s="79" t="str">
        <f>IF(SUM(IW5:IX5,IZ5:JB5,JD5)-IY5-JC5&gt;0,SUM(IW5:IX5,IZ5:JB5,JD5)-IY5-JC5,"")</f>
        <v/>
      </c>
      <c r="JS5" s="79" t="str">
        <f>IF(SUM(JE5:JF5,JH5)-JG5&gt;0,SUM(JE5:JF5,JH5)-JG5,"")</f>
        <v/>
      </c>
      <c r="JT5" s="79" t="str">
        <f>IF(SUM(JJ5,JN5)&gt;0,SUM(JJ5,JN5),"")</f>
        <v/>
      </c>
      <c r="JU5" s="79" t="str">
        <f>IF(SUM(JI5:JJ5,JL5:JN5,JP5)-SUM(JK5,JO5)&gt;0,SUM(JI5:JJ5,JL5:JN5,JP5)-SUM(JK5,JO5),"")</f>
        <v/>
      </c>
      <c r="JV5" s="79" t="str">
        <f>IF(SUM(JR5,JU5)&gt;0,SUM(JR5,JU5),"")</f>
        <v/>
      </c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79" t="str">
        <f>IF(SUM(KX5,LB5)&gt;0,SUM(KX5,LB5),"")</f>
        <v/>
      </c>
      <c r="LR5" s="79" t="str">
        <f>IF(SUM(KW5:KX5,KZ5:LB5,LD5)-KY5-LC5&gt;0,SUM(KW5:KX5,KZ5:LB5,LD5)-KY5-LC5,"")</f>
        <v/>
      </c>
      <c r="LS5" s="79" t="str">
        <f>IF(SUM(LE5:LF5,LH5)-LG5&gt;0,SUM(LE5:LF5,LH5)-LG5,"")</f>
        <v/>
      </c>
      <c r="LT5" s="79" t="str">
        <f>IF(SUM(LJ5,LN5)&gt;0,SUM(LJ5,LN5),"")</f>
        <v/>
      </c>
      <c r="LU5" s="79" t="str">
        <f>IF(SUM(LI5:LJ5,LL5:LN5,LP5)-SUM(LK5,LO5)&gt;0,SUM(LI5:LJ5,LL5:LN5,LP5)-SUM(LK5,LO5),"")</f>
        <v/>
      </c>
      <c r="LV5" s="79" t="str">
        <f>IF(SUM(LR5,LU5)&gt;0,SUM(LR5,LU5),"")</f>
        <v/>
      </c>
      <c r="LW5" s="26"/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79" t="str">
        <f>IF(SUM(MX5,NB5)&gt;0,SUM(MX5,NB5),"")</f>
        <v/>
      </c>
      <c r="NR5" s="79" t="str">
        <f>IF(SUM(MW5:MX5,MZ5:NB5,ND5)-MY5-NC5&gt;0,SUM(MW5:MX5,MZ5:NB5,ND5)-MY5-NC5,"")</f>
        <v/>
      </c>
      <c r="NS5" s="79" t="str">
        <f>IF(SUM(NE5:NF5,NH5)-NG5&gt;0,SUM(NE5:NF5,NH5)-NG5,"")</f>
        <v/>
      </c>
      <c r="NT5" s="79" t="str">
        <f>IF(SUM(NJ5,NN5)&gt;0,SUM(NJ5,NN5),"")</f>
        <v/>
      </c>
      <c r="NU5" s="79" t="str">
        <f>IF(SUM(NI5:NJ5,NL5:NN5,NP5)-SUM(NK5,NO5)&gt;0,SUM(NI5:NJ5,NL5:NN5,NP5)-SUM(NK5,NO5),"")</f>
        <v/>
      </c>
      <c r="NV5" s="79" t="str">
        <f>IF(SUM(NR5,NU5)&gt;0,SUM(NR5,NU5),"")</f>
        <v/>
      </c>
      <c r="NW5" s="26"/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8.35</v>
      </c>
      <c r="OX5" s="38">
        <f>IF($CN5="P",BU5,(BU5+AT5)/2)</f>
        <v>1.95</v>
      </c>
      <c r="OY5" s="38">
        <f>IF($CN5="P",BV5,(BV5+AU5)/2)</f>
        <v>0</v>
      </c>
      <c r="OZ5" s="38">
        <f>IF($CN5="P",BW5,(BW5+AV5)/2)</f>
        <v>0.15</v>
      </c>
      <c r="PA5" s="38">
        <f>IF($CN5="P",BX5,(BX5+AW5)/2)</f>
        <v>8.4</v>
      </c>
      <c r="PB5" s="38">
        <f>IF($CN5="P",BY5,(BY5+AX5)/2)</f>
        <v>2.0499999999999998</v>
      </c>
      <c r="PC5" s="38">
        <f>IF($CN5="P",BZ5,(BZ5+AY5)/2)</f>
        <v>0</v>
      </c>
      <c r="PD5" s="38">
        <f>IF($CN5="P",CA5,(CA5+AZ5)/2)</f>
        <v>0.15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8.5399999999999991</v>
      </c>
      <c r="PJ5" s="38">
        <f>IF($CN5="P",CG5,(CG5+BF5)/2)</f>
        <v>1.95</v>
      </c>
      <c r="PK5" s="38">
        <f>IF($CN5="P",CH5,(CH5+BG5)/2)</f>
        <v>0</v>
      </c>
      <c r="PL5" s="38">
        <f>IF($CN5="P",CI5,(CI5+BH5)/2)</f>
        <v>0.15</v>
      </c>
      <c r="PM5" s="38">
        <f>IF($CN5="P",CJ5,(CJ5+BI5)/2)</f>
        <v>8.33</v>
      </c>
      <c r="PN5" s="38">
        <f>IF($CN5="P",CK5,(CK5+BJ5)/2)</f>
        <v>2.0499999999999998</v>
      </c>
      <c r="PO5" s="38">
        <f>IF($CN5="P",CL5,(CL5+BK5)/2)</f>
        <v>0</v>
      </c>
      <c r="PP5" s="38">
        <f>IF($CN5="P",CM5,(CM5+BL5)/2)</f>
        <v>0.15</v>
      </c>
      <c r="PQ5" s="45" t="s">
        <v>46</v>
      </c>
      <c r="PR5" s="79">
        <f>IF(SUM(OX5,PB5)&gt;0,SUM(OX5,PB5),"")</f>
        <v>4</v>
      </c>
      <c r="PS5" s="79">
        <f>IF(SUM(OW5:OX5,OZ5:PB5,PD5)-OY5-PC5&gt;0,SUM(OW5:OX5,OZ5:PB5,PD5)-OY5-PC5,"")</f>
        <v>21.05</v>
      </c>
      <c r="PT5" s="79" t="str">
        <f>IF(SUM(PE5:PF5,PH5)-PG5&gt;0,SUM(PE5:PF5,PH5)-PG5,"")</f>
        <v/>
      </c>
      <c r="PU5" s="79">
        <f>IF(SUM(PJ5,PN5)&gt;0,SUM(PJ5,PN5),"")</f>
        <v>4</v>
      </c>
      <c r="PV5" s="79">
        <f>IF(SUM(PI5:PJ5,PL5:PN5,PP5)-SUM(PK5,PO5)&gt;0,SUM(PI5:PJ5,PL5:PN5,PP5)-SUM(PK5,PO5),"")</f>
        <v>21.169999999999998</v>
      </c>
      <c r="PW5" s="79">
        <f>IF(SUM(PS5,PV5)&gt;0,SUM(PS5,PV5),"")</f>
        <v>42.22</v>
      </c>
    </row>
    <row r="6" spans="1:439" x14ac:dyDescent="0.2">
      <c r="A6" s="5">
        <f>IF(AND(F6="P",G6="P"),SUMPRODUCT((F$4:F$21="P")*(G$4:G$21="P")*(E$4:E$21&gt;E6))+1,IF(G6="P",SUMPRODUCT((F$4:F$21="")*(G$4:G$21="P")*(E$4:E$21&gt;E6))+1+SUMPRODUCT((F$4:F$21="P")*(G$4:G$21="P")),""))</f>
        <v>3</v>
      </c>
      <c r="B6" s="78" t="s">
        <v>60</v>
      </c>
      <c r="C6" s="5" t="s">
        <v>3</v>
      </c>
      <c r="D6" s="5">
        <v>2003</v>
      </c>
      <c r="E6" s="15">
        <f>SUM(I6:O6)+SUM(I6:M6)*0.0000001+SUM(I6)*0.0000000000001</f>
        <v>81.600107946013893</v>
      </c>
      <c r="F6" s="3" t="str">
        <f>IF(OR(AND(AM6&gt;=AR$23,AN6&gt;=AR$27,AM6&lt;&gt;"",AL6=""),AND(AP6&gt;=AR$23,AQ6&gt;=AR$27,AP6&lt;&gt;"",AL6=""),AND(BN6&gt;=BS$23,BO6&gt;=BS$27,BN6&lt;&gt;"",BM6=""),AND(BQ6&gt;=BS$23,BR6&gt;=BS$27,BQ6&lt;&gt;"",BM6=""),AND(CO6&gt;=CT$23,CP6&gt;=CT$27,CO6&lt;&gt;"",CN6=""),AND(CR6&gt;=CT$23,CS6&gt;=CT$27,CR6&lt;&gt;""),AND(DQ6&gt;=DV$23,DR6&gt;=DV$27,DQ6&lt;&gt;""),AND(DT6&gt;=DV$23,DU6&gt;=DV$27,DT6&lt;&gt;""),AND(EQ6&gt;=EV$23,ER6&gt;=EV$27,EQ6&lt;&gt;""),AND(ET6&gt;=EV$23,EU6&gt;=EV$27,ET6&lt;&gt;""),AND(FQ6&gt;=FV$23,FR6&gt;=FV$27,FQ6&lt;&gt;""),AND(FT6&gt;=FV$23,FU6&gt;=FV$27,FT6&lt;&gt;""),AND(GQ6&gt;=GV$23,GR6&gt;=GV$27,GQ6&lt;&gt;""),AND(GT6&gt;=GV$23,GU6&gt;=GV$27,GT6&lt;&gt;""),AND(HQ6&gt;=HV$23,HR6&gt;=HV$27,HQ6&lt;&gt;""),AND(HT6&gt;=HV$23,HU6&gt;=HV$27,HT6&lt;&gt;""),AND(IQ6&gt;=IV$23,IR6&gt;=IV$27,IQ6&lt;&gt;""),AND(IT6&gt;=IV$23,IU6&gt;=IV$27,IT6&lt;&gt;""),AND(JQ6&gt;=JV$23,JR6&gt;=JV$27,JQ6&lt;&gt;""),AND(JT6&gt;=JV$23,JU6&gt;=JV$27,JT6&lt;&gt;""),AND(KQ6&gt;=KV$23,KR6&gt;=KV$27,KQ6&lt;&gt;""),AND(KT6&gt;=KV$23,KU6&gt;=KV$27,KT6&lt;&gt;""),AND(LQ6&gt;=LV$23,LR6&gt;=LV$27,LQ6&lt;&gt;""),AND(LT6&gt;=LV$23,LU6&gt;=LV$27,LT6&lt;&gt;""),AND(MQ6&gt;=MV$23,MR6&gt;=MV$27,MQ6&lt;&gt;""),AND(MT6&gt;=MV$23,MU6&gt;=MV$27,MT6&lt;&gt;""),AND(NQ6&gt;=NV$23,NR6&gt;=NV$27,NQ6&lt;&gt;""),AND(NT6&gt;=NV$23,NU6&gt;=NV$27,NT6&lt;&gt;""),AND(OQ6&gt;=OV$23,OR6&gt;=OV$27,OQ6&lt;&gt;""),AND(OT6&gt;=OV$23,OU6&gt;=OV$27,OT6&lt;&gt;"")),"P","")</f>
        <v>P</v>
      </c>
      <c r="G6" s="3" t="str">
        <f>IF(OR(AND(AN6&gt;=AR$27,AN6&lt;&gt;"",AL6=""),AND(AQ6&gt;=AR$27,AQ6&lt;&gt;"",AL6=""),AND(BO6&gt;=BS$27,BO6&lt;&gt;"",BM6=""),AND(BR6&gt;=BS$27,BR6&lt;&gt;"",BM6=""),AND(CP6&gt;=CT$27,CP6&lt;&gt;"",CN6=""),AND(CS6&gt;=CT$27,CS6&lt;&gt;"",CN6=""),AND(DR6&gt;=DV$27,DR6&lt;&gt;""),AND(DU6&gt;=DV$27,DU6&lt;&gt;""),AND(ER6&gt;=EV$27,ER6&lt;&gt;""),AND(EU6&gt;=EV$27,EU6&lt;&gt;""),AND(FR6&gt;=FV$27,FR6&lt;&gt;""),AND(FU6&gt;=FV$27,FU6&lt;&gt;""),AND(GR6&gt;=GV$27,GR6&lt;&gt;""),AND(GU6&gt;=GV$27,GU6&lt;&gt;""),AND(HR6&gt;=HV$27,HR6&lt;&gt;""),AND(HU6&gt;=HV$27,HU6&lt;&gt;""),AND(IR6&gt;=IV$27,IR6&lt;&gt;""),AND(IU6&gt;=IV$27,IU6&lt;&gt;""),AND(JR6&gt;=JV$27,JR6&lt;&gt;""),AND(JU6&gt;=JV$27,JU6&lt;&gt;""),AND(KR6&gt;=KV$27,KR6&lt;&gt;""),AND(KU6&gt;=KV$27,KU6&lt;&gt;""),AND(LR6&gt;=LV$27,LR6&lt;&gt;""),AND(LU6&gt;=LV$27,LU6&lt;&gt;""),AND(MR6&gt;=MV$27,MR6&lt;&gt;""),AND(MU6&gt;=MV$27,MU6&lt;&gt;""),AND(NR6&gt;=NV$27,NR6&lt;&gt;""),AND(NU6&gt;=NV$27,NU6&lt;&gt;""),AND(OR6&gt;=OV$27,OR6&lt;&gt;""),AND(OU6&gt;=OV$27,OU6&lt;&gt;"")),"P","")</f>
        <v>P</v>
      </c>
      <c r="H6" s="67" t="str">
        <f>IF(AND(G6="P",F6=""),"No DD",IF(OR(AND(AM6&gt;=AR$26,AN6&gt;=AR$30,AM6&lt;&gt;"",AL6=""),AND(AP6&gt;=AR$26,AQ6&gt;=AR$30,AP6&lt;&gt;"",AL6=""),AND(BN6&gt;=BS$26,BO6&gt;=BS$30,BN6&lt;&gt;"",BM6=""),AND(BQ6&gt;=BS$26,BR6&gt;=BS$30,BQ6&lt;&gt;"",BM6=""),AND(CO6&gt;=CT$26,CP6&gt;=CT$30,CO6&lt;&gt;"",CN6=""),AND(CR6&gt;=CT$26,CS6&gt;=CT$30,CR6&lt;&gt;""),AND(DQ6&gt;=DV$26,DR6&gt;=DV$30,DQ6&lt;&gt;""),AND(DT6&gt;=DV$26,DU6&gt;=DV$30,DT6&lt;&gt;""),AND(EQ6&gt;=EV$26,ER6&gt;=EV$30,EQ6&lt;&gt;""),AND(ET6&gt;=EV$26,EU6&gt;=EV$30,ET6&lt;&gt;""),AND(FQ6&gt;=FV$26,FR6&gt;=FV$30,FQ6&lt;&gt;""),AND(FT6&gt;=FV$26,FU6&gt;=FV$30,FT6&lt;&gt;""),AND(GQ6&gt;=GV$26,GR6&gt;=GV$30,GQ6&lt;&gt;""),AND(GT6&gt;=GV$26,GU6&gt;=GV$30,GT6&lt;&gt;""),AND(HQ6&gt;=HV$26,HR6&gt;=HV$30,HQ6&lt;&gt;""),AND(HT6&gt;=HV$26,HU6&gt;=HV$30,HT6&lt;&gt;""),AND(IQ6&gt;=IV$26,IR6&gt;=IV$30,IQ6&lt;&gt;""),AND(IT6&gt;=IV$26,IU6&gt;=IV$30,IT6&lt;&gt;""),AND(JQ6&gt;=JV$26,JR6&gt;=JV$30,JQ6&lt;&gt;""),AND(JT6&gt;=JV$26,JU6&gt;=JV$30,JT6&lt;&gt;""),AND(KQ6&gt;=KV$26,KR6&gt;=KV$30,KQ6&lt;&gt;""),AND(KT6&gt;=KV$26,KU6&gt;=KV$30,KT6&lt;&gt;""),AND(LQ6&gt;=LV$26,LR6&gt;=LV$30,LQ6&lt;&gt;""),AND(LT6&gt;=LV$26,LU6&gt;=LV$30,LT6&lt;&gt;""),AND(MQ6&gt;=MV$26,MR6&gt;=MV$30,MQ6&lt;&gt;""),AND(MT6&gt;=MV$26,MU6&gt;=MV$30,MT6&lt;&gt;""),AND(NQ6&gt;=NV$26,NR6&gt;=NV$30,NQ6&lt;&gt;""),AND(NT6&gt;=NV$26,NU6&gt;=NV$30,NT6&lt;&gt;""),AND(OQ6&gt;=OV$26,OR6&gt;=OV$30,OQ6&lt;&gt;""),AND(OT6&gt;=OV$26,OU6&gt;=OV$30,OT6&lt;&gt;"")),"Merit",IF(OR(AND(AM6&gt;=AR$25,AN6&gt;=AR$29,AM6&lt;&gt;"",AL6=""),AND(AP6&gt;=AR$25,AQ6&gt;=AR$29,AP6&lt;&gt;"",AL6=""),AND(BN6&gt;=BS$25,BO6&gt;=BS$29,BN6&lt;&gt;"",BM6=""),AND(BQ6&gt;=BS$25,BR6&gt;=BS$29,BQ6&lt;&gt;"",BM6=""),AND(CO6&gt;=CT$25,CP6&gt;=CT$29,CO6&lt;&gt;"",CN6=""),AND(CR6&gt;=CT$25,CS6&gt;=CT$29,CR6&lt;&gt;""),AND(DQ6&gt;=DV$25,DR6&gt;=DV$29,DQ6&lt;&gt;""),AND(DT6&gt;=DV$25,DU6&gt;=DV$29,DT6&lt;&gt;""),AND(EQ6&gt;=EV$25,ER6&gt;=EV$29,EQ6&lt;&gt;""),AND(ET6&gt;=EV$25,EU6&gt;=EV$29,ET6&lt;&gt;""),AND(FQ6&gt;=FV$25,FR6&gt;=FV$29,FQ6&lt;&gt;""),AND(FT6&gt;=FV$25,FU6&gt;=FV$29,FT6&lt;&gt;""),AND(GQ6&gt;=GV$25,GR6&gt;=GV$29,GQ6&lt;&gt;""),AND(GT6&gt;=GV$25,GU6&gt;=GV$29,GT6&lt;&gt;""),AND(HQ6&gt;=HV$25,HR6&gt;=HV$29,HQ6&lt;&gt;""),AND(HT6&gt;=HV$25,HU6&gt;=HV$29,HT6&lt;&gt;""),AND(IQ6&gt;=IV$25,IR6&gt;=IV$29,IQ6&lt;&gt;""),AND(IT6&gt;=IV$25,IU6&gt;=IV$29,IT6&lt;&gt;""),AND(JQ6&gt;=JV$25,JR6&gt;=JV$29,JQ6&lt;&gt;""),AND(JT6&gt;=JV$25,JU6&gt;=JV$29,JT6&lt;&gt;""),AND(KQ6&gt;=KV$25,KR6&gt;=KV$29,KQ6&lt;&gt;""),AND(KT6&gt;=KV$25,KU6&gt;=KV$29,KT6&lt;&gt;""),AND(LQ6&gt;=LV$25,LR6&gt;=LV$29,LQ6&lt;&gt;""),AND(LT6&gt;=LV$25,LU6&gt;=LV$29,LT6&lt;&gt;""),AND(MQ6&gt;=MV$25,MR6&gt;=MV$29,MQ6&lt;&gt;""),AND(MT6&gt;=MV$25,MU6&gt;=MV$29,MT6&lt;&gt;""),AND(NQ6&gt;=NV$25,NR6&gt;=NV$29,NQ6&lt;&gt;""),AND(NT6&gt;=NV$25,NU6&gt;=NV$29,NT6&lt;&gt;""),AND(OQ6&gt;=OV$25,OR6&gt;=OV$29,OQ6&lt;&gt;""),AND(OT6&gt;=OV$25,OU6&gt;=OV$29,OT6&lt;&gt;"")),"Excellence",IF(F6="P","National Team",""))))</f>
        <v>National Team</v>
      </c>
      <c r="I6" s="14">
        <f>IF(COUNT(AN6,BO6,CP6)&gt;0,LARGE((AN6,BO6,CP6),1),0)</f>
        <v>38.9</v>
      </c>
      <c r="J6" s="14" t="str">
        <f>IF(I6=0,"",IF(I6=CP6,$BT$1,IF(I6=BO6,$AS$1,IF(I6=AN6,$R$1,""))))</f>
        <v>2022 Elite Canada</v>
      </c>
      <c r="K6" s="14">
        <f>IF(COUNT(AN6,BO6,CP6)&gt;1,LARGE((AN6,BO6,CP6),2),0)</f>
        <v>1E-4</v>
      </c>
      <c r="L6" s="14" t="str">
        <f>IF(K6=0,"",IF(K6=CP6,$BT$1,IF(K6=BO6,$AS$1,IF(K6=AN6,$R$1,""))))</f>
        <v>2021 Canadian Championships</v>
      </c>
      <c r="M6" s="14">
        <f>IF(MAX(AQ6,BR6,CS6)&gt;0,MAX(AQ6,BR6,CS6),0)</f>
        <v>40.559999999999995</v>
      </c>
      <c r="N6" s="14" t="str">
        <f>IF(M6=0,"",IF(M6=CS6,$BT$1,IF(M6=BR6,$AS$1,IF(M6=AQ6,$R$1,""))))</f>
        <v>2022 Elite Canada</v>
      </c>
      <c r="O6" s="14">
        <f>IF(MAX(CU6:CV6)&gt;0,MAX(CU6:CV6),"")</f>
        <v>2.1400000000000006</v>
      </c>
      <c r="P6" s="20" t="str">
        <f>IF(O6="","",IF(O6=CU6,"("&amp;CU$2&amp;")",IF(O6=CV6,"("&amp;CV$2&amp;")")))</f>
        <v>(Final)</v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World Games Technical Trial #2 (May 15)</v>
      </c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45"/>
      <c r="AM6" s="79" t="str">
        <f>IF(SUM(S6,W6)&gt;0,SUM(S6,W6),"")</f>
        <v/>
      </c>
      <c r="AN6" s="79" t="str">
        <f>IF(SUM(R6:S6,U6:W6,Y6)-T6-X6&gt;0,SUM(R6:S6,U6:W6,Y6)-T6-X6,"")</f>
        <v/>
      </c>
      <c r="AO6" s="79" t="str">
        <f>IF(SUM(Z6:AA6,AC6)-AB6&gt;0,SUM(Z6:AA6,AC6)-AB6,"")</f>
        <v/>
      </c>
      <c r="AP6" s="79" t="str">
        <f>IF(SUM(AE6,AI6)&gt;0,SUM(AE6,AI6),"")</f>
        <v/>
      </c>
      <c r="AQ6" s="79" t="str">
        <f>IF(SUM(AD6:AE6,AG6:AI6,AK6)-SUM(AF6,AJ6)&gt;0,SUM(AD6:AE6,AG6:AI6,AK6)-SUM(AF6,AJ6),"")</f>
        <v/>
      </c>
      <c r="AR6" s="79" t="str">
        <f>IF(SUM(AN6,AQ6)&gt;0,SUM(AN6,AQ6),"")</f>
        <v/>
      </c>
      <c r="AS6" s="26"/>
      <c r="AT6" s="26">
        <v>1E-4</v>
      </c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46"/>
      <c r="BN6" s="20">
        <f>IF(SUM(AT6,AX6)&gt;0,SUM(AT6,AX6),"")</f>
        <v>1E-4</v>
      </c>
      <c r="BO6" s="20">
        <f>IF(SUM(AS6:AT6,AV6:AX6,AZ6)-AU6-AY6&gt;0,SUM(AS6:AT6,AV6:AX6,AZ6)-AU6-AY6,"")</f>
        <v>1E-4</v>
      </c>
      <c r="BP6" s="20" t="str">
        <f>IF(SUM(BA6:BB6,BD6)-BC6&gt;0,SUM(BA6:BB6,BD6)-BC6,"")</f>
        <v/>
      </c>
      <c r="BQ6" s="20" t="str">
        <f>IF(SUM(BF6,BJ6)&gt;0,SUM(BF6,BJ6),"")</f>
        <v/>
      </c>
      <c r="BR6" s="20" t="str">
        <f>IF(SUM(BE6:BF6,BH6:BJ6,BL6)-SUM(BG6,BK6)&gt;0,SUM(BE6:BF6,BH6:BJ6,BL6)-SUM(BG6,BK6),"")</f>
        <v/>
      </c>
      <c r="BS6" s="20">
        <f>IF(SUM(BO6,BR6)&gt;0,SUM(BO6,BR6),"")</f>
        <v>1E-4</v>
      </c>
      <c r="BT6" s="27">
        <v>16.600000000000001</v>
      </c>
      <c r="BU6" s="27">
        <v>3.9</v>
      </c>
      <c r="BV6" s="27">
        <v>0</v>
      </c>
      <c r="BW6" s="27">
        <v>0.3</v>
      </c>
      <c r="BX6" s="27">
        <v>15.9</v>
      </c>
      <c r="BY6" s="27">
        <v>1.9</v>
      </c>
      <c r="BZ6" s="27">
        <v>0</v>
      </c>
      <c r="CA6" s="27">
        <v>0.3</v>
      </c>
      <c r="CB6" s="27"/>
      <c r="CC6" s="27"/>
      <c r="CD6" s="27"/>
      <c r="CE6" s="27"/>
      <c r="CF6" s="27">
        <v>15.1</v>
      </c>
      <c r="CG6" s="27">
        <v>4.0999999999999996</v>
      </c>
      <c r="CH6" s="27">
        <v>0.2</v>
      </c>
      <c r="CI6" s="27">
        <v>0.3</v>
      </c>
      <c r="CJ6" s="27">
        <v>16.46</v>
      </c>
      <c r="CK6" s="27">
        <v>4.5</v>
      </c>
      <c r="CL6" s="27">
        <v>0</v>
      </c>
      <c r="CM6" s="27">
        <v>0.3</v>
      </c>
      <c r="CN6" s="45"/>
      <c r="CO6" s="79">
        <f>IF(SUM(BU6,BY6)&gt;0,SUM(BU6,BY6),"")</f>
        <v>5.8</v>
      </c>
      <c r="CP6" s="79">
        <f>IF(SUM(BT6:BU6,BW6:BY6,CA6)-BV6-BZ6&gt;0,SUM(BT6:BU6,BW6:BY6,CA6)-BV6-BZ6,"")</f>
        <v>38.9</v>
      </c>
      <c r="CQ6" s="79" t="str">
        <f>IF(SUM(CB6:CC6,CE6)-CD6&gt;0,SUM(CB6:CC6,CE6)-CD6,"")</f>
        <v/>
      </c>
      <c r="CR6" s="79">
        <f>IF(SUM(CG6,CK6)&gt;0,SUM(CG6,CK6),"")</f>
        <v>8.6</v>
      </c>
      <c r="CS6" s="79">
        <f>IF(SUM(CF6:CG6,CI6:CK6,CM6)-SUM(CH6,CL6)&gt;0,SUM(CF6:CG6,CI6:CK6,CM6)-SUM(CH6,CL6),"")</f>
        <v>40.559999999999995</v>
      </c>
      <c r="CT6" s="79">
        <f>IF(SUM(CP6,CS6)&gt;0,SUM(CP6,CS6),"")</f>
        <v>79.459999999999994</v>
      </c>
      <c r="CU6" s="80" t="str">
        <f>IF(K6&gt;=0.001,IF(MAX(DR6,ER6,FR6,GR6,HR6,IR6,JR6,KR6,LR6,MR6,NR6,OR6)-IF(K6="",0,K6)&gt;0.001,MAX(DR6,ER6,FR6,GR6,HR6,IR6,JR6,KR6,LR6,MR6,NR6,OR6)-IF(K6="",0,K6),""),"")</f>
        <v/>
      </c>
      <c r="CV6" s="80">
        <f>IF(M6&gt;=0.001,IF(MAX(DU6,EU6,FU6,GU6,HU6,IU6,JU6,KU6,LU6,MU6,NU6,OU6)-IF(M6="",0,M6)&gt;0.001,MAX(DU6,EU6,FU6,GU6,HU6,IU6,JU6,KU6,LU6,MU6,NU6,OU6)-IF(M6="",0,M6),""),"")</f>
        <v>2.1400000000000006</v>
      </c>
      <c r="CW6" s="25">
        <v>9.8000000000000007</v>
      </c>
      <c r="CX6" s="25">
        <v>1.4</v>
      </c>
      <c r="CY6" s="25">
        <v>0</v>
      </c>
      <c r="CZ6" s="25">
        <v>0.3</v>
      </c>
      <c r="DA6" s="25">
        <v>15.4</v>
      </c>
      <c r="DB6" s="25">
        <v>1.9</v>
      </c>
      <c r="DC6" s="25">
        <v>0</v>
      </c>
      <c r="DD6" s="25">
        <v>0.3</v>
      </c>
      <c r="DE6" s="25"/>
      <c r="DF6" s="25"/>
      <c r="DG6" s="25"/>
      <c r="DH6" s="25"/>
      <c r="DI6" s="25">
        <v>16.2</v>
      </c>
      <c r="DJ6" s="25">
        <v>1.7</v>
      </c>
      <c r="DK6" s="25">
        <v>1.9</v>
      </c>
      <c r="DL6" s="25">
        <v>0</v>
      </c>
      <c r="DM6" s="25">
        <v>0</v>
      </c>
      <c r="DN6" s="25">
        <v>0</v>
      </c>
      <c r="DO6" s="25">
        <v>0</v>
      </c>
      <c r="DP6" s="25">
        <v>0</v>
      </c>
      <c r="DQ6" s="79">
        <f>IF(SUM(CX6,DB6)&gt;0,SUM(CX6,DB6),"")</f>
        <v>3.3</v>
      </c>
      <c r="DR6" s="79">
        <f>IF(SUM(CW6:CX6,CZ6:DB6,DD6)-CY6-DC6&gt;0,SUM(CW6:CX6,CZ6:DB6,DD6)-CY6-DC6,"")</f>
        <v>29.1</v>
      </c>
      <c r="DS6" s="79" t="str">
        <f>IF(SUM(DE6:DF6,DH6)-DG6&gt;0,SUM(DE6:DF6,DH6)-DG6,"")</f>
        <v/>
      </c>
      <c r="DT6" s="79">
        <f>IF(SUM(DJ6,DN6)&gt;0,SUM(DJ6,DN6),"")</f>
        <v>1.7</v>
      </c>
      <c r="DU6" s="79">
        <f>IF(SUM(DI6:DJ6,DL6:DN6,DP6)-SUM(DK6,DO6)&gt;0,SUM(DI6:DJ6,DL6:DN6,DP6)-SUM(DK6,DO6),"")</f>
        <v>15.999999999999998</v>
      </c>
      <c r="DV6" s="79">
        <f>IF(SUM(DR6,DU6)&gt;0,SUM(DR6,DU6),"")</f>
        <v>45.1</v>
      </c>
      <c r="DW6" s="26">
        <v>16.2</v>
      </c>
      <c r="DX6" s="26">
        <v>1.2</v>
      </c>
      <c r="DY6" s="26">
        <v>0</v>
      </c>
      <c r="DZ6" s="26">
        <v>0</v>
      </c>
      <c r="EA6" s="26">
        <v>16.3</v>
      </c>
      <c r="EB6" s="26">
        <v>3.9</v>
      </c>
      <c r="EC6" s="26">
        <v>0.2</v>
      </c>
      <c r="ED6" s="26">
        <v>0.3</v>
      </c>
      <c r="EE6" s="26"/>
      <c r="EF6" s="26"/>
      <c r="EG6" s="26"/>
      <c r="EH6" s="26"/>
      <c r="EI6" s="26">
        <v>17.5</v>
      </c>
      <c r="EJ6" s="26">
        <v>3.6</v>
      </c>
      <c r="EK6" s="26">
        <v>0</v>
      </c>
      <c r="EL6" s="26">
        <v>0</v>
      </c>
      <c r="EM6" s="26">
        <v>17</v>
      </c>
      <c r="EN6" s="26">
        <v>4.3</v>
      </c>
      <c r="EO6" s="26">
        <v>0</v>
      </c>
      <c r="EP6" s="26">
        <v>0.3</v>
      </c>
      <c r="EQ6" s="20">
        <f>IF(SUM(DX6,EB6)&gt;0,SUM(DX6,EB6),"")</f>
        <v>5.0999999999999996</v>
      </c>
      <c r="ER6" s="20">
        <f>IF(SUM(DW6:DX6,DZ6:EB6,ED6)-DY6-EC6&gt;0,SUM(DW6:DX6,DZ6:EB6,ED6)-DY6-EC6,"")</f>
        <v>37.699999999999996</v>
      </c>
      <c r="ES6" s="20" t="str">
        <f>IF(SUM(EE6:EF6,EH6)-EG6&gt;0,SUM(EE6:EF6,EH6)-EG6,"")</f>
        <v/>
      </c>
      <c r="ET6" s="20">
        <f>IF(SUM(EJ6,EN6)&gt;0,SUM(EJ6,EN6),"")</f>
        <v>7.9</v>
      </c>
      <c r="EU6" s="20">
        <f>IF(SUM(EI6:EJ6,EL6:EN6,EP6)-SUM(EK6,EO6)&gt;0,SUM(EI6:EJ6,EL6:EN6,EP6)-SUM(EK6,EO6),"")</f>
        <v>42.699999999999996</v>
      </c>
      <c r="EV6" s="20">
        <f>IF(SUM(ER6,EU6)&gt;0,SUM(ER6,EU6),"")</f>
        <v>80.399999999999991</v>
      </c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79" t="str">
        <f>IF(SUM(EX6,FB6)&gt;0,SUM(EX6,FB6),"")</f>
        <v/>
      </c>
      <c r="FR6" s="79" t="str">
        <f>IF(SUM(EW6:EX6,EZ6:FB6,FD6)-EY6-FC6&gt;0,SUM(EW6:EX6,EZ6:FB6,FD6)-EY6-FC6,"")</f>
        <v/>
      </c>
      <c r="FS6" s="79" t="str">
        <f>IF(SUM(FE6:FF6,FH6)-FG6&gt;0,SUM(FE6:FF6,FH6)-FG6,"")</f>
        <v/>
      </c>
      <c r="FT6" s="79" t="str">
        <f>IF(SUM(FJ6,FN6)&gt;0,SUM(FJ6,FN6),"")</f>
        <v/>
      </c>
      <c r="FU6" s="79" t="str">
        <f>IF(SUM(FI6:FJ6,FL6:FN6,FP6)-SUM(FK6,FO6)&gt;0,SUM(FI6:FJ6,FL6:FN6,FP6)-SUM(FK6,FO6),"")</f>
        <v/>
      </c>
      <c r="FV6" s="79" t="str">
        <f>IF(SUM(FR6,FU6)&gt;0,SUM(FR6,FU6),"")</f>
        <v/>
      </c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0" t="str">
        <f>IF(SUM(FX6,GB6)&gt;0,SUM(FX6,GB6),"")</f>
        <v/>
      </c>
      <c r="GR6" s="20" t="str">
        <f>IF(SUM(FW6:FX6,FZ6:GB6,GD6)-FY6-GC6&gt;0,SUM(FW6:FX6,FZ6:GB6,GD6)-FY6-GC6,"")</f>
        <v/>
      </c>
      <c r="GS6" s="20" t="str">
        <f>IF(SUM(GE6:GF6,GH6)-GG6&gt;0,SUM(GE6:GF6,GH6)-GG6,"")</f>
        <v/>
      </c>
      <c r="GT6" s="20" t="str">
        <f>IF(SUM(GJ6,GN6)&gt;0,SUM(GJ6,GN6),"")</f>
        <v/>
      </c>
      <c r="GU6" s="20" t="str">
        <f>IF(SUM(GI6:GJ6,GL6:GN6,GP6)-SUM(GK6,GO6)&gt;0,SUM(GI6:GJ6,GL6:GN6,GP6)-SUM(GK6,GO6),"")</f>
        <v/>
      </c>
      <c r="GV6" s="20" t="str">
        <f>IF(SUM(GR6,GU6)&gt;0,SUM(GR6,GU6),"")</f>
        <v/>
      </c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79" t="str">
        <f>IF(SUM(GX6,HB6)&gt;0,SUM(GX6,HB6),"")</f>
        <v/>
      </c>
      <c r="HR6" s="79" t="str">
        <f>IF(SUM(GW6:GX6,GZ6:HB6,HD6)-GY6-HC6&gt;0,SUM(GW6:GX6,GZ6:HB6,HD6)-GY6-HC6,"")</f>
        <v/>
      </c>
      <c r="HS6" s="79" t="str">
        <f>IF(SUM(HE6:HF6,HH6)-HG6&gt;0,SUM(HE6:HF6,HH6)-HG6,"")</f>
        <v/>
      </c>
      <c r="HT6" s="79" t="str">
        <f>IF(SUM(HJ6,HN6)&gt;0,SUM(HJ6,HN6),"")</f>
        <v/>
      </c>
      <c r="HU6" s="79" t="str">
        <f>IF(SUM(HI6:HJ6,HL6:HN6,HP6)-SUM(HK6,HO6)&gt;0,SUM(HI6:HJ6,HL6:HN6,HP6)-SUM(HK6,HO6),"")</f>
        <v/>
      </c>
      <c r="HV6" s="79" t="str">
        <f>IF(SUM(HR6,HU6)&gt;0,SUM(HR6,HU6),"")</f>
        <v/>
      </c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0" t="str">
        <f>IF(SUM(HX6,IB6)&gt;0,SUM(HX6,IB6),"")</f>
        <v/>
      </c>
      <c r="IR6" s="20" t="str">
        <f>IF(SUM(HW6:HX6,HZ6:IB6,ID6)-HY6-IC6&gt;0,SUM(HW6:HX6,HZ6:IB6,ID6)-HY6-IC6,"")</f>
        <v/>
      </c>
      <c r="IS6" s="20" t="str">
        <f>IF(SUM(IE6:IF6,IH6)-IG6&gt;0,SUM(IE6:IF6,IH6)-IG6,"")</f>
        <v/>
      </c>
      <c r="IT6" s="20" t="str">
        <f>IF(SUM(IJ6,IN6)&gt;0,SUM(IJ6,IN6),"")</f>
        <v/>
      </c>
      <c r="IU6" s="20" t="str">
        <f>IF(SUM(II6:IJ6,IL6:IN6,IP6)-SUM(IK6,IO6)&gt;0,SUM(II6:IJ6,IL6:IN6,IP6)-SUM(IK6,IO6),"")</f>
        <v/>
      </c>
      <c r="IV6" s="20" t="str">
        <f>IF(SUM(IR6,IU6)&gt;0,SUM(IR6,IU6),"")</f>
        <v/>
      </c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79" t="str">
        <f>IF(SUM(IX6,JB6)&gt;0,SUM(IX6,JB6),"")</f>
        <v/>
      </c>
      <c r="JR6" s="79" t="str">
        <f>IF(SUM(IW6:IX6,IZ6:JB6,JD6)-IY6-JC6&gt;0,SUM(IW6:IX6,IZ6:JB6,JD6)-IY6-JC6,"")</f>
        <v/>
      </c>
      <c r="JS6" s="79" t="str">
        <f>IF(SUM(JE6:JF6,JH6)-JG6&gt;0,SUM(JE6:JF6,JH6)-JG6,"")</f>
        <v/>
      </c>
      <c r="JT6" s="79" t="str">
        <f>IF(SUM(JJ6,JN6)&gt;0,SUM(JJ6,JN6),"")</f>
        <v/>
      </c>
      <c r="JU6" s="79" t="str">
        <f>IF(SUM(JI6:JJ6,JL6:JN6,JP6)-SUM(JK6,JO6)&gt;0,SUM(JI6:JJ6,JL6:JN6,JP6)-SUM(JK6,JO6),"")</f>
        <v/>
      </c>
      <c r="JV6" s="79" t="str">
        <f>IF(SUM(JR6,JU6)&gt;0,SUM(JR6,JU6),"")</f>
        <v/>
      </c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0" t="str">
        <f>IF(SUM(JX6,KB6)&gt;0,SUM(JX6,KB6),"")</f>
        <v/>
      </c>
      <c r="KR6" s="20" t="str">
        <f>IF(SUM(JW6:JX6,JZ6:KB6,KD6)-JY6-KC6&gt;0,SUM(JW6:JX6,JZ6:KB6,KD6)-JY6-KC6,"")</f>
        <v/>
      </c>
      <c r="KS6" s="20" t="str">
        <f>IF(SUM(KE6:KF6,KH6)-KG6&gt;0,SUM(KE6:KF6,KH6)-KG6,"")</f>
        <v/>
      </c>
      <c r="KT6" s="20" t="str">
        <f>IF(SUM(KJ6,KN6)&gt;0,SUM(KJ6,KN6),"")</f>
        <v/>
      </c>
      <c r="KU6" s="20" t="str">
        <f>IF(SUM(KI6:KJ6,KL6:KN6,KP6)-SUM(KK6,KO6)&gt;0,SUM(KI6:KJ6,KL6:KN6,KP6)-SUM(KK6,KO6),"")</f>
        <v/>
      </c>
      <c r="KV6" s="20" t="str">
        <f>IF(SUM(KR6,KU6)&gt;0,SUM(KR6,KU6),"")</f>
        <v/>
      </c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79" t="str">
        <f>IF(SUM(KX6,LB6)&gt;0,SUM(KX6,LB6),"")</f>
        <v/>
      </c>
      <c r="LR6" s="79" t="str">
        <f>IF(SUM(KW6:KX6,KZ6:LB6,LD6)-KY6-LC6&gt;0,SUM(KW6:KX6,KZ6:LB6,LD6)-KY6-LC6,"")</f>
        <v/>
      </c>
      <c r="LS6" s="79" t="str">
        <f>IF(SUM(LE6:LF6,LH6)-LG6&gt;0,SUM(LE6:LF6,LH6)-LG6,"")</f>
        <v/>
      </c>
      <c r="LT6" s="79" t="str">
        <f>IF(SUM(LJ6,LN6)&gt;0,SUM(LJ6,LN6),"")</f>
        <v/>
      </c>
      <c r="LU6" s="79" t="str">
        <f>IF(SUM(LI6:LJ6,LL6:LN6,LP6)-SUM(LK6,LO6)&gt;0,SUM(LI6:LJ6,LL6:LN6,LP6)-SUM(LK6,LO6),"")</f>
        <v/>
      </c>
      <c r="LV6" s="79" t="str">
        <f>IF(SUM(LR6,LU6)&gt;0,SUM(LR6,LU6),"")</f>
        <v/>
      </c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0" t="str">
        <f>IF(SUM(LX6,MB6)&gt;0,SUM(LX6,MB6),"")</f>
        <v/>
      </c>
      <c r="MR6" s="20" t="str">
        <f>IF(SUM(LW6:LX6,LZ6:MB6,MD6)-LY6-MC6&gt;0,SUM(LW6:LX6,LZ6:MB6,MD6)-LY6-MC6,"")</f>
        <v/>
      </c>
      <c r="MS6" s="20" t="str">
        <f>IF(SUM(ME6:MF6,MH6)-MG6&gt;0,SUM(ME6:MF6,MH6)-MG6,"")</f>
        <v/>
      </c>
      <c r="MT6" s="20" t="str">
        <f>IF(SUM(MJ6,MN6)&gt;0,SUM(MJ6,MN6),"")</f>
        <v/>
      </c>
      <c r="MU6" s="20" t="str">
        <f>IF(SUM(MI6:MJ6,ML6:MN6,MP6)-SUM(MK6,MO6)&gt;0,SUM(MI6:MJ6,ML6:MN6,MP6)-SUM(MK6,MO6),"")</f>
        <v/>
      </c>
      <c r="MV6" s="20" t="str">
        <f>IF(SUM(MR6,MU6)&gt;0,SUM(MR6,MU6),"")</f>
        <v/>
      </c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79" t="str">
        <f>IF(SUM(MX6,NB6)&gt;0,SUM(MX6,NB6),"")</f>
        <v/>
      </c>
      <c r="NR6" s="79" t="str">
        <f>IF(SUM(MW6:MX6,MZ6:NB6,ND6)-MY6-NC6&gt;0,SUM(MW6:MX6,MZ6:NB6,ND6)-MY6-NC6,"")</f>
        <v/>
      </c>
      <c r="NS6" s="79" t="str">
        <f>IF(SUM(NE6:NF6,NH6)-NG6&gt;0,SUM(NE6:NF6,NH6)-NG6,"")</f>
        <v/>
      </c>
      <c r="NT6" s="79" t="str">
        <f>IF(SUM(NJ6,NN6)&gt;0,SUM(NJ6,NN6),"")</f>
        <v/>
      </c>
      <c r="NU6" s="79" t="str">
        <f>IF(SUM(NI6:NJ6,NL6:NN6,NP6)-SUM(NK6,NO6)&gt;0,SUM(NI6:NJ6,NL6:NN6,NP6)-SUM(NK6,NO6),"")</f>
        <v/>
      </c>
      <c r="NV6" s="79" t="str">
        <f>IF(SUM(NR6,NU6)&gt;0,SUM(NR6,NU6),"")</f>
        <v/>
      </c>
      <c r="NW6" s="26"/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0" t="str">
        <f>IF(SUM(NX6,OB6)&gt;0,SUM(NX6,OB6),"")</f>
        <v/>
      </c>
      <c r="OR6" s="20" t="str">
        <f>IF(SUM(NW6:NX6,NZ6:OB6,OD6)-NY6-OC6&gt;0,SUM(NW6:NX6,NZ6:OB6,OD6)-NY6-OC6,"")</f>
        <v/>
      </c>
      <c r="OS6" s="20" t="str">
        <f>IF(SUM(OE6:OF6,OH6)-OG6&gt;0,SUM(OE6:OF6,OH6)-OG6,"")</f>
        <v/>
      </c>
      <c r="OT6" s="20" t="str">
        <f>IF(SUM(OJ6,ON6)&gt;0,SUM(OJ6,ON6),"")</f>
        <v/>
      </c>
      <c r="OU6" s="20" t="str">
        <f>IF(SUM(OI6:OJ6,OL6:ON6,OP6)-SUM(OK6,OO6)&gt;0,SUM(OI6:OJ6,OL6:ON6,OP6)-SUM(OK6,OO6),"")</f>
        <v/>
      </c>
      <c r="OV6" s="20" t="str">
        <f>IF(SUM(OR6,OU6)&gt;0,SUM(OR6,OU6),"")</f>
        <v/>
      </c>
      <c r="OW6" s="38">
        <f>IF($CN6="P",BT6,(BT6+AS6)/2)</f>
        <v>8.3000000000000007</v>
      </c>
      <c r="OX6" s="38">
        <f>IF($CN6="P",BU6,(BU6+AT6)/2)</f>
        <v>1.9500500000000001</v>
      </c>
      <c r="OY6" s="38">
        <f>IF($CN6="P",BV6,(BV6+AU6)/2)</f>
        <v>0</v>
      </c>
      <c r="OZ6" s="38">
        <f>IF($CN6="P",BW6,(BW6+AV6)/2)</f>
        <v>0.15</v>
      </c>
      <c r="PA6" s="38">
        <f>IF($CN6="P",BX6,(BX6+AW6)/2)</f>
        <v>7.95</v>
      </c>
      <c r="PB6" s="38">
        <f>IF($CN6="P",BY6,(BY6+AX6)/2)</f>
        <v>0.95</v>
      </c>
      <c r="PC6" s="38">
        <f>IF($CN6="P",BZ6,(BZ6+AY6)/2)</f>
        <v>0</v>
      </c>
      <c r="PD6" s="38">
        <f>IF($CN6="P",CA6,(CA6+AZ6)/2)</f>
        <v>0.15</v>
      </c>
      <c r="PE6" s="38">
        <f>IF($CN6="P",CB6,(CB6+BA6)/2)</f>
        <v>0</v>
      </c>
      <c r="PF6" s="38">
        <f>IF($CN6="P",CC6,(CC6+BB6)/2)</f>
        <v>0</v>
      </c>
      <c r="PG6" s="38">
        <f>IF($CN6="P",CD6,(CD6+BC6)/2)</f>
        <v>0</v>
      </c>
      <c r="PH6" s="38">
        <f>IF($CN6="P",CE6,(CE6+BD6)/2)</f>
        <v>0</v>
      </c>
      <c r="PI6" s="38">
        <f>IF($CN6="P",CF6,(CF6+BE6)/2)</f>
        <v>7.55</v>
      </c>
      <c r="PJ6" s="38">
        <f>IF($CN6="P",CG6,(CG6+BF6)/2)</f>
        <v>2.0499999999999998</v>
      </c>
      <c r="PK6" s="38">
        <f>IF($CN6="P",CH6,(CH6+BG6)/2)</f>
        <v>0.1</v>
      </c>
      <c r="PL6" s="38">
        <f>IF($CN6="P",CI6,(CI6+BH6)/2)</f>
        <v>0.15</v>
      </c>
      <c r="PM6" s="38">
        <f>IF($CN6="P",CJ6,(CJ6+BI6)/2)</f>
        <v>8.23</v>
      </c>
      <c r="PN6" s="38">
        <f>IF($CN6="P",CK6,(CK6+BJ6)/2)</f>
        <v>2.25</v>
      </c>
      <c r="PO6" s="38">
        <f>IF($CN6="P",CL6,(CL6+BK6)/2)</f>
        <v>0</v>
      </c>
      <c r="PP6" s="38">
        <f>IF($CN6="P",CM6,(CM6+BL6)/2)</f>
        <v>0.15</v>
      </c>
      <c r="PQ6" s="45" t="s">
        <v>46</v>
      </c>
      <c r="PR6" s="79">
        <f>IF(SUM(OX6,PB6)&gt;0,SUM(OX6,PB6),"")</f>
        <v>2.9000500000000002</v>
      </c>
      <c r="PS6" s="79">
        <f>IF(SUM(OW6:OX6,OZ6:PB6,PD6)-OY6-PC6&gt;0,SUM(OW6:OX6,OZ6:PB6,PD6)-OY6-PC6,"")</f>
        <v>19.450050000000001</v>
      </c>
      <c r="PT6" s="79" t="str">
        <f>IF(SUM(PE6:PF6,PH6)-PG6&gt;0,SUM(PE6:PF6,PH6)-PG6,"")</f>
        <v/>
      </c>
      <c r="PU6" s="79">
        <f>IF(SUM(PJ6,PN6)&gt;0,SUM(PJ6,PN6),"")</f>
        <v>4.3</v>
      </c>
      <c r="PV6" s="79">
        <f>IF(SUM(PI6:PJ6,PL6:PN6,PP6)-SUM(PK6,PO6)&gt;0,SUM(PI6:PJ6,PL6:PN6,PP6)-SUM(PK6,PO6),"")</f>
        <v>20.279999999999998</v>
      </c>
      <c r="PW6" s="79">
        <f>IF(SUM(PS6,PV6)&gt;0,SUM(PS6,PV6),"")</f>
        <v>39.730049999999999</v>
      </c>
    </row>
    <row r="7" spans="1:439" x14ac:dyDescent="0.2">
      <c r="A7" s="5">
        <f>IF(AND(F7="P",G7="P"),SUMPRODUCT((F$4:F$21="P")*(G$4:G$21="P")*(E$4:E$21&gt;E7))+1,IF(G7="P",SUMPRODUCT((F$4:F$21="")*(G$4:G$21="P")*(E$4:E$21&gt;E7))+1+SUMPRODUCT((F$4:F$21="P")*(G$4:G$21="P")),""))</f>
        <v>4</v>
      </c>
      <c r="B7" s="78" t="s">
        <v>119</v>
      </c>
      <c r="C7" s="5" t="s">
        <v>3</v>
      </c>
      <c r="D7" s="5">
        <v>2003</v>
      </c>
      <c r="E7" s="15">
        <f>SUM(I7:O7)+SUM(I7:M7)*0.0000001+SUM(I7)*0.0000000000001</f>
        <v>3.0000003000002002E-4</v>
      </c>
      <c r="F7" s="3" t="str">
        <f>IF(OR(AND(AM7&gt;=AR$23,AN7&gt;=AR$27,AM7&lt;&gt;"",AL7=""),AND(AP7&gt;=AR$23,AQ7&gt;=AR$27,AP7&lt;&gt;"",AL7=""),AND(BN7&gt;=BS$23,BO7&gt;=BS$27,BN7&lt;&gt;"",BM7=""),AND(BQ7&gt;=BS$23,BR7&gt;=BS$27,BQ7&lt;&gt;"",BM7=""),AND(CO7&gt;=CT$23,CP7&gt;=CT$27,CO7&lt;&gt;"",CN7=""),AND(CR7&gt;=CT$23,CS7&gt;=CT$27,CR7&lt;&gt;""),AND(DQ7&gt;=DV$23,DR7&gt;=DV$27,DQ7&lt;&gt;""),AND(DT7&gt;=DV$23,DU7&gt;=DV$27,DT7&lt;&gt;""),AND(EQ7&gt;=EV$23,ER7&gt;=EV$27,EQ7&lt;&gt;""),AND(ET7&gt;=EV$23,EU7&gt;=EV$27,ET7&lt;&gt;""),AND(FQ7&gt;=FV$23,FR7&gt;=FV$27,FQ7&lt;&gt;""),AND(FT7&gt;=FV$23,FU7&gt;=FV$27,FT7&lt;&gt;""),AND(GQ7&gt;=GV$23,GR7&gt;=GV$27,GQ7&lt;&gt;""),AND(GT7&gt;=GV$23,GU7&gt;=GV$27,GT7&lt;&gt;""),AND(HQ7&gt;=HV$23,HR7&gt;=HV$27,HQ7&lt;&gt;""),AND(HT7&gt;=HV$23,HU7&gt;=HV$27,HT7&lt;&gt;""),AND(IQ7&gt;=IV$23,IR7&gt;=IV$27,IQ7&lt;&gt;""),AND(IT7&gt;=IV$23,IU7&gt;=IV$27,IT7&lt;&gt;""),AND(JQ7&gt;=JV$23,JR7&gt;=JV$27,JQ7&lt;&gt;""),AND(JT7&gt;=JV$23,JU7&gt;=JV$27,JT7&lt;&gt;""),AND(KQ7&gt;=KV$23,KR7&gt;=KV$27,KQ7&lt;&gt;""),AND(KT7&gt;=KV$23,KU7&gt;=KV$27,KT7&lt;&gt;""),AND(LQ7&gt;=LV$23,LR7&gt;=LV$27,LQ7&lt;&gt;""),AND(LT7&gt;=LV$23,LU7&gt;=LV$27,LT7&lt;&gt;""),AND(MQ7&gt;=MV$23,MR7&gt;=MV$27,MQ7&lt;&gt;""),AND(MT7&gt;=MV$23,MU7&gt;=MV$27,MT7&lt;&gt;""),AND(NQ7&gt;=NV$23,NR7&gt;=NV$27,NQ7&lt;&gt;""),AND(NT7&gt;=NV$23,NU7&gt;=NV$27,NT7&lt;&gt;""),AND(OQ7&gt;=OV$23,OR7&gt;=OV$27,OQ7&lt;&gt;""),AND(OT7&gt;=OV$23,OU7&gt;=OV$27,OT7&lt;&gt;"")),"P","")</f>
        <v>P</v>
      </c>
      <c r="G7" s="3" t="str">
        <f>IF(OR(AND(AN7&gt;=AR$27,AN7&lt;&gt;"",AL7=""),AND(AQ7&gt;=AR$27,AQ7&lt;&gt;"",AL7=""),AND(BO7&gt;=BS$27,BO7&lt;&gt;"",BM7=""),AND(BR7&gt;=BS$27,BR7&lt;&gt;"",BM7=""),AND(CP7&gt;=CT$27,CP7&lt;&gt;"",CN7=""),AND(CS7&gt;=CT$27,CS7&lt;&gt;"",CN7=""),AND(DR7&gt;=DV$27,DR7&lt;&gt;""),AND(DU7&gt;=DV$27,DU7&lt;&gt;""),AND(ER7&gt;=EV$27,ER7&lt;&gt;""),AND(EU7&gt;=EV$27,EU7&lt;&gt;""),AND(FR7&gt;=FV$27,FR7&lt;&gt;""),AND(FU7&gt;=FV$27,FU7&lt;&gt;""),AND(GR7&gt;=GV$27,GR7&lt;&gt;""),AND(GU7&gt;=GV$27,GU7&lt;&gt;""),AND(HR7&gt;=HV$27,HR7&lt;&gt;""),AND(HU7&gt;=HV$27,HU7&lt;&gt;""),AND(IR7&gt;=IV$27,IR7&lt;&gt;""),AND(IU7&gt;=IV$27,IU7&lt;&gt;""),AND(JR7&gt;=JV$27,JR7&lt;&gt;""),AND(JU7&gt;=JV$27,JU7&lt;&gt;""),AND(KR7&gt;=KV$27,KR7&lt;&gt;""),AND(KU7&gt;=KV$27,KU7&lt;&gt;""),AND(LR7&gt;=LV$27,LR7&lt;&gt;""),AND(LU7&gt;=LV$27,LU7&lt;&gt;""),AND(MR7&gt;=MV$27,MR7&lt;&gt;""),AND(MU7&gt;=MV$27,MU7&lt;&gt;""),AND(NR7&gt;=NV$27,NR7&lt;&gt;""),AND(NU7&gt;=NV$27,NU7&lt;&gt;""),AND(OR7&gt;=OV$27,OR7&lt;&gt;""),AND(OU7&gt;=OV$27,OU7&lt;&gt;"")),"P","")</f>
        <v>P</v>
      </c>
      <c r="H7" s="67" t="str">
        <f>IF(AND(G7="P",F7=""),"No DD",IF(OR(AND(AM7&gt;=AR$26,AN7&gt;=AR$30,AM7&lt;&gt;"",AL7=""),AND(AP7&gt;=AR$26,AQ7&gt;=AR$30,AP7&lt;&gt;"",AL7=""),AND(BN7&gt;=BS$26,BO7&gt;=BS$30,BN7&lt;&gt;"",BM7=""),AND(BQ7&gt;=BS$26,BR7&gt;=BS$30,BQ7&lt;&gt;"",BM7=""),AND(CO7&gt;=CT$26,CP7&gt;=CT$30,CO7&lt;&gt;"",CN7=""),AND(CR7&gt;=CT$26,CS7&gt;=CT$30,CR7&lt;&gt;""),AND(DQ7&gt;=DV$26,DR7&gt;=DV$30,DQ7&lt;&gt;""),AND(DT7&gt;=DV$26,DU7&gt;=DV$30,DT7&lt;&gt;""),AND(EQ7&gt;=EV$26,ER7&gt;=EV$30,EQ7&lt;&gt;""),AND(ET7&gt;=EV$26,EU7&gt;=EV$30,ET7&lt;&gt;""),AND(FQ7&gt;=FV$26,FR7&gt;=FV$30,FQ7&lt;&gt;""),AND(FT7&gt;=FV$26,FU7&gt;=FV$30,FT7&lt;&gt;""),AND(GQ7&gt;=GV$26,GR7&gt;=GV$30,GQ7&lt;&gt;""),AND(GT7&gt;=GV$26,GU7&gt;=GV$30,GT7&lt;&gt;""),AND(HQ7&gt;=HV$26,HR7&gt;=HV$30,HQ7&lt;&gt;""),AND(HT7&gt;=HV$26,HU7&gt;=HV$30,HT7&lt;&gt;""),AND(IQ7&gt;=IV$26,IR7&gt;=IV$30,IQ7&lt;&gt;""),AND(IT7&gt;=IV$26,IU7&gt;=IV$30,IT7&lt;&gt;""),AND(JQ7&gt;=JV$26,JR7&gt;=JV$30,JQ7&lt;&gt;""),AND(JT7&gt;=JV$26,JU7&gt;=JV$30,JT7&lt;&gt;""),AND(KQ7&gt;=KV$26,KR7&gt;=KV$30,KQ7&lt;&gt;""),AND(KT7&gt;=KV$26,KU7&gt;=KV$30,KT7&lt;&gt;""),AND(LQ7&gt;=LV$26,LR7&gt;=LV$30,LQ7&lt;&gt;""),AND(LT7&gt;=LV$26,LU7&gt;=LV$30,LT7&lt;&gt;""),AND(MQ7&gt;=MV$26,MR7&gt;=MV$30,MQ7&lt;&gt;""),AND(MT7&gt;=MV$26,MU7&gt;=MV$30,MT7&lt;&gt;""),AND(NQ7&gt;=NV$26,NR7&gt;=NV$30,NQ7&lt;&gt;""),AND(NT7&gt;=NV$26,NU7&gt;=NV$30,NT7&lt;&gt;""),AND(OQ7&gt;=OV$26,OR7&gt;=OV$30,OQ7&lt;&gt;""),AND(OT7&gt;=OV$26,OU7&gt;=OV$30,OT7&lt;&gt;"")),"Merit",IF(OR(AND(AM7&gt;=AR$25,AN7&gt;=AR$29,AM7&lt;&gt;"",AL7=""),AND(AP7&gt;=AR$25,AQ7&gt;=AR$29,AP7&lt;&gt;"",AL7=""),AND(BN7&gt;=BS$25,BO7&gt;=BS$29,BN7&lt;&gt;"",BM7=""),AND(BQ7&gt;=BS$25,BR7&gt;=BS$29,BQ7&lt;&gt;"",BM7=""),AND(CO7&gt;=CT$25,CP7&gt;=CT$29,CO7&lt;&gt;"",CN7=""),AND(CR7&gt;=CT$25,CS7&gt;=CT$29,CR7&lt;&gt;""),AND(DQ7&gt;=DV$25,DR7&gt;=DV$29,DQ7&lt;&gt;""),AND(DT7&gt;=DV$25,DU7&gt;=DV$29,DT7&lt;&gt;""),AND(EQ7&gt;=EV$25,ER7&gt;=EV$29,EQ7&lt;&gt;""),AND(ET7&gt;=EV$25,EU7&gt;=EV$29,ET7&lt;&gt;""),AND(FQ7&gt;=FV$25,FR7&gt;=FV$29,FQ7&lt;&gt;""),AND(FT7&gt;=FV$25,FU7&gt;=FV$29,FT7&lt;&gt;""),AND(GQ7&gt;=GV$25,GR7&gt;=GV$29,GQ7&lt;&gt;""),AND(GT7&gt;=GV$25,GU7&gt;=GV$29,GT7&lt;&gt;""),AND(HQ7&gt;=HV$25,HR7&gt;=HV$29,HQ7&lt;&gt;""),AND(HT7&gt;=HV$25,HU7&gt;=HV$29,HT7&lt;&gt;""),AND(IQ7&gt;=IV$25,IR7&gt;=IV$29,IQ7&lt;&gt;""),AND(IT7&gt;=IV$25,IU7&gt;=IV$29,IT7&lt;&gt;""),AND(JQ7&gt;=JV$25,JR7&gt;=JV$29,JQ7&lt;&gt;""),AND(JT7&gt;=JV$25,JU7&gt;=JV$29,JT7&lt;&gt;""),AND(KQ7&gt;=KV$25,KR7&gt;=KV$29,KQ7&lt;&gt;""),AND(KT7&gt;=KV$25,KU7&gt;=KV$29,KT7&lt;&gt;""),AND(LQ7&gt;=LV$25,LR7&gt;=LV$29,LQ7&lt;&gt;""),AND(LT7&gt;=LV$25,LU7&gt;=LV$29,LT7&lt;&gt;""),AND(MQ7&gt;=MV$25,MR7&gt;=MV$29,MQ7&lt;&gt;""),AND(MT7&gt;=MV$25,MU7&gt;=MV$29,MT7&lt;&gt;""),AND(NQ7&gt;=NV$25,NR7&gt;=NV$29,NQ7&lt;&gt;""),AND(NT7&gt;=NV$25,NU7&gt;=NV$29,NT7&lt;&gt;""),AND(OQ7&gt;=OV$25,OR7&gt;=OV$29,OQ7&lt;&gt;""),AND(OT7&gt;=OV$25,OU7&gt;=OV$29,OT7&lt;&gt;"")),"Excellence",IF(F7="P","National Team",""))))</f>
        <v>National Team</v>
      </c>
      <c r="I7" s="14">
        <f>IF(COUNT(AN7,BO7,CP7)&gt;0,LARGE((AN7,BO7,CP7),1),0)</f>
        <v>2.0000000000000001E-4</v>
      </c>
      <c r="J7" s="14" t="str">
        <f>IF(I7=0,"",IF(I7=CP7,$BT$1,IF(I7=BO7,$AS$1,IF(I7=AN7,$R$1,""))))</f>
        <v>2021 Canadian Championships</v>
      </c>
      <c r="K7" s="14">
        <f>IF(COUNT(AN7,BO7,CP7)&gt;1,LARGE((AN7,BO7,CP7),2),0)</f>
        <v>1E-4</v>
      </c>
      <c r="L7" s="14" t="str">
        <f>IF(K7=0,"",IF(K7=CP7,$BT$1,IF(K7=BO7,$AS$1,IF(K7=AN7,$R$1,""))))</f>
        <v>2021 Elite Canada</v>
      </c>
      <c r="M7" s="14">
        <f>IF(MAX(AQ7,BR7,CS7)&gt;0,MAX(AQ7,BR7,CS7),0)</f>
        <v>0</v>
      </c>
      <c r="N7" s="14" t="str">
        <f>IF(M7=0,"",IF(M7=CS7,$BT$1,IF(M7=BR7,$AS$1,IF(M7=AQ7,$R$1,""))))</f>
        <v/>
      </c>
      <c r="O7" s="14" t="str">
        <f>IF(MAX(CU7:CV7)&gt;0,MAX(CU7:CV7),"")</f>
        <v/>
      </c>
      <c r="P7" s="20" t="str">
        <f>IF(O7="","",IF(O7=CU7,"("&amp;CU$2&amp;")",IF(O7=CV7,"("&amp;CV$2&amp;")")))</f>
        <v/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7"/>
      <c r="S7" s="27">
        <v>1E-4</v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45"/>
      <c r="AM7" s="79">
        <f>IF(SUM(S7,W7)&gt;0,SUM(S7,W7),"")</f>
        <v>1E-4</v>
      </c>
      <c r="AN7" s="79">
        <f>IF(SUM(R7:S7,U7:W7,Y7)-T7-X7&gt;0,SUM(R7:S7,U7:W7,Y7)-T7-X7,"")</f>
        <v>1E-4</v>
      </c>
      <c r="AO7" s="79" t="str">
        <f>IF(SUM(Z7:AA7,AC7)-AB7&gt;0,SUM(Z7:AA7,AC7)-AB7,"")</f>
        <v/>
      </c>
      <c r="AP7" s="79" t="str">
        <f>IF(SUM(AE7,AI7)&gt;0,SUM(AE7,AI7),"")</f>
        <v/>
      </c>
      <c r="AQ7" s="79" t="str">
        <f>IF(SUM(AD7:AE7,AG7:AI7,AK7)-SUM(AF7,AJ7)&gt;0,SUM(AD7:AE7,AG7:AI7,AK7)-SUM(AF7,AJ7),"")</f>
        <v/>
      </c>
      <c r="AR7" s="79">
        <f>IF(SUM(AN7,AQ7)&gt;0,SUM(AN7,AQ7),"")</f>
        <v>1E-4</v>
      </c>
      <c r="AS7" s="26">
        <v>1E-4</v>
      </c>
      <c r="AT7" s="26">
        <v>1E-4</v>
      </c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46"/>
      <c r="BN7" s="20">
        <f>IF(SUM(AT7,AX7)&gt;0,SUM(AT7,AX7),"")</f>
        <v>1E-4</v>
      </c>
      <c r="BO7" s="20">
        <f>IF(SUM(AS7:AT7,AV7:AX7,AZ7)-AU7-AY7&gt;0,SUM(AS7:AT7,AV7:AX7,AZ7)-AU7-AY7,"")</f>
        <v>2.0000000000000001E-4</v>
      </c>
      <c r="BP7" s="20" t="str">
        <f>IF(SUM(BA7:BB7,BD7)-BC7&gt;0,SUM(BA7:BB7,BD7)-BC7,"")</f>
        <v/>
      </c>
      <c r="BQ7" s="20" t="str">
        <f>IF(SUM(BF7,BJ7)&gt;0,SUM(BF7,BJ7),"")</f>
        <v/>
      </c>
      <c r="BR7" s="20" t="str">
        <f>IF(SUM(BE7:BF7,BH7:BJ7,BL7)-SUM(BG7,BK7)&gt;0,SUM(BE7:BF7,BH7:BJ7,BL7)-SUM(BG7,BK7),"")</f>
        <v/>
      </c>
      <c r="BS7" s="20">
        <f>IF(SUM(BO7,BR7)&gt;0,SUM(BO7,BR7),"")</f>
        <v>2.0000000000000001E-4</v>
      </c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45"/>
      <c r="CO7" s="79" t="str">
        <f>IF(SUM(BU7,BY7)&gt;0,SUM(BU7,BY7),"")</f>
        <v/>
      </c>
      <c r="CP7" s="79" t="str">
        <f>IF(SUM(BT7:BU7,BW7:BY7,CA7)-BV7-BZ7&gt;0,SUM(BT7:BU7,BW7:BY7,CA7)-BV7-BZ7,"")</f>
        <v/>
      </c>
      <c r="CQ7" s="79" t="str">
        <f>IF(SUM(CB7:CC7,CE7)-CD7&gt;0,SUM(CB7:CC7,CE7)-CD7,"")</f>
        <v/>
      </c>
      <c r="CR7" s="79" t="str">
        <f>IF(SUM(CG7,CK7)&gt;0,SUM(CG7,CK7),"")</f>
        <v/>
      </c>
      <c r="CS7" s="79" t="str">
        <f>IF(SUM(CF7:CG7,CI7:CK7,CM7)-SUM(CH7,CL7)&gt;0,SUM(CF7:CG7,CI7:CK7,CM7)-SUM(CH7,CL7),"")</f>
        <v/>
      </c>
      <c r="CT7" s="79" t="str">
        <f>IF(SUM(CP7,CS7)&gt;0,SUM(CP7,CS7),"")</f>
        <v/>
      </c>
      <c r="CU7" s="80" t="str">
        <f>IF(K7&gt;=0.001,IF(MAX(DR7,ER7,FR7,GR7,HR7,IR7,JR7,KR7,LR7,MR7,NR7,OR7)-IF(K7="",0,K7)&gt;0.001,MAX(DR7,ER7,FR7,GR7,HR7,IR7,JR7,KR7,LR7,MR7,NR7,OR7)-IF(K7="",0,K7),""),"")</f>
        <v/>
      </c>
      <c r="CV7" s="80" t="str">
        <f>IF(M7&gt;=0.001,IF(MAX(DU7,EU7,FU7,GU7,HU7,IU7,JU7,KU7,LU7,MU7,NU7,OU7)-IF(M7="",0,M7)&gt;0.001,MAX(DU7,EU7,FU7,GU7,HU7,IU7,JU7,KU7,LU7,MU7,NU7,OU7)-IF(M7="",0,M7),""),"")</f>
        <v/>
      </c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79" t="str">
        <f>IF(SUM(CX7,DB7)&gt;0,SUM(CX7,DB7),"")</f>
        <v/>
      </c>
      <c r="DR7" s="79" t="str">
        <f>IF(SUM(CW7:CX7,CZ7:DB7,DD7)-CY7-DC7&gt;0,SUM(CW7:CX7,CZ7:DB7,DD7)-CY7-DC7,"")</f>
        <v/>
      </c>
      <c r="DS7" s="79" t="str">
        <f>IF(SUM(DE7:DF7,DH7)-DG7&gt;0,SUM(DE7:DF7,DH7)-DG7,"")</f>
        <v/>
      </c>
      <c r="DT7" s="79" t="str">
        <f>IF(SUM(DJ7,DN7)&gt;0,SUM(DJ7,DN7),"")</f>
        <v/>
      </c>
      <c r="DU7" s="79" t="str">
        <f>IF(SUM(DI7:DJ7,DL7:DN7,DP7)-SUM(DK7,DO7)&gt;0,SUM(DI7:DJ7,DL7:DN7,DP7)-SUM(DK7,DO7),"")</f>
        <v/>
      </c>
      <c r="DV7" s="79" t="str">
        <f>IF(SUM(DR7,DU7)&gt;0,SUM(DR7,DU7),"")</f>
        <v/>
      </c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0" t="str">
        <f>IF(SUM(DX7,EB7)&gt;0,SUM(DX7,EB7),"")</f>
        <v/>
      </c>
      <c r="ER7" s="20" t="str">
        <f>IF(SUM(DW7:DX7,DZ7:EB7,ED7)-DY7-EC7&gt;0,SUM(DW7:DX7,DZ7:EB7,ED7)-DY7-EC7,"")</f>
        <v/>
      </c>
      <c r="ES7" s="20" t="str">
        <f>IF(SUM(EE7:EF7,EH7)-EG7&gt;0,SUM(EE7:EF7,EH7)-EG7,"")</f>
        <v/>
      </c>
      <c r="ET7" s="20" t="str">
        <f>IF(SUM(EJ7,EN7)&gt;0,SUM(EJ7,EN7),"")</f>
        <v/>
      </c>
      <c r="EU7" s="20" t="str">
        <f>IF(SUM(EI7:EJ7,EL7:EN7,EP7)-SUM(EK7,EO7)&gt;0,SUM(EI7:EJ7,EL7:EN7,EP7)-SUM(EK7,EO7),"")</f>
        <v/>
      </c>
      <c r="EV7" s="20" t="str">
        <f>IF(SUM(ER7,EU7)&gt;0,SUM(ER7,EU7),"")</f>
        <v/>
      </c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79" t="str">
        <f>IF(SUM(EX7,FB7)&gt;0,SUM(EX7,FB7),"")</f>
        <v/>
      </c>
      <c r="FR7" s="79" t="str">
        <f>IF(SUM(EW7:EX7,EZ7:FB7,FD7)-EY7-FC7&gt;0,SUM(EW7:EX7,EZ7:FB7,FD7)-EY7-FC7,"")</f>
        <v/>
      </c>
      <c r="FS7" s="79" t="str">
        <f>IF(SUM(FE7:FF7,FH7)-FG7&gt;0,SUM(FE7:FF7,FH7)-FG7,"")</f>
        <v/>
      </c>
      <c r="FT7" s="79" t="str">
        <f>IF(SUM(FJ7,FN7)&gt;0,SUM(FJ7,FN7),"")</f>
        <v/>
      </c>
      <c r="FU7" s="79" t="str">
        <f>IF(SUM(FI7:FJ7,FL7:FN7,FP7)-SUM(FK7,FO7)&gt;0,SUM(FI7:FJ7,FL7:FN7,FP7)-SUM(FK7,FO7),"")</f>
        <v/>
      </c>
      <c r="FV7" s="79" t="str">
        <f>IF(SUM(FR7,FU7)&gt;0,SUM(FR7,FU7),"")</f>
        <v/>
      </c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0" t="str">
        <f>IF(SUM(FX7,GB7)&gt;0,SUM(FX7,GB7),"")</f>
        <v/>
      </c>
      <c r="GR7" s="20" t="str">
        <f>IF(SUM(FW7:FX7,FZ7:GB7,GD7)-FY7-GC7&gt;0,SUM(FW7:FX7,FZ7:GB7,GD7)-FY7-GC7,"")</f>
        <v/>
      </c>
      <c r="GS7" s="20" t="str">
        <f>IF(SUM(GE7:GF7,GH7)-GG7&gt;0,SUM(GE7:GF7,GH7)-GG7,"")</f>
        <v/>
      </c>
      <c r="GT7" s="20" t="str">
        <f>IF(SUM(GJ7,GN7)&gt;0,SUM(GJ7,GN7),"")</f>
        <v/>
      </c>
      <c r="GU7" s="20" t="str">
        <f>IF(SUM(GI7:GJ7,GL7:GN7,GP7)-SUM(GK7,GO7)&gt;0,SUM(GI7:GJ7,GL7:GN7,GP7)-SUM(GK7,GO7),"")</f>
        <v/>
      </c>
      <c r="GV7" s="20" t="str">
        <f>IF(SUM(GR7,GU7)&gt;0,SUM(GR7,GU7),"")</f>
        <v/>
      </c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79" t="str">
        <f>IF(SUM(GX7,HB7)&gt;0,SUM(GX7,HB7),"")</f>
        <v/>
      </c>
      <c r="HR7" s="79" t="str">
        <f>IF(SUM(GW7:GX7,GZ7:HB7,HD7)-GY7-HC7&gt;0,SUM(GW7:GX7,GZ7:HB7,HD7)-GY7-HC7,"")</f>
        <v/>
      </c>
      <c r="HS7" s="79" t="str">
        <f>IF(SUM(HE7:HF7,HH7)-HG7&gt;0,SUM(HE7:HF7,HH7)-HG7,"")</f>
        <v/>
      </c>
      <c r="HT7" s="79" t="str">
        <f>IF(SUM(HJ7,HN7)&gt;0,SUM(HJ7,HN7),"")</f>
        <v/>
      </c>
      <c r="HU7" s="79" t="str">
        <f>IF(SUM(HI7:HJ7,HL7:HN7,HP7)-SUM(HK7,HO7)&gt;0,SUM(HI7:HJ7,HL7:HN7,HP7)-SUM(HK7,HO7),"")</f>
        <v/>
      </c>
      <c r="HV7" s="79" t="str">
        <f>IF(SUM(HR7,HU7)&gt;0,SUM(HR7,HU7),"")</f>
        <v/>
      </c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0" t="str">
        <f>IF(SUM(HX7,IB7)&gt;0,SUM(HX7,IB7),"")</f>
        <v/>
      </c>
      <c r="IR7" s="20" t="str">
        <f>IF(SUM(HW7:HX7,HZ7:IB7,ID7)-HY7-IC7&gt;0,SUM(HW7:HX7,HZ7:IB7,ID7)-HY7-IC7,"")</f>
        <v/>
      </c>
      <c r="IS7" s="20" t="str">
        <f>IF(SUM(IE7:IF7,IH7)-IG7&gt;0,SUM(IE7:IF7,IH7)-IG7,"")</f>
        <v/>
      </c>
      <c r="IT7" s="20" t="str">
        <f>IF(SUM(IJ7,IN7)&gt;0,SUM(IJ7,IN7),"")</f>
        <v/>
      </c>
      <c r="IU7" s="20" t="str">
        <f>IF(SUM(II7:IJ7,IL7:IN7,IP7)-SUM(IK7,IO7)&gt;0,SUM(II7:IJ7,IL7:IN7,IP7)-SUM(IK7,IO7),"")</f>
        <v/>
      </c>
      <c r="IV7" s="20" t="str">
        <f>IF(SUM(IR7,IU7)&gt;0,SUM(IR7,IU7),"")</f>
        <v/>
      </c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79" t="str">
        <f>IF(SUM(IX7,JB7)&gt;0,SUM(IX7,JB7),"")</f>
        <v/>
      </c>
      <c r="JR7" s="79" t="str">
        <f>IF(SUM(IW7:IX7,IZ7:JB7,JD7)-IY7-JC7&gt;0,SUM(IW7:IX7,IZ7:JB7,JD7)-IY7-JC7,"")</f>
        <v/>
      </c>
      <c r="JS7" s="79" t="str">
        <f>IF(SUM(JE7:JF7,JH7)-JG7&gt;0,SUM(JE7:JF7,JH7)-JG7,"")</f>
        <v/>
      </c>
      <c r="JT7" s="79" t="str">
        <f>IF(SUM(JJ7,JN7)&gt;0,SUM(JJ7,JN7),"")</f>
        <v/>
      </c>
      <c r="JU7" s="79" t="str">
        <f>IF(SUM(JI7:JJ7,JL7:JN7,JP7)-SUM(JK7,JO7)&gt;0,SUM(JI7:JJ7,JL7:JN7,JP7)-SUM(JK7,JO7),"")</f>
        <v/>
      </c>
      <c r="JV7" s="79" t="str">
        <f>IF(SUM(JR7,JU7)&gt;0,SUM(JR7,JU7),"")</f>
        <v/>
      </c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0" t="str">
        <f>IF(SUM(JX7,KB7)&gt;0,SUM(JX7,KB7),"")</f>
        <v/>
      </c>
      <c r="KR7" s="20" t="str">
        <f>IF(SUM(JW7:JX7,JZ7:KB7,KD7)-JY7-KC7&gt;0,SUM(JW7:JX7,JZ7:KB7,KD7)-JY7-KC7,"")</f>
        <v/>
      </c>
      <c r="KS7" s="20" t="str">
        <f>IF(SUM(KE7:KF7,KH7)-KG7&gt;0,SUM(KE7:KF7,KH7)-KG7,"")</f>
        <v/>
      </c>
      <c r="KT7" s="20" t="str">
        <f>IF(SUM(KJ7,KN7)&gt;0,SUM(KJ7,KN7),"")</f>
        <v/>
      </c>
      <c r="KU7" s="20" t="str">
        <f>IF(SUM(KI7:KJ7,KL7:KN7,KP7)-SUM(KK7,KO7)&gt;0,SUM(KI7:KJ7,KL7:KN7,KP7)-SUM(KK7,KO7),"")</f>
        <v/>
      </c>
      <c r="KV7" s="20" t="str">
        <f>IF(SUM(KR7,KU7)&gt;0,SUM(KR7,KU7),"")</f>
        <v/>
      </c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79" t="str">
        <f>IF(SUM(KX7,LB7)&gt;0,SUM(KX7,LB7),"")</f>
        <v/>
      </c>
      <c r="LR7" s="79" t="str">
        <f>IF(SUM(KW7:KX7,KZ7:LB7,LD7)-KY7-LC7&gt;0,SUM(KW7:KX7,KZ7:LB7,LD7)-KY7-LC7,"")</f>
        <v/>
      </c>
      <c r="LS7" s="79" t="str">
        <f>IF(SUM(LE7:LF7,LH7)-LG7&gt;0,SUM(LE7:LF7,LH7)-LG7,"")</f>
        <v/>
      </c>
      <c r="LT7" s="79" t="str">
        <f>IF(SUM(LJ7,LN7)&gt;0,SUM(LJ7,LN7),"")</f>
        <v/>
      </c>
      <c r="LU7" s="79" t="str">
        <f>IF(SUM(LI7:LJ7,LL7:LN7,LP7)-SUM(LK7,LO7)&gt;0,SUM(LI7:LJ7,LL7:LN7,LP7)-SUM(LK7,LO7),"")</f>
        <v/>
      </c>
      <c r="LV7" s="79" t="str">
        <f>IF(SUM(LR7,LU7)&gt;0,SUM(LR7,LU7),"")</f>
        <v/>
      </c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0" t="str">
        <f>IF(SUM(LX7,MB7)&gt;0,SUM(LX7,MB7),"")</f>
        <v/>
      </c>
      <c r="MR7" s="20" t="str">
        <f>IF(SUM(LW7:LX7,LZ7:MB7,MD7)-LY7-MC7&gt;0,SUM(LW7:LX7,LZ7:MB7,MD7)-LY7-MC7,"")</f>
        <v/>
      </c>
      <c r="MS7" s="20" t="str">
        <f>IF(SUM(ME7:MF7,MH7)-MG7&gt;0,SUM(ME7:MF7,MH7)-MG7,"")</f>
        <v/>
      </c>
      <c r="MT7" s="20" t="str">
        <f>IF(SUM(MJ7,MN7)&gt;0,SUM(MJ7,MN7),"")</f>
        <v/>
      </c>
      <c r="MU7" s="20" t="str">
        <f>IF(SUM(MI7:MJ7,ML7:MN7,MP7)-SUM(MK7,MO7)&gt;0,SUM(MI7:MJ7,ML7:MN7,MP7)-SUM(MK7,MO7),"")</f>
        <v/>
      </c>
      <c r="MV7" s="20" t="str">
        <f>IF(SUM(MR7,MU7)&gt;0,SUM(MR7,MU7),"")</f>
        <v/>
      </c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79" t="str">
        <f>IF(SUM(MX7,NB7)&gt;0,SUM(MX7,NB7),"")</f>
        <v/>
      </c>
      <c r="NR7" s="79" t="str">
        <f>IF(SUM(MW7:MX7,MZ7:NB7,ND7)-MY7-NC7&gt;0,SUM(MW7:MX7,MZ7:NB7,ND7)-MY7-NC7,"")</f>
        <v/>
      </c>
      <c r="NS7" s="79" t="str">
        <f>IF(SUM(NE7:NF7,NH7)-NG7&gt;0,SUM(NE7:NF7,NH7)-NG7,"")</f>
        <v/>
      </c>
      <c r="NT7" s="79" t="str">
        <f>IF(SUM(NJ7,NN7)&gt;0,SUM(NJ7,NN7),"")</f>
        <v/>
      </c>
      <c r="NU7" s="79" t="str">
        <f>IF(SUM(NI7:NJ7,NL7:NN7,NP7)-SUM(NK7,NO7)&gt;0,SUM(NI7:NJ7,NL7:NN7,NP7)-SUM(NK7,NO7),"")</f>
        <v/>
      </c>
      <c r="NV7" s="79" t="str">
        <f>IF(SUM(NR7,NU7)&gt;0,SUM(NR7,NU7),"")</f>
        <v/>
      </c>
      <c r="NW7" s="26"/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0" t="str">
        <f>IF(SUM(NX7,OB7)&gt;0,SUM(NX7,OB7),"")</f>
        <v/>
      </c>
      <c r="OR7" s="20" t="str">
        <f>IF(SUM(NW7:NX7,NZ7:OB7,OD7)-NY7-OC7&gt;0,SUM(NW7:NX7,NZ7:OB7,OD7)-NY7-OC7,"")</f>
        <v/>
      </c>
      <c r="OS7" s="20" t="str">
        <f>IF(SUM(OE7:OF7,OH7)-OG7&gt;0,SUM(OE7:OF7,OH7)-OG7,"")</f>
        <v/>
      </c>
      <c r="OT7" s="20" t="str">
        <f>IF(SUM(OJ7,ON7)&gt;0,SUM(OJ7,ON7),"")</f>
        <v/>
      </c>
      <c r="OU7" s="20" t="str">
        <f>IF(SUM(OI7:OJ7,OL7:ON7,OP7)-SUM(OK7,OO7)&gt;0,SUM(OI7:OJ7,OL7:ON7,OP7)-SUM(OK7,OO7),"")</f>
        <v/>
      </c>
      <c r="OV7" s="20" t="str">
        <f>IF(SUM(OR7,OU7)&gt;0,SUM(OR7,OU7),"")</f>
        <v/>
      </c>
      <c r="OW7" s="38">
        <f>IF($CN7="P",BT7,(BT7+AS7)/2)</f>
        <v>5.0000000000000002E-5</v>
      </c>
      <c r="OX7" s="38">
        <f>IF($CN7="P",BU7,(BU7+AT7)/2)</f>
        <v>5.0000000000000002E-5</v>
      </c>
      <c r="OY7" s="38">
        <f>IF($CN7="P",BV7,(BV7+AU7)/2)</f>
        <v>0</v>
      </c>
      <c r="OZ7" s="38">
        <f>IF($CN7="P",BW7,(BW7+AV7)/2)</f>
        <v>0</v>
      </c>
      <c r="PA7" s="38">
        <f>IF($CN7="P",BX7,(BX7+AW7)/2)</f>
        <v>0</v>
      </c>
      <c r="PB7" s="38">
        <f>IF($CN7="P",BY7,(BY7+AX7)/2)</f>
        <v>0</v>
      </c>
      <c r="PC7" s="38">
        <f>IF($CN7="P",BZ7,(BZ7+AY7)/2)</f>
        <v>0</v>
      </c>
      <c r="PD7" s="38">
        <f>IF($CN7="P",CA7,(CA7+AZ7)/2)</f>
        <v>0</v>
      </c>
      <c r="PE7" s="38">
        <f>IF($CN7="P",CB7,(CB7+BA7)/2)</f>
        <v>0</v>
      </c>
      <c r="PF7" s="38">
        <f>IF($CN7="P",CC7,(CC7+BB7)/2)</f>
        <v>0</v>
      </c>
      <c r="PG7" s="38">
        <f>IF($CN7="P",CD7,(CD7+BC7)/2)</f>
        <v>0</v>
      </c>
      <c r="PH7" s="38">
        <f>IF($CN7="P",CE7,(CE7+BD7)/2)</f>
        <v>0</v>
      </c>
      <c r="PI7" s="38">
        <f>IF($CN7="P",CF7,(CF7+BE7)/2)</f>
        <v>0</v>
      </c>
      <c r="PJ7" s="38">
        <f>IF($CN7="P",CG7,(CG7+BF7)/2)</f>
        <v>0</v>
      </c>
      <c r="PK7" s="38">
        <f>IF($CN7="P",CH7,(CH7+BG7)/2)</f>
        <v>0</v>
      </c>
      <c r="PL7" s="38">
        <f>IF($CN7="P",CI7,(CI7+BH7)/2)</f>
        <v>0</v>
      </c>
      <c r="PM7" s="38">
        <f>IF($CN7="P",CJ7,(CJ7+BI7)/2)</f>
        <v>0</v>
      </c>
      <c r="PN7" s="38">
        <f>IF($CN7="P",CK7,(CK7+BJ7)/2)</f>
        <v>0</v>
      </c>
      <c r="PO7" s="38">
        <f>IF($CN7="P",CL7,(CL7+BK7)/2)</f>
        <v>0</v>
      </c>
      <c r="PP7" s="38">
        <f>IF($CN7="P",CM7,(CM7+BL7)/2)</f>
        <v>0</v>
      </c>
      <c r="PQ7" s="45" t="s">
        <v>46</v>
      </c>
      <c r="PR7" s="79">
        <f>IF(SUM(OX7,PB7)&gt;0,SUM(OX7,PB7),"")</f>
        <v>5.0000000000000002E-5</v>
      </c>
      <c r="PS7" s="79">
        <f>IF(SUM(OW7:OX7,OZ7:PB7,PD7)-OY7-PC7&gt;0,SUM(OW7:OX7,OZ7:PB7,PD7)-OY7-PC7,"")</f>
        <v>1E-4</v>
      </c>
      <c r="PT7" s="79" t="str">
        <f>IF(SUM(PE7:PF7,PH7)-PG7&gt;0,SUM(PE7:PF7,PH7)-PG7,"")</f>
        <v/>
      </c>
      <c r="PU7" s="79" t="str">
        <f>IF(SUM(PJ7,PN7)&gt;0,SUM(PJ7,PN7),"")</f>
        <v/>
      </c>
      <c r="PV7" s="79" t="str">
        <f>IF(SUM(PI7:PJ7,PL7:PN7,PP7)-SUM(PK7,PO7)&gt;0,SUM(PI7:PJ7,PL7:PN7,PP7)-SUM(PK7,PO7),"")</f>
        <v/>
      </c>
      <c r="PW7" s="79">
        <f>IF(SUM(PS7,PV7)&gt;0,SUM(PS7,PV7),"")</f>
        <v>1E-4</v>
      </c>
    </row>
    <row r="8" spans="1:439" x14ac:dyDescent="0.2">
      <c r="A8" s="5" t="str">
        <f>IF(AND(F8="P",G8="P"),SUMPRODUCT((F$4:F$21="P")*(G$4:G$21="P")*(E$4:E$21&gt;E8))+1,IF(G8="P",SUMPRODUCT((F$4:F$21="")*(G$4:G$21="P")*(E$4:E$21&gt;E8))+1+SUMPRODUCT((F$4:F$21="P")*(G$4:G$21="P")),""))</f>
        <v/>
      </c>
      <c r="B8" s="78" t="s">
        <v>135</v>
      </c>
      <c r="C8" s="5" t="s">
        <v>3</v>
      </c>
      <c r="D8" s="5">
        <v>2005</v>
      </c>
      <c r="E8" s="15">
        <f>SUM(I8:O8)+SUM(I8:M8)*0.0000001+SUM(I8)*0.0000000000001</f>
        <v>84.080008408004204</v>
      </c>
      <c r="F8" s="3" t="str">
        <f>IF(OR(AND(AM8&gt;=AR$23,AN8&gt;=AR$27,AM8&lt;&gt;"",AL8=""),AND(AP8&gt;=AR$23,AQ8&gt;=AR$27,AP8&lt;&gt;"",AL8=""),AND(BN8&gt;=BS$23,BO8&gt;=BS$27,BN8&lt;&gt;"",BM8=""),AND(BQ8&gt;=BS$23,BR8&gt;=BS$27,BQ8&lt;&gt;"",BM8=""),AND(CO8&gt;=CT$23,CP8&gt;=CT$27,CO8&lt;&gt;"",CN8=""),AND(CR8&gt;=CT$23,CS8&gt;=CT$27,CR8&lt;&gt;""),AND(DQ8&gt;=DV$23,DR8&gt;=DV$27,DQ8&lt;&gt;""),AND(DT8&gt;=DV$23,DU8&gt;=DV$27,DT8&lt;&gt;""),AND(EQ8&gt;=EV$23,ER8&gt;=EV$27,EQ8&lt;&gt;""),AND(ET8&gt;=EV$23,EU8&gt;=EV$27,ET8&lt;&gt;""),AND(FQ8&gt;=FV$23,FR8&gt;=FV$27,FQ8&lt;&gt;""),AND(FT8&gt;=FV$23,FU8&gt;=FV$27,FT8&lt;&gt;""),AND(GQ8&gt;=GV$23,GR8&gt;=GV$27,GQ8&lt;&gt;""),AND(GT8&gt;=GV$23,GU8&gt;=GV$27,GT8&lt;&gt;""),AND(HQ8&gt;=HV$23,HR8&gt;=HV$27,HQ8&lt;&gt;""),AND(HT8&gt;=HV$23,HU8&gt;=HV$27,HT8&lt;&gt;""),AND(IQ8&gt;=IV$23,IR8&gt;=IV$27,IQ8&lt;&gt;""),AND(IT8&gt;=IV$23,IU8&gt;=IV$27,IT8&lt;&gt;""),AND(JQ8&gt;=JV$23,JR8&gt;=JV$27,JQ8&lt;&gt;""),AND(JT8&gt;=JV$23,JU8&gt;=JV$27,JT8&lt;&gt;""),AND(KQ8&gt;=KV$23,KR8&gt;=KV$27,KQ8&lt;&gt;""),AND(KT8&gt;=KV$23,KU8&gt;=KV$27,KT8&lt;&gt;""),AND(LQ8&gt;=LV$23,LR8&gt;=LV$27,LQ8&lt;&gt;""),AND(LT8&gt;=LV$23,LU8&gt;=LV$27,LT8&lt;&gt;""),AND(MQ8&gt;=MV$23,MR8&gt;=MV$27,MQ8&lt;&gt;""),AND(MT8&gt;=MV$23,MU8&gt;=MV$27,MT8&lt;&gt;""),AND(NQ8&gt;=NV$23,NR8&gt;=NV$27,NQ8&lt;&gt;""),AND(NT8&gt;=NV$23,NU8&gt;=NV$27,NT8&lt;&gt;""),AND(OQ8&gt;=OV$23,OR8&gt;=OV$27,OQ8&lt;&gt;""),AND(OT8&gt;=OV$23,OU8&gt;=OV$27,OT8&lt;&gt;"")),"P","")</f>
        <v/>
      </c>
      <c r="G8" s="3" t="str">
        <f>IF(OR(AND(AN8&gt;=AR$27,AN8&lt;&gt;"",AL8=""),AND(AQ8&gt;=AR$27,AQ8&lt;&gt;"",AL8=""),AND(BO8&gt;=BS$27,BO8&lt;&gt;"",BM8=""),AND(BR8&gt;=BS$27,BR8&lt;&gt;"",BM8=""),AND(CP8&gt;=CT$27,CP8&lt;&gt;"",CN8=""),AND(CS8&gt;=CT$27,CS8&lt;&gt;"",CN8=""),AND(DR8&gt;=DV$27,DR8&lt;&gt;""),AND(DU8&gt;=DV$27,DU8&lt;&gt;""),AND(ER8&gt;=EV$27,ER8&lt;&gt;""),AND(EU8&gt;=EV$27,EU8&lt;&gt;""),AND(FR8&gt;=FV$27,FR8&lt;&gt;""),AND(FU8&gt;=FV$27,FU8&lt;&gt;""),AND(GR8&gt;=GV$27,GR8&lt;&gt;""),AND(GU8&gt;=GV$27,GU8&lt;&gt;""),AND(HR8&gt;=HV$27,HR8&lt;&gt;""),AND(HU8&gt;=HV$27,HU8&lt;&gt;""),AND(IR8&gt;=IV$27,IR8&lt;&gt;""),AND(IU8&gt;=IV$27,IU8&lt;&gt;""),AND(JR8&gt;=JV$27,JR8&lt;&gt;""),AND(JU8&gt;=JV$27,JU8&lt;&gt;""),AND(KR8&gt;=KV$27,KR8&lt;&gt;""),AND(KU8&gt;=KV$27,KU8&lt;&gt;""),AND(LR8&gt;=LV$27,LR8&lt;&gt;""),AND(LU8&gt;=LV$27,LU8&lt;&gt;""),AND(MR8&gt;=MV$27,MR8&lt;&gt;""),AND(MU8&gt;=MV$27,MU8&lt;&gt;""),AND(NR8&gt;=NV$27,NR8&lt;&gt;""),AND(NU8&gt;=NV$27,NU8&lt;&gt;""),AND(OR8&gt;=OV$27,OR8&lt;&gt;""),AND(OU8&gt;=OV$27,OU8&lt;&gt;"")),"P","")</f>
        <v/>
      </c>
      <c r="H8" s="67" t="str">
        <f>IF(AND(G8="P",F8=""),"No DD",IF(OR(AND(AM8&gt;=AR$26,AN8&gt;=AR$30,AM8&lt;&gt;"",AL8=""),AND(AP8&gt;=AR$26,AQ8&gt;=AR$30,AP8&lt;&gt;"",AL8=""),AND(BN8&gt;=BS$26,BO8&gt;=BS$30,BN8&lt;&gt;"",BM8=""),AND(BQ8&gt;=BS$26,BR8&gt;=BS$30,BQ8&lt;&gt;"",BM8=""),AND(CO8&gt;=CT$26,CP8&gt;=CT$30,CO8&lt;&gt;"",CN8=""),AND(CR8&gt;=CT$26,CS8&gt;=CT$30,CR8&lt;&gt;""),AND(DQ8&gt;=DV$26,DR8&gt;=DV$30,DQ8&lt;&gt;""),AND(DT8&gt;=DV$26,DU8&gt;=DV$30,DT8&lt;&gt;""),AND(EQ8&gt;=EV$26,ER8&gt;=EV$30,EQ8&lt;&gt;""),AND(ET8&gt;=EV$26,EU8&gt;=EV$30,ET8&lt;&gt;""),AND(FQ8&gt;=FV$26,FR8&gt;=FV$30,FQ8&lt;&gt;""),AND(FT8&gt;=FV$26,FU8&gt;=FV$30,FT8&lt;&gt;""),AND(GQ8&gt;=GV$26,GR8&gt;=GV$30,GQ8&lt;&gt;""),AND(GT8&gt;=GV$26,GU8&gt;=GV$30,GT8&lt;&gt;""),AND(HQ8&gt;=HV$26,HR8&gt;=HV$30,HQ8&lt;&gt;""),AND(HT8&gt;=HV$26,HU8&gt;=HV$30,HT8&lt;&gt;""),AND(IQ8&gt;=IV$26,IR8&gt;=IV$30,IQ8&lt;&gt;""),AND(IT8&gt;=IV$26,IU8&gt;=IV$30,IT8&lt;&gt;""),AND(JQ8&gt;=JV$26,JR8&gt;=JV$30,JQ8&lt;&gt;""),AND(JT8&gt;=JV$26,JU8&gt;=JV$30,JT8&lt;&gt;""),AND(KQ8&gt;=KV$26,KR8&gt;=KV$30,KQ8&lt;&gt;""),AND(KT8&gt;=KV$26,KU8&gt;=KV$30,KT8&lt;&gt;""),AND(LQ8&gt;=LV$26,LR8&gt;=LV$30,LQ8&lt;&gt;""),AND(LT8&gt;=LV$26,LU8&gt;=LV$30,LT8&lt;&gt;""),AND(MQ8&gt;=MV$26,MR8&gt;=MV$30,MQ8&lt;&gt;""),AND(MT8&gt;=MV$26,MU8&gt;=MV$30,MT8&lt;&gt;""),AND(NQ8&gt;=NV$26,NR8&gt;=NV$30,NQ8&lt;&gt;""),AND(NT8&gt;=NV$26,NU8&gt;=NV$30,NT8&lt;&gt;""),AND(OQ8&gt;=OV$26,OR8&gt;=OV$30,OQ8&lt;&gt;""),AND(OT8&gt;=OV$26,OU8&gt;=OV$30,OT8&lt;&gt;"")),"Merit",IF(OR(AND(AM8&gt;=AR$25,AN8&gt;=AR$29,AM8&lt;&gt;"",AL8=""),AND(AP8&gt;=AR$25,AQ8&gt;=AR$29,AP8&lt;&gt;"",AL8=""),AND(BN8&gt;=BS$25,BO8&gt;=BS$29,BN8&lt;&gt;"",BM8=""),AND(BQ8&gt;=BS$25,BR8&gt;=BS$29,BQ8&lt;&gt;"",BM8=""),AND(CO8&gt;=CT$25,CP8&gt;=CT$29,CO8&lt;&gt;"",CN8=""),AND(CR8&gt;=CT$25,CS8&gt;=CT$29,CR8&lt;&gt;""),AND(DQ8&gt;=DV$25,DR8&gt;=DV$29,DQ8&lt;&gt;""),AND(DT8&gt;=DV$25,DU8&gt;=DV$29,DT8&lt;&gt;""),AND(EQ8&gt;=EV$25,ER8&gt;=EV$29,EQ8&lt;&gt;""),AND(ET8&gt;=EV$25,EU8&gt;=EV$29,ET8&lt;&gt;""),AND(FQ8&gt;=FV$25,FR8&gt;=FV$29,FQ8&lt;&gt;""),AND(FT8&gt;=FV$25,FU8&gt;=FV$29,FT8&lt;&gt;""),AND(GQ8&gt;=GV$25,GR8&gt;=GV$29,GQ8&lt;&gt;""),AND(GT8&gt;=GV$25,GU8&gt;=GV$29,GT8&lt;&gt;""),AND(HQ8&gt;=HV$25,HR8&gt;=HV$29,HQ8&lt;&gt;""),AND(HT8&gt;=HV$25,HU8&gt;=HV$29,HT8&lt;&gt;""),AND(IQ8&gt;=IV$25,IR8&gt;=IV$29,IQ8&lt;&gt;""),AND(IT8&gt;=IV$25,IU8&gt;=IV$29,IT8&lt;&gt;""),AND(JQ8&gt;=JV$25,JR8&gt;=JV$29,JQ8&lt;&gt;""),AND(JT8&gt;=JV$25,JU8&gt;=JV$29,JT8&lt;&gt;""),AND(KQ8&gt;=KV$25,KR8&gt;=KV$29,KQ8&lt;&gt;""),AND(KT8&gt;=KV$25,KU8&gt;=KV$29,KT8&lt;&gt;""),AND(LQ8&gt;=LV$25,LR8&gt;=LV$29,LQ8&lt;&gt;""),AND(LT8&gt;=LV$25,LU8&gt;=LV$29,LT8&lt;&gt;""),AND(MQ8&gt;=MV$25,MR8&gt;=MV$29,MQ8&lt;&gt;""),AND(MT8&gt;=MV$25,MU8&gt;=MV$29,MT8&lt;&gt;""),AND(NQ8&gt;=NV$25,NR8&gt;=NV$29,NQ8&lt;&gt;""),AND(NT8&gt;=NV$25,NU8&gt;=NV$29,NT8&lt;&gt;""),AND(OQ8&gt;=OV$25,OR8&gt;=OV$29,OQ8&lt;&gt;""),AND(OT8&gt;=OV$25,OU8&gt;=OV$29,OT8&lt;&gt;"")),"Excellence",IF(F8="P","National Team",""))))</f>
        <v/>
      </c>
      <c r="I8" s="14">
        <f>IF(COUNT(AN8,BO8,CP8)&gt;0,LARGE((AN8,BO8,CP8),1),0)</f>
        <v>42.22</v>
      </c>
      <c r="J8" s="14" t="str">
        <f>IF(I8=0,"",IF(I8=CP8,$BT$1,IF(I8=BO8,$AS$1,IF(I8=AN8,$R$1,""))))</f>
        <v>2022 Elite Canada</v>
      </c>
      <c r="K8" s="14">
        <f>IF(COUNT(AN8,BO8,CP8)&gt;1,LARGE((AN8,BO8,CP8),2),0)</f>
        <v>0</v>
      </c>
      <c r="L8" s="14" t="str">
        <f>IF(K8=0,"",IF(K8=CP8,$BT$1,IF(K8=BO8,$AS$1,IF(K8=AN8,$R$1,""))))</f>
        <v/>
      </c>
      <c r="M8" s="14">
        <f>IF(MAX(AQ8,BR8,CS8)&gt;0,MAX(AQ8,BR8,CS8),0)</f>
        <v>41.859999999999992</v>
      </c>
      <c r="N8" s="14" t="str">
        <f>IF(M8=0,"",IF(M8=CS8,$BT$1,IF(M8=BR8,$AS$1,IF(M8=AQ8,$R$1,""))))</f>
        <v>2022 Elite Canada</v>
      </c>
      <c r="O8" s="14" t="str">
        <f>IF(MAX(CU8:CV8)&gt;0,MAX(CU8:CV8),"")</f>
        <v/>
      </c>
      <c r="P8" s="20" t="str">
        <f>IF(O8="","",IF(O8=CU8,"("&amp;CU$2&amp;")",IF(O8=CV8,"("&amp;CV$2&amp;")")))</f>
        <v/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45"/>
      <c r="AM8" s="79" t="str">
        <f>IF(SUM(S8,W8)&gt;0,SUM(S8,W8),"")</f>
        <v/>
      </c>
      <c r="AN8" s="79" t="str">
        <f>IF(SUM(R8:S8,U8:W8,Y8)-T8-X8&gt;0,SUM(R8:S8,U8:W8,Y8)-T8-X8,"")</f>
        <v/>
      </c>
      <c r="AO8" s="79" t="str">
        <f>IF(SUM(Z8:AA8,AC8)-AB8&gt;0,SUM(Z8:AA8,AC8)-AB8,"")</f>
        <v/>
      </c>
      <c r="AP8" s="79" t="str">
        <f>IF(SUM(AE8,AI8)&gt;0,SUM(AE8,AI8),"")</f>
        <v/>
      </c>
      <c r="AQ8" s="79" t="str">
        <f>IF(SUM(AD8:AE8,AG8:AI8,AK8)-SUM(AF8,AJ8)&gt;0,SUM(AD8:AE8,AG8:AI8,AK8)-SUM(AF8,AJ8),"")</f>
        <v/>
      </c>
      <c r="AR8" s="79" t="str">
        <f>IF(SUM(AN8,AQ8)&gt;0,SUM(AN8,AQ8),"")</f>
        <v/>
      </c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46"/>
      <c r="BN8" s="20" t="str">
        <f>IF(SUM(AT8,AX8)&gt;0,SUM(AT8,AX8),"")</f>
        <v/>
      </c>
      <c r="BO8" s="20" t="str">
        <f>IF(SUM(AS8:AT8,AV8:AX8,AZ8)-AU8-AY8&gt;0,SUM(AS8:AT8,AV8:AX8,AZ8)-AU8-AY8,"")</f>
        <v/>
      </c>
      <c r="BP8" s="20" t="str">
        <f>IF(SUM(BA8:BB8,BD8)-BC8&gt;0,SUM(BA8:BB8,BD8)-BC8,"")</f>
        <v/>
      </c>
      <c r="BQ8" s="20" t="str">
        <f>IF(SUM(BF8,BJ8)&gt;0,SUM(BF8,BJ8),"")</f>
        <v/>
      </c>
      <c r="BR8" s="20" t="str">
        <f>IF(SUM(BE8:BF8,BH8:BJ8,BL8)-SUM(BG8,BK8)&gt;0,SUM(BE8:BF8,BH8:BJ8,BL8)-SUM(BG8,BK8),"")</f>
        <v/>
      </c>
      <c r="BS8" s="20" t="str">
        <f>IF(SUM(BO8,BR8)&gt;0,SUM(BO8,BR8),"")</f>
        <v/>
      </c>
      <c r="BT8" s="27">
        <v>17.100000000000001</v>
      </c>
      <c r="BU8" s="27">
        <v>3.9</v>
      </c>
      <c r="BV8" s="27">
        <v>0</v>
      </c>
      <c r="BW8" s="27">
        <v>0.3</v>
      </c>
      <c r="BX8" s="27">
        <v>16.52</v>
      </c>
      <c r="BY8" s="27">
        <v>4.0999999999999996</v>
      </c>
      <c r="BZ8" s="27">
        <v>0</v>
      </c>
      <c r="CA8" s="27">
        <v>0.3</v>
      </c>
      <c r="CB8" s="27"/>
      <c r="CC8" s="27"/>
      <c r="CD8" s="27"/>
      <c r="CE8" s="27"/>
      <c r="CF8" s="27">
        <v>16.899999999999999</v>
      </c>
      <c r="CG8" s="27">
        <v>3.9</v>
      </c>
      <c r="CH8" s="27">
        <v>0</v>
      </c>
      <c r="CI8" s="27">
        <v>0.3</v>
      </c>
      <c r="CJ8" s="27">
        <v>16.36</v>
      </c>
      <c r="CK8" s="27">
        <v>4.0999999999999996</v>
      </c>
      <c r="CL8" s="27">
        <v>0</v>
      </c>
      <c r="CM8" s="27">
        <v>0.3</v>
      </c>
      <c r="CN8" s="45"/>
      <c r="CO8" s="79">
        <f>IF(SUM(BU8,BY8)&gt;0,SUM(BU8,BY8),"")</f>
        <v>8</v>
      </c>
      <c r="CP8" s="79">
        <f>IF(SUM(BT8:BU8,BW8:BY8,CA8)-BV8-BZ8&gt;0,SUM(BT8:BU8,BW8:BY8,CA8)-BV8-BZ8,"")</f>
        <v>42.22</v>
      </c>
      <c r="CQ8" s="79" t="str">
        <f>IF(SUM(CB8:CC8,CE8)-CD8&gt;0,SUM(CB8:CC8,CE8)-CD8,"")</f>
        <v/>
      </c>
      <c r="CR8" s="79">
        <f>IF(SUM(CG8,CK8)&gt;0,SUM(CG8,CK8),"")</f>
        <v>8</v>
      </c>
      <c r="CS8" s="79">
        <f>IF(SUM(CF8:CG8,CI8:CK8,CM8)-SUM(CH8,CL8)&gt;0,SUM(CF8:CG8,CI8:CK8,CM8)-SUM(CH8,CL8),"")</f>
        <v>41.859999999999992</v>
      </c>
      <c r="CT8" s="79">
        <f>IF(SUM(CP8,CS8)&gt;0,SUM(CP8,CS8),"")</f>
        <v>84.079999999999984</v>
      </c>
      <c r="CU8" s="80" t="str">
        <f>IF(K8&gt;=0.001,IF(MAX(DR8,ER8,FR8,GR8,HR8,IR8,JR8,KR8,LR8,MR8,NR8,OR8)-IF(K8="",0,K8)&gt;0.001,MAX(DR8,ER8,FR8,GR8,HR8,IR8,JR8,KR8,LR8,MR8,NR8,OR8)-IF(K8="",0,K8),""),"")</f>
        <v/>
      </c>
      <c r="CV8" s="80" t="str">
        <f>IF(M8&gt;=0.001,IF(MAX(DU8,EU8,FU8,GU8,HU8,IU8,JU8,KU8,LU8,MU8,NU8,OU8)-IF(M8="",0,M8)&gt;0.001,MAX(DU8,EU8,FU8,GU8,HU8,IU8,JU8,KU8,LU8,MU8,NU8,OU8)-IF(M8="",0,M8),""),"")</f>
        <v/>
      </c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79" t="str">
        <f>IF(SUM(CX8,DB8)&gt;0,SUM(CX8,DB8),"")</f>
        <v/>
      </c>
      <c r="DR8" s="79" t="str">
        <f>IF(SUM(CW8:CX8,CZ8:DB8,DD8)-CY8-DC8&gt;0,SUM(CW8:CX8,CZ8:DB8,DD8)-CY8-DC8,"")</f>
        <v/>
      </c>
      <c r="DS8" s="79" t="str">
        <f>IF(SUM(DE8:DF8,DH8)-DG8&gt;0,SUM(DE8:DF8,DH8)-DG8,"")</f>
        <v/>
      </c>
      <c r="DT8" s="79" t="str">
        <f>IF(SUM(DJ8,DN8)&gt;0,SUM(DJ8,DN8),"")</f>
        <v/>
      </c>
      <c r="DU8" s="79" t="str">
        <f>IF(SUM(DI8:DJ8,DL8:DN8,DP8)-SUM(DK8,DO8)&gt;0,SUM(DI8:DJ8,DL8:DN8,DP8)-SUM(DK8,DO8),"")</f>
        <v/>
      </c>
      <c r="DV8" s="79" t="str">
        <f>IF(SUM(DR8,DU8)&gt;0,SUM(DR8,DU8),"")</f>
        <v/>
      </c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0" t="str">
        <f>IF(SUM(DX8,EB8)&gt;0,SUM(DX8,EB8),"")</f>
        <v/>
      </c>
      <c r="ER8" s="20" t="str">
        <f>IF(SUM(DW8:DX8,DZ8:EB8,ED8)-DY8-EC8&gt;0,SUM(DW8:DX8,DZ8:EB8,ED8)-DY8-EC8,"")</f>
        <v/>
      </c>
      <c r="ES8" s="20" t="str">
        <f>IF(SUM(EE8:EF8,EH8)-EG8&gt;0,SUM(EE8:EF8,EH8)-EG8,"")</f>
        <v/>
      </c>
      <c r="ET8" s="20" t="str">
        <f>IF(SUM(EJ8,EN8)&gt;0,SUM(EJ8,EN8),"")</f>
        <v/>
      </c>
      <c r="EU8" s="20" t="str">
        <f>IF(SUM(EI8:EJ8,EL8:EN8,EP8)-SUM(EK8,EO8)&gt;0,SUM(EI8:EJ8,EL8:EN8,EP8)-SUM(EK8,EO8),"")</f>
        <v/>
      </c>
      <c r="EV8" s="20" t="str">
        <f>IF(SUM(ER8,EU8)&gt;0,SUM(ER8,EU8),"")</f>
        <v/>
      </c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79" t="str">
        <f>IF(SUM(EX8,FB8)&gt;0,SUM(EX8,FB8),"")</f>
        <v/>
      </c>
      <c r="FR8" s="79" t="str">
        <f>IF(SUM(EW8:EX8,EZ8:FB8,FD8)-EY8-FC8&gt;0,SUM(EW8:EX8,EZ8:FB8,FD8)-EY8-FC8,"")</f>
        <v/>
      </c>
      <c r="FS8" s="79" t="str">
        <f>IF(SUM(FE8:FF8,FH8)-FG8&gt;0,SUM(FE8:FF8,FH8)-FG8,"")</f>
        <v/>
      </c>
      <c r="FT8" s="79" t="str">
        <f>IF(SUM(FJ8,FN8)&gt;0,SUM(FJ8,FN8),"")</f>
        <v/>
      </c>
      <c r="FU8" s="79" t="str">
        <f>IF(SUM(FI8:FJ8,FL8:FN8,FP8)-SUM(FK8,FO8)&gt;0,SUM(FI8:FJ8,FL8:FN8,FP8)-SUM(FK8,FO8),"")</f>
        <v/>
      </c>
      <c r="FV8" s="79" t="str">
        <f>IF(SUM(FR8,FU8)&gt;0,SUM(FR8,FU8),"")</f>
        <v/>
      </c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0" t="str">
        <f>IF(SUM(FX8,GB8)&gt;0,SUM(FX8,GB8),"")</f>
        <v/>
      </c>
      <c r="GR8" s="20" t="str">
        <f>IF(SUM(FW8:FX8,FZ8:GB8,GD8)-FY8-GC8&gt;0,SUM(FW8:FX8,FZ8:GB8,GD8)-FY8-GC8,"")</f>
        <v/>
      </c>
      <c r="GS8" s="20" t="str">
        <f>IF(SUM(GE8:GF8,GH8)-GG8&gt;0,SUM(GE8:GF8,GH8)-GG8,"")</f>
        <v/>
      </c>
      <c r="GT8" s="20" t="str">
        <f>IF(SUM(GJ8,GN8)&gt;0,SUM(GJ8,GN8),"")</f>
        <v/>
      </c>
      <c r="GU8" s="20" t="str">
        <f>IF(SUM(GI8:GJ8,GL8:GN8,GP8)-SUM(GK8,GO8)&gt;0,SUM(GI8:GJ8,GL8:GN8,GP8)-SUM(GK8,GO8),"")</f>
        <v/>
      </c>
      <c r="GV8" s="20" t="str">
        <f>IF(SUM(GR8,GU8)&gt;0,SUM(GR8,GU8),"")</f>
        <v/>
      </c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79" t="str">
        <f>IF(SUM(GX8,HB8)&gt;0,SUM(GX8,HB8),"")</f>
        <v/>
      </c>
      <c r="HR8" s="79" t="str">
        <f>IF(SUM(GW8:GX8,GZ8:HB8,HD8)-GY8-HC8&gt;0,SUM(GW8:GX8,GZ8:HB8,HD8)-GY8-HC8,"")</f>
        <v/>
      </c>
      <c r="HS8" s="79" t="str">
        <f>IF(SUM(HE8:HF8,HH8)-HG8&gt;0,SUM(HE8:HF8,HH8)-HG8,"")</f>
        <v/>
      </c>
      <c r="HT8" s="79" t="str">
        <f>IF(SUM(HJ8,HN8)&gt;0,SUM(HJ8,HN8),"")</f>
        <v/>
      </c>
      <c r="HU8" s="79" t="str">
        <f>IF(SUM(HI8:HJ8,HL8:HN8,HP8)-SUM(HK8,HO8)&gt;0,SUM(HI8:HJ8,HL8:HN8,HP8)-SUM(HK8,HO8),"")</f>
        <v/>
      </c>
      <c r="HV8" s="79" t="str">
        <f>IF(SUM(HR8,HU8)&gt;0,SUM(HR8,HU8),"")</f>
        <v/>
      </c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0" t="str">
        <f>IF(SUM(HX8,IB8)&gt;0,SUM(HX8,IB8),"")</f>
        <v/>
      </c>
      <c r="IR8" s="20" t="str">
        <f>IF(SUM(HW8:HX8,HZ8:IB8,ID8)-HY8-IC8&gt;0,SUM(HW8:HX8,HZ8:IB8,ID8)-HY8-IC8,"")</f>
        <v/>
      </c>
      <c r="IS8" s="20" t="str">
        <f>IF(SUM(IE8:IF8,IH8)-IG8&gt;0,SUM(IE8:IF8,IH8)-IG8,"")</f>
        <v/>
      </c>
      <c r="IT8" s="20" t="str">
        <f>IF(SUM(IJ8,IN8)&gt;0,SUM(IJ8,IN8),"")</f>
        <v/>
      </c>
      <c r="IU8" s="20" t="str">
        <f>IF(SUM(II8:IJ8,IL8:IN8,IP8)-SUM(IK8,IO8)&gt;0,SUM(II8:IJ8,IL8:IN8,IP8)-SUM(IK8,IO8),"")</f>
        <v/>
      </c>
      <c r="IV8" s="20" t="str">
        <f>IF(SUM(IR8,IU8)&gt;0,SUM(IR8,IU8),"")</f>
        <v/>
      </c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79" t="str">
        <f>IF(SUM(IX8,JB8)&gt;0,SUM(IX8,JB8),"")</f>
        <v/>
      </c>
      <c r="JR8" s="79" t="str">
        <f>IF(SUM(IW8:IX8,IZ8:JB8,JD8)-IY8-JC8&gt;0,SUM(IW8:IX8,IZ8:JB8,JD8)-IY8-JC8,"")</f>
        <v/>
      </c>
      <c r="JS8" s="79" t="str">
        <f>IF(SUM(JE8:JF8,JH8)-JG8&gt;0,SUM(JE8:JF8,JH8)-JG8,"")</f>
        <v/>
      </c>
      <c r="JT8" s="79" t="str">
        <f>IF(SUM(JJ8,JN8)&gt;0,SUM(JJ8,JN8),"")</f>
        <v/>
      </c>
      <c r="JU8" s="79" t="str">
        <f>IF(SUM(JI8:JJ8,JL8:JN8,JP8)-SUM(JK8,JO8)&gt;0,SUM(JI8:JJ8,JL8:JN8,JP8)-SUM(JK8,JO8),"")</f>
        <v/>
      </c>
      <c r="JV8" s="79" t="str">
        <f>IF(SUM(JR8,JU8)&gt;0,SUM(JR8,JU8),"")</f>
        <v/>
      </c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0" t="str">
        <f>IF(SUM(JX8,KB8)&gt;0,SUM(JX8,KB8),"")</f>
        <v/>
      </c>
      <c r="KR8" s="20" t="str">
        <f>IF(SUM(JW8:JX8,JZ8:KB8,KD8)-JY8-KC8&gt;0,SUM(JW8:JX8,JZ8:KB8,KD8)-JY8-KC8,"")</f>
        <v/>
      </c>
      <c r="KS8" s="20" t="str">
        <f>IF(SUM(KE8:KF8,KH8)-KG8&gt;0,SUM(KE8:KF8,KH8)-KG8,"")</f>
        <v/>
      </c>
      <c r="KT8" s="20" t="str">
        <f>IF(SUM(KJ8,KN8)&gt;0,SUM(KJ8,KN8),"")</f>
        <v/>
      </c>
      <c r="KU8" s="20" t="str">
        <f>IF(SUM(KI8:KJ8,KL8:KN8,KP8)-SUM(KK8,KO8)&gt;0,SUM(KI8:KJ8,KL8:KN8,KP8)-SUM(KK8,KO8),"")</f>
        <v/>
      </c>
      <c r="KV8" s="20" t="str">
        <f>IF(SUM(KR8,KU8)&gt;0,SUM(KR8,KU8),"")</f>
        <v/>
      </c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79" t="str">
        <f>IF(SUM(KX8,LB8)&gt;0,SUM(KX8,LB8),"")</f>
        <v/>
      </c>
      <c r="LR8" s="79" t="str">
        <f>IF(SUM(KW8:KX8,KZ8:LB8,LD8)-KY8-LC8&gt;0,SUM(KW8:KX8,KZ8:LB8,LD8)-KY8-LC8,"")</f>
        <v/>
      </c>
      <c r="LS8" s="79" t="str">
        <f>IF(SUM(LE8:LF8,LH8)-LG8&gt;0,SUM(LE8:LF8,LH8)-LG8,"")</f>
        <v/>
      </c>
      <c r="LT8" s="79" t="str">
        <f>IF(SUM(LJ8,LN8)&gt;0,SUM(LJ8,LN8),"")</f>
        <v/>
      </c>
      <c r="LU8" s="79" t="str">
        <f>IF(SUM(LI8:LJ8,LL8:LN8,LP8)-SUM(LK8,LO8)&gt;0,SUM(LI8:LJ8,LL8:LN8,LP8)-SUM(LK8,LO8),"")</f>
        <v/>
      </c>
      <c r="LV8" s="79" t="str">
        <f>IF(SUM(LR8,LU8)&gt;0,SUM(LR8,LU8),"")</f>
        <v/>
      </c>
      <c r="LW8" s="26"/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0" t="str">
        <f>IF(SUM(LX8,MB8)&gt;0,SUM(LX8,MB8),"")</f>
        <v/>
      </c>
      <c r="MR8" s="20" t="str">
        <f>IF(SUM(LW8:LX8,LZ8:MB8,MD8)-LY8-MC8&gt;0,SUM(LW8:LX8,LZ8:MB8,MD8)-LY8-MC8,"")</f>
        <v/>
      </c>
      <c r="MS8" s="20" t="str">
        <f>IF(SUM(ME8:MF8,MH8)-MG8&gt;0,SUM(ME8:MF8,MH8)-MG8,"")</f>
        <v/>
      </c>
      <c r="MT8" s="20" t="str">
        <f>IF(SUM(MJ8,MN8)&gt;0,SUM(MJ8,MN8),"")</f>
        <v/>
      </c>
      <c r="MU8" s="20" t="str">
        <f>IF(SUM(MI8:MJ8,ML8:MN8,MP8)-SUM(MK8,MO8)&gt;0,SUM(MI8:MJ8,ML8:MN8,MP8)-SUM(MK8,MO8),"")</f>
        <v/>
      </c>
      <c r="MV8" s="20" t="str">
        <f>IF(SUM(MR8,MU8)&gt;0,SUM(MR8,MU8),"")</f>
        <v/>
      </c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79" t="str">
        <f>IF(SUM(MX8,NB8)&gt;0,SUM(MX8,NB8),"")</f>
        <v/>
      </c>
      <c r="NR8" s="79" t="str">
        <f>IF(SUM(MW8:MX8,MZ8:NB8,ND8)-MY8-NC8&gt;0,SUM(MW8:MX8,MZ8:NB8,ND8)-MY8-NC8,"")</f>
        <v/>
      </c>
      <c r="NS8" s="79" t="str">
        <f>IF(SUM(NE8:NF8,NH8)-NG8&gt;0,SUM(NE8:NF8,NH8)-NG8,"")</f>
        <v/>
      </c>
      <c r="NT8" s="79" t="str">
        <f>IF(SUM(NJ8,NN8)&gt;0,SUM(NJ8,NN8),"")</f>
        <v/>
      </c>
      <c r="NU8" s="79" t="str">
        <f>IF(SUM(NI8:NJ8,NL8:NN8,NP8)-SUM(NK8,NO8)&gt;0,SUM(NI8:NJ8,NL8:NN8,NP8)-SUM(NK8,NO8),"")</f>
        <v/>
      </c>
      <c r="NV8" s="79" t="str">
        <f>IF(SUM(NR8,NU8)&gt;0,SUM(NR8,NU8),"")</f>
        <v/>
      </c>
      <c r="NW8" s="26"/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0" t="str">
        <f>IF(SUM(NX8,OB8)&gt;0,SUM(NX8,OB8),"")</f>
        <v/>
      </c>
      <c r="OR8" s="20" t="str">
        <f>IF(SUM(NW8:NX8,NZ8:OB8,OD8)-NY8-OC8&gt;0,SUM(NW8:NX8,NZ8:OB8,OD8)-NY8-OC8,"")</f>
        <v/>
      </c>
      <c r="OS8" s="20" t="str">
        <f>IF(SUM(OE8:OF8,OH8)-OG8&gt;0,SUM(OE8:OF8,OH8)-OG8,"")</f>
        <v/>
      </c>
      <c r="OT8" s="20" t="str">
        <f>IF(SUM(OJ8,ON8)&gt;0,SUM(OJ8,ON8),"")</f>
        <v/>
      </c>
      <c r="OU8" s="20" t="str">
        <f>IF(SUM(OI8:OJ8,OL8:ON8,OP8)-SUM(OK8,OO8)&gt;0,SUM(OI8:OJ8,OL8:ON8,OP8)-SUM(OK8,OO8),"")</f>
        <v/>
      </c>
      <c r="OV8" s="20" t="str">
        <f>IF(SUM(OR8,OU8)&gt;0,SUM(OR8,OU8),"")</f>
        <v/>
      </c>
      <c r="OW8" s="38">
        <f>IF($CN8="P",BT8,(BT8+AS8)/2)</f>
        <v>8.5500000000000007</v>
      </c>
      <c r="OX8" s="38">
        <f>IF($CN8="P",BU8,(BU8+AT8)/2)</f>
        <v>1.95</v>
      </c>
      <c r="OY8" s="38">
        <f>IF($CN8="P",BV8,(BV8+AU8)/2)</f>
        <v>0</v>
      </c>
      <c r="OZ8" s="38">
        <f>IF($CN8="P",BW8,(BW8+AV8)/2)</f>
        <v>0.15</v>
      </c>
      <c r="PA8" s="38">
        <f>IF($CN8="P",BX8,(BX8+AW8)/2)</f>
        <v>8.26</v>
      </c>
      <c r="PB8" s="38">
        <f>IF($CN8="P",BY8,(BY8+AX8)/2)</f>
        <v>2.0499999999999998</v>
      </c>
      <c r="PC8" s="38">
        <f>IF($CN8="P",BZ8,(BZ8+AY8)/2)</f>
        <v>0</v>
      </c>
      <c r="PD8" s="38">
        <f>IF($CN8="P",CA8,(CA8+AZ8)/2)</f>
        <v>0.15</v>
      </c>
      <c r="PE8" s="38">
        <f>IF($CN8="P",CB8,(CB8+BA8)/2)</f>
        <v>0</v>
      </c>
      <c r="PF8" s="38">
        <f>IF($CN8="P",CC8,(CC8+BB8)/2)</f>
        <v>0</v>
      </c>
      <c r="PG8" s="38">
        <f>IF($CN8="P",CD8,(CD8+BC8)/2)</f>
        <v>0</v>
      </c>
      <c r="PH8" s="38">
        <f>IF($CN8="P",CE8,(CE8+BD8)/2)</f>
        <v>0</v>
      </c>
      <c r="PI8" s="38">
        <f>IF($CN8="P",CF8,(CF8+BE8)/2)</f>
        <v>8.4499999999999993</v>
      </c>
      <c r="PJ8" s="38">
        <f>IF($CN8="P",CG8,(CG8+BF8)/2)</f>
        <v>1.95</v>
      </c>
      <c r="PK8" s="38">
        <f>IF($CN8="P",CH8,(CH8+BG8)/2)</f>
        <v>0</v>
      </c>
      <c r="PL8" s="38">
        <f>IF($CN8="P",CI8,(CI8+BH8)/2)</f>
        <v>0.15</v>
      </c>
      <c r="PM8" s="38">
        <f>IF($CN8="P",CJ8,(CJ8+BI8)/2)</f>
        <v>8.18</v>
      </c>
      <c r="PN8" s="38">
        <f>IF($CN8="P",CK8,(CK8+BJ8)/2)</f>
        <v>2.0499999999999998</v>
      </c>
      <c r="PO8" s="38">
        <f>IF($CN8="P",CL8,(CL8+BK8)/2)</f>
        <v>0</v>
      </c>
      <c r="PP8" s="38">
        <f>IF($CN8="P",CM8,(CM8+BL8)/2)</f>
        <v>0.15</v>
      </c>
      <c r="PQ8" s="45" t="s">
        <v>46</v>
      </c>
      <c r="PR8" s="79">
        <f>IF(SUM(OX8,PB8)&gt;0,SUM(OX8,PB8),"")</f>
        <v>4</v>
      </c>
      <c r="PS8" s="79">
        <f>IF(SUM(OW8:OX8,OZ8:PB8,PD8)-OY8-PC8&gt;0,SUM(OW8:OX8,OZ8:PB8,PD8)-OY8-PC8,"")</f>
        <v>21.11</v>
      </c>
      <c r="PT8" s="79" t="str">
        <f>IF(SUM(PE8:PF8,PH8)-PG8&gt;0,SUM(PE8:PF8,PH8)-PG8,"")</f>
        <v/>
      </c>
      <c r="PU8" s="79">
        <f>IF(SUM(PJ8,PN8)&gt;0,SUM(PJ8,PN8),"")</f>
        <v>4</v>
      </c>
      <c r="PV8" s="79">
        <f>IF(SUM(PI8:PJ8,PL8:PN8,PP8)-SUM(PK8,PO8)&gt;0,SUM(PI8:PJ8,PL8:PN8,PP8)-SUM(PK8,PO8),"")</f>
        <v>20.929999999999996</v>
      </c>
      <c r="PW8" s="79">
        <f>IF(SUM(PS8,PV8)&gt;0,SUM(PS8,PV8),"")</f>
        <v>42.039999999999992</v>
      </c>
    </row>
    <row r="9" spans="1:439" x14ac:dyDescent="0.2">
      <c r="A9" s="5" t="str">
        <f>IF(AND(F9="P",G9="P"),SUMPRODUCT((F$4:F$21="P")*(G$4:G$21="P")*(E$4:E$21&gt;E9))+1,IF(G9="P",SUMPRODUCT((F$4:F$21="")*(G$4:G$21="P")*(E$4:E$21&gt;E9))+1+SUMPRODUCT((F$4:F$21="P")*(G$4:G$21="P")),""))</f>
        <v/>
      </c>
      <c r="B9" s="78" t="s">
        <v>101</v>
      </c>
      <c r="C9" s="5" t="s">
        <v>4</v>
      </c>
      <c r="D9" s="5">
        <v>2001</v>
      </c>
      <c r="E9" s="15">
        <f>SUM(I9:O9)+SUM(I9:M9)*0.0000001+SUM(I9)*0.0000000000001</f>
        <v>83.780108378014162</v>
      </c>
      <c r="F9" s="3" t="str">
        <f>IF(OR(AND(AM9&gt;=AR$23,AN9&gt;=AR$27,AM9&lt;&gt;"",AL9=""),AND(AP9&gt;=AR$23,AQ9&gt;=AR$27,AP9&lt;&gt;"",AL9=""),AND(BN9&gt;=BS$23,BO9&gt;=BS$27,BN9&lt;&gt;"",BM9=""),AND(BQ9&gt;=BS$23,BR9&gt;=BS$27,BQ9&lt;&gt;"",BM9=""),AND(CO9&gt;=CT$23,CP9&gt;=CT$27,CO9&lt;&gt;"",CN9=""),AND(CR9&gt;=CT$23,CS9&gt;=CT$27,CR9&lt;&gt;""),AND(DQ9&gt;=DV$23,DR9&gt;=DV$27,DQ9&lt;&gt;""),AND(DT9&gt;=DV$23,DU9&gt;=DV$27,DT9&lt;&gt;""),AND(EQ9&gt;=EV$23,ER9&gt;=EV$27,EQ9&lt;&gt;""),AND(ET9&gt;=EV$23,EU9&gt;=EV$27,ET9&lt;&gt;""),AND(FQ9&gt;=FV$23,FR9&gt;=FV$27,FQ9&lt;&gt;""),AND(FT9&gt;=FV$23,FU9&gt;=FV$27,FT9&lt;&gt;""),AND(GQ9&gt;=GV$23,GR9&gt;=GV$27,GQ9&lt;&gt;""),AND(GT9&gt;=GV$23,GU9&gt;=GV$27,GT9&lt;&gt;""),AND(HQ9&gt;=HV$23,HR9&gt;=HV$27,HQ9&lt;&gt;""),AND(HT9&gt;=HV$23,HU9&gt;=HV$27,HT9&lt;&gt;""),AND(IQ9&gt;=IV$23,IR9&gt;=IV$27,IQ9&lt;&gt;""),AND(IT9&gt;=IV$23,IU9&gt;=IV$27,IT9&lt;&gt;""),AND(JQ9&gt;=JV$23,JR9&gt;=JV$27,JQ9&lt;&gt;""),AND(JT9&gt;=JV$23,JU9&gt;=JV$27,JT9&lt;&gt;""),AND(KQ9&gt;=KV$23,KR9&gt;=KV$27,KQ9&lt;&gt;""),AND(KT9&gt;=KV$23,KU9&gt;=KV$27,KT9&lt;&gt;""),AND(LQ9&gt;=LV$23,LR9&gt;=LV$27,LQ9&lt;&gt;""),AND(LT9&gt;=LV$23,LU9&gt;=LV$27,LT9&lt;&gt;""),AND(MQ9&gt;=MV$23,MR9&gt;=MV$27,MQ9&lt;&gt;""),AND(MT9&gt;=MV$23,MU9&gt;=MV$27,MT9&lt;&gt;""),AND(NQ9&gt;=NV$23,NR9&gt;=NV$27,NQ9&lt;&gt;""),AND(NT9&gt;=NV$23,NU9&gt;=NV$27,NT9&lt;&gt;""),AND(OQ9&gt;=OV$23,OR9&gt;=OV$27,OQ9&lt;&gt;""),AND(OT9&gt;=OV$23,OU9&gt;=OV$27,OT9&lt;&gt;"")),"P","")</f>
        <v/>
      </c>
      <c r="G9" s="3" t="str">
        <f>IF(OR(AND(AN9&gt;=AR$27,AN9&lt;&gt;"",AL9=""),AND(AQ9&gt;=AR$27,AQ9&lt;&gt;"",AL9=""),AND(BO9&gt;=BS$27,BO9&lt;&gt;"",BM9=""),AND(BR9&gt;=BS$27,BR9&lt;&gt;"",BM9=""),AND(CP9&gt;=CT$27,CP9&lt;&gt;"",CN9=""),AND(CS9&gt;=CT$27,CS9&lt;&gt;"",CN9=""),AND(DR9&gt;=DV$27,DR9&lt;&gt;""),AND(DU9&gt;=DV$27,DU9&lt;&gt;""),AND(ER9&gt;=EV$27,ER9&lt;&gt;""),AND(EU9&gt;=EV$27,EU9&lt;&gt;""),AND(FR9&gt;=FV$27,FR9&lt;&gt;""),AND(FU9&gt;=FV$27,FU9&lt;&gt;""),AND(GR9&gt;=GV$27,GR9&lt;&gt;""),AND(GU9&gt;=GV$27,GU9&lt;&gt;""),AND(HR9&gt;=HV$27,HR9&lt;&gt;""),AND(HU9&gt;=HV$27,HU9&lt;&gt;""),AND(IR9&gt;=IV$27,IR9&lt;&gt;""),AND(IU9&gt;=IV$27,IU9&lt;&gt;""),AND(JR9&gt;=JV$27,JR9&lt;&gt;""),AND(JU9&gt;=JV$27,JU9&lt;&gt;""),AND(KR9&gt;=KV$27,KR9&lt;&gt;""),AND(KU9&gt;=KV$27,KU9&lt;&gt;""),AND(LR9&gt;=LV$27,LR9&lt;&gt;""),AND(LU9&gt;=LV$27,LU9&lt;&gt;""),AND(MR9&gt;=MV$27,MR9&lt;&gt;""),AND(MU9&gt;=MV$27,MU9&lt;&gt;""),AND(NR9&gt;=NV$27,NR9&lt;&gt;""),AND(NU9&gt;=NV$27,NU9&lt;&gt;""),AND(OR9&gt;=OV$27,OR9&lt;&gt;""),AND(OU9&gt;=OV$27,OU9&lt;&gt;"")),"P","")</f>
        <v/>
      </c>
      <c r="H9" s="67" t="str">
        <f>IF(AND(G9="P",F9=""),"No DD",IF(OR(AND(AM9&gt;=AR$26,AN9&gt;=AR$30,AM9&lt;&gt;"",AL9=""),AND(AP9&gt;=AR$26,AQ9&gt;=AR$30,AP9&lt;&gt;"",AL9=""),AND(BN9&gt;=BS$26,BO9&gt;=BS$30,BN9&lt;&gt;"",BM9=""),AND(BQ9&gt;=BS$26,BR9&gt;=BS$30,BQ9&lt;&gt;"",BM9=""),AND(CO9&gt;=CT$26,CP9&gt;=CT$30,CO9&lt;&gt;"",CN9=""),AND(CR9&gt;=CT$26,CS9&gt;=CT$30,CR9&lt;&gt;""),AND(DQ9&gt;=DV$26,DR9&gt;=DV$30,DQ9&lt;&gt;""),AND(DT9&gt;=DV$26,DU9&gt;=DV$30,DT9&lt;&gt;""),AND(EQ9&gt;=EV$26,ER9&gt;=EV$30,EQ9&lt;&gt;""),AND(ET9&gt;=EV$26,EU9&gt;=EV$30,ET9&lt;&gt;""),AND(FQ9&gt;=FV$26,FR9&gt;=FV$30,FQ9&lt;&gt;""),AND(FT9&gt;=FV$26,FU9&gt;=FV$30,FT9&lt;&gt;""),AND(GQ9&gt;=GV$26,GR9&gt;=GV$30,GQ9&lt;&gt;""),AND(GT9&gt;=GV$26,GU9&gt;=GV$30,GT9&lt;&gt;""),AND(HQ9&gt;=HV$26,HR9&gt;=HV$30,HQ9&lt;&gt;""),AND(HT9&gt;=HV$26,HU9&gt;=HV$30,HT9&lt;&gt;""),AND(IQ9&gt;=IV$26,IR9&gt;=IV$30,IQ9&lt;&gt;""),AND(IT9&gt;=IV$26,IU9&gt;=IV$30,IT9&lt;&gt;""),AND(JQ9&gt;=JV$26,JR9&gt;=JV$30,JQ9&lt;&gt;""),AND(JT9&gt;=JV$26,JU9&gt;=JV$30,JT9&lt;&gt;""),AND(KQ9&gt;=KV$26,KR9&gt;=KV$30,KQ9&lt;&gt;""),AND(KT9&gt;=KV$26,KU9&gt;=KV$30,KT9&lt;&gt;""),AND(LQ9&gt;=LV$26,LR9&gt;=LV$30,LQ9&lt;&gt;""),AND(LT9&gt;=LV$26,LU9&gt;=LV$30,LT9&lt;&gt;""),AND(MQ9&gt;=MV$26,MR9&gt;=MV$30,MQ9&lt;&gt;""),AND(MT9&gt;=MV$26,MU9&gt;=MV$30,MT9&lt;&gt;""),AND(NQ9&gt;=NV$26,NR9&gt;=NV$30,NQ9&lt;&gt;""),AND(NT9&gt;=NV$26,NU9&gt;=NV$30,NT9&lt;&gt;""),AND(OQ9&gt;=OV$26,OR9&gt;=OV$30,OQ9&lt;&gt;""),AND(OT9&gt;=OV$26,OU9&gt;=OV$30,OT9&lt;&gt;"")),"Merit",IF(OR(AND(AM9&gt;=AR$25,AN9&gt;=AR$29,AM9&lt;&gt;"",AL9=""),AND(AP9&gt;=AR$25,AQ9&gt;=AR$29,AP9&lt;&gt;"",AL9=""),AND(BN9&gt;=BS$25,BO9&gt;=BS$29,BN9&lt;&gt;"",BM9=""),AND(BQ9&gt;=BS$25,BR9&gt;=BS$29,BQ9&lt;&gt;"",BM9=""),AND(CO9&gt;=CT$25,CP9&gt;=CT$29,CO9&lt;&gt;"",CN9=""),AND(CR9&gt;=CT$25,CS9&gt;=CT$29,CR9&lt;&gt;""),AND(DQ9&gt;=DV$25,DR9&gt;=DV$29,DQ9&lt;&gt;""),AND(DT9&gt;=DV$25,DU9&gt;=DV$29,DT9&lt;&gt;""),AND(EQ9&gt;=EV$25,ER9&gt;=EV$29,EQ9&lt;&gt;""),AND(ET9&gt;=EV$25,EU9&gt;=EV$29,ET9&lt;&gt;""),AND(FQ9&gt;=FV$25,FR9&gt;=FV$29,FQ9&lt;&gt;""),AND(FT9&gt;=FV$25,FU9&gt;=FV$29,FT9&lt;&gt;""),AND(GQ9&gt;=GV$25,GR9&gt;=GV$29,GQ9&lt;&gt;""),AND(GT9&gt;=GV$25,GU9&gt;=GV$29,GT9&lt;&gt;""),AND(HQ9&gt;=HV$25,HR9&gt;=HV$29,HQ9&lt;&gt;""),AND(HT9&gt;=HV$25,HU9&gt;=HV$29,HT9&lt;&gt;""),AND(IQ9&gt;=IV$25,IR9&gt;=IV$29,IQ9&lt;&gt;""),AND(IT9&gt;=IV$25,IU9&gt;=IV$29,IT9&lt;&gt;""),AND(JQ9&gt;=JV$25,JR9&gt;=JV$29,JQ9&lt;&gt;""),AND(JT9&gt;=JV$25,JU9&gt;=JV$29,JT9&lt;&gt;""),AND(KQ9&gt;=KV$25,KR9&gt;=KV$29,KQ9&lt;&gt;""),AND(KT9&gt;=KV$25,KU9&gt;=KV$29,KT9&lt;&gt;""),AND(LQ9&gt;=LV$25,LR9&gt;=LV$29,LQ9&lt;&gt;""),AND(LT9&gt;=LV$25,LU9&gt;=LV$29,LT9&lt;&gt;""),AND(MQ9&gt;=MV$25,MR9&gt;=MV$29,MQ9&lt;&gt;""),AND(MT9&gt;=MV$25,MU9&gt;=MV$29,MT9&lt;&gt;""),AND(NQ9&gt;=NV$25,NR9&gt;=NV$29,NQ9&lt;&gt;""),AND(NT9&gt;=NV$25,NU9&gt;=NV$29,NT9&lt;&gt;""),AND(OQ9&gt;=OV$25,OR9&gt;=OV$29,OQ9&lt;&gt;""),AND(OT9&gt;=OV$25,OU9&gt;=OV$29,OT9&lt;&gt;"")),"Excellence",IF(F9="P","National Team",""))))</f>
        <v/>
      </c>
      <c r="I9" s="14">
        <f>IF(COUNT(AN9,BO9,CP9)&gt;0,LARGE((AN9,BO9,CP9),1),0)</f>
        <v>41.580000000000005</v>
      </c>
      <c r="J9" s="14" t="str">
        <f>IF(I9=0,"",IF(I9=CP9,$BT$1,IF(I9=BO9,$AS$1,IF(I9=AN9,$R$1,""))))</f>
        <v>2022 Elite Canada</v>
      </c>
      <c r="K9" s="14">
        <f>IF(COUNT(AN9,BO9,CP9)&gt;1,LARGE((AN9,BO9,CP9),2),0)</f>
        <v>1E-4</v>
      </c>
      <c r="L9" s="14" t="str">
        <f>IF(K9=0,"",IF(K9=CP9,$BT$1,IF(K9=BO9,$AS$1,IF(K9=AN9,$R$1,""))))</f>
        <v>2021 Canadian Championships</v>
      </c>
      <c r="M9" s="14">
        <f>IF(MAX(AQ9,BR9,CS9)&gt;0,MAX(AQ9,BR9,CS9),0)</f>
        <v>42.2</v>
      </c>
      <c r="N9" s="14" t="str">
        <f>IF(M9=0,"",IF(M9=CS9,$BT$1,IF(M9=BR9,$AS$1,IF(M9=AQ9,$R$1,""))))</f>
        <v>2022 Elite Canada</v>
      </c>
      <c r="O9" s="14" t="str">
        <f>IF(MAX(CU9:CV9)&gt;0,MAX(CU9:CV9),"")</f>
        <v/>
      </c>
      <c r="P9" s="20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45"/>
      <c r="AM9" s="79" t="str">
        <f>IF(SUM(S9,W9)&gt;0,SUM(S9,W9),"")</f>
        <v/>
      </c>
      <c r="AN9" s="79" t="str">
        <f>IF(SUM(R9:S9,U9:W9,Y9)-T9-X9&gt;0,SUM(R9:S9,U9:W9,Y9)-T9-X9,"")</f>
        <v/>
      </c>
      <c r="AO9" s="79" t="str">
        <f>IF(SUM(Z9:AA9,AC9)-AB9&gt;0,SUM(Z9:AA9,AC9)-AB9,"")</f>
        <v/>
      </c>
      <c r="AP9" s="79" t="str">
        <f>IF(SUM(AE9,AI9)&gt;0,SUM(AE9,AI9),"")</f>
        <v/>
      </c>
      <c r="AQ9" s="79" t="str">
        <f>IF(SUM(AD9:AE9,AG9:AI9,AK9)-SUM(AF9,AJ9)&gt;0,SUM(AD9:AE9,AG9:AI9,AK9)-SUM(AF9,AJ9),"")</f>
        <v/>
      </c>
      <c r="AR9" s="79" t="str">
        <f>IF(SUM(AN9,AQ9)&gt;0,SUM(AN9,AQ9),"")</f>
        <v/>
      </c>
      <c r="AS9" s="26"/>
      <c r="AT9" s="26">
        <v>1E-4</v>
      </c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46"/>
      <c r="BN9" s="20">
        <f>IF(SUM(AT9,AX9)&gt;0,SUM(AT9,AX9),"")</f>
        <v>1E-4</v>
      </c>
      <c r="BO9" s="20">
        <f>IF(SUM(AS9:AT9,AV9:AX9,AZ9)-AU9-AY9&gt;0,SUM(AS9:AT9,AV9:AX9,AZ9)-AU9-AY9,"")</f>
        <v>1E-4</v>
      </c>
      <c r="BP9" s="20" t="str">
        <f>IF(SUM(BA9:BB9,BD9)-BC9&gt;0,SUM(BA9:BB9,BD9)-BC9,"")</f>
        <v/>
      </c>
      <c r="BQ9" s="20" t="str">
        <f>IF(SUM(BF9,BJ9)&gt;0,SUM(BF9,BJ9),"")</f>
        <v/>
      </c>
      <c r="BR9" s="20" t="str">
        <f>IF(SUM(BE9:BF9,BH9:BJ9,BL9)-SUM(BG9,BK9)&gt;0,SUM(BE9:BF9,BH9:BJ9,BL9)-SUM(BG9,BK9),"")</f>
        <v/>
      </c>
      <c r="BS9" s="20">
        <f>IF(SUM(BO9,BR9)&gt;0,SUM(BO9,BR9),"")</f>
        <v>1E-4</v>
      </c>
      <c r="BT9" s="27">
        <v>16.54</v>
      </c>
      <c r="BU9" s="27">
        <v>4.0999999999999996</v>
      </c>
      <c r="BV9" s="27">
        <v>0</v>
      </c>
      <c r="BW9" s="27">
        <v>0.3</v>
      </c>
      <c r="BX9" s="27">
        <v>16.54</v>
      </c>
      <c r="BY9" s="27">
        <v>3.5</v>
      </c>
      <c r="BZ9" s="27">
        <v>0</v>
      </c>
      <c r="CA9" s="27">
        <v>0.6</v>
      </c>
      <c r="CB9" s="27"/>
      <c r="CC9" s="27"/>
      <c r="CD9" s="27"/>
      <c r="CE9" s="27"/>
      <c r="CF9" s="27">
        <v>16.899999999999999</v>
      </c>
      <c r="CG9" s="27">
        <v>4.0999999999999996</v>
      </c>
      <c r="CH9" s="27">
        <v>0</v>
      </c>
      <c r="CI9" s="27">
        <v>0.3</v>
      </c>
      <c r="CJ9" s="27">
        <v>16.399999999999999</v>
      </c>
      <c r="CK9" s="27">
        <v>3.9</v>
      </c>
      <c r="CL9" s="27">
        <v>0</v>
      </c>
      <c r="CM9" s="27">
        <v>0.6</v>
      </c>
      <c r="CN9" s="45"/>
      <c r="CO9" s="79">
        <f>IF(SUM(BU9,BY9)&gt;0,SUM(BU9,BY9),"")</f>
        <v>7.6</v>
      </c>
      <c r="CP9" s="79">
        <f>IF(SUM(BT9:BU9,BW9:BY9,CA9)-BV9-BZ9&gt;0,SUM(BT9:BU9,BW9:BY9,CA9)-BV9-BZ9,"")</f>
        <v>41.580000000000005</v>
      </c>
      <c r="CQ9" s="79" t="str">
        <f>IF(SUM(CB9:CC9,CE9)-CD9&gt;0,SUM(CB9:CC9,CE9)-CD9,"")</f>
        <v/>
      </c>
      <c r="CR9" s="79">
        <f>IF(SUM(CG9,CK9)&gt;0,SUM(CG9,CK9),"")</f>
        <v>8</v>
      </c>
      <c r="CS9" s="79">
        <f>IF(SUM(CF9:CG9,CI9:CK9,CM9)-SUM(CH9,CL9)&gt;0,SUM(CF9:CG9,CI9:CK9,CM9)-SUM(CH9,CL9),"")</f>
        <v>42.2</v>
      </c>
      <c r="CT9" s="79">
        <f>IF(SUM(CP9,CS9)&gt;0,SUM(CP9,CS9),"")</f>
        <v>83.78</v>
      </c>
      <c r="CU9" s="80" t="str">
        <f>IF(K9&gt;=0.001,IF(MAX(DR9,ER9,FR9,GR9,HR9,IR9,JR9,KR9,LR9,MR9,NR9,OR9)-IF(K9="",0,K9)&gt;0.001,MAX(DR9,ER9,FR9,GR9,HR9,IR9,JR9,KR9,LR9,MR9,NR9,OR9)-IF(K9="",0,K9),""),"")</f>
        <v/>
      </c>
      <c r="CV9" s="80" t="str">
        <f>IF(M9&gt;=0.001,IF(MAX(DU9,EU9,FU9,GU9,HU9,IU9,JU9,KU9,LU9,MU9,NU9,OU9)-IF(M9="",0,M9)&gt;0.001,MAX(DU9,EU9,FU9,GU9,HU9,IU9,JU9,KU9,LU9,MU9,NU9,OU9)-IF(M9="",0,M9),""),"")</f>
        <v/>
      </c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79" t="str">
        <f>IF(SUM(CX9,DB9)&gt;0,SUM(CX9,DB9),"")</f>
        <v/>
      </c>
      <c r="DR9" s="79" t="str">
        <f>IF(SUM(CW9:CX9,CZ9:DB9,DD9)-CY9-DC9&gt;0,SUM(CW9:CX9,CZ9:DB9,DD9)-CY9-DC9,"")</f>
        <v/>
      </c>
      <c r="DS9" s="79" t="str">
        <f>IF(SUM(DE9:DF9,DH9)-DG9&gt;0,SUM(DE9:DF9,DH9)-DG9,"")</f>
        <v/>
      </c>
      <c r="DT9" s="79" t="str">
        <f>IF(SUM(DJ9,DN9)&gt;0,SUM(DJ9,DN9),"")</f>
        <v/>
      </c>
      <c r="DU9" s="79" t="str">
        <f>IF(SUM(DI9:DJ9,DL9:DN9,DP9)-SUM(DK9,DO9)&gt;0,SUM(DI9:DJ9,DL9:DN9,DP9)-SUM(DK9,DO9),"")</f>
        <v/>
      </c>
      <c r="DV9" s="79" t="str">
        <f>IF(SUM(DR9,DU9)&gt;0,SUM(DR9,DU9),"")</f>
        <v/>
      </c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0" t="str">
        <f>IF(SUM(DX9,EB9)&gt;0,SUM(DX9,EB9),"")</f>
        <v/>
      </c>
      <c r="ER9" s="20" t="str">
        <f>IF(SUM(DW9:DX9,DZ9:EB9,ED9)-DY9-EC9&gt;0,SUM(DW9:DX9,DZ9:EB9,ED9)-DY9-EC9,"")</f>
        <v/>
      </c>
      <c r="ES9" s="20" t="str">
        <f>IF(SUM(EE9:EF9,EH9)-EG9&gt;0,SUM(EE9:EF9,EH9)-EG9,"")</f>
        <v/>
      </c>
      <c r="ET9" s="20" t="str">
        <f>IF(SUM(EJ9,EN9)&gt;0,SUM(EJ9,EN9),"")</f>
        <v/>
      </c>
      <c r="EU9" s="20" t="str">
        <f>IF(SUM(EI9:EJ9,EL9:EN9,EP9)-SUM(EK9,EO9)&gt;0,SUM(EI9:EJ9,EL9:EN9,EP9)-SUM(EK9,EO9),"")</f>
        <v/>
      </c>
      <c r="EV9" s="20" t="str">
        <f>IF(SUM(ER9,EU9)&gt;0,SUM(ER9,EU9),"")</f>
        <v/>
      </c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79" t="str">
        <f>IF(SUM(EX9,FB9)&gt;0,SUM(EX9,FB9),"")</f>
        <v/>
      </c>
      <c r="FR9" s="79" t="str">
        <f>IF(SUM(EW9:EX9,EZ9:FB9,FD9)-EY9-FC9&gt;0,SUM(EW9:EX9,EZ9:FB9,FD9)-EY9-FC9,"")</f>
        <v/>
      </c>
      <c r="FS9" s="79" t="str">
        <f>IF(SUM(FE9:FF9,FH9)-FG9&gt;0,SUM(FE9:FF9,FH9)-FG9,"")</f>
        <v/>
      </c>
      <c r="FT9" s="79" t="str">
        <f>IF(SUM(FJ9,FN9)&gt;0,SUM(FJ9,FN9),"")</f>
        <v/>
      </c>
      <c r="FU9" s="79" t="str">
        <f>IF(SUM(FI9:FJ9,FL9:FN9,FP9)-SUM(FK9,FO9)&gt;0,SUM(FI9:FJ9,FL9:FN9,FP9)-SUM(FK9,FO9),"")</f>
        <v/>
      </c>
      <c r="FV9" s="79" t="str">
        <f>IF(SUM(FR9,FU9)&gt;0,SUM(FR9,FU9),"")</f>
        <v/>
      </c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0" t="str">
        <f>IF(SUM(FX9,GB9)&gt;0,SUM(FX9,GB9),"")</f>
        <v/>
      </c>
      <c r="GR9" s="20" t="str">
        <f>IF(SUM(FW9:FX9,FZ9:GB9,GD9)-FY9-GC9&gt;0,SUM(FW9:FX9,FZ9:GB9,GD9)-FY9-GC9,"")</f>
        <v/>
      </c>
      <c r="GS9" s="20" t="str">
        <f>IF(SUM(GE9:GF9,GH9)-GG9&gt;0,SUM(GE9:GF9,GH9)-GG9,"")</f>
        <v/>
      </c>
      <c r="GT9" s="20" t="str">
        <f>IF(SUM(GJ9,GN9)&gt;0,SUM(GJ9,GN9),"")</f>
        <v/>
      </c>
      <c r="GU9" s="20" t="str">
        <f>IF(SUM(GI9:GJ9,GL9:GN9,GP9)-SUM(GK9,GO9)&gt;0,SUM(GI9:GJ9,GL9:GN9,GP9)-SUM(GK9,GO9),"")</f>
        <v/>
      </c>
      <c r="GV9" s="20" t="str">
        <f>IF(SUM(GR9,GU9)&gt;0,SUM(GR9,GU9),"")</f>
        <v/>
      </c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79" t="str">
        <f>IF(SUM(GX9,HB9)&gt;0,SUM(GX9,HB9),"")</f>
        <v/>
      </c>
      <c r="HR9" s="79" t="str">
        <f>IF(SUM(GW9:GX9,GZ9:HB9,HD9)-GY9-HC9&gt;0,SUM(GW9:GX9,GZ9:HB9,HD9)-GY9-HC9,"")</f>
        <v/>
      </c>
      <c r="HS9" s="79" t="str">
        <f>IF(SUM(HE9:HF9,HH9)-HG9&gt;0,SUM(HE9:HF9,HH9)-HG9,"")</f>
        <v/>
      </c>
      <c r="HT9" s="79" t="str">
        <f>IF(SUM(HJ9,HN9)&gt;0,SUM(HJ9,HN9),"")</f>
        <v/>
      </c>
      <c r="HU9" s="79" t="str">
        <f>IF(SUM(HI9:HJ9,HL9:HN9,HP9)-SUM(HK9,HO9)&gt;0,SUM(HI9:HJ9,HL9:HN9,HP9)-SUM(HK9,HO9),"")</f>
        <v/>
      </c>
      <c r="HV9" s="79" t="str">
        <f>IF(SUM(HR9,HU9)&gt;0,SUM(HR9,HU9),"")</f>
        <v/>
      </c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0" t="str">
        <f>IF(SUM(HX9,IB9)&gt;0,SUM(HX9,IB9),"")</f>
        <v/>
      </c>
      <c r="IR9" s="20" t="str">
        <f>IF(SUM(HW9:HX9,HZ9:IB9,ID9)-HY9-IC9&gt;0,SUM(HW9:HX9,HZ9:IB9,ID9)-HY9-IC9,"")</f>
        <v/>
      </c>
      <c r="IS9" s="20" t="str">
        <f>IF(SUM(IE9:IF9,IH9)-IG9&gt;0,SUM(IE9:IF9,IH9)-IG9,"")</f>
        <v/>
      </c>
      <c r="IT9" s="20" t="str">
        <f>IF(SUM(IJ9,IN9)&gt;0,SUM(IJ9,IN9),"")</f>
        <v/>
      </c>
      <c r="IU9" s="20" t="str">
        <f>IF(SUM(II9:IJ9,IL9:IN9,IP9)-SUM(IK9,IO9)&gt;0,SUM(II9:IJ9,IL9:IN9,IP9)-SUM(IK9,IO9),"")</f>
        <v/>
      </c>
      <c r="IV9" s="20" t="str">
        <f>IF(SUM(IR9,IU9)&gt;0,SUM(IR9,IU9),"")</f>
        <v/>
      </c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79" t="str">
        <f>IF(SUM(IX9,JB9)&gt;0,SUM(IX9,JB9),"")</f>
        <v/>
      </c>
      <c r="JR9" s="79" t="str">
        <f>IF(SUM(IW9:IX9,IZ9:JB9,JD9)-IY9-JC9&gt;0,SUM(IW9:IX9,IZ9:JB9,JD9)-IY9-JC9,"")</f>
        <v/>
      </c>
      <c r="JS9" s="79" t="str">
        <f>IF(SUM(JE9:JF9,JH9)-JG9&gt;0,SUM(JE9:JF9,JH9)-JG9,"")</f>
        <v/>
      </c>
      <c r="JT9" s="79" t="str">
        <f>IF(SUM(JJ9,JN9)&gt;0,SUM(JJ9,JN9),"")</f>
        <v/>
      </c>
      <c r="JU9" s="79" t="str">
        <f>IF(SUM(JI9:JJ9,JL9:JN9,JP9)-SUM(JK9,JO9)&gt;0,SUM(JI9:JJ9,JL9:JN9,JP9)-SUM(JK9,JO9),"")</f>
        <v/>
      </c>
      <c r="JV9" s="79" t="str">
        <f>IF(SUM(JR9,JU9)&gt;0,SUM(JR9,JU9),"")</f>
        <v/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0" t="str">
        <f>IF(SUM(JX9,KB9)&gt;0,SUM(JX9,KB9),"")</f>
        <v/>
      </c>
      <c r="KR9" s="20" t="str">
        <f>IF(SUM(JW9:JX9,JZ9:KB9,KD9)-JY9-KC9&gt;0,SUM(JW9:JX9,JZ9:KB9,KD9)-JY9-KC9,"")</f>
        <v/>
      </c>
      <c r="KS9" s="20" t="str">
        <f>IF(SUM(KE9:KF9,KH9)-KG9&gt;0,SUM(KE9:KF9,KH9)-KG9,"")</f>
        <v/>
      </c>
      <c r="KT9" s="20" t="str">
        <f>IF(SUM(KJ9,KN9)&gt;0,SUM(KJ9,KN9),"")</f>
        <v/>
      </c>
      <c r="KU9" s="20" t="str">
        <f>IF(SUM(KI9:KJ9,KL9:KN9,KP9)-SUM(KK9,KO9)&gt;0,SUM(KI9:KJ9,KL9:KN9,KP9)-SUM(KK9,KO9),"")</f>
        <v/>
      </c>
      <c r="KV9" s="20" t="str">
        <f>IF(SUM(KR9,KU9)&gt;0,SUM(KR9,KU9),"")</f>
        <v/>
      </c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79" t="str">
        <f>IF(SUM(KX9,LB9)&gt;0,SUM(KX9,LB9),"")</f>
        <v/>
      </c>
      <c r="LR9" s="79" t="str">
        <f>IF(SUM(KW9:KX9,KZ9:LB9,LD9)-KY9-LC9&gt;0,SUM(KW9:KX9,KZ9:LB9,LD9)-KY9-LC9,"")</f>
        <v/>
      </c>
      <c r="LS9" s="79" t="str">
        <f>IF(SUM(LE9:LF9,LH9)-LG9&gt;0,SUM(LE9:LF9,LH9)-LG9,"")</f>
        <v/>
      </c>
      <c r="LT9" s="79" t="str">
        <f>IF(SUM(LJ9,LN9)&gt;0,SUM(LJ9,LN9),"")</f>
        <v/>
      </c>
      <c r="LU9" s="79" t="str">
        <f>IF(SUM(LI9:LJ9,LL9:LN9,LP9)-SUM(LK9,LO9)&gt;0,SUM(LI9:LJ9,LL9:LN9,LP9)-SUM(LK9,LO9),"")</f>
        <v/>
      </c>
      <c r="LV9" s="79" t="str">
        <f>IF(SUM(LR9,LU9)&gt;0,SUM(LR9,LU9),"")</f>
        <v/>
      </c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0" t="str">
        <f>IF(SUM(LX9,MB9)&gt;0,SUM(LX9,MB9),"")</f>
        <v/>
      </c>
      <c r="MR9" s="20" t="str">
        <f>IF(SUM(LW9:LX9,LZ9:MB9,MD9)-LY9-MC9&gt;0,SUM(LW9:LX9,LZ9:MB9,MD9)-LY9-MC9,"")</f>
        <v/>
      </c>
      <c r="MS9" s="20" t="str">
        <f>IF(SUM(ME9:MF9,MH9)-MG9&gt;0,SUM(ME9:MF9,MH9)-MG9,"")</f>
        <v/>
      </c>
      <c r="MT9" s="20" t="str">
        <f>IF(SUM(MJ9,MN9)&gt;0,SUM(MJ9,MN9),"")</f>
        <v/>
      </c>
      <c r="MU9" s="20" t="str">
        <f>IF(SUM(MI9:MJ9,ML9:MN9,MP9)-SUM(MK9,MO9)&gt;0,SUM(MI9:MJ9,ML9:MN9,MP9)-SUM(MK9,MO9),"")</f>
        <v/>
      </c>
      <c r="MV9" s="20" t="str">
        <f>IF(SUM(MR9,MU9)&gt;0,SUM(MR9,MU9),"")</f>
        <v/>
      </c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79" t="str">
        <f>IF(SUM(MX9,NB9)&gt;0,SUM(MX9,NB9),"")</f>
        <v/>
      </c>
      <c r="NR9" s="79" t="str">
        <f>IF(SUM(MW9:MX9,MZ9:NB9,ND9)-MY9-NC9&gt;0,SUM(MW9:MX9,MZ9:NB9,ND9)-MY9-NC9,"")</f>
        <v/>
      </c>
      <c r="NS9" s="79" t="str">
        <f>IF(SUM(NE9:NF9,NH9)-NG9&gt;0,SUM(NE9:NF9,NH9)-NG9,"")</f>
        <v/>
      </c>
      <c r="NT9" s="79" t="str">
        <f>IF(SUM(NJ9,NN9)&gt;0,SUM(NJ9,NN9),"")</f>
        <v/>
      </c>
      <c r="NU9" s="79" t="str">
        <f>IF(SUM(NI9:NJ9,NL9:NN9,NP9)-SUM(NK9,NO9)&gt;0,SUM(NI9:NJ9,NL9:NN9,NP9)-SUM(NK9,NO9),"")</f>
        <v/>
      </c>
      <c r="NV9" s="79" t="str">
        <f>IF(SUM(NR9,NU9)&gt;0,SUM(NR9,NU9),"")</f>
        <v/>
      </c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0" t="str">
        <f>IF(SUM(NX9,OB9)&gt;0,SUM(NX9,OB9),"")</f>
        <v/>
      </c>
      <c r="OR9" s="20" t="str">
        <f>IF(SUM(NW9:NX9,NZ9:OB9,OD9)-NY9-OC9&gt;0,SUM(NW9:NX9,NZ9:OB9,OD9)-NY9-OC9,"")</f>
        <v/>
      </c>
      <c r="OS9" s="20" t="str">
        <f>IF(SUM(OE9:OF9,OH9)-OG9&gt;0,SUM(OE9:OF9,OH9)-OG9,"")</f>
        <v/>
      </c>
      <c r="OT9" s="20" t="str">
        <f>IF(SUM(OJ9,ON9)&gt;0,SUM(OJ9,ON9),"")</f>
        <v/>
      </c>
      <c r="OU9" s="20" t="str">
        <f>IF(SUM(OI9:OJ9,OL9:ON9,OP9)-SUM(OK9,OO9)&gt;0,SUM(OI9:OJ9,OL9:ON9,OP9)-SUM(OK9,OO9),"")</f>
        <v/>
      </c>
      <c r="OV9" s="20" t="str">
        <f>IF(SUM(OR9,OU9)&gt;0,SUM(OR9,OU9),"")</f>
        <v/>
      </c>
      <c r="OW9" s="38">
        <f>IF($CN9="P",BT9,(BT9+AS9)/2)</f>
        <v>8.27</v>
      </c>
      <c r="OX9" s="38">
        <f>IF($CN9="P",BU9,(BU9+AT9)/2)</f>
        <v>2.0500499999999997</v>
      </c>
      <c r="OY9" s="38">
        <f>IF($CN9="P",BV9,(BV9+AU9)/2)</f>
        <v>0</v>
      </c>
      <c r="OZ9" s="38">
        <f>IF($CN9="P",BW9,(BW9+AV9)/2)</f>
        <v>0.15</v>
      </c>
      <c r="PA9" s="38">
        <f>IF($CN9="P",BX9,(BX9+AW9)/2)</f>
        <v>8.27</v>
      </c>
      <c r="PB9" s="38">
        <f>IF($CN9="P",BY9,(BY9+AX9)/2)</f>
        <v>1.75</v>
      </c>
      <c r="PC9" s="38">
        <f>IF($CN9="P",BZ9,(BZ9+AY9)/2)</f>
        <v>0</v>
      </c>
      <c r="PD9" s="38">
        <f>IF($CN9="P",CA9,(CA9+AZ9)/2)</f>
        <v>0.3</v>
      </c>
      <c r="PE9" s="38">
        <f>IF($CN9="P",CB9,(CB9+BA9)/2)</f>
        <v>0</v>
      </c>
      <c r="PF9" s="38">
        <f>IF($CN9="P",CC9,(CC9+BB9)/2)</f>
        <v>0</v>
      </c>
      <c r="PG9" s="38">
        <f>IF($CN9="P",CD9,(CD9+BC9)/2)</f>
        <v>0</v>
      </c>
      <c r="PH9" s="38">
        <f>IF($CN9="P",CE9,(CE9+BD9)/2)</f>
        <v>0</v>
      </c>
      <c r="PI9" s="38">
        <f>IF($CN9="P",CF9,(CF9+BE9)/2)</f>
        <v>8.4499999999999993</v>
      </c>
      <c r="PJ9" s="38">
        <f>IF($CN9="P",CG9,(CG9+BF9)/2)</f>
        <v>2.0499999999999998</v>
      </c>
      <c r="PK9" s="38">
        <f>IF($CN9="P",CH9,(CH9+BG9)/2)</f>
        <v>0</v>
      </c>
      <c r="PL9" s="38">
        <f>IF($CN9="P",CI9,(CI9+BH9)/2)</f>
        <v>0.15</v>
      </c>
      <c r="PM9" s="38">
        <f>IF($CN9="P",CJ9,(CJ9+BI9)/2)</f>
        <v>8.1999999999999993</v>
      </c>
      <c r="PN9" s="38">
        <f>IF($CN9="P",CK9,(CK9+BJ9)/2)</f>
        <v>1.95</v>
      </c>
      <c r="PO9" s="38">
        <f>IF($CN9="P",CL9,(CL9+BK9)/2)</f>
        <v>0</v>
      </c>
      <c r="PP9" s="38">
        <f>IF($CN9="P",CM9,(CM9+BL9)/2)</f>
        <v>0.3</v>
      </c>
      <c r="PQ9" s="45" t="s">
        <v>46</v>
      </c>
      <c r="PR9" s="79">
        <f>IF(SUM(OX9,PB9)&gt;0,SUM(OX9,PB9),"")</f>
        <v>3.8000499999999997</v>
      </c>
      <c r="PS9" s="79">
        <f>IF(SUM(OW9:OX9,OZ9:PB9,PD9)-OY9-PC9&gt;0,SUM(OW9:OX9,OZ9:PB9,PD9)-OY9-PC9,"")</f>
        <v>20.790049999999997</v>
      </c>
      <c r="PT9" s="79" t="str">
        <f>IF(SUM(PE9:PF9,PH9)-PG9&gt;0,SUM(PE9:PF9,PH9)-PG9,"")</f>
        <v/>
      </c>
      <c r="PU9" s="79">
        <f>IF(SUM(PJ9,PN9)&gt;0,SUM(PJ9,PN9),"")</f>
        <v>4</v>
      </c>
      <c r="PV9" s="79">
        <f>IF(SUM(PI9:PJ9,PL9:PN9,PP9)-SUM(PK9,PO9)&gt;0,SUM(PI9:PJ9,PL9:PN9,PP9)-SUM(PK9,PO9),"")</f>
        <v>21.1</v>
      </c>
      <c r="PW9" s="79">
        <f>IF(SUM(PS9,PV9)&gt;0,SUM(PS9,PV9),"")</f>
        <v>41.890050000000002</v>
      </c>
    </row>
    <row r="10" spans="1:439" x14ac:dyDescent="0.2">
      <c r="A10" s="5" t="str">
        <f>IF(AND(F10="P",G10="P"),SUMPRODUCT((F$4:F$21="P")*(G$4:G$21="P")*(E$4:E$21&gt;E10))+1,IF(G10="P",SUMPRODUCT((F$4:F$21="")*(G$4:G$21="P")*(E$4:E$21&gt;E10))+1+SUMPRODUCT((F$4:F$21="P")*(G$4:G$21="P")),""))</f>
        <v/>
      </c>
      <c r="B10" s="78" t="s">
        <v>120</v>
      </c>
      <c r="C10" s="5" t="s">
        <v>3</v>
      </c>
      <c r="D10" s="5">
        <v>2004</v>
      </c>
      <c r="E10" s="15">
        <f>SUM(I10:O10)+SUM(I10:M10)*0.0000001+SUM(I10)*0.0000000000001</f>
        <v>83.760008376004151</v>
      </c>
      <c r="F10" s="3" t="str">
        <f>IF(OR(AND(AM10&gt;=AR$23,AN10&gt;=AR$27,AM10&lt;&gt;"",AL10=""),AND(AP10&gt;=AR$23,AQ10&gt;=AR$27,AP10&lt;&gt;"",AL10=""),AND(BN10&gt;=BS$23,BO10&gt;=BS$27,BN10&lt;&gt;"",BM10=""),AND(BQ10&gt;=BS$23,BR10&gt;=BS$27,BQ10&lt;&gt;"",BM10=""),AND(CO10&gt;=CT$23,CP10&gt;=CT$27,CO10&lt;&gt;"",CN10=""),AND(CR10&gt;=CT$23,CS10&gt;=CT$27,CR10&lt;&gt;""),AND(DQ10&gt;=DV$23,DR10&gt;=DV$27,DQ10&lt;&gt;""),AND(DT10&gt;=DV$23,DU10&gt;=DV$27,DT10&lt;&gt;""),AND(EQ10&gt;=EV$23,ER10&gt;=EV$27,EQ10&lt;&gt;""),AND(ET10&gt;=EV$23,EU10&gt;=EV$27,ET10&lt;&gt;""),AND(FQ10&gt;=FV$23,FR10&gt;=FV$27,FQ10&lt;&gt;""),AND(FT10&gt;=FV$23,FU10&gt;=FV$27,FT10&lt;&gt;""),AND(GQ10&gt;=GV$23,GR10&gt;=GV$27,GQ10&lt;&gt;""),AND(GT10&gt;=GV$23,GU10&gt;=GV$27,GT10&lt;&gt;""),AND(HQ10&gt;=HV$23,HR10&gt;=HV$27,HQ10&lt;&gt;""),AND(HT10&gt;=HV$23,HU10&gt;=HV$27,HT10&lt;&gt;""),AND(IQ10&gt;=IV$23,IR10&gt;=IV$27,IQ10&lt;&gt;""),AND(IT10&gt;=IV$23,IU10&gt;=IV$27,IT10&lt;&gt;""),AND(JQ10&gt;=JV$23,JR10&gt;=JV$27,JQ10&lt;&gt;""),AND(JT10&gt;=JV$23,JU10&gt;=JV$27,JT10&lt;&gt;""),AND(KQ10&gt;=KV$23,KR10&gt;=KV$27,KQ10&lt;&gt;""),AND(KT10&gt;=KV$23,KU10&gt;=KV$27,KT10&lt;&gt;""),AND(LQ10&gt;=LV$23,LR10&gt;=LV$27,LQ10&lt;&gt;""),AND(LT10&gt;=LV$23,LU10&gt;=LV$27,LT10&lt;&gt;""),AND(MQ10&gt;=MV$23,MR10&gt;=MV$27,MQ10&lt;&gt;""),AND(MT10&gt;=MV$23,MU10&gt;=MV$27,MT10&lt;&gt;""),AND(NQ10&gt;=NV$23,NR10&gt;=NV$27,NQ10&lt;&gt;""),AND(NT10&gt;=NV$23,NU10&gt;=NV$27,NT10&lt;&gt;""),AND(OQ10&gt;=OV$23,OR10&gt;=OV$27,OQ10&lt;&gt;""),AND(OT10&gt;=OV$23,OU10&gt;=OV$27,OT10&lt;&gt;"")),"P","")</f>
        <v/>
      </c>
      <c r="G10" s="3" t="str">
        <f>IF(OR(AND(AN10&gt;=AR$27,AN10&lt;&gt;"",AL10=""),AND(AQ10&gt;=AR$27,AQ10&lt;&gt;"",AL10=""),AND(BO10&gt;=BS$27,BO10&lt;&gt;"",BM10=""),AND(BR10&gt;=BS$27,BR10&lt;&gt;"",BM10=""),AND(CP10&gt;=CT$27,CP10&lt;&gt;"",CN10=""),AND(CS10&gt;=CT$27,CS10&lt;&gt;"",CN10=""),AND(DR10&gt;=DV$27,DR10&lt;&gt;""),AND(DU10&gt;=DV$27,DU10&lt;&gt;""),AND(ER10&gt;=EV$27,ER10&lt;&gt;""),AND(EU10&gt;=EV$27,EU10&lt;&gt;""),AND(FR10&gt;=FV$27,FR10&lt;&gt;""),AND(FU10&gt;=FV$27,FU10&lt;&gt;""),AND(GR10&gt;=GV$27,GR10&lt;&gt;""),AND(GU10&gt;=GV$27,GU10&lt;&gt;""),AND(HR10&gt;=HV$27,HR10&lt;&gt;""),AND(HU10&gt;=HV$27,HU10&lt;&gt;""),AND(IR10&gt;=IV$27,IR10&lt;&gt;""),AND(IU10&gt;=IV$27,IU10&lt;&gt;""),AND(JR10&gt;=JV$27,JR10&lt;&gt;""),AND(JU10&gt;=JV$27,JU10&lt;&gt;""),AND(KR10&gt;=KV$27,KR10&lt;&gt;""),AND(KU10&gt;=KV$27,KU10&lt;&gt;""),AND(LR10&gt;=LV$27,LR10&lt;&gt;""),AND(LU10&gt;=LV$27,LU10&lt;&gt;""),AND(MR10&gt;=MV$27,MR10&lt;&gt;""),AND(MU10&gt;=MV$27,MU10&lt;&gt;""),AND(NR10&gt;=NV$27,NR10&lt;&gt;""),AND(NU10&gt;=NV$27,NU10&lt;&gt;""),AND(OR10&gt;=OV$27,OR10&lt;&gt;""),AND(OU10&gt;=OV$27,OU10&lt;&gt;"")),"P","")</f>
        <v/>
      </c>
      <c r="H10" s="67" t="str">
        <f>IF(AND(G10="P",F10=""),"No DD",IF(OR(AND(AM10&gt;=AR$26,AN10&gt;=AR$30,AM10&lt;&gt;"",AL10=""),AND(AP10&gt;=AR$26,AQ10&gt;=AR$30,AP10&lt;&gt;"",AL10=""),AND(BN10&gt;=BS$26,BO10&gt;=BS$30,BN10&lt;&gt;"",BM10=""),AND(BQ10&gt;=BS$26,BR10&gt;=BS$30,BQ10&lt;&gt;"",BM10=""),AND(CO10&gt;=CT$26,CP10&gt;=CT$30,CO10&lt;&gt;"",CN10=""),AND(CR10&gt;=CT$26,CS10&gt;=CT$30,CR10&lt;&gt;""),AND(DQ10&gt;=DV$26,DR10&gt;=DV$30,DQ10&lt;&gt;""),AND(DT10&gt;=DV$26,DU10&gt;=DV$30,DT10&lt;&gt;""),AND(EQ10&gt;=EV$26,ER10&gt;=EV$30,EQ10&lt;&gt;""),AND(ET10&gt;=EV$26,EU10&gt;=EV$30,ET10&lt;&gt;""),AND(FQ10&gt;=FV$26,FR10&gt;=FV$30,FQ10&lt;&gt;""),AND(FT10&gt;=FV$26,FU10&gt;=FV$30,FT10&lt;&gt;""),AND(GQ10&gt;=GV$26,GR10&gt;=GV$30,GQ10&lt;&gt;""),AND(GT10&gt;=GV$26,GU10&gt;=GV$30,GT10&lt;&gt;""),AND(HQ10&gt;=HV$26,HR10&gt;=HV$30,HQ10&lt;&gt;""),AND(HT10&gt;=HV$26,HU10&gt;=HV$30,HT10&lt;&gt;""),AND(IQ10&gt;=IV$26,IR10&gt;=IV$30,IQ10&lt;&gt;""),AND(IT10&gt;=IV$26,IU10&gt;=IV$30,IT10&lt;&gt;""),AND(JQ10&gt;=JV$26,JR10&gt;=JV$30,JQ10&lt;&gt;""),AND(JT10&gt;=JV$26,JU10&gt;=JV$30,JT10&lt;&gt;""),AND(KQ10&gt;=KV$26,KR10&gt;=KV$30,KQ10&lt;&gt;""),AND(KT10&gt;=KV$26,KU10&gt;=KV$30,KT10&lt;&gt;""),AND(LQ10&gt;=LV$26,LR10&gt;=LV$30,LQ10&lt;&gt;""),AND(LT10&gt;=LV$26,LU10&gt;=LV$30,LT10&lt;&gt;""),AND(MQ10&gt;=MV$26,MR10&gt;=MV$30,MQ10&lt;&gt;""),AND(MT10&gt;=MV$26,MU10&gt;=MV$30,MT10&lt;&gt;""),AND(NQ10&gt;=NV$26,NR10&gt;=NV$30,NQ10&lt;&gt;""),AND(NT10&gt;=NV$26,NU10&gt;=NV$30,NT10&lt;&gt;""),AND(OQ10&gt;=OV$26,OR10&gt;=OV$30,OQ10&lt;&gt;""),AND(OT10&gt;=OV$26,OU10&gt;=OV$30,OT10&lt;&gt;"")),"Merit",IF(OR(AND(AM10&gt;=AR$25,AN10&gt;=AR$29,AM10&lt;&gt;"",AL10=""),AND(AP10&gt;=AR$25,AQ10&gt;=AR$29,AP10&lt;&gt;"",AL10=""),AND(BN10&gt;=BS$25,BO10&gt;=BS$29,BN10&lt;&gt;"",BM10=""),AND(BQ10&gt;=BS$25,BR10&gt;=BS$29,BQ10&lt;&gt;"",BM10=""),AND(CO10&gt;=CT$25,CP10&gt;=CT$29,CO10&lt;&gt;"",CN10=""),AND(CR10&gt;=CT$25,CS10&gt;=CT$29,CR10&lt;&gt;""),AND(DQ10&gt;=DV$25,DR10&gt;=DV$29,DQ10&lt;&gt;""),AND(DT10&gt;=DV$25,DU10&gt;=DV$29,DT10&lt;&gt;""),AND(EQ10&gt;=EV$25,ER10&gt;=EV$29,EQ10&lt;&gt;""),AND(ET10&gt;=EV$25,EU10&gt;=EV$29,ET10&lt;&gt;""),AND(FQ10&gt;=FV$25,FR10&gt;=FV$29,FQ10&lt;&gt;""),AND(FT10&gt;=FV$25,FU10&gt;=FV$29,FT10&lt;&gt;""),AND(GQ10&gt;=GV$25,GR10&gt;=GV$29,GQ10&lt;&gt;""),AND(GT10&gt;=GV$25,GU10&gt;=GV$29,GT10&lt;&gt;""),AND(HQ10&gt;=HV$25,HR10&gt;=HV$29,HQ10&lt;&gt;""),AND(HT10&gt;=HV$25,HU10&gt;=HV$29,HT10&lt;&gt;""),AND(IQ10&gt;=IV$25,IR10&gt;=IV$29,IQ10&lt;&gt;""),AND(IT10&gt;=IV$25,IU10&gt;=IV$29,IT10&lt;&gt;""),AND(JQ10&gt;=JV$25,JR10&gt;=JV$29,JQ10&lt;&gt;""),AND(JT10&gt;=JV$25,JU10&gt;=JV$29,JT10&lt;&gt;""),AND(KQ10&gt;=KV$25,KR10&gt;=KV$29,KQ10&lt;&gt;""),AND(KT10&gt;=KV$25,KU10&gt;=KV$29,KT10&lt;&gt;""),AND(LQ10&gt;=LV$25,LR10&gt;=LV$29,LQ10&lt;&gt;""),AND(LT10&gt;=LV$25,LU10&gt;=LV$29,LT10&lt;&gt;""),AND(MQ10&gt;=MV$25,MR10&gt;=MV$29,MQ10&lt;&gt;""),AND(MT10&gt;=MV$25,MU10&gt;=MV$29,MT10&lt;&gt;""),AND(NQ10&gt;=NV$25,NR10&gt;=NV$29,NQ10&lt;&gt;""),AND(NT10&gt;=NV$25,NU10&gt;=NV$29,NT10&lt;&gt;""),AND(OQ10&gt;=OV$25,OR10&gt;=OV$29,OQ10&lt;&gt;""),AND(OT10&gt;=OV$25,OU10&gt;=OV$29,OT10&lt;&gt;"")),"Excellence",IF(F10="P","National Team",""))))</f>
        <v/>
      </c>
      <c r="I10" s="14">
        <f>IF(COUNT(AN10,BO10,CP10)&gt;0,LARGE((AN10,BO10,CP10),1),0)</f>
        <v>41.6</v>
      </c>
      <c r="J10" s="14" t="str">
        <f>IF(I10=0,"",IF(I10=CP10,$BT$1,IF(I10=BO10,$AS$1,IF(I10=AN10,$R$1,""))))</f>
        <v>2022 Elite Canada</v>
      </c>
      <c r="K10" s="14">
        <f>IF(COUNT(AN10,BO10,CP10)&gt;1,LARGE((AN10,BO10,CP10),2),0)</f>
        <v>0</v>
      </c>
      <c r="L10" s="14" t="str">
        <f>IF(K10=0,"",IF(K10=CP10,$BT$1,IF(K10=BO10,$AS$1,IF(K10=AN10,$R$1,""))))</f>
        <v/>
      </c>
      <c r="M10" s="14">
        <f>IF(MAX(AQ10,BR10,CS10)&gt;0,MAX(AQ10,BR10,CS10),0)</f>
        <v>42.159999999999989</v>
      </c>
      <c r="N10" s="14" t="str">
        <f>IF(M10=0,"",IF(M10=CS10,$BT$1,IF(M10=BR10,$AS$1,IF(M10=AQ10,$R$1,""))))</f>
        <v>2022 Elite Canada</v>
      </c>
      <c r="O10" s="14" t="str">
        <f>IF(MAX(CU10:CV10)&gt;0,MAX(CU10:CV10),"")</f>
        <v/>
      </c>
      <c r="P10" s="20" t="str">
        <f>IF(O10="","",IF(O10=CU10,"("&amp;CU$2&amp;")",IF(O10=CV10,"("&amp;CV$2&amp;")")))</f>
        <v/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45"/>
      <c r="AM10" s="79" t="str">
        <f>IF(SUM(S10,W10)&gt;0,SUM(S10,W10),"")</f>
        <v/>
      </c>
      <c r="AN10" s="79" t="str">
        <f>IF(SUM(R10:S10,U10:W10,Y10)-T10-X10&gt;0,SUM(R10:S10,U10:W10,Y10)-T10-X10,"")</f>
        <v/>
      </c>
      <c r="AO10" s="79" t="str">
        <f>IF(SUM(Z10:AA10,AC10)-AB10&gt;0,SUM(Z10:AA10,AC10)-AB10,"")</f>
        <v/>
      </c>
      <c r="AP10" s="79" t="str">
        <f>IF(SUM(AE10,AI10)&gt;0,SUM(AE10,AI10),"")</f>
        <v/>
      </c>
      <c r="AQ10" s="79" t="str">
        <f>IF(SUM(AD10:AE10,AG10:AI10,AK10)-SUM(AF10,AJ10)&gt;0,SUM(AD10:AE10,AG10:AI10,AK10)-SUM(AF10,AJ10),"")</f>
        <v/>
      </c>
      <c r="AR10" s="79" t="str">
        <f>IF(SUM(AN10,AQ10)&gt;0,SUM(AN10,AQ10),"")</f>
        <v/>
      </c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46"/>
      <c r="BN10" s="20" t="str">
        <f>IF(SUM(AT10,AX10)&gt;0,SUM(AT10,AX10),"")</f>
        <v/>
      </c>
      <c r="BO10" s="20" t="str">
        <f>IF(SUM(AS10:AT10,AV10:AX10,AZ10)-AU10-AY10&gt;0,SUM(AS10:AT10,AV10:AX10,AZ10)-AU10-AY10,"")</f>
        <v/>
      </c>
      <c r="BP10" s="20" t="str">
        <f>IF(SUM(BA10:BB10,BD10)-BC10&gt;0,SUM(BA10:BB10,BD10)-BC10,"")</f>
        <v/>
      </c>
      <c r="BQ10" s="20" t="str">
        <f>IF(SUM(BF10,BJ10)&gt;0,SUM(BF10,BJ10),"")</f>
        <v/>
      </c>
      <c r="BR10" s="20" t="str">
        <f>IF(SUM(BE10:BF10,BH10:BJ10,BL10)-SUM(BG10,BK10)&gt;0,SUM(BE10:BF10,BH10:BJ10,BL10)-SUM(BG10,BK10),"")</f>
        <v/>
      </c>
      <c r="BS10" s="20" t="str">
        <f>IF(SUM(BO10,BR10)&gt;0,SUM(BO10,BR10),"")</f>
        <v/>
      </c>
      <c r="BT10" s="27">
        <v>16.5</v>
      </c>
      <c r="BU10" s="27">
        <v>4.0999999999999996</v>
      </c>
      <c r="BV10" s="27">
        <v>0</v>
      </c>
      <c r="BW10" s="27">
        <v>0.3</v>
      </c>
      <c r="BX10" s="27">
        <v>16.5</v>
      </c>
      <c r="BY10" s="27">
        <v>3.9</v>
      </c>
      <c r="BZ10" s="27">
        <v>0</v>
      </c>
      <c r="CA10" s="27">
        <v>0.3</v>
      </c>
      <c r="CB10" s="27"/>
      <c r="CC10" s="27"/>
      <c r="CD10" s="27"/>
      <c r="CE10" s="27"/>
      <c r="CF10" s="27">
        <v>16.7</v>
      </c>
      <c r="CG10" s="27">
        <v>4.0999999999999996</v>
      </c>
      <c r="CH10" s="27">
        <v>0</v>
      </c>
      <c r="CI10" s="27">
        <v>0.3</v>
      </c>
      <c r="CJ10" s="27">
        <v>16.86</v>
      </c>
      <c r="CK10" s="27">
        <v>3.9</v>
      </c>
      <c r="CL10" s="27">
        <v>0</v>
      </c>
      <c r="CM10" s="27">
        <v>0.3</v>
      </c>
      <c r="CN10" s="45"/>
      <c r="CO10" s="79">
        <f>IF(SUM(BU10,BY10)&gt;0,SUM(BU10,BY10),"")</f>
        <v>8</v>
      </c>
      <c r="CP10" s="79">
        <f>IF(SUM(BT10:BU10,BW10:BY10,CA10)-BV10-BZ10&gt;0,SUM(BT10:BU10,BW10:BY10,CA10)-BV10-BZ10,"")</f>
        <v>41.6</v>
      </c>
      <c r="CQ10" s="79" t="str">
        <f>IF(SUM(CB10:CC10,CE10)-CD10&gt;0,SUM(CB10:CC10,CE10)-CD10,"")</f>
        <v/>
      </c>
      <c r="CR10" s="79">
        <f>IF(SUM(CG10,CK10)&gt;0,SUM(CG10,CK10),"")</f>
        <v>8</v>
      </c>
      <c r="CS10" s="79">
        <f>IF(SUM(CF10:CG10,CI10:CK10,CM10)-SUM(CH10,CL10)&gt;0,SUM(CF10:CG10,CI10:CK10,CM10)-SUM(CH10,CL10),"")</f>
        <v>42.159999999999989</v>
      </c>
      <c r="CT10" s="79">
        <f>IF(SUM(CP10,CS10)&gt;0,SUM(CP10,CS10),"")</f>
        <v>83.759999999999991</v>
      </c>
      <c r="CU10" s="80" t="str">
        <f>IF(K10&gt;=0.001,IF(MAX(DR10,ER10,FR10,GR10,HR10,IR10,JR10,KR10,LR10,MR10,NR10,OR10)-IF(K10="",0,K10)&gt;0.001,MAX(DR10,ER10,FR10,GR10,HR10,IR10,JR10,KR10,LR10,MR10,NR10,OR10)-IF(K10="",0,K10),""),"")</f>
        <v/>
      </c>
      <c r="CV10" s="80" t="str">
        <f>IF(M10&gt;=0.001,IF(MAX(DU10,EU10,FU10,GU10,HU10,IU10,JU10,KU10,LU10,MU10,NU10,OU10)-IF(M10="",0,M10)&gt;0.001,MAX(DU10,EU10,FU10,GU10,HU10,IU10,JU10,KU10,LU10,MU10,NU10,OU10)-IF(M10="",0,M10),""),"")</f>
        <v/>
      </c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79" t="str">
        <f>IF(SUM(CX10,DB10)&gt;0,SUM(CX10,DB10),"")</f>
        <v/>
      </c>
      <c r="DR10" s="79" t="str">
        <f>IF(SUM(CW10:CX10,CZ10:DB10,DD10)-CY10-DC10&gt;0,SUM(CW10:CX10,CZ10:DB10,DD10)-CY10-DC10,"")</f>
        <v/>
      </c>
      <c r="DS10" s="79" t="str">
        <f>IF(SUM(DE10:DF10,DH10)-DG10&gt;0,SUM(DE10:DF10,DH10)-DG10,"")</f>
        <v/>
      </c>
      <c r="DT10" s="79" t="str">
        <f>IF(SUM(DJ10,DN10)&gt;0,SUM(DJ10,DN10),"")</f>
        <v/>
      </c>
      <c r="DU10" s="79" t="str">
        <f>IF(SUM(DI10:DJ10,DL10:DN10,DP10)-SUM(DK10,DO10)&gt;0,SUM(DI10:DJ10,DL10:DN10,DP10)-SUM(DK10,DO10),"")</f>
        <v/>
      </c>
      <c r="DV10" s="79" t="str">
        <f>IF(SUM(DR10,DU10)&gt;0,SUM(DR10,DU10),"")</f>
        <v/>
      </c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0" t="str">
        <f>IF(SUM(DX10,EB10)&gt;0,SUM(DX10,EB10),"")</f>
        <v/>
      </c>
      <c r="ER10" s="20" t="str">
        <f>IF(SUM(DW10:DX10,DZ10:EB10,ED10)-DY10-EC10&gt;0,SUM(DW10:DX10,DZ10:EB10,ED10)-DY10-EC10,"")</f>
        <v/>
      </c>
      <c r="ES10" s="20" t="str">
        <f>IF(SUM(EE10:EF10,EH10)-EG10&gt;0,SUM(EE10:EF10,EH10)-EG10,"")</f>
        <v/>
      </c>
      <c r="ET10" s="20" t="str">
        <f>IF(SUM(EJ10,EN10)&gt;0,SUM(EJ10,EN10),"")</f>
        <v/>
      </c>
      <c r="EU10" s="20" t="str">
        <f>IF(SUM(EI10:EJ10,EL10:EN10,EP10)-SUM(EK10,EO10)&gt;0,SUM(EI10:EJ10,EL10:EN10,EP10)-SUM(EK10,EO10),"")</f>
        <v/>
      </c>
      <c r="EV10" s="20" t="str">
        <f>IF(SUM(ER10,EU10)&gt;0,SUM(ER10,EU10),"")</f>
        <v/>
      </c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79" t="str">
        <f>IF(SUM(EX10,FB10)&gt;0,SUM(EX10,FB10),"")</f>
        <v/>
      </c>
      <c r="FR10" s="79" t="str">
        <f>IF(SUM(EW10:EX10,EZ10:FB10,FD10)-EY10-FC10&gt;0,SUM(EW10:EX10,EZ10:FB10,FD10)-EY10-FC10,"")</f>
        <v/>
      </c>
      <c r="FS10" s="79" t="str">
        <f>IF(SUM(FE10:FF10,FH10)-FG10&gt;0,SUM(FE10:FF10,FH10)-FG10,"")</f>
        <v/>
      </c>
      <c r="FT10" s="79" t="str">
        <f>IF(SUM(FJ10,FN10)&gt;0,SUM(FJ10,FN10),"")</f>
        <v/>
      </c>
      <c r="FU10" s="79" t="str">
        <f>IF(SUM(FI10:FJ10,FL10:FN10,FP10)-SUM(FK10,FO10)&gt;0,SUM(FI10:FJ10,FL10:FN10,FP10)-SUM(FK10,FO10),"")</f>
        <v/>
      </c>
      <c r="FV10" s="79" t="str">
        <f>IF(SUM(FR10,FU10)&gt;0,SUM(FR10,FU10),"")</f>
        <v/>
      </c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0" t="str">
        <f>IF(SUM(FX10,GB10)&gt;0,SUM(FX10,GB10),"")</f>
        <v/>
      </c>
      <c r="GR10" s="20" t="str">
        <f>IF(SUM(FW10:FX10,FZ10:GB10,GD10)-FY10-GC10&gt;0,SUM(FW10:FX10,FZ10:GB10,GD10)-FY10-GC10,"")</f>
        <v/>
      </c>
      <c r="GS10" s="20" t="str">
        <f>IF(SUM(GE10:GF10,GH10)-GG10&gt;0,SUM(GE10:GF10,GH10)-GG10,"")</f>
        <v/>
      </c>
      <c r="GT10" s="20" t="str">
        <f>IF(SUM(GJ10,GN10)&gt;0,SUM(GJ10,GN10),"")</f>
        <v/>
      </c>
      <c r="GU10" s="20" t="str">
        <f>IF(SUM(GI10:GJ10,GL10:GN10,GP10)-SUM(GK10,GO10)&gt;0,SUM(GI10:GJ10,GL10:GN10,GP10)-SUM(GK10,GO10),"")</f>
        <v/>
      </c>
      <c r="GV10" s="20" t="str">
        <f>IF(SUM(GR10,GU10)&gt;0,SUM(GR10,GU10),"")</f>
        <v/>
      </c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79" t="str">
        <f>IF(SUM(GX10,HB10)&gt;0,SUM(GX10,HB10),"")</f>
        <v/>
      </c>
      <c r="HR10" s="79" t="str">
        <f>IF(SUM(GW10:GX10,GZ10:HB10,HD10)-GY10-HC10&gt;0,SUM(GW10:GX10,GZ10:HB10,HD10)-GY10-HC10,"")</f>
        <v/>
      </c>
      <c r="HS10" s="79" t="str">
        <f>IF(SUM(HE10:HF10,HH10)-HG10&gt;0,SUM(HE10:HF10,HH10)-HG10,"")</f>
        <v/>
      </c>
      <c r="HT10" s="79" t="str">
        <f>IF(SUM(HJ10,HN10)&gt;0,SUM(HJ10,HN10),"")</f>
        <v/>
      </c>
      <c r="HU10" s="79" t="str">
        <f>IF(SUM(HI10:HJ10,HL10:HN10,HP10)-SUM(HK10,HO10)&gt;0,SUM(HI10:HJ10,HL10:HN10,HP10)-SUM(HK10,HO10),"")</f>
        <v/>
      </c>
      <c r="HV10" s="79" t="str">
        <f>IF(SUM(HR10,HU10)&gt;0,SUM(HR10,HU10),"")</f>
        <v/>
      </c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0" t="str">
        <f>IF(SUM(HX10,IB10)&gt;0,SUM(HX10,IB10),"")</f>
        <v/>
      </c>
      <c r="IR10" s="20" t="str">
        <f>IF(SUM(HW10:HX10,HZ10:IB10,ID10)-HY10-IC10&gt;0,SUM(HW10:HX10,HZ10:IB10,ID10)-HY10-IC10,"")</f>
        <v/>
      </c>
      <c r="IS10" s="20" t="str">
        <f>IF(SUM(IE10:IF10,IH10)-IG10&gt;0,SUM(IE10:IF10,IH10)-IG10,"")</f>
        <v/>
      </c>
      <c r="IT10" s="20" t="str">
        <f>IF(SUM(IJ10,IN10)&gt;0,SUM(IJ10,IN10),"")</f>
        <v/>
      </c>
      <c r="IU10" s="20" t="str">
        <f>IF(SUM(II10:IJ10,IL10:IN10,IP10)-SUM(IK10,IO10)&gt;0,SUM(II10:IJ10,IL10:IN10,IP10)-SUM(IK10,IO10),"")</f>
        <v/>
      </c>
      <c r="IV10" s="20" t="str">
        <f>IF(SUM(IR10,IU10)&gt;0,SUM(IR10,IU10),"")</f>
        <v/>
      </c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79" t="str">
        <f>IF(SUM(IX10,JB10)&gt;0,SUM(IX10,JB10),"")</f>
        <v/>
      </c>
      <c r="JR10" s="79" t="str">
        <f>IF(SUM(IW10:IX10,IZ10:JB10,JD10)-IY10-JC10&gt;0,SUM(IW10:IX10,IZ10:JB10,JD10)-IY10-JC10,"")</f>
        <v/>
      </c>
      <c r="JS10" s="79" t="str">
        <f>IF(SUM(JE10:JF10,JH10)-JG10&gt;0,SUM(JE10:JF10,JH10)-JG10,"")</f>
        <v/>
      </c>
      <c r="JT10" s="79" t="str">
        <f>IF(SUM(JJ10,JN10)&gt;0,SUM(JJ10,JN10),"")</f>
        <v/>
      </c>
      <c r="JU10" s="79" t="str">
        <f>IF(SUM(JI10:JJ10,JL10:JN10,JP10)-SUM(JK10,JO10)&gt;0,SUM(JI10:JJ10,JL10:JN10,JP10)-SUM(JK10,JO10),"")</f>
        <v/>
      </c>
      <c r="JV10" s="79" t="str">
        <f>IF(SUM(JR10,JU10)&gt;0,SUM(JR10,JU10),"")</f>
        <v/>
      </c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0" t="str">
        <f>IF(SUM(JX10,KB10)&gt;0,SUM(JX10,KB10),"")</f>
        <v/>
      </c>
      <c r="KR10" s="20" t="str">
        <f>IF(SUM(JW10:JX10,JZ10:KB10,KD10)-JY10-KC10&gt;0,SUM(JW10:JX10,JZ10:KB10,KD10)-JY10-KC10,"")</f>
        <v/>
      </c>
      <c r="KS10" s="20" t="str">
        <f>IF(SUM(KE10:KF10,KH10)-KG10&gt;0,SUM(KE10:KF10,KH10)-KG10,"")</f>
        <v/>
      </c>
      <c r="KT10" s="20" t="str">
        <f>IF(SUM(KJ10,KN10)&gt;0,SUM(KJ10,KN10),"")</f>
        <v/>
      </c>
      <c r="KU10" s="20" t="str">
        <f>IF(SUM(KI10:KJ10,KL10:KN10,KP10)-SUM(KK10,KO10)&gt;0,SUM(KI10:KJ10,KL10:KN10,KP10)-SUM(KK10,KO10),"")</f>
        <v/>
      </c>
      <c r="KV10" s="20" t="str">
        <f>IF(SUM(KR10,KU10)&gt;0,SUM(KR10,KU10),"")</f>
        <v/>
      </c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79" t="str">
        <f>IF(SUM(KX10,LB10)&gt;0,SUM(KX10,LB10),"")</f>
        <v/>
      </c>
      <c r="LR10" s="79" t="str">
        <f>IF(SUM(KW10:KX10,KZ10:LB10,LD10)-KY10-LC10&gt;0,SUM(KW10:KX10,KZ10:LB10,LD10)-KY10-LC10,"")</f>
        <v/>
      </c>
      <c r="LS10" s="79" t="str">
        <f>IF(SUM(LE10:LF10,LH10)-LG10&gt;0,SUM(LE10:LF10,LH10)-LG10,"")</f>
        <v/>
      </c>
      <c r="LT10" s="79" t="str">
        <f>IF(SUM(LJ10,LN10)&gt;0,SUM(LJ10,LN10),"")</f>
        <v/>
      </c>
      <c r="LU10" s="79" t="str">
        <f>IF(SUM(LI10:LJ10,LL10:LN10,LP10)-SUM(LK10,LO10)&gt;0,SUM(LI10:LJ10,LL10:LN10,LP10)-SUM(LK10,LO10),"")</f>
        <v/>
      </c>
      <c r="LV10" s="79" t="str">
        <f>IF(SUM(LR10,LU10)&gt;0,SUM(LR10,LU10),"")</f>
        <v/>
      </c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0" t="str">
        <f>IF(SUM(LX10,MB10)&gt;0,SUM(LX10,MB10),"")</f>
        <v/>
      </c>
      <c r="MR10" s="20" t="str">
        <f>IF(SUM(LW10:LX10,LZ10:MB10,MD10)-LY10-MC10&gt;0,SUM(LW10:LX10,LZ10:MB10,MD10)-LY10-MC10,"")</f>
        <v/>
      </c>
      <c r="MS10" s="20" t="str">
        <f>IF(SUM(ME10:MF10,MH10)-MG10&gt;0,SUM(ME10:MF10,MH10)-MG10,"")</f>
        <v/>
      </c>
      <c r="MT10" s="20" t="str">
        <f>IF(SUM(MJ10,MN10)&gt;0,SUM(MJ10,MN10),"")</f>
        <v/>
      </c>
      <c r="MU10" s="20" t="str">
        <f>IF(SUM(MI10:MJ10,ML10:MN10,MP10)-SUM(MK10,MO10)&gt;0,SUM(MI10:MJ10,ML10:MN10,MP10)-SUM(MK10,MO10),"")</f>
        <v/>
      </c>
      <c r="MV10" s="20" t="str">
        <f>IF(SUM(MR10,MU10)&gt;0,SUM(MR10,MU10),"")</f>
        <v/>
      </c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79" t="str">
        <f>IF(SUM(MX10,NB10)&gt;0,SUM(MX10,NB10),"")</f>
        <v/>
      </c>
      <c r="NR10" s="79" t="str">
        <f>IF(SUM(MW10:MX10,MZ10:NB10,ND10)-MY10-NC10&gt;0,SUM(MW10:MX10,MZ10:NB10,ND10)-MY10-NC10,"")</f>
        <v/>
      </c>
      <c r="NS10" s="79" t="str">
        <f>IF(SUM(NE10:NF10,NH10)-NG10&gt;0,SUM(NE10:NF10,NH10)-NG10,"")</f>
        <v/>
      </c>
      <c r="NT10" s="79" t="str">
        <f>IF(SUM(NJ10,NN10)&gt;0,SUM(NJ10,NN10),"")</f>
        <v/>
      </c>
      <c r="NU10" s="79" t="str">
        <f>IF(SUM(NI10:NJ10,NL10:NN10,NP10)-SUM(NK10,NO10)&gt;0,SUM(NI10:NJ10,NL10:NN10,NP10)-SUM(NK10,NO10),"")</f>
        <v/>
      </c>
      <c r="NV10" s="79" t="str">
        <f>IF(SUM(NR10,NU10)&gt;0,SUM(NR10,NU10),"")</f>
        <v/>
      </c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0" t="str">
        <f>IF(SUM(NX10,OB10)&gt;0,SUM(NX10,OB10),"")</f>
        <v/>
      </c>
      <c r="OR10" s="20" t="str">
        <f>IF(SUM(NW10:NX10,NZ10:OB10,OD10)-NY10-OC10&gt;0,SUM(NW10:NX10,NZ10:OB10,OD10)-NY10-OC10,"")</f>
        <v/>
      </c>
      <c r="OS10" s="20" t="str">
        <f>IF(SUM(OE10:OF10,OH10)-OG10&gt;0,SUM(OE10:OF10,OH10)-OG10,"")</f>
        <v/>
      </c>
      <c r="OT10" s="20" t="str">
        <f>IF(SUM(OJ10,ON10)&gt;0,SUM(OJ10,ON10),"")</f>
        <v/>
      </c>
      <c r="OU10" s="20" t="str">
        <f>IF(SUM(OI10:OJ10,OL10:ON10,OP10)-SUM(OK10,OO10)&gt;0,SUM(OI10:OJ10,OL10:ON10,OP10)-SUM(OK10,OO10),"")</f>
        <v/>
      </c>
      <c r="OV10" s="20" t="str">
        <f>IF(SUM(OR10,OU10)&gt;0,SUM(OR10,OU10),"")</f>
        <v/>
      </c>
      <c r="OW10" s="38">
        <f>IF($CN10="P",BT10,(BT10+AS10)/2)</f>
        <v>8.25</v>
      </c>
      <c r="OX10" s="38">
        <f>IF($CN10="P",BU10,(BU10+AT10)/2)</f>
        <v>2.0499999999999998</v>
      </c>
      <c r="OY10" s="38">
        <f>IF($CN10="P",BV10,(BV10+AU10)/2)</f>
        <v>0</v>
      </c>
      <c r="OZ10" s="38">
        <f>IF($CN10="P",BW10,(BW10+AV10)/2)</f>
        <v>0.15</v>
      </c>
      <c r="PA10" s="38">
        <f>IF($CN10="P",BX10,(BX10+AW10)/2)</f>
        <v>8.25</v>
      </c>
      <c r="PB10" s="38">
        <f>IF($CN10="P",BY10,(BY10+AX10)/2)</f>
        <v>1.95</v>
      </c>
      <c r="PC10" s="38">
        <f>IF($CN10="P",BZ10,(BZ10+AY10)/2)</f>
        <v>0</v>
      </c>
      <c r="PD10" s="38">
        <f>IF($CN10="P",CA10,(CA10+AZ10)/2)</f>
        <v>0.15</v>
      </c>
      <c r="PE10" s="38">
        <f>IF($CN10="P",CB10,(CB10+BA10)/2)</f>
        <v>0</v>
      </c>
      <c r="PF10" s="38">
        <f>IF($CN10="P",CC10,(CC10+BB10)/2)</f>
        <v>0</v>
      </c>
      <c r="PG10" s="38">
        <f>IF($CN10="P",CD10,(CD10+BC10)/2)</f>
        <v>0</v>
      </c>
      <c r="PH10" s="38">
        <f>IF($CN10="P",CE10,(CE10+BD10)/2)</f>
        <v>0</v>
      </c>
      <c r="PI10" s="38">
        <f>IF($CN10="P",CF10,(CF10+BE10)/2)</f>
        <v>8.35</v>
      </c>
      <c r="PJ10" s="38">
        <f>IF($CN10="P",CG10,(CG10+BF10)/2)</f>
        <v>2.0499999999999998</v>
      </c>
      <c r="PK10" s="38">
        <f>IF($CN10="P",CH10,(CH10+BG10)/2)</f>
        <v>0</v>
      </c>
      <c r="PL10" s="38">
        <f>IF($CN10="P",CI10,(CI10+BH10)/2)</f>
        <v>0.15</v>
      </c>
      <c r="PM10" s="38">
        <f>IF($CN10="P",CJ10,(CJ10+BI10)/2)</f>
        <v>8.43</v>
      </c>
      <c r="PN10" s="38">
        <f>IF($CN10="P",CK10,(CK10+BJ10)/2)</f>
        <v>1.95</v>
      </c>
      <c r="PO10" s="38">
        <f>IF($CN10="P",CL10,(CL10+BK10)/2)</f>
        <v>0</v>
      </c>
      <c r="PP10" s="38">
        <f>IF($CN10="P",CM10,(CM10+BL10)/2)</f>
        <v>0.15</v>
      </c>
      <c r="PQ10" s="45" t="s">
        <v>46</v>
      </c>
      <c r="PR10" s="79">
        <f>IF(SUM(OX10,PB10)&gt;0,SUM(OX10,PB10),"")</f>
        <v>4</v>
      </c>
      <c r="PS10" s="79">
        <f>IF(SUM(OW10:OX10,OZ10:PB10,PD10)-OY10-PC10&gt;0,SUM(OW10:OX10,OZ10:PB10,PD10)-OY10-PC10,"")</f>
        <v>20.8</v>
      </c>
      <c r="PT10" s="79" t="str">
        <f>IF(SUM(PE10:PF10,PH10)-PG10&gt;0,SUM(PE10:PF10,PH10)-PG10,"")</f>
        <v/>
      </c>
      <c r="PU10" s="79">
        <f>IF(SUM(PJ10,PN10)&gt;0,SUM(PJ10,PN10),"")</f>
        <v>4</v>
      </c>
      <c r="PV10" s="79">
        <f>IF(SUM(PI10:PJ10,PL10:PN10,PP10)-SUM(PK10,PO10)&gt;0,SUM(PI10:PJ10,PL10:PN10,PP10)-SUM(PK10,PO10),"")</f>
        <v>21.079999999999995</v>
      </c>
      <c r="PW10" s="79">
        <f>IF(SUM(PS10,PV10)&gt;0,SUM(PS10,PV10),"")</f>
        <v>41.879999999999995</v>
      </c>
    </row>
    <row r="11" spans="1:439" x14ac:dyDescent="0.2">
      <c r="A11" s="5" t="str">
        <f>IF(AND(F11="P",G11="P"),SUMPRODUCT((F$4:F$21="P")*(G$4:G$21="P")*(E$4:E$21&gt;E11))+1,IF(G11="P",SUMPRODUCT((F$4:F$21="")*(G$4:G$21="P")*(E$4:E$21&gt;E11))+1+SUMPRODUCT((F$4:F$21="P")*(G$4:G$21="P")),""))</f>
        <v/>
      </c>
      <c r="B11" s="78" t="s">
        <v>97</v>
      </c>
      <c r="C11" s="5" t="s">
        <v>5</v>
      </c>
      <c r="D11" s="5">
        <v>2001</v>
      </c>
      <c r="E11" s="15">
        <f>SUM(I11:O11)+SUM(I11:M11)*0.0000001+SUM(I11)*0.0000000000001</f>
        <v>81.220008122003961</v>
      </c>
      <c r="F11" s="3" t="str">
        <f>IF(OR(AND(AM11&gt;=AR$23,AN11&gt;=AR$27,AM11&lt;&gt;"",AL11=""),AND(AP11&gt;=AR$23,AQ11&gt;=AR$27,AP11&lt;&gt;"",AL11=""),AND(BN11&gt;=BS$23,BO11&gt;=BS$27,BN11&lt;&gt;"",BM11=""),AND(BQ11&gt;=BS$23,BR11&gt;=BS$27,BQ11&lt;&gt;"",BM11=""),AND(CO11&gt;=CT$23,CP11&gt;=CT$27,CO11&lt;&gt;"",CN11=""),AND(CR11&gt;=CT$23,CS11&gt;=CT$27,CR11&lt;&gt;""),AND(DQ11&gt;=DV$23,DR11&gt;=DV$27,DQ11&lt;&gt;""),AND(DT11&gt;=DV$23,DU11&gt;=DV$27,DT11&lt;&gt;""),AND(EQ11&gt;=EV$23,ER11&gt;=EV$27,EQ11&lt;&gt;""),AND(ET11&gt;=EV$23,EU11&gt;=EV$27,ET11&lt;&gt;""),AND(FQ11&gt;=FV$23,FR11&gt;=FV$27,FQ11&lt;&gt;""),AND(FT11&gt;=FV$23,FU11&gt;=FV$27,FT11&lt;&gt;""),AND(GQ11&gt;=GV$23,GR11&gt;=GV$27,GQ11&lt;&gt;""),AND(GT11&gt;=GV$23,GU11&gt;=GV$27,GT11&lt;&gt;""),AND(HQ11&gt;=HV$23,HR11&gt;=HV$27,HQ11&lt;&gt;""),AND(HT11&gt;=HV$23,HU11&gt;=HV$27,HT11&lt;&gt;""),AND(IQ11&gt;=IV$23,IR11&gt;=IV$27,IQ11&lt;&gt;""),AND(IT11&gt;=IV$23,IU11&gt;=IV$27,IT11&lt;&gt;""),AND(JQ11&gt;=JV$23,JR11&gt;=JV$27,JQ11&lt;&gt;""),AND(JT11&gt;=JV$23,JU11&gt;=JV$27,JT11&lt;&gt;""),AND(KQ11&gt;=KV$23,KR11&gt;=KV$27,KQ11&lt;&gt;""),AND(KT11&gt;=KV$23,KU11&gt;=KV$27,KT11&lt;&gt;""),AND(LQ11&gt;=LV$23,LR11&gt;=LV$27,LQ11&lt;&gt;""),AND(LT11&gt;=LV$23,LU11&gt;=LV$27,LT11&lt;&gt;""),AND(MQ11&gt;=MV$23,MR11&gt;=MV$27,MQ11&lt;&gt;""),AND(MT11&gt;=MV$23,MU11&gt;=MV$27,MT11&lt;&gt;""),AND(NQ11&gt;=NV$23,NR11&gt;=NV$27,NQ11&lt;&gt;""),AND(NT11&gt;=NV$23,NU11&gt;=NV$27,NT11&lt;&gt;""),AND(OQ11&gt;=OV$23,OR11&gt;=OV$27,OQ11&lt;&gt;""),AND(OT11&gt;=OV$23,OU11&gt;=OV$27,OT11&lt;&gt;"")),"P","")</f>
        <v/>
      </c>
      <c r="G11" s="3" t="str">
        <f>IF(OR(AND(AN11&gt;=AR$27,AN11&lt;&gt;"",AL11=""),AND(AQ11&gt;=AR$27,AQ11&lt;&gt;"",AL11=""),AND(BO11&gt;=BS$27,BO11&lt;&gt;"",BM11=""),AND(BR11&gt;=BS$27,BR11&lt;&gt;"",BM11=""),AND(CP11&gt;=CT$27,CP11&lt;&gt;"",CN11=""),AND(CS11&gt;=CT$27,CS11&lt;&gt;"",CN11=""),AND(DR11&gt;=DV$27,DR11&lt;&gt;""),AND(DU11&gt;=DV$27,DU11&lt;&gt;""),AND(ER11&gt;=EV$27,ER11&lt;&gt;""),AND(EU11&gt;=EV$27,EU11&lt;&gt;""),AND(FR11&gt;=FV$27,FR11&lt;&gt;""),AND(FU11&gt;=FV$27,FU11&lt;&gt;""),AND(GR11&gt;=GV$27,GR11&lt;&gt;""),AND(GU11&gt;=GV$27,GU11&lt;&gt;""),AND(HR11&gt;=HV$27,HR11&lt;&gt;""),AND(HU11&gt;=HV$27,HU11&lt;&gt;""),AND(IR11&gt;=IV$27,IR11&lt;&gt;""),AND(IU11&gt;=IV$27,IU11&lt;&gt;""),AND(JR11&gt;=JV$27,JR11&lt;&gt;""),AND(JU11&gt;=JV$27,JU11&lt;&gt;""),AND(KR11&gt;=KV$27,KR11&lt;&gt;""),AND(KU11&gt;=KV$27,KU11&lt;&gt;""),AND(LR11&gt;=LV$27,LR11&lt;&gt;""),AND(LU11&gt;=LV$27,LU11&lt;&gt;""),AND(MR11&gt;=MV$27,MR11&lt;&gt;""),AND(MU11&gt;=MV$27,MU11&lt;&gt;""),AND(NR11&gt;=NV$27,NR11&lt;&gt;""),AND(NU11&gt;=NV$27,NU11&lt;&gt;""),AND(OR11&gt;=OV$27,OR11&lt;&gt;""),AND(OU11&gt;=OV$27,OU11&lt;&gt;"")),"P","")</f>
        <v/>
      </c>
      <c r="H11" s="67" t="str">
        <f>IF(AND(G11="P",F11=""),"No DD",IF(OR(AND(AM11&gt;=AR$26,AN11&gt;=AR$30,AM11&lt;&gt;"",AL11=""),AND(AP11&gt;=AR$26,AQ11&gt;=AR$30,AP11&lt;&gt;"",AL11=""),AND(BN11&gt;=BS$26,BO11&gt;=BS$30,BN11&lt;&gt;"",BM11=""),AND(BQ11&gt;=BS$26,BR11&gt;=BS$30,BQ11&lt;&gt;"",BM11=""),AND(CO11&gt;=CT$26,CP11&gt;=CT$30,CO11&lt;&gt;"",CN11=""),AND(CR11&gt;=CT$26,CS11&gt;=CT$30,CR11&lt;&gt;""),AND(DQ11&gt;=DV$26,DR11&gt;=DV$30,DQ11&lt;&gt;""),AND(DT11&gt;=DV$26,DU11&gt;=DV$30,DT11&lt;&gt;""),AND(EQ11&gt;=EV$26,ER11&gt;=EV$30,EQ11&lt;&gt;""),AND(ET11&gt;=EV$26,EU11&gt;=EV$30,ET11&lt;&gt;""),AND(FQ11&gt;=FV$26,FR11&gt;=FV$30,FQ11&lt;&gt;""),AND(FT11&gt;=FV$26,FU11&gt;=FV$30,FT11&lt;&gt;""),AND(GQ11&gt;=GV$26,GR11&gt;=GV$30,GQ11&lt;&gt;""),AND(GT11&gt;=GV$26,GU11&gt;=GV$30,GT11&lt;&gt;""),AND(HQ11&gt;=HV$26,HR11&gt;=HV$30,HQ11&lt;&gt;""),AND(HT11&gt;=HV$26,HU11&gt;=HV$30,HT11&lt;&gt;""),AND(IQ11&gt;=IV$26,IR11&gt;=IV$30,IQ11&lt;&gt;""),AND(IT11&gt;=IV$26,IU11&gt;=IV$30,IT11&lt;&gt;""),AND(JQ11&gt;=JV$26,JR11&gt;=JV$30,JQ11&lt;&gt;""),AND(JT11&gt;=JV$26,JU11&gt;=JV$30,JT11&lt;&gt;""),AND(KQ11&gt;=KV$26,KR11&gt;=KV$30,KQ11&lt;&gt;""),AND(KT11&gt;=KV$26,KU11&gt;=KV$30,KT11&lt;&gt;""),AND(LQ11&gt;=LV$26,LR11&gt;=LV$30,LQ11&lt;&gt;""),AND(LT11&gt;=LV$26,LU11&gt;=LV$30,LT11&lt;&gt;""),AND(MQ11&gt;=MV$26,MR11&gt;=MV$30,MQ11&lt;&gt;""),AND(MT11&gt;=MV$26,MU11&gt;=MV$30,MT11&lt;&gt;""),AND(NQ11&gt;=NV$26,NR11&gt;=NV$30,NQ11&lt;&gt;""),AND(NT11&gt;=NV$26,NU11&gt;=NV$30,NT11&lt;&gt;""),AND(OQ11&gt;=OV$26,OR11&gt;=OV$30,OQ11&lt;&gt;""),AND(OT11&gt;=OV$26,OU11&gt;=OV$30,OT11&lt;&gt;"")),"Merit",IF(OR(AND(AM11&gt;=AR$25,AN11&gt;=AR$29,AM11&lt;&gt;"",AL11=""),AND(AP11&gt;=AR$25,AQ11&gt;=AR$29,AP11&lt;&gt;"",AL11=""),AND(BN11&gt;=BS$25,BO11&gt;=BS$29,BN11&lt;&gt;"",BM11=""),AND(BQ11&gt;=BS$25,BR11&gt;=BS$29,BQ11&lt;&gt;"",BM11=""),AND(CO11&gt;=CT$25,CP11&gt;=CT$29,CO11&lt;&gt;"",CN11=""),AND(CR11&gt;=CT$25,CS11&gt;=CT$29,CR11&lt;&gt;""),AND(DQ11&gt;=DV$25,DR11&gt;=DV$29,DQ11&lt;&gt;""),AND(DT11&gt;=DV$25,DU11&gt;=DV$29,DT11&lt;&gt;""),AND(EQ11&gt;=EV$25,ER11&gt;=EV$29,EQ11&lt;&gt;""),AND(ET11&gt;=EV$25,EU11&gt;=EV$29,ET11&lt;&gt;""),AND(FQ11&gt;=FV$25,FR11&gt;=FV$29,FQ11&lt;&gt;""),AND(FT11&gt;=FV$25,FU11&gt;=FV$29,FT11&lt;&gt;""),AND(GQ11&gt;=GV$25,GR11&gt;=GV$29,GQ11&lt;&gt;""),AND(GT11&gt;=GV$25,GU11&gt;=GV$29,GT11&lt;&gt;""),AND(HQ11&gt;=HV$25,HR11&gt;=HV$29,HQ11&lt;&gt;""),AND(HT11&gt;=HV$25,HU11&gt;=HV$29,HT11&lt;&gt;""),AND(IQ11&gt;=IV$25,IR11&gt;=IV$29,IQ11&lt;&gt;""),AND(IT11&gt;=IV$25,IU11&gt;=IV$29,IT11&lt;&gt;""),AND(JQ11&gt;=JV$25,JR11&gt;=JV$29,JQ11&lt;&gt;""),AND(JT11&gt;=JV$25,JU11&gt;=JV$29,JT11&lt;&gt;""),AND(KQ11&gt;=KV$25,KR11&gt;=KV$29,KQ11&lt;&gt;""),AND(KT11&gt;=KV$25,KU11&gt;=KV$29,KT11&lt;&gt;""),AND(LQ11&gt;=LV$25,LR11&gt;=LV$29,LQ11&lt;&gt;""),AND(LT11&gt;=LV$25,LU11&gt;=LV$29,LT11&lt;&gt;""),AND(MQ11&gt;=MV$25,MR11&gt;=MV$29,MQ11&lt;&gt;""),AND(MT11&gt;=MV$25,MU11&gt;=MV$29,MT11&lt;&gt;""),AND(NQ11&gt;=NV$25,NR11&gt;=NV$29,NQ11&lt;&gt;""),AND(NT11&gt;=NV$25,NU11&gt;=NV$29,NT11&lt;&gt;""),AND(OQ11&gt;=OV$25,OR11&gt;=OV$29,OQ11&lt;&gt;""),AND(OT11&gt;=OV$25,OU11&gt;=OV$29,OT11&lt;&gt;"")),"Excellence",IF(F11="P","National Team",""))))</f>
        <v/>
      </c>
      <c r="I11" s="14">
        <f>IF(COUNT(AN11,BO11,CP11)&gt;0,LARGE((AN11,BO11,CP11),1),0)</f>
        <v>39.699999999999996</v>
      </c>
      <c r="J11" s="14" t="str">
        <f>IF(I11=0,"",IF(I11=CP11,$BT$1,IF(I11=BO11,$AS$1,IF(I11=AN11,$R$1,""))))</f>
        <v>2022 Elite Canada</v>
      </c>
      <c r="K11" s="14">
        <f>IF(COUNT(AN11,BO11,CP11)&gt;1,LARGE((AN11,BO11,CP11),2),0)</f>
        <v>0</v>
      </c>
      <c r="L11" s="14" t="str">
        <f>IF(K11=0,"",IF(K11=CP11,$BT$1,IF(K11=BO11,$AS$1,IF(K11=AN11,$R$1,""))))</f>
        <v/>
      </c>
      <c r="M11" s="14">
        <f>IF(MAX(AQ11,BR11,CS11)&gt;0,MAX(AQ11,BR11,CS11),0)</f>
        <v>41.519999999999996</v>
      </c>
      <c r="N11" s="14" t="str">
        <f>IF(M11=0,"",IF(M11=CS11,$BT$1,IF(M11=BR11,$AS$1,IF(M11=AQ11,$R$1,""))))</f>
        <v>2022 Elite Canada</v>
      </c>
      <c r="O11" s="14" t="str">
        <f>IF(MAX(CU11:CV11)&gt;0,MAX(CU11:CV11),"")</f>
        <v/>
      </c>
      <c r="P11" s="20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45"/>
      <c r="AM11" s="79" t="str">
        <f>IF(SUM(S11,W11)&gt;0,SUM(S11,W11),"")</f>
        <v/>
      </c>
      <c r="AN11" s="79" t="str">
        <f>IF(SUM(R11:S11,U11:W11,Y11)-T11-X11&gt;0,SUM(R11:S11,U11:W11,Y11)-T11-X11,"")</f>
        <v/>
      </c>
      <c r="AO11" s="79" t="str">
        <f>IF(SUM(Z11:AA11,AC11)-AB11&gt;0,SUM(Z11:AA11,AC11)-AB11,"")</f>
        <v/>
      </c>
      <c r="AP11" s="79" t="str">
        <f>IF(SUM(AE11,AI11)&gt;0,SUM(AE11,AI11),"")</f>
        <v/>
      </c>
      <c r="AQ11" s="79" t="str">
        <f>IF(SUM(AD11:AE11,AG11:AI11,AK11)-SUM(AF11,AJ11)&gt;0,SUM(AD11:AE11,AG11:AI11,AK11)-SUM(AF11,AJ11),"")</f>
        <v/>
      </c>
      <c r="AR11" s="79" t="str">
        <f>IF(SUM(AN11,AQ11)&gt;0,SUM(AN11,AQ11),"")</f>
        <v/>
      </c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46"/>
      <c r="BN11" s="20" t="str">
        <f>IF(SUM(AT11,AX11)&gt;0,SUM(AT11,AX11),"")</f>
        <v/>
      </c>
      <c r="BO11" s="20" t="str">
        <f>IF(SUM(AS11:AT11,AV11:AX11,AZ11)-AU11-AY11&gt;0,SUM(AS11:AT11,AV11:AX11,AZ11)-AU11-AY11,"")</f>
        <v/>
      </c>
      <c r="BP11" s="20" t="str">
        <f>IF(SUM(BA11:BB11,BD11)-BC11&gt;0,SUM(BA11:BB11,BD11)-BC11,"")</f>
        <v/>
      </c>
      <c r="BQ11" s="20" t="str">
        <f>IF(SUM(BF11,BJ11)&gt;0,SUM(BF11,BJ11),"")</f>
        <v/>
      </c>
      <c r="BR11" s="20" t="str">
        <f>IF(SUM(BE11:BF11,BH11:BJ11,BL11)-SUM(BG11,BK11)&gt;0,SUM(BE11:BF11,BH11:BJ11,BL11)-SUM(BG11,BK11),"")</f>
        <v/>
      </c>
      <c r="BS11" s="20" t="str">
        <f>IF(SUM(BO11,BR11)&gt;0,SUM(BO11,BR11),"")</f>
        <v/>
      </c>
      <c r="BT11" s="27">
        <v>14.8</v>
      </c>
      <c r="BU11" s="27">
        <v>4.0999999999999996</v>
      </c>
      <c r="BV11" s="27">
        <v>0</v>
      </c>
      <c r="BW11" s="27">
        <v>0.3</v>
      </c>
      <c r="BX11" s="27">
        <v>16.3</v>
      </c>
      <c r="BY11" s="27">
        <v>3.9</v>
      </c>
      <c r="BZ11" s="27">
        <v>0</v>
      </c>
      <c r="CA11" s="27">
        <v>0.3</v>
      </c>
      <c r="CB11" s="27"/>
      <c r="CC11" s="27"/>
      <c r="CD11" s="27"/>
      <c r="CE11" s="27"/>
      <c r="CF11" s="27">
        <v>16.5</v>
      </c>
      <c r="CG11" s="27">
        <v>4.0999999999999996</v>
      </c>
      <c r="CH11" s="27">
        <v>0</v>
      </c>
      <c r="CI11" s="27">
        <v>0.3</v>
      </c>
      <c r="CJ11" s="27">
        <v>16.62</v>
      </c>
      <c r="CK11" s="27">
        <v>3.9</v>
      </c>
      <c r="CL11" s="27">
        <v>0.2</v>
      </c>
      <c r="CM11" s="27">
        <v>0.3</v>
      </c>
      <c r="CN11" s="45"/>
      <c r="CO11" s="79">
        <f>IF(SUM(BU11,BY11)&gt;0,SUM(BU11,BY11),"")</f>
        <v>8</v>
      </c>
      <c r="CP11" s="79">
        <f>IF(SUM(BT11:BU11,BW11:BY11,CA11)-BV11-BZ11&gt;0,SUM(BT11:BU11,BW11:BY11,CA11)-BV11-BZ11,"")</f>
        <v>39.699999999999996</v>
      </c>
      <c r="CQ11" s="79" t="str">
        <f>IF(SUM(CB11:CC11,CE11)-CD11&gt;0,SUM(CB11:CC11,CE11)-CD11,"")</f>
        <v/>
      </c>
      <c r="CR11" s="79">
        <f>IF(SUM(CG11,CK11)&gt;0,SUM(CG11,CK11),"")</f>
        <v>8</v>
      </c>
      <c r="CS11" s="79">
        <f>IF(SUM(CF11:CG11,CI11:CK11,CM11)-SUM(CH11,CL11)&gt;0,SUM(CF11:CG11,CI11:CK11,CM11)-SUM(CH11,CL11),"")</f>
        <v>41.519999999999996</v>
      </c>
      <c r="CT11" s="79">
        <f>IF(SUM(CP11,CS11)&gt;0,SUM(CP11,CS11),"")</f>
        <v>81.22</v>
      </c>
      <c r="CU11" s="80" t="str">
        <f>IF(K11&gt;=0.001,IF(MAX(DR11,ER11,FR11,GR11,HR11,IR11,JR11,KR11,LR11,MR11,NR11,OR11)-IF(K11="",0,K11)&gt;0.001,MAX(DR11,ER11,FR11,GR11,HR11,IR11,JR11,KR11,LR11,MR11,NR11,OR11)-IF(K11="",0,K11),""),"")</f>
        <v/>
      </c>
      <c r="CV11" s="80" t="str">
        <f>IF(M11&gt;=0.001,IF(MAX(DU11,EU11,FU11,GU11,HU11,IU11,JU11,KU11,LU11,MU11,NU11,OU11)-IF(M11="",0,M11)&gt;0.001,MAX(DU11,EU11,FU11,GU11,HU11,IU11,JU11,KU11,LU11,MU11,NU11,OU11)-IF(M11="",0,M11),""),"")</f>
        <v/>
      </c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79" t="str">
        <f>IF(SUM(CX11,DB11)&gt;0,SUM(CX11,DB11),"")</f>
        <v/>
      </c>
      <c r="DR11" s="79" t="str">
        <f>IF(SUM(CW11:CX11,CZ11:DB11,DD11)-CY11-DC11&gt;0,SUM(CW11:CX11,CZ11:DB11,DD11)-CY11-DC11,"")</f>
        <v/>
      </c>
      <c r="DS11" s="79" t="str">
        <f>IF(SUM(DE11:DF11,DH11)-DG11&gt;0,SUM(DE11:DF11,DH11)-DG11,"")</f>
        <v/>
      </c>
      <c r="DT11" s="79" t="str">
        <f>IF(SUM(DJ11,DN11)&gt;0,SUM(DJ11,DN11),"")</f>
        <v/>
      </c>
      <c r="DU11" s="79" t="str">
        <f>IF(SUM(DI11:DJ11,DL11:DN11,DP11)-SUM(DK11,DO11)&gt;0,SUM(DI11:DJ11,DL11:DN11,DP11)-SUM(DK11,DO11),"")</f>
        <v/>
      </c>
      <c r="DV11" s="79" t="str">
        <f>IF(SUM(DR11,DU11)&gt;0,SUM(DR11,DU11),"")</f>
        <v/>
      </c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0" t="str">
        <f>IF(SUM(DX11,EB11)&gt;0,SUM(DX11,EB11),"")</f>
        <v/>
      </c>
      <c r="ER11" s="20" t="str">
        <f>IF(SUM(DW11:DX11,DZ11:EB11,ED11)-DY11-EC11&gt;0,SUM(DW11:DX11,DZ11:EB11,ED11)-DY11-EC11,"")</f>
        <v/>
      </c>
      <c r="ES11" s="20" t="str">
        <f>IF(SUM(EE11:EF11,EH11)-EG11&gt;0,SUM(EE11:EF11,EH11)-EG11,"")</f>
        <v/>
      </c>
      <c r="ET11" s="20" t="str">
        <f>IF(SUM(EJ11,EN11)&gt;0,SUM(EJ11,EN11),"")</f>
        <v/>
      </c>
      <c r="EU11" s="20" t="str">
        <f>IF(SUM(EI11:EJ11,EL11:EN11,EP11)-SUM(EK11,EO11)&gt;0,SUM(EI11:EJ11,EL11:EN11,EP11)-SUM(EK11,EO11),"")</f>
        <v/>
      </c>
      <c r="EV11" s="20" t="str">
        <f>IF(SUM(ER11,EU11)&gt;0,SUM(ER11,EU11),"")</f>
        <v/>
      </c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79" t="str">
        <f>IF(SUM(EX11,FB11)&gt;0,SUM(EX11,FB11),"")</f>
        <v/>
      </c>
      <c r="FR11" s="79" t="str">
        <f>IF(SUM(EW11:EX11,EZ11:FB11,FD11)-EY11-FC11&gt;0,SUM(EW11:EX11,EZ11:FB11,FD11)-EY11-FC11,"")</f>
        <v/>
      </c>
      <c r="FS11" s="79" t="str">
        <f>IF(SUM(FE11:FF11,FH11)-FG11&gt;0,SUM(FE11:FF11,FH11)-FG11,"")</f>
        <v/>
      </c>
      <c r="FT11" s="79" t="str">
        <f>IF(SUM(FJ11,FN11)&gt;0,SUM(FJ11,FN11),"")</f>
        <v/>
      </c>
      <c r="FU11" s="79" t="str">
        <f>IF(SUM(FI11:FJ11,FL11:FN11,FP11)-SUM(FK11,FO11)&gt;0,SUM(FI11:FJ11,FL11:FN11,FP11)-SUM(FK11,FO11),"")</f>
        <v/>
      </c>
      <c r="FV11" s="79" t="str">
        <f>IF(SUM(FR11,FU11)&gt;0,SUM(FR11,FU11),"")</f>
        <v/>
      </c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0" t="str">
        <f>IF(SUM(FX11,GB11)&gt;0,SUM(FX11,GB11),"")</f>
        <v/>
      </c>
      <c r="GR11" s="20" t="str">
        <f>IF(SUM(FW11:FX11,FZ11:GB11,GD11)-FY11-GC11&gt;0,SUM(FW11:FX11,FZ11:GB11,GD11)-FY11-GC11,"")</f>
        <v/>
      </c>
      <c r="GS11" s="20" t="str">
        <f>IF(SUM(GE11:GF11,GH11)-GG11&gt;0,SUM(GE11:GF11,GH11)-GG11,"")</f>
        <v/>
      </c>
      <c r="GT11" s="20" t="str">
        <f>IF(SUM(GJ11,GN11)&gt;0,SUM(GJ11,GN11),"")</f>
        <v/>
      </c>
      <c r="GU11" s="20" t="str">
        <f>IF(SUM(GI11:GJ11,GL11:GN11,GP11)-SUM(GK11,GO11)&gt;0,SUM(GI11:GJ11,GL11:GN11,GP11)-SUM(GK11,GO11),"")</f>
        <v/>
      </c>
      <c r="GV11" s="20" t="str">
        <f>IF(SUM(GR11,GU11)&gt;0,SUM(GR11,GU11),"")</f>
        <v/>
      </c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79" t="str">
        <f>IF(SUM(GX11,HB11)&gt;0,SUM(GX11,HB11),"")</f>
        <v/>
      </c>
      <c r="HR11" s="79" t="str">
        <f>IF(SUM(GW11:GX11,GZ11:HB11,HD11)-GY11-HC11&gt;0,SUM(GW11:GX11,GZ11:HB11,HD11)-GY11-HC11,"")</f>
        <v/>
      </c>
      <c r="HS11" s="79" t="str">
        <f>IF(SUM(HE11:HF11,HH11)-HG11&gt;0,SUM(HE11:HF11,HH11)-HG11,"")</f>
        <v/>
      </c>
      <c r="HT11" s="79" t="str">
        <f>IF(SUM(HJ11,HN11)&gt;0,SUM(HJ11,HN11),"")</f>
        <v/>
      </c>
      <c r="HU11" s="79" t="str">
        <f>IF(SUM(HI11:HJ11,HL11:HN11,HP11)-SUM(HK11,HO11)&gt;0,SUM(HI11:HJ11,HL11:HN11,HP11)-SUM(HK11,HO11),"")</f>
        <v/>
      </c>
      <c r="HV11" s="79" t="str">
        <f>IF(SUM(HR11,HU11)&gt;0,SUM(HR11,HU11),"")</f>
        <v/>
      </c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0" t="str">
        <f>IF(SUM(HX11,IB11)&gt;0,SUM(HX11,IB11),"")</f>
        <v/>
      </c>
      <c r="IR11" s="20" t="str">
        <f>IF(SUM(HW11:HX11,HZ11:IB11,ID11)-HY11-IC11&gt;0,SUM(HW11:HX11,HZ11:IB11,ID11)-HY11-IC11,"")</f>
        <v/>
      </c>
      <c r="IS11" s="20" t="str">
        <f>IF(SUM(IE11:IF11,IH11)-IG11&gt;0,SUM(IE11:IF11,IH11)-IG11,"")</f>
        <v/>
      </c>
      <c r="IT11" s="20" t="str">
        <f>IF(SUM(IJ11,IN11)&gt;0,SUM(IJ11,IN11),"")</f>
        <v/>
      </c>
      <c r="IU11" s="20" t="str">
        <f>IF(SUM(II11:IJ11,IL11:IN11,IP11)-SUM(IK11,IO11)&gt;0,SUM(II11:IJ11,IL11:IN11,IP11)-SUM(IK11,IO11),"")</f>
        <v/>
      </c>
      <c r="IV11" s="20" t="str">
        <f>IF(SUM(IR11,IU11)&gt;0,SUM(IR11,IU11),"")</f>
        <v/>
      </c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79" t="str">
        <f>IF(SUM(IX11,JB11)&gt;0,SUM(IX11,JB11),"")</f>
        <v/>
      </c>
      <c r="JR11" s="79" t="str">
        <f>IF(SUM(IW11:IX11,IZ11:JB11,JD11)-IY11-JC11&gt;0,SUM(IW11:IX11,IZ11:JB11,JD11)-IY11-JC11,"")</f>
        <v/>
      </c>
      <c r="JS11" s="79" t="str">
        <f>IF(SUM(JE11:JF11,JH11)-JG11&gt;0,SUM(JE11:JF11,JH11)-JG11,"")</f>
        <v/>
      </c>
      <c r="JT11" s="79" t="str">
        <f>IF(SUM(JJ11,JN11)&gt;0,SUM(JJ11,JN11),"")</f>
        <v/>
      </c>
      <c r="JU11" s="79" t="str">
        <f>IF(SUM(JI11:JJ11,JL11:JN11,JP11)-SUM(JK11,JO11)&gt;0,SUM(JI11:JJ11,JL11:JN11,JP11)-SUM(JK11,JO11),"")</f>
        <v/>
      </c>
      <c r="JV11" s="79" t="str">
        <f>IF(SUM(JR11,JU11)&gt;0,SUM(JR11,JU11),"")</f>
        <v/>
      </c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0" t="str">
        <f>IF(SUM(JX11,KB11)&gt;0,SUM(JX11,KB11),"")</f>
        <v/>
      </c>
      <c r="KR11" s="20" t="str">
        <f>IF(SUM(JW11:JX11,JZ11:KB11,KD11)-JY11-KC11&gt;0,SUM(JW11:JX11,JZ11:KB11,KD11)-JY11-KC11,"")</f>
        <v/>
      </c>
      <c r="KS11" s="20" t="str">
        <f>IF(SUM(KE11:KF11,KH11)-KG11&gt;0,SUM(KE11:KF11,KH11)-KG11,"")</f>
        <v/>
      </c>
      <c r="KT11" s="20" t="str">
        <f>IF(SUM(KJ11,KN11)&gt;0,SUM(KJ11,KN11),"")</f>
        <v/>
      </c>
      <c r="KU11" s="20" t="str">
        <f>IF(SUM(KI11:KJ11,KL11:KN11,KP11)-SUM(KK11,KO11)&gt;0,SUM(KI11:KJ11,KL11:KN11,KP11)-SUM(KK11,KO11),"")</f>
        <v/>
      </c>
      <c r="KV11" s="20" t="str">
        <f>IF(SUM(KR11,KU11)&gt;0,SUM(KR11,KU11),"")</f>
        <v/>
      </c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79" t="str">
        <f>IF(SUM(KX11,LB11)&gt;0,SUM(KX11,LB11),"")</f>
        <v/>
      </c>
      <c r="LR11" s="79" t="str">
        <f>IF(SUM(KW11:KX11,KZ11:LB11,LD11)-KY11-LC11&gt;0,SUM(KW11:KX11,KZ11:LB11,LD11)-KY11-LC11,"")</f>
        <v/>
      </c>
      <c r="LS11" s="79" t="str">
        <f>IF(SUM(LE11:LF11,LH11)-LG11&gt;0,SUM(LE11:LF11,LH11)-LG11,"")</f>
        <v/>
      </c>
      <c r="LT11" s="79" t="str">
        <f>IF(SUM(LJ11,LN11)&gt;0,SUM(LJ11,LN11),"")</f>
        <v/>
      </c>
      <c r="LU11" s="79" t="str">
        <f>IF(SUM(LI11:LJ11,LL11:LN11,LP11)-SUM(LK11,LO11)&gt;0,SUM(LI11:LJ11,LL11:LN11,LP11)-SUM(LK11,LO11),"")</f>
        <v/>
      </c>
      <c r="LV11" s="79" t="str">
        <f>IF(SUM(LR11,LU11)&gt;0,SUM(LR11,LU11),"")</f>
        <v/>
      </c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0" t="str">
        <f>IF(SUM(LX11,MB11)&gt;0,SUM(LX11,MB11),"")</f>
        <v/>
      </c>
      <c r="MR11" s="20" t="str">
        <f>IF(SUM(LW11:LX11,LZ11:MB11,MD11)-LY11-MC11&gt;0,SUM(LW11:LX11,LZ11:MB11,MD11)-LY11-MC11,"")</f>
        <v/>
      </c>
      <c r="MS11" s="20" t="str">
        <f>IF(SUM(ME11:MF11,MH11)-MG11&gt;0,SUM(ME11:MF11,MH11)-MG11,"")</f>
        <v/>
      </c>
      <c r="MT11" s="20" t="str">
        <f>IF(SUM(MJ11,MN11)&gt;0,SUM(MJ11,MN11),"")</f>
        <v/>
      </c>
      <c r="MU11" s="20" t="str">
        <f>IF(SUM(MI11:MJ11,ML11:MN11,MP11)-SUM(MK11,MO11)&gt;0,SUM(MI11:MJ11,ML11:MN11,MP11)-SUM(MK11,MO11),"")</f>
        <v/>
      </c>
      <c r="MV11" s="20" t="str">
        <f>IF(SUM(MR11,MU11)&gt;0,SUM(MR11,MU11),"")</f>
        <v/>
      </c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79" t="str">
        <f>IF(SUM(MX11,NB11)&gt;0,SUM(MX11,NB11),"")</f>
        <v/>
      </c>
      <c r="NR11" s="79" t="str">
        <f>IF(SUM(MW11:MX11,MZ11:NB11,ND11)-MY11-NC11&gt;0,SUM(MW11:MX11,MZ11:NB11,ND11)-MY11-NC11,"")</f>
        <v/>
      </c>
      <c r="NS11" s="79" t="str">
        <f>IF(SUM(NE11:NF11,NH11)-NG11&gt;0,SUM(NE11:NF11,NH11)-NG11,"")</f>
        <v/>
      </c>
      <c r="NT11" s="79" t="str">
        <f>IF(SUM(NJ11,NN11)&gt;0,SUM(NJ11,NN11),"")</f>
        <v/>
      </c>
      <c r="NU11" s="79" t="str">
        <f>IF(SUM(NI11:NJ11,NL11:NN11,NP11)-SUM(NK11,NO11)&gt;0,SUM(NI11:NJ11,NL11:NN11,NP11)-SUM(NK11,NO11),"")</f>
        <v/>
      </c>
      <c r="NV11" s="79" t="str">
        <f>IF(SUM(NR11,NU11)&gt;0,SUM(NR11,NU11),"")</f>
        <v/>
      </c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0" t="str">
        <f>IF(SUM(NX11,OB11)&gt;0,SUM(NX11,OB11),"")</f>
        <v/>
      </c>
      <c r="OR11" s="20" t="str">
        <f>IF(SUM(NW11:NX11,NZ11:OB11,OD11)-NY11-OC11&gt;0,SUM(NW11:NX11,NZ11:OB11,OD11)-NY11-OC11,"")</f>
        <v/>
      </c>
      <c r="OS11" s="20" t="str">
        <f>IF(SUM(OE11:OF11,OH11)-OG11&gt;0,SUM(OE11:OF11,OH11)-OG11,"")</f>
        <v/>
      </c>
      <c r="OT11" s="20" t="str">
        <f>IF(SUM(OJ11,ON11)&gt;0,SUM(OJ11,ON11),"")</f>
        <v/>
      </c>
      <c r="OU11" s="20" t="str">
        <f>IF(SUM(OI11:OJ11,OL11:ON11,OP11)-SUM(OK11,OO11)&gt;0,SUM(OI11:OJ11,OL11:ON11,OP11)-SUM(OK11,OO11),"")</f>
        <v/>
      </c>
      <c r="OV11" s="20" t="str">
        <f>IF(SUM(OR11,OU11)&gt;0,SUM(OR11,OU11),"")</f>
        <v/>
      </c>
      <c r="OW11" s="38">
        <f>IF($CN11="P",BT11,(BT11+AS11)/2)</f>
        <v>7.4</v>
      </c>
      <c r="OX11" s="38">
        <f>IF($CN11="P",BU11,(BU11+AT11)/2)</f>
        <v>2.0499999999999998</v>
      </c>
      <c r="OY11" s="38">
        <f>IF($CN11="P",BV11,(BV11+AU11)/2)</f>
        <v>0</v>
      </c>
      <c r="OZ11" s="38">
        <f>IF($CN11="P",BW11,(BW11+AV11)/2)</f>
        <v>0.15</v>
      </c>
      <c r="PA11" s="38">
        <f>IF($CN11="P",BX11,(BX11+AW11)/2)</f>
        <v>8.15</v>
      </c>
      <c r="PB11" s="38">
        <f>IF($CN11="P",BY11,(BY11+AX11)/2)</f>
        <v>1.95</v>
      </c>
      <c r="PC11" s="38">
        <f>IF($CN11="P",BZ11,(BZ11+AY11)/2)</f>
        <v>0</v>
      </c>
      <c r="PD11" s="38">
        <f>IF($CN11="P",CA11,(CA11+AZ11)/2)</f>
        <v>0.15</v>
      </c>
      <c r="PE11" s="38">
        <f>IF($CN11="P",CB11,(CB11+BA11)/2)</f>
        <v>0</v>
      </c>
      <c r="PF11" s="38">
        <f>IF($CN11="P",CC11,(CC11+BB11)/2)</f>
        <v>0</v>
      </c>
      <c r="PG11" s="38">
        <f>IF($CN11="P",CD11,(CD11+BC11)/2)</f>
        <v>0</v>
      </c>
      <c r="PH11" s="38">
        <f>IF($CN11="P",CE11,(CE11+BD11)/2)</f>
        <v>0</v>
      </c>
      <c r="PI11" s="38">
        <f>IF($CN11="P",CF11,(CF11+BE11)/2)</f>
        <v>8.25</v>
      </c>
      <c r="PJ11" s="38">
        <f>IF($CN11="P",CG11,(CG11+BF11)/2)</f>
        <v>2.0499999999999998</v>
      </c>
      <c r="PK11" s="38">
        <f>IF($CN11="P",CH11,(CH11+BG11)/2)</f>
        <v>0</v>
      </c>
      <c r="PL11" s="38">
        <f>IF($CN11="P",CI11,(CI11+BH11)/2)</f>
        <v>0.15</v>
      </c>
      <c r="PM11" s="38">
        <f>IF($CN11="P",CJ11,(CJ11+BI11)/2)</f>
        <v>8.31</v>
      </c>
      <c r="PN11" s="38">
        <f>IF($CN11="P",CK11,(CK11+BJ11)/2)</f>
        <v>1.95</v>
      </c>
      <c r="PO11" s="38">
        <f>IF($CN11="P",CL11,(CL11+BK11)/2)</f>
        <v>0.1</v>
      </c>
      <c r="PP11" s="38">
        <f>IF($CN11="P",CM11,(CM11+BL11)/2)</f>
        <v>0.15</v>
      </c>
      <c r="PQ11" s="45" t="s">
        <v>46</v>
      </c>
      <c r="PR11" s="79">
        <f>IF(SUM(OX11,PB11)&gt;0,SUM(OX11,PB11),"")</f>
        <v>4</v>
      </c>
      <c r="PS11" s="79">
        <f>IF(SUM(OW11:OX11,OZ11:PB11,PD11)-OY11-PC11&gt;0,SUM(OW11:OX11,OZ11:PB11,PD11)-OY11-PC11,"")</f>
        <v>19.849999999999998</v>
      </c>
      <c r="PT11" s="79" t="str">
        <f>IF(SUM(PE11:PF11,PH11)-PG11&gt;0,SUM(PE11:PF11,PH11)-PG11,"")</f>
        <v/>
      </c>
      <c r="PU11" s="79">
        <f>IF(SUM(PJ11,PN11)&gt;0,SUM(PJ11,PN11),"")</f>
        <v>4</v>
      </c>
      <c r="PV11" s="79">
        <f>IF(SUM(PI11:PJ11,PL11:PN11,PP11)-SUM(PK11,PO11)&gt;0,SUM(PI11:PJ11,PL11:PN11,PP11)-SUM(PK11,PO11),"")</f>
        <v>20.759999999999998</v>
      </c>
      <c r="PW11" s="79">
        <f>IF(SUM(PS11,PV11)&gt;0,SUM(PS11,PV11),"")</f>
        <v>40.61</v>
      </c>
    </row>
    <row r="12" spans="1:439" x14ac:dyDescent="0.2">
      <c r="A12" s="5" t="str">
        <f>IF(AND(F12="P",G12="P"),SUMPRODUCT((F$4:F$21="P")*(G$4:G$21="P")*(E$4:E$21&gt;E12))+1,IF(G12="P",SUMPRODUCT((F$4:F$21="")*(G$4:G$21="P")*(E$4:E$21&gt;E12))+1+SUMPRODUCT((F$4:F$21="P")*(G$4:G$21="P")),""))</f>
        <v/>
      </c>
      <c r="B12" s="78" t="s">
        <v>136</v>
      </c>
      <c r="C12" s="5" t="s">
        <v>4</v>
      </c>
      <c r="D12" s="5">
        <v>2005</v>
      </c>
      <c r="E12" s="15">
        <f>SUM(I12:O12)+SUM(I12:M12)*0.0000001+SUM(I12)*0.0000000000001</f>
        <v>80.300008030004093</v>
      </c>
      <c r="F12" s="3" t="str">
        <f>IF(OR(AND(AM12&gt;=AR$23,AN12&gt;=AR$27,AM12&lt;&gt;"",AL12=""),AND(AP12&gt;=AR$23,AQ12&gt;=AR$27,AP12&lt;&gt;"",AL12=""),AND(BN12&gt;=BS$23,BO12&gt;=BS$27,BN12&lt;&gt;"",BM12=""),AND(BQ12&gt;=BS$23,BR12&gt;=BS$27,BQ12&lt;&gt;"",BM12=""),AND(CO12&gt;=CT$23,CP12&gt;=CT$27,CO12&lt;&gt;"",CN12=""),AND(CR12&gt;=CT$23,CS12&gt;=CT$27,CR12&lt;&gt;""),AND(DQ12&gt;=DV$23,DR12&gt;=DV$27,DQ12&lt;&gt;""),AND(DT12&gt;=DV$23,DU12&gt;=DV$27,DT12&lt;&gt;""),AND(EQ12&gt;=EV$23,ER12&gt;=EV$27,EQ12&lt;&gt;""),AND(ET12&gt;=EV$23,EU12&gt;=EV$27,ET12&lt;&gt;""),AND(FQ12&gt;=FV$23,FR12&gt;=FV$27,FQ12&lt;&gt;""),AND(FT12&gt;=FV$23,FU12&gt;=FV$27,FT12&lt;&gt;""),AND(GQ12&gt;=GV$23,GR12&gt;=GV$27,GQ12&lt;&gt;""),AND(GT12&gt;=GV$23,GU12&gt;=GV$27,GT12&lt;&gt;""),AND(HQ12&gt;=HV$23,HR12&gt;=HV$27,HQ12&lt;&gt;""),AND(HT12&gt;=HV$23,HU12&gt;=HV$27,HT12&lt;&gt;""),AND(IQ12&gt;=IV$23,IR12&gt;=IV$27,IQ12&lt;&gt;""),AND(IT12&gt;=IV$23,IU12&gt;=IV$27,IT12&lt;&gt;""),AND(JQ12&gt;=JV$23,JR12&gt;=JV$27,JQ12&lt;&gt;""),AND(JT12&gt;=JV$23,JU12&gt;=JV$27,JT12&lt;&gt;""),AND(KQ12&gt;=KV$23,KR12&gt;=KV$27,KQ12&lt;&gt;""),AND(KT12&gt;=KV$23,KU12&gt;=KV$27,KT12&lt;&gt;""),AND(LQ12&gt;=LV$23,LR12&gt;=LV$27,LQ12&lt;&gt;""),AND(LT12&gt;=LV$23,LU12&gt;=LV$27,LT12&lt;&gt;""),AND(MQ12&gt;=MV$23,MR12&gt;=MV$27,MQ12&lt;&gt;""),AND(MT12&gt;=MV$23,MU12&gt;=MV$27,MT12&lt;&gt;""),AND(NQ12&gt;=NV$23,NR12&gt;=NV$27,NQ12&lt;&gt;""),AND(NT12&gt;=NV$23,NU12&gt;=NV$27,NT12&lt;&gt;""),AND(OQ12&gt;=OV$23,OR12&gt;=OV$27,OQ12&lt;&gt;""),AND(OT12&gt;=OV$23,OU12&gt;=OV$27,OT12&lt;&gt;"")),"P","")</f>
        <v/>
      </c>
      <c r="G12" s="3" t="str">
        <f>IF(OR(AND(AN12&gt;=AR$27,AN12&lt;&gt;"",AL12=""),AND(AQ12&gt;=AR$27,AQ12&lt;&gt;"",AL12=""),AND(BO12&gt;=BS$27,BO12&lt;&gt;"",BM12=""),AND(BR12&gt;=BS$27,BR12&lt;&gt;"",BM12=""),AND(CP12&gt;=CT$27,CP12&lt;&gt;"",CN12=""),AND(CS12&gt;=CT$27,CS12&lt;&gt;"",CN12=""),AND(DR12&gt;=DV$27,DR12&lt;&gt;""),AND(DU12&gt;=DV$27,DU12&lt;&gt;""),AND(ER12&gt;=EV$27,ER12&lt;&gt;""),AND(EU12&gt;=EV$27,EU12&lt;&gt;""),AND(FR12&gt;=FV$27,FR12&lt;&gt;""),AND(FU12&gt;=FV$27,FU12&lt;&gt;""),AND(GR12&gt;=GV$27,GR12&lt;&gt;""),AND(GU12&gt;=GV$27,GU12&lt;&gt;""),AND(HR12&gt;=HV$27,HR12&lt;&gt;""),AND(HU12&gt;=HV$27,HU12&lt;&gt;""),AND(IR12&gt;=IV$27,IR12&lt;&gt;""),AND(IU12&gt;=IV$27,IU12&lt;&gt;""),AND(JR12&gt;=JV$27,JR12&lt;&gt;""),AND(JU12&gt;=JV$27,JU12&lt;&gt;""),AND(KR12&gt;=KV$27,KR12&lt;&gt;""),AND(KU12&gt;=KV$27,KU12&lt;&gt;""),AND(LR12&gt;=LV$27,LR12&lt;&gt;""),AND(LU12&gt;=LV$27,LU12&lt;&gt;""),AND(MR12&gt;=MV$27,MR12&lt;&gt;""),AND(MU12&gt;=MV$27,MU12&lt;&gt;""),AND(NR12&gt;=NV$27,NR12&lt;&gt;""),AND(NU12&gt;=NV$27,NU12&lt;&gt;""),AND(OR12&gt;=OV$27,OR12&lt;&gt;""),AND(OU12&gt;=OV$27,OU12&lt;&gt;"")),"P","")</f>
        <v/>
      </c>
      <c r="H12" s="67" t="str">
        <f>IF(AND(G12="P",F12=""),"No DD",IF(OR(AND(AM12&gt;=AR$26,AN12&gt;=AR$30,AM12&lt;&gt;"",AL12=""),AND(AP12&gt;=AR$26,AQ12&gt;=AR$30,AP12&lt;&gt;"",AL12=""),AND(BN12&gt;=BS$26,BO12&gt;=BS$30,BN12&lt;&gt;"",BM12=""),AND(BQ12&gt;=BS$26,BR12&gt;=BS$30,BQ12&lt;&gt;"",BM12=""),AND(CO12&gt;=CT$26,CP12&gt;=CT$30,CO12&lt;&gt;"",CN12=""),AND(CR12&gt;=CT$26,CS12&gt;=CT$30,CR12&lt;&gt;""),AND(DQ12&gt;=DV$26,DR12&gt;=DV$30,DQ12&lt;&gt;""),AND(DT12&gt;=DV$26,DU12&gt;=DV$30,DT12&lt;&gt;""),AND(EQ12&gt;=EV$26,ER12&gt;=EV$30,EQ12&lt;&gt;""),AND(ET12&gt;=EV$26,EU12&gt;=EV$30,ET12&lt;&gt;""),AND(FQ12&gt;=FV$26,FR12&gt;=FV$30,FQ12&lt;&gt;""),AND(FT12&gt;=FV$26,FU12&gt;=FV$30,FT12&lt;&gt;""),AND(GQ12&gt;=GV$26,GR12&gt;=GV$30,GQ12&lt;&gt;""),AND(GT12&gt;=GV$26,GU12&gt;=GV$30,GT12&lt;&gt;""),AND(HQ12&gt;=HV$26,HR12&gt;=HV$30,HQ12&lt;&gt;""),AND(HT12&gt;=HV$26,HU12&gt;=HV$30,HT12&lt;&gt;""),AND(IQ12&gt;=IV$26,IR12&gt;=IV$30,IQ12&lt;&gt;""),AND(IT12&gt;=IV$26,IU12&gt;=IV$30,IT12&lt;&gt;""),AND(JQ12&gt;=JV$26,JR12&gt;=JV$30,JQ12&lt;&gt;""),AND(JT12&gt;=JV$26,JU12&gt;=JV$30,JT12&lt;&gt;""),AND(KQ12&gt;=KV$26,KR12&gt;=KV$30,KQ12&lt;&gt;""),AND(KT12&gt;=KV$26,KU12&gt;=KV$30,KT12&lt;&gt;""),AND(LQ12&gt;=LV$26,LR12&gt;=LV$30,LQ12&lt;&gt;""),AND(LT12&gt;=LV$26,LU12&gt;=LV$30,LT12&lt;&gt;""),AND(MQ12&gt;=MV$26,MR12&gt;=MV$30,MQ12&lt;&gt;""),AND(MT12&gt;=MV$26,MU12&gt;=MV$30,MT12&lt;&gt;""),AND(NQ12&gt;=NV$26,NR12&gt;=NV$30,NQ12&lt;&gt;""),AND(NT12&gt;=NV$26,NU12&gt;=NV$30,NT12&lt;&gt;""),AND(OQ12&gt;=OV$26,OR12&gt;=OV$30,OQ12&lt;&gt;""),AND(OT12&gt;=OV$26,OU12&gt;=OV$30,OT12&lt;&gt;"")),"Merit",IF(OR(AND(AM12&gt;=AR$25,AN12&gt;=AR$29,AM12&lt;&gt;"",AL12=""),AND(AP12&gt;=AR$25,AQ12&gt;=AR$29,AP12&lt;&gt;"",AL12=""),AND(BN12&gt;=BS$25,BO12&gt;=BS$29,BN12&lt;&gt;"",BM12=""),AND(BQ12&gt;=BS$25,BR12&gt;=BS$29,BQ12&lt;&gt;"",BM12=""),AND(CO12&gt;=CT$25,CP12&gt;=CT$29,CO12&lt;&gt;"",CN12=""),AND(CR12&gt;=CT$25,CS12&gt;=CT$29,CR12&lt;&gt;""),AND(DQ12&gt;=DV$25,DR12&gt;=DV$29,DQ12&lt;&gt;""),AND(DT12&gt;=DV$25,DU12&gt;=DV$29,DT12&lt;&gt;""),AND(EQ12&gt;=EV$25,ER12&gt;=EV$29,EQ12&lt;&gt;""),AND(ET12&gt;=EV$25,EU12&gt;=EV$29,ET12&lt;&gt;""),AND(FQ12&gt;=FV$25,FR12&gt;=FV$29,FQ12&lt;&gt;""),AND(FT12&gt;=FV$25,FU12&gt;=FV$29,FT12&lt;&gt;""),AND(GQ12&gt;=GV$25,GR12&gt;=GV$29,GQ12&lt;&gt;""),AND(GT12&gt;=GV$25,GU12&gt;=GV$29,GT12&lt;&gt;""),AND(HQ12&gt;=HV$25,HR12&gt;=HV$29,HQ12&lt;&gt;""),AND(HT12&gt;=HV$25,HU12&gt;=HV$29,HT12&lt;&gt;""),AND(IQ12&gt;=IV$25,IR12&gt;=IV$29,IQ12&lt;&gt;""),AND(IT12&gt;=IV$25,IU12&gt;=IV$29,IT12&lt;&gt;""),AND(JQ12&gt;=JV$25,JR12&gt;=JV$29,JQ12&lt;&gt;""),AND(JT12&gt;=JV$25,JU12&gt;=JV$29,JT12&lt;&gt;""),AND(KQ12&gt;=KV$25,KR12&gt;=KV$29,KQ12&lt;&gt;""),AND(KT12&gt;=KV$25,KU12&gt;=KV$29,KT12&lt;&gt;""),AND(LQ12&gt;=LV$25,LR12&gt;=LV$29,LQ12&lt;&gt;""),AND(LT12&gt;=LV$25,LU12&gt;=LV$29,LT12&lt;&gt;""),AND(MQ12&gt;=MV$25,MR12&gt;=MV$29,MQ12&lt;&gt;""),AND(MT12&gt;=MV$25,MU12&gt;=MV$29,MT12&lt;&gt;""),AND(NQ12&gt;=NV$25,NR12&gt;=NV$29,NQ12&lt;&gt;""),AND(NT12&gt;=NV$25,NU12&gt;=NV$29,NT12&lt;&gt;""),AND(OQ12&gt;=OV$25,OR12&gt;=OV$29,OQ12&lt;&gt;""),AND(OT12&gt;=OV$25,OU12&gt;=OV$29,OT12&lt;&gt;"")),"Excellence",IF(F12="P","National Team",""))))</f>
        <v/>
      </c>
      <c r="I12" s="14">
        <f>IF(COUNT(AN12,BO12,CP12)&gt;0,LARGE((AN12,BO12,CP12),1),0)</f>
        <v>40.800000000000004</v>
      </c>
      <c r="J12" s="14" t="str">
        <f>IF(I12=0,"",IF(I12=CP12,$BT$1,IF(I12=BO12,$AS$1,IF(I12=AN12,$R$1,""))))</f>
        <v>2022 Elite Canada</v>
      </c>
      <c r="K12" s="14">
        <f>IF(COUNT(AN12,BO12,CP12)&gt;1,LARGE((AN12,BO12,CP12),2),0)</f>
        <v>0</v>
      </c>
      <c r="L12" s="14" t="str">
        <f>IF(K12=0,"",IF(K12=CP12,$BT$1,IF(K12=BO12,$AS$1,IF(K12=AN12,$R$1,""))))</f>
        <v/>
      </c>
      <c r="M12" s="14">
        <f>IF(MAX(AQ12,BR12,CS12)&gt;0,MAX(AQ12,BR12,CS12),0)</f>
        <v>39.5</v>
      </c>
      <c r="N12" s="14" t="str">
        <f>IF(M12=0,"",IF(M12=CS12,$BT$1,IF(M12=BR12,$AS$1,IF(M12=AQ12,$R$1,""))))</f>
        <v>2022 Elite Canada</v>
      </c>
      <c r="O12" s="14" t="str">
        <f>IF(MAX(CU12:CV12)&gt;0,MAX(CU12:CV12),"")</f>
        <v/>
      </c>
      <c r="P12" s="20" t="str">
        <f>IF(O12="","",IF(O12=CU12,"("&amp;CU$2&amp;")",IF(O12=CV12,"("&amp;CV$2&amp;")")))</f>
        <v/>
      </c>
      <c r="Q12" s="14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45"/>
      <c r="AM12" s="79" t="str">
        <f>IF(SUM(S12,W12)&gt;0,SUM(S12,W12),"")</f>
        <v/>
      </c>
      <c r="AN12" s="79" t="str">
        <f>IF(SUM(R12:S12,U12:W12,Y12)-T12-X12&gt;0,SUM(R12:S12,U12:W12,Y12)-T12-X12,"")</f>
        <v/>
      </c>
      <c r="AO12" s="79" t="str">
        <f>IF(SUM(Z12:AA12,AC12)-AB12&gt;0,SUM(Z12:AA12,AC12)-AB12,"")</f>
        <v/>
      </c>
      <c r="AP12" s="79" t="str">
        <f>IF(SUM(AE12,AI12)&gt;0,SUM(AE12,AI12),"")</f>
        <v/>
      </c>
      <c r="AQ12" s="79" t="str">
        <f>IF(SUM(AD12:AE12,AG12:AI12,AK12)-SUM(AF12,AJ12)&gt;0,SUM(AD12:AE12,AG12:AI12,AK12)-SUM(AF12,AJ12),"")</f>
        <v/>
      </c>
      <c r="AR12" s="79" t="str">
        <f>IF(SUM(AN12,AQ12)&gt;0,SUM(AN12,AQ12),"")</f>
        <v/>
      </c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46"/>
      <c r="BN12" s="20" t="str">
        <f>IF(SUM(AT12,AX12)&gt;0,SUM(AT12,AX12),"")</f>
        <v/>
      </c>
      <c r="BO12" s="20" t="str">
        <f>IF(SUM(AS12:AT12,AV12:AX12,AZ12)-AU12-AY12&gt;0,SUM(AS12:AT12,AV12:AX12,AZ12)-AU12-AY12,"")</f>
        <v/>
      </c>
      <c r="BP12" s="20" t="str">
        <f>IF(SUM(BA12:BB12,BD12)-BC12&gt;0,SUM(BA12:BB12,BD12)-BC12,"")</f>
        <v/>
      </c>
      <c r="BQ12" s="20" t="str">
        <f>IF(SUM(BF12,BJ12)&gt;0,SUM(BF12,BJ12),"")</f>
        <v/>
      </c>
      <c r="BR12" s="20" t="str">
        <f>IF(SUM(BE12:BF12,BH12:BJ12,BL12)-SUM(BG12,BK12)&gt;0,SUM(BE12:BF12,BH12:BJ12,BL12)-SUM(BG12,BK12),"")</f>
        <v/>
      </c>
      <c r="BS12" s="20" t="str">
        <f>IF(SUM(BO12,BR12)&gt;0,SUM(BO12,BR12),"")</f>
        <v/>
      </c>
      <c r="BT12" s="27">
        <v>16.8</v>
      </c>
      <c r="BU12" s="27">
        <v>3.4</v>
      </c>
      <c r="BV12" s="27">
        <v>0</v>
      </c>
      <c r="BW12" s="27">
        <v>0</v>
      </c>
      <c r="BX12" s="27">
        <v>16.5</v>
      </c>
      <c r="BY12" s="27">
        <v>3.5</v>
      </c>
      <c r="BZ12" s="27">
        <v>0</v>
      </c>
      <c r="CA12" s="27">
        <v>0.6</v>
      </c>
      <c r="CB12" s="27"/>
      <c r="CC12" s="27"/>
      <c r="CD12" s="27"/>
      <c r="CE12" s="27"/>
      <c r="CF12" s="27">
        <v>16.7</v>
      </c>
      <c r="CG12" s="27">
        <v>3.4</v>
      </c>
      <c r="CH12" s="27">
        <v>0</v>
      </c>
      <c r="CI12" s="27">
        <v>0</v>
      </c>
      <c r="CJ12" s="27">
        <v>15.7</v>
      </c>
      <c r="CK12" s="27">
        <v>3.1</v>
      </c>
      <c r="CL12" s="27">
        <v>0</v>
      </c>
      <c r="CM12" s="27">
        <v>0.6</v>
      </c>
      <c r="CN12" s="45"/>
      <c r="CO12" s="79">
        <f>IF(SUM(BU12,BY12)&gt;0,SUM(BU12,BY12),"")</f>
        <v>6.9</v>
      </c>
      <c r="CP12" s="79">
        <f>IF(SUM(BT12:BU12,BW12:BY12,CA12)-BV12-BZ12&gt;0,SUM(BT12:BU12,BW12:BY12,CA12)-BV12-BZ12,"")</f>
        <v>40.800000000000004</v>
      </c>
      <c r="CQ12" s="79" t="str">
        <f>IF(SUM(CB12:CC12,CE12)-CD12&gt;0,SUM(CB12:CC12,CE12)-CD12,"")</f>
        <v/>
      </c>
      <c r="CR12" s="79">
        <f>IF(SUM(CG12,CK12)&gt;0,SUM(CG12,CK12),"")</f>
        <v>6.5</v>
      </c>
      <c r="CS12" s="79">
        <f>IF(SUM(CF12:CG12,CI12:CK12,CM12)-SUM(CH12,CL12)&gt;0,SUM(CF12:CG12,CI12:CK12,CM12)-SUM(CH12,CL12),"")</f>
        <v>39.5</v>
      </c>
      <c r="CT12" s="79">
        <f>IF(SUM(CP12,CS12)&gt;0,SUM(CP12,CS12),"")</f>
        <v>80.300000000000011</v>
      </c>
      <c r="CU12" s="80" t="str">
        <f>IF(K12&gt;=0.001,IF(MAX(DR12,ER12,FR12,GR12,HR12,IR12,JR12,KR12,LR12,MR12,NR12,OR12)-IF(K12="",0,K12)&gt;0.001,MAX(DR12,ER12,FR12,GR12,HR12,IR12,JR12,KR12,LR12,MR12,NR12,OR12)-IF(K12="",0,K12),""),"")</f>
        <v/>
      </c>
      <c r="CV12" s="80" t="str">
        <f>IF(M12&gt;=0.001,IF(MAX(DU12,EU12,FU12,GU12,HU12,IU12,JU12,KU12,LU12,MU12,NU12,OU12)-IF(M12="",0,M12)&gt;0.001,MAX(DU12,EU12,FU12,GU12,HU12,IU12,JU12,KU12,LU12,MU12,NU12,OU12)-IF(M12="",0,M12),""),"")</f>
        <v/>
      </c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79" t="str">
        <f>IF(SUM(CX12,DB12)&gt;0,SUM(CX12,DB12),"")</f>
        <v/>
      </c>
      <c r="DR12" s="79" t="str">
        <f>IF(SUM(CW12:CX12,CZ12:DB12,DD12)-CY12-DC12&gt;0,SUM(CW12:CX12,CZ12:DB12,DD12)-CY12-DC12,"")</f>
        <v/>
      </c>
      <c r="DS12" s="79" t="str">
        <f>IF(SUM(DE12:DF12,DH12)-DG12&gt;0,SUM(DE12:DF12,DH12)-DG12,"")</f>
        <v/>
      </c>
      <c r="DT12" s="79" t="str">
        <f>IF(SUM(DJ12,DN12)&gt;0,SUM(DJ12,DN12),"")</f>
        <v/>
      </c>
      <c r="DU12" s="79" t="str">
        <f>IF(SUM(DI12:DJ12,DL12:DN12,DP12)-SUM(DK12,DO12)&gt;0,SUM(DI12:DJ12,DL12:DN12,DP12)-SUM(DK12,DO12),"")</f>
        <v/>
      </c>
      <c r="DV12" s="79" t="str">
        <f>IF(SUM(DR12,DU12)&gt;0,SUM(DR12,DU12),"")</f>
        <v/>
      </c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0" t="str">
        <f>IF(SUM(DX12,EB12)&gt;0,SUM(DX12,EB12),"")</f>
        <v/>
      </c>
      <c r="ER12" s="20" t="str">
        <f>IF(SUM(DW12:DX12,DZ12:EB12,ED12)-DY12-EC12&gt;0,SUM(DW12:DX12,DZ12:EB12,ED12)-DY12-EC12,"")</f>
        <v/>
      </c>
      <c r="ES12" s="20" t="str">
        <f>IF(SUM(EE12:EF12,EH12)-EG12&gt;0,SUM(EE12:EF12,EH12)-EG12,"")</f>
        <v/>
      </c>
      <c r="ET12" s="20" t="str">
        <f>IF(SUM(EJ12,EN12)&gt;0,SUM(EJ12,EN12),"")</f>
        <v/>
      </c>
      <c r="EU12" s="20" t="str">
        <f>IF(SUM(EI12:EJ12,EL12:EN12,EP12)-SUM(EK12,EO12)&gt;0,SUM(EI12:EJ12,EL12:EN12,EP12)-SUM(EK12,EO12),"")</f>
        <v/>
      </c>
      <c r="EV12" s="20" t="str">
        <f>IF(SUM(ER12,EU12)&gt;0,SUM(ER12,EU12),"")</f>
        <v/>
      </c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79" t="str">
        <f>IF(SUM(EX12,FB12)&gt;0,SUM(EX12,FB12),"")</f>
        <v/>
      </c>
      <c r="FR12" s="79" t="str">
        <f>IF(SUM(EW12:EX12,EZ12:FB12,FD12)-EY12-FC12&gt;0,SUM(EW12:EX12,EZ12:FB12,FD12)-EY12-FC12,"")</f>
        <v/>
      </c>
      <c r="FS12" s="79" t="str">
        <f>IF(SUM(FE12:FF12,FH12)-FG12&gt;0,SUM(FE12:FF12,FH12)-FG12,"")</f>
        <v/>
      </c>
      <c r="FT12" s="79" t="str">
        <f>IF(SUM(FJ12,FN12)&gt;0,SUM(FJ12,FN12),"")</f>
        <v/>
      </c>
      <c r="FU12" s="79" t="str">
        <f>IF(SUM(FI12:FJ12,FL12:FN12,FP12)-SUM(FK12,FO12)&gt;0,SUM(FI12:FJ12,FL12:FN12,FP12)-SUM(FK12,FO12),"")</f>
        <v/>
      </c>
      <c r="FV12" s="79" t="str">
        <f>IF(SUM(FR12,FU12)&gt;0,SUM(FR12,FU12),"")</f>
        <v/>
      </c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0" t="str">
        <f>IF(SUM(FX12,GB12)&gt;0,SUM(FX12,GB12),"")</f>
        <v/>
      </c>
      <c r="GR12" s="20" t="str">
        <f>IF(SUM(FW12:FX12,FZ12:GB12,GD12)-FY12-GC12&gt;0,SUM(FW12:FX12,FZ12:GB12,GD12)-FY12-GC12,"")</f>
        <v/>
      </c>
      <c r="GS12" s="20" t="str">
        <f>IF(SUM(GE12:GF12,GH12)-GG12&gt;0,SUM(GE12:GF12,GH12)-GG12,"")</f>
        <v/>
      </c>
      <c r="GT12" s="20" t="str">
        <f>IF(SUM(GJ12,GN12)&gt;0,SUM(GJ12,GN12),"")</f>
        <v/>
      </c>
      <c r="GU12" s="20" t="str">
        <f>IF(SUM(GI12:GJ12,GL12:GN12,GP12)-SUM(GK12,GO12)&gt;0,SUM(GI12:GJ12,GL12:GN12,GP12)-SUM(GK12,GO12),"")</f>
        <v/>
      </c>
      <c r="GV12" s="20" t="str">
        <f>IF(SUM(GR12,GU12)&gt;0,SUM(GR12,GU12),"")</f>
        <v/>
      </c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79" t="str">
        <f>IF(SUM(GX12,HB12)&gt;0,SUM(GX12,HB12),"")</f>
        <v/>
      </c>
      <c r="HR12" s="79" t="str">
        <f>IF(SUM(GW12:GX12,GZ12:HB12,HD12)-GY12-HC12&gt;0,SUM(GW12:GX12,GZ12:HB12,HD12)-GY12-HC12,"")</f>
        <v/>
      </c>
      <c r="HS12" s="79" t="str">
        <f>IF(SUM(HE12:HF12,HH12)-HG12&gt;0,SUM(HE12:HF12,HH12)-HG12,"")</f>
        <v/>
      </c>
      <c r="HT12" s="79" t="str">
        <f>IF(SUM(HJ12,HN12)&gt;0,SUM(HJ12,HN12),"")</f>
        <v/>
      </c>
      <c r="HU12" s="79" t="str">
        <f>IF(SUM(HI12:HJ12,HL12:HN12,HP12)-SUM(HK12,HO12)&gt;0,SUM(HI12:HJ12,HL12:HN12,HP12)-SUM(HK12,HO12),"")</f>
        <v/>
      </c>
      <c r="HV12" s="79" t="str">
        <f>IF(SUM(HR12,HU12)&gt;0,SUM(HR12,HU12),"")</f>
        <v/>
      </c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0" t="str">
        <f>IF(SUM(HX12,IB12)&gt;0,SUM(HX12,IB12),"")</f>
        <v/>
      </c>
      <c r="IR12" s="20" t="str">
        <f>IF(SUM(HW12:HX12,HZ12:IB12,ID12)-HY12-IC12&gt;0,SUM(HW12:HX12,HZ12:IB12,ID12)-HY12-IC12,"")</f>
        <v/>
      </c>
      <c r="IS12" s="20" t="str">
        <f>IF(SUM(IE12:IF12,IH12)-IG12&gt;0,SUM(IE12:IF12,IH12)-IG12,"")</f>
        <v/>
      </c>
      <c r="IT12" s="20" t="str">
        <f>IF(SUM(IJ12,IN12)&gt;0,SUM(IJ12,IN12),"")</f>
        <v/>
      </c>
      <c r="IU12" s="20" t="str">
        <f>IF(SUM(II12:IJ12,IL12:IN12,IP12)-SUM(IK12,IO12)&gt;0,SUM(II12:IJ12,IL12:IN12,IP12)-SUM(IK12,IO12),"")</f>
        <v/>
      </c>
      <c r="IV12" s="20" t="str">
        <f>IF(SUM(IR12,IU12)&gt;0,SUM(IR12,IU12),"")</f>
        <v/>
      </c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79" t="str">
        <f>IF(SUM(IX12,JB12)&gt;0,SUM(IX12,JB12),"")</f>
        <v/>
      </c>
      <c r="JR12" s="79" t="str">
        <f>IF(SUM(IW12:IX12,IZ12:JB12,JD12)-IY12-JC12&gt;0,SUM(IW12:IX12,IZ12:JB12,JD12)-IY12-JC12,"")</f>
        <v/>
      </c>
      <c r="JS12" s="79" t="str">
        <f>IF(SUM(JE12:JF12,JH12)-JG12&gt;0,SUM(JE12:JF12,JH12)-JG12,"")</f>
        <v/>
      </c>
      <c r="JT12" s="79" t="str">
        <f>IF(SUM(JJ12,JN12)&gt;0,SUM(JJ12,JN12),"")</f>
        <v/>
      </c>
      <c r="JU12" s="79" t="str">
        <f>IF(SUM(JI12:JJ12,JL12:JN12,JP12)-SUM(JK12,JO12)&gt;0,SUM(JI12:JJ12,JL12:JN12,JP12)-SUM(JK12,JO12),"")</f>
        <v/>
      </c>
      <c r="JV12" s="79" t="str">
        <f>IF(SUM(JR12,JU12)&gt;0,SUM(JR12,JU12),"")</f>
        <v/>
      </c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26"/>
      <c r="KO12" s="26"/>
      <c r="KP12" s="26"/>
      <c r="KQ12" s="20" t="str">
        <f>IF(SUM(JX12,KB12)&gt;0,SUM(JX12,KB12),"")</f>
        <v/>
      </c>
      <c r="KR12" s="20" t="str">
        <f>IF(SUM(JW12:JX12,JZ12:KB12,KD12)-JY12-KC12&gt;0,SUM(JW12:JX12,JZ12:KB12,KD12)-JY12-KC12,"")</f>
        <v/>
      </c>
      <c r="KS12" s="20" t="str">
        <f>IF(SUM(KE12:KF12,KH12)-KG12&gt;0,SUM(KE12:KF12,KH12)-KG12,"")</f>
        <v/>
      </c>
      <c r="KT12" s="20" t="str">
        <f>IF(SUM(KJ12,KN12)&gt;0,SUM(KJ12,KN12),"")</f>
        <v/>
      </c>
      <c r="KU12" s="20" t="str">
        <f>IF(SUM(KI12:KJ12,KL12:KN12,KP12)-SUM(KK12,KO12)&gt;0,SUM(KI12:KJ12,KL12:KN12,KP12)-SUM(KK12,KO12),"")</f>
        <v/>
      </c>
      <c r="KV12" s="20" t="str">
        <f>IF(SUM(KR12,KU12)&gt;0,SUM(KR12,KU12),"")</f>
        <v/>
      </c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79" t="str">
        <f>IF(SUM(KX12,LB12)&gt;0,SUM(KX12,LB12),"")</f>
        <v/>
      </c>
      <c r="LR12" s="79" t="str">
        <f>IF(SUM(KW12:KX12,KZ12:LB12,LD12)-KY12-LC12&gt;0,SUM(KW12:KX12,KZ12:LB12,LD12)-KY12-LC12,"")</f>
        <v/>
      </c>
      <c r="LS12" s="79" t="str">
        <f>IF(SUM(LE12:LF12,LH12)-LG12&gt;0,SUM(LE12:LF12,LH12)-LG12,"")</f>
        <v/>
      </c>
      <c r="LT12" s="79" t="str">
        <f>IF(SUM(LJ12,LN12)&gt;0,SUM(LJ12,LN12),"")</f>
        <v/>
      </c>
      <c r="LU12" s="79" t="str">
        <f>IF(SUM(LI12:LJ12,LL12:LN12,LP12)-SUM(LK12,LO12)&gt;0,SUM(LI12:LJ12,LL12:LN12,LP12)-SUM(LK12,LO12),"")</f>
        <v/>
      </c>
      <c r="LV12" s="79" t="str">
        <f>IF(SUM(LR12,LU12)&gt;0,SUM(LR12,LU12),"")</f>
        <v/>
      </c>
      <c r="LW12" s="26"/>
      <c r="LX12" s="26"/>
      <c r="LY12" s="26"/>
      <c r="LZ12" s="26"/>
      <c r="MA12" s="26"/>
      <c r="MB12" s="26"/>
      <c r="MC12" s="26"/>
      <c r="MD12" s="26"/>
      <c r="ME12" s="26"/>
      <c r="MF12" s="26"/>
      <c r="MG12" s="26"/>
      <c r="MH12" s="26"/>
      <c r="MI12" s="26"/>
      <c r="MJ12" s="26"/>
      <c r="MK12" s="26"/>
      <c r="ML12" s="26"/>
      <c r="MM12" s="26"/>
      <c r="MN12" s="26"/>
      <c r="MO12" s="26"/>
      <c r="MP12" s="26"/>
      <c r="MQ12" s="20" t="str">
        <f>IF(SUM(LX12,MB12)&gt;0,SUM(LX12,MB12),"")</f>
        <v/>
      </c>
      <c r="MR12" s="20" t="str">
        <f>IF(SUM(LW12:LX12,LZ12:MB12,MD12)-LY12-MC12&gt;0,SUM(LW12:LX12,LZ12:MB12,MD12)-LY12-MC12,"")</f>
        <v/>
      </c>
      <c r="MS12" s="20" t="str">
        <f>IF(SUM(ME12:MF12,MH12)-MG12&gt;0,SUM(ME12:MF12,MH12)-MG12,"")</f>
        <v/>
      </c>
      <c r="MT12" s="20" t="str">
        <f>IF(SUM(MJ12,MN12)&gt;0,SUM(MJ12,MN12),"")</f>
        <v/>
      </c>
      <c r="MU12" s="20" t="str">
        <f>IF(SUM(MI12:MJ12,ML12:MN12,MP12)-SUM(MK12,MO12)&gt;0,SUM(MI12:MJ12,ML12:MN12,MP12)-SUM(MK12,MO12),"")</f>
        <v/>
      </c>
      <c r="MV12" s="20" t="str">
        <f>IF(SUM(MR12,MU12)&gt;0,SUM(MR12,MU12),"")</f>
        <v/>
      </c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79" t="str">
        <f>IF(SUM(MX12,NB12)&gt;0,SUM(MX12,NB12),"")</f>
        <v/>
      </c>
      <c r="NR12" s="79" t="str">
        <f>IF(SUM(MW12:MX12,MZ12:NB12,ND12)-MY12-NC12&gt;0,SUM(MW12:MX12,MZ12:NB12,ND12)-MY12-NC12,"")</f>
        <v/>
      </c>
      <c r="NS12" s="79" t="str">
        <f>IF(SUM(NE12:NF12,NH12)-NG12&gt;0,SUM(NE12:NF12,NH12)-NG12,"")</f>
        <v/>
      </c>
      <c r="NT12" s="79" t="str">
        <f>IF(SUM(NJ12,NN12)&gt;0,SUM(NJ12,NN12),"")</f>
        <v/>
      </c>
      <c r="NU12" s="79" t="str">
        <f>IF(SUM(NI12:NJ12,NL12:NN12,NP12)-SUM(NK12,NO12)&gt;0,SUM(NI12:NJ12,NL12:NN12,NP12)-SUM(NK12,NO12),"")</f>
        <v/>
      </c>
      <c r="NV12" s="79" t="str">
        <f>IF(SUM(NR12,NU12)&gt;0,SUM(NR12,NU12),"")</f>
        <v/>
      </c>
      <c r="NW12" s="26"/>
      <c r="NX12" s="26"/>
      <c r="NY12" s="26"/>
      <c r="NZ12" s="26"/>
      <c r="OA12" s="26"/>
      <c r="OB12" s="26"/>
      <c r="OC12" s="26"/>
      <c r="OD12" s="26"/>
      <c r="OE12" s="26"/>
      <c r="OF12" s="26"/>
      <c r="OG12" s="26"/>
      <c r="OH12" s="26"/>
      <c r="OI12" s="26"/>
      <c r="OJ12" s="26"/>
      <c r="OK12" s="26"/>
      <c r="OL12" s="26"/>
      <c r="OM12" s="26"/>
      <c r="ON12" s="26"/>
      <c r="OO12" s="26"/>
      <c r="OP12" s="26"/>
      <c r="OQ12" s="20" t="str">
        <f>IF(SUM(NX12,OB12)&gt;0,SUM(NX12,OB12),"")</f>
        <v/>
      </c>
      <c r="OR12" s="20" t="str">
        <f>IF(SUM(NW12:NX12,NZ12:OB12,OD12)-NY12-OC12&gt;0,SUM(NW12:NX12,NZ12:OB12,OD12)-NY12-OC12,"")</f>
        <v/>
      </c>
      <c r="OS12" s="20" t="str">
        <f>IF(SUM(OE12:OF12,OH12)-OG12&gt;0,SUM(OE12:OF12,OH12)-OG12,"")</f>
        <v/>
      </c>
      <c r="OT12" s="20" t="str">
        <f>IF(SUM(OJ12,ON12)&gt;0,SUM(OJ12,ON12),"")</f>
        <v/>
      </c>
      <c r="OU12" s="20" t="str">
        <f>IF(SUM(OI12:OJ12,OL12:ON12,OP12)-SUM(OK12,OO12)&gt;0,SUM(OI12:OJ12,OL12:ON12,OP12)-SUM(OK12,OO12),"")</f>
        <v/>
      </c>
      <c r="OV12" s="20" t="str">
        <f>IF(SUM(OR12,OU12)&gt;0,SUM(OR12,OU12),"")</f>
        <v/>
      </c>
      <c r="OW12" s="38">
        <f>IF($CN12="P",BT12,(BT12+AS12)/2)</f>
        <v>8.4</v>
      </c>
      <c r="OX12" s="38">
        <f>IF($CN12="P",BU12,(BU12+AT12)/2)</f>
        <v>1.7</v>
      </c>
      <c r="OY12" s="38">
        <f>IF($CN12="P",BV12,(BV12+AU12)/2)</f>
        <v>0</v>
      </c>
      <c r="OZ12" s="38">
        <f>IF($CN12="P",BW12,(BW12+AV12)/2)</f>
        <v>0</v>
      </c>
      <c r="PA12" s="38">
        <f>IF($CN12="P",BX12,(BX12+AW12)/2)</f>
        <v>8.25</v>
      </c>
      <c r="PB12" s="38">
        <f>IF($CN12="P",BY12,(BY12+AX12)/2)</f>
        <v>1.75</v>
      </c>
      <c r="PC12" s="38">
        <f>IF($CN12="P",BZ12,(BZ12+AY12)/2)</f>
        <v>0</v>
      </c>
      <c r="PD12" s="38">
        <f>IF($CN12="P",CA12,(CA12+AZ12)/2)</f>
        <v>0.3</v>
      </c>
      <c r="PE12" s="38">
        <f>IF($CN12="P",CB12,(CB12+BA12)/2)</f>
        <v>0</v>
      </c>
      <c r="PF12" s="38">
        <f>IF($CN12="P",CC12,(CC12+BB12)/2)</f>
        <v>0</v>
      </c>
      <c r="PG12" s="38">
        <f>IF($CN12="P",CD12,(CD12+BC12)/2)</f>
        <v>0</v>
      </c>
      <c r="PH12" s="38">
        <f>IF($CN12="P",CE12,(CE12+BD12)/2)</f>
        <v>0</v>
      </c>
      <c r="PI12" s="38">
        <f>IF($CN12="P",CF12,(CF12+BE12)/2)</f>
        <v>8.35</v>
      </c>
      <c r="PJ12" s="38">
        <f>IF($CN12="P",CG12,(CG12+BF12)/2)</f>
        <v>1.7</v>
      </c>
      <c r="PK12" s="38">
        <f>IF($CN12="P",CH12,(CH12+BG12)/2)</f>
        <v>0</v>
      </c>
      <c r="PL12" s="38">
        <f>IF($CN12="P",CI12,(CI12+BH12)/2)</f>
        <v>0</v>
      </c>
      <c r="PM12" s="38">
        <f>IF($CN12="P",CJ12,(CJ12+BI12)/2)</f>
        <v>7.85</v>
      </c>
      <c r="PN12" s="38">
        <f>IF($CN12="P",CK12,(CK12+BJ12)/2)</f>
        <v>1.55</v>
      </c>
      <c r="PO12" s="38">
        <f>IF($CN12="P",CL12,(CL12+BK12)/2)</f>
        <v>0</v>
      </c>
      <c r="PP12" s="38">
        <f>IF($CN12="P",CM12,(CM12+BL12)/2)</f>
        <v>0.3</v>
      </c>
      <c r="PQ12" s="45" t="s">
        <v>46</v>
      </c>
      <c r="PR12" s="79">
        <f>IF(SUM(OX12,PB12)&gt;0,SUM(OX12,PB12),"")</f>
        <v>3.45</v>
      </c>
      <c r="PS12" s="79">
        <f>IF(SUM(OW12:OX12,OZ12:PB12,PD12)-OY12-PC12&gt;0,SUM(OW12:OX12,OZ12:PB12,PD12)-OY12-PC12,"")</f>
        <v>20.400000000000002</v>
      </c>
      <c r="PT12" s="79" t="str">
        <f>IF(SUM(PE12:PF12,PH12)-PG12&gt;0,SUM(PE12:PF12,PH12)-PG12,"")</f>
        <v/>
      </c>
      <c r="PU12" s="79">
        <f>IF(SUM(PJ12,PN12)&gt;0,SUM(PJ12,PN12),"")</f>
        <v>3.25</v>
      </c>
      <c r="PV12" s="79">
        <f>IF(SUM(PI12:PJ12,PL12:PN12,PP12)-SUM(PK12,PO12)&gt;0,SUM(PI12:PJ12,PL12:PN12,PP12)-SUM(PK12,PO12),"")</f>
        <v>19.75</v>
      </c>
      <c r="PW12" s="79">
        <f>IF(SUM(PS12,PV12)&gt;0,SUM(PS12,PV12),"")</f>
        <v>40.150000000000006</v>
      </c>
    </row>
    <row r="13" spans="1:439" x14ac:dyDescent="0.2">
      <c r="A13" s="5" t="str">
        <f>IF(AND(F13="P",G13="P"),SUMPRODUCT((F$4:F$21="P")*(G$4:G$21="P")*(E$4:E$21&gt;E13))+1,IF(G13="P",SUMPRODUCT((F$4:F$21="")*(G$4:G$21="P")*(E$4:E$21&gt;E13))+1+SUMPRODUCT((F$4:F$21="P")*(G$4:G$21="P")),""))</f>
        <v/>
      </c>
      <c r="B13" s="78" t="s">
        <v>140</v>
      </c>
      <c r="C13" s="5" t="s">
        <v>3</v>
      </c>
      <c r="D13" s="5">
        <v>2004</v>
      </c>
      <c r="E13" s="15">
        <f>SUM(I13:O13)+SUM(I13:M13)*0.0000001+SUM(I13)*0.0000000000001</f>
        <v>80.000008000003902</v>
      </c>
      <c r="F13" s="3" t="str">
        <f>IF(OR(AND(AM13&gt;=AR$23,AN13&gt;=AR$27,AM13&lt;&gt;"",AL13=""),AND(AP13&gt;=AR$23,AQ13&gt;=AR$27,AP13&lt;&gt;"",AL13=""),AND(BN13&gt;=BS$23,BO13&gt;=BS$27,BN13&lt;&gt;"",BM13=""),AND(BQ13&gt;=BS$23,BR13&gt;=BS$27,BQ13&lt;&gt;"",BM13=""),AND(CO13&gt;=CT$23,CP13&gt;=CT$27,CO13&lt;&gt;"",CN13=""),AND(CR13&gt;=CT$23,CS13&gt;=CT$27,CR13&lt;&gt;""),AND(DQ13&gt;=DV$23,DR13&gt;=DV$27,DQ13&lt;&gt;""),AND(DT13&gt;=DV$23,DU13&gt;=DV$27,DT13&lt;&gt;""),AND(EQ13&gt;=EV$23,ER13&gt;=EV$27,EQ13&lt;&gt;""),AND(ET13&gt;=EV$23,EU13&gt;=EV$27,ET13&lt;&gt;""),AND(FQ13&gt;=FV$23,FR13&gt;=FV$27,FQ13&lt;&gt;""),AND(FT13&gt;=FV$23,FU13&gt;=FV$27,FT13&lt;&gt;""),AND(GQ13&gt;=GV$23,GR13&gt;=GV$27,GQ13&lt;&gt;""),AND(GT13&gt;=GV$23,GU13&gt;=GV$27,GT13&lt;&gt;""),AND(HQ13&gt;=HV$23,HR13&gt;=HV$27,HQ13&lt;&gt;""),AND(HT13&gt;=HV$23,HU13&gt;=HV$27,HT13&lt;&gt;""),AND(IQ13&gt;=IV$23,IR13&gt;=IV$27,IQ13&lt;&gt;""),AND(IT13&gt;=IV$23,IU13&gt;=IV$27,IT13&lt;&gt;""),AND(JQ13&gt;=JV$23,JR13&gt;=JV$27,JQ13&lt;&gt;""),AND(JT13&gt;=JV$23,JU13&gt;=JV$27,JT13&lt;&gt;""),AND(KQ13&gt;=KV$23,KR13&gt;=KV$27,KQ13&lt;&gt;""),AND(KT13&gt;=KV$23,KU13&gt;=KV$27,KT13&lt;&gt;""),AND(LQ13&gt;=LV$23,LR13&gt;=LV$27,LQ13&lt;&gt;""),AND(LT13&gt;=LV$23,LU13&gt;=LV$27,LT13&lt;&gt;""),AND(MQ13&gt;=MV$23,MR13&gt;=MV$27,MQ13&lt;&gt;""),AND(MT13&gt;=MV$23,MU13&gt;=MV$27,MT13&lt;&gt;""),AND(NQ13&gt;=NV$23,NR13&gt;=NV$27,NQ13&lt;&gt;""),AND(NT13&gt;=NV$23,NU13&gt;=NV$27,NT13&lt;&gt;""),AND(OQ13&gt;=OV$23,OR13&gt;=OV$27,OQ13&lt;&gt;""),AND(OT13&gt;=OV$23,OU13&gt;=OV$27,OT13&lt;&gt;"")),"P","")</f>
        <v/>
      </c>
      <c r="G13" s="3" t="str">
        <f>IF(OR(AND(AN13&gt;=AR$27,AN13&lt;&gt;"",AL13=""),AND(AQ13&gt;=AR$27,AQ13&lt;&gt;"",AL13=""),AND(BO13&gt;=BS$27,BO13&lt;&gt;"",BM13=""),AND(BR13&gt;=BS$27,BR13&lt;&gt;"",BM13=""),AND(CP13&gt;=CT$27,CP13&lt;&gt;"",CN13=""),AND(CS13&gt;=CT$27,CS13&lt;&gt;"",CN13=""),AND(DR13&gt;=DV$27,DR13&lt;&gt;""),AND(DU13&gt;=DV$27,DU13&lt;&gt;""),AND(ER13&gt;=EV$27,ER13&lt;&gt;""),AND(EU13&gt;=EV$27,EU13&lt;&gt;""),AND(FR13&gt;=FV$27,FR13&lt;&gt;""),AND(FU13&gt;=FV$27,FU13&lt;&gt;""),AND(GR13&gt;=GV$27,GR13&lt;&gt;""),AND(GU13&gt;=GV$27,GU13&lt;&gt;""),AND(HR13&gt;=HV$27,HR13&lt;&gt;""),AND(HU13&gt;=HV$27,HU13&lt;&gt;""),AND(IR13&gt;=IV$27,IR13&lt;&gt;""),AND(IU13&gt;=IV$27,IU13&lt;&gt;""),AND(JR13&gt;=JV$27,JR13&lt;&gt;""),AND(JU13&gt;=JV$27,JU13&lt;&gt;""),AND(KR13&gt;=KV$27,KR13&lt;&gt;""),AND(KU13&gt;=KV$27,KU13&lt;&gt;""),AND(LR13&gt;=LV$27,LR13&lt;&gt;""),AND(LU13&gt;=LV$27,LU13&lt;&gt;""),AND(MR13&gt;=MV$27,MR13&lt;&gt;""),AND(MU13&gt;=MV$27,MU13&lt;&gt;""),AND(NR13&gt;=NV$27,NR13&lt;&gt;""),AND(NU13&gt;=NV$27,NU13&lt;&gt;""),AND(OR13&gt;=OV$27,OR13&lt;&gt;""),AND(OU13&gt;=OV$27,OU13&lt;&gt;"")),"P","")</f>
        <v/>
      </c>
      <c r="H13" s="67" t="str">
        <f>IF(AND(G13="P",F13=""),"No DD",IF(OR(AND(AM13&gt;=AR$26,AN13&gt;=AR$30,AM13&lt;&gt;"",AL13=""),AND(AP13&gt;=AR$26,AQ13&gt;=AR$30,AP13&lt;&gt;"",AL13=""),AND(BN13&gt;=BS$26,BO13&gt;=BS$30,BN13&lt;&gt;"",BM13=""),AND(BQ13&gt;=BS$26,BR13&gt;=BS$30,BQ13&lt;&gt;"",BM13=""),AND(CO13&gt;=CT$26,CP13&gt;=CT$30,CO13&lt;&gt;"",CN13=""),AND(CR13&gt;=CT$26,CS13&gt;=CT$30,CR13&lt;&gt;""),AND(DQ13&gt;=DV$26,DR13&gt;=DV$30,DQ13&lt;&gt;""),AND(DT13&gt;=DV$26,DU13&gt;=DV$30,DT13&lt;&gt;""),AND(EQ13&gt;=EV$26,ER13&gt;=EV$30,EQ13&lt;&gt;""),AND(ET13&gt;=EV$26,EU13&gt;=EV$30,ET13&lt;&gt;""),AND(FQ13&gt;=FV$26,FR13&gt;=FV$30,FQ13&lt;&gt;""),AND(FT13&gt;=FV$26,FU13&gt;=FV$30,FT13&lt;&gt;""),AND(GQ13&gt;=GV$26,GR13&gt;=GV$30,GQ13&lt;&gt;""),AND(GT13&gt;=GV$26,GU13&gt;=GV$30,GT13&lt;&gt;""),AND(HQ13&gt;=HV$26,HR13&gt;=HV$30,HQ13&lt;&gt;""),AND(HT13&gt;=HV$26,HU13&gt;=HV$30,HT13&lt;&gt;""),AND(IQ13&gt;=IV$26,IR13&gt;=IV$30,IQ13&lt;&gt;""),AND(IT13&gt;=IV$26,IU13&gt;=IV$30,IT13&lt;&gt;""),AND(JQ13&gt;=JV$26,JR13&gt;=JV$30,JQ13&lt;&gt;""),AND(JT13&gt;=JV$26,JU13&gt;=JV$30,JT13&lt;&gt;""),AND(KQ13&gt;=KV$26,KR13&gt;=KV$30,KQ13&lt;&gt;""),AND(KT13&gt;=KV$26,KU13&gt;=KV$30,KT13&lt;&gt;""),AND(LQ13&gt;=LV$26,LR13&gt;=LV$30,LQ13&lt;&gt;""),AND(LT13&gt;=LV$26,LU13&gt;=LV$30,LT13&lt;&gt;""),AND(MQ13&gt;=MV$26,MR13&gt;=MV$30,MQ13&lt;&gt;""),AND(MT13&gt;=MV$26,MU13&gt;=MV$30,MT13&lt;&gt;""),AND(NQ13&gt;=NV$26,NR13&gt;=NV$30,NQ13&lt;&gt;""),AND(NT13&gt;=NV$26,NU13&gt;=NV$30,NT13&lt;&gt;""),AND(OQ13&gt;=OV$26,OR13&gt;=OV$30,OQ13&lt;&gt;""),AND(OT13&gt;=OV$26,OU13&gt;=OV$30,OT13&lt;&gt;"")),"Merit",IF(OR(AND(AM13&gt;=AR$25,AN13&gt;=AR$29,AM13&lt;&gt;"",AL13=""),AND(AP13&gt;=AR$25,AQ13&gt;=AR$29,AP13&lt;&gt;"",AL13=""),AND(BN13&gt;=BS$25,BO13&gt;=BS$29,BN13&lt;&gt;"",BM13=""),AND(BQ13&gt;=BS$25,BR13&gt;=BS$29,BQ13&lt;&gt;"",BM13=""),AND(CO13&gt;=CT$25,CP13&gt;=CT$29,CO13&lt;&gt;"",CN13=""),AND(CR13&gt;=CT$25,CS13&gt;=CT$29,CR13&lt;&gt;""),AND(DQ13&gt;=DV$25,DR13&gt;=DV$29,DQ13&lt;&gt;""),AND(DT13&gt;=DV$25,DU13&gt;=DV$29,DT13&lt;&gt;""),AND(EQ13&gt;=EV$25,ER13&gt;=EV$29,EQ13&lt;&gt;""),AND(ET13&gt;=EV$25,EU13&gt;=EV$29,ET13&lt;&gt;""),AND(FQ13&gt;=FV$25,FR13&gt;=FV$29,FQ13&lt;&gt;""),AND(FT13&gt;=FV$25,FU13&gt;=FV$29,FT13&lt;&gt;""),AND(GQ13&gt;=GV$25,GR13&gt;=GV$29,GQ13&lt;&gt;""),AND(GT13&gt;=GV$25,GU13&gt;=GV$29,GT13&lt;&gt;""),AND(HQ13&gt;=HV$25,HR13&gt;=HV$29,HQ13&lt;&gt;""),AND(HT13&gt;=HV$25,HU13&gt;=HV$29,HT13&lt;&gt;""),AND(IQ13&gt;=IV$25,IR13&gt;=IV$29,IQ13&lt;&gt;""),AND(IT13&gt;=IV$25,IU13&gt;=IV$29,IT13&lt;&gt;""),AND(JQ13&gt;=JV$25,JR13&gt;=JV$29,JQ13&lt;&gt;""),AND(JT13&gt;=JV$25,JU13&gt;=JV$29,JT13&lt;&gt;""),AND(KQ13&gt;=KV$25,KR13&gt;=KV$29,KQ13&lt;&gt;""),AND(KT13&gt;=KV$25,KU13&gt;=KV$29,KT13&lt;&gt;""),AND(LQ13&gt;=LV$25,LR13&gt;=LV$29,LQ13&lt;&gt;""),AND(LT13&gt;=LV$25,LU13&gt;=LV$29,LT13&lt;&gt;""),AND(MQ13&gt;=MV$25,MR13&gt;=MV$29,MQ13&lt;&gt;""),AND(MT13&gt;=MV$25,MU13&gt;=MV$29,MT13&lt;&gt;""),AND(NQ13&gt;=NV$25,NR13&gt;=NV$29,NQ13&lt;&gt;""),AND(NT13&gt;=NV$25,NU13&gt;=NV$29,NT13&lt;&gt;""),AND(OQ13&gt;=OV$25,OR13&gt;=OV$29,OQ13&lt;&gt;""),AND(OT13&gt;=OV$25,OU13&gt;=OV$29,OT13&lt;&gt;"")),"Excellence",IF(F13="P","National Team",""))))</f>
        <v/>
      </c>
      <c r="I13" s="14">
        <f>IF(COUNT(AN13,BO13,CP13)&gt;0,LARGE((AN13,BO13,CP13),1),0)</f>
        <v>39.099999999999994</v>
      </c>
      <c r="J13" s="14" t="str">
        <f>IF(I13=0,"",IF(I13=CP13,$BT$1,IF(I13=BO13,$AS$1,IF(I13=AN13,$R$1,""))))</f>
        <v>2022 Elite Canada</v>
      </c>
      <c r="K13" s="14">
        <f>IF(COUNT(AN13,BO13,CP13)&gt;1,LARGE((AN13,BO13,CP13),2),0)</f>
        <v>0</v>
      </c>
      <c r="L13" s="14" t="str">
        <f>IF(K13=0,"",IF(K13=CP13,$BT$1,IF(K13=BO13,$AS$1,IF(K13=AN13,$R$1,""))))</f>
        <v/>
      </c>
      <c r="M13" s="14">
        <f>IF(MAX(AQ13,BR13,CS13)&gt;0,MAX(AQ13,BR13,CS13),0)</f>
        <v>40.9</v>
      </c>
      <c r="N13" s="14" t="str">
        <f>IF(M13=0,"",IF(M13=CS13,$BT$1,IF(M13=BR13,$AS$1,IF(M13=AQ13,$R$1,""))))</f>
        <v>2022 Elite Canada</v>
      </c>
      <c r="O13" s="14" t="str">
        <f>IF(MAX(CU13:CV13)&gt;0,MAX(CU13:CV13),"")</f>
        <v/>
      </c>
      <c r="P13" s="20" t="str">
        <f>IF(O13="","",IF(O13=CU13,"("&amp;CU$2&amp;")",IF(O13=CV13,"("&amp;CV$2&amp;")")))</f>
        <v/>
      </c>
      <c r="Q13" s="14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45"/>
      <c r="AM13" s="79" t="str">
        <f>IF(SUM(S13,W13)&gt;0,SUM(S13,W13),"")</f>
        <v/>
      </c>
      <c r="AN13" s="79" t="str">
        <f>IF(SUM(R13:S13,U13:W13,Y13)-T13-X13&gt;0,SUM(R13:S13,U13:W13,Y13)-T13-X13,"")</f>
        <v/>
      </c>
      <c r="AO13" s="79" t="str">
        <f>IF(SUM(Z13:AA13,AC13)-AB13&gt;0,SUM(Z13:AA13,AC13)-AB13,"")</f>
        <v/>
      </c>
      <c r="AP13" s="79" t="str">
        <f>IF(SUM(AE13,AI13)&gt;0,SUM(AE13,AI13),"")</f>
        <v/>
      </c>
      <c r="AQ13" s="79" t="str">
        <f>IF(SUM(AD13:AE13,AG13:AI13,AK13)-SUM(AF13,AJ13)&gt;0,SUM(AD13:AE13,AG13:AI13,AK13)-SUM(AF13,AJ13),"")</f>
        <v/>
      </c>
      <c r="AR13" s="79" t="str">
        <f>IF(SUM(AN13,AQ13)&gt;0,SUM(AN13,AQ13),"")</f>
        <v/>
      </c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46"/>
      <c r="BN13" s="20" t="str">
        <f>IF(SUM(AT13,AX13)&gt;0,SUM(AT13,AX13),"")</f>
        <v/>
      </c>
      <c r="BO13" s="20" t="str">
        <f>IF(SUM(AS13:AT13,AV13:AX13,AZ13)-AU13-AY13&gt;0,SUM(AS13:AT13,AV13:AX13,AZ13)-AU13-AY13,"")</f>
        <v/>
      </c>
      <c r="BP13" s="20" t="str">
        <f>IF(SUM(BA13:BB13,BD13)-BC13&gt;0,SUM(BA13:BB13,BD13)-BC13,"")</f>
        <v/>
      </c>
      <c r="BQ13" s="20" t="str">
        <f>IF(SUM(BF13,BJ13)&gt;0,SUM(BF13,BJ13),"")</f>
        <v/>
      </c>
      <c r="BR13" s="20" t="str">
        <f>IF(SUM(BE13:BF13,BH13:BJ13,BL13)-SUM(BG13,BK13)&gt;0,SUM(BE13:BF13,BH13:BJ13,BL13)-SUM(BG13,BK13),"")</f>
        <v/>
      </c>
      <c r="BS13" s="20" t="str">
        <f>IF(SUM(BO13,BR13)&gt;0,SUM(BO13,BR13),"")</f>
        <v/>
      </c>
      <c r="BT13" s="27">
        <v>16.7</v>
      </c>
      <c r="BU13" s="27">
        <v>3.4</v>
      </c>
      <c r="BV13" s="27">
        <v>0</v>
      </c>
      <c r="BW13" s="27">
        <v>0</v>
      </c>
      <c r="BX13" s="27">
        <v>14.8</v>
      </c>
      <c r="BY13" s="27">
        <v>3.9</v>
      </c>
      <c r="BZ13" s="27">
        <v>0</v>
      </c>
      <c r="CA13" s="27">
        <v>0.3</v>
      </c>
      <c r="CB13" s="27"/>
      <c r="CC13" s="27"/>
      <c r="CD13" s="27"/>
      <c r="CE13" s="27"/>
      <c r="CF13" s="27">
        <v>16.600000000000001</v>
      </c>
      <c r="CG13" s="27">
        <v>3.4</v>
      </c>
      <c r="CH13" s="27">
        <v>0</v>
      </c>
      <c r="CI13" s="27">
        <v>0</v>
      </c>
      <c r="CJ13" s="27">
        <v>16.7</v>
      </c>
      <c r="CK13" s="27">
        <v>3.9</v>
      </c>
      <c r="CL13" s="27">
        <v>0</v>
      </c>
      <c r="CM13" s="27">
        <v>0.3</v>
      </c>
      <c r="CN13" s="45"/>
      <c r="CO13" s="79">
        <f>IF(SUM(BU13,BY13)&gt;0,SUM(BU13,BY13),"")</f>
        <v>7.3</v>
      </c>
      <c r="CP13" s="79">
        <f>IF(SUM(BT13:BU13,BW13:BY13,CA13)-BV13-BZ13&gt;0,SUM(BT13:BU13,BW13:BY13,CA13)-BV13-BZ13,"")</f>
        <v>39.099999999999994</v>
      </c>
      <c r="CQ13" s="79" t="str">
        <f>IF(SUM(CB13:CC13,CE13)-CD13&gt;0,SUM(CB13:CC13,CE13)-CD13,"")</f>
        <v/>
      </c>
      <c r="CR13" s="79">
        <f>IF(SUM(CG13,CK13)&gt;0,SUM(CG13,CK13),"")</f>
        <v>7.3</v>
      </c>
      <c r="CS13" s="79">
        <f>IF(SUM(CF13:CG13,CI13:CK13,CM13)-SUM(CH13,CL13)&gt;0,SUM(CF13:CG13,CI13:CK13,CM13)-SUM(CH13,CL13),"")</f>
        <v>40.9</v>
      </c>
      <c r="CT13" s="79">
        <f>IF(SUM(CP13,CS13)&gt;0,SUM(CP13,CS13),"")</f>
        <v>80</v>
      </c>
      <c r="CU13" s="80" t="str">
        <f>IF(K13&gt;=0.001,IF(MAX(DR13,ER13,FR13,GR13,HR13,IR13,JR13,KR13,LR13,MR13,NR13,OR13)-IF(K13="",0,K13)&gt;0.001,MAX(DR13,ER13,FR13,GR13,HR13,IR13,JR13,KR13,LR13,MR13,NR13,OR13)-IF(K13="",0,K13),""),"")</f>
        <v/>
      </c>
      <c r="CV13" s="80" t="str">
        <f>IF(M13&gt;=0.001,IF(MAX(DU13,EU13,FU13,GU13,HU13,IU13,JU13,KU13,LU13,MU13,NU13,OU13)-IF(M13="",0,M13)&gt;0.001,MAX(DU13,EU13,FU13,GU13,HU13,IU13,JU13,KU13,LU13,MU13,NU13,OU13)-IF(M13="",0,M13),""),"")</f>
        <v/>
      </c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79" t="str">
        <f>IF(SUM(CX13,DB13)&gt;0,SUM(CX13,DB13),"")</f>
        <v/>
      </c>
      <c r="DR13" s="79" t="str">
        <f>IF(SUM(CW13:CX13,CZ13:DB13,DD13)-CY13-DC13&gt;0,SUM(CW13:CX13,CZ13:DB13,DD13)-CY13-DC13,"")</f>
        <v/>
      </c>
      <c r="DS13" s="79" t="str">
        <f>IF(SUM(DE13:DF13,DH13)-DG13&gt;0,SUM(DE13:DF13,DH13)-DG13,"")</f>
        <v/>
      </c>
      <c r="DT13" s="79" t="str">
        <f>IF(SUM(DJ13,DN13)&gt;0,SUM(DJ13,DN13),"")</f>
        <v/>
      </c>
      <c r="DU13" s="79" t="str">
        <f>IF(SUM(DI13:DJ13,DL13:DN13,DP13)-SUM(DK13,DO13)&gt;0,SUM(DI13:DJ13,DL13:DN13,DP13)-SUM(DK13,DO13),"")</f>
        <v/>
      </c>
      <c r="DV13" s="79" t="str">
        <f>IF(SUM(DR13,DU13)&gt;0,SUM(DR13,DU13),"")</f>
        <v/>
      </c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0" t="str">
        <f>IF(SUM(DX13,EB13)&gt;0,SUM(DX13,EB13),"")</f>
        <v/>
      </c>
      <c r="ER13" s="20" t="str">
        <f>IF(SUM(DW13:DX13,DZ13:EB13,ED13)-DY13-EC13&gt;0,SUM(DW13:DX13,DZ13:EB13,ED13)-DY13-EC13,"")</f>
        <v/>
      </c>
      <c r="ES13" s="20" t="str">
        <f>IF(SUM(EE13:EF13,EH13)-EG13&gt;0,SUM(EE13:EF13,EH13)-EG13,"")</f>
        <v/>
      </c>
      <c r="ET13" s="20" t="str">
        <f>IF(SUM(EJ13,EN13)&gt;0,SUM(EJ13,EN13),"")</f>
        <v/>
      </c>
      <c r="EU13" s="20" t="str">
        <f>IF(SUM(EI13:EJ13,EL13:EN13,EP13)-SUM(EK13,EO13)&gt;0,SUM(EI13:EJ13,EL13:EN13,EP13)-SUM(EK13,EO13),"")</f>
        <v/>
      </c>
      <c r="EV13" s="20" t="str">
        <f>IF(SUM(ER13,EU13)&gt;0,SUM(ER13,EU13),"")</f>
        <v/>
      </c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79" t="str">
        <f>IF(SUM(EX13,FB13)&gt;0,SUM(EX13,FB13),"")</f>
        <v/>
      </c>
      <c r="FR13" s="79" t="str">
        <f>IF(SUM(EW13:EX13,EZ13:FB13,FD13)-EY13-FC13&gt;0,SUM(EW13:EX13,EZ13:FB13,FD13)-EY13-FC13,"")</f>
        <v/>
      </c>
      <c r="FS13" s="79" t="str">
        <f>IF(SUM(FE13:FF13,FH13)-FG13&gt;0,SUM(FE13:FF13,FH13)-FG13,"")</f>
        <v/>
      </c>
      <c r="FT13" s="79" t="str">
        <f>IF(SUM(FJ13,FN13)&gt;0,SUM(FJ13,FN13),"")</f>
        <v/>
      </c>
      <c r="FU13" s="79" t="str">
        <f>IF(SUM(FI13:FJ13,FL13:FN13,FP13)-SUM(FK13,FO13)&gt;0,SUM(FI13:FJ13,FL13:FN13,FP13)-SUM(FK13,FO13),"")</f>
        <v/>
      </c>
      <c r="FV13" s="79" t="str">
        <f>IF(SUM(FR13,FU13)&gt;0,SUM(FR13,FU13),"")</f>
        <v/>
      </c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0" t="str">
        <f>IF(SUM(FX13,GB13)&gt;0,SUM(FX13,GB13),"")</f>
        <v/>
      </c>
      <c r="GR13" s="20" t="str">
        <f>IF(SUM(FW13:FX13,FZ13:GB13,GD13)-FY13-GC13&gt;0,SUM(FW13:FX13,FZ13:GB13,GD13)-FY13-GC13,"")</f>
        <v/>
      </c>
      <c r="GS13" s="20" t="str">
        <f>IF(SUM(GE13:GF13,GH13)-GG13&gt;0,SUM(GE13:GF13,GH13)-GG13,"")</f>
        <v/>
      </c>
      <c r="GT13" s="20" t="str">
        <f>IF(SUM(GJ13,GN13)&gt;0,SUM(GJ13,GN13),"")</f>
        <v/>
      </c>
      <c r="GU13" s="20" t="str">
        <f>IF(SUM(GI13:GJ13,GL13:GN13,GP13)-SUM(GK13,GO13)&gt;0,SUM(GI13:GJ13,GL13:GN13,GP13)-SUM(GK13,GO13),"")</f>
        <v/>
      </c>
      <c r="GV13" s="20" t="str">
        <f>IF(SUM(GR13,GU13)&gt;0,SUM(GR13,GU13),"")</f>
        <v/>
      </c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79" t="str">
        <f>IF(SUM(GX13,HB13)&gt;0,SUM(GX13,HB13),"")</f>
        <v/>
      </c>
      <c r="HR13" s="79" t="str">
        <f>IF(SUM(GW13:GX13,GZ13:HB13,HD13)-GY13-HC13&gt;0,SUM(GW13:GX13,GZ13:HB13,HD13)-GY13-HC13,"")</f>
        <v/>
      </c>
      <c r="HS13" s="79" t="str">
        <f>IF(SUM(HE13:HF13,HH13)-HG13&gt;0,SUM(HE13:HF13,HH13)-HG13,"")</f>
        <v/>
      </c>
      <c r="HT13" s="79" t="str">
        <f>IF(SUM(HJ13,HN13)&gt;0,SUM(HJ13,HN13),"")</f>
        <v/>
      </c>
      <c r="HU13" s="79" t="str">
        <f>IF(SUM(HI13:HJ13,HL13:HN13,HP13)-SUM(HK13,HO13)&gt;0,SUM(HI13:HJ13,HL13:HN13,HP13)-SUM(HK13,HO13),"")</f>
        <v/>
      </c>
      <c r="HV13" s="79" t="str">
        <f>IF(SUM(HR13,HU13)&gt;0,SUM(HR13,HU13),"")</f>
        <v/>
      </c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0" t="str">
        <f>IF(SUM(HX13,IB13)&gt;0,SUM(HX13,IB13),"")</f>
        <v/>
      </c>
      <c r="IR13" s="20" t="str">
        <f>IF(SUM(HW13:HX13,HZ13:IB13,ID13)-HY13-IC13&gt;0,SUM(HW13:HX13,HZ13:IB13,ID13)-HY13-IC13,"")</f>
        <v/>
      </c>
      <c r="IS13" s="20" t="str">
        <f>IF(SUM(IE13:IF13,IH13)-IG13&gt;0,SUM(IE13:IF13,IH13)-IG13,"")</f>
        <v/>
      </c>
      <c r="IT13" s="20" t="str">
        <f>IF(SUM(IJ13,IN13)&gt;0,SUM(IJ13,IN13),"")</f>
        <v/>
      </c>
      <c r="IU13" s="20" t="str">
        <f>IF(SUM(II13:IJ13,IL13:IN13,IP13)-SUM(IK13,IO13)&gt;0,SUM(II13:IJ13,IL13:IN13,IP13)-SUM(IK13,IO13),"")</f>
        <v/>
      </c>
      <c r="IV13" s="20" t="str">
        <f>IF(SUM(IR13,IU13)&gt;0,SUM(IR13,IU13),"")</f>
        <v/>
      </c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79" t="str">
        <f>IF(SUM(IX13,JB13)&gt;0,SUM(IX13,JB13),"")</f>
        <v/>
      </c>
      <c r="JR13" s="79" t="str">
        <f>IF(SUM(IW13:IX13,IZ13:JB13,JD13)-IY13-JC13&gt;0,SUM(IW13:IX13,IZ13:JB13,JD13)-IY13-JC13,"")</f>
        <v/>
      </c>
      <c r="JS13" s="79" t="str">
        <f>IF(SUM(JE13:JF13,JH13)-JG13&gt;0,SUM(JE13:JF13,JH13)-JG13,"")</f>
        <v/>
      </c>
      <c r="JT13" s="79" t="str">
        <f>IF(SUM(JJ13,JN13)&gt;0,SUM(JJ13,JN13),"")</f>
        <v/>
      </c>
      <c r="JU13" s="79" t="str">
        <f>IF(SUM(JI13:JJ13,JL13:JN13,JP13)-SUM(JK13,JO13)&gt;0,SUM(JI13:JJ13,JL13:JN13,JP13)-SUM(JK13,JO13),"")</f>
        <v/>
      </c>
      <c r="JV13" s="79" t="str">
        <f>IF(SUM(JR13,JU13)&gt;0,SUM(JR13,JU13),"")</f>
        <v/>
      </c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26"/>
      <c r="KO13" s="26"/>
      <c r="KP13" s="26"/>
      <c r="KQ13" s="20" t="str">
        <f>IF(SUM(JX13,KB13)&gt;0,SUM(JX13,KB13),"")</f>
        <v/>
      </c>
      <c r="KR13" s="20" t="str">
        <f>IF(SUM(JW13:JX13,JZ13:KB13,KD13)-JY13-KC13&gt;0,SUM(JW13:JX13,JZ13:KB13,KD13)-JY13-KC13,"")</f>
        <v/>
      </c>
      <c r="KS13" s="20" t="str">
        <f>IF(SUM(KE13:KF13,KH13)-KG13&gt;0,SUM(KE13:KF13,KH13)-KG13,"")</f>
        <v/>
      </c>
      <c r="KT13" s="20" t="str">
        <f>IF(SUM(KJ13,KN13)&gt;0,SUM(KJ13,KN13),"")</f>
        <v/>
      </c>
      <c r="KU13" s="20" t="str">
        <f>IF(SUM(KI13:KJ13,KL13:KN13,KP13)-SUM(KK13,KO13)&gt;0,SUM(KI13:KJ13,KL13:KN13,KP13)-SUM(KK13,KO13),"")</f>
        <v/>
      </c>
      <c r="KV13" s="20" t="str">
        <f>IF(SUM(KR13,KU13)&gt;0,SUM(KR13,KU13),"")</f>
        <v/>
      </c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79" t="str">
        <f>IF(SUM(KX13,LB13)&gt;0,SUM(KX13,LB13),"")</f>
        <v/>
      </c>
      <c r="LR13" s="79" t="str">
        <f>IF(SUM(KW13:KX13,KZ13:LB13,LD13)-KY13-LC13&gt;0,SUM(KW13:KX13,KZ13:LB13,LD13)-KY13-LC13,"")</f>
        <v/>
      </c>
      <c r="LS13" s="79" t="str">
        <f>IF(SUM(LE13:LF13,LH13)-LG13&gt;0,SUM(LE13:LF13,LH13)-LG13,"")</f>
        <v/>
      </c>
      <c r="LT13" s="79" t="str">
        <f>IF(SUM(LJ13,LN13)&gt;0,SUM(LJ13,LN13),"")</f>
        <v/>
      </c>
      <c r="LU13" s="79" t="str">
        <f>IF(SUM(LI13:LJ13,LL13:LN13,LP13)-SUM(LK13,LO13)&gt;0,SUM(LI13:LJ13,LL13:LN13,LP13)-SUM(LK13,LO13),"")</f>
        <v/>
      </c>
      <c r="LV13" s="79" t="str">
        <f>IF(SUM(LR13,LU13)&gt;0,SUM(LR13,LU13),"")</f>
        <v/>
      </c>
      <c r="LW13" s="26"/>
      <c r="LX13" s="26"/>
      <c r="LY13" s="26"/>
      <c r="LZ13" s="26"/>
      <c r="MA13" s="26"/>
      <c r="MB13" s="26"/>
      <c r="MC13" s="26"/>
      <c r="MD13" s="26"/>
      <c r="ME13" s="26"/>
      <c r="MF13" s="26"/>
      <c r="MG13" s="26"/>
      <c r="MH13" s="26"/>
      <c r="MI13" s="26"/>
      <c r="MJ13" s="26"/>
      <c r="MK13" s="26"/>
      <c r="ML13" s="26"/>
      <c r="MM13" s="26"/>
      <c r="MN13" s="26"/>
      <c r="MO13" s="26"/>
      <c r="MP13" s="26"/>
      <c r="MQ13" s="20" t="str">
        <f>IF(SUM(LX13,MB13)&gt;0,SUM(LX13,MB13),"")</f>
        <v/>
      </c>
      <c r="MR13" s="20" t="str">
        <f>IF(SUM(LW13:LX13,LZ13:MB13,MD13)-LY13-MC13&gt;0,SUM(LW13:LX13,LZ13:MB13,MD13)-LY13-MC13,"")</f>
        <v/>
      </c>
      <c r="MS13" s="20" t="str">
        <f>IF(SUM(ME13:MF13,MH13)-MG13&gt;0,SUM(ME13:MF13,MH13)-MG13,"")</f>
        <v/>
      </c>
      <c r="MT13" s="20" t="str">
        <f>IF(SUM(MJ13,MN13)&gt;0,SUM(MJ13,MN13),"")</f>
        <v/>
      </c>
      <c r="MU13" s="20" t="str">
        <f>IF(SUM(MI13:MJ13,ML13:MN13,MP13)-SUM(MK13,MO13)&gt;0,SUM(MI13:MJ13,ML13:MN13,MP13)-SUM(MK13,MO13),"")</f>
        <v/>
      </c>
      <c r="MV13" s="20" t="str">
        <f>IF(SUM(MR13,MU13)&gt;0,SUM(MR13,MU13),"")</f>
        <v/>
      </c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79" t="str">
        <f>IF(SUM(MX13,NB13)&gt;0,SUM(MX13,NB13),"")</f>
        <v/>
      </c>
      <c r="NR13" s="79" t="str">
        <f>IF(SUM(MW13:MX13,MZ13:NB13,ND13)-MY13-NC13&gt;0,SUM(MW13:MX13,MZ13:NB13,ND13)-MY13-NC13,"")</f>
        <v/>
      </c>
      <c r="NS13" s="79" t="str">
        <f>IF(SUM(NE13:NF13,NH13)-NG13&gt;0,SUM(NE13:NF13,NH13)-NG13,"")</f>
        <v/>
      </c>
      <c r="NT13" s="79" t="str">
        <f>IF(SUM(NJ13,NN13)&gt;0,SUM(NJ13,NN13),"")</f>
        <v/>
      </c>
      <c r="NU13" s="79" t="str">
        <f>IF(SUM(NI13:NJ13,NL13:NN13,NP13)-SUM(NK13,NO13)&gt;0,SUM(NI13:NJ13,NL13:NN13,NP13)-SUM(NK13,NO13),"")</f>
        <v/>
      </c>
      <c r="NV13" s="79" t="str">
        <f>IF(SUM(NR13,NU13)&gt;0,SUM(NR13,NU13),"")</f>
        <v/>
      </c>
      <c r="NW13" s="26"/>
      <c r="NX13" s="26"/>
      <c r="NY13" s="26"/>
      <c r="NZ13" s="26"/>
      <c r="OA13" s="26"/>
      <c r="OB13" s="26"/>
      <c r="OC13" s="26"/>
      <c r="OD13" s="26"/>
      <c r="OE13" s="26"/>
      <c r="OF13" s="26"/>
      <c r="OG13" s="26"/>
      <c r="OH13" s="26"/>
      <c r="OI13" s="26"/>
      <c r="OJ13" s="26"/>
      <c r="OK13" s="26"/>
      <c r="OL13" s="26"/>
      <c r="OM13" s="26"/>
      <c r="ON13" s="26"/>
      <c r="OO13" s="26"/>
      <c r="OP13" s="26"/>
      <c r="OQ13" s="20" t="str">
        <f>IF(SUM(NX13,OB13)&gt;0,SUM(NX13,OB13),"")</f>
        <v/>
      </c>
      <c r="OR13" s="20" t="str">
        <f>IF(SUM(NW13:NX13,NZ13:OB13,OD13)-NY13-OC13&gt;0,SUM(NW13:NX13,NZ13:OB13,OD13)-NY13-OC13,"")</f>
        <v/>
      </c>
      <c r="OS13" s="20" t="str">
        <f>IF(SUM(OE13:OF13,OH13)-OG13&gt;0,SUM(OE13:OF13,OH13)-OG13,"")</f>
        <v/>
      </c>
      <c r="OT13" s="20" t="str">
        <f>IF(SUM(OJ13,ON13)&gt;0,SUM(OJ13,ON13),"")</f>
        <v/>
      </c>
      <c r="OU13" s="20" t="str">
        <f>IF(SUM(OI13:OJ13,OL13:ON13,OP13)-SUM(OK13,OO13)&gt;0,SUM(OI13:OJ13,OL13:ON13,OP13)-SUM(OK13,OO13),"")</f>
        <v/>
      </c>
      <c r="OV13" s="20" t="str">
        <f>IF(SUM(OR13,OU13)&gt;0,SUM(OR13,OU13),"")</f>
        <v/>
      </c>
      <c r="OW13" s="38">
        <f>IF($CN13="P",BT13,(BT13+AS13)/2)</f>
        <v>8.35</v>
      </c>
      <c r="OX13" s="38">
        <f>IF($CN13="P",BU13,(BU13+AT13)/2)</f>
        <v>1.7</v>
      </c>
      <c r="OY13" s="38">
        <f>IF($CN13="P",BV13,(BV13+AU13)/2)</f>
        <v>0</v>
      </c>
      <c r="OZ13" s="38">
        <f>IF($CN13="P",BW13,(BW13+AV13)/2)</f>
        <v>0</v>
      </c>
      <c r="PA13" s="38">
        <f>IF($CN13="P",BX13,(BX13+AW13)/2)</f>
        <v>7.4</v>
      </c>
      <c r="PB13" s="38">
        <f>IF($CN13="P",BY13,(BY13+AX13)/2)</f>
        <v>1.95</v>
      </c>
      <c r="PC13" s="38">
        <f>IF($CN13="P",BZ13,(BZ13+AY13)/2)</f>
        <v>0</v>
      </c>
      <c r="PD13" s="38">
        <f>IF($CN13="P",CA13,(CA13+AZ13)/2)</f>
        <v>0.15</v>
      </c>
      <c r="PE13" s="38">
        <f>IF($CN13="P",CB13,(CB13+BA13)/2)</f>
        <v>0</v>
      </c>
      <c r="PF13" s="38">
        <f>IF($CN13="P",CC13,(CC13+BB13)/2)</f>
        <v>0</v>
      </c>
      <c r="PG13" s="38">
        <f>IF($CN13="P",CD13,(CD13+BC13)/2)</f>
        <v>0</v>
      </c>
      <c r="PH13" s="38">
        <f>IF($CN13="P",CE13,(CE13+BD13)/2)</f>
        <v>0</v>
      </c>
      <c r="PI13" s="38">
        <f>IF($CN13="P",CF13,(CF13+BE13)/2)</f>
        <v>8.3000000000000007</v>
      </c>
      <c r="PJ13" s="38">
        <f>IF($CN13="P",CG13,(CG13+BF13)/2)</f>
        <v>1.7</v>
      </c>
      <c r="PK13" s="38">
        <f>IF($CN13="P",CH13,(CH13+BG13)/2)</f>
        <v>0</v>
      </c>
      <c r="PL13" s="38">
        <f>IF($CN13="P",CI13,(CI13+BH13)/2)</f>
        <v>0</v>
      </c>
      <c r="PM13" s="38">
        <f>IF($CN13="P",CJ13,(CJ13+BI13)/2)</f>
        <v>8.35</v>
      </c>
      <c r="PN13" s="38">
        <f>IF($CN13="P",CK13,(CK13+BJ13)/2)</f>
        <v>1.95</v>
      </c>
      <c r="PO13" s="38">
        <f>IF($CN13="P",CL13,(CL13+BK13)/2)</f>
        <v>0</v>
      </c>
      <c r="PP13" s="38">
        <f>IF($CN13="P",CM13,(CM13+BL13)/2)</f>
        <v>0.15</v>
      </c>
      <c r="PQ13" s="45" t="s">
        <v>46</v>
      </c>
      <c r="PR13" s="79">
        <f>IF(SUM(OX13,PB13)&gt;0,SUM(OX13,PB13),"")</f>
        <v>3.65</v>
      </c>
      <c r="PS13" s="79">
        <f>IF(SUM(OW13:OX13,OZ13:PB13,PD13)-OY13-PC13&gt;0,SUM(OW13:OX13,OZ13:PB13,PD13)-OY13-PC13,"")</f>
        <v>19.549999999999997</v>
      </c>
      <c r="PT13" s="79" t="str">
        <f>IF(SUM(PE13:PF13,PH13)-PG13&gt;0,SUM(PE13:PF13,PH13)-PG13,"")</f>
        <v/>
      </c>
      <c r="PU13" s="79">
        <f>IF(SUM(PJ13,PN13)&gt;0,SUM(PJ13,PN13),"")</f>
        <v>3.65</v>
      </c>
      <c r="PV13" s="79">
        <f>IF(SUM(PI13:PJ13,PL13:PN13,PP13)-SUM(PK13,PO13)&gt;0,SUM(PI13:PJ13,PL13:PN13,PP13)-SUM(PK13,PO13),"")</f>
        <v>20.45</v>
      </c>
      <c r="PW13" s="79">
        <f>IF(SUM(PS13,PV13)&gt;0,SUM(PS13,PV13),"")</f>
        <v>40</v>
      </c>
    </row>
    <row r="14" spans="1:439" x14ac:dyDescent="0.2">
      <c r="A14" s="5" t="str">
        <f>IF(AND(F14="P",G14="P"),SUMPRODUCT((F$4:F$21="P")*(G$4:G$21="P")*(E$4:E$21&gt;E14))+1,IF(G14="P",SUMPRODUCT((F$4:F$21="")*(G$4:G$21="P")*(E$4:E$21&gt;E14))+1+SUMPRODUCT((F$4:F$21="P")*(G$4:G$21="P")),""))</f>
        <v/>
      </c>
      <c r="B14" s="78" t="s">
        <v>137</v>
      </c>
      <c r="C14" s="5" t="s">
        <v>81</v>
      </c>
      <c r="D14" s="5">
        <v>2005</v>
      </c>
      <c r="E14" s="15">
        <f>SUM(I14:O14)+SUM(I14:M14)*0.0000001+SUM(I14)*0.0000000000001</f>
        <v>78.060007806003881</v>
      </c>
      <c r="F14" s="3" t="str">
        <f>IF(OR(AND(AM14&gt;=AR$23,AN14&gt;=AR$27,AM14&lt;&gt;"",AL14=""),AND(AP14&gt;=AR$23,AQ14&gt;=AR$27,AP14&lt;&gt;"",AL14=""),AND(BN14&gt;=BS$23,BO14&gt;=BS$27,BN14&lt;&gt;"",BM14=""),AND(BQ14&gt;=BS$23,BR14&gt;=BS$27,BQ14&lt;&gt;"",BM14=""),AND(CO14&gt;=CT$23,CP14&gt;=CT$27,CO14&lt;&gt;"",CN14=""),AND(CR14&gt;=CT$23,CS14&gt;=CT$27,CR14&lt;&gt;""),AND(DQ14&gt;=DV$23,DR14&gt;=DV$27,DQ14&lt;&gt;""),AND(DT14&gt;=DV$23,DU14&gt;=DV$27,DT14&lt;&gt;""),AND(EQ14&gt;=EV$23,ER14&gt;=EV$27,EQ14&lt;&gt;""),AND(ET14&gt;=EV$23,EU14&gt;=EV$27,ET14&lt;&gt;""),AND(FQ14&gt;=FV$23,FR14&gt;=FV$27,FQ14&lt;&gt;""),AND(FT14&gt;=FV$23,FU14&gt;=FV$27,FT14&lt;&gt;""),AND(GQ14&gt;=GV$23,GR14&gt;=GV$27,GQ14&lt;&gt;""),AND(GT14&gt;=GV$23,GU14&gt;=GV$27,GT14&lt;&gt;""),AND(HQ14&gt;=HV$23,HR14&gt;=HV$27,HQ14&lt;&gt;""),AND(HT14&gt;=HV$23,HU14&gt;=HV$27,HT14&lt;&gt;""),AND(IQ14&gt;=IV$23,IR14&gt;=IV$27,IQ14&lt;&gt;""),AND(IT14&gt;=IV$23,IU14&gt;=IV$27,IT14&lt;&gt;""),AND(JQ14&gt;=JV$23,JR14&gt;=JV$27,JQ14&lt;&gt;""),AND(JT14&gt;=JV$23,JU14&gt;=JV$27,JT14&lt;&gt;""),AND(KQ14&gt;=KV$23,KR14&gt;=KV$27,KQ14&lt;&gt;""),AND(KT14&gt;=KV$23,KU14&gt;=KV$27,KT14&lt;&gt;""),AND(LQ14&gt;=LV$23,LR14&gt;=LV$27,LQ14&lt;&gt;""),AND(LT14&gt;=LV$23,LU14&gt;=LV$27,LT14&lt;&gt;""),AND(MQ14&gt;=MV$23,MR14&gt;=MV$27,MQ14&lt;&gt;""),AND(MT14&gt;=MV$23,MU14&gt;=MV$27,MT14&lt;&gt;""),AND(NQ14&gt;=NV$23,NR14&gt;=NV$27,NQ14&lt;&gt;""),AND(NT14&gt;=NV$23,NU14&gt;=NV$27,NT14&lt;&gt;""),AND(OQ14&gt;=OV$23,OR14&gt;=OV$27,OQ14&lt;&gt;""),AND(OT14&gt;=OV$23,OU14&gt;=OV$27,OT14&lt;&gt;"")),"P","")</f>
        <v/>
      </c>
      <c r="G14" s="3" t="str">
        <f>IF(OR(AND(AN14&gt;=AR$27,AN14&lt;&gt;"",AL14=""),AND(AQ14&gt;=AR$27,AQ14&lt;&gt;"",AL14=""),AND(BO14&gt;=BS$27,BO14&lt;&gt;"",BM14=""),AND(BR14&gt;=BS$27,BR14&lt;&gt;"",BM14=""),AND(CP14&gt;=CT$27,CP14&lt;&gt;"",CN14=""),AND(CS14&gt;=CT$27,CS14&lt;&gt;"",CN14=""),AND(DR14&gt;=DV$27,DR14&lt;&gt;""),AND(DU14&gt;=DV$27,DU14&lt;&gt;""),AND(ER14&gt;=EV$27,ER14&lt;&gt;""),AND(EU14&gt;=EV$27,EU14&lt;&gt;""),AND(FR14&gt;=FV$27,FR14&lt;&gt;""),AND(FU14&gt;=FV$27,FU14&lt;&gt;""),AND(GR14&gt;=GV$27,GR14&lt;&gt;""),AND(GU14&gt;=GV$27,GU14&lt;&gt;""),AND(HR14&gt;=HV$27,HR14&lt;&gt;""),AND(HU14&gt;=HV$27,HU14&lt;&gt;""),AND(IR14&gt;=IV$27,IR14&lt;&gt;""),AND(IU14&gt;=IV$27,IU14&lt;&gt;""),AND(JR14&gt;=JV$27,JR14&lt;&gt;""),AND(JU14&gt;=JV$27,JU14&lt;&gt;""),AND(KR14&gt;=KV$27,KR14&lt;&gt;""),AND(KU14&gt;=KV$27,KU14&lt;&gt;""),AND(LR14&gt;=LV$27,LR14&lt;&gt;""),AND(LU14&gt;=LV$27,LU14&lt;&gt;""),AND(MR14&gt;=MV$27,MR14&lt;&gt;""),AND(MU14&gt;=MV$27,MU14&lt;&gt;""),AND(NR14&gt;=NV$27,NR14&lt;&gt;""),AND(NU14&gt;=NV$27,NU14&lt;&gt;""),AND(OR14&gt;=OV$27,OR14&lt;&gt;""),AND(OU14&gt;=OV$27,OU14&lt;&gt;"")),"P","")</f>
        <v/>
      </c>
      <c r="H14" s="67" t="str">
        <f>IF(AND(G14="P",F14=""),"No DD",IF(OR(AND(AM14&gt;=AR$26,AN14&gt;=AR$30,AM14&lt;&gt;"",AL14=""),AND(AP14&gt;=AR$26,AQ14&gt;=AR$30,AP14&lt;&gt;"",AL14=""),AND(BN14&gt;=BS$26,BO14&gt;=BS$30,BN14&lt;&gt;"",BM14=""),AND(BQ14&gt;=BS$26,BR14&gt;=BS$30,BQ14&lt;&gt;"",BM14=""),AND(CO14&gt;=CT$26,CP14&gt;=CT$30,CO14&lt;&gt;"",CN14=""),AND(CR14&gt;=CT$26,CS14&gt;=CT$30,CR14&lt;&gt;""),AND(DQ14&gt;=DV$26,DR14&gt;=DV$30,DQ14&lt;&gt;""),AND(DT14&gt;=DV$26,DU14&gt;=DV$30,DT14&lt;&gt;""),AND(EQ14&gt;=EV$26,ER14&gt;=EV$30,EQ14&lt;&gt;""),AND(ET14&gt;=EV$26,EU14&gt;=EV$30,ET14&lt;&gt;""),AND(FQ14&gt;=FV$26,FR14&gt;=FV$30,FQ14&lt;&gt;""),AND(FT14&gt;=FV$26,FU14&gt;=FV$30,FT14&lt;&gt;""),AND(GQ14&gt;=GV$26,GR14&gt;=GV$30,GQ14&lt;&gt;""),AND(GT14&gt;=GV$26,GU14&gt;=GV$30,GT14&lt;&gt;""),AND(HQ14&gt;=HV$26,HR14&gt;=HV$30,HQ14&lt;&gt;""),AND(HT14&gt;=HV$26,HU14&gt;=HV$30,HT14&lt;&gt;""),AND(IQ14&gt;=IV$26,IR14&gt;=IV$30,IQ14&lt;&gt;""),AND(IT14&gt;=IV$26,IU14&gt;=IV$30,IT14&lt;&gt;""),AND(JQ14&gt;=JV$26,JR14&gt;=JV$30,JQ14&lt;&gt;""),AND(JT14&gt;=JV$26,JU14&gt;=JV$30,JT14&lt;&gt;""),AND(KQ14&gt;=KV$26,KR14&gt;=KV$30,KQ14&lt;&gt;""),AND(KT14&gt;=KV$26,KU14&gt;=KV$30,KT14&lt;&gt;""),AND(LQ14&gt;=LV$26,LR14&gt;=LV$30,LQ14&lt;&gt;""),AND(LT14&gt;=LV$26,LU14&gt;=LV$30,LT14&lt;&gt;""),AND(MQ14&gt;=MV$26,MR14&gt;=MV$30,MQ14&lt;&gt;""),AND(MT14&gt;=MV$26,MU14&gt;=MV$30,MT14&lt;&gt;""),AND(NQ14&gt;=NV$26,NR14&gt;=NV$30,NQ14&lt;&gt;""),AND(NT14&gt;=NV$26,NU14&gt;=NV$30,NT14&lt;&gt;""),AND(OQ14&gt;=OV$26,OR14&gt;=OV$30,OQ14&lt;&gt;""),AND(OT14&gt;=OV$26,OU14&gt;=OV$30,OT14&lt;&gt;"")),"Merit",IF(OR(AND(AM14&gt;=AR$25,AN14&gt;=AR$29,AM14&lt;&gt;"",AL14=""),AND(AP14&gt;=AR$25,AQ14&gt;=AR$29,AP14&lt;&gt;"",AL14=""),AND(BN14&gt;=BS$25,BO14&gt;=BS$29,BN14&lt;&gt;"",BM14=""),AND(BQ14&gt;=BS$25,BR14&gt;=BS$29,BQ14&lt;&gt;"",BM14=""),AND(CO14&gt;=CT$25,CP14&gt;=CT$29,CO14&lt;&gt;"",CN14=""),AND(CR14&gt;=CT$25,CS14&gt;=CT$29,CR14&lt;&gt;""),AND(DQ14&gt;=DV$25,DR14&gt;=DV$29,DQ14&lt;&gt;""),AND(DT14&gt;=DV$25,DU14&gt;=DV$29,DT14&lt;&gt;""),AND(EQ14&gt;=EV$25,ER14&gt;=EV$29,EQ14&lt;&gt;""),AND(ET14&gt;=EV$25,EU14&gt;=EV$29,ET14&lt;&gt;""),AND(FQ14&gt;=FV$25,FR14&gt;=FV$29,FQ14&lt;&gt;""),AND(FT14&gt;=FV$25,FU14&gt;=FV$29,FT14&lt;&gt;""),AND(GQ14&gt;=GV$25,GR14&gt;=GV$29,GQ14&lt;&gt;""),AND(GT14&gt;=GV$25,GU14&gt;=GV$29,GT14&lt;&gt;""),AND(HQ14&gt;=HV$25,HR14&gt;=HV$29,HQ14&lt;&gt;""),AND(HT14&gt;=HV$25,HU14&gt;=HV$29,HT14&lt;&gt;""),AND(IQ14&gt;=IV$25,IR14&gt;=IV$29,IQ14&lt;&gt;""),AND(IT14&gt;=IV$25,IU14&gt;=IV$29,IT14&lt;&gt;""),AND(JQ14&gt;=JV$25,JR14&gt;=JV$29,JQ14&lt;&gt;""),AND(JT14&gt;=JV$25,JU14&gt;=JV$29,JT14&lt;&gt;""),AND(KQ14&gt;=KV$25,KR14&gt;=KV$29,KQ14&lt;&gt;""),AND(KT14&gt;=KV$25,KU14&gt;=KV$29,KT14&lt;&gt;""),AND(LQ14&gt;=LV$25,LR14&gt;=LV$29,LQ14&lt;&gt;""),AND(LT14&gt;=LV$25,LU14&gt;=LV$29,LT14&lt;&gt;""),AND(MQ14&gt;=MV$25,MR14&gt;=MV$29,MQ14&lt;&gt;""),AND(MT14&gt;=MV$25,MU14&gt;=MV$29,MT14&lt;&gt;""),AND(NQ14&gt;=NV$25,NR14&gt;=NV$29,NQ14&lt;&gt;""),AND(NT14&gt;=NV$25,NU14&gt;=NV$29,NT14&lt;&gt;""),AND(OQ14&gt;=OV$25,OR14&gt;=OV$29,OQ14&lt;&gt;""),AND(OT14&gt;=OV$25,OU14&gt;=OV$29,OT14&lt;&gt;"")),"Excellence",IF(F14="P","National Team",""))))</f>
        <v/>
      </c>
      <c r="I14" s="14">
        <f>IF(COUNT(AN14,BO14,CP14)&gt;0,LARGE((AN14,BO14,CP14),1),0)</f>
        <v>38.76</v>
      </c>
      <c r="J14" s="14" t="str">
        <f>IF(I14=0,"",IF(I14=CP14,$BT$1,IF(I14=BO14,$AS$1,IF(I14=AN14,$R$1,""))))</f>
        <v>2022 Elite Canada</v>
      </c>
      <c r="K14" s="14">
        <f>IF(COUNT(AN14,BO14,CP14)&gt;1,LARGE((AN14,BO14,CP14),2),0)</f>
        <v>0</v>
      </c>
      <c r="L14" s="14" t="str">
        <f>IF(K14=0,"",IF(K14=CP14,$BT$1,IF(K14=BO14,$AS$1,IF(K14=AN14,$R$1,""))))</f>
        <v/>
      </c>
      <c r="M14" s="14">
        <f>IF(MAX(AQ14,BR14,CS14)&gt;0,MAX(AQ14,BR14,CS14),0)</f>
        <v>39.299999999999997</v>
      </c>
      <c r="N14" s="14" t="str">
        <f>IF(M14=0,"",IF(M14=CS14,$BT$1,IF(M14=BR14,$AS$1,IF(M14=AQ14,$R$1,""))))</f>
        <v>2022 Elite Canada</v>
      </c>
      <c r="O14" s="14" t="str">
        <f>IF(MAX(CU14:CV14)&gt;0,MAX(CU14:CV14),"")</f>
        <v/>
      </c>
      <c r="P14" s="20" t="str">
        <f>IF(O14="","",IF(O14=CU14,"("&amp;CU$2&amp;")",IF(O14=CV14,"("&amp;CV$2&amp;")")))</f>
        <v/>
      </c>
      <c r="Q14" s="14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45"/>
      <c r="AM14" s="79" t="str">
        <f>IF(SUM(S14,W14)&gt;0,SUM(S14,W14),"")</f>
        <v/>
      </c>
      <c r="AN14" s="79" t="str">
        <f>IF(SUM(R14:S14,U14:W14,Y14)-T14-X14&gt;0,SUM(R14:S14,U14:W14,Y14)-T14-X14,"")</f>
        <v/>
      </c>
      <c r="AO14" s="79" t="str">
        <f>IF(SUM(Z14:AA14,AC14)-AB14&gt;0,SUM(Z14:AA14,AC14)-AB14,"")</f>
        <v/>
      </c>
      <c r="AP14" s="79" t="str">
        <f>IF(SUM(AE14,AI14)&gt;0,SUM(AE14,AI14),"")</f>
        <v/>
      </c>
      <c r="AQ14" s="79" t="str">
        <f>IF(SUM(AD14:AE14,AG14:AI14,AK14)-SUM(AF14,AJ14)&gt;0,SUM(AD14:AE14,AG14:AI14,AK14)-SUM(AF14,AJ14),"")</f>
        <v/>
      </c>
      <c r="AR14" s="79" t="str">
        <f>IF(SUM(AN14,AQ14)&gt;0,SUM(AN14,AQ14),"")</f>
        <v/>
      </c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46"/>
      <c r="BN14" s="20" t="str">
        <f>IF(SUM(AT14,AX14)&gt;0,SUM(AT14,AX14),"")</f>
        <v/>
      </c>
      <c r="BO14" s="20" t="str">
        <f>IF(SUM(AS14:AT14,AV14:AX14,AZ14)-AU14-AY14&gt;0,SUM(AS14:AT14,AV14:AX14,AZ14)-AU14-AY14,"")</f>
        <v/>
      </c>
      <c r="BP14" s="20" t="str">
        <f>IF(SUM(BA14:BB14,BD14)-BC14&gt;0,SUM(BA14:BB14,BD14)-BC14,"")</f>
        <v/>
      </c>
      <c r="BQ14" s="20" t="str">
        <f>IF(SUM(BF14,BJ14)&gt;0,SUM(BF14,BJ14),"")</f>
        <v/>
      </c>
      <c r="BR14" s="20" t="str">
        <f>IF(SUM(BE14:BF14,BH14:BJ14,BL14)-SUM(BG14,BK14)&gt;0,SUM(BE14:BF14,BH14:BJ14,BL14)-SUM(BG14,BK14),"")</f>
        <v/>
      </c>
      <c r="BS14" s="20" t="str">
        <f>IF(SUM(BO14,BR14)&gt;0,SUM(BO14,BR14),"")</f>
        <v/>
      </c>
      <c r="BT14" s="27">
        <v>16.559999999999999</v>
      </c>
      <c r="BU14" s="27">
        <v>3.1</v>
      </c>
      <c r="BV14" s="27">
        <v>0</v>
      </c>
      <c r="BW14" s="27">
        <v>0</v>
      </c>
      <c r="BX14" s="27">
        <v>15.8</v>
      </c>
      <c r="BY14" s="27">
        <v>3</v>
      </c>
      <c r="BZ14" s="27">
        <v>0</v>
      </c>
      <c r="CA14" s="27">
        <v>0.3</v>
      </c>
      <c r="CB14" s="27"/>
      <c r="CC14" s="27"/>
      <c r="CD14" s="27"/>
      <c r="CE14" s="27"/>
      <c r="CF14" s="27">
        <v>16.5</v>
      </c>
      <c r="CG14" s="27">
        <v>3.1</v>
      </c>
      <c r="CH14" s="27">
        <v>0</v>
      </c>
      <c r="CI14" s="27">
        <v>0</v>
      </c>
      <c r="CJ14" s="27">
        <v>16.399999999999999</v>
      </c>
      <c r="CK14" s="27">
        <v>3</v>
      </c>
      <c r="CL14" s="27">
        <v>0</v>
      </c>
      <c r="CM14" s="27">
        <v>0.3</v>
      </c>
      <c r="CN14" s="45"/>
      <c r="CO14" s="79">
        <f>IF(SUM(BU14,BY14)&gt;0,SUM(BU14,BY14),"")</f>
        <v>6.1</v>
      </c>
      <c r="CP14" s="79">
        <f>IF(SUM(BT14:BU14,BW14:BY14,CA14)-BV14-BZ14&gt;0,SUM(BT14:BU14,BW14:BY14,CA14)-BV14-BZ14,"")</f>
        <v>38.76</v>
      </c>
      <c r="CQ14" s="79" t="str">
        <f>IF(SUM(CB14:CC14,CE14)-CD14&gt;0,SUM(CB14:CC14,CE14)-CD14,"")</f>
        <v/>
      </c>
      <c r="CR14" s="79">
        <f>IF(SUM(CG14,CK14)&gt;0,SUM(CG14,CK14),"")</f>
        <v>6.1</v>
      </c>
      <c r="CS14" s="79">
        <f>IF(SUM(CF14:CG14,CI14:CK14,CM14)-SUM(CH14,CL14)&gt;0,SUM(CF14:CG14,CI14:CK14,CM14)-SUM(CH14,CL14),"")</f>
        <v>39.299999999999997</v>
      </c>
      <c r="CT14" s="79">
        <f>IF(SUM(CP14,CS14)&gt;0,SUM(CP14,CS14),"")</f>
        <v>78.06</v>
      </c>
      <c r="CU14" s="80" t="str">
        <f>IF(K14&gt;=0.001,IF(MAX(DR14,ER14,FR14,GR14,HR14,IR14,JR14,KR14,LR14,MR14,NR14,OR14)-IF(K14="",0,K14)&gt;0.001,MAX(DR14,ER14,FR14,GR14,HR14,IR14,JR14,KR14,LR14,MR14,NR14,OR14)-IF(K14="",0,K14),""),"")</f>
        <v/>
      </c>
      <c r="CV14" s="80" t="str">
        <f>IF(M14&gt;=0.001,IF(MAX(DU14,EU14,FU14,GU14,HU14,IU14,JU14,KU14,LU14,MU14,NU14,OU14)-IF(M14="",0,M14)&gt;0.001,MAX(DU14,EU14,FU14,GU14,HU14,IU14,JU14,KU14,LU14,MU14,NU14,OU14)-IF(M14="",0,M14),""),"")</f>
        <v/>
      </c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79" t="str">
        <f>IF(SUM(CX14,DB14)&gt;0,SUM(CX14,DB14),"")</f>
        <v/>
      </c>
      <c r="DR14" s="79" t="str">
        <f>IF(SUM(CW14:CX14,CZ14:DB14,DD14)-CY14-DC14&gt;0,SUM(CW14:CX14,CZ14:DB14,DD14)-CY14-DC14,"")</f>
        <v/>
      </c>
      <c r="DS14" s="79" t="str">
        <f>IF(SUM(DE14:DF14,DH14)-DG14&gt;0,SUM(DE14:DF14,DH14)-DG14,"")</f>
        <v/>
      </c>
      <c r="DT14" s="79" t="str">
        <f>IF(SUM(DJ14,DN14)&gt;0,SUM(DJ14,DN14),"")</f>
        <v/>
      </c>
      <c r="DU14" s="79" t="str">
        <f>IF(SUM(DI14:DJ14,DL14:DN14,DP14)-SUM(DK14,DO14)&gt;0,SUM(DI14:DJ14,DL14:DN14,DP14)-SUM(DK14,DO14),"")</f>
        <v/>
      </c>
      <c r="DV14" s="79" t="str">
        <f>IF(SUM(DR14,DU14)&gt;0,SUM(DR14,DU14),"")</f>
        <v/>
      </c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0" t="str">
        <f>IF(SUM(DX14,EB14)&gt;0,SUM(DX14,EB14),"")</f>
        <v/>
      </c>
      <c r="ER14" s="20" t="str">
        <f>IF(SUM(DW14:DX14,DZ14:EB14,ED14)-DY14-EC14&gt;0,SUM(DW14:DX14,DZ14:EB14,ED14)-DY14-EC14,"")</f>
        <v/>
      </c>
      <c r="ES14" s="20" t="str">
        <f>IF(SUM(EE14:EF14,EH14)-EG14&gt;0,SUM(EE14:EF14,EH14)-EG14,"")</f>
        <v/>
      </c>
      <c r="ET14" s="20" t="str">
        <f>IF(SUM(EJ14,EN14)&gt;0,SUM(EJ14,EN14),"")</f>
        <v/>
      </c>
      <c r="EU14" s="20" t="str">
        <f>IF(SUM(EI14:EJ14,EL14:EN14,EP14)-SUM(EK14,EO14)&gt;0,SUM(EI14:EJ14,EL14:EN14,EP14)-SUM(EK14,EO14),"")</f>
        <v/>
      </c>
      <c r="EV14" s="20" t="str">
        <f>IF(SUM(ER14,EU14)&gt;0,SUM(ER14,EU14),"")</f>
        <v/>
      </c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79" t="str">
        <f>IF(SUM(EX14,FB14)&gt;0,SUM(EX14,FB14),"")</f>
        <v/>
      </c>
      <c r="FR14" s="79" t="str">
        <f>IF(SUM(EW14:EX14,EZ14:FB14,FD14)-EY14-FC14&gt;0,SUM(EW14:EX14,EZ14:FB14,FD14)-EY14-FC14,"")</f>
        <v/>
      </c>
      <c r="FS14" s="79" t="str">
        <f>IF(SUM(FE14:FF14,FH14)-FG14&gt;0,SUM(FE14:FF14,FH14)-FG14,"")</f>
        <v/>
      </c>
      <c r="FT14" s="79" t="str">
        <f>IF(SUM(FJ14,FN14)&gt;0,SUM(FJ14,FN14),"")</f>
        <v/>
      </c>
      <c r="FU14" s="79" t="str">
        <f>IF(SUM(FI14:FJ14,FL14:FN14,FP14)-SUM(FK14,FO14)&gt;0,SUM(FI14:FJ14,FL14:FN14,FP14)-SUM(FK14,FO14),"")</f>
        <v/>
      </c>
      <c r="FV14" s="79" t="str">
        <f>IF(SUM(FR14,FU14)&gt;0,SUM(FR14,FU14),"")</f>
        <v/>
      </c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0" t="str">
        <f>IF(SUM(FX14,GB14)&gt;0,SUM(FX14,GB14),"")</f>
        <v/>
      </c>
      <c r="GR14" s="20" t="str">
        <f>IF(SUM(FW14:FX14,FZ14:GB14,GD14)-FY14-GC14&gt;0,SUM(FW14:FX14,FZ14:GB14,GD14)-FY14-GC14,"")</f>
        <v/>
      </c>
      <c r="GS14" s="20" t="str">
        <f>IF(SUM(GE14:GF14,GH14)-GG14&gt;0,SUM(GE14:GF14,GH14)-GG14,"")</f>
        <v/>
      </c>
      <c r="GT14" s="20" t="str">
        <f>IF(SUM(GJ14,GN14)&gt;0,SUM(GJ14,GN14),"")</f>
        <v/>
      </c>
      <c r="GU14" s="20" t="str">
        <f>IF(SUM(GI14:GJ14,GL14:GN14,GP14)-SUM(GK14,GO14)&gt;0,SUM(GI14:GJ14,GL14:GN14,GP14)-SUM(GK14,GO14),"")</f>
        <v/>
      </c>
      <c r="GV14" s="20" t="str">
        <f>IF(SUM(GR14,GU14)&gt;0,SUM(GR14,GU14),"")</f>
        <v/>
      </c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79" t="str">
        <f>IF(SUM(GX14,HB14)&gt;0,SUM(GX14,HB14),"")</f>
        <v/>
      </c>
      <c r="HR14" s="79" t="str">
        <f>IF(SUM(GW14:GX14,GZ14:HB14,HD14)-GY14-HC14&gt;0,SUM(GW14:GX14,GZ14:HB14,HD14)-GY14-HC14,"")</f>
        <v/>
      </c>
      <c r="HS14" s="79" t="str">
        <f>IF(SUM(HE14:HF14,HH14)-HG14&gt;0,SUM(HE14:HF14,HH14)-HG14,"")</f>
        <v/>
      </c>
      <c r="HT14" s="79" t="str">
        <f>IF(SUM(HJ14,HN14)&gt;0,SUM(HJ14,HN14),"")</f>
        <v/>
      </c>
      <c r="HU14" s="79" t="str">
        <f>IF(SUM(HI14:HJ14,HL14:HN14,HP14)-SUM(HK14,HO14)&gt;0,SUM(HI14:HJ14,HL14:HN14,HP14)-SUM(HK14,HO14),"")</f>
        <v/>
      </c>
      <c r="HV14" s="79" t="str">
        <f>IF(SUM(HR14,HU14)&gt;0,SUM(HR14,HU14),"")</f>
        <v/>
      </c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0" t="str">
        <f>IF(SUM(HX14,IB14)&gt;0,SUM(HX14,IB14),"")</f>
        <v/>
      </c>
      <c r="IR14" s="20" t="str">
        <f>IF(SUM(HW14:HX14,HZ14:IB14,ID14)-HY14-IC14&gt;0,SUM(HW14:HX14,HZ14:IB14,ID14)-HY14-IC14,"")</f>
        <v/>
      </c>
      <c r="IS14" s="20" t="str">
        <f>IF(SUM(IE14:IF14,IH14)-IG14&gt;0,SUM(IE14:IF14,IH14)-IG14,"")</f>
        <v/>
      </c>
      <c r="IT14" s="20" t="str">
        <f>IF(SUM(IJ14,IN14)&gt;0,SUM(IJ14,IN14),"")</f>
        <v/>
      </c>
      <c r="IU14" s="20" t="str">
        <f>IF(SUM(II14:IJ14,IL14:IN14,IP14)-SUM(IK14,IO14)&gt;0,SUM(II14:IJ14,IL14:IN14,IP14)-SUM(IK14,IO14),"")</f>
        <v/>
      </c>
      <c r="IV14" s="20" t="str">
        <f>IF(SUM(IR14,IU14)&gt;0,SUM(IR14,IU14),"")</f>
        <v/>
      </c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79" t="str">
        <f>IF(SUM(IX14,JB14)&gt;0,SUM(IX14,JB14),"")</f>
        <v/>
      </c>
      <c r="JR14" s="79" t="str">
        <f>IF(SUM(IW14:IX14,IZ14:JB14,JD14)-IY14-JC14&gt;0,SUM(IW14:IX14,IZ14:JB14,JD14)-IY14-JC14,"")</f>
        <v/>
      </c>
      <c r="JS14" s="79" t="str">
        <f>IF(SUM(JE14:JF14,JH14)-JG14&gt;0,SUM(JE14:JF14,JH14)-JG14,"")</f>
        <v/>
      </c>
      <c r="JT14" s="79" t="str">
        <f>IF(SUM(JJ14,JN14)&gt;0,SUM(JJ14,JN14),"")</f>
        <v/>
      </c>
      <c r="JU14" s="79" t="str">
        <f>IF(SUM(JI14:JJ14,JL14:JN14,JP14)-SUM(JK14,JO14)&gt;0,SUM(JI14:JJ14,JL14:JN14,JP14)-SUM(JK14,JO14),"")</f>
        <v/>
      </c>
      <c r="JV14" s="79" t="str">
        <f>IF(SUM(JR14,JU14)&gt;0,SUM(JR14,JU14),"")</f>
        <v/>
      </c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26"/>
      <c r="KO14" s="26"/>
      <c r="KP14" s="26"/>
      <c r="KQ14" s="20" t="str">
        <f>IF(SUM(JX14,KB14)&gt;0,SUM(JX14,KB14),"")</f>
        <v/>
      </c>
      <c r="KR14" s="20" t="str">
        <f>IF(SUM(JW14:JX14,JZ14:KB14,KD14)-JY14-KC14&gt;0,SUM(JW14:JX14,JZ14:KB14,KD14)-JY14-KC14,"")</f>
        <v/>
      </c>
      <c r="KS14" s="20" t="str">
        <f>IF(SUM(KE14:KF14,KH14)-KG14&gt;0,SUM(KE14:KF14,KH14)-KG14,"")</f>
        <v/>
      </c>
      <c r="KT14" s="20" t="str">
        <f>IF(SUM(KJ14,KN14)&gt;0,SUM(KJ14,KN14),"")</f>
        <v/>
      </c>
      <c r="KU14" s="20" t="str">
        <f>IF(SUM(KI14:KJ14,KL14:KN14,KP14)-SUM(KK14,KO14)&gt;0,SUM(KI14:KJ14,KL14:KN14,KP14)-SUM(KK14,KO14),"")</f>
        <v/>
      </c>
      <c r="KV14" s="20" t="str">
        <f>IF(SUM(KR14,KU14)&gt;0,SUM(KR14,KU14),"")</f>
        <v/>
      </c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79" t="str">
        <f>IF(SUM(KX14,LB14)&gt;0,SUM(KX14,LB14),"")</f>
        <v/>
      </c>
      <c r="LR14" s="79" t="str">
        <f>IF(SUM(KW14:KX14,KZ14:LB14,LD14)-KY14-LC14&gt;0,SUM(KW14:KX14,KZ14:LB14,LD14)-KY14-LC14,"")</f>
        <v/>
      </c>
      <c r="LS14" s="79" t="str">
        <f>IF(SUM(LE14:LF14,LH14)-LG14&gt;0,SUM(LE14:LF14,LH14)-LG14,"")</f>
        <v/>
      </c>
      <c r="LT14" s="79" t="str">
        <f>IF(SUM(LJ14,LN14)&gt;0,SUM(LJ14,LN14),"")</f>
        <v/>
      </c>
      <c r="LU14" s="79" t="str">
        <f>IF(SUM(LI14:LJ14,LL14:LN14,LP14)-SUM(LK14,LO14)&gt;0,SUM(LI14:LJ14,LL14:LN14,LP14)-SUM(LK14,LO14),"")</f>
        <v/>
      </c>
      <c r="LV14" s="79" t="str">
        <f>IF(SUM(LR14,LU14)&gt;0,SUM(LR14,LU14),"")</f>
        <v/>
      </c>
      <c r="LW14" s="26"/>
      <c r="LX14" s="26"/>
      <c r="LY14" s="26"/>
      <c r="LZ14" s="26"/>
      <c r="MA14" s="26"/>
      <c r="MB14" s="26"/>
      <c r="MC14" s="26"/>
      <c r="MD14" s="26"/>
      <c r="ME14" s="26"/>
      <c r="MF14" s="26"/>
      <c r="MG14" s="26"/>
      <c r="MH14" s="26"/>
      <c r="MI14" s="26"/>
      <c r="MJ14" s="26"/>
      <c r="MK14" s="26"/>
      <c r="ML14" s="26"/>
      <c r="MM14" s="26"/>
      <c r="MN14" s="26"/>
      <c r="MO14" s="26"/>
      <c r="MP14" s="26"/>
      <c r="MQ14" s="20" t="str">
        <f>IF(SUM(LX14,MB14)&gt;0,SUM(LX14,MB14),"")</f>
        <v/>
      </c>
      <c r="MR14" s="20" t="str">
        <f>IF(SUM(LW14:LX14,LZ14:MB14,MD14)-LY14-MC14&gt;0,SUM(LW14:LX14,LZ14:MB14,MD14)-LY14-MC14,"")</f>
        <v/>
      </c>
      <c r="MS14" s="20" t="str">
        <f>IF(SUM(ME14:MF14,MH14)-MG14&gt;0,SUM(ME14:MF14,MH14)-MG14,"")</f>
        <v/>
      </c>
      <c r="MT14" s="20" t="str">
        <f>IF(SUM(MJ14,MN14)&gt;0,SUM(MJ14,MN14),"")</f>
        <v/>
      </c>
      <c r="MU14" s="20" t="str">
        <f>IF(SUM(MI14:MJ14,ML14:MN14,MP14)-SUM(MK14,MO14)&gt;0,SUM(MI14:MJ14,ML14:MN14,MP14)-SUM(MK14,MO14),"")</f>
        <v/>
      </c>
      <c r="MV14" s="20" t="str">
        <f>IF(SUM(MR14,MU14)&gt;0,SUM(MR14,MU14),"")</f>
        <v/>
      </c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79" t="str">
        <f>IF(SUM(MX14,NB14)&gt;0,SUM(MX14,NB14),"")</f>
        <v/>
      </c>
      <c r="NR14" s="79" t="str">
        <f>IF(SUM(MW14:MX14,MZ14:NB14,ND14)-MY14-NC14&gt;0,SUM(MW14:MX14,MZ14:NB14,ND14)-MY14-NC14,"")</f>
        <v/>
      </c>
      <c r="NS14" s="79" t="str">
        <f>IF(SUM(NE14:NF14,NH14)-NG14&gt;0,SUM(NE14:NF14,NH14)-NG14,"")</f>
        <v/>
      </c>
      <c r="NT14" s="79" t="str">
        <f>IF(SUM(NJ14,NN14)&gt;0,SUM(NJ14,NN14),"")</f>
        <v/>
      </c>
      <c r="NU14" s="79" t="str">
        <f>IF(SUM(NI14:NJ14,NL14:NN14,NP14)-SUM(NK14,NO14)&gt;0,SUM(NI14:NJ14,NL14:NN14,NP14)-SUM(NK14,NO14),"")</f>
        <v/>
      </c>
      <c r="NV14" s="79" t="str">
        <f>IF(SUM(NR14,NU14)&gt;0,SUM(NR14,NU14),"")</f>
        <v/>
      </c>
      <c r="NW14" s="26"/>
      <c r="NX14" s="26"/>
      <c r="NY14" s="26"/>
      <c r="NZ14" s="26"/>
      <c r="OA14" s="26"/>
      <c r="OB14" s="26"/>
      <c r="OC14" s="26"/>
      <c r="OD14" s="26"/>
      <c r="OE14" s="26"/>
      <c r="OF14" s="26"/>
      <c r="OG14" s="26"/>
      <c r="OH14" s="26"/>
      <c r="OI14" s="26"/>
      <c r="OJ14" s="26"/>
      <c r="OK14" s="26"/>
      <c r="OL14" s="26"/>
      <c r="OM14" s="26"/>
      <c r="ON14" s="26"/>
      <c r="OO14" s="26"/>
      <c r="OP14" s="26"/>
      <c r="OQ14" s="20" t="str">
        <f>IF(SUM(NX14,OB14)&gt;0,SUM(NX14,OB14),"")</f>
        <v/>
      </c>
      <c r="OR14" s="20" t="str">
        <f>IF(SUM(NW14:NX14,NZ14:OB14,OD14)-NY14-OC14&gt;0,SUM(NW14:NX14,NZ14:OB14,OD14)-NY14-OC14,"")</f>
        <v/>
      </c>
      <c r="OS14" s="20" t="str">
        <f>IF(SUM(OE14:OF14,OH14)-OG14&gt;0,SUM(OE14:OF14,OH14)-OG14,"")</f>
        <v/>
      </c>
      <c r="OT14" s="20" t="str">
        <f>IF(SUM(OJ14,ON14)&gt;0,SUM(OJ14,ON14),"")</f>
        <v/>
      </c>
      <c r="OU14" s="20" t="str">
        <f>IF(SUM(OI14:OJ14,OL14:ON14,OP14)-SUM(OK14,OO14)&gt;0,SUM(OI14:OJ14,OL14:ON14,OP14)-SUM(OK14,OO14),"")</f>
        <v/>
      </c>
      <c r="OV14" s="20" t="str">
        <f>IF(SUM(OR14,OU14)&gt;0,SUM(OR14,OU14),"")</f>
        <v/>
      </c>
      <c r="OW14" s="38">
        <f>IF($CN14="P",BT14,(BT14+AS14)/2)</f>
        <v>8.2799999999999994</v>
      </c>
      <c r="OX14" s="38">
        <f>IF($CN14="P",BU14,(BU14+AT14)/2)</f>
        <v>1.55</v>
      </c>
      <c r="OY14" s="38">
        <f>IF($CN14="P",BV14,(BV14+AU14)/2)</f>
        <v>0</v>
      </c>
      <c r="OZ14" s="38">
        <f>IF($CN14="P",BW14,(BW14+AV14)/2)</f>
        <v>0</v>
      </c>
      <c r="PA14" s="38">
        <f>IF($CN14="P",BX14,(BX14+AW14)/2)</f>
        <v>7.9</v>
      </c>
      <c r="PB14" s="38">
        <f>IF($CN14="P",BY14,(BY14+AX14)/2)</f>
        <v>1.5</v>
      </c>
      <c r="PC14" s="38">
        <f>IF($CN14="P",BZ14,(BZ14+AY14)/2)</f>
        <v>0</v>
      </c>
      <c r="PD14" s="38">
        <f>IF($CN14="P",CA14,(CA14+AZ14)/2)</f>
        <v>0.15</v>
      </c>
      <c r="PE14" s="38">
        <f>IF($CN14="P",CB14,(CB14+BA14)/2)</f>
        <v>0</v>
      </c>
      <c r="PF14" s="38">
        <f>IF($CN14="P",CC14,(CC14+BB14)/2)</f>
        <v>0</v>
      </c>
      <c r="PG14" s="38">
        <f>IF($CN14="P",CD14,(CD14+BC14)/2)</f>
        <v>0</v>
      </c>
      <c r="PH14" s="38">
        <f>IF($CN14="P",CE14,(CE14+BD14)/2)</f>
        <v>0</v>
      </c>
      <c r="PI14" s="38">
        <f>IF($CN14="P",CF14,(CF14+BE14)/2)</f>
        <v>8.25</v>
      </c>
      <c r="PJ14" s="38">
        <f>IF($CN14="P",CG14,(CG14+BF14)/2)</f>
        <v>1.55</v>
      </c>
      <c r="PK14" s="38">
        <f>IF($CN14="P",CH14,(CH14+BG14)/2)</f>
        <v>0</v>
      </c>
      <c r="PL14" s="38">
        <f>IF($CN14="P",CI14,(CI14+BH14)/2)</f>
        <v>0</v>
      </c>
      <c r="PM14" s="38">
        <f>IF($CN14="P",CJ14,(CJ14+BI14)/2)</f>
        <v>8.1999999999999993</v>
      </c>
      <c r="PN14" s="38">
        <f>IF($CN14="P",CK14,(CK14+BJ14)/2)</f>
        <v>1.5</v>
      </c>
      <c r="PO14" s="38">
        <f>IF($CN14="P",CL14,(CL14+BK14)/2)</f>
        <v>0</v>
      </c>
      <c r="PP14" s="38">
        <f>IF($CN14="P",CM14,(CM14+BL14)/2)</f>
        <v>0.15</v>
      </c>
      <c r="PQ14" s="45" t="s">
        <v>46</v>
      </c>
      <c r="PR14" s="79">
        <f>IF(SUM(OX14,PB14)&gt;0,SUM(OX14,PB14),"")</f>
        <v>3.05</v>
      </c>
      <c r="PS14" s="79">
        <f>IF(SUM(OW14:OX14,OZ14:PB14,PD14)-OY14-PC14&gt;0,SUM(OW14:OX14,OZ14:PB14,PD14)-OY14-PC14,"")</f>
        <v>19.38</v>
      </c>
      <c r="PT14" s="79" t="str">
        <f>IF(SUM(PE14:PF14,PH14)-PG14&gt;0,SUM(PE14:PF14,PH14)-PG14,"")</f>
        <v/>
      </c>
      <c r="PU14" s="79">
        <f>IF(SUM(PJ14,PN14)&gt;0,SUM(PJ14,PN14),"")</f>
        <v>3.05</v>
      </c>
      <c r="PV14" s="79">
        <f>IF(SUM(PI14:PJ14,PL14:PN14,PP14)-SUM(PK14,PO14)&gt;0,SUM(PI14:PJ14,PL14:PN14,PP14)-SUM(PK14,PO14),"")</f>
        <v>19.649999999999999</v>
      </c>
      <c r="PW14" s="79">
        <f>IF(SUM(PS14,PV14)&gt;0,SUM(PS14,PV14),"")</f>
        <v>39.03</v>
      </c>
    </row>
    <row r="15" spans="1:439" x14ac:dyDescent="0.2">
      <c r="A15" s="5" t="str">
        <f>IF(AND(F15="P",G15="P"),SUMPRODUCT((F$4:F$21="P")*(G$4:G$21="P")*(E$4:E$21&gt;E15))+1,IF(G15="P",SUMPRODUCT((F$4:F$21="")*(G$4:G$21="P")*(E$4:E$21&gt;E15))+1+SUMPRODUCT((F$4:F$21="P")*(G$4:G$21="P")),""))</f>
        <v/>
      </c>
      <c r="B15" s="78" t="s">
        <v>138</v>
      </c>
      <c r="C15" s="5" t="s">
        <v>6</v>
      </c>
      <c r="D15" s="5">
        <v>2005</v>
      </c>
      <c r="E15" s="15">
        <f>SUM(I15:O15)+SUM(I15:M15)*0.0000001+SUM(I15)*0.0000000000001</f>
        <v>77.740007774003786</v>
      </c>
      <c r="F15" s="3" t="str">
        <f>IF(OR(AND(AM15&gt;=AR$23,AN15&gt;=AR$27,AM15&lt;&gt;"",AL15=""),AND(AP15&gt;=AR$23,AQ15&gt;=AR$27,AP15&lt;&gt;"",AL15=""),AND(BN15&gt;=BS$23,BO15&gt;=BS$27,BN15&lt;&gt;"",BM15=""),AND(BQ15&gt;=BS$23,BR15&gt;=BS$27,BQ15&lt;&gt;"",BM15=""),AND(CO15&gt;=CT$23,CP15&gt;=CT$27,CO15&lt;&gt;"",CN15=""),AND(CR15&gt;=CT$23,CS15&gt;=CT$27,CR15&lt;&gt;""),AND(DQ15&gt;=DV$23,DR15&gt;=DV$27,DQ15&lt;&gt;""),AND(DT15&gt;=DV$23,DU15&gt;=DV$27,DT15&lt;&gt;""),AND(EQ15&gt;=EV$23,ER15&gt;=EV$27,EQ15&lt;&gt;""),AND(ET15&gt;=EV$23,EU15&gt;=EV$27,ET15&lt;&gt;""),AND(FQ15&gt;=FV$23,FR15&gt;=FV$27,FQ15&lt;&gt;""),AND(FT15&gt;=FV$23,FU15&gt;=FV$27,FT15&lt;&gt;""),AND(GQ15&gt;=GV$23,GR15&gt;=GV$27,GQ15&lt;&gt;""),AND(GT15&gt;=GV$23,GU15&gt;=GV$27,GT15&lt;&gt;""),AND(HQ15&gt;=HV$23,HR15&gt;=HV$27,HQ15&lt;&gt;""),AND(HT15&gt;=HV$23,HU15&gt;=HV$27,HT15&lt;&gt;""),AND(IQ15&gt;=IV$23,IR15&gt;=IV$27,IQ15&lt;&gt;""),AND(IT15&gt;=IV$23,IU15&gt;=IV$27,IT15&lt;&gt;""),AND(JQ15&gt;=JV$23,JR15&gt;=JV$27,JQ15&lt;&gt;""),AND(JT15&gt;=JV$23,JU15&gt;=JV$27,JT15&lt;&gt;""),AND(KQ15&gt;=KV$23,KR15&gt;=KV$27,KQ15&lt;&gt;""),AND(KT15&gt;=KV$23,KU15&gt;=KV$27,KT15&lt;&gt;""),AND(LQ15&gt;=LV$23,LR15&gt;=LV$27,LQ15&lt;&gt;""),AND(LT15&gt;=LV$23,LU15&gt;=LV$27,LT15&lt;&gt;""),AND(MQ15&gt;=MV$23,MR15&gt;=MV$27,MQ15&lt;&gt;""),AND(MT15&gt;=MV$23,MU15&gt;=MV$27,MT15&lt;&gt;""),AND(NQ15&gt;=NV$23,NR15&gt;=NV$27,NQ15&lt;&gt;""),AND(NT15&gt;=NV$23,NU15&gt;=NV$27,NT15&lt;&gt;""),AND(OQ15&gt;=OV$23,OR15&gt;=OV$27,OQ15&lt;&gt;""),AND(OT15&gt;=OV$23,OU15&gt;=OV$27,OT15&lt;&gt;"")),"P","")</f>
        <v/>
      </c>
      <c r="G15" s="3" t="str">
        <f>IF(OR(AND(AN15&gt;=AR$27,AN15&lt;&gt;"",AL15=""),AND(AQ15&gt;=AR$27,AQ15&lt;&gt;"",AL15=""),AND(BO15&gt;=BS$27,BO15&lt;&gt;"",BM15=""),AND(BR15&gt;=BS$27,BR15&lt;&gt;"",BM15=""),AND(CP15&gt;=CT$27,CP15&lt;&gt;"",CN15=""),AND(CS15&gt;=CT$27,CS15&lt;&gt;"",CN15=""),AND(DR15&gt;=DV$27,DR15&lt;&gt;""),AND(DU15&gt;=DV$27,DU15&lt;&gt;""),AND(ER15&gt;=EV$27,ER15&lt;&gt;""),AND(EU15&gt;=EV$27,EU15&lt;&gt;""),AND(FR15&gt;=FV$27,FR15&lt;&gt;""),AND(FU15&gt;=FV$27,FU15&lt;&gt;""),AND(GR15&gt;=GV$27,GR15&lt;&gt;""),AND(GU15&gt;=GV$27,GU15&lt;&gt;""),AND(HR15&gt;=HV$27,HR15&lt;&gt;""),AND(HU15&gt;=HV$27,HU15&lt;&gt;""),AND(IR15&gt;=IV$27,IR15&lt;&gt;""),AND(IU15&gt;=IV$27,IU15&lt;&gt;""),AND(JR15&gt;=JV$27,JR15&lt;&gt;""),AND(JU15&gt;=JV$27,JU15&lt;&gt;""),AND(KR15&gt;=KV$27,KR15&lt;&gt;""),AND(KU15&gt;=KV$27,KU15&lt;&gt;""),AND(LR15&gt;=LV$27,LR15&lt;&gt;""),AND(LU15&gt;=LV$27,LU15&lt;&gt;""),AND(MR15&gt;=MV$27,MR15&lt;&gt;""),AND(MU15&gt;=MV$27,MU15&lt;&gt;""),AND(NR15&gt;=NV$27,NR15&lt;&gt;""),AND(NU15&gt;=NV$27,NU15&lt;&gt;""),AND(OR15&gt;=OV$27,OR15&lt;&gt;""),AND(OU15&gt;=OV$27,OU15&lt;&gt;"")),"P","")</f>
        <v/>
      </c>
      <c r="H15" s="67" t="str">
        <f>IF(AND(G15="P",F15=""),"No DD",IF(OR(AND(AM15&gt;=AR$26,AN15&gt;=AR$30,AM15&lt;&gt;"",AL15=""),AND(AP15&gt;=AR$26,AQ15&gt;=AR$30,AP15&lt;&gt;"",AL15=""),AND(BN15&gt;=BS$26,BO15&gt;=BS$30,BN15&lt;&gt;"",BM15=""),AND(BQ15&gt;=BS$26,BR15&gt;=BS$30,BQ15&lt;&gt;"",BM15=""),AND(CO15&gt;=CT$26,CP15&gt;=CT$30,CO15&lt;&gt;"",CN15=""),AND(CR15&gt;=CT$26,CS15&gt;=CT$30,CR15&lt;&gt;""),AND(DQ15&gt;=DV$26,DR15&gt;=DV$30,DQ15&lt;&gt;""),AND(DT15&gt;=DV$26,DU15&gt;=DV$30,DT15&lt;&gt;""),AND(EQ15&gt;=EV$26,ER15&gt;=EV$30,EQ15&lt;&gt;""),AND(ET15&gt;=EV$26,EU15&gt;=EV$30,ET15&lt;&gt;""),AND(FQ15&gt;=FV$26,FR15&gt;=FV$30,FQ15&lt;&gt;""),AND(FT15&gt;=FV$26,FU15&gt;=FV$30,FT15&lt;&gt;""),AND(GQ15&gt;=GV$26,GR15&gt;=GV$30,GQ15&lt;&gt;""),AND(GT15&gt;=GV$26,GU15&gt;=GV$30,GT15&lt;&gt;""),AND(HQ15&gt;=HV$26,HR15&gt;=HV$30,HQ15&lt;&gt;""),AND(HT15&gt;=HV$26,HU15&gt;=HV$30,HT15&lt;&gt;""),AND(IQ15&gt;=IV$26,IR15&gt;=IV$30,IQ15&lt;&gt;""),AND(IT15&gt;=IV$26,IU15&gt;=IV$30,IT15&lt;&gt;""),AND(JQ15&gt;=JV$26,JR15&gt;=JV$30,JQ15&lt;&gt;""),AND(JT15&gt;=JV$26,JU15&gt;=JV$30,JT15&lt;&gt;""),AND(KQ15&gt;=KV$26,KR15&gt;=KV$30,KQ15&lt;&gt;""),AND(KT15&gt;=KV$26,KU15&gt;=KV$30,KT15&lt;&gt;""),AND(LQ15&gt;=LV$26,LR15&gt;=LV$30,LQ15&lt;&gt;""),AND(LT15&gt;=LV$26,LU15&gt;=LV$30,LT15&lt;&gt;""),AND(MQ15&gt;=MV$26,MR15&gt;=MV$30,MQ15&lt;&gt;""),AND(MT15&gt;=MV$26,MU15&gt;=MV$30,MT15&lt;&gt;""),AND(NQ15&gt;=NV$26,NR15&gt;=NV$30,NQ15&lt;&gt;""),AND(NT15&gt;=NV$26,NU15&gt;=NV$30,NT15&lt;&gt;""),AND(OQ15&gt;=OV$26,OR15&gt;=OV$30,OQ15&lt;&gt;""),AND(OT15&gt;=OV$26,OU15&gt;=OV$30,OT15&lt;&gt;"")),"Merit",IF(OR(AND(AM15&gt;=AR$25,AN15&gt;=AR$29,AM15&lt;&gt;"",AL15=""),AND(AP15&gt;=AR$25,AQ15&gt;=AR$29,AP15&lt;&gt;"",AL15=""),AND(BN15&gt;=BS$25,BO15&gt;=BS$29,BN15&lt;&gt;"",BM15=""),AND(BQ15&gt;=BS$25,BR15&gt;=BS$29,BQ15&lt;&gt;"",BM15=""),AND(CO15&gt;=CT$25,CP15&gt;=CT$29,CO15&lt;&gt;"",CN15=""),AND(CR15&gt;=CT$25,CS15&gt;=CT$29,CR15&lt;&gt;""),AND(DQ15&gt;=DV$25,DR15&gt;=DV$29,DQ15&lt;&gt;""),AND(DT15&gt;=DV$25,DU15&gt;=DV$29,DT15&lt;&gt;""),AND(EQ15&gt;=EV$25,ER15&gt;=EV$29,EQ15&lt;&gt;""),AND(ET15&gt;=EV$25,EU15&gt;=EV$29,ET15&lt;&gt;""),AND(FQ15&gt;=FV$25,FR15&gt;=FV$29,FQ15&lt;&gt;""),AND(FT15&gt;=FV$25,FU15&gt;=FV$29,FT15&lt;&gt;""),AND(GQ15&gt;=GV$25,GR15&gt;=GV$29,GQ15&lt;&gt;""),AND(GT15&gt;=GV$25,GU15&gt;=GV$29,GT15&lt;&gt;""),AND(HQ15&gt;=HV$25,HR15&gt;=HV$29,HQ15&lt;&gt;""),AND(HT15&gt;=HV$25,HU15&gt;=HV$29,HT15&lt;&gt;""),AND(IQ15&gt;=IV$25,IR15&gt;=IV$29,IQ15&lt;&gt;""),AND(IT15&gt;=IV$25,IU15&gt;=IV$29,IT15&lt;&gt;""),AND(JQ15&gt;=JV$25,JR15&gt;=JV$29,JQ15&lt;&gt;""),AND(JT15&gt;=JV$25,JU15&gt;=JV$29,JT15&lt;&gt;""),AND(KQ15&gt;=KV$25,KR15&gt;=KV$29,KQ15&lt;&gt;""),AND(KT15&gt;=KV$25,KU15&gt;=KV$29,KT15&lt;&gt;""),AND(LQ15&gt;=LV$25,LR15&gt;=LV$29,LQ15&lt;&gt;""),AND(LT15&gt;=LV$25,LU15&gt;=LV$29,LT15&lt;&gt;""),AND(MQ15&gt;=MV$25,MR15&gt;=MV$29,MQ15&lt;&gt;""),AND(MT15&gt;=MV$25,MU15&gt;=MV$29,MT15&lt;&gt;""),AND(NQ15&gt;=NV$25,NR15&gt;=NV$29,NQ15&lt;&gt;""),AND(NT15&gt;=NV$25,NU15&gt;=NV$29,NT15&lt;&gt;""),AND(OQ15&gt;=OV$25,OR15&gt;=OV$29,OQ15&lt;&gt;""),AND(OT15&gt;=OV$25,OU15&gt;=OV$29,OT15&lt;&gt;"")),"Excellence",IF(F15="P","National Team",""))))</f>
        <v/>
      </c>
      <c r="I15" s="14">
        <f>IF(COUNT(AN15,BO15,CP15)&gt;0,LARGE((AN15,BO15,CP15),1),0)</f>
        <v>37.959999999999994</v>
      </c>
      <c r="J15" s="14" t="str">
        <f>IF(I15=0,"",IF(I15=CP15,$BT$1,IF(I15=BO15,$AS$1,IF(I15=AN15,$R$1,""))))</f>
        <v>2022 Elite Canada</v>
      </c>
      <c r="K15" s="14">
        <f>IF(COUNT(AN15,BO15,CP15)&gt;1,LARGE((AN15,BO15,CP15),2),0)</f>
        <v>0</v>
      </c>
      <c r="L15" s="14" t="str">
        <f>IF(K15=0,"",IF(K15=CP15,$BT$1,IF(K15=BO15,$AS$1,IF(K15=AN15,$R$1,""))))</f>
        <v/>
      </c>
      <c r="M15" s="14">
        <f>IF(MAX(AQ15,BR15,CS15)&gt;0,MAX(AQ15,BR15,CS15),0)</f>
        <v>39.78</v>
      </c>
      <c r="N15" s="14" t="str">
        <f>IF(M15=0,"",IF(M15=CS15,$BT$1,IF(M15=BR15,$AS$1,IF(M15=AQ15,$R$1,""))))</f>
        <v>2022 Elite Canada</v>
      </c>
      <c r="O15" s="14" t="str">
        <f>IF(MAX(CU15:CV15)&gt;0,MAX(CU15:CV15),"")</f>
        <v/>
      </c>
      <c r="P15" s="20" t="str">
        <f>IF(O15="","",IF(O15=CU15,"("&amp;CU$2&amp;")",IF(O15=CV15,"("&amp;CV$2&amp;")")))</f>
        <v/>
      </c>
      <c r="Q15" s="14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45"/>
      <c r="AM15" s="79" t="str">
        <f>IF(SUM(S15,W15)&gt;0,SUM(S15,W15),"")</f>
        <v/>
      </c>
      <c r="AN15" s="79" t="str">
        <f>IF(SUM(R15:S15,U15:W15,Y15)-T15-X15&gt;0,SUM(R15:S15,U15:W15,Y15)-T15-X15,"")</f>
        <v/>
      </c>
      <c r="AO15" s="79" t="str">
        <f>IF(SUM(Z15:AA15,AC15)-AB15&gt;0,SUM(Z15:AA15,AC15)-AB15,"")</f>
        <v/>
      </c>
      <c r="AP15" s="79" t="str">
        <f>IF(SUM(AE15,AI15)&gt;0,SUM(AE15,AI15),"")</f>
        <v/>
      </c>
      <c r="AQ15" s="79" t="str">
        <f>IF(SUM(AD15:AE15,AG15:AI15,AK15)-SUM(AF15,AJ15)&gt;0,SUM(AD15:AE15,AG15:AI15,AK15)-SUM(AF15,AJ15),"")</f>
        <v/>
      </c>
      <c r="AR15" s="79" t="str">
        <f>IF(SUM(AN15,AQ15)&gt;0,SUM(AN15,AQ15),"")</f>
        <v/>
      </c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46"/>
      <c r="BN15" s="20" t="str">
        <f>IF(SUM(AT15,AX15)&gt;0,SUM(AT15,AX15),"")</f>
        <v/>
      </c>
      <c r="BO15" s="20" t="str">
        <f>IF(SUM(AS15:AT15,AV15:AX15,AZ15)-AU15-AY15&gt;0,SUM(AS15:AT15,AV15:AX15,AZ15)-AU15-AY15,"")</f>
        <v/>
      </c>
      <c r="BP15" s="20" t="str">
        <f>IF(SUM(BA15:BB15,BD15)-BC15&gt;0,SUM(BA15:BB15,BD15)-BC15,"")</f>
        <v/>
      </c>
      <c r="BQ15" s="20" t="str">
        <f>IF(SUM(BF15,BJ15)&gt;0,SUM(BF15,BJ15),"")</f>
        <v/>
      </c>
      <c r="BR15" s="20" t="str">
        <f>IF(SUM(BE15:BF15,BH15:BJ15,BL15)-SUM(BG15,BK15)&gt;0,SUM(BE15:BF15,BH15:BJ15,BL15)-SUM(BG15,BK15),"")</f>
        <v/>
      </c>
      <c r="BS15" s="20" t="str">
        <f>IF(SUM(BO15,BR15)&gt;0,SUM(BO15,BR15),"")</f>
        <v/>
      </c>
      <c r="BT15" s="27">
        <v>16.559999999999999</v>
      </c>
      <c r="BU15" s="27">
        <v>2.8</v>
      </c>
      <c r="BV15" s="27">
        <v>0.2</v>
      </c>
      <c r="BW15" s="27">
        <v>0.3</v>
      </c>
      <c r="BX15" s="27">
        <v>17</v>
      </c>
      <c r="BY15" s="27">
        <v>3.2</v>
      </c>
      <c r="BZ15" s="27">
        <v>2</v>
      </c>
      <c r="CA15" s="27">
        <v>0.3</v>
      </c>
      <c r="CB15" s="27"/>
      <c r="CC15" s="27"/>
      <c r="CD15" s="27"/>
      <c r="CE15" s="27"/>
      <c r="CF15" s="27">
        <v>16.579999999999998</v>
      </c>
      <c r="CG15" s="27">
        <v>2.8</v>
      </c>
      <c r="CH15" s="27">
        <v>0.2</v>
      </c>
      <c r="CI15" s="27">
        <v>0.3</v>
      </c>
      <c r="CJ15" s="27">
        <v>16.8</v>
      </c>
      <c r="CK15" s="27">
        <v>3.2</v>
      </c>
      <c r="CL15" s="27">
        <v>0</v>
      </c>
      <c r="CM15" s="27">
        <v>0.3</v>
      </c>
      <c r="CN15" s="45"/>
      <c r="CO15" s="79">
        <f>IF(SUM(BU15,BY15)&gt;0,SUM(BU15,BY15),"")</f>
        <v>6</v>
      </c>
      <c r="CP15" s="79">
        <f>IF(SUM(BT15:BU15,BW15:BY15,CA15)-BV15-BZ15&gt;0,SUM(BT15:BU15,BW15:BY15,CA15)-BV15-BZ15,"")</f>
        <v>37.959999999999994</v>
      </c>
      <c r="CQ15" s="79" t="str">
        <f>IF(SUM(CB15:CC15,CE15)-CD15&gt;0,SUM(CB15:CC15,CE15)-CD15,"")</f>
        <v/>
      </c>
      <c r="CR15" s="79">
        <f>IF(SUM(CG15,CK15)&gt;0,SUM(CG15,CK15),"")</f>
        <v>6</v>
      </c>
      <c r="CS15" s="79">
        <f>IF(SUM(CF15:CG15,CI15:CK15,CM15)-SUM(CH15,CL15)&gt;0,SUM(CF15:CG15,CI15:CK15,CM15)-SUM(CH15,CL15),"")</f>
        <v>39.78</v>
      </c>
      <c r="CT15" s="79">
        <f>IF(SUM(CP15,CS15)&gt;0,SUM(CP15,CS15),"")</f>
        <v>77.739999999999995</v>
      </c>
      <c r="CU15" s="80" t="str">
        <f>IF(K15&gt;=0.001,IF(MAX(DR15,ER15,FR15,GR15,HR15,IR15,JR15,KR15,LR15,MR15,NR15,OR15)-IF(K15="",0,K15)&gt;0.001,MAX(DR15,ER15,FR15,GR15,HR15,IR15,JR15,KR15,LR15,MR15,NR15,OR15)-IF(K15="",0,K15),""),"")</f>
        <v/>
      </c>
      <c r="CV15" s="80" t="str">
        <f>IF(M15&gt;=0.001,IF(MAX(DU15,EU15,FU15,GU15,HU15,IU15,JU15,KU15,LU15,MU15,NU15,OU15)-IF(M15="",0,M15)&gt;0.001,MAX(DU15,EU15,FU15,GU15,HU15,IU15,JU15,KU15,LU15,MU15,NU15,OU15)-IF(M15="",0,M15),""),"")</f>
        <v/>
      </c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79" t="str">
        <f>IF(SUM(CX15,DB15)&gt;0,SUM(CX15,DB15),"")</f>
        <v/>
      </c>
      <c r="DR15" s="79" t="str">
        <f>IF(SUM(CW15:CX15,CZ15:DB15,DD15)-CY15-DC15&gt;0,SUM(CW15:CX15,CZ15:DB15,DD15)-CY15-DC15,"")</f>
        <v/>
      </c>
      <c r="DS15" s="79" t="str">
        <f>IF(SUM(DE15:DF15,DH15)-DG15&gt;0,SUM(DE15:DF15,DH15)-DG15,"")</f>
        <v/>
      </c>
      <c r="DT15" s="79" t="str">
        <f>IF(SUM(DJ15,DN15)&gt;0,SUM(DJ15,DN15),"")</f>
        <v/>
      </c>
      <c r="DU15" s="79" t="str">
        <f>IF(SUM(DI15:DJ15,DL15:DN15,DP15)-SUM(DK15,DO15)&gt;0,SUM(DI15:DJ15,DL15:DN15,DP15)-SUM(DK15,DO15),"")</f>
        <v/>
      </c>
      <c r="DV15" s="79" t="str">
        <f>IF(SUM(DR15,DU15)&gt;0,SUM(DR15,DU15),"")</f>
        <v/>
      </c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0" t="str">
        <f>IF(SUM(DX15,EB15)&gt;0,SUM(DX15,EB15),"")</f>
        <v/>
      </c>
      <c r="ER15" s="20" t="str">
        <f>IF(SUM(DW15:DX15,DZ15:EB15,ED15)-DY15-EC15&gt;0,SUM(DW15:DX15,DZ15:EB15,ED15)-DY15-EC15,"")</f>
        <v/>
      </c>
      <c r="ES15" s="20" t="str">
        <f>IF(SUM(EE15:EF15,EH15)-EG15&gt;0,SUM(EE15:EF15,EH15)-EG15,"")</f>
        <v/>
      </c>
      <c r="ET15" s="20" t="str">
        <f>IF(SUM(EJ15,EN15)&gt;0,SUM(EJ15,EN15),"")</f>
        <v/>
      </c>
      <c r="EU15" s="20" t="str">
        <f>IF(SUM(EI15:EJ15,EL15:EN15,EP15)-SUM(EK15,EO15)&gt;0,SUM(EI15:EJ15,EL15:EN15,EP15)-SUM(EK15,EO15),"")</f>
        <v/>
      </c>
      <c r="EV15" s="20" t="str">
        <f>IF(SUM(ER15,EU15)&gt;0,SUM(ER15,EU15),"")</f>
        <v/>
      </c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79" t="str">
        <f>IF(SUM(EX15,FB15)&gt;0,SUM(EX15,FB15),"")</f>
        <v/>
      </c>
      <c r="FR15" s="79" t="str">
        <f>IF(SUM(EW15:EX15,EZ15:FB15,FD15)-EY15-FC15&gt;0,SUM(EW15:EX15,EZ15:FB15,FD15)-EY15-FC15,"")</f>
        <v/>
      </c>
      <c r="FS15" s="79" t="str">
        <f>IF(SUM(FE15:FF15,FH15)-FG15&gt;0,SUM(FE15:FF15,FH15)-FG15,"")</f>
        <v/>
      </c>
      <c r="FT15" s="79" t="str">
        <f>IF(SUM(FJ15,FN15)&gt;0,SUM(FJ15,FN15),"")</f>
        <v/>
      </c>
      <c r="FU15" s="79" t="str">
        <f>IF(SUM(FI15:FJ15,FL15:FN15,FP15)-SUM(FK15,FO15)&gt;0,SUM(FI15:FJ15,FL15:FN15,FP15)-SUM(FK15,FO15),"")</f>
        <v/>
      </c>
      <c r="FV15" s="79" t="str">
        <f>IF(SUM(FR15,FU15)&gt;0,SUM(FR15,FU15),"")</f>
        <v/>
      </c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0" t="str">
        <f>IF(SUM(FX15,GB15)&gt;0,SUM(FX15,GB15),"")</f>
        <v/>
      </c>
      <c r="GR15" s="20" t="str">
        <f>IF(SUM(FW15:FX15,FZ15:GB15,GD15)-FY15-GC15&gt;0,SUM(FW15:FX15,FZ15:GB15,GD15)-FY15-GC15,"")</f>
        <v/>
      </c>
      <c r="GS15" s="20" t="str">
        <f>IF(SUM(GE15:GF15,GH15)-GG15&gt;0,SUM(GE15:GF15,GH15)-GG15,"")</f>
        <v/>
      </c>
      <c r="GT15" s="20" t="str">
        <f>IF(SUM(GJ15,GN15)&gt;0,SUM(GJ15,GN15),"")</f>
        <v/>
      </c>
      <c r="GU15" s="20" t="str">
        <f>IF(SUM(GI15:GJ15,GL15:GN15,GP15)-SUM(GK15,GO15)&gt;0,SUM(GI15:GJ15,GL15:GN15,GP15)-SUM(GK15,GO15),"")</f>
        <v/>
      </c>
      <c r="GV15" s="20" t="str">
        <f>IF(SUM(GR15,GU15)&gt;0,SUM(GR15,GU15),"")</f>
        <v/>
      </c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79" t="str">
        <f>IF(SUM(GX15,HB15)&gt;0,SUM(GX15,HB15),"")</f>
        <v/>
      </c>
      <c r="HR15" s="79" t="str">
        <f>IF(SUM(GW15:GX15,GZ15:HB15,HD15)-GY15-HC15&gt;0,SUM(GW15:GX15,GZ15:HB15,HD15)-GY15-HC15,"")</f>
        <v/>
      </c>
      <c r="HS15" s="79" t="str">
        <f>IF(SUM(HE15:HF15,HH15)-HG15&gt;0,SUM(HE15:HF15,HH15)-HG15,"")</f>
        <v/>
      </c>
      <c r="HT15" s="79" t="str">
        <f>IF(SUM(HJ15,HN15)&gt;0,SUM(HJ15,HN15),"")</f>
        <v/>
      </c>
      <c r="HU15" s="79" t="str">
        <f>IF(SUM(HI15:HJ15,HL15:HN15,HP15)-SUM(HK15,HO15)&gt;0,SUM(HI15:HJ15,HL15:HN15,HP15)-SUM(HK15,HO15),"")</f>
        <v/>
      </c>
      <c r="HV15" s="79" t="str">
        <f>IF(SUM(HR15,HU15)&gt;0,SUM(HR15,HU15),"")</f>
        <v/>
      </c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0" t="str">
        <f>IF(SUM(HX15,IB15)&gt;0,SUM(HX15,IB15),"")</f>
        <v/>
      </c>
      <c r="IR15" s="20" t="str">
        <f>IF(SUM(HW15:HX15,HZ15:IB15,ID15)-HY15-IC15&gt;0,SUM(HW15:HX15,HZ15:IB15,ID15)-HY15-IC15,"")</f>
        <v/>
      </c>
      <c r="IS15" s="20" t="str">
        <f>IF(SUM(IE15:IF15,IH15)-IG15&gt;0,SUM(IE15:IF15,IH15)-IG15,"")</f>
        <v/>
      </c>
      <c r="IT15" s="20" t="str">
        <f>IF(SUM(IJ15,IN15)&gt;0,SUM(IJ15,IN15),"")</f>
        <v/>
      </c>
      <c r="IU15" s="20" t="str">
        <f>IF(SUM(II15:IJ15,IL15:IN15,IP15)-SUM(IK15,IO15)&gt;0,SUM(II15:IJ15,IL15:IN15,IP15)-SUM(IK15,IO15),"")</f>
        <v/>
      </c>
      <c r="IV15" s="20" t="str">
        <f>IF(SUM(IR15,IU15)&gt;0,SUM(IR15,IU15),"")</f>
        <v/>
      </c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79" t="str">
        <f>IF(SUM(IX15,JB15)&gt;0,SUM(IX15,JB15),"")</f>
        <v/>
      </c>
      <c r="JR15" s="79" t="str">
        <f>IF(SUM(IW15:IX15,IZ15:JB15,JD15)-IY15-JC15&gt;0,SUM(IW15:IX15,IZ15:JB15,JD15)-IY15-JC15,"")</f>
        <v/>
      </c>
      <c r="JS15" s="79" t="str">
        <f>IF(SUM(JE15:JF15,JH15)-JG15&gt;0,SUM(JE15:JF15,JH15)-JG15,"")</f>
        <v/>
      </c>
      <c r="JT15" s="79" t="str">
        <f>IF(SUM(JJ15,JN15)&gt;0,SUM(JJ15,JN15),"")</f>
        <v/>
      </c>
      <c r="JU15" s="79" t="str">
        <f>IF(SUM(JI15:JJ15,JL15:JN15,JP15)-SUM(JK15,JO15)&gt;0,SUM(JI15:JJ15,JL15:JN15,JP15)-SUM(JK15,JO15),"")</f>
        <v/>
      </c>
      <c r="JV15" s="79" t="str">
        <f>IF(SUM(JR15,JU15)&gt;0,SUM(JR15,JU15),"")</f>
        <v/>
      </c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26"/>
      <c r="KM15" s="26"/>
      <c r="KN15" s="26"/>
      <c r="KO15" s="26"/>
      <c r="KP15" s="26"/>
      <c r="KQ15" s="20" t="str">
        <f>IF(SUM(JX15,KB15)&gt;0,SUM(JX15,KB15),"")</f>
        <v/>
      </c>
      <c r="KR15" s="20" t="str">
        <f>IF(SUM(JW15:JX15,JZ15:KB15,KD15)-JY15-KC15&gt;0,SUM(JW15:JX15,JZ15:KB15,KD15)-JY15-KC15,"")</f>
        <v/>
      </c>
      <c r="KS15" s="20" t="str">
        <f>IF(SUM(KE15:KF15,KH15)-KG15&gt;0,SUM(KE15:KF15,KH15)-KG15,"")</f>
        <v/>
      </c>
      <c r="KT15" s="20" t="str">
        <f>IF(SUM(KJ15,KN15)&gt;0,SUM(KJ15,KN15),"")</f>
        <v/>
      </c>
      <c r="KU15" s="20" t="str">
        <f>IF(SUM(KI15:KJ15,KL15:KN15,KP15)-SUM(KK15,KO15)&gt;0,SUM(KI15:KJ15,KL15:KN15,KP15)-SUM(KK15,KO15),"")</f>
        <v/>
      </c>
      <c r="KV15" s="20" t="str">
        <f>IF(SUM(KR15,KU15)&gt;0,SUM(KR15,KU15),"")</f>
        <v/>
      </c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79" t="str">
        <f>IF(SUM(KX15,LB15)&gt;0,SUM(KX15,LB15),"")</f>
        <v/>
      </c>
      <c r="LR15" s="79" t="str">
        <f>IF(SUM(KW15:KX15,KZ15:LB15,LD15)-KY15-LC15&gt;0,SUM(KW15:KX15,KZ15:LB15,LD15)-KY15-LC15,"")</f>
        <v/>
      </c>
      <c r="LS15" s="79" t="str">
        <f>IF(SUM(LE15:LF15,LH15)-LG15&gt;0,SUM(LE15:LF15,LH15)-LG15,"")</f>
        <v/>
      </c>
      <c r="LT15" s="79" t="str">
        <f>IF(SUM(LJ15,LN15)&gt;0,SUM(LJ15,LN15),"")</f>
        <v/>
      </c>
      <c r="LU15" s="79" t="str">
        <f>IF(SUM(LI15:LJ15,LL15:LN15,LP15)-SUM(LK15,LO15)&gt;0,SUM(LI15:LJ15,LL15:LN15,LP15)-SUM(LK15,LO15),"")</f>
        <v/>
      </c>
      <c r="LV15" s="79" t="str">
        <f>IF(SUM(LR15,LU15)&gt;0,SUM(LR15,LU15),"")</f>
        <v/>
      </c>
      <c r="LW15" s="26"/>
      <c r="LX15" s="26"/>
      <c r="LY15" s="26"/>
      <c r="LZ15" s="26"/>
      <c r="MA15" s="26"/>
      <c r="MB15" s="26"/>
      <c r="MC15" s="26"/>
      <c r="MD15" s="26"/>
      <c r="ME15" s="26"/>
      <c r="MF15" s="26"/>
      <c r="MG15" s="26"/>
      <c r="MH15" s="26"/>
      <c r="MI15" s="26"/>
      <c r="MJ15" s="26"/>
      <c r="MK15" s="26"/>
      <c r="ML15" s="26"/>
      <c r="MM15" s="26"/>
      <c r="MN15" s="26"/>
      <c r="MO15" s="26"/>
      <c r="MP15" s="26"/>
      <c r="MQ15" s="20" t="str">
        <f>IF(SUM(LX15,MB15)&gt;0,SUM(LX15,MB15),"")</f>
        <v/>
      </c>
      <c r="MR15" s="20" t="str">
        <f>IF(SUM(LW15:LX15,LZ15:MB15,MD15)-LY15-MC15&gt;0,SUM(LW15:LX15,LZ15:MB15,MD15)-LY15-MC15,"")</f>
        <v/>
      </c>
      <c r="MS15" s="20" t="str">
        <f>IF(SUM(ME15:MF15,MH15)-MG15&gt;0,SUM(ME15:MF15,MH15)-MG15,"")</f>
        <v/>
      </c>
      <c r="MT15" s="20" t="str">
        <f>IF(SUM(MJ15,MN15)&gt;0,SUM(MJ15,MN15),"")</f>
        <v/>
      </c>
      <c r="MU15" s="20" t="str">
        <f>IF(SUM(MI15:MJ15,ML15:MN15,MP15)-SUM(MK15,MO15)&gt;0,SUM(MI15:MJ15,ML15:MN15,MP15)-SUM(MK15,MO15),"")</f>
        <v/>
      </c>
      <c r="MV15" s="20" t="str">
        <f>IF(SUM(MR15,MU15)&gt;0,SUM(MR15,MU15),"")</f>
        <v/>
      </c>
      <c r="MW15" s="25"/>
      <c r="MX15" s="25"/>
      <c r="MY15" s="25"/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79" t="str">
        <f>IF(SUM(MX15,NB15)&gt;0,SUM(MX15,NB15),"")</f>
        <v/>
      </c>
      <c r="NR15" s="79" t="str">
        <f>IF(SUM(MW15:MX15,MZ15:NB15,ND15)-MY15-NC15&gt;0,SUM(MW15:MX15,MZ15:NB15,ND15)-MY15-NC15,"")</f>
        <v/>
      </c>
      <c r="NS15" s="79" t="str">
        <f>IF(SUM(NE15:NF15,NH15)-NG15&gt;0,SUM(NE15:NF15,NH15)-NG15,"")</f>
        <v/>
      </c>
      <c r="NT15" s="79" t="str">
        <f>IF(SUM(NJ15,NN15)&gt;0,SUM(NJ15,NN15),"")</f>
        <v/>
      </c>
      <c r="NU15" s="79" t="str">
        <f>IF(SUM(NI15:NJ15,NL15:NN15,NP15)-SUM(NK15,NO15)&gt;0,SUM(NI15:NJ15,NL15:NN15,NP15)-SUM(NK15,NO15),"")</f>
        <v/>
      </c>
      <c r="NV15" s="79" t="str">
        <f>IF(SUM(NR15,NU15)&gt;0,SUM(NR15,NU15),"")</f>
        <v/>
      </c>
      <c r="NW15" s="26"/>
      <c r="NX15" s="26"/>
      <c r="NY15" s="26"/>
      <c r="NZ15" s="26"/>
      <c r="OA15" s="26"/>
      <c r="OB15" s="26"/>
      <c r="OC15" s="26"/>
      <c r="OD15" s="26"/>
      <c r="OE15" s="26"/>
      <c r="OF15" s="26"/>
      <c r="OG15" s="26"/>
      <c r="OH15" s="26"/>
      <c r="OI15" s="26"/>
      <c r="OJ15" s="26"/>
      <c r="OK15" s="26"/>
      <c r="OL15" s="26"/>
      <c r="OM15" s="26"/>
      <c r="ON15" s="26"/>
      <c r="OO15" s="26"/>
      <c r="OP15" s="26"/>
      <c r="OQ15" s="20" t="str">
        <f>IF(SUM(NX15,OB15)&gt;0,SUM(NX15,OB15),"")</f>
        <v/>
      </c>
      <c r="OR15" s="20" t="str">
        <f>IF(SUM(NW15:NX15,NZ15:OB15,OD15)-NY15-OC15&gt;0,SUM(NW15:NX15,NZ15:OB15,OD15)-NY15-OC15,"")</f>
        <v/>
      </c>
      <c r="OS15" s="20" t="str">
        <f>IF(SUM(OE15:OF15,OH15)-OG15&gt;0,SUM(OE15:OF15,OH15)-OG15,"")</f>
        <v/>
      </c>
      <c r="OT15" s="20" t="str">
        <f>IF(SUM(OJ15,ON15)&gt;0,SUM(OJ15,ON15),"")</f>
        <v/>
      </c>
      <c r="OU15" s="20" t="str">
        <f>IF(SUM(OI15:OJ15,OL15:ON15,OP15)-SUM(OK15,OO15)&gt;0,SUM(OI15:OJ15,OL15:ON15,OP15)-SUM(OK15,OO15),"")</f>
        <v/>
      </c>
      <c r="OV15" s="20" t="str">
        <f>IF(SUM(OR15,OU15)&gt;0,SUM(OR15,OU15),"")</f>
        <v/>
      </c>
      <c r="OW15" s="38">
        <f>IF($CN15="P",BT15,(BT15+AS15)/2)</f>
        <v>8.2799999999999994</v>
      </c>
      <c r="OX15" s="38">
        <f>IF($CN15="P",BU15,(BU15+AT15)/2)</f>
        <v>1.4</v>
      </c>
      <c r="OY15" s="38">
        <f>IF($CN15="P",BV15,(BV15+AU15)/2)</f>
        <v>0.1</v>
      </c>
      <c r="OZ15" s="38">
        <f>IF($CN15="P",BW15,(BW15+AV15)/2)</f>
        <v>0.15</v>
      </c>
      <c r="PA15" s="38">
        <f>IF($CN15="P",BX15,(BX15+AW15)/2)</f>
        <v>8.5</v>
      </c>
      <c r="PB15" s="38">
        <f>IF($CN15="P",BY15,(BY15+AX15)/2)</f>
        <v>1.6</v>
      </c>
      <c r="PC15" s="38">
        <f>IF($CN15="P",BZ15,(BZ15+AY15)/2)</f>
        <v>1</v>
      </c>
      <c r="PD15" s="38">
        <f>IF($CN15="P",CA15,(CA15+AZ15)/2)</f>
        <v>0.15</v>
      </c>
      <c r="PE15" s="38">
        <f>IF($CN15="P",CB15,(CB15+BA15)/2)</f>
        <v>0</v>
      </c>
      <c r="PF15" s="38">
        <f>IF($CN15="P",CC15,(CC15+BB15)/2)</f>
        <v>0</v>
      </c>
      <c r="PG15" s="38">
        <f>IF($CN15="P",CD15,(CD15+BC15)/2)</f>
        <v>0</v>
      </c>
      <c r="PH15" s="38">
        <f>IF($CN15="P",CE15,(CE15+BD15)/2)</f>
        <v>0</v>
      </c>
      <c r="PI15" s="38">
        <f>IF($CN15="P",CF15,(CF15+BE15)/2)</f>
        <v>8.2899999999999991</v>
      </c>
      <c r="PJ15" s="38">
        <f>IF($CN15="P",CG15,(CG15+BF15)/2)</f>
        <v>1.4</v>
      </c>
      <c r="PK15" s="38">
        <f>IF($CN15="P",CH15,(CH15+BG15)/2)</f>
        <v>0.1</v>
      </c>
      <c r="PL15" s="38">
        <f>IF($CN15="P",CI15,(CI15+BH15)/2)</f>
        <v>0.15</v>
      </c>
      <c r="PM15" s="38">
        <f>IF($CN15="P",CJ15,(CJ15+BI15)/2)</f>
        <v>8.4</v>
      </c>
      <c r="PN15" s="38">
        <f>IF($CN15="P",CK15,(CK15+BJ15)/2)</f>
        <v>1.6</v>
      </c>
      <c r="PO15" s="38">
        <f>IF($CN15="P",CL15,(CL15+BK15)/2)</f>
        <v>0</v>
      </c>
      <c r="PP15" s="38">
        <f>IF($CN15="P",CM15,(CM15+BL15)/2)</f>
        <v>0.15</v>
      </c>
      <c r="PQ15" s="45" t="s">
        <v>46</v>
      </c>
      <c r="PR15" s="79">
        <f>IF(SUM(OX15,PB15)&gt;0,SUM(OX15,PB15),"")</f>
        <v>3</v>
      </c>
      <c r="PS15" s="79">
        <f>IF(SUM(OW15:OX15,OZ15:PB15,PD15)-OY15-PC15&gt;0,SUM(OW15:OX15,OZ15:PB15,PD15)-OY15-PC15,"")</f>
        <v>18.979999999999997</v>
      </c>
      <c r="PT15" s="79" t="str">
        <f>IF(SUM(PE15:PF15,PH15)-PG15&gt;0,SUM(PE15:PF15,PH15)-PG15,"")</f>
        <v/>
      </c>
      <c r="PU15" s="79">
        <f>IF(SUM(PJ15,PN15)&gt;0,SUM(PJ15,PN15),"")</f>
        <v>3</v>
      </c>
      <c r="PV15" s="79">
        <f>IF(SUM(PI15:PJ15,PL15:PN15,PP15)-SUM(PK15,PO15)&gt;0,SUM(PI15:PJ15,PL15:PN15,PP15)-SUM(PK15,PO15),"")</f>
        <v>19.89</v>
      </c>
      <c r="PW15" s="79">
        <f>IF(SUM(PS15,PV15)&gt;0,SUM(PS15,PV15),"")</f>
        <v>38.869999999999997</v>
      </c>
    </row>
    <row r="16" spans="1:439" x14ac:dyDescent="0.2">
      <c r="A16" s="5" t="str">
        <f>IF(AND(F16="P",G16="P"),SUMPRODUCT((F$4:F$21="P")*(G$4:G$21="P")*(E$4:E$21&gt;E16))+1,IF(G16="P",SUMPRODUCT((F$4:F$21="")*(G$4:G$21="P")*(E$4:E$21&gt;E16))+1+SUMPRODUCT((F$4:F$21="P")*(G$4:G$21="P")),""))</f>
        <v/>
      </c>
      <c r="B16" s="78" t="s">
        <v>126</v>
      </c>
      <c r="C16" s="5" t="s">
        <v>3</v>
      </c>
      <c r="D16" s="5">
        <v>2004</v>
      </c>
      <c r="E16" s="15">
        <f>SUM(I16:O16)+SUM(I16:M16)*0.0000001+SUM(I16)*0.0000000000001</f>
        <v>75.200007520003879</v>
      </c>
      <c r="F16" s="3" t="str">
        <f>IF(OR(AND(AM16&gt;=AR$23,AN16&gt;=AR$27,AM16&lt;&gt;"",AL16=""),AND(AP16&gt;=AR$23,AQ16&gt;=AR$27,AP16&lt;&gt;"",AL16=""),AND(BN16&gt;=BS$23,BO16&gt;=BS$27,BN16&lt;&gt;"",BM16=""),AND(BQ16&gt;=BS$23,BR16&gt;=BS$27,BQ16&lt;&gt;"",BM16=""),AND(CO16&gt;=CT$23,CP16&gt;=CT$27,CO16&lt;&gt;"",CN16=""),AND(CR16&gt;=CT$23,CS16&gt;=CT$27,CR16&lt;&gt;""),AND(DQ16&gt;=DV$23,DR16&gt;=DV$27,DQ16&lt;&gt;""),AND(DT16&gt;=DV$23,DU16&gt;=DV$27,DT16&lt;&gt;""),AND(EQ16&gt;=EV$23,ER16&gt;=EV$27,EQ16&lt;&gt;""),AND(ET16&gt;=EV$23,EU16&gt;=EV$27,ET16&lt;&gt;""),AND(FQ16&gt;=FV$23,FR16&gt;=FV$27,FQ16&lt;&gt;""),AND(FT16&gt;=FV$23,FU16&gt;=FV$27,FT16&lt;&gt;""),AND(GQ16&gt;=GV$23,GR16&gt;=GV$27,GQ16&lt;&gt;""),AND(GT16&gt;=GV$23,GU16&gt;=GV$27,GT16&lt;&gt;""),AND(HQ16&gt;=HV$23,HR16&gt;=HV$27,HQ16&lt;&gt;""),AND(HT16&gt;=HV$23,HU16&gt;=HV$27,HT16&lt;&gt;""),AND(IQ16&gt;=IV$23,IR16&gt;=IV$27,IQ16&lt;&gt;""),AND(IT16&gt;=IV$23,IU16&gt;=IV$27,IT16&lt;&gt;""),AND(JQ16&gt;=JV$23,JR16&gt;=JV$27,JQ16&lt;&gt;""),AND(JT16&gt;=JV$23,JU16&gt;=JV$27,JT16&lt;&gt;""),AND(KQ16&gt;=KV$23,KR16&gt;=KV$27,KQ16&lt;&gt;""),AND(KT16&gt;=KV$23,KU16&gt;=KV$27,KT16&lt;&gt;""),AND(LQ16&gt;=LV$23,LR16&gt;=LV$27,LQ16&lt;&gt;""),AND(LT16&gt;=LV$23,LU16&gt;=LV$27,LT16&lt;&gt;""),AND(MQ16&gt;=MV$23,MR16&gt;=MV$27,MQ16&lt;&gt;""),AND(MT16&gt;=MV$23,MU16&gt;=MV$27,MT16&lt;&gt;""),AND(NQ16&gt;=NV$23,NR16&gt;=NV$27,NQ16&lt;&gt;""),AND(NT16&gt;=NV$23,NU16&gt;=NV$27,NT16&lt;&gt;""),AND(OQ16&gt;=OV$23,OR16&gt;=OV$27,OQ16&lt;&gt;""),AND(OT16&gt;=OV$23,OU16&gt;=OV$27,OT16&lt;&gt;"")),"P","")</f>
        <v/>
      </c>
      <c r="G16" s="3" t="str">
        <f>IF(OR(AND(AN16&gt;=AR$27,AN16&lt;&gt;"",AL16=""),AND(AQ16&gt;=AR$27,AQ16&lt;&gt;"",AL16=""),AND(BO16&gt;=BS$27,BO16&lt;&gt;"",BM16=""),AND(BR16&gt;=BS$27,BR16&lt;&gt;"",BM16=""),AND(CP16&gt;=CT$27,CP16&lt;&gt;"",CN16=""),AND(CS16&gt;=CT$27,CS16&lt;&gt;"",CN16=""),AND(DR16&gt;=DV$27,DR16&lt;&gt;""),AND(DU16&gt;=DV$27,DU16&lt;&gt;""),AND(ER16&gt;=EV$27,ER16&lt;&gt;""),AND(EU16&gt;=EV$27,EU16&lt;&gt;""),AND(FR16&gt;=FV$27,FR16&lt;&gt;""),AND(FU16&gt;=FV$27,FU16&lt;&gt;""),AND(GR16&gt;=GV$27,GR16&lt;&gt;""),AND(GU16&gt;=GV$27,GU16&lt;&gt;""),AND(HR16&gt;=HV$27,HR16&lt;&gt;""),AND(HU16&gt;=HV$27,HU16&lt;&gt;""),AND(IR16&gt;=IV$27,IR16&lt;&gt;""),AND(IU16&gt;=IV$27,IU16&lt;&gt;""),AND(JR16&gt;=JV$27,JR16&lt;&gt;""),AND(JU16&gt;=JV$27,JU16&lt;&gt;""),AND(KR16&gt;=KV$27,KR16&lt;&gt;""),AND(KU16&gt;=KV$27,KU16&lt;&gt;""),AND(LR16&gt;=LV$27,LR16&lt;&gt;""),AND(LU16&gt;=LV$27,LU16&lt;&gt;""),AND(MR16&gt;=MV$27,MR16&lt;&gt;""),AND(MU16&gt;=MV$27,MU16&lt;&gt;""),AND(NR16&gt;=NV$27,NR16&lt;&gt;""),AND(NU16&gt;=NV$27,NU16&lt;&gt;""),AND(OR16&gt;=OV$27,OR16&lt;&gt;""),AND(OU16&gt;=OV$27,OU16&lt;&gt;"")),"P","")</f>
        <v/>
      </c>
      <c r="H16" s="67" t="str">
        <f>IF(AND(G16="P",F16=""),"No DD",IF(OR(AND(AM16&gt;=AR$26,AN16&gt;=AR$30,AM16&lt;&gt;"",AL16=""),AND(AP16&gt;=AR$26,AQ16&gt;=AR$30,AP16&lt;&gt;"",AL16=""),AND(BN16&gt;=BS$26,BO16&gt;=BS$30,BN16&lt;&gt;"",BM16=""),AND(BQ16&gt;=BS$26,BR16&gt;=BS$30,BQ16&lt;&gt;"",BM16=""),AND(CO16&gt;=CT$26,CP16&gt;=CT$30,CO16&lt;&gt;"",CN16=""),AND(CR16&gt;=CT$26,CS16&gt;=CT$30,CR16&lt;&gt;""),AND(DQ16&gt;=DV$26,DR16&gt;=DV$30,DQ16&lt;&gt;""),AND(DT16&gt;=DV$26,DU16&gt;=DV$30,DT16&lt;&gt;""),AND(EQ16&gt;=EV$26,ER16&gt;=EV$30,EQ16&lt;&gt;""),AND(ET16&gt;=EV$26,EU16&gt;=EV$30,ET16&lt;&gt;""),AND(FQ16&gt;=FV$26,FR16&gt;=FV$30,FQ16&lt;&gt;""),AND(FT16&gt;=FV$26,FU16&gt;=FV$30,FT16&lt;&gt;""),AND(GQ16&gt;=GV$26,GR16&gt;=GV$30,GQ16&lt;&gt;""),AND(GT16&gt;=GV$26,GU16&gt;=GV$30,GT16&lt;&gt;""),AND(HQ16&gt;=HV$26,HR16&gt;=HV$30,HQ16&lt;&gt;""),AND(HT16&gt;=HV$26,HU16&gt;=HV$30,HT16&lt;&gt;""),AND(IQ16&gt;=IV$26,IR16&gt;=IV$30,IQ16&lt;&gt;""),AND(IT16&gt;=IV$26,IU16&gt;=IV$30,IT16&lt;&gt;""),AND(JQ16&gt;=JV$26,JR16&gt;=JV$30,JQ16&lt;&gt;""),AND(JT16&gt;=JV$26,JU16&gt;=JV$30,JT16&lt;&gt;""),AND(KQ16&gt;=KV$26,KR16&gt;=KV$30,KQ16&lt;&gt;""),AND(KT16&gt;=KV$26,KU16&gt;=KV$30,KT16&lt;&gt;""),AND(LQ16&gt;=LV$26,LR16&gt;=LV$30,LQ16&lt;&gt;""),AND(LT16&gt;=LV$26,LU16&gt;=LV$30,LT16&lt;&gt;""),AND(MQ16&gt;=MV$26,MR16&gt;=MV$30,MQ16&lt;&gt;""),AND(MT16&gt;=MV$26,MU16&gt;=MV$30,MT16&lt;&gt;""),AND(NQ16&gt;=NV$26,NR16&gt;=NV$30,NQ16&lt;&gt;""),AND(NT16&gt;=NV$26,NU16&gt;=NV$30,NT16&lt;&gt;""),AND(OQ16&gt;=OV$26,OR16&gt;=OV$30,OQ16&lt;&gt;""),AND(OT16&gt;=OV$26,OU16&gt;=OV$30,OT16&lt;&gt;"")),"Merit",IF(OR(AND(AM16&gt;=AR$25,AN16&gt;=AR$29,AM16&lt;&gt;"",AL16=""),AND(AP16&gt;=AR$25,AQ16&gt;=AR$29,AP16&lt;&gt;"",AL16=""),AND(BN16&gt;=BS$25,BO16&gt;=BS$29,BN16&lt;&gt;"",BM16=""),AND(BQ16&gt;=BS$25,BR16&gt;=BS$29,BQ16&lt;&gt;"",BM16=""),AND(CO16&gt;=CT$25,CP16&gt;=CT$29,CO16&lt;&gt;"",CN16=""),AND(CR16&gt;=CT$25,CS16&gt;=CT$29,CR16&lt;&gt;""),AND(DQ16&gt;=DV$25,DR16&gt;=DV$29,DQ16&lt;&gt;""),AND(DT16&gt;=DV$25,DU16&gt;=DV$29,DT16&lt;&gt;""),AND(EQ16&gt;=EV$25,ER16&gt;=EV$29,EQ16&lt;&gt;""),AND(ET16&gt;=EV$25,EU16&gt;=EV$29,ET16&lt;&gt;""),AND(FQ16&gt;=FV$25,FR16&gt;=FV$29,FQ16&lt;&gt;""),AND(FT16&gt;=FV$25,FU16&gt;=FV$29,FT16&lt;&gt;""),AND(GQ16&gt;=GV$25,GR16&gt;=GV$29,GQ16&lt;&gt;""),AND(GT16&gt;=GV$25,GU16&gt;=GV$29,GT16&lt;&gt;""),AND(HQ16&gt;=HV$25,HR16&gt;=HV$29,HQ16&lt;&gt;""),AND(HT16&gt;=HV$25,HU16&gt;=HV$29,HT16&lt;&gt;""),AND(IQ16&gt;=IV$25,IR16&gt;=IV$29,IQ16&lt;&gt;""),AND(IT16&gt;=IV$25,IU16&gt;=IV$29,IT16&lt;&gt;""),AND(JQ16&gt;=JV$25,JR16&gt;=JV$29,JQ16&lt;&gt;""),AND(JT16&gt;=JV$25,JU16&gt;=JV$29,JT16&lt;&gt;""),AND(KQ16&gt;=KV$25,KR16&gt;=KV$29,KQ16&lt;&gt;""),AND(KT16&gt;=KV$25,KU16&gt;=KV$29,KT16&lt;&gt;""),AND(LQ16&gt;=LV$25,LR16&gt;=LV$29,LQ16&lt;&gt;""),AND(LT16&gt;=LV$25,LU16&gt;=LV$29,LT16&lt;&gt;""),AND(MQ16&gt;=MV$25,MR16&gt;=MV$29,MQ16&lt;&gt;""),AND(MT16&gt;=MV$25,MU16&gt;=MV$29,MT16&lt;&gt;""),AND(NQ16&gt;=NV$25,NR16&gt;=NV$29,NQ16&lt;&gt;""),AND(NT16&gt;=NV$25,NU16&gt;=NV$29,NT16&lt;&gt;""),AND(OQ16&gt;=OV$25,OR16&gt;=OV$29,OQ16&lt;&gt;""),AND(OT16&gt;=OV$25,OU16&gt;=OV$29,OT16&lt;&gt;"")),"Excellence",IF(F16="P","National Team",""))))</f>
        <v/>
      </c>
      <c r="I16" s="14">
        <f>IF(COUNT(AN16,BO16,CP16)&gt;0,LARGE((AN16,BO16,CP16),1),0)</f>
        <v>38.999999999999993</v>
      </c>
      <c r="J16" s="14" t="str">
        <f>IF(I16=0,"",IF(I16=CP16,$BT$1,IF(I16=BO16,$AS$1,IF(I16=AN16,$R$1,""))))</f>
        <v>2022 Elite Canada</v>
      </c>
      <c r="K16" s="14">
        <f>IF(COUNT(AN16,BO16,CP16)&gt;1,LARGE((AN16,BO16,CP16),2),0)</f>
        <v>0</v>
      </c>
      <c r="L16" s="14" t="str">
        <f>IF(K16=0,"",IF(K16=CP16,$BT$1,IF(K16=BO16,$AS$1,IF(K16=AN16,$R$1,""))))</f>
        <v/>
      </c>
      <c r="M16" s="14">
        <f>IF(MAX(AQ16,BR16,CS16)&gt;0,MAX(AQ16,BR16,CS16),0)</f>
        <v>36.199999999999996</v>
      </c>
      <c r="N16" s="14" t="str">
        <f>IF(M16=0,"",IF(M16=CS16,$BT$1,IF(M16=BR16,$AS$1,IF(M16=AQ16,$R$1,""))))</f>
        <v>2022 Elite Canada</v>
      </c>
      <c r="O16" s="14" t="str">
        <f>IF(MAX(CU16:CV16)&gt;0,MAX(CU16:CV16),"")</f>
        <v/>
      </c>
      <c r="P16" s="20" t="str">
        <f>IF(O16="","",IF(O16=CU16,"("&amp;CU$2&amp;")",IF(O16=CV16,"("&amp;CV$2&amp;")")))</f>
        <v/>
      </c>
      <c r="Q16" s="14" t="str">
        <f>IF(O16="","",IF(O16=CU16,IF(O16+IF(K16="",0,K16)=OR16,$NW$1,IF(O16+IF(K16="",0,K16)=NR16,$MW$1,IF(O16+IF(K16="",0,K16)=MR16,$LW$1,IF(O16+IF(K16="",0,K16)=LR16,$KW$1,IF(O16+IF(K16="",0,K16)=KR16,$JW$1,IF(O16+IF(K16="",0,K16)=JR16,$IW$1,IF(O16+IF(K16="",0,K16)=IR16,$HW$1,IF(O16+IF(K16="",0,K16)=HR16,$GW$1,IF(O16+IF(K16="",0,K16)=GR16,$FW$1,IF(O16+IF(K16="",0,K16)=FR16,$EW$1,IF(O16+IF(K16="",0,K16)=ER16,$DW$1,IF(O16+IF(K16="",0,K16)=DR16,$CW$1)))))))))))),IF(O16=CV16,IF(O16+IF(M16="",0,M16)=OU16,$NW$1,IF(O16+IF(M16="",0,M16)=NU16,$MW$1,IF(O16+IF(M16="",0,M16)=MU16,$LW$1,IF(O16+IF(M16="",0,M16)=LU16,$KW$1,IF(O16+IF(M16="",0,M16)=KU16,$JW$1,IF(O16+IF(M16="",0,M16)=JU16,$IW$1,IF(O16+IF(M16="",0,M16)=IU16,$HW$1,IF(O16+IF(M16="",0,M16)=HU16,$GW$1,IF(O16+IF(M16="",0,M16)=GU16,$FW$1,IF(O16+IF(M16="",0,M16)=FU16,$EW$1,IF(O16+IF(M16="",0,M16)=EU16,$DW$1,IF(O16+IF(M16="",0,M16)=DU16,$CW$1)))))))))))))))</f>
        <v/>
      </c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45"/>
      <c r="AM16" s="79" t="str">
        <f>IF(SUM(S16,W16)&gt;0,SUM(S16,W16),"")</f>
        <v/>
      </c>
      <c r="AN16" s="79" t="str">
        <f>IF(SUM(R16:S16,U16:W16,Y16)-T16-X16&gt;0,SUM(R16:S16,U16:W16,Y16)-T16-X16,"")</f>
        <v/>
      </c>
      <c r="AO16" s="79" t="str">
        <f>IF(SUM(Z16:AA16,AC16)-AB16&gt;0,SUM(Z16:AA16,AC16)-AB16,"")</f>
        <v/>
      </c>
      <c r="AP16" s="79" t="str">
        <f>IF(SUM(AE16,AI16)&gt;0,SUM(AE16,AI16),"")</f>
        <v/>
      </c>
      <c r="AQ16" s="79" t="str">
        <f>IF(SUM(AD16:AE16,AG16:AI16,AK16)-SUM(AF16,AJ16)&gt;0,SUM(AD16:AE16,AG16:AI16,AK16)-SUM(AF16,AJ16),"")</f>
        <v/>
      </c>
      <c r="AR16" s="79" t="str">
        <f>IF(SUM(AN16,AQ16)&gt;0,SUM(AN16,AQ16),"")</f>
        <v/>
      </c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46"/>
      <c r="BN16" s="20" t="str">
        <f>IF(SUM(AT16,AX16)&gt;0,SUM(AT16,AX16),"")</f>
        <v/>
      </c>
      <c r="BO16" s="20" t="str">
        <f>IF(SUM(AS16:AT16,AV16:AX16,AZ16)-AU16-AY16&gt;0,SUM(AS16:AT16,AV16:AX16,AZ16)-AU16-AY16,"")</f>
        <v/>
      </c>
      <c r="BP16" s="20" t="str">
        <f>IF(SUM(BA16:BB16,BD16)-BC16&gt;0,SUM(BA16:BB16,BD16)-BC16,"")</f>
        <v/>
      </c>
      <c r="BQ16" s="20" t="str">
        <f>IF(SUM(BF16,BJ16)&gt;0,SUM(BF16,BJ16),"")</f>
        <v/>
      </c>
      <c r="BR16" s="20" t="str">
        <f>IF(SUM(BE16:BF16,BH16:BJ16,BL16)-SUM(BG16,BK16)&gt;0,SUM(BE16:BF16,BH16:BJ16,BL16)-SUM(BG16,BK16),"")</f>
        <v/>
      </c>
      <c r="BS16" s="20" t="str">
        <f>IF(SUM(BO16,BR16)&gt;0,SUM(BO16,BR16),"")</f>
        <v/>
      </c>
      <c r="BT16" s="27">
        <v>16.7</v>
      </c>
      <c r="BU16" s="27">
        <v>3.4</v>
      </c>
      <c r="BV16" s="27">
        <v>0</v>
      </c>
      <c r="BW16" s="27">
        <v>0</v>
      </c>
      <c r="BX16" s="27">
        <v>14.9</v>
      </c>
      <c r="BY16" s="27">
        <v>3.9</v>
      </c>
      <c r="BZ16" s="27">
        <v>0.2</v>
      </c>
      <c r="CA16" s="27">
        <v>0.3</v>
      </c>
      <c r="CB16" s="27"/>
      <c r="CC16" s="27"/>
      <c r="CD16" s="27"/>
      <c r="CE16" s="27"/>
      <c r="CF16" s="27">
        <v>15.1</v>
      </c>
      <c r="CG16" s="27">
        <v>3.2</v>
      </c>
      <c r="CH16" s="27">
        <v>0</v>
      </c>
      <c r="CI16" s="27">
        <v>0</v>
      </c>
      <c r="CJ16" s="27">
        <v>15.7</v>
      </c>
      <c r="CK16" s="27">
        <v>1.9</v>
      </c>
      <c r="CL16" s="27">
        <v>0</v>
      </c>
      <c r="CM16" s="27">
        <v>0.3</v>
      </c>
      <c r="CN16" s="45"/>
      <c r="CO16" s="79">
        <f>IF(SUM(BU16,BY16)&gt;0,SUM(BU16,BY16),"")</f>
        <v>7.3</v>
      </c>
      <c r="CP16" s="79">
        <f>IF(SUM(BT16:BU16,BW16:BY16,CA16)-BV16-BZ16&gt;0,SUM(BT16:BU16,BW16:BY16,CA16)-BV16-BZ16,"")</f>
        <v>38.999999999999993</v>
      </c>
      <c r="CQ16" s="79" t="str">
        <f>IF(SUM(CB16:CC16,CE16)-CD16&gt;0,SUM(CB16:CC16,CE16)-CD16,"")</f>
        <v/>
      </c>
      <c r="CR16" s="79">
        <f>IF(SUM(CG16,CK16)&gt;0,SUM(CG16,CK16),"")</f>
        <v>5.0999999999999996</v>
      </c>
      <c r="CS16" s="79">
        <f>IF(SUM(CF16:CG16,CI16:CK16,CM16)-SUM(CH16,CL16)&gt;0,SUM(CF16:CG16,CI16:CK16,CM16)-SUM(CH16,CL16),"")</f>
        <v>36.199999999999996</v>
      </c>
      <c r="CT16" s="79">
        <f>IF(SUM(CP16,CS16)&gt;0,SUM(CP16,CS16),"")</f>
        <v>75.199999999999989</v>
      </c>
      <c r="CU16" s="80" t="str">
        <f>IF(K16&gt;=0.001,IF(MAX(DR16,ER16,FR16,GR16,HR16,IR16,JR16,KR16,LR16,MR16,NR16,OR16)-IF(K16="",0,K16)&gt;0.001,MAX(DR16,ER16,FR16,GR16,HR16,IR16,JR16,KR16,LR16,MR16,NR16,OR16)-IF(K16="",0,K16),""),"")</f>
        <v/>
      </c>
      <c r="CV16" s="80" t="str">
        <f>IF(M16&gt;=0.001,IF(MAX(DU16,EU16,FU16,GU16,HU16,IU16,JU16,KU16,LU16,MU16,NU16,OU16)-IF(M16="",0,M16)&gt;0.001,MAX(DU16,EU16,FU16,GU16,HU16,IU16,JU16,KU16,LU16,MU16,NU16,OU16)-IF(M16="",0,M16),""),"")</f>
        <v/>
      </c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79" t="str">
        <f>IF(SUM(CX16,DB16)&gt;0,SUM(CX16,DB16),"")</f>
        <v/>
      </c>
      <c r="DR16" s="79" t="str">
        <f>IF(SUM(CW16:CX16,CZ16:DB16,DD16)-CY16-DC16&gt;0,SUM(CW16:CX16,CZ16:DB16,DD16)-CY16-DC16,"")</f>
        <v/>
      </c>
      <c r="DS16" s="79" t="str">
        <f>IF(SUM(DE16:DF16,DH16)-DG16&gt;0,SUM(DE16:DF16,DH16)-DG16,"")</f>
        <v/>
      </c>
      <c r="DT16" s="79" t="str">
        <f>IF(SUM(DJ16,DN16)&gt;0,SUM(DJ16,DN16),"")</f>
        <v/>
      </c>
      <c r="DU16" s="79" t="str">
        <f>IF(SUM(DI16:DJ16,DL16:DN16,DP16)-SUM(DK16,DO16)&gt;0,SUM(DI16:DJ16,DL16:DN16,DP16)-SUM(DK16,DO16),"")</f>
        <v/>
      </c>
      <c r="DV16" s="79" t="str">
        <f>IF(SUM(DR16,DU16)&gt;0,SUM(DR16,DU16),"")</f>
        <v/>
      </c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0" t="str">
        <f>IF(SUM(DX16,EB16)&gt;0,SUM(DX16,EB16),"")</f>
        <v/>
      </c>
      <c r="ER16" s="20" t="str">
        <f>IF(SUM(DW16:DX16,DZ16:EB16,ED16)-DY16-EC16&gt;0,SUM(DW16:DX16,DZ16:EB16,ED16)-DY16-EC16,"")</f>
        <v/>
      </c>
      <c r="ES16" s="20" t="str">
        <f>IF(SUM(EE16:EF16,EH16)-EG16&gt;0,SUM(EE16:EF16,EH16)-EG16,"")</f>
        <v/>
      </c>
      <c r="ET16" s="20" t="str">
        <f>IF(SUM(EJ16,EN16)&gt;0,SUM(EJ16,EN16),"")</f>
        <v/>
      </c>
      <c r="EU16" s="20" t="str">
        <f>IF(SUM(EI16:EJ16,EL16:EN16,EP16)-SUM(EK16,EO16)&gt;0,SUM(EI16:EJ16,EL16:EN16,EP16)-SUM(EK16,EO16),"")</f>
        <v/>
      </c>
      <c r="EV16" s="20" t="str">
        <f>IF(SUM(ER16,EU16)&gt;0,SUM(ER16,EU16),"")</f>
        <v/>
      </c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79" t="str">
        <f>IF(SUM(EX16,FB16)&gt;0,SUM(EX16,FB16),"")</f>
        <v/>
      </c>
      <c r="FR16" s="79" t="str">
        <f>IF(SUM(EW16:EX16,EZ16:FB16,FD16)-EY16-FC16&gt;0,SUM(EW16:EX16,EZ16:FB16,FD16)-EY16-FC16,"")</f>
        <v/>
      </c>
      <c r="FS16" s="79" t="str">
        <f>IF(SUM(FE16:FF16,FH16)-FG16&gt;0,SUM(FE16:FF16,FH16)-FG16,"")</f>
        <v/>
      </c>
      <c r="FT16" s="79" t="str">
        <f>IF(SUM(FJ16,FN16)&gt;0,SUM(FJ16,FN16),"")</f>
        <v/>
      </c>
      <c r="FU16" s="79" t="str">
        <f>IF(SUM(FI16:FJ16,FL16:FN16,FP16)-SUM(FK16,FO16)&gt;0,SUM(FI16:FJ16,FL16:FN16,FP16)-SUM(FK16,FO16),"")</f>
        <v/>
      </c>
      <c r="FV16" s="79" t="str">
        <f>IF(SUM(FR16,FU16)&gt;0,SUM(FR16,FU16),"")</f>
        <v/>
      </c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0" t="str">
        <f>IF(SUM(FX16,GB16)&gt;0,SUM(FX16,GB16),"")</f>
        <v/>
      </c>
      <c r="GR16" s="20" t="str">
        <f>IF(SUM(FW16:FX16,FZ16:GB16,GD16)-FY16-GC16&gt;0,SUM(FW16:FX16,FZ16:GB16,GD16)-FY16-GC16,"")</f>
        <v/>
      </c>
      <c r="GS16" s="20" t="str">
        <f>IF(SUM(GE16:GF16,GH16)-GG16&gt;0,SUM(GE16:GF16,GH16)-GG16,"")</f>
        <v/>
      </c>
      <c r="GT16" s="20" t="str">
        <f>IF(SUM(GJ16,GN16)&gt;0,SUM(GJ16,GN16),"")</f>
        <v/>
      </c>
      <c r="GU16" s="20" t="str">
        <f>IF(SUM(GI16:GJ16,GL16:GN16,GP16)-SUM(GK16,GO16)&gt;0,SUM(GI16:GJ16,GL16:GN16,GP16)-SUM(GK16,GO16),"")</f>
        <v/>
      </c>
      <c r="GV16" s="20" t="str">
        <f>IF(SUM(GR16,GU16)&gt;0,SUM(GR16,GU16),"")</f>
        <v/>
      </c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  <c r="HM16" s="25"/>
      <c r="HN16" s="25"/>
      <c r="HO16" s="25"/>
      <c r="HP16" s="25"/>
      <c r="HQ16" s="79" t="str">
        <f>IF(SUM(GX16,HB16)&gt;0,SUM(GX16,HB16),"")</f>
        <v/>
      </c>
      <c r="HR16" s="79" t="str">
        <f>IF(SUM(GW16:GX16,GZ16:HB16,HD16)-GY16-HC16&gt;0,SUM(GW16:GX16,GZ16:HB16,HD16)-GY16-HC16,"")</f>
        <v/>
      </c>
      <c r="HS16" s="79" t="str">
        <f>IF(SUM(HE16:HF16,HH16)-HG16&gt;0,SUM(HE16:HF16,HH16)-HG16,"")</f>
        <v/>
      </c>
      <c r="HT16" s="79" t="str">
        <f>IF(SUM(HJ16,HN16)&gt;0,SUM(HJ16,HN16),"")</f>
        <v/>
      </c>
      <c r="HU16" s="79" t="str">
        <f>IF(SUM(HI16:HJ16,HL16:HN16,HP16)-SUM(HK16,HO16)&gt;0,SUM(HI16:HJ16,HL16:HN16,HP16)-SUM(HK16,HO16),"")</f>
        <v/>
      </c>
      <c r="HV16" s="79" t="str">
        <f>IF(SUM(HR16,HU16)&gt;0,SUM(HR16,HU16),"")</f>
        <v/>
      </c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0" t="str">
        <f>IF(SUM(HX16,IB16)&gt;0,SUM(HX16,IB16),"")</f>
        <v/>
      </c>
      <c r="IR16" s="20" t="str">
        <f>IF(SUM(HW16:HX16,HZ16:IB16,ID16)-HY16-IC16&gt;0,SUM(HW16:HX16,HZ16:IB16,ID16)-HY16-IC16,"")</f>
        <v/>
      </c>
      <c r="IS16" s="20" t="str">
        <f>IF(SUM(IE16:IF16,IH16)-IG16&gt;0,SUM(IE16:IF16,IH16)-IG16,"")</f>
        <v/>
      </c>
      <c r="IT16" s="20" t="str">
        <f>IF(SUM(IJ16,IN16)&gt;0,SUM(IJ16,IN16),"")</f>
        <v/>
      </c>
      <c r="IU16" s="20" t="str">
        <f>IF(SUM(II16:IJ16,IL16:IN16,IP16)-SUM(IK16,IO16)&gt;0,SUM(II16:IJ16,IL16:IN16,IP16)-SUM(IK16,IO16),"")</f>
        <v/>
      </c>
      <c r="IV16" s="20" t="str">
        <f>IF(SUM(IR16,IU16)&gt;0,SUM(IR16,IU16),"")</f>
        <v/>
      </c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79" t="str">
        <f>IF(SUM(IX16,JB16)&gt;0,SUM(IX16,JB16),"")</f>
        <v/>
      </c>
      <c r="JR16" s="79" t="str">
        <f>IF(SUM(IW16:IX16,IZ16:JB16,JD16)-IY16-JC16&gt;0,SUM(IW16:IX16,IZ16:JB16,JD16)-IY16-JC16,"")</f>
        <v/>
      </c>
      <c r="JS16" s="79" t="str">
        <f>IF(SUM(JE16:JF16,JH16)-JG16&gt;0,SUM(JE16:JF16,JH16)-JG16,"")</f>
        <v/>
      </c>
      <c r="JT16" s="79" t="str">
        <f>IF(SUM(JJ16,JN16)&gt;0,SUM(JJ16,JN16),"")</f>
        <v/>
      </c>
      <c r="JU16" s="79" t="str">
        <f>IF(SUM(JI16:JJ16,JL16:JN16,JP16)-SUM(JK16,JO16)&gt;0,SUM(JI16:JJ16,JL16:JN16,JP16)-SUM(JK16,JO16),"")</f>
        <v/>
      </c>
      <c r="JV16" s="79" t="str">
        <f>IF(SUM(JR16,JU16)&gt;0,SUM(JR16,JU16),"")</f>
        <v/>
      </c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26"/>
      <c r="KM16" s="26"/>
      <c r="KN16" s="26"/>
      <c r="KO16" s="26"/>
      <c r="KP16" s="26"/>
      <c r="KQ16" s="20" t="str">
        <f>IF(SUM(JX16,KB16)&gt;0,SUM(JX16,KB16),"")</f>
        <v/>
      </c>
      <c r="KR16" s="20" t="str">
        <f>IF(SUM(JW16:JX16,JZ16:KB16,KD16)-JY16-KC16&gt;0,SUM(JW16:JX16,JZ16:KB16,KD16)-JY16-KC16,"")</f>
        <v/>
      </c>
      <c r="KS16" s="20" t="str">
        <f>IF(SUM(KE16:KF16,KH16)-KG16&gt;0,SUM(KE16:KF16,KH16)-KG16,"")</f>
        <v/>
      </c>
      <c r="KT16" s="20" t="str">
        <f>IF(SUM(KJ16,KN16)&gt;0,SUM(KJ16,KN16),"")</f>
        <v/>
      </c>
      <c r="KU16" s="20" t="str">
        <f>IF(SUM(KI16:KJ16,KL16:KN16,KP16)-SUM(KK16,KO16)&gt;0,SUM(KI16:KJ16,KL16:KN16,KP16)-SUM(KK16,KO16),"")</f>
        <v/>
      </c>
      <c r="KV16" s="20" t="str">
        <f>IF(SUM(KR16,KU16)&gt;0,SUM(KR16,KU16),"")</f>
        <v/>
      </c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79" t="str">
        <f>IF(SUM(KX16,LB16)&gt;0,SUM(KX16,LB16),"")</f>
        <v/>
      </c>
      <c r="LR16" s="79" t="str">
        <f>IF(SUM(KW16:KX16,KZ16:LB16,LD16)-KY16-LC16&gt;0,SUM(KW16:KX16,KZ16:LB16,LD16)-KY16-LC16,"")</f>
        <v/>
      </c>
      <c r="LS16" s="79" t="str">
        <f>IF(SUM(LE16:LF16,LH16)-LG16&gt;0,SUM(LE16:LF16,LH16)-LG16,"")</f>
        <v/>
      </c>
      <c r="LT16" s="79" t="str">
        <f>IF(SUM(LJ16,LN16)&gt;0,SUM(LJ16,LN16),"")</f>
        <v/>
      </c>
      <c r="LU16" s="79" t="str">
        <f>IF(SUM(LI16:LJ16,LL16:LN16,LP16)-SUM(LK16,LO16)&gt;0,SUM(LI16:LJ16,LL16:LN16,LP16)-SUM(LK16,LO16),"")</f>
        <v/>
      </c>
      <c r="LV16" s="79" t="str">
        <f>IF(SUM(LR16,LU16)&gt;0,SUM(LR16,LU16),"")</f>
        <v/>
      </c>
      <c r="LW16" s="26"/>
      <c r="LX16" s="26"/>
      <c r="LY16" s="26"/>
      <c r="LZ16" s="26"/>
      <c r="MA16" s="26"/>
      <c r="MB16" s="26"/>
      <c r="MC16" s="26"/>
      <c r="MD16" s="26"/>
      <c r="ME16" s="26"/>
      <c r="MF16" s="26"/>
      <c r="MG16" s="26"/>
      <c r="MH16" s="26"/>
      <c r="MI16" s="26"/>
      <c r="MJ16" s="26"/>
      <c r="MK16" s="26"/>
      <c r="ML16" s="26"/>
      <c r="MM16" s="26"/>
      <c r="MN16" s="26"/>
      <c r="MO16" s="26"/>
      <c r="MP16" s="26"/>
      <c r="MQ16" s="20" t="str">
        <f>IF(SUM(LX16,MB16)&gt;0,SUM(LX16,MB16),"")</f>
        <v/>
      </c>
      <c r="MR16" s="20" t="str">
        <f>IF(SUM(LW16:LX16,LZ16:MB16,MD16)-LY16-MC16&gt;0,SUM(LW16:LX16,LZ16:MB16,MD16)-LY16-MC16,"")</f>
        <v/>
      </c>
      <c r="MS16" s="20" t="str">
        <f>IF(SUM(ME16:MF16,MH16)-MG16&gt;0,SUM(ME16:MF16,MH16)-MG16,"")</f>
        <v/>
      </c>
      <c r="MT16" s="20" t="str">
        <f>IF(SUM(MJ16,MN16)&gt;0,SUM(MJ16,MN16),"")</f>
        <v/>
      </c>
      <c r="MU16" s="20" t="str">
        <f>IF(SUM(MI16:MJ16,ML16:MN16,MP16)-SUM(MK16,MO16)&gt;0,SUM(MI16:MJ16,ML16:MN16,MP16)-SUM(MK16,MO16),"")</f>
        <v/>
      </c>
      <c r="MV16" s="20" t="str">
        <f>IF(SUM(MR16,MU16)&gt;0,SUM(MR16,MU16),"")</f>
        <v/>
      </c>
      <c r="MW16" s="25"/>
      <c r="MX16" s="25"/>
      <c r="MY16" s="25"/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79" t="str">
        <f>IF(SUM(MX16,NB16)&gt;0,SUM(MX16,NB16),"")</f>
        <v/>
      </c>
      <c r="NR16" s="79" t="str">
        <f>IF(SUM(MW16:MX16,MZ16:NB16,ND16)-MY16-NC16&gt;0,SUM(MW16:MX16,MZ16:NB16,ND16)-MY16-NC16,"")</f>
        <v/>
      </c>
      <c r="NS16" s="79" t="str">
        <f>IF(SUM(NE16:NF16,NH16)-NG16&gt;0,SUM(NE16:NF16,NH16)-NG16,"")</f>
        <v/>
      </c>
      <c r="NT16" s="79" t="str">
        <f>IF(SUM(NJ16,NN16)&gt;0,SUM(NJ16,NN16),"")</f>
        <v/>
      </c>
      <c r="NU16" s="79" t="str">
        <f>IF(SUM(NI16:NJ16,NL16:NN16,NP16)-SUM(NK16,NO16)&gt;0,SUM(NI16:NJ16,NL16:NN16,NP16)-SUM(NK16,NO16),"")</f>
        <v/>
      </c>
      <c r="NV16" s="79" t="str">
        <f>IF(SUM(NR16,NU16)&gt;0,SUM(NR16,NU16),"")</f>
        <v/>
      </c>
      <c r="NW16" s="26"/>
      <c r="NX16" s="26"/>
      <c r="NY16" s="26"/>
      <c r="NZ16" s="26"/>
      <c r="OA16" s="26"/>
      <c r="OB16" s="26"/>
      <c r="OC16" s="26"/>
      <c r="OD16" s="26"/>
      <c r="OE16" s="26"/>
      <c r="OF16" s="26"/>
      <c r="OG16" s="26"/>
      <c r="OH16" s="26"/>
      <c r="OI16" s="26"/>
      <c r="OJ16" s="26"/>
      <c r="OK16" s="26"/>
      <c r="OL16" s="26"/>
      <c r="OM16" s="26"/>
      <c r="ON16" s="26"/>
      <c r="OO16" s="26"/>
      <c r="OP16" s="26"/>
      <c r="OQ16" s="20" t="str">
        <f>IF(SUM(NX16,OB16)&gt;0,SUM(NX16,OB16),"")</f>
        <v/>
      </c>
      <c r="OR16" s="20" t="str">
        <f>IF(SUM(NW16:NX16,NZ16:OB16,OD16)-NY16-OC16&gt;0,SUM(NW16:NX16,NZ16:OB16,OD16)-NY16-OC16,"")</f>
        <v/>
      </c>
      <c r="OS16" s="20" t="str">
        <f>IF(SUM(OE16:OF16,OH16)-OG16&gt;0,SUM(OE16:OF16,OH16)-OG16,"")</f>
        <v/>
      </c>
      <c r="OT16" s="20" t="str">
        <f>IF(SUM(OJ16,ON16)&gt;0,SUM(OJ16,ON16),"")</f>
        <v/>
      </c>
      <c r="OU16" s="20" t="str">
        <f>IF(SUM(OI16:OJ16,OL16:ON16,OP16)-SUM(OK16,OO16)&gt;0,SUM(OI16:OJ16,OL16:ON16,OP16)-SUM(OK16,OO16),"")</f>
        <v/>
      </c>
      <c r="OV16" s="20" t="str">
        <f>IF(SUM(OR16,OU16)&gt;0,SUM(OR16,OU16),"")</f>
        <v/>
      </c>
      <c r="OW16" s="38">
        <f>IF($CN16="P",BT16,(BT16+AS16)/2)</f>
        <v>8.35</v>
      </c>
      <c r="OX16" s="38">
        <f>IF($CN16="P",BU16,(BU16+AT16)/2)</f>
        <v>1.7</v>
      </c>
      <c r="OY16" s="38">
        <f>IF($CN16="P",BV16,(BV16+AU16)/2)</f>
        <v>0</v>
      </c>
      <c r="OZ16" s="38">
        <f>IF($CN16="P",BW16,(BW16+AV16)/2)</f>
        <v>0</v>
      </c>
      <c r="PA16" s="38">
        <f>IF($CN16="P",BX16,(BX16+AW16)/2)</f>
        <v>7.45</v>
      </c>
      <c r="PB16" s="38">
        <f>IF($CN16="P",BY16,(BY16+AX16)/2)</f>
        <v>1.95</v>
      </c>
      <c r="PC16" s="38">
        <f>IF($CN16="P",BZ16,(BZ16+AY16)/2)</f>
        <v>0.1</v>
      </c>
      <c r="PD16" s="38">
        <f>IF($CN16="P",CA16,(CA16+AZ16)/2)</f>
        <v>0.15</v>
      </c>
      <c r="PE16" s="38">
        <f>IF($CN16="P",CB16,(CB16+BA16)/2)</f>
        <v>0</v>
      </c>
      <c r="PF16" s="38">
        <f>IF($CN16="P",CC16,(CC16+BB16)/2)</f>
        <v>0</v>
      </c>
      <c r="PG16" s="38">
        <f>IF($CN16="P",CD16,(CD16+BC16)/2)</f>
        <v>0</v>
      </c>
      <c r="PH16" s="38">
        <f>IF($CN16="P",CE16,(CE16+BD16)/2)</f>
        <v>0</v>
      </c>
      <c r="PI16" s="38">
        <f>IF($CN16="P",CF16,(CF16+BE16)/2)</f>
        <v>7.55</v>
      </c>
      <c r="PJ16" s="38">
        <f>IF($CN16="P",CG16,(CG16+BF16)/2)</f>
        <v>1.6</v>
      </c>
      <c r="PK16" s="38">
        <f>IF($CN16="P",CH16,(CH16+BG16)/2)</f>
        <v>0</v>
      </c>
      <c r="PL16" s="38">
        <f>IF($CN16="P",CI16,(CI16+BH16)/2)</f>
        <v>0</v>
      </c>
      <c r="PM16" s="38">
        <f>IF($CN16="P",CJ16,(CJ16+BI16)/2)</f>
        <v>7.85</v>
      </c>
      <c r="PN16" s="38">
        <f>IF($CN16="P",CK16,(CK16+BJ16)/2)</f>
        <v>0.95</v>
      </c>
      <c r="PO16" s="38">
        <f>IF($CN16="P",CL16,(CL16+BK16)/2)</f>
        <v>0</v>
      </c>
      <c r="PP16" s="38">
        <f>IF($CN16="P",CM16,(CM16+BL16)/2)</f>
        <v>0.15</v>
      </c>
      <c r="PQ16" s="45" t="s">
        <v>46</v>
      </c>
      <c r="PR16" s="79">
        <f>IF(SUM(OX16,PB16)&gt;0,SUM(OX16,PB16),"")</f>
        <v>3.65</v>
      </c>
      <c r="PS16" s="79">
        <f>IF(SUM(OW16:OX16,OZ16:PB16,PD16)-OY16-PC16&gt;0,SUM(OW16:OX16,OZ16:PB16,PD16)-OY16-PC16,"")</f>
        <v>19.499999999999996</v>
      </c>
      <c r="PT16" s="79" t="str">
        <f>IF(SUM(PE16:PF16,PH16)-PG16&gt;0,SUM(PE16:PF16,PH16)-PG16,"")</f>
        <v/>
      </c>
      <c r="PU16" s="79">
        <f>IF(SUM(PJ16,PN16)&gt;0,SUM(PJ16,PN16),"")</f>
        <v>2.5499999999999998</v>
      </c>
      <c r="PV16" s="79">
        <f>IF(SUM(PI16:PJ16,PL16:PN16,PP16)-SUM(PK16,PO16)&gt;0,SUM(PI16:PJ16,PL16:PN16,PP16)-SUM(PK16,PO16),"")</f>
        <v>18.099999999999998</v>
      </c>
      <c r="PW16" s="79">
        <f>IF(SUM(PS16,PV16)&gt;0,SUM(PS16,PV16),"")</f>
        <v>37.599999999999994</v>
      </c>
    </row>
    <row r="17" spans="1:439" x14ac:dyDescent="0.2">
      <c r="A17" s="5" t="str">
        <f>IF(AND(F17="P",G17="P"),SUMPRODUCT((F$4:F$21="P")*(G$4:G$21="P")*(E$4:E$21&gt;E17))+1,IF(G17="P",SUMPRODUCT((F$4:F$21="")*(G$4:G$21="P")*(E$4:E$21&gt;E17))+1+SUMPRODUCT((F$4:F$21="P")*(G$4:G$21="P")),""))</f>
        <v/>
      </c>
      <c r="B17" s="78" t="s">
        <v>139</v>
      </c>
      <c r="C17" s="5" t="s">
        <v>3</v>
      </c>
      <c r="D17" s="5">
        <v>2004</v>
      </c>
      <c r="E17" s="15">
        <f>SUM(I17:O17)+SUM(I17:M17)*0.0000001+SUM(I17)*0.0000000000001</f>
        <v>37.100003710003705</v>
      </c>
      <c r="F17" s="3" t="str">
        <f>IF(OR(AND(AM17&gt;=AR$23,AN17&gt;=AR$27,AM17&lt;&gt;"",AL17=""),AND(AP17&gt;=AR$23,AQ17&gt;=AR$27,AP17&lt;&gt;"",AL17=""),AND(BN17&gt;=BS$23,BO17&gt;=BS$27,BN17&lt;&gt;"",BM17=""),AND(BQ17&gt;=BS$23,BR17&gt;=BS$27,BQ17&lt;&gt;"",BM17=""),AND(CO17&gt;=CT$23,CP17&gt;=CT$27,CO17&lt;&gt;"",CN17=""),AND(CR17&gt;=CT$23,CS17&gt;=CT$27,CR17&lt;&gt;""),AND(DQ17&gt;=DV$23,DR17&gt;=DV$27,DQ17&lt;&gt;""),AND(DT17&gt;=DV$23,DU17&gt;=DV$27,DT17&lt;&gt;""),AND(EQ17&gt;=EV$23,ER17&gt;=EV$27,EQ17&lt;&gt;""),AND(ET17&gt;=EV$23,EU17&gt;=EV$27,ET17&lt;&gt;""),AND(FQ17&gt;=FV$23,FR17&gt;=FV$27,FQ17&lt;&gt;""),AND(FT17&gt;=FV$23,FU17&gt;=FV$27,FT17&lt;&gt;""),AND(GQ17&gt;=GV$23,GR17&gt;=GV$27,GQ17&lt;&gt;""),AND(GT17&gt;=GV$23,GU17&gt;=GV$27,GT17&lt;&gt;""),AND(HQ17&gt;=HV$23,HR17&gt;=HV$27,HQ17&lt;&gt;""),AND(HT17&gt;=HV$23,HU17&gt;=HV$27,HT17&lt;&gt;""),AND(IQ17&gt;=IV$23,IR17&gt;=IV$27,IQ17&lt;&gt;""),AND(IT17&gt;=IV$23,IU17&gt;=IV$27,IT17&lt;&gt;""),AND(JQ17&gt;=JV$23,JR17&gt;=JV$27,JQ17&lt;&gt;""),AND(JT17&gt;=JV$23,JU17&gt;=JV$27,JT17&lt;&gt;""),AND(KQ17&gt;=KV$23,KR17&gt;=KV$27,KQ17&lt;&gt;""),AND(KT17&gt;=KV$23,KU17&gt;=KV$27,KT17&lt;&gt;""),AND(LQ17&gt;=LV$23,LR17&gt;=LV$27,LQ17&lt;&gt;""),AND(LT17&gt;=LV$23,LU17&gt;=LV$27,LT17&lt;&gt;""),AND(MQ17&gt;=MV$23,MR17&gt;=MV$27,MQ17&lt;&gt;""),AND(MT17&gt;=MV$23,MU17&gt;=MV$27,MT17&lt;&gt;""),AND(NQ17&gt;=NV$23,NR17&gt;=NV$27,NQ17&lt;&gt;""),AND(NT17&gt;=NV$23,NU17&gt;=NV$27,NT17&lt;&gt;""),AND(OQ17&gt;=OV$23,OR17&gt;=OV$27,OQ17&lt;&gt;""),AND(OT17&gt;=OV$23,OU17&gt;=OV$27,OT17&lt;&gt;"")),"P","")</f>
        <v/>
      </c>
      <c r="G17" s="3" t="str">
        <f>IF(OR(AND(AN17&gt;=AR$27,AN17&lt;&gt;"",AL17=""),AND(AQ17&gt;=AR$27,AQ17&lt;&gt;"",AL17=""),AND(BO17&gt;=BS$27,BO17&lt;&gt;"",BM17=""),AND(BR17&gt;=BS$27,BR17&lt;&gt;"",BM17=""),AND(CP17&gt;=CT$27,CP17&lt;&gt;"",CN17=""),AND(CS17&gt;=CT$27,CS17&lt;&gt;"",CN17=""),AND(DR17&gt;=DV$27,DR17&lt;&gt;""),AND(DU17&gt;=DV$27,DU17&lt;&gt;""),AND(ER17&gt;=EV$27,ER17&lt;&gt;""),AND(EU17&gt;=EV$27,EU17&lt;&gt;""),AND(FR17&gt;=FV$27,FR17&lt;&gt;""),AND(FU17&gt;=FV$27,FU17&lt;&gt;""),AND(GR17&gt;=GV$27,GR17&lt;&gt;""),AND(GU17&gt;=GV$27,GU17&lt;&gt;""),AND(HR17&gt;=HV$27,HR17&lt;&gt;""),AND(HU17&gt;=HV$27,HU17&lt;&gt;""),AND(IR17&gt;=IV$27,IR17&lt;&gt;""),AND(IU17&gt;=IV$27,IU17&lt;&gt;""),AND(JR17&gt;=JV$27,JR17&lt;&gt;""),AND(JU17&gt;=JV$27,JU17&lt;&gt;""),AND(KR17&gt;=KV$27,KR17&lt;&gt;""),AND(KU17&gt;=KV$27,KU17&lt;&gt;""),AND(LR17&gt;=LV$27,LR17&lt;&gt;""),AND(LU17&gt;=LV$27,LU17&lt;&gt;""),AND(MR17&gt;=MV$27,MR17&lt;&gt;""),AND(MU17&gt;=MV$27,MU17&lt;&gt;""),AND(NR17&gt;=NV$27,NR17&lt;&gt;""),AND(NU17&gt;=NV$27,NU17&lt;&gt;""),AND(OR17&gt;=OV$27,OR17&lt;&gt;""),AND(OU17&gt;=OV$27,OU17&lt;&gt;"")),"P","")</f>
        <v/>
      </c>
      <c r="H17" s="67" t="str">
        <f>IF(AND(G17="P",F17=""),"No DD",IF(OR(AND(AM17&gt;=AR$26,AN17&gt;=AR$30,AM17&lt;&gt;"",AL17=""),AND(AP17&gt;=AR$26,AQ17&gt;=AR$30,AP17&lt;&gt;"",AL17=""),AND(BN17&gt;=BS$26,BO17&gt;=BS$30,BN17&lt;&gt;"",BM17=""),AND(BQ17&gt;=BS$26,BR17&gt;=BS$30,BQ17&lt;&gt;"",BM17=""),AND(CO17&gt;=CT$26,CP17&gt;=CT$30,CO17&lt;&gt;"",CN17=""),AND(CR17&gt;=CT$26,CS17&gt;=CT$30,CR17&lt;&gt;""),AND(DQ17&gt;=DV$26,DR17&gt;=DV$30,DQ17&lt;&gt;""),AND(DT17&gt;=DV$26,DU17&gt;=DV$30,DT17&lt;&gt;""),AND(EQ17&gt;=EV$26,ER17&gt;=EV$30,EQ17&lt;&gt;""),AND(ET17&gt;=EV$26,EU17&gt;=EV$30,ET17&lt;&gt;""),AND(FQ17&gt;=FV$26,FR17&gt;=FV$30,FQ17&lt;&gt;""),AND(FT17&gt;=FV$26,FU17&gt;=FV$30,FT17&lt;&gt;""),AND(GQ17&gt;=GV$26,GR17&gt;=GV$30,GQ17&lt;&gt;""),AND(GT17&gt;=GV$26,GU17&gt;=GV$30,GT17&lt;&gt;""),AND(HQ17&gt;=HV$26,HR17&gt;=HV$30,HQ17&lt;&gt;""),AND(HT17&gt;=HV$26,HU17&gt;=HV$30,HT17&lt;&gt;""),AND(IQ17&gt;=IV$26,IR17&gt;=IV$30,IQ17&lt;&gt;""),AND(IT17&gt;=IV$26,IU17&gt;=IV$30,IT17&lt;&gt;""),AND(JQ17&gt;=JV$26,JR17&gt;=JV$30,JQ17&lt;&gt;""),AND(JT17&gt;=JV$26,JU17&gt;=JV$30,JT17&lt;&gt;""),AND(KQ17&gt;=KV$26,KR17&gt;=KV$30,KQ17&lt;&gt;""),AND(KT17&gt;=KV$26,KU17&gt;=KV$30,KT17&lt;&gt;""),AND(LQ17&gt;=LV$26,LR17&gt;=LV$30,LQ17&lt;&gt;""),AND(LT17&gt;=LV$26,LU17&gt;=LV$30,LT17&lt;&gt;""),AND(MQ17&gt;=MV$26,MR17&gt;=MV$30,MQ17&lt;&gt;""),AND(MT17&gt;=MV$26,MU17&gt;=MV$30,MT17&lt;&gt;""),AND(NQ17&gt;=NV$26,NR17&gt;=NV$30,NQ17&lt;&gt;""),AND(NT17&gt;=NV$26,NU17&gt;=NV$30,NT17&lt;&gt;""),AND(OQ17&gt;=OV$26,OR17&gt;=OV$30,OQ17&lt;&gt;""),AND(OT17&gt;=OV$26,OU17&gt;=OV$30,OT17&lt;&gt;"")),"Merit",IF(OR(AND(AM17&gt;=AR$25,AN17&gt;=AR$29,AM17&lt;&gt;"",AL17=""),AND(AP17&gt;=AR$25,AQ17&gt;=AR$29,AP17&lt;&gt;"",AL17=""),AND(BN17&gt;=BS$25,BO17&gt;=BS$29,BN17&lt;&gt;"",BM17=""),AND(BQ17&gt;=BS$25,BR17&gt;=BS$29,BQ17&lt;&gt;"",BM17=""),AND(CO17&gt;=CT$25,CP17&gt;=CT$29,CO17&lt;&gt;"",CN17=""),AND(CR17&gt;=CT$25,CS17&gt;=CT$29,CR17&lt;&gt;""),AND(DQ17&gt;=DV$25,DR17&gt;=DV$29,DQ17&lt;&gt;""),AND(DT17&gt;=DV$25,DU17&gt;=DV$29,DT17&lt;&gt;""),AND(EQ17&gt;=EV$25,ER17&gt;=EV$29,EQ17&lt;&gt;""),AND(ET17&gt;=EV$25,EU17&gt;=EV$29,ET17&lt;&gt;""),AND(FQ17&gt;=FV$25,FR17&gt;=FV$29,FQ17&lt;&gt;""),AND(FT17&gt;=FV$25,FU17&gt;=FV$29,FT17&lt;&gt;""),AND(GQ17&gt;=GV$25,GR17&gt;=GV$29,GQ17&lt;&gt;""),AND(GT17&gt;=GV$25,GU17&gt;=GV$29,GT17&lt;&gt;""),AND(HQ17&gt;=HV$25,HR17&gt;=HV$29,HQ17&lt;&gt;""),AND(HT17&gt;=HV$25,HU17&gt;=HV$29,HT17&lt;&gt;""),AND(IQ17&gt;=IV$25,IR17&gt;=IV$29,IQ17&lt;&gt;""),AND(IT17&gt;=IV$25,IU17&gt;=IV$29,IT17&lt;&gt;""),AND(JQ17&gt;=JV$25,JR17&gt;=JV$29,JQ17&lt;&gt;""),AND(JT17&gt;=JV$25,JU17&gt;=JV$29,JT17&lt;&gt;""),AND(KQ17&gt;=KV$25,KR17&gt;=KV$29,KQ17&lt;&gt;""),AND(KT17&gt;=KV$25,KU17&gt;=KV$29,KT17&lt;&gt;""),AND(LQ17&gt;=LV$25,LR17&gt;=LV$29,LQ17&lt;&gt;""),AND(LT17&gt;=LV$25,LU17&gt;=LV$29,LT17&lt;&gt;""),AND(MQ17&gt;=MV$25,MR17&gt;=MV$29,MQ17&lt;&gt;""),AND(MT17&gt;=MV$25,MU17&gt;=MV$29,MT17&lt;&gt;""),AND(NQ17&gt;=NV$25,NR17&gt;=NV$29,NQ17&lt;&gt;""),AND(NT17&gt;=NV$25,NU17&gt;=NV$29,NT17&lt;&gt;""),AND(OQ17&gt;=OV$25,OR17&gt;=OV$29,OQ17&lt;&gt;""),AND(OT17&gt;=OV$25,OU17&gt;=OV$29,OT17&lt;&gt;"")),"Excellence",IF(F17="P","National Team",""))))</f>
        <v/>
      </c>
      <c r="I17" s="14">
        <f>IF(COUNT(AN17,BO17,CP17)&gt;0,LARGE((AN17,BO17,CP17),1),0)</f>
        <v>37.099999999999994</v>
      </c>
      <c r="J17" s="14" t="str">
        <f>IF(I17=0,"",IF(I17=CP17,$BT$1,IF(I17=BO17,$AS$1,IF(I17=AN17,$R$1,""))))</f>
        <v>2022 Elite Canada</v>
      </c>
      <c r="K17" s="14">
        <f>IF(COUNT(AN17,BO17,CP17)&gt;1,LARGE((AN17,BO17,CP17),2),0)</f>
        <v>0</v>
      </c>
      <c r="L17" s="14" t="str">
        <f>IF(K17=0,"",IF(K17=CP17,$BT$1,IF(K17=BO17,$AS$1,IF(K17=AN17,$R$1,""))))</f>
        <v/>
      </c>
      <c r="M17" s="14">
        <f>IF(MAX(AQ17,BR17,CS17)&gt;0,MAX(AQ17,BR17,CS17),0)</f>
        <v>0</v>
      </c>
      <c r="N17" s="14" t="str">
        <f>IF(M17=0,"",IF(M17=CS17,$BT$1,IF(M17=BR17,$AS$1,IF(M17=AQ17,$R$1,""))))</f>
        <v/>
      </c>
      <c r="O17" s="14" t="str">
        <f>IF(MAX(CU17:CV17)&gt;0,MAX(CU17:CV17),"")</f>
        <v/>
      </c>
      <c r="P17" s="20" t="str">
        <f>IF(O17="","",IF(O17=CU17,"("&amp;CU$2&amp;")",IF(O17=CV17,"("&amp;CV$2&amp;")")))</f>
        <v/>
      </c>
      <c r="Q17" s="14" t="str">
        <f>IF(O17="","",IF(O17=CU17,IF(O17+IF(K17="",0,K17)=OR17,$NW$1,IF(O17+IF(K17="",0,K17)=NR17,$MW$1,IF(O17+IF(K17="",0,K17)=MR17,$LW$1,IF(O17+IF(K17="",0,K17)=LR17,$KW$1,IF(O17+IF(K17="",0,K17)=KR17,$JW$1,IF(O17+IF(K17="",0,K17)=JR17,$IW$1,IF(O17+IF(K17="",0,K17)=IR17,$HW$1,IF(O17+IF(K17="",0,K17)=HR17,$GW$1,IF(O17+IF(K17="",0,K17)=GR17,$FW$1,IF(O17+IF(K17="",0,K17)=FR17,$EW$1,IF(O17+IF(K17="",0,K17)=ER17,$DW$1,IF(O17+IF(K17="",0,K17)=DR17,$CW$1)))))))))))),IF(O17=CV17,IF(O17+IF(M17="",0,M17)=OU17,$NW$1,IF(O17+IF(M17="",0,M17)=NU17,$MW$1,IF(O17+IF(M17="",0,M17)=MU17,$LW$1,IF(O17+IF(M17="",0,M17)=LU17,$KW$1,IF(O17+IF(M17="",0,M17)=KU17,$JW$1,IF(O17+IF(M17="",0,M17)=JU17,$IW$1,IF(O17+IF(M17="",0,M17)=IU17,$HW$1,IF(O17+IF(M17="",0,M17)=HU17,$GW$1,IF(O17+IF(M17="",0,M17)=GU17,$FW$1,IF(O17+IF(M17="",0,M17)=FU17,$EW$1,IF(O17+IF(M17="",0,M17)=EU17,$DW$1,IF(O17+IF(M17="",0,M17)=DU17,$CW$1)))))))))))))))</f>
        <v/>
      </c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45"/>
      <c r="AM17" s="79" t="str">
        <f>IF(SUM(S17,W17)&gt;0,SUM(S17,W17),"")</f>
        <v/>
      </c>
      <c r="AN17" s="79" t="str">
        <f>IF(SUM(R17:S17,U17:W17,Y17)-T17-X17&gt;0,SUM(R17:S17,U17:W17,Y17)-T17-X17,"")</f>
        <v/>
      </c>
      <c r="AO17" s="79" t="str">
        <f>IF(SUM(Z17:AA17,AC17)-AB17&gt;0,SUM(Z17:AA17,AC17)-AB17,"")</f>
        <v/>
      </c>
      <c r="AP17" s="79" t="str">
        <f>IF(SUM(AE17,AI17)&gt;0,SUM(AE17,AI17),"")</f>
        <v/>
      </c>
      <c r="AQ17" s="79" t="str">
        <f>IF(SUM(AD17:AE17,AG17:AI17,AK17)-SUM(AF17,AJ17)&gt;0,SUM(AD17:AE17,AG17:AI17,AK17)-SUM(AF17,AJ17),"")</f>
        <v/>
      </c>
      <c r="AR17" s="79" t="str">
        <f>IF(SUM(AN17,AQ17)&gt;0,SUM(AN17,AQ17),"")</f>
        <v/>
      </c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46"/>
      <c r="BN17" s="20" t="str">
        <f>IF(SUM(AT17,AX17)&gt;0,SUM(AT17,AX17),"")</f>
        <v/>
      </c>
      <c r="BO17" s="20" t="str">
        <f>IF(SUM(AS17:AT17,AV17:AX17,AZ17)-AU17-AY17&gt;0,SUM(AS17:AT17,AV17:AX17,AZ17)-AU17-AY17,"")</f>
        <v/>
      </c>
      <c r="BP17" s="20" t="str">
        <f>IF(SUM(BA17:BB17,BD17)-BC17&gt;0,SUM(BA17:BB17,BD17)-BC17,"")</f>
        <v/>
      </c>
      <c r="BQ17" s="20" t="str">
        <f>IF(SUM(BF17,BJ17)&gt;0,SUM(BF17,BJ17),"")</f>
        <v/>
      </c>
      <c r="BR17" s="20" t="str">
        <f>IF(SUM(BE17:BF17,BH17:BJ17,BL17)-SUM(BG17,BK17)&gt;0,SUM(BE17:BF17,BH17:BJ17,BL17)-SUM(BG17,BK17),"")</f>
        <v/>
      </c>
      <c r="BS17" s="20" t="str">
        <f>IF(SUM(BO17,BR17)&gt;0,SUM(BO17,BR17),"")</f>
        <v/>
      </c>
      <c r="BT17" s="27">
        <v>15.8</v>
      </c>
      <c r="BU17" s="27">
        <v>3.2</v>
      </c>
      <c r="BV17" s="27">
        <v>0.2</v>
      </c>
      <c r="BW17" s="27">
        <v>0</v>
      </c>
      <c r="BX17" s="27">
        <v>15</v>
      </c>
      <c r="BY17" s="27">
        <v>3.2</v>
      </c>
      <c r="BZ17" s="27">
        <v>0.2</v>
      </c>
      <c r="CA17" s="27">
        <v>0.3</v>
      </c>
      <c r="CB17" s="27"/>
      <c r="CC17" s="27"/>
      <c r="CD17" s="27"/>
      <c r="CE17" s="27"/>
      <c r="CF17" s="27">
        <v>0</v>
      </c>
      <c r="CG17" s="27">
        <v>0</v>
      </c>
      <c r="CH17" s="27">
        <v>0</v>
      </c>
      <c r="CI17" s="27">
        <v>0</v>
      </c>
      <c r="CJ17" s="27">
        <v>0</v>
      </c>
      <c r="CK17" s="27">
        <v>0</v>
      </c>
      <c r="CL17" s="27">
        <v>0</v>
      </c>
      <c r="CM17" s="27">
        <v>0</v>
      </c>
      <c r="CN17" s="45"/>
      <c r="CO17" s="79">
        <f>IF(SUM(BU17,BY17)&gt;0,SUM(BU17,BY17),"")</f>
        <v>6.4</v>
      </c>
      <c r="CP17" s="79">
        <f>IF(SUM(BT17:BU17,BW17:BY17,CA17)-BV17-BZ17&gt;0,SUM(BT17:BU17,BW17:BY17,CA17)-BV17-BZ17,"")</f>
        <v>37.099999999999994</v>
      </c>
      <c r="CQ17" s="79" t="str">
        <f>IF(SUM(CB17:CC17,CE17)-CD17&gt;0,SUM(CB17:CC17,CE17)-CD17,"")</f>
        <v/>
      </c>
      <c r="CR17" s="79" t="str">
        <f>IF(SUM(CG17,CK17)&gt;0,SUM(CG17,CK17),"")</f>
        <v/>
      </c>
      <c r="CS17" s="79" t="str">
        <f>IF(SUM(CF17:CG17,CI17:CK17,CM17)-SUM(CH17,CL17)&gt;0,SUM(CF17:CG17,CI17:CK17,CM17)-SUM(CH17,CL17),"")</f>
        <v/>
      </c>
      <c r="CT17" s="79">
        <f>IF(SUM(CP17,CS17)&gt;0,SUM(CP17,CS17),"")</f>
        <v>37.099999999999994</v>
      </c>
      <c r="CU17" s="80" t="str">
        <f>IF(K17&gt;=0.001,IF(MAX(DR17,ER17,FR17,GR17,HR17,IR17,JR17,KR17,LR17,MR17,NR17,OR17)-IF(K17="",0,K17)&gt;0.001,MAX(DR17,ER17,FR17,GR17,HR17,IR17,JR17,KR17,LR17,MR17,NR17,OR17)-IF(K17="",0,K17),""),"")</f>
        <v/>
      </c>
      <c r="CV17" s="80" t="str">
        <f>IF(M17&gt;=0.001,IF(MAX(DU17,EU17,FU17,GU17,HU17,IU17,JU17,KU17,LU17,MU17,NU17,OU17)-IF(M17="",0,M17)&gt;0.001,MAX(DU17,EU17,FU17,GU17,HU17,IU17,JU17,KU17,LU17,MU17,NU17,OU17)-IF(M17="",0,M17),""),"")</f>
        <v/>
      </c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79" t="str">
        <f>IF(SUM(CX17,DB17)&gt;0,SUM(CX17,DB17),"")</f>
        <v/>
      </c>
      <c r="DR17" s="79" t="str">
        <f>IF(SUM(CW17:CX17,CZ17:DB17,DD17)-CY17-DC17&gt;0,SUM(CW17:CX17,CZ17:DB17,DD17)-CY17-DC17,"")</f>
        <v/>
      </c>
      <c r="DS17" s="79" t="str">
        <f>IF(SUM(DE17:DF17,DH17)-DG17&gt;0,SUM(DE17:DF17,DH17)-DG17,"")</f>
        <v/>
      </c>
      <c r="DT17" s="79" t="str">
        <f>IF(SUM(DJ17,DN17)&gt;0,SUM(DJ17,DN17),"")</f>
        <v/>
      </c>
      <c r="DU17" s="79" t="str">
        <f>IF(SUM(DI17:DJ17,DL17:DN17,DP17)-SUM(DK17,DO17)&gt;0,SUM(DI17:DJ17,DL17:DN17,DP17)-SUM(DK17,DO17),"")</f>
        <v/>
      </c>
      <c r="DV17" s="79" t="str">
        <f>IF(SUM(DR17,DU17)&gt;0,SUM(DR17,DU17),"")</f>
        <v/>
      </c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0" t="str">
        <f>IF(SUM(DX17,EB17)&gt;0,SUM(DX17,EB17),"")</f>
        <v/>
      </c>
      <c r="ER17" s="20" t="str">
        <f>IF(SUM(DW17:DX17,DZ17:EB17,ED17)-DY17-EC17&gt;0,SUM(DW17:DX17,DZ17:EB17,ED17)-DY17-EC17,"")</f>
        <v/>
      </c>
      <c r="ES17" s="20" t="str">
        <f>IF(SUM(EE17:EF17,EH17)-EG17&gt;0,SUM(EE17:EF17,EH17)-EG17,"")</f>
        <v/>
      </c>
      <c r="ET17" s="20" t="str">
        <f>IF(SUM(EJ17,EN17)&gt;0,SUM(EJ17,EN17),"")</f>
        <v/>
      </c>
      <c r="EU17" s="20" t="str">
        <f>IF(SUM(EI17:EJ17,EL17:EN17,EP17)-SUM(EK17,EO17)&gt;0,SUM(EI17:EJ17,EL17:EN17,EP17)-SUM(EK17,EO17),"")</f>
        <v/>
      </c>
      <c r="EV17" s="20" t="str">
        <f>IF(SUM(ER17,EU17)&gt;0,SUM(ER17,EU17),"")</f>
        <v/>
      </c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79" t="str">
        <f>IF(SUM(EX17,FB17)&gt;0,SUM(EX17,FB17),"")</f>
        <v/>
      </c>
      <c r="FR17" s="79" t="str">
        <f>IF(SUM(EW17:EX17,EZ17:FB17,FD17)-EY17-FC17&gt;0,SUM(EW17:EX17,EZ17:FB17,FD17)-EY17-FC17,"")</f>
        <v/>
      </c>
      <c r="FS17" s="79" t="str">
        <f>IF(SUM(FE17:FF17,FH17)-FG17&gt;0,SUM(FE17:FF17,FH17)-FG17,"")</f>
        <v/>
      </c>
      <c r="FT17" s="79" t="str">
        <f>IF(SUM(FJ17,FN17)&gt;0,SUM(FJ17,FN17),"")</f>
        <v/>
      </c>
      <c r="FU17" s="79" t="str">
        <f>IF(SUM(FI17:FJ17,FL17:FN17,FP17)-SUM(FK17,FO17)&gt;0,SUM(FI17:FJ17,FL17:FN17,FP17)-SUM(FK17,FO17),"")</f>
        <v/>
      </c>
      <c r="FV17" s="79" t="str">
        <f>IF(SUM(FR17,FU17)&gt;0,SUM(FR17,FU17),"")</f>
        <v/>
      </c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0" t="str">
        <f>IF(SUM(FX17,GB17)&gt;0,SUM(FX17,GB17),"")</f>
        <v/>
      </c>
      <c r="GR17" s="20" t="str">
        <f>IF(SUM(FW17:FX17,FZ17:GB17,GD17)-FY17-GC17&gt;0,SUM(FW17:FX17,FZ17:GB17,GD17)-FY17-GC17,"")</f>
        <v/>
      </c>
      <c r="GS17" s="20" t="str">
        <f>IF(SUM(GE17:GF17,GH17)-GG17&gt;0,SUM(GE17:GF17,GH17)-GG17,"")</f>
        <v/>
      </c>
      <c r="GT17" s="20" t="str">
        <f>IF(SUM(GJ17,GN17)&gt;0,SUM(GJ17,GN17),"")</f>
        <v/>
      </c>
      <c r="GU17" s="20" t="str">
        <f>IF(SUM(GI17:GJ17,GL17:GN17,GP17)-SUM(GK17,GO17)&gt;0,SUM(GI17:GJ17,GL17:GN17,GP17)-SUM(GK17,GO17),"")</f>
        <v/>
      </c>
      <c r="GV17" s="20" t="str">
        <f>IF(SUM(GR17,GU17)&gt;0,SUM(GR17,GU17),"")</f>
        <v/>
      </c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  <c r="HM17" s="25"/>
      <c r="HN17" s="25"/>
      <c r="HO17" s="25"/>
      <c r="HP17" s="25"/>
      <c r="HQ17" s="79" t="str">
        <f>IF(SUM(GX17,HB17)&gt;0,SUM(GX17,HB17),"")</f>
        <v/>
      </c>
      <c r="HR17" s="79" t="str">
        <f>IF(SUM(GW17:GX17,GZ17:HB17,HD17)-GY17-HC17&gt;0,SUM(GW17:GX17,GZ17:HB17,HD17)-GY17-HC17,"")</f>
        <v/>
      </c>
      <c r="HS17" s="79" t="str">
        <f>IF(SUM(HE17:HF17,HH17)-HG17&gt;0,SUM(HE17:HF17,HH17)-HG17,"")</f>
        <v/>
      </c>
      <c r="HT17" s="79" t="str">
        <f>IF(SUM(HJ17,HN17)&gt;0,SUM(HJ17,HN17),"")</f>
        <v/>
      </c>
      <c r="HU17" s="79" t="str">
        <f>IF(SUM(HI17:HJ17,HL17:HN17,HP17)-SUM(HK17,HO17)&gt;0,SUM(HI17:HJ17,HL17:HN17,HP17)-SUM(HK17,HO17),"")</f>
        <v/>
      </c>
      <c r="HV17" s="79" t="str">
        <f>IF(SUM(HR17,HU17)&gt;0,SUM(HR17,HU17),"")</f>
        <v/>
      </c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0" t="str">
        <f>IF(SUM(HX17,IB17)&gt;0,SUM(HX17,IB17),"")</f>
        <v/>
      </c>
      <c r="IR17" s="20" t="str">
        <f>IF(SUM(HW17:HX17,HZ17:IB17,ID17)-HY17-IC17&gt;0,SUM(HW17:HX17,HZ17:IB17,ID17)-HY17-IC17,"")</f>
        <v/>
      </c>
      <c r="IS17" s="20" t="str">
        <f>IF(SUM(IE17:IF17,IH17)-IG17&gt;0,SUM(IE17:IF17,IH17)-IG17,"")</f>
        <v/>
      </c>
      <c r="IT17" s="20" t="str">
        <f>IF(SUM(IJ17,IN17)&gt;0,SUM(IJ17,IN17),"")</f>
        <v/>
      </c>
      <c r="IU17" s="20" t="str">
        <f>IF(SUM(II17:IJ17,IL17:IN17,IP17)-SUM(IK17,IO17)&gt;0,SUM(II17:IJ17,IL17:IN17,IP17)-SUM(IK17,IO17),"")</f>
        <v/>
      </c>
      <c r="IV17" s="20" t="str">
        <f>IF(SUM(IR17,IU17)&gt;0,SUM(IR17,IU17),"")</f>
        <v/>
      </c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79" t="str">
        <f>IF(SUM(IX17,JB17)&gt;0,SUM(IX17,JB17),"")</f>
        <v/>
      </c>
      <c r="JR17" s="79" t="str">
        <f>IF(SUM(IW17:IX17,IZ17:JB17,JD17)-IY17-JC17&gt;0,SUM(IW17:IX17,IZ17:JB17,JD17)-IY17-JC17,"")</f>
        <v/>
      </c>
      <c r="JS17" s="79" t="str">
        <f>IF(SUM(JE17:JF17,JH17)-JG17&gt;0,SUM(JE17:JF17,JH17)-JG17,"")</f>
        <v/>
      </c>
      <c r="JT17" s="79" t="str">
        <f>IF(SUM(JJ17,JN17)&gt;0,SUM(JJ17,JN17),"")</f>
        <v/>
      </c>
      <c r="JU17" s="79" t="str">
        <f>IF(SUM(JI17:JJ17,JL17:JN17,JP17)-SUM(JK17,JO17)&gt;0,SUM(JI17:JJ17,JL17:JN17,JP17)-SUM(JK17,JO17),"")</f>
        <v/>
      </c>
      <c r="JV17" s="79" t="str">
        <f>IF(SUM(JR17,JU17)&gt;0,SUM(JR17,JU17),"")</f>
        <v/>
      </c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26"/>
      <c r="KM17" s="26"/>
      <c r="KN17" s="26"/>
      <c r="KO17" s="26"/>
      <c r="KP17" s="26"/>
      <c r="KQ17" s="20" t="str">
        <f>IF(SUM(JX17,KB17)&gt;0,SUM(JX17,KB17),"")</f>
        <v/>
      </c>
      <c r="KR17" s="20" t="str">
        <f>IF(SUM(JW17:JX17,JZ17:KB17,KD17)-JY17-KC17&gt;0,SUM(JW17:JX17,JZ17:KB17,KD17)-JY17-KC17,"")</f>
        <v/>
      </c>
      <c r="KS17" s="20" t="str">
        <f>IF(SUM(KE17:KF17,KH17)-KG17&gt;0,SUM(KE17:KF17,KH17)-KG17,"")</f>
        <v/>
      </c>
      <c r="KT17" s="20" t="str">
        <f>IF(SUM(KJ17,KN17)&gt;0,SUM(KJ17,KN17),"")</f>
        <v/>
      </c>
      <c r="KU17" s="20" t="str">
        <f>IF(SUM(KI17:KJ17,KL17:KN17,KP17)-SUM(KK17,KO17)&gt;0,SUM(KI17:KJ17,KL17:KN17,KP17)-SUM(KK17,KO17),"")</f>
        <v/>
      </c>
      <c r="KV17" s="20" t="str">
        <f>IF(SUM(KR17,KU17)&gt;0,SUM(KR17,KU17),"")</f>
        <v/>
      </c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79" t="str">
        <f>IF(SUM(KX17,LB17)&gt;0,SUM(KX17,LB17),"")</f>
        <v/>
      </c>
      <c r="LR17" s="79" t="str">
        <f>IF(SUM(KW17:KX17,KZ17:LB17,LD17)-KY17-LC17&gt;0,SUM(KW17:KX17,KZ17:LB17,LD17)-KY17-LC17,"")</f>
        <v/>
      </c>
      <c r="LS17" s="79" t="str">
        <f>IF(SUM(LE17:LF17,LH17)-LG17&gt;0,SUM(LE17:LF17,LH17)-LG17,"")</f>
        <v/>
      </c>
      <c r="LT17" s="79" t="str">
        <f>IF(SUM(LJ17,LN17)&gt;0,SUM(LJ17,LN17),"")</f>
        <v/>
      </c>
      <c r="LU17" s="79" t="str">
        <f>IF(SUM(LI17:LJ17,LL17:LN17,LP17)-SUM(LK17,LO17)&gt;0,SUM(LI17:LJ17,LL17:LN17,LP17)-SUM(LK17,LO17),"")</f>
        <v/>
      </c>
      <c r="LV17" s="79" t="str">
        <f>IF(SUM(LR17,LU17)&gt;0,SUM(LR17,LU17),"")</f>
        <v/>
      </c>
      <c r="LW17" s="26"/>
      <c r="LX17" s="26"/>
      <c r="LY17" s="26"/>
      <c r="LZ17" s="26"/>
      <c r="MA17" s="26"/>
      <c r="MB17" s="26"/>
      <c r="MC17" s="26"/>
      <c r="MD17" s="26"/>
      <c r="ME17" s="26"/>
      <c r="MF17" s="26"/>
      <c r="MG17" s="26"/>
      <c r="MH17" s="26"/>
      <c r="MI17" s="26"/>
      <c r="MJ17" s="26"/>
      <c r="MK17" s="26"/>
      <c r="ML17" s="26"/>
      <c r="MM17" s="26"/>
      <c r="MN17" s="26"/>
      <c r="MO17" s="26"/>
      <c r="MP17" s="26"/>
      <c r="MQ17" s="20" t="str">
        <f>IF(SUM(LX17,MB17)&gt;0,SUM(LX17,MB17),"")</f>
        <v/>
      </c>
      <c r="MR17" s="20" t="str">
        <f>IF(SUM(LW17:LX17,LZ17:MB17,MD17)-LY17-MC17&gt;0,SUM(LW17:LX17,LZ17:MB17,MD17)-LY17-MC17,"")</f>
        <v/>
      </c>
      <c r="MS17" s="20" t="str">
        <f>IF(SUM(ME17:MF17,MH17)-MG17&gt;0,SUM(ME17:MF17,MH17)-MG17,"")</f>
        <v/>
      </c>
      <c r="MT17" s="20" t="str">
        <f>IF(SUM(MJ17,MN17)&gt;0,SUM(MJ17,MN17),"")</f>
        <v/>
      </c>
      <c r="MU17" s="20" t="str">
        <f>IF(SUM(MI17:MJ17,ML17:MN17,MP17)-SUM(MK17,MO17)&gt;0,SUM(MI17:MJ17,ML17:MN17,MP17)-SUM(MK17,MO17),"")</f>
        <v/>
      </c>
      <c r="MV17" s="20" t="str">
        <f>IF(SUM(MR17,MU17)&gt;0,SUM(MR17,MU17),"")</f>
        <v/>
      </c>
      <c r="MW17" s="25"/>
      <c r="MX17" s="25"/>
      <c r="MY17" s="25"/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79" t="str">
        <f>IF(SUM(MX17,NB17)&gt;0,SUM(MX17,NB17),"")</f>
        <v/>
      </c>
      <c r="NR17" s="79" t="str">
        <f>IF(SUM(MW17:MX17,MZ17:NB17,ND17)-MY17-NC17&gt;0,SUM(MW17:MX17,MZ17:NB17,ND17)-MY17-NC17,"")</f>
        <v/>
      </c>
      <c r="NS17" s="79" t="str">
        <f>IF(SUM(NE17:NF17,NH17)-NG17&gt;0,SUM(NE17:NF17,NH17)-NG17,"")</f>
        <v/>
      </c>
      <c r="NT17" s="79" t="str">
        <f>IF(SUM(NJ17,NN17)&gt;0,SUM(NJ17,NN17),"")</f>
        <v/>
      </c>
      <c r="NU17" s="79" t="str">
        <f>IF(SUM(NI17:NJ17,NL17:NN17,NP17)-SUM(NK17,NO17)&gt;0,SUM(NI17:NJ17,NL17:NN17,NP17)-SUM(NK17,NO17),"")</f>
        <v/>
      </c>
      <c r="NV17" s="79" t="str">
        <f>IF(SUM(NR17,NU17)&gt;0,SUM(NR17,NU17),"")</f>
        <v/>
      </c>
      <c r="NW17" s="26"/>
      <c r="NX17" s="26"/>
      <c r="NY17" s="26"/>
      <c r="NZ17" s="26"/>
      <c r="OA17" s="26"/>
      <c r="OB17" s="26"/>
      <c r="OC17" s="26"/>
      <c r="OD17" s="26"/>
      <c r="OE17" s="26"/>
      <c r="OF17" s="26"/>
      <c r="OG17" s="26"/>
      <c r="OH17" s="26"/>
      <c r="OI17" s="26"/>
      <c r="OJ17" s="26"/>
      <c r="OK17" s="26"/>
      <c r="OL17" s="26"/>
      <c r="OM17" s="26"/>
      <c r="ON17" s="26"/>
      <c r="OO17" s="26"/>
      <c r="OP17" s="26"/>
      <c r="OQ17" s="20" t="str">
        <f>IF(SUM(NX17,OB17)&gt;0,SUM(NX17,OB17),"")</f>
        <v/>
      </c>
      <c r="OR17" s="20" t="str">
        <f>IF(SUM(NW17:NX17,NZ17:OB17,OD17)-NY17-OC17&gt;0,SUM(NW17:NX17,NZ17:OB17,OD17)-NY17-OC17,"")</f>
        <v/>
      </c>
      <c r="OS17" s="20" t="str">
        <f>IF(SUM(OE17:OF17,OH17)-OG17&gt;0,SUM(OE17:OF17,OH17)-OG17,"")</f>
        <v/>
      </c>
      <c r="OT17" s="20" t="str">
        <f>IF(SUM(OJ17,ON17)&gt;0,SUM(OJ17,ON17),"")</f>
        <v/>
      </c>
      <c r="OU17" s="20" t="str">
        <f>IF(SUM(OI17:OJ17,OL17:ON17,OP17)-SUM(OK17,OO17)&gt;0,SUM(OI17:OJ17,OL17:ON17,OP17)-SUM(OK17,OO17),"")</f>
        <v/>
      </c>
      <c r="OV17" s="20" t="str">
        <f>IF(SUM(OR17,OU17)&gt;0,SUM(OR17,OU17),"")</f>
        <v/>
      </c>
      <c r="OW17" s="38">
        <f>IF($CN17="P",BT17,(BT17+AS17)/2)</f>
        <v>7.9</v>
      </c>
      <c r="OX17" s="38">
        <f>IF($CN17="P",BU17,(BU17+AT17)/2)</f>
        <v>1.6</v>
      </c>
      <c r="OY17" s="38">
        <f>IF($CN17="P",BV17,(BV17+AU17)/2)</f>
        <v>0.1</v>
      </c>
      <c r="OZ17" s="38">
        <f>IF($CN17="P",BW17,(BW17+AV17)/2)</f>
        <v>0</v>
      </c>
      <c r="PA17" s="38">
        <f>IF($CN17="P",BX17,(BX17+AW17)/2)</f>
        <v>7.5</v>
      </c>
      <c r="PB17" s="38">
        <f>IF($CN17="P",BY17,(BY17+AX17)/2)</f>
        <v>1.6</v>
      </c>
      <c r="PC17" s="38">
        <f>IF($CN17="P",BZ17,(BZ17+AY17)/2)</f>
        <v>0.1</v>
      </c>
      <c r="PD17" s="38">
        <f>IF($CN17="P",CA17,(CA17+AZ17)/2)</f>
        <v>0.15</v>
      </c>
      <c r="PE17" s="38">
        <f>IF($CN17="P",CB17,(CB17+BA17)/2)</f>
        <v>0</v>
      </c>
      <c r="PF17" s="38">
        <f>IF($CN17="P",CC17,(CC17+BB17)/2)</f>
        <v>0</v>
      </c>
      <c r="PG17" s="38">
        <f>IF($CN17="P",CD17,(CD17+BC17)/2)</f>
        <v>0</v>
      </c>
      <c r="PH17" s="38">
        <f>IF($CN17="P",CE17,(CE17+BD17)/2)</f>
        <v>0</v>
      </c>
      <c r="PI17" s="38">
        <f>IF($CN17="P",CF17,(CF17+BE17)/2)</f>
        <v>0</v>
      </c>
      <c r="PJ17" s="38">
        <f>IF($CN17="P",CG17,(CG17+BF17)/2)</f>
        <v>0</v>
      </c>
      <c r="PK17" s="38">
        <f>IF($CN17="P",CH17,(CH17+BG17)/2)</f>
        <v>0</v>
      </c>
      <c r="PL17" s="38">
        <f>IF($CN17="P",CI17,(CI17+BH17)/2)</f>
        <v>0</v>
      </c>
      <c r="PM17" s="38">
        <f>IF($CN17="P",CJ17,(CJ17+BI17)/2)</f>
        <v>0</v>
      </c>
      <c r="PN17" s="38">
        <f>IF($CN17="P",CK17,(CK17+BJ17)/2)</f>
        <v>0</v>
      </c>
      <c r="PO17" s="38">
        <f>IF($CN17="P",CL17,(CL17+BK17)/2)</f>
        <v>0</v>
      </c>
      <c r="PP17" s="38">
        <f>IF($CN17="P",CM17,(CM17+BL17)/2)</f>
        <v>0</v>
      </c>
      <c r="PQ17" s="45" t="s">
        <v>46</v>
      </c>
      <c r="PR17" s="79">
        <f>IF(SUM(OX17,PB17)&gt;0,SUM(OX17,PB17),"")</f>
        <v>3.2</v>
      </c>
      <c r="PS17" s="79">
        <f>IF(SUM(OW17:OX17,OZ17:PB17,PD17)-OY17-PC17&gt;0,SUM(OW17:OX17,OZ17:PB17,PD17)-OY17-PC17,"")</f>
        <v>18.549999999999997</v>
      </c>
      <c r="PT17" s="79" t="str">
        <f>IF(SUM(PE17:PF17,PH17)-PG17&gt;0,SUM(PE17:PF17,PH17)-PG17,"")</f>
        <v/>
      </c>
      <c r="PU17" s="79" t="str">
        <f>IF(SUM(PJ17,PN17)&gt;0,SUM(PJ17,PN17),"")</f>
        <v/>
      </c>
      <c r="PV17" s="79" t="str">
        <f>IF(SUM(PI17:PJ17,PL17:PN17,PP17)-SUM(PK17,PO17)&gt;0,SUM(PI17:PJ17,PL17:PN17,PP17)-SUM(PK17,PO17),"")</f>
        <v/>
      </c>
      <c r="PW17" s="79">
        <f>IF(SUM(PS17,PV17)&gt;0,SUM(PS17,PV17),"")</f>
        <v>18.549999999999997</v>
      </c>
    </row>
    <row r="18" spans="1:439" x14ac:dyDescent="0.2">
      <c r="A18" s="5" t="str">
        <f>IF(AND(F18="P",G18="P"),SUMPRODUCT((F$4:F$21="P")*(G$4:G$21="P")*(E$4:E$21&gt;E18))+1,IF(G18="P",SUMPRODUCT((F$4:F$21="")*(G$4:G$21="P")*(E$4:E$21&gt;E18))+1+SUMPRODUCT((F$4:F$21="P")*(G$4:G$21="P")),""))</f>
        <v/>
      </c>
      <c r="B18" s="78" t="s">
        <v>114</v>
      </c>
      <c r="C18" s="5" t="s">
        <v>4</v>
      </c>
      <c r="D18" s="5">
        <v>2002</v>
      </c>
      <c r="E18" s="15">
        <f>SUM(I18:O18)+SUM(I18:M18)*0.0000001+SUM(I18)*0.0000000000001</f>
        <v>35.70000357000356</v>
      </c>
      <c r="F18" s="3" t="str">
        <f>IF(OR(AND(AM18&gt;=AR$23,AN18&gt;=AR$27,AM18&lt;&gt;"",AL18=""),AND(AP18&gt;=AR$23,AQ18&gt;=AR$27,AP18&lt;&gt;"",AL18=""),AND(BN18&gt;=BS$23,BO18&gt;=BS$27,BN18&lt;&gt;"",BM18=""),AND(BQ18&gt;=BS$23,BR18&gt;=BS$27,BQ18&lt;&gt;"",BM18=""),AND(CO18&gt;=CT$23,CP18&gt;=CT$27,CO18&lt;&gt;"",CN18=""),AND(CR18&gt;=CT$23,CS18&gt;=CT$27,CR18&lt;&gt;""),AND(DQ18&gt;=DV$23,DR18&gt;=DV$27,DQ18&lt;&gt;""),AND(DT18&gt;=DV$23,DU18&gt;=DV$27,DT18&lt;&gt;""),AND(EQ18&gt;=EV$23,ER18&gt;=EV$27,EQ18&lt;&gt;""),AND(ET18&gt;=EV$23,EU18&gt;=EV$27,ET18&lt;&gt;""),AND(FQ18&gt;=FV$23,FR18&gt;=FV$27,FQ18&lt;&gt;""),AND(FT18&gt;=FV$23,FU18&gt;=FV$27,FT18&lt;&gt;""),AND(GQ18&gt;=GV$23,GR18&gt;=GV$27,GQ18&lt;&gt;""),AND(GT18&gt;=GV$23,GU18&gt;=GV$27,GT18&lt;&gt;""),AND(HQ18&gt;=HV$23,HR18&gt;=HV$27,HQ18&lt;&gt;""),AND(HT18&gt;=HV$23,HU18&gt;=HV$27,HT18&lt;&gt;""),AND(IQ18&gt;=IV$23,IR18&gt;=IV$27,IQ18&lt;&gt;""),AND(IT18&gt;=IV$23,IU18&gt;=IV$27,IT18&lt;&gt;""),AND(JQ18&gt;=JV$23,JR18&gt;=JV$27,JQ18&lt;&gt;""),AND(JT18&gt;=JV$23,JU18&gt;=JV$27,JT18&lt;&gt;""),AND(KQ18&gt;=KV$23,KR18&gt;=KV$27,KQ18&lt;&gt;""),AND(KT18&gt;=KV$23,KU18&gt;=KV$27,KT18&lt;&gt;""),AND(LQ18&gt;=LV$23,LR18&gt;=LV$27,LQ18&lt;&gt;""),AND(LT18&gt;=LV$23,LU18&gt;=LV$27,LT18&lt;&gt;""),AND(MQ18&gt;=MV$23,MR18&gt;=MV$27,MQ18&lt;&gt;""),AND(MT18&gt;=MV$23,MU18&gt;=MV$27,MT18&lt;&gt;""),AND(NQ18&gt;=NV$23,NR18&gt;=NV$27,NQ18&lt;&gt;""),AND(NT18&gt;=NV$23,NU18&gt;=NV$27,NT18&lt;&gt;""),AND(OQ18&gt;=OV$23,OR18&gt;=OV$27,OQ18&lt;&gt;""),AND(OT18&gt;=OV$23,OU18&gt;=OV$27,OT18&lt;&gt;"")),"P","")</f>
        <v/>
      </c>
      <c r="G18" s="3" t="str">
        <f>IF(OR(AND(AN18&gt;=AR$27,AN18&lt;&gt;"",AL18=""),AND(AQ18&gt;=AR$27,AQ18&lt;&gt;"",AL18=""),AND(BO18&gt;=BS$27,BO18&lt;&gt;"",BM18=""),AND(BR18&gt;=BS$27,BR18&lt;&gt;"",BM18=""),AND(CP18&gt;=CT$27,CP18&lt;&gt;"",CN18=""),AND(CS18&gt;=CT$27,CS18&lt;&gt;"",CN18=""),AND(DR18&gt;=DV$27,DR18&lt;&gt;""),AND(DU18&gt;=DV$27,DU18&lt;&gt;""),AND(ER18&gt;=EV$27,ER18&lt;&gt;""),AND(EU18&gt;=EV$27,EU18&lt;&gt;""),AND(FR18&gt;=FV$27,FR18&lt;&gt;""),AND(FU18&gt;=FV$27,FU18&lt;&gt;""),AND(GR18&gt;=GV$27,GR18&lt;&gt;""),AND(GU18&gt;=GV$27,GU18&lt;&gt;""),AND(HR18&gt;=HV$27,HR18&lt;&gt;""),AND(HU18&gt;=HV$27,HU18&lt;&gt;""),AND(IR18&gt;=IV$27,IR18&lt;&gt;""),AND(IU18&gt;=IV$27,IU18&lt;&gt;""),AND(JR18&gt;=JV$27,JR18&lt;&gt;""),AND(JU18&gt;=JV$27,JU18&lt;&gt;""),AND(KR18&gt;=KV$27,KR18&lt;&gt;""),AND(KU18&gt;=KV$27,KU18&lt;&gt;""),AND(LR18&gt;=LV$27,LR18&lt;&gt;""),AND(LU18&gt;=LV$27,LU18&lt;&gt;""),AND(MR18&gt;=MV$27,MR18&lt;&gt;""),AND(MU18&gt;=MV$27,MU18&lt;&gt;""),AND(NR18&gt;=NV$27,NR18&lt;&gt;""),AND(NU18&gt;=NV$27,NU18&lt;&gt;""),AND(OR18&gt;=OV$27,OR18&lt;&gt;""),AND(OU18&gt;=OV$27,OU18&lt;&gt;"")),"P","")</f>
        <v/>
      </c>
      <c r="H18" s="67" t="str">
        <f>IF(AND(G18="P",F18=""),"No DD",IF(OR(AND(AM18&gt;=AR$26,AN18&gt;=AR$30,AM18&lt;&gt;"",AL18=""),AND(AP18&gt;=AR$26,AQ18&gt;=AR$30,AP18&lt;&gt;"",AL18=""),AND(BN18&gt;=BS$26,BO18&gt;=BS$30,BN18&lt;&gt;"",BM18=""),AND(BQ18&gt;=BS$26,BR18&gt;=BS$30,BQ18&lt;&gt;"",BM18=""),AND(CO18&gt;=CT$26,CP18&gt;=CT$30,CO18&lt;&gt;"",CN18=""),AND(CR18&gt;=CT$26,CS18&gt;=CT$30,CR18&lt;&gt;""),AND(DQ18&gt;=DV$26,DR18&gt;=DV$30,DQ18&lt;&gt;""),AND(DT18&gt;=DV$26,DU18&gt;=DV$30,DT18&lt;&gt;""),AND(EQ18&gt;=EV$26,ER18&gt;=EV$30,EQ18&lt;&gt;""),AND(ET18&gt;=EV$26,EU18&gt;=EV$30,ET18&lt;&gt;""),AND(FQ18&gt;=FV$26,FR18&gt;=FV$30,FQ18&lt;&gt;""),AND(FT18&gt;=FV$26,FU18&gt;=FV$30,FT18&lt;&gt;""),AND(GQ18&gt;=GV$26,GR18&gt;=GV$30,GQ18&lt;&gt;""),AND(GT18&gt;=GV$26,GU18&gt;=GV$30,GT18&lt;&gt;""),AND(HQ18&gt;=HV$26,HR18&gt;=HV$30,HQ18&lt;&gt;""),AND(HT18&gt;=HV$26,HU18&gt;=HV$30,HT18&lt;&gt;""),AND(IQ18&gt;=IV$26,IR18&gt;=IV$30,IQ18&lt;&gt;""),AND(IT18&gt;=IV$26,IU18&gt;=IV$30,IT18&lt;&gt;""),AND(JQ18&gt;=JV$26,JR18&gt;=JV$30,JQ18&lt;&gt;""),AND(JT18&gt;=JV$26,JU18&gt;=JV$30,JT18&lt;&gt;""),AND(KQ18&gt;=KV$26,KR18&gt;=KV$30,KQ18&lt;&gt;""),AND(KT18&gt;=KV$26,KU18&gt;=KV$30,KT18&lt;&gt;""),AND(LQ18&gt;=LV$26,LR18&gt;=LV$30,LQ18&lt;&gt;""),AND(LT18&gt;=LV$26,LU18&gt;=LV$30,LT18&lt;&gt;""),AND(MQ18&gt;=MV$26,MR18&gt;=MV$30,MQ18&lt;&gt;""),AND(MT18&gt;=MV$26,MU18&gt;=MV$30,MT18&lt;&gt;""),AND(NQ18&gt;=NV$26,NR18&gt;=NV$30,NQ18&lt;&gt;""),AND(NT18&gt;=NV$26,NU18&gt;=NV$30,NT18&lt;&gt;""),AND(OQ18&gt;=OV$26,OR18&gt;=OV$30,OQ18&lt;&gt;""),AND(OT18&gt;=OV$26,OU18&gt;=OV$30,OT18&lt;&gt;"")),"Merit",IF(OR(AND(AM18&gt;=AR$25,AN18&gt;=AR$29,AM18&lt;&gt;"",AL18=""),AND(AP18&gt;=AR$25,AQ18&gt;=AR$29,AP18&lt;&gt;"",AL18=""),AND(BN18&gt;=BS$25,BO18&gt;=BS$29,BN18&lt;&gt;"",BM18=""),AND(BQ18&gt;=BS$25,BR18&gt;=BS$29,BQ18&lt;&gt;"",BM18=""),AND(CO18&gt;=CT$25,CP18&gt;=CT$29,CO18&lt;&gt;"",CN18=""),AND(CR18&gt;=CT$25,CS18&gt;=CT$29,CR18&lt;&gt;""),AND(DQ18&gt;=DV$25,DR18&gt;=DV$29,DQ18&lt;&gt;""),AND(DT18&gt;=DV$25,DU18&gt;=DV$29,DT18&lt;&gt;""),AND(EQ18&gt;=EV$25,ER18&gt;=EV$29,EQ18&lt;&gt;""),AND(ET18&gt;=EV$25,EU18&gt;=EV$29,ET18&lt;&gt;""),AND(FQ18&gt;=FV$25,FR18&gt;=FV$29,FQ18&lt;&gt;""),AND(FT18&gt;=FV$25,FU18&gt;=FV$29,FT18&lt;&gt;""),AND(GQ18&gt;=GV$25,GR18&gt;=GV$29,GQ18&lt;&gt;""),AND(GT18&gt;=GV$25,GU18&gt;=GV$29,GT18&lt;&gt;""),AND(HQ18&gt;=HV$25,HR18&gt;=HV$29,HQ18&lt;&gt;""),AND(HT18&gt;=HV$25,HU18&gt;=HV$29,HT18&lt;&gt;""),AND(IQ18&gt;=IV$25,IR18&gt;=IV$29,IQ18&lt;&gt;""),AND(IT18&gt;=IV$25,IU18&gt;=IV$29,IT18&lt;&gt;""),AND(JQ18&gt;=JV$25,JR18&gt;=JV$29,JQ18&lt;&gt;""),AND(JT18&gt;=JV$25,JU18&gt;=JV$29,JT18&lt;&gt;""),AND(KQ18&gt;=KV$25,KR18&gt;=KV$29,KQ18&lt;&gt;""),AND(KT18&gt;=KV$25,KU18&gt;=KV$29,KT18&lt;&gt;""),AND(LQ18&gt;=LV$25,LR18&gt;=LV$29,LQ18&lt;&gt;""),AND(LT18&gt;=LV$25,LU18&gt;=LV$29,LT18&lt;&gt;""),AND(MQ18&gt;=MV$25,MR18&gt;=MV$29,MQ18&lt;&gt;""),AND(MT18&gt;=MV$25,MU18&gt;=MV$29,MT18&lt;&gt;""),AND(NQ18&gt;=NV$25,NR18&gt;=NV$29,NQ18&lt;&gt;""),AND(NT18&gt;=NV$25,NU18&gt;=NV$29,NT18&lt;&gt;""),AND(OQ18&gt;=OV$25,OR18&gt;=OV$29,OQ18&lt;&gt;""),AND(OT18&gt;=OV$25,OU18&gt;=OV$29,OT18&lt;&gt;"")),"Excellence",IF(F18="P","National Team",""))))</f>
        <v/>
      </c>
      <c r="I18" s="14">
        <f>IF(COUNT(AN18,BO18,CP18)&gt;0,LARGE((AN18,BO18,CP18),1),0)</f>
        <v>35.699999999999996</v>
      </c>
      <c r="J18" s="14" t="str">
        <f>IF(I18=0,"",IF(I18=CP18,$BT$1,IF(I18=BO18,$AS$1,IF(I18=AN18,$R$1,""))))</f>
        <v>2022 Elite Canada</v>
      </c>
      <c r="K18" s="14">
        <f>IF(COUNT(AN18,BO18,CP18)&gt;1,LARGE((AN18,BO18,CP18),2),0)</f>
        <v>0</v>
      </c>
      <c r="L18" s="14" t="str">
        <f>IF(K18=0,"",IF(K18=CP18,$BT$1,IF(K18=BO18,$AS$1,IF(K18=AN18,$R$1,""))))</f>
        <v/>
      </c>
      <c r="M18" s="14">
        <f>IF(MAX(AQ18,BR18,CS18)&gt;0,MAX(AQ18,BR18,CS18),0)</f>
        <v>0</v>
      </c>
      <c r="N18" s="14" t="str">
        <f>IF(M18=0,"",IF(M18=CS18,$BT$1,IF(M18=BR18,$AS$1,IF(M18=AQ18,$R$1,""))))</f>
        <v/>
      </c>
      <c r="O18" s="14" t="str">
        <f>IF(MAX(CU18:CV18)&gt;0,MAX(CU18:CV18),"")</f>
        <v/>
      </c>
      <c r="P18" s="20" t="str">
        <f>IF(O18="","",IF(O18=CU18,"("&amp;CU$2&amp;")",IF(O18=CV18,"("&amp;CV$2&amp;")")))</f>
        <v/>
      </c>
      <c r="Q18" s="14" t="str">
        <f>IF(O18="","",IF(O18=CU18,IF(O18+IF(K18="",0,K18)=OR18,$NW$1,IF(O18+IF(K18="",0,K18)=NR18,$MW$1,IF(O18+IF(K18="",0,K18)=MR18,$LW$1,IF(O18+IF(K18="",0,K18)=LR18,$KW$1,IF(O18+IF(K18="",0,K18)=KR18,$JW$1,IF(O18+IF(K18="",0,K18)=JR18,$IW$1,IF(O18+IF(K18="",0,K18)=IR18,$HW$1,IF(O18+IF(K18="",0,K18)=HR18,$GW$1,IF(O18+IF(K18="",0,K18)=GR18,$FW$1,IF(O18+IF(K18="",0,K18)=FR18,$EW$1,IF(O18+IF(K18="",0,K18)=ER18,$DW$1,IF(O18+IF(K18="",0,K18)=DR18,$CW$1)))))))))))),IF(O18=CV18,IF(O18+IF(M18="",0,M18)=OU18,$NW$1,IF(O18+IF(M18="",0,M18)=NU18,$MW$1,IF(O18+IF(M18="",0,M18)=MU18,$LW$1,IF(O18+IF(M18="",0,M18)=LU18,$KW$1,IF(O18+IF(M18="",0,M18)=KU18,$JW$1,IF(O18+IF(M18="",0,M18)=JU18,$IW$1,IF(O18+IF(M18="",0,M18)=IU18,$HW$1,IF(O18+IF(M18="",0,M18)=HU18,$GW$1,IF(O18+IF(M18="",0,M18)=GU18,$FW$1,IF(O18+IF(M18="",0,M18)=FU18,$EW$1,IF(O18+IF(M18="",0,M18)=EU18,$DW$1,IF(O18+IF(M18="",0,M18)=DU18,$CW$1)))))))))))))))</f>
        <v/>
      </c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45"/>
      <c r="AM18" s="79" t="str">
        <f>IF(SUM(S18,W18)&gt;0,SUM(S18,W18),"")</f>
        <v/>
      </c>
      <c r="AN18" s="79" t="str">
        <f>IF(SUM(R18:S18,U18:W18,Y18)-T18-X18&gt;0,SUM(R18:S18,U18:W18,Y18)-T18-X18,"")</f>
        <v/>
      </c>
      <c r="AO18" s="79" t="str">
        <f>IF(SUM(Z18:AA18,AC18)-AB18&gt;0,SUM(Z18:AA18,AC18)-AB18,"")</f>
        <v/>
      </c>
      <c r="AP18" s="79" t="str">
        <f>IF(SUM(AE18,AI18)&gt;0,SUM(AE18,AI18),"")</f>
        <v/>
      </c>
      <c r="AQ18" s="79" t="str">
        <f>IF(SUM(AD18:AE18,AG18:AI18,AK18)-SUM(AF18,AJ18)&gt;0,SUM(AD18:AE18,AG18:AI18,AK18)-SUM(AF18,AJ18),"")</f>
        <v/>
      </c>
      <c r="AR18" s="79" t="str">
        <f>IF(SUM(AN18,AQ18)&gt;0,SUM(AN18,AQ18),"")</f>
        <v/>
      </c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46"/>
      <c r="BN18" s="20" t="str">
        <f>IF(SUM(AT18,AX18)&gt;0,SUM(AT18,AX18),"")</f>
        <v/>
      </c>
      <c r="BO18" s="20" t="str">
        <f>IF(SUM(AS18:AT18,AV18:AX18,AZ18)-AU18-AY18&gt;0,SUM(AS18:AT18,AV18:AX18,AZ18)-AU18-AY18,"")</f>
        <v/>
      </c>
      <c r="BP18" s="20" t="str">
        <f>IF(SUM(BA18:BB18,BD18)-BC18&gt;0,SUM(BA18:BB18,BD18)-BC18,"")</f>
        <v/>
      </c>
      <c r="BQ18" s="20" t="str">
        <f>IF(SUM(BF18,BJ18)&gt;0,SUM(BF18,BJ18),"")</f>
        <v/>
      </c>
      <c r="BR18" s="20" t="str">
        <f>IF(SUM(BE18:BF18,BH18:BJ18,BL18)-SUM(BG18,BK18)&gt;0,SUM(BE18:BF18,BH18:BJ18,BL18)-SUM(BG18,BK18),"")</f>
        <v/>
      </c>
      <c r="BS18" s="20" t="str">
        <f>IF(SUM(BO18,BR18)&gt;0,SUM(BO18,BR18),"")</f>
        <v/>
      </c>
      <c r="BT18" s="27">
        <v>14</v>
      </c>
      <c r="BU18" s="27">
        <v>2.2999999999999998</v>
      </c>
      <c r="BV18" s="27">
        <v>0.2</v>
      </c>
      <c r="BW18" s="27">
        <v>0.6</v>
      </c>
      <c r="BX18" s="27">
        <v>16.100000000000001</v>
      </c>
      <c r="BY18" s="27">
        <v>2.9</v>
      </c>
      <c r="BZ18" s="27">
        <v>0.3</v>
      </c>
      <c r="CA18" s="27">
        <v>0.3</v>
      </c>
      <c r="CB18" s="27"/>
      <c r="CC18" s="27"/>
      <c r="CD18" s="27"/>
      <c r="CE18" s="27"/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45"/>
      <c r="CO18" s="79">
        <f>IF(SUM(BU18,BY18)&gt;0,SUM(BU18,BY18),"")</f>
        <v>5.1999999999999993</v>
      </c>
      <c r="CP18" s="79">
        <f>IF(SUM(BT18:BU18,BW18:BY18,CA18)-BV18-BZ18&gt;0,SUM(BT18:BU18,BW18:BY18,CA18)-BV18-BZ18,"")</f>
        <v>35.699999999999996</v>
      </c>
      <c r="CQ18" s="79" t="str">
        <f>IF(SUM(CB18:CC18,CE18)-CD18&gt;0,SUM(CB18:CC18,CE18)-CD18,"")</f>
        <v/>
      </c>
      <c r="CR18" s="79" t="str">
        <f>IF(SUM(CG18,CK18)&gt;0,SUM(CG18,CK18),"")</f>
        <v/>
      </c>
      <c r="CS18" s="79" t="str">
        <f>IF(SUM(CF18:CG18,CI18:CK18,CM18)-SUM(CH18,CL18)&gt;0,SUM(CF18:CG18,CI18:CK18,CM18)-SUM(CH18,CL18),"")</f>
        <v/>
      </c>
      <c r="CT18" s="79">
        <f>IF(SUM(CP18,CS18)&gt;0,SUM(CP18,CS18),"")</f>
        <v>35.699999999999996</v>
      </c>
      <c r="CU18" s="80" t="str">
        <f>IF(K18&gt;=0.001,IF(MAX(DR18,ER18,FR18,GR18,HR18,IR18,JR18,KR18,LR18,MR18,NR18,OR18)-IF(K18="",0,K18)&gt;0.001,MAX(DR18,ER18,FR18,GR18,HR18,IR18,JR18,KR18,LR18,MR18,NR18,OR18)-IF(K18="",0,K18),""),"")</f>
        <v/>
      </c>
      <c r="CV18" s="80" t="str">
        <f>IF(M18&gt;=0.001,IF(MAX(DU18,EU18,FU18,GU18,HU18,IU18,JU18,KU18,LU18,MU18,NU18,OU18)-IF(M18="",0,M18)&gt;0.001,MAX(DU18,EU18,FU18,GU18,HU18,IU18,JU18,KU18,LU18,MU18,NU18,OU18)-IF(M18="",0,M18),""),"")</f>
        <v/>
      </c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79" t="str">
        <f>IF(SUM(CX18,DB18)&gt;0,SUM(CX18,DB18),"")</f>
        <v/>
      </c>
      <c r="DR18" s="79" t="str">
        <f>IF(SUM(CW18:CX18,CZ18:DB18,DD18)-CY18-DC18&gt;0,SUM(CW18:CX18,CZ18:DB18,DD18)-CY18-DC18,"")</f>
        <v/>
      </c>
      <c r="DS18" s="79" t="str">
        <f>IF(SUM(DE18:DF18,DH18)-DG18&gt;0,SUM(DE18:DF18,DH18)-DG18,"")</f>
        <v/>
      </c>
      <c r="DT18" s="79" t="str">
        <f>IF(SUM(DJ18,DN18)&gt;0,SUM(DJ18,DN18),"")</f>
        <v/>
      </c>
      <c r="DU18" s="79" t="str">
        <f>IF(SUM(DI18:DJ18,DL18:DN18,DP18)-SUM(DK18,DO18)&gt;0,SUM(DI18:DJ18,DL18:DN18,DP18)-SUM(DK18,DO18),"")</f>
        <v/>
      </c>
      <c r="DV18" s="79" t="str">
        <f>IF(SUM(DR18,DU18)&gt;0,SUM(DR18,DU18),"")</f>
        <v/>
      </c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0" t="str">
        <f>IF(SUM(DX18,EB18)&gt;0,SUM(DX18,EB18),"")</f>
        <v/>
      </c>
      <c r="ER18" s="20" t="str">
        <f>IF(SUM(DW18:DX18,DZ18:EB18,ED18)-DY18-EC18&gt;0,SUM(DW18:DX18,DZ18:EB18,ED18)-DY18-EC18,"")</f>
        <v/>
      </c>
      <c r="ES18" s="20" t="str">
        <f>IF(SUM(EE18:EF18,EH18)-EG18&gt;0,SUM(EE18:EF18,EH18)-EG18,"")</f>
        <v/>
      </c>
      <c r="ET18" s="20" t="str">
        <f>IF(SUM(EJ18,EN18)&gt;0,SUM(EJ18,EN18),"")</f>
        <v/>
      </c>
      <c r="EU18" s="20" t="str">
        <f>IF(SUM(EI18:EJ18,EL18:EN18,EP18)-SUM(EK18,EO18)&gt;0,SUM(EI18:EJ18,EL18:EN18,EP18)-SUM(EK18,EO18),"")</f>
        <v/>
      </c>
      <c r="EV18" s="20" t="str">
        <f>IF(SUM(ER18,EU18)&gt;0,SUM(ER18,EU18),"")</f>
        <v/>
      </c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25"/>
      <c r="FL18" s="25"/>
      <c r="FM18" s="25"/>
      <c r="FN18" s="25"/>
      <c r="FO18" s="25"/>
      <c r="FP18" s="25"/>
      <c r="FQ18" s="79" t="str">
        <f>IF(SUM(EX18,FB18)&gt;0,SUM(EX18,FB18),"")</f>
        <v/>
      </c>
      <c r="FR18" s="79" t="str">
        <f>IF(SUM(EW18:EX18,EZ18:FB18,FD18)-EY18-FC18&gt;0,SUM(EW18:EX18,EZ18:FB18,FD18)-EY18-FC18,"")</f>
        <v/>
      </c>
      <c r="FS18" s="79" t="str">
        <f>IF(SUM(FE18:FF18,FH18)-FG18&gt;0,SUM(FE18:FF18,FH18)-FG18,"")</f>
        <v/>
      </c>
      <c r="FT18" s="79" t="str">
        <f>IF(SUM(FJ18,FN18)&gt;0,SUM(FJ18,FN18),"")</f>
        <v/>
      </c>
      <c r="FU18" s="79" t="str">
        <f>IF(SUM(FI18:FJ18,FL18:FN18,FP18)-SUM(FK18,FO18)&gt;0,SUM(FI18:FJ18,FL18:FN18,FP18)-SUM(FK18,FO18),"")</f>
        <v/>
      </c>
      <c r="FV18" s="79" t="str">
        <f>IF(SUM(FR18,FU18)&gt;0,SUM(FR18,FU18),"")</f>
        <v/>
      </c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0" t="str">
        <f>IF(SUM(FX18,GB18)&gt;0,SUM(FX18,GB18),"")</f>
        <v/>
      </c>
      <c r="GR18" s="20" t="str">
        <f>IF(SUM(FW18:FX18,FZ18:GB18,GD18)-FY18-GC18&gt;0,SUM(FW18:FX18,FZ18:GB18,GD18)-FY18-GC18,"")</f>
        <v/>
      </c>
      <c r="GS18" s="20" t="str">
        <f>IF(SUM(GE18:GF18,GH18)-GG18&gt;0,SUM(GE18:GF18,GH18)-GG18,"")</f>
        <v/>
      </c>
      <c r="GT18" s="20" t="str">
        <f>IF(SUM(GJ18,GN18)&gt;0,SUM(GJ18,GN18),"")</f>
        <v/>
      </c>
      <c r="GU18" s="20" t="str">
        <f>IF(SUM(GI18:GJ18,GL18:GN18,GP18)-SUM(GK18,GO18)&gt;0,SUM(GI18:GJ18,GL18:GN18,GP18)-SUM(GK18,GO18),"")</f>
        <v/>
      </c>
      <c r="GV18" s="20" t="str">
        <f>IF(SUM(GR18,GU18)&gt;0,SUM(GR18,GU18),"")</f>
        <v/>
      </c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  <c r="HM18" s="25"/>
      <c r="HN18" s="25"/>
      <c r="HO18" s="25"/>
      <c r="HP18" s="25"/>
      <c r="HQ18" s="79" t="str">
        <f>IF(SUM(GX18,HB18)&gt;0,SUM(GX18,HB18),"")</f>
        <v/>
      </c>
      <c r="HR18" s="79" t="str">
        <f>IF(SUM(GW18:GX18,GZ18:HB18,HD18)-GY18-HC18&gt;0,SUM(GW18:GX18,GZ18:HB18,HD18)-GY18-HC18,"")</f>
        <v/>
      </c>
      <c r="HS18" s="79" t="str">
        <f>IF(SUM(HE18:HF18,HH18)-HG18&gt;0,SUM(HE18:HF18,HH18)-HG18,"")</f>
        <v/>
      </c>
      <c r="HT18" s="79" t="str">
        <f>IF(SUM(HJ18,HN18)&gt;0,SUM(HJ18,HN18),"")</f>
        <v/>
      </c>
      <c r="HU18" s="79" t="str">
        <f>IF(SUM(HI18:HJ18,HL18:HN18,HP18)-SUM(HK18,HO18)&gt;0,SUM(HI18:HJ18,HL18:HN18,HP18)-SUM(HK18,HO18),"")</f>
        <v/>
      </c>
      <c r="HV18" s="79" t="str">
        <f>IF(SUM(HR18,HU18)&gt;0,SUM(HR18,HU18),"")</f>
        <v/>
      </c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0" t="str">
        <f>IF(SUM(HX18,IB18)&gt;0,SUM(HX18,IB18),"")</f>
        <v/>
      </c>
      <c r="IR18" s="20" t="str">
        <f>IF(SUM(HW18:HX18,HZ18:IB18,ID18)-HY18-IC18&gt;0,SUM(HW18:HX18,HZ18:IB18,ID18)-HY18-IC18,"")</f>
        <v/>
      </c>
      <c r="IS18" s="20" t="str">
        <f>IF(SUM(IE18:IF18,IH18)-IG18&gt;0,SUM(IE18:IF18,IH18)-IG18,"")</f>
        <v/>
      </c>
      <c r="IT18" s="20" t="str">
        <f>IF(SUM(IJ18,IN18)&gt;0,SUM(IJ18,IN18),"")</f>
        <v/>
      </c>
      <c r="IU18" s="20" t="str">
        <f>IF(SUM(II18:IJ18,IL18:IN18,IP18)-SUM(IK18,IO18)&gt;0,SUM(II18:IJ18,IL18:IN18,IP18)-SUM(IK18,IO18),"")</f>
        <v/>
      </c>
      <c r="IV18" s="20" t="str">
        <f>IF(SUM(IR18,IU18)&gt;0,SUM(IR18,IU18),"")</f>
        <v/>
      </c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79" t="str">
        <f>IF(SUM(IX18,JB18)&gt;0,SUM(IX18,JB18),"")</f>
        <v/>
      </c>
      <c r="JR18" s="79" t="str">
        <f>IF(SUM(IW18:IX18,IZ18:JB18,JD18)-IY18-JC18&gt;0,SUM(IW18:IX18,IZ18:JB18,JD18)-IY18-JC18,"")</f>
        <v/>
      </c>
      <c r="JS18" s="79" t="str">
        <f>IF(SUM(JE18:JF18,JH18)-JG18&gt;0,SUM(JE18:JF18,JH18)-JG18,"")</f>
        <v/>
      </c>
      <c r="JT18" s="79" t="str">
        <f>IF(SUM(JJ18,JN18)&gt;0,SUM(JJ18,JN18),"")</f>
        <v/>
      </c>
      <c r="JU18" s="79" t="str">
        <f>IF(SUM(JI18:JJ18,JL18:JN18,JP18)-SUM(JK18,JO18)&gt;0,SUM(JI18:JJ18,JL18:JN18,JP18)-SUM(JK18,JO18),"")</f>
        <v/>
      </c>
      <c r="JV18" s="79" t="str">
        <f>IF(SUM(JR18,JU18)&gt;0,SUM(JR18,JU18),"")</f>
        <v/>
      </c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26"/>
      <c r="KM18" s="26"/>
      <c r="KN18" s="26"/>
      <c r="KO18" s="26"/>
      <c r="KP18" s="26"/>
      <c r="KQ18" s="20" t="str">
        <f>IF(SUM(JX18,KB18)&gt;0,SUM(JX18,KB18),"")</f>
        <v/>
      </c>
      <c r="KR18" s="20" t="str">
        <f>IF(SUM(JW18:JX18,JZ18:KB18,KD18)-JY18-KC18&gt;0,SUM(JW18:JX18,JZ18:KB18,KD18)-JY18-KC18,"")</f>
        <v/>
      </c>
      <c r="KS18" s="20" t="str">
        <f>IF(SUM(KE18:KF18,KH18)-KG18&gt;0,SUM(KE18:KF18,KH18)-KG18,"")</f>
        <v/>
      </c>
      <c r="KT18" s="20" t="str">
        <f>IF(SUM(KJ18,KN18)&gt;0,SUM(KJ18,KN18),"")</f>
        <v/>
      </c>
      <c r="KU18" s="20" t="str">
        <f>IF(SUM(KI18:KJ18,KL18:KN18,KP18)-SUM(KK18,KO18)&gt;0,SUM(KI18:KJ18,KL18:KN18,KP18)-SUM(KK18,KO18),"")</f>
        <v/>
      </c>
      <c r="KV18" s="20" t="str">
        <f>IF(SUM(KR18,KU18)&gt;0,SUM(KR18,KU18),"")</f>
        <v/>
      </c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79" t="str">
        <f>IF(SUM(KX18,LB18)&gt;0,SUM(KX18,LB18),"")</f>
        <v/>
      </c>
      <c r="LR18" s="79" t="str">
        <f>IF(SUM(KW18:KX18,KZ18:LB18,LD18)-KY18-LC18&gt;0,SUM(KW18:KX18,KZ18:LB18,LD18)-KY18-LC18,"")</f>
        <v/>
      </c>
      <c r="LS18" s="79" t="str">
        <f>IF(SUM(LE18:LF18,LH18)-LG18&gt;0,SUM(LE18:LF18,LH18)-LG18,"")</f>
        <v/>
      </c>
      <c r="LT18" s="79" t="str">
        <f>IF(SUM(LJ18,LN18)&gt;0,SUM(LJ18,LN18),"")</f>
        <v/>
      </c>
      <c r="LU18" s="79" t="str">
        <f>IF(SUM(LI18:LJ18,LL18:LN18,LP18)-SUM(LK18,LO18)&gt;0,SUM(LI18:LJ18,LL18:LN18,LP18)-SUM(LK18,LO18),"")</f>
        <v/>
      </c>
      <c r="LV18" s="79" t="str">
        <f>IF(SUM(LR18,LU18)&gt;0,SUM(LR18,LU18),"")</f>
        <v/>
      </c>
      <c r="LW18" s="26"/>
      <c r="LX18" s="26"/>
      <c r="LY18" s="26"/>
      <c r="LZ18" s="26"/>
      <c r="MA18" s="26"/>
      <c r="MB18" s="26"/>
      <c r="MC18" s="26"/>
      <c r="MD18" s="26"/>
      <c r="ME18" s="26"/>
      <c r="MF18" s="26"/>
      <c r="MG18" s="26"/>
      <c r="MH18" s="26"/>
      <c r="MI18" s="26"/>
      <c r="MJ18" s="26"/>
      <c r="MK18" s="26"/>
      <c r="ML18" s="26"/>
      <c r="MM18" s="26"/>
      <c r="MN18" s="26"/>
      <c r="MO18" s="26"/>
      <c r="MP18" s="26"/>
      <c r="MQ18" s="20" t="str">
        <f>IF(SUM(LX18,MB18)&gt;0,SUM(LX18,MB18),"")</f>
        <v/>
      </c>
      <c r="MR18" s="20" t="str">
        <f>IF(SUM(LW18:LX18,LZ18:MB18,MD18)-LY18-MC18&gt;0,SUM(LW18:LX18,LZ18:MB18,MD18)-LY18-MC18,"")</f>
        <v/>
      </c>
      <c r="MS18" s="20" t="str">
        <f>IF(SUM(ME18:MF18,MH18)-MG18&gt;0,SUM(ME18:MF18,MH18)-MG18,"")</f>
        <v/>
      </c>
      <c r="MT18" s="20" t="str">
        <f>IF(SUM(MJ18,MN18)&gt;0,SUM(MJ18,MN18),"")</f>
        <v/>
      </c>
      <c r="MU18" s="20" t="str">
        <f>IF(SUM(MI18:MJ18,ML18:MN18,MP18)-SUM(MK18,MO18)&gt;0,SUM(MI18:MJ18,ML18:MN18,MP18)-SUM(MK18,MO18),"")</f>
        <v/>
      </c>
      <c r="MV18" s="20" t="str">
        <f>IF(SUM(MR18,MU18)&gt;0,SUM(MR18,MU18),"")</f>
        <v/>
      </c>
      <c r="MW18" s="25"/>
      <c r="MX18" s="25"/>
      <c r="MY18" s="25"/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79" t="str">
        <f>IF(SUM(MX18,NB18)&gt;0,SUM(MX18,NB18),"")</f>
        <v/>
      </c>
      <c r="NR18" s="79" t="str">
        <f>IF(SUM(MW18:MX18,MZ18:NB18,ND18)-MY18-NC18&gt;0,SUM(MW18:MX18,MZ18:NB18,ND18)-MY18-NC18,"")</f>
        <v/>
      </c>
      <c r="NS18" s="79" t="str">
        <f>IF(SUM(NE18:NF18,NH18)-NG18&gt;0,SUM(NE18:NF18,NH18)-NG18,"")</f>
        <v/>
      </c>
      <c r="NT18" s="79" t="str">
        <f>IF(SUM(NJ18,NN18)&gt;0,SUM(NJ18,NN18),"")</f>
        <v/>
      </c>
      <c r="NU18" s="79" t="str">
        <f>IF(SUM(NI18:NJ18,NL18:NN18,NP18)-SUM(NK18,NO18)&gt;0,SUM(NI18:NJ18,NL18:NN18,NP18)-SUM(NK18,NO18),"")</f>
        <v/>
      </c>
      <c r="NV18" s="79" t="str">
        <f>IF(SUM(NR18,NU18)&gt;0,SUM(NR18,NU18),"")</f>
        <v/>
      </c>
      <c r="NW18" s="26"/>
      <c r="NX18" s="26"/>
      <c r="NY18" s="26"/>
      <c r="NZ18" s="26"/>
      <c r="OA18" s="26"/>
      <c r="OB18" s="26"/>
      <c r="OC18" s="26"/>
      <c r="OD18" s="26"/>
      <c r="OE18" s="26"/>
      <c r="OF18" s="26"/>
      <c r="OG18" s="26"/>
      <c r="OH18" s="26"/>
      <c r="OI18" s="26"/>
      <c r="OJ18" s="26"/>
      <c r="OK18" s="26"/>
      <c r="OL18" s="26"/>
      <c r="OM18" s="26"/>
      <c r="ON18" s="26"/>
      <c r="OO18" s="26"/>
      <c r="OP18" s="26"/>
      <c r="OQ18" s="20" t="str">
        <f>IF(SUM(NX18,OB18)&gt;0,SUM(NX18,OB18),"")</f>
        <v/>
      </c>
      <c r="OR18" s="20" t="str">
        <f>IF(SUM(NW18:NX18,NZ18:OB18,OD18)-NY18-OC18&gt;0,SUM(NW18:NX18,NZ18:OB18,OD18)-NY18-OC18,"")</f>
        <v/>
      </c>
      <c r="OS18" s="20" t="str">
        <f>IF(SUM(OE18:OF18,OH18)-OG18&gt;0,SUM(OE18:OF18,OH18)-OG18,"")</f>
        <v/>
      </c>
      <c r="OT18" s="20" t="str">
        <f>IF(SUM(OJ18,ON18)&gt;0,SUM(OJ18,ON18),"")</f>
        <v/>
      </c>
      <c r="OU18" s="20" t="str">
        <f>IF(SUM(OI18:OJ18,OL18:ON18,OP18)-SUM(OK18,OO18)&gt;0,SUM(OI18:OJ18,OL18:ON18,OP18)-SUM(OK18,OO18),"")</f>
        <v/>
      </c>
      <c r="OV18" s="20" t="str">
        <f>IF(SUM(OR18,OU18)&gt;0,SUM(OR18,OU18),"")</f>
        <v/>
      </c>
      <c r="OW18" s="38">
        <f>IF($CN18="P",BT18,(BT18+AS18)/2)</f>
        <v>7</v>
      </c>
      <c r="OX18" s="38">
        <f>IF($CN18="P",BU18,(BU18+AT18)/2)</f>
        <v>1.1499999999999999</v>
      </c>
      <c r="OY18" s="38">
        <f>IF($CN18="P",BV18,(BV18+AU18)/2)</f>
        <v>0.1</v>
      </c>
      <c r="OZ18" s="38">
        <f>IF($CN18="P",BW18,(BW18+AV18)/2)</f>
        <v>0.3</v>
      </c>
      <c r="PA18" s="38">
        <f>IF($CN18="P",BX18,(BX18+AW18)/2)</f>
        <v>8.0500000000000007</v>
      </c>
      <c r="PB18" s="38">
        <f>IF($CN18="P",BY18,(BY18+AX18)/2)</f>
        <v>1.45</v>
      </c>
      <c r="PC18" s="38">
        <f>IF($CN18="P",BZ18,(BZ18+AY18)/2)</f>
        <v>0.15</v>
      </c>
      <c r="PD18" s="38">
        <f>IF($CN18="P",CA18,(CA18+AZ18)/2)</f>
        <v>0.15</v>
      </c>
      <c r="PE18" s="38">
        <f>IF($CN18="P",CB18,(CB18+BA18)/2)</f>
        <v>0</v>
      </c>
      <c r="PF18" s="38">
        <f>IF($CN18="P",CC18,(CC18+BB18)/2)</f>
        <v>0</v>
      </c>
      <c r="PG18" s="38">
        <f>IF($CN18="P",CD18,(CD18+BC18)/2)</f>
        <v>0</v>
      </c>
      <c r="PH18" s="38">
        <f>IF($CN18="P",CE18,(CE18+BD18)/2)</f>
        <v>0</v>
      </c>
      <c r="PI18" s="38">
        <f>IF($CN18="P",CF18,(CF18+BE18)/2)</f>
        <v>0</v>
      </c>
      <c r="PJ18" s="38">
        <f>IF($CN18="P",CG18,(CG18+BF18)/2)</f>
        <v>0</v>
      </c>
      <c r="PK18" s="38">
        <f>IF($CN18="P",CH18,(CH18+BG18)/2)</f>
        <v>0</v>
      </c>
      <c r="PL18" s="38">
        <f>IF($CN18="P",CI18,(CI18+BH18)/2)</f>
        <v>0</v>
      </c>
      <c r="PM18" s="38">
        <f>IF($CN18="P",CJ18,(CJ18+BI18)/2)</f>
        <v>0</v>
      </c>
      <c r="PN18" s="38">
        <f>IF($CN18="P",CK18,(CK18+BJ18)/2)</f>
        <v>0</v>
      </c>
      <c r="PO18" s="38">
        <f>IF($CN18="P",CL18,(CL18+BK18)/2)</f>
        <v>0</v>
      </c>
      <c r="PP18" s="38">
        <f>IF($CN18="P",CM18,(CM18+BL18)/2)</f>
        <v>0</v>
      </c>
      <c r="PQ18" s="45" t="s">
        <v>46</v>
      </c>
      <c r="PR18" s="79">
        <f>IF(SUM(OX18,PB18)&gt;0,SUM(OX18,PB18),"")</f>
        <v>2.5999999999999996</v>
      </c>
      <c r="PS18" s="79">
        <f>IF(SUM(OW18:OX18,OZ18:PB18,PD18)-OY18-PC18&gt;0,SUM(OW18:OX18,OZ18:PB18,PD18)-OY18-PC18,"")</f>
        <v>17.849999999999998</v>
      </c>
      <c r="PT18" s="79" t="str">
        <f>IF(SUM(PE18:PF18,PH18)-PG18&gt;0,SUM(PE18:PF18,PH18)-PG18,"")</f>
        <v/>
      </c>
      <c r="PU18" s="79" t="str">
        <f>IF(SUM(PJ18,PN18)&gt;0,SUM(PJ18,PN18),"")</f>
        <v/>
      </c>
      <c r="PV18" s="79" t="str">
        <f>IF(SUM(PI18:PJ18,PL18:PN18,PP18)-SUM(PK18,PO18)&gt;0,SUM(PI18:PJ18,PL18:PN18,PP18)-SUM(PK18,PO18),"")</f>
        <v/>
      </c>
      <c r="PW18" s="79">
        <f>IF(SUM(PS18,PV18)&gt;0,SUM(PS18,PV18),"")</f>
        <v>17.849999999999998</v>
      </c>
    </row>
    <row r="19" spans="1:439" x14ac:dyDescent="0.2">
      <c r="A19" s="5" t="str">
        <f>IF(AND(F19="P",G19="P"),SUMPRODUCT((F$4:F$21="P")*(G$4:G$21="P")*(E$4:E$21&gt;E19))+1,IF(G19="P",SUMPRODUCT((F$4:F$21="")*(G$4:G$21="P")*(E$4:E$21&gt;E19))+1+SUMPRODUCT((F$4:F$21="P")*(G$4:G$21="P")),""))</f>
        <v/>
      </c>
      <c r="B19" s="78" t="s">
        <v>90</v>
      </c>
      <c r="C19" s="5" t="s">
        <v>5</v>
      </c>
      <c r="D19" s="5">
        <v>2004</v>
      </c>
      <c r="E19" s="15">
        <f>SUM(I19:O19)+SUM(I19:M19)*0.0000001+SUM(I19)*0.0000000000001</f>
        <v>33.800003380003382</v>
      </c>
      <c r="F19" s="3" t="str">
        <f>IF(OR(AND(AM19&gt;=AR$23,AN19&gt;=AR$27,AM19&lt;&gt;"",AL19=""),AND(AP19&gt;=AR$23,AQ19&gt;=AR$27,AP19&lt;&gt;"",AL19=""),AND(BN19&gt;=BS$23,BO19&gt;=BS$27,BN19&lt;&gt;"",BM19=""),AND(BQ19&gt;=BS$23,BR19&gt;=BS$27,BQ19&lt;&gt;"",BM19=""),AND(CO19&gt;=CT$23,CP19&gt;=CT$27,CO19&lt;&gt;"",CN19=""),AND(CR19&gt;=CT$23,CS19&gt;=CT$27,CR19&lt;&gt;""),AND(DQ19&gt;=DV$23,DR19&gt;=DV$27,DQ19&lt;&gt;""),AND(DT19&gt;=DV$23,DU19&gt;=DV$27,DT19&lt;&gt;""),AND(EQ19&gt;=EV$23,ER19&gt;=EV$27,EQ19&lt;&gt;""),AND(ET19&gt;=EV$23,EU19&gt;=EV$27,ET19&lt;&gt;""),AND(FQ19&gt;=FV$23,FR19&gt;=FV$27,FQ19&lt;&gt;""),AND(FT19&gt;=FV$23,FU19&gt;=FV$27,FT19&lt;&gt;""),AND(GQ19&gt;=GV$23,GR19&gt;=GV$27,GQ19&lt;&gt;""),AND(GT19&gt;=GV$23,GU19&gt;=GV$27,GT19&lt;&gt;""),AND(HQ19&gt;=HV$23,HR19&gt;=HV$27,HQ19&lt;&gt;""),AND(HT19&gt;=HV$23,HU19&gt;=HV$27,HT19&lt;&gt;""),AND(IQ19&gt;=IV$23,IR19&gt;=IV$27,IQ19&lt;&gt;""),AND(IT19&gt;=IV$23,IU19&gt;=IV$27,IT19&lt;&gt;""),AND(JQ19&gt;=JV$23,JR19&gt;=JV$27,JQ19&lt;&gt;""),AND(JT19&gt;=JV$23,JU19&gt;=JV$27,JT19&lt;&gt;""),AND(KQ19&gt;=KV$23,KR19&gt;=KV$27,KQ19&lt;&gt;""),AND(KT19&gt;=KV$23,KU19&gt;=KV$27,KT19&lt;&gt;""),AND(LQ19&gt;=LV$23,LR19&gt;=LV$27,LQ19&lt;&gt;""),AND(LT19&gt;=LV$23,LU19&gt;=LV$27,LT19&lt;&gt;""),AND(MQ19&gt;=MV$23,MR19&gt;=MV$27,MQ19&lt;&gt;""),AND(MT19&gt;=MV$23,MU19&gt;=MV$27,MT19&lt;&gt;""),AND(NQ19&gt;=NV$23,NR19&gt;=NV$27,NQ19&lt;&gt;""),AND(NT19&gt;=NV$23,NU19&gt;=NV$27,NT19&lt;&gt;""),AND(OQ19&gt;=OV$23,OR19&gt;=OV$27,OQ19&lt;&gt;""),AND(OT19&gt;=OV$23,OU19&gt;=OV$27,OT19&lt;&gt;"")),"P","")</f>
        <v/>
      </c>
      <c r="G19" s="3" t="str">
        <f>IF(OR(AND(AN19&gt;=AR$27,AN19&lt;&gt;"",AL19=""),AND(AQ19&gt;=AR$27,AQ19&lt;&gt;"",AL19=""),AND(BO19&gt;=BS$27,BO19&lt;&gt;"",BM19=""),AND(BR19&gt;=BS$27,BR19&lt;&gt;"",BM19=""),AND(CP19&gt;=CT$27,CP19&lt;&gt;"",CN19=""),AND(CS19&gt;=CT$27,CS19&lt;&gt;"",CN19=""),AND(DR19&gt;=DV$27,DR19&lt;&gt;""),AND(DU19&gt;=DV$27,DU19&lt;&gt;""),AND(ER19&gt;=EV$27,ER19&lt;&gt;""),AND(EU19&gt;=EV$27,EU19&lt;&gt;""),AND(FR19&gt;=FV$27,FR19&lt;&gt;""),AND(FU19&gt;=FV$27,FU19&lt;&gt;""),AND(GR19&gt;=GV$27,GR19&lt;&gt;""),AND(GU19&gt;=GV$27,GU19&lt;&gt;""),AND(HR19&gt;=HV$27,HR19&lt;&gt;""),AND(HU19&gt;=HV$27,HU19&lt;&gt;""),AND(IR19&gt;=IV$27,IR19&lt;&gt;""),AND(IU19&gt;=IV$27,IU19&lt;&gt;""),AND(JR19&gt;=JV$27,JR19&lt;&gt;""),AND(JU19&gt;=JV$27,JU19&lt;&gt;""),AND(KR19&gt;=KV$27,KR19&lt;&gt;""),AND(KU19&gt;=KV$27,KU19&lt;&gt;""),AND(LR19&gt;=LV$27,LR19&lt;&gt;""),AND(LU19&gt;=LV$27,LU19&lt;&gt;""),AND(MR19&gt;=MV$27,MR19&lt;&gt;""),AND(MU19&gt;=MV$27,MU19&lt;&gt;""),AND(NR19&gt;=NV$27,NR19&lt;&gt;""),AND(NU19&gt;=NV$27,NU19&lt;&gt;""),AND(OR19&gt;=OV$27,OR19&lt;&gt;""),AND(OU19&gt;=OV$27,OU19&lt;&gt;"")),"P","")</f>
        <v/>
      </c>
      <c r="H19" s="67" t="str">
        <f>IF(AND(G19="P",F19=""),"No DD",IF(OR(AND(AM19&gt;=AR$26,AN19&gt;=AR$30,AM19&lt;&gt;"",AL19=""),AND(AP19&gt;=AR$26,AQ19&gt;=AR$30,AP19&lt;&gt;"",AL19=""),AND(BN19&gt;=BS$26,BO19&gt;=BS$30,BN19&lt;&gt;"",BM19=""),AND(BQ19&gt;=BS$26,BR19&gt;=BS$30,BQ19&lt;&gt;"",BM19=""),AND(CO19&gt;=CT$26,CP19&gt;=CT$30,CO19&lt;&gt;"",CN19=""),AND(CR19&gt;=CT$26,CS19&gt;=CT$30,CR19&lt;&gt;""),AND(DQ19&gt;=DV$26,DR19&gt;=DV$30,DQ19&lt;&gt;""),AND(DT19&gt;=DV$26,DU19&gt;=DV$30,DT19&lt;&gt;""),AND(EQ19&gt;=EV$26,ER19&gt;=EV$30,EQ19&lt;&gt;""),AND(ET19&gt;=EV$26,EU19&gt;=EV$30,ET19&lt;&gt;""),AND(FQ19&gt;=FV$26,FR19&gt;=FV$30,FQ19&lt;&gt;""),AND(FT19&gt;=FV$26,FU19&gt;=FV$30,FT19&lt;&gt;""),AND(GQ19&gt;=GV$26,GR19&gt;=GV$30,GQ19&lt;&gt;""),AND(GT19&gt;=GV$26,GU19&gt;=GV$30,GT19&lt;&gt;""),AND(HQ19&gt;=HV$26,HR19&gt;=HV$30,HQ19&lt;&gt;""),AND(HT19&gt;=HV$26,HU19&gt;=HV$30,HT19&lt;&gt;""),AND(IQ19&gt;=IV$26,IR19&gt;=IV$30,IQ19&lt;&gt;""),AND(IT19&gt;=IV$26,IU19&gt;=IV$30,IT19&lt;&gt;""),AND(JQ19&gt;=JV$26,JR19&gt;=JV$30,JQ19&lt;&gt;""),AND(JT19&gt;=JV$26,JU19&gt;=JV$30,JT19&lt;&gt;""),AND(KQ19&gt;=KV$26,KR19&gt;=KV$30,KQ19&lt;&gt;""),AND(KT19&gt;=KV$26,KU19&gt;=KV$30,KT19&lt;&gt;""),AND(LQ19&gt;=LV$26,LR19&gt;=LV$30,LQ19&lt;&gt;""),AND(LT19&gt;=LV$26,LU19&gt;=LV$30,LT19&lt;&gt;""),AND(MQ19&gt;=MV$26,MR19&gt;=MV$30,MQ19&lt;&gt;""),AND(MT19&gt;=MV$26,MU19&gt;=MV$30,MT19&lt;&gt;""),AND(NQ19&gt;=NV$26,NR19&gt;=NV$30,NQ19&lt;&gt;""),AND(NT19&gt;=NV$26,NU19&gt;=NV$30,NT19&lt;&gt;""),AND(OQ19&gt;=OV$26,OR19&gt;=OV$30,OQ19&lt;&gt;""),AND(OT19&gt;=OV$26,OU19&gt;=OV$30,OT19&lt;&gt;"")),"Merit",IF(OR(AND(AM19&gt;=AR$25,AN19&gt;=AR$29,AM19&lt;&gt;"",AL19=""),AND(AP19&gt;=AR$25,AQ19&gt;=AR$29,AP19&lt;&gt;"",AL19=""),AND(BN19&gt;=BS$25,BO19&gt;=BS$29,BN19&lt;&gt;"",BM19=""),AND(BQ19&gt;=BS$25,BR19&gt;=BS$29,BQ19&lt;&gt;"",BM19=""),AND(CO19&gt;=CT$25,CP19&gt;=CT$29,CO19&lt;&gt;"",CN19=""),AND(CR19&gt;=CT$25,CS19&gt;=CT$29,CR19&lt;&gt;""),AND(DQ19&gt;=DV$25,DR19&gt;=DV$29,DQ19&lt;&gt;""),AND(DT19&gt;=DV$25,DU19&gt;=DV$29,DT19&lt;&gt;""),AND(EQ19&gt;=EV$25,ER19&gt;=EV$29,EQ19&lt;&gt;""),AND(ET19&gt;=EV$25,EU19&gt;=EV$29,ET19&lt;&gt;""),AND(FQ19&gt;=FV$25,FR19&gt;=FV$29,FQ19&lt;&gt;""),AND(FT19&gt;=FV$25,FU19&gt;=FV$29,FT19&lt;&gt;""),AND(GQ19&gt;=GV$25,GR19&gt;=GV$29,GQ19&lt;&gt;""),AND(GT19&gt;=GV$25,GU19&gt;=GV$29,GT19&lt;&gt;""),AND(HQ19&gt;=HV$25,HR19&gt;=HV$29,HQ19&lt;&gt;""),AND(HT19&gt;=HV$25,HU19&gt;=HV$29,HT19&lt;&gt;""),AND(IQ19&gt;=IV$25,IR19&gt;=IV$29,IQ19&lt;&gt;""),AND(IT19&gt;=IV$25,IU19&gt;=IV$29,IT19&lt;&gt;""),AND(JQ19&gt;=JV$25,JR19&gt;=JV$29,JQ19&lt;&gt;""),AND(JT19&gt;=JV$25,JU19&gt;=JV$29,JT19&lt;&gt;""),AND(KQ19&gt;=KV$25,KR19&gt;=KV$29,KQ19&lt;&gt;""),AND(KT19&gt;=KV$25,KU19&gt;=KV$29,KT19&lt;&gt;""),AND(LQ19&gt;=LV$25,LR19&gt;=LV$29,LQ19&lt;&gt;""),AND(LT19&gt;=LV$25,LU19&gt;=LV$29,LT19&lt;&gt;""),AND(MQ19&gt;=MV$25,MR19&gt;=MV$29,MQ19&lt;&gt;""),AND(MT19&gt;=MV$25,MU19&gt;=MV$29,MT19&lt;&gt;""),AND(NQ19&gt;=NV$25,NR19&gt;=NV$29,NQ19&lt;&gt;""),AND(NT19&gt;=NV$25,NU19&gt;=NV$29,NT19&lt;&gt;""),AND(OQ19&gt;=OV$25,OR19&gt;=OV$29,OQ19&lt;&gt;""),AND(OT19&gt;=OV$25,OU19&gt;=OV$29,OT19&lt;&gt;"")),"Excellence",IF(F19="P","National Team",""))))</f>
        <v/>
      </c>
      <c r="I19" s="14">
        <f>IF(COUNT(AN19,BO19,CP19)&gt;0,LARGE((AN19,BO19,CP19),1),0)</f>
        <v>33.799999999999997</v>
      </c>
      <c r="J19" s="14" t="str">
        <f>IF(I19=0,"",IF(I19=CP19,$BT$1,IF(I19=BO19,$AS$1,IF(I19=AN19,$R$1,""))))</f>
        <v>2022 Elite Canada</v>
      </c>
      <c r="K19" s="14">
        <f>IF(COUNT(AN19,BO19,CP19)&gt;1,LARGE((AN19,BO19,CP19),2),0)</f>
        <v>0</v>
      </c>
      <c r="L19" s="14" t="str">
        <f>IF(K19=0,"",IF(K19=CP19,$BT$1,IF(K19=BO19,$AS$1,IF(K19=AN19,$R$1,""))))</f>
        <v/>
      </c>
      <c r="M19" s="14">
        <f>IF(MAX(AQ19,BR19,CS19)&gt;0,MAX(AQ19,BR19,CS19),0)</f>
        <v>0</v>
      </c>
      <c r="N19" s="14" t="str">
        <f>IF(M19=0,"",IF(M19=CS19,$BT$1,IF(M19=BR19,$AS$1,IF(M19=AQ19,$R$1,""))))</f>
        <v/>
      </c>
      <c r="O19" s="14" t="str">
        <f>IF(MAX(CU19:CV19)&gt;0,MAX(CU19:CV19),"")</f>
        <v/>
      </c>
      <c r="P19" s="20" t="str">
        <f>IF(O19="","",IF(O19=CU19,"("&amp;CU$2&amp;")",IF(O19=CV19,"("&amp;CV$2&amp;")")))</f>
        <v/>
      </c>
      <c r="Q19" s="14" t="str">
        <f>IF(O19="","",IF(O19=CU19,IF(O19+IF(K19="",0,K19)=OR19,$NW$1,IF(O19+IF(K19="",0,K19)=NR19,$MW$1,IF(O19+IF(K19="",0,K19)=MR19,$LW$1,IF(O19+IF(K19="",0,K19)=LR19,$KW$1,IF(O19+IF(K19="",0,K19)=KR19,$JW$1,IF(O19+IF(K19="",0,K19)=JR19,$IW$1,IF(O19+IF(K19="",0,K19)=IR19,$HW$1,IF(O19+IF(K19="",0,K19)=HR19,$GW$1,IF(O19+IF(K19="",0,K19)=GR19,$FW$1,IF(O19+IF(K19="",0,K19)=FR19,$EW$1,IF(O19+IF(K19="",0,K19)=ER19,$DW$1,IF(O19+IF(K19="",0,K19)=DR19,$CW$1)))))))))))),IF(O19=CV19,IF(O19+IF(M19="",0,M19)=OU19,$NW$1,IF(O19+IF(M19="",0,M19)=NU19,$MW$1,IF(O19+IF(M19="",0,M19)=MU19,$LW$1,IF(O19+IF(M19="",0,M19)=LU19,$KW$1,IF(O19+IF(M19="",0,M19)=KU19,$JW$1,IF(O19+IF(M19="",0,M19)=JU19,$IW$1,IF(O19+IF(M19="",0,M19)=IU19,$HW$1,IF(O19+IF(M19="",0,M19)=HU19,$GW$1,IF(O19+IF(M19="",0,M19)=GU19,$FW$1,IF(O19+IF(M19="",0,M19)=FU19,$EW$1,IF(O19+IF(M19="",0,M19)=EU19,$DW$1,IF(O19+IF(M19="",0,M19)=DU19,$CW$1)))))))))))))))</f>
        <v/>
      </c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45"/>
      <c r="AM19" s="79" t="str">
        <f>IF(SUM(S19,W19)&gt;0,SUM(S19,W19),"")</f>
        <v/>
      </c>
      <c r="AN19" s="79" t="str">
        <f>IF(SUM(R19:S19,U19:W19,Y19)-T19-X19&gt;0,SUM(R19:S19,U19:W19,Y19)-T19-X19,"")</f>
        <v/>
      </c>
      <c r="AO19" s="79" t="str">
        <f>IF(SUM(Z19:AA19,AC19)-AB19&gt;0,SUM(Z19:AA19,AC19)-AB19,"")</f>
        <v/>
      </c>
      <c r="AP19" s="79" t="str">
        <f>IF(SUM(AE19,AI19)&gt;0,SUM(AE19,AI19),"")</f>
        <v/>
      </c>
      <c r="AQ19" s="79" t="str">
        <f>IF(SUM(AD19:AE19,AG19:AI19,AK19)-SUM(AF19,AJ19)&gt;0,SUM(AD19:AE19,AG19:AI19,AK19)-SUM(AF19,AJ19),"")</f>
        <v/>
      </c>
      <c r="AR19" s="79" t="str">
        <f>IF(SUM(AN19,AQ19)&gt;0,SUM(AN19,AQ19),"")</f>
        <v/>
      </c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46"/>
      <c r="BN19" s="20" t="str">
        <f>IF(SUM(AT19,AX19)&gt;0,SUM(AT19,AX19),"")</f>
        <v/>
      </c>
      <c r="BO19" s="20" t="str">
        <f>IF(SUM(AS19:AT19,AV19:AX19,AZ19)-AU19-AY19&gt;0,SUM(AS19:AT19,AV19:AX19,AZ19)-AU19-AY19,"")</f>
        <v/>
      </c>
      <c r="BP19" s="20" t="str">
        <f>IF(SUM(BA19:BB19,BD19)-BC19&gt;0,SUM(BA19:BB19,BD19)-BC19,"")</f>
        <v/>
      </c>
      <c r="BQ19" s="20" t="str">
        <f>IF(SUM(BF19,BJ19)&gt;0,SUM(BF19,BJ19),"")</f>
        <v/>
      </c>
      <c r="BR19" s="20" t="str">
        <f>IF(SUM(BE19:BF19,BH19:BJ19,BL19)-SUM(BG19,BK19)&gt;0,SUM(BE19:BF19,BH19:BJ19,BL19)-SUM(BG19,BK19),"")</f>
        <v/>
      </c>
      <c r="BS19" s="20" t="str">
        <f>IF(SUM(BO19,BR19)&gt;0,SUM(BO19,BR19),"")</f>
        <v/>
      </c>
      <c r="BT19" s="27">
        <v>17</v>
      </c>
      <c r="BU19" s="27">
        <v>1.8</v>
      </c>
      <c r="BV19" s="27">
        <v>1.2</v>
      </c>
      <c r="BW19" s="27">
        <v>0</v>
      </c>
      <c r="BX19" s="27">
        <v>15.2</v>
      </c>
      <c r="BY19" s="27">
        <v>3.1</v>
      </c>
      <c r="BZ19" s="27">
        <v>2.4</v>
      </c>
      <c r="CA19" s="27">
        <v>0.3</v>
      </c>
      <c r="CB19" s="27"/>
      <c r="CC19" s="27"/>
      <c r="CD19" s="27"/>
      <c r="CE19" s="27"/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0</v>
      </c>
      <c r="CL19" s="27">
        <v>0</v>
      </c>
      <c r="CM19" s="27">
        <v>0</v>
      </c>
      <c r="CN19" s="45"/>
      <c r="CO19" s="79">
        <f>IF(SUM(BU19,BY19)&gt;0,SUM(BU19,BY19),"")</f>
        <v>4.9000000000000004</v>
      </c>
      <c r="CP19" s="79">
        <f>IF(SUM(BT19:BU19,BW19:BY19,CA19)-BV19-BZ19&gt;0,SUM(BT19:BU19,BW19:BY19,CA19)-BV19-BZ19,"")</f>
        <v>33.799999999999997</v>
      </c>
      <c r="CQ19" s="79" t="str">
        <f>IF(SUM(CB19:CC19,CE19)-CD19&gt;0,SUM(CB19:CC19,CE19)-CD19,"")</f>
        <v/>
      </c>
      <c r="CR19" s="79" t="str">
        <f>IF(SUM(CG19,CK19)&gt;0,SUM(CG19,CK19),"")</f>
        <v/>
      </c>
      <c r="CS19" s="79" t="str">
        <f>IF(SUM(CF19:CG19,CI19:CK19,CM19)-SUM(CH19,CL19)&gt;0,SUM(CF19:CG19,CI19:CK19,CM19)-SUM(CH19,CL19),"")</f>
        <v/>
      </c>
      <c r="CT19" s="79">
        <f>IF(SUM(CP19,CS19)&gt;0,SUM(CP19,CS19),"")</f>
        <v>33.799999999999997</v>
      </c>
      <c r="CU19" s="80" t="str">
        <f>IF(K19&gt;=0.001,IF(MAX(DR19,ER19,FR19,GR19,HR19,IR19,JR19,KR19,LR19,MR19,NR19,OR19)-IF(K19="",0,K19)&gt;0.001,MAX(DR19,ER19,FR19,GR19,HR19,IR19,JR19,KR19,LR19,MR19,NR19,OR19)-IF(K19="",0,K19),""),"")</f>
        <v/>
      </c>
      <c r="CV19" s="80" t="str">
        <f>IF(M19&gt;=0.001,IF(MAX(DU19,EU19,FU19,GU19,HU19,IU19,JU19,KU19,LU19,MU19,NU19,OU19)-IF(M19="",0,M19)&gt;0.001,MAX(DU19,EU19,FU19,GU19,HU19,IU19,JU19,KU19,LU19,MU19,NU19,OU19)-IF(M19="",0,M19),""),"")</f>
        <v/>
      </c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79" t="str">
        <f>IF(SUM(CX19,DB19)&gt;0,SUM(CX19,DB19),"")</f>
        <v/>
      </c>
      <c r="DR19" s="79" t="str">
        <f>IF(SUM(CW19:CX19,CZ19:DB19,DD19)-CY19-DC19&gt;0,SUM(CW19:CX19,CZ19:DB19,DD19)-CY19-DC19,"")</f>
        <v/>
      </c>
      <c r="DS19" s="79" t="str">
        <f>IF(SUM(DE19:DF19,DH19)-DG19&gt;0,SUM(DE19:DF19,DH19)-DG19,"")</f>
        <v/>
      </c>
      <c r="DT19" s="79" t="str">
        <f>IF(SUM(DJ19,DN19)&gt;0,SUM(DJ19,DN19),"")</f>
        <v/>
      </c>
      <c r="DU19" s="79" t="str">
        <f>IF(SUM(DI19:DJ19,DL19:DN19,DP19)-SUM(DK19,DO19)&gt;0,SUM(DI19:DJ19,DL19:DN19,DP19)-SUM(DK19,DO19),"")</f>
        <v/>
      </c>
      <c r="DV19" s="79" t="str">
        <f>IF(SUM(DR19,DU19)&gt;0,SUM(DR19,DU19),"")</f>
        <v/>
      </c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0" t="str">
        <f>IF(SUM(DX19,EB19)&gt;0,SUM(DX19,EB19),"")</f>
        <v/>
      </c>
      <c r="ER19" s="20" t="str">
        <f>IF(SUM(DW19:DX19,DZ19:EB19,ED19)-DY19-EC19&gt;0,SUM(DW19:DX19,DZ19:EB19,ED19)-DY19-EC19,"")</f>
        <v/>
      </c>
      <c r="ES19" s="20" t="str">
        <f>IF(SUM(EE19:EF19,EH19)-EG19&gt;0,SUM(EE19:EF19,EH19)-EG19,"")</f>
        <v/>
      </c>
      <c r="ET19" s="20" t="str">
        <f>IF(SUM(EJ19,EN19)&gt;0,SUM(EJ19,EN19),"")</f>
        <v/>
      </c>
      <c r="EU19" s="20" t="str">
        <f>IF(SUM(EI19:EJ19,EL19:EN19,EP19)-SUM(EK19,EO19)&gt;0,SUM(EI19:EJ19,EL19:EN19,EP19)-SUM(EK19,EO19),"")</f>
        <v/>
      </c>
      <c r="EV19" s="20" t="str">
        <f>IF(SUM(ER19,EU19)&gt;0,SUM(ER19,EU19),"")</f>
        <v/>
      </c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79" t="str">
        <f>IF(SUM(EX19,FB19)&gt;0,SUM(EX19,FB19),"")</f>
        <v/>
      </c>
      <c r="FR19" s="79" t="str">
        <f>IF(SUM(EW19:EX19,EZ19:FB19,FD19)-EY19-FC19&gt;0,SUM(EW19:EX19,EZ19:FB19,FD19)-EY19-FC19,"")</f>
        <v/>
      </c>
      <c r="FS19" s="79" t="str">
        <f>IF(SUM(FE19:FF19,FH19)-FG19&gt;0,SUM(FE19:FF19,FH19)-FG19,"")</f>
        <v/>
      </c>
      <c r="FT19" s="79" t="str">
        <f>IF(SUM(FJ19,FN19)&gt;0,SUM(FJ19,FN19),"")</f>
        <v/>
      </c>
      <c r="FU19" s="79" t="str">
        <f>IF(SUM(FI19:FJ19,FL19:FN19,FP19)-SUM(FK19,FO19)&gt;0,SUM(FI19:FJ19,FL19:FN19,FP19)-SUM(FK19,FO19),"")</f>
        <v/>
      </c>
      <c r="FV19" s="79" t="str">
        <f>IF(SUM(FR19,FU19)&gt;0,SUM(FR19,FU19),"")</f>
        <v/>
      </c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0" t="str">
        <f>IF(SUM(FX19,GB19)&gt;0,SUM(FX19,GB19),"")</f>
        <v/>
      </c>
      <c r="GR19" s="20" t="str">
        <f>IF(SUM(FW19:FX19,FZ19:GB19,GD19)-FY19-GC19&gt;0,SUM(FW19:FX19,FZ19:GB19,GD19)-FY19-GC19,"")</f>
        <v/>
      </c>
      <c r="GS19" s="20" t="str">
        <f>IF(SUM(GE19:GF19,GH19)-GG19&gt;0,SUM(GE19:GF19,GH19)-GG19,"")</f>
        <v/>
      </c>
      <c r="GT19" s="20" t="str">
        <f>IF(SUM(GJ19,GN19)&gt;0,SUM(GJ19,GN19),"")</f>
        <v/>
      </c>
      <c r="GU19" s="20" t="str">
        <f>IF(SUM(GI19:GJ19,GL19:GN19,GP19)-SUM(GK19,GO19)&gt;0,SUM(GI19:GJ19,GL19:GN19,GP19)-SUM(GK19,GO19),"")</f>
        <v/>
      </c>
      <c r="GV19" s="20" t="str">
        <f>IF(SUM(GR19,GU19)&gt;0,SUM(GR19,GU19),"")</f>
        <v/>
      </c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79" t="str">
        <f>IF(SUM(GX19,HB19)&gt;0,SUM(GX19,HB19),"")</f>
        <v/>
      </c>
      <c r="HR19" s="79" t="str">
        <f>IF(SUM(GW19:GX19,GZ19:HB19,HD19)-GY19-HC19&gt;0,SUM(GW19:GX19,GZ19:HB19,HD19)-GY19-HC19,"")</f>
        <v/>
      </c>
      <c r="HS19" s="79" t="str">
        <f>IF(SUM(HE19:HF19,HH19)-HG19&gt;0,SUM(HE19:HF19,HH19)-HG19,"")</f>
        <v/>
      </c>
      <c r="HT19" s="79" t="str">
        <f>IF(SUM(HJ19,HN19)&gt;0,SUM(HJ19,HN19),"")</f>
        <v/>
      </c>
      <c r="HU19" s="79" t="str">
        <f>IF(SUM(HI19:HJ19,HL19:HN19,HP19)-SUM(HK19,HO19)&gt;0,SUM(HI19:HJ19,HL19:HN19,HP19)-SUM(HK19,HO19),"")</f>
        <v/>
      </c>
      <c r="HV19" s="79" t="str">
        <f>IF(SUM(HR19,HU19)&gt;0,SUM(HR19,HU19),"")</f>
        <v/>
      </c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0" t="str">
        <f>IF(SUM(HX19,IB19)&gt;0,SUM(HX19,IB19),"")</f>
        <v/>
      </c>
      <c r="IR19" s="20" t="str">
        <f>IF(SUM(HW19:HX19,HZ19:IB19,ID19)-HY19-IC19&gt;0,SUM(HW19:HX19,HZ19:IB19,ID19)-HY19-IC19,"")</f>
        <v/>
      </c>
      <c r="IS19" s="20" t="str">
        <f>IF(SUM(IE19:IF19,IH19)-IG19&gt;0,SUM(IE19:IF19,IH19)-IG19,"")</f>
        <v/>
      </c>
      <c r="IT19" s="20" t="str">
        <f>IF(SUM(IJ19,IN19)&gt;0,SUM(IJ19,IN19),"")</f>
        <v/>
      </c>
      <c r="IU19" s="20" t="str">
        <f>IF(SUM(II19:IJ19,IL19:IN19,IP19)-SUM(IK19,IO19)&gt;0,SUM(II19:IJ19,IL19:IN19,IP19)-SUM(IK19,IO19),"")</f>
        <v/>
      </c>
      <c r="IV19" s="20" t="str">
        <f>IF(SUM(IR19,IU19)&gt;0,SUM(IR19,IU19),"")</f>
        <v/>
      </c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79" t="str">
        <f>IF(SUM(IX19,JB19)&gt;0,SUM(IX19,JB19),"")</f>
        <v/>
      </c>
      <c r="JR19" s="79" t="str">
        <f>IF(SUM(IW19:IX19,IZ19:JB19,JD19)-IY19-JC19&gt;0,SUM(IW19:IX19,IZ19:JB19,JD19)-IY19-JC19,"")</f>
        <v/>
      </c>
      <c r="JS19" s="79" t="str">
        <f>IF(SUM(JE19:JF19,JH19)-JG19&gt;0,SUM(JE19:JF19,JH19)-JG19,"")</f>
        <v/>
      </c>
      <c r="JT19" s="79" t="str">
        <f>IF(SUM(JJ19,JN19)&gt;0,SUM(JJ19,JN19),"")</f>
        <v/>
      </c>
      <c r="JU19" s="79" t="str">
        <f>IF(SUM(JI19:JJ19,JL19:JN19,JP19)-SUM(JK19,JO19)&gt;0,SUM(JI19:JJ19,JL19:JN19,JP19)-SUM(JK19,JO19),"")</f>
        <v/>
      </c>
      <c r="JV19" s="79" t="str">
        <f>IF(SUM(JR19,JU19)&gt;0,SUM(JR19,JU19),"")</f>
        <v/>
      </c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0" t="str">
        <f>IF(SUM(JX19,KB19)&gt;0,SUM(JX19,KB19),"")</f>
        <v/>
      </c>
      <c r="KR19" s="20" t="str">
        <f>IF(SUM(JW19:JX19,JZ19:KB19,KD19)-JY19-KC19&gt;0,SUM(JW19:JX19,JZ19:KB19,KD19)-JY19-KC19,"")</f>
        <v/>
      </c>
      <c r="KS19" s="20" t="str">
        <f>IF(SUM(KE19:KF19,KH19)-KG19&gt;0,SUM(KE19:KF19,KH19)-KG19,"")</f>
        <v/>
      </c>
      <c r="KT19" s="20" t="str">
        <f>IF(SUM(KJ19,KN19)&gt;0,SUM(KJ19,KN19),"")</f>
        <v/>
      </c>
      <c r="KU19" s="20" t="str">
        <f>IF(SUM(KI19:KJ19,KL19:KN19,KP19)-SUM(KK19,KO19)&gt;0,SUM(KI19:KJ19,KL19:KN19,KP19)-SUM(KK19,KO19),"")</f>
        <v/>
      </c>
      <c r="KV19" s="20" t="str">
        <f>IF(SUM(KR19,KU19)&gt;0,SUM(KR19,KU19),"")</f>
        <v/>
      </c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79" t="str">
        <f>IF(SUM(KX19,LB19)&gt;0,SUM(KX19,LB19),"")</f>
        <v/>
      </c>
      <c r="LR19" s="79" t="str">
        <f>IF(SUM(KW19:KX19,KZ19:LB19,LD19)-KY19-LC19&gt;0,SUM(KW19:KX19,KZ19:LB19,LD19)-KY19-LC19,"")</f>
        <v/>
      </c>
      <c r="LS19" s="79" t="str">
        <f>IF(SUM(LE19:LF19,LH19)-LG19&gt;0,SUM(LE19:LF19,LH19)-LG19,"")</f>
        <v/>
      </c>
      <c r="LT19" s="79" t="str">
        <f>IF(SUM(LJ19,LN19)&gt;0,SUM(LJ19,LN19),"")</f>
        <v/>
      </c>
      <c r="LU19" s="79" t="str">
        <f>IF(SUM(LI19:LJ19,LL19:LN19,LP19)-SUM(LK19,LO19)&gt;0,SUM(LI19:LJ19,LL19:LN19,LP19)-SUM(LK19,LO19),"")</f>
        <v/>
      </c>
      <c r="LV19" s="79" t="str">
        <f>IF(SUM(LR19,LU19)&gt;0,SUM(LR19,LU19),"")</f>
        <v/>
      </c>
      <c r="LW19" s="26"/>
      <c r="LX19" s="26"/>
      <c r="LY19" s="26"/>
      <c r="LZ19" s="26"/>
      <c r="MA19" s="26"/>
      <c r="MB19" s="26"/>
      <c r="MC19" s="26"/>
      <c r="MD19" s="26"/>
      <c r="ME19" s="26"/>
      <c r="MF19" s="26"/>
      <c r="MG19" s="26"/>
      <c r="MH19" s="26"/>
      <c r="MI19" s="26"/>
      <c r="MJ19" s="26"/>
      <c r="MK19" s="26"/>
      <c r="ML19" s="26"/>
      <c r="MM19" s="26"/>
      <c r="MN19" s="26"/>
      <c r="MO19" s="26"/>
      <c r="MP19" s="26"/>
      <c r="MQ19" s="20" t="str">
        <f>IF(SUM(LX19,MB19)&gt;0,SUM(LX19,MB19),"")</f>
        <v/>
      </c>
      <c r="MR19" s="20" t="str">
        <f>IF(SUM(LW19:LX19,LZ19:MB19,MD19)-LY19-MC19&gt;0,SUM(LW19:LX19,LZ19:MB19,MD19)-LY19-MC19,"")</f>
        <v/>
      </c>
      <c r="MS19" s="20" t="str">
        <f>IF(SUM(ME19:MF19,MH19)-MG19&gt;0,SUM(ME19:MF19,MH19)-MG19,"")</f>
        <v/>
      </c>
      <c r="MT19" s="20" t="str">
        <f>IF(SUM(MJ19,MN19)&gt;0,SUM(MJ19,MN19),"")</f>
        <v/>
      </c>
      <c r="MU19" s="20" t="str">
        <f>IF(SUM(MI19:MJ19,ML19:MN19,MP19)-SUM(MK19,MO19)&gt;0,SUM(MI19:MJ19,ML19:MN19,MP19)-SUM(MK19,MO19),"")</f>
        <v/>
      </c>
      <c r="MV19" s="20" t="str">
        <f>IF(SUM(MR19,MU19)&gt;0,SUM(MR19,MU19),"")</f>
        <v/>
      </c>
      <c r="MW19" s="25"/>
      <c r="MX19" s="25"/>
      <c r="MY19" s="25"/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79" t="str">
        <f>IF(SUM(MX19,NB19)&gt;0,SUM(MX19,NB19),"")</f>
        <v/>
      </c>
      <c r="NR19" s="79" t="str">
        <f>IF(SUM(MW19:MX19,MZ19:NB19,ND19)-MY19-NC19&gt;0,SUM(MW19:MX19,MZ19:NB19,ND19)-MY19-NC19,"")</f>
        <v/>
      </c>
      <c r="NS19" s="79" t="str">
        <f>IF(SUM(NE19:NF19,NH19)-NG19&gt;0,SUM(NE19:NF19,NH19)-NG19,"")</f>
        <v/>
      </c>
      <c r="NT19" s="79" t="str">
        <f>IF(SUM(NJ19,NN19)&gt;0,SUM(NJ19,NN19),"")</f>
        <v/>
      </c>
      <c r="NU19" s="79" t="str">
        <f>IF(SUM(NI19:NJ19,NL19:NN19,NP19)-SUM(NK19,NO19)&gt;0,SUM(NI19:NJ19,NL19:NN19,NP19)-SUM(NK19,NO19),"")</f>
        <v/>
      </c>
      <c r="NV19" s="79" t="str">
        <f>IF(SUM(NR19,NU19)&gt;0,SUM(NR19,NU19),"")</f>
        <v/>
      </c>
      <c r="NW19" s="26"/>
      <c r="NX19" s="26"/>
      <c r="NY19" s="26"/>
      <c r="NZ19" s="26"/>
      <c r="OA19" s="26"/>
      <c r="OB19" s="26"/>
      <c r="OC19" s="26"/>
      <c r="OD19" s="26"/>
      <c r="OE19" s="26"/>
      <c r="OF19" s="26"/>
      <c r="OG19" s="26"/>
      <c r="OH19" s="26"/>
      <c r="OI19" s="26"/>
      <c r="OJ19" s="26"/>
      <c r="OK19" s="26"/>
      <c r="OL19" s="26"/>
      <c r="OM19" s="26"/>
      <c r="ON19" s="26"/>
      <c r="OO19" s="26"/>
      <c r="OP19" s="26"/>
      <c r="OQ19" s="20" t="str">
        <f>IF(SUM(NX19,OB19)&gt;0,SUM(NX19,OB19),"")</f>
        <v/>
      </c>
      <c r="OR19" s="20" t="str">
        <f>IF(SUM(NW19:NX19,NZ19:OB19,OD19)-NY19-OC19&gt;0,SUM(NW19:NX19,NZ19:OB19,OD19)-NY19-OC19,"")</f>
        <v/>
      </c>
      <c r="OS19" s="20" t="str">
        <f>IF(SUM(OE19:OF19,OH19)-OG19&gt;0,SUM(OE19:OF19,OH19)-OG19,"")</f>
        <v/>
      </c>
      <c r="OT19" s="20" t="str">
        <f>IF(SUM(OJ19,ON19)&gt;0,SUM(OJ19,ON19),"")</f>
        <v/>
      </c>
      <c r="OU19" s="20" t="str">
        <f>IF(SUM(OI19:OJ19,OL19:ON19,OP19)-SUM(OK19,OO19)&gt;0,SUM(OI19:OJ19,OL19:ON19,OP19)-SUM(OK19,OO19),"")</f>
        <v/>
      </c>
      <c r="OV19" s="20" t="str">
        <f>IF(SUM(OR19,OU19)&gt;0,SUM(OR19,OU19),"")</f>
        <v/>
      </c>
      <c r="OW19" s="38">
        <f>IF($CN19="P",BT19,(BT19+AS19)/2)</f>
        <v>8.5</v>
      </c>
      <c r="OX19" s="38">
        <f>IF($CN19="P",BU19,(BU19+AT19)/2)</f>
        <v>0.9</v>
      </c>
      <c r="OY19" s="38">
        <f>IF($CN19="P",BV19,(BV19+AU19)/2)</f>
        <v>0.6</v>
      </c>
      <c r="OZ19" s="38">
        <f>IF($CN19="P",BW19,(BW19+AV19)/2)</f>
        <v>0</v>
      </c>
      <c r="PA19" s="38">
        <f>IF($CN19="P",BX19,(BX19+AW19)/2)</f>
        <v>7.6</v>
      </c>
      <c r="PB19" s="38">
        <f>IF($CN19="P",BY19,(BY19+AX19)/2)</f>
        <v>1.55</v>
      </c>
      <c r="PC19" s="38">
        <f>IF($CN19="P",BZ19,(BZ19+AY19)/2)</f>
        <v>1.2</v>
      </c>
      <c r="PD19" s="38">
        <f>IF($CN19="P",CA19,(CA19+AZ19)/2)</f>
        <v>0.15</v>
      </c>
      <c r="PE19" s="38">
        <f>IF($CN19="P",CB19,(CB19+BA19)/2)</f>
        <v>0</v>
      </c>
      <c r="PF19" s="38">
        <f>IF($CN19="P",CC19,(CC19+BB19)/2)</f>
        <v>0</v>
      </c>
      <c r="PG19" s="38">
        <f>IF($CN19="P",CD19,(CD19+BC19)/2)</f>
        <v>0</v>
      </c>
      <c r="PH19" s="38">
        <f>IF($CN19="P",CE19,(CE19+BD19)/2)</f>
        <v>0</v>
      </c>
      <c r="PI19" s="38">
        <f>IF($CN19="P",CF19,(CF19+BE19)/2)</f>
        <v>0</v>
      </c>
      <c r="PJ19" s="38">
        <f>IF($CN19="P",CG19,(CG19+BF19)/2)</f>
        <v>0</v>
      </c>
      <c r="PK19" s="38">
        <f>IF($CN19="P",CH19,(CH19+BG19)/2)</f>
        <v>0</v>
      </c>
      <c r="PL19" s="38">
        <f>IF($CN19="P",CI19,(CI19+BH19)/2)</f>
        <v>0</v>
      </c>
      <c r="PM19" s="38">
        <f>IF($CN19="P",CJ19,(CJ19+BI19)/2)</f>
        <v>0</v>
      </c>
      <c r="PN19" s="38">
        <f>IF($CN19="P",CK19,(CK19+BJ19)/2)</f>
        <v>0</v>
      </c>
      <c r="PO19" s="38">
        <f>IF($CN19="P",CL19,(CL19+BK19)/2)</f>
        <v>0</v>
      </c>
      <c r="PP19" s="38">
        <f>IF($CN19="P",CM19,(CM19+BL19)/2)</f>
        <v>0</v>
      </c>
      <c r="PQ19" s="45" t="s">
        <v>46</v>
      </c>
      <c r="PR19" s="79">
        <f>IF(SUM(OX19,PB19)&gt;0,SUM(OX19,PB19),"")</f>
        <v>2.4500000000000002</v>
      </c>
      <c r="PS19" s="79">
        <f>IF(SUM(OW19:OX19,OZ19:PB19,PD19)-OY19-PC19&gt;0,SUM(OW19:OX19,OZ19:PB19,PD19)-OY19-PC19,"")</f>
        <v>16.899999999999999</v>
      </c>
      <c r="PT19" s="79" t="str">
        <f>IF(SUM(PE19:PF19,PH19)-PG19&gt;0,SUM(PE19:PF19,PH19)-PG19,"")</f>
        <v/>
      </c>
      <c r="PU19" s="79" t="str">
        <f>IF(SUM(PJ19,PN19)&gt;0,SUM(PJ19,PN19),"")</f>
        <v/>
      </c>
      <c r="PV19" s="79" t="str">
        <f>IF(SUM(PI19:PJ19,PL19:PN19,PP19)-SUM(PK19,PO19)&gt;0,SUM(PI19:PJ19,PL19:PN19,PP19)-SUM(PK19,PO19),"")</f>
        <v/>
      </c>
      <c r="PW19" s="79">
        <f>IF(SUM(PS19,PV19)&gt;0,SUM(PS19,PV19),"")</f>
        <v>16.899999999999999</v>
      </c>
    </row>
    <row r="20" spans="1:439" x14ac:dyDescent="0.2">
      <c r="A20" s="5" t="str">
        <f>IF(AND(F20="P",G20="P"),SUMPRODUCT((F$4:F$21="P")*(G$4:G$21="P")*(E$4:E$21&gt;E20))+1,IF(G20="P",SUMPRODUCT((F$4:F$21="")*(G$4:G$21="P")*(E$4:E$21&gt;E20))+1+SUMPRODUCT((F$4:F$21="P")*(G$4:G$21="P")),""))</f>
        <v/>
      </c>
      <c r="B20" s="78" t="s">
        <v>105</v>
      </c>
      <c r="C20" s="5" t="s">
        <v>4</v>
      </c>
      <c r="D20" s="5">
        <v>2002</v>
      </c>
      <c r="E20" s="15">
        <f>SUM(I20:O20)+SUM(I20:M20)*0.0000001+SUM(I20)*0.0000000000001</f>
        <v>1.0000001000001001E-4</v>
      </c>
      <c r="F20" s="3" t="str">
        <f>IF(OR(AND(AM20&gt;=AR$23,AN20&gt;=AR$27,AM20&lt;&gt;"",AL20=""),AND(AP20&gt;=AR$23,AQ20&gt;=AR$27,AP20&lt;&gt;"",AL20=""),AND(BN20&gt;=BS$23,BO20&gt;=BS$27,BN20&lt;&gt;"",BM20=""),AND(BQ20&gt;=BS$23,BR20&gt;=BS$27,BQ20&lt;&gt;"",BM20=""),AND(CO20&gt;=CT$23,CP20&gt;=CT$27,CO20&lt;&gt;"",CN20=""),AND(CR20&gt;=CT$23,CS20&gt;=CT$27,CR20&lt;&gt;""),AND(DQ20&gt;=DV$23,DR20&gt;=DV$27,DQ20&lt;&gt;""),AND(DT20&gt;=DV$23,DU20&gt;=DV$27,DT20&lt;&gt;""),AND(EQ20&gt;=EV$23,ER20&gt;=EV$27,EQ20&lt;&gt;""),AND(ET20&gt;=EV$23,EU20&gt;=EV$27,ET20&lt;&gt;""),AND(FQ20&gt;=FV$23,FR20&gt;=FV$27,FQ20&lt;&gt;""),AND(FT20&gt;=FV$23,FU20&gt;=FV$27,FT20&lt;&gt;""),AND(GQ20&gt;=GV$23,GR20&gt;=GV$27,GQ20&lt;&gt;""),AND(GT20&gt;=GV$23,GU20&gt;=GV$27,GT20&lt;&gt;""),AND(HQ20&gt;=HV$23,HR20&gt;=HV$27,HQ20&lt;&gt;""),AND(HT20&gt;=HV$23,HU20&gt;=HV$27,HT20&lt;&gt;""),AND(IQ20&gt;=IV$23,IR20&gt;=IV$27,IQ20&lt;&gt;""),AND(IT20&gt;=IV$23,IU20&gt;=IV$27,IT20&lt;&gt;""),AND(JQ20&gt;=JV$23,JR20&gt;=JV$27,JQ20&lt;&gt;""),AND(JT20&gt;=JV$23,JU20&gt;=JV$27,JT20&lt;&gt;""),AND(KQ20&gt;=KV$23,KR20&gt;=KV$27,KQ20&lt;&gt;""),AND(KT20&gt;=KV$23,KU20&gt;=KV$27,KT20&lt;&gt;""),AND(LQ20&gt;=LV$23,LR20&gt;=LV$27,LQ20&lt;&gt;""),AND(LT20&gt;=LV$23,LU20&gt;=LV$27,LT20&lt;&gt;""),AND(MQ20&gt;=MV$23,MR20&gt;=MV$27,MQ20&lt;&gt;""),AND(MT20&gt;=MV$23,MU20&gt;=MV$27,MT20&lt;&gt;""),AND(NQ20&gt;=NV$23,NR20&gt;=NV$27,NQ20&lt;&gt;""),AND(NT20&gt;=NV$23,NU20&gt;=NV$27,NT20&lt;&gt;""),AND(OQ20&gt;=OV$23,OR20&gt;=OV$27,OQ20&lt;&gt;""),AND(OT20&gt;=OV$23,OU20&gt;=OV$27,OT20&lt;&gt;"")),"P","")</f>
        <v/>
      </c>
      <c r="G20" s="3" t="str">
        <f>IF(OR(AND(AN20&gt;=AR$27,AN20&lt;&gt;"",AL20=""),AND(AQ20&gt;=AR$27,AQ20&lt;&gt;"",AL20=""),AND(BO20&gt;=BS$27,BO20&lt;&gt;"",BM20=""),AND(BR20&gt;=BS$27,BR20&lt;&gt;"",BM20=""),AND(CP20&gt;=CT$27,CP20&lt;&gt;"",CN20=""),AND(CS20&gt;=CT$27,CS20&lt;&gt;"",CN20=""),AND(DR20&gt;=DV$27,DR20&lt;&gt;""),AND(DU20&gt;=DV$27,DU20&lt;&gt;""),AND(ER20&gt;=EV$27,ER20&lt;&gt;""),AND(EU20&gt;=EV$27,EU20&lt;&gt;""),AND(FR20&gt;=FV$27,FR20&lt;&gt;""),AND(FU20&gt;=FV$27,FU20&lt;&gt;""),AND(GR20&gt;=GV$27,GR20&lt;&gt;""),AND(GU20&gt;=GV$27,GU20&lt;&gt;""),AND(HR20&gt;=HV$27,HR20&lt;&gt;""),AND(HU20&gt;=HV$27,HU20&lt;&gt;""),AND(IR20&gt;=IV$27,IR20&lt;&gt;""),AND(IU20&gt;=IV$27,IU20&lt;&gt;""),AND(JR20&gt;=JV$27,JR20&lt;&gt;""),AND(JU20&gt;=JV$27,JU20&lt;&gt;""),AND(KR20&gt;=KV$27,KR20&lt;&gt;""),AND(KU20&gt;=KV$27,KU20&lt;&gt;""),AND(LR20&gt;=LV$27,LR20&lt;&gt;""),AND(LU20&gt;=LV$27,LU20&lt;&gt;""),AND(MR20&gt;=MV$27,MR20&lt;&gt;""),AND(MU20&gt;=MV$27,MU20&lt;&gt;""),AND(NR20&gt;=NV$27,NR20&lt;&gt;""),AND(NU20&gt;=NV$27,NU20&lt;&gt;""),AND(OR20&gt;=OV$27,OR20&lt;&gt;""),AND(OU20&gt;=OV$27,OU20&lt;&gt;"")),"P","")</f>
        <v/>
      </c>
      <c r="H20" s="67" t="str">
        <f>IF(AND(G20="P",F20=""),"No DD",IF(OR(AND(AM20&gt;=AR$26,AN20&gt;=AR$30,AM20&lt;&gt;"",AL20=""),AND(AP20&gt;=AR$26,AQ20&gt;=AR$30,AP20&lt;&gt;"",AL20=""),AND(BN20&gt;=BS$26,BO20&gt;=BS$30,BN20&lt;&gt;"",BM20=""),AND(BQ20&gt;=BS$26,BR20&gt;=BS$30,BQ20&lt;&gt;"",BM20=""),AND(CO20&gt;=CT$26,CP20&gt;=CT$30,CO20&lt;&gt;"",CN20=""),AND(CR20&gt;=CT$26,CS20&gt;=CT$30,CR20&lt;&gt;""),AND(DQ20&gt;=DV$26,DR20&gt;=DV$30,DQ20&lt;&gt;""),AND(DT20&gt;=DV$26,DU20&gt;=DV$30,DT20&lt;&gt;""),AND(EQ20&gt;=EV$26,ER20&gt;=EV$30,EQ20&lt;&gt;""),AND(ET20&gt;=EV$26,EU20&gt;=EV$30,ET20&lt;&gt;""),AND(FQ20&gt;=FV$26,FR20&gt;=FV$30,FQ20&lt;&gt;""),AND(FT20&gt;=FV$26,FU20&gt;=FV$30,FT20&lt;&gt;""),AND(GQ20&gt;=GV$26,GR20&gt;=GV$30,GQ20&lt;&gt;""),AND(GT20&gt;=GV$26,GU20&gt;=GV$30,GT20&lt;&gt;""),AND(HQ20&gt;=HV$26,HR20&gt;=HV$30,HQ20&lt;&gt;""),AND(HT20&gt;=HV$26,HU20&gt;=HV$30,HT20&lt;&gt;""),AND(IQ20&gt;=IV$26,IR20&gt;=IV$30,IQ20&lt;&gt;""),AND(IT20&gt;=IV$26,IU20&gt;=IV$30,IT20&lt;&gt;""),AND(JQ20&gt;=JV$26,JR20&gt;=JV$30,JQ20&lt;&gt;""),AND(JT20&gt;=JV$26,JU20&gt;=JV$30,JT20&lt;&gt;""),AND(KQ20&gt;=KV$26,KR20&gt;=KV$30,KQ20&lt;&gt;""),AND(KT20&gt;=KV$26,KU20&gt;=KV$30,KT20&lt;&gt;""),AND(LQ20&gt;=LV$26,LR20&gt;=LV$30,LQ20&lt;&gt;""),AND(LT20&gt;=LV$26,LU20&gt;=LV$30,LT20&lt;&gt;""),AND(MQ20&gt;=MV$26,MR20&gt;=MV$30,MQ20&lt;&gt;""),AND(MT20&gt;=MV$26,MU20&gt;=MV$30,MT20&lt;&gt;""),AND(NQ20&gt;=NV$26,NR20&gt;=NV$30,NQ20&lt;&gt;""),AND(NT20&gt;=NV$26,NU20&gt;=NV$30,NT20&lt;&gt;""),AND(OQ20&gt;=OV$26,OR20&gt;=OV$30,OQ20&lt;&gt;""),AND(OT20&gt;=OV$26,OU20&gt;=OV$30,OT20&lt;&gt;"")),"Merit",IF(OR(AND(AM20&gt;=AR$25,AN20&gt;=AR$29,AM20&lt;&gt;"",AL20=""),AND(AP20&gt;=AR$25,AQ20&gt;=AR$29,AP20&lt;&gt;"",AL20=""),AND(BN20&gt;=BS$25,BO20&gt;=BS$29,BN20&lt;&gt;"",BM20=""),AND(BQ20&gt;=BS$25,BR20&gt;=BS$29,BQ20&lt;&gt;"",BM20=""),AND(CO20&gt;=CT$25,CP20&gt;=CT$29,CO20&lt;&gt;"",CN20=""),AND(CR20&gt;=CT$25,CS20&gt;=CT$29,CR20&lt;&gt;""),AND(DQ20&gt;=DV$25,DR20&gt;=DV$29,DQ20&lt;&gt;""),AND(DT20&gt;=DV$25,DU20&gt;=DV$29,DT20&lt;&gt;""),AND(EQ20&gt;=EV$25,ER20&gt;=EV$29,EQ20&lt;&gt;""),AND(ET20&gt;=EV$25,EU20&gt;=EV$29,ET20&lt;&gt;""),AND(FQ20&gt;=FV$25,FR20&gt;=FV$29,FQ20&lt;&gt;""),AND(FT20&gt;=FV$25,FU20&gt;=FV$29,FT20&lt;&gt;""),AND(GQ20&gt;=GV$25,GR20&gt;=GV$29,GQ20&lt;&gt;""),AND(GT20&gt;=GV$25,GU20&gt;=GV$29,GT20&lt;&gt;""),AND(HQ20&gt;=HV$25,HR20&gt;=HV$29,HQ20&lt;&gt;""),AND(HT20&gt;=HV$25,HU20&gt;=HV$29,HT20&lt;&gt;""),AND(IQ20&gt;=IV$25,IR20&gt;=IV$29,IQ20&lt;&gt;""),AND(IT20&gt;=IV$25,IU20&gt;=IV$29,IT20&lt;&gt;""),AND(JQ20&gt;=JV$25,JR20&gt;=JV$29,JQ20&lt;&gt;""),AND(JT20&gt;=JV$25,JU20&gt;=JV$29,JT20&lt;&gt;""),AND(KQ20&gt;=KV$25,KR20&gt;=KV$29,KQ20&lt;&gt;""),AND(KT20&gt;=KV$25,KU20&gt;=KV$29,KT20&lt;&gt;""),AND(LQ20&gt;=LV$25,LR20&gt;=LV$29,LQ20&lt;&gt;""),AND(LT20&gt;=LV$25,LU20&gt;=LV$29,LT20&lt;&gt;""),AND(MQ20&gt;=MV$25,MR20&gt;=MV$29,MQ20&lt;&gt;""),AND(MT20&gt;=MV$25,MU20&gt;=MV$29,MT20&lt;&gt;""),AND(NQ20&gt;=NV$25,NR20&gt;=NV$29,NQ20&lt;&gt;""),AND(NT20&gt;=NV$25,NU20&gt;=NV$29,NT20&lt;&gt;""),AND(OQ20&gt;=OV$25,OR20&gt;=OV$29,OQ20&lt;&gt;""),AND(OT20&gt;=OV$25,OU20&gt;=OV$29,OT20&lt;&gt;"")),"Excellence",IF(F20="P","National Team",""))))</f>
        <v/>
      </c>
      <c r="I20" s="14">
        <f>IF(COUNT(AN20,BO20,CP20)&gt;0,LARGE((AN20,BO20,CP20),1),0)</f>
        <v>1E-4</v>
      </c>
      <c r="J20" s="14" t="str">
        <f>IF(I20=0,"",IF(I20=CP20,$BT$1,IF(I20=BO20,$AS$1,IF(I20=AN20,$R$1,""))))</f>
        <v>2021 Elite Canada</v>
      </c>
      <c r="K20" s="14">
        <f>IF(COUNT(AN20,BO20,CP20)&gt;1,LARGE((AN20,BO20,CP20),2),0)</f>
        <v>0</v>
      </c>
      <c r="L20" s="14" t="str">
        <f>IF(K20=0,"",IF(K20=CP20,$BT$1,IF(K20=BO20,$AS$1,IF(K20=AN20,$R$1,""))))</f>
        <v/>
      </c>
      <c r="M20" s="14">
        <f>IF(MAX(AQ20,BR20,CS20)&gt;0,MAX(AQ20,BR20,CS20),0)</f>
        <v>0</v>
      </c>
      <c r="N20" s="14" t="str">
        <f>IF(M20=0,"",IF(M20=CS20,$BT$1,IF(M20=BR20,$AS$1,IF(M20=AQ20,$R$1,""))))</f>
        <v/>
      </c>
      <c r="O20" s="14" t="str">
        <f>IF(MAX(CU20:CV20)&gt;0,MAX(CU20:CV20),"")</f>
        <v/>
      </c>
      <c r="P20" s="20" t="str">
        <f>IF(O20="","",IF(O20=CU20,"("&amp;CU$2&amp;")",IF(O20=CV20,"("&amp;CV$2&amp;")")))</f>
        <v/>
      </c>
      <c r="Q20" s="14" t="str">
        <f>IF(O20="","",IF(O20=CU20,IF(O20+IF(K20="",0,K20)=OR20,$NW$1,IF(O20+IF(K20="",0,K20)=NR20,$MW$1,IF(O20+IF(K20="",0,K20)=MR20,$LW$1,IF(O20+IF(K20="",0,K20)=LR20,$KW$1,IF(O20+IF(K20="",0,K20)=KR20,$JW$1,IF(O20+IF(K20="",0,K20)=JR20,$IW$1,IF(O20+IF(K20="",0,K20)=IR20,$HW$1,IF(O20+IF(K20="",0,K20)=HR20,$GW$1,IF(O20+IF(K20="",0,K20)=GR20,$FW$1,IF(O20+IF(K20="",0,K20)=FR20,$EW$1,IF(O20+IF(K20="",0,K20)=ER20,$DW$1,IF(O20+IF(K20="",0,K20)=DR20,$CW$1)))))))))))),IF(O20=CV20,IF(O20+IF(M20="",0,M20)=OU20,$NW$1,IF(O20+IF(M20="",0,M20)=NU20,$MW$1,IF(O20+IF(M20="",0,M20)=MU20,$LW$1,IF(O20+IF(M20="",0,M20)=LU20,$KW$1,IF(O20+IF(M20="",0,M20)=KU20,$JW$1,IF(O20+IF(M20="",0,M20)=JU20,$IW$1,IF(O20+IF(M20="",0,M20)=IU20,$HW$1,IF(O20+IF(M20="",0,M20)=HU20,$GW$1,IF(O20+IF(M20="",0,M20)=GU20,$FW$1,IF(O20+IF(M20="",0,M20)=FU20,$EW$1,IF(O20+IF(M20="",0,M20)=EU20,$DW$1,IF(O20+IF(M20="",0,M20)=DU20,$CW$1)))))))))))))))</f>
        <v/>
      </c>
      <c r="R20" s="27"/>
      <c r="S20" s="27">
        <v>1E-4</v>
      </c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45"/>
      <c r="AM20" s="79">
        <f>IF(SUM(S20,W20)&gt;0,SUM(S20,W20),"")</f>
        <v>1E-4</v>
      </c>
      <c r="AN20" s="79">
        <f>IF(SUM(R20:S20,U20:W20,Y20)-T20-X20&gt;0,SUM(R20:S20,U20:W20,Y20)-T20-X20,"")</f>
        <v>1E-4</v>
      </c>
      <c r="AO20" s="79" t="str">
        <f>IF(SUM(Z20:AA20,AC20)-AB20&gt;0,SUM(Z20:AA20,AC20)-AB20,"")</f>
        <v/>
      </c>
      <c r="AP20" s="79" t="str">
        <f>IF(SUM(AE20,AI20)&gt;0,SUM(AE20,AI20),"")</f>
        <v/>
      </c>
      <c r="AQ20" s="79" t="str">
        <f>IF(SUM(AD20:AE20,AG20:AI20,AK20)-SUM(AF20,AJ20)&gt;0,SUM(AD20:AE20,AG20:AI20,AK20)-SUM(AF20,AJ20),"")</f>
        <v/>
      </c>
      <c r="AR20" s="79">
        <f>IF(SUM(AN20,AQ20)&gt;0,SUM(AN20,AQ20),"")</f>
        <v>1E-4</v>
      </c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46"/>
      <c r="BN20" s="20" t="str">
        <f>IF(SUM(AT20,AX20)&gt;0,SUM(AT20,AX20),"")</f>
        <v/>
      </c>
      <c r="BO20" s="20" t="str">
        <f>IF(SUM(AS20:AT20,AV20:AX20,AZ20)-AU20-AY20&gt;0,SUM(AS20:AT20,AV20:AX20,AZ20)-AU20-AY20,"")</f>
        <v/>
      </c>
      <c r="BP20" s="20" t="str">
        <f>IF(SUM(BA20:BB20,BD20)-BC20&gt;0,SUM(BA20:BB20,BD20)-BC20,"")</f>
        <v/>
      </c>
      <c r="BQ20" s="20" t="str">
        <f>IF(SUM(BF20,BJ20)&gt;0,SUM(BF20,BJ20),"")</f>
        <v/>
      </c>
      <c r="BR20" s="20" t="str">
        <f>IF(SUM(BE20:BF20,BH20:BJ20,BL20)-SUM(BG20,BK20)&gt;0,SUM(BE20:BF20,BH20:BJ20,BL20)-SUM(BG20,BK20),"")</f>
        <v/>
      </c>
      <c r="BS20" s="20" t="str">
        <f>IF(SUM(BO20,BR20)&gt;0,SUM(BO20,BR20),"")</f>
        <v/>
      </c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45"/>
      <c r="CO20" s="79" t="str">
        <f>IF(SUM(BU20,BY20)&gt;0,SUM(BU20,BY20),"")</f>
        <v/>
      </c>
      <c r="CP20" s="79" t="str">
        <f>IF(SUM(BT20:BU20,BW20:BY20,CA20)-BV20-BZ20&gt;0,SUM(BT20:BU20,BW20:BY20,CA20)-BV20-BZ20,"")</f>
        <v/>
      </c>
      <c r="CQ20" s="79" t="str">
        <f>IF(SUM(CB20:CC20,CE20)-CD20&gt;0,SUM(CB20:CC20,CE20)-CD20,"")</f>
        <v/>
      </c>
      <c r="CR20" s="79" t="str">
        <f>IF(SUM(CG20,CK20)&gt;0,SUM(CG20,CK20),"")</f>
        <v/>
      </c>
      <c r="CS20" s="79" t="str">
        <f>IF(SUM(CF20:CG20,CI20:CK20,CM20)-SUM(CH20,CL20)&gt;0,SUM(CF20:CG20,CI20:CK20,CM20)-SUM(CH20,CL20),"")</f>
        <v/>
      </c>
      <c r="CT20" s="79" t="str">
        <f>IF(SUM(CP20,CS20)&gt;0,SUM(CP20,CS20),"")</f>
        <v/>
      </c>
      <c r="CU20" s="80" t="str">
        <f>IF(K20&gt;=0.001,IF(MAX(DR20,ER20,FR20,GR20,HR20,IR20,JR20,KR20,LR20,MR20,NR20,OR20)-IF(K20="",0,K20)&gt;0.001,MAX(DR20,ER20,FR20,GR20,HR20,IR20,JR20,KR20,LR20,MR20,NR20,OR20)-IF(K20="",0,K20),""),"")</f>
        <v/>
      </c>
      <c r="CV20" s="80" t="str">
        <f>IF(M20&gt;=0.001,IF(MAX(DU20,EU20,FU20,GU20,HU20,IU20,JU20,KU20,LU20,MU20,NU20,OU20)-IF(M20="",0,M20)&gt;0.001,MAX(DU20,EU20,FU20,GU20,HU20,IU20,JU20,KU20,LU20,MU20,NU20,OU20)-IF(M20="",0,M20),""),"")</f>
        <v/>
      </c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79" t="str">
        <f>IF(SUM(CX20,DB20)&gt;0,SUM(CX20,DB20),"")</f>
        <v/>
      </c>
      <c r="DR20" s="79" t="str">
        <f>IF(SUM(CW20:CX20,CZ20:DB20,DD20)-CY20-DC20&gt;0,SUM(CW20:CX20,CZ20:DB20,DD20)-CY20-DC20,"")</f>
        <v/>
      </c>
      <c r="DS20" s="79" t="str">
        <f>IF(SUM(DE20:DF20,DH20)-DG20&gt;0,SUM(DE20:DF20,DH20)-DG20,"")</f>
        <v/>
      </c>
      <c r="DT20" s="79" t="str">
        <f>IF(SUM(DJ20,DN20)&gt;0,SUM(DJ20,DN20),"")</f>
        <v/>
      </c>
      <c r="DU20" s="79" t="str">
        <f>IF(SUM(DI20:DJ20,DL20:DN20,DP20)-SUM(DK20,DO20)&gt;0,SUM(DI20:DJ20,DL20:DN20,DP20)-SUM(DK20,DO20),"")</f>
        <v/>
      </c>
      <c r="DV20" s="79" t="str">
        <f>IF(SUM(DR20,DU20)&gt;0,SUM(DR20,DU20),"")</f>
        <v/>
      </c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0" t="str">
        <f>IF(SUM(DX20,EB20)&gt;0,SUM(DX20,EB20),"")</f>
        <v/>
      </c>
      <c r="ER20" s="20" t="str">
        <f>IF(SUM(DW20:DX20,DZ20:EB20,ED20)-DY20-EC20&gt;0,SUM(DW20:DX20,DZ20:EB20,ED20)-DY20-EC20,"")</f>
        <v/>
      </c>
      <c r="ES20" s="20" t="str">
        <f>IF(SUM(EE20:EF20,EH20)-EG20&gt;0,SUM(EE20:EF20,EH20)-EG20,"")</f>
        <v/>
      </c>
      <c r="ET20" s="20" t="str">
        <f>IF(SUM(EJ20,EN20)&gt;0,SUM(EJ20,EN20),"")</f>
        <v/>
      </c>
      <c r="EU20" s="20" t="str">
        <f>IF(SUM(EI20:EJ20,EL20:EN20,EP20)-SUM(EK20,EO20)&gt;0,SUM(EI20:EJ20,EL20:EN20,EP20)-SUM(EK20,EO20),"")</f>
        <v/>
      </c>
      <c r="EV20" s="20" t="str">
        <f>IF(SUM(ER20,EU20)&gt;0,SUM(ER20,EU20),"")</f>
        <v/>
      </c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25"/>
      <c r="FL20" s="25"/>
      <c r="FM20" s="25"/>
      <c r="FN20" s="25"/>
      <c r="FO20" s="25"/>
      <c r="FP20" s="25"/>
      <c r="FQ20" s="79" t="str">
        <f>IF(SUM(EX20,FB20)&gt;0,SUM(EX20,FB20),"")</f>
        <v/>
      </c>
      <c r="FR20" s="79" t="str">
        <f>IF(SUM(EW20:EX20,EZ20:FB20,FD20)-EY20-FC20&gt;0,SUM(EW20:EX20,EZ20:FB20,FD20)-EY20-FC20,"")</f>
        <v/>
      </c>
      <c r="FS20" s="79" t="str">
        <f>IF(SUM(FE20:FF20,FH20)-FG20&gt;0,SUM(FE20:FF20,FH20)-FG20,"")</f>
        <v/>
      </c>
      <c r="FT20" s="79" t="str">
        <f>IF(SUM(FJ20,FN20)&gt;0,SUM(FJ20,FN20),"")</f>
        <v/>
      </c>
      <c r="FU20" s="79" t="str">
        <f>IF(SUM(FI20:FJ20,FL20:FN20,FP20)-SUM(FK20,FO20)&gt;0,SUM(FI20:FJ20,FL20:FN20,FP20)-SUM(FK20,FO20),"")</f>
        <v/>
      </c>
      <c r="FV20" s="79" t="str">
        <f>IF(SUM(FR20,FU20)&gt;0,SUM(FR20,FU20),"")</f>
        <v/>
      </c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0" t="str">
        <f>IF(SUM(FX20,GB20)&gt;0,SUM(FX20,GB20),"")</f>
        <v/>
      </c>
      <c r="GR20" s="20" t="str">
        <f>IF(SUM(FW20:FX20,FZ20:GB20,GD20)-FY20-GC20&gt;0,SUM(FW20:FX20,FZ20:GB20,GD20)-FY20-GC20,"")</f>
        <v/>
      </c>
      <c r="GS20" s="20" t="str">
        <f>IF(SUM(GE20:GF20,GH20)-GG20&gt;0,SUM(GE20:GF20,GH20)-GG20,"")</f>
        <v/>
      </c>
      <c r="GT20" s="20" t="str">
        <f>IF(SUM(GJ20,GN20)&gt;0,SUM(GJ20,GN20),"")</f>
        <v/>
      </c>
      <c r="GU20" s="20" t="str">
        <f>IF(SUM(GI20:GJ20,GL20:GN20,GP20)-SUM(GK20,GO20)&gt;0,SUM(GI20:GJ20,GL20:GN20,GP20)-SUM(GK20,GO20),"")</f>
        <v/>
      </c>
      <c r="GV20" s="20" t="str">
        <f>IF(SUM(GR20,GU20)&gt;0,SUM(GR20,GU20),"")</f>
        <v/>
      </c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25"/>
      <c r="HI20" s="25"/>
      <c r="HJ20" s="25"/>
      <c r="HK20" s="25"/>
      <c r="HL20" s="25"/>
      <c r="HM20" s="25"/>
      <c r="HN20" s="25"/>
      <c r="HO20" s="25"/>
      <c r="HP20" s="25"/>
      <c r="HQ20" s="79" t="str">
        <f>IF(SUM(GX20,HB20)&gt;0,SUM(GX20,HB20),"")</f>
        <v/>
      </c>
      <c r="HR20" s="79" t="str">
        <f>IF(SUM(GW20:GX20,GZ20:HB20,HD20)-GY20-HC20&gt;0,SUM(GW20:GX20,GZ20:HB20,HD20)-GY20-HC20,"")</f>
        <v/>
      </c>
      <c r="HS20" s="79" t="str">
        <f>IF(SUM(HE20:HF20,HH20)-HG20&gt;0,SUM(HE20:HF20,HH20)-HG20,"")</f>
        <v/>
      </c>
      <c r="HT20" s="79" t="str">
        <f>IF(SUM(HJ20,HN20)&gt;0,SUM(HJ20,HN20),"")</f>
        <v/>
      </c>
      <c r="HU20" s="79" t="str">
        <f>IF(SUM(HI20:HJ20,HL20:HN20,HP20)-SUM(HK20,HO20)&gt;0,SUM(HI20:HJ20,HL20:HN20,HP20)-SUM(HK20,HO20),"")</f>
        <v/>
      </c>
      <c r="HV20" s="79" t="str">
        <f>IF(SUM(HR20,HU20)&gt;0,SUM(HR20,HU20),"")</f>
        <v/>
      </c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0" t="str">
        <f>IF(SUM(HX20,IB20)&gt;0,SUM(HX20,IB20),"")</f>
        <v/>
      </c>
      <c r="IR20" s="20" t="str">
        <f>IF(SUM(HW20:HX20,HZ20:IB20,ID20)-HY20-IC20&gt;0,SUM(HW20:HX20,HZ20:IB20,ID20)-HY20-IC20,"")</f>
        <v/>
      </c>
      <c r="IS20" s="20" t="str">
        <f>IF(SUM(IE20:IF20,IH20)-IG20&gt;0,SUM(IE20:IF20,IH20)-IG20,"")</f>
        <v/>
      </c>
      <c r="IT20" s="20" t="str">
        <f>IF(SUM(IJ20,IN20)&gt;0,SUM(IJ20,IN20),"")</f>
        <v/>
      </c>
      <c r="IU20" s="20" t="str">
        <f>IF(SUM(II20:IJ20,IL20:IN20,IP20)-SUM(IK20,IO20)&gt;0,SUM(II20:IJ20,IL20:IN20,IP20)-SUM(IK20,IO20),"")</f>
        <v/>
      </c>
      <c r="IV20" s="20" t="str">
        <f>IF(SUM(IR20,IU20)&gt;0,SUM(IR20,IU20),"")</f>
        <v/>
      </c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79" t="str">
        <f>IF(SUM(IX20,JB20)&gt;0,SUM(IX20,JB20),"")</f>
        <v/>
      </c>
      <c r="JR20" s="79" t="str">
        <f>IF(SUM(IW20:IX20,IZ20:JB20,JD20)-IY20-JC20&gt;0,SUM(IW20:IX20,IZ20:JB20,JD20)-IY20-JC20,"")</f>
        <v/>
      </c>
      <c r="JS20" s="79" t="str">
        <f>IF(SUM(JE20:JF20,JH20)-JG20&gt;0,SUM(JE20:JF20,JH20)-JG20,"")</f>
        <v/>
      </c>
      <c r="JT20" s="79" t="str">
        <f>IF(SUM(JJ20,JN20)&gt;0,SUM(JJ20,JN20),"")</f>
        <v/>
      </c>
      <c r="JU20" s="79" t="str">
        <f>IF(SUM(JI20:JJ20,JL20:JN20,JP20)-SUM(JK20,JO20)&gt;0,SUM(JI20:JJ20,JL20:JN20,JP20)-SUM(JK20,JO20),"")</f>
        <v/>
      </c>
      <c r="JV20" s="79" t="str">
        <f>IF(SUM(JR20,JU20)&gt;0,SUM(JR20,JU20),"")</f>
        <v/>
      </c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26"/>
      <c r="KM20" s="26"/>
      <c r="KN20" s="26"/>
      <c r="KO20" s="26"/>
      <c r="KP20" s="26"/>
      <c r="KQ20" s="20" t="str">
        <f>IF(SUM(JX20,KB20)&gt;0,SUM(JX20,KB20),"")</f>
        <v/>
      </c>
      <c r="KR20" s="20" t="str">
        <f>IF(SUM(JW20:JX20,JZ20:KB20,KD20)-JY20-KC20&gt;0,SUM(JW20:JX20,JZ20:KB20,KD20)-JY20-KC20,"")</f>
        <v/>
      </c>
      <c r="KS20" s="20" t="str">
        <f>IF(SUM(KE20:KF20,KH20)-KG20&gt;0,SUM(KE20:KF20,KH20)-KG20,"")</f>
        <v/>
      </c>
      <c r="KT20" s="20" t="str">
        <f>IF(SUM(KJ20,KN20)&gt;0,SUM(KJ20,KN20),"")</f>
        <v/>
      </c>
      <c r="KU20" s="20" t="str">
        <f>IF(SUM(KI20:KJ20,KL20:KN20,KP20)-SUM(KK20,KO20)&gt;0,SUM(KI20:KJ20,KL20:KN20,KP20)-SUM(KK20,KO20),"")</f>
        <v/>
      </c>
      <c r="KV20" s="20" t="str">
        <f>IF(SUM(KR20,KU20)&gt;0,SUM(KR20,KU20),"")</f>
        <v/>
      </c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79" t="str">
        <f>IF(SUM(KX20,LB20)&gt;0,SUM(KX20,LB20),"")</f>
        <v/>
      </c>
      <c r="LR20" s="79" t="str">
        <f>IF(SUM(KW20:KX20,KZ20:LB20,LD20)-KY20-LC20&gt;0,SUM(KW20:KX20,KZ20:LB20,LD20)-KY20-LC20,"")</f>
        <v/>
      </c>
      <c r="LS20" s="79" t="str">
        <f>IF(SUM(LE20:LF20,LH20)-LG20&gt;0,SUM(LE20:LF20,LH20)-LG20,"")</f>
        <v/>
      </c>
      <c r="LT20" s="79" t="str">
        <f>IF(SUM(LJ20,LN20)&gt;0,SUM(LJ20,LN20),"")</f>
        <v/>
      </c>
      <c r="LU20" s="79" t="str">
        <f>IF(SUM(LI20:LJ20,LL20:LN20,LP20)-SUM(LK20,LO20)&gt;0,SUM(LI20:LJ20,LL20:LN20,LP20)-SUM(LK20,LO20),"")</f>
        <v/>
      </c>
      <c r="LV20" s="79" t="str">
        <f>IF(SUM(LR20,LU20)&gt;0,SUM(LR20,LU20),"")</f>
        <v/>
      </c>
      <c r="LW20" s="26"/>
      <c r="LX20" s="26"/>
      <c r="LY20" s="26"/>
      <c r="LZ20" s="26"/>
      <c r="MA20" s="26"/>
      <c r="MB20" s="26"/>
      <c r="MC20" s="26"/>
      <c r="MD20" s="26"/>
      <c r="ME20" s="26"/>
      <c r="MF20" s="26"/>
      <c r="MG20" s="26"/>
      <c r="MH20" s="26"/>
      <c r="MI20" s="26"/>
      <c r="MJ20" s="26"/>
      <c r="MK20" s="26"/>
      <c r="ML20" s="26"/>
      <c r="MM20" s="26"/>
      <c r="MN20" s="26"/>
      <c r="MO20" s="26"/>
      <c r="MP20" s="26"/>
      <c r="MQ20" s="20" t="str">
        <f>IF(SUM(LX20,MB20)&gt;0,SUM(LX20,MB20),"")</f>
        <v/>
      </c>
      <c r="MR20" s="20" t="str">
        <f>IF(SUM(LW20:LX20,LZ20:MB20,MD20)-LY20-MC20&gt;0,SUM(LW20:LX20,LZ20:MB20,MD20)-LY20-MC20,"")</f>
        <v/>
      </c>
      <c r="MS20" s="20" t="str">
        <f>IF(SUM(ME20:MF20,MH20)-MG20&gt;0,SUM(ME20:MF20,MH20)-MG20,"")</f>
        <v/>
      </c>
      <c r="MT20" s="20" t="str">
        <f>IF(SUM(MJ20,MN20)&gt;0,SUM(MJ20,MN20),"")</f>
        <v/>
      </c>
      <c r="MU20" s="20" t="str">
        <f>IF(SUM(MI20:MJ20,ML20:MN20,MP20)-SUM(MK20,MO20)&gt;0,SUM(MI20:MJ20,ML20:MN20,MP20)-SUM(MK20,MO20),"")</f>
        <v/>
      </c>
      <c r="MV20" s="20" t="str">
        <f>IF(SUM(MR20,MU20)&gt;0,SUM(MR20,MU20),"")</f>
        <v/>
      </c>
      <c r="MW20" s="25"/>
      <c r="MX20" s="25"/>
      <c r="MY20" s="25"/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79" t="str">
        <f>IF(SUM(MX20,NB20)&gt;0,SUM(MX20,NB20),"")</f>
        <v/>
      </c>
      <c r="NR20" s="79" t="str">
        <f>IF(SUM(MW20:MX20,MZ20:NB20,ND20)-MY20-NC20&gt;0,SUM(MW20:MX20,MZ20:NB20,ND20)-MY20-NC20,"")</f>
        <v/>
      </c>
      <c r="NS20" s="79" t="str">
        <f>IF(SUM(NE20:NF20,NH20)-NG20&gt;0,SUM(NE20:NF20,NH20)-NG20,"")</f>
        <v/>
      </c>
      <c r="NT20" s="79" t="str">
        <f>IF(SUM(NJ20,NN20)&gt;0,SUM(NJ20,NN20),"")</f>
        <v/>
      </c>
      <c r="NU20" s="79" t="str">
        <f>IF(SUM(NI20:NJ20,NL20:NN20,NP20)-SUM(NK20,NO20)&gt;0,SUM(NI20:NJ20,NL20:NN20,NP20)-SUM(NK20,NO20),"")</f>
        <v/>
      </c>
      <c r="NV20" s="79" t="str">
        <f>IF(SUM(NR20,NU20)&gt;0,SUM(NR20,NU20),"")</f>
        <v/>
      </c>
      <c r="NW20" s="26"/>
      <c r="NX20" s="26"/>
      <c r="NY20" s="26"/>
      <c r="NZ20" s="26"/>
      <c r="OA20" s="26"/>
      <c r="OB20" s="26"/>
      <c r="OC20" s="26"/>
      <c r="OD20" s="26"/>
      <c r="OE20" s="26"/>
      <c r="OF20" s="26"/>
      <c r="OG20" s="26"/>
      <c r="OH20" s="26"/>
      <c r="OI20" s="26"/>
      <c r="OJ20" s="26"/>
      <c r="OK20" s="26"/>
      <c r="OL20" s="26"/>
      <c r="OM20" s="26"/>
      <c r="ON20" s="26"/>
      <c r="OO20" s="26"/>
      <c r="OP20" s="26"/>
      <c r="OQ20" s="20" t="str">
        <f>IF(SUM(NX20,OB20)&gt;0,SUM(NX20,OB20),"")</f>
        <v/>
      </c>
      <c r="OR20" s="20" t="str">
        <f>IF(SUM(NW20:NX20,NZ20:OB20,OD20)-NY20-OC20&gt;0,SUM(NW20:NX20,NZ20:OB20,OD20)-NY20-OC20,"")</f>
        <v/>
      </c>
      <c r="OS20" s="20" t="str">
        <f>IF(SUM(OE20:OF20,OH20)-OG20&gt;0,SUM(OE20:OF20,OH20)-OG20,"")</f>
        <v/>
      </c>
      <c r="OT20" s="20" t="str">
        <f>IF(SUM(OJ20,ON20)&gt;0,SUM(OJ20,ON20),"")</f>
        <v/>
      </c>
      <c r="OU20" s="20" t="str">
        <f>IF(SUM(OI20:OJ20,OL20:ON20,OP20)-SUM(OK20,OO20)&gt;0,SUM(OI20:OJ20,OL20:ON20,OP20)-SUM(OK20,OO20),"")</f>
        <v/>
      </c>
      <c r="OV20" s="20" t="str">
        <f>IF(SUM(OR20,OU20)&gt;0,SUM(OR20,OU20),"")</f>
        <v/>
      </c>
      <c r="OW20" s="38">
        <f>IF($CN20="P",BT20,(BT20+AS20)/2)</f>
        <v>0</v>
      </c>
      <c r="OX20" s="38">
        <f>IF($CN20="P",BU20,(BU20+AT20)/2)</f>
        <v>0</v>
      </c>
      <c r="OY20" s="38">
        <f>IF($CN20="P",BV20,(BV20+AU20)/2)</f>
        <v>0</v>
      </c>
      <c r="OZ20" s="38">
        <f>IF($CN20="P",BW20,(BW20+AV20)/2)</f>
        <v>0</v>
      </c>
      <c r="PA20" s="38">
        <f>IF($CN20="P",BX20,(BX20+AW20)/2)</f>
        <v>0</v>
      </c>
      <c r="PB20" s="38">
        <f>IF($CN20="P",BY20,(BY20+AX20)/2)</f>
        <v>0</v>
      </c>
      <c r="PC20" s="38">
        <f>IF($CN20="P",BZ20,(BZ20+AY20)/2)</f>
        <v>0</v>
      </c>
      <c r="PD20" s="38">
        <f>IF($CN20="P",CA20,(CA20+AZ20)/2)</f>
        <v>0</v>
      </c>
      <c r="PE20" s="38">
        <f>IF($CN20="P",CB20,(CB20+BA20)/2)</f>
        <v>0</v>
      </c>
      <c r="PF20" s="38">
        <f>IF($CN20="P",CC20,(CC20+BB20)/2)</f>
        <v>0</v>
      </c>
      <c r="PG20" s="38">
        <f>IF($CN20="P",CD20,(CD20+BC20)/2)</f>
        <v>0</v>
      </c>
      <c r="PH20" s="38">
        <f>IF($CN20="P",CE20,(CE20+BD20)/2)</f>
        <v>0</v>
      </c>
      <c r="PI20" s="38">
        <f>IF($CN20="P",CF20,(CF20+BE20)/2)</f>
        <v>0</v>
      </c>
      <c r="PJ20" s="38">
        <f>IF($CN20="P",CG20,(CG20+BF20)/2)</f>
        <v>0</v>
      </c>
      <c r="PK20" s="38">
        <f>IF($CN20="P",CH20,(CH20+BG20)/2)</f>
        <v>0</v>
      </c>
      <c r="PL20" s="38">
        <f>IF($CN20="P",CI20,(CI20+BH20)/2)</f>
        <v>0</v>
      </c>
      <c r="PM20" s="38">
        <f>IF($CN20="P",CJ20,(CJ20+BI20)/2)</f>
        <v>0</v>
      </c>
      <c r="PN20" s="38">
        <f>IF($CN20="P",CK20,(CK20+BJ20)/2)</f>
        <v>0</v>
      </c>
      <c r="PO20" s="38">
        <f>IF($CN20="P",CL20,(CL20+BK20)/2)</f>
        <v>0</v>
      </c>
      <c r="PP20" s="38">
        <f>IF($CN20="P",CM20,(CM20+BL20)/2)</f>
        <v>0</v>
      </c>
      <c r="PQ20" s="45" t="s">
        <v>46</v>
      </c>
      <c r="PR20" s="79" t="str">
        <f>IF(SUM(OX20,PB20)&gt;0,SUM(OX20,PB20),"")</f>
        <v/>
      </c>
      <c r="PS20" s="79" t="str">
        <f>IF(SUM(OW20:OX20,OZ20:PB20,PD20)-OY20-PC20&gt;0,SUM(OW20:OX20,OZ20:PB20,PD20)-OY20-PC20,"")</f>
        <v/>
      </c>
      <c r="PT20" s="79" t="str">
        <f>IF(SUM(PE20:PF20,PH20)-PG20&gt;0,SUM(PE20:PF20,PH20)-PG20,"")</f>
        <v/>
      </c>
      <c r="PU20" s="79" t="str">
        <f>IF(SUM(PJ20,PN20)&gt;0,SUM(PJ20,PN20),"")</f>
        <v/>
      </c>
      <c r="PV20" s="79" t="str">
        <f>IF(SUM(PI20:PJ20,PL20:PN20,PP20)-SUM(PK20,PO20)&gt;0,SUM(PI20:PJ20,PL20:PN20,PP20)-SUM(PK20,PO20),"")</f>
        <v/>
      </c>
      <c r="PW20" s="79" t="str">
        <f>IF(SUM(PS20,PV20)&gt;0,SUM(PS20,PV20),"")</f>
        <v/>
      </c>
    </row>
    <row r="21" spans="1:439" ht="17" x14ac:dyDescent="0.2">
      <c r="O21" s="16"/>
      <c r="P21" s="16"/>
      <c r="Q21" s="16"/>
    </row>
    <row r="22" spans="1:439" ht="17" x14ac:dyDescent="0.2">
      <c r="O22" s="16"/>
      <c r="P22" s="16"/>
      <c r="Q22" s="16"/>
    </row>
    <row r="23" spans="1:439" ht="17" x14ac:dyDescent="0.2">
      <c r="B23" s="81" t="s">
        <v>44</v>
      </c>
      <c r="O23" s="16"/>
      <c r="P23" s="16"/>
      <c r="Q23" s="16"/>
      <c r="AM23" s="5"/>
      <c r="AR23" s="82">
        <v>1E-4</v>
      </c>
      <c r="BN23" s="5"/>
      <c r="BS23" s="82">
        <v>1E-4</v>
      </c>
      <c r="CO23" s="5"/>
      <c r="CT23" s="82">
        <v>7.2</v>
      </c>
      <c r="DQ23" s="5"/>
      <c r="DV23" s="82">
        <v>7.2</v>
      </c>
      <c r="EQ23" s="5"/>
      <c r="EV23" s="82">
        <v>7.2</v>
      </c>
      <c r="FQ23" s="5"/>
      <c r="FV23" s="82">
        <v>7.2</v>
      </c>
      <c r="GQ23" s="5"/>
      <c r="GV23" s="82">
        <v>7.2</v>
      </c>
      <c r="HQ23" s="5"/>
      <c r="HV23" s="82">
        <v>7.2</v>
      </c>
      <c r="IQ23" s="5"/>
      <c r="IV23" s="82">
        <v>7.2</v>
      </c>
      <c r="JQ23" s="5"/>
      <c r="JV23" s="82">
        <v>7.2</v>
      </c>
      <c r="KQ23" s="5"/>
      <c r="KV23" s="82">
        <v>7.2</v>
      </c>
      <c r="LQ23" s="5"/>
      <c r="LV23" s="82">
        <v>7.2</v>
      </c>
      <c r="MQ23" s="5"/>
      <c r="MV23" s="82">
        <v>7.2</v>
      </c>
      <c r="NQ23" s="5"/>
      <c r="NV23" s="82">
        <v>7.2</v>
      </c>
      <c r="OQ23" s="5"/>
      <c r="OV23" s="82">
        <v>7.2</v>
      </c>
    </row>
    <row r="24" spans="1:439" ht="17" hidden="1" x14ac:dyDescent="0.2">
      <c r="B24" s="83" t="s">
        <v>43</v>
      </c>
      <c r="O24" s="16"/>
      <c r="P24" s="16"/>
      <c r="Q24" s="16"/>
      <c r="AM24" s="5"/>
      <c r="AR24" s="84">
        <v>1000</v>
      </c>
      <c r="BN24" s="5"/>
      <c r="BS24" s="84">
        <v>1000</v>
      </c>
      <c r="CO24" s="5"/>
      <c r="CT24" s="84">
        <v>1000</v>
      </c>
      <c r="DQ24" s="5"/>
      <c r="DV24" s="84">
        <v>1000</v>
      </c>
      <c r="EQ24" s="5"/>
      <c r="EV24" s="84">
        <v>1000</v>
      </c>
      <c r="FQ24" s="5"/>
      <c r="FV24" s="84">
        <v>1000</v>
      </c>
      <c r="GQ24" s="5"/>
      <c r="GV24" s="84">
        <v>1000</v>
      </c>
      <c r="HQ24" s="5"/>
      <c r="HV24" s="84">
        <v>1000</v>
      </c>
      <c r="IQ24" s="5"/>
      <c r="IV24" s="84">
        <v>1000</v>
      </c>
      <c r="JQ24" s="5"/>
      <c r="JV24" s="84">
        <v>1000</v>
      </c>
      <c r="KQ24" s="5"/>
      <c r="KV24" s="84">
        <v>1000</v>
      </c>
      <c r="LQ24" s="5"/>
      <c r="LV24" s="84">
        <v>1000</v>
      </c>
      <c r="MQ24" s="5"/>
      <c r="MV24" s="84">
        <v>1000</v>
      </c>
      <c r="NQ24" s="5"/>
      <c r="NV24" s="84">
        <v>1000</v>
      </c>
      <c r="OQ24" s="5"/>
      <c r="OV24" s="84">
        <v>1000</v>
      </c>
    </row>
    <row r="25" spans="1:439" ht="17" hidden="1" x14ac:dyDescent="0.2">
      <c r="A25" s="78"/>
      <c r="B25" s="76" t="s">
        <v>55</v>
      </c>
      <c r="C25" s="85"/>
      <c r="O25" s="16"/>
      <c r="P25" s="16"/>
      <c r="Q25" s="16"/>
      <c r="AM25" s="5"/>
      <c r="AR25" s="86">
        <v>1000</v>
      </c>
      <c r="BN25" s="5"/>
      <c r="BS25" s="86">
        <v>1000</v>
      </c>
      <c r="CO25" s="5"/>
      <c r="CT25" s="86">
        <v>1000</v>
      </c>
      <c r="DQ25" s="5"/>
      <c r="DV25" s="86">
        <v>1000</v>
      </c>
      <c r="EQ25" s="5"/>
      <c r="EV25" s="86">
        <v>1000</v>
      </c>
      <c r="FQ25" s="5"/>
      <c r="FV25" s="86">
        <v>1000</v>
      </c>
      <c r="GQ25" s="5"/>
      <c r="GV25" s="86">
        <v>1000</v>
      </c>
      <c r="HQ25" s="5"/>
      <c r="HV25" s="86">
        <v>1000</v>
      </c>
      <c r="IQ25" s="5"/>
      <c r="IV25" s="86">
        <v>1000</v>
      </c>
      <c r="JQ25" s="5"/>
      <c r="JV25" s="86">
        <v>1000</v>
      </c>
      <c r="KQ25" s="5"/>
      <c r="KV25" s="86">
        <v>1000</v>
      </c>
      <c r="LQ25" s="5"/>
      <c r="LV25" s="86">
        <v>1000</v>
      </c>
      <c r="MQ25" s="5"/>
      <c r="MV25" s="86">
        <v>1000</v>
      </c>
      <c r="NQ25" s="5"/>
      <c r="NV25" s="86">
        <v>1000</v>
      </c>
      <c r="OQ25" s="5"/>
      <c r="OV25" s="86">
        <v>1000</v>
      </c>
    </row>
    <row r="26" spans="1:439" ht="17" hidden="1" x14ac:dyDescent="0.2">
      <c r="A26" s="78"/>
      <c r="B26" s="87" t="s">
        <v>62</v>
      </c>
      <c r="C26" s="85"/>
      <c r="O26" s="16"/>
      <c r="P26" s="16"/>
      <c r="Q26" s="16"/>
      <c r="AM26" s="5"/>
      <c r="AR26" s="88">
        <v>1000</v>
      </c>
      <c r="BN26" s="5"/>
      <c r="BS26" s="88">
        <v>1000</v>
      </c>
      <c r="CO26" s="5"/>
      <c r="CT26" s="88">
        <v>1000</v>
      </c>
      <c r="DQ26" s="5"/>
      <c r="DV26" s="88">
        <v>1000</v>
      </c>
      <c r="EQ26" s="5"/>
      <c r="EV26" s="88">
        <v>1000</v>
      </c>
      <c r="FQ26" s="5"/>
      <c r="FV26" s="88">
        <v>1000</v>
      </c>
      <c r="GQ26" s="5"/>
      <c r="GV26" s="88">
        <v>1000</v>
      </c>
      <c r="HQ26" s="5"/>
      <c r="HV26" s="88">
        <v>1000</v>
      </c>
      <c r="IQ26" s="5"/>
      <c r="IV26" s="88">
        <v>1000</v>
      </c>
      <c r="JQ26" s="5"/>
      <c r="JV26" s="88">
        <v>1000</v>
      </c>
      <c r="KQ26" s="5"/>
      <c r="KV26" s="88">
        <v>1000</v>
      </c>
      <c r="LQ26" s="5"/>
      <c r="LV26" s="88">
        <v>1000</v>
      </c>
      <c r="MQ26" s="5"/>
      <c r="MV26" s="88">
        <v>1000</v>
      </c>
      <c r="NQ26" s="5"/>
      <c r="NV26" s="88">
        <v>1000</v>
      </c>
      <c r="OQ26" s="5"/>
      <c r="OV26" s="88">
        <v>1000</v>
      </c>
    </row>
    <row r="27" spans="1:439" ht="17" x14ac:dyDescent="0.2">
      <c r="A27" s="78"/>
      <c r="B27" s="89" t="s">
        <v>41</v>
      </c>
      <c r="C27" s="85"/>
      <c r="O27" s="16"/>
      <c r="P27" s="16"/>
      <c r="Q27" s="16"/>
      <c r="AM27" s="5"/>
      <c r="AO27" s="67" t="s">
        <v>178</v>
      </c>
      <c r="AR27" s="90">
        <v>2.0000000000000001E-4</v>
      </c>
      <c r="BN27" s="5"/>
      <c r="BP27" s="67" t="s">
        <v>178</v>
      </c>
      <c r="BS27" s="90">
        <v>2.0000000000000001E-4</v>
      </c>
      <c r="CO27" s="5"/>
      <c r="CT27" s="90">
        <v>42.4</v>
      </c>
      <c r="DQ27" s="5"/>
      <c r="DV27" s="90">
        <v>42.4</v>
      </c>
      <c r="EQ27" s="5"/>
      <c r="EV27" s="90">
        <v>42.4</v>
      </c>
      <c r="FQ27" s="5"/>
      <c r="FV27" s="90">
        <v>42.4</v>
      </c>
      <c r="GQ27" s="5"/>
      <c r="GV27" s="90">
        <v>42.4</v>
      </c>
      <c r="HQ27" s="5"/>
      <c r="HV27" s="90">
        <v>42.4</v>
      </c>
      <c r="IQ27" s="5"/>
      <c r="IV27" s="90">
        <v>42.4</v>
      </c>
      <c r="JQ27" s="5"/>
      <c r="JV27" s="90">
        <v>42.4</v>
      </c>
      <c r="KQ27" s="5"/>
      <c r="KV27" s="90">
        <v>42.4</v>
      </c>
      <c r="LQ27" s="5"/>
      <c r="LV27" s="90">
        <v>42.4</v>
      </c>
      <c r="MQ27" s="5"/>
      <c r="MV27" s="90">
        <v>42.4</v>
      </c>
      <c r="NQ27" s="5"/>
      <c r="NV27" s="90">
        <v>42.4</v>
      </c>
      <c r="OQ27" s="5"/>
      <c r="OV27" s="90">
        <v>42.4</v>
      </c>
    </row>
    <row r="28" spans="1:439" ht="17" hidden="1" x14ac:dyDescent="0.2">
      <c r="A28" s="78"/>
      <c r="B28" s="91" t="s">
        <v>42</v>
      </c>
      <c r="C28" s="85"/>
      <c r="O28" s="16"/>
      <c r="P28" s="16"/>
      <c r="Q28" s="16"/>
      <c r="AM28" s="5"/>
      <c r="AR28" s="92">
        <v>1000</v>
      </c>
      <c r="BN28" s="5"/>
      <c r="BS28" s="92">
        <v>1000</v>
      </c>
      <c r="CO28" s="5"/>
      <c r="CT28" s="92">
        <v>1000</v>
      </c>
      <c r="DQ28" s="5"/>
      <c r="DV28" s="92">
        <v>1000</v>
      </c>
      <c r="EQ28" s="5"/>
      <c r="EV28" s="92">
        <v>1000</v>
      </c>
      <c r="FQ28" s="5"/>
      <c r="FV28" s="92">
        <v>1000</v>
      </c>
      <c r="GQ28" s="5"/>
      <c r="GV28" s="92">
        <v>1000</v>
      </c>
      <c r="HQ28" s="5"/>
      <c r="HV28" s="92">
        <v>1000</v>
      </c>
      <c r="IQ28" s="5"/>
      <c r="IV28" s="92">
        <v>1000</v>
      </c>
      <c r="JQ28" s="5"/>
      <c r="JV28" s="92">
        <v>1000</v>
      </c>
      <c r="KQ28" s="5"/>
      <c r="KV28" s="92">
        <v>1000</v>
      </c>
      <c r="LQ28" s="5"/>
      <c r="LV28" s="92">
        <v>1000</v>
      </c>
      <c r="MQ28" s="5"/>
      <c r="MV28" s="92">
        <v>1000</v>
      </c>
      <c r="NQ28" s="5"/>
      <c r="NV28" s="92">
        <v>1000</v>
      </c>
      <c r="OQ28" s="5"/>
      <c r="OV28" s="92">
        <v>1000</v>
      </c>
    </row>
    <row r="29" spans="1:439" ht="17" hidden="1" x14ac:dyDescent="0.2">
      <c r="A29" s="78"/>
      <c r="B29" s="93" t="s">
        <v>54</v>
      </c>
      <c r="C29" s="85"/>
      <c r="O29" s="16"/>
      <c r="P29" s="16"/>
      <c r="Q29" s="16"/>
      <c r="AM29" s="5"/>
      <c r="AR29" s="94">
        <v>1000</v>
      </c>
      <c r="BN29" s="5"/>
      <c r="BS29" s="94">
        <v>1000</v>
      </c>
      <c r="CO29" s="5"/>
      <c r="CT29" s="94">
        <v>1000</v>
      </c>
      <c r="DQ29" s="5"/>
      <c r="DV29" s="94">
        <v>1000</v>
      </c>
      <c r="EQ29" s="5"/>
      <c r="EV29" s="94">
        <v>1000</v>
      </c>
      <c r="FQ29" s="5"/>
      <c r="FV29" s="94">
        <v>1000</v>
      </c>
      <c r="GQ29" s="5"/>
      <c r="GV29" s="94">
        <v>1000</v>
      </c>
      <c r="HQ29" s="5"/>
      <c r="HV29" s="94">
        <v>1000</v>
      </c>
      <c r="IQ29" s="5"/>
      <c r="IV29" s="94">
        <v>1000</v>
      </c>
      <c r="JQ29" s="5"/>
      <c r="JV29" s="94">
        <v>1000</v>
      </c>
      <c r="KQ29" s="5"/>
      <c r="KV29" s="94">
        <v>1000</v>
      </c>
      <c r="LQ29" s="5"/>
      <c r="LV29" s="94">
        <v>1000</v>
      </c>
      <c r="MQ29" s="5"/>
      <c r="MV29" s="94">
        <v>1000</v>
      </c>
      <c r="NQ29" s="5"/>
      <c r="NV29" s="94">
        <v>1000</v>
      </c>
      <c r="OQ29" s="5"/>
      <c r="OV29" s="94">
        <v>1000</v>
      </c>
    </row>
    <row r="30" spans="1:439" ht="17" hidden="1" x14ac:dyDescent="0.2">
      <c r="A30" s="78"/>
      <c r="B30" s="95" t="s">
        <v>28</v>
      </c>
      <c r="C30" s="85"/>
      <c r="O30" s="16"/>
      <c r="P30" s="16"/>
      <c r="Q30" s="16"/>
      <c r="AM30" s="5"/>
      <c r="AR30" s="96">
        <v>1000</v>
      </c>
      <c r="BN30" s="5"/>
      <c r="BS30" s="96">
        <v>1000</v>
      </c>
      <c r="CO30" s="5"/>
      <c r="CT30" s="96">
        <v>1000</v>
      </c>
      <c r="DQ30" s="5"/>
      <c r="DV30" s="96">
        <v>1000</v>
      </c>
      <c r="EQ30" s="5"/>
      <c r="EV30" s="96">
        <v>1000</v>
      </c>
      <c r="FQ30" s="5"/>
      <c r="FV30" s="96">
        <v>1000</v>
      </c>
      <c r="GQ30" s="5"/>
      <c r="GV30" s="96">
        <v>1000</v>
      </c>
      <c r="HQ30" s="5"/>
      <c r="HV30" s="96">
        <v>1000</v>
      </c>
      <c r="IQ30" s="5"/>
      <c r="IV30" s="96">
        <v>1000</v>
      </c>
      <c r="JQ30" s="5"/>
      <c r="JV30" s="96">
        <v>1000</v>
      </c>
      <c r="KQ30" s="5"/>
      <c r="KV30" s="96">
        <v>1000</v>
      </c>
      <c r="LQ30" s="5"/>
      <c r="LV30" s="96">
        <v>1000</v>
      </c>
      <c r="MQ30" s="5"/>
      <c r="MV30" s="96">
        <v>1000</v>
      </c>
      <c r="NQ30" s="5"/>
      <c r="NV30" s="96">
        <v>1000</v>
      </c>
      <c r="OQ30" s="5"/>
      <c r="OV30" s="96">
        <v>1000</v>
      </c>
    </row>
    <row r="31" spans="1:439" x14ac:dyDescent="0.2">
      <c r="B31" s="47" t="s">
        <v>47</v>
      </c>
      <c r="C31" s="2"/>
    </row>
    <row r="32" spans="1:439" x14ac:dyDescent="0.2">
      <c r="A32" s="78"/>
      <c r="B32" s="78"/>
      <c r="C32" s="85"/>
    </row>
    <row r="33" spans="1:3" x14ac:dyDescent="0.2">
      <c r="A33" s="78"/>
      <c r="B33" s="78"/>
      <c r="C33" s="85"/>
    </row>
    <row r="34" spans="1:3" x14ac:dyDescent="0.2">
      <c r="A34" s="78"/>
      <c r="B34" s="78"/>
      <c r="C34" s="85"/>
    </row>
    <row r="35" spans="1:3" x14ac:dyDescent="0.2">
      <c r="A35" s="78"/>
      <c r="B35" s="78"/>
      <c r="C35" s="78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20">
      <sortCondition descending="1" ref="F1:F21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20">
    <cfRule type="expression" dxfId="91" priority="5" stopIfTrue="1">
      <formula>IF($AL4&lt;&gt;"",1,0)</formula>
    </cfRule>
  </conditionalFormatting>
  <conditionalFormatting sqref="AS4:BS20">
    <cfRule type="expression" dxfId="90" priority="10" stopIfTrue="1">
      <formula>IF($BM4&lt;&gt;"",1,0)</formula>
    </cfRule>
  </conditionalFormatting>
  <conditionalFormatting sqref="J1:J1048576 L1:L1048576 N1:N1048576">
    <cfRule type="expression" dxfId="89" priority="17">
      <formula>IF(J1=$BT$1,1,0)</formula>
    </cfRule>
    <cfRule type="expression" dxfId="88" priority="18">
      <formula>IF(J1=$AS$1,1,0)</formula>
    </cfRule>
    <cfRule type="expression" dxfId="87" priority="19">
      <formula>IF(J1=$R$1,1,0)</formula>
    </cfRule>
  </conditionalFormatting>
  <conditionalFormatting sqref="BT4:CT20">
    <cfRule type="expression" dxfId="86" priority="11" stopIfTrue="1">
      <formula>IF($CN4&lt;&gt;"",1,0)</formula>
    </cfRule>
  </conditionalFormatting>
  <conditionalFormatting sqref="A1:A1048576">
    <cfRule type="expression" dxfId="85" priority="20">
      <formula>AND(G1="P",F1="")</formula>
    </cfRule>
  </conditionalFormatting>
  <conditionalFormatting sqref="H1:H1048576">
    <cfRule type="containsText" dxfId="84" priority="12" operator="containsText" text="No DD">
      <formula>NOT(ISERROR(SEARCH("No DD",H1)))</formula>
    </cfRule>
    <cfRule type="containsText" dxfId="83" priority="13" operator="containsText" text="Merit">
      <formula>NOT(ISERROR(SEARCH("Merit",H1)))</formula>
    </cfRule>
    <cfRule type="containsText" dxfId="82" priority="14" operator="containsText" text="Excellence">
      <formula>NOT(ISERROR(SEARCH("Excellence",H1)))</formula>
    </cfRule>
    <cfRule type="containsText" dxfId="81" priority="15" operator="containsText" text="Worlds Team">
      <formula>NOT(ISERROR(SEARCH("Worlds Team",H1)))</formula>
    </cfRule>
    <cfRule type="containsText" dxfId="8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">
    <cfRule type="cellIs" dxfId="79" priority="21" operator="between">
      <formula>BS$26</formula>
      <formula>1000</formula>
    </cfRule>
    <cfRule type="cellIs" dxfId="78" priority="22" operator="between">
      <formula>BS$25</formula>
      <formula>BS$26</formula>
    </cfRule>
    <cfRule type="cellIs" dxfId="77" priority="23" operator="between">
      <formula>BS$24</formula>
      <formula>BS$25</formula>
    </cfRule>
    <cfRule type="cellIs" dxfId="76" priority="24" operator="between">
      <formula>BS$23</formula>
      <formula>BS$24</formula>
    </cfRule>
  </conditionalFormatting>
  <conditionalFormatting sqref="AM1:AM1048576">
    <cfRule type="cellIs" dxfId="75" priority="29" operator="between">
      <formula>AR$26</formula>
      <formula>1000</formula>
    </cfRule>
    <cfRule type="cellIs" dxfId="74" priority="30" operator="between">
      <formula>AR$25</formula>
      <formula>AR$26</formula>
    </cfRule>
    <cfRule type="cellIs" dxfId="73" priority="31" operator="between">
      <formula>AR$24</formula>
      <formula>AR$25</formula>
    </cfRule>
    <cfRule type="cellIs" dxfId="72" priority="32" operator="between">
      <formula>AR$23</formula>
      <formula>AR$24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1" priority="25" operator="between">
      <formula>BS$30</formula>
      <formula>1000</formula>
    </cfRule>
    <cfRule type="cellIs" dxfId="70" priority="26" operator="between">
      <formula>BS$29</formula>
      <formula>BS$30</formula>
    </cfRule>
    <cfRule type="cellIs" dxfId="69" priority="27" operator="between">
      <formula>BS$28</formula>
      <formula>BS$29</formula>
    </cfRule>
    <cfRule type="cellIs" dxfId="68" priority="28" operator="between">
      <formula>BS$27</formula>
      <formula>BS$28</formula>
    </cfRule>
  </conditionalFormatting>
  <conditionalFormatting sqref="AN1:AN1048576">
    <cfRule type="cellIs" dxfId="67" priority="33" operator="between">
      <formula>AR$30</formula>
      <formula>1000</formula>
    </cfRule>
    <cfRule type="cellIs" dxfId="66" priority="34" operator="between">
      <formula>AR$29</formula>
      <formula>AR$30</formula>
    </cfRule>
    <cfRule type="cellIs" dxfId="65" priority="35" operator="between">
      <formula>AR$28</formula>
      <formula>AR$29</formula>
    </cfRule>
    <cfRule type="cellIs" dxfId="64" priority="36" operator="between">
      <formula>AR$27</formula>
      <formula>AR$28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6" operator="between">
      <formula>AR$23</formula>
      <formula>AR$24</formula>
    </cfRule>
    <cfRule type="cellIs" dxfId="62" priority="7" operator="between">
      <formula>AR$24</formula>
      <formula>AR$25</formula>
    </cfRule>
    <cfRule type="cellIs" dxfId="61" priority="8" operator="between">
      <formula>AR$25</formula>
      <formula>AR$26</formula>
    </cfRule>
    <cfRule type="cellIs" dxfId="60" priority="9" operator="between">
      <formula>AR$26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1" operator="between">
      <formula>AR$27</formula>
      <formula>AR$28</formula>
    </cfRule>
    <cfRule type="cellIs" dxfId="58" priority="2" operator="between">
      <formula>AR$28</formula>
      <formula>AR$29</formula>
    </cfRule>
    <cfRule type="cellIs" dxfId="57" priority="3" operator="between">
      <formula>AR$29</formula>
      <formula>AR$30</formula>
    </cfRule>
    <cfRule type="cellIs" dxfId="56" priority="4" operator="between">
      <formula>AR$30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7" customWidth="1"/>
    <col min="51" max="71" width="10.83203125" hidden="1" customWidth="1"/>
    <col min="72" max="79" width="10.83203125" style="67" customWidth="1"/>
    <col min="80" max="100" width="10.83203125" hidden="1" customWidth="1"/>
    <col min="101" max="108" width="10.83203125" style="67" customWidth="1"/>
    <col min="109" max="111" width="10.83203125" style="67"/>
    <col min="112" max="131" width="10.83203125" hidden="1" customWidth="1"/>
    <col min="132" max="139" width="10.83203125" style="67" customWidth="1"/>
    <col min="140" max="159" width="10.83203125" hidden="1" customWidth="1"/>
    <col min="160" max="167" width="10.83203125" style="67" customWidth="1"/>
    <col min="168" max="187" width="10.83203125" hidden="1" customWidth="1"/>
    <col min="188" max="195" width="10.83203125" style="67" customWidth="1"/>
    <col min="196" max="215" width="10.83203125" hidden="1" customWidth="1"/>
    <col min="216" max="223" width="10.83203125" style="67" hidden="1" customWidth="1"/>
    <col min="224" max="243" width="10.83203125" hidden="1" customWidth="1"/>
    <col min="244" max="251" width="10.83203125" style="67" hidden="1" customWidth="1"/>
    <col min="252" max="271" width="10.83203125" hidden="1" customWidth="1"/>
    <col min="272" max="279" width="10.83203125" style="67" hidden="1" customWidth="1"/>
    <col min="280" max="299" width="10.83203125" hidden="1" customWidth="1"/>
    <col min="300" max="307" width="10.83203125" style="67" hidden="1" customWidth="1"/>
    <col min="308" max="327" width="10.83203125" hidden="1" customWidth="1"/>
    <col min="328" max="335" width="10.83203125" style="67" hidden="1" customWidth="1"/>
    <col min="336" max="355" width="10.83203125" hidden="1" customWidth="1"/>
    <col min="356" max="363" width="10.83203125" style="67" hidden="1" customWidth="1"/>
    <col min="364" max="383" width="10.83203125" hidden="1" customWidth="1"/>
    <col min="384" max="391" width="10.83203125" style="67" hidden="1" customWidth="1"/>
    <col min="392" max="411" width="10.83203125" hidden="1" customWidth="1"/>
    <col min="412" max="419" width="10.83203125" style="67" hidden="1" customWidth="1"/>
    <col min="420" max="439" width="10.83203125" hidden="1" customWidth="1"/>
    <col min="440" max="447" width="10.83203125" style="67" hidden="1" customWidth="1"/>
    <col min="448" max="468" width="10.83203125" hidden="1" customWidth="1"/>
    <col min="469" max="476" width="10.83203125" style="67" hidden="1" customWidth="1"/>
  </cols>
  <sheetData>
    <row r="1" spans="1:476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162</v>
      </c>
      <c r="J1" s="108" t="s">
        <v>26</v>
      </c>
      <c r="K1" s="107" t="s">
        <v>163</v>
      </c>
      <c r="L1" s="108" t="s">
        <v>26</v>
      </c>
      <c r="M1" s="107" t="s">
        <v>173</v>
      </c>
      <c r="N1" s="108" t="s">
        <v>26</v>
      </c>
      <c r="O1" s="107" t="s">
        <v>174</v>
      </c>
      <c r="P1" s="108" t="s">
        <v>26</v>
      </c>
      <c r="Q1" s="108" t="s">
        <v>10</v>
      </c>
      <c r="R1" s="108" t="s">
        <v>26</v>
      </c>
      <c r="S1" s="109" t="s">
        <v>11</v>
      </c>
      <c r="T1" s="108" t="s">
        <v>27</v>
      </c>
      <c r="U1" s="108" t="s">
        <v>26</v>
      </c>
      <c r="V1" s="100" t="s">
        <v>106</v>
      </c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4" t="s">
        <v>123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0" t="s">
        <v>133</v>
      </c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2" t="s">
        <v>164</v>
      </c>
      <c r="DF1" s="102"/>
      <c r="DG1" s="102"/>
      <c r="DH1" s="100" t="s">
        <v>127</v>
      </c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4" t="s">
        <v>175</v>
      </c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0" t="s">
        <v>179</v>
      </c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0"/>
      <c r="GA1" s="100"/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0"/>
      <c r="HQ1" s="100"/>
      <c r="HR1" s="100"/>
      <c r="HS1" s="100"/>
      <c r="HT1" s="100"/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0"/>
      <c r="JU1" s="100"/>
      <c r="JV1" s="100"/>
      <c r="JW1" s="100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0"/>
      <c r="KU1" s="100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0"/>
      <c r="MM1" s="100"/>
      <c r="MN1" s="100"/>
      <c r="MO1" s="100"/>
      <c r="MP1" s="100"/>
      <c r="MQ1" s="100"/>
      <c r="MR1" s="100"/>
      <c r="MS1" s="100"/>
      <c r="MT1" s="100"/>
      <c r="MU1" s="100"/>
      <c r="MV1" s="100"/>
      <c r="MW1" s="100"/>
      <c r="MX1" s="100"/>
      <c r="MY1" s="100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0"/>
      <c r="OC1" s="100"/>
      <c r="OD1" s="100"/>
      <c r="OE1" s="100"/>
      <c r="OF1" s="100"/>
      <c r="OG1" s="100"/>
      <c r="OH1" s="100"/>
      <c r="OI1" s="100"/>
      <c r="OJ1" s="100"/>
      <c r="OK1" s="100"/>
      <c r="OL1" s="100"/>
      <c r="OM1" s="100"/>
      <c r="ON1" s="100"/>
      <c r="OO1" s="100"/>
      <c r="OP1" s="100"/>
      <c r="OQ1" s="100"/>
      <c r="OR1" s="100"/>
      <c r="OS1" s="100"/>
      <c r="OT1" s="100"/>
      <c r="OU1" s="100"/>
      <c r="OV1" s="100"/>
      <c r="OW1" s="100"/>
      <c r="OX1" s="100"/>
      <c r="OY1" s="100"/>
      <c r="OZ1" s="100"/>
      <c r="PA1" s="100"/>
      <c r="PB1" s="100"/>
      <c r="PC1" s="100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4"/>
      <c r="QB1" s="104"/>
      <c r="QC1" s="104"/>
      <c r="QD1" s="104"/>
      <c r="QE1" s="104"/>
      <c r="QF1" s="100" t="s">
        <v>56</v>
      </c>
      <c r="QG1" s="100"/>
      <c r="QH1" s="100"/>
      <c r="QI1" s="100"/>
      <c r="QJ1" s="100"/>
      <c r="QK1" s="100"/>
      <c r="QL1" s="100"/>
      <c r="QM1" s="100"/>
      <c r="QN1" s="100"/>
      <c r="QO1" s="100"/>
      <c r="QP1" s="100"/>
      <c r="QQ1" s="100"/>
      <c r="QR1" s="100"/>
      <c r="QS1" s="100"/>
      <c r="QT1" s="100"/>
      <c r="QU1" s="100"/>
      <c r="QV1" s="100"/>
      <c r="QW1" s="100"/>
      <c r="QX1" s="100"/>
      <c r="QY1" s="100"/>
      <c r="QZ1" s="100"/>
      <c r="RA1" s="100"/>
      <c r="RB1" s="100"/>
      <c r="RC1" s="100"/>
      <c r="RD1" s="100"/>
      <c r="RE1" s="100"/>
      <c r="RF1" s="100"/>
      <c r="RG1" s="100"/>
      <c r="RH1" s="100"/>
    </row>
    <row r="2" spans="1:476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7"/>
      <c r="N2" s="108"/>
      <c r="O2" s="107"/>
      <c r="P2" s="108"/>
      <c r="Q2" s="108"/>
      <c r="R2" s="108"/>
      <c r="S2" s="109"/>
      <c r="T2" s="108"/>
      <c r="U2" s="108"/>
      <c r="V2" s="101" t="s">
        <v>165</v>
      </c>
      <c r="W2" s="101"/>
      <c r="X2" s="101"/>
      <c r="Y2" s="101"/>
      <c r="Z2" s="101" t="s">
        <v>166</v>
      </c>
      <c r="AA2" s="101"/>
      <c r="AB2" s="101"/>
      <c r="AC2" s="101"/>
      <c r="AD2" s="101" t="s">
        <v>167</v>
      </c>
      <c r="AE2" s="101"/>
      <c r="AF2" s="101"/>
      <c r="AG2" s="101"/>
      <c r="AH2" s="101" t="s">
        <v>168</v>
      </c>
      <c r="AI2" s="101"/>
      <c r="AJ2" s="101"/>
      <c r="AK2" s="101"/>
      <c r="AL2" s="111" t="s">
        <v>169</v>
      </c>
      <c r="AM2" s="111"/>
      <c r="AN2" s="111"/>
      <c r="AO2" s="111"/>
      <c r="AP2" s="72"/>
      <c r="AQ2" s="72" t="s">
        <v>170</v>
      </c>
      <c r="AR2" s="72" t="s">
        <v>171</v>
      </c>
      <c r="AS2" s="72" t="s">
        <v>167</v>
      </c>
      <c r="AT2" s="72" t="s">
        <v>22</v>
      </c>
      <c r="AU2" s="72" t="s">
        <v>21</v>
      </c>
      <c r="AV2" s="72" t="s">
        <v>57</v>
      </c>
      <c r="AW2" s="72" t="s">
        <v>172</v>
      </c>
      <c r="AX2" s="72" t="s">
        <v>15</v>
      </c>
      <c r="AY2" s="103" t="s">
        <v>165</v>
      </c>
      <c r="AZ2" s="103"/>
      <c r="BA2" s="103"/>
      <c r="BB2" s="103"/>
      <c r="BC2" s="103" t="s">
        <v>166</v>
      </c>
      <c r="BD2" s="103"/>
      <c r="BE2" s="103"/>
      <c r="BF2" s="103"/>
      <c r="BG2" s="103" t="s">
        <v>167</v>
      </c>
      <c r="BH2" s="103"/>
      <c r="BI2" s="103"/>
      <c r="BJ2" s="103"/>
      <c r="BK2" s="103" t="s">
        <v>168</v>
      </c>
      <c r="BL2" s="103"/>
      <c r="BM2" s="103"/>
      <c r="BN2" s="103"/>
      <c r="BO2" s="112" t="s">
        <v>169</v>
      </c>
      <c r="BP2" s="112"/>
      <c r="BQ2" s="112"/>
      <c r="BR2" s="112"/>
      <c r="BS2" s="71"/>
      <c r="BT2" s="71" t="s">
        <v>170</v>
      </c>
      <c r="BU2" s="71" t="s">
        <v>171</v>
      </c>
      <c r="BV2" s="71" t="s">
        <v>167</v>
      </c>
      <c r="BW2" s="71" t="s">
        <v>22</v>
      </c>
      <c r="BX2" s="71" t="s">
        <v>21</v>
      </c>
      <c r="BY2" s="71" t="s">
        <v>57</v>
      </c>
      <c r="BZ2" s="71" t="s">
        <v>172</v>
      </c>
      <c r="CA2" s="71" t="s">
        <v>15</v>
      </c>
      <c r="CB2" s="101" t="s">
        <v>165</v>
      </c>
      <c r="CC2" s="101"/>
      <c r="CD2" s="101"/>
      <c r="CE2" s="101"/>
      <c r="CF2" s="101" t="s">
        <v>166</v>
      </c>
      <c r="CG2" s="101"/>
      <c r="CH2" s="101"/>
      <c r="CI2" s="101"/>
      <c r="CJ2" s="101" t="s">
        <v>167</v>
      </c>
      <c r="CK2" s="101"/>
      <c r="CL2" s="101"/>
      <c r="CM2" s="101"/>
      <c r="CN2" s="101" t="s">
        <v>168</v>
      </c>
      <c r="CO2" s="101"/>
      <c r="CP2" s="101"/>
      <c r="CQ2" s="101"/>
      <c r="CR2" s="111" t="s">
        <v>169</v>
      </c>
      <c r="CS2" s="111"/>
      <c r="CT2" s="111"/>
      <c r="CU2" s="111"/>
      <c r="CV2" s="72"/>
      <c r="CW2" s="72" t="s">
        <v>170</v>
      </c>
      <c r="CX2" s="72" t="s">
        <v>171</v>
      </c>
      <c r="CY2" s="72" t="s">
        <v>167</v>
      </c>
      <c r="CZ2" s="72" t="s">
        <v>22</v>
      </c>
      <c r="DA2" s="72" t="s">
        <v>21</v>
      </c>
      <c r="DB2" s="72" t="s">
        <v>57</v>
      </c>
      <c r="DC2" s="72" t="s">
        <v>172</v>
      </c>
      <c r="DD2" s="72" t="s">
        <v>15</v>
      </c>
      <c r="DE2" s="77" t="s">
        <v>171</v>
      </c>
      <c r="DF2" s="77" t="s">
        <v>167</v>
      </c>
      <c r="DG2" s="77" t="s">
        <v>20</v>
      </c>
      <c r="DH2" s="101" t="s">
        <v>165</v>
      </c>
      <c r="DI2" s="101"/>
      <c r="DJ2" s="101"/>
      <c r="DK2" s="101"/>
      <c r="DL2" s="101" t="s">
        <v>166</v>
      </c>
      <c r="DM2" s="101"/>
      <c r="DN2" s="101"/>
      <c r="DO2" s="101"/>
      <c r="DP2" s="101" t="s">
        <v>167</v>
      </c>
      <c r="DQ2" s="101"/>
      <c r="DR2" s="101"/>
      <c r="DS2" s="101"/>
      <c r="DT2" s="101" t="s">
        <v>168</v>
      </c>
      <c r="DU2" s="101"/>
      <c r="DV2" s="101"/>
      <c r="DW2" s="101"/>
      <c r="DX2" s="110" t="s">
        <v>169</v>
      </c>
      <c r="DY2" s="110"/>
      <c r="DZ2" s="110"/>
      <c r="EA2" s="110"/>
      <c r="EB2" s="72" t="s">
        <v>170</v>
      </c>
      <c r="EC2" s="72" t="s">
        <v>171</v>
      </c>
      <c r="ED2" s="72" t="s">
        <v>167</v>
      </c>
      <c r="EE2" s="72" t="s">
        <v>22</v>
      </c>
      <c r="EF2" s="72" t="s">
        <v>21</v>
      </c>
      <c r="EG2" s="72" t="s">
        <v>57</v>
      </c>
      <c r="EH2" s="72" t="s">
        <v>172</v>
      </c>
      <c r="EI2" s="72" t="s">
        <v>15</v>
      </c>
      <c r="EJ2" s="103" t="s">
        <v>165</v>
      </c>
      <c r="EK2" s="103"/>
      <c r="EL2" s="103"/>
      <c r="EM2" s="103"/>
      <c r="EN2" s="103" t="s">
        <v>166</v>
      </c>
      <c r="EO2" s="103"/>
      <c r="EP2" s="103"/>
      <c r="EQ2" s="103"/>
      <c r="ER2" s="103" t="s">
        <v>167</v>
      </c>
      <c r="ES2" s="103"/>
      <c r="ET2" s="103"/>
      <c r="EU2" s="103"/>
      <c r="EV2" s="103" t="s">
        <v>168</v>
      </c>
      <c r="EW2" s="103"/>
      <c r="EX2" s="103"/>
      <c r="EY2" s="103"/>
      <c r="EZ2" s="112" t="s">
        <v>169</v>
      </c>
      <c r="FA2" s="112"/>
      <c r="FB2" s="112"/>
      <c r="FC2" s="112"/>
      <c r="FD2" s="71" t="s">
        <v>170</v>
      </c>
      <c r="FE2" s="71" t="s">
        <v>171</v>
      </c>
      <c r="FF2" s="71" t="s">
        <v>167</v>
      </c>
      <c r="FG2" s="71" t="s">
        <v>22</v>
      </c>
      <c r="FH2" s="71" t="s">
        <v>21</v>
      </c>
      <c r="FI2" s="71" t="s">
        <v>57</v>
      </c>
      <c r="FJ2" s="71" t="s">
        <v>172</v>
      </c>
      <c r="FK2" s="71" t="s">
        <v>15</v>
      </c>
      <c r="FL2" s="101" t="s">
        <v>165</v>
      </c>
      <c r="FM2" s="101"/>
      <c r="FN2" s="101"/>
      <c r="FO2" s="101"/>
      <c r="FP2" s="101" t="s">
        <v>166</v>
      </c>
      <c r="FQ2" s="101"/>
      <c r="FR2" s="101"/>
      <c r="FS2" s="101"/>
      <c r="FT2" s="101" t="s">
        <v>167</v>
      </c>
      <c r="FU2" s="101"/>
      <c r="FV2" s="101"/>
      <c r="FW2" s="101"/>
      <c r="FX2" s="101" t="s">
        <v>168</v>
      </c>
      <c r="FY2" s="101"/>
      <c r="FZ2" s="101"/>
      <c r="GA2" s="101"/>
      <c r="GB2" s="110" t="s">
        <v>169</v>
      </c>
      <c r="GC2" s="110"/>
      <c r="GD2" s="110"/>
      <c r="GE2" s="110"/>
      <c r="GF2" s="72" t="s">
        <v>170</v>
      </c>
      <c r="GG2" s="72" t="s">
        <v>171</v>
      </c>
      <c r="GH2" s="72" t="s">
        <v>167</v>
      </c>
      <c r="GI2" s="72" t="s">
        <v>22</v>
      </c>
      <c r="GJ2" s="72" t="s">
        <v>21</v>
      </c>
      <c r="GK2" s="72" t="s">
        <v>57</v>
      </c>
      <c r="GL2" s="72" t="s">
        <v>172</v>
      </c>
      <c r="GM2" s="72" t="s">
        <v>15</v>
      </c>
      <c r="GN2" s="103" t="s">
        <v>165</v>
      </c>
      <c r="GO2" s="103"/>
      <c r="GP2" s="103"/>
      <c r="GQ2" s="103"/>
      <c r="GR2" s="103" t="s">
        <v>166</v>
      </c>
      <c r="GS2" s="103"/>
      <c r="GT2" s="103"/>
      <c r="GU2" s="103"/>
      <c r="GV2" s="103" t="s">
        <v>167</v>
      </c>
      <c r="GW2" s="103"/>
      <c r="GX2" s="103"/>
      <c r="GY2" s="103"/>
      <c r="GZ2" s="103" t="s">
        <v>168</v>
      </c>
      <c r="HA2" s="103"/>
      <c r="HB2" s="103"/>
      <c r="HC2" s="103"/>
      <c r="HD2" s="112" t="s">
        <v>169</v>
      </c>
      <c r="HE2" s="112"/>
      <c r="HF2" s="112"/>
      <c r="HG2" s="112"/>
      <c r="HH2" s="71" t="s">
        <v>170</v>
      </c>
      <c r="HI2" s="71" t="s">
        <v>171</v>
      </c>
      <c r="HJ2" s="71" t="s">
        <v>167</v>
      </c>
      <c r="HK2" s="71" t="s">
        <v>22</v>
      </c>
      <c r="HL2" s="71" t="s">
        <v>21</v>
      </c>
      <c r="HM2" s="71" t="s">
        <v>57</v>
      </c>
      <c r="HN2" s="71" t="s">
        <v>172</v>
      </c>
      <c r="HO2" s="71" t="s">
        <v>15</v>
      </c>
      <c r="HP2" s="101" t="s">
        <v>165</v>
      </c>
      <c r="HQ2" s="101"/>
      <c r="HR2" s="101"/>
      <c r="HS2" s="101"/>
      <c r="HT2" s="101" t="s">
        <v>166</v>
      </c>
      <c r="HU2" s="101"/>
      <c r="HV2" s="101"/>
      <c r="HW2" s="101"/>
      <c r="HX2" s="101" t="s">
        <v>167</v>
      </c>
      <c r="HY2" s="101"/>
      <c r="HZ2" s="101"/>
      <c r="IA2" s="101"/>
      <c r="IB2" s="101" t="s">
        <v>168</v>
      </c>
      <c r="IC2" s="101"/>
      <c r="ID2" s="101"/>
      <c r="IE2" s="101"/>
      <c r="IF2" s="110" t="s">
        <v>169</v>
      </c>
      <c r="IG2" s="110"/>
      <c r="IH2" s="110"/>
      <c r="II2" s="110"/>
      <c r="IJ2" s="72" t="s">
        <v>170</v>
      </c>
      <c r="IK2" s="72" t="s">
        <v>171</v>
      </c>
      <c r="IL2" s="72" t="s">
        <v>167</v>
      </c>
      <c r="IM2" s="72" t="s">
        <v>22</v>
      </c>
      <c r="IN2" s="72" t="s">
        <v>21</v>
      </c>
      <c r="IO2" s="72" t="s">
        <v>57</v>
      </c>
      <c r="IP2" s="72" t="s">
        <v>172</v>
      </c>
      <c r="IQ2" s="72" t="s">
        <v>15</v>
      </c>
      <c r="IR2" s="103" t="s">
        <v>165</v>
      </c>
      <c r="IS2" s="103"/>
      <c r="IT2" s="103"/>
      <c r="IU2" s="103"/>
      <c r="IV2" s="103" t="s">
        <v>166</v>
      </c>
      <c r="IW2" s="103"/>
      <c r="IX2" s="103"/>
      <c r="IY2" s="103"/>
      <c r="IZ2" s="103" t="s">
        <v>167</v>
      </c>
      <c r="JA2" s="103"/>
      <c r="JB2" s="103"/>
      <c r="JC2" s="103"/>
      <c r="JD2" s="103" t="s">
        <v>168</v>
      </c>
      <c r="JE2" s="103"/>
      <c r="JF2" s="103"/>
      <c r="JG2" s="103"/>
      <c r="JH2" s="112" t="s">
        <v>169</v>
      </c>
      <c r="JI2" s="112"/>
      <c r="JJ2" s="112"/>
      <c r="JK2" s="112"/>
      <c r="JL2" s="71" t="s">
        <v>170</v>
      </c>
      <c r="JM2" s="71" t="s">
        <v>171</v>
      </c>
      <c r="JN2" s="71" t="s">
        <v>167</v>
      </c>
      <c r="JO2" s="71" t="s">
        <v>22</v>
      </c>
      <c r="JP2" s="71" t="s">
        <v>21</v>
      </c>
      <c r="JQ2" s="71" t="s">
        <v>57</v>
      </c>
      <c r="JR2" s="71" t="s">
        <v>172</v>
      </c>
      <c r="JS2" s="71" t="s">
        <v>15</v>
      </c>
      <c r="JT2" s="101" t="s">
        <v>165</v>
      </c>
      <c r="JU2" s="101"/>
      <c r="JV2" s="101"/>
      <c r="JW2" s="101"/>
      <c r="JX2" s="101" t="s">
        <v>166</v>
      </c>
      <c r="JY2" s="101"/>
      <c r="JZ2" s="101"/>
      <c r="KA2" s="101"/>
      <c r="KB2" s="101" t="s">
        <v>167</v>
      </c>
      <c r="KC2" s="101"/>
      <c r="KD2" s="101"/>
      <c r="KE2" s="101"/>
      <c r="KF2" s="101" t="s">
        <v>168</v>
      </c>
      <c r="KG2" s="101"/>
      <c r="KH2" s="101"/>
      <c r="KI2" s="101"/>
      <c r="KJ2" s="110" t="s">
        <v>169</v>
      </c>
      <c r="KK2" s="110"/>
      <c r="KL2" s="110"/>
      <c r="KM2" s="110"/>
      <c r="KN2" s="72" t="s">
        <v>170</v>
      </c>
      <c r="KO2" s="72" t="s">
        <v>171</v>
      </c>
      <c r="KP2" s="72" t="s">
        <v>167</v>
      </c>
      <c r="KQ2" s="72" t="s">
        <v>22</v>
      </c>
      <c r="KR2" s="72" t="s">
        <v>21</v>
      </c>
      <c r="KS2" s="72" t="s">
        <v>57</v>
      </c>
      <c r="KT2" s="72" t="s">
        <v>172</v>
      </c>
      <c r="KU2" s="72" t="s">
        <v>15</v>
      </c>
      <c r="KV2" s="103" t="s">
        <v>165</v>
      </c>
      <c r="KW2" s="103"/>
      <c r="KX2" s="103"/>
      <c r="KY2" s="103"/>
      <c r="KZ2" s="103" t="s">
        <v>166</v>
      </c>
      <c r="LA2" s="103"/>
      <c r="LB2" s="103"/>
      <c r="LC2" s="103"/>
      <c r="LD2" s="103" t="s">
        <v>167</v>
      </c>
      <c r="LE2" s="103"/>
      <c r="LF2" s="103"/>
      <c r="LG2" s="103"/>
      <c r="LH2" s="103" t="s">
        <v>168</v>
      </c>
      <c r="LI2" s="103"/>
      <c r="LJ2" s="103"/>
      <c r="LK2" s="103"/>
      <c r="LL2" s="112" t="s">
        <v>169</v>
      </c>
      <c r="LM2" s="112"/>
      <c r="LN2" s="112"/>
      <c r="LO2" s="112"/>
      <c r="LP2" s="71" t="s">
        <v>170</v>
      </c>
      <c r="LQ2" s="71" t="s">
        <v>171</v>
      </c>
      <c r="LR2" s="71" t="s">
        <v>167</v>
      </c>
      <c r="LS2" s="71" t="s">
        <v>22</v>
      </c>
      <c r="LT2" s="71" t="s">
        <v>21</v>
      </c>
      <c r="LU2" s="71" t="s">
        <v>57</v>
      </c>
      <c r="LV2" s="71" t="s">
        <v>172</v>
      </c>
      <c r="LW2" s="71" t="s">
        <v>15</v>
      </c>
      <c r="LX2" s="101" t="s">
        <v>165</v>
      </c>
      <c r="LY2" s="101"/>
      <c r="LZ2" s="101"/>
      <c r="MA2" s="101"/>
      <c r="MB2" s="101" t="s">
        <v>166</v>
      </c>
      <c r="MC2" s="101"/>
      <c r="MD2" s="101"/>
      <c r="ME2" s="101"/>
      <c r="MF2" s="101" t="s">
        <v>167</v>
      </c>
      <c r="MG2" s="101"/>
      <c r="MH2" s="101"/>
      <c r="MI2" s="101"/>
      <c r="MJ2" s="101" t="s">
        <v>168</v>
      </c>
      <c r="MK2" s="101"/>
      <c r="ML2" s="101"/>
      <c r="MM2" s="101"/>
      <c r="MN2" s="110" t="s">
        <v>169</v>
      </c>
      <c r="MO2" s="110"/>
      <c r="MP2" s="110"/>
      <c r="MQ2" s="110"/>
      <c r="MR2" s="72" t="s">
        <v>170</v>
      </c>
      <c r="MS2" s="72" t="s">
        <v>171</v>
      </c>
      <c r="MT2" s="72" t="s">
        <v>167</v>
      </c>
      <c r="MU2" s="72" t="s">
        <v>22</v>
      </c>
      <c r="MV2" s="72" t="s">
        <v>21</v>
      </c>
      <c r="MW2" s="72" t="s">
        <v>57</v>
      </c>
      <c r="MX2" s="72" t="s">
        <v>172</v>
      </c>
      <c r="MY2" s="72" t="s">
        <v>15</v>
      </c>
      <c r="MZ2" s="103" t="s">
        <v>165</v>
      </c>
      <c r="NA2" s="103"/>
      <c r="NB2" s="103"/>
      <c r="NC2" s="103"/>
      <c r="ND2" s="103" t="s">
        <v>166</v>
      </c>
      <c r="NE2" s="103"/>
      <c r="NF2" s="103"/>
      <c r="NG2" s="103"/>
      <c r="NH2" s="103" t="s">
        <v>167</v>
      </c>
      <c r="NI2" s="103"/>
      <c r="NJ2" s="103"/>
      <c r="NK2" s="103"/>
      <c r="NL2" s="103" t="s">
        <v>168</v>
      </c>
      <c r="NM2" s="103"/>
      <c r="NN2" s="103"/>
      <c r="NO2" s="103"/>
      <c r="NP2" s="112" t="s">
        <v>169</v>
      </c>
      <c r="NQ2" s="112"/>
      <c r="NR2" s="112"/>
      <c r="NS2" s="112"/>
      <c r="NT2" s="71" t="s">
        <v>170</v>
      </c>
      <c r="NU2" s="71" t="s">
        <v>171</v>
      </c>
      <c r="NV2" s="71" t="s">
        <v>167</v>
      </c>
      <c r="NW2" s="71" t="s">
        <v>22</v>
      </c>
      <c r="NX2" s="71" t="s">
        <v>21</v>
      </c>
      <c r="NY2" s="71" t="s">
        <v>57</v>
      </c>
      <c r="NZ2" s="71" t="s">
        <v>172</v>
      </c>
      <c r="OA2" s="71" t="s">
        <v>15</v>
      </c>
      <c r="OB2" s="101" t="s">
        <v>165</v>
      </c>
      <c r="OC2" s="101"/>
      <c r="OD2" s="101"/>
      <c r="OE2" s="101"/>
      <c r="OF2" s="101" t="s">
        <v>166</v>
      </c>
      <c r="OG2" s="101"/>
      <c r="OH2" s="101"/>
      <c r="OI2" s="101"/>
      <c r="OJ2" s="101" t="s">
        <v>167</v>
      </c>
      <c r="OK2" s="101"/>
      <c r="OL2" s="101"/>
      <c r="OM2" s="101"/>
      <c r="ON2" s="101" t="s">
        <v>168</v>
      </c>
      <c r="OO2" s="101"/>
      <c r="OP2" s="101"/>
      <c r="OQ2" s="101"/>
      <c r="OR2" s="110" t="s">
        <v>169</v>
      </c>
      <c r="OS2" s="110"/>
      <c r="OT2" s="110"/>
      <c r="OU2" s="110"/>
      <c r="OV2" s="72" t="s">
        <v>170</v>
      </c>
      <c r="OW2" s="72" t="s">
        <v>171</v>
      </c>
      <c r="OX2" s="72" t="s">
        <v>167</v>
      </c>
      <c r="OY2" s="72" t="s">
        <v>22</v>
      </c>
      <c r="OZ2" s="72" t="s">
        <v>21</v>
      </c>
      <c r="PA2" s="72" t="s">
        <v>57</v>
      </c>
      <c r="PB2" s="72" t="s">
        <v>172</v>
      </c>
      <c r="PC2" s="72" t="s">
        <v>15</v>
      </c>
      <c r="PD2" s="103" t="s">
        <v>165</v>
      </c>
      <c r="PE2" s="103"/>
      <c r="PF2" s="103"/>
      <c r="PG2" s="103"/>
      <c r="PH2" s="103" t="s">
        <v>166</v>
      </c>
      <c r="PI2" s="103"/>
      <c r="PJ2" s="103"/>
      <c r="PK2" s="103"/>
      <c r="PL2" s="103" t="s">
        <v>167</v>
      </c>
      <c r="PM2" s="103"/>
      <c r="PN2" s="103"/>
      <c r="PO2" s="103"/>
      <c r="PP2" s="103" t="s">
        <v>168</v>
      </c>
      <c r="PQ2" s="103"/>
      <c r="PR2" s="103"/>
      <c r="PS2" s="103"/>
      <c r="PT2" s="112" t="s">
        <v>169</v>
      </c>
      <c r="PU2" s="112"/>
      <c r="PV2" s="112"/>
      <c r="PW2" s="112"/>
      <c r="PX2" s="71" t="s">
        <v>170</v>
      </c>
      <c r="PY2" s="71" t="s">
        <v>171</v>
      </c>
      <c r="PZ2" s="71" t="s">
        <v>167</v>
      </c>
      <c r="QA2" s="71" t="s">
        <v>22</v>
      </c>
      <c r="QB2" s="71" t="s">
        <v>21</v>
      </c>
      <c r="QC2" s="71" t="s">
        <v>57</v>
      </c>
      <c r="QD2" s="71" t="s">
        <v>172</v>
      </c>
      <c r="QE2" s="71" t="s">
        <v>15</v>
      </c>
      <c r="QF2" s="101" t="s">
        <v>165</v>
      </c>
      <c r="QG2" s="101"/>
      <c r="QH2" s="101"/>
      <c r="QI2" s="101"/>
      <c r="QJ2" s="101" t="s">
        <v>166</v>
      </c>
      <c r="QK2" s="101"/>
      <c r="QL2" s="101"/>
      <c r="QM2" s="101"/>
      <c r="QN2" s="101" t="s">
        <v>167</v>
      </c>
      <c r="QO2" s="101"/>
      <c r="QP2" s="101"/>
      <c r="QQ2" s="101"/>
      <c r="QR2" s="101" t="s">
        <v>168</v>
      </c>
      <c r="QS2" s="101"/>
      <c r="QT2" s="101"/>
      <c r="QU2" s="101"/>
      <c r="QV2" s="111" t="s">
        <v>169</v>
      </c>
      <c r="QW2" s="111"/>
      <c r="QX2" s="111"/>
      <c r="QY2" s="111"/>
      <c r="QZ2" s="72"/>
      <c r="RA2" s="72" t="s">
        <v>170</v>
      </c>
      <c r="RB2" s="72" t="s">
        <v>171</v>
      </c>
      <c r="RC2" s="72" t="s">
        <v>167</v>
      </c>
      <c r="RD2" s="72" t="s">
        <v>22</v>
      </c>
      <c r="RE2" s="72" t="s">
        <v>21</v>
      </c>
      <c r="RF2" s="72" t="s">
        <v>57</v>
      </c>
      <c r="RG2" s="72" t="s">
        <v>172</v>
      </c>
      <c r="RH2" s="72" t="s">
        <v>15</v>
      </c>
    </row>
    <row r="3" spans="1:476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7"/>
      <c r="N3" s="108"/>
      <c r="O3" s="107"/>
      <c r="P3" s="108"/>
      <c r="Q3" s="108"/>
      <c r="R3" s="108"/>
      <c r="S3" s="109"/>
      <c r="T3" s="108"/>
      <c r="U3" s="108"/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3" t="s">
        <v>12</v>
      </c>
      <c r="AM3" s="73" t="s">
        <v>7</v>
      </c>
      <c r="AN3" s="73" t="s">
        <v>24</v>
      </c>
      <c r="AO3" s="73" t="s">
        <v>25</v>
      </c>
      <c r="AP3" s="72" t="s">
        <v>45</v>
      </c>
      <c r="AQ3" s="72"/>
      <c r="AR3" s="72"/>
      <c r="AS3" s="72"/>
      <c r="AT3" s="72"/>
      <c r="AU3" s="72"/>
      <c r="AV3" s="72"/>
      <c r="AW3" s="72"/>
      <c r="AX3" s="72"/>
      <c r="AY3" s="71" t="s">
        <v>12</v>
      </c>
      <c r="AZ3" s="71" t="s">
        <v>7</v>
      </c>
      <c r="BA3" s="71" t="s">
        <v>24</v>
      </c>
      <c r="BB3" s="71" t="s">
        <v>25</v>
      </c>
      <c r="BC3" s="71" t="s">
        <v>12</v>
      </c>
      <c r="BD3" s="71" t="s">
        <v>7</v>
      </c>
      <c r="BE3" s="71" t="s">
        <v>24</v>
      </c>
      <c r="BF3" s="71" t="s">
        <v>25</v>
      </c>
      <c r="BG3" s="71" t="s">
        <v>12</v>
      </c>
      <c r="BH3" s="71" t="s">
        <v>7</v>
      </c>
      <c r="BI3" s="71" t="s">
        <v>24</v>
      </c>
      <c r="BJ3" s="71" t="s">
        <v>25</v>
      </c>
      <c r="BK3" s="71" t="s">
        <v>12</v>
      </c>
      <c r="BL3" s="71" t="s">
        <v>7</v>
      </c>
      <c r="BM3" s="71" t="s">
        <v>24</v>
      </c>
      <c r="BN3" s="71" t="s">
        <v>25</v>
      </c>
      <c r="BO3" s="75" t="s">
        <v>12</v>
      </c>
      <c r="BP3" s="75" t="s">
        <v>7</v>
      </c>
      <c r="BQ3" s="75" t="s">
        <v>24</v>
      </c>
      <c r="BR3" s="75" t="s">
        <v>25</v>
      </c>
      <c r="BS3" s="71" t="s">
        <v>45</v>
      </c>
      <c r="BT3" s="71"/>
      <c r="BU3" s="71"/>
      <c r="BV3" s="71"/>
      <c r="BW3" s="71"/>
      <c r="BX3" s="71"/>
      <c r="BY3" s="71"/>
      <c r="BZ3" s="71"/>
      <c r="CA3" s="71"/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2" t="s">
        <v>12</v>
      </c>
      <c r="CO3" s="72" t="s">
        <v>7</v>
      </c>
      <c r="CP3" s="72" t="s">
        <v>24</v>
      </c>
      <c r="CQ3" s="72" t="s">
        <v>25</v>
      </c>
      <c r="CR3" s="73" t="s">
        <v>12</v>
      </c>
      <c r="CS3" s="73" t="s">
        <v>7</v>
      </c>
      <c r="CT3" s="73" t="s">
        <v>24</v>
      </c>
      <c r="CU3" s="73" t="s">
        <v>25</v>
      </c>
      <c r="CV3" s="72" t="s">
        <v>45</v>
      </c>
      <c r="CW3" s="72"/>
      <c r="CX3" s="72"/>
      <c r="CY3" s="72"/>
      <c r="CZ3" s="72"/>
      <c r="DA3" s="72"/>
      <c r="DB3" s="72"/>
      <c r="DC3" s="72"/>
      <c r="DD3" s="72"/>
      <c r="DE3" s="77"/>
      <c r="DF3" s="77"/>
      <c r="DG3" s="77"/>
      <c r="DH3" s="72" t="s">
        <v>12</v>
      </c>
      <c r="DI3" s="72" t="s">
        <v>7</v>
      </c>
      <c r="DJ3" s="72" t="s">
        <v>24</v>
      </c>
      <c r="DK3" s="72" t="s">
        <v>25</v>
      </c>
      <c r="DL3" s="72" t="s">
        <v>12</v>
      </c>
      <c r="DM3" s="72" t="s">
        <v>7</v>
      </c>
      <c r="DN3" s="72" t="s">
        <v>24</v>
      </c>
      <c r="DO3" s="72" t="s">
        <v>25</v>
      </c>
      <c r="DP3" s="72" t="s">
        <v>12</v>
      </c>
      <c r="DQ3" s="72" t="s">
        <v>7</v>
      </c>
      <c r="DR3" s="72" t="s">
        <v>24</v>
      </c>
      <c r="DS3" s="72" t="s">
        <v>25</v>
      </c>
      <c r="DT3" s="72" t="s">
        <v>12</v>
      </c>
      <c r="DU3" s="72" t="s">
        <v>7</v>
      </c>
      <c r="DV3" s="72" t="s">
        <v>24</v>
      </c>
      <c r="DW3" s="72" t="s">
        <v>25</v>
      </c>
      <c r="DX3" s="74" t="s">
        <v>12</v>
      </c>
      <c r="DY3" s="74" t="s">
        <v>7</v>
      </c>
      <c r="DZ3" s="74" t="s">
        <v>24</v>
      </c>
      <c r="EA3" s="74" t="s">
        <v>25</v>
      </c>
      <c r="EB3" s="72"/>
      <c r="EC3" s="72"/>
      <c r="ED3" s="72"/>
      <c r="EE3" s="72"/>
      <c r="EF3" s="72"/>
      <c r="EG3" s="72"/>
      <c r="EH3" s="72"/>
      <c r="EI3" s="72"/>
      <c r="EJ3" s="71" t="s">
        <v>12</v>
      </c>
      <c r="EK3" s="71" t="s">
        <v>7</v>
      </c>
      <c r="EL3" s="71" t="s">
        <v>24</v>
      </c>
      <c r="EM3" s="71" t="s">
        <v>25</v>
      </c>
      <c r="EN3" s="71" t="s">
        <v>12</v>
      </c>
      <c r="EO3" s="71" t="s">
        <v>7</v>
      </c>
      <c r="EP3" s="71" t="s">
        <v>24</v>
      </c>
      <c r="EQ3" s="71" t="s">
        <v>25</v>
      </c>
      <c r="ER3" s="71" t="s">
        <v>12</v>
      </c>
      <c r="ES3" s="71" t="s">
        <v>7</v>
      </c>
      <c r="ET3" s="71" t="s">
        <v>24</v>
      </c>
      <c r="EU3" s="71" t="s">
        <v>25</v>
      </c>
      <c r="EV3" s="71" t="s">
        <v>12</v>
      </c>
      <c r="EW3" s="71" t="s">
        <v>7</v>
      </c>
      <c r="EX3" s="71" t="s">
        <v>24</v>
      </c>
      <c r="EY3" s="71" t="s">
        <v>25</v>
      </c>
      <c r="EZ3" s="75" t="s">
        <v>12</v>
      </c>
      <c r="FA3" s="75" t="s">
        <v>7</v>
      </c>
      <c r="FB3" s="75" t="s">
        <v>24</v>
      </c>
      <c r="FC3" s="75" t="s">
        <v>25</v>
      </c>
      <c r="FD3" s="71"/>
      <c r="FE3" s="71"/>
      <c r="FF3" s="71"/>
      <c r="FG3" s="71"/>
      <c r="FH3" s="71"/>
      <c r="FI3" s="71"/>
      <c r="FJ3" s="71"/>
      <c r="FK3" s="71"/>
      <c r="FL3" s="72" t="s">
        <v>12</v>
      </c>
      <c r="FM3" s="72" t="s">
        <v>7</v>
      </c>
      <c r="FN3" s="72" t="s">
        <v>24</v>
      </c>
      <c r="FO3" s="72" t="s">
        <v>25</v>
      </c>
      <c r="FP3" s="72" t="s">
        <v>12</v>
      </c>
      <c r="FQ3" s="72" t="s">
        <v>7</v>
      </c>
      <c r="FR3" s="72" t="s">
        <v>24</v>
      </c>
      <c r="FS3" s="72" t="s">
        <v>25</v>
      </c>
      <c r="FT3" s="72" t="s">
        <v>12</v>
      </c>
      <c r="FU3" s="72" t="s">
        <v>7</v>
      </c>
      <c r="FV3" s="72" t="s">
        <v>24</v>
      </c>
      <c r="FW3" s="72" t="s">
        <v>25</v>
      </c>
      <c r="FX3" s="72" t="s">
        <v>12</v>
      </c>
      <c r="FY3" s="72" t="s">
        <v>7</v>
      </c>
      <c r="FZ3" s="72" t="s">
        <v>24</v>
      </c>
      <c r="GA3" s="72" t="s">
        <v>25</v>
      </c>
      <c r="GB3" s="74" t="s">
        <v>12</v>
      </c>
      <c r="GC3" s="74" t="s">
        <v>7</v>
      </c>
      <c r="GD3" s="74" t="s">
        <v>24</v>
      </c>
      <c r="GE3" s="74" t="s">
        <v>25</v>
      </c>
      <c r="GF3" s="72"/>
      <c r="GG3" s="72"/>
      <c r="GH3" s="72"/>
      <c r="GI3" s="72"/>
      <c r="GJ3" s="72"/>
      <c r="GK3" s="72"/>
      <c r="GL3" s="72"/>
      <c r="GM3" s="72"/>
      <c r="GN3" s="71" t="s">
        <v>12</v>
      </c>
      <c r="GO3" s="71" t="s">
        <v>7</v>
      </c>
      <c r="GP3" s="71" t="s">
        <v>24</v>
      </c>
      <c r="GQ3" s="71" t="s">
        <v>25</v>
      </c>
      <c r="GR3" s="71" t="s">
        <v>12</v>
      </c>
      <c r="GS3" s="71" t="s">
        <v>7</v>
      </c>
      <c r="GT3" s="71" t="s">
        <v>24</v>
      </c>
      <c r="GU3" s="71" t="s">
        <v>25</v>
      </c>
      <c r="GV3" s="71" t="s">
        <v>12</v>
      </c>
      <c r="GW3" s="71" t="s">
        <v>7</v>
      </c>
      <c r="GX3" s="71" t="s">
        <v>24</v>
      </c>
      <c r="GY3" s="71" t="s">
        <v>25</v>
      </c>
      <c r="GZ3" s="71" t="s">
        <v>12</v>
      </c>
      <c r="HA3" s="71" t="s">
        <v>7</v>
      </c>
      <c r="HB3" s="71" t="s">
        <v>24</v>
      </c>
      <c r="HC3" s="71" t="s">
        <v>25</v>
      </c>
      <c r="HD3" s="75" t="s">
        <v>12</v>
      </c>
      <c r="HE3" s="75" t="s">
        <v>7</v>
      </c>
      <c r="HF3" s="75" t="s">
        <v>24</v>
      </c>
      <c r="HG3" s="75" t="s">
        <v>25</v>
      </c>
      <c r="HH3" s="71"/>
      <c r="HI3" s="71"/>
      <c r="HJ3" s="71"/>
      <c r="HK3" s="71"/>
      <c r="HL3" s="71"/>
      <c r="HM3" s="71"/>
      <c r="HN3" s="71"/>
      <c r="HO3" s="71"/>
      <c r="HP3" s="72" t="s">
        <v>12</v>
      </c>
      <c r="HQ3" s="72" t="s">
        <v>7</v>
      </c>
      <c r="HR3" s="72" t="s">
        <v>24</v>
      </c>
      <c r="HS3" s="72" t="s">
        <v>25</v>
      </c>
      <c r="HT3" s="72" t="s">
        <v>12</v>
      </c>
      <c r="HU3" s="72" t="s">
        <v>7</v>
      </c>
      <c r="HV3" s="72" t="s">
        <v>24</v>
      </c>
      <c r="HW3" s="72" t="s">
        <v>25</v>
      </c>
      <c r="HX3" s="72" t="s">
        <v>12</v>
      </c>
      <c r="HY3" s="72" t="s">
        <v>7</v>
      </c>
      <c r="HZ3" s="72" t="s">
        <v>24</v>
      </c>
      <c r="IA3" s="72" t="s">
        <v>25</v>
      </c>
      <c r="IB3" s="72" t="s">
        <v>12</v>
      </c>
      <c r="IC3" s="72" t="s">
        <v>7</v>
      </c>
      <c r="ID3" s="72" t="s">
        <v>24</v>
      </c>
      <c r="IE3" s="72" t="s">
        <v>25</v>
      </c>
      <c r="IF3" s="74" t="s">
        <v>12</v>
      </c>
      <c r="IG3" s="74" t="s">
        <v>7</v>
      </c>
      <c r="IH3" s="74" t="s">
        <v>24</v>
      </c>
      <c r="II3" s="74" t="s">
        <v>25</v>
      </c>
      <c r="IJ3" s="72"/>
      <c r="IK3" s="72"/>
      <c r="IL3" s="72"/>
      <c r="IM3" s="72"/>
      <c r="IN3" s="72"/>
      <c r="IO3" s="72"/>
      <c r="IP3" s="72"/>
      <c r="IQ3" s="72"/>
      <c r="IR3" s="71" t="s">
        <v>12</v>
      </c>
      <c r="IS3" s="71" t="s">
        <v>7</v>
      </c>
      <c r="IT3" s="71" t="s">
        <v>24</v>
      </c>
      <c r="IU3" s="71" t="s">
        <v>25</v>
      </c>
      <c r="IV3" s="71" t="s">
        <v>12</v>
      </c>
      <c r="IW3" s="71" t="s">
        <v>7</v>
      </c>
      <c r="IX3" s="71" t="s">
        <v>24</v>
      </c>
      <c r="IY3" s="71" t="s">
        <v>25</v>
      </c>
      <c r="IZ3" s="71" t="s">
        <v>12</v>
      </c>
      <c r="JA3" s="71" t="s">
        <v>7</v>
      </c>
      <c r="JB3" s="71" t="s">
        <v>24</v>
      </c>
      <c r="JC3" s="71" t="s">
        <v>25</v>
      </c>
      <c r="JD3" s="71" t="s">
        <v>12</v>
      </c>
      <c r="JE3" s="71" t="s">
        <v>7</v>
      </c>
      <c r="JF3" s="71" t="s">
        <v>24</v>
      </c>
      <c r="JG3" s="71" t="s">
        <v>25</v>
      </c>
      <c r="JH3" s="75" t="s">
        <v>12</v>
      </c>
      <c r="JI3" s="75" t="s">
        <v>7</v>
      </c>
      <c r="JJ3" s="75" t="s">
        <v>24</v>
      </c>
      <c r="JK3" s="75" t="s">
        <v>25</v>
      </c>
      <c r="JL3" s="71"/>
      <c r="JM3" s="71"/>
      <c r="JN3" s="71"/>
      <c r="JO3" s="71"/>
      <c r="JP3" s="71"/>
      <c r="JQ3" s="71"/>
      <c r="JR3" s="71"/>
      <c r="JS3" s="71"/>
      <c r="JT3" s="72" t="s">
        <v>12</v>
      </c>
      <c r="JU3" s="72" t="s">
        <v>7</v>
      </c>
      <c r="JV3" s="72" t="s">
        <v>24</v>
      </c>
      <c r="JW3" s="72" t="s">
        <v>25</v>
      </c>
      <c r="JX3" s="72" t="s">
        <v>12</v>
      </c>
      <c r="JY3" s="72" t="s">
        <v>7</v>
      </c>
      <c r="JZ3" s="72" t="s">
        <v>24</v>
      </c>
      <c r="KA3" s="72" t="s">
        <v>25</v>
      </c>
      <c r="KB3" s="72" t="s">
        <v>12</v>
      </c>
      <c r="KC3" s="72" t="s">
        <v>7</v>
      </c>
      <c r="KD3" s="72" t="s">
        <v>24</v>
      </c>
      <c r="KE3" s="72" t="s">
        <v>25</v>
      </c>
      <c r="KF3" s="72" t="s">
        <v>12</v>
      </c>
      <c r="KG3" s="72" t="s">
        <v>7</v>
      </c>
      <c r="KH3" s="72" t="s">
        <v>24</v>
      </c>
      <c r="KI3" s="72" t="s">
        <v>25</v>
      </c>
      <c r="KJ3" s="74" t="s">
        <v>12</v>
      </c>
      <c r="KK3" s="74" t="s">
        <v>7</v>
      </c>
      <c r="KL3" s="74" t="s">
        <v>24</v>
      </c>
      <c r="KM3" s="74" t="s">
        <v>25</v>
      </c>
      <c r="KN3" s="72"/>
      <c r="KO3" s="72"/>
      <c r="KP3" s="72"/>
      <c r="KQ3" s="72"/>
      <c r="KR3" s="72"/>
      <c r="KS3" s="72"/>
      <c r="KT3" s="72"/>
      <c r="KU3" s="72"/>
      <c r="KV3" s="71" t="s">
        <v>12</v>
      </c>
      <c r="KW3" s="71" t="s">
        <v>7</v>
      </c>
      <c r="KX3" s="71" t="s">
        <v>24</v>
      </c>
      <c r="KY3" s="71" t="s">
        <v>25</v>
      </c>
      <c r="KZ3" s="71" t="s">
        <v>12</v>
      </c>
      <c r="LA3" s="71" t="s">
        <v>7</v>
      </c>
      <c r="LB3" s="71" t="s">
        <v>24</v>
      </c>
      <c r="LC3" s="71" t="s">
        <v>25</v>
      </c>
      <c r="LD3" s="71" t="s">
        <v>12</v>
      </c>
      <c r="LE3" s="71" t="s">
        <v>7</v>
      </c>
      <c r="LF3" s="71" t="s">
        <v>24</v>
      </c>
      <c r="LG3" s="71" t="s">
        <v>25</v>
      </c>
      <c r="LH3" s="71" t="s">
        <v>12</v>
      </c>
      <c r="LI3" s="71" t="s">
        <v>7</v>
      </c>
      <c r="LJ3" s="71" t="s">
        <v>24</v>
      </c>
      <c r="LK3" s="71" t="s">
        <v>25</v>
      </c>
      <c r="LL3" s="75" t="s">
        <v>12</v>
      </c>
      <c r="LM3" s="75" t="s">
        <v>7</v>
      </c>
      <c r="LN3" s="75" t="s">
        <v>24</v>
      </c>
      <c r="LO3" s="75" t="s">
        <v>25</v>
      </c>
      <c r="LP3" s="71"/>
      <c r="LQ3" s="71"/>
      <c r="LR3" s="71"/>
      <c r="LS3" s="71"/>
      <c r="LT3" s="71"/>
      <c r="LU3" s="71"/>
      <c r="LV3" s="71"/>
      <c r="LW3" s="71"/>
      <c r="LX3" s="72" t="s">
        <v>12</v>
      </c>
      <c r="LY3" s="72" t="s">
        <v>7</v>
      </c>
      <c r="LZ3" s="72" t="s">
        <v>24</v>
      </c>
      <c r="MA3" s="72" t="s">
        <v>25</v>
      </c>
      <c r="MB3" s="72" t="s">
        <v>12</v>
      </c>
      <c r="MC3" s="72" t="s">
        <v>7</v>
      </c>
      <c r="MD3" s="72" t="s">
        <v>24</v>
      </c>
      <c r="ME3" s="72" t="s">
        <v>25</v>
      </c>
      <c r="MF3" s="72" t="s">
        <v>12</v>
      </c>
      <c r="MG3" s="72" t="s">
        <v>7</v>
      </c>
      <c r="MH3" s="72" t="s">
        <v>24</v>
      </c>
      <c r="MI3" s="72" t="s">
        <v>25</v>
      </c>
      <c r="MJ3" s="72" t="s">
        <v>12</v>
      </c>
      <c r="MK3" s="72" t="s">
        <v>7</v>
      </c>
      <c r="ML3" s="72" t="s">
        <v>24</v>
      </c>
      <c r="MM3" s="72" t="s">
        <v>25</v>
      </c>
      <c r="MN3" s="74" t="s">
        <v>12</v>
      </c>
      <c r="MO3" s="74" t="s">
        <v>7</v>
      </c>
      <c r="MP3" s="74" t="s">
        <v>24</v>
      </c>
      <c r="MQ3" s="74" t="s">
        <v>25</v>
      </c>
      <c r="MR3" s="72"/>
      <c r="MS3" s="72"/>
      <c r="MT3" s="72"/>
      <c r="MU3" s="72"/>
      <c r="MV3" s="72"/>
      <c r="MW3" s="72"/>
      <c r="MX3" s="72"/>
      <c r="MY3" s="72"/>
      <c r="MZ3" s="71" t="s">
        <v>12</v>
      </c>
      <c r="NA3" s="71" t="s">
        <v>7</v>
      </c>
      <c r="NB3" s="71" t="s">
        <v>24</v>
      </c>
      <c r="NC3" s="71" t="s">
        <v>25</v>
      </c>
      <c r="ND3" s="71" t="s">
        <v>12</v>
      </c>
      <c r="NE3" s="71" t="s">
        <v>7</v>
      </c>
      <c r="NF3" s="71" t="s">
        <v>24</v>
      </c>
      <c r="NG3" s="71" t="s">
        <v>25</v>
      </c>
      <c r="NH3" s="71" t="s">
        <v>12</v>
      </c>
      <c r="NI3" s="71" t="s">
        <v>7</v>
      </c>
      <c r="NJ3" s="71" t="s">
        <v>24</v>
      </c>
      <c r="NK3" s="71" t="s">
        <v>25</v>
      </c>
      <c r="NL3" s="71" t="s">
        <v>12</v>
      </c>
      <c r="NM3" s="71" t="s">
        <v>7</v>
      </c>
      <c r="NN3" s="71" t="s">
        <v>24</v>
      </c>
      <c r="NO3" s="71" t="s">
        <v>25</v>
      </c>
      <c r="NP3" s="75" t="s">
        <v>12</v>
      </c>
      <c r="NQ3" s="75" t="s">
        <v>7</v>
      </c>
      <c r="NR3" s="75" t="s">
        <v>24</v>
      </c>
      <c r="NS3" s="75" t="s">
        <v>25</v>
      </c>
      <c r="NT3" s="71"/>
      <c r="NU3" s="71"/>
      <c r="NV3" s="71"/>
      <c r="NW3" s="71"/>
      <c r="NX3" s="71"/>
      <c r="NY3" s="71"/>
      <c r="NZ3" s="71"/>
      <c r="OA3" s="71"/>
      <c r="OB3" s="72" t="s">
        <v>12</v>
      </c>
      <c r="OC3" s="72" t="s">
        <v>7</v>
      </c>
      <c r="OD3" s="72" t="s">
        <v>24</v>
      </c>
      <c r="OE3" s="72" t="s">
        <v>25</v>
      </c>
      <c r="OF3" s="72" t="s">
        <v>12</v>
      </c>
      <c r="OG3" s="72" t="s">
        <v>7</v>
      </c>
      <c r="OH3" s="72" t="s">
        <v>24</v>
      </c>
      <c r="OI3" s="72" t="s">
        <v>25</v>
      </c>
      <c r="OJ3" s="72" t="s">
        <v>12</v>
      </c>
      <c r="OK3" s="72" t="s">
        <v>7</v>
      </c>
      <c r="OL3" s="72" t="s">
        <v>24</v>
      </c>
      <c r="OM3" s="72" t="s">
        <v>25</v>
      </c>
      <c r="ON3" s="72" t="s">
        <v>12</v>
      </c>
      <c r="OO3" s="72" t="s">
        <v>7</v>
      </c>
      <c r="OP3" s="72" t="s">
        <v>24</v>
      </c>
      <c r="OQ3" s="72" t="s">
        <v>25</v>
      </c>
      <c r="OR3" s="74" t="s">
        <v>12</v>
      </c>
      <c r="OS3" s="74" t="s">
        <v>7</v>
      </c>
      <c r="OT3" s="74" t="s">
        <v>24</v>
      </c>
      <c r="OU3" s="74" t="s">
        <v>25</v>
      </c>
      <c r="OV3" s="72"/>
      <c r="OW3" s="72"/>
      <c r="OX3" s="72"/>
      <c r="OY3" s="72"/>
      <c r="OZ3" s="72"/>
      <c r="PA3" s="72"/>
      <c r="PB3" s="72"/>
      <c r="PC3" s="72"/>
      <c r="PD3" s="71" t="s">
        <v>12</v>
      </c>
      <c r="PE3" s="71" t="s">
        <v>7</v>
      </c>
      <c r="PF3" s="71" t="s">
        <v>24</v>
      </c>
      <c r="PG3" s="71" t="s">
        <v>25</v>
      </c>
      <c r="PH3" s="71" t="s">
        <v>12</v>
      </c>
      <c r="PI3" s="71" t="s">
        <v>7</v>
      </c>
      <c r="PJ3" s="71" t="s">
        <v>24</v>
      </c>
      <c r="PK3" s="71" t="s">
        <v>25</v>
      </c>
      <c r="PL3" s="71" t="s">
        <v>12</v>
      </c>
      <c r="PM3" s="71" t="s">
        <v>7</v>
      </c>
      <c r="PN3" s="71" t="s">
        <v>24</v>
      </c>
      <c r="PO3" s="71" t="s">
        <v>25</v>
      </c>
      <c r="PP3" s="71" t="s">
        <v>12</v>
      </c>
      <c r="PQ3" s="71" t="s">
        <v>7</v>
      </c>
      <c r="PR3" s="71" t="s">
        <v>24</v>
      </c>
      <c r="PS3" s="71" t="s">
        <v>25</v>
      </c>
      <c r="PT3" s="75" t="s">
        <v>12</v>
      </c>
      <c r="PU3" s="75" t="s">
        <v>7</v>
      </c>
      <c r="PV3" s="75" t="s">
        <v>24</v>
      </c>
      <c r="PW3" s="75" t="s">
        <v>25</v>
      </c>
      <c r="PX3" s="71"/>
      <c r="PY3" s="71"/>
      <c r="PZ3" s="71"/>
      <c r="QA3" s="71"/>
      <c r="QB3" s="71"/>
      <c r="QC3" s="71"/>
      <c r="QD3" s="71"/>
      <c r="QE3" s="71"/>
      <c r="QF3" s="72" t="s">
        <v>12</v>
      </c>
      <c r="QG3" s="72" t="s">
        <v>7</v>
      </c>
      <c r="QH3" s="72" t="s">
        <v>24</v>
      </c>
      <c r="QI3" s="72" t="s">
        <v>25</v>
      </c>
      <c r="QJ3" s="72" t="s">
        <v>12</v>
      </c>
      <c r="QK3" s="72" t="s">
        <v>7</v>
      </c>
      <c r="QL3" s="72" t="s">
        <v>24</v>
      </c>
      <c r="QM3" s="72" t="s">
        <v>25</v>
      </c>
      <c r="QN3" s="72" t="s">
        <v>12</v>
      </c>
      <c r="QO3" s="72" t="s">
        <v>7</v>
      </c>
      <c r="QP3" s="72" t="s">
        <v>24</v>
      </c>
      <c r="QQ3" s="72" t="s">
        <v>25</v>
      </c>
      <c r="QR3" s="72" t="s">
        <v>12</v>
      </c>
      <c r="QS3" s="72" t="s">
        <v>7</v>
      </c>
      <c r="QT3" s="72" t="s">
        <v>24</v>
      </c>
      <c r="QU3" s="72" t="s">
        <v>25</v>
      </c>
      <c r="QV3" s="73" t="s">
        <v>12</v>
      </c>
      <c r="QW3" s="73" t="s">
        <v>7</v>
      </c>
      <c r="QX3" s="73" t="s">
        <v>24</v>
      </c>
      <c r="QY3" s="73" t="s">
        <v>25</v>
      </c>
      <c r="QZ3" s="72" t="s">
        <v>45</v>
      </c>
      <c r="RA3" s="72"/>
      <c r="RB3" s="72"/>
      <c r="RC3" s="72"/>
      <c r="RD3" s="72"/>
      <c r="RE3" s="72"/>
      <c r="RF3" s="72"/>
      <c r="RG3" s="72"/>
      <c r="RH3" s="72"/>
    </row>
    <row r="4" spans="1:476" x14ac:dyDescent="0.2">
      <c r="A4" s="5">
        <f>IF(AND(F4="P",G4="P"),SUMPRODUCT((F$4:F$27="P")*(G$4:G$27="P")*(E$4:E$27&gt;E4))+1,IF(G4="P",SUMPRODUCT((F$4:F$27="")*(G$4:G$27="P")*(E$4:E$27&gt;E4))+1+SUMPRODUCT((F$4:F$27="P")*(G$4:G$27="P")),""))</f>
        <v>1</v>
      </c>
      <c r="B4" s="78" t="s">
        <v>68</v>
      </c>
      <c r="C4" s="5" t="s">
        <v>5</v>
      </c>
      <c r="D4" s="5">
        <v>2003</v>
      </c>
      <c r="E4" s="15">
        <f>SUM(I4:S4)+SUM(I4:O4)*0.0000001+SUM(I4)*0.0000000000001</f>
        <v>134.04020790402532</v>
      </c>
      <c r="F4" s="3" t="str">
        <f>IF(OR(AND(AQ4&gt;=AX$29,AR4&gt;=AX$33,AQ4&lt;&gt;"",AP4=""),AND(AV4&gt;=AX$29,AW4&gt;=AX$33,AV4&lt;&gt;"",AP4=""),AND(BT4&gt;=CA$29,BU4&gt;=CA$33,BT4&lt;&gt;"",BS4=""),AND(BY4&gt;=CA$29,BZ4&gt;=CA$33,BY4&lt;&gt;"",BS4=""),AND(CW4&gt;=DD$29,CX4&gt;=DD$33,CW4&lt;&gt;"",CV4=""),AND(DB4&gt;=DD$29,DC4&gt;=DD$33,DB4&lt;&gt;""),AND(EB4&gt;=EI$29,EC4&gt;=EI$33,EB4&lt;&gt;""),AND(EG4&gt;=EI$29,EH4&gt;=EI$33,EG4&lt;&gt;""),AND(FD4&gt;=FK$29,FE4&gt;=FK$33,FD4&lt;&gt;""),AND(FI4&gt;=FK$29,FJ4&gt;=FK$33,FI4&lt;&gt;""),AND(GF4&gt;=GM$29,GG4&gt;=GM$33,GF4&lt;&gt;""),AND(GK4&gt;=GM$29,GL4&gt;=GM$33,GK4&lt;&gt;""),AND(HH4&gt;=HO$29,HI4&gt;=HO$33,HH4&lt;&gt;""),AND(HM4&gt;=HO$29,HN4&gt;=HO$33,HM4&lt;&gt;""),AND(IJ4&gt;=IQ$29,IK4&gt;=IQ$33,IJ4&lt;&gt;""),AND(IO4&gt;=IQ$29,IP4&gt;=IQ$33,IO4&lt;&gt;""),AND(JL4&gt;=JS$29,JM4&gt;=JS$33,JL4&lt;&gt;""),AND(JQ4&gt;=JS$29,JR4&gt;=JS$33,JQ4&lt;&gt;""),AND(KN4&gt;=KU$29,KO4&gt;=KU$33,KN4&lt;&gt;""),AND(KS4&gt;=KU$29,KT4&gt;=KU$33,KS4&lt;&gt;""),AND(LP4&gt;=LW$29,LQ4&gt;=LW$33,LP4&lt;&gt;""),AND(LU4&gt;=LW$29,LV4&gt;=LW$33,LU4&lt;&gt;""),AND(MR4&gt;=MY$29,MS4&gt;=MY$33,MR4&lt;&gt;""),AND(MW4&gt;=MY$29,MX4&gt;=MY$33,MW4&lt;&gt;""),AND(NT4&gt;=OA$29,NU4&gt;=OA$33,NT4&lt;&gt;""),AND(NY4&gt;=OA$29,NZ4&gt;=OA$33,NY4&lt;&gt;""),AND(OV4&gt;=PC$29,OW4&gt;=PC$33,OV4&lt;&gt;""),AND(PA4&gt;=PC$29,PB4&gt;=PC$33,PA4&lt;&gt;""),AND(PX4&gt;=QE$29,PY4&gt;=QE$33,PX4&lt;&gt;""),AND(QC4&gt;=QE$29,QD4&gt;=QE$33,QC4&lt;&gt;"")),"P","")</f>
        <v>P</v>
      </c>
      <c r="G4" s="3" t="str">
        <f>IF(OR(AND(AR4&gt;=AX$33,AR4&lt;&gt;"",AP4=""),AND(AW4&gt;=AX$33,AW4&lt;&gt;"",AP4=""),AND(BU4&gt;=CA$33,BU4&lt;&gt;"",BS4=""),AND(BZ4&gt;=CA$33,BZ4&lt;&gt;"",BS4=""),AND(CX4&gt;=DD$33,CX4&lt;&gt;"",CV4=""),AND(DC4&gt;=DD$33,DC4&lt;&gt;"",CV4=""),AND(EC4&gt;=EI$33,EC4&lt;&gt;""),AND(EH4&gt;=EI$33,EH4&lt;&gt;""),AND(FE4&gt;=FK$33,FE4&lt;&gt;""),AND(FJ4&gt;=FK$33,FJ4&lt;&gt;""),AND(GG4&gt;=GM$33,GG4&lt;&gt;""),AND(GL4&gt;=GM$33,GL4&lt;&gt;""),AND(HI4&gt;=HO$33,HI4&lt;&gt;""),AND(HN4&gt;=HO$33,HN4&lt;&gt;""),AND(IK4&gt;=IQ$33,IK4&lt;&gt;""),AND(IP4&gt;=IQ$33,IP4&lt;&gt;""),AND(JM4&gt;=JS$33,JM4&lt;&gt;""),AND(JR4&gt;=JS$33,JR4&lt;&gt;""),AND(KO4&gt;=KU$33,KO4&lt;&gt;""),AND(KT4&gt;=KU$33,KT4&lt;&gt;""),AND(LQ4&gt;=LW$33,LQ4&lt;&gt;""),AND(LV4&gt;=LW$33,LV4&lt;&gt;""),AND(MS4&gt;=MY$33,MS4&lt;&gt;""),AND(MX4&gt;=MY$33,MX4&lt;&gt;""),AND(NU4&gt;=OA$33,NU4&lt;&gt;""),AND(NZ4&gt;=OA$33,NZ4&lt;&gt;""),AND(OW4&gt;=PC$33,OW4&lt;&gt;""),AND(PB4&gt;=PC$33,PB4&lt;&gt;""),AND(PY4&gt;=QE$33,PY4&lt;&gt;""),AND(QD4&gt;=QE$33,QD4&lt;&gt;"")),"P","")</f>
        <v>P</v>
      </c>
      <c r="H4" s="67" t="str">
        <f>IF(AND(G4="P",F4=""),"No DD",IF(OR(AND(AT4&gt;=AX$32,AU4&gt;=AX$36,AT4&lt;&gt;"",AP4=""),AND(BW4&gt;=CA$32,BX4&gt;=CA$36,BW4&lt;&gt;"",BS4=""),AND(CZ4&gt;=DD$32,DA4&gt;=DD$36,CZ4&lt;&gt;"",CV4=""),AND(EE4&gt;=EI$32,EF4&gt;=EI$36,EE4&lt;&gt;""),AND(FG4&gt;=FK$32,FH4&gt;=FK$36,FG4&lt;&gt;""),AND(GI4&gt;=GM$32,GJ4&gt;=GM$36,GI4&lt;&gt;""),AND(HK4&gt;=HO$32,HL4&gt;=HO$36,HK4&lt;&gt;""),AND(IM4&gt;=IQ$32,IN4&gt;=IQ$36,IM4&lt;&gt;""),AND(JO4&gt;=JS$32,JP4&gt;=JS$36,JO4&lt;&gt;""),AND(KQ4&gt;=KU$32,KR4&gt;=KU$36,KQ4&lt;&gt;""),AND(LS4&gt;=LW$32,LT4&gt;=LW$36,LS4&lt;&gt;""),AND(MU4&gt;=MY$32,MV4&gt;=MY$36,MU4&lt;&gt;""),AND(NW4&gt;=OA$32,NX4&gt;=OA$36,NW4&lt;&gt;""),AND(OY4&gt;=PC$32,OZ4&gt;=PC$36,OY4&lt;&gt;""),AND(QA4&gt;=QE$32,QB4&gt;=QE$36,QA4&lt;&gt;"")),"Merit",IF(OR(AND(AT4&gt;=AX$31,AU4&gt;=AX$35,AT4&lt;&gt;"",AP4=""),AND(BW4&gt;=CA$31,BX4&gt;=CA$35,BW4&lt;&gt;"",BS4=""),AND(CZ4&gt;=DD$31,DA4&gt;=DD$35,CZ4&lt;&gt;"",CV4=""),AND(EE4&gt;=EI$31,EF4&gt;=EI$35,EE4&lt;&gt;""),AND(FG4&gt;=FK$31,FH4&gt;=FK$35,FG4&lt;&gt;""),AND(GI4&gt;=GM$31,GJ4&gt;=GM$35,GI4&lt;&gt;""),AND(HK4&gt;=HO$31,HL4&gt;=HO$35,HK4&lt;&gt;""),AND(IM4&gt;=IQ$31,IN4&gt;=IQ$35,IM4&lt;&gt;""),AND(JO4&gt;=JS$31,JP4&gt;=JS$35,JO4&lt;&gt;""),AND(KQ4&gt;=KU$31,KR4&gt;=KU$35,KQ4&lt;&gt;""),AND(LS4&gt;=LW$31,LT4&gt;=LW$35,LS4&lt;&gt;""),AND(MU4&gt;=MY$31,MV4&gt;=MY$35,MU4&lt;&gt;""),AND(NW4&gt;=OA$31,NX4&gt;=OA$35,NW4&lt;&gt;""),AND(OY4&gt;=PC$31,OZ4&gt;=PC$35,OY4&lt;&gt;""),AND(QA4&gt;=QE$31,QB4&gt;=QE$35,QA4&lt;&gt;"")),"Excellence",IF(F4="P","National Team",""))))</f>
        <v>National Team</v>
      </c>
      <c r="I4" s="14">
        <f>IF(COUNT(AR4,BU4,CX4)&gt;0,LARGE((AR4,BU4,CX4),1),0)</f>
        <v>53.239999999999995</v>
      </c>
      <c r="J4" s="14" t="str">
        <f>IF(I4=0,"",IF(I4=CX4,$CB$1,IF(I4=BU4,$AY$1,IF(I4=AR4,$V$1,""))))</f>
        <v>2022 Elite Canada</v>
      </c>
      <c r="K4" s="14">
        <f>IF(COUNT(AR4,BU4,CX4)&gt;1,LARGE((AR4,BU4,CX4),2),0)</f>
        <v>2.0000000000000001E-4</v>
      </c>
      <c r="L4" s="14" t="str">
        <f>IF(K4=0,"",IF(K4=CX4,$CB$1,IF(K4=BU4,$AY$1,IF(K4=AR4,$V$1,""))))</f>
        <v>2021 Canadian Championships</v>
      </c>
      <c r="M4" s="14">
        <f>IF(COUNT(AS4,BV4,CY4)&gt;0,LARGE((AS4,BV4,CY4),1),0)</f>
        <v>25.8</v>
      </c>
      <c r="N4" s="14" t="str">
        <f>IF(M4=0,"",IF(M4=CY4,$CB$1,IF(M4=BV4,$AY$1,IF(M4=AS4,$V$1,""))))</f>
        <v>2022 Elite Canada</v>
      </c>
      <c r="O4" s="14">
        <f>IF(COUNT(AS4,BV4,CY4)&gt;1,LARGE((AS4,BV4,CY4),2),0)</f>
        <v>0</v>
      </c>
      <c r="P4" s="14" t="str">
        <f>IF(O4=0,"",IF(O4=CY4,$CB$1,IF(O4=BV4,$AY$1,IF(O4=AS4,$V$1,""))))</f>
        <v/>
      </c>
      <c r="Q4" s="14">
        <f>IF(MAX(AW4,BZ4,DC4)&gt;0,MAX(AW4,BZ4,DC4),0)</f>
        <v>51.999999999999993</v>
      </c>
      <c r="R4" s="14" t="str">
        <f>IF(Q4=0,"",IF(Q4=DC4,$CB$1,IF(Q4=BZ4,$AY$1,IF(Q4=AW4,$V$1,""))))</f>
        <v>2022 Elite Canada</v>
      </c>
      <c r="S4" s="14">
        <f>IF(MAX(DE4:DG4)&gt;0,MAX(DE4:DG4),"")</f>
        <v>3</v>
      </c>
      <c r="T4" s="20" t="str">
        <f>IF(S4="","",IF(S4=DE4,"("&amp;DE$2&amp;")",IF(S4=DG4,"("&amp;DG$2&amp;")")))</f>
        <v>(Final)</v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#1 (Mar 12)</v>
      </c>
      <c r="V4" s="27">
        <v>1E-4</v>
      </c>
      <c r="W4" s="27">
        <v>1E-4</v>
      </c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45"/>
      <c r="AQ4" s="79">
        <f>IF(SUM(W4,AA4)&gt;0,SUM(W4,AA4),"")</f>
        <v>1E-4</v>
      </c>
      <c r="AR4" s="79">
        <f>IF(SUM(V4:W4,Y4:AA4,AC4)-X4-AB4&gt;0,SUM(V4:W4,Y4:AA4,AC4)-X4-AB4,"")</f>
        <v>2.0000000000000001E-4</v>
      </c>
      <c r="AS4" s="79" t="str">
        <f>IF(SUM(AD4:AE4,AG4)-AF4&gt;0,SUM(AD4:AE4,AG4)-AF4,"")</f>
        <v/>
      </c>
      <c r="AT4" s="79">
        <f>IF(SUM(W4,AA4,AE4)&gt;0,SUM(W4,AA4,AE4),"")</f>
        <v>1E-4</v>
      </c>
      <c r="AU4" s="79">
        <f>IF(SUM(AR4,AS4)&gt;0,SUM(AR4,AS4),"")</f>
        <v>2.0000000000000001E-4</v>
      </c>
      <c r="AV4" s="79" t="str">
        <f>IF(SUM(AI4,AM4)&gt;0,SUM(AI4,AM4),"")</f>
        <v/>
      </c>
      <c r="AW4" s="79" t="str">
        <f>IF(SUM(AH4:AI4,AK4:AM4,AO4)-SUM(AJ4,AN4)&gt;0,SUM(AH4:AI4,AK4:AM4,AO4)-SUM(AJ4,AN4),"")</f>
        <v/>
      </c>
      <c r="AX4" s="79">
        <f>IF(SUM(AR4,AW4)&gt;0,SUM(AR4,AW4),"")</f>
        <v>2.0000000000000001E-4</v>
      </c>
      <c r="AY4" s="26">
        <v>1E-4</v>
      </c>
      <c r="AZ4" s="26">
        <v>1E-4</v>
      </c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46"/>
      <c r="BT4" s="20">
        <f>IF(SUM(AZ4,BD4)&gt;0,SUM(AZ4,BD4),"")</f>
        <v>1E-4</v>
      </c>
      <c r="BU4" s="20">
        <f>IF(SUM(AY4:AZ4,BB4:BD4,BF4)-BA4-BE4&gt;0,SUM(AY4:AZ4,BB4:BD4,BF4)-BA4-BE4,"")</f>
        <v>2.0000000000000001E-4</v>
      </c>
      <c r="BV4" s="20" t="str">
        <f>IF(SUM(BG4:BH4,BJ4)-BI4&gt;0,SUM(BG4:BH4,BJ4)-BI4,"")</f>
        <v/>
      </c>
      <c r="BW4" s="20">
        <f>IF(SUM(AZ4,BD4,BH4)&gt;0,SUM(AZ4,BD4,BH4),"")</f>
        <v>1E-4</v>
      </c>
      <c r="BX4" s="20">
        <f>IF(SUM(BU4,BV4)&gt;0,SUM(BU4,BV4),"")</f>
        <v>2.0000000000000001E-4</v>
      </c>
      <c r="BY4" s="20" t="str">
        <f>IF(SUM(BL4,BP4)&gt;0,SUM(BL4,BP4),"")</f>
        <v/>
      </c>
      <c r="BZ4" s="20" t="str">
        <f>IF(SUM(BK4:BL4,BN4:BP4,BR4)-SUM(BM4,BQ4)&gt;0,SUM(BK4:BL4,BN4:BP4,BR4)-SUM(BM4,BQ4),"")</f>
        <v/>
      </c>
      <c r="CA4" s="20">
        <f>IF(SUM(BU4,BZ4)&gt;0,SUM(BU4,BZ4),"")</f>
        <v>2.0000000000000001E-4</v>
      </c>
      <c r="CB4" s="27">
        <v>18.34</v>
      </c>
      <c r="CC4" s="27">
        <v>7.2</v>
      </c>
      <c r="CD4" s="27">
        <v>0</v>
      </c>
      <c r="CE4" s="27">
        <v>0</v>
      </c>
      <c r="CF4" s="27">
        <v>18.600000000000001</v>
      </c>
      <c r="CG4" s="27">
        <v>8.8000000000000007</v>
      </c>
      <c r="CH4" s="27">
        <v>0</v>
      </c>
      <c r="CI4" s="27">
        <v>0.3</v>
      </c>
      <c r="CJ4" s="27">
        <v>18.399999999999999</v>
      </c>
      <c r="CK4" s="27">
        <v>7.1</v>
      </c>
      <c r="CL4" s="27">
        <v>0</v>
      </c>
      <c r="CM4" s="27">
        <v>0.3</v>
      </c>
      <c r="CN4" s="27">
        <v>18.3</v>
      </c>
      <c r="CO4" s="27">
        <v>6.4</v>
      </c>
      <c r="CP4" s="27">
        <v>0.6</v>
      </c>
      <c r="CQ4" s="27">
        <v>0</v>
      </c>
      <c r="CR4" s="27">
        <v>18.8</v>
      </c>
      <c r="CS4" s="27">
        <v>8.8000000000000007</v>
      </c>
      <c r="CT4" s="27">
        <v>0</v>
      </c>
      <c r="CU4" s="27">
        <v>0.3</v>
      </c>
      <c r="CV4" s="45"/>
      <c r="CW4" s="79">
        <f>IF(SUM(CC4,CG4)&gt;0,SUM(CC4,CG4),"")</f>
        <v>16</v>
      </c>
      <c r="CX4" s="79">
        <f>IF(SUM(CB4:CC4,CE4:CG4,CI4)-CD4-CH4&gt;0,SUM(CB4:CC4,CE4:CG4,CI4)-CD4-CH4,"")</f>
        <v>53.239999999999995</v>
      </c>
      <c r="CY4" s="79">
        <f>IF(SUM(CJ4:CK4,CM4)-CL4&gt;0,SUM(CJ4:CK4,CM4)-CL4,"")</f>
        <v>25.8</v>
      </c>
      <c r="CZ4" s="79">
        <f>IF(SUM(CC4,CG4,CK4)&gt;0,SUM(CC4,CG4,CK4),"")</f>
        <v>23.1</v>
      </c>
      <c r="DA4" s="79">
        <f>IF(SUM(CX4,CY4)&gt;0,SUM(CX4,CY4),"")</f>
        <v>79.039999999999992</v>
      </c>
      <c r="DB4" s="79">
        <f>IF(SUM(CO4,CS4)&gt;0,SUM(CO4,CS4),"")</f>
        <v>15.200000000000001</v>
      </c>
      <c r="DC4" s="79">
        <f>IF(SUM(CN4:CO4,CQ4:CS4,CU4)-SUM(CP4,CT4)&gt;0,SUM(CN4:CO4,CQ4:CS4,CU4)-SUM(CP4,CT4),"")</f>
        <v>51.999999999999993</v>
      </c>
      <c r="DD4" s="79">
        <f>IF(SUM(CX4,DC4)&gt;0,SUM(CX4,DC4),"")</f>
        <v>105.23999999999998</v>
      </c>
      <c r="DE4" s="80" t="str">
        <f>IF(K4&gt;=0.001,IF(MAX(EC4,FE4,GG4,HI4,IK4,JM4,KO4,LQ4,MS4,NU4,OW4,PY4)-IF(K4="",0,K4)&gt;0.001,MAX(EC4,FE4,GG4,HI4,IK4,JM4,KO4,LQ4,MS4,NU4,OW4,PY4)-IF(K4="",0,K4),""),"")</f>
        <v/>
      </c>
      <c r="DF4" s="80" t="str">
        <f>IF(O4&gt;=0.001,IF(MAX(ED4,FF4,GH4,HJ4,IL4,JN4,KP4,LR4,MT4,NV4,OX4,PZ4)-IF(O4="",0,O4)&gt;0.001,MAX(ED4,FF4,GH4,HJ4,IL4,JN4,KP4,LR4,MT4,NV4,OX4,PZ4)-IF(O4="",0,O4),""),"")</f>
        <v/>
      </c>
      <c r="DG4" s="80">
        <f>IF(Q4&gt;=0.001,IF(MAX(EH4,FJ4,GL4,HN4,IP4,JR4,KT4,LV4,MX4,NZ4,PB4,QD4)-IF(Q4="",0,Q4)&gt;0.001,MAX(EH4,FJ4,GL4,HN4,IP4,JR4,KT4,LV4,MX4,NZ4,PB4,QD4)-IF(Q4="",0,Q4),""),"")</f>
        <v>3</v>
      </c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79" t="str">
        <f>IF(SUM(DI4,DM4)&gt;0,SUM(DI4,DM4),"")</f>
        <v/>
      </c>
      <c r="EC4" s="79" t="str">
        <f>IF(SUM(DH4:DI4,DK4:DM4,DO4)-DJ4-DN4&gt;0,SUM(DH4:DI4,DK4:DM4,DO4)-DJ4-DN4,"")</f>
        <v/>
      </c>
      <c r="ED4" s="79" t="str">
        <f>IF(SUM(DP4:DQ4,DS4)-DR4&gt;0,SUM(DP4:DQ4,DS4)-DR4,"")</f>
        <v/>
      </c>
      <c r="EE4" s="79" t="str">
        <f>IF(SUM(DI4,DM4,DQ4)&gt;0,SUM(DI4,DM4,DQ4),"")</f>
        <v/>
      </c>
      <c r="EF4" s="79" t="str">
        <f>IF(SUM(EC4,ED4)&gt;0,SUM(EC4,ED4),"")</f>
        <v/>
      </c>
      <c r="EG4" s="79" t="str">
        <f>IF(SUM(DU4,DY4)&gt;0,SUM(DU4,DY4),"")</f>
        <v/>
      </c>
      <c r="EH4" s="79" t="str">
        <f>IF(SUM(DT4:DU4,DW4:DY4,EA4)-SUM(DV4,DZ4)&gt;0,SUM(DT4:DU4,DW4:DY4,EA4)-SUM(DV4,DZ4),"")</f>
        <v/>
      </c>
      <c r="EI4" s="79" t="str">
        <f>IF(SUM(EC4,EH4)&gt;0,SUM(EC4,EH4),"")</f>
        <v/>
      </c>
      <c r="EJ4" s="26">
        <v>18.96</v>
      </c>
      <c r="EK4" s="26">
        <v>9.1999999999999993</v>
      </c>
      <c r="EL4" s="26">
        <v>0.6</v>
      </c>
      <c r="EM4" s="26">
        <v>0.3</v>
      </c>
      <c r="EN4" s="26">
        <v>17.3</v>
      </c>
      <c r="EO4" s="26">
        <v>4.8</v>
      </c>
      <c r="EP4" s="26">
        <v>0</v>
      </c>
      <c r="EQ4" s="26">
        <v>0.3</v>
      </c>
      <c r="ER4" s="26"/>
      <c r="ES4" s="26"/>
      <c r="ET4" s="26"/>
      <c r="EU4" s="26"/>
      <c r="EV4" s="26">
        <v>18.899999999999999</v>
      </c>
      <c r="EW4" s="26">
        <v>9.1999999999999993</v>
      </c>
      <c r="EX4" s="26">
        <v>0.6</v>
      </c>
      <c r="EY4" s="26">
        <v>0.3</v>
      </c>
      <c r="EZ4" s="26">
        <v>19.2</v>
      </c>
      <c r="FA4" s="26">
        <v>8</v>
      </c>
      <c r="FB4" s="26">
        <v>0</v>
      </c>
      <c r="FC4" s="26">
        <v>0</v>
      </c>
      <c r="FD4" s="20">
        <f>IF(SUM(EK4,EO4)&gt;0,SUM(EK4,EO4),"")</f>
        <v>14</v>
      </c>
      <c r="FE4" s="20">
        <f>IF(SUM(EJ4:EK4,EM4:EO4,EQ4)-EL4-EP4&gt;0,SUM(EJ4:EK4,EM4:EO4,EQ4)-EL4-EP4,"")</f>
        <v>50.26</v>
      </c>
      <c r="FF4" s="20" t="str">
        <f>IF(SUM(ER4:ES4,EU4)-ET4&gt;0,SUM(ER4:ES4,EU4)-ET4,"")</f>
        <v/>
      </c>
      <c r="FG4" s="20">
        <f>IF(SUM(EK4,EO4,ES4)&gt;0,SUM(EK4,EO4,ES4),"")</f>
        <v>14</v>
      </c>
      <c r="FH4" s="20">
        <f>IF(SUM(FE4,FF4)&gt;0,SUM(FE4,FF4),"")</f>
        <v>50.26</v>
      </c>
      <c r="FI4" s="20">
        <f>IF(SUM(EW4,FA4)&gt;0,SUM(EW4,FA4),"")</f>
        <v>17.2</v>
      </c>
      <c r="FJ4" s="20">
        <f>IF(SUM(EV4:EW4,EY4:FA4,FC4)-SUM(EX4,FB4)&gt;0,SUM(EV4:EW4,EY4:FA4,FC4)-SUM(EX4,FB4),"")</f>
        <v>54.999999999999993</v>
      </c>
      <c r="FK4" s="20">
        <f>IF(SUM(FE4,FJ4)&gt;0,SUM(FE4,FJ4),"")</f>
        <v>105.25999999999999</v>
      </c>
      <c r="FL4" s="25">
        <v>18.600000000000001</v>
      </c>
      <c r="FM4" s="25">
        <v>7.2</v>
      </c>
      <c r="FN4" s="25">
        <v>0</v>
      </c>
      <c r="FO4" s="25">
        <v>0</v>
      </c>
      <c r="FP4" s="25">
        <v>19.100000000000001</v>
      </c>
      <c r="FQ4" s="25">
        <v>8.4</v>
      </c>
      <c r="FR4" s="25">
        <v>0.2</v>
      </c>
      <c r="FS4" s="25">
        <v>0</v>
      </c>
      <c r="FT4" s="25"/>
      <c r="FU4" s="25"/>
      <c r="FV4" s="25"/>
      <c r="FW4" s="25"/>
      <c r="FX4" s="25">
        <v>18.2</v>
      </c>
      <c r="FY4" s="25">
        <v>6.4</v>
      </c>
      <c r="FZ4" s="25">
        <v>0.8</v>
      </c>
      <c r="GA4" s="25">
        <v>0</v>
      </c>
      <c r="GB4" s="25">
        <v>17.600000000000001</v>
      </c>
      <c r="GC4" s="25">
        <v>4</v>
      </c>
      <c r="GD4" s="25">
        <v>0</v>
      </c>
      <c r="GE4" s="25">
        <v>0</v>
      </c>
      <c r="GF4" s="79">
        <f>IF(SUM(FM4,FQ4)&gt;0,SUM(FM4,FQ4),"")</f>
        <v>15.600000000000001</v>
      </c>
      <c r="GG4" s="79">
        <f>IF(SUM(FL4:FM4,FO4:FQ4,FS4)-FN4-FR4&gt;0,SUM(FL4:FM4,FO4:FQ4,FS4)-FN4-FR4,"")</f>
        <v>53.1</v>
      </c>
      <c r="GH4" s="79" t="str">
        <f>IF(SUM(FT4:FU4,FW4)-FV4&gt;0,SUM(FT4:FU4,FW4)-FV4,"")</f>
        <v/>
      </c>
      <c r="GI4" s="79">
        <f>IF(SUM(FM4,FQ4,FU4)&gt;0,SUM(FM4,FQ4,FU4),"")</f>
        <v>15.600000000000001</v>
      </c>
      <c r="GJ4" s="79">
        <f>IF(SUM(GG4,GH4)&gt;0,SUM(GG4,GH4),"")</f>
        <v>53.1</v>
      </c>
      <c r="GK4" s="79">
        <f>IF(SUM(FY4,GC4)&gt;0,SUM(FY4,GC4),"")</f>
        <v>10.4</v>
      </c>
      <c r="GL4" s="79">
        <f>IF(SUM(FX4:FY4,GA4:GC4,GE4)-SUM(FZ4,GD4)&gt;0,SUM(FX4:FY4,GA4:GC4,GE4)-SUM(FZ4,GD4),"")</f>
        <v>45.400000000000006</v>
      </c>
      <c r="GM4" s="79">
        <f>IF(SUM(GG4,GL4)&gt;0,SUM(GG4,GL4),"")</f>
        <v>98.5</v>
      </c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0" t="str">
        <f>IF(SUM(GO4,GS4)&gt;0,SUM(GO4,GS4),"")</f>
        <v/>
      </c>
      <c r="HI4" s="20" t="str">
        <f>IF(SUM(GN4:GO4,GQ4:GS4,GU4)-GP4-GT4&gt;0,SUM(GN4:GO4,GQ4:GS4,GU4)-GP4-GT4,"")</f>
        <v/>
      </c>
      <c r="HJ4" s="20" t="str">
        <f>IF(SUM(GV4:GW4,GY4)-GX4&gt;0,SUM(GV4:GW4,GY4)-GX4,"")</f>
        <v/>
      </c>
      <c r="HK4" s="20" t="str">
        <f>IF(SUM(GO4,GS4,GW4)&gt;0,SUM(GO4,GS4,GW4),"")</f>
        <v/>
      </c>
      <c r="HL4" s="20" t="str">
        <f>IF(SUM(HI4,HJ4)&gt;0,SUM(HI4,HJ4),"")</f>
        <v/>
      </c>
      <c r="HM4" s="20" t="str">
        <f>IF(SUM(HA4,HE4)&gt;0,SUM(HA4,HE4),"")</f>
        <v/>
      </c>
      <c r="HN4" s="20" t="str">
        <f>IF(SUM(GZ4:HA4,HC4:HE4,HG4)-SUM(HB4,HF4)&gt;0,SUM(GZ4:HA4,HC4:HE4,HG4)-SUM(HB4,HF4),"")</f>
        <v/>
      </c>
      <c r="HO4" s="20" t="str">
        <f>IF(SUM(HI4,HN4)&gt;0,SUM(HI4,HN4),"")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79" t="str">
        <f>IF(SUM(HQ4,HU4)&gt;0,SUM(HQ4,HU4),"")</f>
        <v/>
      </c>
      <c r="IK4" s="79" t="str">
        <f>IF(SUM(HP4:HQ4,HS4:HU4,HW4)-HR4-HV4&gt;0,SUM(HP4:HQ4,HS4:HU4,HW4)-HR4-HV4,"")</f>
        <v/>
      </c>
      <c r="IL4" s="79" t="str">
        <f>IF(SUM(HX4:HY4,IA4)-HZ4&gt;0,SUM(HX4:HY4,IA4)-HZ4,"")</f>
        <v/>
      </c>
      <c r="IM4" s="79" t="str">
        <f>IF(SUM(HQ4,HU4,HY4)&gt;0,SUM(HQ4,HU4,HY4),"")</f>
        <v/>
      </c>
      <c r="IN4" s="79" t="str">
        <f>IF(SUM(IK4,IL4)&gt;0,SUM(IK4,IL4),"")</f>
        <v/>
      </c>
      <c r="IO4" s="79" t="str">
        <f>IF(SUM(IC4,IG4)&gt;0,SUM(IC4,IG4),"")</f>
        <v/>
      </c>
      <c r="IP4" s="79" t="str">
        <f>IF(SUM(IB4:IC4,IE4:IG4,II4)-SUM(ID4,IH4)&gt;0,SUM(IB4:IC4,IE4:IG4,II4)-SUM(ID4,IH4),"")</f>
        <v/>
      </c>
      <c r="IQ4" s="79" t="str">
        <f>IF(SUM(IK4,IP4)&gt;0,SUM(IK4,IP4),"")</f>
        <v/>
      </c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0" t="str">
        <f>IF(SUM(IS4,IW4)&gt;0,SUM(IS4,IW4),"")</f>
        <v/>
      </c>
      <c r="JM4" s="20" t="str">
        <f>IF(SUM(IR4:IS4,IU4:IW4,IY4)-IT4-IX4&gt;0,SUM(IR4:IS4,IU4:IW4,IY4)-IT4-IX4,"")</f>
        <v/>
      </c>
      <c r="JN4" s="20" t="str">
        <f>IF(SUM(IZ4:JA4,JC4)-JB4&gt;0,SUM(IZ4:JA4,JC4)-JB4,"")</f>
        <v/>
      </c>
      <c r="JO4" s="20" t="str">
        <f>IF(SUM(IS4,IW4,JA4)&gt;0,SUM(IS4,IW4,JA4),"")</f>
        <v/>
      </c>
      <c r="JP4" s="20" t="str">
        <f>IF(SUM(JM4,JN4)&gt;0,SUM(JM4,JN4),"")</f>
        <v/>
      </c>
      <c r="JQ4" s="20" t="str">
        <f>IF(SUM(JE4,JI4)&gt;0,SUM(JE4,JI4),"")</f>
        <v/>
      </c>
      <c r="JR4" s="20" t="str">
        <f>IF(SUM(JD4:JE4,JG4:JI4,JK4)-SUM(JF4,JJ4)&gt;0,SUM(JD4:JE4,JG4:JI4,JK4)-SUM(JF4,JJ4),"")</f>
        <v/>
      </c>
      <c r="JS4" s="20" t="str">
        <f>IF(SUM(JM4,JR4)&gt;0,SUM(JM4,JR4),"")</f>
        <v/>
      </c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79" t="str">
        <f>IF(SUM(JU4,JY4)&gt;0,SUM(JU4,JY4),"")</f>
        <v/>
      </c>
      <c r="KO4" s="79" t="str">
        <f>IF(SUM(JT4:JU4,JW4:JY4,KA4)-JV4-JZ4&gt;0,SUM(JT4:JU4,JW4:JY4,KA4)-JV4-JZ4,"")</f>
        <v/>
      </c>
      <c r="KP4" s="79" t="str">
        <f>IF(SUM(KB4:KC4,KE4)-KD4&gt;0,SUM(KB4:KC4,KE4)-KD4,"")</f>
        <v/>
      </c>
      <c r="KQ4" s="79" t="str">
        <f>IF(SUM(JU4,JY4,KC4)&gt;0,SUM(JU4,JY4,KC4),"")</f>
        <v/>
      </c>
      <c r="KR4" s="79" t="str">
        <f>IF(SUM(KO4,KP4)&gt;0,SUM(KO4,KP4),"")</f>
        <v/>
      </c>
      <c r="KS4" s="79" t="str">
        <f>IF(SUM(KG4,KK4)&gt;0,SUM(KG4,KK4),"")</f>
        <v/>
      </c>
      <c r="KT4" s="79" t="str">
        <f>IF(SUM(KF4:KG4,KI4:KK4,KM4)-SUM(KH4,KL4)&gt;0,SUM(KF4:KG4,KI4:KK4,KM4)-SUM(KH4,KL4),"")</f>
        <v/>
      </c>
      <c r="KU4" s="79" t="str">
        <f>IF(SUM(KO4,KT4)&gt;0,SUM(KO4,KT4),"")</f>
        <v/>
      </c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0" t="str">
        <f>IF(SUM(KW4,LA4)&gt;0,SUM(KW4,LA4),"")</f>
        <v/>
      </c>
      <c r="LQ4" s="20" t="str">
        <f>IF(SUM(KV4:KW4,KY4:LA4,LC4)-KX4-LB4&gt;0,SUM(KV4:KW4,KY4:LA4,LC4)-KX4-LB4,"")</f>
        <v/>
      </c>
      <c r="LR4" s="20" t="str">
        <f>IF(SUM(LD4:LE4,LG4)-LF4&gt;0,SUM(LD4:LE4,LG4)-LF4,"")</f>
        <v/>
      </c>
      <c r="LS4" s="20" t="str">
        <f>IF(SUM(KW4,LA4,LE4)&gt;0,SUM(KW4,LA4,LE4),"")</f>
        <v/>
      </c>
      <c r="LT4" s="20" t="str">
        <f>IF(SUM(LQ4,LR4)&gt;0,SUM(LQ4,LR4),"")</f>
        <v/>
      </c>
      <c r="LU4" s="20" t="str">
        <f>IF(SUM(LI4,LM4)&gt;0,SUM(LI4,LM4),"")</f>
        <v/>
      </c>
      <c r="LV4" s="20" t="str">
        <f>IF(SUM(LH4:LI4,LK4:LM4,LO4)-SUM(LJ4,LN4)&gt;0,SUM(LH4:LI4,LK4:LM4,LO4)-SUM(LJ4,LN4),"")</f>
        <v/>
      </c>
      <c r="LW4" s="20" t="str">
        <f>IF(SUM(LQ4,LV4)&gt;0,SUM(LQ4,LV4),"")</f>
        <v/>
      </c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79" t="str">
        <f>IF(SUM(LY4,MC4)&gt;0,SUM(LY4,MC4),"")</f>
        <v/>
      </c>
      <c r="MS4" s="79" t="str">
        <f>IF(SUM(LX4:LY4,MA4:MC4,ME4)-LZ4-MD4&gt;0,SUM(LX4:LY4,MA4:MC4,ME4)-LZ4-MD4,"")</f>
        <v/>
      </c>
      <c r="MT4" s="79" t="str">
        <f>IF(SUM(MF4:MG4,MI4)-MH4&gt;0,SUM(MF4:MG4,MI4)-MH4,"")</f>
        <v/>
      </c>
      <c r="MU4" s="79" t="str">
        <f>IF(SUM(LY4,MC4,MG4)&gt;0,SUM(LY4,MC4,MG4),"")</f>
        <v/>
      </c>
      <c r="MV4" s="79" t="str">
        <f>IF(SUM(MS4,MT4)&gt;0,SUM(MS4,MT4),"")</f>
        <v/>
      </c>
      <c r="MW4" s="79" t="str">
        <f>IF(SUM(MK4,MO4)&gt;0,SUM(MK4,MO4),"")</f>
        <v/>
      </c>
      <c r="MX4" s="79" t="str">
        <f>IF(SUM(MJ4:MK4,MM4:MO4,MQ4)-SUM(ML4,MP4)&gt;0,SUM(MJ4:MK4,MM4:MO4,MQ4)-SUM(ML4,MP4),"")</f>
        <v/>
      </c>
      <c r="MY4" s="79" t="str">
        <f>IF(SUM(MS4,MX4)&gt;0,SUM(MS4,MX4),"")</f>
        <v/>
      </c>
      <c r="MZ4" s="26"/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0" t="str">
        <f>IF(SUM(NA4,NE4)&gt;0,SUM(NA4,NE4),"")</f>
        <v/>
      </c>
      <c r="NU4" s="20" t="str">
        <f>IF(SUM(MZ4:NA4,NC4:NE4,NG4)-NB4-NF4&gt;0,SUM(MZ4:NA4,NC4:NE4,NG4)-NB4-NF4,"")</f>
        <v/>
      </c>
      <c r="NV4" s="20" t="str">
        <f>IF(SUM(NH4:NI4,NK4)-NJ4&gt;0,SUM(NH4:NI4,NK4)-NJ4,"")</f>
        <v/>
      </c>
      <c r="NW4" s="20" t="str">
        <f>IF(SUM(NA4,NE4,NI4)&gt;0,SUM(NA4,NE4,NI4),"")</f>
        <v/>
      </c>
      <c r="NX4" s="20" t="str">
        <f>IF(SUM(NU4,NV4)&gt;0,SUM(NU4,NV4),"")</f>
        <v/>
      </c>
      <c r="NY4" s="20" t="str">
        <f>IF(SUM(NM4,NQ4)&gt;0,SUM(NM4,NQ4),"")</f>
        <v/>
      </c>
      <c r="NZ4" s="20" t="str">
        <f>IF(SUM(NL4:NM4,NO4:NQ4,NS4)-SUM(NN4,NR4)&gt;0,SUM(NL4:NM4,NO4:NQ4,NS4)-SUM(NN4,NR4),"")</f>
        <v/>
      </c>
      <c r="OA4" s="20" t="str">
        <f>IF(SUM(NU4,NZ4)&gt;0,SUM(NU4,NZ4),"")</f>
        <v/>
      </c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79" t="str">
        <f>IF(SUM(OC4,OG4)&gt;0,SUM(OC4,OG4),"")</f>
        <v/>
      </c>
      <c r="OW4" s="79" t="str">
        <f>IF(SUM(OB4:OC4,OE4:OG4,OI4)-OD4-OH4&gt;0,SUM(OB4:OC4,OE4:OG4,OI4)-OD4-OH4,"")</f>
        <v/>
      </c>
      <c r="OX4" s="79" t="str">
        <f>IF(SUM(OJ4:OK4,OM4)-OL4&gt;0,SUM(OJ4:OK4,OM4)-OL4,"")</f>
        <v/>
      </c>
      <c r="OY4" s="79" t="str">
        <f>IF(SUM(OC4,OG4,OK4)&gt;0,SUM(OC4,OG4,OK4),"")</f>
        <v/>
      </c>
      <c r="OZ4" s="79" t="str">
        <f>IF(SUM(OW4,OX4)&gt;0,SUM(OW4,OX4),"")</f>
        <v/>
      </c>
      <c r="PA4" s="79" t="str">
        <f>IF(SUM(OO4,OS4)&gt;0,SUM(OO4,OS4),"")</f>
        <v/>
      </c>
      <c r="PB4" s="79" t="str">
        <f>IF(SUM(ON4:OO4,OQ4:OS4,OU4)-SUM(OP4,OT4)&gt;0,SUM(ON4:OO4,OQ4:OS4,OU4)-SUM(OP4,OT4),"")</f>
        <v/>
      </c>
      <c r="PC4" s="79" t="str">
        <f>IF(SUM(OW4,PB4)&gt;0,SUM(OW4,PB4),"")</f>
        <v/>
      </c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0" t="str">
        <f>IF(SUM(PE4,PI4)&gt;0,SUM(PE4,PI4),"")</f>
        <v/>
      </c>
      <c r="PY4" s="20" t="str">
        <f>IF(SUM(PD4:PE4,PG4:PI4,PK4)-PF4-PJ4&gt;0,SUM(PD4:PE4,PG4:PI4,PK4)-PF4-PJ4,"")</f>
        <v/>
      </c>
      <c r="PZ4" s="20" t="str">
        <f>IF(SUM(PL4:PM4,PO4)-PN4&gt;0,SUM(PL4:PM4,PO4)-PN4,"")</f>
        <v/>
      </c>
      <c r="QA4" s="20" t="str">
        <f>IF(SUM(PE4,PI4,PM4)&gt;0,SUM(PE4,PI4,PM4),"")</f>
        <v/>
      </c>
      <c r="QB4" s="20" t="str">
        <f>IF(SUM(PY4,PZ4)&gt;0,SUM(PY4,PZ4),"")</f>
        <v/>
      </c>
      <c r="QC4" s="20" t="str">
        <f>IF(SUM(PQ4,PU4)&gt;0,SUM(PQ4,PU4),"")</f>
        <v/>
      </c>
      <c r="QD4" s="20" t="str">
        <f>IF(SUM(PP4:PQ4,PS4:PU4,PW4)-SUM(PR4,PV4)&gt;0,SUM(PP4:PQ4,PS4:PU4,PW4)-SUM(PR4,PV4),"")</f>
        <v/>
      </c>
      <c r="QE4" s="20" t="str">
        <f>IF(SUM(PY4,QD4)&gt;0,SUM(PY4,QD4),"")</f>
        <v/>
      </c>
      <c r="QF4" s="38">
        <f>IF($CV4="P",CB4,(CB4+AY4)/2)</f>
        <v>9.1700499999999998</v>
      </c>
      <c r="QG4" s="38">
        <f>IF($CV4="P",CC4,(CC4+AZ4)/2)</f>
        <v>3.60005</v>
      </c>
      <c r="QH4" s="38">
        <f>IF($CV4="P",CD4,(CD4+BA4)/2)</f>
        <v>0</v>
      </c>
      <c r="QI4" s="38">
        <f>IF($CV4="P",CE4,(CE4+BB4)/2)</f>
        <v>0</v>
      </c>
      <c r="QJ4" s="38">
        <f>IF($CV4="P",CF4,(CF4+BC4)/2)</f>
        <v>9.3000000000000007</v>
      </c>
      <c r="QK4" s="38">
        <f>IF($CV4="P",CG4,(CG4+BD4)/2)</f>
        <v>4.4000000000000004</v>
      </c>
      <c r="QL4" s="38">
        <f>IF($CV4="P",CH4,(CH4+BE4)/2)</f>
        <v>0</v>
      </c>
      <c r="QM4" s="38">
        <f>IF($CV4="P",CI4,(CI4+BF4)/2)</f>
        <v>0.15</v>
      </c>
      <c r="QN4" s="38">
        <f>IF($CV4="P",CJ4,(CJ4+BG4)/2)</f>
        <v>9.1999999999999993</v>
      </c>
      <c r="QO4" s="38">
        <f>IF($CV4="P",CK4,(CK4+BH4)/2)</f>
        <v>3.55</v>
      </c>
      <c r="QP4" s="38">
        <f>IF($CV4="P",CL4,(CL4+BI4)/2)</f>
        <v>0</v>
      </c>
      <c r="QQ4" s="38">
        <f>IF($CV4="P",CM4,(CM4+BJ4)/2)</f>
        <v>0.15</v>
      </c>
      <c r="QR4" s="38">
        <f>IF($CV4="P",CN4,(CN4+BK4)/2)</f>
        <v>9.15</v>
      </c>
      <c r="QS4" s="38">
        <f>IF($CV4="P",CO4,(CO4+BL4)/2)</f>
        <v>3.2</v>
      </c>
      <c r="QT4" s="38">
        <f>IF($CV4="P",CP4,(CP4+BM4)/2)</f>
        <v>0.3</v>
      </c>
      <c r="QU4" s="38">
        <f>IF($CV4="P",CQ4,(CQ4+BN4)/2)</f>
        <v>0</v>
      </c>
      <c r="QV4" s="38">
        <f>IF($CV4="P",CR4,(CR4+BO4)/2)</f>
        <v>9.4</v>
      </c>
      <c r="QW4" s="38">
        <f>IF($CV4="P",CS4,(CS4+BP4)/2)</f>
        <v>4.4000000000000004</v>
      </c>
      <c r="QX4" s="38">
        <f>IF($CV4="P",CT4,(CT4+BQ4)/2)</f>
        <v>0</v>
      </c>
      <c r="QY4" s="38">
        <f>IF($CV4="P",CU4,(CU4+BR4)/2)</f>
        <v>0.15</v>
      </c>
      <c r="QZ4" s="45" t="s">
        <v>46</v>
      </c>
      <c r="RA4" s="79">
        <f>IF(SUM(QG4,QK4)&gt;0,SUM(QG4,QK4),"")</f>
        <v>8.0000499999999999</v>
      </c>
      <c r="RB4" s="79">
        <f>IF(SUM(QF4:QG4,QI4:QK4,QM4)-QH4-QL4&gt;0,SUM(QF4:QG4,QI4:QK4,QM4)-QH4-QL4,"")</f>
        <v>26.620100000000001</v>
      </c>
      <c r="RC4" s="79">
        <f>IF(SUM(QN4:QO4,QQ4)-QP4&gt;0,SUM(QN4:QO4,QQ4)-QP4,"")</f>
        <v>12.9</v>
      </c>
      <c r="RD4" s="79">
        <f>IF(SUM(QG4,QK4,QO4)&gt;0,SUM(QG4,QK4,QO4),"")</f>
        <v>11.550049999999999</v>
      </c>
      <c r="RE4" s="79">
        <f>IF(SUM(RB4,RC4)&gt;0,SUM(RB4,RC4),"")</f>
        <v>39.520099999999999</v>
      </c>
      <c r="RF4" s="79">
        <f>IF(SUM(QS4,QW4)&gt;0,SUM(QS4,QW4),"")</f>
        <v>7.6000000000000005</v>
      </c>
      <c r="RG4" s="79">
        <f>IF(SUM(QR4:QS4,QU4:QW4,QY4)-SUM(QT4,QX4)&gt;0,SUM(QR4:QS4,QU4:QW4,QY4)-SUM(QT4,QX4),"")</f>
        <v>25.999999999999996</v>
      </c>
      <c r="RH4" s="79">
        <f>IF(SUM(RB4,RG4)&gt;0,SUM(RB4,RG4),"")</f>
        <v>52.620099999999994</v>
      </c>
    </row>
    <row r="5" spans="1:476" x14ac:dyDescent="0.2">
      <c r="A5" s="5" cm="1">
        <f t="array" ref="A5">IF(AND(F5="P",G5="P"),SUMPRODUCT((F$4:F$27="P")*(G$4:G$27="P")*(E$4:E$27&gt;E5))+1,IF(G5="P",SUMPRODUCT((F$4:F$27="")*(G$4:G$27="P")*(E$4:E$27&gt;E5))+1+SUMPRODUCT((F$4:F$27="P")*(G$4:G$27="P")),""))</f>
        <v>2</v>
      </c>
      <c r="B5" s="78" t="s">
        <v>61</v>
      </c>
      <c r="C5" s="5" t="s">
        <v>3</v>
      </c>
      <c r="D5" s="5">
        <v>2003</v>
      </c>
      <c r="E5" s="15">
        <f>SUM(I5:S5)+SUM(I5:O5)*0.0000001+SUM(I5)*0.0000000000001</f>
        <v>133.2002076600256</v>
      </c>
      <c r="F5" s="3" t="str">
        <f>IF(OR(AND(AQ5&gt;=AX$29,AR5&gt;=AX$33,AQ5&lt;&gt;"",AP5=""),AND(AV5&gt;=AX$29,AW5&gt;=AX$33,AV5&lt;&gt;"",AP5=""),AND(BT5&gt;=CA$29,BU5&gt;=CA$33,BT5&lt;&gt;"",BS5=""),AND(BY5&gt;=CA$29,BZ5&gt;=CA$33,BY5&lt;&gt;"",BS5=""),AND(CW5&gt;=DD$29,CX5&gt;=DD$33,CW5&lt;&gt;"",CV5=""),AND(DB5&gt;=DD$29,DC5&gt;=DD$33,DB5&lt;&gt;""),AND(EB5&gt;=EI$29,EC5&gt;=EI$33,EB5&lt;&gt;""),AND(EG5&gt;=EI$29,EH5&gt;=EI$33,EG5&lt;&gt;""),AND(FD5&gt;=FK$29,FE5&gt;=FK$33,FD5&lt;&gt;""),AND(FI5&gt;=FK$29,FJ5&gt;=FK$33,FI5&lt;&gt;""),AND(GF5&gt;=GM$29,GG5&gt;=GM$33,GF5&lt;&gt;""),AND(GK5&gt;=GM$29,GL5&gt;=GM$33,GK5&lt;&gt;""),AND(HH5&gt;=HO$29,HI5&gt;=HO$33,HH5&lt;&gt;""),AND(HM5&gt;=HO$29,HN5&gt;=HO$33,HM5&lt;&gt;""),AND(IJ5&gt;=IQ$29,IK5&gt;=IQ$33,IJ5&lt;&gt;""),AND(IO5&gt;=IQ$29,IP5&gt;=IQ$33,IO5&lt;&gt;""),AND(JL5&gt;=JS$29,JM5&gt;=JS$33,JL5&lt;&gt;""),AND(JQ5&gt;=JS$29,JR5&gt;=JS$33,JQ5&lt;&gt;""),AND(KN5&gt;=KU$29,KO5&gt;=KU$33,KN5&lt;&gt;""),AND(KS5&gt;=KU$29,KT5&gt;=KU$33,KS5&lt;&gt;""),AND(LP5&gt;=LW$29,LQ5&gt;=LW$33,LP5&lt;&gt;""),AND(LU5&gt;=LW$29,LV5&gt;=LW$33,LU5&lt;&gt;""),AND(MR5&gt;=MY$29,MS5&gt;=MY$33,MR5&lt;&gt;""),AND(MW5&gt;=MY$29,MX5&gt;=MY$33,MW5&lt;&gt;""),AND(NT5&gt;=OA$29,NU5&gt;=OA$33,NT5&lt;&gt;""),AND(NY5&gt;=OA$29,NZ5&gt;=OA$33,NY5&lt;&gt;""),AND(OV5&gt;=PC$29,OW5&gt;=PC$33,OV5&lt;&gt;""),AND(PA5&gt;=PC$29,PB5&gt;=PC$33,PA5&lt;&gt;""),AND(PX5&gt;=QE$29,PY5&gt;=QE$33,PX5&lt;&gt;""),AND(QC5&gt;=QE$29,QD5&gt;=QE$33,QC5&lt;&gt;"")),"P","")</f>
        <v>P</v>
      </c>
      <c r="G5" s="3" t="str">
        <f>IF(OR(AND(AR5&gt;=AX$33,AR5&lt;&gt;"",AP5=""),AND(AW5&gt;=AX$33,AW5&lt;&gt;"",AP5=""),AND(BU5&gt;=CA$33,BU5&lt;&gt;"",BS5=""),AND(BZ5&gt;=CA$33,BZ5&lt;&gt;"",BS5=""),AND(CX5&gt;=DD$33,CX5&lt;&gt;"",CV5=""),AND(DC5&gt;=DD$33,DC5&lt;&gt;"",CV5=""),AND(EC5&gt;=EI$33,EC5&lt;&gt;""),AND(EH5&gt;=EI$33,EH5&lt;&gt;""),AND(FE5&gt;=FK$33,FE5&lt;&gt;""),AND(FJ5&gt;=FK$33,FJ5&lt;&gt;""),AND(GG5&gt;=GM$33,GG5&lt;&gt;""),AND(GL5&gt;=GM$33,GL5&lt;&gt;""),AND(HI5&gt;=HO$33,HI5&lt;&gt;""),AND(HN5&gt;=HO$33,HN5&lt;&gt;""),AND(IK5&gt;=IQ$33,IK5&lt;&gt;""),AND(IP5&gt;=IQ$33,IP5&lt;&gt;""),AND(JM5&gt;=JS$33,JM5&lt;&gt;""),AND(JR5&gt;=JS$33,JR5&lt;&gt;""),AND(KO5&gt;=KU$33,KO5&lt;&gt;""),AND(KT5&gt;=KU$33,KT5&lt;&gt;""),AND(LQ5&gt;=LW$33,LQ5&lt;&gt;""),AND(LV5&gt;=LW$33,LV5&lt;&gt;""),AND(MS5&gt;=MY$33,MS5&lt;&gt;""),AND(MX5&gt;=MY$33,MX5&lt;&gt;""),AND(NU5&gt;=OA$33,NU5&lt;&gt;""),AND(NZ5&gt;=OA$33,NZ5&lt;&gt;""),AND(OW5&gt;=PC$33,OW5&lt;&gt;""),AND(PB5&gt;=PC$33,PB5&lt;&gt;""),AND(PY5&gt;=QE$33,PY5&lt;&gt;""),AND(QD5&gt;=QE$33,QD5&lt;&gt;"")),"P","")</f>
        <v>P</v>
      </c>
      <c r="H5" s="67" t="str">
        <f>IF(AND(G5="P",F5=""),"No DD",IF(OR(AND(AT5&gt;=AX$32,AU5&gt;=AX$36,AT5&lt;&gt;"",AP5=""),AND(BW5&gt;=CA$32,BX5&gt;=CA$36,BW5&lt;&gt;"",BS5=""),AND(CZ5&gt;=DD$32,DA5&gt;=DD$36,CZ5&lt;&gt;"",CV5=""),AND(EE5&gt;=EI$32,EF5&gt;=EI$36,EE5&lt;&gt;""),AND(FG5&gt;=FK$32,FH5&gt;=FK$36,FG5&lt;&gt;""),AND(GI5&gt;=GM$32,GJ5&gt;=GM$36,GI5&lt;&gt;""),AND(HK5&gt;=HO$32,HL5&gt;=HO$36,HK5&lt;&gt;""),AND(IM5&gt;=IQ$32,IN5&gt;=IQ$36,IM5&lt;&gt;""),AND(JO5&gt;=JS$32,JP5&gt;=JS$36,JO5&lt;&gt;""),AND(KQ5&gt;=KU$32,KR5&gt;=KU$36,KQ5&lt;&gt;""),AND(LS5&gt;=LW$32,LT5&gt;=LW$36,LS5&lt;&gt;""),AND(MU5&gt;=MY$32,MV5&gt;=MY$36,MU5&lt;&gt;""),AND(NW5&gt;=OA$32,NX5&gt;=OA$36,NW5&lt;&gt;""),AND(OY5&gt;=PC$32,OZ5&gt;=PC$36,OY5&lt;&gt;""),AND(QA5&gt;=QE$32,QB5&gt;=QE$36,QA5&lt;&gt;"")),"Merit",IF(OR(AND(AT5&gt;=AX$31,AU5&gt;=AX$35,AT5&lt;&gt;"",AP5=""),AND(BW5&gt;=CA$31,BX5&gt;=CA$35,BW5&lt;&gt;"",BS5=""),AND(CZ5&gt;=DD$31,DA5&gt;=DD$35,CZ5&lt;&gt;"",CV5=""),AND(EE5&gt;=EI$31,EF5&gt;=EI$35,EE5&lt;&gt;""),AND(FG5&gt;=FK$31,FH5&gt;=FK$35,FG5&lt;&gt;""),AND(GI5&gt;=GM$31,GJ5&gt;=GM$35,GI5&lt;&gt;""),AND(HK5&gt;=HO$31,HL5&gt;=HO$35,HK5&lt;&gt;""),AND(IM5&gt;=IQ$31,IN5&gt;=IQ$35,IM5&lt;&gt;""),AND(JO5&gt;=JS$31,JP5&gt;=JS$35,JO5&lt;&gt;""),AND(KQ5&gt;=KU$31,KR5&gt;=KU$35,KQ5&lt;&gt;""),AND(LS5&gt;=LW$31,LT5&gt;=LW$35,LS5&lt;&gt;""),AND(MU5&gt;=MY$31,MV5&gt;=MY$35,MU5&lt;&gt;""),AND(NW5&gt;=OA$31,NX5&gt;=OA$35,NW5&lt;&gt;""),AND(OY5&gt;=PC$31,OZ5&gt;=PC$35,OY5&lt;&gt;""),AND(QA5&gt;=QE$31,QB5&gt;=QE$35,QA5&lt;&gt;"")),"Excellence",IF(F5="P","National Team",""))))</f>
        <v>National Team</v>
      </c>
      <c r="I5" s="14">
        <f>IF(COUNT(AR5,BU5,CX5)&gt;0,LARGE((AR5,BU5,CX5),1),0)</f>
        <v>55.999999999999993</v>
      </c>
      <c r="J5" s="14" t="str">
        <f>IF(I5=0,"",IF(I5=CX5,$CB$1,IF(I5=BU5,$AY$1,IF(I5=AR5,$V$1,""))))</f>
        <v>2022 Elite Canada</v>
      </c>
      <c r="K5" s="14">
        <f>IF(COUNT(AR5,BU5,CX5)&gt;1,LARGE((AR5,BU5,CX5),2),0)</f>
        <v>2.0000000000000001E-4</v>
      </c>
      <c r="L5" s="14" t="str">
        <f>IF(K5=0,"",IF(K5=CX5,$CB$1,IF(K5=BU5,$AY$1,IF(K5=AR5,$V$1,""))))</f>
        <v>2021 Canadian Championships</v>
      </c>
      <c r="M5" s="14">
        <f>IF(COUNT(AS5,BV5,CY5)&gt;0,LARGE((AS5,BV5,CY5),1),0)</f>
        <v>20.6</v>
      </c>
      <c r="N5" s="14" t="str">
        <f>IF(M5=0,"",IF(M5=CY5,$CB$1,IF(M5=BV5,$AY$1,IF(M5=AS5,$V$1,""))))</f>
        <v>2022 Elite Canada</v>
      </c>
      <c r="O5" s="14">
        <f>IF(COUNT(AS5,BV5,CY5)&gt;1,LARGE((AS5,BV5,CY5),2),0)</f>
        <v>0</v>
      </c>
      <c r="P5" s="14" t="str">
        <f>IF(O5=0,"",IF(O5=CY5,$CB$1,IF(O5=BV5,$AY$1,IF(O5=AS5,$V$1,""))))</f>
        <v/>
      </c>
      <c r="Q5" s="14">
        <f>IF(MAX(AW5,BZ5,DC5)&gt;0,MAX(AW5,BZ5,DC5),0)</f>
        <v>54.599999999999994</v>
      </c>
      <c r="R5" s="14" t="str">
        <f>IF(Q5=0,"",IF(Q5=DC5,$CB$1,IF(Q5=BZ5,$AY$1,IF(Q5=AW5,$V$1,""))))</f>
        <v>2022 Elite Canada</v>
      </c>
      <c r="S5" s="14">
        <f>IF(MAX(DE5:DG5)&gt;0,MAX(DE5:DG5),"")</f>
        <v>2.0000000000000071</v>
      </c>
      <c r="T5" s="20" t="str">
        <f>IF(S5="","",IF(S5=DE5,"("&amp;DE$2&amp;")",IF(S5=DG5,"("&amp;DG$2&amp;")")))</f>
        <v>(Final)</v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>2022 World Games Technical Trial #1 (Mar 12)</v>
      </c>
      <c r="V5" s="27">
        <v>1E-4</v>
      </c>
      <c r="W5" s="27">
        <v>1E-4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45"/>
      <c r="AQ5" s="79">
        <f>IF(SUM(W5,AA5)&gt;0,SUM(W5,AA5),"")</f>
        <v>1E-4</v>
      </c>
      <c r="AR5" s="79">
        <f>IF(SUM(V5:W5,Y5:AA5,AC5)-X5-AB5&gt;0,SUM(V5:W5,Y5:AA5,AC5)-X5-AB5,"")</f>
        <v>2.0000000000000001E-4</v>
      </c>
      <c r="AS5" s="79" t="str">
        <f>IF(SUM(AD5:AE5,AG5)-AF5&gt;0,SUM(AD5:AE5,AG5)-AF5,"")</f>
        <v/>
      </c>
      <c r="AT5" s="79">
        <f>IF(SUM(W5,AA5,AE5)&gt;0,SUM(W5,AA5,AE5),"")</f>
        <v>1E-4</v>
      </c>
      <c r="AU5" s="79">
        <f>IF(SUM(AR5,AS5)&gt;0,SUM(AR5,AS5),"")</f>
        <v>2.0000000000000001E-4</v>
      </c>
      <c r="AV5" s="79" t="str">
        <f>IF(SUM(AI5,AM5)&gt;0,SUM(AI5,AM5),"")</f>
        <v/>
      </c>
      <c r="AW5" s="79" t="str">
        <f>IF(SUM(AH5:AI5,AK5:AM5,AO5)-SUM(AJ5,AN5)&gt;0,SUM(AH5:AI5,AK5:AM5,AO5)-SUM(AJ5,AN5),"")</f>
        <v/>
      </c>
      <c r="AX5" s="79">
        <f>IF(SUM(AR5,AW5)&gt;0,SUM(AR5,AW5),"")</f>
        <v>2.0000000000000001E-4</v>
      </c>
      <c r="AY5" s="26">
        <v>1E-4</v>
      </c>
      <c r="AZ5" s="26">
        <v>1E-4</v>
      </c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46"/>
      <c r="BT5" s="20">
        <f>IF(SUM(AZ5,BD5)&gt;0,SUM(AZ5,BD5),"")</f>
        <v>1E-4</v>
      </c>
      <c r="BU5" s="20">
        <f>IF(SUM(AY5:AZ5,BB5:BD5,BF5)-BA5-BE5&gt;0,SUM(AY5:AZ5,BB5:BD5,BF5)-BA5-BE5,"")</f>
        <v>2.0000000000000001E-4</v>
      </c>
      <c r="BV5" s="20" t="str">
        <f>IF(SUM(BG5:BH5,BJ5)-BI5&gt;0,SUM(BG5:BH5,BJ5)-BI5,"")</f>
        <v/>
      </c>
      <c r="BW5" s="20">
        <f>IF(SUM(AZ5,BD5,BH5)&gt;0,SUM(AZ5,BD5,BH5),"")</f>
        <v>1E-4</v>
      </c>
      <c r="BX5" s="20">
        <f>IF(SUM(BU5,BV5)&gt;0,SUM(BU5,BV5),"")</f>
        <v>2.0000000000000001E-4</v>
      </c>
      <c r="BY5" s="20" t="str">
        <f>IF(SUM(BL5,BP5)&gt;0,SUM(BL5,BP5),"")</f>
        <v/>
      </c>
      <c r="BZ5" s="20" t="str">
        <f>IF(SUM(BK5:BL5,BN5:BP5,BR5)-SUM(BM5,BQ5)&gt;0,SUM(BK5:BL5,BN5:BP5,BR5)-SUM(BM5,BQ5),"")</f>
        <v/>
      </c>
      <c r="CA5" s="20">
        <f>IF(SUM(BU5,BZ5)&gt;0,SUM(BU5,BZ5),"")</f>
        <v>2.0000000000000001E-4</v>
      </c>
      <c r="CB5" s="27">
        <v>18.8</v>
      </c>
      <c r="CC5" s="27">
        <v>9.1999999999999993</v>
      </c>
      <c r="CD5" s="27">
        <v>0.6</v>
      </c>
      <c r="CE5" s="27">
        <v>0.3</v>
      </c>
      <c r="CF5" s="27">
        <v>19</v>
      </c>
      <c r="CG5" s="27">
        <v>9.1999999999999993</v>
      </c>
      <c r="CH5" s="27">
        <v>0.2</v>
      </c>
      <c r="CI5" s="27">
        <v>0.3</v>
      </c>
      <c r="CJ5" s="27">
        <v>17.8</v>
      </c>
      <c r="CK5" s="27">
        <v>2.8</v>
      </c>
      <c r="CL5" s="27">
        <v>0</v>
      </c>
      <c r="CM5" s="27">
        <v>0</v>
      </c>
      <c r="CN5" s="27">
        <v>19</v>
      </c>
      <c r="CO5" s="27">
        <v>8.5</v>
      </c>
      <c r="CP5" s="27">
        <v>0</v>
      </c>
      <c r="CQ5" s="27">
        <v>0.3</v>
      </c>
      <c r="CR5" s="27">
        <v>18.7</v>
      </c>
      <c r="CS5" s="27">
        <v>8.4</v>
      </c>
      <c r="CT5" s="27">
        <v>0.6</v>
      </c>
      <c r="CU5" s="27">
        <v>0.3</v>
      </c>
      <c r="CV5" s="45"/>
      <c r="CW5" s="79">
        <f>IF(SUM(CC5,CG5)&gt;0,SUM(CC5,CG5),"")</f>
        <v>18.399999999999999</v>
      </c>
      <c r="CX5" s="79">
        <f>IF(SUM(CB5:CC5,CE5:CG5,CI5)-CD5-CH5&gt;0,SUM(CB5:CC5,CE5:CG5,CI5)-CD5-CH5,"")</f>
        <v>55.999999999999993</v>
      </c>
      <c r="CY5" s="79">
        <f>IF(SUM(CJ5:CK5,CM5)-CL5&gt;0,SUM(CJ5:CK5,CM5)-CL5,"")</f>
        <v>20.6</v>
      </c>
      <c r="CZ5" s="79">
        <f>IF(SUM(CC5,CG5,CK5)&gt;0,SUM(CC5,CG5,CK5),"")</f>
        <v>21.2</v>
      </c>
      <c r="DA5" s="79">
        <f>IF(SUM(CX5,CY5)&gt;0,SUM(CX5,CY5),"")</f>
        <v>76.599999999999994</v>
      </c>
      <c r="DB5" s="79">
        <f>IF(SUM(CO5,CS5)&gt;0,SUM(CO5,CS5),"")</f>
        <v>16.899999999999999</v>
      </c>
      <c r="DC5" s="79">
        <f>IF(SUM(CN5:CO5,CQ5:CS5,CU5)-SUM(CP5,CT5)&gt;0,SUM(CN5:CO5,CQ5:CS5,CU5)-SUM(CP5,CT5),"")</f>
        <v>54.599999999999994</v>
      </c>
      <c r="DD5" s="79">
        <f>IF(SUM(CX5,DC5)&gt;0,SUM(CX5,DC5),"")</f>
        <v>110.6</v>
      </c>
      <c r="DE5" s="80" t="str">
        <f>IF(K5&gt;=0.001,IF(MAX(EC5,FE5,GG5,HI5,IK5,JM5,KO5,LQ5,MS5,NU5,OW5,PY5)-IF(K5="",0,K5)&gt;0.001,MAX(EC5,FE5,GG5,HI5,IK5,JM5,KO5,LQ5,MS5,NU5,OW5,PY5)-IF(K5="",0,K5),""),"")</f>
        <v/>
      </c>
      <c r="DF5" s="80" t="str">
        <f>IF(O5&gt;=0.001,IF(MAX(ED5,FF5,GH5,HJ5,IL5,JN5,KP5,LR5,MT5,NV5,OX5,PZ5)-IF(O5="",0,O5)&gt;0.001,MAX(ED5,FF5,GH5,HJ5,IL5,JN5,KP5,LR5,MT5,NV5,OX5,PZ5)-IF(O5="",0,O5),""),"")</f>
        <v/>
      </c>
      <c r="DG5" s="80">
        <f>IF(Q5&gt;=0.001,IF(MAX(EH5,FJ5,GL5,HN5,IP5,JR5,KT5,LV5,MX5,NZ5,PB5,QD5)-IF(Q5="",0,Q5)&gt;0.001,MAX(EH5,FJ5,GL5,HN5,IP5,JR5,KT5,LV5,MX5,NZ5,PB5,QD5)-IF(Q5="",0,Q5),""),"")</f>
        <v>2.0000000000000071</v>
      </c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79" t="str">
        <f>IF(SUM(DI5,DM5)&gt;0,SUM(DI5,DM5),"")</f>
        <v/>
      </c>
      <c r="EC5" s="79" t="str">
        <f>IF(SUM(DH5:DI5,DK5:DM5,DO5)-DJ5-DN5&gt;0,SUM(DH5:DI5,DK5:DM5,DO5)-DJ5-DN5,"")</f>
        <v/>
      </c>
      <c r="ED5" s="79" t="str">
        <f>IF(SUM(DP5:DQ5,DS5)-DR5&gt;0,SUM(DP5:DQ5,DS5)-DR5,"")</f>
        <v/>
      </c>
      <c r="EE5" s="79" t="str">
        <f>IF(SUM(DI5,DM5,DQ5)&gt;0,SUM(DI5,DM5,DQ5),"")</f>
        <v/>
      </c>
      <c r="EF5" s="79" t="str">
        <f>IF(SUM(EC5,ED5)&gt;0,SUM(EC5,ED5),"")</f>
        <v/>
      </c>
      <c r="EG5" s="79" t="str">
        <f>IF(SUM(DU5,DY5)&gt;0,SUM(DU5,DY5),"")</f>
        <v/>
      </c>
      <c r="EH5" s="79" t="str">
        <f>IF(SUM(DT5:DU5,DW5:DY5,EA5)-SUM(DV5,DZ5)&gt;0,SUM(DT5:DU5,DW5:DY5,EA5)-SUM(DV5,DZ5),"")</f>
        <v/>
      </c>
      <c r="EI5" s="79" t="str">
        <f>IF(SUM(EC5,EH5)&gt;0,SUM(EC5,EH5),"")</f>
        <v/>
      </c>
      <c r="EJ5" s="26">
        <v>19.100000000000001</v>
      </c>
      <c r="EK5" s="26">
        <v>8.4</v>
      </c>
      <c r="EL5" s="26">
        <v>0.6</v>
      </c>
      <c r="EM5" s="26">
        <v>0</v>
      </c>
      <c r="EN5" s="26">
        <v>18.8</v>
      </c>
      <c r="EO5" s="26">
        <v>10</v>
      </c>
      <c r="EP5" s="26">
        <v>0.2</v>
      </c>
      <c r="EQ5" s="26">
        <v>0.6</v>
      </c>
      <c r="ER5" s="26"/>
      <c r="ES5" s="26"/>
      <c r="ET5" s="26"/>
      <c r="EU5" s="26"/>
      <c r="EV5" s="26">
        <v>19.2</v>
      </c>
      <c r="EW5" s="26">
        <v>9.1999999999999993</v>
      </c>
      <c r="EX5" s="26">
        <v>0</v>
      </c>
      <c r="EY5" s="26">
        <v>0.3</v>
      </c>
      <c r="EZ5" s="26">
        <v>19</v>
      </c>
      <c r="FA5" s="26">
        <v>9.1999999999999993</v>
      </c>
      <c r="FB5" s="26">
        <v>0.6</v>
      </c>
      <c r="FC5" s="26">
        <v>0.3</v>
      </c>
      <c r="FD5" s="20">
        <f>IF(SUM(EK5,EO5)&gt;0,SUM(EK5,EO5),"")</f>
        <v>18.399999999999999</v>
      </c>
      <c r="FE5" s="20">
        <f>IF(SUM(EJ5:EK5,EM5:EO5,EQ5)-EL5-EP5&gt;0,SUM(EJ5:EK5,EM5:EO5,EQ5)-EL5-EP5,"")</f>
        <v>56.099999999999994</v>
      </c>
      <c r="FF5" s="20" t="str">
        <f>IF(SUM(ER5:ES5,EU5)-ET5&gt;0,SUM(ER5:ES5,EU5)-ET5,"")</f>
        <v/>
      </c>
      <c r="FG5" s="20">
        <f>IF(SUM(EK5,EO5,ES5)&gt;0,SUM(EK5,EO5,ES5),"")</f>
        <v>18.399999999999999</v>
      </c>
      <c r="FH5" s="20">
        <f>IF(SUM(FE5,FF5)&gt;0,SUM(FE5,FF5),"")</f>
        <v>56.099999999999994</v>
      </c>
      <c r="FI5" s="20">
        <f>IF(SUM(EW5,FA5)&gt;0,SUM(EW5,FA5),"")</f>
        <v>18.399999999999999</v>
      </c>
      <c r="FJ5" s="20">
        <f>IF(SUM(EV5:EW5,EY5:FA5,FC5)-SUM(EX5,FB5)&gt;0,SUM(EV5:EW5,EY5:FA5,FC5)-SUM(EX5,FB5),"")</f>
        <v>56.6</v>
      </c>
      <c r="FK5" s="20">
        <f>IF(SUM(FE5,FJ5)&gt;0,SUM(FE5,FJ5),"")</f>
        <v>112.69999999999999</v>
      </c>
      <c r="FL5" s="25">
        <v>18.600000000000001</v>
      </c>
      <c r="FM5" s="25">
        <v>9.3000000000000007</v>
      </c>
      <c r="FN5" s="25">
        <v>0.2</v>
      </c>
      <c r="FO5" s="25">
        <v>0.3</v>
      </c>
      <c r="FP5" s="25">
        <v>18.7</v>
      </c>
      <c r="FQ5" s="25">
        <v>10</v>
      </c>
      <c r="FR5" s="25">
        <v>0.2</v>
      </c>
      <c r="FS5" s="25">
        <v>0.6</v>
      </c>
      <c r="FT5" s="25"/>
      <c r="FU5" s="25"/>
      <c r="FV5" s="25"/>
      <c r="FW5" s="25"/>
      <c r="FX5" s="25">
        <v>18.8</v>
      </c>
      <c r="FY5" s="25">
        <v>9.3000000000000007</v>
      </c>
      <c r="FZ5" s="25">
        <v>0.8</v>
      </c>
      <c r="GA5" s="25">
        <v>0.3</v>
      </c>
      <c r="GB5" s="25">
        <v>17.399999999999999</v>
      </c>
      <c r="GC5" s="25">
        <v>5.0999999999999996</v>
      </c>
      <c r="GD5" s="25">
        <v>0</v>
      </c>
      <c r="GE5" s="25">
        <v>0.3</v>
      </c>
      <c r="GF5" s="79">
        <f>IF(SUM(FM5,FQ5)&gt;0,SUM(FM5,FQ5),"")</f>
        <v>19.3</v>
      </c>
      <c r="GG5" s="79">
        <f>IF(SUM(FL5:FM5,FO5:FQ5,FS5)-FN5-FR5&gt;0,SUM(FL5:FM5,FO5:FQ5,FS5)-FN5-FR5,"")</f>
        <v>57.1</v>
      </c>
      <c r="GH5" s="79" t="str">
        <f>IF(SUM(FT5:FU5,FW5)-FV5&gt;0,SUM(FT5:FU5,FW5)-FV5,"")</f>
        <v/>
      </c>
      <c r="GI5" s="79">
        <f>IF(SUM(FM5,FQ5,FU5)&gt;0,SUM(FM5,FQ5,FU5),"")</f>
        <v>19.3</v>
      </c>
      <c r="GJ5" s="79">
        <f>IF(SUM(GG5,GH5)&gt;0,SUM(GG5,GH5),"")</f>
        <v>57.1</v>
      </c>
      <c r="GK5" s="79">
        <f>IF(SUM(FY5,GC5)&gt;0,SUM(FY5,GC5),"")</f>
        <v>14.4</v>
      </c>
      <c r="GL5" s="79">
        <f>IF(SUM(FX5:FY5,GA5:GC5,GE5)-SUM(FZ5,GD5)&gt;0,SUM(FX5:FY5,GA5:GC5,GE5)-SUM(FZ5,GD5),"")</f>
        <v>50.4</v>
      </c>
      <c r="GM5" s="79">
        <f>IF(SUM(GG5,GL5)&gt;0,SUM(GG5,GL5),"")</f>
        <v>107.5</v>
      </c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0" t="str">
        <f>IF(SUM(GO5,GS5)&gt;0,SUM(GO5,GS5),"")</f>
        <v/>
      </c>
      <c r="HI5" s="20" t="str">
        <f>IF(SUM(GN5:GO5,GQ5:GS5,GU5)-GP5-GT5&gt;0,SUM(GN5:GO5,GQ5:GS5,GU5)-GP5-GT5,"")</f>
        <v/>
      </c>
      <c r="HJ5" s="20" t="str">
        <f>IF(SUM(GV5:GW5,GY5)-GX5&gt;0,SUM(GV5:GW5,GY5)-GX5,"")</f>
        <v/>
      </c>
      <c r="HK5" s="20" t="str">
        <f>IF(SUM(GO5,GS5,GW5)&gt;0,SUM(GO5,GS5,GW5),"")</f>
        <v/>
      </c>
      <c r="HL5" s="20" t="str">
        <f>IF(SUM(HI5,HJ5)&gt;0,SUM(HI5,HJ5),"")</f>
        <v/>
      </c>
      <c r="HM5" s="20" t="str">
        <f>IF(SUM(HA5,HE5)&gt;0,SUM(HA5,HE5),"")</f>
        <v/>
      </c>
      <c r="HN5" s="20" t="str">
        <f>IF(SUM(GZ5:HA5,HC5:HE5,HG5)-SUM(HB5,HF5)&gt;0,SUM(GZ5:HA5,HC5:HE5,HG5)-SUM(HB5,HF5),"")</f>
        <v/>
      </c>
      <c r="HO5" s="20" t="str">
        <f>IF(SUM(HI5,HN5)&gt;0,SUM(HI5,HN5),"")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79" t="str">
        <f>IF(SUM(HQ5,HU5)&gt;0,SUM(HQ5,HU5),"")</f>
        <v/>
      </c>
      <c r="IK5" s="79" t="str">
        <f>IF(SUM(HP5:HQ5,HS5:HU5,HW5)-HR5-HV5&gt;0,SUM(HP5:HQ5,HS5:HU5,HW5)-HR5-HV5,"")</f>
        <v/>
      </c>
      <c r="IL5" s="79" t="str">
        <f>IF(SUM(HX5:HY5,IA5)-HZ5&gt;0,SUM(HX5:HY5,IA5)-HZ5,"")</f>
        <v/>
      </c>
      <c r="IM5" s="79" t="str">
        <f>IF(SUM(HQ5,HU5,HY5)&gt;0,SUM(HQ5,HU5,HY5),"")</f>
        <v/>
      </c>
      <c r="IN5" s="79" t="str">
        <f>IF(SUM(IK5,IL5)&gt;0,SUM(IK5,IL5),"")</f>
        <v/>
      </c>
      <c r="IO5" s="79" t="str">
        <f>IF(SUM(IC5,IG5)&gt;0,SUM(IC5,IG5),"")</f>
        <v/>
      </c>
      <c r="IP5" s="79" t="str">
        <f>IF(SUM(IB5:IC5,IE5:IG5,II5)-SUM(ID5,IH5)&gt;0,SUM(IB5:IC5,IE5:IG5,II5)-SUM(ID5,IH5),"")</f>
        <v/>
      </c>
      <c r="IQ5" s="79" t="str">
        <f>IF(SUM(IK5,IP5)&gt;0,SUM(IK5,IP5),"")</f>
        <v/>
      </c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0" t="str">
        <f>IF(SUM(IS5,IW5)&gt;0,SUM(IS5,IW5),"")</f>
        <v/>
      </c>
      <c r="JM5" s="20" t="str">
        <f>IF(SUM(IR5:IS5,IU5:IW5,IY5)-IT5-IX5&gt;0,SUM(IR5:IS5,IU5:IW5,IY5)-IT5-IX5,"")</f>
        <v/>
      </c>
      <c r="JN5" s="20" t="str">
        <f>IF(SUM(IZ5:JA5,JC5)-JB5&gt;0,SUM(IZ5:JA5,JC5)-JB5,"")</f>
        <v/>
      </c>
      <c r="JO5" s="20" t="str">
        <f>IF(SUM(IS5,IW5,JA5)&gt;0,SUM(IS5,IW5,JA5),"")</f>
        <v/>
      </c>
      <c r="JP5" s="20" t="str">
        <f>IF(SUM(JM5,JN5)&gt;0,SUM(JM5,JN5),"")</f>
        <v/>
      </c>
      <c r="JQ5" s="20" t="str">
        <f>IF(SUM(JE5,JI5)&gt;0,SUM(JE5,JI5),"")</f>
        <v/>
      </c>
      <c r="JR5" s="20" t="str">
        <f>IF(SUM(JD5:JE5,JG5:JI5,JK5)-SUM(JF5,JJ5)&gt;0,SUM(JD5:JE5,JG5:JI5,JK5)-SUM(JF5,JJ5),"")</f>
        <v/>
      </c>
      <c r="JS5" s="20" t="str">
        <f>IF(SUM(JM5,JR5)&gt;0,SUM(JM5,JR5),"")</f>
        <v/>
      </c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79" t="str">
        <f>IF(SUM(JU5,JY5)&gt;0,SUM(JU5,JY5),"")</f>
        <v/>
      </c>
      <c r="KO5" s="79" t="str">
        <f>IF(SUM(JT5:JU5,JW5:JY5,KA5)-JV5-JZ5&gt;0,SUM(JT5:JU5,JW5:JY5,KA5)-JV5-JZ5,"")</f>
        <v/>
      </c>
      <c r="KP5" s="79" t="str">
        <f>IF(SUM(KB5:KC5,KE5)-KD5&gt;0,SUM(KB5:KC5,KE5)-KD5,"")</f>
        <v/>
      </c>
      <c r="KQ5" s="79" t="str">
        <f>IF(SUM(JU5,JY5,KC5)&gt;0,SUM(JU5,JY5,KC5),"")</f>
        <v/>
      </c>
      <c r="KR5" s="79" t="str">
        <f>IF(SUM(KO5,KP5)&gt;0,SUM(KO5,KP5),"")</f>
        <v/>
      </c>
      <c r="KS5" s="79" t="str">
        <f>IF(SUM(KG5,KK5)&gt;0,SUM(KG5,KK5),"")</f>
        <v/>
      </c>
      <c r="KT5" s="79" t="str">
        <f>IF(SUM(KF5:KG5,KI5:KK5,KM5)-SUM(KH5,KL5)&gt;0,SUM(KF5:KG5,KI5:KK5,KM5)-SUM(KH5,KL5),"")</f>
        <v/>
      </c>
      <c r="KU5" s="79" t="str">
        <f>IF(SUM(KO5,KT5)&gt;0,SUM(KO5,KT5),"")</f>
        <v/>
      </c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0" t="str">
        <f>IF(SUM(KW5,LA5)&gt;0,SUM(KW5,LA5),"")</f>
        <v/>
      </c>
      <c r="LQ5" s="20" t="str">
        <f>IF(SUM(KV5:KW5,KY5:LA5,LC5)-KX5-LB5&gt;0,SUM(KV5:KW5,KY5:LA5,LC5)-KX5-LB5,"")</f>
        <v/>
      </c>
      <c r="LR5" s="20" t="str">
        <f>IF(SUM(LD5:LE5,LG5)-LF5&gt;0,SUM(LD5:LE5,LG5)-LF5,"")</f>
        <v/>
      </c>
      <c r="LS5" s="20" t="str">
        <f>IF(SUM(KW5,LA5,LE5)&gt;0,SUM(KW5,LA5,LE5),"")</f>
        <v/>
      </c>
      <c r="LT5" s="20" t="str">
        <f>IF(SUM(LQ5,LR5)&gt;0,SUM(LQ5,LR5),"")</f>
        <v/>
      </c>
      <c r="LU5" s="20" t="str">
        <f>IF(SUM(LI5,LM5)&gt;0,SUM(LI5,LM5),"")</f>
        <v/>
      </c>
      <c r="LV5" s="20" t="str">
        <f>IF(SUM(LH5:LI5,LK5:LM5,LO5)-SUM(LJ5,LN5)&gt;0,SUM(LH5:LI5,LK5:LM5,LO5)-SUM(LJ5,LN5),"")</f>
        <v/>
      </c>
      <c r="LW5" s="20" t="str">
        <f>IF(SUM(LQ5,LV5)&gt;0,SUM(LQ5,LV5),"")</f>
        <v/>
      </c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79" t="str">
        <f>IF(SUM(LY5,MC5)&gt;0,SUM(LY5,MC5),"")</f>
        <v/>
      </c>
      <c r="MS5" s="79" t="str">
        <f>IF(SUM(LX5:LY5,MA5:MC5,ME5)-LZ5-MD5&gt;0,SUM(LX5:LY5,MA5:MC5,ME5)-LZ5-MD5,"")</f>
        <v/>
      </c>
      <c r="MT5" s="79" t="str">
        <f>IF(SUM(MF5:MG5,MI5)-MH5&gt;0,SUM(MF5:MG5,MI5)-MH5,"")</f>
        <v/>
      </c>
      <c r="MU5" s="79" t="str">
        <f>IF(SUM(LY5,MC5,MG5)&gt;0,SUM(LY5,MC5,MG5),"")</f>
        <v/>
      </c>
      <c r="MV5" s="79" t="str">
        <f>IF(SUM(MS5,MT5)&gt;0,SUM(MS5,MT5),"")</f>
        <v/>
      </c>
      <c r="MW5" s="79" t="str">
        <f>IF(SUM(MK5,MO5)&gt;0,SUM(MK5,MO5),"")</f>
        <v/>
      </c>
      <c r="MX5" s="79" t="str">
        <f>IF(SUM(MJ5:MK5,MM5:MO5,MQ5)-SUM(ML5,MP5)&gt;0,SUM(MJ5:MK5,MM5:MO5,MQ5)-SUM(ML5,MP5),"")</f>
        <v/>
      </c>
      <c r="MY5" s="79" t="str">
        <f>IF(SUM(MS5,MX5)&gt;0,SUM(MS5,MX5),"")</f>
        <v/>
      </c>
      <c r="MZ5" s="26"/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0" t="str">
        <f>IF(SUM(NA5,NE5)&gt;0,SUM(NA5,NE5),"")</f>
        <v/>
      </c>
      <c r="NU5" s="20" t="str">
        <f>IF(SUM(MZ5:NA5,NC5:NE5,NG5)-NB5-NF5&gt;0,SUM(MZ5:NA5,NC5:NE5,NG5)-NB5-NF5,"")</f>
        <v/>
      </c>
      <c r="NV5" s="20" t="str">
        <f>IF(SUM(NH5:NI5,NK5)-NJ5&gt;0,SUM(NH5:NI5,NK5)-NJ5,"")</f>
        <v/>
      </c>
      <c r="NW5" s="20" t="str">
        <f>IF(SUM(NA5,NE5,NI5)&gt;0,SUM(NA5,NE5,NI5),"")</f>
        <v/>
      </c>
      <c r="NX5" s="20" t="str">
        <f>IF(SUM(NU5,NV5)&gt;0,SUM(NU5,NV5),"")</f>
        <v/>
      </c>
      <c r="NY5" s="20" t="str">
        <f>IF(SUM(NM5,NQ5)&gt;0,SUM(NM5,NQ5),"")</f>
        <v/>
      </c>
      <c r="NZ5" s="20" t="str">
        <f>IF(SUM(NL5:NM5,NO5:NQ5,NS5)-SUM(NN5,NR5)&gt;0,SUM(NL5:NM5,NO5:NQ5,NS5)-SUM(NN5,NR5),"")</f>
        <v/>
      </c>
      <c r="OA5" s="20" t="str">
        <f>IF(SUM(NU5,NZ5)&gt;0,SUM(NU5,NZ5),"")</f>
        <v/>
      </c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79" t="str">
        <f>IF(SUM(OC5,OG5)&gt;0,SUM(OC5,OG5),"")</f>
        <v/>
      </c>
      <c r="OW5" s="79" t="str">
        <f>IF(SUM(OB5:OC5,OE5:OG5,OI5)-OD5-OH5&gt;0,SUM(OB5:OC5,OE5:OG5,OI5)-OD5-OH5,"")</f>
        <v/>
      </c>
      <c r="OX5" s="79" t="str">
        <f>IF(SUM(OJ5:OK5,OM5)-OL5&gt;0,SUM(OJ5:OK5,OM5)-OL5,"")</f>
        <v/>
      </c>
      <c r="OY5" s="79" t="str">
        <f>IF(SUM(OC5,OG5,OK5)&gt;0,SUM(OC5,OG5,OK5),"")</f>
        <v/>
      </c>
      <c r="OZ5" s="79" t="str">
        <f>IF(SUM(OW5,OX5)&gt;0,SUM(OW5,OX5),"")</f>
        <v/>
      </c>
      <c r="PA5" s="79" t="str">
        <f>IF(SUM(OO5,OS5)&gt;0,SUM(OO5,OS5),"")</f>
        <v/>
      </c>
      <c r="PB5" s="79" t="str">
        <f>IF(SUM(ON5:OO5,OQ5:OS5,OU5)-SUM(OP5,OT5)&gt;0,SUM(ON5:OO5,OQ5:OS5,OU5)-SUM(OP5,OT5),"")</f>
        <v/>
      </c>
      <c r="PC5" s="79" t="str">
        <f>IF(SUM(OW5,PB5)&gt;0,SUM(OW5,PB5),"")</f>
        <v/>
      </c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0" t="str">
        <f>IF(SUM(PE5,PI5)&gt;0,SUM(PE5,PI5),"")</f>
        <v/>
      </c>
      <c r="PY5" s="20" t="str">
        <f>IF(SUM(PD5:PE5,PG5:PI5,PK5)-PF5-PJ5&gt;0,SUM(PD5:PE5,PG5:PI5,PK5)-PF5-PJ5,"")</f>
        <v/>
      </c>
      <c r="PZ5" s="20" t="str">
        <f>IF(SUM(PL5:PM5,PO5)-PN5&gt;0,SUM(PL5:PM5,PO5)-PN5,"")</f>
        <v/>
      </c>
      <c r="QA5" s="20" t="str">
        <f>IF(SUM(PE5,PI5,PM5)&gt;0,SUM(PE5,PI5,PM5),"")</f>
        <v/>
      </c>
      <c r="QB5" s="20" t="str">
        <f>IF(SUM(PY5,PZ5)&gt;0,SUM(PY5,PZ5),"")</f>
        <v/>
      </c>
      <c r="QC5" s="20" t="str">
        <f>IF(SUM(PQ5,PU5)&gt;0,SUM(PQ5,PU5),"")</f>
        <v/>
      </c>
      <c r="QD5" s="20" t="str">
        <f>IF(SUM(PP5:PQ5,PS5:PU5,PW5)-SUM(PR5,PV5)&gt;0,SUM(PP5:PQ5,PS5:PU5,PW5)-SUM(PR5,PV5),"")</f>
        <v/>
      </c>
      <c r="QE5" s="20" t="str">
        <f>IF(SUM(PY5,QD5)&gt;0,SUM(PY5,QD5),"")</f>
        <v/>
      </c>
      <c r="QF5" s="38">
        <f>IF($CV5="P",CB5,(CB5+AY5)/2)</f>
        <v>9.4000500000000002</v>
      </c>
      <c r="QG5" s="38">
        <f>IF($CV5="P",CC5,(CC5+AZ5)/2)</f>
        <v>4.6000499999999995</v>
      </c>
      <c r="QH5" s="38">
        <f>IF($CV5="P",CD5,(CD5+BA5)/2)</f>
        <v>0.3</v>
      </c>
      <c r="QI5" s="38">
        <f>IF($CV5="P",CE5,(CE5+BB5)/2)</f>
        <v>0.15</v>
      </c>
      <c r="QJ5" s="38">
        <f>IF($CV5="P",CF5,(CF5+BC5)/2)</f>
        <v>9.5</v>
      </c>
      <c r="QK5" s="38">
        <f>IF($CV5="P",CG5,(CG5+BD5)/2)</f>
        <v>4.5999999999999996</v>
      </c>
      <c r="QL5" s="38">
        <f>IF($CV5="P",CH5,(CH5+BE5)/2)</f>
        <v>0.1</v>
      </c>
      <c r="QM5" s="38">
        <f>IF($CV5="P",CI5,(CI5+BF5)/2)</f>
        <v>0.15</v>
      </c>
      <c r="QN5" s="38">
        <f>IF($CV5="P",CJ5,(CJ5+BG5)/2)</f>
        <v>8.9</v>
      </c>
      <c r="QO5" s="38">
        <f>IF($CV5="P",CK5,(CK5+BH5)/2)</f>
        <v>1.4</v>
      </c>
      <c r="QP5" s="38">
        <f>IF($CV5="P",CL5,(CL5+BI5)/2)</f>
        <v>0</v>
      </c>
      <c r="QQ5" s="38">
        <f>IF($CV5="P",CM5,(CM5+BJ5)/2)</f>
        <v>0</v>
      </c>
      <c r="QR5" s="38">
        <f>IF($CV5="P",CN5,(CN5+BK5)/2)</f>
        <v>9.5</v>
      </c>
      <c r="QS5" s="38">
        <f>IF($CV5="P",CO5,(CO5+BL5)/2)</f>
        <v>4.25</v>
      </c>
      <c r="QT5" s="38">
        <f>IF($CV5="P",CP5,(CP5+BM5)/2)</f>
        <v>0</v>
      </c>
      <c r="QU5" s="38">
        <f>IF($CV5="P",CQ5,(CQ5+BN5)/2)</f>
        <v>0.15</v>
      </c>
      <c r="QV5" s="38">
        <f>IF($CV5="P",CR5,(CR5+BO5)/2)</f>
        <v>9.35</v>
      </c>
      <c r="QW5" s="38">
        <f>IF($CV5="P",CS5,(CS5+BP5)/2)</f>
        <v>4.2</v>
      </c>
      <c r="QX5" s="38">
        <f>IF($CV5="P",CT5,(CT5+BQ5)/2)</f>
        <v>0.3</v>
      </c>
      <c r="QY5" s="38">
        <f>IF($CV5="P",CU5,(CU5+BR5)/2)</f>
        <v>0.15</v>
      </c>
      <c r="QZ5" s="45" t="s">
        <v>46</v>
      </c>
      <c r="RA5" s="79">
        <f>IF(SUM(QG5,QK5)&gt;0,SUM(QG5,QK5),"")</f>
        <v>9.2000499999999992</v>
      </c>
      <c r="RB5" s="79">
        <f>IF(SUM(QF5:QG5,QI5:QK5,QM5)-QH5-QL5&gt;0,SUM(QF5:QG5,QI5:QK5,QM5)-QH5-QL5,"")</f>
        <v>28.0001</v>
      </c>
      <c r="RC5" s="79">
        <f>IF(SUM(QN5:QO5,QQ5)-QP5&gt;0,SUM(QN5:QO5,QQ5)-QP5,"")</f>
        <v>10.3</v>
      </c>
      <c r="RD5" s="79">
        <f>IF(SUM(QG5,QK5,QO5)&gt;0,SUM(QG5,QK5,QO5),"")</f>
        <v>10.60005</v>
      </c>
      <c r="RE5" s="79">
        <f>IF(SUM(RB5,RC5)&gt;0,SUM(RB5,RC5),"")</f>
        <v>38.3001</v>
      </c>
      <c r="RF5" s="79">
        <f>IF(SUM(QS5,QW5)&gt;0,SUM(QS5,QW5),"")</f>
        <v>8.4499999999999993</v>
      </c>
      <c r="RG5" s="79">
        <f>IF(SUM(QR5:QS5,QU5:QW5,QY5)-SUM(QT5,QX5)&gt;0,SUM(QR5:QS5,QU5:QW5,QY5)-SUM(QT5,QX5),"")</f>
        <v>27.299999999999997</v>
      </c>
      <c r="RH5" s="79">
        <f>IF(SUM(RB5,RG5)&gt;0,SUM(RB5,RG5),"")</f>
        <v>55.3001</v>
      </c>
    </row>
    <row r="6" spans="1:476" x14ac:dyDescent="0.2">
      <c r="A6" s="5">
        <f>IF(AND(F6="P",G6="P"),SUMPRODUCT((F$4:F$27="P")*(G$4:G$27="P")*(E$4:E$27&gt;E6))+1,IF(G6="P",SUMPRODUCT((F$4:F$27="")*(G$4:G$27="P")*(E$4:E$27&gt;E6))+1+SUMPRODUCT((F$4:F$27="P")*(G$4:G$27="P")),""))</f>
        <v>3</v>
      </c>
      <c r="B6" s="78" t="s">
        <v>73</v>
      </c>
      <c r="C6" s="5" t="s">
        <v>4</v>
      </c>
      <c r="D6" s="5">
        <v>2002</v>
      </c>
      <c r="E6" s="15">
        <f>SUM(I6:S6)+SUM(I6:O6)*0.0000001+SUM(I6)*0.0000000000001</f>
        <v>126.50020743002487</v>
      </c>
      <c r="F6" s="3" t="str">
        <f>IF(OR(AND(AQ6&gt;=AX$29,AR6&gt;=AX$33,AQ6&lt;&gt;"",AP6=""),AND(AV6&gt;=AX$29,AW6&gt;=AX$33,AV6&lt;&gt;"",AP6=""),AND(BT6&gt;=CA$29,BU6&gt;=CA$33,BT6&lt;&gt;"",BS6=""),AND(BY6&gt;=CA$29,BZ6&gt;=CA$33,BY6&lt;&gt;"",BS6=""),AND(CW6&gt;=DD$29,CX6&gt;=DD$33,CW6&lt;&gt;"",CV6=""),AND(DB6&gt;=DD$29,DC6&gt;=DD$33,DB6&lt;&gt;""),AND(EB6&gt;=EI$29,EC6&gt;=EI$33,EB6&lt;&gt;""),AND(EG6&gt;=EI$29,EH6&gt;=EI$33,EG6&lt;&gt;""),AND(FD6&gt;=FK$29,FE6&gt;=FK$33,FD6&lt;&gt;""),AND(FI6&gt;=FK$29,FJ6&gt;=FK$33,FI6&lt;&gt;""),AND(GF6&gt;=GM$29,GG6&gt;=GM$33,GF6&lt;&gt;""),AND(GK6&gt;=GM$29,GL6&gt;=GM$33,GK6&lt;&gt;""),AND(HH6&gt;=HO$29,HI6&gt;=HO$33,HH6&lt;&gt;""),AND(HM6&gt;=HO$29,HN6&gt;=HO$33,HM6&lt;&gt;""),AND(IJ6&gt;=IQ$29,IK6&gt;=IQ$33,IJ6&lt;&gt;""),AND(IO6&gt;=IQ$29,IP6&gt;=IQ$33,IO6&lt;&gt;""),AND(JL6&gt;=JS$29,JM6&gt;=JS$33,JL6&lt;&gt;""),AND(JQ6&gt;=JS$29,JR6&gt;=JS$33,JQ6&lt;&gt;""),AND(KN6&gt;=KU$29,KO6&gt;=KU$33,KN6&lt;&gt;""),AND(KS6&gt;=KU$29,KT6&gt;=KU$33,KS6&lt;&gt;""),AND(LP6&gt;=LW$29,LQ6&gt;=LW$33,LP6&lt;&gt;""),AND(LU6&gt;=LW$29,LV6&gt;=LW$33,LU6&lt;&gt;""),AND(MR6&gt;=MY$29,MS6&gt;=MY$33,MR6&lt;&gt;""),AND(MW6&gt;=MY$29,MX6&gt;=MY$33,MW6&lt;&gt;""),AND(NT6&gt;=OA$29,NU6&gt;=OA$33,NT6&lt;&gt;""),AND(NY6&gt;=OA$29,NZ6&gt;=OA$33,NY6&lt;&gt;""),AND(OV6&gt;=PC$29,OW6&gt;=PC$33,OV6&lt;&gt;""),AND(PA6&gt;=PC$29,PB6&gt;=PC$33,PA6&lt;&gt;""),AND(PX6&gt;=QE$29,PY6&gt;=QE$33,PX6&lt;&gt;""),AND(QC6&gt;=QE$29,QD6&gt;=QE$33,QC6&lt;&gt;"")),"P","")</f>
        <v>P</v>
      </c>
      <c r="G6" s="3" t="str">
        <f>IF(OR(AND(AR6&gt;=AX$33,AR6&lt;&gt;"",AP6=""),AND(AW6&gt;=AX$33,AW6&lt;&gt;"",AP6=""),AND(BU6&gt;=CA$33,BU6&lt;&gt;"",BS6=""),AND(BZ6&gt;=CA$33,BZ6&lt;&gt;"",BS6=""),AND(CX6&gt;=DD$33,CX6&lt;&gt;"",CV6=""),AND(DC6&gt;=DD$33,DC6&lt;&gt;"",CV6=""),AND(EC6&gt;=EI$33,EC6&lt;&gt;""),AND(EH6&gt;=EI$33,EH6&lt;&gt;""),AND(FE6&gt;=FK$33,FE6&lt;&gt;""),AND(FJ6&gt;=FK$33,FJ6&lt;&gt;""),AND(GG6&gt;=GM$33,GG6&lt;&gt;""),AND(GL6&gt;=GM$33,GL6&lt;&gt;""),AND(HI6&gt;=HO$33,HI6&lt;&gt;""),AND(HN6&gt;=HO$33,HN6&lt;&gt;""),AND(IK6&gt;=IQ$33,IK6&lt;&gt;""),AND(IP6&gt;=IQ$33,IP6&lt;&gt;""),AND(JM6&gt;=JS$33,JM6&lt;&gt;""),AND(JR6&gt;=JS$33,JR6&lt;&gt;""),AND(KO6&gt;=KU$33,KO6&lt;&gt;""),AND(KT6&gt;=KU$33,KT6&lt;&gt;""),AND(LQ6&gt;=LW$33,LQ6&lt;&gt;""),AND(LV6&gt;=LW$33,LV6&lt;&gt;""),AND(MS6&gt;=MY$33,MS6&lt;&gt;""),AND(MX6&gt;=MY$33,MX6&lt;&gt;""),AND(NU6&gt;=OA$33,NU6&lt;&gt;""),AND(NZ6&gt;=OA$33,NZ6&lt;&gt;""),AND(OW6&gt;=PC$33,OW6&lt;&gt;""),AND(PB6&gt;=PC$33,PB6&lt;&gt;""),AND(PY6&gt;=QE$33,PY6&lt;&gt;""),AND(QD6&gt;=QE$33,QD6&lt;&gt;"")),"P","")</f>
        <v>P</v>
      </c>
      <c r="H6" s="67" t="str">
        <f>IF(AND(G6="P",F6=""),"No DD",IF(OR(AND(AT6&gt;=AX$32,AU6&gt;=AX$36,AT6&lt;&gt;"",AP6=""),AND(BW6&gt;=CA$32,BX6&gt;=CA$36,BW6&lt;&gt;"",BS6=""),AND(CZ6&gt;=DD$32,DA6&gt;=DD$36,CZ6&lt;&gt;"",CV6=""),AND(EE6&gt;=EI$32,EF6&gt;=EI$36,EE6&lt;&gt;""),AND(FG6&gt;=FK$32,FH6&gt;=FK$36,FG6&lt;&gt;""),AND(GI6&gt;=GM$32,GJ6&gt;=GM$36,GI6&lt;&gt;""),AND(HK6&gt;=HO$32,HL6&gt;=HO$36,HK6&lt;&gt;""),AND(IM6&gt;=IQ$32,IN6&gt;=IQ$36,IM6&lt;&gt;""),AND(JO6&gt;=JS$32,JP6&gt;=JS$36,JO6&lt;&gt;""),AND(KQ6&gt;=KU$32,KR6&gt;=KU$36,KQ6&lt;&gt;""),AND(LS6&gt;=LW$32,LT6&gt;=LW$36,LS6&lt;&gt;""),AND(MU6&gt;=MY$32,MV6&gt;=MY$36,MU6&lt;&gt;""),AND(NW6&gt;=OA$32,NX6&gt;=OA$36,NW6&lt;&gt;""),AND(OY6&gt;=PC$32,OZ6&gt;=PC$36,OY6&lt;&gt;""),AND(QA6&gt;=QE$32,QB6&gt;=QE$36,QA6&lt;&gt;"")),"Merit",IF(OR(AND(AT6&gt;=AX$31,AU6&gt;=AX$35,AT6&lt;&gt;"",AP6=""),AND(BW6&gt;=CA$31,BX6&gt;=CA$35,BW6&lt;&gt;"",BS6=""),AND(CZ6&gt;=DD$31,DA6&gt;=DD$35,CZ6&lt;&gt;"",CV6=""),AND(EE6&gt;=EI$31,EF6&gt;=EI$35,EE6&lt;&gt;""),AND(FG6&gt;=FK$31,FH6&gt;=FK$35,FG6&lt;&gt;""),AND(GI6&gt;=GM$31,GJ6&gt;=GM$35,GI6&lt;&gt;""),AND(HK6&gt;=HO$31,HL6&gt;=HO$35,HK6&lt;&gt;""),AND(IM6&gt;=IQ$31,IN6&gt;=IQ$35,IM6&lt;&gt;""),AND(JO6&gt;=JS$31,JP6&gt;=JS$35,JO6&lt;&gt;""),AND(KQ6&gt;=KU$31,KR6&gt;=KU$35,KQ6&lt;&gt;""),AND(LS6&gt;=LW$31,LT6&gt;=LW$35,LS6&lt;&gt;""),AND(MU6&gt;=MY$31,MV6&gt;=MY$35,MU6&lt;&gt;""),AND(NW6&gt;=OA$31,NX6&gt;=OA$35,NW6&lt;&gt;""),AND(OY6&gt;=PC$31,OZ6&gt;=PC$35,OY6&lt;&gt;""),AND(QA6&gt;=QE$31,QB6&gt;=QE$35,QA6&lt;&gt;"")),"Excellence",IF(F6="P","National Team",""))))</f>
        <v>National Team</v>
      </c>
      <c r="I6" s="14">
        <f>IF(COUNT(AR6,BU6,CX6)&gt;0,LARGE((AR6,BU6,CX6),1),0)</f>
        <v>48.8</v>
      </c>
      <c r="J6" s="14" t="str">
        <f>IF(I6=0,"",IF(I6=CX6,$CB$1,IF(I6=BU6,$AY$1,IF(I6=AR6,$V$1,""))))</f>
        <v>2022 Elite Canada</v>
      </c>
      <c r="K6" s="14">
        <f>IF(COUNT(AR6,BU6,CX6)&gt;1,LARGE((AR6,BU6,CX6),2),0)</f>
        <v>2.0000000000000001E-4</v>
      </c>
      <c r="L6" s="14" t="str">
        <f>IF(K6=0,"",IF(K6=CX6,$CB$1,IF(K6=BU6,$AY$1,IF(K6=AR6,$V$1,""))))</f>
        <v>2021 Elite Canada</v>
      </c>
      <c r="M6" s="14">
        <f>IF(COUNT(AS6,BV6,CY6)&gt;0,LARGE((AS6,BV6,CY6),1),0)</f>
        <v>25.5</v>
      </c>
      <c r="N6" s="14" t="str">
        <f>IF(M6=0,"",IF(M6=CY6,$CB$1,IF(M6=BV6,$AY$1,IF(M6=AS6,$V$1,""))))</f>
        <v>2022 Elite Canada</v>
      </c>
      <c r="O6" s="14">
        <f>IF(COUNT(AS6,BV6,CY6)&gt;1,LARGE((AS6,BV6,CY6),2),0)</f>
        <v>0</v>
      </c>
      <c r="P6" s="14" t="str">
        <f>IF(O6=0,"",IF(O6=CY6,$CB$1,IF(O6=BV6,$AY$1,IF(O6=AS6,$V$1,""))))</f>
        <v/>
      </c>
      <c r="Q6" s="14">
        <f>IF(MAX(AW6,BZ6,DC6)&gt;0,MAX(AW6,BZ6,DC6),0)</f>
        <v>26.700000000000003</v>
      </c>
      <c r="R6" s="14" t="str">
        <f>IF(Q6=0,"",IF(Q6=DC6,$CB$1,IF(Q6=BZ6,$AY$1,IF(Q6=AW6,$V$1,""))))</f>
        <v>2022 Elite Canada</v>
      </c>
      <c r="S6" s="14">
        <f>IF(MAX(DE6:DG6)&gt;0,MAX(DE6:DG6),"")</f>
        <v>25.5</v>
      </c>
      <c r="T6" s="20" t="str">
        <f>IF(S6="","",IF(S6=DE6,"("&amp;DE$2&amp;")",IF(S6=DG6,"("&amp;DG$2&amp;")")))</f>
        <v>(Final)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World Games Technical Trial #2 (May 15)</v>
      </c>
      <c r="V6" s="27">
        <v>1E-4</v>
      </c>
      <c r="W6" s="27">
        <v>1E-4</v>
      </c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45"/>
      <c r="AQ6" s="79">
        <f>IF(SUM(W6,AA6)&gt;0,SUM(W6,AA6),"")</f>
        <v>1E-4</v>
      </c>
      <c r="AR6" s="79">
        <f>IF(SUM(V6:W6,Y6:AA6,AC6)-X6-AB6&gt;0,SUM(V6:W6,Y6:AA6,AC6)-X6-AB6,"")</f>
        <v>2.0000000000000001E-4</v>
      </c>
      <c r="AS6" s="79" t="str">
        <f>IF(SUM(AD6:AE6,AG6)-AF6&gt;0,SUM(AD6:AE6,AG6)-AF6,"")</f>
        <v/>
      </c>
      <c r="AT6" s="79">
        <f>IF(SUM(W6,AA6,AE6)&gt;0,SUM(W6,AA6,AE6),"")</f>
        <v>1E-4</v>
      </c>
      <c r="AU6" s="79">
        <f>IF(SUM(AR6,AS6)&gt;0,SUM(AR6,AS6),"")</f>
        <v>2.0000000000000001E-4</v>
      </c>
      <c r="AV6" s="79" t="str">
        <f>IF(SUM(AI6,AM6)&gt;0,SUM(AI6,AM6),"")</f>
        <v/>
      </c>
      <c r="AW6" s="79" t="str">
        <f>IF(SUM(AH6:AI6,AK6:AM6,AO6)-SUM(AJ6,AN6)&gt;0,SUM(AH6:AI6,AK6:AM6,AO6)-SUM(AJ6,AN6),"")</f>
        <v/>
      </c>
      <c r="AX6" s="79">
        <f>IF(SUM(AR6,AW6)&gt;0,SUM(AR6,AW6),"")</f>
        <v>2.0000000000000001E-4</v>
      </c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46"/>
      <c r="BT6" s="20" t="str">
        <f>IF(SUM(AZ6,BD6)&gt;0,SUM(AZ6,BD6),"")</f>
        <v/>
      </c>
      <c r="BU6" s="20" t="str">
        <f>IF(SUM(AY6:AZ6,BB6:BD6,BF6)-BA6-BE6&gt;0,SUM(AY6:AZ6,BB6:BD6,BF6)-BA6-BE6,"")</f>
        <v/>
      </c>
      <c r="BV6" s="20" t="str">
        <f>IF(SUM(BG6:BH6,BJ6)-BI6&gt;0,SUM(BG6:BH6,BJ6)-BI6,"")</f>
        <v/>
      </c>
      <c r="BW6" s="20" t="str">
        <f>IF(SUM(AZ6,BD6,BH6)&gt;0,SUM(AZ6,BD6,BH6),"")</f>
        <v/>
      </c>
      <c r="BX6" s="20" t="str">
        <f>IF(SUM(BU6,BV6)&gt;0,SUM(BU6,BV6),"")</f>
        <v/>
      </c>
      <c r="BY6" s="20" t="str">
        <f>IF(SUM(BL6,BP6)&gt;0,SUM(BL6,BP6),"")</f>
        <v/>
      </c>
      <c r="BZ6" s="20" t="str">
        <f>IF(SUM(BK6:BL6,BN6:BP6,BR6)-SUM(BM6,BQ6)&gt;0,SUM(BK6:BL6,BN6:BP6,BR6)-SUM(BM6,BQ6),"")</f>
        <v/>
      </c>
      <c r="CA6" s="20" t="str">
        <f>IF(SUM(BU6,BZ6)&gt;0,SUM(BU6,BZ6),"")</f>
        <v/>
      </c>
      <c r="CB6" s="27">
        <v>18.7</v>
      </c>
      <c r="CC6" s="27">
        <v>7.3</v>
      </c>
      <c r="CD6" s="27">
        <v>0.6</v>
      </c>
      <c r="CE6" s="27">
        <v>0</v>
      </c>
      <c r="CF6" s="27">
        <v>17.8</v>
      </c>
      <c r="CG6" s="27">
        <v>6.4</v>
      </c>
      <c r="CH6" s="27">
        <v>0.8</v>
      </c>
      <c r="CI6" s="27">
        <v>0</v>
      </c>
      <c r="CJ6" s="27">
        <v>18.5</v>
      </c>
      <c r="CK6" s="27">
        <v>7.6</v>
      </c>
      <c r="CL6" s="27">
        <v>0.6</v>
      </c>
      <c r="CM6" s="27">
        <v>0</v>
      </c>
      <c r="CN6" s="27">
        <v>18.5</v>
      </c>
      <c r="CO6" s="27">
        <v>8.1</v>
      </c>
      <c r="CP6" s="27">
        <v>0.2</v>
      </c>
      <c r="CQ6" s="27">
        <v>0.3</v>
      </c>
      <c r="CR6" s="27">
        <v>0</v>
      </c>
      <c r="CS6" s="27">
        <v>0</v>
      </c>
      <c r="CT6" s="27">
        <v>0</v>
      </c>
      <c r="CU6" s="27">
        <v>0</v>
      </c>
      <c r="CV6" s="45"/>
      <c r="CW6" s="79">
        <f>IF(SUM(CC6,CG6)&gt;0,SUM(CC6,CG6),"")</f>
        <v>13.7</v>
      </c>
      <c r="CX6" s="79">
        <f>IF(SUM(CB6:CC6,CE6:CG6,CI6)-CD6-CH6&gt;0,SUM(CB6:CC6,CE6:CG6,CI6)-CD6-CH6,"")</f>
        <v>48.8</v>
      </c>
      <c r="CY6" s="79">
        <f>IF(SUM(CJ6:CK6,CM6)-CL6&gt;0,SUM(CJ6:CK6,CM6)-CL6,"")</f>
        <v>25.5</v>
      </c>
      <c r="CZ6" s="79">
        <f>IF(SUM(CC6,CG6,CK6)&gt;0,SUM(CC6,CG6,CK6),"")</f>
        <v>21.299999999999997</v>
      </c>
      <c r="DA6" s="79">
        <f>IF(SUM(CX6,CY6)&gt;0,SUM(CX6,CY6),"")</f>
        <v>74.3</v>
      </c>
      <c r="DB6" s="79">
        <f>IF(SUM(CO6,CS6)&gt;0,SUM(CO6,CS6),"")</f>
        <v>8.1</v>
      </c>
      <c r="DC6" s="79">
        <f>IF(SUM(CN6:CO6,CQ6:CS6,CU6)-SUM(CP6,CT6)&gt;0,SUM(CN6:CO6,CQ6:CS6,CU6)-SUM(CP6,CT6),"")</f>
        <v>26.700000000000003</v>
      </c>
      <c r="DD6" s="79">
        <f>IF(SUM(CX6,DC6)&gt;0,SUM(CX6,DC6),"")</f>
        <v>75.5</v>
      </c>
      <c r="DE6" s="80" t="str">
        <f>IF(K6&gt;=0.001,IF(MAX(EC6,FE6,GG6,HI6,IK6,JM6,KO6,LQ6,MS6,NU6,OW6,PY6)-IF(K6="",0,K6)&gt;0.001,MAX(EC6,FE6,GG6,HI6,IK6,JM6,KO6,LQ6,MS6,NU6,OW6,PY6)-IF(K6="",0,K6),""),"")</f>
        <v/>
      </c>
      <c r="DF6" s="80" t="str">
        <f>IF(O6&gt;=0.001,IF(MAX(ED6,FF6,GH6,HJ6,IL6,JN6,KP6,LR6,MT6,NV6,OX6,PZ6)-IF(O6="",0,O6)&gt;0.001,MAX(ED6,FF6,GH6,HJ6,IL6,JN6,KP6,LR6,MT6,NV6,OX6,PZ6)-IF(O6="",0,O6),""),"")</f>
        <v/>
      </c>
      <c r="DG6" s="80">
        <f>IF(Q6&gt;=0.001,IF(MAX(EH6,FJ6,GL6,HN6,IP6,JR6,KT6,LV6,MX6,NZ6,PB6,QD6)-IF(Q6="",0,Q6)&gt;0.001,MAX(EH6,FJ6,GL6,HN6,IP6,JR6,KT6,LV6,MX6,NZ6,PB6,QD6)-IF(Q6="",0,Q6),""),"")</f>
        <v>25.5</v>
      </c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79" t="str">
        <f>IF(SUM(DI6,DM6)&gt;0,SUM(DI6,DM6),"")</f>
        <v/>
      </c>
      <c r="EC6" s="79" t="str">
        <f>IF(SUM(DH6:DI6,DK6:DM6,DO6)-DJ6-DN6&gt;0,SUM(DH6:DI6,DK6:DM6,DO6)-DJ6-DN6,"")</f>
        <v/>
      </c>
      <c r="ED6" s="79" t="str">
        <f>IF(SUM(DP6:DQ6,DS6)-DR6&gt;0,SUM(DP6:DQ6,DS6)-DR6,"")</f>
        <v/>
      </c>
      <c r="EE6" s="79" t="str">
        <f>IF(SUM(DI6,DM6,DQ6)&gt;0,SUM(DI6,DM6,DQ6),"")</f>
        <v/>
      </c>
      <c r="EF6" s="79" t="str">
        <f>IF(SUM(EC6,ED6)&gt;0,SUM(EC6,ED6),"")</f>
        <v/>
      </c>
      <c r="EG6" s="79" t="str">
        <f>IF(SUM(DU6,DY6)&gt;0,SUM(DU6,DY6),"")</f>
        <v/>
      </c>
      <c r="EH6" s="79" t="str">
        <f>IF(SUM(DT6:DU6,DW6:DY6,EA6)-SUM(DV6,DZ6)&gt;0,SUM(DT6:DU6,DW6:DY6,EA6)-SUM(DV6,DZ6),"")</f>
        <v/>
      </c>
      <c r="EI6" s="79" t="str">
        <f>IF(SUM(EC6,EH6)&gt;0,SUM(EC6,EH6),"")</f>
        <v/>
      </c>
      <c r="EJ6" s="26">
        <v>18.5</v>
      </c>
      <c r="EK6" s="26">
        <v>7.3</v>
      </c>
      <c r="EL6" s="26">
        <v>0</v>
      </c>
      <c r="EM6" s="26">
        <v>0</v>
      </c>
      <c r="EN6" s="26">
        <v>18.399999999999999</v>
      </c>
      <c r="EO6" s="26">
        <v>7.6</v>
      </c>
      <c r="EP6" s="26">
        <v>0</v>
      </c>
      <c r="EQ6" s="26">
        <v>0</v>
      </c>
      <c r="ER6" s="26"/>
      <c r="ES6" s="26"/>
      <c r="ET6" s="26"/>
      <c r="EU6" s="26"/>
      <c r="EV6" s="26">
        <v>17.2</v>
      </c>
      <c r="EW6" s="26">
        <v>4</v>
      </c>
      <c r="EX6" s="26">
        <v>0</v>
      </c>
      <c r="EY6" s="26">
        <v>0</v>
      </c>
      <c r="EZ6" s="26">
        <v>18.399999999999999</v>
      </c>
      <c r="FA6" s="26">
        <v>7.3</v>
      </c>
      <c r="FB6" s="26">
        <v>0.6</v>
      </c>
      <c r="FC6" s="26">
        <v>0</v>
      </c>
      <c r="FD6" s="20">
        <f>IF(SUM(EK6,EO6)&gt;0,SUM(EK6,EO6),"")</f>
        <v>14.899999999999999</v>
      </c>
      <c r="FE6" s="20">
        <f>IF(SUM(EJ6:EK6,EM6:EO6,EQ6)-EL6-EP6&gt;0,SUM(EJ6:EK6,EM6:EO6,EQ6)-EL6-EP6,"")</f>
        <v>51.800000000000004</v>
      </c>
      <c r="FF6" s="20" t="str">
        <f>IF(SUM(ER6:ES6,EU6)-ET6&gt;0,SUM(ER6:ES6,EU6)-ET6,"")</f>
        <v/>
      </c>
      <c r="FG6" s="20">
        <f>IF(SUM(EK6,EO6,ES6)&gt;0,SUM(EK6,EO6,ES6),"")</f>
        <v>14.899999999999999</v>
      </c>
      <c r="FH6" s="20">
        <f>IF(SUM(FE6,FF6)&gt;0,SUM(FE6,FF6),"")</f>
        <v>51.800000000000004</v>
      </c>
      <c r="FI6" s="20">
        <f>IF(SUM(EW6,FA6)&gt;0,SUM(EW6,FA6),"")</f>
        <v>11.3</v>
      </c>
      <c r="FJ6" s="20">
        <f>IF(SUM(EV6:EW6,EY6:FA6,FC6)-SUM(EX6,FB6)&gt;0,SUM(EV6:EW6,EY6:FA6,FC6)-SUM(EX6,FB6),"")</f>
        <v>46.29999999999999</v>
      </c>
      <c r="FK6" s="20">
        <f>IF(SUM(FE6,FJ6)&gt;0,SUM(FE6,FJ6),"")</f>
        <v>98.1</v>
      </c>
      <c r="FL6" s="25">
        <v>18.899999999999999</v>
      </c>
      <c r="FM6" s="25">
        <v>7.2</v>
      </c>
      <c r="FN6" s="25">
        <v>0</v>
      </c>
      <c r="FO6" s="25">
        <v>0</v>
      </c>
      <c r="FP6" s="25">
        <v>18.7</v>
      </c>
      <c r="FQ6" s="25">
        <v>8.5</v>
      </c>
      <c r="FR6" s="25">
        <v>0.2</v>
      </c>
      <c r="FS6" s="25">
        <v>0</v>
      </c>
      <c r="FT6" s="25"/>
      <c r="FU6" s="25"/>
      <c r="FV6" s="25"/>
      <c r="FW6" s="25"/>
      <c r="FX6" s="25">
        <v>18.3</v>
      </c>
      <c r="FY6" s="25">
        <v>8.5</v>
      </c>
      <c r="FZ6" s="25">
        <v>0.2</v>
      </c>
      <c r="GA6" s="25">
        <v>0</v>
      </c>
      <c r="GB6" s="25">
        <v>19</v>
      </c>
      <c r="GC6" s="25">
        <v>7.2</v>
      </c>
      <c r="GD6" s="25">
        <v>0.6</v>
      </c>
      <c r="GE6" s="25">
        <v>0</v>
      </c>
      <c r="GF6" s="79">
        <f>IF(SUM(FM6,FQ6)&gt;0,SUM(FM6,FQ6),"")</f>
        <v>15.7</v>
      </c>
      <c r="GG6" s="79">
        <f>IF(SUM(FL6:FM6,FO6:FQ6,FS6)-FN6-FR6&gt;0,SUM(FL6:FM6,FO6:FQ6,FS6)-FN6-FR6,"")</f>
        <v>53.099999999999994</v>
      </c>
      <c r="GH6" s="79" t="str">
        <f>IF(SUM(FT6:FU6,FW6)-FV6&gt;0,SUM(FT6:FU6,FW6)-FV6,"")</f>
        <v/>
      </c>
      <c r="GI6" s="79">
        <f>IF(SUM(FM6,FQ6,FU6)&gt;0,SUM(FM6,FQ6,FU6),"")</f>
        <v>15.7</v>
      </c>
      <c r="GJ6" s="79">
        <f>IF(SUM(GG6,GH6)&gt;0,SUM(GG6,GH6),"")</f>
        <v>53.099999999999994</v>
      </c>
      <c r="GK6" s="79">
        <f>IF(SUM(FY6,GC6)&gt;0,SUM(FY6,GC6),"")</f>
        <v>15.7</v>
      </c>
      <c r="GL6" s="79">
        <f>IF(SUM(FX6:FY6,GA6:GC6,GE6)-SUM(FZ6,GD6)&gt;0,SUM(FX6:FY6,GA6:GC6,GE6)-SUM(FZ6,GD6),"")</f>
        <v>52.2</v>
      </c>
      <c r="GM6" s="79">
        <f>IF(SUM(GG6,GL6)&gt;0,SUM(GG6,GL6),"")</f>
        <v>105.3</v>
      </c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0" t="str">
        <f>IF(SUM(GO6,GS6)&gt;0,SUM(GO6,GS6),"")</f>
        <v/>
      </c>
      <c r="HI6" s="20" t="str">
        <f>IF(SUM(GN6:GO6,GQ6:GS6,GU6)-GP6-GT6&gt;0,SUM(GN6:GO6,GQ6:GS6,GU6)-GP6-GT6,"")</f>
        <v/>
      </c>
      <c r="HJ6" s="20" t="str">
        <f>IF(SUM(GV6:GW6,GY6)-GX6&gt;0,SUM(GV6:GW6,GY6)-GX6,"")</f>
        <v/>
      </c>
      <c r="HK6" s="20" t="str">
        <f>IF(SUM(GO6,GS6,GW6)&gt;0,SUM(GO6,GS6,GW6),"")</f>
        <v/>
      </c>
      <c r="HL6" s="20" t="str">
        <f>IF(SUM(HI6,HJ6)&gt;0,SUM(HI6,HJ6),"")</f>
        <v/>
      </c>
      <c r="HM6" s="20" t="str">
        <f>IF(SUM(HA6,HE6)&gt;0,SUM(HA6,HE6),"")</f>
        <v/>
      </c>
      <c r="HN6" s="20" t="str">
        <f>IF(SUM(GZ6:HA6,HC6:HE6,HG6)-SUM(HB6,HF6)&gt;0,SUM(GZ6:HA6,HC6:HE6,HG6)-SUM(HB6,HF6),"")</f>
        <v/>
      </c>
      <c r="HO6" s="20" t="str">
        <f>IF(SUM(HI6,HN6)&gt;0,SUM(HI6,HN6),"")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79" t="str">
        <f>IF(SUM(HQ6,HU6)&gt;0,SUM(HQ6,HU6),"")</f>
        <v/>
      </c>
      <c r="IK6" s="79" t="str">
        <f>IF(SUM(HP6:HQ6,HS6:HU6,HW6)-HR6-HV6&gt;0,SUM(HP6:HQ6,HS6:HU6,HW6)-HR6-HV6,"")</f>
        <v/>
      </c>
      <c r="IL6" s="79" t="str">
        <f>IF(SUM(HX6:HY6,IA6)-HZ6&gt;0,SUM(HX6:HY6,IA6)-HZ6,"")</f>
        <v/>
      </c>
      <c r="IM6" s="79" t="str">
        <f>IF(SUM(HQ6,HU6,HY6)&gt;0,SUM(HQ6,HU6,HY6),"")</f>
        <v/>
      </c>
      <c r="IN6" s="79" t="str">
        <f>IF(SUM(IK6,IL6)&gt;0,SUM(IK6,IL6),"")</f>
        <v/>
      </c>
      <c r="IO6" s="79" t="str">
        <f>IF(SUM(IC6,IG6)&gt;0,SUM(IC6,IG6),"")</f>
        <v/>
      </c>
      <c r="IP6" s="79" t="str">
        <f>IF(SUM(IB6:IC6,IE6:IG6,II6)-SUM(ID6,IH6)&gt;0,SUM(IB6:IC6,IE6:IG6,II6)-SUM(ID6,IH6),"")</f>
        <v/>
      </c>
      <c r="IQ6" s="79" t="str">
        <f>IF(SUM(IK6,IP6)&gt;0,SUM(IK6,IP6),"")</f>
        <v/>
      </c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0" t="str">
        <f>IF(SUM(IS6,IW6)&gt;0,SUM(IS6,IW6),"")</f>
        <v/>
      </c>
      <c r="JM6" s="20" t="str">
        <f>IF(SUM(IR6:IS6,IU6:IW6,IY6)-IT6-IX6&gt;0,SUM(IR6:IS6,IU6:IW6,IY6)-IT6-IX6,"")</f>
        <v/>
      </c>
      <c r="JN6" s="20" t="str">
        <f>IF(SUM(IZ6:JA6,JC6)-JB6&gt;0,SUM(IZ6:JA6,JC6)-JB6,"")</f>
        <v/>
      </c>
      <c r="JO6" s="20" t="str">
        <f>IF(SUM(IS6,IW6,JA6)&gt;0,SUM(IS6,IW6,JA6),"")</f>
        <v/>
      </c>
      <c r="JP6" s="20" t="str">
        <f>IF(SUM(JM6,JN6)&gt;0,SUM(JM6,JN6),"")</f>
        <v/>
      </c>
      <c r="JQ6" s="20" t="str">
        <f>IF(SUM(JE6,JI6)&gt;0,SUM(JE6,JI6),"")</f>
        <v/>
      </c>
      <c r="JR6" s="20" t="str">
        <f>IF(SUM(JD6:JE6,JG6:JI6,JK6)-SUM(JF6,JJ6)&gt;0,SUM(JD6:JE6,JG6:JI6,JK6)-SUM(JF6,JJ6),"")</f>
        <v/>
      </c>
      <c r="JS6" s="20" t="str">
        <f>IF(SUM(JM6,JR6)&gt;0,SUM(JM6,JR6),"")</f>
        <v/>
      </c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79" t="str">
        <f>IF(SUM(JU6,JY6)&gt;0,SUM(JU6,JY6),"")</f>
        <v/>
      </c>
      <c r="KO6" s="79" t="str">
        <f>IF(SUM(JT6:JU6,JW6:JY6,KA6)-JV6-JZ6&gt;0,SUM(JT6:JU6,JW6:JY6,KA6)-JV6-JZ6,"")</f>
        <v/>
      </c>
      <c r="KP6" s="79" t="str">
        <f>IF(SUM(KB6:KC6,KE6)-KD6&gt;0,SUM(KB6:KC6,KE6)-KD6,"")</f>
        <v/>
      </c>
      <c r="KQ6" s="79" t="str">
        <f>IF(SUM(JU6,JY6,KC6)&gt;0,SUM(JU6,JY6,KC6),"")</f>
        <v/>
      </c>
      <c r="KR6" s="79" t="str">
        <f>IF(SUM(KO6,KP6)&gt;0,SUM(KO6,KP6),"")</f>
        <v/>
      </c>
      <c r="KS6" s="79" t="str">
        <f>IF(SUM(KG6,KK6)&gt;0,SUM(KG6,KK6),"")</f>
        <v/>
      </c>
      <c r="KT6" s="79" t="str">
        <f>IF(SUM(KF6:KG6,KI6:KK6,KM6)-SUM(KH6,KL6)&gt;0,SUM(KF6:KG6,KI6:KK6,KM6)-SUM(KH6,KL6),"")</f>
        <v/>
      </c>
      <c r="KU6" s="79" t="str">
        <f>IF(SUM(KO6,KT6)&gt;0,SUM(KO6,KT6),"")</f>
        <v/>
      </c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0" t="str">
        <f>IF(SUM(KW6,LA6)&gt;0,SUM(KW6,LA6),"")</f>
        <v/>
      </c>
      <c r="LQ6" s="20" t="str">
        <f>IF(SUM(KV6:KW6,KY6:LA6,LC6)-KX6-LB6&gt;0,SUM(KV6:KW6,KY6:LA6,LC6)-KX6-LB6,"")</f>
        <v/>
      </c>
      <c r="LR6" s="20" t="str">
        <f>IF(SUM(LD6:LE6,LG6)-LF6&gt;0,SUM(LD6:LE6,LG6)-LF6,"")</f>
        <v/>
      </c>
      <c r="LS6" s="20" t="str">
        <f>IF(SUM(KW6,LA6,LE6)&gt;0,SUM(KW6,LA6,LE6),"")</f>
        <v/>
      </c>
      <c r="LT6" s="20" t="str">
        <f>IF(SUM(LQ6,LR6)&gt;0,SUM(LQ6,LR6),"")</f>
        <v/>
      </c>
      <c r="LU6" s="20" t="str">
        <f>IF(SUM(LI6,LM6)&gt;0,SUM(LI6,LM6),"")</f>
        <v/>
      </c>
      <c r="LV6" s="20" t="str">
        <f>IF(SUM(LH6:LI6,LK6:LM6,LO6)-SUM(LJ6,LN6)&gt;0,SUM(LH6:LI6,LK6:LM6,LO6)-SUM(LJ6,LN6),"")</f>
        <v/>
      </c>
      <c r="LW6" s="20" t="str">
        <f>IF(SUM(LQ6,LV6)&gt;0,SUM(LQ6,LV6),"")</f>
        <v/>
      </c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79" t="str">
        <f>IF(SUM(LY6,MC6)&gt;0,SUM(LY6,MC6),"")</f>
        <v/>
      </c>
      <c r="MS6" s="79" t="str">
        <f>IF(SUM(LX6:LY6,MA6:MC6,ME6)-LZ6-MD6&gt;0,SUM(LX6:LY6,MA6:MC6,ME6)-LZ6-MD6,"")</f>
        <v/>
      </c>
      <c r="MT6" s="79" t="str">
        <f>IF(SUM(MF6:MG6,MI6)-MH6&gt;0,SUM(MF6:MG6,MI6)-MH6,"")</f>
        <v/>
      </c>
      <c r="MU6" s="79" t="str">
        <f>IF(SUM(LY6,MC6,MG6)&gt;0,SUM(LY6,MC6,MG6),"")</f>
        <v/>
      </c>
      <c r="MV6" s="79" t="str">
        <f>IF(SUM(MS6,MT6)&gt;0,SUM(MS6,MT6),"")</f>
        <v/>
      </c>
      <c r="MW6" s="79" t="str">
        <f>IF(SUM(MK6,MO6)&gt;0,SUM(MK6,MO6),"")</f>
        <v/>
      </c>
      <c r="MX6" s="79" t="str">
        <f>IF(SUM(MJ6:MK6,MM6:MO6,MQ6)-SUM(ML6,MP6)&gt;0,SUM(MJ6:MK6,MM6:MO6,MQ6)-SUM(ML6,MP6),"")</f>
        <v/>
      </c>
      <c r="MY6" s="79" t="str">
        <f>IF(SUM(MS6,MX6)&gt;0,SUM(MS6,MX6),"")</f>
        <v/>
      </c>
      <c r="MZ6" s="26"/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0" t="str">
        <f>IF(SUM(NA6,NE6)&gt;0,SUM(NA6,NE6),"")</f>
        <v/>
      </c>
      <c r="NU6" s="20" t="str">
        <f>IF(SUM(MZ6:NA6,NC6:NE6,NG6)-NB6-NF6&gt;0,SUM(MZ6:NA6,NC6:NE6,NG6)-NB6-NF6,"")</f>
        <v/>
      </c>
      <c r="NV6" s="20" t="str">
        <f>IF(SUM(NH6:NI6,NK6)-NJ6&gt;0,SUM(NH6:NI6,NK6)-NJ6,"")</f>
        <v/>
      </c>
      <c r="NW6" s="20" t="str">
        <f>IF(SUM(NA6,NE6,NI6)&gt;0,SUM(NA6,NE6,NI6),"")</f>
        <v/>
      </c>
      <c r="NX6" s="20" t="str">
        <f>IF(SUM(NU6,NV6)&gt;0,SUM(NU6,NV6),"")</f>
        <v/>
      </c>
      <c r="NY6" s="20" t="str">
        <f>IF(SUM(NM6,NQ6)&gt;0,SUM(NM6,NQ6),"")</f>
        <v/>
      </c>
      <c r="NZ6" s="20" t="str">
        <f>IF(SUM(NL6:NM6,NO6:NQ6,NS6)-SUM(NN6,NR6)&gt;0,SUM(NL6:NM6,NO6:NQ6,NS6)-SUM(NN6,NR6),"")</f>
        <v/>
      </c>
      <c r="OA6" s="20" t="str">
        <f>IF(SUM(NU6,NZ6)&gt;0,SUM(NU6,NZ6),"")</f>
        <v/>
      </c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79" t="str">
        <f>IF(SUM(OC6,OG6)&gt;0,SUM(OC6,OG6),"")</f>
        <v/>
      </c>
      <c r="OW6" s="79" t="str">
        <f>IF(SUM(OB6:OC6,OE6:OG6,OI6)-OD6-OH6&gt;0,SUM(OB6:OC6,OE6:OG6,OI6)-OD6-OH6,"")</f>
        <v/>
      </c>
      <c r="OX6" s="79" t="str">
        <f>IF(SUM(OJ6:OK6,OM6)-OL6&gt;0,SUM(OJ6:OK6,OM6)-OL6,"")</f>
        <v/>
      </c>
      <c r="OY6" s="79" t="str">
        <f>IF(SUM(OC6,OG6,OK6)&gt;0,SUM(OC6,OG6,OK6),"")</f>
        <v/>
      </c>
      <c r="OZ6" s="79" t="str">
        <f>IF(SUM(OW6,OX6)&gt;0,SUM(OW6,OX6),"")</f>
        <v/>
      </c>
      <c r="PA6" s="79" t="str">
        <f>IF(SUM(OO6,OS6)&gt;0,SUM(OO6,OS6),"")</f>
        <v/>
      </c>
      <c r="PB6" s="79" t="str">
        <f>IF(SUM(ON6:OO6,OQ6:OS6,OU6)-SUM(OP6,OT6)&gt;0,SUM(ON6:OO6,OQ6:OS6,OU6)-SUM(OP6,OT6),"")</f>
        <v/>
      </c>
      <c r="PC6" s="79" t="str">
        <f>IF(SUM(OW6,PB6)&gt;0,SUM(OW6,PB6),"")</f>
        <v/>
      </c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0" t="str">
        <f>IF(SUM(PE6,PI6)&gt;0,SUM(PE6,PI6),"")</f>
        <v/>
      </c>
      <c r="PY6" s="20" t="str">
        <f>IF(SUM(PD6:PE6,PG6:PI6,PK6)-PF6-PJ6&gt;0,SUM(PD6:PE6,PG6:PI6,PK6)-PF6-PJ6,"")</f>
        <v/>
      </c>
      <c r="PZ6" s="20" t="str">
        <f>IF(SUM(PL6:PM6,PO6)-PN6&gt;0,SUM(PL6:PM6,PO6)-PN6,"")</f>
        <v/>
      </c>
      <c r="QA6" s="20" t="str">
        <f>IF(SUM(PE6,PI6,PM6)&gt;0,SUM(PE6,PI6,PM6),"")</f>
        <v/>
      </c>
      <c r="QB6" s="20" t="str">
        <f>IF(SUM(PY6,PZ6)&gt;0,SUM(PY6,PZ6),"")</f>
        <v/>
      </c>
      <c r="QC6" s="20" t="str">
        <f>IF(SUM(PQ6,PU6)&gt;0,SUM(PQ6,PU6),"")</f>
        <v/>
      </c>
      <c r="QD6" s="20" t="str">
        <f>IF(SUM(PP6:PQ6,PS6:PU6,PW6)-SUM(PR6,PV6)&gt;0,SUM(PP6:PQ6,PS6:PU6,PW6)-SUM(PR6,PV6),"")</f>
        <v/>
      </c>
      <c r="QE6" s="20" t="str">
        <f>IF(SUM(PY6,QD6)&gt;0,SUM(PY6,QD6),"")</f>
        <v/>
      </c>
      <c r="QF6" s="38">
        <f>IF($CV6="P",CB6,(CB6+AY6)/2)</f>
        <v>9.35</v>
      </c>
      <c r="QG6" s="38">
        <f>IF($CV6="P",CC6,(CC6+AZ6)/2)</f>
        <v>3.65</v>
      </c>
      <c r="QH6" s="38">
        <f>IF($CV6="P",CD6,(CD6+BA6)/2)</f>
        <v>0.3</v>
      </c>
      <c r="QI6" s="38">
        <f>IF($CV6="P",CE6,(CE6+BB6)/2)</f>
        <v>0</v>
      </c>
      <c r="QJ6" s="38">
        <f>IF($CV6="P",CF6,(CF6+BC6)/2)</f>
        <v>8.9</v>
      </c>
      <c r="QK6" s="38">
        <f>IF($CV6="P",CG6,(CG6+BD6)/2)</f>
        <v>3.2</v>
      </c>
      <c r="QL6" s="38">
        <f>IF($CV6="P",CH6,(CH6+BE6)/2)</f>
        <v>0.4</v>
      </c>
      <c r="QM6" s="38">
        <f>IF($CV6="P",CI6,(CI6+BF6)/2)</f>
        <v>0</v>
      </c>
      <c r="QN6" s="38">
        <f>IF($CV6="P",CJ6,(CJ6+BG6)/2)</f>
        <v>9.25</v>
      </c>
      <c r="QO6" s="38">
        <f>IF($CV6="P",CK6,(CK6+BH6)/2)</f>
        <v>3.8</v>
      </c>
      <c r="QP6" s="38">
        <f>IF($CV6="P",CL6,(CL6+BI6)/2)</f>
        <v>0.3</v>
      </c>
      <c r="QQ6" s="38">
        <f>IF($CV6="P",CM6,(CM6+BJ6)/2)</f>
        <v>0</v>
      </c>
      <c r="QR6" s="38">
        <f>IF($CV6="P",CN6,(CN6+BK6)/2)</f>
        <v>9.25</v>
      </c>
      <c r="QS6" s="38">
        <f>IF($CV6="P",CO6,(CO6+BL6)/2)</f>
        <v>4.05</v>
      </c>
      <c r="QT6" s="38">
        <f>IF($CV6="P",CP6,(CP6+BM6)/2)</f>
        <v>0.1</v>
      </c>
      <c r="QU6" s="38">
        <f>IF($CV6="P",CQ6,(CQ6+BN6)/2)</f>
        <v>0.15</v>
      </c>
      <c r="QV6" s="38">
        <f>IF($CV6="P",CR6,(CR6+BO6)/2)</f>
        <v>0</v>
      </c>
      <c r="QW6" s="38">
        <f>IF($CV6="P",CS6,(CS6+BP6)/2)</f>
        <v>0</v>
      </c>
      <c r="QX6" s="38">
        <f>IF($CV6="P",CT6,(CT6+BQ6)/2)</f>
        <v>0</v>
      </c>
      <c r="QY6" s="38">
        <f>IF($CV6="P",CU6,(CU6+BR6)/2)</f>
        <v>0</v>
      </c>
      <c r="QZ6" s="45" t="s">
        <v>46</v>
      </c>
      <c r="RA6" s="79">
        <f>IF(SUM(QG6,QK6)&gt;0,SUM(QG6,QK6),"")</f>
        <v>6.85</v>
      </c>
      <c r="RB6" s="79">
        <f>IF(SUM(QF6:QG6,QI6:QK6,QM6)-QH6-QL6&gt;0,SUM(QF6:QG6,QI6:QK6,QM6)-QH6-QL6,"")</f>
        <v>24.4</v>
      </c>
      <c r="RC6" s="79">
        <f>IF(SUM(QN6:QO6,QQ6)-QP6&gt;0,SUM(QN6:QO6,QQ6)-QP6,"")</f>
        <v>12.75</v>
      </c>
      <c r="RD6" s="79">
        <f>IF(SUM(QG6,QK6,QO6)&gt;0,SUM(QG6,QK6,QO6),"")</f>
        <v>10.649999999999999</v>
      </c>
      <c r="RE6" s="79">
        <f>IF(SUM(RB6,RC6)&gt;0,SUM(RB6,RC6),"")</f>
        <v>37.15</v>
      </c>
      <c r="RF6" s="79">
        <f>IF(SUM(QS6,QW6)&gt;0,SUM(QS6,QW6),"")</f>
        <v>4.05</v>
      </c>
      <c r="RG6" s="79">
        <f>IF(SUM(QR6:QS6,QU6:QW6,QY6)-SUM(QT6,QX6)&gt;0,SUM(QR6:QS6,QU6:QW6,QY6)-SUM(QT6,QX6),"")</f>
        <v>13.350000000000001</v>
      </c>
      <c r="RH6" s="79">
        <f>IF(SUM(RB6,RG6)&gt;0,SUM(RB6,RG6),"")</f>
        <v>37.75</v>
      </c>
    </row>
    <row r="7" spans="1:476" x14ac:dyDescent="0.2">
      <c r="A7" s="5">
        <f>IF(AND(F7="P",G7="P"),SUMPRODUCT((F$4:F$27="P")*(G$4:G$27="P")*(E$4:E$27&gt;E7))+1,IF(G7="P",SUMPRODUCT((F$4:F$27="")*(G$4:G$27="P")*(E$4:E$27&gt;E7))+1+SUMPRODUCT((F$4:F$27="P")*(G$4:G$27="P")),""))</f>
        <v>4</v>
      </c>
      <c r="B7" s="78" t="s">
        <v>88</v>
      </c>
      <c r="C7" s="5" t="s">
        <v>4</v>
      </c>
      <c r="D7" s="5">
        <v>2004</v>
      </c>
      <c r="E7" s="15">
        <f>SUM(I7:S7)+SUM(I7:O7)*0.0000001+SUM(I7)*0.0000000000001</f>
        <v>122.90010731001487</v>
      </c>
      <c r="F7" s="3" t="str">
        <f>IF(OR(AND(AQ7&gt;=AX$29,AR7&gt;=AX$33,AQ7&lt;&gt;"",AP7=""),AND(AV7&gt;=AX$29,AW7&gt;=AX$33,AV7&lt;&gt;"",AP7=""),AND(BT7&gt;=CA$29,BU7&gt;=CA$33,BT7&lt;&gt;"",BS7=""),AND(BY7&gt;=CA$29,BZ7&gt;=CA$33,BY7&lt;&gt;"",BS7=""),AND(CW7&gt;=DD$29,CX7&gt;=DD$33,CW7&lt;&gt;"",CV7=""),AND(DB7&gt;=DD$29,DC7&gt;=DD$33,DB7&lt;&gt;""),AND(EB7&gt;=EI$29,EC7&gt;=EI$33,EB7&lt;&gt;""),AND(EG7&gt;=EI$29,EH7&gt;=EI$33,EG7&lt;&gt;""),AND(FD7&gt;=FK$29,FE7&gt;=FK$33,FD7&lt;&gt;""),AND(FI7&gt;=FK$29,FJ7&gt;=FK$33,FI7&lt;&gt;""),AND(GF7&gt;=GM$29,GG7&gt;=GM$33,GF7&lt;&gt;""),AND(GK7&gt;=GM$29,GL7&gt;=GM$33,GK7&lt;&gt;""),AND(HH7&gt;=HO$29,HI7&gt;=HO$33,HH7&lt;&gt;""),AND(HM7&gt;=HO$29,HN7&gt;=HO$33,HM7&lt;&gt;""),AND(IJ7&gt;=IQ$29,IK7&gt;=IQ$33,IJ7&lt;&gt;""),AND(IO7&gt;=IQ$29,IP7&gt;=IQ$33,IO7&lt;&gt;""),AND(JL7&gt;=JS$29,JM7&gt;=JS$33,JL7&lt;&gt;""),AND(JQ7&gt;=JS$29,JR7&gt;=JS$33,JQ7&lt;&gt;""),AND(KN7&gt;=KU$29,KO7&gt;=KU$33,KN7&lt;&gt;""),AND(KS7&gt;=KU$29,KT7&gt;=KU$33,KS7&lt;&gt;""),AND(LP7&gt;=LW$29,LQ7&gt;=LW$33,LP7&lt;&gt;""),AND(LU7&gt;=LW$29,LV7&gt;=LW$33,LU7&lt;&gt;""),AND(MR7&gt;=MY$29,MS7&gt;=MY$33,MR7&lt;&gt;""),AND(MW7&gt;=MY$29,MX7&gt;=MY$33,MW7&lt;&gt;""),AND(NT7&gt;=OA$29,NU7&gt;=OA$33,NT7&lt;&gt;""),AND(NY7&gt;=OA$29,NZ7&gt;=OA$33,NY7&lt;&gt;""),AND(OV7&gt;=PC$29,OW7&gt;=PC$33,OV7&lt;&gt;""),AND(PA7&gt;=PC$29,PB7&gt;=PC$33,PA7&lt;&gt;""),AND(PX7&gt;=QE$29,PY7&gt;=QE$33,PX7&lt;&gt;""),AND(QC7&gt;=QE$29,QD7&gt;=QE$33,QC7&lt;&gt;"")),"P","")</f>
        <v>P</v>
      </c>
      <c r="G7" s="3" t="str">
        <f>IF(OR(AND(AR7&gt;=AX$33,AR7&lt;&gt;"",AP7=""),AND(AW7&gt;=AX$33,AW7&lt;&gt;"",AP7=""),AND(BU7&gt;=CA$33,BU7&lt;&gt;"",BS7=""),AND(BZ7&gt;=CA$33,BZ7&lt;&gt;"",BS7=""),AND(CX7&gt;=DD$33,CX7&lt;&gt;"",CV7=""),AND(DC7&gt;=DD$33,DC7&lt;&gt;"",CV7=""),AND(EC7&gt;=EI$33,EC7&lt;&gt;""),AND(EH7&gt;=EI$33,EH7&lt;&gt;""),AND(FE7&gt;=FK$33,FE7&lt;&gt;""),AND(FJ7&gt;=FK$33,FJ7&lt;&gt;""),AND(GG7&gt;=GM$33,GG7&lt;&gt;""),AND(GL7&gt;=GM$33,GL7&lt;&gt;""),AND(HI7&gt;=HO$33,HI7&lt;&gt;""),AND(HN7&gt;=HO$33,HN7&lt;&gt;""),AND(IK7&gt;=IQ$33,IK7&lt;&gt;""),AND(IP7&gt;=IQ$33,IP7&lt;&gt;""),AND(JM7&gt;=JS$33,JM7&lt;&gt;""),AND(JR7&gt;=JS$33,JR7&lt;&gt;""),AND(KO7&gt;=KU$33,KO7&lt;&gt;""),AND(KT7&gt;=KU$33,KT7&lt;&gt;""),AND(LQ7&gt;=LW$33,LQ7&lt;&gt;""),AND(LV7&gt;=LW$33,LV7&lt;&gt;""),AND(MS7&gt;=MY$33,MS7&lt;&gt;""),AND(MX7&gt;=MY$33,MX7&lt;&gt;""),AND(NU7&gt;=OA$33,NU7&lt;&gt;""),AND(NZ7&gt;=OA$33,NZ7&lt;&gt;""),AND(OW7&gt;=PC$33,OW7&lt;&gt;""),AND(PB7&gt;=PC$33,PB7&lt;&gt;""),AND(PY7&gt;=QE$33,PY7&lt;&gt;""),AND(QD7&gt;=QE$33,QD7&lt;&gt;"")),"P","")</f>
        <v>P</v>
      </c>
      <c r="H7" s="67" t="str">
        <f>IF(AND(G7="P",F7=""),"No DD",IF(OR(AND(AT7&gt;=AX$32,AU7&gt;=AX$36,AT7&lt;&gt;"",AP7=""),AND(BW7&gt;=CA$32,BX7&gt;=CA$36,BW7&lt;&gt;"",BS7=""),AND(CZ7&gt;=DD$32,DA7&gt;=DD$36,CZ7&lt;&gt;"",CV7=""),AND(EE7&gt;=EI$32,EF7&gt;=EI$36,EE7&lt;&gt;""),AND(FG7&gt;=FK$32,FH7&gt;=FK$36,FG7&lt;&gt;""),AND(GI7&gt;=GM$32,GJ7&gt;=GM$36,GI7&lt;&gt;""),AND(HK7&gt;=HO$32,HL7&gt;=HO$36,HK7&lt;&gt;""),AND(IM7&gt;=IQ$32,IN7&gt;=IQ$36,IM7&lt;&gt;""),AND(JO7&gt;=JS$32,JP7&gt;=JS$36,JO7&lt;&gt;""),AND(KQ7&gt;=KU$32,KR7&gt;=KU$36,KQ7&lt;&gt;""),AND(LS7&gt;=LW$32,LT7&gt;=LW$36,LS7&lt;&gt;""),AND(MU7&gt;=MY$32,MV7&gt;=MY$36,MU7&lt;&gt;""),AND(NW7&gt;=OA$32,NX7&gt;=OA$36,NW7&lt;&gt;""),AND(OY7&gt;=PC$32,OZ7&gt;=PC$36,OY7&lt;&gt;""),AND(QA7&gt;=QE$32,QB7&gt;=QE$36,QA7&lt;&gt;"")),"Merit",IF(OR(AND(AT7&gt;=AX$31,AU7&gt;=AX$35,AT7&lt;&gt;"",AP7=""),AND(BW7&gt;=CA$31,BX7&gt;=CA$35,BW7&lt;&gt;"",BS7=""),AND(CZ7&gt;=DD$31,DA7&gt;=DD$35,CZ7&lt;&gt;"",CV7=""),AND(EE7&gt;=EI$31,EF7&gt;=EI$35,EE7&lt;&gt;""),AND(FG7&gt;=FK$31,FH7&gt;=FK$35,FG7&lt;&gt;""),AND(GI7&gt;=GM$31,GJ7&gt;=GM$35,GI7&lt;&gt;""),AND(HK7&gt;=HO$31,HL7&gt;=HO$35,HK7&lt;&gt;""),AND(IM7&gt;=IQ$31,IN7&gt;=IQ$35,IM7&lt;&gt;""),AND(JO7&gt;=JS$31,JP7&gt;=JS$35,JO7&lt;&gt;""),AND(KQ7&gt;=KU$31,KR7&gt;=KU$35,KQ7&lt;&gt;""),AND(LS7&gt;=LW$31,LT7&gt;=LW$35,LS7&lt;&gt;""),AND(MU7&gt;=MY$31,MV7&gt;=MY$35,MU7&lt;&gt;""),AND(NW7&gt;=OA$31,NX7&gt;=OA$35,NW7&lt;&gt;""),AND(OY7&gt;=PC$31,OZ7&gt;=PC$35,OY7&lt;&gt;""),AND(QA7&gt;=QE$31,QB7&gt;=QE$35,QA7&lt;&gt;"")),"Excellence",IF(F7="P","National Team",""))))</f>
        <v>National Team</v>
      </c>
      <c r="I7" s="14">
        <f>IF(COUNT(AR7,BU7,CX7)&gt;0,LARGE((AR7,BU7,CX7),1),0)</f>
        <v>48.8</v>
      </c>
      <c r="J7" s="14" t="str">
        <f>IF(I7=0,"",IF(I7=CX7,$CB$1,IF(I7=BU7,$AY$1,IF(I7=AR7,$V$1,""))))</f>
        <v>2022 Elite Canada</v>
      </c>
      <c r="K7" s="14">
        <f>IF(COUNT(AR7,BU7,CX7)&gt;1,LARGE((AR7,BU7,CX7),2),0)</f>
        <v>1E-4</v>
      </c>
      <c r="L7" s="14" t="str">
        <f>IF(K7=0,"",IF(K7=CX7,$CB$1,IF(K7=BU7,$AY$1,IF(K7=AR7,$V$1,""))))</f>
        <v>2021 Canadian Championships</v>
      </c>
      <c r="M7" s="14">
        <f>IF(COUNT(AS7,BV7,CY7)&gt;0,LARGE((AS7,BV7,CY7),1),0)</f>
        <v>24.3</v>
      </c>
      <c r="N7" s="14" t="str">
        <f>IF(M7=0,"",IF(M7=CY7,$CB$1,IF(M7=BV7,$AY$1,IF(M7=AS7,$V$1,""))))</f>
        <v>2022 Elite Canada</v>
      </c>
      <c r="O7" s="14">
        <f>IF(COUNT(AS7,BV7,CY7)&gt;1,LARGE((AS7,BV7,CY7),2),0)</f>
        <v>0</v>
      </c>
      <c r="P7" s="14" t="str">
        <f>IF(O7=0,"",IF(O7=CY7,$CB$1,IF(O7=BV7,$AY$1,IF(O7=AS7,$V$1,""))))</f>
        <v/>
      </c>
      <c r="Q7" s="14">
        <f>IF(MAX(AW7,BZ7,DC7)&gt;0,MAX(AW7,BZ7,DC7),0)</f>
        <v>49.8</v>
      </c>
      <c r="R7" s="14" t="str">
        <f>IF(Q7=0,"",IF(Q7=DC7,$CB$1,IF(Q7=BZ7,$AY$1,IF(Q7=AW7,$V$1,""))))</f>
        <v>2022 Elite Canada</v>
      </c>
      <c r="S7" s="14" t="str">
        <f>IF(MAX(DE7:DG7)&gt;0,MAX(DE7:DG7),"")</f>
        <v/>
      </c>
      <c r="T7" s="20" t="str">
        <f>IF(S7="","",IF(S7=DE7,"("&amp;DE$2&amp;")",IF(S7=DG7,"("&amp;DG$2&amp;")")))</f>
        <v/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/>
      </c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45"/>
      <c r="AQ7" s="79" t="str">
        <f>IF(SUM(W7,AA7)&gt;0,SUM(W7,AA7),"")</f>
        <v/>
      </c>
      <c r="AR7" s="79" t="str">
        <f>IF(SUM(V7:W7,Y7:AA7,AC7)-X7-AB7&gt;0,SUM(V7:W7,Y7:AA7,AC7)-X7-AB7,"")</f>
        <v/>
      </c>
      <c r="AS7" s="79" t="str">
        <f>IF(SUM(AD7:AE7,AG7)-AF7&gt;0,SUM(AD7:AE7,AG7)-AF7,"")</f>
        <v/>
      </c>
      <c r="AT7" s="79" t="str">
        <f>IF(SUM(W7,AA7,AE7)&gt;0,SUM(W7,AA7,AE7),"")</f>
        <v/>
      </c>
      <c r="AU7" s="79" t="str">
        <f>IF(SUM(AR7,AS7)&gt;0,SUM(AR7,AS7),"")</f>
        <v/>
      </c>
      <c r="AV7" s="79" t="str">
        <f>IF(SUM(AI7,AM7)&gt;0,SUM(AI7,AM7),"")</f>
        <v/>
      </c>
      <c r="AW7" s="79" t="str">
        <f>IF(SUM(AH7:AI7,AK7:AM7,AO7)-SUM(AJ7,AN7)&gt;0,SUM(AH7:AI7,AK7:AM7,AO7)-SUM(AJ7,AN7),"")</f>
        <v/>
      </c>
      <c r="AX7" s="79" t="str">
        <f>IF(SUM(AR7,AW7)&gt;0,SUM(AR7,AW7),"")</f>
        <v/>
      </c>
      <c r="AY7" s="26"/>
      <c r="AZ7" s="26">
        <v>1E-4</v>
      </c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46"/>
      <c r="BT7" s="20">
        <f>IF(SUM(AZ7,BD7)&gt;0,SUM(AZ7,BD7),"")</f>
        <v>1E-4</v>
      </c>
      <c r="BU7" s="20">
        <f>IF(SUM(AY7:AZ7,BB7:BD7,BF7)-BA7-BE7&gt;0,SUM(AY7:AZ7,BB7:BD7,BF7)-BA7-BE7,"")</f>
        <v>1E-4</v>
      </c>
      <c r="BV7" s="20" t="str">
        <f>IF(SUM(BG7:BH7,BJ7)-BI7&gt;0,SUM(BG7:BH7,BJ7)-BI7,"")</f>
        <v/>
      </c>
      <c r="BW7" s="20">
        <f>IF(SUM(AZ7,BD7,BH7)&gt;0,SUM(AZ7,BD7,BH7),"")</f>
        <v>1E-4</v>
      </c>
      <c r="BX7" s="20">
        <f>IF(SUM(BU7,BV7)&gt;0,SUM(BU7,BV7),"")</f>
        <v>1E-4</v>
      </c>
      <c r="BY7" s="20" t="str">
        <f>IF(SUM(BL7,BP7)&gt;0,SUM(BL7,BP7),"")</f>
        <v/>
      </c>
      <c r="BZ7" s="20" t="str">
        <f>IF(SUM(BK7:BL7,BN7:BP7,BR7)-SUM(BM7,BQ7)&gt;0,SUM(BK7:BL7,BN7:BP7,BR7)-SUM(BM7,BQ7),"")</f>
        <v/>
      </c>
      <c r="CA7" s="20">
        <f>IF(SUM(BU7,BZ7)&gt;0,SUM(BU7,BZ7),"")</f>
        <v>1E-4</v>
      </c>
      <c r="CB7" s="27">
        <v>18.7</v>
      </c>
      <c r="CC7" s="27">
        <v>6.8</v>
      </c>
      <c r="CD7" s="27">
        <v>0.6</v>
      </c>
      <c r="CE7" s="27">
        <v>0</v>
      </c>
      <c r="CF7" s="27">
        <v>18.899999999999999</v>
      </c>
      <c r="CG7" s="27">
        <v>5.6</v>
      </c>
      <c r="CH7" s="27">
        <v>0.6</v>
      </c>
      <c r="CI7" s="27">
        <v>0</v>
      </c>
      <c r="CJ7" s="27">
        <v>18.5</v>
      </c>
      <c r="CK7" s="27">
        <v>6</v>
      </c>
      <c r="CL7" s="27">
        <v>0.2</v>
      </c>
      <c r="CM7" s="27">
        <v>0</v>
      </c>
      <c r="CN7" s="27">
        <v>18.7</v>
      </c>
      <c r="CO7" s="27">
        <v>6.8</v>
      </c>
      <c r="CP7" s="27">
        <v>0.8</v>
      </c>
      <c r="CQ7" s="27">
        <v>0</v>
      </c>
      <c r="CR7" s="27">
        <v>19.3</v>
      </c>
      <c r="CS7" s="27">
        <v>6.4</v>
      </c>
      <c r="CT7" s="27">
        <v>0.6</v>
      </c>
      <c r="CU7" s="27">
        <v>0</v>
      </c>
      <c r="CV7" s="45"/>
      <c r="CW7" s="79">
        <f>IF(SUM(CC7,CG7)&gt;0,SUM(CC7,CG7),"")</f>
        <v>12.399999999999999</v>
      </c>
      <c r="CX7" s="79">
        <f>IF(SUM(CB7:CC7,CE7:CG7,CI7)-CD7-CH7&gt;0,SUM(CB7:CC7,CE7:CG7,CI7)-CD7-CH7,"")</f>
        <v>48.8</v>
      </c>
      <c r="CY7" s="79">
        <f>IF(SUM(CJ7:CK7,CM7)-CL7&gt;0,SUM(CJ7:CK7,CM7)-CL7,"")</f>
        <v>24.3</v>
      </c>
      <c r="CZ7" s="79">
        <f>IF(SUM(CC7,CG7,CK7)&gt;0,SUM(CC7,CG7,CK7),"")</f>
        <v>18.399999999999999</v>
      </c>
      <c r="DA7" s="79">
        <f>IF(SUM(CX7,CY7)&gt;0,SUM(CX7,CY7),"")</f>
        <v>73.099999999999994</v>
      </c>
      <c r="DB7" s="79">
        <f>IF(SUM(CO7,CS7)&gt;0,SUM(CO7,CS7),"")</f>
        <v>13.2</v>
      </c>
      <c r="DC7" s="79">
        <f>IF(SUM(CN7:CO7,CQ7:CS7,CU7)-SUM(CP7,CT7)&gt;0,SUM(CN7:CO7,CQ7:CS7,CU7)-SUM(CP7,CT7),"")</f>
        <v>49.8</v>
      </c>
      <c r="DD7" s="79">
        <f>IF(SUM(CX7,DC7)&gt;0,SUM(CX7,DC7),"")</f>
        <v>98.6</v>
      </c>
      <c r="DE7" s="80" t="str">
        <f>IF(K7&gt;=0.001,IF(MAX(EC7,FE7,GG7,HI7,IK7,JM7,KO7,LQ7,MS7,NU7,OW7,PY7)-IF(K7="",0,K7)&gt;0.001,MAX(EC7,FE7,GG7,HI7,IK7,JM7,KO7,LQ7,MS7,NU7,OW7,PY7)-IF(K7="",0,K7),""),"")</f>
        <v/>
      </c>
      <c r="DF7" s="80" t="str">
        <f>IF(O7&gt;=0.001,IF(MAX(ED7,FF7,GH7,HJ7,IL7,JN7,KP7,LR7,MT7,NV7,OX7,PZ7)-IF(O7="",0,O7)&gt;0.001,MAX(ED7,FF7,GH7,HJ7,IL7,JN7,KP7,LR7,MT7,NV7,OX7,PZ7)-IF(O7="",0,O7),""),"")</f>
        <v/>
      </c>
      <c r="DG7" s="80" t="str">
        <f>IF(Q7&gt;=0.001,IF(MAX(EH7,FJ7,GL7,HN7,IP7,JR7,KT7,LV7,MX7,NZ7,PB7,QD7)-IF(Q7="",0,Q7)&gt;0.001,MAX(EH7,FJ7,GL7,HN7,IP7,JR7,KT7,LV7,MX7,NZ7,PB7,QD7)-IF(Q7="",0,Q7),""),"")</f>
        <v/>
      </c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79" t="str">
        <f>IF(SUM(DI7,DM7)&gt;0,SUM(DI7,DM7),"")</f>
        <v/>
      </c>
      <c r="EC7" s="79" t="str">
        <f>IF(SUM(DH7:DI7,DK7:DM7,DO7)-DJ7-DN7&gt;0,SUM(DH7:DI7,DK7:DM7,DO7)-DJ7-DN7,"")</f>
        <v/>
      </c>
      <c r="ED7" s="79" t="str">
        <f>IF(SUM(DP7:DQ7,DS7)-DR7&gt;0,SUM(DP7:DQ7,DS7)-DR7,"")</f>
        <v/>
      </c>
      <c r="EE7" s="79" t="str">
        <f>IF(SUM(DI7,DM7,DQ7)&gt;0,SUM(DI7,DM7,DQ7),"")</f>
        <v/>
      </c>
      <c r="EF7" s="79" t="str">
        <f>IF(SUM(EC7,ED7)&gt;0,SUM(EC7,ED7),"")</f>
        <v/>
      </c>
      <c r="EG7" s="79" t="str">
        <f>IF(SUM(DU7,DY7)&gt;0,SUM(DU7,DY7),"")</f>
        <v/>
      </c>
      <c r="EH7" s="79" t="str">
        <f>IF(SUM(DT7:DU7,DW7:DY7,EA7)-SUM(DV7,DZ7)&gt;0,SUM(DT7:DU7,DW7:DY7,EA7)-SUM(DV7,DZ7),"")</f>
        <v/>
      </c>
      <c r="EI7" s="79" t="str">
        <f>IF(SUM(EC7,EH7)&gt;0,SUM(EC7,EH7),"")</f>
        <v/>
      </c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0" t="str">
        <f>IF(SUM(EK7,EO7)&gt;0,SUM(EK7,EO7),"")</f>
        <v/>
      </c>
      <c r="FE7" s="20" t="str">
        <f>IF(SUM(EJ7:EK7,EM7:EO7,EQ7)-EL7-EP7&gt;0,SUM(EJ7:EK7,EM7:EO7,EQ7)-EL7-EP7,"")</f>
        <v/>
      </c>
      <c r="FF7" s="20" t="str">
        <f>IF(SUM(ER7:ES7,EU7)-ET7&gt;0,SUM(ER7:ES7,EU7)-ET7,"")</f>
        <v/>
      </c>
      <c r="FG7" s="20" t="str">
        <f>IF(SUM(EK7,EO7,ES7)&gt;0,SUM(EK7,EO7,ES7),"")</f>
        <v/>
      </c>
      <c r="FH7" s="20" t="str">
        <f>IF(SUM(FE7,FF7)&gt;0,SUM(FE7,FF7),"")</f>
        <v/>
      </c>
      <c r="FI7" s="20" t="str">
        <f>IF(SUM(EW7,FA7)&gt;0,SUM(EW7,FA7),"")</f>
        <v/>
      </c>
      <c r="FJ7" s="20" t="str">
        <f>IF(SUM(EV7:EW7,EY7:FA7,FC7)-SUM(EX7,FB7)&gt;0,SUM(EV7:EW7,EY7:FA7,FC7)-SUM(EX7,FB7),"")</f>
        <v/>
      </c>
      <c r="FK7" s="20" t="str">
        <f>IF(SUM(FE7,FJ7)&gt;0,SUM(FE7,FJ7),"")</f>
        <v/>
      </c>
      <c r="FL7" s="25">
        <v>18.899999999999999</v>
      </c>
      <c r="FM7" s="25">
        <v>7.2</v>
      </c>
      <c r="FN7" s="25">
        <v>0.6</v>
      </c>
      <c r="FO7" s="25">
        <v>0</v>
      </c>
      <c r="FP7" s="25">
        <v>0</v>
      </c>
      <c r="FQ7" s="25">
        <v>0</v>
      </c>
      <c r="FR7" s="25">
        <v>0</v>
      </c>
      <c r="FS7" s="25">
        <v>0</v>
      </c>
      <c r="FT7" s="25"/>
      <c r="FU7" s="25"/>
      <c r="FV7" s="25"/>
      <c r="FW7" s="25"/>
      <c r="FX7" s="25">
        <v>18.2</v>
      </c>
      <c r="FY7" s="25">
        <v>7.2</v>
      </c>
      <c r="FZ7" s="25">
        <v>0.6</v>
      </c>
      <c r="GA7" s="25">
        <v>0</v>
      </c>
      <c r="GB7" s="25">
        <v>18.399999999999999</v>
      </c>
      <c r="GC7" s="25">
        <v>6.8</v>
      </c>
      <c r="GD7" s="25">
        <v>0.8</v>
      </c>
      <c r="GE7" s="25">
        <v>0</v>
      </c>
      <c r="GF7" s="79">
        <f>IF(SUM(FM7,FQ7)&gt;0,SUM(FM7,FQ7),"")</f>
        <v>7.2</v>
      </c>
      <c r="GG7" s="79">
        <f>IF(SUM(FL7:FM7,FO7:FQ7,FS7)-FN7-FR7&gt;0,SUM(FL7:FM7,FO7:FQ7,FS7)-FN7-FR7,"")</f>
        <v>25.499999999999996</v>
      </c>
      <c r="GH7" s="79" t="str">
        <f>IF(SUM(FT7:FU7,FW7)-FV7&gt;0,SUM(FT7:FU7,FW7)-FV7,"")</f>
        <v/>
      </c>
      <c r="GI7" s="79">
        <f>IF(SUM(FM7,FQ7,FU7)&gt;0,SUM(FM7,FQ7,FU7),"")</f>
        <v>7.2</v>
      </c>
      <c r="GJ7" s="79">
        <f>IF(SUM(GG7,GH7)&gt;0,SUM(GG7,GH7),"")</f>
        <v>25.499999999999996</v>
      </c>
      <c r="GK7" s="79">
        <f>IF(SUM(FY7,GC7)&gt;0,SUM(FY7,GC7),"")</f>
        <v>14</v>
      </c>
      <c r="GL7" s="79">
        <f>IF(SUM(FX7:FY7,GA7:GC7,GE7)-SUM(FZ7,GD7)&gt;0,SUM(FX7:FY7,GA7:GC7,GE7)-SUM(FZ7,GD7),"")</f>
        <v>49.199999999999996</v>
      </c>
      <c r="GM7" s="79">
        <f>IF(SUM(GG7,GL7)&gt;0,SUM(GG7,GL7),"")</f>
        <v>74.699999999999989</v>
      </c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0" t="str">
        <f>IF(SUM(GO7,GS7)&gt;0,SUM(GO7,GS7),"")</f>
        <v/>
      </c>
      <c r="HI7" s="20" t="str">
        <f>IF(SUM(GN7:GO7,GQ7:GS7,GU7)-GP7-GT7&gt;0,SUM(GN7:GO7,GQ7:GS7,GU7)-GP7-GT7,"")</f>
        <v/>
      </c>
      <c r="HJ7" s="20" t="str">
        <f>IF(SUM(GV7:GW7,GY7)-GX7&gt;0,SUM(GV7:GW7,GY7)-GX7,"")</f>
        <v/>
      </c>
      <c r="HK7" s="20" t="str">
        <f>IF(SUM(GO7,GS7,GW7)&gt;0,SUM(GO7,GS7,GW7),"")</f>
        <v/>
      </c>
      <c r="HL7" s="20" t="str">
        <f>IF(SUM(HI7,HJ7)&gt;0,SUM(HI7,HJ7),"")</f>
        <v/>
      </c>
      <c r="HM7" s="20" t="str">
        <f>IF(SUM(HA7,HE7)&gt;0,SUM(HA7,HE7),"")</f>
        <v/>
      </c>
      <c r="HN7" s="20" t="str">
        <f>IF(SUM(GZ7:HA7,HC7:HE7,HG7)-SUM(HB7,HF7)&gt;0,SUM(GZ7:HA7,HC7:HE7,HG7)-SUM(HB7,HF7),"")</f>
        <v/>
      </c>
      <c r="HO7" s="20" t="str">
        <f>IF(SUM(HI7,HN7)&gt;0,SUM(HI7,HN7),"")</f>
        <v/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79" t="str">
        <f>IF(SUM(HQ7,HU7)&gt;0,SUM(HQ7,HU7),"")</f>
        <v/>
      </c>
      <c r="IK7" s="79" t="str">
        <f>IF(SUM(HP7:HQ7,HS7:HU7,HW7)-HR7-HV7&gt;0,SUM(HP7:HQ7,HS7:HU7,HW7)-HR7-HV7,"")</f>
        <v/>
      </c>
      <c r="IL7" s="79" t="str">
        <f>IF(SUM(HX7:HY7,IA7)-HZ7&gt;0,SUM(HX7:HY7,IA7)-HZ7,"")</f>
        <v/>
      </c>
      <c r="IM7" s="79" t="str">
        <f>IF(SUM(HQ7,HU7,HY7)&gt;0,SUM(HQ7,HU7,HY7),"")</f>
        <v/>
      </c>
      <c r="IN7" s="79" t="str">
        <f>IF(SUM(IK7,IL7)&gt;0,SUM(IK7,IL7),"")</f>
        <v/>
      </c>
      <c r="IO7" s="79" t="str">
        <f>IF(SUM(IC7,IG7)&gt;0,SUM(IC7,IG7),"")</f>
        <v/>
      </c>
      <c r="IP7" s="79" t="str">
        <f>IF(SUM(IB7:IC7,IE7:IG7,II7)-SUM(ID7,IH7)&gt;0,SUM(IB7:IC7,IE7:IG7,II7)-SUM(ID7,IH7),"")</f>
        <v/>
      </c>
      <c r="IQ7" s="79" t="str">
        <f>IF(SUM(IK7,IP7)&gt;0,SUM(IK7,IP7),"")</f>
        <v/>
      </c>
      <c r="IR7" s="26"/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0" t="str">
        <f>IF(SUM(IS7,IW7)&gt;0,SUM(IS7,IW7),"")</f>
        <v/>
      </c>
      <c r="JM7" s="20" t="str">
        <f>IF(SUM(IR7:IS7,IU7:IW7,IY7)-IT7-IX7&gt;0,SUM(IR7:IS7,IU7:IW7,IY7)-IT7-IX7,"")</f>
        <v/>
      </c>
      <c r="JN7" s="20" t="str">
        <f>IF(SUM(IZ7:JA7,JC7)-JB7&gt;0,SUM(IZ7:JA7,JC7)-JB7,"")</f>
        <v/>
      </c>
      <c r="JO7" s="20" t="str">
        <f>IF(SUM(IS7,IW7,JA7)&gt;0,SUM(IS7,IW7,JA7),"")</f>
        <v/>
      </c>
      <c r="JP7" s="20" t="str">
        <f>IF(SUM(JM7,JN7)&gt;0,SUM(JM7,JN7),"")</f>
        <v/>
      </c>
      <c r="JQ7" s="20" t="str">
        <f>IF(SUM(JE7,JI7)&gt;0,SUM(JE7,JI7),"")</f>
        <v/>
      </c>
      <c r="JR7" s="20" t="str">
        <f>IF(SUM(JD7:JE7,JG7:JI7,JK7)-SUM(JF7,JJ7)&gt;0,SUM(JD7:JE7,JG7:JI7,JK7)-SUM(JF7,JJ7),"")</f>
        <v/>
      </c>
      <c r="JS7" s="20" t="str">
        <f>IF(SUM(JM7,JR7)&gt;0,SUM(JM7,JR7),"")</f>
        <v/>
      </c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79" t="str">
        <f>IF(SUM(JU7,JY7)&gt;0,SUM(JU7,JY7),"")</f>
        <v/>
      </c>
      <c r="KO7" s="79" t="str">
        <f>IF(SUM(JT7:JU7,JW7:JY7,KA7)-JV7-JZ7&gt;0,SUM(JT7:JU7,JW7:JY7,KA7)-JV7-JZ7,"")</f>
        <v/>
      </c>
      <c r="KP7" s="79" t="str">
        <f>IF(SUM(KB7:KC7,KE7)-KD7&gt;0,SUM(KB7:KC7,KE7)-KD7,"")</f>
        <v/>
      </c>
      <c r="KQ7" s="79" t="str">
        <f>IF(SUM(JU7,JY7,KC7)&gt;0,SUM(JU7,JY7,KC7),"")</f>
        <v/>
      </c>
      <c r="KR7" s="79" t="str">
        <f>IF(SUM(KO7,KP7)&gt;0,SUM(KO7,KP7),"")</f>
        <v/>
      </c>
      <c r="KS7" s="79" t="str">
        <f>IF(SUM(KG7,KK7)&gt;0,SUM(KG7,KK7),"")</f>
        <v/>
      </c>
      <c r="KT7" s="79" t="str">
        <f>IF(SUM(KF7:KG7,KI7:KK7,KM7)-SUM(KH7,KL7)&gt;0,SUM(KF7:KG7,KI7:KK7,KM7)-SUM(KH7,KL7),"")</f>
        <v/>
      </c>
      <c r="KU7" s="79" t="str">
        <f>IF(SUM(KO7,KT7)&gt;0,SUM(KO7,KT7),"")</f>
        <v/>
      </c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0" t="str">
        <f>IF(SUM(KW7,LA7)&gt;0,SUM(KW7,LA7),"")</f>
        <v/>
      </c>
      <c r="LQ7" s="20" t="str">
        <f>IF(SUM(KV7:KW7,KY7:LA7,LC7)-KX7-LB7&gt;0,SUM(KV7:KW7,KY7:LA7,LC7)-KX7-LB7,"")</f>
        <v/>
      </c>
      <c r="LR7" s="20" t="str">
        <f>IF(SUM(LD7:LE7,LG7)-LF7&gt;0,SUM(LD7:LE7,LG7)-LF7,"")</f>
        <v/>
      </c>
      <c r="LS7" s="20" t="str">
        <f>IF(SUM(KW7,LA7,LE7)&gt;0,SUM(KW7,LA7,LE7),"")</f>
        <v/>
      </c>
      <c r="LT7" s="20" t="str">
        <f>IF(SUM(LQ7,LR7)&gt;0,SUM(LQ7,LR7),"")</f>
        <v/>
      </c>
      <c r="LU7" s="20" t="str">
        <f>IF(SUM(LI7,LM7)&gt;0,SUM(LI7,LM7),"")</f>
        <v/>
      </c>
      <c r="LV7" s="20" t="str">
        <f>IF(SUM(LH7:LI7,LK7:LM7,LO7)-SUM(LJ7,LN7)&gt;0,SUM(LH7:LI7,LK7:LM7,LO7)-SUM(LJ7,LN7),"")</f>
        <v/>
      </c>
      <c r="LW7" s="20" t="str">
        <f>IF(SUM(LQ7,LV7)&gt;0,SUM(LQ7,LV7),"")</f>
        <v/>
      </c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79" t="str">
        <f>IF(SUM(LY7,MC7)&gt;0,SUM(LY7,MC7),"")</f>
        <v/>
      </c>
      <c r="MS7" s="79" t="str">
        <f>IF(SUM(LX7:LY7,MA7:MC7,ME7)-LZ7-MD7&gt;0,SUM(LX7:LY7,MA7:MC7,ME7)-LZ7-MD7,"")</f>
        <v/>
      </c>
      <c r="MT7" s="79" t="str">
        <f>IF(SUM(MF7:MG7,MI7)-MH7&gt;0,SUM(MF7:MG7,MI7)-MH7,"")</f>
        <v/>
      </c>
      <c r="MU7" s="79" t="str">
        <f>IF(SUM(LY7,MC7,MG7)&gt;0,SUM(LY7,MC7,MG7),"")</f>
        <v/>
      </c>
      <c r="MV7" s="79" t="str">
        <f>IF(SUM(MS7,MT7)&gt;0,SUM(MS7,MT7),"")</f>
        <v/>
      </c>
      <c r="MW7" s="79" t="str">
        <f>IF(SUM(MK7,MO7)&gt;0,SUM(MK7,MO7),"")</f>
        <v/>
      </c>
      <c r="MX7" s="79" t="str">
        <f>IF(SUM(MJ7:MK7,MM7:MO7,MQ7)-SUM(ML7,MP7)&gt;0,SUM(MJ7:MK7,MM7:MO7,MQ7)-SUM(ML7,MP7),"")</f>
        <v/>
      </c>
      <c r="MY7" s="79" t="str">
        <f>IF(SUM(MS7,MX7)&gt;0,SUM(MS7,MX7),"")</f>
        <v/>
      </c>
      <c r="MZ7" s="26"/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0" t="str">
        <f>IF(SUM(NA7,NE7)&gt;0,SUM(NA7,NE7),"")</f>
        <v/>
      </c>
      <c r="NU7" s="20" t="str">
        <f>IF(SUM(MZ7:NA7,NC7:NE7,NG7)-NB7-NF7&gt;0,SUM(MZ7:NA7,NC7:NE7,NG7)-NB7-NF7,"")</f>
        <v/>
      </c>
      <c r="NV7" s="20" t="str">
        <f>IF(SUM(NH7:NI7,NK7)-NJ7&gt;0,SUM(NH7:NI7,NK7)-NJ7,"")</f>
        <v/>
      </c>
      <c r="NW7" s="20" t="str">
        <f>IF(SUM(NA7,NE7,NI7)&gt;0,SUM(NA7,NE7,NI7),"")</f>
        <v/>
      </c>
      <c r="NX7" s="20" t="str">
        <f>IF(SUM(NU7,NV7)&gt;0,SUM(NU7,NV7),"")</f>
        <v/>
      </c>
      <c r="NY7" s="20" t="str">
        <f>IF(SUM(NM7,NQ7)&gt;0,SUM(NM7,NQ7),"")</f>
        <v/>
      </c>
      <c r="NZ7" s="20" t="str">
        <f>IF(SUM(NL7:NM7,NO7:NQ7,NS7)-SUM(NN7,NR7)&gt;0,SUM(NL7:NM7,NO7:NQ7,NS7)-SUM(NN7,NR7),"")</f>
        <v/>
      </c>
      <c r="OA7" s="20" t="str">
        <f>IF(SUM(NU7,NZ7)&gt;0,SUM(NU7,NZ7),"")</f>
        <v/>
      </c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79" t="str">
        <f>IF(SUM(OC7,OG7)&gt;0,SUM(OC7,OG7),"")</f>
        <v/>
      </c>
      <c r="OW7" s="79" t="str">
        <f>IF(SUM(OB7:OC7,OE7:OG7,OI7)-OD7-OH7&gt;0,SUM(OB7:OC7,OE7:OG7,OI7)-OD7-OH7,"")</f>
        <v/>
      </c>
      <c r="OX7" s="79" t="str">
        <f>IF(SUM(OJ7:OK7,OM7)-OL7&gt;0,SUM(OJ7:OK7,OM7)-OL7,"")</f>
        <v/>
      </c>
      <c r="OY7" s="79" t="str">
        <f>IF(SUM(OC7,OG7,OK7)&gt;0,SUM(OC7,OG7,OK7),"")</f>
        <v/>
      </c>
      <c r="OZ7" s="79" t="str">
        <f>IF(SUM(OW7,OX7)&gt;0,SUM(OW7,OX7),"")</f>
        <v/>
      </c>
      <c r="PA7" s="79" t="str">
        <f>IF(SUM(OO7,OS7)&gt;0,SUM(OO7,OS7),"")</f>
        <v/>
      </c>
      <c r="PB7" s="79" t="str">
        <f>IF(SUM(ON7:OO7,OQ7:OS7,OU7)-SUM(OP7,OT7)&gt;0,SUM(ON7:OO7,OQ7:OS7,OU7)-SUM(OP7,OT7),"")</f>
        <v/>
      </c>
      <c r="PC7" s="79" t="str">
        <f>IF(SUM(OW7,PB7)&gt;0,SUM(OW7,PB7),"")</f>
        <v/>
      </c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0" t="str">
        <f>IF(SUM(PE7,PI7)&gt;0,SUM(PE7,PI7),"")</f>
        <v/>
      </c>
      <c r="PY7" s="20" t="str">
        <f>IF(SUM(PD7:PE7,PG7:PI7,PK7)-PF7-PJ7&gt;0,SUM(PD7:PE7,PG7:PI7,PK7)-PF7-PJ7,"")</f>
        <v/>
      </c>
      <c r="PZ7" s="20" t="str">
        <f>IF(SUM(PL7:PM7,PO7)-PN7&gt;0,SUM(PL7:PM7,PO7)-PN7,"")</f>
        <v/>
      </c>
      <c r="QA7" s="20" t="str">
        <f>IF(SUM(PE7,PI7,PM7)&gt;0,SUM(PE7,PI7,PM7),"")</f>
        <v/>
      </c>
      <c r="QB7" s="20" t="str">
        <f>IF(SUM(PY7,PZ7)&gt;0,SUM(PY7,PZ7),"")</f>
        <v/>
      </c>
      <c r="QC7" s="20" t="str">
        <f>IF(SUM(PQ7,PU7)&gt;0,SUM(PQ7,PU7),"")</f>
        <v/>
      </c>
      <c r="QD7" s="20" t="str">
        <f>IF(SUM(PP7:PQ7,PS7:PU7,PW7)-SUM(PR7,PV7)&gt;0,SUM(PP7:PQ7,PS7:PU7,PW7)-SUM(PR7,PV7),"")</f>
        <v/>
      </c>
      <c r="QE7" s="20" t="str">
        <f>IF(SUM(PY7,QD7)&gt;0,SUM(PY7,QD7),"")</f>
        <v/>
      </c>
      <c r="QF7" s="38">
        <f>IF($CV7="P",CB7,(CB7+AY7)/2)</f>
        <v>9.35</v>
      </c>
      <c r="QG7" s="38">
        <f>IF($CV7="P",CC7,(CC7+AZ7)/2)</f>
        <v>3.4000499999999998</v>
      </c>
      <c r="QH7" s="38">
        <f>IF($CV7="P",CD7,(CD7+BA7)/2)</f>
        <v>0.3</v>
      </c>
      <c r="QI7" s="38">
        <f>IF($CV7="P",CE7,(CE7+BB7)/2)</f>
        <v>0</v>
      </c>
      <c r="QJ7" s="38">
        <f>IF($CV7="P",CF7,(CF7+BC7)/2)</f>
        <v>9.4499999999999993</v>
      </c>
      <c r="QK7" s="38">
        <f>IF($CV7="P",CG7,(CG7+BD7)/2)</f>
        <v>2.8</v>
      </c>
      <c r="QL7" s="38">
        <f>IF($CV7="P",CH7,(CH7+BE7)/2)</f>
        <v>0.3</v>
      </c>
      <c r="QM7" s="38">
        <f>IF($CV7="P",CI7,(CI7+BF7)/2)</f>
        <v>0</v>
      </c>
      <c r="QN7" s="38">
        <f>IF($CV7="P",CJ7,(CJ7+BG7)/2)</f>
        <v>9.25</v>
      </c>
      <c r="QO7" s="38">
        <f>IF($CV7="P",CK7,(CK7+BH7)/2)</f>
        <v>3</v>
      </c>
      <c r="QP7" s="38">
        <f>IF($CV7="P",CL7,(CL7+BI7)/2)</f>
        <v>0.1</v>
      </c>
      <c r="QQ7" s="38">
        <f>IF($CV7="P",CM7,(CM7+BJ7)/2)</f>
        <v>0</v>
      </c>
      <c r="QR7" s="38">
        <f>IF($CV7="P",CN7,(CN7+BK7)/2)</f>
        <v>9.35</v>
      </c>
      <c r="QS7" s="38">
        <f>IF($CV7="P",CO7,(CO7+BL7)/2)</f>
        <v>3.4</v>
      </c>
      <c r="QT7" s="38">
        <f>IF($CV7="P",CP7,(CP7+BM7)/2)</f>
        <v>0.4</v>
      </c>
      <c r="QU7" s="38">
        <f>IF($CV7="P",CQ7,(CQ7+BN7)/2)</f>
        <v>0</v>
      </c>
      <c r="QV7" s="38">
        <f>IF($CV7="P",CR7,(CR7+BO7)/2)</f>
        <v>9.65</v>
      </c>
      <c r="QW7" s="38">
        <f>IF($CV7="P",CS7,(CS7+BP7)/2)</f>
        <v>3.2</v>
      </c>
      <c r="QX7" s="38">
        <f>IF($CV7="P",CT7,(CT7+BQ7)/2)</f>
        <v>0.3</v>
      </c>
      <c r="QY7" s="38">
        <f>IF($CV7="P",CU7,(CU7+BR7)/2)</f>
        <v>0</v>
      </c>
      <c r="QZ7" s="45" t="s">
        <v>46</v>
      </c>
      <c r="RA7" s="79">
        <f>IF(SUM(QG7,QK7)&gt;0,SUM(QG7,QK7),"")</f>
        <v>6.2000499999999992</v>
      </c>
      <c r="RB7" s="79">
        <f>IF(SUM(QF7:QG7,QI7:QK7,QM7)-QH7-QL7&gt;0,SUM(QF7:QG7,QI7:QK7,QM7)-QH7-QL7,"")</f>
        <v>24.400049999999997</v>
      </c>
      <c r="RC7" s="79">
        <f>IF(SUM(QN7:QO7,QQ7)-QP7&gt;0,SUM(QN7:QO7,QQ7)-QP7,"")</f>
        <v>12.15</v>
      </c>
      <c r="RD7" s="79">
        <f>IF(SUM(QG7,QK7,QO7)&gt;0,SUM(QG7,QK7,QO7),"")</f>
        <v>9.2000499999999992</v>
      </c>
      <c r="RE7" s="79">
        <f>IF(SUM(RB7,RC7)&gt;0,SUM(RB7,RC7),"")</f>
        <v>36.550049999999999</v>
      </c>
      <c r="RF7" s="79">
        <f>IF(SUM(QS7,QW7)&gt;0,SUM(QS7,QW7),"")</f>
        <v>6.6</v>
      </c>
      <c r="RG7" s="79">
        <f>IF(SUM(QR7:QS7,QU7:QW7,QY7)-SUM(QT7,QX7)&gt;0,SUM(QR7:QS7,QU7:QW7,QY7)-SUM(QT7,QX7),"")</f>
        <v>24.9</v>
      </c>
      <c r="RH7" s="79">
        <f>IF(SUM(RB7,RG7)&gt;0,SUM(RB7,RG7),"")</f>
        <v>49.300049999999999</v>
      </c>
    </row>
    <row r="8" spans="1:476" x14ac:dyDescent="0.2">
      <c r="A8" s="5">
        <f>IF(AND(F8="P",G8="P"),SUMPRODUCT((F$4:F$27="P")*(G$4:G$27="P")*(E$4:E$27&gt;E8))+1,IF(G8="P",SUMPRODUCT((F$4:F$27="")*(G$4:G$27="P")*(E$4:E$27&gt;E8))+1+SUMPRODUCT((F$4:F$27="P")*(G$4:G$27="P")),""))</f>
        <v>5</v>
      </c>
      <c r="B8" s="78" t="s">
        <v>100</v>
      </c>
      <c r="C8" s="5" t="s">
        <v>4</v>
      </c>
      <c r="D8" s="5">
        <v>2004</v>
      </c>
      <c r="E8" s="15">
        <f>SUM(I8:S8)+SUM(I8:O8)*0.0000001+SUM(I8)*0.0000000000001</f>
        <v>122.50000756000509</v>
      </c>
      <c r="F8" s="3" t="str">
        <f>IF(OR(AND(AQ8&gt;=AX$29,AR8&gt;=AX$33,AQ8&lt;&gt;"",AP8=""),AND(AV8&gt;=AX$29,AW8&gt;=AX$33,AV8&lt;&gt;"",AP8=""),AND(BT8&gt;=CA$29,BU8&gt;=CA$33,BT8&lt;&gt;"",BS8=""),AND(BY8&gt;=CA$29,BZ8&gt;=CA$33,BY8&lt;&gt;"",BS8=""),AND(CW8&gt;=DD$29,CX8&gt;=DD$33,CW8&lt;&gt;"",CV8=""),AND(DB8&gt;=DD$29,DC8&gt;=DD$33,DB8&lt;&gt;""),AND(EB8&gt;=EI$29,EC8&gt;=EI$33,EB8&lt;&gt;""),AND(EG8&gt;=EI$29,EH8&gt;=EI$33,EG8&lt;&gt;""),AND(FD8&gt;=FK$29,FE8&gt;=FK$33,FD8&lt;&gt;""),AND(FI8&gt;=FK$29,FJ8&gt;=FK$33,FI8&lt;&gt;""),AND(GF8&gt;=GM$29,GG8&gt;=GM$33,GF8&lt;&gt;""),AND(GK8&gt;=GM$29,GL8&gt;=GM$33,GK8&lt;&gt;""),AND(HH8&gt;=HO$29,HI8&gt;=HO$33,HH8&lt;&gt;""),AND(HM8&gt;=HO$29,HN8&gt;=HO$33,HM8&lt;&gt;""),AND(IJ8&gt;=IQ$29,IK8&gt;=IQ$33,IJ8&lt;&gt;""),AND(IO8&gt;=IQ$29,IP8&gt;=IQ$33,IO8&lt;&gt;""),AND(JL8&gt;=JS$29,JM8&gt;=JS$33,JL8&lt;&gt;""),AND(JQ8&gt;=JS$29,JR8&gt;=JS$33,JQ8&lt;&gt;""),AND(KN8&gt;=KU$29,KO8&gt;=KU$33,KN8&lt;&gt;""),AND(KS8&gt;=KU$29,KT8&gt;=KU$33,KS8&lt;&gt;""),AND(LP8&gt;=LW$29,LQ8&gt;=LW$33,LP8&lt;&gt;""),AND(LU8&gt;=LW$29,LV8&gt;=LW$33,LU8&lt;&gt;""),AND(MR8&gt;=MY$29,MS8&gt;=MY$33,MR8&lt;&gt;""),AND(MW8&gt;=MY$29,MX8&gt;=MY$33,MW8&lt;&gt;""),AND(NT8&gt;=OA$29,NU8&gt;=OA$33,NT8&lt;&gt;""),AND(NY8&gt;=OA$29,NZ8&gt;=OA$33,NY8&lt;&gt;""),AND(OV8&gt;=PC$29,OW8&gt;=PC$33,OV8&lt;&gt;""),AND(PA8&gt;=PC$29,PB8&gt;=PC$33,PA8&lt;&gt;""),AND(PX8&gt;=QE$29,PY8&gt;=QE$33,PX8&lt;&gt;""),AND(QC8&gt;=QE$29,QD8&gt;=QE$33,QC8&lt;&gt;"")),"P","")</f>
        <v>P</v>
      </c>
      <c r="G8" s="3" t="str">
        <f>IF(OR(AND(AR8&gt;=AX$33,AR8&lt;&gt;"",AP8=""),AND(AW8&gt;=AX$33,AW8&lt;&gt;"",AP8=""),AND(BU8&gt;=CA$33,BU8&lt;&gt;"",BS8=""),AND(BZ8&gt;=CA$33,BZ8&lt;&gt;"",BS8=""),AND(CX8&gt;=DD$33,CX8&lt;&gt;"",CV8=""),AND(DC8&gt;=DD$33,DC8&lt;&gt;"",CV8=""),AND(EC8&gt;=EI$33,EC8&lt;&gt;""),AND(EH8&gt;=EI$33,EH8&lt;&gt;""),AND(FE8&gt;=FK$33,FE8&lt;&gt;""),AND(FJ8&gt;=FK$33,FJ8&lt;&gt;""),AND(GG8&gt;=GM$33,GG8&lt;&gt;""),AND(GL8&gt;=GM$33,GL8&lt;&gt;""),AND(HI8&gt;=HO$33,HI8&lt;&gt;""),AND(HN8&gt;=HO$33,HN8&lt;&gt;""),AND(IK8&gt;=IQ$33,IK8&lt;&gt;""),AND(IP8&gt;=IQ$33,IP8&lt;&gt;""),AND(JM8&gt;=JS$33,JM8&lt;&gt;""),AND(JR8&gt;=JS$33,JR8&lt;&gt;""),AND(KO8&gt;=KU$33,KO8&lt;&gt;""),AND(KT8&gt;=KU$33,KT8&lt;&gt;""),AND(LQ8&gt;=LW$33,LQ8&lt;&gt;""),AND(LV8&gt;=LW$33,LV8&lt;&gt;""),AND(MS8&gt;=MY$33,MS8&lt;&gt;""),AND(MX8&gt;=MY$33,MX8&lt;&gt;""),AND(NU8&gt;=OA$33,NU8&lt;&gt;""),AND(NZ8&gt;=OA$33,NZ8&lt;&gt;""),AND(OW8&gt;=PC$33,OW8&lt;&gt;""),AND(PB8&gt;=PC$33,PB8&lt;&gt;""),AND(PY8&gt;=QE$33,PY8&lt;&gt;""),AND(QD8&gt;=QE$33,QD8&lt;&gt;"")),"P","")</f>
        <v>P</v>
      </c>
      <c r="H8" s="67" t="str">
        <f>IF(AND(G8="P",F8=""),"No DD",IF(OR(AND(AT8&gt;=AX$32,AU8&gt;=AX$36,AT8&lt;&gt;"",AP8=""),AND(BW8&gt;=CA$32,BX8&gt;=CA$36,BW8&lt;&gt;"",BS8=""),AND(CZ8&gt;=DD$32,DA8&gt;=DD$36,CZ8&lt;&gt;"",CV8=""),AND(EE8&gt;=EI$32,EF8&gt;=EI$36,EE8&lt;&gt;""),AND(FG8&gt;=FK$32,FH8&gt;=FK$36,FG8&lt;&gt;""),AND(GI8&gt;=GM$32,GJ8&gt;=GM$36,GI8&lt;&gt;""),AND(HK8&gt;=HO$32,HL8&gt;=HO$36,HK8&lt;&gt;""),AND(IM8&gt;=IQ$32,IN8&gt;=IQ$36,IM8&lt;&gt;""),AND(JO8&gt;=JS$32,JP8&gt;=JS$36,JO8&lt;&gt;""),AND(KQ8&gt;=KU$32,KR8&gt;=KU$36,KQ8&lt;&gt;""),AND(LS8&gt;=LW$32,LT8&gt;=LW$36,LS8&lt;&gt;""),AND(MU8&gt;=MY$32,MV8&gt;=MY$36,MU8&lt;&gt;""),AND(NW8&gt;=OA$32,NX8&gt;=OA$36,NW8&lt;&gt;""),AND(OY8&gt;=PC$32,OZ8&gt;=PC$36,OY8&lt;&gt;""),AND(QA8&gt;=QE$32,QB8&gt;=QE$36,QA8&lt;&gt;"")),"Merit",IF(OR(AND(AT8&gt;=AX$31,AU8&gt;=AX$35,AT8&lt;&gt;"",AP8=""),AND(BW8&gt;=CA$31,BX8&gt;=CA$35,BW8&lt;&gt;"",BS8=""),AND(CZ8&gt;=DD$31,DA8&gt;=DD$35,CZ8&lt;&gt;"",CV8=""),AND(EE8&gt;=EI$31,EF8&gt;=EI$35,EE8&lt;&gt;""),AND(FG8&gt;=FK$31,FH8&gt;=FK$35,FG8&lt;&gt;""),AND(GI8&gt;=GM$31,GJ8&gt;=GM$35,GI8&lt;&gt;""),AND(HK8&gt;=HO$31,HL8&gt;=HO$35,HK8&lt;&gt;""),AND(IM8&gt;=IQ$31,IN8&gt;=IQ$35,IM8&lt;&gt;""),AND(JO8&gt;=JS$31,JP8&gt;=JS$35,JO8&lt;&gt;""),AND(KQ8&gt;=KU$31,KR8&gt;=KU$35,KQ8&lt;&gt;""),AND(LS8&gt;=LW$31,LT8&gt;=LW$35,LS8&lt;&gt;""),AND(MU8&gt;=MY$31,MV8&gt;=MY$35,MU8&lt;&gt;""),AND(NW8&gt;=OA$31,NX8&gt;=OA$35,NW8&lt;&gt;""),AND(OY8&gt;=PC$31,OZ8&gt;=PC$35,OY8&lt;&gt;""),AND(QA8&gt;=QE$31,QB8&gt;=QE$35,QA8&lt;&gt;"")),"Excellence",IF(F8="P","National Team",""))))</f>
        <v>National Team</v>
      </c>
      <c r="I8" s="14">
        <f>IF(COUNT(AR8,BU8,CX8)&gt;0,LARGE((AR8,BU8,CX8),1),0)</f>
        <v>50.900000000000006</v>
      </c>
      <c r="J8" s="14" t="str">
        <f>IF(I8=0,"",IF(I8=CX8,$CB$1,IF(I8=BU8,$AY$1,IF(I8=AR8,$V$1,""))))</f>
        <v>2022 Elite Canada</v>
      </c>
      <c r="K8" s="14">
        <f>IF(COUNT(AR8,BU8,CX8)&gt;1,LARGE((AR8,BU8,CX8),2),0)</f>
        <v>0</v>
      </c>
      <c r="L8" s="14" t="str">
        <f>IF(K8=0,"",IF(K8=CX8,$CB$1,IF(K8=BU8,$AY$1,IF(K8=AR8,$V$1,""))))</f>
        <v/>
      </c>
      <c r="M8" s="14">
        <f>IF(COUNT(AS8,BV8,CY8)&gt;0,LARGE((AS8,BV8,CY8),1),0)</f>
        <v>24.7</v>
      </c>
      <c r="N8" s="14" t="str">
        <f>IF(M8=0,"",IF(M8=CY8,$CB$1,IF(M8=BV8,$AY$1,IF(M8=AS8,$V$1,""))))</f>
        <v>2022 Elite Canada</v>
      </c>
      <c r="O8" s="14">
        <f>IF(COUNT(AS8,BV8,CY8)&gt;1,LARGE((AS8,BV8,CY8),2),0)</f>
        <v>0</v>
      </c>
      <c r="P8" s="14" t="str">
        <f>IF(O8=0,"",IF(O8=CY8,$CB$1,IF(O8=BV8,$AY$1,IF(O8=AS8,$V$1,""))))</f>
        <v/>
      </c>
      <c r="Q8" s="14">
        <f>IF(MAX(AW8,BZ8,DC8)&gt;0,MAX(AW8,BZ8,DC8),0)</f>
        <v>25</v>
      </c>
      <c r="R8" s="14" t="str">
        <f>IF(Q8=0,"",IF(Q8=DC8,$CB$1,IF(Q8=BZ8,$AY$1,IF(Q8=AW8,$V$1,""))))</f>
        <v>2022 Elite Canada</v>
      </c>
      <c r="S8" s="14">
        <f>IF(MAX(DE8:DG8)&gt;0,MAX(DE8:DG8),"")</f>
        <v>21.9</v>
      </c>
      <c r="T8" s="20" t="str">
        <f>IF(S8="","",IF(S8=DE8,"("&amp;DE$2&amp;")",IF(S8=DG8,"("&amp;DG$2&amp;")")))</f>
        <v>(Final)</v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>2022 World Games Technical Trial #2 (May 15)</v>
      </c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45"/>
      <c r="AQ8" s="79" t="str">
        <f>IF(SUM(W8,AA8)&gt;0,SUM(W8,AA8),"")</f>
        <v/>
      </c>
      <c r="AR8" s="79" t="str">
        <f>IF(SUM(V8:W8,Y8:AA8,AC8)-X8-AB8&gt;0,SUM(V8:W8,Y8:AA8,AC8)-X8-AB8,"")</f>
        <v/>
      </c>
      <c r="AS8" s="79" t="str">
        <f>IF(SUM(AD8:AE8,AG8)-AF8&gt;0,SUM(AD8:AE8,AG8)-AF8,"")</f>
        <v/>
      </c>
      <c r="AT8" s="79" t="str">
        <f>IF(SUM(W8,AA8,AE8)&gt;0,SUM(W8,AA8,AE8),"")</f>
        <v/>
      </c>
      <c r="AU8" s="79" t="str">
        <f>IF(SUM(AR8,AS8)&gt;0,SUM(AR8,AS8),"")</f>
        <v/>
      </c>
      <c r="AV8" s="79" t="str">
        <f>IF(SUM(AI8,AM8)&gt;0,SUM(AI8,AM8),"")</f>
        <v/>
      </c>
      <c r="AW8" s="79" t="str">
        <f>IF(SUM(AH8:AI8,AK8:AM8,AO8)-SUM(AJ8,AN8)&gt;0,SUM(AH8:AI8,AK8:AM8,AO8)-SUM(AJ8,AN8),"")</f>
        <v/>
      </c>
      <c r="AX8" s="79" t="str">
        <f>IF(SUM(AR8,AW8)&gt;0,SUM(AR8,AW8),"")</f>
        <v/>
      </c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46"/>
      <c r="BT8" s="20" t="str">
        <f>IF(SUM(AZ8,BD8)&gt;0,SUM(AZ8,BD8),"")</f>
        <v/>
      </c>
      <c r="BU8" s="20" t="str">
        <f>IF(SUM(AY8:AZ8,BB8:BD8,BF8)-BA8-BE8&gt;0,SUM(AY8:AZ8,BB8:BD8,BF8)-BA8-BE8,"")</f>
        <v/>
      </c>
      <c r="BV8" s="20" t="str">
        <f>IF(SUM(BG8:BH8,BJ8)-BI8&gt;0,SUM(BG8:BH8,BJ8)-BI8,"")</f>
        <v/>
      </c>
      <c r="BW8" s="20" t="str">
        <f>IF(SUM(AZ8,BD8,BH8)&gt;0,SUM(AZ8,BD8,BH8),"")</f>
        <v/>
      </c>
      <c r="BX8" s="20" t="str">
        <f>IF(SUM(BU8,BV8)&gt;0,SUM(BU8,BV8),"")</f>
        <v/>
      </c>
      <c r="BY8" s="20" t="str">
        <f>IF(SUM(BL8,BP8)&gt;0,SUM(BL8,BP8),"")</f>
        <v/>
      </c>
      <c r="BZ8" s="20" t="str">
        <f>IF(SUM(BK8:BL8,BN8:BP8,BR8)-SUM(BM8,BQ8)&gt;0,SUM(BK8:BL8,BN8:BP8,BR8)-SUM(BM8,BQ8),"")</f>
        <v/>
      </c>
      <c r="CA8" s="20" t="str">
        <f>IF(SUM(BU8,BZ8)&gt;0,SUM(BU8,BZ8),"")</f>
        <v/>
      </c>
      <c r="CB8" s="27">
        <v>19</v>
      </c>
      <c r="CC8" s="27">
        <v>6.8</v>
      </c>
      <c r="CD8" s="27">
        <v>0.6</v>
      </c>
      <c r="CE8" s="27">
        <v>0</v>
      </c>
      <c r="CF8" s="27">
        <v>19.100000000000001</v>
      </c>
      <c r="CG8" s="27">
        <v>7.2</v>
      </c>
      <c r="CH8" s="27">
        <v>0.6</v>
      </c>
      <c r="CI8" s="27">
        <v>0</v>
      </c>
      <c r="CJ8" s="27">
        <v>18.399999999999999</v>
      </c>
      <c r="CK8" s="27">
        <v>7.3</v>
      </c>
      <c r="CL8" s="27">
        <v>1</v>
      </c>
      <c r="CM8" s="27">
        <v>0</v>
      </c>
      <c r="CN8" s="27">
        <v>18.8</v>
      </c>
      <c r="CO8" s="27">
        <v>6.8</v>
      </c>
      <c r="CP8" s="27">
        <v>0.6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45"/>
      <c r="CW8" s="79">
        <f>IF(SUM(CC8,CG8)&gt;0,SUM(CC8,CG8),"")</f>
        <v>14</v>
      </c>
      <c r="CX8" s="79">
        <f>IF(SUM(CB8:CC8,CE8:CG8,CI8)-CD8-CH8&gt;0,SUM(CB8:CC8,CE8:CG8,CI8)-CD8-CH8,"")</f>
        <v>50.900000000000006</v>
      </c>
      <c r="CY8" s="79">
        <f>IF(SUM(CJ8:CK8,CM8)-CL8&gt;0,SUM(CJ8:CK8,CM8)-CL8,"")</f>
        <v>24.7</v>
      </c>
      <c r="CZ8" s="79">
        <f>IF(SUM(CC8,CG8,CK8)&gt;0,SUM(CC8,CG8,CK8),"")</f>
        <v>21.3</v>
      </c>
      <c r="DA8" s="79">
        <f>IF(SUM(CX8,CY8)&gt;0,SUM(CX8,CY8),"")</f>
        <v>75.600000000000009</v>
      </c>
      <c r="DB8" s="79">
        <f>IF(SUM(CO8,CS8)&gt;0,SUM(CO8,CS8),"")</f>
        <v>6.8</v>
      </c>
      <c r="DC8" s="79">
        <f>IF(SUM(CN8:CO8,CQ8:CS8,CU8)-SUM(CP8,CT8)&gt;0,SUM(CN8:CO8,CQ8:CS8,CU8)-SUM(CP8,CT8),"")</f>
        <v>25</v>
      </c>
      <c r="DD8" s="79">
        <f>IF(SUM(CX8,DC8)&gt;0,SUM(CX8,DC8),"")</f>
        <v>75.900000000000006</v>
      </c>
      <c r="DE8" s="80" t="str">
        <f>IF(K8&gt;=0.001,IF(MAX(EC8,FE8,GG8,HI8,IK8,JM8,KO8,LQ8,MS8,NU8,OW8,PY8)-IF(K8="",0,K8)&gt;0.001,MAX(EC8,FE8,GG8,HI8,IK8,JM8,KO8,LQ8,MS8,NU8,OW8,PY8)-IF(K8="",0,K8),""),"")</f>
        <v/>
      </c>
      <c r="DF8" s="80" t="str">
        <f>IF(O8&gt;=0.001,IF(MAX(ED8,FF8,GH8,HJ8,IL8,JN8,KP8,LR8,MT8,NV8,OX8,PZ8)-IF(O8="",0,O8)&gt;0.001,MAX(ED8,FF8,GH8,HJ8,IL8,JN8,KP8,LR8,MT8,NV8,OX8,PZ8)-IF(O8="",0,O8),""),"")</f>
        <v/>
      </c>
      <c r="DG8" s="80">
        <f>IF(Q8&gt;=0.001,IF(MAX(EH8,FJ8,GL8,HN8,IP8,JR8,KT8,LV8,MX8,NZ8,PB8,QD8)-IF(Q8="",0,Q8)&gt;0.001,MAX(EH8,FJ8,GL8,HN8,IP8,JR8,KT8,LV8,MX8,NZ8,PB8,QD8)-IF(Q8="",0,Q8),""),"")</f>
        <v>21.9</v>
      </c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79" t="str">
        <f>IF(SUM(DI8,DM8)&gt;0,SUM(DI8,DM8),"")</f>
        <v/>
      </c>
      <c r="EC8" s="79" t="str">
        <f>IF(SUM(DH8:DI8,DK8:DM8,DO8)-DJ8-DN8&gt;0,SUM(DH8:DI8,DK8:DM8,DO8)-DJ8-DN8,"")</f>
        <v/>
      </c>
      <c r="ED8" s="79" t="str">
        <f>IF(SUM(DP8:DQ8,DS8)-DR8&gt;0,SUM(DP8:DQ8,DS8)-DR8,"")</f>
        <v/>
      </c>
      <c r="EE8" s="79" t="str">
        <f>IF(SUM(DI8,DM8,DQ8)&gt;0,SUM(DI8,DM8,DQ8),"")</f>
        <v/>
      </c>
      <c r="EF8" s="79" t="str">
        <f>IF(SUM(EC8,ED8)&gt;0,SUM(EC8,ED8),"")</f>
        <v/>
      </c>
      <c r="EG8" s="79" t="str">
        <f>IF(SUM(DU8,DY8)&gt;0,SUM(DU8,DY8),"")</f>
        <v/>
      </c>
      <c r="EH8" s="79" t="str">
        <f>IF(SUM(DT8:DU8,DW8:DY8,EA8)-SUM(DV8,DZ8)&gt;0,SUM(DT8:DU8,DW8:DY8,EA8)-SUM(DV8,DZ8),"")</f>
        <v/>
      </c>
      <c r="EI8" s="79" t="str">
        <f>IF(SUM(EC8,EH8)&gt;0,SUM(EC8,EH8),"")</f>
        <v/>
      </c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0" t="str">
        <f>IF(SUM(EK8,EO8)&gt;0,SUM(EK8,EO8),"")</f>
        <v/>
      </c>
      <c r="FE8" s="20" t="str">
        <f>IF(SUM(EJ8:EK8,EM8:EO8,EQ8)-EL8-EP8&gt;0,SUM(EJ8:EK8,EM8:EO8,EQ8)-EL8-EP8,"")</f>
        <v/>
      </c>
      <c r="FF8" s="20" t="str">
        <f>IF(SUM(ER8:ES8,EU8)-ET8&gt;0,SUM(ER8:ES8,EU8)-ET8,"")</f>
        <v/>
      </c>
      <c r="FG8" s="20" t="str">
        <f>IF(SUM(EK8,EO8,ES8)&gt;0,SUM(EK8,EO8,ES8),"")</f>
        <v/>
      </c>
      <c r="FH8" s="20" t="str">
        <f>IF(SUM(FE8,FF8)&gt;0,SUM(FE8,FF8),"")</f>
        <v/>
      </c>
      <c r="FI8" s="20" t="str">
        <f>IF(SUM(EW8,FA8)&gt;0,SUM(EW8,FA8),"")</f>
        <v/>
      </c>
      <c r="FJ8" s="20" t="str">
        <f>IF(SUM(EV8:EW8,EY8:FA8,FC8)-SUM(EX8,FB8)&gt;0,SUM(EV8:EW8,EY8:FA8,FC8)-SUM(EX8,FB8),"")</f>
        <v/>
      </c>
      <c r="FK8" s="20" t="str">
        <f>IF(SUM(FE8,FJ8)&gt;0,SUM(FE8,FJ8),"")</f>
        <v/>
      </c>
      <c r="FL8" s="25">
        <v>18.3</v>
      </c>
      <c r="FM8" s="25">
        <v>6.4</v>
      </c>
      <c r="FN8" s="25">
        <v>0.8</v>
      </c>
      <c r="FO8" s="25">
        <v>0</v>
      </c>
      <c r="FP8" s="25">
        <v>18.8</v>
      </c>
      <c r="FQ8" s="25">
        <v>8</v>
      </c>
      <c r="FR8" s="25">
        <v>0.6</v>
      </c>
      <c r="FS8" s="25">
        <v>0</v>
      </c>
      <c r="FT8" s="25"/>
      <c r="FU8" s="25"/>
      <c r="FV8" s="25"/>
      <c r="FW8" s="25"/>
      <c r="FX8" s="25">
        <v>17.399999999999999</v>
      </c>
      <c r="FY8" s="25">
        <v>2.8</v>
      </c>
      <c r="FZ8" s="25">
        <v>0</v>
      </c>
      <c r="GA8" s="25">
        <v>0</v>
      </c>
      <c r="GB8" s="25">
        <v>18.7</v>
      </c>
      <c r="GC8" s="25">
        <v>8</v>
      </c>
      <c r="GD8" s="25">
        <v>0</v>
      </c>
      <c r="GE8" s="25">
        <v>0</v>
      </c>
      <c r="GF8" s="79">
        <f>IF(SUM(FM8,FQ8)&gt;0,SUM(FM8,FQ8),"")</f>
        <v>14.4</v>
      </c>
      <c r="GG8" s="79">
        <f>IF(SUM(FL8:FM8,FO8:FQ8,FS8)-FN8-FR8&gt;0,SUM(FL8:FM8,FO8:FQ8,FS8)-FN8-FR8,"")</f>
        <v>50.1</v>
      </c>
      <c r="GH8" s="79" t="str">
        <f>IF(SUM(FT8:FU8,FW8)-FV8&gt;0,SUM(FT8:FU8,FW8)-FV8,"")</f>
        <v/>
      </c>
      <c r="GI8" s="79">
        <f>IF(SUM(FM8,FQ8,FU8)&gt;0,SUM(FM8,FQ8,FU8),"")</f>
        <v>14.4</v>
      </c>
      <c r="GJ8" s="79">
        <f>IF(SUM(GG8,GH8)&gt;0,SUM(GG8,GH8),"")</f>
        <v>50.1</v>
      </c>
      <c r="GK8" s="79">
        <f>IF(SUM(FY8,GC8)&gt;0,SUM(FY8,GC8),"")</f>
        <v>10.8</v>
      </c>
      <c r="GL8" s="79">
        <f>IF(SUM(FX8:FY8,GA8:GC8,GE8)-SUM(FZ8,GD8)&gt;0,SUM(FX8:FY8,GA8:GC8,GE8)-SUM(FZ8,GD8),"")</f>
        <v>46.9</v>
      </c>
      <c r="GM8" s="79">
        <f>IF(SUM(GG8,GL8)&gt;0,SUM(GG8,GL8),"")</f>
        <v>97</v>
      </c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0" t="str">
        <f>IF(SUM(GO8,GS8)&gt;0,SUM(GO8,GS8),"")</f>
        <v/>
      </c>
      <c r="HI8" s="20" t="str">
        <f>IF(SUM(GN8:GO8,GQ8:GS8,GU8)-GP8-GT8&gt;0,SUM(GN8:GO8,GQ8:GS8,GU8)-GP8-GT8,"")</f>
        <v/>
      </c>
      <c r="HJ8" s="20" t="str">
        <f>IF(SUM(GV8:GW8,GY8)-GX8&gt;0,SUM(GV8:GW8,GY8)-GX8,"")</f>
        <v/>
      </c>
      <c r="HK8" s="20" t="str">
        <f>IF(SUM(GO8,GS8,GW8)&gt;0,SUM(GO8,GS8,GW8),"")</f>
        <v/>
      </c>
      <c r="HL8" s="20" t="str">
        <f>IF(SUM(HI8,HJ8)&gt;0,SUM(HI8,HJ8),"")</f>
        <v/>
      </c>
      <c r="HM8" s="20" t="str">
        <f>IF(SUM(HA8,HE8)&gt;0,SUM(HA8,HE8),"")</f>
        <v/>
      </c>
      <c r="HN8" s="20" t="str">
        <f>IF(SUM(GZ8:HA8,HC8:HE8,HG8)-SUM(HB8,HF8)&gt;0,SUM(GZ8:HA8,HC8:HE8,HG8)-SUM(HB8,HF8),"")</f>
        <v/>
      </c>
      <c r="HO8" s="20" t="str">
        <f>IF(SUM(HI8,HN8)&gt;0,SUM(HI8,HN8),"")</f>
        <v/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79" t="str">
        <f>IF(SUM(HQ8,HU8)&gt;0,SUM(HQ8,HU8),"")</f>
        <v/>
      </c>
      <c r="IK8" s="79" t="str">
        <f>IF(SUM(HP8:HQ8,HS8:HU8,HW8)-HR8-HV8&gt;0,SUM(HP8:HQ8,HS8:HU8,HW8)-HR8-HV8,"")</f>
        <v/>
      </c>
      <c r="IL8" s="79" t="str">
        <f>IF(SUM(HX8:HY8,IA8)-HZ8&gt;0,SUM(HX8:HY8,IA8)-HZ8,"")</f>
        <v/>
      </c>
      <c r="IM8" s="79" t="str">
        <f>IF(SUM(HQ8,HU8,HY8)&gt;0,SUM(HQ8,HU8,HY8),"")</f>
        <v/>
      </c>
      <c r="IN8" s="79" t="str">
        <f>IF(SUM(IK8,IL8)&gt;0,SUM(IK8,IL8),"")</f>
        <v/>
      </c>
      <c r="IO8" s="79" t="str">
        <f>IF(SUM(IC8,IG8)&gt;0,SUM(IC8,IG8),"")</f>
        <v/>
      </c>
      <c r="IP8" s="79" t="str">
        <f>IF(SUM(IB8:IC8,IE8:IG8,II8)-SUM(ID8,IH8)&gt;0,SUM(IB8:IC8,IE8:IG8,II8)-SUM(ID8,IH8),"")</f>
        <v/>
      </c>
      <c r="IQ8" s="79" t="str">
        <f>IF(SUM(IK8,IP8)&gt;0,SUM(IK8,IP8),"")</f>
        <v/>
      </c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0" t="str">
        <f>IF(SUM(IS8,IW8)&gt;0,SUM(IS8,IW8),"")</f>
        <v/>
      </c>
      <c r="JM8" s="20" t="str">
        <f>IF(SUM(IR8:IS8,IU8:IW8,IY8)-IT8-IX8&gt;0,SUM(IR8:IS8,IU8:IW8,IY8)-IT8-IX8,"")</f>
        <v/>
      </c>
      <c r="JN8" s="20" t="str">
        <f>IF(SUM(IZ8:JA8,JC8)-JB8&gt;0,SUM(IZ8:JA8,JC8)-JB8,"")</f>
        <v/>
      </c>
      <c r="JO8" s="20" t="str">
        <f>IF(SUM(IS8,IW8,JA8)&gt;0,SUM(IS8,IW8,JA8),"")</f>
        <v/>
      </c>
      <c r="JP8" s="20" t="str">
        <f>IF(SUM(JM8,JN8)&gt;0,SUM(JM8,JN8),"")</f>
        <v/>
      </c>
      <c r="JQ8" s="20" t="str">
        <f>IF(SUM(JE8,JI8)&gt;0,SUM(JE8,JI8),"")</f>
        <v/>
      </c>
      <c r="JR8" s="20" t="str">
        <f>IF(SUM(JD8:JE8,JG8:JI8,JK8)-SUM(JF8,JJ8)&gt;0,SUM(JD8:JE8,JG8:JI8,JK8)-SUM(JF8,JJ8),"")</f>
        <v/>
      </c>
      <c r="JS8" s="20" t="str">
        <f>IF(SUM(JM8,JR8)&gt;0,SUM(JM8,JR8),"")</f>
        <v/>
      </c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79" t="str">
        <f>IF(SUM(JU8,JY8)&gt;0,SUM(JU8,JY8),"")</f>
        <v/>
      </c>
      <c r="KO8" s="79" t="str">
        <f>IF(SUM(JT8:JU8,JW8:JY8,KA8)-JV8-JZ8&gt;0,SUM(JT8:JU8,JW8:JY8,KA8)-JV8-JZ8,"")</f>
        <v/>
      </c>
      <c r="KP8" s="79" t="str">
        <f>IF(SUM(KB8:KC8,KE8)-KD8&gt;0,SUM(KB8:KC8,KE8)-KD8,"")</f>
        <v/>
      </c>
      <c r="KQ8" s="79" t="str">
        <f>IF(SUM(JU8,JY8,KC8)&gt;0,SUM(JU8,JY8,KC8),"")</f>
        <v/>
      </c>
      <c r="KR8" s="79" t="str">
        <f>IF(SUM(KO8,KP8)&gt;0,SUM(KO8,KP8),"")</f>
        <v/>
      </c>
      <c r="KS8" s="79" t="str">
        <f>IF(SUM(KG8,KK8)&gt;0,SUM(KG8,KK8),"")</f>
        <v/>
      </c>
      <c r="KT8" s="79" t="str">
        <f>IF(SUM(KF8:KG8,KI8:KK8,KM8)-SUM(KH8,KL8)&gt;0,SUM(KF8:KG8,KI8:KK8,KM8)-SUM(KH8,KL8),"")</f>
        <v/>
      </c>
      <c r="KU8" s="79" t="str">
        <f>IF(SUM(KO8,KT8)&gt;0,SUM(KO8,KT8),"")</f>
        <v/>
      </c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0" t="str">
        <f>IF(SUM(KW8,LA8)&gt;0,SUM(KW8,LA8),"")</f>
        <v/>
      </c>
      <c r="LQ8" s="20" t="str">
        <f>IF(SUM(KV8:KW8,KY8:LA8,LC8)-KX8-LB8&gt;0,SUM(KV8:KW8,KY8:LA8,LC8)-KX8-LB8,"")</f>
        <v/>
      </c>
      <c r="LR8" s="20" t="str">
        <f>IF(SUM(LD8:LE8,LG8)-LF8&gt;0,SUM(LD8:LE8,LG8)-LF8,"")</f>
        <v/>
      </c>
      <c r="LS8" s="20" t="str">
        <f>IF(SUM(KW8,LA8,LE8)&gt;0,SUM(KW8,LA8,LE8),"")</f>
        <v/>
      </c>
      <c r="LT8" s="20" t="str">
        <f>IF(SUM(LQ8,LR8)&gt;0,SUM(LQ8,LR8),"")</f>
        <v/>
      </c>
      <c r="LU8" s="20" t="str">
        <f>IF(SUM(LI8,LM8)&gt;0,SUM(LI8,LM8),"")</f>
        <v/>
      </c>
      <c r="LV8" s="20" t="str">
        <f>IF(SUM(LH8:LI8,LK8:LM8,LO8)-SUM(LJ8,LN8)&gt;0,SUM(LH8:LI8,LK8:LM8,LO8)-SUM(LJ8,LN8),"")</f>
        <v/>
      </c>
      <c r="LW8" s="20" t="str">
        <f>IF(SUM(LQ8,LV8)&gt;0,SUM(LQ8,LV8),"")</f>
        <v/>
      </c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79" t="str">
        <f>IF(SUM(LY8,MC8)&gt;0,SUM(LY8,MC8),"")</f>
        <v/>
      </c>
      <c r="MS8" s="79" t="str">
        <f>IF(SUM(LX8:LY8,MA8:MC8,ME8)-LZ8-MD8&gt;0,SUM(LX8:LY8,MA8:MC8,ME8)-LZ8-MD8,"")</f>
        <v/>
      </c>
      <c r="MT8" s="79" t="str">
        <f>IF(SUM(MF8:MG8,MI8)-MH8&gt;0,SUM(MF8:MG8,MI8)-MH8,"")</f>
        <v/>
      </c>
      <c r="MU8" s="79" t="str">
        <f>IF(SUM(LY8,MC8,MG8)&gt;0,SUM(LY8,MC8,MG8),"")</f>
        <v/>
      </c>
      <c r="MV8" s="79" t="str">
        <f>IF(SUM(MS8,MT8)&gt;0,SUM(MS8,MT8),"")</f>
        <v/>
      </c>
      <c r="MW8" s="79" t="str">
        <f>IF(SUM(MK8,MO8)&gt;0,SUM(MK8,MO8),"")</f>
        <v/>
      </c>
      <c r="MX8" s="79" t="str">
        <f>IF(SUM(MJ8:MK8,MM8:MO8,MQ8)-SUM(ML8,MP8)&gt;0,SUM(MJ8:MK8,MM8:MO8,MQ8)-SUM(ML8,MP8),"")</f>
        <v/>
      </c>
      <c r="MY8" s="79" t="str">
        <f>IF(SUM(MS8,MX8)&gt;0,SUM(MS8,MX8),"")</f>
        <v/>
      </c>
      <c r="MZ8" s="26"/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0" t="str">
        <f>IF(SUM(NA8,NE8)&gt;0,SUM(NA8,NE8),"")</f>
        <v/>
      </c>
      <c r="NU8" s="20" t="str">
        <f>IF(SUM(MZ8:NA8,NC8:NE8,NG8)-NB8-NF8&gt;0,SUM(MZ8:NA8,NC8:NE8,NG8)-NB8-NF8,"")</f>
        <v/>
      </c>
      <c r="NV8" s="20" t="str">
        <f>IF(SUM(NH8:NI8,NK8)-NJ8&gt;0,SUM(NH8:NI8,NK8)-NJ8,"")</f>
        <v/>
      </c>
      <c r="NW8" s="20" t="str">
        <f>IF(SUM(NA8,NE8,NI8)&gt;0,SUM(NA8,NE8,NI8),"")</f>
        <v/>
      </c>
      <c r="NX8" s="20" t="str">
        <f>IF(SUM(NU8,NV8)&gt;0,SUM(NU8,NV8),"")</f>
        <v/>
      </c>
      <c r="NY8" s="20" t="str">
        <f>IF(SUM(NM8,NQ8)&gt;0,SUM(NM8,NQ8),"")</f>
        <v/>
      </c>
      <c r="NZ8" s="20" t="str">
        <f>IF(SUM(NL8:NM8,NO8:NQ8,NS8)-SUM(NN8,NR8)&gt;0,SUM(NL8:NM8,NO8:NQ8,NS8)-SUM(NN8,NR8),"")</f>
        <v/>
      </c>
      <c r="OA8" s="20" t="str">
        <f>IF(SUM(NU8,NZ8)&gt;0,SUM(NU8,NZ8),"")</f>
        <v/>
      </c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79" t="str">
        <f>IF(SUM(OC8,OG8)&gt;0,SUM(OC8,OG8),"")</f>
        <v/>
      </c>
      <c r="OW8" s="79" t="str">
        <f>IF(SUM(OB8:OC8,OE8:OG8,OI8)-OD8-OH8&gt;0,SUM(OB8:OC8,OE8:OG8,OI8)-OD8-OH8,"")</f>
        <v/>
      </c>
      <c r="OX8" s="79" t="str">
        <f>IF(SUM(OJ8:OK8,OM8)-OL8&gt;0,SUM(OJ8:OK8,OM8)-OL8,"")</f>
        <v/>
      </c>
      <c r="OY8" s="79" t="str">
        <f>IF(SUM(OC8,OG8,OK8)&gt;0,SUM(OC8,OG8,OK8),"")</f>
        <v/>
      </c>
      <c r="OZ8" s="79" t="str">
        <f>IF(SUM(OW8,OX8)&gt;0,SUM(OW8,OX8),"")</f>
        <v/>
      </c>
      <c r="PA8" s="79" t="str">
        <f>IF(SUM(OO8,OS8)&gt;0,SUM(OO8,OS8),"")</f>
        <v/>
      </c>
      <c r="PB8" s="79" t="str">
        <f>IF(SUM(ON8:OO8,OQ8:OS8,OU8)-SUM(OP8,OT8)&gt;0,SUM(ON8:OO8,OQ8:OS8,OU8)-SUM(OP8,OT8),"")</f>
        <v/>
      </c>
      <c r="PC8" s="79" t="str">
        <f>IF(SUM(OW8,PB8)&gt;0,SUM(OW8,PB8),"")</f>
        <v/>
      </c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0" t="str">
        <f>IF(SUM(PE8,PI8)&gt;0,SUM(PE8,PI8),"")</f>
        <v/>
      </c>
      <c r="PY8" s="20" t="str">
        <f>IF(SUM(PD8:PE8,PG8:PI8,PK8)-PF8-PJ8&gt;0,SUM(PD8:PE8,PG8:PI8,PK8)-PF8-PJ8,"")</f>
        <v/>
      </c>
      <c r="PZ8" s="20" t="str">
        <f>IF(SUM(PL8:PM8,PO8)-PN8&gt;0,SUM(PL8:PM8,PO8)-PN8,"")</f>
        <v/>
      </c>
      <c r="QA8" s="20" t="str">
        <f>IF(SUM(PE8,PI8,PM8)&gt;0,SUM(PE8,PI8,PM8),"")</f>
        <v/>
      </c>
      <c r="QB8" s="20" t="str">
        <f>IF(SUM(PY8,PZ8)&gt;0,SUM(PY8,PZ8),"")</f>
        <v/>
      </c>
      <c r="QC8" s="20" t="str">
        <f>IF(SUM(PQ8,PU8)&gt;0,SUM(PQ8,PU8),"")</f>
        <v/>
      </c>
      <c r="QD8" s="20" t="str">
        <f>IF(SUM(PP8:PQ8,PS8:PU8,PW8)-SUM(PR8,PV8)&gt;0,SUM(PP8:PQ8,PS8:PU8,PW8)-SUM(PR8,PV8),"")</f>
        <v/>
      </c>
      <c r="QE8" s="20" t="str">
        <f>IF(SUM(PY8,QD8)&gt;0,SUM(PY8,QD8),"")</f>
        <v/>
      </c>
      <c r="QF8" s="38">
        <f>IF($CV8="P",CB8,(CB8+AY8)/2)</f>
        <v>9.5</v>
      </c>
      <c r="QG8" s="38">
        <f>IF($CV8="P",CC8,(CC8+AZ8)/2)</f>
        <v>3.4</v>
      </c>
      <c r="QH8" s="38">
        <f>IF($CV8="P",CD8,(CD8+BA8)/2)</f>
        <v>0.3</v>
      </c>
      <c r="QI8" s="38">
        <f>IF($CV8="P",CE8,(CE8+BB8)/2)</f>
        <v>0</v>
      </c>
      <c r="QJ8" s="38">
        <f>IF($CV8="P",CF8,(CF8+BC8)/2)</f>
        <v>9.5500000000000007</v>
      </c>
      <c r="QK8" s="38">
        <f>IF($CV8="P",CG8,(CG8+BD8)/2)</f>
        <v>3.6</v>
      </c>
      <c r="QL8" s="38">
        <f>IF($CV8="P",CH8,(CH8+BE8)/2)</f>
        <v>0.3</v>
      </c>
      <c r="QM8" s="38">
        <f>IF($CV8="P",CI8,(CI8+BF8)/2)</f>
        <v>0</v>
      </c>
      <c r="QN8" s="38">
        <f>IF($CV8="P",CJ8,(CJ8+BG8)/2)</f>
        <v>9.1999999999999993</v>
      </c>
      <c r="QO8" s="38">
        <f>IF($CV8="P",CK8,(CK8+BH8)/2)</f>
        <v>3.65</v>
      </c>
      <c r="QP8" s="38">
        <f>IF($CV8="P",CL8,(CL8+BI8)/2)</f>
        <v>0.5</v>
      </c>
      <c r="QQ8" s="38">
        <f>IF($CV8="P",CM8,(CM8+BJ8)/2)</f>
        <v>0</v>
      </c>
      <c r="QR8" s="38">
        <f>IF($CV8="P",CN8,(CN8+BK8)/2)</f>
        <v>9.4</v>
      </c>
      <c r="QS8" s="38">
        <f>IF($CV8="P",CO8,(CO8+BL8)/2)</f>
        <v>3.4</v>
      </c>
      <c r="QT8" s="38">
        <f>IF($CV8="P",CP8,(CP8+BM8)/2)</f>
        <v>0.3</v>
      </c>
      <c r="QU8" s="38">
        <f>IF($CV8="P",CQ8,(CQ8+BN8)/2)</f>
        <v>0</v>
      </c>
      <c r="QV8" s="38">
        <f>IF($CV8="P",CR8,(CR8+BO8)/2)</f>
        <v>0</v>
      </c>
      <c r="QW8" s="38">
        <f>IF($CV8="P",CS8,(CS8+BP8)/2)</f>
        <v>0</v>
      </c>
      <c r="QX8" s="38">
        <f>IF($CV8="P",CT8,(CT8+BQ8)/2)</f>
        <v>0</v>
      </c>
      <c r="QY8" s="38">
        <f>IF($CV8="P",CU8,(CU8+BR8)/2)</f>
        <v>0</v>
      </c>
      <c r="QZ8" s="45" t="s">
        <v>46</v>
      </c>
      <c r="RA8" s="79">
        <f>IF(SUM(QG8,QK8)&gt;0,SUM(QG8,QK8),"")</f>
        <v>7</v>
      </c>
      <c r="RB8" s="79">
        <f>IF(SUM(QF8:QG8,QI8:QK8,QM8)-QH8-QL8&gt;0,SUM(QF8:QG8,QI8:QK8,QM8)-QH8-QL8,"")</f>
        <v>25.450000000000003</v>
      </c>
      <c r="RC8" s="79">
        <f>IF(SUM(QN8:QO8,QQ8)-QP8&gt;0,SUM(QN8:QO8,QQ8)-QP8,"")</f>
        <v>12.35</v>
      </c>
      <c r="RD8" s="79">
        <f>IF(SUM(QG8,QK8,QO8)&gt;0,SUM(QG8,QK8,QO8),"")</f>
        <v>10.65</v>
      </c>
      <c r="RE8" s="79">
        <f>IF(SUM(RB8,RC8)&gt;0,SUM(RB8,RC8),"")</f>
        <v>37.800000000000004</v>
      </c>
      <c r="RF8" s="79">
        <f>IF(SUM(QS8,QW8)&gt;0,SUM(QS8,QW8),"")</f>
        <v>3.4</v>
      </c>
      <c r="RG8" s="79">
        <f>IF(SUM(QR8:QS8,QU8:QW8,QY8)-SUM(QT8,QX8)&gt;0,SUM(QR8:QS8,QU8:QW8,QY8)-SUM(QT8,QX8),"")</f>
        <v>12.5</v>
      </c>
      <c r="RH8" s="79">
        <f>IF(SUM(RB8,RG8)&gt;0,SUM(RB8,RG8),"")</f>
        <v>37.950000000000003</v>
      </c>
    </row>
    <row r="9" spans="1:476" x14ac:dyDescent="0.2">
      <c r="A9" s="5">
        <f>IF(AND(F9="P",G9="P"),SUMPRODUCT((F$4:F$27="P")*(G$4:G$27="P")*(E$4:E$27&gt;E9))+1,IF(G9="P",SUMPRODUCT((F$4:F$27="")*(G$4:G$27="P")*(E$4:E$27&gt;E9))+1+SUMPRODUCT((F$4:F$27="P")*(G$4:G$27="P")),""))</f>
        <v>6</v>
      </c>
      <c r="B9" s="78" t="s">
        <v>177</v>
      </c>
      <c r="C9" s="5" t="s">
        <v>5</v>
      </c>
      <c r="D9" s="5">
        <v>2003</v>
      </c>
      <c r="E9" s="15">
        <f>SUM(I9:S9)+SUM(I9:O9)*0.0000001+SUM(I9)*0.0000000000001</f>
        <v>121.80020714002495</v>
      </c>
      <c r="F9" s="3" t="str">
        <f>IF(OR(AND(AQ9&gt;=AX$29,AR9&gt;=AX$33,AQ9&lt;&gt;"",AP9=""),AND(AV9&gt;=AX$29,AW9&gt;=AX$33,AV9&lt;&gt;"",AP9=""),AND(BT9&gt;=CA$29,BU9&gt;=CA$33,BT9&lt;&gt;"",BS9=""),AND(BY9&gt;=CA$29,BZ9&gt;=CA$33,BY9&lt;&gt;"",BS9=""),AND(CW9&gt;=DD$29,CX9&gt;=DD$33,CW9&lt;&gt;"",CV9=""),AND(DB9&gt;=DD$29,DC9&gt;=DD$33,DB9&lt;&gt;""),AND(EB9&gt;=EI$29,EC9&gt;=EI$33,EB9&lt;&gt;""),AND(EG9&gt;=EI$29,EH9&gt;=EI$33,EG9&lt;&gt;""),AND(FD9&gt;=FK$29,FE9&gt;=FK$33,FD9&lt;&gt;""),AND(FI9&gt;=FK$29,FJ9&gt;=FK$33,FI9&lt;&gt;""),AND(GF9&gt;=GM$29,GG9&gt;=GM$33,GF9&lt;&gt;""),AND(GK9&gt;=GM$29,GL9&gt;=GM$33,GK9&lt;&gt;""),AND(HH9&gt;=HO$29,HI9&gt;=HO$33,HH9&lt;&gt;""),AND(HM9&gt;=HO$29,HN9&gt;=HO$33,HM9&lt;&gt;""),AND(IJ9&gt;=IQ$29,IK9&gt;=IQ$33,IJ9&lt;&gt;""),AND(IO9&gt;=IQ$29,IP9&gt;=IQ$33,IO9&lt;&gt;""),AND(JL9&gt;=JS$29,JM9&gt;=JS$33,JL9&lt;&gt;""),AND(JQ9&gt;=JS$29,JR9&gt;=JS$33,JQ9&lt;&gt;""),AND(KN9&gt;=KU$29,KO9&gt;=KU$33,KN9&lt;&gt;""),AND(KS9&gt;=KU$29,KT9&gt;=KU$33,KS9&lt;&gt;""),AND(LP9&gt;=LW$29,LQ9&gt;=LW$33,LP9&lt;&gt;""),AND(LU9&gt;=LW$29,LV9&gt;=LW$33,LU9&lt;&gt;""),AND(MR9&gt;=MY$29,MS9&gt;=MY$33,MR9&lt;&gt;""),AND(MW9&gt;=MY$29,MX9&gt;=MY$33,MW9&lt;&gt;""),AND(NT9&gt;=OA$29,NU9&gt;=OA$33,NT9&lt;&gt;""),AND(NY9&gt;=OA$29,NZ9&gt;=OA$33,NY9&lt;&gt;""),AND(OV9&gt;=PC$29,OW9&gt;=PC$33,OV9&lt;&gt;""),AND(PA9&gt;=PC$29,PB9&gt;=PC$33,PA9&lt;&gt;""),AND(PX9&gt;=QE$29,PY9&gt;=QE$33,PX9&lt;&gt;""),AND(QC9&gt;=QE$29,QD9&gt;=QE$33,QC9&lt;&gt;"")),"P","")</f>
        <v>P</v>
      </c>
      <c r="G9" s="3" t="str">
        <f>IF(OR(AND(AR9&gt;=AX$33,AR9&lt;&gt;"",AP9=""),AND(AW9&gt;=AX$33,AW9&lt;&gt;"",AP9=""),AND(BU9&gt;=CA$33,BU9&lt;&gt;"",BS9=""),AND(BZ9&gt;=CA$33,BZ9&lt;&gt;"",BS9=""),AND(CX9&gt;=DD$33,CX9&lt;&gt;"",CV9=""),AND(DC9&gt;=DD$33,DC9&lt;&gt;"",CV9=""),AND(EC9&gt;=EI$33,EC9&lt;&gt;""),AND(EH9&gt;=EI$33,EH9&lt;&gt;""),AND(FE9&gt;=FK$33,FE9&lt;&gt;""),AND(FJ9&gt;=FK$33,FJ9&lt;&gt;""),AND(GG9&gt;=GM$33,GG9&lt;&gt;""),AND(GL9&gt;=GM$33,GL9&lt;&gt;""),AND(HI9&gt;=HO$33,HI9&lt;&gt;""),AND(HN9&gt;=HO$33,HN9&lt;&gt;""),AND(IK9&gt;=IQ$33,IK9&lt;&gt;""),AND(IP9&gt;=IQ$33,IP9&lt;&gt;""),AND(JM9&gt;=JS$33,JM9&lt;&gt;""),AND(JR9&gt;=JS$33,JR9&lt;&gt;""),AND(KO9&gt;=KU$33,KO9&lt;&gt;""),AND(KT9&gt;=KU$33,KT9&lt;&gt;""),AND(LQ9&gt;=LW$33,LQ9&lt;&gt;""),AND(LV9&gt;=LW$33,LV9&lt;&gt;""),AND(MS9&gt;=MY$33,MS9&lt;&gt;""),AND(MX9&gt;=MY$33,MX9&lt;&gt;""),AND(NU9&gt;=OA$33,NU9&lt;&gt;""),AND(NZ9&gt;=OA$33,NZ9&lt;&gt;""),AND(OW9&gt;=PC$33,OW9&lt;&gt;""),AND(PB9&gt;=PC$33,PB9&lt;&gt;""),AND(PY9&gt;=QE$33,PY9&lt;&gt;""),AND(QD9&gt;=QE$33,QD9&lt;&gt;"")),"P","")</f>
        <v>P</v>
      </c>
      <c r="H9" s="67" t="str">
        <f>IF(AND(G9="P",F9=""),"No DD",IF(OR(AND(AT9&gt;=AX$32,AU9&gt;=AX$36,AT9&lt;&gt;"",AP9=""),AND(BW9&gt;=CA$32,BX9&gt;=CA$36,BW9&lt;&gt;"",BS9=""),AND(CZ9&gt;=DD$32,DA9&gt;=DD$36,CZ9&lt;&gt;"",CV9=""),AND(EE9&gt;=EI$32,EF9&gt;=EI$36,EE9&lt;&gt;""),AND(FG9&gt;=FK$32,FH9&gt;=FK$36,FG9&lt;&gt;""),AND(GI9&gt;=GM$32,GJ9&gt;=GM$36,GI9&lt;&gt;""),AND(HK9&gt;=HO$32,HL9&gt;=HO$36,HK9&lt;&gt;""),AND(IM9&gt;=IQ$32,IN9&gt;=IQ$36,IM9&lt;&gt;""),AND(JO9&gt;=JS$32,JP9&gt;=JS$36,JO9&lt;&gt;""),AND(KQ9&gt;=KU$32,KR9&gt;=KU$36,KQ9&lt;&gt;""),AND(LS9&gt;=LW$32,LT9&gt;=LW$36,LS9&lt;&gt;""),AND(MU9&gt;=MY$32,MV9&gt;=MY$36,MU9&lt;&gt;""),AND(NW9&gt;=OA$32,NX9&gt;=OA$36,NW9&lt;&gt;""),AND(OY9&gt;=PC$32,OZ9&gt;=PC$36,OY9&lt;&gt;""),AND(QA9&gt;=QE$32,QB9&gt;=QE$36,QA9&lt;&gt;"")),"Merit",IF(OR(AND(AT9&gt;=AX$31,AU9&gt;=AX$35,AT9&lt;&gt;"",AP9=""),AND(BW9&gt;=CA$31,BX9&gt;=CA$35,BW9&lt;&gt;"",BS9=""),AND(CZ9&gt;=DD$31,DA9&gt;=DD$35,CZ9&lt;&gt;"",CV9=""),AND(EE9&gt;=EI$31,EF9&gt;=EI$35,EE9&lt;&gt;""),AND(FG9&gt;=FK$31,FH9&gt;=FK$35,FG9&lt;&gt;""),AND(GI9&gt;=GM$31,GJ9&gt;=GM$35,GI9&lt;&gt;""),AND(HK9&gt;=HO$31,HL9&gt;=HO$35,HK9&lt;&gt;""),AND(IM9&gt;=IQ$31,IN9&gt;=IQ$35,IM9&lt;&gt;""),AND(JO9&gt;=JS$31,JP9&gt;=JS$35,JO9&lt;&gt;""),AND(KQ9&gt;=KU$31,KR9&gt;=KU$35,KQ9&lt;&gt;""),AND(LS9&gt;=LW$31,LT9&gt;=LW$35,LS9&lt;&gt;""),AND(MU9&gt;=MY$31,MV9&gt;=MY$35,MU9&lt;&gt;""),AND(NW9&gt;=OA$31,NX9&gt;=OA$35,NW9&lt;&gt;""),AND(OY9&gt;=PC$31,OZ9&gt;=PC$35,OY9&lt;&gt;""),AND(QA9&gt;=QE$31,QB9&gt;=QE$35,QA9&lt;&gt;"")),"Excellence",IF(F9="P","National Team",""))))</f>
        <v>National Team</v>
      </c>
      <c r="I9" s="14">
        <f>IF(COUNT(AR9,BU9,CX9)&gt;0,LARGE((AR9,BU9,CX9),1),0)</f>
        <v>49.5</v>
      </c>
      <c r="J9" s="14" t="str">
        <f>IF(I9=0,"",IF(I9=CX9,$CB$1,IF(I9=BU9,$AY$1,IF(I9=AR9,$V$1,""))))</f>
        <v>2022 Elite Canada</v>
      </c>
      <c r="K9" s="14">
        <f>IF(COUNT(AR9,BU9,CX9)&gt;1,LARGE((AR9,BU9,CX9),2),0)</f>
        <v>2.0000000000000001E-4</v>
      </c>
      <c r="L9" s="14" t="str">
        <f>IF(K9=0,"",IF(K9=CX9,$CB$1,IF(K9=BU9,$AY$1,IF(K9=AR9,$V$1,""))))</f>
        <v>2021 Canadian Championships</v>
      </c>
      <c r="M9" s="14">
        <f>IF(COUNT(AS9,BV9,CY9)&gt;0,LARGE((AS9,BV9,CY9),1),0)</f>
        <v>21.9</v>
      </c>
      <c r="N9" s="14" t="str">
        <f>IF(M9=0,"",IF(M9=CY9,$CB$1,IF(M9=BV9,$AY$1,IF(M9=AS9,$V$1,""))))</f>
        <v>2022 Elite Canada</v>
      </c>
      <c r="O9" s="14">
        <f>IF(COUNT(AS9,BV9,CY9)&gt;1,LARGE((AS9,BV9,CY9),2),0)</f>
        <v>0</v>
      </c>
      <c r="P9" s="14" t="str">
        <f>IF(O9=0,"",IF(O9=CY9,$CB$1,IF(O9=BV9,$AY$1,IF(O9=AS9,$V$1,""))))</f>
        <v/>
      </c>
      <c r="Q9" s="14">
        <f>IF(MAX(AW9,BZ9,DC9)&gt;0,MAX(AW9,BZ9,DC9),0)</f>
        <v>45.100000000000009</v>
      </c>
      <c r="R9" s="14" t="str">
        <f>IF(Q9=0,"",IF(Q9=DC9,$CB$1,IF(Q9=BZ9,$AY$1,IF(Q9=AW9,$V$1,""))))</f>
        <v>2022 Elite Canada</v>
      </c>
      <c r="S9" s="14">
        <f>IF(MAX(DE9:DG9)&gt;0,MAX(DE9:DG9),"")</f>
        <v>5.2999999999999972</v>
      </c>
      <c r="T9" s="20" t="str">
        <f>IF(S9="","",IF(S9=DE9,"("&amp;DE$2&amp;")",IF(S9=DG9,"("&amp;DG$2&amp;")")))</f>
        <v>(Final)</v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>2022 World Games Technical Trial #1 (Mar 12)</v>
      </c>
      <c r="V9" s="27">
        <v>1E-4</v>
      </c>
      <c r="W9" s="27">
        <v>1E-4</v>
      </c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45"/>
      <c r="AQ9" s="79">
        <f>IF(SUM(W9,AA9)&gt;0,SUM(W9,AA9),"")</f>
        <v>1E-4</v>
      </c>
      <c r="AR9" s="79">
        <f>IF(SUM(V9:W9,Y9:AA9,AC9)-X9-AB9&gt;0,SUM(V9:W9,Y9:AA9,AC9)-X9-AB9,"")</f>
        <v>2.0000000000000001E-4</v>
      </c>
      <c r="AS9" s="79" t="str">
        <f>IF(SUM(AD9:AE9,AG9)-AF9&gt;0,SUM(AD9:AE9,AG9)-AF9,"")</f>
        <v/>
      </c>
      <c r="AT9" s="79">
        <f>IF(SUM(W9,AA9,AE9)&gt;0,SUM(W9,AA9,AE9),"")</f>
        <v>1E-4</v>
      </c>
      <c r="AU9" s="79">
        <f>IF(SUM(AR9,AS9)&gt;0,SUM(AR9,AS9),"")</f>
        <v>2.0000000000000001E-4</v>
      </c>
      <c r="AV9" s="79" t="str">
        <f>IF(SUM(AI9,AM9)&gt;0,SUM(AI9,AM9),"")</f>
        <v/>
      </c>
      <c r="AW9" s="79" t="str">
        <f>IF(SUM(AH9:AI9,AK9:AM9,AO9)-SUM(AJ9,AN9)&gt;0,SUM(AH9:AI9,AK9:AM9,AO9)-SUM(AJ9,AN9),"")</f>
        <v/>
      </c>
      <c r="AX9" s="79">
        <f>IF(SUM(AR9,AW9)&gt;0,SUM(AR9,AW9),"")</f>
        <v>2.0000000000000001E-4</v>
      </c>
      <c r="AY9" s="26">
        <v>1E-4</v>
      </c>
      <c r="AZ9" s="26">
        <v>1E-4</v>
      </c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46"/>
      <c r="BT9" s="20">
        <f>IF(SUM(AZ9,BD9)&gt;0,SUM(AZ9,BD9),"")</f>
        <v>1E-4</v>
      </c>
      <c r="BU9" s="20">
        <f>IF(SUM(AY9:AZ9,BB9:BD9,BF9)-BA9-BE9&gt;0,SUM(AY9:AZ9,BB9:BD9,BF9)-BA9-BE9,"")</f>
        <v>2.0000000000000001E-4</v>
      </c>
      <c r="BV9" s="20" t="str">
        <f>IF(SUM(BG9:BH9,BJ9)-BI9&gt;0,SUM(BG9:BH9,BJ9)-BI9,"")</f>
        <v/>
      </c>
      <c r="BW9" s="20">
        <f>IF(SUM(AZ9,BD9,BH9)&gt;0,SUM(AZ9,BD9,BH9),"")</f>
        <v>1E-4</v>
      </c>
      <c r="BX9" s="20">
        <f>IF(SUM(BU9,BV9)&gt;0,SUM(BU9,BV9),"")</f>
        <v>2.0000000000000001E-4</v>
      </c>
      <c r="BY9" s="20" t="str">
        <f>IF(SUM(BL9,BP9)&gt;0,SUM(BL9,BP9),"")</f>
        <v/>
      </c>
      <c r="BZ9" s="20" t="str">
        <f>IF(SUM(BK9:BL9,BN9:BP9,BR9)-SUM(BM9,BQ9)&gt;0,SUM(BK9:BL9,BN9:BP9,BR9)-SUM(BM9,BQ9),"")</f>
        <v/>
      </c>
      <c r="CA9" s="20">
        <f>IF(SUM(BU9,BZ9)&gt;0,SUM(BU9,BZ9),"")</f>
        <v>2.0000000000000001E-4</v>
      </c>
      <c r="CB9" s="27">
        <v>18.899999999999999</v>
      </c>
      <c r="CC9" s="27">
        <v>6.4</v>
      </c>
      <c r="CD9" s="27">
        <v>0.8</v>
      </c>
      <c r="CE9" s="27">
        <v>0</v>
      </c>
      <c r="CF9" s="27">
        <v>18.3</v>
      </c>
      <c r="CG9" s="27">
        <v>7.7</v>
      </c>
      <c r="CH9" s="27">
        <v>1</v>
      </c>
      <c r="CI9" s="27">
        <v>0</v>
      </c>
      <c r="CJ9" s="27">
        <v>18.3</v>
      </c>
      <c r="CK9" s="27">
        <v>5.2</v>
      </c>
      <c r="CL9" s="27">
        <v>1.6</v>
      </c>
      <c r="CM9" s="27">
        <v>0</v>
      </c>
      <c r="CN9" s="27">
        <v>19</v>
      </c>
      <c r="CO9" s="27">
        <v>6.4</v>
      </c>
      <c r="CP9" s="27">
        <v>0.8</v>
      </c>
      <c r="CQ9" s="27">
        <v>0</v>
      </c>
      <c r="CR9" s="27">
        <v>17.3</v>
      </c>
      <c r="CS9" s="27">
        <v>3.2</v>
      </c>
      <c r="CT9" s="27">
        <v>0</v>
      </c>
      <c r="CU9" s="27">
        <v>0</v>
      </c>
      <c r="CV9" s="45"/>
      <c r="CW9" s="79">
        <f>IF(SUM(CC9,CG9)&gt;0,SUM(CC9,CG9),"")</f>
        <v>14.100000000000001</v>
      </c>
      <c r="CX9" s="79">
        <f>IF(SUM(CB9:CC9,CE9:CG9,CI9)-CD9-CH9&gt;0,SUM(CB9:CC9,CE9:CG9,CI9)-CD9-CH9,"")</f>
        <v>49.5</v>
      </c>
      <c r="CY9" s="79">
        <f>IF(SUM(CJ9:CK9,CM9)-CL9&gt;0,SUM(CJ9:CK9,CM9)-CL9,"")</f>
        <v>21.9</v>
      </c>
      <c r="CZ9" s="79">
        <f>IF(SUM(CC9,CG9,CK9)&gt;0,SUM(CC9,CG9,CK9),"")</f>
        <v>19.3</v>
      </c>
      <c r="DA9" s="79">
        <f>IF(SUM(CX9,CY9)&gt;0,SUM(CX9,CY9),"")</f>
        <v>71.400000000000006</v>
      </c>
      <c r="DB9" s="79">
        <f>IF(SUM(CO9,CS9)&gt;0,SUM(CO9,CS9),"")</f>
        <v>9.6000000000000014</v>
      </c>
      <c r="DC9" s="79">
        <f>IF(SUM(CN9:CO9,CQ9:CS9,CU9)-SUM(CP9,CT9)&gt;0,SUM(CN9:CO9,CQ9:CS9,CU9)-SUM(CP9,CT9),"")</f>
        <v>45.100000000000009</v>
      </c>
      <c r="DD9" s="79">
        <f>IF(SUM(CX9,DC9)&gt;0,SUM(CX9,DC9),"")</f>
        <v>94.600000000000009</v>
      </c>
      <c r="DE9" s="80" t="str">
        <f>IF(K9&gt;=0.001,IF(MAX(EC9,FE9,GG9,HI9,IK9,JM9,KO9,LQ9,MS9,NU9,OW9,PY9)-IF(K9="",0,K9)&gt;0.001,MAX(EC9,FE9,GG9,HI9,IK9,JM9,KO9,LQ9,MS9,NU9,OW9,PY9)-IF(K9="",0,K9),""),"")</f>
        <v/>
      </c>
      <c r="DF9" s="80" t="str">
        <f>IF(O9&gt;=0.001,IF(MAX(ED9,FF9,GH9,HJ9,IL9,JN9,KP9,LR9,MT9,NV9,OX9,PZ9)-IF(O9="",0,O9)&gt;0.001,MAX(ED9,FF9,GH9,HJ9,IL9,JN9,KP9,LR9,MT9,NV9,OX9,PZ9)-IF(O9="",0,O9),""),"")</f>
        <v/>
      </c>
      <c r="DG9" s="80">
        <f>IF(Q9&gt;=0.001,IF(MAX(EH9,FJ9,GL9,HN9,IP9,JR9,KT9,LV9,MX9,NZ9,PB9,QD9)-IF(Q9="",0,Q9)&gt;0.001,MAX(EH9,FJ9,GL9,HN9,IP9,JR9,KT9,LV9,MX9,NZ9,PB9,QD9)-IF(Q9="",0,Q9),""),"")</f>
        <v>5.2999999999999972</v>
      </c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79" t="str">
        <f>IF(SUM(DI9,DM9)&gt;0,SUM(DI9,DM9),"")</f>
        <v/>
      </c>
      <c r="EC9" s="79" t="str">
        <f>IF(SUM(DH9:DI9,DK9:DM9,DO9)-DJ9-DN9&gt;0,SUM(DH9:DI9,DK9:DM9,DO9)-DJ9-DN9,"")</f>
        <v/>
      </c>
      <c r="ED9" s="79" t="str">
        <f>IF(SUM(DP9:DQ9,DS9)-DR9&gt;0,SUM(DP9:DQ9,DS9)-DR9,"")</f>
        <v/>
      </c>
      <c r="EE9" s="79" t="str">
        <f>IF(SUM(DI9,DM9,DQ9)&gt;0,SUM(DI9,DM9,DQ9),"")</f>
        <v/>
      </c>
      <c r="EF9" s="79" t="str">
        <f>IF(SUM(EC9,ED9)&gt;0,SUM(EC9,ED9),"")</f>
        <v/>
      </c>
      <c r="EG9" s="79" t="str">
        <f>IF(SUM(DU9,DY9)&gt;0,SUM(DU9,DY9),"")</f>
        <v/>
      </c>
      <c r="EH9" s="79" t="str">
        <f>IF(SUM(DT9:DU9,DW9:DY9,EA9)-SUM(DV9,DZ9)&gt;0,SUM(DT9:DU9,DW9:DY9,EA9)-SUM(DV9,DZ9),"")</f>
        <v/>
      </c>
      <c r="EI9" s="79" t="str">
        <f>IF(SUM(EC9,EH9)&gt;0,SUM(EC9,EH9),"")</f>
        <v/>
      </c>
      <c r="EJ9" s="26">
        <v>19.2</v>
      </c>
      <c r="EK9" s="26">
        <v>6.4</v>
      </c>
      <c r="EL9" s="26">
        <v>0</v>
      </c>
      <c r="EM9" s="26">
        <v>0</v>
      </c>
      <c r="EN9" s="26">
        <v>18</v>
      </c>
      <c r="EO9" s="26">
        <v>7.7</v>
      </c>
      <c r="EP9" s="26">
        <v>0.6</v>
      </c>
      <c r="EQ9" s="26">
        <v>0</v>
      </c>
      <c r="ER9" s="26"/>
      <c r="ES9" s="26"/>
      <c r="ET9" s="26"/>
      <c r="EU9" s="26"/>
      <c r="EV9" s="26">
        <v>18.600000000000001</v>
      </c>
      <c r="EW9" s="26">
        <v>7.2</v>
      </c>
      <c r="EX9" s="26">
        <v>0.6</v>
      </c>
      <c r="EY9" s="26">
        <v>0</v>
      </c>
      <c r="EZ9" s="26">
        <v>18.3</v>
      </c>
      <c r="FA9" s="26">
        <v>7.7</v>
      </c>
      <c r="FB9" s="26">
        <v>0.8</v>
      </c>
      <c r="FC9" s="26">
        <v>0</v>
      </c>
      <c r="FD9" s="20">
        <f>IF(SUM(EK9,EO9)&gt;0,SUM(EK9,EO9),"")</f>
        <v>14.100000000000001</v>
      </c>
      <c r="FE9" s="20">
        <f>IF(SUM(EJ9:EK9,EM9:EO9,EQ9)-EL9-EP9&gt;0,SUM(EJ9:EK9,EM9:EO9,EQ9)-EL9-EP9,"")</f>
        <v>50.7</v>
      </c>
      <c r="FF9" s="20" t="str">
        <f>IF(SUM(ER9:ES9,EU9)-ET9&gt;0,SUM(ER9:ES9,EU9)-ET9,"")</f>
        <v/>
      </c>
      <c r="FG9" s="20">
        <f>IF(SUM(EK9,EO9,ES9)&gt;0,SUM(EK9,EO9,ES9),"")</f>
        <v>14.100000000000001</v>
      </c>
      <c r="FH9" s="20">
        <f>IF(SUM(FE9,FF9)&gt;0,SUM(FE9,FF9),"")</f>
        <v>50.7</v>
      </c>
      <c r="FI9" s="20">
        <f>IF(SUM(EW9,FA9)&gt;0,SUM(EW9,FA9),"")</f>
        <v>14.9</v>
      </c>
      <c r="FJ9" s="20">
        <f>IF(SUM(EV9:EW9,EY9:FA9,FC9)-SUM(EX9,FB9)&gt;0,SUM(EV9:EW9,EY9:FA9,FC9)-SUM(EX9,FB9),"")</f>
        <v>50.400000000000006</v>
      </c>
      <c r="FK9" s="20">
        <f>IF(SUM(FE9,FJ9)&gt;0,SUM(FE9,FJ9),"")</f>
        <v>101.10000000000001</v>
      </c>
      <c r="FL9" s="25">
        <v>18.7</v>
      </c>
      <c r="FM9" s="25">
        <v>7.7</v>
      </c>
      <c r="FN9" s="25">
        <v>0</v>
      </c>
      <c r="FO9" s="25">
        <v>0</v>
      </c>
      <c r="FP9" s="25">
        <v>17.600000000000001</v>
      </c>
      <c r="FQ9" s="25">
        <v>2.8</v>
      </c>
      <c r="FR9" s="25">
        <v>0</v>
      </c>
      <c r="FS9" s="25">
        <v>0</v>
      </c>
      <c r="FT9" s="25"/>
      <c r="FU9" s="25"/>
      <c r="FV9" s="25"/>
      <c r="FW9" s="25"/>
      <c r="FX9" s="25">
        <v>16.600000000000001</v>
      </c>
      <c r="FY9" s="25">
        <v>7.7</v>
      </c>
      <c r="FZ9" s="25">
        <v>0.8</v>
      </c>
      <c r="GA9" s="25">
        <v>0</v>
      </c>
      <c r="GB9" s="25">
        <v>17.5</v>
      </c>
      <c r="GC9" s="25">
        <v>2.8</v>
      </c>
      <c r="GD9" s="25">
        <v>0</v>
      </c>
      <c r="GE9" s="25">
        <v>0</v>
      </c>
      <c r="GF9" s="79">
        <f>IF(SUM(FM9,FQ9)&gt;0,SUM(FM9,FQ9),"")</f>
        <v>10.5</v>
      </c>
      <c r="GG9" s="79">
        <f>IF(SUM(FL9:FM9,FO9:FQ9,FS9)-FN9-FR9&gt;0,SUM(FL9:FM9,FO9:FQ9,FS9)-FN9-FR9,"")</f>
        <v>46.8</v>
      </c>
      <c r="GH9" s="79" t="str">
        <f>IF(SUM(FT9:FU9,FW9)-FV9&gt;0,SUM(FT9:FU9,FW9)-FV9,"")</f>
        <v/>
      </c>
      <c r="GI9" s="79">
        <f>IF(SUM(FM9,FQ9,FU9)&gt;0,SUM(FM9,FQ9,FU9),"")</f>
        <v>10.5</v>
      </c>
      <c r="GJ9" s="79">
        <f>IF(SUM(GG9,GH9)&gt;0,SUM(GG9,GH9),"")</f>
        <v>46.8</v>
      </c>
      <c r="GK9" s="79">
        <f>IF(SUM(FY9,GC9)&gt;0,SUM(FY9,GC9),"")</f>
        <v>10.5</v>
      </c>
      <c r="GL9" s="79">
        <f>IF(SUM(FX9:FY9,GA9:GC9,GE9)-SUM(FZ9,GD9)&gt;0,SUM(FX9:FY9,GA9:GC9,GE9)-SUM(FZ9,GD9),"")</f>
        <v>43.8</v>
      </c>
      <c r="GM9" s="79">
        <f>IF(SUM(GG9,GL9)&gt;0,SUM(GG9,GL9),"")</f>
        <v>90.6</v>
      </c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0" t="str">
        <f>IF(SUM(GO9,GS9)&gt;0,SUM(GO9,GS9),"")</f>
        <v/>
      </c>
      <c r="HI9" s="20" t="str">
        <f>IF(SUM(GN9:GO9,GQ9:GS9,GU9)-GP9-GT9&gt;0,SUM(GN9:GO9,GQ9:GS9,GU9)-GP9-GT9,"")</f>
        <v/>
      </c>
      <c r="HJ9" s="20" t="str">
        <f>IF(SUM(GV9:GW9,GY9)-GX9&gt;0,SUM(GV9:GW9,GY9)-GX9,"")</f>
        <v/>
      </c>
      <c r="HK9" s="20" t="str">
        <f>IF(SUM(GO9,GS9,GW9)&gt;0,SUM(GO9,GS9,GW9),"")</f>
        <v/>
      </c>
      <c r="HL9" s="20" t="str">
        <f>IF(SUM(HI9,HJ9)&gt;0,SUM(HI9,HJ9),"")</f>
        <v/>
      </c>
      <c r="HM9" s="20" t="str">
        <f>IF(SUM(HA9,HE9)&gt;0,SUM(HA9,HE9),"")</f>
        <v/>
      </c>
      <c r="HN9" s="20" t="str">
        <f>IF(SUM(GZ9:HA9,HC9:HE9,HG9)-SUM(HB9,HF9)&gt;0,SUM(GZ9:HA9,HC9:HE9,HG9)-SUM(HB9,HF9),"")</f>
        <v/>
      </c>
      <c r="HO9" s="20" t="str">
        <f>IF(SUM(HI9,HN9)&gt;0,SUM(HI9,HN9),"")</f>
        <v/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79" t="str">
        <f>IF(SUM(HQ9,HU9)&gt;0,SUM(HQ9,HU9),"")</f>
        <v/>
      </c>
      <c r="IK9" s="79" t="str">
        <f>IF(SUM(HP9:HQ9,HS9:HU9,HW9)-HR9-HV9&gt;0,SUM(HP9:HQ9,HS9:HU9,HW9)-HR9-HV9,"")</f>
        <v/>
      </c>
      <c r="IL9" s="79" t="str">
        <f>IF(SUM(HX9:HY9,IA9)-HZ9&gt;0,SUM(HX9:HY9,IA9)-HZ9,"")</f>
        <v/>
      </c>
      <c r="IM9" s="79" t="str">
        <f>IF(SUM(HQ9,HU9,HY9)&gt;0,SUM(HQ9,HU9,HY9),"")</f>
        <v/>
      </c>
      <c r="IN9" s="79" t="str">
        <f>IF(SUM(IK9,IL9)&gt;0,SUM(IK9,IL9),"")</f>
        <v/>
      </c>
      <c r="IO9" s="79" t="str">
        <f>IF(SUM(IC9,IG9)&gt;0,SUM(IC9,IG9),"")</f>
        <v/>
      </c>
      <c r="IP9" s="79" t="str">
        <f>IF(SUM(IB9:IC9,IE9:IG9,II9)-SUM(ID9,IH9)&gt;0,SUM(IB9:IC9,IE9:IG9,II9)-SUM(ID9,IH9),"")</f>
        <v/>
      </c>
      <c r="IQ9" s="79" t="str">
        <f>IF(SUM(IK9,IP9)&gt;0,SUM(IK9,IP9),"")</f>
        <v/>
      </c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0" t="str">
        <f>IF(SUM(IS9,IW9)&gt;0,SUM(IS9,IW9),"")</f>
        <v/>
      </c>
      <c r="JM9" s="20" t="str">
        <f>IF(SUM(IR9:IS9,IU9:IW9,IY9)-IT9-IX9&gt;0,SUM(IR9:IS9,IU9:IW9,IY9)-IT9-IX9,"")</f>
        <v/>
      </c>
      <c r="JN9" s="20" t="str">
        <f>IF(SUM(IZ9:JA9,JC9)-JB9&gt;0,SUM(IZ9:JA9,JC9)-JB9,"")</f>
        <v/>
      </c>
      <c r="JO9" s="20" t="str">
        <f>IF(SUM(IS9,IW9,JA9)&gt;0,SUM(IS9,IW9,JA9),"")</f>
        <v/>
      </c>
      <c r="JP9" s="20" t="str">
        <f>IF(SUM(JM9,JN9)&gt;0,SUM(JM9,JN9),"")</f>
        <v/>
      </c>
      <c r="JQ9" s="20" t="str">
        <f>IF(SUM(JE9,JI9)&gt;0,SUM(JE9,JI9),"")</f>
        <v/>
      </c>
      <c r="JR9" s="20" t="str">
        <f>IF(SUM(JD9:JE9,JG9:JI9,JK9)-SUM(JF9,JJ9)&gt;0,SUM(JD9:JE9,JG9:JI9,JK9)-SUM(JF9,JJ9),"")</f>
        <v/>
      </c>
      <c r="JS9" s="20" t="str">
        <f>IF(SUM(JM9,JR9)&gt;0,SUM(JM9,JR9),"")</f>
        <v/>
      </c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79" t="str">
        <f>IF(SUM(JU9,JY9)&gt;0,SUM(JU9,JY9),"")</f>
        <v/>
      </c>
      <c r="KO9" s="79" t="str">
        <f>IF(SUM(JT9:JU9,JW9:JY9,KA9)-JV9-JZ9&gt;0,SUM(JT9:JU9,JW9:JY9,KA9)-JV9-JZ9,"")</f>
        <v/>
      </c>
      <c r="KP9" s="79" t="str">
        <f>IF(SUM(KB9:KC9,KE9)-KD9&gt;0,SUM(KB9:KC9,KE9)-KD9,"")</f>
        <v/>
      </c>
      <c r="KQ9" s="79" t="str">
        <f>IF(SUM(JU9,JY9,KC9)&gt;0,SUM(JU9,JY9,KC9),"")</f>
        <v/>
      </c>
      <c r="KR9" s="79" t="str">
        <f>IF(SUM(KO9,KP9)&gt;0,SUM(KO9,KP9),"")</f>
        <v/>
      </c>
      <c r="KS9" s="79" t="str">
        <f>IF(SUM(KG9,KK9)&gt;0,SUM(KG9,KK9),"")</f>
        <v/>
      </c>
      <c r="KT9" s="79" t="str">
        <f>IF(SUM(KF9:KG9,KI9:KK9,KM9)-SUM(KH9,KL9)&gt;0,SUM(KF9:KG9,KI9:KK9,KM9)-SUM(KH9,KL9),"")</f>
        <v/>
      </c>
      <c r="KU9" s="79" t="str">
        <f>IF(SUM(KO9,KT9)&gt;0,SUM(KO9,KT9),"")</f>
        <v/>
      </c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0" t="str">
        <f>IF(SUM(KW9,LA9)&gt;0,SUM(KW9,LA9),"")</f>
        <v/>
      </c>
      <c r="LQ9" s="20" t="str">
        <f>IF(SUM(KV9:KW9,KY9:LA9,LC9)-KX9-LB9&gt;0,SUM(KV9:KW9,KY9:LA9,LC9)-KX9-LB9,"")</f>
        <v/>
      </c>
      <c r="LR9" s="20" t="str">
        <f>IF(SUM(LD9:LE9,LG9)-LF9&gt;0,SUM(LD9:LE9,LG9)-LF9,"")</f>
        <v/>
      </c>
      <c r="LS9" s="20" t="str">
        <f>IF(SUM(KW9,LA9,LE9)&gt;0,SUM(KW9,LA9,LE9),"")</f>
        <v/>
      </c>
      <c r="LT9" s="20" t="str">
        <f>IF(SUM(LQ9,LR9)&gt;0,SUM(LQ9,LR9),"")</f>
        <v/>
      </c>
      <c r="LU9" s="20" t="str">
        <f>IF(SUM(LI9,LM9)&gt;0,SUM(LI9,LM9),"")</f>
        <v/>
      </c>
      <c r="LV9" s="20" t="str">
        <f>IF(SUM(LH9:LI9,LK9:LM9,LO9)-SUM(LJ9,LN9)&gt;0,SUM(LH9:LI9,LK9:LM9,LO9)-SUM(LJ9,LN9),"")</f>
        <v/>
      </c>
      <c r="LW9" s="20" t="str">
        <f>IF(SUM(LQ9,LV9)&gt;0,SUM(LQ9,LV9),"")</f>
        <v/>
      </c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79" t="str">
        <f>IF(SUM(LY9,MC9)&gt;0,SUM(LY9,MC9),"")</f>
        <v/>
      </c>
      <c r="MS9" s="79" t="str">
        <f>IF(SUM(LX9:LY9,MA9:MC9,ME9)-LZ9-MD9&gt;0,SUM(LX9:LY9,MA9:MC9,ME9)-LZ9-MD9,"")</f>
        <v/>
      </c>
      <c r="MT9" s="79" t="str">
        <f>IF(SUM(MF9:MG9,MI9)-MH9&gt;0,SUM(MF9:MG9,MI9)-MH9,"")</f>
        <v/>
      </c>
      <c r="MU9" s="79" t="str">
        <f>IF(SUM(LY9,MC9,MG9)&gt;0,SUM(LY9,MC9,MG9),"")</f>
        <v/>
      </c>
      <c r="MV9" s="79" t="str">
        <f>IF(SUM(MS9,MT9)&gt;0,SUM(MS9,MT9),"")</f>
        <v/>
      </c>
      <c r="MW9" s="79" t="str">
        <f>IF(SUM(MK9,MO9)&gt;0,SUM(MK9,MO9),"")</f>
        <v/>
      </c>
      <c r="MX9" s="79" t="str">
        <f>IF(SUM(MJ9:MK9,MM9:MO9,MQ9)-SUM(ML9,MP9)&gt;0,SUM(MJ9:MK9,MM9:MO9,MQ9)-SUM(ML9,MP9),"")</f>
        <v/>
      </c>
      <c r="MY9" s="79" t="str">
        <f>IF(SUM(MS9,MX9)&gt;0,SUM(MS9,MX9),"")</f>
        <v/>
      </c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0" t="str">
        <f>IF(SUM(NA9,NE9)&gt;0,SUM(NA9,NE9),"")</f>
        <v/>
      </c>
      <c r="NU9" s="20" t="str">
        <f>IF(SUM(MZ9:NA9,NC9:NE9,NG9)-NB9-NF9&gt;0,SUM(MZ9:NA9,NC9:NE9,NG9)-NB9-NF9,"")</f>
        <v/>
      </c>
      <c r="NV9" s="20" t="str">
        <f>IF(SUM(NH9:NI9,NK9)-NJ9&gt;0,SUM(NH9:NI9,NK9)-NJ9,"")</f>
        <v/>
      </c>
      <c r="NW9" s="20" t="str">
        <f>IF(SUM(NA9,NE9,NI9)&gt;0,SUM(NA9,NE9,NI9),"")</f>
        <v/>
      </c>
      <c r="NX9" s="20" t="str">
        <f>IF(SUM(NU9,NV9)&gt;0,SUM(NU9,NV9),"")</f>
        <v/>
      </c>
      <c r="NY9" s="20" t="str">
        <f>IF(SUM(NM9,NQ9)&gt;0,SUM(NM9,NQ9),"")</f>
        <v/>
      </c>
      <c r="NZ9" s="20" t="str">
        <f>IF(SUM(NL9:NM9,NO9:NQ9,NS9)-SUM(NN9,NR9)&gt;0,SUM(NL9:NM9,NO9:NQ9,NS9)-SUM(NN9,NR9),"")</f>
        <v/>
      </c>
      <c r="OA9" s="20" t="str">
        <f>IF(SUM(NU9,NZ9)&gt;0,SUM(NU9,NZ9),"")</f>
        <v/>
      </c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79" t="str">
        <f>IF(SUM(OC9,OG9)&gt;0,SUM(OC9,OG9),"")</f>
        <v/>
      </c>
      <c r="OW9" s="79" t="str">
        <f>IF(SUM(OB9:OC9,OE9:OG9,OI9)-OD9-OH9&gt;0,SUM(OB9:OC9,OE9:OG9,OI9)-OD9-OH9,"")</f>
        <v/>
      </c>
      <c r="OX9" s="79" t="str">
        <f>IF(SUM(OJ9:OK9,OM9)-OL9&gt;0,SUM(OJ9:OK9,OM9)-OL9,"")</f>
        <v/>
      </c>
      <c r="OY9" s="79" t="str">
        <f>IF(SUM(OC9,OG9,OK9)&gt;0,SUM(OC9,OG9,OK9),"")</f>
        <v/>
      </c>
      <c r="OZ9" s="79" t="str">
        <f>IF(SUM(OW9,OX9)&gt;0,SUM(OW9,OX9),"")</f>
        <v/>
      </c>
      <c r="PA9" s="79" t="str">
        <f>IF(SUM(OO9,OS9)&gt;0,SUM(OO9,OS9),"")</f>
        <v/>
      </c>
      <c r="PB9" s="79" t="str">
        <f>IF(SUM(ON9:OO9,OQ9:OS9,OU9)-SUM(OP9,OT9)&gt;0,SUM(ON9:OO9,OQ9:OS9,OU9)-SUM(OP9,OT9),"")</f>
        <v/>
      </c>
      <c r="PC9" s="79" t="str">
        <f>IF(SUM(OW9,PB9)&gt;0,SUM(OW9,PB9),"")</f>
        <v/>
      </c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0" t="str">
        <f>IF(SUM(PE9,PI9)&gt;0,SUM(PE9,PI9),"")</f>
        <v/>
      </c>
      <c r="PY9" s="20" t="str">
        <f>IF(SUM(PD9:PE9,PG9:PI9,PK9)-PF9-PJ9&gt;0,SUM(PD9:PE9,PG9:PI9,PK9)-PF9-PJ9,"")</f>
        <v/>
      </c>
      <c r="PZ9" s="20" t="str">
        <f>IF(SUM(PL9:PM9,PO9)-PN9&gt;0,SUM(PL9:PM9,PO9)-PN9,"")</f>
        <v/>
      </c>
      <c r="QA9" s="20" t="str">
        <f>IF(SUM(PE9,PI9,PM9)&gt;0,SUM(PE9,PI9,PM9),"")</f>
        <v/>
      </c>
      <c r="QB9" s="20" t="str">
        <f>IF(SUM(PY9,PZ9)&gt;0,SUM(PY9,PZ9),"")</f>
        <v/>
      </c>
      <c r="QC9" s="20" t="str">
        <f>IF(SUM(PQ9,PU9)&gt;0,SUM(PQ9,PU9),"")</f>
        <v/>
      </c>
      <c r="QD9" s="20" t="str">
        <f>IF(SUM(PP9:PQ9,PS9:PU9,PW9)-SUM(PR9,PV9)&gt;0,SUM(PP9:PQ9,PS9:PU9,PW9)-SUM(PR9,PV9),"")</f>
        <v/>
      </c>
      <c r="QE9" s="20" t="str">
        <f>IF(SUM(PY9,QD9)&gt;0,SUM(PY9,QD9),"")</f>
        <v/>
      </c>
      <c r="QF9" s="38">
        <f>IF($CV9="P",CB9,(CB9+AY9)/2)</f>
        <v>9.4500499999999992</v>
      </c>
      <c r="QG9" s="38">
        <f>IF($CV9="P",CC9,(CC9+AZ9)/2)</f>
        <v>3.2000500000000001</v>
      </c>
      <c r="QH9" s="38">
        <f>IF($CV9="P",CD9,(CD9+BA9)/2)</f>
        <v>0.4</v>
      </c>
      <c r="QI9" s="38">
        <f>IF($CV9="P",CE9,(CE9+BB9)/2)</f>
        <v>0</v>
      </c>
      <c r="QJ9" s="38">
        <f>IF($CV9="P",CF9,(CF9+BC9)/2)</f>
        <v>9.15</v>
      </c>
      <c r="QK9" s="38">
        <f>IF($CV9="P",CG9,(CG9+BD9)/2)</f>
        <v>3.85</v>
      </c>
      <c r="QL9" s="38">
        <f>IF($CV9="P",CH9,(CH9+BE9)/2)</f>
        <v>0.5</v>
      </c>
      <c r="QM9" s="38">
        <f>IF($CV9="P",CI9,(CI9+BF9)/2)</f>
        <v>0</v>
      </c>
      <c r="QN9" s="38">
        <f>IF($CV9="P",CJ9,(CJ9+BG9)/2)</f>
        <v>9.15</v>
      </c>
      <c r="QO9" s="38">
        <f>IF($CV9="P",CK9,(CK9+BH9)/2)</f>
        <v>2.6</v>
      </c>
      <c r="QP9" s="38">
        <f>IF($CV9="P",CL9,(CL9+BI9)/2)</f>
        <v>0.8</v>
      </c>
      <c r="QQ9" s="38">
        <f>IF($CV9="P",CM9,(CM9+BJ9)/2)</f>
        <v>0</v>
      </c>
      <c r="QR9" s="38">
        <f>IF($CV9="P",CN9,(CN9+BK9)/2)</f>
        <v>9.5</v>
      </c>
      <c r="QS9" s="38">
        <f>IF($CV9="P",CO9,(CO9+BL9)/2)</f>
        <v>3.2</v>
      </c>
      <c r="QT9" s="38">
        <f>IF($CV9="P",CP9,(CP9+BM9)/2)</f>
        <v>0.4</v>
      </c>
      <c r="QU9" s="38">
        <f>IF($CV9="P",CQ9,(CQ9+BN9)/2)</f>
        <v>0</v>
      </c>
      <c r="QV9" s="38">
        <f>IF($CV9="P",CR9,(CR9+BO9)/2)</f>
        <v>8.65</v>
      </c>
      <c r="QW9" s="38">
        <f>IF($CV9="P",CS9,(CS9+BP9)/2)</f>
        <v>1.6</v>
      </c>
      <c r="QX9" s="38">
        <f>IF($CV9="P",CT9,(CT9+BQ9)/2)</f>
        <v>0</v>
      </c>
      <c r="QY9" s="38">
        <f>IF($CV9="P",CU9,(CU9+BR9)/2)</f>
        <v>0</v>
      </c>
      <c r="QZ9" s="45" t="s">
        <v>46</v>
      </c>
      <c r="RA9" s="79">
        <f>IF(SUM(QG9,QK9)&gt;0,SUM(QG9,QK9),"")</f>
        <v>7.0500500000000006</v>
      </c>
      <c r="RB9" s="79">
        <f>IF(SUM(QF9:QG9,QI9:QK9,QM9)-QH9-QL9&gt;0,SUM(QF9:QG9,QI9:QK9,QM9)-QH9-QL9,"")</f>
        <v>24.750100000000003</v>
      </c>
      <c r="RC9" s="79">
        <f>IF(SUM(QN9:QO9,QQ9)-QP9&gt;0,SUM(QN9:QO9,QQ9)-QP9,"")</f>
        <v>10.95</v>
      </c>
      <c r="RD9" s="79">
        <f>IF(SUM(QG9,QK9,QO9)&gt;0,SUM(QG9,QK9,QO9),"")</f>
        <v>9.6500500000000002</v>
      </c>
      <c r="RE9" s="79">
        <f>IF(SUM(RB9,RC9)&gt;0,SUM(RB9,RC9),"")</f>
        <v>35.700100000000006</v>
      </c>
      <c r="RF9" s="79">
        <f>IF(SUM(QS9,QW9)&gt;0,SUM(QS9,QW9),"")</f>
        <v>4.8000000000000007</v>
      </c>
      <c r="RG9" s="79">
        <f>IF(SUM(QR9:QS9,QU9:QW9,QY9)-SUM(QT9,QX9)&gt;0,SUM(QR9:QS9,QU9:QW9,QY9)-SUM(QT9,QX9),"")</f>
        <v>22.550000000000004</v>
      </c>
      <c r="RH9" s="79">
        <f>IF(SUM(RB9,RG9)&gt;0,SUM(RB9,RG9),"")</f>
        <v>47.300100000000008</v>
      </c>
    </row>
    <row r="10" spans="1:476" x14ac:dyDescent="0.2">
      <c r="A10" s="5">
        <f>IF(AND(F10="P",G10="P"),SUMPRODUCT((F$4:F$27="P")*(G$4:G$27="P")*(E$4:E$27&gt;E10))+1,IF(G10="P",SUMPRODUCT((F$4:F$27="")*(G$4:G$27="P")*(E$4:E$27&gt;E10))+1+SUMPRODUCT((F$4:F$27="P")*(G$4:G$27="P")),""))</f>
        <v>7</v>
      </c>
      <c r="B10" s="78" t="s">
        <v>74</v>
      </c>
      <c r="C10" s="5" t="s">
        <v>4</v>
      </c>
      <c r="D10" s="5">
        <v>2003</v>
      </c>
      <c r="E10" s="15">
        <f>SUM(I10:S10)+SUM(I10:O10)*0.0000001+SUM(I10)*0.0000000000001</f>
        <v>112.60020696002499</v>
      </c>
      <c r="F10" s="3" t="str">
        <f>IF(OR(AND(AQ10&gt;=AX$29,AR10&gt;=AX$33,AQ10&lt;&gt;"",AP10=""),AND(AV10&gt;=AX$29,AW10&gt;=AX$33,AV10&lt;&gt;"",AP10=""),AND(BT10&gt;=CA$29,BU10&gt;=CA$33,BT10&lt;&gt;"",BS10=""),AND(BY10&gt;=CA$29,BZ10&gt;=CA$33,BY10&lt;&gt;"",BS10=""),AND(CW10&gt;=DD$29,CX10&gt;=DD$33,CW10&lt;&gt;"",CV10=""),AND(DB10&gt;=DD$29,DC10&gt;=DD$33,DB10&lt;&gt;""),AND(EB10&gt;=EI$29,EC10&gt;=EI$33,EB10&lt;&gt;""),AND(EG10&gt;=EI$29,EH10&gt;=EI$33,EG10&lt;&gt;""),AND(FD10&gt;=FK$29,FE10&gt;=FK$33,FD10&lt;&gt;""),AND(FI10&gt;=FK$29,FJ10&gt;=FK$33,FI10&lt;&gt;""),AND(GF10&gt;=GM$29,GG10&gt;=GM$33,GF10&lt;&gt;""),AND(GK10&gt;=GM$29,GL10&gt;=GM$33,GK10&lt;&gt;""),AND(HH10&gt;=HO$29,HI10&gt;=HO$33,HH10&lt;&gt;""),AND(HM10&gt;=HO$29,HN10&gt;=HO$33,HM10&lt;&gt;""),AND(IJ10&gt;=IQ$29,IK10&gt;=IQ$33,IJ10&lt;&gt;""),AND(IO10&gt;=IQ$29,IP10&gt;=IQ$33,IO10&lt;&gt;""),AND(JL10&gt;=JS$29,JM10&gt;=JS$33,JL10&lt;&gt;""),AND(JQ10&gt;=JS$29,JR10&gt;=JS$33,JQ10&lt;&gt;""),AND(KN10&gt;=KU$29,KO10&gt;=KU$33,KN10&lt;&gt;""),AND(KS10&gt;=KU$29,KT10&gt;=KU$33,KS10&lt;&gt;""),AND(LP10&gt;=LW$29,LQ10&gt;=LW$33,LP10&lt;&gt;""),AND(LU10&gt;=LW$29,LV10&gt;=LW$33,LU10&lt;&gt;""),AND(MR10&gt;=MY$29,MS10&gt;=MY$33,MR10&lt;&gt;""),AND(MW10&gt;=MY$29,MX10&gt;=MY$33,MW10&lt;&gt;""),AND(NT10&gt;=OA$29,NU10&gt;=OA$33,NT10&lt;&gt;""),AND(NY10&gt;=OA$29,NZ10&gt;=OA$33,NY10&lt;&gt;""),AND(OV10&gt;=PC$29,OW10&gt;=PC$33,OV10&lt;&gt;""),AND(PA10&gt;=PC$29,PB10&gt;=PC$33,PA10&lt;&gt;""),AND(PX10&gt;=QE$29,PY10&gt;=QE$33,PX10&lt;&gt;""),AND(QC10&gt;=QE$29,QD10&gt;=QE$33,QC10&lt;&gt;"")),"P","")</f>
        <v>P</v>
      </c>
      <c r="G10" s="3" t="str">
        <f>IF(OR(AND(AR10&gt;=AX$33,AR10&lt;&gt;"",AP10=""),AND(AW10&gt;=AX$33,AW10&lt;&gt;"",AP10=""),AND(BU10&gt;=CA$33,BU10&lt;&gt;"",BS10=""),AND(BZ10&gt;=CA$33,BZ10&lt;&gt;"",BS10=""),AND(CX10&gt;=DD$33,CX10&lt;&gt;"",CV10=""),AND(DC10&gt;=DD$33,DC10&lt;&gt;"",CV10=""),AND(EC10&gt;=EI$33,EC10&lt;&gt;""),AND(EH10&gt;=EI$33,EH10&lt;&gt;""),AND(FE10&gt;=FK$33,FE10&lt;&gt;""),AND(FJ10&gt;=FK$33,FJ10&lt;&gt;""),AND(GG10&gt;=GM$33,GG10&lt;&gt;""),AND(GL10&gt;=GM$33,GL10&lt;&gt;""),AND(HI10&gt;=HO$33,HI10&lt;&gt;""),AND(HN10&gt;=HO$33,HN10&lt;&gt;""),AND(IK10&gt;=IQ$33,IK10&lt;&gt;""),AND(IP10&gt;=IQ$33,IP10&lt;&gt;""),AND(JM10&gt;=JS$33,JM10&lt;&gt;""),AND(JR10&gt;=JS$33,JR10&lt;&gt;""),AND(KO10&gt;=KU$33,KO10&lt;&gt;""),AND(KT10&gt;=KU$33,KT10&lt;&gt;""),AND(LQ10&gt;=LW$33,LQ10&lt;&gt;""),AND(LV10&gt;=LW$33,LV10&lt;&gt;""),AND(MS10&gt;=MY$33,MS10&lt;&gt;""),AND(MX10&gt;=MY$33,MX10&lt;&gt;""),AND(NU10&gt;=OA$33,NU10&lt;&gt;""),AND(NZ10&gt;=OA$33,NZ10&lt;&gt;""),AND(OW10&gt;=PC$33,OW10&lt;&gt;""),AND(PB10&gt;=PC$33,PB10&lt;&gt;""),AND(PY10&gt;=QE$33,PY10&lt;&gt;""),AND(QD10&gt;=QE$33,QD10&lt;&gt;"")),"P","")</f>
        <v>P</v>
      </c>
      <c r="H10" s="67" t="str">
        <f>IF(AND(G10="P",F10=""),"No DD",IF(OR(AND(AT10&gt;=AX$32,AU10&gt;=AX$36,AT10&lt;&gt;"",AP10=""),AND(BW10&gt;=CA$32,BX10&gt;=CA$36,BW10&lt;&gt;"",BS10=""),AND(CZ10&gt;=DD$32,DA10&gt;=DD$36,CZ10&lt;&gt;"",CV10=""),AND(EE10&gt;=EI$32,EF10&gt;=EI$36,EE10&lt;&gt;""),AND(FG10&gt;=FK$32,FH10&gt;=FK$36,FG10&lt;&gt;""),AND(GI10&gt;=GM$32,GJ10&gt;=GM$36,GI10&lt;&gt;""),AND(HK10&gt;=HO$32,HL10&gt;=HO$36,HK10&lt;&gt;""),AND(IM10&gt;=IQ$32,IN10&gt;=IQ$36,IM10&lt;&gt;""),AND(JO10&gt;=JS$32,JP10&gt;=JS$36,JO10&lt;&gt;""),AND(KQ10&gt;=KU$32,KR10&gt;=KU$36,KQ10&lt;&gt;""),AND(LS10&gt;=LW$32,LT10&gt;=LW$36,LS10&lt;&gt;""),AND(MU10&gt;=MY$32,MV10&gt;=MY$36,MU10&lt;&gt;""),AND(NW10&gt;=OA$32,NX10&gt;=OA$36,NW10&lt;&gt;""),AND(OY10&gt;=PC$32,OZ10&gt;=PC$36,OY10&lt;&gt;""),AND(QA10&gt;=QE$32,QB10&gt;=QE$36,QA10&lt;&gt;"")),"Merit",IF(OR(AND(AT10&gt;=AX$31,AU10&gt;=AX$35,AT10&lt;&gt;"",AP10=""),AND(BW10&gt;=CA$31,BX10&gt;=CA$35,BW10&lt;&gt;"",BS10=""),AND(CZ10&gt;=DD$31,DA10&gt;=DD$35,CZ10&lt;&gt;"",CV10=""),AND(EE10&gt;=EI$31,EF10&gt;=EI$35,EE10&lt;&gt;""),AND(FG10&gt;=FK$31,FH10&gt;=FK$35,FG10&lt;&gt;""),AND(GI10&gt;=GM$31,GJ10&gt;=GM$35,GI10&lt;&gt;""),AND(HK10&gt;=HO$31,HL10&gt;=HO$35,HK10&lt;&gt;""),AND(IM10&gt;=IQ$31,IN10&gt;=IQ$35,IM10&lt;&gt;""),AND(JO10&gt;=JS$31,JP10&gt;=JS$35,JO10&lt;&gt;""),AND(KQ10&gt;=KU$31,KR10&gt;=KU$35,KQ10&lt;&gt;""),AND(LS10&gt;=LW$31,LT10&gt;=LW$35,LS10&lt;&gt;""),AND(MU10&gt;=MY$31,MV10&gt;=MY$35,MU10&lt;&gt;""),AND(NW10&gt;=OA$31,NX10&gt;=OA$35,NW10&lt;&gt;""),AND(OY10&gt;=PC$31,OZ10&gt;=PC$35,OY10&lt;&gt;""),AND(QA10&gt;=QE$31,QB10&gt;=QE$35,QA10&lt;&gt;"")),"Excellence",IF(F10="P","National Team",""))))</f>
        <v>National Team</v>
      </c>
      <c r="I10" s="14">
        <f>IF(COUNT(AR10,BU10,CX10)&gt;0,LARGE((AR10,BU10,CX10),1),0)</f>
        <v>49.900000000000013</v>
      </c>
      <c r="J10" s="14" t="str">
        <f>IF(I10=0,"",IF(I10=CX10,$CB$1,IF(I10=BU10,$AY$1,IF(I10=AR10,$V$1,""))))</f>
        <v>2022 Elite Canada</v>
      </c>
      <c r="K10" s="14">
        <f>IF(COUNT(AR10,BU10,CX10)&gt;1,LARGE((AR10,BU10,CX10),2),0)</f>
        <v>2.0000000000000001E-4</v>
      </c>
      <c r="L10" s="14" t="str">
        <f>IF(K10=0,"",IF(K10=CX10,$CB$1,IF(K10=BU10,$AY$1,IF(K10=AR10,$V$1,""))))</f>
        <v>2021 Elite Canada</v>
      </c>
      <c r="M10" s="14">
        <f>IF(COUNT(AS10,BV10,CY10)&gt;0,LARGE((AS10,BV10,CY10),1),0)</f>
        <v>19.7</v>
      </c>
      <c r="N10" s="14" t="str">
        <f>IF(M10=0,"",IF(M10=CY10,$CB$1,IF(M10=BV10,$AY$1,IF(M10=AS10,$V$1,""))))</f>
        <v>2022 Elite Canada</v>
      </c>
      <c r="O10" s="14">
        <f>IF(COUNT(AS10,BV10,CY10)&gt;1,LARGE((AS10,BV10,CY10),2),0)</f>
        <v>0</v>
      </c>
      <c r="P10" s="14" t="str">
        <f>IF(O10=0,"",IF(O10=CY10,$CB$1,IF(O10=BV10,$AY$1,IF(O10=AS10,$V$1,""))))</f>
        <v/>
      </c>
      <c r="Q10" s="14">
        <f>IF(MAX(AW10,BZ10,DC10)&gt;0,MAX(AW10,BZ10,DC10),0)</f>
        <v>42.999999999999993</v>
      </c>
      <c r="R10" s="14" t="str">
        <f>IF(Q10=0,"",IF(Q10=DC10,$CB$1,IF(Q10=BZ10,$AY$1,IF(Q10=AW10,$V$1,""))))</f>
        <v>2022 Elite Canada</v>
      </c>
      <c r="S10" s="14" t="str">
        <f>IF(MAX(DE10:DG10)&gt;0,MAX(DE10:DG10),"")</f>
        <v/>
      </c>
      <c r="T10" s="20" t="str">
        <f>IF(S10="","",IF(S10=DE10,"("&amp;DE$2&amp;")",IF(S10=DG10,"("&amp;DG$2&amp;")")))</f>
        <v/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/>
      </c>
      <c r="V10" s="27">
        <v>1E-4</v>
      </c>
      <c r="W10" s="27">
        <v>1E-4</v>
      </c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45"/>
      <c r="AQ10" s="79">
        <f>IF(SUM(W10,AA10)&gt;0,SUM(W10,AA10),"")</f>
        <v>1E-4</v>
      </c>
      <c r="AR10" s="79">
        <f>IF(SUM(V10:W10,Y10:AA10,AC10)-X10-AB10&gt;0,SUM(V10:W10,Y10:AA10,AC10)-X10-AB10,"")</f>
        <v>2.0000000000000001E-4</v>
      </c>
      <c r="AS10" s="79" t="str">
        <f>IF(SUM(AD10:AE10,AG10)-AF10&gt;0,SUM(AD10:AE10,AG10)-AF10,"")</f>
        <v/>
      </c>
      <c r="AT10" s="79">
        <f>IF(SUM(W10,AA10,AE10)&gt;0,SUM(W10,AA10,AE10),"")</f>
        <v>1E-4</v>
      </c>
      <c r="AU10" s="79">
        <f>IF(SUM(AR10,AS10)&gt;0,SUM(AR10,AS10),"")</f>
        <v>2.0000000000000001E-4</v>
      </c>
      <c r="AV10" s="79" t="str">
        <f>IF(SUM(AI10,AM10)&gt;0,SUM(AI10,AM10),"")</f>
        <v/>
      </c>
      <c r="AW10" s="79" t="str">
        <f>IF(SUM(AH10:AI10,AK10:AM10,AO10)-SUM(AJ10,AN10)&gt;0,SUM(AH10:AI10,AK10:AM10,AO10)-SUM(AJ10,AN10),"")</f>
        <v/>
      </c>
      <c r="AX10" s="79">
        <f>IF(SUM(AR10,AW10)&gt;0,SUM(AR10,AW10),"")</f>
        <v>2.0000000000000001E-4</v>
      </c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46"/>
      <c r="BT10" s="20" t="str">
        <f>IF(SUM(AZ10,BD10)&gt;0,SUM(AZ10,BD10),"")</f>
        <v/>
      </c>
      <c r="BU10" s="20" t="str">
        <f>IF(SUM(AY10:AZ10,BB10:BD10,BF10)-BA10-BE10&gt;0,SUM(AY10:AZ10,BB10:BD10,BF10)-BA10-BE10,"")</f>
        <v/>
      </c>
      <c r="BV10" s="20" t="str">
        <f>IF(SUM(BG10:BH10,BJ10)-BI10&gt;0,SUM(BG10:BH10,BJ10)-BI10,"")</f>
        <v/>
      </c>
      <c r="BW10" s="20" t="str">
        <f>IF(SUM(AZ10,BD10,BH10)&gt;0,SUM(AZ10,BD10,BH10),"")</f>
        <v/>
      </c>
      <c r="BX10" s="20" t="str">
        <f>IF(SUM(BU10,BV10)&gt;0,SUM(BU10,BV10),"")</f>
        <v/>
      </c>
      <c r="BY10" s="20" t="str">
        <f>IF(SUM(BL10,BP10)&gt;0,SUM(BL10,BP10),"")</f>
        <v/>
      </c>
      <c r="BZ10" s="20" t="str">
        <f>IF(SUM(BK10:BL10,BN10:BP10,BR10)-SUM(BM10,BQ10)&gt;0,SUM(BK10:BL10,BN10:BP10,BR10)-SUM(BM10,BQ10),"")</f>
        <v/>
      </c>
      <c r="CA10" s="20" t="str">
        <f>IF(SUM(BU10,BZ10)&gt;0,SUM(BU10,BZ10),"")</f>
        <v/>
      </c>
      <c r="CB10" s="27">
        <v>18.600000000000001</v>
      </c>
      <c r="CC10" s="27">
        <v>7.6</v>
      </c>
      <c r="CD10" s="27">
        <v>0.8</v>
      </c>
      <c r="CE10" s="27">
        <v>0</v>
      </c>
      <c r="CF10" s="27">
        <v>18.100000000000001</v>
      </c>
      <c r="CG10" s="27">
        <v>7.2</v>
      </c>
      <c r="CH10" s="27">
        <v>0.8</v>
      </c>
      <c r="CI10" s="27">
        <v>0</v>
      </c>
      <c r="CJ10" s="27">
        <v>17.3</v>
      </c>
      <c r="CK10" s="27">
        <v>2.4</v>
      </c>
      <c r="CL10" s="27">
        <v>0</v>
      </c>
      <c r="CM10" s="27">
        <v>0</v>
      </c>
      <c r="CN10" s="27">
        <v>18.5</v>
      </c>
      <c r="CO10" s="27">
        <v>6.8</v>
      </c>
      <c r="CP10" s="27">
        <v>0.2</v>
      </c>
      <c r="CQ10" s="27">
        <v>0</v>
      </c>
      <c r="CR10" s="27">
        <v>18.5</v>
      </c>
      <c r="CS10" s="27">
        <v>2.8</v>
      </c>
      <c r="CT10" s="27">
        <v>3.4</v>
      </c>
      <c r="CU10" s="27">
        <v>0</v>
      </c>
      <c r="CV10" s="45"/>
      <c r="CW10" s="79">
        <f>IF(SUM(CC10,CG10)&gt;0,SUM(CC10,CG10),"")</f>
        <v>14.8</v>
      </c>
      <c r="CX10" s="79">
        <f>IF(SUM(CB10:CC10,CE10:CG10,CI10)-CD10-CH10&gt;0,SUM(CB10:CC10,CE10:CG10,CI10)-CD10-CH10,"")</f>
        <v>49.900000000000013</v>
      </c>
      <c r="CY10" s="79">
        <f>IF(SUM(CJ10:CK10,CM10)-CL10&gt;0,SUM(CJ10:CK10,CM10)-CL10,"")</f>
        <v>19.7</v>
      </c>
      <c r="CZ10" s="79">
        <f>IF(SUM(CC10,CG10,CK10)&gt;0,SUM(CC10,CG10,CK10),"")</f>
        <v>17.2</v>
      </c>
      <c r="DA10" s="79">
        <f>IF(SUM(CX10,CY10)&gt;0,SUM(CX10,CY10),"")</f>
        <v>69.600000000000009</v>
      </c>
      <c r="DB10" s="79">
        <f>IF(SUM(CO10,CS10)&gt;0,SUM(CO10,CS10),"")</f>
        <v>9.6</v>
      </c>
      <c r="DC10" s="79">
        <f>IF(SUM(CN10:CO10,CQ10:CS10,CU10)-SUM(CP10,CT10)&gt;0,SUM(CN10:CO10,CQ10:CS10,CU10)-SUM(CP10,CT10),"")</f>
        <v>42.999999999999993</v>
      </c>
      <c r="DD10" s="79">
        <f>IF(SUM(CX10,DC10)&gt;0,SUM(CX10,DC10),"")</f>
        <v>92.9</v>
      </c>
      <c r="DE10" s="80" t="str">
        <f>IF(K10&gt;=0.001,IF(MAX(EC10,FE10,GG10,HI10,IK10,JM10,KO10,LQ10,MS10,NU10,OW10,PY10)-IF(K10="",0,K10)&gt;0.001,MAX(EC10,FE10,GG10,HI10,IK10,JM10,KO10,LQ10,MS10,NU10,OW10,PY10)-IF(K10="",0,K10),""),"")</f>
        <v/>
      </c>
      <c r="DF10" s="80" t="str">
        <f>IF(O10&gt;=0.001,IF(MAX(ED10,FF10,GH10,HJ10,IL10,JN10,KP10,LR10,MT10,NV10,OX10,PZ10)-IF(O10="",0,O10)&gt;0.001,MAX(ED10,FF10,GH10,HJ10,IL10,JN10,KP10,LR10,MT10,NV10,OX10,PZ10)-IF(O10="",0,O10),""),"")</f>
        <v/>
      </c>
      <c r="DG10" s="80" t="str">
        <f>IF(Q10&gt;=0.001,IF(MAX(EH10,FJ10,GL10,HN10,IP10,JR10,KT10,LV10,MX10,NZ10,PB10,QD10)-IF(Q10="",0,Q10)&gt;0.001,MAX(EH10,FJ10,GL10,HN10,IP10,JR10,KT10,LV10,MX10,NZ10,PB10,QD10)-IF(Q10="",0,Q10),""),"")</f>
        <v/>
      </c>
      <c r="DH10" s="25"/>
      <c r="DI10" s="25">
        <v>1E-4</v>
      </c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79">
        <f>IF(SUM(DI10,DM10)&gt;0,SUM(DI10,DM10),"")</f>
        <v>1E-4</v>
      </c>
      <c r="EC10" s="79">
        <f>IF(SUM(DH10:DI10,DK10:DM10,DO10)-DJ10-DN10&gt;0,SUM(DH10:DI10,DK10:DM10,DO10)-DJ10-DN10,"")</f>
        <v>1E-4</v>
      </c>
      <c r="ED10" s="79" t="str">
        <f>IF(SUM(DP10:DQ10,DS10)-DR10&gt;0,SUM(DP10:DQ10,DS10)-DR10,"")</f>
        <v/>
      </c>
      <c r="EE10" s="79">
        <f>IF(SUM(DI10,DM10,DQ10)&gt;0,SUM(DI10,DM10,DQ10),"")</f>
        <v>1E-4</v>
      </c>
      <c r="EF10" s="79">
        <f>IF(SUM(EC10,ED10)&gt;0,SUM(EC10,ED10),"")</f>
        <v>1E-4</v>
      </c>
      <c r="EG10" s="79" t="str">
        <f>IF(SUM(DU10,DY10)&gt;0,SUM(DU10,DY10),"")</f>
        <v/>
      </c>
      <c r="EH10" s="79" t="str">
        <f>IF(SUM(DT10:DU10,DW10:DY10,EA10)-SUM(DV10,DZ10)&gt;0,SUM(DT10:DU10,DW10:DY10,EA10)-SUM(DV10,DZ10),"")</f>
        <v/>
      </c>
      <c r="EI10" s="79">
        <f>IF(SUM(EC10,EH10)&gt;0,SUM(EC10,EH10),"")</f>
        <v>1E-4</v>
      </c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0" t="str">
        <f>IF(SUM(EK10,EO10)&gt;0,SUM(EK10,EO10),"")</f>
        <v/>
      </c>
      <c r="FE10" s="20" t="str">
        <f>IF(SUM(EJ10:EK10,EM10:EO10,EQ10)-EL10-EP10&gt;0,SUM(EJ10:EK10,EM10:EO10,EQ10)-EL10-EP10,"")</f>
        <v/>
      </c>
      <c r="FF10" s="20" t="str">
        <f>IF(SUM(ER10:ES10,EU10)-ET10&gt;0,SUM(ER10:ES10,EU10)-ET10,"")</f>
        <v/>
      </c>
      <c r="FG10" s="20" t="str">
        <f>IF(SUM(EK10,EO10,ES10)&gt;0,SUM(EK10,EO10,ES10),"")</f>
        <v/>
      </c>
      <c r="FH10" s="20" t="str">
        <f>IF(SUM(FE10,FF10)&gt;0,SUM(FE10,FF10),"")</f>
        <v/>
      </c>
      <c r="FI10" s="20" t="str">
        <f>IF(SUM(EW10,FA10)&gt;0,SUM(EW10,FA10),"")</f>
        <v/>
      </c>
      <c r="FJ10" s="20" t="str">
        <f>IF(SUM(EV10:EW10,EY10:FA10,FC10)-SUM(EX10,FB10)&gt;0,SUM(EV10:EW10,EY10:FA10,FC10)-SUM(EX10,FB10),"")</f>
        <v/>
      </c>
      <c r="FK10" s="20" t="str">
        <f>IF(SUM(FE10,FJ10)&gt;0,SUM(FE10,FJ10),"")</f>
        <v/>
      </c>
      <c r="FL10" s="25">
        <v>19</v>
      </c>
      <c r="FM10" s="25">
        <v>8</v>
      </c>
      <c r="FN10" s="25">
        <v>0.8</v>
      </c>
      <c r="FO10" s="25">
        <v>0.3</v>
      </c>
      <c r="FP10" s="25">
        <v>18.399999999999999</v>
      </c>
      <c r="FQ10" s="25">
        <v>6.8</v>
      </c>
      <c r="FR10" s="25">
        <v>0.8</v>
      </c>
      <c r="FS10" s="25">
        <v>0</v>
      </c>
      <c r="FT10" s="25"/>
      <c r="FU10" s="25"/>
      <c r="FV10" s="25"/>
      <c r="FW10" s="25"/>
      <c r="FX10" s="25">
        <v>17.600000000000001</v>
      </c>
      <c r="FY10" s="25">
        <v>2.8</v>
      </c>
      <c r="FZ10" s="25">
        <v>0</v>
      </c>
      <c r="GA10" s="25">
        <v>0</v>
      </c>
      <c r="GB10" s="25">
        <v>18.8</v>
      </c>
      <c r="GC10" s="25">
        <v>4.5999999999999996</v>
      </c>
      <c r="GD10" s="25">
        <v>1.4</v>
      </c>
      <c r="GE10" s="25">
        <v>0</v>
      </c>
      <c r="GF10" s="79">
        <f>IF(SUM(FM10,FQ10)&gt;0,SUM(FM10,FQ10),"")</f>
        <v>14.8</v>
      </c>
      <c r="GG10" s="79">
        <f>IF(SUM(FL10:FM10,FO10:FQ10,FS10)-FN10-FR10&gt;0,SUM(FL10:FM10,FO10:FQ10,FS10)-FN10-FR10,"")</f>
        <v>50.900000000000006</v>
      </c>
      <c r="GH10" s="79" t="str">
        <f>IF(SUM(FT10:FU10,FW10)-FV10&gt;0,SUM(FT10:FU10,FW10)-FV10,"")</f>
        <v/>
      </c>
      <c r="GI10" s="79">
        <f>IF(SUM(FM10,FQ10,FU10)&gt;0,SUM(FM10,FQ10,FU10),"")</f>
        <v>14.8</v>
      </c>
      <c r="GJ10" s="79">
        <f>IF(SUM(GG10,GH10)&gt;0,SUM(GG10,GH10),"")</f>
        <v>50.900000000000006</v>
      </c>
      <c r="GK10" s="79">
        <f>IF(SUM(FY10,GC10)&gt;0,SUM(FY10,GC10),"")</f>
        <v>7.3999999999999995</v>
      </c>
      <c r="GL10" s="79">
        <f>IF(SUM(FX10:FY10,GA10:GC10,GE10)-SUM(FZ10,GD10)&gt;0,SUM(FX10:FY10,GA10:GC10,GE10)-SUM(FZ10,GD10),"")</f>
        <v>42.400000000000006</v>
      </c>
      <c r="GM10" s="79">
        <f>IF(SUM(GG10,GL10)&gt;0,SUM(GG10,GL10),"")</f>
        <v>93.300000000000011</v>
      </c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0" t="str">
        <f>IF(SUM(GO10,GS10)&gt;0,SUM(GO10,GS10),"")</f>
        <v/>
      </c>
      <c r="HI10" s="20" t="str">
        <f>IF(SUM(GN10:GO10,GQ10:GS10,GU10)-GP10-GT10&gt;0,SUM(GN10:GO10,GQ10:GS10,GU10)-GP10-GT10,"")</f>
        <v/>
      </c>
      <c r="HJ10" s="20" t="str">
        <f>IF(SUM(GV10:GW10,GY10)-GX10&gt;0,SUM(GV10:GW10,GY10)-GX10,"")</f>
        <v/>
      </c>
      <c r="HK10" s="20" t="str">
        <f>IF(SUM(GO10,GS10,GW10)&gt;0,SUM(GO10,GS10,GW10),"")</f>
        <v/>
      </c>
      <c r="HL10" s="20" t="str">
        <f>IF(SUM(HI10,HJ10)&gt;0,SUM(HI10,HJ10),"")</f>
        <v/>
      </c>
      <c r="HM10" s="20" t="str">
        <f>IF(SUM(HA10,HE10)&gt;0,SUM(HA10,HE10),"")</f>
        <v/>
      </c>
      <c r="HN10" s="20" t="str">
        <f>IF(SUM(GZ10:HA10,HC10:HE10,HG10)-SUM(HB10,HF10)&gt;0,SUM(GZ10:HA10,HC10:HE10,HG10)-SUM(HB10,HF10),"")</f>
        <v/>
      </c>
      <c r="HO10" s="20" t="str">
        <f>IF(SUM(HI10,HN10)&gt;0,SUM(HI10,HN10),"")</f>
        <v/>
      </c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79" t="str">
        <f>IF(SUM(HQ10,HU10)&gt;0,SUM(HQ10,HU10),"")</f>
        <v/>
      </c>
      <c r="IK10" s="79" t="str">
        <f>IF(SUM(HP10:HQ10,HS10:HU10,HW10)-HR10-HV10&gt;0,SUM(HP10:HQ10,HS10:HU10,HW10)-HR10-HV10,"")</f>
        <v/>
      </c>
      <c r="IL10" s="79" t="str">
        <f>IF(SUM(HX10:HY10,IA10)-HZ10&gt;0,SUM(HX10:HY10,IA10)-HZ10,"")</f>
        <v/>
      </c>
      <c r="IM10" s="79" t="str">
        <f>IF(SUM(HQ10,HU10,HY10)&gt;0,SUM(HQ10,HU10,HY10),"")</f>
        <v/>
      </c>
      <c r="IN10" s="79" t="str">
        <f>IF(SUM(IK10,IL10)&gt;0,SUM(IK10,IL10),"")</f>
        <v/>
      </c>
      <c r="IO10" s="79" t="str">
        <f>IF(SUM(IC10,IG10)&gt;0,SUM(IC10,IG10),"")</f>
        <v/>
      </c>
      <c r="IP10" s="79" t="str">
        <f>IF(SUM(IB10:IC10,IE10:IG10,II10)-SUM(ID10,IH10)&gt;0,SUM(IB10:IC10,IE10:IG10,II10)-SUM(ID10,IH10),"")</f>
        <v/>
      </c>
      <c r="IQ10" s="79" t="str">
        <f>IF(SUM(IK10,IP10)&gt;0,SUM(IK10,IP10),"")</f>
        <v/>
      </c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0" t="str">
        <f>IF(SUM(IS10,IW10)&gt;0,SUM(IS10,IW10),"")</f>
        <v/>
      </c>
      <c r="JM10" s="20" t="str">
        <f>IF(SUM(IR10:IS10,IU10:IW10,IY10)-IT10-IX10&gt;0,SUM(IR10:IS10,IU10:IW10,IY10)-IT10-IX10,"")</f>
        <v/>
      </c>
      <c r="JN10" s="20" t="str">
        <f>IF(SUM(IZ10:JA10,JC10)-JB10&gt;0,SUM(IZ10:JA10,JC10)-JB10,"")</f>
        <v/>
      </c>
      <c r="JO10" s="20" t="str">
        <f>IF(SUM(IS10,IW10,JA10)&gt;0,SUM(IS10,IW10,JA10),"")</f>
        <v/>
      </c>
      <c r="JP10" s="20" t="str">
        <f>IF(SUM(JM10,JN10)&gt;0,SUM(JM10,JN10),"")</f>
        <v/>
      </c>
      <c r="JQ10" s="20" t="str">
        <f>IF(SUM(JE10,JI10)&gt;0,SUM(JE10,JI10),"")</f>
        <v/>
      </c>
      <c r="JR10" s="20" t="str">
        <f>IF(SUM(JD10:JE10,JG10:JI10,JK10)-SUM(JF10,JJ10)&gt;0,SUM(JD10:JE10,JG10:JI10,JK10)-SUM(JF10,JJ10),"")</f>
        <v/>
      </c>
      <c r="JS10" s="20" t="str">
        <f>IF(SUM(JM10,JR10)&gt;0,SUM(JM10,JR10),"")</f>
        <v/>
      </c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79" t="str">
        <f>IF(SUM(JU10,JY10)&gt;0,SUM(JU10,JY10),"")</f>
        <v/>
      </c>
      <c r="KO10" s="79" t="str">
        <f>IF(SUM(JT10:JU10,JW10:JY10,KA10)-JV10-JZ10&gt;0,SUM(JT10:JU10,JW10:JY10,KA10)-JV10-JZ10,"")</f>
        <v/>
      </c>
      <c r="KP10" s="79" t="str">
        <f>IF(SUM(KB10:KC10,KE10)-KD10&gt;0,SUM(KB10:KC10,KE10)-KD10,"")</f>
        <v/>
      </c>
      <c r="KQ10" s="79" t="str">
        <f>IF(SUM(JU10,JY10,KC10)&gt;0,SUM(JU10,JY10,KC10),"")</f>
        <v/>
      </c>
      <c r="KR10" s="79" t="str">
        <f>IF(SUM(KO10,KP10)&gt;0,SUM(KO10,KP10),"")</f>
        <v/>
      </c>
      <c r="KS10" s="79" t="str">
        <f>IF(SUM(KG10,KK10)&gt;0,SUM(KG10,KK10),"")</f>
        <v/>
      </c>
      <c r="KT10" s="79" t="str">
        <f>IF(SUM(KF10:KG10,KI10:KK10,KM10)-SUM(KH10,KL10)&gt;0,SUM(KF10:KG10,KI10:KK10,KM10)-SUM(KH10,KL10),"")</f>
        <v/>
      </c>
      <c r="KU10" s="79" t="str">
        <f>IF(SUM(KO10,KT10)&gt;0,SUM(KO10,KT10),"")</f>
        <v/>
      </c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0" t="str">
        <f>IF(SUM(KW10,LA10)&gt;0,SUM(KW10,LA10),"")</f>
        <v/>
      </c>
      <c r="LQ10" s="20" t="str">
        <f>IF(SUM(KV10:KW10,KY10:LA10,LC10)-KX10-LB10&gt;0,SUM(KV10:KW10,KY10:LA10,LC10)-KX10-LB10,"")</f>
        <v/>
      </c>
      <c r="LR10" s="20" t="str">
        <f>IF(SUM(LD10:LE10,LG10)-LF10&gt;0,SUM(LD10:LE10,LG10)-LF10,"")</f>
        <v/>
      </c>
      <c r="LS10" s="20" t="str">
        <f>IF(SUM(KW10,LA10,LE10)&gt;0,SUM(KW10,LA10,LE10),"")</f>
        <v/>
      </c>
      <c r="LT10" s="20" t="str">
        <f>IF(SUM(LQ10,LR10)&gt;0,SUM(LQ10,LR10),"")</f>
        <v/>
      </c>
      <c r="LU10" s="20" t="str">
        <f>IF(SUM(LI10,LM10)&gt;0,SUM(LI10,LM10),"")</f>
        <v/>
      </c>
      <c r="LV10" s="20" t="str">
        <f>IF(SUM(LH10:LI10,LK10:LM10,LO10)-SUM(LJ10,LN10)&gt;0,SUM(LH10:LI10,LK10:LM10,LO10)-SUM(LJ10,LN10),"")</f>
        <v/>
      </c>
      <c r="LW10" s="20" t="str">
        <f>IF(SUM(LQ10,LV10)&gt;0,SUM(LQ10,LV10),"")</f>
        <v/>
      </c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79" t="str">
        <f>IF(SUM(LY10,MC10)&gt;0,SUM(LY10,MC10),"")</f>
        <v/>
      </c>
      <c r="MS10" s="79" t="str">
        <f>IF(SUM(LX10:LY10,MA10:MC10,ME10)-LZ10-MD10&gt;0,SUM(LX10:LY10,MA10:MC10,ME10)-LZ10-MD10,"")</f>
        <v/>
      </c>
      <c r="MT10" s="79" t="str">
        <f>IF(SUM(MF10:MG10,MI10)-MH10&gt;0,SUM(MF10:MG10,MI10)-MH10,"")</f>
        <v/>
      </c>
      <c r="MU10" s="79" t="str">
        <f>IF(SUM(LY10,MC10,MG10)&gt;0,SUM(LY10,MC10,MG10),"")</f>
        <v/>
      </c>
      <c r="MV10" s="79" t="str">
        <f>IF(SUM(MS10,MT10)&gt;0,SUM(MS10,MT10),"")</f>
        <v/>
      </c>
      <c r="MW10" s="79" t="str">
        <f>IF(SUM(MK10,MO10)&gt;0,SUM(MK10,MO10),"")</f>
        <v/>
      </c>
      <c r="MX10" s="79" t="str">
        <f>IF(SUM(MJ10:MK10,MM10:MO10,MQ10)-SUM(ML10,MP10)&gt;0,SUM(MJ10:MK10,MM10:MO10,MQ10)-SUM(ML10,MP10),"")</f>
        <v/>
      </c>
      <c r="MY10" s="79" t="str">
        <f>IF(SUM(MS10,MX10)&gt;0,SUM(MS10,MX10),"")</f>
        <v/>
      </c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0" t="str">
        <f>IF(SUM(NA10,NE10)&gt;0,SUM(NA10,NE10),"")</f>
        <v/>
      </c>
      <c r="NU10" s="20" t="str">
        <f>IF(SUM(MZ10:NA10,NC10:NE10,NG10)-NB10-NF10&gt;0,SUM(MZ10:NA10,NC10:NE10,NG10)-NB10-NF10,"")</f>
        <v/>
      </c>
      <c r="NV10" s="20" t="str">
        <f>IF(SUM(NH10:NI10,NK10)-NJ10&gt;0,SUM(NH10:NI10,NK10)-NJ10,"")</f>
        <v/>
      </c>
      <c r="NW10" s="20" t="str">
        <f>IF(SUM(NA10,NE10,NI10)&gt;0,SUM(NA10,NE10,NI10),"")</f>
        <v/>
      </c>
      <c r="NX10" s="20" t="str">
        <f>IF(SUM(NU10,NV10)&gt;0,SUM(NU10,NV10),"")</f>
        <v/>
      </c>
      <c r="NY10" s="20" t="str">
        <f>IF(SUM(NM10,NQ10)&gt;0,SUM(NM10,NQ10),"")</f>
        <v/>
      </c>
      <c r="NZ10" s="20" t="str">
        <f>IF(SUM(NL10:NM10,NO10:NQ10,NS10)-SUM(NN10,NR10)&gt;0,SUM(NL10:NM10,NO10:NQ10,NS10)-SUM(NN10,NR10),"")</f>
        <v/>
      </c>
      <c r="OA10" s="20" t="str">
        <f>IF(SUM(NU10,NZ10)&gt;0,SUM(NU10,NZ10),"")</f>
        <v/>
      </c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79" t="str">
        <f>IF(SUM(OC10,OG10)&gt;0,SUM(OC10,OG10),"")</f>
        <v/>
      </c>
      <c r="OW10" s="79" t="str">
        <f>IF(SUM(OB10:OC10,OE10:OG10,OI10)-OD10-OH10&gt;0,SUM(OB10:OC10,OE10:OG10,OI10)-OD10-OH10,"")</f>
        <v/>
      </c>
      <c r="OX10" s="79" t="str">
        <f>IF(SUM(OJ10:OK10,OM10)-OL10&gt;0,SUM(OJ10:OK10,OM10)-OL10,"")</f>
        <v/>
      </c>
      <c r="OY10" s="79" t="str">
        <f>IF(SUM(OC10,OG10,OK10)&gt;0,SUM(OC10,OG10,OK10),"")</f>
        <v/>
      </c>
      <c r="OZ10" s="79" t="str">
        <f>IF(SUM(OW10,OX10)&gt;0,SUM(OW10,OX10),"")</f>
        <v/>
      </c>
      <c r="PA10" s="79" t="str">
        <f>IF(SUM(OO10,OS10)&gt;0,SUM(OO10,OS10),"")</f>
        <v/>
      </c>
      <c r="PB10" s="79" t="str">
        <f>IF(SUM(ON10:OO10,OQ10:OS10,OU10)-SUM(OP10,OT10)&gt;0,SUM(ON10:OO10,OQ10:OS10,OU10)-SUM(OP10,OT10),"")</f>
        <v/>
      </c>
      <c r="PC10" s="79" t="str">
        <f>IF(SUM(OW10,PB10)&gt;0,SUM(OW10,PB10),"")</f>
        <v/>
      </c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0" t="str">
        <f>IF(SUM(PE10,PI10)&gt;0,SUM(PE10,PI10),"")</f>
        <v/>
      </c>
      <c r="PY10" s="20" t="str">
        <f>IF(SUM(PD10:PE10,PG10:PI10,PK10)-PF10-PJ10&gt;0,SUM(PD10:PE10,PG10:PI10,PK10)-PF10-PJ10,"")</f>
        <v/>
      </c>
      <c r="PZ10" s="20" t="str">
        <f>IF(SUM(PL10:PM10,PO10)-PN10&gt;0,SUM(PL10:PM10,PO10)-PN10,"")</f>
        <v/>
      </c>
      <c r="QA10" s="20" t="str">
        <f>IF(SUM(PE10,PI10,PM10)&gt;0,SUM(PE10,PI10,PM10),"")</f>
        <v/>
      </c>
      <c r="QB10" s="20" t="str">
        <f>IF(SUM(PY10,PZ10)&gt;0,SUM(PY10,PZ10),"")</f>
        <v/>
      </c>
      <c r="QC10" s="20" t="str">
        <f>IF(SUM(PQ10,PU10)&gt;0,SUM(PQ10,PU10),"")</f>
        <v/>
      </c>
      <c r="QD10" s="20" t="str">
        <f>IF(SUM(PP10:PQ10,PS10:PU10,PW10)-SUM(PR10,PV10)&gt;0,SUM(PP10:PQ10,PS10:PU10,PW10)-SUM(PR10,PV10),"")</f>
        <v/>
      </c>
      <c r="QE10" s="20" t="str">
        <f>IF(SUM(PY10,QD10)&gt;0,SUM(PY10,QD10),"")</f>
        <v/>
      </c>
      <c r="QF10" s="38">
        <f>IF($CV10="P",CB10,(CB10+AY10)/2)</f>
        <v>9.3000000000000007</v>
      </c>
      <c r="QG10" s="38">
        <f>IF($CV10="P",CC10,(CC10+AZ10)/2)</f>
        <v>3.8</v>
      </c>
      <c r="QH10" s="38">
        <f>IF($CV10="P",CD10,(CD10+BA10)/2)</f>
        <v>0.4</v>
      </c>
      <c r="QI10" s="38">
        <f>IF($CV10="P",CE10,(CE10+BB10)/2)</f>
        <v>0</v>
      </c>
      <c r="QJ10" s="38">
        <f>IF($CV10="P",CF10,(CF10+BC10)/2)</f>
        <v>9.0500000000000007</v>
      </c>
      <c r="QK10" s="38">
        <f>IF($CV10="P",CG10,(CG10+BD10)/2)</f>
        <v>3.6</v>
      </c>
      <c r="QL10" s="38">
        <f>IF($CV10="P",CH10,(CH10+BE10)/2)</f>
        <v>0.4</v>
      </c>
      <c r="QM10" s="38">
        <f>IF($CV10="P",CI10,(CI10+BF10)/2)</f>
        <v>0</v>
      </c>
      <c r="QN10" s="38">
        <f>IF($CV10="P",CJ10,(CJ10+BG10)/2)</f>
        <v>8.65</v>
      </c>
      <c r="QO10" s="38">
        <f>IF($CV10="P",CK10,(CK10+BH10)/2)</f>
        <v>1.2</v>
      </c>
      <c r="QP10" s="38">
        <f>IF($CV10="P",CL10,(CL10+BI10)/2)</f>
        <v>0</v>
      </c>
      <c r="QQ10" s="38">
        <f>IF($CV10="P",CM10,(CM10+BJ10)/2)</f>
        <v>0</v>
      </c>
      <c r="QR10" s="38">
        <f>IF($CV10="P",CN10,(CN10+BK10)/2)</f>
        <v>9.25</v>
      </c>
      <c r="QS10" s="38">
        <f>IF($CV10="P",CO10,(CO10+BL10)/2)</f>
        <v>3.4</v>
      </c>
      <c r="QT10" s="38">
        <f>IF($CV10="P",CP10,(CP10+BM10)/2)</f>
        <v>0.1</v>
      </c>
      <c r="QU10" s="38">
        <f>IF($CV10="P",CQ10,(CQ10+BN10)/2)</f>
        <v>0</v>
      </c>
      <c r="QV10" s="38">
        <f>IF($CV10="P",CR10,(CR10+BO10)/2)</f>
        <v>9.25</v>
      </c>
      <c r="QW10" s="38">
        <f>IF($CV10="P",CS10,(CS10+BP10)/2)</f>
        <v>1.4</v>
      </c>
      <c r="QX10" s="38">
        <f>IF($CV10="P",CT10,(CT10+BQ10)/2)</f>
        <v>1.7</v>
      </c>
      <c r="QY10" s="38">
        <f>IF($CV10="P",CU10,(CU10+BR10)/2)</f>
        <v>0</v>
      </c>
      <c r="QZ10" s="45" t="s">
        <v>46</v>
      </c>
      <c r="RA10" s="79">
        <f>IF(SUM(QG10,QK10)&gt;0,SUM(QG10,QK10),"")</f>
        <v>7.4</v>
      </c>
      <c r="RB10" s="79">
        <f>IF(SUM(QF10:QG10,QI10:QK10,QM10)-QH10-QL10&gt;0,SUM(QF10:QG10,QI10:QK10,QM10)-QH10-QL10,"")</f>
        <v>24.950000000000006</v>
      </c>
      <c r="RC10" s="79">
        <f>IF(SUM(QN10:QO10,QQ10)-QP10&gt;0,SUM(QN10:QO10,QQ10)-QP10,"")</f>
        <v>9.85</v>
      </c>
      <c r="RD10" s="79">
        <f>IF(SUM(QG10,QK10,QO10)&gt;0,SUM(QG10,QK10,QO10),"")</f>
        <v>8.6</v>
      </c>
      <c r="RE10" s="79">
        <f>IF(SUM(RB10,RC10)&gt;0,SUM(RB10,RC10),"")</f>
        <v>34.800000000000004</v>
      </c>
      <c r="RF10" s="79">
        <f>IF(SUM(QS10,QW10)&gt;0,SUM(QS10,QW10),"")</f>
        <v>4.8</v>
      </c>
      <c r="RG10" s="79">
        <f>IF(SUM(QR10:QS10,QU10:QW10,QY10)-SUM(QT10,QX10)&gt;0,SUM(QR10:QS10,QU10:QW10,QY10)-SUM(QT10,QX10),"")</f>
        <v>21.499999999999996</v>
      </c>
      <c r="RH10" s="79">
        <f>IF(SUM(RB10,RG10)&gt;0,SUM(RB10,RG10),"")</f>
        <v>46.45</v>
      </c>
    </row>
    <row r="11" spans="1:476" x14ac:dyDescent="0.2">
      <c r="A11" s="5">
        <f>IF(AND(F11="P",G11="P"),SUMPRODUCT((F$4:F$27="P")*(G$4:G$27="P")*(E$4:E$27&gt;E11))+1,IF(G11="P",SUMPRODUCT((F$4:F$27="")*(G$4:G$27="P")*(E$4:E$27&gt;E11))+1+SUMPRODUCT((F$4:F$27="P")*(G$4:G$27="P")),""))</f>
        <v>8</v>
      </c>
      <c r="B11" s="78" t="s">
        <v>150</v>
      </c>
      <c r="C11" s="5" t="s">
        <v>5</v>
      </c>
      <c r="D11" s="5">
        <v>2005</v>
      </c>
      <c r="E11" s="15">
        <f>SUM(I11:S11)+SUM(I11:O11)*0.0000001+SUM(I11)*0.0000000000001</f>
        <v>112.0000072000047</v>
      </c>
      <c r="F11" s="3" t="str">
        <f>IF(OR(AND(AQ11&gt;=AX$29,AR11&gt;=AX$33,AQ11&lt;&gt;"",AP11=""),AND(AV11&gt;=AX$29,AW11&gt;=AX$33,AV11&lt;&gt;"",AP11=""),AND(BT11&gt;=CA$29,BU11&gt;=CA$33,BT11&lt;&gt;"",BS11=""),AND(BY11&gt;=CA$29,BZ11&gt;=CA$33,BY11&lt;&gt;"",BS11=""),AND(CW11&gt;=DD$29,CX11&gt;=DD$33,CW11&lt;&gt;"",CV11=""),AND(DB11&gt;=DD$29,DC11&gt;=DD$33,DB11&lt;&gt;""),AND(EB11&gt;=EI$29,EC11&gt;=EI$33,EB11&lt;&gt;""),AND(EG11&gt;=EI$29,EH11&gt;=EI$33,EG11&lt;&gt;""),AND(FD11&gt;=FK$29,FE11&gt;=FK$33,FD11&lt;&gt;""),AND(FI11&gt;=FK$29,FJ11&gt;=FK$33,FI11&lt;&gt;""),AND(GF11&gt;=GM$29,GG11&gt;=GM$33,GF11&lt;&gt;""),AND(GK11&gt;=GM$29,GL11&gt;=GM$33,GK11&lt;&gt;""),AND(HH11&gt;=HO$29,HI11&gt;=HO$33,HH11&lt;&gt;""),AND(HM11&gt;=HO$29,HN11&gt;=HO$33,HM11&lt;&gt;""),AND(IJ11&gt;=IQ$29,IK11&gt;=IQ$33,IJ11&lt;&gt;""),AND(IO11&gt;=IQ$29,IP11&gt;=IQ$33,IO11&lt;&gt;""),AND(JL11&gt;=JS$29,JM11&gt;=JS$33,JL11&lt;&gt;""),AND(JQ11&gt;=JS$29,JR11&gt;=JS$33,JQ11&lt;&gt;""),AND(KN11&gt;=KU$29,KO11&gt;=KU$33,KN11&lt;&gt;""),AND(KS11&gt;=KU$29,KT11&gt;=KU$33,KS11&lt;&gt;""),AND(LP11&gt;=LW$29,LQ11&gt;=LW$33,LP11&lt;&gt;""),AND(LU11&gt;=LW$29,LV11&gt;=LW$33,LU11&lt;&gt;""),AND(MR11&gt;=MY$29,MS11&gt;=MY$33,MR11&lt;&gt;""),AND(MW11&gt;=MY$29,MX11&gt;=MY$33,MW11&lt;&gt;""),AND(NT11&gt;=OA$29,NU11&gt;=OA$33,NT11&lt;&gt;""),AND(NY11&gt;=OA$29,NZ11&gt;=OA$33,NY11&lt;&gt;""),AND(OV11&gt;=PC$29,OW11&gt;=PC$33,OV11&lt;&gt;""),AND(PA11&gt;=PC$29,PB11&gt;=PC$33,PA11&lt;&gt;""),AND(PX11&gt;=QE$29,PY11&gt;=QE$33,PX11&lt;&gt;""),AND(QC11&gt;=QE$29,QD11&gt;=QE$33,QC11&lt;&gt;"")),"P","")</f>
        <v>P</v>
      </c>
      <c r="G11" s="3" t="str">
        <f>IF(OR(AND(AR11&gt;=AX$33,AR11&lt;&gt;"",AP11=""),AND(AW11&gt;=AX$33,AW11&lt;&gt;"",AP11=""),AND(BU11&gt;=CA$33,BU11&lt;&gt;"",BS11=""),AND(BZ11&gt;=CA$33,BZ11&lt;&gt;"",BS11=""),AND(CX11&gt;=DD$33,CX11&lt;&gt;"",CV11=""),AND(DC11&gt;=DD$33,DC11&lt;&gt;"",CV11=""),AND(EC11&gt;=EI$33,EC11&lt;&gt;""),AND(EH11&gt;=EI$33,EH11&lt;&gt;""),AND(FE11&gt;=FK$33,FE11&lt;&gt;""),AND(FJ11&gt;=FK$33,FJ11&lt;&gt;""),AND(GG11&gt;=GM$33,GG11&lt;&gt;""),AND(GL11&gt;=GM$33,GL11&lt;&gt;""),AND(HI11&gt;=HO$33,HI11&lt;&gt;""),AND(HN11&gt;=HO$33,HN11&lt;&gt;""),AND(IK11&gt;=IQ$33,IK11&lt;&gt;""),AND(IP11&gt;=IQ$33,IP11&lt;&gt;""),AND(JM11&gt;=JS$33,JM11&lt;&gt;""),AND(JR11&gt;=JS$33,JR11&lt;&gt;""),AND(KO11&gt;=KU$33,KO11&lt;&gt;""),AND(KT11&gt;=KU$33,KT11&lt;&gt;""),AND(LQ11&gt;=LW$33,LQ11&lt;&gt;""),AND(LV11&gt;=LW$33,LV11&lt;&gt;""),AND(MS11&gt;=MY$33,MS11&lt;&gt;""),AND(MX11&gt;=MY$33,MX11&lt;&gt;""),AND(NU11&gt;=OA$33,NU11&lt;&gt;""),AND(NZ11&gt;=OA$33,NZ11&lt;&gt;""),AND(OW11&gt;=PC$33,OW11&lt;&gt;""),AND(PB11&gt;=PC$33,PB11&lt;&gt;""),AND(PY11&gt;=QE$33,PY11&lt;&gt;""),AND(QD11&gt;=QE$33,QD11&lt;&gt;"")),"P","")</f>
        <v>P</v>
      </c>
      <c r="H11" s="67" t="str">
        <f>IF(AND(G11="P",F11=""),"No DD",IF(OR(AND(AT11&gt;=AX$32,AU11&gt;=AX$36,AT11&lt;&gt;"",AP11=""),AND(BW11&gt;=CA$32,BX11&gt;=CA$36,BW11&lt;&gt;"",BS11=""),AND(CZ11&gt;=DD$32,DA11&gt;=DD$36,CZ11&lt;&gt;"",CV11=""),AND(EE11&gt;=EI$32,EF11&gt;=EI$36,EE11&lt;&gt;""),AND(FG11&gt;=FK$32,FH11&gt;=FK$36,FG11&lt;&gt;""),AND(GI11&gt;=GM$32,GJ11&gt;=GM$36,GI11&lt;&gt;""),AND(HK11&gt;=HO$32,HL11&gt;=HO$36,HK11&lt;&gt;""),AND(IM11&gt;=IQ$32,IN11&gt;=IQ$36,IM11&lt;&gt;""),AND(JO11&gt;=JS$32,JP11&gt;=JS$36,JO11&lt;&gt;""),AND(KQ11&gt;=KU$32,KR11&gt;=KU$36,KQ11&lt;&gt;""),AND(LS11&gt;=LW$32,LT11&gt;=LW$36,LS11&lt;&gt;""),AND(MU11&gt;=MY$32,MV11&gt;=MY$36,MU11&lt;&gt;""),AND(NW11&gt;=OA$32,NX11&gt;=OA$36,NW11&lt;&gt;""),AND(OY11&gt;=PC$32,OZ11&gt;=PC$36,OY11&lt;&gt;""),AND(QA11&gt;=QE$32,QB11&gt;=QE$36,QA11&lt;&gt;"")),"Merit",IF(OR(AND(AT11&gt;=AX$31,AU11&gt;=AX$35,AT11&lt;&gt;"",AP11=""),AND(BW11&gt;=CA$31,BX11&gt;=CA$35,BW11&lt;&gt;"",BS11=""),AND(CZ11&gt;=DD$31,DA11&gt;=DD$35,CZ11&lt;&gt;"",CV11=""),AND(EE11&gt;=EI$31,EF11&gt;=EI$35,EE11&lt;&gt;""),AND(FG11&gt;=FK$31,FH11&gt;=FK$35,FG11&lt;&gt;""),AND(GI11&gt;=GM$31,GJ11&gt;=GM$35,GI11&lt;&gt;""),AND(HK11&gt;=HO$31,HL11&gt;=HO$35,HK11&lt;&gt;""),AND(IM11&gt;=IQ$31,IN11&gt;=IQ$35,IM11&lt;&gt;""),AND(JO11&gt;=JS$31,JP11&gt;=JS$35,JO11&lt;&gt;""),AND(KQ11&gt;=KU$31,KR11&gt;=KU$35,KQ11&lt;&gt;""),AND(LS11&gt;=LW$31,LT11&gt;=LW$35,LS11&lt;&gt;""),AND(MU11&gt;=MY$31,MV11&gt;=MY$35,MU11&lt;&gt;""),AND(NW11&gt;=OA$31,NX11&gt;=OA$35,NW11&lt;&gt;""),AND(OY11&gt;=PC$31,OZ11&gt;=PC$35,OY11&lt;&gt;""),AND(QA11&gt;=QE$31,QB11&gt;=QE$35,QA11&lt;&gt;"")),"Excellence",IF(F11="P","National Team",""))))</f>
        <v>National Team</v>
      </c>
      <c r="I11" s="14">
        <f>IF(COUNT(AR11,BU11,CX11)&gt;0,LARGE((AR11,BU11,CX11),1),0)</f>
        <v>47.1</v>
      </c>
      <c r="J11" s="14" t="str">
        <f>IF(I11=0,"",IF(I11=CX11,$CB$1,IF(I11=BU11,$AY$1,IF(I11=AR11,$V$1,""))))</f>
        <v>2022 Elite Canada</v>
      </c>
      <c r="K11" s="14">
        <f>IF(COUNT(AR11,BU11,CX11)&gt;1,LARGE((AR11,BU11,CX11),2),0)</f>
        <v>0</v>
      </c>
      <c r="L11" s="14" t="str">
        <f>IF(K11=0,"",IF(K11=CX11,$CB$1,IF(K11=BU11,$AY$1,IF(K11=AR11,$V$1,""))))</f>
        <v/>
      </c>
      <c r="M11" s="14">
        <f>IF(COUNT(AS11,BV11,CY11)&gt;0,LARGE((AS11,BV11,CY11),1),0)</f>
        <v>24.9</v>
      </c>
      <c r="N11" s="14" t="str">
        <f>IF(M11=0,"",IF(M11=CY11,$CB$1,IF(M11=BV11,$AY$1,IF(M11=AS11,$V$1,""))))</f>
        <v>2022 Elite Canada</v>
      </c>
      <c r="O11" s="14">
        <f>IF(COUNT(AS11,BV11,CY11)&gt;1,LARGE((AS11,BV11,CY11),2),0)</f>
        <v>0</v>
      </c>
      <c r="P11" s="14" t="str">
        <f>IF(O11=0,"",IF(O11=CY11,$CB$1,IF(O11=BV11,$AY$1,IF(O11=AS11,$V$1,""))))</f>
        <v/>
      </c>
      <c r="Q11" s="14">
        <f>IF(MAX(AW11,BZ11,DC11)&gt;0,MAX(AW11,BZ11,DC11),0)</f>
        <v>39.999999999999993</v>
      </c>
      <c r="R11" s="14" t="str">
        <f>IF(Q11=0,"",IF(Q11=DC11,$CB$1,IF(Q11=BZ11,$AY$1,IF(Q11=AW11,$V$1,""))))</f>
        <v>2022 Elite Canada</v>
      </c>
      <c r="S11" s="14" t="str">
        <f>IF(MAX(DE11:DG11)&gt;0,MAX(DE11:DG11),"")</f>
        <v/>
      </c>
      <c r="T11" s="20" t="str">
        <f>IF(S11="","",IF(S11=DE11,"("&amp;DE$2&amp;")",IF(S11=DG11,"("&amp;DG$2&amp;")")))</f>
        <v/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/>
      </c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45"/>
      <c r="AQ11" s="79" t="str">
        <f>IF(SUM(W11,AA11)&gt;0,SUM(W11,AA11),"")</f>
        <v/>
      </c>
      <c r="AR11" s="79" t="str">
        <f>IF(SUM(V11:W11,Y11:AA11,AC11)-X11-AB11&gt;0,SUM(V11:W11,Y11:AA11,AC11)-X11-AB11,"")</f>
        <v/>
      </c>
      <c r="AS11" s="79" t="str">
        <f>IF(SUM(AD11:AE11,AG11)-AF11&gt;0,SUM(AD11:AE11,AG11)-AF11,"")</f>
        <v/>
      </c>
      <c r="AT11" s="79" t="str">
        <f>IF(SUM(W11,AA11,AE11)&gt;0,SUM(W11,AA11,AE11),"")</f>
        <v/>
      </c>
      <c r="AU11" s="79" t="str">
        <f>IF(SUM(AR11,AS11)&gt;0,SUM(AR11,AS11),"")</f>
        <v/>
      </c>
      <c r="AV11" s="79" t="str">
        <f>IF(SUM(AI11,AM11)&gt;0,SUM(AI11,AM11),"")</f>
        <v/>
      </c>
      <c r="AW11" s="79" t="str">
        <f>IF(SUM(AH11:AI11,AK11:AM11,AO11)-SUM(AJ11,AN11)&gt;0,SUM(AH11:AI11,AK11:AM11,AO11)-SUM(AJ11,AN11),"")</f>
        <v/>
      </c>
      <c r="AX11" s="79" t="str">
        <f>IF(SUM(AR11,AW11)&gt;0,SUM(AR11,AW11),"")</f>
        <v/>
      </c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46"/>
      <c r="BT11" s="20" t="str">
        <f>IF(SUM(AZ11,BD11)&gt;0,SUM(AZ11,BD11),"")</f>
        <v/>
      </c>
      <c r="BU11" s="20" t="str">
        <f>IF(SUM(AY11:AZ11,BB11:BD11,BF11)-BA11-BE11&gt;0,SUM(AY11:AZ11,BB11:BD11,BF11)-BA11-BE11,"")</f>
        <v/>
      </c>
      <c r="BV11" s="20" t="str">
        <f>IF(SUM(BG11:BH11,BJ11)-BI11&gt;0,SUM(BG11:BH11,BJ11)-BI11,"")</f>
        <v/>
      </c>
      <c r="BW11" s="20" t="str">
        <f>IF(SUM(AZ11,BD11,BH11)&gt;0,SUM(AZ11,BD11,BH11),"")</f>
        <v/>
      </c>
      <c r="BX11" s="20" t="str">
        <f>IF(SUM(BU11,BV11)&gt;0,SUM(BU11,BV11),"")</f>
        <v/>
      </c>
      <c r="BY11" s="20" t="str">
        <f>IF(SUM(BL11,BP11)&gt;0,SUM(BL11,BP11),"")</f>
        <v/>
      </c>
      <c r="BZ11" s="20" t="str">
        <f>IF(SUM(BK11:BL11,BN11:BP11,BR11)-SUM(BM11,BQ11)&gt;0,SUM(BK11:BL11,BN11:BP11,BR11)-SUM(BM11,BQ11),"")</f>
        <v/>
      </c>
      <c r="CA11" s="20" t="str">
        <f>IF(SUM(BU11,BZ11)&gt;0,SUM(BU11,BZ11),"")</f>
        <v/>
      </c>
      <c r="CB11" s="27">
        <v>18.899999999999999</v>
      </c>
      <c r="CC11" s="27">
        <v>7.2</v>
      </c>
      <c r="CD11" s="27">
        <v>0</v>
      </c>
      <c r="CE11" s="27">
        <v>0</v>
      </c>
      <c r="CF11" s="27">
        <v>17.399999999999999</v>
      </c>
      <c r="CG11" s="27">
        <v>3.6</v>
      </c>
      <c r="CH11" s="27">
        <v>0</v>
      </c>
      <c r="CI11" s="27">
        <v>0</v>
      </c>
      <c r="CJ11" s="27">
        <v>18.899999999999999</v>
      </c>
      <c r="CK11" s="27">
        <v>6</v>
      </c>
      <c r="CL11" s="27">
        <v>0</v>
      </c>
      <c r="CM11" s="27">
        <v>0</v>
      </c>
      <c r="CN11" s="27">
        <v>17.399999999999999</v>
      </c>
      <c r="CO11" s="27">
        <v>2.8</v>
      </c>
      <c r="CP11" s="27">
        <v>0</v>
      </c>
      <c r="CQ11" s="27">
        <v>0</v>
      </c>
      <c r="CR11" s="27">
        <v>17.399999999999999</v>
      </c>
      <c r="CS11" s="27">
        <v>2.4</v>
      </c>
      <c r="CT11" s="27">
        <v>0</v>
      </c>
      <c r="CU11" s="27">
        <v>0</v>
      </c>
      <c r="CV11" s="45"/>
      <c r="CW11" s="79">
        <f>IF(SUM(CC11,CG11)&gt;0,SUM(CC11,CG11),"")</f>
        <v>10.8</v>
      </c>
      <c r="CX11" s="79">
        <f>IF(SUM(CB11:CC11,CE11:CG11,CI11)-CD11-CH11&gt;0,SUM(CB11:CC11,CE11:CG11,CI11)-CD11-CH11,"")</f>
        <v>47.1</v>
      </c>
      <c r="CY11" s="79">
        <f>IF(SUM(CJ11:CK11,CM11)-CL11&gt;0,SUM(CJ11:CK11,CM11)-CL11,"")</f>
        <v>24.9</v>
      </c>
      <c r="CZ11" s="79">
        <f>IF(SUM(CC11,CG11,CK11)&gt;0,SUM(CC11,CG11,CK11),"")</f>
        <v>16.8</v>
      </c>
      <c r="DA11" s="79">
        <f>IF(SUM(CX11,CY11)&gt;0,SUM(CX11,CY11),"")</f>
        <v>72</v>
      </c>
      <c r="DB11" s="79">
        <f>IF(SUM(CO11,CS11)&gt;0,SUM(CO11,CS11),"")</f>
        <v>5.1999999999999993</v>
      </c>
      <c r="DC11" s="79">
        <f>IF(SUM(CN11:CO11,CQ11:CS11,CU11)-SUM(CP11,CT11)&gt;0,SUM(CN11:CO11,CQ11:CS11,CU11)-SUM(CP11,CT11),"")</f>
        <v>39.999999999999993</v>
      </c>
      <c r="DD11" s="79">
        <f>IF(SUM(CX11,DC11)&gt;0,SUM(CX11,DC11),"")</f>
        <v>87.1</v>
      </c>
      <c r="DE11" s="80" t="str">
        <f>IF(K11&gt;=0.001,IF(MAX(EC11,FE11,GG11,HI11,IK11,JM11,KO11,LQ11,MS11,NU11,OW11,PY11)-IF(K11="",0,K11)&gt;0.001,MAX(EC11,FE11,GG11,HI11,IK11,JM11,KO11,LQ11,MS11,NU11,OW11,PY11)-IF(K11="",0,K11),""),"")</f>
        <v/>
      </c>
      <c r="DF11" s="80" t="str">
        <f>IF(O11&gt;=0.001,IF(MAX(ED11,FF11,GH11,HJ11,IL11,JN11,KP11,LR11,MT11,NV11,OX11,PZ11)-IF(O11="",0,O11)&gt;0.001,MAX(ED11,FF11,GH11,HJ11,IL11,JN11,KP11,LR11,MT11,NV11,OX11,PZ11)-IF(O11="",0,O11),""),"")</f>
        <v/>
      </c>
      <c r="DG11" s="80" t="str">
        <f>IF(Q11&gt;=0.001,IF(MAX(EH11,FJ11,GL11,HN11,IP11,JR11,KT11,LV11,MX11,NZ11,PB11,QD11)-IF(Q11="",0,Q11)&gt;0.001,MAX(EH11,FJ11,GL11,HN11,IP11,JR11,KT11,LV11,MX11,NZ11,PB11,QD11)-IF(Q11="",0,Q11),""),"")</f>
        <v/>
      </c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79" t="str">
        <f>IF(SUM(DI11,DM11)&gt;0,SUM(DI11,DM11),"")</f>
        <v/>
      </c>
      <c r="EC11" s="79" t="str">
        <f>IF(SUM(DH11:DI11,DK11:DM11,DO11)-DJ11-DN11&gt;0,SUM(DH11:DI11,DK11:DM11,DO11)-DJ11-DN11,"")</f>
        <v/>
      </c>
      <c r="ED11" s="79" t="str">
        <f>IF(SUM(DP11:DQ11,DS11)-DR11&gt;0,SUM(DP11:DQ11,DS11)-DR11,"")</f>
        <v/>
      </c>
      <c r="EE11" s="79" t="str">
        <f>IF(SUM(DI11,DM11,DQ11)&gt;0,SUM(DI11,DM11,DQ11),"")</f>
        <v/>
      </c>
      <c r="EF11" s="79" t="str">
        <f>IF(SUM(EC11,ED11)&gt;0,SUM(EC11,ED11),"")</f>
        <v/>
      </c>
      <c r="EG11" s="79" t="str">
        <f>IF(SUM(DU11,DY11)&gt;0,SUM(DU11,DY11),"")</f>
        <v/>
      </c>
      <c r="EH11" s="79" t="str">
        <f>IF(SUM(DT11:DU11,DW11:DY11,EA11)-SUM(DV11,DZ11)&gt;0,SUM(DT11:DU11,DW11:DY11,EA11)-SUM(DV11,DZ11),"")</f>
        <v/>
      </c>
      <c r="EI11" s="79" t="str">
        <f>IF(SUM(EC11,EH11)&gt;0,SUM(EC11,EH11),"")</f>
        <v/>
      </c>
      <c r="EJ11" s="26">
        <v>18.600000000000001</v>
      </c>
      <c r="EK11" s="26">
        <v>7.2</v>
      </c>
      <c r="EL11" s="26">
        <v>0.6</v>
      </c>
      <c r="EM11" s="26">
        <v>0</v>
      </c>
      <c r="EN11" s="26">
        <v>17.8</v>
      </c>
      <c r="EO11" s="26">
        <v>6.8</v>
      </c>
      <c r="EP11" s="26">
        <v>0.2</v>
      </c>
      <c r="EQ11" s="26">
        <v>0</v>
      </c>
      <c r="ER11" s="26"/>
      <c r="ES11" s="26"/>
      <c r="ET11" s="26"/>
      <c r="EU11" s="26"/>
      <c r="EV11" s="26">
        <v>18.600000000000001</v>
      </c>
      <c r="EW11" s="26">
        <v>7.2</v>
      </c>
      <c r="EX11" s="26">
        <v>0.2</v>
      </c>
      <c r="EY11" s="26">
        <v>0</v>
      </c>
      <c r="EZ11" s="26">
        <v>0</v>
      </c>
      <c r="FA11" s="26">
        <v>0</v>
      </c>
      <c r="FB11" s="26">
        <v>0</v>
      </c>
      <c r="FC11" s="26">
        <v>0</v>
      </c>
      <c r="FD11" s="20">
        <f>IF(SUM(EK11,EO11)&gt;0,SUM(EK11,EO11),"")</f>
        <v>14</v>
      </c>
      <c r="FE11" s="20">
        <f>IF(SUM(EJ11:EK11,EM11:EO11,EQ11)-EL11-EP11&gt;0,SUM(EJ11:EK11,EM11:EO11,EQ11)-EL11-EP11,"")</f>
        <v>49.599999999999994</v>
      </c>
      <c r="FF11" s="20" t="str">
        <f>IF(SUM(ER11:ES11,EU11)-ET11&gt;0,SUM(ER11:ES11,EU11)-ET11,"")</f>
        <v/>
      </c>
      <c r="FG11" s="20">
        <f>IF(SUM(EK11,EO11,ES11)&gt;0,SUM(EK11,EO11,ES11),"")</f>
        <v>14</v>
      </c>
      <c r="FH11" s="20">
        <f>IF(SUM(FE11,FF11)&gt;0,SUM(FE11,FF11),"")</f>
        <v>49.599999999999994</v>
      </c>
      <c r="FI11" s="20">
        <f>IF(SUM(EW11,FA11)&gt;0,SUM(EW11,FA11),"")</f>
        <v>7.2</v>
      </c>
      <c r="FJ11" s="20">
        <f>IF(SUM(EV11:EW11,EY11:FA11,FC11)-SUM(EX11,FB11)&gt;0,SUM(EV11:EW11,EY11:FA11,FC11)-SUM(EX11,FB11),"")</f>
        <v>25.6</v>
      </c>
      <c r="FK11" s="20">
        <f>IF(SUM(FE11,FJ11)&gt;0,SUM(FE11,FJ11),"")</f>
        <v>75.199999999999989</v>
      </c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79" t="str">
        <f>IF(SUM(FM11,FQ11)&gt;0,SUM(FM11,FQ11),"")</f>
        <v/>
      </c>
      <c r="GG11" s="79" t="str">
        <f>IF(SUM(FL11:FM11,FO11:FQ11,FS11)-FN11-FR11&gt;0,SUM(FL11:FM11,FO11:FQ11,FS11)-FN11-FR11,"")</f>
        <v/>
      </c>
      <c r="GH11" s="79" t="str">
        <f>IF(SUM(FT11:FU11,FW11)-FV11&gt;0,SUM(FT11:FU11,FW11)-FV11,"")</f>
        <v/>
      </c>
      <c r="GI11" s="79" t="str">
        <f>IF(SUM(FM11,FQ11,FU11)&gt;0,SUM(FM11,FQ11,FU11),"")</f>
        <v/>
      </c>
      <c r="GJ11" s="79" t="str">
        <f>IF(SUM(GG11,GH11)&gt;0,SUM(GG11,GH11),"")</f>
        <v/>
      </c>
      <c r="GK11" s="79" t="str">
        <f>IF(SUM(FY11,GC11)&gt;0,SUM(FY11,GC11),"")</f>
        <v/>
      </c>
      <c r="GL11" s="79" t="str">
        <f>IF(SUM(FX11:FY11,GA11:GC11,GE11)-SUM(FZ11,GD11)&gt;0,SUM(FX11:FY11,GA11:GC11,GE11)-SUM(FZ11,GD11),"")</f>
        <v/>
      </c>
      <c r="GM11" s="79" t="str">
        <f>IF(SUM(GG11,GL11)&gt;0,SUM(GG11,GL11),"")</f>
        <v/>
      </c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0" t="str">
        <f>IF(SUM(GO11,GS11)&gt;0,SUM(GO11,GS11),"")</f>
        <v/>
      </c>
      <c r="HI11" s="20" t="str">
        <f>IF(SUM(GN11:GO11,GQ11:GS11,GU11)-GP11-GT11&gt;0,SUM(GN11:GO11,GQ11:GS11,GU11)-GP11-GT11,"")</f>
        <v/>
      </c>
      <c r="HJ11" s="20" t="str">
        <f>IF(SUM(GV11:GW11,GY11)-GX11&gt;0,SUM(GV11:GW11,GY11)-GX11,"")</f>
        <v/>
      </c>
      <c r="HK11" s="20" t="str">
        <f>IF(SUM(GO11,GS11,GW11)&gt;0,SUM(GO11,GS11,GW11),"")</f>
        <v/>
      </c>
      <c r="HL11" s="20" t="str">
        <f>IF(SUM(HI11,HJ11)&gt;0,SUM(HI11,HJ11),"")</f>
        <v/>
      </c>
      <c r="HM11" s="20" t="str">
        <f>IF(SUM(HA11,HE11)&gt;0,SUM(HA11,HE11),"")</f>
        <v/>
      </c>
      <c r="HN11" s="20" t="str">
        <f>IF(SUM(GZ11:HA11,HC11:HE11,HG11)-SUM(HB11,HF11)&gt;0,SUM(GZ11:HA11,HC11:HE11,HG11)-SUM(HB11,HF11),"")</f>
        <v/>
      </c>
      <c r="HO11" s="20" t="str">
        <f>IF(SUM(HI11,HN11)&gt;0,SUM(HI11,HN11),"")</f>
        <v/>
      </c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79" t="str">
        <f>IF(SUM(HQ11,HU11)&gt;0,SUM(HQ11,HU11),"")</f>
        <v/>
      </c>
      <c r="IK11" s="79" t="str">
        <f>IF(SUM(HP11:HQ11,HS11:HU11,HW11)-HR11-HV11&gt;0,SUM(HP11:HQ11,HS11:HU11,HW11)-HR11-HV11,"")</f>
        <v/>
      </c>
      <c r="IL11" s="79" t="str">
        <f>IF(SUM(HX11:HY11,IA11)-HZ11&gt;0,SUM(HX11:HY11,IA11)-HZ11,"")</f>
        <v/>
      </c>
      <c r="IM11" s="79" t="str">
        <f>IF(SUM(HQ11,HU11,HY11)&gt;0,SUM(HQ11,HU11,HY11),"")</f>
        <v/>
      </c>
      <c r="IN11" s="79" t="str">
        <f>IF(SUM(IK11,IL11)&gt;0,SUM(IK11,IL11),"")</f>
        <v/>
      </c>
      <c r="IO11" s="79" t="str">
        <f>IF(SUM(IC11,IG11)&gt;0,SUM(IC11,IG11),"")</f>
        <v/>
      </c>
      <c r="IP11" s="79" t="str">
        <f>IF(SUM(IB11:IC11,IE11:IG11,II11)-SUM(ID11,IH11)&gt;0,SUM(IB11:IC11,IE11:IG11,II11)-SUM(ID11,IH11),"")</f>
        <v/>
      </c>
      <c r="IQ11" s="79" t="str">
        <f>IF(SUM(IK11,IP11)&gt;0,SUM(IK11,IP11),"")</f>
        <v/>
      </c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0" t="str">
        <f>IF(SUM(IS11,IW11)&gt;0,SUM(IS11,IW11),"")</f>
        <v/>
      </c>
      <c r="JM11" s="20" t="str">
        <f>IF(SUM(IR11:IS11,IU11:IW11,IY11)-IT11-IX11&gt;0,SUM(IR11:IS11,IU11:IW11,IY11)-IT11-IX11,"")</f>
        <v/>
      </c>
      <c r="JN11" s="20" t="str">
        <f>IF(SUM(IZ11:JA11,JC11)-JB11&gt;0,SUM(IZ11:JA11,JC11)-JB11,"")</f>
        <v/>
      </c>
      <c r="JO11" s="20" t="str">
        <f>IF(SUM(IS11,IW11,JA11)&gt;0,SUM(IS11,IW11,JA11),"")</f>
        <v/>
      </c>
      <c r="JP11" s="20" t="str">
        <f>IF(SUM(JM11,JN11)&gt;0,SUM(JM11,JN11),"")</f>
        <v/>
      </c>
      <c r="JQ11" s="20" t="str">
        <f>IF(SUM(JE11,JI11)&gt;0,SUM(JE11,JI11),"")</f>
        <v/>
      </c>
      <c r="JR11" s="20" t="str">
        <f>IF(SUM(JD11:JE11,JG11:JI11,JK11)-SUM(JF11,JJ11)&gt;0,SUM(JD11:JE11,JG11:JI11,JK11)-SUM(JF11,JJ11),"")</f>
        <v/>
      </c>
      <c r="JS11" s="20" t="str">
        <f>IF(SUM(JM11,JR11)&gt;0,SUM(JM11,JR11),"")</f>
        <v/>
      </c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79" t="str">
        <f>IF(SUM(JU11,JY11)&gt;0,SUM(JU11,JY11),"")</f>
        <v/>
      </c>
      <c r="KO11" s="79" t="str">
        <f>IF(SUM(JT11:JU11,JW11:JY11,KA11)-JV11-JZ11&gt;0,SUM(JT11:JU11,JW11:JY11,KA11)-JV11-JZ11,"")</f>
        <v/>
      </c>
      <c r="KP11" s="79" t="str">
        <f>IF(SUM(KB11:KC11,KE11)-KD11&gt;0,SUM(KB11:KC11,KE11)-KD11,"")</f>
        <v/>
      </c>
      <c r="KQ11" s="79" t="str">
        <f>IF(SUM(JU11,JY11,KC11)&gt;0,SUM(JU11,JY11,KC11),"")</f>
        <v/>
      </c>
      <c r="KR11" s="79" t="str">
        <f>IF(SUM(KO11,KP11)&gt;0,SUM(KO11,KP11),"")</f>
        <v/>
      </c>
      <c r="KS11" s="79" t="str">
        <f>IF(SUM(KG11,KK11)&gt;0,SUM(KG11,KK11),"")</f>
        <v/>
      </c>
      <c r="KT11" s="79" t="str">
        <f>IF(SUM(KF11:KG11,KI11:KK11,KM11)-SUM(KH11,KL11)&gt;0,SUM(KF11:KG11,KI11:KK11,KM11)-SUM(KH11,KL11),"")</f>
        <v/>
      </c>
      <c r="KU11" s="79" t="str">
        <f>IF(SUM(KO11,KT11)&gt;0,SUM(KO11,KT11),"")</f>
        <v/>
      </c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0" t="str">
        <f>IF(SUM(KW11,LA11)&gt;0,SUM(KW11,LA11),"")</f>
        <v/>
      </c>
      <c r="LQ11" s="20" t="str">
        <f>IF(SUM(KV11:KW11,KY11:LA11,LC11)-KX11-LB11&gt;0,SUM(KV11:KW11,KY11:LA11,LC11)-KX11-LB11,"")</f>
        <v/>
      </c>
      <c r="LR11" s="20" t="str">
        <f>IF(SUM(LD11:LE11,LG11)-LF11&gt;0,SUM(LD11:LE11,LG11)-LF11,"")</f>
        <v/>
      </c>
      <c r="LS11" s="20" t="str">
        <f>IF(SUM(KW11,LA11,LE11)&gt;0,SUM(KW11,LA11,LE11),"")</f>
        <v/>
      </c>
      <c r="LT11" s="20" t="str">
        <f>IF(SUM(LQ11,LR11)&gt;0,SUM(LQ11,LR11),"")</f>
        <v/>
      </c>
      <c r="LU11" s="20" t="str">
        <f>IF(SUM(LI11,LM11)&gt;0,SUM(LI11,LM11),"")</f>
        <v/>
      </c>
      <c r="LV11" s="20" t="str">
        <f>IF(SUM(LH11:LI11,LK11:LM11,LO11)-SUM(LJ11,LN11)&gt;0,SUM(LH11:LI11,LK11:LM11,LO11)-SUM(LJ11,LN11),"")</f>
        <v/>
      </c>
      <c r="LW11" s="20" t="str">
        <f>IF(SUM(LQ11,LV11)&gt;0,SUM(LQ11,LV11),"")</f>
        <v/>
      </c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79" t="str">
        <f>IF(SUM(LY11,MC11)&gt;0,SUM(LY11,MC11),"")</f>
        <v/>
      </c>
      <c r="MS11" s="79" t="str">
        <f>IF(SUM(LX11:LY11,MA11:MC11,ME11)-LZ11-MD11&gt;0,SUM(LX11:LY11,MA11:MC11,ME11)-LZ11-MD11,"")</f>
        <v/>
      </c>
      <c r="MT11" s="79" t="str">
        <f>IF(SUM(MF11:MG11,MI11)-MH11&gt;0,SUM(MF11:MG11,MI11)-MH11,"")</f>
        <v/>
      </c>
      <c r="MU11" s="79" t="str">
        <f>IF(SUM(LY11,MC11,MG11)&gt;0,SUM(LY11,MC11,MG11),"")</f>
        <v/>
      </c>
      <c r="MV11" s="79" t="str">
        <f>IF(SUM(MS11,MT11)&gt;0,SUM(MS11,MT11),"")</f>
        <v/>
      </c>
      <c r="MW11" s="79" t="str">
        <f>IF(SUM(MK11,MO11)&gt;0,SUM(MK11,MO11),"")</f>
        <v/>
      </c>
      <c r="MX11" s="79" t="str">
        <f>IF(SUM(MJ11:MK11,MM11:MO11,MQ11)-SUM(ML11,MP11)&gt;0,SUM(MJ11:MK11,MM11:MO11,MQ11)-SUM(ML11,MP11),"")</f>
        <v/>
      </c>
      <c r="MY11" s="79" t="str">
        <f>IF(SUM(MS11,MX11)&gt;0,SUM(MS11,MX11),"")</f>
        <v/>
      </c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0" t="str">
        <f>IF(SUM(NA11,NE11)&gt;0,SUM(NA11,NE11),"")</f>
        <v/>
      </c>
      <c r="NU11" s="20" t="str">
        <f>IF(SUM(MZ11:NA11,NC11:NE11,NG11)-NB11-NF11&gt;0,SUM(MZ11:NA11,NC11:NE11,NG11)-NB11-NF11,"")</f>
        <v/>
      </c>
      <c r="NV11" s="20" t="str">
        <f>IF(SUM(NH11:NI11,NK11)-NJ11&gt;0,SUM(NH11:NI11,NK11)-NJ11,"")</f>
        <v/>
      </c>
      <c r="NW11" s="20" t="str">
        <f>IF(SUM(NA11,NE11,NI11)&gt;0,SUM(NA11,NE11,NI11),"")</f>
        <v/>
      </c>
      <c r="NX11" s="20" t="str">
        <f>IF(SUM(NU11,NV11)&gt;0,SUM(NU11,NV11),"")</f>
        <v/>
      </c>
      <c r="NY11" s="20" t="str">
        <f>IF(SUM(NM11,NQ11)&gt;0,SUM(NM11,NQ11),"")</f>
        <v/>
      </c>
      <c r="NZ11" s="20" t="str">
        <f>IF(SUM(NL11:NM11,NO11:NQ11,NS11)-SUM(NN11,NR11)&gt;0,SUM(NL11:NM11,NO11:NQ11,NS11)-SUM(NN11,NR11),"")</f>
        <v/>
      </c>
      <c r="OA11" s="20" t="str">
        <f>IF(SUM(NU11,NZ11)&gt;0,SUM(NU11,NZ11),"")</f>
        <v/>
      </c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79" t="str">
        <f>IF(SUM(OC11,OG11)&gt;0,SUM(OC11,OG11),"")</f>
        <v/>
      </c>
      <c r="OW11" s="79" t="str">
        <f>IF(SUM(OB11:OC11,OE11:OG11,OI11)-OD11-OH11&gt;0,SUM(OB11:OC11,OE11:OG11,OI11)-OD11-OH11,"")</f>
        <v/>
      </c>
      <c r="OX11" s="79" t="str">
        <f>IF(SUM(OJ11:OK11,OM11)-OL11&gt;0,SUM(OJ11:OK11,OM11)-OL11,"")</f>
        <v/>
      </c>
      <c r="OY11" s="79" t="str">
        <f>IF(SUM(OC11,OG11,OK11)&gt;0,SUM(OC11,OG11,OK11),"")</f>
        <v/>
      </c>
      <c r="OZ11" s="79" t="str">
        <f>IF(SUM(OW11,OX11)&gt;0,SUM(OW11,OX11),"")</f>
        <v/>
      </c>
      <c r="PA11" s="79" t="str">
        <f>IF(SUM(OO11,OS11)&gt;0,SUM(OO11,OS11),"")</f>
        <v/>
      </c>
      <c r="PB11" s="79" t="str">
        <f>IF(SUM(ON11:OO11,OQ11:OS11,OU11)-SUM(OP11,OT11)&gt;0,SUM(ON11:OO11,OQ11:OS11,OU11)-SUM(OP11,OT11),"")</f>
        <v/>
      </c>
      <c r="PC11" s="79" t="str">
        <f>IF(SUM(OW11,PB11)&gt;0,SUM(OW11,PB11),"")</f>
        <v/>
      </c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0" t="str">
        <f>IF(SUM(PE11,PI11)&gt;0,SUM(PE11,PI11),"")</f>
        <v/>
      </c>
      <c r="PY11" s="20" t="str">
        <f>IF(SUM(PD11:PE11,PG11:PI11,PK11)-PF11-PJ11&gt;0,SUM(PD11:PE11,PG11:PI11,PK11)-PF11-PJ11,"")</f>
        <v/>
      </c>
      <c r="PZ11" s="20" t="str">
        <f>IF(SUM(PL11:PM11,PO11)-PN11&gt;0,SUM(PL11:PM11,PO11)-PN11,"")</f>
        <v/>
      </c>
      <c r="QA11" s="20" t="str">
        <f>IF(SUM(PE11,PI11,PM11)&gt;0,SUM(PE11,PI11,PM11),"")</f>
        <v/>
      </c>
      <c r="QB11" s="20" t="str">
        <f>IF(SUM(PY11,PZ11)&gt;0,SUM(PY11,PZ11),"")</f>
        <v/>
      </c>
      <c r="QC11" s="20" t="str">
        <f>IF(SUM(PQ11,PU11)&gt;0,SUM(PQ11,PU11),"")</f>
        <v/>
      </c>
      <c r="QD11" s="20" t="str">
        <f>IF(SUM(PP11:PQ11,PS11:PU11,PW11)-SUM(PR11,PV11)&gt;0,SUM(PP11:PQ11,PS11:PU11,PW11)-SUM(PR11,PV11),"")</f>
        <v/>
      </c>
      <c r="QE11" s="20" t="str">
        <f>IF(SUM(PY11,QD11)&gt;0,SUM(PY11,QD11),"")</f>
        <v/>
      </c>
      <c r="QF11" s="38">
        <f>IF($CV11="P",CB11,(CB11+AY11)/2)</f>
        <v>9.4499999999999993</v>
      </c>
      <c r="QG11" s="38">
        <f>IF($CV11="P",CC11,(CC11+AZ11)/2)</f>
        <v>3.6</v>
      </c>
      <c r="QH11" s="38">
        <f>IF($CV11="P",CD11,(CD11+BA11)/2)</f>
        <v>0</v>
      </c>
      <c r="QI11" s="38">
        <f>IF($CV11="P",CE11,(CE11+BB11)/2)</f>
        <v>0</v>
      </c>
      <c r="QJ11" s="38">
        <f>IF($CV11="P",CF11,(CF11+BC11)/2)</f>
        <v>8.6999999999999993</v>
      </c>
      <c r="QK11" s="38">
        <f>IF($CV11="P",CG11,(CG11+BD11)/2)</f>
        <v>1.8</v>
      </c>
      <c r="QL11" s="38">
        <f>IF($CV11="P",CH11,(CH11+BE11)/2)</f>
        <v>0</v>
      </c>
      <c r="QM11" s="38">
        <f>IF($CV11="P",CI11,(CI11+BF11)/2)</f>
        <v>0</v>
      </c>
      <c r="QN11" s="38">
        <f>IF($CV11="P",CJ11,(CJ11+BG11)/2)</f>
        <v>9.4499999999999993</v>
      </c>
      <c r="QO11" s="38">
        <f>IF($CV11="P",CK11,(CK11+BH11)/2)</f>
        <v>3</v>
      </c>
      <c r="QP11" s="38">
        <f>IF($CV11="P",CL11,(CL11+BI11)/2)</f>
        <v>0</v>
      </c>
      <c r="QQ11" s="38">
        <f>IF($CV11="P",CM11,(CM11+BJ11)/2)</f>
        <v>0</v>
      </c>
      <c r="QR11" s="38">
        <f>IF($CV11="P",CN11,(CN11+BK11)/2)</f>
        <v>8.6999999999999993</v>
      </c>
      <c r="QS11" s="38">
        <f>IF($CV11="P",CO11,(CO11+BL11)/2)</f>
        <v>1.4</v>
      </c>
      <c r="QT11" s="38">
        <f>IF($CV11="P",CP11,(CP11+BM11)/2)</f>
        <v>0</v>
      </c>
      <c r="QU11" s="38">
        <f>IF($CV11="P",CQ11,(CQ11+BN11)/2)</f>
        <v>0</v>
      </c>
      <c r="QV11" s="38">
        <f>IF($CV11="P",CR11,(CR11+BO11)/2)</f>
        <v>8.6999999999999993</v>
      </c>
      <c r="QW11" s="38">
        <f>IF($CV11="P",CS11,(CS11+BP11)/2)</f>
        <v>1.2</v>
      </c>
      <c r="QX11" s="38">
        <f>IF($CV11="P",CT11,(CT11+BQ11)/2)</f>
        <v>0</v>
      </c>
      <c r="QY11" s="38">
        <f>IF($CV11="P",CU11,(CU11+BR11)/2)</f>
        <v>0</v>
      </c>
      <c r="QZ11" s="45" t="s">
        <v>46</v>
      </c>
      <c r="RA11" s="79">
        <f>IF(SUM(QG11,QK11)&gt;0,SUM(QG11,QK11),"")</f>
        <v>5.4</v>
      </c>
      <c r="RB11" s="79">
        <f>IF(SUM(QF11:QG11,QI11:QK11,QM11)-QH11-QL11&gt;0,SUM(QF11:QG11,QI11:QK11,QM11)-QH11-QL11,"")</f>
        <v>23.55</v>
      </c>
      <c r="RC11" s="79">
        <f>IF(SUM(QN11:QO11,QQ11)-QP11&gt;0,SUM(QN11:QO11,QQ11)-QP11,"")</f>
        <v>12.45</v>
      </c>
      <c r="RD11" s="79">
        <f>IF(SUM(QG11,QK11,QO11)&gt;0,SUM(QG11,QK11,QO11),"")</f>
        <v>8.4</v>
      </c>
      <c r="RE11" s="79">
        <f>IF(SUM(RB11,RC11)&gt;0,SUM(RB11,RC11),"")</f>
        <v>36</v>
      </c>
      <c r="RF11" s="79">
        <f>IF(SUM(QS11,QW11)&gt;0,SUM(QS11,QW11),"")</f>
        <v>2.5999999999999996</v>
      </c>
      <c r="RG11" s="79">
        <f>IF(SUM(QR11:QS11,QU11:QW11,QY11)-SUM(QT11,QX11)&gt;0,SUM(QR11:QS11,QU11:QW11,QY11)-SUM(QT11,QX11),"")</f>
        <v>19.999999999999996</v>
      </c>
      <c r="RH11" s="79">
        <f>IF(SUM(RB11,RG11)&gt;0,SUM(RB11,RG11),"")</f>
        <v>43.55</v>
      </c>
    </row>
    <row r="12" spans="1:476" x14ac:dyDescent="0.2">
      <c r="A12" s="5">
        <f>IF(AND(F12="P",G12="P"),SUMPRODUCT((F$4:F$27="P")*(G$4:G$27="P")*(E$4:E$27&gt;E12))+1,IF(G12="P",SUMPRODUCT((F$4:F$27="")*(G$4:G$27="P")*(E$4:E$27&gt;E12))+1+SUMPRODUCT((F$4:F$27="P")*(G$4:G$27="P")),""))</f>
        <v>9</v>
      </c>
      <c r="B12" s="78" t="s">
        <v>151</v>
      </c>
      <c r="C12" s="5" t="s">
        <v>6</v>
      </c>
      <c r="D12" s="5">
        <v>2005</v>
      </c>
      <c r="E12" s="15">
        <f>SUM(I12:S12)+SUM(I12:O12)*0.0000001+SUM(I12)*0.0000000000001</f>
        <v>20.000202000022</v>
      </c>
      <c r="F12" s="3" t="str">
        <f>IF(OR(AND(AQ12&gt;=AX$29,AR12&gt;=AX$33,AQ12&lt;&gt;"",AP12=""),AND(AV12&gt;=AX$29,AW12&gt;=AX$33,AV12&lt;&gt;"",AP12=""),AND(BT12&gt;=CA$29,BU12&gt;=CA$33,BT12&lt;&gt;"",BS12=""),AND(BY12&gt;=CA$29,BZ12&gt;=CA$33,BY12&lt;&gt;"",BS12=""),AND(CW12&gt;=DD$29,CX12&gt;=DD$33,CW12&lt;&gt;"",CV12=""),AND(DB12&gt;=DD$29,DC12&gt;=DD$33,DB12&lt;&gt;""),AND(EB12&gt;=EI$29,EC12&gt;=EI$33,EB12&lt;&gt;""),AND(EG12&gt;=EI$29,EH12&gt;=EI$33,EG12&lt;&gt;""),AND(FD12&gt;=FK$29,FE12&gt;=FK$33,FD12&lt;&gt;""),AND(FI12&gt;=FK$29,FJ12&gt;=FK$33,FI12&lt;&gt;""),AND(GF12&gt;=GM$29,GG12&gt;=GM$33,GF12&lt;&gt;""),AND(GK12&gt;=GM$29,GL12&gt;=GM$33,GK12&lt;&gt;""),AND(HH12&gt;=HO$29,HI12&gt;=HO$33,HH12&lt;&gt;""),AND(HM12&gt;=HO$29,HN12&gt;=HO$33,HM12&lt;&gt;""),AND(IJ12&gt;=IQ$29,IK12&gt;=IQ$33,IJ12&lt;&gt;""),AND(IO12&gt;=IQ$29,IP12&gt;=IQ$33,IO12&lt;&gt;""),AND(JL12&gt;=JS$29,JM12&gt;=JS$33,JL12&lt;&gt;""),AND(JQ12&gt;=JS$29,JR12&gt;=JS$33,JQ12&lt;&gt;""),AND(KN12&gt;=KU$29,KO12&gt;=KU$33,KN12&lt;&gt;""),AND(KS12&gt;=KU$29,KT12&gt;=KU$33,KS12&lt;&gt;""),AND(LP12&gt;=LW$29,LQ12&gt;=LW$33,LP12&lt;&gt;""),AND(LU12&gt;=LW$29,LV12&gt;=LW$33,LU12&lt;&gt;""),AND(MR12&gt;=MY$29,MS12&gt;=MY$33,MR12&lt;&gt;""),AND(MW12&gt;=MY$29,MX12&gt;=MY$33,MW12&lt;&gt;""),AND(NT12&gt;=OA$29,NU12&gt;=OA$33,NT12&lt;&gt;""),AND(NY12&gt;=OA$29,NZ12&gt;=OA$33,NY12&lt;&gt;""),AND(OV12&gt;=PC$29,OW12&gt;=PC$33,OV12&lt;&gt;""),AND(PA12&gt;=PC$29,PB12&gt;=PC$33,PA12&lt;&gt;""),AND(PX12&gt;=QE$29,PY12&gt;=QE$33,PX12&lt;&gt;""),AND(QC12&gt;=QE$29,QD12&gt;=QE$33,QC12&lt;&gt;"")),"P","")</f>
        <v>P</v>
      </c>
      <c r="G12" s="3" t="str">
        <f>IF(OR(AND(AR12&gt;=AX$33,AR12&lt;&gt;"",AP12=""),AND(AW12&gt;=AX$33,AW12&lt;&gt;"",AP12=""),AND(BU12&gt;=CA$33,BU12&lt;&gt;"",BS12=""),AND(BZ12&gt;=CA$33,BZ12&lt;&gt;"",BS12=""),AND(CX12&gt;=DD$33,CX12&lt;&gt;"",CV12=""),AND(DC12&gt;=DD$33,DC12&lt;&gt;"",CV12=""),AND(EC12&gt;=EI$33,EC12&lt;&gt;""),AND(EH12&gt;=EI$33,EH12&lt;&gt;""),AND(FE12&gt;=FK$33,FE12&lt;&gt;""),AND(FJ12&gt;=FK$33,FJ12&lt;&gt;""),AND(GG12&gt;=GM$33,GG12&lt;&gt;""),AND(GL12&gt;=GM$33,GL12&lt;&gt;""),AND(HI12&gt;=HO$33,HI12&lt;&gt;""),AND(HN12&gt;=HO$33,HN12&lt;&gt;""),AND(IK12&gt;=IQ$33,IK12&lt;&gt;""),AND(IP12&gt;=IQ$33,IP12&lt;&gt;""),AND(JM12&gt;=JS$33,JM12&lt;&gt;""),AND(JR12&gt;=JS$33,JR12&lt;&gt;""),AND(KO12&gt;=KU$33,KO12&lt;&gt;""),AND(KT12&gt;=KU$33,KT12&lt;&gt;""),AND(LQ12&gt;=LW$33,LQ12&lt;&gt;""),AND(LV12&gt;=LW$33,LV12&lt;&gt;""),AND(MS12&gt;=MY$33,MS12&lt;&gt;""),AND(MX12&gt;=MY$33,MX12&lt;&gt;""),AND(NU12&gt;=OA$33,NU12&lt;&gt;""),AND(NZ12&gt;=OA$33,NZ12&lt;&gt;""),AND(OW12&gt;=PC$33,OW12&lt;&gt;""),AND(PB12&gt;=PC$33,PB12&lt;&gt;""),AND(PY12&gt;=QE$33,PY12&lt;&gt;""),AND(QD12&gt;=QE$33,QD12&lt;&gt;"")),"P","")</f>
        <v>P</v>
      </c>
      <c r="H12" s="67" t="str">
        <f>IF(AND(G12="P",F12=""),"No DD",IF(OR(AND(AT12&gt;=AX$32,AU12&gt;=AX$36,AT12&lt;&gt;"",AP12=""),AND(BW12&gt;=CA$32,BX12&gt;=CA$36,BW12&lt;&gt;"",BS12=""),AND(CZ12&gt;=DD$32,DA12&gt;=DD$36,CZ12&lt;&gt;"",CV12=""),AND(EE12&gt;=EI$32,EF12&gt;=EI$36,EE12&lt;&gt;""),AND(FG12&gt;=FK$32,FH12&gt;=FK$36,FG12&lt;&gt;""),AND(GI12&gt;=GM$32,GJ12&gt;=GM$36,GI12&lt;&gt;""),AND(HK12&gt;=HO$32,HL12&gt;=HO$36,HK12&lt;&gt;""),AND(IM12&gt;=IQ$32,IN12&gt;=IQ$36,IM12&lt;&gt;""),AND(JO12&gt;=JS$32,JP12&gt;=JS$36,JO12&lt;&gt;""),AND(KQ12&gt;=KU$32,KR12&gt;=KU$36,KQ12&lt;&gt;""),AND(LS12&gt;=LW$32,LT12&gt;=LW$36,LS12&lt;&gt;""),AND(MU12&gt;=MY$32,MV12&gt;=MY$36,MU12&lt;&gt;""),AND(NW12&gt;=OA$32,NX12&gt;=OA$36,NW12&lt;&gt;""),AND(OY12&gt;=PC$32,OZ12&gt;=PC$36,OY12&lt;&gt;""),AND(QA12&gt;=QE$32,QB12&gt;=QE$36,QA12&lt;&gt;"")),"Merit",IF(OR(AND(AT12&gt;=AX$31,AU12&gt;=AX$35,AT12&lt;&gt;"",AP12=""),AND(BW12&gt;=CA$31,BX12&gt;=CA$35,BW12&lt;&gt;"",BS12=""),AND(CZ12&gt;=DD$31,DA12&gt;=DD$35,CZ12&lt;&gt;"",CV12=""),AND(EE12&gt;=EI$31,EF12&gt;=EI$35,EE12&lt;&gt;""),AND(FG12&gt;=FK$31,FH12&gt;=FK$35,FG12&lt;&gt;""),AND(GI12&gt;=GM$31,GJ12&gt;=GM$35,GI12&lt;&gt;""),AND(HK12&gt;=HO$31,HL12&gt;=HO$35,HK12&lt;&gt;""),AND(IM12&gt;=IQ$31,IN12&gt;=IQ$35,IM12&lt;&gt;""),AND(JO12&gt;=JS$31,JP12&gt;=JS$35,JO12&lt;&gt;""),AND(KQ12&gt;=KU$31,KR12&gt;=KU$35,KQ12&lt;&gt;""),AND(LS12&gt;=LW$31,LT12&gt;=LW$35,LS12&lt;&gt;""),AND(MU12&gt;=MY$31,MV12&gt;=MY$35,MU12&lt;&gt;""),AND(NW12&gt;=OA$31,NX12&gt;=OA$35,NW12&lt;&gt;""),AND(OY12&gt;=PC$31,OZ12&gt;=PC$35,OY12&lt;&gt;""),AND(QA12&gt;=QE$31,QB12&gt;=QE$35,QA12&lt;&gt;"")),"Excellence",IF(F12="P","National Team",""))))</f>
        <v>National Team</v>
      </c>
      <c r="I12" s="14">
        <f>IF(COUNT(AR12,BU12,CX12)&gt;0,LARGE((AR12,BU12,CX12),1),0)</f>
        <v>20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2.0000000000000001E-4</v>
      </c>
      <c r="L12" s="14" t="str">
        <f>IF(K12=0,"",IF(K12=CX12,$CB$1,IF(K12=BU12,$AY$1,IF(K12=AR12,$V$1,""))))</f>
        <v>2021 Elite Canada</v>
      </c>
      <c r="M12" s="14">
        <f>IF(COUNT(AS12,BV12,CY12)&gt;0,LARGE((AS12,BV12,CY12),1),0)</f>
        <v>0</v>
      </c>
      <c r="N12" s="14" t="str">
        <f>IF(M12=0,"",IF(M12=CY12,$CB$1,IF(M12=BV12,$AY$1,IF(M12=AS12,$V$1,""))))</f>
        <v/>
      </c>
      <c r="O12" s="14">
        <f>IF(COUNT(AS12,BV12,CY12)&gt;1,LARGE((AS12,BV12,CY12),2),0)</f>
        <v>0</v>
      </c>
      <c r="P12" s="14" t="str">
        <f>IF(O12=0,"",IF(O12=CY12,$CB$1,IF(O12=BV12,$AY$1,IF(O12=AS12,$V$1,""))))</f>
        <v/>
      </c>
      <c r="Q12" s="14">
        <f>IF(MAX(AW12,BZ12,DC12)&gt;0,MAX(AW12,BZ12,DC12),0)</f>
        <v>0</v>
      </c>
      <c r="R12" s="14" t="str">
        <f>IF(Q12=0,"",IF(Q12=DC12,$CB$1,IF(Q12=BZ12,$AY$1,IF(Q12=AW12,$V$1,""))))</f>
        <v/>
      </c>
      <c r="S12" s="14" t="str">
        <f>IF(MAX(DE12:DG12)&gt;0,MAX(DE12:DG12),"")</f>
        <v/>
      </c>
      <c r="T12" s="20" t="str">
        <f>IF(S12="","",IF(S12=DE12,"("&amp;DE$2&amp;")",IF(S12=DG12,"("&amp;DG$2&amp;")")))</f>
        <v/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/>
      </c>
      <c r="V12" s="27">
        <v>1E-4</v>
      </c>
      <c r="W12" s="27">
        <v>1E-4</v>
      </c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45"/>
      <c r="AQ12" s="79">
        <f>IF(SUM(W12,AA12)&gt;0,SUM(W12,AA12),"")</f>
        <v>1E-4</v>
      </c>
      <c r="AR12" s="79">
        <f>IF(SUM(V12:W12,Y12:AA12,AC12)-X12-AB12&gt;0,SUM(V12:W12,Y12:AA12,AC12)-X12-AB12,"")</f>
        <v>2.0000000000000001E-4</v>
      </c>
      <c r="AS12" s="79" t="str">
        <f>IF(SUM(AD12:AE12,AG12)-AF12&gt;0,SUM(AD12:AE12,AG12)-AF12,"")</f>
        <v/>
      </c>
      <c r="AT12" s="79">
        <f>IF(SUM(W12,AA12,AE12)&gt;0,SUM(W12,AA12,AE12),"")</f>
        <v>1E-4</v>
      </c>
      <c r="AU12" s="79">
        <f>IF(SUM(AR12,AS12)&gt;0,SUM(AR12,AS12),"")</f>
        <v>2.0000000000000001E-4</v>
      </c>
      <c r="AV12" s="79" t="str">
        <f>IF(SUM(AI12,AM12)&gt;0,SUM(AI12,AM12),"")</f>
        <v/>
      </c>
      <c r="AW12" s="79" t="str">
        <f>IF(SUM(AH12:AI12,AK12:AM12,AO12)-SUM(AJ12,AN12)&gt;0,SUM(AH12:AI12,AK12:AM12,AO12)-SUM(AJ12,AN12),"")</f>
        <v/>
      </c>
      <c r="AX12" s="79">
        <f>IF(SUM(AR12,AW12)&gt;0,SUM(AR12,AW12),"")</f>
        <v>2.0000000000000001E-4</v>
      </c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46"/>
      <c r="BT12" s="20" t="str">
        <f>IF(SUM(AZ12,BD12)&gt;0,SUM(AZ12,BD12),"")</f>
        <v/>
      </c>
      <c r="BU12" s="20" t="str">
        <f>IF(SUM(AY12:AZ12,BB12:BD12,BF12)-BA12-BE12&gt;0,SUM(AY12:AZ12,BB12:BD12,BF12)-BA12-BE12,"")</f>
        <v/>
      </c>
      <c r="BV12" s="20" t="str">
        <f>IF(SUM(BG12:BH12,BJ12)-BI12&gt;0,SUM(BG12:BH12,BJ12)-BI12,"")</f>
        <v/>
      </c>
      <c r="BW12" s="20" t="str">
        <f>IF(SUM(AZ12,BD12,BH12)&gt;0,SUM(AZ12,BD12,BH12),"")</f>
        <v/>
      </c>
      <c r="BX12" s="20" t="str">
        <f>IF(SUM(BU12,BV12)&gt;0,SUM(BU12,BV12),"")</f>
        <v/>
      </c>
      <c r="BY12" s="20" t="str">
        <f>IF(SUM(BL12,BP12)&gt;0,SUM(BL12,BP12),"")</f>
        <v/>
      </c>
      <c r="BZ12" s="20" t="str">
        <f>IF(SUM(BK12:BL12,BN12:BP12,BR12)-SUM(BM12,BQ12)&gt;0,SUM(BK12:BL12,BN12:BP12,BR12)-SUM(BM12,BQ12),"")</f>
        <v/>
      </c>
      <c r="CA12" s="20" t="str">
        <f>IF(SUM(BU12,BZ12)&gt;0,SUM(BU12,BZ12),"")</f>
        <v/>
      </c>
      <c r="CB12" s="27">
        <v>17.600000000000001</v>
      </c>
      <c r="CC12" s="27">
        <v>2.4</v>
      </c>
      <c r="CD12" s="27">
        <v>0</v>
      </c>
      <c r="CE12" s="27">
        <v>0</v>
      </c>
      <c r="CF12" s="27">
        <v>0</v>
      </c>
      <c r="CG12" s="27">
        <v>0</v>
      </c>
      <c r="CH12" s="27">
        <v>0</v>
      </c>
      <c r="CI12" s="27">
        <v>0</v>
      </c>
      <c r="CJ12" s="27">
        <v>0</v>
      </c>
      <c r="CK12" s="27">
        <v>0</v>
      </c>
      <c r="CL12" s="27">
        <v>0</v>
      </c>
      <c r="CM12" s="27">
        <v>0</v>
      </c>
      <c r="CN12" s="27"/>
      <c r="CO12" s="27"/>
      <c r="CP12" s="27"/>
      <c r="CQ12" s="27"/>
      <c r="CR12" s="27"/>
      <c r="CS12" s="27"/>
      <c r="CT12" s="27"/>
      <c r="CU12" s="27"/>
      <c r="CV12" s="45"/>
      <c r="CW12" s="79">
        <f>IF(SUM(CC12,CG12)&gt;0,SUM(CC12,CG12),"")</f>
        <v>2.4</v>
      </c>
      <c r="CX12" s="79">
        <f>IF(SUM(CB12:CC12,CE12:CG12,CI12)-CD12-CH12&gt;0,SUM(CB12:CC12,CE12:CG12,CI12)-CD12-CH12,"")</f>
        <v>20</v>
      </c>
      <c r="CY12" s="79" t="str">
        <f>IF(SUM(CJ12:CK12,CM12)-CL12&gt;0,SUM(CJ12:CK12,CM12)-CL12,"")</f>
        <v/>
      </c>
      <c r="CZ12" s="79">
        <f>IF(SUM(CC12,CG12,CK12)&gt;0,SUM(CC12,CG12,CK12),"")</f>
        <v>2.4</v>
      </c>
      <c r="DA12" s="79">
        <f>IF(SUM(CX12,CY12)&gt;0,SUM(CX12,CY12),"")</f>
        <v>20</v>
      </c>
      <c r="DB12" s="79" t="str">
        <f>IF(SUM(CO12,CS12)&gt;0,SUM(CO12,CS12),"")</f>
        <v/>
      </c>
      <c r="DC12" s="79" t="str">
        <f>IF(SUM(CN12:CO12,CQ12:CS12,CU12)-SUM(CP12,CT12)&gt;0,SUM(CN12:CO12,CQ12:CS12,CU12)-SUM(CP12,CT12),"")</f>
        <v/>
      </c>
      <c r="DD12" s="79">
        <f>IF(SUM(CX12,DC12)&gt;0,SUM(CX12,DC12),"")</f>
        <v>20</v>
      </c>
      <c r="DE12" s="80" t="str">
        <f>IF(K12&gt;=0.001,IF(MAX(EC12,FE12,GG12,HI12,IK12,JM12,KO12,LQ12,MS12,NU12,OW12,PY12)-IF(K12="",0,K12)&gt;0.001,MAX(EC12,FE12,GG12,HI12,IK12,JM12,KO12,LQ12,MS12,NU12,OW12,PY12)-IF(K12="",0,K12),""),"")</f>
        <v/>
      </c>
      <c r="DF12" s="80" t="str">
        <f>IF(O12&gt;=0.001,IF(MAX(ED12,FF12,GH12,HJ12,IL12,JN12,KP12,LR12,MT12,NV12,OX12,PZ12)-IF(O12="",0,O12)&gt;0.001,MAX(ED12,FF12,GH12,HJ12,IL12,JN12,KP12,LR12,MT12,NV12,OX12,PZ12)-IF(O12="",0,O12),""),"")</f>
        <v/>
      </c>
      <c r="DG12" s="80" t="str">
        <f>IF(Q12&gt;=0.001,IF(MAX(EH12,FJ12,GL12,HN12,IP12,JR12,KT12,LV12,MX12,NZ12,PB12,QD12)-IF(Q12="",0,Q12)&gt;0.001,MAX(EH12,FJ12,GL12,HN12,IP12,JR12,KT12,LV12,MX12,NZ12,PB12,QD12)-IF(Q12="",0,Q12),""),"")</f>
        <v/>
      </c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79" t="str">
        <f>IF(SUM(DI12,DM12)&gt;0,SUM(DI12,DM12),"")</f>
        <v/>
      </c>
      <c r="EC12" s="79" t="str">
        <f>IF(SUM(DH12:DI12,DK12:DM12,DO12)-DJ12-DN12&gt;0,SUM(DH12:DI12,DK12:DM12,DO12)-DJ12-DN12,"")</f>
        <v/>
      </c>
      <c r="ED12" s="79" t="str">
        <f>IF(SUM(DP12:DQ12,DS12)-DR12&gt;0,SUM(DP12:DQ12,DS12)-DR12,"")</f>
        <v/>
      </c>
      <c r="EE12" s="79" t="str">
        <f>IF(SUM(DI12,DM12,DQ12)&gt;0,SUM(DI12,DM12,DQ12),"")</f>
        <v/>
      </c>
      <c r="EF12" s="79" t="str">
        <f>IF(SUM(EC12,ED12)&gt;0,SUM(EC12,ED12),"")</f>
        <v/>
      </c>
      <c r="EG12" s="79" t="str">
        <f>IF(SUM(DU12,DY12)&gt;0,SUM(DU12,DY12),"")</f>
        <v/>
      </c>
      <c r="EH12" s="79" t="str">
        <f>IF(SUM(DT12:DU12,DW12:DY12,EA12)-SUM(DV12,DZ12)&gt;0,SUM(DT12:DU12,DW12:DY12,EA12)-SUM(DV12,DZ12),"")</f>
        <v/>
      </c>
      <c r="EI12" s="79" t="str">
        <f>IF(SUM(EC12,EH12)&gt;0,SUM(EC12,EH12),"")</f>
        <v/>
      </c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0" t="str">
        <f>IF(SUM(EK12,EO12)&gt;0,SUM(EK12,EO12),"")</f>
        <v/>
      </c>
      <c r="FE12" s="20" t="str">
        <f>IF(SUM(EJ12:EK12,EM12:EO12,EQ12)-EL12-EP12&gt;0,SUM(EJ12:EK12,EM12:EO12,EQ12)-EL12-EP12,"")</f>
        <v/>
      </c>
      <c r="FF12" s="20" t="str">
        <f>IF(SUM(ER12:ES12,EU12)-ET12&gt;0,SUM(ER12:ES12,EU12)-ET12,"")</f>
        <v/>
      </c>
      <c r="FG12" s="20" t="str">
        <f>IF(SUM(EK12,EO12,ES12)&gt;0,SUM(EK12,EO12,ES12),"")</f>
        <v/>
      </c>
      <c r="FH12" s="20" t="str">
        <f>IF(SUM(FE12,FF12)&gt;0,SUM(FE12,FF12),"")</f>
        <v/>
      </c>
      <c r="FI12" s="20" t="str">
        <f>IF(SUM(EW12,FA12)&gt;0,SUM(EW12,FA12),"")</f>
        <v/>
      </c>
      <c r="FJ12" s="20" t="str">
        <f>IF(SUM(EV12:EW12,EY12:FA12,FC12)-SUM(EX12,FB12)&gt;0,SUM(EV12:EW12,EY12:FA12,FC12)-SUM(EX12,FB12),"")</f>
        <v/>
      </c>
      <c r="FK12" s="20" t="str">
        <f>IF(SUM(FE12,FJ12)&gt;0,SUM(FE12,FJ12),"")</f>
        <v/>
      </c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79" t="str">
        <f>IF(SUM(FM12,FQ12)&gt;0,SUM(FM12,FQ12),"")</f>
        <v/>
      </c>
      <c r="GG12" s="79" t="str">
        <f>IF(SUM(FL12:FM12,FO12:FQ12,FS12)-FN12-FR12&gt;0,SUM(FL12:FM12,FO12:FQ12,FS12)-FN12-FR12,"")</f>
        <v/>
      </c>
      <c r="GH12" s="79" t="str">
        <f>IF(SUM(FT12:FU12,FW12)-FV12&gt;0,SUM(FT12:FU12,FW12)-FV12,"")</f>
        <v/>
      </c>
      <c r="GI12" s="79" t="str">
        <f>IF(SUM(FM12,FQ12,FU12)&gt;0,SUM(FM12,FQ12,FU12),"")</f>
        <v/>
      </c>
      <c r="GJ12" s="79" t="str">
        <f>IF(SUM(GG12,GH12)&gt;0,SUM(GG12,GH12),"")</f>
        <v/>
      </c>
      <c r="GK12" s="79" t="str">
        <f>IF(SUM(FY12,GC12)&gt;0,SUM(FY12,GC12),"")</f>
        <v/>
      </c>
      <c r="GL12" s="79" t="str">
        <f>IF(SUM(FX12:FY12,GA12:GC12,GE12)-SUM(FZ12,GD12)&gt;0,SUM(FX12:FY12,GA12:GC12,GE12)-SUM(FZ12,GD12),"")</f>
        <v/>
      </c>
      <c r="GM12" s="79" t="str">
        <f>IF(SUM(GG12,GL12)&gt;0,SUM(GG12,GL12),"")</f>
        <v/>
      </c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0" t="str">
        <f>IF(SUM(GO12,GS12)&gt;0,SUM(GO12,GS12),"")</f>
        <v/>
      </c>
      <c r="HI12" s="20" t="str">
        <f>IF(SUM(GN12:GO12,GQ12:GS12,GU12)-GP12-GT12&gt;0,SUM(GN12:GO12,GQ12:GS12,GU12)-GP12-GT12,"")</f>
        <v/>
      </c>
      <c r="HJ12" s="20" t="str">
        <f>IF(SUM(GV12:GW12,GY12)-GX12&gt;0,SUM(GV12:GW12,GY12)-GX12,"")</f>
        <v/>
      </c>
      <c r="HK12" s="20" t="str">
        <f>IF(SUM(GO12,GS12,GW12)&gt;0,SUM(GO12,GS12,GW12),"")</f>
        <v/>
      </c>
      <c r="HL12" s="20" t="str">
        <f>IF(SUM(HI12,HJ12)&gt;0,SUM(HI12,HJ12),"")</f>
        <v/>
      </c>
      <c r="HM12" s="20" t="str">
        <f>IF(SUM(HA12,HE12)&gt;0,SUM(HA12,HE12),"")</f>
        <v/>
      </c>
      <c r="HN12" s="20" t="str">
        <f>IF(SUM(GZ12:HA12,HC12:HE12,HG12)-SUM(HB12,HF12)&gt;0,SUM(GZ12:HA12,HC12:HE12,HG12)-SUM(HB12,HF12),"")</f>
        <v/>
      </c>
      <c r="HO12" s="20" t="str">
        <f>IF(SUM(HI12,HN12)&gt;0,SUM(HI12,HN12),"")</f>
        <v/>
      </c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79" t="str">
        <f>IF(SUM(HQ12,HU12)&gt;0,SUM(HQ12,HU12),"")</f>
        <v/>
      </c>
      <c r="IK12" s="79" t="str">
        <f>IF(SUM(HP12:HQ12,HS12:HU12,HW12)-HR12-HV12&gt;0,SUM(HP12:HQ12,HS12:HU12,HW12)-HR12-HV12,"")</f>
        <v/>
      </c>
      <c r="IL12" s="79" t="str">
        <f>IF(SUM(HX12:HY12,IA12)-HZ12&gt;0,SUM(HX12:HY12,IA12)-HZ12,"")</f>
        <v/>
      </c>
      <c r="IM12" s="79" t="str">
        <f>IF(SUM(HQ12,HU12,HY12)&gt;0,SUM(HQ12,HU12,HY12),"")</f>
        <v/>
      </c>
      <c r="IN12" s="79" t="str">
        <f>IF(SUM(IK12,IL12)&gt;0,SUM(IK12,IL12),"")</f>
        <v/>
      </c>
      <c r="IO12" s="79" t="str">
        <f>IF(SUM(IC12,IG12)&gt;0,SUM(IC12,IG12),"")</f>
        <v/>
      </c>
      <c r="IP12" s="79" t="str">
        <f>IF(SUM(IB12:IC12,IE12:IG12,II12)-SUM(ID12,IH12)&gt;0,SUM(IB12:IC12,IE12:IG12,II12)-SUM(ID12,IH12),"")</f>
        <v/>
      </c>
      <c r="IQ12" s="79" t="str">
        <f>IF(SUM(IK12,IP12)&gt;0,SUM(IK12,IP12),"")</f>
        <v/>
      </c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0" t="str">
        <f>IF(SUM(IS12,IW12)&gt;0,SUM(IS12,IW12),"")</f>
        <v/>
      </c>
      <c r="JM12" s="20" t="str">
        <f>IF(SUM(IR12:IS12,IU12:IW12,IY12)-IT12-IX12&gt;0,SUM(IR12:IS12,IU12:IW12,IY12)-IT12-IX12,"")</f>
        <v/>
      </c>
      <c r="JN12" s="20" t="str">
        <f>IF(SUM(IZ12:JA12,JC12)-JB12&gt;0,SUM(IZ12:JA12,JC12)-JB12,"")</f>
        <v/>
      </c>
      <c r="JO12" s="20" t="str">
        <f>IF(SUM(IS12,IW12,JA12)&gt;0,SUM(IS12,IW12,JA12),"")</f>
        <v/>
      </c>
      <c r="JP12" s="20" t="str">
        <f>IF(SUM(JM12,JN12)&gt;0,SUM(JM12,JN12),"")</f>
        <v/>
      </c>
      <c r="JQ12" s="20" t="str">
        <f>IF(SUM(JE12,JI12)&gt;0,SUM(JE12,JI12),"")</f>
        <v/>
      </c>
      <c r="JR12" s="20" t="str">
        <f>IF(SUM(JD12:JE12,JG12:JI12,JK12)-SUM(JF12,JJ12)&gt;0,SUM(JD12:JE12,JG12:JI12,JK12)-SUM(JF12,JJ12),"")</f>
        <v/>
      </c>
      <c r="JS12" s="20" t="str">
        <f>IF(SUM(JM12,JR12)&gt;0,SUM(JM12,JR12),"")</f>
        <v/>
      </c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79" t="str">
        <f>IF(SUM(JU12,JY12)&gt;0,SUM(JU12,JY12),"")</f>
        <v/>
      </c>
      <c r="KO12" s="79" t="str">
        <f>IF(SUM(JT12:JU12,JW12:JY12,KA12)-JV12-JZ12&gt;0,SUM(JT12:JU12,JW12:JY12,KA12)-JV12-JZ12,"")</f>
        <v/>
      </c>
      <c r="KP12" s="79" t="str">
        <f>IF(SUM(KB12:KC12,KE12)-KD12&gt;0,SUM(KB12:KC12,KE12)-KD12,"")</f>
        <v/>
      </c>
      <c r="KQ12" s="79" t="str">
        <f>IF(SUM(JU12,JY12,KC12)&gt;0,SUM(JU12,JY12,KC12),"")</f>
        <v/>
      </c>
      <c r="KR12" s="79" t="str">
        <f>IF(SUM(KO12,KP12)&gt;0,SUM(KO12,KP12),"")</f>
        <v/>
      </c>
      <c r="KS12" s="79" t="str">
        <f>IF(SUM(KG12,KK12)&gt;0,SUM(KG12,KK12),"")</f>
        <v/>
      </c>
      <c r="KT12" s="79" t="str">
        <f>IF(SUM(KF12:KG12,KI12:KK12,KM12)-SUM(KH12,KL12)&gt;0,SUM(KF12:KG12,KI12:KK12,KM12)-SUM(KH12,KL12),"")</f>
        <v/>
      </c>
      <c r="KU12" s="79" t="str">
        <f>IF(SUM(KO12,KT12)&gt;0,SUM(KO12,KT12),"")</f>
        <v/>
      </c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0" t="str">
        <f>IF(SUM(KW12,LA12)&gt;0,SUM(KW12,LA12),"")</f>
        <v/>
      </c>
      <c r="LQ12" s="20" t="str">
        <f>IF(SUM(KV12:KW12,KY12:LA12,LC12)-KX12-LB12&gt;0,SUM(KV12:KW12,KY12:LA12,LC12)-KX12-LB12,"")</f>
        <v/>
      </c>
      <c r="LR12" s="20" t="str">
        <f>IF(SUM(LD12:LE12,LG12)-LF12&gt;0,SUM(LD12:LE12,LG12)-LF12,"")</f>
        <v/>
      </c>
      <c r="LS12" s="20" t="str">
        <f>IF(SUM(KW12,LA12,LE12)&gt;0,SUM(KW12,LA12,LE12),"")</f>
        <v/>
      </c>
      <c r="LT12" s="20" t="str">
        <f>IF(SUM(LQ12,LR12)&gt;0,SUM(LQ12,LR12),"")</f>
        <v/>
      </c>
      <c r="LU12" s="20" t="str">
        <f>IF(SUM(LI12,LM12)&gt;0,SUM(LI12,LM12),"")</f>
        <v/>
      </c>
      <c r="LV12" s="20" t="str">
        <f>IF(SUM(LH12:LI12,LK12:LM12,LO12)-SUM(LJ12,LN12)&gt;0,SUM(LH12:LI12,LK12:LM12,LO12)-SUM(LJ12,LN12),"")</f>
        <v/>
      </c>
      <c r="LW12" s="20" t="str">
        <f>IF(SUM(LQ12,LV12)&gt;0,SUM(LQ12,LV12),"")</f>
        <v/>
      </c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79" t="str">
        <f>IF(SUM(LY12,MC12)&gt;0,SUM(LY12,MC12),"")</f>
        <v/>
      </c>
      <c r="MS12" s="79" t="str">
        <f>IF(SUM(LX12:LY12,MA12:MC12,ME12)-LZ12-MD12&gt;0,SUM(LX12:LY12,MA12:MC12,ME12)-LZ12-MD12,"")</f>
        <v/>
      </c>
      <c r="MT12" s="79" t="str">
        <f>IF(SUM(MF12:MG12,MI12)-MH12&gt;0,SUM(MF12:MG12,MI12)-MH12,"")</f>
        <v/>
      </c>
      <c r="MU12" s="79" t="str">
        <f>IF(SUM(LY12,MC12,MG12)&gt;0,SUM(LY12,MC12,MG12),"")</f>
        <v/>
      </c>
      <c r="MV12" s="79" t="str">
        <f>IF(SUM(MS12,MT12)&gt;0,SUM(MS12,MT12),"")</f>
        <v/>
      </c>
      <c r="MW12" s="79" t="str">
        <f>IF(SUM(MK12,MO12)&gt;0,SUM(MK12,MO12),"")</f>
        <v/>
      </c>
      <c r="MX12" s="79" t="str">
        <f>IF(SUM(MJ12:MK12,MM12:MO12,MQ12)-SUM(ML12,MP12)&gt;0,SUM(MJ12:MK12,MM12:MO12,MQ12)-SUM(ML12,MP12),"")</f>
        <v/>
      </c>
      <c r="MY12" s="79" t="str">
        <f>IF(SUM(MS12,MX12)&gt;0,SUM(MS12,MX12),"")</f>
        <v/>
      </c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0" t="str">
        <f>IF(SUM(NA12,NE12)&gt;0,SUM(NA12,NE12),"")</f>
        <v/>
      </c>
      <c r="NU12" s="20" t="str">
        <f>IF(SUM(MZ12:NA12,NC12:NE12,NG12)-NB12-NF12&gt;0,SUM(MZ12:NA12,NC12:NE12,NG12)-NB12-NF12,"")</f>
        <v/>
      </c>
      <c r="NV12" s="20" t="str">
        <f>IF(SUM(NH12:NI12,NK12)-NJ12&gt;0,SUM(NH12:NI12,NK12)-NJ12,"")</f>
        <v/>
      </c>
      <c r="NW12" s="20" t="str">
        <f>IF(SUM(NA12,NE12,NI12)&gt;0,SUM(NA12,NE12,NI12),"")</f>
        <v/>
      </c>
      <c r="NX12" s="20" t="str">
        <f>IF(SUM(NU12,NV12)&gt;0,SUM(NU12,NV12),"")</f>
        <v/>
      </c>
      <c r="NY12" s="20" t="str">
        <f>IF(SUM(NM12,NQ12)&gt;0,SUM(NM12,NQ12),"")</f>
        <v/>
      </c>
      <c r="NZ12" s="20" t="str">
        <f>IF(SUM(NL12:NM12,NO12:NQ12,NS12)-SUM(NN12,NR12)&gt;0,SUM(NL12:NM12,NO12:NQ12,NS12)-SUM(NN12,NR12),"")</f>
        <v/>
      </c>
      <c r="OA12" s="20" t="str">
        <f>IF(SUM(NU12,NZ12)&gt;0,SUM(NU12,NZ12),"")</f>
        <v/>
      </c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79" t="str">
        <f>IF(SUM(OC12,OG12)&gt;0,SUM(OC12,OG12),"")</f>
        <v/>
      </c>
      <c r="OW12" s="79" t="str">
        <f>IF(SUM(OB12:OC12,OE12:OG12,OI12)-OD12-OH12&gt;0,SUM(OB12:OC12,OE12:OG12,OI12)-OD12-OH12,"")</f>
        <v/>
      </c>
      <c r="OX12" s="79" t="str">
        <f>IF(SUM(OJ12:OK12,OM12)-OL12&gt;0,SUM(OJ12:OK12,OM12)-OL12,"")</f>
        <v/>
      </c>
      <c r="OY12" s="79" t="str">
        <f>IF(SUM(OC12,OG12,OK12)&gt;0,SUM(OC12,OG12,OK12),"")</f>
        <v/>
      </c>
      <c r="OZ12" s="79" t="str">
        <f>IF(SUM(OW12,OX12)&gt;0,SUM(OW12,OX12),"")</f>
        <v/>
      </c>
      <c r="PA12" s="79" t="str">
        <f>IF(SUM(OO12,OS12)&gt;0,SUM(OO12,OS12),"")</f>
        <v/>
      </c>
      <c r="PB12" s="79" t="str">
        <f>IF(SUM(ON12:OO12,OQ12:OS12,OU12)-SUM(OP12,OT12)&gt;0,SUM(ON12:OO12,OQ12:OS12,OU12)-SUM(OP12,OT12),"")</f>
        <v/>
      </c>
      <c r="PC12" s="79" t="str">
        <f>IF(SUM(OW12,PB12)&gt;0,SUM(OW12,PB12),"")</f>
        <v/>
      </c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0" t="str">
        <f>IF(SUM(PE12,PI12)&gt;0,SUM(PE12,PI12),"")</f>
        <v/>
      </c>
      <c r="PY12" s="20" t="str">
        <f>IF(SUM(PD12:PE12,PG12:PI12,PK12)-PF12-PJ12&gt;0,SUM(PD12:PE12,PG12:PI12,PK12)-PF12-PJ12,"")</f>
        <v/>
      </c>
      <c r="PZ12" s="20" t="str">
        <f>IF(SUM(PL12:PM12,PO12)-PN12&gt;0,SUM(PL12:PM12,PO12)-PN12,"")</f>
        <v/>
      </c>
      <c r="QA12" s="20" t="str">
        <f>IF(SUM(PE12,PI12,PM12)&gt;0,SUM(PE12,PI12,PM12),"")</f>
        <v/>
      </c>
      <c r="QB12" s="20" t="str">
        <f>IF(SUM(PY12,PZ12)&gt;0,SUM(PY12,PZ12),"")</f>
        <v/>
      </c>
      <c r="QC12" s="20" t="str">
        <f>IF(SUM(PQ12,PU12)&gt;0,SUM(PQ12,PU12),"")</f>
        <v/>
      </c>
      <c r="QD12" s="20" t="str">
        <f>IF(SUM(PP12:PQ12,PS12:PU12,PW12)-SUM(PR12,PV12)&gt;0,SUM(PP12:PQ12,PS12:PU12,PW12)-SUM(PR12,PV12),"")</f>
        <v/>
      </c>
      <c r="QE12" s="20" t="str">
        <f>IF(SUM(PY12,QD12)&gt;0,SUM(PY12,QD12),"")</f>
        <v/>
      </c>
      <c r="QF12" s="38">
        <f>IF($CV12="P",CB12,(CB12+AY12)/2)</f>
        <v>8.8000000000000007</v>
      </c>
      <c r="QG12" s="38">
        <f>IF($CV12="P",CC12,(CC12+AZ12)/2)</f>
        <v>1.2</v>
      </c>
      <c r="QH12" s="38">
        <f>IF($CV12="P",CD12,(CD12+BA12)/2)</f>
        <v>0</v>
      </c>
      <c r="QI12" s="38">
        <f>IF($CV12="P",CE12,(CE12+BB12)/2)</f>
        <v>0</v>
      </c>
      <c r="QJ12" s="38">
        <f>IF($CV12="P",CF12,(CF12+BC12)/2)</f>
        <v>0</v>
      </c>
      <c r="QK12" s="38">
        <f>IF($CV12="P",CG12,(CG12+BD12)/2)</f>
        <v>0</v>
      </c>
      <c r="QL12" s="38">
        <f>IF($CV12="P",CH12,(CH12+BE12)/2)</f>
        <v>0</v>
      </c>
      <c r="QM12" s="38">
        <f>IF($CV12="P",CI12,(CI12+BF12)/2)</f>
        <v>0</v>
      </c>
      <c r="QN12" s="38">
        <f>IF($CV12="P",CJ12,(CJ12+BG12)/2)</f>
        <v>0</v>
      </c>
      <c r="QO12" s="38">
        <f>IF($CV12="P",CK12,(CK12+BH12)/2)</f>
        <v>0</v>
      </c>
      <c r="QP12" s="38">
        <f>IF($CV12="P",CL12,(CL12+BI12)/2)</f>
        <v>0</v>
      </c>
      <c r="QQ12" s="38">
        <f>IF($CV12="P",CM12,(CM12+BJ12)/2)</f>
        <v>0</v>
      </c>
      <c r="QR12" s="38">
        <f>IF($CV12="P",CN12,(CN12+BK12)/2)</f>
        <v>0</v>
      </c>
      <c r="QS12" s="38">
        <f>IF($CV12="P",CO12,(CO12+BL12)/2)</f>
        <v>0</v>
      </c>
      <c r="QT12" s="38">
        <f>IF($CV12="P",CP12,(CP12+BM12)/2)</f>
        <v>0</v>
      </c>
      <c r="QU12" s="38">
        <f>IF($CV12="P",CQ12,(CQ12+BN12)/2)</f>
        <v>0</v>
      </c>
      <c r="QV12" s="38">
        <f>IF($CV12="P",CR12,(CR12+BO12)/2)</f>
        <v>0</v>
      </c>
      <c r="QW12" s="38">
        <f>IF($CV12="P",CS12,(CS12+BP12)/2)</f>
        <v>0</v>
      </c>
      <c r="QX12" s="38">
        <f>IF($CV12="P",CT12,(CT12+BQ12)/2)</f>
        <v>0</v>
      </c>
      <c r="QY12" s="38">
        <f>IF($CV12="P",CU12,(CU12+BR12)/2)</f>
        <v>0</v>
      </c>
      <c r="QZ12" s="45" t="s">
        <v>46</v>
      </c>
      <c r="RA12" s="79">
        <f>IF(SUM(QG12,QK12)&gt;0,SUM(QG12,QK12),"")</f>
        <v>1.2</v>
      </c>
      <c r="RB12" s="79">
        <f>IF(SUM(QF12:QG12,QI12:QK12,QM12)-QH12-QL12&gt;0,SUM(QF12:QG12,QI12:QK12,QM12)-QH12-QL12,"")</f>
        <v>10</v>
      </c>
      <c r="RC12" s="79" t="str">
        <f>IF(SUM(QN12:QO12,QQ12)-QP12&gt;0,SUM(QN12:QO12,QQ12)-QP12,"")</f>
        <v/>
      </c>
      <c r="RD12" s="79">
        <f>IF(SUM(QG12,QK12,QO12)&gt;0,SUM(QG12,QK12,QO12),"")</f>
        <v>1.2</v>
      </c>
      <c r="RE12" s="79">
        <f>IF(SUM(RB12,RC12)&gt;0,SUM(RB12,RC12),"")</f>
        <v>10</v>
      </c>
      <c r="RF12" s="79" t="str">
        <f>IF(SUM(QS12,QW12)&gt;0,SUM(QS12,QW12),"")</f>
        <v/>
      </c>
      <c r="RG12" s="79" t="str">
        <f>IF(SUM(QR12:QS12,QU12:QW12,QY12)-SUM(QT12,QX12)&gt;0,SUM(QR12:QS12,QU12:QW12,QY12)-SUM(QT12,QX12),"")</f>
        <v/>
      </c>
      <c r="RH12" s="79">
        <f>IF(SUM(RB12,RG12)&gt;0,SUM(RB12,RG12),"")</f>
        <v>10</v>
      </c>
    </row>
    <row r="13" spans="1:476" x14ac:dyDescent="0.2">
      <c r="A13" s="5">
        <f>IF(AND(F13="P",G13="P"),SUMPRODUCT((F$4:F$27="P")*(G$4:G$27="P")*(E$4:E$27&gt;E13))+1,IF(G13="P",SUMPRODUCT((F$4:F$27="")*(G$4:G$27="P")*(E$4:E$27&gt;E13))+1+SUMPRODUCT((F$4:F$27="P")*(G$4:G$27="P")),""))</f>
        <v>10</v>
      </c>
      <c r="B13" s="78" t="s">
        <v>176</v>
      </c>
      <c r="C13" s="5" t="s">
        <v>5</v>
      </c>
      <c r="D13" s="5">
        <v>2001</v>
      </c>
      <c r="E13" s="15">
        <f>SUM(I13:S13)+SUM(I13:O13)*0.0000001+SUM(I13)*0.0000000000001</f>
        <v>0</v>
      </c>
      <c r="F13" s="3" t="str">
        <f>IF(OR(AND(AQ13&gt;=AX$29,AR13&gt;=AX$33,AQ13&lt;&gt;"",AP13=""),AND(AV13&gt;=AX$29,AW13&gt;=AX$33,AV13&lt;&gt;"",AP13=""),AND(BT13&gt;=CA$29,BU13&gt;=CA$33,BT13&lt;&gt;"",BS13=""),AND(BY13&gt;=CA$29,BZ13&gt;=CA$33,BY13&lt;&gt;"",BS13=""),AND(CW13&gt;=DD$29,CX13&gt;=DD$33,CW13&lt;&gt;"",CV13=""),AND(DB13&gt;=DD$29,DC13&gt;=DD$33,DB13&lt;&gt;""),AND(EB13&gt;=EI$29,EC13&gt;=EI$33,EB13&lt;&gt;""),AND(EG13&gt;=EI$29,EH13&gt;=EI$33,EG13&lt;&gt;""),AND(FD13&gt;=FK$29,FE13&gt;=FK$33,FD13&lt;&gt;""),AND(FI13&gt;=FK$29,FJ13&gt;=FK$33,FI13&lt;&gt;""),AND(GF13&gt;=GM$29,GG13&gt;=GM$33,GF13&lt;&gt;""),AND(GK13&gt;=GM$29,GL13&gt;=GM$33,GK13&lt;&gt;""),AND(HH13&gt;=HO$29,HI13&gt;=HO$33,HH13&lt;&gt;""),AND(HM13&gt;=HO$29,HN13&gt;=HO$33,HM13&lt;&gt;""),AND(IJ13&gt;=IQ$29,IK13&gt;=IQ$33,IJ13&lt;&gt;""),AND(IO13&gt;=IQ$29,IP13&gt;=IQ$33,IO13&lt;&gt;""),AND(JL13&gt;=JS$29,JM13&gt;=JS$33,JL13&lt;&gt;""),AND(JQ13&gt;=JS$29,JR13&gt;=JS$33,JQ13&lt;&gt;""),AND(KN13&gt;=KU$29,KO13&gt;=KU$33,KN13&lt;&gt;""),AND(KS13&gt;=KU$29,KT13&gt;=KU$33,KS13&lt;&gt;""),AND(LP13&gt;=LW$29,LQ13&gt;=LW$33,LP13&lt;&gt;""),AND(LU13&gt;=LW$29,LV13&gt;=LW$33,LU13&lt;&gt;""),AND(MR13&gt;=MY$29,MS13&gt;=MY$33,MR13&lt;&gt;""),AND(MW13&gt;=MY$29,MX13&gt;=MY$33,MW13&lt;&gt;""),AND(NT13&gt;=OA$29,NU13&gt;=OA$33,NT13&lt;&gt;""),AND(NY13&gt;=OA$29,NZ13&gt;=OA$33,NY13&lt;&gt;""),AND(OV13&gt;=PC$29,OW13&gt;=PC$33,OV13&lt;&gt;""),AND(PA13&gt;=PC$29,PB13&gt;=PC$33,PA13&lt;&gt;""),AND(PX13&gt;=QE$29,PY13&gt;=QE$33,PX13&lt;&gt;""),AND(QC13&gt;=QE$29,QD13&gt;=QE$33,QC13&lt;&gt;"")),"P","")</f>
        <v>P</v>
      </c>
      <c r="G13" s="3" t="str">
        <f>IF(OR(AND(AR13&gt;=AX$33,AR13&lt;&gt;"",AP13=""),AND(AW13&gt;=AX$33,AW13&lt;&gt;"",AP13=""),AND(BU13&gt;=CA$33,BU13&lt;&gt;"",BS13=""),AND(BZ13&gt;=CA$33,BZ13&lt;&gt;"",BS13=""),AND(CX13&gt;=DD$33,CX13&lt;&gt;"",CV13=""),AND(DC13&gt;=DD$33,DC13&lt;&gt;"",CV13=""),AND(EC13&gt;=EI$33,EC13&lt;&gt;""),AND(EH13&gt;=EI$33,EH13&lt;&gt;""),AND(FE13&gt;=FK$33,FE13&lt;&gt;""),AND(FJ13&gt;=FK$33,FJ13&lt;&gt;""),AND(GG13&gt;=GM$33,GG13&lt;&gt;""),AND(GL13&gt;=GM$33,GL13&lt;&gt;""),AND(HI13&gt;=HO$33,HI13&lt;&gt;""),AND(HN13&gt;=HO$33,HN13&lt;&gt;""),AND(IK13&gt;=IQ$33,IK13&lt;&gt;""),AND(IP13&gt;=IQ$33,IP13&lt;&gt;""),AND(JM13&gt;=JS$33,JM13&lt;&gt;""),AND(JR13&gt;=JS$33,JR13&lt;&gt;""),AND(KO13&gt;=KU$33,KO13&lt;&gt;""),AND(KT13&gt;=KU$33,KT13&lt;&gt;""),AND(LQ13&gt;=LW$33,LQ13&lt;&gt;""),AND(LV13&gt;=LW$33,LV13&lt;&gt;""),AND(MS13&gt;=MY$33,MS13&lt;&gt;""),AND(MX13&gt;=MY$33,MX13&lt;&gt;""),AND(NU13&gt;=OA$33,NU13&lt;&gt;""),AND(NZ13&gt;=OA$33,NZ13&lt;&gt;""),AND(OW13&gt;=PC$33,OW13&lt;&gt;""),AND(PB13&gt;=PC$33,PB13&lt;&gt;""),AND(PY13&gt;=QE$33,PY13&lt;&gt;""),AND(QD13&gt;=QE$33,QD13&lt;&gt;"")),"P","")</f>
        <v>P</v>
      </c>
      <c r="H13" s="67" t="str">
        <f>IF(AND(G13="P",F13=""),"No DD",IF(OR(AND(AT13&gt;=AX$32,AU13&gt;=AX$36,AT13&lt;&gt;"",AP13=""),AND(BW13&gt;=CA$32,BX13&gt;=CA$36,BW13&lt;&gt;"",BS13=""),AND(CZ13&gt;=DD$32,DA13&gt;=DD$36,CZ13&lt;&gt;"",CV13=""),AND(EE13&gt;=EI$32,EF13&gt;=EI$36,EE13&lt;&gt;""),AND(FG13&gt;=FK$32,FH13&gt;=FK$36,FG13&lt;&gt;""),AND(GI13&gt;=GM$32,GJ13&gt;=GM$36,GI13&lt;&gt;""),AND(HK13&gt;=HO$32,HL13&gt;=HO$36,HK13&lt;&gt;""),AND(IM13&gt;=IQ$32,IN13&gt;=IQ$36,IM13&lt;&gt;""),AND(JO13&gt;=JS$32,JP13&gt;=JS$36,JO13&lt;&gt;""),AND(KQ13&gt;=KU$32,KR13&gt;=KU$36,KQ13&lt;&gt;""),AND(LS13&gt;=LW$32,LT13&gt;=LW$36,LS13&lt;&gt;""),AND(MU13&gt;=MY$32,MV13&gt;=MY$36,MU13&lt;&gt;""),AND(NW13&gt;=OA$32,NX13&gt;=OA$36,NW13&lt;&gt;""),AND(OY13&gt;=PC$32,OZ13&gt;=PC$36,OY13&lt;&gt;""),AND(QA13&gt;=QE$32,QB13&gt;=QE$36,QA13&lt;&gt;"")),"Merit",IF(OR(AND(AT13&gt;=AX$31,AU13&gt;=AX$35,AT13&lt;&gt;"",AP13=""),AND(BW13&gt;=CA$31,BX13&gt;=CA$35,BW13&lt;&gt;"",BS13=""),AND(CZ13&gt;=DD$31,DA13&gt;=DD$35,CZ13&lt;&gt;"",CV13=""),AND(EE13&gt;=EI$31,EF13&gt;=EI$35,EE13&lt;&gt;""),AND(FG13&gt;=FK$31,FH13&gt;=FK$35,FG13&lt;&gt;""),AND(GI13&gt;=GM$31,GJ13&gt;=GM$35,GI13&lt;&gt;""),AND(HK13&gt;=HO$31,HL13&gt;=HO$35,HK13&lt;&gt;""),AND(IM13&gt;=IQ$31,IN13&gt;=IQ$35,IM13&lt;&gt;""),AND(JO13&gt;=JS$31,JP13&gt;=JS$35,JO13&lt;&gt;""),AND(KQ13&gt;=KU$31,KR13&gt;=KU$35,KQ13&lt;&gt;""),AND(LS13&gt;=LW$31,LT13&gt;=LW$35,LS13&lt;&gt;""),AND(MU13&gt;=MY$31,MV13&gt;=MY$35,MU13&lt;&gt;""),AND(NW13&gt;=OA$31,NX13&gt;=OA$35,NW13&lt;&gt;""),AND(OY13&gt;=PC$31,OZ13&gt;=PC$35,OY13&lt;&gt;""),AND(QA13&gt;=QE$31,QB13&gt;=QE$35,QA13&lt;&gt;"")),"Excellence",IF(F13="P","National Team",""))))</f>
        <v>National Team</v>
      </c>
      <c r="I13" s="14">
        <f>IF(COUNT(AR13,BU13,CX13)&gt;0,LARGE((AR13,BU13,CX13),1),0)</f>
        <v>0</v>
      </c>
      <c r="J13" s="14" t="str">
        <f>IF(I13=0,"",IF(I13=CX13,$CB$1,IF(I13=BU13,$AY$1,IF(I13=AR13,$V$1,""))))</f>
        <v/>
      </c>
      <c r="K13" s="14">
        <f>IF(COUNT(AR13,BU13,CX13)&gt;1,LARGE((AR13,BU13,CX13),2),0)</f>
        <v>0</v>
      </c>
      <c r="L13" s="14" t="str">
        <f>IF(K13=0,"",IF(K13=CX13,$CB$1,IF(K13=BU13,$AY$1,IF(K13=AR13,$V$1,""))))</f>
        <v/>
      </c>
      <c r="M13" s="14">
        <f>IF(COUNT(AS13,BV13,CY13)&gt;0,LARGE((AS13,BV13,CY13),1),0)</f>
        <v>0</v>
      </c>
      <c r="N13" s="14" t="str">
        <f>IF(M13=0,"",IF(M13=CY13,$CB$1,IF(M13=BV13,$AY$1,IF(M13=AS13,$V$1,""))))</f>
        <v/>
      </c>
      <c r="O13" s="14">
        <f>IF(COUNT(AS13,BV13,CY13)&gt;1,LARGE((AS13,BV13,CY13),2),0)</f>
        <v>0</v>
      </c>
      <c r="P13" s="14" t="str">
        <f>IF(O13=0,"",IF(O13=CY13,$CB$1,IF(O13=BV13,$AY$1,IF(O13=AS13,$V$1,""))))</f>
        <v/>
      </c>
      <c r="Q13" s="14">
        <f>IF(MAX(AW13,BZ13,DC13)&gt;0,MAX(AW13,BZ13,DC13),0)</f>
        <v>0</v>
      </c>
      <c r="R13" s="14" t="str">
        <f>IF(Q13=0,"",IF(Q13=DC13,$CB$1,IF(Q13=BZ13,$AY$1,IF(Q13=AW13,$V$1,""))))</f>
        <v/>
      </c>
      <c r="S13" s="14" t="str">
        <f>IF(MAX(DE13:DG13)&gt;0,MAX(DE13:DG13),"")</f>
        <v/>
      </c>
      <c r="T13" s="20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45"/>
      <c r="AQ13" s="79" t="str">
        <f>IF(SUM(W13,AA13)&gt;0,SUM(W13,AA13),"")</f>
        <v/>
      </c>
      <c r="AR13" s="79" t="str">
        <f>IF(SUM(V13:W13,Y13:AA13,AC13)-X13-AB13&gt;0,SUM(V13:W13,Y13:AA13,AC13)-X13-AB13,"")</f>
        <v/>
      </c>
      <c r="AS13" s="79" t="str">
        <f>IF(SUM(AD13:AE13,AG13)-AF13&gt;0,SUM(AD13:AE13,AG13)-AF13,"")</f>
        <v/>
      </c>
      <c r="AT13" s="79" t="str">
        <f>IF(SUM(W13,AA13,AE13)&gt;0,SUM(W13,AA13,AE13),"")</f>
        <v/>
      </c>
      <c r="AU13" s="79" t="str">
        <f>IF(SUM(AR13,AS13)&gt;0,SUM(AR13,AS13),"")</f>
        <v/>
      </c>
      <c r="AV13" s="79" t="str">
        <f>IF(SUM(AI13,AM13)&gt;0,SUM(AI13,AM13),"")</f>
        <v/>
      </c>
      <c r="AW13" s="79" t="str">
        <f>IF(SUM(AH13:AI13,AK13:AM13,AO13)-SUM(AJ13,AN13)&gt;0,SUM(AH13:AI13,AK13:AM13,AO13)-SUM(AJ13,AN13),"")</f>
        <v/>
      </c>
      <c r="AX13" s="79" t="str">
        <f>IF(SUM(AR13,AW13)&gt;0,SUM(AR13,AW13),"")</f>
        <v/>
      </c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46"/>
      <c r="BT13" s="20" t="str">
        <f>IF(SUM(AZ13,BD13)&gt;0,SUM(AZ13,BD13),"")</f>
        <v/>
      </c>
      <c r="BU13" s="20" t="str">
        <f>IF(SUM(AY13:AZ13,BB13:BD13,BF13)-BA13-BE13&gt;0,SUM(AY13:AZ13,BB13:BD13,BF13)-BA13-BE13,"")</f>
        <v/>
      </c>
      <c r="BV13" s="20" t="str">
        <f>IF(SUM(BG13:BH13,BJ13)-BI13&gt;0,SUM(BG13:BH13,BJ13)-BI13,"")</f>
        <v/>
      </c>
      <c r="BW13" s="20" t="str">
        <f>IF(SUM(AZ13,BD13,BH13)&gt;0,SUM(AZ13,BD13,BH13),"")</f>
        <v/>
      </c>
      <c r="BX13" s="20" t="str">
        <f>IF(SUM(BU13,BV13)&gt;0,SUM(BU13,BV13),"")</f>
        <v/>
      </c>
      <c r="BY13" s="20" t="str">
        <f>IF(SUM(BL13,BP13)&gt;0,SUM(BL13,BP13),"")</f>
        <v/>
      </c>
      <c r="BZ13" s="20" t="str">
        <f>IF(SUM(BK13:BL13,BN13:BP13,BR13)-SUM(BM13,BQ13)&gt;0,SUM(BK13:BL13,BN13:BP13,BR13)-SUM(BM13,BQ13),"")</f>
        <v/>
      </c>
      <c r="CA13" s="20" t="str">
        <f>IF(SUM(BU13,BZ13)&gt;0,SUM(BU13,BZ13),"")</f>
        <v/>
      </c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45"/>
      <c r="CW13" s="79" t="str">
        <f>IF(SUM(CC13,CG13)&gt;0,SUM(CC13,CG13),"")</f>
        <v/>
      </c>
      <c r="CX13" s="79" t="str">
        <f>IF(SUM(CB13:CC13,CE13:CG13,CI13)-CD13-CH13&gt;0,SUM(CB13:CC13,CE13:CG13,CI13)-CD13-CH13,"")</f>
        <v/>
      </c>
      <c r="CY13" s="79" t="str">
        <f>IF(SUM(CJ13:CK13,CM13)-CL13&gt;0,SUM(CJ13:CK13,CM13)-CL13,"")</f>
        <v/>
      </c>
      <c r="CZ13" s="79" t="str">
        <f>IF(SUM(CC13,CG13,CK13)&gt;0,SUM(CC13,CG13,CK13),"")</f>
        <v/>
      </c>
      <c r="DA13" s="79" t="str">
        <f>IF(SUM(CX13,CY13)&gt;0,SUM(CX13,CY13),"")</f>
        <v/>
      </c>
      <c r="DB13" s="79" t="str">
        <f>IF(SUM(CO13,CS13)&gt;0,SUM(CO13,CS13),"")</f>
        <v/>
      </c>
      <c r="DC13" s="79" t="str">
        <f>IF(SUM(CN13:CO13,CQ13:CS13,CU13)-SUM(CP13,CT13)&gt;0,SUM(CN13:CO13,CQ13:CS13,CU13)-SUM(CP13,CT13),"")</f>
        <v/>
      </c>
      <c r="DD13" s="79" t="str">
        <f>IF(SUM(CX13,DC13)&gt;0,SUM(CX13,DC13),"")</f>
        <v/>
      </c>
      <c r="DE13" s="80" t="str">
        <f>IF(K13&gt;=0.001,IF(MAX(EC13,FE13,GG13,HI13,IK13,JM13,KO13,LQ13,MS13,NU13,OW13,PY13)-IF(K13="",0,K13)&gt;0.001,MAX(EC13,FE13,GG13,HI13,IK13,JM13,KO13,LQ13,MS13,NU13,OW13,PY13)-IF(K13="",0,K13),""),"")</f>
        <v/>
      </c>
      <c r="DF13" s="80" t="str">
        <f>IF(O13&gt;=0.001,IF(MAX(ED13,FF13,GH13,HJ13,IL13,JN13,KP13,LR13,MT13,NV13,OX13,PZ13)-IF(O13="",0,O13)&gt;0.001,MAX(ED13,FF13,GH13,HJ13,IL13,JN13,KP13,LR13,MT13,NV13,OX13,PZ13)-IF(O13="",0,O13),""),"")</f>
        <v/>
      </c>
      <c r="DG13" s="80" t="str">
        <f>IF(Q13&gt;=0.001,IF(MAX(EH13,FJ13,GL13,HN13,IP13,JR13,KT13,LV13,MX13,NZ13,PB13,QD13)-IF(Q13="",0,Q13)&gt;0.001,MAX(EH13,FJ13,GL13,HN13,IP13,JR13,KT13,LV13,MX13,NZ13,PB13,QD13)-IF(Q13="",0,Q13),""),"")</f>
        <v/>
      </c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79" t="str">
        <f>IF(SUM(DI13,DM13)&gt;0,SUM(DI13,DM13),"")</f>
        <v/>
      </c>
      <c r="EC13" s="79" t="str">
        <f>IF(SUM(DH13:DI13,DK13:DM13,DO13)-DJ13-DN13&gt;0,SUM(DH13:DI13,DK13:DM13,DO13)-DJ13-DN13,"")</f>
        <v/>
      </c>
      <c r="ED13" s="79" t="str">
        <f>IF(SUM(DP13:DQ13,DS13)-DR13&gt;0,SUM(DP13:DQ13,DS13)-DR13,"")</f>
        <v/>
      </c>
      <c r="EE13" s="79" t="str">
        <f>IF(SUM(DI13,DM13,DQ13)&gt;0,SUM(DI13,DM13,DQ13),"")</f>
        <v/>
      </c>
      <c r="EF13" s="79" t="str">
        <f>IF(SUM(EC13,ED13)&gt;0,SUM(EC13,ED13),"")</f>
        <v/>
      </c>
      <c r="EG13" s="79" t="str">
        <f>IF(SUM(DU13,DY13)&gt;0,SUM(DU13,DY13),"")</f>
        <v/>
      </c>
      <c r="EH13" s="79" t="str">
        <f>IF(SUM(DT13:DU13,DW13:DY13,EA13)-SUM(DV13,DZ13)&gt;0,SUM(DT13:DU13,DW13:DY13,EA13)-SUM(DV13,DZ13),"")</f>
        <v/>
      </c>
      <c r="EI13" s="79" t="str">
        <f>IF(SUM(EC13,EH13)&gt;0,SUM(EC13,EH13),"")</f>
        <v/>
      </c>
      <c r="EJ13" s="26">
        <v>18.600000000000001</v>
      </c>
      <c r="EK13" s="26">
        <v>7.7</v>
      </c>
      <c r="EL13" s="26">
        <v>0.2</v>
      </c>
      <c r="EM13" s="26">
        <v>0.3</v>
      </c>
      <c r="EN13" s="26">
        <v>18.5</v>
      </c>
      <c r="EO13" s="26">
        <v>7.6</v>
      </c>
      <c r="EP13" s="26">
        <v>0.6</v>
      </c>
      <c r="EQ13" s="26">
        <v>0</v>
      </c>
      <c r="ER13" s="26"/>
      <c r="ES13" s="26"/>
      <c r="ET13" s="26"/>
      <c r="EU13" s="26"/>
      <c r="EV13" s="26">
        <v>18.600000000000001</v>
      </c>
      <c r="EW13" s="26">
        <v>7.3</v>
      </c>
      <c r="EX13" s="26">
        <v>0.8</v>
      </c>
      <c r="EY13" s="26">
        <v>0</v>
      </c>
      <c r="EZ13" s="26">
        <v>17.2</v>
      </c>
      <c r="FA13" s="26">
        <v>3.2</v>
      </c>
      <c r="FB13" s="26">
        <v>0</v>
      </c>
      <c r="FC13" s="26">
        <v>0</v>
      </c>
      <c r="FD13" s="20">
        <f>IF(SUM(EK13,EO13)&gt;0,SUM(EK13,EO13),"")</f>
        <v>15.3</v>
      </c>
      <c r="FE13" s="20">
        <f>IF(SUM(EJ13:EK13,EM13:EO13,EQ13)-EL13-EP13&gt;0,SUM(EJ13:EK13,EM13:EO13,EQ13)-EL13-EP13,"")</f>
        <v>51.9</v>
      </c>
      <c r="FF13" s="20" t="str">
        <f>IF(SUM(ER13:ES13,EU13)-ET13&gt;0,SUM(ER13:ES13,EU13)-ET13,"")</f>
        <v/>
      </c>
      <c r="FG13" s="20">
        <f>IF(SUM(EK13,EO13,ES13)&gt;0,SUM(EK13,EO13,ES13),"")</f>
        <v>15.3</v>
      </c>
      <c r="FH13" s="20">
        <f>IF(SUM(FE13,FF13)&gt;0,SUM(FE13,FF13),"")</f>
        <v>51.9</v>
      </c>
      <c r="FI13" s="20">
        <f>IF(SUM(EW13,FA13)&gt;0,SUM(EW13,FA13),"")</f>
        <v>10.5</v>
      </c>
      <c r="FJ13" s="20">
        <f>IF(SUM(EV13:EW13,EY13:FA13,FC13)-SUM(EX13,FB13)&gt;0,SUM(EV13:EW13,EY13:FA13,FC13)-SUM(EX13,FB13),"")</f>
        <v>45.500000000000007</v>
      </c>
      <c r="FK13" s="20">
        <f>IF(SUM(FE13,FJ13)&gt;0,SUM(FE13,FJ13),"")</f>
        <v>97.4</v>
      </c>
      <c r="FL13" s="25">
        <v>18.399999999999999</v>
      </c>
      <c r="FM13" s="25">
        <v>6</v>
      </c>
      <c r="FN13" s="25">
        <v>0.8</v>
      </c>
      <c r="FO13" s="25">
        <v>0</v>
      </c>
      <c r="FP13" s="25">
        <v>18.600000000000001</v>
      </c>
      <c r="FQ13" s="25">
        <v>6</v>
      </c>
      <c r="FR13" s="25">
        <v>0</v>
      </c>
      <c r="FS13" s="25">
        <v>0</v>
      </c>
      <c r="FT13" s="25"/>
      <c r="FU13" s="25"/>
      <c r="FV13" s="25"/>
      <c r="FW13" s="25"/>
      <c r="FX13" s="25">
        <v>19.3</v>
      </c>
      <c r="FY13" s="25">
        <v>7.6</v>
      </c>
      <c r="FZ13" s="25">
        <v>0</v>
      </c>
      <c r="GA13" s="25">
        <v>0.3</v>
      </c>
      <c r="GB13" s="25">
        <v>18.3</v>
      </c>
      <c r="GC13" s="25">
        <v>3.7</v>
      </c>
      <c r="GD13" s="25">
        <v>2.2999999999999998</v>
      </c>
      <c r="GE13" s="25">
        <v>0</v>
      </c>
      <c r="GF13" s="79">
        <f>IF(SUM(FM13,FQ13)&gt;0,SUM(FM13,FQ13),"")</f>
        <v>12</v>
      </c>
      <c r="GG13" s="79">
        <f>IF(SUM(FL13:FM13,FO13:FQ13,FS13)-FN13-FR13&gt;0,SUM(FL13:FM13,FO13:FQ13,FS13)-FN13-FR13,"")</f>
        <v>48.2</v>
      </c>
      <c r="GH13" s="79" t="str">
        <f>IF(SUM(FT13:FU13,FW13)-FV13&gt;0,SUM(FT13:FU13,FW13)-FV13,"")</f>
        <v/>
      </c>
      <c r="GI13" s="79">
        <f>IF(SUM(FM13,FQ13,FU13)&gt;0,SUM(FM13,FQ13,FU13),"")</f>
        <v>12</v>
      </c>
      <c r="GJ13" s="79">
        <f>IF(SUM(GG13,GH13)&gt;0,SUM(GG13,GH13),"")</f>
        <v>48.2</v>
      </c>
      <c r="GK13" s="79">
        <f>IF(SUM(FY13,GC13)&gt;0,SUM(FY13,GC13),"")</f>
        <v>11.3</v>
      </c>
      <c r="GL13" s="79">
        <f>IF(SUM(FX13:FY13,GA13:GC13,GE13)-SUM(FZ13,GD13)&gt;0,SUM(FX13:FY13,GA13:GC13,GE13)-SUM(FZ13,GD13),"")</f>
        <v>46.900000000000006</v>
      </c>
      <c r="GM13" s="79">
        <f>IF(SUM(GG13,GL13)&gt;0,SUM(GG13,GL13),"")</f>
        <v>95.100000000000009</v>
      </c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0" t="str">
        <f>IF(SUM(GO13,GS13)&gt;0,SUM(GO13,GS13),"")</f>
        <v/>
      </c>
      <c r="HI13" s="20" t="str">
        <f>IF(SUM(GN13:GO13,GQ13:GS13,GU13)-GP13-GT13&gt;0,SUM(GN13:GO13,GQ13:GS13,GU13)-GP13-GT13,"")</f>
        <v/>
      </c>
      <c r="HJ13" s="20" t="str">
        <f>IF(SUM(GV13:GW13,GY13)-GX13&gt;0,SUM(GV13:GW13,GY13)-GX13,"")</f>
        <v/>
      </c>
      <c r="HK13" s="20" t="str">
        <f>IF(SUM(GO13,GS13,GW13)&gt;0,SUM(GO13,GS13,GW13),"")</f>
        <v/>
      </c>
      <c r="HL13" s="20" t="str">
        <f>IF(SUM(HI13,HJ13)&gt;0,SUM(HI13,HJ13),"")</f>
        <v/>
      </c>
      <c r="HM13" s="20" t="str">
        <f>IF(SUM(HA13,HE13)&gt;0,SUM(HA13,HE13),"")</f>
        <v/>
      </c>
      <c r="HN13" s="20" t="str">
        <f>IF(SUM(GZ13:HA13,HC13:HE13,HG13)-SUM(HB13,HF13)&gt;0,SUM(GZ13:HA13,HC13:HE13,HG13)-SUM(HB13,HF13),"")</f>
        <v/>
      </c>
      <c r="HO13" s="20" t="str">
        <f>IF(SUM(HI13,HN13)&gt;0,SUM(HI13,HN13),"")</f>
        <v/>
      </c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79" t="str">
        <f>IF(SUM(HQ13,HU13)&gt;0,SUM(HQ13,HU13),"")</f>
        <v/>
      </c>
      <c r="IK13" s="79" t="str">
        <f>IF(SUM(HP13:HQ13,HS13:HU13,HW13)-HR13-HV13&gt;0,SUM(HP13:HQ13,HS13:HU13,HW13)-HR13-HV13,"")</f>
        <v/>
      </c>
      <c r="IL13" s="79" t="str">
        <f>IF(SUM(HX13:HY13,IA13)-HZ13&gt;0,SUM(HX13:HY13,IA13)-HZ13,"")</f>
        <v/>
      </c>
      <c r="IM13" s="79" t="str">
        <f>IF(SUM(HQ13,HU13,HY13)&gt;0,SUM(HQ13,HU13,HY13),"")</f>
        <v/>
      </c>
      <c r="IN13" s="79" t="str">
        <f>IF(SUM(IK13,IL13)&gt;0,SUM(IK13,IL13),"")</f>
        <v/>
      </c>
      <c r="IO13" s="79" t="str">
        <f>IF(SUM(IC13,IG13)&gt;0,SUM(IC13,IG13),"")</f>
        <v/>
      </c>
      <c r="IP13" s="79" t="str">
        <f>IF(SUM(IB13:IC13,IE13:IG13,II13)-SUM(ID13,IH13)&gt;0,SUM(IB13:IC13,IE13:IG13,II13)-SUM(ID13,IH13),"")</f>
        <v/>
      </c>
      <c r="IQ13" s="79" t="str">
        <f>IF(SUM(IK13,IP13)&gt;0,SUM(IK13,IP13),"")</f>
        <v/>
      </c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0" t="str">
        <f>IF(SUM(IS13,IW13)&gt;0,SUM(IS13,IW13),"")</f>
        <v/>
      </c>
      <c r="JM13" s="20" t="str">
        <f>IF(SUM(IR13:IS13,IU13:IW13,IY13)-IT13-IX13&gt;0,SUM(IR13:IS13,IU13:IW13,IY13)-IT13-IX13,"")</f>
        <v/>
      </c>
      <c r="JN13" s="20" t="str">
        <f>IF(SUM(IZ13:JA13,JC13)-JB13&gt;0,SUM(IZ13:JA13,JC13)-JB13,"")</f>
        <v/>
      </c>
      <c r="JO13" s="20" t="str">
        <f>IF(SUM(IS13,IW13,JA13)&gt;0,SUM(IS13,IW13,JA13),"")</f>
        <v/>
      </c>
      <c r="JP13" s="20" t="str">
        <f>IF(SUM(JM13,JN13)&gt;0,SUM(JM13,JN13),"")</f>
        <v/>
      </c>
      <c r="JQ13" s="20" t="str">
        <f>IF(SUM(JE13,JI13)&gt;0,SUM(JE13,JI13),"")</f>
        <v/>
      </c>
      <c r="JR13" s="20" t="str">
        <f>IF(SUM(JD13:JE13,JG13:JI13,JK13)-SUM(JF13,JJ13)&gt;0,SUM(JD13:JE13,JG13:JI13,JK13)-SUM(JF13,JJ13),"")</f>
        <v/>
      </c>
      <c r="JS13" s="20" t="str">
        <f>IF(SUM(JM13,JR13)&gt;0,SUM(JM13,JR13),"")</f>
        <v/>
      </c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79" t="str">
        <f>IF(SUM(JU13,JY13)&gt;0,SUM(JU13,JY13),"")</f>
        <v/>
      </c>
      <c r="KO13" s="79" t="str">
        <f>IF(SUM(JT13:JU13,JW13:JY13,KA13)-JV13-JZ13&gt;0,SUM(JT13:JU13,JW13:JY13,KA13)-JV13-JZ13,"")</f>
        <v/>
      </c>
      <c r="KP13" s="79" t="str">
        <f>IF(SUM(KB13:KC13,KE13)-KD13&gt;0,SUM(KB13:KC13,KE13)-KD13,"")</f>
        <v/>
      </c>
      <c r="KQ13" s="79" t="str">
        <f>IF(SUM(JU13,JY13,KC13)&gt;0,SUM(JU13,JY13,KC13),"")</f>
        <v/>
      </c>
      <c r="KR13" s="79" t="str">
        <f>IF(SUM(KO13,KP13)&gt;0,SUM(KO13,KP13),"")</f>
        <v/>
      </c>
      <c r="KS13" s="79" t="str">
        <f>IF(SUM(KG13,KK13)&gt;0,SUM(KG13,KK13),"")</f>
        <v/>
      </c>
      <c r="KT13" s="79" t="str">
        <f>IF(SUM(KF13:KG13,KI13:KK13,KM13)-SUM(KH13,KL13)&gt;0,SUM(KF13:KG13,KI13:KK13,KM13)-SUM(KH13,KL13),"")</f>
        <v/>
      </c>
      <c r="KU13" s="79" t="str">
        <f>IF(SUM(KO13,KT13)&gt;0,SUM(KO13,KT13),"")</f>
        <v/>
      </c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0" t="str">
        <f>IF(SUM(KW13,LA13)&gt;0,SUM(KW13,LA13),"")</f>
        <v/>
      </c>
      <c r="LQ13" s="20" t="str">
        <f>IF(SUM(KV13:KW13,KY13:LA13,LC13)-KX13-LB13&gt;0,SUM(KV13:KW13,KY13:LA13,LC13)-KX13-LB13,"")</f>
        <v/>
      </c>
      <c r="LR13" s="20" t="str">
        <f>IF(SUM(LD13:LE13,LG13)-LF13&gt;0,SUM(LD13:LE13,LG13)-LF13,"")</f>
        <v/>
      </c>
      <c r="LS13" s="20" t="str">
        <f>IF(SUM(KW13,LA13,LE13)&gt;0,SUM(KW13,LA13,LE13),"")</f>
        <v/>
      </c>
      <c r="LT13" s="20" t="str">
        <f>IF(SUM(LQ13,LR13)&gt;0,SUM(LQ13,LR13),"")</f>
        <v/>
      </c>
      <c r="LU13" s="20" t="str">
        <f>IF(SUM(LI13,LM13)&gt;0,SUM(LI13,LM13),"")</f>
        <v/>
      </c>
      <c r="LV13" s="20" t="str">
        <f>IF(SUM(LH13:LI13,LK13:LM13,LO13)-SUM(LJ13,LN13)&gt;0,SUM(LH13:LI13,LK13:LM13,LO13)-SUM(LJ13,LN13),"")</f>
        <v/>
      </c>
      <c r="LW13" s="20" t="str">
        <f>IF(SUM(LQ13,LV13)&gt;0,SUM(LQ13,LV13),"")</f>
        <v/>
      </c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79" t="str">
        <f>IF(SUM(LY13,MC13)&gt;0,SUM(LY13,MC13),"")</f>
        <v/>
      </c>
      <c r="MS13" s="79" t="str">
        <f>IF(SUM(LX13:LY13,MA13:MC13,ME13)-LZ13-MD13&gt;0,SUM(LX13:LY13,MA13:MC13,ME13)-LZ13-MD13,"")</f>
        <v/>
      </c>
      <c r="MT13" s="79" t="str">
        <f>IF(SUM(MF13:MG13,MI13)-MH13&gt;0,SUM(MF13:MG13,MI13)-MH13,"")</f>
        <v/>
      </c>
      <c r="MU13" s="79" t="str">
        <f>IF(SUM(LY13,MC13,MG13)&gt;0,SUM(LY13,MC13,MG13),"")</f>
        <v/>
      </c>
      <c r="MV13" s="79" t="str">
        <f>IF(SUM(MS13,MT13)&gt;0,SUM(MS13,MT13),"")</f>
        <v/>
      </c>
      <c r="MW13" s="79" t="str">
        <f>IF(SUM(MK13,MO13)&gt;0,SUM(MK13,MO13),"")</f>
        <v/>
      </c>
      <c r="MX13" s="79" t="str">
        <f>IF(SUM(MJ13:MK13,MM13:MO13,MQ13)-SUM(ML13,MP13)&gt;0,SUM(MJ13:MK13,MM13:MO13,MQ13)-SUM(ML13,MP13),"")</f>
        <v/>
      </c>
      <c r="MY13" s="79" t="str">
        <f>IF(SUM(MS13,MX13)&gt;0,SUM(MS13,MX13),"")</f>
        <v/>
      </c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0" t="str">
        <f>IF(SUM(NA13,NE13)&gt;0,SUM(NA13,NE13),"")</f>
        <v/>
      </c>
      <c r="NU13" s="20" t="str">
        <f>IF(SUM(MZ13:NA13,NC13:NE13,NG13)-NB13-NF13&gt;0,SUM(MZ13:NA13,NC13:NE13,NG13)-NB13-NF13,"")</f>
        <v/>
      </c>
      <c r="NV13" s="20" t="str">
        <f>IF(SUM(NH13:NI13,NK13)-NJ13&gt;0,SUM(NH13:NI13,NK13)-NJ13,"")</f>
        <v/>
      </c>
      <c r="NW13" s="20" t="str">
        <f>IF(SUM(NA13,NE13,NI13)&gt;0,SUM(NA13,NE13,NI13),"")</f>
        <v/>
      </c>
      <c r="NX13" s="20" t="str">
        <f>IF(SUM(NU13,NV13)&gt;0,SUM(NU13,NV13),"")</f>
        <v/>
      </c>
      <c r="NY13" s="20" t="str">
        <f>IF(SUM(NM13,NQ13)&gt;0,SUM(NM13,NQ13),"")</f>
        <v/>
      </c>
      <c r="NZ13" s="20" t="str">
        <f>IF(SUM(NL13:NM13,NO13:NQ13,NS13)-SUM(NN13,NR13)&gt;0,SUM(NL13:NM13,NO13:NQ13,NS13)-SUM(NN13,NR13),"")</f>
        <v/>
      </c>
      <c r="OA13" s="20" t="str">
        <f>IF(SUM(NU13,NZ13)&gt;0,SUM(NU13,NZ13),"")</f>
        <v/>
      </c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79" t="str">
        <f>IF(SUM(OC13,OG13)&gt;0,SUM(OC13,OG13),"")</f>
        <v/>
      </c>
      <c r="OW13" s="79" t="str">
        <f>IF(SUM(OB13:OC13,OE13:OG13,OI13)-OD13-OH13&gt;0,SUM(OB13:OC13,OE13:OG13,OI13)-OD13-OH13,"")</f>
        <v/>
      </c>
      <c r="OX13" s="79" t="str">
        <f>IF(SUM(OJ13:OK13,OM13)-OL13&gt;0,SUM(OJ13:OK13,OM13)-OL13,"")</f>
        <v/>
      </c>
      <c r="OY13" s="79" t="str">
        <f>IF(SUM(OC13,OG13,OK13)&gt;0,SUM(OC13,OG13,OK13),"")</f>
        <v/>
      </c>
      <c r="OZ13" s="79" t="str">
        <f>IF(SUM(OW13,OX13)&gt;0,SUM(OW13,OX13),"")</f>
        <v/>
      </c>
      <c r="PA13" s="79" t="str">
        <f>IF(SUM(OO13,OS13)&gt;0,SUM(OO13,OS13),"")</f>
        <v/>
      </c>
      <c r="PB13" s="79" t="str">
        <f>IF(SUM(ON13:OO13,OQ13:OS13,OU13)-SUM(OP13,OT13)&gt;0,SUM(ON13:OO13,OQ13:OS13,OU13)-SUM(OP13,OT13),"")</f>
        <v/>
      </c>
      <c r="PC13" s="79" t="str">
        <f>IF(SUM(OW13,PB13)&gt;0,SUM(OW13,PB13),"")</f>
        <v/>
      </c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0" t="str">
        <f>IF(SUM(PE13,PI13)&gt;0,SUM(PE13,PI13),"")</f>
        <v/>
      </c>
      <c r="PY13" s="20" t="str">
        <f>IF(SUM(PD13:PE13,PG13:PI13,PK13)-PF13-PJ13&gt;0,SUM(PD13:PE13,PG13:PI13,PK13)-PF13-PJ13,"")</f>
        <v/>
      </c>
      <c r="PZ13" s="20" t="str">
        <f>IF(SUM(PL13:PM13,PO13)-PN13&gt;0,SUM(PL13:PM13,PO13)-PN13,"")</f>
        <v/>
      </c>
      <c r="QA13" s="20" t="str">
        <f>IF(SUM(PE13,PI13,PM13)&gt;0,SUM(PE13,PI13,PM13),"")</f>
        <v/>
      </c>
      <c r="QB13" s="20" t="str">
        <f>IF(SUM(PY13,PZ13)&gt;0,SUM(PY13,PZ13),"")</f>
        <v/>
      </c>
      <c r="QC13" s="20" t="str">
        <f>IF(SUM(PQ13,PU13)&gt;0,SUM(PQ13,PU13),"")</f>
        <v/>
      </c>
      <c r="QD13" s="20" t="str">
        <f>IF(SUM(PP13:PQ13,PS13:PU13,PW13)-SUM(PR13,PV13)&gt;0,SUM(PP13:PQ13,PS13:PU13,PW13)-SUM(PR13,PV13),"")</f>
        <v/>
      </c>
      <c r="QE13" s="20" t="str">
        <f>IF(SUM(PY13,QD13)&gt;0,SUM(PY13,QD13),"")</f>
        <v/>
      </c>
      <c r="QF13" s="38">
        <f>IF($CV13="P",CB13,(CB13+AY13)/2)</f>
        <v>0</v>
      </c>
      <c r="QG13" s="38">
        <f>IF($CV13="P",CC13,(CC13+AZ13)/2)</f>
        <v>0</v>
      </c>
      <c r="QH13" s="38">
        <f>IF($CV13="P",CD13,(CD13+BA13)/2)</f>
        <v>0</v>
      </c>
      <c r="QI13" s="38">
        <f>IF($CV13="P",CE13,(CE13+BB13)/2)</f>
        <v>0</v>
      </c>
      <c r="QJ13" s="38">
        <f>IF($CV13="P",CF13,(CF13+BC13)/2)</f>
        <v>0</v>
      </c>
      <c r="QK13" s="38">
        <f>IF($CV13="P",CG13,(CG13+BD13)/2)</f>
        <v>0</v>
      </c>
      <c r="QL13" s="38">
        <f>IF($CV13="P",CH13,(CH13+BE13)/2)</f>
        <v>0</v>
      </c>
      <c r="QM13" s="38">
        <f>IF($CV13="P",CI13,(CI13+BF13)/2)</f>
        <v>0</v>
      </c>
      <c r="QN13" s="38">
        <f>IF($CV13="P",CJ13,(CJ13+BG13)/2)</f>
        <v>0</v>
      </c>
      <c r="QO13" s="38">
        <f>IF($CV13="P",CK13,(CK13+BH13)/2)</f>
        <v>0</v>
      </c>
      <c r="QP13" s="38">
        <f>IF($CV13="P",CL13,(CL13+BI13)/2)</f>
        <v>0</v>
      </c>
      <c r="QQ13" s="38">
        <f>IF($CV13="P",CM13,(CM13+BJ13)/2)</f>
        <v>0</v>
      </c>
      <c r="QR13" s="38">
        <f>IF($CV13="P",CN13,(CN13+BK13)/2)</f>
        <v>0</v>
      </c>
      <c r="QS13" s="38">
        <f>IF($CV13="P",CO13,(CO13+BL13)/2)</f>
        <v>0</v>
      </c>
      <c r="QT13" s="38">
        <f>IF($CV13="P",CP13,(CP13+BM13)/2)</f>
        <v>0</v>
      </c>
      <c r="QU13" s="38">
        <f>IF($CV13="P",CQ13,(CQ13+BN13)/2)</f>
        <v>0</v>
      </c>
      <c r="QV13" s="38">
        <f>IF($CV13="P",CR13,(CR13+BO13)/2)</f>
        <v>0</v>
      </c>
      <c r="QW13" s="38">
        <f>IF($CV13="P",CS13,(CS13+BP13)/2)</f>
        <v>0</v>
      </c>
      <c r="QX13" s="38">
        <f>IF($CV13="P",CT13,(CT13+BQ13)/2)</f>
        <v>0</v>
      </c>
      <c r="QY13" s="38">
        <f>IF($CV13="P",CU13,(CU13+BR13)/2)</f>
        <v>0</v>
      </c>
      <c r="QZ13" s="45" t="s">
        <v>46</v>
      </c>
      <c r="RA13" s="79" t="str">
        <f>IF(SUM(QG13,QK13)&gt;0,SUM(QG13,QK13),"")</f>
        <v/>
      </c>
      <c r="RB13" s="79" t="str">
        <f>IF(SUM(QF13:QG13,QI13:QK13,QM13)-QH13-QL13&gt;0,SUM(QF13:QG13,QI13:QK13,QM13)-QH13-QL13,"")</f>
        <v/>
      </c>
      <c r="RC13" s="79" t="str">
        <f>IF(SUM(QN13:QO13,QQ13)-QP13&gt;0,SUM(QN13:QO13,QQ13)-QP13,"")</f>
        <v/>
      </c>
      <c r="RD13" s="79" t="str">
        <f>IF(SUM(QG13,QK13,QO13)&gt;0,SUM(QG13,QK13,QO13),"")</f>
        <v/>
      </c>
      <c r="RE13" s="79" t="str">
        <f>IF(SUM(RB13,RC13)&gt;0,SUM(RB13,RC13),"")</f>
        <v/>
      </c>
      <c r="RF13" s="79" t="str">
        <f>IF(SUM(QS13,QW13)&gt;0,SUM(QS13,QW13),"")</f>
        <v/>
      </c>
      <c r="RG13" s="79" t="str">
        <f>IF(SUM(QR13:QS13,QU13:QW13,QY13)-SUM(QT13,QX13)&gt;0,SUM(QR13:QS13,QU13:QW13,QY13)-SUM(QT13,QX13),"")</f>
        <v/>
      </c>
      <c r="RH13" s="79" t="str">
        <f>IF(SUM(RB13,RG13)&gt;0,SUM(RB13,RG13),"")</f>
        <v/>
      </c>
    </row>
    <row r="14" spans="1:476" x14ac:dyDescent="0.2">
      <c r="A14" s="5">
        <f>IF(AND(F14="P",G14="P"),SUMPRODUCT((F$4:F$27="P")*(G$4:G$27="P")*(E$4:E$27&gt;E14))+1,IF(G14="P",SUMPRODUCT((F$4:F$27="")*(G$4:G$27="P")*(E$4:E$27&gt;E14))+1+SUMPRODUCT((F$4:F$27="P")*(G$4:G$27="P")),""))</f>
        <v>11</v>
      </c>
      <c r="B14" s="78" t="s">
        <v>143</v>
      </c>
      <c r="C14" s="5" t="s">
        <v>3</v>
      </c>
      <c r="D14" s="5">
        <v>2005</v>
      </c>
      <c r="E14" s="15">
        <f>SUM(I14:S14)+SUM(I14:O14)*0.0000001+SUM(I14)*0.0000000000001</f>
        <v>123.40010743001501</v>
      </c>
      <c r="F14" s="3" t="str">
        <f>IF(OR(AND(AQ14&gt;=AX$29,AR14&gt;=AX$33,AQ14&lt;&gt;"",AP14=""),AND(AV14&gt;=AX$29,AW14&gt;=AX$33,AV14&lt;&gt;"",AP14=""),AND(BT14&gt;=CA$29,BU14&gt;=CA$33,BT14&lt;&gt;"",BS14=""),AND(BY14&gt;=CA$29,BZ14&gt;=CA$33,BY14&lt;&gt;"",BS14=""),AND(CW14&gt;=DD$29,CX14&gt;=DD$33,CW14&lt;&gt;"",CV14=""),AND(DB14&gt;=DD$29,DC14&gt;=DD$33,DB14&lt;&gt;""),AND(EB14&gt;=EI$29,EC14&gt;=EI$33,EB14&lt;&gt;""),AND(EG14&gt;=EI$29,EH14&gt;=EI$33,EG14&lt;&gt;""),AND(FD14&gt;=FK$29,FE14&gt;=FK$33,FD14&lt;&gt;""),AND(FI14&gt;=FK$29,FJ14&gt;=FK$33,FI14&lt;&gt;""),AND(GF14&gt;=GM$29,GG14&gt;=GM$33,GF14&lt;&gt;""),AND(GK14&gt;=GM$29,GL14&gt;=GM$33,GK14&lt;&gt;""),AND(HH14&gt;=HO$29,HI14&gt;=HO$33,HH14&lt;&gt;""),AND(HM14&gt;=HO$29,HN14&gt;=HO$33,HM14&lt;&gt;""),AND(IJ14&gt;=IQ$29,IK14&gt;=IQ$33,IJ14&lt;&gt;""),AND(IO14&gt;=IQ$29,IP14&gt;=IQ$33,IO14&lt;&gt;""),AND(JL14&gt;=JS$29,JM14&gt;=JS$33,JL14&lt;&gt;""),AND(JQ14&gt;=JS$29,JR14&gt;=JS$33,JQ14&lt;&gt;""),AND(KN14&gt;=KU$29,KO14&gt;=KU$33,KN14&lt;&gt;""),AND(KS14&gt;=KU$29,KT14&gt;=KU$33,KS14&lt;&gt;""),AND(LP14&gt;=LW$29,LQ14&gt;=LW$33,LP14&lt;&gt;""),AND(LU14&gt;=LW$29,LV14&gt;=LW$33,LU14&lt;&gt;""),AND(MR14&gt;=MY$29,MS14&gt;=MY$33,MR14&lt;&gt;""),AND(MW14&gt;=MY$29,MX14&gt;=MY$33,MW14&lt;&gt;""),AND(NT14&gt;=OA$29,NU14&gt;=OA$33,NT14&lt;&gt;""),AND(NY14&gt;=OA$29,NZ14&gt;=OA$33,NY14&lt;&gt;""),AND(OV14&gt;=PC$29,OW14&gt;=PC$33,OV14&lt;&gt;""),AND(PA14&gt;=PC$29,PB14&gt;=PC$33,PA14&lt;&gt;""),AND(PX14&gt;=QE$29,PY14&gt;=QE$33,PX14&lt;&gt;""),AND(QC14&gt;=QE$29,QD14&gt;=QE$33,QC14&lt;&gt;"")),"P","")</f>
        <v/>
      </c>
      <c r="G14" s="3" t="str">
        <f>IF(OR(AND(AR14&gt;=AX$33,AR14&lt;&gt;"",AP14=""),AND(AW14&gt;=AX$33,AW14&lt;&gt;"",AP14=""),AND(BU14&gt;=CA$33,BU14&lt;&gt;"",BS14=""),AND(BZ14&gt;=CA$33,BZ14&lt;&gt;"",BS14=""),AND(CX14&gt;=DD$33,CX14&lt;&gt;"",CV14=""),AND(DC14&gt;=DD$33,DC14&lt;&gt;"",CV14=""),AND(EC14&gt;=EI$33,EC14&lt;&gt;""),AND(EH14&gt;=EI$33,EH14&lt;&gt;""),AND(FE14&gt;=FK$33,FE14&lt;&gt;""),AND(FJ14&gt;=FK$33,FJ14&lt;&gt;""),AND(GG14&gt;=GM$33,GG14&lt;&gt;""),AND(GL14&gt;=GM$33,GL14&lt;&gt;""),AND(HI14&gt;=HO$33,HI14&lt;&gt;""),AND(HN14&gt;=HO$33,HN14&lt;&gt;""),AND(IK14&gt;=IQ$33,IK14&lt;&gt;""),AND(IP14&gt;=IQ$33,IP14&lt;&gt;""),AND(JM14&gt;=JS$33,JM14&lt;&gt;""),AND(JR14&gt;=JS$33,JR14&lt;&gt;""),AND(KO14&gt;=KU$33,KO14&lt;&gt;""),AND(KT14&gt;=KU$33,KT14&lt;&gt;""),AND(LQ14&gt;=LW$33,LQ14&lt;&gt;""),AND(LV14&gt;=LW$33,LV14&lt;&gt;""),AND(MS14&gt;=MY$33,MS14&lt;&gt;""),AND(MX14&gt;=MY$33,MX14&lt;&gt;""),AND(NU14&gt;=OA$33,NU14&lt;&gt;""),AND(NZ14&gt;=OA$33,NZ14&lt;&gt;""),AND(OW14&gt;=PC$33,OW14&lt;&gt;""),AND(PB14&gt;=PC$33,PB14&lt;&gt;""),AND(PY14&gt;=QE$33,PY14&lt;&gt;""),AND(QD14&gt;=QE$33,QD14&lt;&gt;"")),"P","")</f>
        <v>P</v>
      </c>
      <c r="H14" s="67" t="str">
        <f>IF(AND(G14="P",F14=""),"No DD",IF(OR(AND(AT14&gt;=AX$32,AU14&gt;=AX$36,AT14&lt;&gt;"",AP14=""),AND(BW14&gt;=CA$32,BX14&gt;=CA$36,BW14&lt;&gt;"",BS14=""),AND(CZ14&gt;=DD$32,DA14&gt;=DD$36,CZ14&lt;&gt;"",CV14=""),AND(EE14&gt;=EI$32,EF14&gt;=EI$36,EE14&lt;&gt;""),AND(FG14&gt;=FK$32,FH14&gt;=FK$36,FG14&lt;&gt;""),AND(GI14&gt;=GM$32,GJ14&gt;=GM$36,GI14&lt;&gt;""),AND(HK14&gt;=HO$32,HL14&gt;=HO$36,HK14&lt;&gt;""),AND(IM14&gt;=IQ$32,IN14&gt;=IQ$36,IM14&lt;&gt;""),AND(JO14&gt;=JS$32,JP14&gt;=JS$36,JO14&lt;&gt;""),AND(KQ14&gt;=KU$32,KR14&gt;=KU$36,KQ14&lt;&gt;""),AND(LS14&gt;=LW$32,LT14&gt;=LW$36,LS14&lt;&gt;""),AND(MU14&gt;=MY$32,MV14&gt;=MY$36,MU14&lt;&gt;""),AND(NW14&gt;=OA$32,NX14&gt;=OA$36,NW14&lt;&gt;""),AND(OY14&gt;=PC$32,OZ14&gt;=PC$36,OY14&lt;&gt;""),AND(QA14&gt;=QE$32,QB14&gt;=QE$36,QA14&lt;&gt;"")),"Merit",IF(OR(AND(AT14&gt;=AX$31,AU14&gt;=AX$35,AT14&lt;&gt;"",AP14=""),AND(BW14&gt;=CA$31,BX14&gt;=CA$35,BW14&lt;&gt;"",BS14=""),AND(CZ14&gt;=DD$31,DA14&gt;=DD$35,CZ14&lt;&gt;"",CV14=""),AND(EE14&gt;=EI$31,EF14&gt;=EI$35,EE14&lt;&gt;""),AND(FG14&gt;=FK$31,FH14&gt;=FK$35,FG14&lt;&gt;""),AND(GI14&gt;=GM$31,GJ14&gt;=GM$35,GI14&lt;&gt;""),AND(HK14&gt;=HO$31,HL14&gt;=HO$35,HK14&lt;&gt;""),AND(IM14&gt;=IQ$31,IN14&gt;=IQ$35,IM14&lt;&gt;""),AND(JO14&gt;=JS$31,JP14&gt;=JS$35,JO14&lt;&gt;""),AND(KQ14&gt;=KU$31,KR14&gt;=KU$35,KQ14&lt;&gt;""),AND(LS14&gt;=LW$31,LT14&gt;=LW$35,LS14&lt;&gt;""),AND(MU14&gt;=MY$31,MV14&gt;=MY$35,MU14&lt;&gt;""),AND(NW14&gt;=OA$31,NX14&gt;=OA$35,NW14&lt;&gt;""),AND(OY14&gt;=PC$31,OZ14&gt;=PC$35,OY14&lt;&gt;""),AND(QA14&gt;=QE$31,QB14&gt;=QE$35,QA14&lt;&gt;"")),"Excellence",IF(F14="P","National Team",""))))</f>
        <v>No DD</v>
      </c>
      <c r="I14" s="14">
        <f>IF(COUNT(AR14,BU14,CX14)&gt;0,LARGE((AR14,BU14,CX14),1),0)</f>
        <v>50</v>
      </c>
      <c r="J14" s="14" t="str">
        <f>IF(I14=0,"",IF(I14=CX14,$CB$1,IF(I14=BU14,$AY$1,IF(I14=AR14,$V$1,""))))</f>
        <v>2022 Elite Canada</v>
      </c>
      <c r="K14" s="14">
        <f>IF(COUNT(AR14,BU14,CX14)&gt;1,LARGE((AR14,BU14,CX14),2),0)</f>
        <v>1E-4</v>
      </c>
      <c r="L14" s="14" t="str">
        <f>IF(K14=0,"",IF(K14=CX14,$CB$1,IF(K14=BU14,$AY$1,IF(K14=AR14,$V$1,""))))</f>
        <v>2021 Canadian Championships</v>
      </c>
      <c r="M14" s="14">
        <f>IF(COUNT(AS14,BV14,CY14)&gt;0,LARGE((AS14,BV14,CY14),1),0)</f>
        <v>24.299999999999997</v>
      </c>
      <c r="N14" s="14" t="str">
        <f>IF(M14=0,"",IF(M14=CY14,$CB$1,IF(M14=BV14,$AY$1,IF(M14=AS14,$V$1,""))))</f>
        <v>2022 Elite Canada</v>
      </c>
      <c r="O14" s="14">
        <f>IF(COUNT(AS14,BV14,CY14)&gt;1,LARGE((AS14,BV14,CY14),2),0)</f>
        <v>0</v>
      </c>
      <c r="P14" s="14" t="str">
        <f>IF(O14=0,"",IF(O14=CY14,$CB$1,IF(O14=BV14,$AY$1,IF(O14=AS14,$V$1,""))))</f>
        <v/>
      </c>
      <c r="Q14" s="14">
        <f>IF(MAX(AW14,BZ14,DC14)&gt;0,MAX(AW14,BZ14,DC14),0)</f>
        <v>49.1</v>
      </c>
      <c r="R14" s="14" t="str">
        <f>IF(Q14=0,"",IF(Q14=DC14,$CB$1,IF(Q14=BZ14,$AY$1,IF(Q14=AW14,$V$1,""))))</f>
        <v>2022 Elite Canada</v>
      </c>
      <c r="S14" s="14" t="str">
        <f>IF(MAX(DE14:DG14)&gt;0,MAX(DE14:DG14),"")</f>
        <v/>
      </c>
      <c r="T14" s="20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45"/>
      <c r="AQ14" s="79" t="str">
        <f>IF(SUM(W14,AA14)&gt;0,SUM(W14,AA14),"")</f>
        <v/>
      </c>
      <c r="AR14" s="79" t="str">
        <f>IF(SUM(V14:W14,Y14:AA14,AC14)-X14-AB14&gt;0,SUM(V14:W14,Y14:AA14,AC14)-X14-AB14,"")</f>
        <v/>
      </c>
      <c r="AS14" s="79" t="str">
        <f>IF(SUM(AD14:AE14,AG14)-AF14&gt;0,SUM(AD14:AE14,AG14)-AF14,"")</f>
        <v/>
      </c>
      <c r="AT14" s="79" t="str">
        <f>IF(SUM(W14,AA14,AE14)&gt;0,SUM(W14,AA14,AE14),"")</f>
        <v/>
      </c>
      <c r="AU14" s="79" t="str">
        <f>IF(SUM(AR14,AS14)&gt;0,SUM(AR14,AS14),"")</f>
        <v/>
      </c>
      <c r="AV14" s="79" t="str">
        <f>IF(SUM(AI14,AM14)&gt;0,SUM(AI14,AM14),"")</f>
        <v/>
      </c>
      <c r="AW14" s="79" t="str">
        <f>IF(SUM(AH14:AI14,AK14:AM14,AO14)-SUM(AJ14,AN14)&gt;0,SUM(AH14:AI14,AK14:AM14,AO14)-SUM(AJ14,AN14),"")</f>
        <v/>
      </c>
      <c r="AX14" s="79" t="str">
        <f>IF(SUM(AR14,AW14)&gt;0,SUM(AR14,AW14),"")</f>
        <v/>
      </c>
      <c r="AY14" s="26"/>
      <c r="AZ14" s="26">
        <v>1E-4</v>
      </c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46"/>
      <c r="BT14" s="20">
        <f>IF(SUM(AZ14,BD14)&gt;0,SUM(AZ14,BD14),"")</f>
        <v>1E-4</v>
      </c>
      <c r="BU14" s="20">
        <f>IF(SUM(AY14:AZ14,BB14:BD14,BF14)-BA14-BE14&gt;0,SUM(AY14:AZ14,BB14:BD14,BF14)-BA14-BE14,"")</f>
        <v>1E-4</v>
      </c>
      <c r="BV14" s="20" t="str">
        <f>IF(SUM(BG14:BH14,BJ14)-BI14&gt;0,SUM(BG14:BH14,BJ14)-BI14,"")</f>
        <v/>
      </c>
      <c r="BW14" s="20">
        <f>IF(SUM(AZ14,BD14,BH14)&gt;0,SUM(AZ14,BD14,BH14),"")</f>
        <v>1E-4</v>
      </c>
      <c r="BX14" s="20">
        <f>IF(SUM(BU14,BV14)&gt;0,SUM(BU14,BV14),"")</f>
        <v>1E-4</v>
      </c>
      <c r="BY14" s="20" t="str">
        <f>IF(SUM(BL14,BP14)&gt;0,SUM(BL14,BP14),"")</f>
        <v/>
      </c>
      <c r="BZ14" s="20" t="str">
        <f>IF(SUM(BK14:BL14,BN14:BP14,BR14)-SUM(BM14,BQ14)&gt;0,SUM(BK14:BL14,BN14:BP14,BR14)-SUM(BM14,BQ14),"")</f>
        <v/>
      </c>
      <c r="CA14" s="20">
        <f>IF(SUM(BU14,BZ14)&gt;0,SUM(BU14,BZ14),"")</f>
        <v>1E-4</v>
      </c>
      <c r="CB14" s="27">
        <v>19</v>
      </c>
      <c r="CC14" s="27">
        <v>6</v>
      </c>
      <c r="CD14" s="27">
        <v>0</v>
      </c>
      <c r="CE14" s="27">
        <v>0</v>
      </c>
      <c r="CF14" s="27">
        <v>19.399999999999999</v>
      </c>
      <c r="CG14" s="27">
        <v>5.6</v>
      </c>
      <c r="CH14" s="27">
        <v>0</v>
      </c>
      <c r="CI14" s="27">
        <v>0</v>
      </c>
      <c r="CJ14" s="27">
        <v>19.2</v>
      </c>
      <c r="CK14" s="27">
        <v>5.0999999999999996</v>
      </c>
      <c r="CL14" s="27">
        <v>0</v>
      </c>
      <c r="CM14" s="27">
        <v>0</v>
      </c>
      <c r="CN14" s="27">
        <v>19</v>
      </c>
      <c r="CO14" s="27">
        <v>6</v>
      </c>
      <c r="CP14" s="27">
        <v>0.2</v>
      </c>
      <c r="CQ14" s="27">
        <v>0</v>
      </c>
      <c r="CR14" s="27">
        <v>19.3</v>
      </c>
      <c r="CS14" s="27">
        <v>5.6</v>
      </c>
      <c r="CT14" s="27">
        <v>0.6</v>
      </c>
      <c r="CU14" s="27">
        <v>0</v>
      </c>
      <c r="CV14" s="45"/>
      <c r="CW14" s="79">
        <f>IF(SUM(CC14,CG14)&gt;0,SUM(CC14,CG14),"")</f>
        <v>11.6</v>
      </c>
      <c r="CX14" s="79">
        <f>IF(SUM(CB14:CC14,CE14:CG14,CI14)-CD14-CH14&gt;0,SUM(CB14:CC14,CE14:CG14,CI14)-CD14-CH14,"")</f>
        <v>50</v>
      </c>
      <c r="CY14" s="79">
        <f>IF(SUM(CJ14:CK14,CM14)-CL14&gt;0,SUM(CJ14:CK14,CM14)-CL14,"")</f>
        <v>24.299999999999997</v>
      </c>
      <c r="CZ14" s="79">
        <f>IF(SUM(CC14,CG14,CK14)&gt;0,SUM(CC14,CG14,CK14),"")</f>
        <v>16.7</v>
      </c>
      <c r="DA14" s="79">
        <f>IF(SUM(CX14,CY14)&gt;0,SUM(CX14,CY14),"")</f>
        <v>74.3</v>
      </c>
      <c r="DB14" s="79">
        <f>IF(SUM(CO14,CS14)&gt;0,SUM(CO14,CS14),"")</f>
        <v>11.6</v>
      </c>
      <c r="DC14" s="79">
        <f>IF(SUM(CN14:CO14,CQ14:CS14,CU14)-SUM(CP14,CT14)&gt;0,SUM(CN14:CO14,CQ14:CS14,CU14)-SUM(CP14,CT14),"")</f>
        <v>49.1</v>
      </c>
      <c r="DD14" s="79">
        <f>IF(SUM(CX14,DC14)&gt;0,SUM(CX14,DC14),"")</f>
        <v>99.1</v>
      </c>
      <c r="DE14" s="80" t="str">
        <f>IF(K14&gt;=0.001,IF(MAX(EC14,FE14,GG14,HI14,IK14,JM14,KO14,LQ14,MS14,NU14,OW14,PY14)-IF(K14="",0,K14)&gt;0.001,MAX(EC14,FE14,GG14,HI14,IK14,JM14,KO14,LQ14,MS14,NU14,OW14,PY14)-IF(K14="",0,K14),""),"")</f>
        <v/>
      </c>
      <c r="DF14" s="80" t="str">
        <f>IF(O14&gt;=0.001,IF(MAX(ED14,FF14,GH14,HJ14,IL14,JN14,KP14,LR14,MT14,NV14,OX14,PZ14)-IF(O14="",0,O14)&gt;0.001,MAX(ED14,FF14,GH14,HJ14,IL14,JN14,KP14,LR14,MT14,NV14,OX14,PZ14)-IF(O14="",0,O14),""),"")</f>
        <v/>
      </c>
      <c r="DG14" s="80" t="str">
        <f>IF(Q14&gt;=0.001,IF(MAX(EH14,FJ14,GL14,HN14,IP14,JR14,KT14,LV14,MX14,NZ14,PB14,QD14)-IF(Q14="",0,Q14)&gt;0.001,MAX(EH14,FJ14,GL14,HN14,IP14,JR14,KT14,LV14,MX14,NZ14,PB14,QD14)-IF(Q14="",0,Q14),""),"")</f>
        <v/>
      </c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79" t="str">
        <f>IF(SUM(DI14,DM14)&gt;0,SUM(DI14,DM14),"")</f>
        <v/>
      </c>
      <c r="EC14" s="79" t="str">
        <f>IF(SUM(DH14:DI14,DK14:DM14,DO14)-DJ14-DN14&gt;0,SUM(DH14:DI14,DK14:DM14,DO14)-DJ14-DN14,"")</f>
        <v/>
      </c>
      <c r="ED14" s="79" t="str">
        <f>IF(SUM(DP14:DQ14,DS14)-DR14&gt;0,SUM(DP14:DQ14,DS14)-DR14,"")</f>
        <v/>
      </c>
      <c r="EE14" s="79" t="str">
        <f>IF(SUM(DI14,DM14,DQ14)&gt;0,SUM(DI14,DM14,DQ14),"")</f>
        <v/>
      </c>
      <c r="EF14" s="79" t="str">
        <f>IF(SUM(EC14,ED14)&gt;0,SUM(EC14,ED14),"")</f>
        <v/>
      </c>
      <c r="EG14" s="79" t="str">
        <f>IF(SUM(DU14,DY14)&gt;0,SUM(DU14,DY14),"")</f>
        <v/>
      </c>
      <c r="EH14" s="79" t="str">
        <f>IF(SUM(DT14:DU14,DW14:DY14,EA14)-SUM(DV14,DZ14)&gt;0,SUM(DT14:DU14,DW14:DY14,EA14)-SUM(DV14,DZ14),"")</f>
        <v/>
      </c>
      <c r="EI14" s="79" t="str">
        <f>IF(SUM(EC14,EH14)&gt;0,SUM(EC14,EH14),"")</f>
        <v/>
      </c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0" t="str">
        <f>IF(SUM(EK14,EO14)&gt;0,SUM(EK14,EO14),"")</f>
        <v/>
      </c>
      <c r="FE14" s="20" t="str">
        <f>IF(SUM(EJ14:EK14,EM14:EO14,EQ14)-EL14-EP14&gt;0,SUM(EJ14:EK14,EM14:EO14,EQ14)-EL14-EP14,"")</f>
        <v/>
      </c>
      <c r="FF14" s="20" t="str">
        <f>IF(SUM(ER14:ES14,EU14)-ET14&gt;0,SUM(ER14:ES14,EU14)-ET14,"")</f>
        <v/>
      </c>
      <c r="FG14" s="20" t="str">
        <f>IF(SUM(EK14,EO14,ES14)&gt;0,SUM(EK14,EO14,ES14),"")</f>
        <v/>
      </c>
      <c r="FH14" s="20" t="str">
        <f>IF(SUM(FE14,FF14)&gt;0,SUM(FE14,FF14),"")</f>
        <v/>
      </c>
      <c r="FI14" s="20" t="str">
        <f>IF(SUM(EW14,FA14)&gt;0,SUM(EW14,FA14),"")</f>
        <v/>
      </c>
      <c r="FJ14" s="20" t="str">
        <f>IF(SUM(EV14:EW14,EY14:FA14,FC14)-SUM(EX14,FB14)&gt;0,SUM(EV14:EW14,EY14:FA14,FC14)-SUM(EX14,FB14),"")</f>
        <v/>
      </c>
      <c r="FK14" s="20" t="str">
        <f>IF(SUM(FE14,FJ14)&gt;0,SUM(FE14,FJ14),"")</f>
        <v/>
      </c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79" t="str">
        <f>IF(SUM(FM14,FQ14)&gt;0,SUM(FM14,FQ14),"")</f>
        <v/>
      </c>
      <c r="GG14" s="79" t="str">
        <f>IF(SUM(FL14:FM14,FO14:FQ14,FS14)-FN14-FR14&gt;0,SUM(FL14:FM14,FO14:FQ14,FS14)-FN14-FR14,"")</f>
        <v/>
      </c>
      <c r="GH14" s="79" t="str">
        <f>IF(SUM(FT14:FU14,FW14)-FV14&gt;0,SUM(FT14:FU14,FW14)-FV14,"")</f>
        <v/>
      </c>
      <c r="GI14" s="79" t="str">
        <f>IF(SUM(FM14,FQ14,FU14)&gt;0,SUM(FM14,FQ14,FU14),"")</f>
        <v/>
      </c>
      <c r="GJ14" s="79" t="str">
        <f>IF(SUM(GG14,GH14)&gt;0,SUM(GG14,GH14),"")</f>
        <v/>
      </c>
      <c r="GK14" s="79" t="str">
        <f>IF(SUM(FY14,GC14)&gt;0,SUM(FY14,GC14),"")</f>
        <v/>
      </c>
      <c r="GL14" s="79" t="str">
        <f>IF(SUM(FX14:FY14,GA14:GC14,GE14)-SUM(FZ14,GD14)&gt;0,SUM(FX14:FY14,GA14:GC14,GE14)-SUM(FZ14,GD14),"")</f>
        <v/>
      </c>
      <c r="GM14" s="79" t="str">
        <f>IF(SUM(GG14,GL14)&gt;0,SUM(GG14,GL14),"")</f>
        <v/>
      </c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0" t="str">
        <f>IF(SUM(GO14,GS14)&gt;0,SUM(GO14,GS14),"")</f>
        <v/>
      </c>
      <c r="HI14" s="20" t="str">
        <f>IF(SUM(GN14:GO14,GQ14:GS14,GU14)-GP14-GT14&gt;0,SUM(GN14:GO14,GQ14:GS14,GU14)-GP14-GT14,"")</f>
        <v/>
      </c>
      <c r="HJ14" s="20" t="str">
        <f>IF(SUM(GV14:GW14,GY14)-GX14&gt;0,SUM(GV14:GW14,GY14)-GX14,"")</f>
        <v/>
      </c>
      <c r="HK14" s="20" t="str">
        <f>IF(SUM(GO14,GS14,GW14)&gt;0,SUM(GO14,GS14,GW14),"")</f>
        <v/>
      </c>
      <c r="HL14" s="20" t="str">
        <f>IF(SUM(HI14,HJ14)&gt;0,SUM(HI14,HJ14),"")</f>
        <v/>
      </c>
      <c r="HM14" s="20" t="str">
        <f>IF(SUM(HA14,HE14)&gt;0,SUM(HA14,HE14),"")</f>
        <v/>
      </c>
      <c r="HN14" s="20" t="str">
        <f>IF(SUM(GZ14:HA14,HC14:HE14,HG14)-SUM(HB14,HF14)&gt;0,SUM(GZ14:HA14,HC14:HE14,HG14)-SUM(HB14,HF14),"")</f>
        <v/>
      </c>
      <c r="HO14" s="20" t="str">
        <f>IF(SUM(HI14,HN14)&gt;0,SUM(HI14,HN14),"")</f>
        <v/>
      </c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79" t="str">
        <f>IF(SUM(HQ14,HU14)&gt;0,SUM(HQ14,HU14),"")</f>
        <v/>
      </c>
      <c r="IK14" s="79" t="str">
        <f>IF(SUM(HP14:HQ14,HS14:HU14,HW14)-HR14-HV14&gt;0,SUM(HP14:HQ14,HS14:HU14,HW14)-HR14-HV14,"")</f>
        <v/>
      </c>
      <c r="IL14" s="79" t="str">
        <f>IF(SUM(HX14:HY14,IA14)-HZ14&gt;0,SUM(HX14:HY14,IA14)-HZ14,"")</f>
        <v/>
      </c>
      <c r="IM14" s="79" t="str">
        <f>IF(SUM(HQ14,HU14,HY14)&gt;0,SUM(HQ14,HU14,HY14),"")</f>
        <v/>
      </c>
      <c r="IN14" s="79" t="str">
        <f>IF(SUM(IK14,IL14)&gt;0,SUM(IK14,IL14),"")</f>
        <v/>
      </c>
      <c r="IO14" s="79" t="str">
        <f>IF(SUM(IC14,IG14)&gt;0,SUM(IC14,IG14),"")</f>
        <v/>
      </c>
      <c r="IP14" s="79" t="str">
        <f>IF(SUM(IB14:IC14,IE14:IG14,II14)-SUM(ID14,IH14)&gt;0,SUM(IB14:IC14,IE14:IG14,II14)-SUM(ID14,IH14),"")</f>
        <v/>
      </c>
      <c r="IQ14" s="79" t="str">
        <f>IF(SUM(IK14,IP14)&gt;0,SUM(IK14,IP14),"")</f>
        <v/>
      </c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0" t="str">
        <f>IF(SUM(IS14,IW14)&gt;0,SUM(IS14,IW14),"")</f>
        <v/>
      </c>
      <c r="JM14" s="20" t="str">
        <f>IF(SUM(IR14:IS14,IU14:IW14,IY14)-IT14-IX14&gt;0,SUM(IR14:IS14,IU14:IW14,IY14)-IT14-IX14,"")</f>
        <v/>
      </c>
      <c r="JN14" s="20" t="str">
        <f>IF(SUM(IZ14:JA14,JC14)-JB14&gt;0,SUM(IZ14:JA14,JC14)-JB14,"")</f>
        <v/>
      </c>
      <c r="JO14" s="20" t="str">
        <f>IF(SUM(IS14,IW14,JA14)&gt;0,SUM(IS14,IW14,JA14),"")</f>
        <v/>
      </c>
      <c r="JP14" s="20" t="str">
        <f>IF(SUM(JM14,JN14)&gt;0,SUM(JM14,JN14),"")</f>
        <v/>
      </c>
      <c r="JQ14" s="20" t="str">
        <f>IF(SUM(JE14,JI14)&gt;0,SUM(JE14,JI14),"")</f>
        <v/>
      </c>
      <c r="JR14" s="20" t="str">
        <f>IF(SUM(JD14:JE14,JG14:JI14,JK14)-SUM(JF14,JJ14)&gt;0,SUM(JD14:JE14,JG14:JI14,JK14)-SUM(JF14,JJ14),"")</f>
        <v/>
      </c>
      <c r="JS14" s="20" t="str">
        <f>IF(SUM(JM14,JR14)&gt;0,SUM(JM14,JR14),"")</f>
        <v/>
      </c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79" t="str">
        <f>IF(SUM(JU14,JY14)&gt;0,SUM(JU14,JY14),"")</f>
        <v/>
      </c>
      <c r="KO14" s="79" t="str">
        <f>IF(SUM(JT14:JU14,JW14:JY14,KA14)-JV14-JZ14&gt;0,SUM(JT14:JU14,JW14:JY14,KA14)-JV14-JZ14,"")</f>
        <v/>
      </c>
      <c r="KP14" s="79" t="str">
        <f>IF(SUM(KB14:KC14,KE14)-KD14&gt;0,SUM(KB14:KC14,KE14)-KD14,"")</f>
        <v/>
      </c>
      <c r="KQ14" s="79" t="str">
        <f>IF(SUM(JU14,JY14,KC14)&gt;0,SUM(JU14,JY14,KC14),"")</f>
        <v/>
      </c>
      <c r="KR14" s="79" t="str">
        <f>IF(SUM(KO14,KP14)&gt;0,SUM(KO14,KP14),"")</f>
        <v/>
      </c>
      <c r="KS14" s="79" t="str">
        <f>IF(SUM(KG14,KK14)&gt;0,SUM(KG14,KK14),"")</f>
        <v/>
      </c>
      <c r="KT14" s="79" t="str">
        <f>IF(SUM(KF14:KG14,KI14:KK14,KM14)-SUM(KH14,KL14)&gt;0,SUM(KF14:KG14,KI14:KK14,KM14)-SUM(KH14,KL14),"")</f>
        <v/>
      </c>
      <c r="KU14" s="79" t="str">
        <f>IF(SUM(KO14,KT14)&gt;0,SUM(KO14,KT14),"")</f>
        <v/>
      </c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0" t="str">
        <f>IF(SUM(KW14,LA14)&gt;0,SUM(KW14,LA14),"")</f>
        <v/>
      </c>
      <c r="LQ14" s="20" t="str">
        <f>IF(SUM(KV14:KW14,KY14:LA14,LC14)-KX14-LB14&gt;0,SUM(KV14:KW14,KY14:LA14,LC14)-KX14-LB14,"")</f>
        <v/>
      </c>
      <c r="LR14" s="20" t="str">
        <f>IF(SUM(LD14:LE14,LG14)-LF14&gt;0,SUM(LD14:LE14,LG14)-LF14,"")</f>
        <v/>
      </c>
      <c r="LS14" s="20" t="str">
        <f>IF(SUM(KW14,LA14,LE14)&gt;0,SUM(KW14,LA14,LE14),"")</f>
        <v/>
      </c>
      <c r="LT14" s="20" t="str">
        <f>IF(SUM(LQ14,LR14)&gt;0,SUM(LQ14,LR14),"")</f>
        <v/>
      </c>
      <c r="LU14" s="20" t="str">
        <f>IF(SUM(LI14,LM14)&gt;0,SUM(LI14,LM14),"")</f>
        <v/>
      </c>
      <c r="LV14" s="20" t="str">
        <f>IF(SUM(LH14:LI14,LK14:LM14,LO14)-SUM(LJ14,LN14)&gt;0,SUM(LH14:LI14,LK14:LM14,LO14)-SUM(LJ14,LN14),"")</f>
        <v/>
      </c>
      <c r="LW14" s="20" t="str">
        <f>IF(SUM(LQ14,LV14)&gt;0,SUM(LQ14,LV14),"")</f>
        <v/>
      </c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79" t="str">
        <f>IF(SUM(LY14,MC14)&gt;0,SUM(LY14,MC14),"")</f>
        <v/>
      </c>
      <c r="MS14" s="79" t="str">
        <f>IF(SUM(LX14:LY14,MA14:MC14,ME14)-LZ14-MD14&gt;0,SUM(LX14:LY14,MA14:MC14,ME14)-LZ14-MD14,"")</f>
        <v/>
      </c>
      <c r="MT14" s="79" t="str">
        <f>IF(SUM(MF14:MG14,MI14)-MH14&gt;0,SUM(MF14:MG14,MI14)-MH14,"")</f>
        <v/>
      </c>
      <c r="MU14" s="79" t="str">
        <f>IF(SUM(LY14,MC14,MG14)&gt;0,SUM(LY14,MC14,MG14),"")</f>
        <v/>
      </c>
      <c r="MV14" s="79" t="str">
        <f>IF(SUM(MS14,MT14)&gt;0,SUM(MS14,MT14),"")</f>
        <v/>
      </c>
      <c r="MW14" s="79" t="str">
        <f>IF(SUM(MK14,MO14)&gt;0,SUM(MK14,MO14),"")</f>
        <v/>
      </c>
      <c r="MX14" s="79" t="str">
        <f>IF(SUM(MJ14:MK14,MM14:MO14,MQ14)-SUM(ML14,MP14)&gt;0,SUM(MJ14:MK14,MM14:MO14,MQ14)-SUM(ML14,MP14),"")</f>
        <v/>
      </c>
      <c r="MY14" s="79" t="str">
        <f>IF(SUM(MS14,MX14)&gt;0,SUM(MS14,MX14),"")</f>
        <v/>
      </c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0" t="str">
        <f>IF(SUM(NA14,NE14)&gt;0,SUM(NA14,NE14),"")</f>
        <v/>
      </c>
      <c r="NU14" s="20" t="str">
        <f>IF(SUM(MZ14:NA14,NC14:NE14,NG14)-NB14-NF14&gt;0,SUM(MZ14:NA14,NC14:NE14,NG14)-NB14-NF14,"")</f>
        <v/>
      </c>
      <c r="NV14" s="20" t="str">
        <f>IF(SUM(NH14:NI14,NK14)-NJ14&gt;0,SUM(NH14:NI14,NK14)-NJ14,"")</f>
        <v/>
      </c>
      <c r="NW14" s="20" t="str">
        <f>IF(SUM(NA14,NE14,NI14)&gt;0,SUM(NA14,NE14,NI14),"")</f>
        <v/>
      </c>
      <c r="NX14" s="20" t="str">
        <f>IF(SUM(NU14,NV14)&gt;0,SUM(NU14,NV14),"")</f>
        <v/>
      </c>
      <c r="NY14" s="20" t="str">
        <f>IF(SUM(NM14,NQ14)&gt;0,SUM(NM14,NQ14),"")</f>
        <v/>
      </c>
      <c r="NZ14" s="20" t="str">
        <f>IF(SUM(NL14:NM14,NO14:NQ14,NS14)-SUM(NN14,NR14)&gt;0,SUM(NL14:NM14,NO14:NQ14,NS14)-SUM(NN14,NR14),"")</f>
        <v/>
      </c>
      <c r="OA14" s="20" t="str">
        <f>IF(SUM(NU14,NZ14)&gt;0,SUM(NU14,NZ14),"")</f>
        <v/>
      </c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79" t="str">
        <f>IF(SUM(OC14,OG14)&gt;0,SUM(OC14,OG14),"")</f>
        <v/>
      </c>
      <c r="OW14" s="79" t="str">
        <f>IF(SUM(OB14:OC14,OE14:OG14,OI14)-OD14-OH14&gt;0,SUM(OB14:OC14,OE14:OG14,OI14)-OD14-OH14,"")</f>
        <v/>
      </c>
      <c r="OX14" s="79" t="str">
        <f>IF(SUM(OJ14:OK14,OM14)-OL14&gt;0,SUM(OJ14:OK14,OM14)-OL14,"")</f>
        <v/>
      </c>
      <c r="OY14" s="79" t="str">
        <f>IF(SUM(OC14,OG14,OK14)&gt;0,SUM(OC14,OG14,OK14),"")</f>
        <v/>
      </c>
      <c r="OZ14" s="79" t="str">
        <f>IF(SUM(OW14,OX14)&gt;0,SUM(OW14,OX14),"")</f>
        <v/>
      </c>
      <c r="PA14" s="79" t="str">
        <f>IF(SUM(OO14,OS14)&gt;0,SUM(OO14,OS14),"")</f>
        <v/>
      </c>
      <c r="PB14" s="79" t="str">
        <f>IF(SUM(ON14:OO14,OQ14:OS14,OU14)-SUM(OP14,OT14)&gt;0,SUM(ON14:OO14,OQ14:OS14,OU14)-SUM(OP14,OT14),"")</f>
        <v/>
      </c>
      <c r="PC14" s="79" t="str">
        <f>IF(SUM(OW14,PB14)&gt;0,SUM(OW14,PB14),"")</f>
        <v/>
      </c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0" t="str">
        <f>IF(SUM(PE14,PI14)&gt;0,SUM(PE14,PI14),"")</f>
        <v/>
      </c>
      <c r="PY14" s="20" t="str">
        <f>IF(SUM(PD14:PE14,PG14:PI14,PK14)-PF14-PJ14&gt;0,SUM(PD14:PE14,PG14:PI14,PK14)-PF14-PJ14,"")</f>
        <v/>
      </c>
      <c r="PZ14" s="20" t="str">
        <f>IF(SUM(PL14:PM14,PO14)-PN14&gt;0,SUM(PL14:PM14,PO14)-PN14,"")</f>
        <v/>
      </c>
      <c r="QA14" s="20" t="str">
        <f>IF(SUM(PE14,PI14,PM14)&gt;0,SUM(PE14,PI14,PM14),"")</f>
        <v/>
      </c>
      <c r="QB14" s="20" t="str">
        <f>IF(SUM(PY14,PZ14)&gt;0,SUM(PY14,PZ14),"")</f>
        <v/>
      </c>
      <c r="QC14" s="20" t="str">
        <f>IF(SUM(PQ14,PU14)&gt;0,SUM(PQ14,PU14),"")</f>
        <v/>
      </c>
      <c r="QD14" s="20" t="str">
        <f>IF(SUM(PP14:PQ14,PS14:PU14,PW14)-SUM(PR14,PV14)&gt;0,SUM(PP14:PQ14,PS14:PU14,PW14)-SUM(PR14,PV14),"")</f>
        <v/>
      </c>
      <c r="QE14" s="20" t="str">
        <f>IF(SUM(PY14,QD14)&gt;0,SUM(PY14,QD14),"")</f>
        <v/>
      </c>
      <c r="QF14" s="38">
        <f>IF($CV14="P",CB14,(CB14+AY14)/2)</f>
        <v>9.5</v>
      </c>
      <c r="QG14" s="38">
        <f>IF($CV14="P",CC14,(CC14+AZ14)/2)</f>
        <v>3.0000499999999999</v>
      </c>
      <c r="QH14" s="38">
        <f>IF($CV14="P",CD14,(CD14+BA14)/2)</f>
        <v>0</v>
      </c>
      <c r="QI14" s="38">
        <f>IF($CV14="P",CE14,(CE14+BB14)/2)</f>
        <v>0</v>
      </c>
      <c r="QJ14" s="38">
        <f>IF($CV14="P",CF14,(CF14+BC14)/2)</f>
        <v>9.6999999999999993</v>
      </c>
      <c r="QK14" s="38">
        <f>IF($CV14="P",CG14,(CG14+BD14)/2)</f>
        <v>2.8</v>
      </c>
      <c r="QL14" s="38">
        <f>IF($CV14="P",CH14,(CH14+BE14)/2)</f>
        <v>0</v>
      </c>
      <c r="QM14" s="38">
        <f>IF($CV14="P",CI14,(CI14+BF14)/2)</f>
        <v>0</v>
      </c>
      <c r="QN14" s="38">
        <f>IF($CV14="P",CJ14,(CJ14+BG14)/2)</f>
        <v>9.6</v>
      </c>
      <c r="QO14" s="38">
        <f>IF($CV14="P",CK14,(CK14+BH14)/2)</f>
        <v>2.5499999999999998</v>
      </c>
      <c r="QP14" s="38">
        <f>IF($CV14="P",CL14,(CL14+BI14)/2)</f>
        <v>0</v>
      </c>
      <c r="QQ14" s="38">
        <f>IF($CV14="P",CM14,(CM14+BJ14)/2)</f>
        <v>0</v>
      </c>
      <c r="QR14" s="38">
        <f>IF($CV14="P",CN14,(CN14+BK14)/2)</f>
        <v>9.5</v>
      </c>
      <c r="QS14" s="38">
        <f>IF($CV14="P",CO14,(CO14+BL14)/2)</f>
        <v>3</v>
      </c>
      <c r="QT14" s="38">
        <f>IF($CV14="P",CP14,(CP14+BM14)/2)</f>
        <v>0.1</v>
      </c>
      <c r="QU14" s="38">
        <f>IF($CV14="P",CQ14,(CQ14+BN14)/2)</f>
        <v>0</v>
      </c>
      <c r="QV14" s="38">
        <f>IF($CV14="P",CR14,(CR14+BO14)/2)</f>
        <v>9.65</v>
      </c>
      <c r="QW14" s="38">
        <f>IF($CV14="P",CS14,(CS14+BP14)/2)</f>
        <v>2.8</v>
      </c>
      <c r="QX14" s="38">
        <f>IF($CV14="P",CT14,(CT14+BQ14)/2)</f>
        <v>0.3</v>
      </c>
      <c r="QY14" s="38">
        <f>IF($CV14="P",CU14,(CU14+BR14)/2)</f>
        <v>0</v>
      </c>
      <c r="QZ14" s="45" t="s">
        <v>46</v>
      </c>
      <c r="RA14" s="79">
        <f>IF(SUM(QG14,QK14)&gt;0,SUM(QG14,QK14),"")</f>
        <v>5.8000499999999997</v>
      </c>
      <c r="RB14" s="79">
        <f>IF(SUM(QF14:QG14,QI14:QK14,QM14)-QH14-QL14&gt;0,SUM(QF14:QG14,QI14:QK14,QM14)-QH14-QL14,"")</f>
        <v>25.000049999999998</v>
      </c>
      <c r="RC14" s="79">
        <f>IF(SUM(QN14:QO14,QQ14)-QP14&gt;0,SUM(QN14:QO14,QQ14)-QP14,"")</f>
        <v>12.149999999999999</v>
      </c>
      <c r="RD14" s="79">
        <f>IF(SUM(QG14,QK14,QO14)&gt;0,SUM(QG14,QK14,QO14),"")</f>
        <v>8.3500499999999995</v>
      </c>
      <c r="RE14" s="79">
        <f>IF(SUM(RB14,RC14)&gt;0,SUM(RB14,RC14),"")</f>
        <v>37.150049999999993</v>
      </c>
      <c r="RF14" s="79">
        <f>IF(SUM(QS14,QW14)&gt;0,SUM(QS14,QW14),"")</f>
        <v>5.8</v>
      </c>
      <c r="RG14" s="79">
        <f>IF(SUM(QR14:QS14,QU14:QW14,QY14)-SUM(QT14,QX14)&gt;0,SUM(QR14:QS14,QU14:QW14,QY14)-SUM(QT14,QX14),"")</f>
        <v>24.55</v>
      </c>
      <c r="RH14" s="79">
        <f>IF(SUM(RB14,RG14)&gt;0,SUM(RB14,RG14),"")</f>
        <v>49.550049999999999</v>
      </c>
    </row>
    <row r="15" spans="1:476" x14ac:dyDescent="0.2">
      <c r="A15" s="5">
        <f>IF(AND(F15="P",G15="P"),SUMPRODUCT((F$4:F$27="P")*(G$4:G$27="P")*(E$4:E$27&gt;E15))+1,IF(G15="P",SUMPRODUCT((F$4:F$27="")*(G$4:G$27="P")*(E$4:E$27&gt;E15))+1+SUMPRODUCT((F$4:F$27="P")*(G$4:G$27="P")),""))</f>
        <v>12</v>
      </c>
      <c r="B15" s="78" t="s">
        <v>144</v>
      </c>
      <c r="C15" s="5" t="s">
        <v>145</v>
      </c>
      <c r="D15" s="5">
        <v>2002</v>
      </c>
      <c r="E15" s="15">
        <f>SUM(I15:S15)+SUM(I15:O15)*0.0000001+SUM(I15)*0.0000000000001</f>
        <v>122.10000718000494</v>
      </c>
      <c r="F15" s="3" t="str">
        <f>IF(OR(AND(AQ15&gt;=AX$29,AR15&gt;=AX$33,AQ15&lt;&gt;"",AP15=""),AND(AV15&gt;=AX$29,AW15&gt;=AX$33,AV15&lt;&gt;"",AP15=""),AND(BT15&gt;=CA$29,BU15&gt;=CA$33,BT15&lt;&gt;"",BS15=""),AND(BY15&gt;=CA$29,BZ15&gt;=CA$33,BY15&lt;&gt;"",BS15=""),AND(CW15&gt;=DD$29,CX15&gt;=DD$33,CW15&lt;&gt;"",CV15=""),AND(DB15&gt;=DD$29,DC15&gt;=DD$33,DB15&lt;&gt;""),AND(EB15&gt;=EI$29,EC15&gt;=EI$33,EB15&lt;&gt;""),AND(EG15&gt;=EI$29,EH15&gt;=EI$33,EG15&lt;&gt;""),AND(FD15&gt;=FK$29,FE15&gt;=FK$33,FD15&lt;&gt;""),AND(FI15&gt;=FK$29,FJ15&gt;=FK$33,FI15&lt;&gt;""),AND(GF15&gt;=GM$29,GG15&gt;=GM$33,GF15&lt;&gt;""),AND(GK15&gt;=GM$29,GL15&gt;=GM$33,GK15&lt;&gt;""),AND(HH15&gt;=HO$29,HI15&gt;=HO$33,HH15&lt;&gt;""),AND(HM15&gt;=HO$29,HN15&gt;=HO$33,HM15&lt;&gt;""),AND(IJ15&gt;=IQ$29,IK15&gt;=IQ$33,IJ15&lt;&gt;""),AND(IO15&gt;=IQ$29,IP15&gt;=IQ$33,IO15&lt;&gt;""),AND(JL15&gt;=JS$29,JM15&gt;=JS$33,JL15&lt;&gt;""),AND(JQ15&gt;=JS$29,JR15&gt;=JS$33,JQ15&lt;&gt;""),AND(KN15&gt;=KU$29,KO15&gt;=KU$33,KN15&lt;&gt;""),AND(KS15&gt;=KU$29,KT15&gt;=KU$33,KS15&lt;&gt;""),AND(LP15&gt;=LW$29,LQ15&gt;=LW$33,LP15&lt;&gt;""),AND(LU15&gt;=LW$29,LV15&gt;=LW$33,LU15&lt;&gt;""),AND(MR15&gt;=MY$29,MS15&gt;=MY$33,MR15&lt;&gt;""),AND(MW15&gt;=MY$29,MX15&gt;=MY$33,MW15&lt;&gt;""),AND(NT15&gt;=OA$29,NU15&gt;=OA$33,NT15&lt;&gt;""),AND(NY15&gt;=OA$29,NZ15&gt;=OA$33,NY15&lt;&gt;""),AND(OV15&gt;=PC$29,OW15&gt;=PC$33,OV15&lt;&gt;""),AND(PA15&gt;=PC$29,PB15&gt;=PC$33,PA15&lt;&gt;""),AND(PX15&gt;=QE$29,PY15&gt;=QE$33,PX15&lt;&gt;""),AND(QC15&gt;=QE$29,QD15&gt;=QE$33,QC15&lt;&gt;"")),"P","")</f>
        <v/>
      </c>
      <c r="G15" s="3" t="str">
        <f>IF(OR(AND(AR15&gt;=AX$33,AR15&lt;&gt;"",AP15=""),AND(AW15&gt;=AX$33,AW15&lt;&gt;"",AP15=""),AND(BU15&gt;=CA$33,BU15&lt;&gt;"",BS15=""),AND(BZ15&gt;=CA$33,BZ15&lt;&gt;"",BS15=""),AND(CX15&gt;=DD$33,CX15&lt;&gt;"",CV15=""),AND(DC15&gt;=DD$33,DC15&lt;&gt;"",CV15=""),AND(EC15&gt;=EI$33,EC15&lt;&gt;""),AND(EH15&gt;=EI$33,EH15&lt;&gt;""),AND(FE15&gt;=FK$33,FE15&lt;&gt;""),AND(FJ15&gt;=FK$33,FJ15&lt;&gt;""),AND(GG15&gt;=GM$33,GG15&lt;&gt;""),AND(GL15&gt;=GM$33,GL15&lt;&gt;""),AND(HI15&gt;=HO$33,HI15&lt;&gt;""),AND(HN15&gt;=HO$33,HN15&lt;&gt;""),AND(IK15&gt;=IQ$33,IK15&lt;&gt;""),AND(IP15&gt;=IQ$33,IP15&lt;&gt;""),AND(JM15&gt;=JS$33,JM15&lt;&gt;""),AND(JR15&gt;=JS$33,JR15&lt;&gt;""),AND(KO15&gt;=KU$33,KO15&lt;&gt;""),AND(KT15&gt;=KU$33,KT15&lt;&gt;""),AND(LQ15&gt;=LW$33,LQ15&lt;&gt;""),AND(LV15&gt;=LW$33,LV15&lt;&gt;""),AND(MS15&gt;=MY$33,MS15&lt;&gt;""),AND(MX15&gt;=MY$33,MX15&lt;&gt;""),AND(NU15&gt;=OA$33,NU15&lt;&gt;""),AND(NZ15&gt;=OA$33,NZ15&lt;&gt;""),AND(OW15&gt;=PC$33,OW15&lt;&gt;""),AND(PB15&gt;=PC$33,PB15&lt;&gt;""),AND(PY15&gt;=QE$33,PY15&lt;&gt;""),AND(QD15&gt;=QE$33,QD15&lt;&gt;"")),"P","")</f>
        <v>P</v>
      </c>
      <c r="H15" s="67" t="str">
        <f>IF(AND(G15="P",F15=""),"No DD",IF(OR(AND(AT15&gt;=AX$32,AU15&gt;=AX$36,AT15&lt;&gt;"",AP15=""),AND(BW15&gt;=CA$32,BX15&gt;=CA$36,BW15&lt;&gt;"",BS15=""),AND(CZ15&gt;=DD$32,DA15&gt;=DD$36,CZ15&lt;&gt;"",CV15=""),AND(EE15&gt;=EI$32,EF15&gt;=EI$36,EE15&lt;&gt;""),AND(FG15&gt;=FK$32,FH15&gt;=FK$36,FG15&lt;&gt;""),AND(GI15&gt;=GM$32,GJ15&gt;=GM$36,GI15&lt;&gt;""),AND(HK15&gt;=HO$32,HL15&gt;=HO$36,HK15&lt;&gt;""),AND(IM15&gt;=IQ$32,IN15&gt;=IQ$36,IM15&lt;&gt;""),AND(JO15&gt;=JS$32,JP15&gt;=JS$36,JO15&lt;&gt;""),AND(KQ15&gt;=KU$32,KR15&gt;=KU$36,KQ15&lt;&gt;""),AND(LS15&gt;=LW$32,LT15&gt;=LW$36,LS15&lt;&gt;""),AND(MU15&gt;=MY$32,MV15&gt;=MY$36,MU15&lt;&gt;""),AND(NW15&gt;=OA$32,NX15&gt;=OA$36,NW15&lt;&gt;""),AND(OY15&gt;=PC$32,OZ15&gt;=PC$36,OY15&lt;&gt;""),AND(QA15&gt;=QE$32,QB15&gt;=QE$36,QA15&lt;&gt;"")),"Merit",IF(OR(AND(AT15&gt;=AX$31,AU15&gt;=AX$35,AT15&lt;&gt;"",AP15=""),AND(BW15&gt;=CA$31,BX15&gt;=CA$35,BW15&lt;&gt;"",BS15=""),AND(CZ15&gt;=DD$31,DA15&gt;=DD$35,CZ15&lt;&gt;"",CV15=""),AND(EE15&gt;=EI$31,EF15&gt;=EI$35,EE15&lt;&gt;""),AND(FG15&gt;=FK$31,FH15&gt;=FK$35,FG15&lt;&gt;""),AND(GI15&gt;=GM$31,GJ15&gt;=GM$35,GI15&lt;&gt;""),AND(HK15&gt;=HO$31,HL15&gt;=HO$35,HK15&lt;&gt;""),AND(IM15&gt;=IQ$31,IN15&gt;=IQ$35,IM15&lt;&gt;""),AND(JO15&gt;=JS$31,JP15&gt;=JS$35,JO15&lt;&gt;""),AND(KQ15&gt;=KU$31,KR15&gt;=KU$35,KQ15&lt;&gt;""),AND(LS15&gt;=LW$31,LT15&gt;=LW$35,LS15&lt;&gt;""),AND(MU15&gt;=MY$31,MV15&gt;=MY$35,MU15&lt;&gt;""),AND(NW15&gt;=OA$31,NX15&gt;=OA$35,NW15&lt;&gt;""),AND(OY15&gt;=PC$31,OZ15&gt;=PC$35,OY15&lt;&gt;""),AND(QA15&gt;=QE$31,QB15&gt;=QE$35,QA15&lt;&gt;"")),"Excellence",IF(F15="P","National Team",""))))</f>
        <v>No DD</v>
      </c>
      <c r="I15" s="14">
        <f>IF(COUNT(AR15,BU15,CX15)&gt;0,LARGE((AR15,BU15,CX15),1),0)</f>
        <v>49.4</v>
      </c>
      <c r="J15" s="14" t="str">
        <f>IF(I15=0,"",IF(I15=CX15,$CB$1,IF(I15=BU15,$AY$1,IF(I15=AR15,$V$1,""))))</f>
        <v>2022 Elite Canada</v>
      </c>
      <c r="K15" s="14">
        <f>IF(COUNT(AR15,BU15,CX15)&gt;1,LARGE((AR15,BU15,CX15),2),0)</f>
        <v>0</v>
      </c>
      <c r="L15" s="14" t="str">
        <f>IF(K15=0,"",IF(K15=CX15,$CB$1,IF(K15=BU15,$AY$1,IF(K15=AR15,$V$1,""))))</f>
        <v/>
      </c>
      <c r="M15" s="14">
        <f>IF(COUNT(AS15,BV15,CY15)&gt;0,LARGE((AS15,BV15,CY15),1),0)</f>
        <v>22.4</v>
      </c>
      <c r="N15" s="14" t="str">
        <f>IF(M15=0,"",IF(M15=CY15,$CB$1,IF(M15=BV15,$AY$1,IF(M15=AS15,$V$1,""))))</f>
        <v>2022 Elite Canada</v>
      </c>
      <c r="O15" s="14">
        <f>IF(COUNT(AS15,BV15,CY15)&gt;1,LARGE((AS15,BV15,CY15),2),0)</f>
        <v>0</v>
      </c>
      <c r="P15" s="14" t="str">
        <f>IF(O15=0,"",IF(O15=CY15,$CB$1,IF(O15=BV15,$AY$1,IF(O15=AS15,$V$1,""))))</f>
        <v/>
      </c>
      <c r="Q15" s="14">
        <f>IF(MAX(AW15,BZ15,DC15)&gt;0,MAX(AW15,BZ15,DC15),0)</f>
        <v>50.3</v>
      </c>
      <c r="R15" s="14" t="str">
        <f>IF(Q15=0,"",IF(Q15=DC15,$CB$1,IF(Q15=BZ15,$AY$1,IF(Q15=AW15,$V$1,""))))</f>
        <v>2022 Elite Canada</v>
      </c>
      <c r="S15" s="14" t="str">
        <f>IF(MAX(DE15:DG15)&gt;0,MAX(DE15:DG15),"")</f>
        <v/>
      </c>
      <c r="T15" s="20" t="str">
        <f>IF(S15="","",IF(S15=DE15,"("&amp;DE$2&amp;")",IF(S15=DG15,"("&amp;DG$2&amp;")")))</f>
        <v/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/>
      </c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45"/>
      <c r="AQ15" s="79" t="str">
        <f>IF(SUM(W15,AA15)&gt;0,SUM(W15,AA15),"")</f>
        <v/>
      </c>
      <c r="AR15" s="79" t="str">
        <f>IF(SUM(V15:W15,Y15:AA15,AC15)-X15-AB15&gt;0,SUM(V15:W15,Y15:AA15,AC15)-X15-AB15,"")</f>
        <v/>
      </c>
      <c r="AS15" s="79" t="str">
        <f>IF(SUM(AD15:AE15,AG15)-AF15&gt;0,SUM(AD15:AE15,AG15)-AF15,"")</f>
        <v/>
      </c>
      <c r="AT15" s="79" t="str">
        <f>IF(SUM(W15,AA15,AE15)&gt;0,SUM(W15,AA15,AE15),"")</f>
        <v/>
      </c>
      <c r="AU15" s="79" t="str">
        <f>IF(SUM(AR15,AS15)&gt;0,SUM(AR15,AS15),"")</f>
        <v/>
      </c>
      <c r="AV15" s="79" t="str">
        <f>IF(SUM(AI15,AM15)&gt;0,SUM(AI15,AM15),"")</f>
        <v/>
      </c>
      <c r="AW15" s="79" t="str">
        <f>IF(SUM(AH15:AI15,AK15:AM15,AO15)-SUM(AJ15,AN15)&gt;0,SUM(AH15:AI15,AK15:AM15,AO15)-SUM(AJ15,AN15),"")</f>
        <v/>
      </c>
      <c r="AX15" s="79" t="str">
        <f>IF(SUM(AR15,AW15)&gt;0,SUM(AR15,AW15),"")</f>
        <v/>
      </c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46"/>
      <c r="BT15" s="20" t="str">
        <f>IF(SUM(AZ15,BD15)&gt;0,SUM(AZ15,BD15),"")</f>
        <v/>
      </c>
      <c r="BU15" s="20" t="str">
        <f>IF(SUM(AY15:AZ15,BB15:BD15,BF15)-BA15-BE15&gt;0,SUM(AY15:AZ15,BB15:BD15,BF15)-BA15-BE15,"")</f>
        <v/>
      </c>
      <c r="BV15" s="20" t="str">
        <f>IF(SUM(BG15:BH15,BJ15)-BI15&gt;0,SUM(BG15:BH15,BJ15)-BI15,"")</f>
        <v/>
      </c>
      <c r="BW15" s="20" t="str">
        <f>IF(SUM(AZ15,BD15,BH15)&gt;0,SUM(AZ15,BD15,BH15),"")</f>
        <v/>
      </c>
      <c r="BX15" s="20" t="str">
        <f>IF(SUM(BU15,BV15)&gt;0,SUM(BU15,BV15),"")</f>
        <v/>
      </c>
      <c r="BY15" s="20" t="str">
        <f>IF(SUM(BL15,BP15)&gt;0,SUM(BL15,BP15),"")</f>
        <v/>
      </c>
      <c r="BZ15" s="20" t="str">
        <f>IF(SUM(BK15:BL15,BN15:BP15,BR15)-SUM(BM15,BQ15)&gt;0,SUM(BK15:BL15,BN15:BP15,BR15)-SUM(BM15,BQ15),"")</f>
        <v/>
      </c>
      <c r="CA15" s="20" t="str">
        <f>IF(SUM(BU15,BZ15)&gt;0,SUM(BU15,BZ15),"")</f>
        <v/>
      </c>
      <c r="CB15" s="27">
        <v>19.2</v>
      </c>
      <c r="CC15" s="27">
        <v>6</v>
      </c>
      <c r="CD15" s="27">
        <v>0.6</v>
      </c>
      <c r="CE15" s="27">
        <v>0</v>
      </c>
      <c r="CF15" s="27">
        <v>19</v>
      </c>
      <c r="CG15" s="27">
        <v>6.4</v>
      </c>
      <c r="CH15" s="27">
        <v>0.6</v>
      </c>
      <c r="CI15" s="27">
        <v>0</v>
      </c>
      <c r="CJ15" s="27">
        <v>18.2</v>
      </c>
      <c r="CK15" s="27">
        <v>5.2</v>
      </c>
      <c r="CL15" s="27">
        <v>1</v>
      </c>
      <c r="CM15" s="27">
        <v>0</v>
      </c>
      <c r="CN15" s="27">
        <v>19.2</v>
      </c>
      <c r="CO15" s="27">
        <v>6</v>
      </c>
      <c r="CP15" s="27">
        <v>0</v>
      </c>
      <c r="CQ15" s="27">
        <v>0</v>
      </c>
      <c r="CR15" s="27">
        <v>18.7</v>
      </c>
      <c r="CS15" s="27">
        <v>6.4</v>
      </c>
      <c r="CT15" s="27">
        <v>0</v>
      </c>
      <c r="CU15" s="27">
        <v>0</v>
      </c>
      <c r="CV15" s="45"/>
      <c r="CW15" s="79">
        <f>IF(SUM(CC15,CG15)&gt;0,SUM(CC15,CG15),"")</f>
        <v>12.4</v>
      </c>
      <c r="CX15" s="79">
        <f>IF(SUM(CB15:CC15,CE15:CG15,CI15)-CD15-CH15&gt;0,SUM(CB15:CC15,CE15:CG15,CI15)-CD15-CH15,"")</f>
        <v>49.4</v>
      </c>
      <c r="CY15" s="79">
        <f>IF(SUM(CJ15:CK15,CM15)-CL15&gt;0,SUM(CJ15:CK15,CM15)-CL15,"")</f>
        <v>22.4</v>
      </c>
      <c r="CZ15" s="79">
        <f>IF(SUM(CC15,CG15,CK15)&gt;0,SUM(CC15,CG15,CK15),"")</f>
        <v>17.600000000000001</v>
      </c>
      <c r="DA15" s="79">
        <f>IF(SUM(CX15,CY15)&gt;0,SUM(CX15,CY15),"")</f>
        <v>71.8</v>
      </c>
      <c r="DB15" s="79">
        <f>IF(SUM(CO15,CS15)&gt;0,SUM(CO15,CS15),"")</f>
        <v>12.4</v>
      </c>
      <c r="DC15" s="79">
        <f>IF(SUM(CN15:CO15,CQ15:CS15,CU15)-SUM(CP15,CT15)&gt;0,SUM(CN15:CO15,CQ15:CS15,CU15)-SUM(CP15,CT15),"")</f>
        <v>50.3</v>
      </c>
      <c r="DD15" s="79">
        <f>IF(SUM(CX15,DC15)&gt;0,SUM(CX15,DC15),"")</f>
        <v>99.699999999999989</v>
      </c>
      <c r="DE15" s="80" t="str">
        <f>IF(K15&gt;=0.001,IF(MAX(EC15,FE15,GG15,HI15,IK15,JM15,KO15,LQ15,MS15,NU15,OW15,PY15)-IF(K15="",0,K15)&gt;0.001,MAX(EC15,FE15,GG15,HI15,IK15,JM15,KO15,LQ15,MS15,NU15,OW15,PY15)-IF(K15="",0,K15),""),"")</f>
        <v/>
      </c>
      <c r="DF15" s="80" t="str">
        <f>IF(O15&gt;=0.001,IF(MAX(ED15,FF15,GH15,HJ15,IL15,JN15,KP15,LR15,MT15,NV15,OX15,PZ15)-IF(O15="",0,O15)&gt;0.001,MAX(ED15,FF15,GH15,HJ15,IL15,JN15,KP15,LR15,MT15,NV15,OX15,PZ15)-IF(O15="",0,O15),""),"")</f>
        <v/>
      </c>
      <c r="DG15" s="80" t="str">
        <f>IF(Q15&gt;=0.001,IF(MAX(EH15,FJ15,GL15,HN15,IP15,JR15,KT15,LV15,MX15,NZ15,PB15,QD15)-IF(Q15="",0,Q15)&gt;0.001,MAX(EH15,FJ15,GL15,HN15,IP15,JR15,KT15,LV15,MX15,NZ15,PB15,QD15)-IF(Q15="",0,Q15),""),"")</f>
        <v/>
      </c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79" t="str">
        <f>IF(SUM(DI15,DM15)&gt;0,SUM(DI15,DM15),"")</f>
        <v/>
      </c>
      <c r="EC15" s="79" t="str">
        <f>IF(SUM(DH15:DI15,DK15:DM15,DO15)-DJ15-DN15&gt;0,SUM(DH15:DI15,DK15:DM15,DO15)-DJ15-DN15,"")</f>
        <v/>
      </c>
      <c r="ED15" s="79" t="str">
        <f>IF(SUM(DP15:DQ15,DS15)-DR15&gt;0,SUM(DP15:DQ15,DS15)-DR15,"")</f>
        <v/>
      </c>
      <c r="EE15" s="79" t="str">
        <f>IF(SUM(DI15,DM15,DQ15)&gt;0,SUM(DI15,DM15,DQ15),"")</f>
        <v/>
      </c>
      <c r="EF15" s="79" t="str">
        <f>IF(SUM(EC15,ED15)&gt;0,SUM(EC15,ED15),"")</f>
        <v/>
      </c>
      <c r="EG15" s="79" t="str">
        <f>IF(SUM(DU15,DY15)&gt;0,SUM(DU15,DY15),"")</f>
        <v/>
      </c>
      <c r="EH15" s="79" t="str">
        <f>IF(SUM(DT15:DU15,DW15:DY15,EA15)-SUM(DV15,DZ15)&gt;0,SUM(DT15:DU15,DW15:DY15,EA15)-SUM(DV15,DZ15),"")</f>
        <v/>
      </c>
      <c r="EI15" s="79" t="str">
        <f>IF(SUM(EC15,EH15)&gt;0,SUM(EC15,EH15),"")</f>
        <v/>
      </c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0" t="str">
        <f>IF(SUM(EK15,EO15)&gt;0,SUM(EK15,EO15),"")</f>
        <v/>
      </c>
      <c r="FE15" s="20" t="str">
        <f>IF(SUM(EJ15:EK15,EM15:EO15,EQ15)-EL15-EP15&gt;0,SUM(EJ15:EK15,EM15:EO15,EQ15)-EL15-EP15,"")</f>
        <v/>
      </c>
      <c r="FF15" s="20" t="str">
        <f>IF(SUM(ER15:ES15,EU15)-ET15&gt;0,SUM(ER15:ES15,EU15)-ET15,"")</f>
        <v/>
      </c>
      <c r="FG15" s="20" t="str">
        <f>IF(SUM(EK15,EO15,ES15)&gt;0,SUM(EK15,EO15,ES15),"")</f>
        <v/>
      </c>
      <c r="FH15" s="20" t="str">
        <f>IF(SUM(FE15,FF15)&gt;0,SUM(FE15,FF15),"")</f>
        <v/>
      </c>
      <c r="FI15" s="20" t="str">
        <f>IF(SUM(EW15,FA15)&gt;0,SUM(EW15,FA15),"")</f>
        <v/>
      </c>
      <c r="FJ15" s="20" t="str">
        <f>IF(SUM(EV15:EW15,EY15:FA15,FC15)-SUM(EX15,FB15)&gt;0,SUM(EV15:EW15,EY15:FA15,FC15)-SUM(EX15,FB15),"")</f>
        <v/>
      </c>
      <c r="FK15" s="20" t="str">
        <f>IF(SUM(FE15,FJ15)&gt;0,SUM(FE15,FJ15),"")</f>
        <v/>
      </c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79" t="str">
        <f>IF(SUM(FM15,FQ15)&gt;0,SUM(FM15,FQ15),"")</f>
        <v/>
      </c>
      <c r="GG15" s="79" t="str">
        <f>IF(SUM(FL15:FM15,FO15:FQ15,FS15)-FN15-FR15&gt;0,SUM(FL15:FM15,FO15:FQ15,FS15)-FN15-FR15,"")</f>
        <v/>
      </c>
      <c r="GH15" s="79" t="str">
        <f>IF(SUM(FT15:FU15,FW15)-FV15&gt;0,SUM(FT15:FU15,FW15)-FV15,"")</f>
        <v/>
      </c>
      <c r="GI15" s="79" t="str">
        <f>IF(SUM(FM15,FQ15,FU15)&gt;0,SUM(FM15,FQ15,FU15),"")</f>
        <v/>
      </c>
      <c r="GJ15" s="79" t="str">
        <f>IF(SUM(GG15,GH15)&gt;0,SUM(GG15,GH15),"")</f>
        <v/>
      </c>
      <c r="GK15" s="79" t="str">
        <f>IF(SUM(FY15,GC15)&gt;0,SUM(FY15,GC15),"")</f>
        <v/>
      </c>
      <c r="GL15" s="79" t="str">
        <f>IF(SUM(FX15:FY15,GA15:GC15,GE15)-SUM(FZ15,GD15)&gt;0,SUM(FX15:FY15,GA15:GC15,GE15)-SUM(FZ15,GD15),"")</f>
        <v/>
      </c>
      <c r="GM15" s="79" t="str">
        <f>IF(SUM(GG15,GL15)&gt;0,SUM(GG15,GL15),"")</f>
        <v/>
      </c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0" t="str">
        <f>IF(SUM(GO15,GS15)&gt;0,SUM(GO15,GS15),"")</f>
        <v/>
      </c>
      <c r="HI15" s="20" t="str">
        <f>IF(SUM(GN15:GO15,GQ15:GS15,GU15)-GP15-GT15&gt;0,SUM(GN15:GO15,GQ15:GS15,GU15)-GP15-GT15,"")</f>
        <v/>
      </c>
      <c r="HJ15" s="20" t="str">
        <f>IF(SUM(GV15:GW15,GY15)-GX15&gt;0,SUM(GV15:GW15,GY15)-GX15,"")</f>
        <v/>
      </c>
      <c r="HK15" s="20" t="str">
        <f>IF(SUM(GO15,GS15,GW15)&gt;0,SUM(GO15,GS15,GW15),"")</f>
        <v/>
      </c>
      <c r="HL15" s="20" t="str">
        <f>IF(SUM(HI15,HJ15)&gt;0,SUM(HI15,HJ15),"")</f>
        <v/>
      </c>
      <c r="HM15" s="20" t="str">
        <f>IF(SUM(HA15,HE15)&gt;0,SUM(HA15,HE15),"")</f>
        <v/>
      </c>
      <c r="HN15" s="20" t="str">
        <f>IF(SUM(GZ15:HA15,HC15:HE15,HG15)-SUM(HB15,HF15)&gt;0,SUM(GZ15:HA15,HC15:HE15,HG15)-SUM(HB15,HF15),"")</f>
        <v/>
      </c>
      <c r="HO15" s="20" t="str">
        <f>IF(SUM(HI15,HN15)&gt;0,SUM(HI15,HN15),"")</f>
        <v/>
      </c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79" t="str">
        <f>IF(SUM(HQ15,HU15)&gt;0,SUM(HQ15,HU15),"")</f>
        <v/>
      </c>
      <c r="IK15" s="79" t="str">
        <f>IF(SUM(HP15:HQ15,HS15:HU15,HW15)-HR15-HV15&gt;0,SUM(HP15:HQ15,HS15:HU15,HW15)-HR15-HV15,"")</f>
        <v/>
      </c>
      <c r="IL15" s="79" t="str">
        <f>IF(SUM(HX15:HY15,IA15)-HZ15&gt;0,SUM(HX15:HY15,IA15)-HZ15,"")</f>
        <v/>
      </c>
      <c r="IM15" s="79" t="str">
        <f>IF(SUM(HQ15,HU15,HY15)&gt;0,SUM(HQ15,HU15,HY15),"")</f>
        <v/>
      </c>
      <c r="IN15" s="79" t="str">
        <f>IF(SUM(IK15,IL15)&gt;0,SUM(IK15,IL15),"")</f>
        <v/>
      </c>
      <c r="IO15" s="79" t="str">
        <f>IF(SUM(IC15,IG15)&gt;0,SUM(IC15,IG15),"")</f>
        <v/>
      </c>
      <c r="IP15" s="79" t="str">
        <f>IF(SUM(IB15:IC15,IE15:IG15,II15)-SUM(ID15,IH15)&gt;0,SUM(IB15:IC15,IE15:IG15,II15)-SUM(ID15,IH15),"")</f>
        <v/>
      </c>
      <c r="IQ15" s="79" t="str">
        <f>IF(SUM(IK15,IP15)&gt;0,SUM(IK15,IP15),"")</f>
        <v/>
      </c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0" t="str">
        <f>IF(SUM(IS15,IW15)&gt;0,SUM(IS15,IW15),"")</f>
        <v/>
      </c>
      <c r="JM15" s="20" t="str">
        <f>IF(SUM(IR15:IS15,IU15:IW15,IY15)-IT15-IX15&gt;0,SUM(IR15:IS15,IU15:IW15,IY15)-IT15-IX15,"")</f>
        <v/>
      </c>
      <c r="JN15" s="20" t="str">
        <f>IF(SUM(IZ15:JA15,JC15)-JB15&gt;0,SUM(IZ15:JA15,JC15)-JB15,"")</f>
        <v/>
      </c>
      <c r="JO15" s="20" t="str">
        <f>IF(SUM(IS15,IW15,JA15)&gt;0,SUM(IS15,IW15,JA15),"")</f>
        <v/>
      </c>
      <c r="JP15" s="20" t="str">
        <f>IF(SUM(JM15,JN15)&gt;0,SUM(JM15,JN15),"")</f>
        <v/>
      </c>
      <c r="JQ15" s="20" t="str">
        <f>IF(SUM(JE15,JI15)&gt;0,SUM(JE15,JI15),"")</f>
        <v/>
      </c>
      <c r="JR15" s="20" t="str">
        <f>IF(SUM(JD15:JE15,JG15:JI15,JK15)-SUM(JF15,JJ15)&gt;0,SUM(JD15:JE15,JG15:JI15,JK15)-SUM(JF15,JJ15),"")</f>
        <v/>
      </c>
      <c r="JS15" s="20" t="str">
        <f>IF(SUM(JM15,JR15)&gt;0,SUM(JM15,JR15),"")</f>
        <v/>
      </c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79" t="str">
        <f>IF(SUM(JU15,JY15)&gt;0,SUM(JU15,JY15),"")</f>
        <v/>
      </c>
      <c r="KO15" s="79" t="str">
        <f>IF(SUM(JT15:JU15,JW15:JY15,KA15)-JV15-JZ15&gt;0,SUM(JT15:JU15,JW15:JY15,KA15)-JV15-JZ15,"")</f>
        <v/>
      </c>
      <c r="KP15" s="79" t="str">
        <f>IF(SUM(KB15:KC15,KE15)-KD15&gt;0,SUM(KB15:KC15,KE15)-KD15,"")</f>
        <v/>
      </c>
      <c r="KQ15" s="79" t="str">
        <f>IF(SUM(JU15,JY15,KC15)&gt;0,SUM(JU15,JY15,KC15),"")</f>
        <v/>
      </c>
      <c r="KR15" s="79" t="str">
        <f>IF(SUM(KO15,KP15)&gt;0,SUM(KO15,KP15),"")</f>
        <v/>
      </c>
      <c r="KS15" s="79" t="str">
        <f>IF(SUM(KG15,KK15)&gt;0,SUM(KG15,KK15),"")</f>
        <v/>
      </c>
      <c r="KT15" s="79" t="str">
        <f>IF(SUM(KF15:KG15,KI15:KK15,KM15)-SUM(KH15,KL15)&gt;0,SUM(KF15:KG15,KI15:KK15,KM15)-SUM(KH15,KL15),"")</f>
        <v/>
      </c>
      <c r="KU15" s="79" t="str">
        <f>IF(SUM(KO15,KT15)&gt;0,SUM(KO15,KT15),"")</f>
        <v/>
      </c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0" t="str">
        <f>IF(SUM(KW15,LA15)&gt;0,SUM(KW15,LA15),"")</f>
        <v/>
      </c>
      <c r="LQ15" s="20" t="str">
        <f>IF(SUM(KV15:KW15,KY15:LA15,LC15)-KX15-LB15&gt;0,SUM(KV15:KW15,KY15:LA15,LC15)-KX15-LB15,"")</f>
        <v/>
      </c>
      <c r="LR15" s="20" t="str">
        <f>IF(SUM(LD15:LE15,LG15)-LF15&gt;0,SUM(LD15:LE15,LG15)-LF15,"")</f>
        <v/>
      </c>
      <c r="LS15" s="20" t="str">
        <f>IF(SUM(KW15,LA15,LE15)&gt;0,SUM(KW15,LA15,LE15),"")</f>
        <v/>
      </c>
      <c r="LT15" s="20" t="str">
        <f>IF(SUM(LQ15,LR15)&gt;0,SUM(LQ15,LR15),"")</f>
        <v/>
      </c>
      <c r="LU15" s="20" t="str">
        <f>IF(SUM(LI15,LM15)&gt;0,SUM(LI15,LM15),"")</f>
        <v/>
      </c>
      <c r="LV15" s="20" t="str">
        <f>IF(SUM(LH15:LI15,LK15:LM15,LO15)-SUM(LJ15,LN15)&gt;0,SUM(LH15:LI15,LK15:LM15,LO15)-SUM(LJ15,LN15),"")</f>
        <v/>
      </c>
      <c r="LW15" s="20" t="str">
        <f>IF(SUM(LQ15,LV15)&gt;0,SUM(LQ15,LV15),"")</f>
        <v/>
      </c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79" t="str">
        <f>IF(SUM(LY15,MC15)&gt;0,SUM(LY15,MC15),"")</f>
        <v/>
      </c>
      <c r="MS15" s="79" t="str">
        <f>IF(SUM(LX15:LY15,MA15:MC15,ME15)-LZ15-MD15&gt;0,SUM(LX15:LY15,MA15:MC15,ME15)-LZ15-MD15,"")</f>
        <v/>
      </c>
      <c r="MT15" s="79" t="str">
        <f>IF(SUM(MF15:MG15,MI15)-MH15&gt;0,SUM(MF15:MG15,MI15)-MH15,"")</f>
        <v/>
      </c>
      <c r="MU15" s="79" t="str">
        <f>IF(SUM(LY15,MC15,MG15)&gt;0,SUM(LY15,MC15,MG15),"")</f>
        <v/>
      </c>
      <c r="MV15" s="79" t="str">
        <f>IF(SUM(MS15,MT15)&gt;0,SUM(MS15,MT15),"")</f>
        <v/>
      </c>
      <c r="MW15" s="79" t="str">
        <f>IF(SUM(MK15,MO15)&gt;0,SUM(MK15,MO15),"")</f>
        <v/>
      </c>
      <c r="MX15" s="79" t="str">
        <f>IF(SUM(MJ15:MK15,MM15:MO15,MQ15)-SUM(ML15,MP15)&gt;0,SUM(MJ15:MK15,MM15:MO15,MQ15)-SUM(ML15,MP15),"")</f>
        <v/>
      </c>
      <c r="MY15" s="79" t="str">
        <f>IF(SUM(MS15,MX15)&gt;0,SUM(MS15,MX15),"")</f>
        <v/>
      </c>
      <c r="MZ15" s="26"/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0" t="str">
        <f>IF(SUM(NA15,NE15)&gt;0,SUM(NA15,NE15),"")</f>
        <v/>
      </c>
      <c r="NU15" s="20" t="str">
        <f>IF(SUM(MZ15:NA15,NC15:NE15,NG15)-NB15-NF15&gt;0,SUM(MZ15:NA15,NC15:NE15,NG15)-NB15-NF15,"")</f>
        <v/>
      </c>
      <c r="NV15" s="20" t="str">
        <f>IF(SUM(NH15:NI15,NK15)-NJ15&gt;0,SUM(NH15:NI15,NK15)-NJ15,"")</f>
        <v/>
      </c>
      <c r="NW15" s="20" t="str">
        <f>IF(SUM(NA15,NE15,NI15)&gt;0,SUM(NA15,NE15,NI15),"")</f>
        <v/>
      </c>
      <c r="NX15" s="20" t="str">
        <f>IF(SUM(NU15,NV15)&gt;0,SUM(NU15,NV15),"")</f>
        <v/>
      </c>
      <c r="NY15" s="20" t="str">
        <f>IF(SUM(NM15,NQ15)&gt;0,SUM(NM15,NQ15),"")</f>
        <v/>
      </c>
      <c r="NZ15" s="20" t="str">
        <f>IF(SUM(NL15:NM15,NO15:NQ15,NS15)-SUM(NN15,NR15)&gt;0,SUM(NL15:NM15,NO15:NQ15,NS15)-SUM(NN15,NR15),"")</f>
        <v/>
      </c>
      <c r="OA15" s="20" t="str">
        <f>IF(SUM(NU15,NZ15)&gt;0,SUM(NU15,NZ15),"")</f>
        <v/>
      </c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79" t="str">
        <f>IF(SUM(OC15,OG15)&gt;0,SUM(OC15,OG15),"")</f>
        <v/>
      </c>
      <c r="OW15" s="79" t="str">
        <f>IF(SUM(OB15:OC15,OE15:OG15,OI15)-OD15-OH15&gt;0,SUM(OB15:OC15,OE15:OG15,OI15)-OD15-OH15,"")</f>
        <v/>
      </c>
      <c r="OX15" s="79" t="str">
        <f>IF(SUM(OJ15:OK15,OM15)-OL15&gt;0,SUM(OJ15:OK15,OM15)-OL15,"")</f>
        <v/>
      </c>
      <c r="OY15" s="79" t="str">
        <f>IF(SUM(OC15,OG15,OK15)&gt;0,SUM(OC15,OG15,OK15),"")</f>
        <v/>
      </c>
      <c r="OZ15" s="79" t="str">
        <f>IF(SUM(OW15,OX15)&gt;0,SUM(OW15,OX15),"")</f>
        <v/>
      </c>
      <c r="PA15" s="79" t="str">
        <f>IF(SUM(OO15,OS15)&gt;0,SUM(OO15,OS15),"")</f>
        <v/>
      </c>
      <c r="PB15" s="79" t="str">
        <f>IF(SUM(ON15:OO15,OQ15:OS15,OU15)-SUM(OP15,OT15)&gt;0,SUM(ON15:OO15,OQ15:OS15,OU15)-SUM(OP15,OT15),"")</f>
        <v/>
      </c>
      <c r="PC15" s="79" t="str">
        <f>IF(SUM(OW15,PB15)&gt;0,SUM(OW15,PB15),"")</f>
        <v/>
      </c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0" t="str">
        <f>IF(SUM(PE15,PI15)&gt;0,SUM(PE15,PI15),"")</f>
        <v/>
      </c>
      <c r="PY15" s="20" t="str">
        <f>IF(SUM(PD15:PE15,PG15:PI15,PK15)-PF15-PJ15&gt;0,SUM(PD15:PE15,PG15:PI15,PK15)-PF15-PJ15,"")</f>
        <v/>
      </c>
      <c r="PZ15" s="20" t="str">
        <f>IF(SUM(PL15:PM15,PO15)-PN15&gt;0,SUM(PL15:PM15,PO15)-PN15,"")</f>
        <v/>
      </c>
      <c r="QA15" s="20" t="str">
        <f>IF(SUM(PE15,PI15,PM15)&gt;0,SUM(PE15,PI15,PM15),"")</f>
        <v/>
      </c>
      <c r="QB15" s="20" t="str">
        <f>IF(SUM(PY15,PZ15)&gt;0,SUM(PY15,PZ15),"")</f>
        <v/>
      </c>
      <c r="QC15" s="20" t="str">
        <f>IF(SUM(PQ15,PU15)&gt;0,SUM(PQ15,PU15),"")</f>
        <v/>
      </c>
      <c r="QD15" s="20" t="str">
        <f>IF(SUM(PP15:PQ15,PS15:PU15,PW15)-SUM(PR15,PV15)&gt;0,SUM(PP15:PQ15,PS15:PU15,PW15)-SUM(PR15,PV15),"")</f>
        <v/>
      </c>
      <c r="QE15" s="20" t="str">
        <f>IF(SUM(PY15,QD15)&gt;0,SUM(PY15,QD15),"")</f>
        <v/>
      </c>
      <c r="QF15" s="38">
        <f>IF($CV15="P",CB15,(CB15+AY15)/2)</f>
        <v>9.6</v>
      </c>
      <c r="QG15" s="38">
        <f>IF($CV15="P",CC15,(CC15+AZ15)/2)</f>
        <v>3</v>
      </c>
      <c r="QH15" s="38">
        <f>IF($CV15="P",CD15,(CD15+BA15)/2)</f>
        <v>0.3</v>
      </c>
      <c r="QI15" s="38">
        <f>IF($CV15="P",CE15,(CE15+BB15)/2)</f>
        <v>0</v>
      </c>
      <c r="QJ15" s="38">
        <f>IF($CV15="P",CF15,(CF15+BC15)/2)</f>
        <v>9.5</v>
      </c>
      <c r="QK15" s="38">
        <f>IF($CV15="P",CG15,(CG15+BD15)/2)</f>
        <v>3.2</v>
      </c>
      <c r="QL15" s="38">
        <f>IF($CV15="P",CH15,(CH15+BE15)/2)</f>
        <v>0.3</v>
      </c>
      <c r="QM15" s="38">
        <f>IF($CV15="P",CI15,(CI15+BF15)/2)</f>
        <v>0</v>
      </c>
      <c r="QN15" s="38">
        <f>IF($CV15="P",CJ15,(CJ15+BG15)/2)</f>
        <v>9.1</v>
      </c>
      <c r="QO15" s="38">
        <f>IF($CV15="P",CK15,(CK15+BH15)/2)</f>
        <v>2.6</v>
      </c>
      <c r="QP15" s="38">
        <f>IF($CV15="P",CL15,(CL15+BI15)/2)</f>
        <v>0.5</v>
      </c>
      <c r="QQ15" s="38">
        <f>IF($CV15="P",CM15,(CM15+BJ15)/2)</f>
        <v>0</v>
      </c>
      <c r="QR15" s="38">
        <f>IF($CV15="P",CN15,(CN15+BK15)/2)</f>
        <v>9.6</v>
      </c>
      <c r="QS15" s="38">
        <f>IF($CV15="P",CO15,(CO15+BL15)/2)</f>
        <v>3</v>
      </c>
      <c r="QT15" s="38">
        <f>IF($CV15="P",CP15,(CP15+BM15)/2)</f>
        <v>0</v>
      </c>
      <c r="QU15" s="38">
        <f>IF($CV15="P",CQ15,(CQ15+BN15)/2)</f>
        <v>0</v>
      </c>
      <c r="QV15" s="38">
        <f>IF($CV15="P",CR15,(CR15+BO15)/2)</f>
        <v>9.35</v>
      </c>
      <c r="QW15" s="38">
        <f>IF($CV15="P",CS15,(CS15+BP15)/2)</f>
        <v>3.2</v>
      </c>
      <c r="QX15" s="38">
        <f>IF($CV15="P",CT15,(CT15+BQ15)/2)</f>
        <v>0</v>
      </c>
      <c r="QY15" s="38">
        <f>IF($CV15="P",CU15,(CU15+BR15)/2)</f>
        <v>0</v>
      </c>
      <c r="QZ15" s="45" t="s">
        <v>46</v>
      </c>
      <c r="RA15" s="79">
        <f>IF(SUM(QG15,QK15)&gt;0,SUM(QG15,QK15),"")</f>
        <v>6.2</v>
      </c>
      <c r="RB15" s="79">
        <f>IF(SUM(QF15:QG15,QI15:QK15,QM15)-QH15-QL15&gt;0,SUM(QF15:QG15,QI15:QK15,QM15)-QH15-QL15,"")</f>
        <v>24.7</v>
      </c>
      <c r="RC15" s="79">
        <f>IF(SUM(QN15:QO15,QQ15)-QP15&gt;0,SUM(QN15:QO15,QQ15)-QP15,"")</f>
        <v>11.2</v>
      </c>
      <c r="RD15" s="79">
        <f>IF(SUM(QG15,QK15,QO15)&gt;0,SUM(QG15,QK15,QO15),"")</f>
        <v>8.8000000000000007</v>
      </c>
      <c r="RE15" s="79">
        <f>IF(SUM(RB15,RC15)&gt;0,SUM(RB15,RC15),"")</f>
        <v>35.9</v>
      </c>
      <c r="RF15" s="79">
        <f>IF(SUM(QS15,QW15)&gt;0,SUM(QS15,QW15),"")</f>
        <v>6.2</v>
      </c>
      <c r="RG15" s="79">
        <f>IF(SUM(QR15:QS15,QU15:QW15,QY15)-SUM(QT15,QX15)&gt;0,SUM(QR15:QS15,QU15:QW15,QY15)-SUM(QT15,QX15),"")</f>
        <v>25.15</v>
      </c>
      <c r="RH15" s="79">
        <f>IF(SUM(RB15,RG15)&gt;0,SUM(RB15,RG15),"")</f>
        <v>49.849999999999994</v>
      </c>
    </row>
    <row r="16" spans="1:476" x14ac:dyDescent="0.2">
      <c r="A16" s="5" t="str">
        <f>IF(AND(F16="P",G16="P"),SUMPRODUCT((F$4:F$27="P")*(G$4:G$27="P")*(E$4:E$27&gt;E16))+1,IF(G16="P",SUMPRODUCT((F$4:F$27="")*(G$4:G$27="P")*(E$4:E$27&gt;E16))+1+SUMPRODUCT((F$4:F$27="P")*(G$4:G$27="P")),""))</f>
        <v/>
      </c>
      <c r="B16" s="78" t="s">
        <v>146</v>
      </c>
      <c r="C16" s="5" t="s">
        <v>5</v>
      </c>
      <c r="D16" s="5">
        <v>2005</v>
      </c>
      <c r="E16" s="15">
        <f>SUM(I16:S16)+SUM(I16:O16)*0.0000001+SUM(I16)*0.0000000000001</f>
        <v>119.10010703001478</v>
      </c>
      <c r="F16" s="3" t="str">
        <f>IF(OR(AND(AQ16&gt;=AX$29,AR16&gt;=AX$33,AQ16&lt;&gt;"",AP16=""),AND(AV16&gt;=AX$29,AW16&gt;=AX$33,AV16&lt;&gt;"",AP16=""),AND(BT16&gt;=CA$29,BU16&gt;=CA$33,BT16&lt;&gt;"",BS16=""),AND(BY16&gt;=CA$29,BZ16&gt;=CA$33,BY16&lt;&gt;"",BS16=""),AND(CW16&gt;=DD$29,CX16&gt;=DD$33,CW16&lt;&gt;"",CV16=""),AND(DB16&gt;=DD$29,DC16&gt;=DD$33,DB16&lt;&gt;""),AND(EB16&gt;=EI$29,EC16&gt;=EI$33,EB16&lt;&gt;""),AND(EG16&gt;=EI$29,EH16&gt;=EI$33,EG16&lt;&gt;""),AND(FD16&gt;=FK$29,FE16&gt;=FK$33,FD16&lt;&gt;""),AND(FI16&gt;=FK$29,FJ16&gt;=FK$33,FI16&lt;&gt;""),AND(GF16&gt;=GM$29,GG16&gt;=GM$33,GF16&lt;&gt;""),AND(GK16&gt;=GM$29,GL16&gt;=GM$33,GK16&lt;&gt;""),AND(HH16&gt;=HO$29,HI16&gt;=HO$33,HH16&lt;&gt;""),AND(HM16&gt;=HO$29,HN16&gt;=HO$33,HM16&lt;&gt;""),AND(IJ16&gt;=IQ$29,IK16&gt;=IQ$33,IJ16&lt;&gt;""),AND(IO16&gt;=IQ$29,IP16&gt;=IQ$33,IO16&lt;&gt;""),AND(JL16&gt;=JS$29,JM16&gt;=JS$33,JL16&lt;&gt;""),AND(JQ16&gt;=JS$29,JR16&gt;=JS$33,JQ16&lt;&gt;""),AND(KN16&gt;=KU$29,KO16&gt;=KU$33,KN16&lt;&gt;""),AND(KS16&gt;=KU$29,KT16&gt;=KU$33,KS16&lt;&gt;""),AND(LP16&gt;=LW$29,LQ16&gt;=LW$33,LP16&lt;&gt;""),AND(LU16&gt;=LW$29,LV16&gt;=LW$33,LU16&lt;&gt;""),AND(MR16&gt;=MY$29,MS16&gt;=MY$33,MR16&lt;&gt;""),AND(MW16&gt;=MY$29,MX16&gt;=MY$33,MW16&lt;&gt;""),AND(NT16&gt;=OA$29,NU16&gt;=OA$33,NT16&lt;&gt;""),AND(NY16&gt;=OA$29,NZ16&gt;=OA$33,NY16&lt;&gt;""),AND(OV16&gt;=PC$29,OW16&gt;=PC$33,OV16&lt;&gt;""),AND(PA16&gt;=PC$29,PB16&gt;=PC$33,PA16&lt;&gt;""),AND(PX16&gt;=QE$29,PY16&gt;=QE$33,PX16&lt;&gt;""),AND(QC16&gt;=QE$29,QD16&gt;=QE$33,QC16&lt;&gt;"")),"P","")</f>
        <v/>
      </c>
      <c r="G16" s="3" t="str">
        <f>IF(OR(AND(AR16&gt;=AX$33,AR16&lt;&gt;"",AP16=""),AND(AW16&gt;=AX$33,AW16&lt;&gt;"",AP16=""),AND(BU16&gt;=CA$33,BU16&lt;&gt;"",BS16=""),AND(BZ16&gt;=CA$33,BZ16&lt;&gt;"",BS16=""),AND(CX16&gt;=DD$33,CX16&lt;&gt;"",CV16=""),AND(DC16&gt;=DD$33,DC16&lt;&gt;"",CV16=""),AND(EC16&gt;=EI$33,EC16&lt;&gt;""),AND(EH16&gt;=EI$33,EH16&lt;&gt;""),AND(FE16&gt;=FK$33,FE16&lt;&gt;""),AND(FJ16&gt;=FK$33,FJ16&lt;&gt;""),AND(GG16&gt;=GM$33,GG16&lt;&gt;""),AND(GL16&gt;=GM$33,GL16&lt;&gt;""),AND(HI16&gt;=HO$33,HI16&lt;&gt;""),AND(HN16&gt;=HO$33,HN16&lt;&gt;""),AND(IK16&gt;=IQ$33,IK16&lt;&gt;""),AND(IP16&gt;=IQ$33,IP16&lt;&gt;""),AND(JM16&gt;=JS$33,JM16&lt;&gt;""),AND(JR16&gt;=JS$33,JR16&lt;&gt;""),AND(KO16&gt;=KU$33,KO16&lt;&gt;""),AND(KT16&gt;=KU$33,KT16&lt;&gt;""),AND(LQ16&gt;=LW$33,LQ16&lt;&gt;""),AND(LV16&gt;=LW$33,LV16&lt;&gt;""),AND(MS16&gt;=MY$33,MS16&lt;&gt;""),AND(MX16&gt;=MY$33,MX16&lt;&gt;""),AND(NU16&gt;=OA$33,NU16&lt;&gt;""),AND(NZ16&gt;=OA$33,NZ16&lt;&gt;""),AND(OW16&gt;=PC$33,OW16&lt;&gt;""),AND(PB16&gt;=PC$33,PB16&lt;&gt;""),AND(PY16&gt;=QE$33,PY16&lt;&gt;""),AND(QD16&gt;=QE$33,QD16&lt;&gt;"")),"P","")</f>
        <v/>
      </c>
      <c r="H16" s="67" t="str">
        <f>IF(AND(G16="P",F16=""),"No DD",IF(OR(AND(AT16&gt;=AX$32,AU16&gt;=AX$36,AT16&lt;&gt;"",AP16=""),AND(BW16&gt;=CA$32,BX16&gt;=CA$36,BW16&lt;&gt;"",BS16=""),AND(CZ16&gt;=DD$32,DA16&gt;=DD$36,CZ16&lt;&gt;"",CV16=""),AND(EE16&gt;=EI$32,EF16&gt;=EI$36,EE16&lt;&gt;""),AND(FG16&gt;=FK$32,FH16&gt;=FK$36,FG16&lt;&gt;""),AND(GI16&gt;=GM$32,GJ16&gt;=GM$36,GI16&lt;&gt;""),AND(HK16&gt;=HO$32,HL16&gt;=HO$36,HK16&lt;&gt;""),AND(IM16&gt;=IQ$32,IN16&gt;=IQ$36,IM16&lt;&gt;""),AND(JO16&gt;=JS$32,JP16&gt;=JS$36,JO16&lt;&gt;""),AND(KQ16&gt;=KU$32,KR16&gt;=KU$36,KQ16&lt;&gt;""),AND(LS16&gt;=LW$32,LT16&gt;=LW$36,LS16&lt;&gt;""),AND(MU16&gt;=MY$32,MV16&gt;=MY$36,MU16&lt;&gt;""),AND(NW16&gt;=OA$32,NX16&gt;=OA$36,NW16&lt;&gt;""),AND(OY16&gt;=PC$32,OZ16&gt;=PC$36,OY16&lt;&gt;""),AND(QA16&gt;=QE$32,QB16&gt;=QE$36,QA16&lt;&gt;"")),"Merit",IF(OR(AND(AT16&gt;=AX$31,AU16&gt;=AX$35,AT16&lt;&gt;"",AP16=""),AND(BW16&gt;=CA$31,BX16&gt;=CA$35,BW16&lt;&gt;"",BS16=""),AND(CZ16&gt;=DD$31,DA16&gt;=DD$35,CZ16&lt;&gt;"",CV16=""),AND(EE16&gt;=EI$31,EF16&gt;=EI$35,EE16&lt;&gt;""),AND(FG16&gt;=FK$31,FH16&gt;=FK$35,FG16&lt;&gt;""),AND(GI16&gt;=GM$31,GJ16&gt;=GM$35,GI16&lt;&gt;""),AND(HK16&gt;=HO$31,HL16&gt;=HO$35,HK16&lt;&gt;""),AND(IM16&gt;=IQ$31,IN16&gt;=IQ$35,IM16&lt;&gt;""),AND(JO16&gt;=JS$31,JP16&gt;=JS$35,JO16&lt;&gt;""),AND(KQ16&gt;=KU$31,KR16&gt;=KU$35,KQ16&lt;&gt;""),AND(LS16&gt;=LW$31,LT16&gt;=LW$35,LS16&lt;&gt;""),AND(MU16&gt;=MY$31,MV16&gt;=MY$35,MU16&lt;&gt;""),AND(NW16&gt;=OA$31,NX16&gt;=OA$35,NW16&lt;&gt;""),AND(OY16&gt;=PC$31,OZ16&gt;=PC$35,OY16&lt;&gt;""),AND(QA16&gt;=QE$31,QB16&gt;=QE$35,QA16&lt;&gt;"")),"Excellence",IF(F16="P","National Team",""))))</f>
        <v/>
      </c>
      <c r="I16" s="14">
        <f>IF(COUNT(AR16,BU16,CX16)&gt;0,LARGE((AR16,BU16,CX16),1),0)</f>
        <v>48.099999999999987</v>
      </c>
      <c r="J16" s="14" t="str">
        <f>IF(I16=0,"",IF(I16=CX16,$CB$1,IF(I16=BU16,$AY$1,IF(I16=AR16,$V$1,""))))</f>
        <v>2022 Elite Canada</v>
      </c>
      <c r="K16" s="14">
        <f>IF(COUNT(AR16,BU16,CX16)&gt;1,LARGE((AR16,BU16,CX16),2),0)</f>
        <v>1E-4</v>
      </c>
      <c r="L16" s="14" t="str">
        <f>IF(K16=0,"",IF(K16=CX16,$CB$1,IF(K16=BU16,$AY$1,IF(K16=AR16,$V$1,""))))</f>
        <v>2021 Canadian Championships</v>
      </c>
      <c r="M16" s="14">
        <f>IF(COUNT(AS16,BV16,CY16)&gt;0,LARGE((AS16,BV16,CY16),1),0)</f>
        <v>22.2</v>
      </c>
      <c r="N16" s="14" t="str">
        <f>IF(M16=0,"",IF(M16=CY16,$CB$1,IF(M16=BV16,$AY$1,IF(M16=AS16,$V$1,""))))</f>
        <v>2022 Elite Canada</v>
      </c>
      <c r="O16" s="14">
        <f>IF(COUNT(AS16,BV16,CY16)&gt;1,LARGE((AS16,BV16,CY16),2),0)</f>
        <v>0</v>
      </c>
      <c r="P16" s="14" t="str">
        <f>IF(O16=0,"",IF(O16=CY16,$CB$1,IF(O16=BV16,$AY$1,IF(O16=AS16,$V$1,""))))</f>
        <v/>
      </c>
      <c r="Q16" s="14">
        <f>IF(MAX(AW16,BZ16,DC16)&gt;0,MAX(AW16,BZ16,DC16),0)</f>
        <v>48.8</v>
      </c>
      <c r="R16" s="14" t="str">
        <f>IF(Q16=0,"",IF(Q16=DC16,$CB$1,IF(Q16=BZ16,$AY$1,IF(Q16=AW16,$V$1,""))))</f>
        <v>2022 Elite Canada</v>
      </c>
      <c r="S16" s="14" t="str">
        <f>IF(MAX(DE16:DG16)&gt;0,MAX(DE16:DG16),"")</f>
        <v/>
      </c>
      <c r="T16" s="20" t="str">
        <f>IF(S16="","",IF(S16=DE16,"("&amp;DE$2&amp;")",IF(S16=DG16,"("&amp;DG$2&amp;")")))</f>
        <v/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/>
      </c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45"/>
      <c r="AQ16" s="79" t="str">
        <f>IF(SUM(W16,AA16)&gt;0,SUM(W16,AA16),"")</f>
        <v/>
      </c>
      <c r="AR16" s="79" t="str">
        <f>IF(SUM(V16:W16,Y16:AA16,AC16)-X16-AB16&gt;0,SUM(V16:W16,Y16:AA16,AC16)-X16-AB16,"")</f>
        <v/>
      </c>
      <c r="AS16" s="79" t="str">
        <f>IF(SUM(AD16:AE16,AG16)-AF16&gt;0,SUM(AD16:AE16,AG16)-AF16,"")</f>
        <v/>
      </c>
      <c r="AT16" s="79" t="str">
        <f>IF(SUM(W16,AA16,AE16)&gt;0,SUM(W16,AA16,AE16),"")</f>
        <v/>
      </c>
      <c r="AU16" s="79" t="str">
        <f>IF(SUM(AR16,AS16)&gt;0,SUM(AR16,AS16),"")</f>
        <v/>
      </c>
      <c r="AV16" s="79" t="str">
        <f>IF(SUM(AI16,AM16)&gt;0,SUM(AI16,AM16),"")</f>
        <v/>
      </c>
      <c r="AW16" s="79" t="str">
        <f>IF(SUM(AH16:AI16,AK16:AM16,AO16)-SUM(AJ16,AN16)&gt;0,SUM(AH16:AI16,AK16:AM16,AO16)-SUM(AJ16,AN16),"")</f>
        <v/>
      </c>
      <c r="AX16" s="79" t="str">
        <f>IF(SUM(AR16,AW16)&gt;0,SUM(AR16,AW16),"")</f>
        <v/>
      </c>
      <c r="AY16" s="26"/>
      <c r="AZ16" s="26">
        <v>1E-4</v>
      </c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46"/>
      <c r="BT16" s="20">
        <f>IF(SUM(AZ16,BD16)&gt;0,SUM(AZ16,BD16),"")</f>
        <v>1E-4</v>
      </c>
      <c r="BU16" s="20">
        <f>IF(SUM(AY16:AZ16,BB16:BD16,BF16)-BA16-BE16&gt;0,SUM(AY16:AZ16,BB16:BD16,BF16)-BA16-BE16,"")</f>
        <v>1E-4</v>
      </c>
      <c r="BV16" s="20" t="str">
        <f>IF(SUM(BG16:BH16,BJ16)-BI16&gt;0,SUM(BG16:BH16,BJ16)-BI16,"")</f>
        <v/>
      </c>
      <c r="BW16" s="20">
        <f>IF(SUM(AZ16,BD16,BH16)&gt;0,SUM(AZ16,BD16,BH16),"")</f>
        <v>1E-4</v>
      </c>
      <c r="BX16" s="20">
        <f>IF(SUM(BU16,BV16)&gt;0,SUM(BU16,BV16),"")</f>
        <v>1E-4</v>
      </c>
      <c r="BY16" s="20" t="str">
        <f>IF(SUM(BL16,BP16)&gt;0,SUM(BL16,BP16),"")</f>
        <v/>
      </c>
      <c r="BZ16" s="20" t="str">
        <f>IF(SUM(BK16:BL16,BN16:BP16,BR16)-SUM(BM16,BQ16)&gt;0,SUM(BK16:BL16,BN16:BP16,BR16)-SUM(BM16,BQ16),"")</f>
        <v/>
      </c>
      <c r="CA16" s="20">
        <f>IF(SUM(BU16,BZ16)&gt;0,SUM(BU16,BZ16),"")</f>
        <v>1E-4</v>
      </c>
      <c r="CB16" s="27">
        <v>18.2</v>
      </c>
      <c r="CC16" s="27">
        <v>5.6</v>
      </c>
      <c r="CD16" s="27">
        <v>0.2</v>
      </c>
      <c r="CE16" s="27">
        <v>0</v>
      </c>
      <c r="CF16" s="27">
        <v>18.3</v>
      </c>
      <c r="CG16" s="27">
        <v>6.4</v>
      </c>
      <c r="CH16" s="27">
        <v>0.2</v>
      </c>
      <c r="CI16" s="27">
        <v>0</v>
      </c>
      <c r="CJ16" s="27">
        <v>18.8</v>
      </c>
      <c r="CK16" s="27">
        <v>4</v>
      </c>
      <c r="CL16" s="27">
        <v>0.6</v>
      </c>
      <c r="CM16" s="27">
        <v>0</v>
      </c>
      <c r="CN16" s="27">
        <v>18.2</v>
      </c>
      <c r="CO16" s="27">
        <v>5.6</v>
      </c>
      <c r="CP16" s="27">
        <v>0</v>
      </c>
      <c r="CQ16" s="27">
        <v>0</v>
      </c>
      <c r="CR16" s="27">
        <v>18.600000000000001</v>
      </c>
      <c r="CS16" s="27">
        <v>6.4</v>
      </c>
      <c r="CT16" s="27">
        <v>0</v>
      </c>
      <c r="CU16" s="27">
        <v>0</v>
      </c>
      <c r="CV16" s="45"/>
      <c r="CW16" s="79">
        <f>IF(SUM(CC16,CG16)&gt;0,SUM(CC16,CG16),"")</f>
        <v>12</v>
      </c>
      <c r="CX16" s="79">
        <f>IF(SUM(CB16:CC16,CE16:CG16,CI16)-CD16-CH16&gt;0,SUM(CB16:CC16,CE16:CG16,CI16)-CD16-CH16,"")</f>
        <v>48.099999999999987</v>
      </c>
      <c r="CY16" s="79">
        <f>IF(SUM(CJ16:CK16,CM16)-CL16&gt;0,SUM(CJ16:CK16,CM16)-CL16,"")</f>
        <v>22.2</v>
      </c>
      <c r="CZ16" s="79">
        <f>IF(SUM(CC16,CG16,CK16)&gt;0,SUM(CC16,CG16,CK16),"")</f>
        <v>16</v>
      </c>
      <c r="DA16" s="79">
        <f>IF(SUM(CX16,CY16)&gt;0,SUM(CX16,CY16),"")</f>
        <v>70.299999999999983</v>
      </c>
      <c r="DB16" s="79">
        <f>IF(SUM(CO16,CS16)&gt;0,SUM(CO16,CS16),"")</f>
        <v>12</v>
      </c>
      <c r="DC16" s="79">
        <f>IF(SUM(CN16:CO16,CQ16:CS16,CU16)-SUM(CP16,CT16)&gt;0,SUM(CN16:CO16,CQ16:CS16,CU16)-SUM(CP16,CT16),"")</f>
        <v>48.8</v>
      </c>
      <c r="DD16" s="79">
        <f>IF(SUM(CX16,DC16)&gt;0,SUM(CX16,DC16),"")</f>
        <v>96.899999999999977</v>
      </c>
      <c r="DE16" s="80" t="str">
        <f>IF(K16&gt;=0.001,IF(MAX(EC16,FE16,GG16,HI16,IK16,JM16,KO16,LQ16,MS16,NU16,OW16,PY16)-IF(K16="",0,K16)&gt;0.001,MAX(EC16,FE16,GG16,HI16,IK16,JM16,KO16,LQ16,MS16,NU16,OW16,PY16)-IF(K16="",0,K16),""),"")</f>
        <v/>
      </c>
      <c r="DF16" s="80" t="str">
        <f>IF(O16&gt;=0.001,IF(MAX(ED16,FF16,GH16,HJ16,IL16,JN16,KP16,LR16,MT16,NV16,OX16,PZ16)-IF(O16="",0,O16)&gt;0.001,MAX(ED16,FF16,GH16,HJ16,IL16,JN16,KP16,LR16,MT16,NV16,OX16,PZ16)-IF(O16="",0,O16),""),"")</f>
        <v/>
      </c>
      <c r="DG16" s="80" t="str">
        <f>IF(Q16&gt;=0.001,IF(MAX(EH16,FJ16,GL16,HN16,IP16,JR16,KT16,LV16,MX16,NZ16,PB16,QD16)-IF(Q16="",0,Q16)&gt;0.001,MAX(EH16,FJ16,GL16,HN16,IP16,JR16,KT16,LV16,MX16,NZ16,PB16,QD16)-IF(Q16="",0,Q16),""),"")</f>
        <v/>
      </c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79" t="str">
        <f>IF(SUM(DI16,DM16)&gt;0,SUM(DI16,DM16),"")</f>
        <v/>
      </c>
      <c r="EC16" s="79" t="str">
        <f>IF(SUM(DH16:DI16,DK16:DM16,DO16)-DJ16-DN16&gt;0,SUM(DH16:DI16,DK16:DM16,DO16)-DJ16-DN16,"")</f>
        <v/>
      </c>
      <c r="ED16" s="79" t="str">
        <f>IF(SUM(DP16:DQ16,DS16)-DR16&gt;0,SUM(DP16:DQ16,DS16)-DR16,"")</f>
        <v/>
      </c>
      <c r="EE16" s="79" t="str">
        <f>IF(SUM(DI16,DM16,DQ16)&gt;0,SUM(DI16,DM16,DQ16),"")</f>
        <v/>
      </c>
      <c r="EF16" s="79" t="str">
        <f>IF(SUM(EC16,ED16)&gt;0,SUM(EC16,ED16),"")</f>
        <v/>
      </c>
      <c r="EG16" s="79" t="str">
        <f>IF(SUM(DU16,DY16)&gt;0,SUM(DU16,DY16),"")</f>
        <v/>
      </c>
      <c r="EH16" s="79" t="str">
        <f>IF(SUM(DT16:DU16,DW16:DY16,EA16)-SUM(DV16,DZ16)&gt;0,SUM(DT16:DU16,DW16:DY16,EA16)-SUM(DV16,DZ16),"")</f>
        <v/>
      </c>
      <c r="EI16" s="79" t="str">
        <f>IF(SUM(EC16,EH16)&gt;0,SUM(EC16,EH16),"")</f>
        <v/>
      </c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0" t="str">
        <f>IF(SUM(EK16,EO16)&gt;0,SUM(EK16,EO16),"")</f>
        <v/>
      </c>
      <c r="FE16" s="20" t="str">
        <f>IF(SUM(EJ16:EK16,EM16:EO16,EQ16)-EL16-EP16&gt;0,SUM(EJ16:EK16,EM16:EO16,EQ16)-EL16-EP16,"")</f>
        <v/>
      </c>
      <c r="FF16" s="20" t="str">
        <f>IF(SUM(ER16:ES16,EU16)-ET16&gt;0,SUM(ER16:ES16,EU16)-ET16,"")</f>
        <v/>
      </c>
      <c r="FG16" s="20" t="str">
        <f>IF(SUM(EK16,EO16,ES16)&gt;0,SUM(EK16,EO16,ES16),"")</f>
        <v/>
      </c>
      <c r="FH16" s="20" t="str">
        <f>IF(SUM(FE16,FF16)&gt;0,SUM(FE16,FF16),"")</f>
        <v/>
      </c>
      <c r="FI16" s="20" t="str">
        <f>IF(SUM(EW16,FA16)&gt;0,SUM(EW16,FA16),"")</f>
        <v/>
      </c>
      <c r="FJ16" s="20" t="str">
        <f>IF(SUM(EV16:EW16,EY16:FA16,FC16)-SUM(EX16,FB16)&gt;0,SUM(EV16:EW16,EY16:FA16,FC16)-SUM(EX16,FB16),"")</f>
        <v/>
      </c>
      <c r="FK16" s="20" t="str">
        <f>IF(SUM(FE16,FJ16)&gt;0,SUM(FE16,FJ16),"")</f>
        <v/>
      </c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79" t="str">
        <f>IF(SUM(FM16,FQ16)&gt;0,SUM(FM16,FQ16),"")</f>
        <v/>
      </c>
      <c r="GG16" s="79" t="str">
        <f>IF(SUM(FL16:FM16,FO16:FQ16,FS16)-FN16-FR16&gt;0,SUM(FL16:FM16,FO16:FQ16,FS16)-FN16-FR16,"")</f>
        <v/>
      </c>
      <c r="GH16" s="79" t="str">
        <f>IF(SUM(FT16:FU16,FW16)-FV16&gt;0,SUM(FT16:FU16,FW16)-FV16,"")</f>
        <v/>
      </c>
      <c r="GI16" s="79" t="str">
        <f>IF(SUM(FM16,FQ16,FU16)&gt;0,SUM(FM16,FQ16,FU16),"")</f>
        <v/>
      </c>
      <c r="GJ16" s="79" t="str">
        <f>IF(SUM(GG16,GH16)&gt;0,SUM(GG16,GH16),"")</f>
        <v/>
      </c>
      <c r="GK16" s="79" t="str">
        <f>IF(SUM(FY16,GC16)&gt;0,SUM(FY16,GC16),"")</f>
        <v/>
      </c>
      <c r="GL16" s="79" t="str">
        <f>IF(SUM(FX16:FY16,GA16:GC16,GE16)-SUM(FZ16,GD16)&gt;0,SUM(FX16:FY16,GA16:GC16,GE16)-SUM(FZ16,GD16),"")</f>
        <v/>
      </c>
      <c r="GM16" s="79" t="str">
        <f>IF(SUM(GG16,GL16)&gt;0,SUM(GG16,GL16),"")</f>
        <v/>
      </c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0" t="str">
        <f>IF(SUM(GO16,GS16)&gt;0,SUM(GO16,GS16),"")</f>
        <v/>
      </c>
      <c r="HI16" s="20" t="str">
        <f>IF(SUM(GN16:GO16,GQ16:GS16,GU16)-GP16-GT16&gt;0,SUM(GN16:GO16,GQ16:GS16,GU16)-GP16-GT16,"")</f>
        <v/>
      </c>
      <c r="HJ16" s="20" t="str">
        <f>IF(SUM(GV16:GW16,GY16)-GX16&gt;0,SUM(GV16:GW16,GY16)-GX16,"")</f>
        <v/>
      </c>
      <c r="HK16" s="20" t="str">
        <f>IF(SUM(GO16,GS16,GW16)&gt;0,SUM(GO16,GS16,GW16),"")</f>
        <v/>
      </c>
      <c r="HL16" s="20" t="str">
        <f>IF(SUM(HI16,HJ16)&gt;0,SUM(HI16,HJ16),"")</f>
        <v/>
      </c>
      <c r="HM16" s="20" t="str">
        <f>IF(SUM(HA16,HE16)&gt;0,SUM(HA16,HE16),"")</f>
        <v/>
      </c>
      <c r="HN16" s="20" t="str">
        <f>IF(SUM(GZ16:HA16,HC16:HE16,HG16)-SUM(HB16,HF16)&gt;0,SUM(GZ16:HA16,HC16:HE16,HG16)-SUM(HB16,HF16),"")</f>
        <v/>
      </c>
      <c r="HO16" s="20" t="str">
        <f>IF(SUM(HI16,HN16)&gt;0,SUM(HI16,HN16),"")</f>
        <v/>
      </c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79" t="str">
        <f>IF(SUM(HQ16,HU16)&gt;0,SUM(HQ16,HU16),"")</f>
        <v/>
      </c>
      <c r="IK16" s="79" t="str">
        <f>IF(SUM(HP16:HQ16,HS16:HU16,HW16)-HR16-HV16&gt;0,SUM(HP16:HQ16,HS16:HU16,HW16)-HR16-HV16,"")</f>
        <v/>
      </c>
      <c r="IL16" s="79" t="str">
        <f>IF(SUM(HX16:HY16,IA16)-HZ16&gt;0,SUM(HX16:HY16,IA16)-HZ16,"")</f>
        <v/>
      </c>
      <c r="IM16" s="79" t="str">
        <f>IF(SUM(HQ16,HU16,HY16)&gt;0,SUM(HQ16,HU16,HY16),"")</f>
        <v/>
      </c>
      <c r="IN16" s="79" t="str">
        <f>IF(SUM(IK16,IL16)&gt;0,SUM(IK16,IL16),"")</f>
        <v/>
      </c>
      <c r="IO16" s="79" t="str">
        <f>IF(SUM(IC16,IG16)&gt;0,SUM(IC16,IG16),"")</f>
        <v/>
      </c>
      <c r="IP16" s="79" t="str">
        <f>IF(SUM(IB16:IC16,IE16:IG16,II16)-SUM(ID16,IH16)&gt;0,SUM(IB16:IC16,IE16:IG16,II16)-SUM(ID16,IH16),"")</f>
        <v/>
      </c>
      <c r="IQ16" s="79" t="str">
        <f>IF(SUM(IK16,IP16)&gt;0,SUM(IK16,IP16),"")</f>
        <v/>
      </c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0" t="str">
        <f>IF(SUM(IS16,IW16)&gt;0,SUM(IS16,IW16),"")</f>
        <v/>
      </c>
      <c r="JM16" s="20" t="str">
        <f>IF(SUM(IR16:IS16,IU16:IW16,IY16)-IT16-IX16&gt;0,SUM(IR16:IS16,IU16:IW16,IY16)-IT16-IX16,"")</f>
        <v/>
      </c>
      <c r="JN16" s="20" t="str">
        <f>IF(SUM(IZ16:JA16,JC16)-JB16&gt;0,SUM(IZ16:JA16,JC16)-JB16,"")</f>
        <v/>
      </c>
      <c r="JO16" s="20" t="str">
        <f>IF(SUM(IS16,IW16,JA16)&gt;0,SUM(IS16,IW16,JA16),"")</f>
        <v/>
      </c>
      <c r="JP16" s="20" t="str">
        <f>IF(SUM(JM16,JN16)&gt;0,SUM(JM16,JN16),"")</f>
        <v/>
      </c>
      <c r="JQ16" s="20" t="str">
        <f>IF(SUM(JE16,JI16)&gt;0,SUM(JE16,JI16),"")</f>
        <v/>
      </c>
      <c r="JR16" s="20" t="str">
        <f>IF(SUM(JD16:JE16,JG16:JI16,JK16)-SUM(JF16,JJ16)&gt;0,SUM(JD16:JE16,JG16:JI16,JK16)-SUM(JF16,JJ16),"")</f>
        <v/>
      </c>
      <c r="JS16" s="20" t="str">
        <f>IF(SUM(JM16,JR16)&gt;0,SUM(JM16,JR16),"")</f>
        <v/>
      </c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79" t="str">
        <f>IF(SUM(JU16,JY16)&gt;0,SUM(JU16,JY16),"")</f>
        <v/>
      </c>
      <c r="KO16" s="79" t="str">
        <f>IF(SUM(JT16:JU16,JW16:JY16,KA16)-JV16-JZ16&gt;0,SUM(JT16:JU16,JW16:JY16,KA16)-JV16-JZ16,"")</f>
        <v/>
      </c>
      <c r="KP16" s="79" t="str">
        <f>IF(SUM(KB16:KC16,KE16)-KD16&gt;0,SUM(KB16:KC16,KE16)-KD16,"")</f>
        <v/>
      </c>
      <c r="KQ16" s="79" t="str">
        <f>IF(SUM(JU16,JY16,KC16)&gt;0,SUM(JU16,JY16,KC16),"")</f>
        <v/>
      </c>
      <c r="KR16" s="79" t="str">
        <f>IF(SUM(KO16,KP16)&gt;0,SUM(KO16,KP16),"")</f>
        <v/>
      </c>
      <c r="KS16" s="79" t="str">
        <f>IF(SUM(KG16,KK16)&gt;0,SUM(KG16,KK16),"")</f>
        <v/>
      </c>
      <c r="KT16" s="79" t="str">
        <f>IF(SUM(KF16:KG16,KI16:KK16,KM16)-SUM(KH16,KL16)&gt;0,SUM(KF16:KG16,KI16:KK16,KM16)-SUM(KH16,KL16),"")</f>
        <v/>
      </c>
      <c r="KU16" s="79" t="str">
        <f>IF(SUM(KO16,KT16)&gt;0,SUM(KO16,KT16),"")</f>
        <v/>
      </c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0" t="str">
        <f>IF(SUM(KW16,LA16)&gt;0,SUM(KW16,LA16),"")</f>
        <v/>
      </c>
      <c r="LQ16" s="20" t="str">
        <f>IF(SUM(KV16:KW16,KY16:LA16,LC16)-KX16-LB16&gt;0,SUM(KV16:KW16,KY16:LA16,LC16)-KX16-LB16,"")</f>
        <v/>
      </c>
      <c r="LR16" s="20" t="str">
        <f>IF(SUM(LD16:LE16,LG16)-LF16&gt;0,SUM(LD16:LE16,LG16)-LF16,"")</f>
        <v/>
      </c>
      <c r="LS16" s="20" t="str">
        <f>IF(SUM(KW16,LA16,LE16)&gt;0,SUM(KW16,LA16,LE16),"")</f>
        <v/>
      </c>
      <c r="LT16" s="20" t="str">
        <f>IF(SUM(LQ16,LR16)&gt;0,SUM(LQ16,LR16),"")</f>
        <v/>
      </c>
      <c r="LU16" s="20" t="str">
        <f>IF(SUM(LI16,LM16)&gt;0,SUM(LI16,LM16),"")</f>
        <v/>
      </c>
      <c r="LV16" s="20" t="str">
        <f>IF(SUM(LH16:LI16,LK16:LM16,LO16)-SUM(LJ16,LN16)&gt;0,SUM(LH16:LI16,LK16:LM16,LO16)-SUM(LJ16,LN16),"")</f>
        <v/>
      </c>
      <c r="LW16" s="20" t="str">
        <f>IF(SUM(LQ16,LV16)&gt;0,SUM(LQ16,LV16),"")</f>
        <v/>
      </c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79" t="str">
        <f>IF(SUM(LY16,MC16)&gt;0,SUM(LY16,MC16),"")</f>
        <v/>
      </c>
      <c r="MS16" s="79" t="str">
        <f>IF(SUM(LX16:LY16,MA16:MC16,ME16)-LZ16-MD16&gt;0,SUM(LX16:LY16,MA16:MC16,ME16)-LZ16-MD16,"")</f>
        <v/>
      </c>
      <c r="MT16" s="79" t="str">
        <f>IF(SUM(MF16:MG16,MI16)-MH16&gt;0,SUM(MF16:MG16,MI16)-MH16,"")</f>
        <v/>
      </c>
      <c r="MU16" s="79" t="str">
        <f>IF(SUM(LY16,MC16,MG16)&gt;0,SUM(LY16,MC16,MG16),"")</f>
        <v/>
      </c>
      <c r="MV16" s="79" t="str">
        <f>IF(SUM(MS16,MT16)&gt;0,SUM(MS16,MT16),"")</f>
        <v/>
      </c>
      <c r="MW16" s="79" t="str">
        <f>IF(SUM(MK16,MO16)&gt;0,SUM(MK16,MO16),"")</f>
        <v/>
      </c>
      <c r="MX16" s="79" t="str">
        <f>IF(SUM(MJ16:MK16,MM16:MO16,MQ16)-SUM(ML16,MP16)&gt;0,SUM(MJ16:MK16,MM16:MO16,MQ16)-SUM(ML16,MP16),"")</f>
        <v/>
      </c>
      <c r="MY16" s="79" t="str">
        <f>IF(SUM(MS16,MX16)&gt;0,SUM(MS16,MX16),"")</f>
        <v/>
      </c>
      <c r="MZ16" s="26"/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0" t="str">
        <f>IF(SUM(NA16,NE16)&gt;0,SUM(NA16,NE16),"")</f>
        <v/>
      </c>
      <c r="NU16" s="20" t="str">
        <f>IF(SUM(MZ16:NA16,NC16:NE16,NG16)-NB16-NF16&gt;0,SUM(MZ16:NA16,NC16:NE16,NG16)-NB16-NF16,"")</f>
        <v/>
      </c>
      <c r="NV16" s="20" t="str">
        <f>IF(SUM(NH16:NI16,NK16)-NJ16&gt;0,SUM(NH16:NI16,NK16)-NJ16,"")</f>
        <v/>
      </c>
      <c r="NW16" s="20" t="str">
        <f>IF(SUM(NA16,NE16,NI16)&gt;0,SUM(NA16,NE16,NI16),"")</f>
        <v/>
      </c>
      <c r="NX16" s="20" t="str">
        <f>IF(SUM(NU16,NV16)&gt;0,SUM(NU16,NV16),"")</f>
        <v/>
      </c>
      <c r="NY16" s="20" t="str">
        <f>IF(SUM(NM16,NQ16)&gt;0,SUM(NM16,NQ16),"")</f>
        <v/>
      </c>
      <c r="NZ16" s="20" t="str">
        <f>IF(SUM(NL16:NM16,NO16:NQ16,NS16)-SUM(NN16,NR16)&gt;0,SUM(NL16:NM16,NO16:NQ16,NS16)-SUM(NN16,NR16),"")</f>
        <v/>
      </c>
      <c r="OA16" s="20" t="str">
        <f>IF(SUM(NU16,NZ16)&gt;0,SUM(NU16,NZ16),"")</f>
        <v/>
      </c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79" t="str">
        <f>IF(SUM(OC16,OG16)&gt;0,SUM(OC16,OG16),"")</f>
        <v/>
      </c>
      <c r="OW16" s="79" t="str">
        <f>IF(SUM(OB16:OC16,OE16:OG16,OI16)-OD16-OH16&gt;0,SUM(OB16:OC16,OE16:OG16,OI16)-OD16-OH16,"")</f>
        <v/>
      </c>
      <c r="OX16" s="79" t="str">
        <f>IF(SUM(OJ16:OK16,OM16)-OL16&gt;0,SUM(OJ16:OK16,OM16)-OL16,"")</f>
        <v/>
      </c>
      <c r="OY16" s="79" t="str">
        <f>IF(SUM(OC16,OG16,OK16)&gt;0,SUM(OC16,OG16,OK16),"")</f>
        <v/>
      </c>
      <c r="OZ16" s="79" t="str">
        <f>IF(SUM(OW16,OX16)&gt;0,SUM(OW16,OX16),"")</f>
        <v/>
      </c>
      <c r="PA16" s="79" t="str">
        <f>IF(SUM(OO16,OS16)&gt;0,SUM(OO16,OS16),"")</f>
        <v/>
      </c>
      <c r="PB16" s="79" t="str">
        <f>IF(SUM(ON16:OO16,OQ16:OS16,OU16)-SUM(OP16,OT16)&gt;0,SUM(ON16:OO16,OQ16:OS16,OU16)-SUM(OP16,OT16),"")</f>
        <v/>
      </c>
      <c r="PC16" s="79" t="str">
        <f>IF(SUM(OW16,PB16)&gt;0,SUM(OW16,PB16),"")</f>
        <v/>
      </c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0" t="str">
        <f>IF(SUM(PE16,PI16)&gt;0,SUM(PE16,PI16),"")</f>
        <v/>
      </c>
      <c r="PY16" s="20" t="str">
        <f>IF(SUM(PD16:PE16,PG16:PI16,PK16)-PF16-PJ16&gt;0,SUM(PD16:PE16,PG16:PI16,PK16)-PF16-PJ16,"")</f>
        <v/>
      </c>
      <c r="PZ16" s="20" t="str">
        <f>IF(SUM(PL16:PM16,PO16)-PN16&gt;0,SUM(PL16:PM16,PO16)-PN16,"")</f>
        <v/>
      </c>
      <c r="QA16" s="20" t="str">
        <f>IF(SUM(PE16,PI16,PM16)&gt;0,SUM(PE16,PI16,PM16),"")</f>
        <v/>
      </c>
      <c r="QB16" s="20" t="str">
        <f>IF(SUM(PY16,PZ16)&gt;0,SUM(PY16,PZ16),"")</f>
        <v/>
      </c>
      <c r="QC16" s="20" t="str">
        <f>IF(SUM(PQ16,PU16)&gt;0,SUM(PQ16,PU16),"")</f>
        <v/>
      </c>
      <c r="QD16" s="20" t="str">
        <f>IF(SUM(PP16:PQ16,PS16:PU16,PW16)-SUM(PR16,PV16)&gt;0,SUM(PP16:PQ16,PS16:PU16,PW16)-SUM(PR16,PV16),"")</f>
        <v/>
      </c>
      <c r="QE16" s="20" t="str">
        <f>IF(SUM(PY16,QD16)&gt;0,SUM(PY16,QD16),"")</f>
        <v/>
      </c>
      <c r="QF16" s="38">
        <f>IF($CV16="P",CB16,(CB16+AY16)/2)</f>
        <v>9.1</v>
      </c>
      <c r="QG16" s="38">
        <f>IF($CV16="P",CC16,(CC16+AZ16)/2)</f>
        <v>2.8000499999999997</v>
      </c>
      <c r="QH16" s="38">
        <f>IF($CV16="P",CD16,(CD16+BA16)/2)</f>
        <v>0.1</v>
      </c>
      <c r="QI16" s="38">
        <f>IF($CV16="P",CE16,(CE16+BB16)/2)</f>
        <v>0</v>
      </c>
      <c r="QJ16" s="38">
        <f>IF($CV16="P",CF16,(CF16+BC16)/2)</f>
        <v>9.15</v>
      </c>
      <c r="QK16" s="38">
        <f>IF($CV16="P",CG16,(CG16+BD16)/2)</f>
        <v>3.2</v>
      </c>
      <c r="QL16" s="38">
        <f>IF($CV16="P",CH16,(CH16+BE16)/2)</f>
        <v>0.1</v>
      </c>
      <c r="QM16" s="38">
        <f>IF($CV16="P",CI16,(CI16+BF16)/2)</f>
        <v>0</v>
      </c>
      <c r="QN16" s="38">
        <f>IF($CV16="P",CJ16,(CJ16+BG16)/2)</f>
        <v>9.4</v>
      </c>
      <c r="QO16" s="38">
        <f>IF($CV16="P",CK16,(CK16+BH16)/2)</f>
        <v>2</v>
      </c>
      <c r="QP16" s="38">
        <f>IF($CV16="P",CL16,(CL16+BI16)/2)</f>
        <v>0.3</v>
      </c>
      <c r="QQ16" s="38">
        <f>IF($CV16="P",CM16,(CM16+BJ16)/2)</f>
        <v>0</v>
      </c>
      <c r="QR16" s="38">
        <f>IF($CV16="P",CN16,(CN16+BK16)/2)</f>
        <v>9.1</v>
      </c>
      <c r="QS16" s="38">
        <f>IF($CV16="P",CO16,(CO16+BL16)/2)</f>
        <v>2.8</v>
      </c>
      <c r="QT16" s="38">
        <f>IF($CV16="P",CP16,(CP16+BM16)/2)</f>
        <v>0</v>
      </c>
      <c r="QU16" s="38">
        <f>IF($CV16="P",CQ16,(CQ16+BN16)/2)</f>
        <v>0</v>
      </c>
      <c r="QV16" s="38">
        <f>IF($CV16="P",CR16,(CR16+BO16)/2)</f>
        <v>9.3000000000000007</v>
      </c>
      <c r="QW16" s="38">
        <f>IF($CV16="P",CS16,(CS16+BP16)/2)</f>
        <v>3.2</v>
      </c>
      <c r="QX16" s="38">
        <f>IF($CV16="P",CT16,(CT16+BQ16)/2)</f>
        <v>0</v>
      </c>
      <c r="QY16" s="38">
        <f>IF($CV16="P",CU16,(CU16+BR16)/2)</f>
        <v>0</v>
      </c>
      <c r="QZ16" s="45" t="s">
        <v>46</v>
      </c>
      <c r="RA16" s="79">
        <f>IF(SUM(QG16,QK16)&gt;0,SUM(QG16,QK16),"")</f>
        <v>6.0000499999999999</v>
      </c>
      <c r="RB16" s="79">
        <f>IF(SUM(QF16:QG16,QI16:QK16,QM16)-QH16-QL16&gt;0,SUM(QF16:QG16,QI16:QK16,QM16)-QH16-QL16,"")</f>
        <v>24.050049999999995</v>
      </c>
      <c r="RC16" s="79">
        <f>IF(SUM(QN16:QO16,QQ16)-QP16&gt;0,SUM(QN16:QO16,QQ16)-QP16,"")</f>
        <v>11.1</v>
      </c>
      <c r="RD16" s="79">
        <f>IF(SUM(QG16,QK16,QO16)&gt;0,SUM(QG16,QK16,QO16),"")</f>
        <v>8.0000499999999999</v>
      </c>
      <c r="RE16" s="79">
        <f>IF(SUM(RB16,RC16)&gt;0,SUM(RB16,RC16),"")</f>
        <v>35.150049999999993</v>
      </c>
      <c r="RF16" s="79">
        <f>IF(SUM(QS16,QW16)&gt;0,SUM(QS16,QW16),"")</f>
        <v>6</v>
      </c>
      <c r="RG16" s="79">
        <f>IF(SUM(QR16:QS16,QU16:QW16,QY16)-SUM(QT16,QX16)&gt;0,SUM(QR16:QS16,QU16:QW16,QY16)-SUM(QT16,QX16),"")</f>
        <v>24.4</v>
      </c>
      <c r="RH16" s="79">
        <f>IF(SUM(RB16,RG16)&gt;0,SUM(RB16,RG16),"")</f>
        <v>48.45004999999999</v>
      </c>
    </row>
    <row r="17" spans="1:476" x14ac:dyDescent="0.2">
      <c r="A17" s="5" t="str">
        <f>IF(AND(F17="P",G17="P"),SUMPRODUCT((F$4:F$27="P")*(G$4:G$27="P")*(E$4:E$27&gt;E17))+1,IF(G17="P",SUMPRODUCT((F$4:F$27="")*(G$4:G$27="P")*(E$4:E$27&gt;E17))+1+SUMPRODUCT((F$4:F$27="P")*(G$4:G$27="P")),""))</f>
        <v/>
      </c>
      <c r="B17" s="78" t="s">
        <v>70</v>
      </c>
      <c r="C17" s="5" t="s">
        <v>6</v>
      </c>
      <c r="D17" s="5">
        <v>2004</v>
      </c>
      <c r="E17" s="15">
        <f>SUM(I17:S17)+SUM(I17:O17)*0.0000001+SUM(I17)*0.0000000000001</f>
        <v>118.70000710000474</v>
      </c>
      <c r="F17" s="3" t="str">
        <f>IF(OR(AND(AQ17&gt;=AX$29,AR17&gt;=AX$33,AQ17&lt;&gt;"",AP17=""),AND(AV17&gt;=AX$29,AW17&gt;=AX$33,AV17&lt;&gt;"",AP17=""),AND(BT17&gt;=CA$29,BU17&gt;=CA$33,BT17&lt;&gt;"",BS17=""),AND(BY17&gt;=CA$29,BZ17&gt;=CA$33,BY17&lt;&gt;"",BS17=""),AND(CW17&gt;=DD$29,CX17&gt;=DD$33,CW17&lt;&gt;"",CV17=""),AND(DB17&gt;=DD$29,DC17&gt;=DD$33,DB17&lt;&gt;""),AND(EB17&gt;=EI$29,EC17&gt;=EI$33,EB17&lt;&gt;""),AND(EG17&gt;=EI$29,EH17&gt;=EI$33,EG17&lt;&gt;""),AND(FD17&gt;=FK$29,FE17&gt;=FK$33,FD17&lt;&gt;""),AND(FI17&gt;=FK$29,FJ17&gt;=FK$33,FI17&lt;&gt;""),AND(GF17&gt;=GM$29,GG17&gt;=GM$33,GF17&lt;&gt;""),AND(GK17&gt;=GM$29,GL17&gt;=GM$33,GK17&lt;&gt;""),AND(HH17&gt;=HO$29,HI17&gt;=HO$33,HH17&lt;&gt;""),AND(HM17&gt;=HO$29,HN17&gt;=HO$33,HM17&lt;&gt;""),AND(IJ17&gt;=IQ$29,IK17&gt;=IQ$33,IJ17&lt;&gt;""),AND(IO17&gt;=IQ$29,IP17&gt;=IQ$33,IO17&lt;&gt;""),AND(JL17&gt;=JS$29,JM17&gt;=JS$33,JL17&lt;&gt;""),AND(JQ17&gt;=JS$29,JR17&gt;=JS$33,JQ17&lt;&gt;""),AND(KN17&gt;=KU$29,KO17&gt;=KU$33,KN17&lt;&gt;""),AND(KS17&gt;=KU$29,KT17&gt;=KU$33,KS17&lt;&gt;""),AND(LP17&gt;=LW$29,LQ17&gt;=LW$33,LP17&lt;&gt;""),AND(LU17&gt;=LW$29,LV17&gt;=LW$33,LU17&lt;&gt;""),AND(MR17&gt;=MY$29,MS17&gt;=MY$33,MR17&lt;&gt;""),AND(MW17&gt;=MY$29,MX17&gt;=MY$33,MW17&lt;&gt;""),AND(NT17&gt;=OA$29,NU17&gt;=OA$33,NT17&lt;&gt;""),AND(NY17&gt;=OA$29,NZ17&gt;=OA$33,NY17&lt;&gt;""),AND(OV17&gt;=PC$29,OW17&gt;=PC$33,OV17&lt;&gt;""),AND(PA17&gt;=PC$29,PB17&gt;=PC$33,PA17&lt;&gt;""),AND(PX17&gt;=QE$29,PY17&gt;=QE$33,PX17&lt;&gt;""),AND(QC17&gt;=QE$29,QD17&gt;=QE$33,QC17&lt;&gt;"")),"P","")</f>
        <v/>
      </c>
      <c r="G17" s="3" t="str">
        <f>IF(OR(AND(AR17&gt;=AX$33,AR17&lt;&gt;"",AP17=""),AND(AW17&gt;=AX$33,AW17&lt;&gt;"",AP17=""),AND(BU17&gt;=CA$33,BU17&lt;&gt;"",BS17=""),AND(BZ17&gt;=CA$33,BZ17&lt;&gt;"",BS17=""),AND(CX17&gt;=DD$33,CX17&lt;&gt;"",CV17=""),AND(DC17&gt;=DD$33,DC17&lt;&gt;"",CV17=""),AND(EC17&gt;=EI$33,EC17&lt;&gt;""),AND(EH17&gt;=EI$33,EH17&lt;&gt;""),AND(FE17&gt;=FK$33,FE17&lt;&gt;""),AND(FJ17&gt;=FK$33,FJ17&lt;&gt;""),AND(GG17&gt;=GM$33,GG17&lt;&gt;""),AND(GL17&gt;=GM$33,GL17&lt;&gt;""),AND(HI17&gt;=HO$33,HI17&lt;&gt;""),AND(HN17&gt;=HO$33,HN17&lt;&gt;""),AND(IK17&gt;=IQ$33,IK17&lt;&gt;""),AND(IP17&gt;=IQ$33,IP17&lt;&gt;""),AND(JM17&gt;=JS$33,JM17&lt;&gt;""),AND(JR17&gt;=JS$33,JR17&lt;&gt;""),AND(KO17&gt;=KU$33,KO17&lt;&gt;""),AND(KT17&gt;=KU$33,KT17&lt;&gt;""),AND(LQ17&gt;=LW$33,LQ17&lt;&gt;""),AND(LV17&gt;=LW$33,LV17&lt;&gt;""),AND(MS17&gt;=MY$33,MS17&lt;&gt;""),AND(MX17&gt;=MY$33,MX17&lt;&gt;""),AND(NU17&gt;=OA$33,NU17&lt;&gt;""),AND(NZ17&gt;=OA$33,NZ17&lt;&gt;""),AND(OW17&gt;=PC$33,OW17&lt;&gt;""),AND(PB17&gt;=PC$33,PB17&lt;&gt;""),AND(PY17&gt;=QE$33,PY17&lt;&gt;""),AND(QD17&gt;=QE$33,QD17&lt;&gt;"")),"P","")</f>
        <v/>
      </c>
      <c r="H17" s="67" t="str">
        <f>IF(AND(G17="P",F17=""),"No DD",IF(OR(AND(AT17&gt;=AX$32,AU17&gt;=AX$36,AT17&lt;&gt;"",AP17=""),AND(BW17&gt;=CA$32,BX17&gt;=CA$36,BW17&lt;&gt;"",BS17=""),AND(CZ17&gt;=DD$32,DA17&gt;=DD$36,CZ17&lt;&gt;"",CV17=""),AND(EE17&gt;=EI$32,EF17&gt;=EI$36,EE17&lt;&gt;""),AND(FG17&gt;=FK$32,FH17&gt;=FK$36,FG17&lt;&gt;""),AND(GI17&gt;=GM$32,GJ17&gt;=GM$36,GI17&lt;&gt;""),AND(HK17&gt;=HO$32,HL17&gt;=HO$36,HK17&lt;&gt;""),AND(IM17&gt;=IQ$32,IN17&gt;=IQ$36,IM17&lt;&gt;""),AND(JO17&gt;=JS$32,JP17&gt;=JS$36,JO17&lt;&gt;""),AND(KQ17&gt;=KU$32,KR17&gt;=KU$36,KQ17&lt;&gt;""),AND(LS17&gt;=LW$32,LT17&gt;=LW$36,LS17&lt;&gt;""),AND(MU17&gt;=MY$32,MV17&gt;=MY$36,MU17&lt;&gt;""),AND(NW17&gt;=OA$32,NX17&gt;=OA$36,NW17&lt;&gt;""),AND(OY17&gt;=PC$32,OZ17&gt;=PC$36,OY17&lt;&gt;""),AND(QA17&gt;=QE$32,QB17&gt;=QE$36,QA17&lt;&gt;"")),"Merit",IF(OR(AND(AT17&gt;=AX$31,AU17&gt;=AX$35,AT17&lt;&gt;"",AP17=""),AND(BW17&gt;=CA$31,BX17&gt;=CA$35,BW17&lt;&gt;"",BS17=""),AND(CZ17&gt;=DD$31,DA17&gt;=DD$35,CZ17&lt;&gt;"",CV17=""),AND(EE17&gt;=EI$31,EF17&gt;=EI$35,EE17&lt;&gt;""),AND(FG17&gt;=FK$31,FH17&gt;=FK$35,FG17&lt;&gt;""),AND(GI17&gt;=GM$31,GJ17&gt;=GM$35,GI17&lt;&gt;""),AND(HK17&gt;=HO$31,HL17&gt;=HO$35,HK17&lt;&gt;""),AND(IM17&gt;=IQ$31,IN17&gt;=IQ$35,IM17&lt;&gt;""),AND(JO17&gt;=JS$31,JP17&gt;=JS$35,JO17&lt;&gt;""),AND(KQ17&gt;=KU$31,KR17&gt;=KU$35,KQ17&lt;&gt;""),AND(LS17&gt;=LW$31,LT17&gt;=LW$35,LS17&lt;&gt;""),AND(MU17&gt;=MY$31,MV17&gt;=MY$35,MU17&lt;&gt;""),AND(NW17&gt;=OA$31,NX17&gt;=OA$35,NW17&lt;&gt;""),AND(OY17&gt;=PC$31,OZ17&gt;=PC$35,OY17&lt;&gt;""),AND(QA17&gt;=QE$31,QB17&gt;=QE$35,QA17&lt;&gt;"")),"Excellence",IF(F17="P","National Team",""))))</f>
        <v/>
      </c>
      <c r="I17" s="14">
        <f>IF(COUNT(AR17,BU17,CX17)&gt;0,LARGE((AR17,BU17,CX17),1),0)</f>
        <v>47.300000000000004</v>
      </c>
      <c r="J17" s="14" t="str">
        <f>IF(I17=0,"",IF(I17=CX17,$CB$1,IF(I17=BU17,$AY$1,IF(I17=AR17,$V$1,""))))</f>
        <v>2022 Elite Canada</v>
      </c>
      <c r="K17" s="14">
        <f>IF(COUNT(AR17,BU17,CX17)&gt;1,LARGE((AR17,BU17,CX17),2),0)</f>
        <v>0</v>
      </c>
      <c r="L17" s="14" t="str">
        <f>IF(K17=0,"",IF(K17=CX17,$CB$1,IF(K17=BU17,$AY$1,IF(K17=AR17,$V$1,""))))</f>
        <v/>
      </c>
      <c r="M17" s="14">
        <f>IF(COUNT(AS17,BV17,CY17)&gt;0,LARGE((AS17,BV17,CY17),1),0)</f>
        <v>23.7</v>
      </c>
      <c r="N17" s="14" t="str">
        <f>IF(M17=0,"",IF(M17=CY17,$CB$1,IF(M17=BV17,$AY$1,IF(M17=AS17,$V$1,""))))</f>
        <v>2022 Elite Canada</v>
      </c>
      <c r="O17" s="14">
        <f>IF(COUNT(AS17,BV17,CY17)&gt;1,LARGE((AS17,BV17,CY17),2),0)</f>
        <v>0</v>
      </c>
      <c r="P17" s="14" t="str">
        <f>IF(O17=0,"",IF(O17=CY17,$CB$1,IF(O17=BV17,$AY$1,IF(O17=AS17,$V$1,""))))</f>
        <v/>
      </c>
      <c r="Q17" s="14">
        <f>IF(MAX(AW17,BZ17,DC17)&gt;0,MAX(AW17,BZ17,DC17),0)</f>
        <v>47.7</v>
      </c>
      <c r="R17" s="14" t="str">
        <f>IF(Q17=0,"",IF(Q17=DC17,$CB$1,IF(Q17=BZ17,$AY$1,IF(Q17=AW17,$V$1,""))))</f>
        <v>2022 Elite Canada</v>
      </c>
      <c r="S17" s="14" t="str">
        <f>IF(MAX(DE17:DG17)&gt;0,MAX(DE17:DG17),"")</f>
        <v/>
      </c>
      <c r="T17" s="20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45"/>
      <c r="AQ17" s="79" t="str">
        <f>IF(SUM(W17,AA17)&gt;0,SUM(W17,AA17),"")</f>
        <v/>
      </c>
      <c r="AR17" s="79" t="str">
        <f>IF(SUM(V17:W17,Y17:AA17,AC17)-X17-AB17&gt;0,SUM(V17:W17,Y17:AA17,AC17)-X17-AB17,"")</f>
        <v/>
      </c>
      <c r="AS17" s="79" t="str">
        <f>IF(SUM(AD17:AE17,AG17)-AF17&gt;0,SUM(AD17:AE17,AG17)-AF17,"")</f>
        <v/>
      </c>
      <c r="AT17" s="79" t="str">
        <f>IF(SUM(W17,AA17,AE17)&gt;0,SUM(W17,AA17,AE17),"")</f>
        <v/>
      </c>
      <c r="AU17" s="79" t="str">
        <f>IF(SUM(AR17,AS17)&gt;0,SUM(AR17,AS17),"")</f>
        <v/>
      </c>
      <c r="AV17" s="79" t="str">
        <f>IF(SUM(AI17,AM17)&gt;0,SUM(AI17,AM17),"")</f>
        <v/>
      </c>
      <c r="AW17" s="79" t="str">
        <f>IF(SUM(AH17:AI17,AK17:AM17,AO17)-SUM(AJ17,AN17)&gt;0,SUM(AH17:AI17,AK17:AM17,AO17)-SUM(AJ17,AN17),"")</f>
        <v/>
      </c>
      <c r="AX17" s="79" t="str">
        <f>IF(SUM(AR17,AW17)&gt;0,SUM(AR17,AW17),"")</f>
        <v/>
      </c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46"/>
      <c r="BT17" s="20" t="str">
        <f>IF(SUM(AZ17,BD17)&gt;0,SUM(AZ17,BD17),"")</f>
        <v/>
      </c>
      <c r="BU17" s="20" t="str">
        <f>IF(SUM(AY17:AZ17,BB17:BD17,BF17)-BA17-BE17&gt;0,SUM(AY17:AZ17,BB17:BD17,BF17)-BA17-BE17,"")</f>
        <v/>
      </c>
      <c r="BV17" s="20" t="str">
        <f>IF(SUM(BG17:BH17,BJ17)-BI17&gt;0,SUM(BG17:BH17,BJ17)-BI17,"")</f>
        <v/>
      </c>
      <c r="BW17" s="20" t="str">
        <f>IF(SUM(AZ17,BD17,BH17)&gt;0,SUM(AZ17,BD17,BH17),"")</f>
        <v/>
      </c>
      <c r="BX17" s="20" t="str">
        <f>IF(SUM(BU17,BV17)&gt;0,SUM(BU17,BV17),"")</f>
        <v/>
      </c>
      <c r="BY17" s="20" t="str">
        <f>IF(SUM(BL17,BP17)&gt;0,SUM(BL17,BP17),"")</f>
        <v/>
      </c>
      <c r="BZ17" s="20" t="str">
        <f>IF(SUM(BK17:BL17,BN17:BP17,BR17)-SUM(BM17,BQ17)&gt;0,SUM(BK17:BL17,BN17:BP17,BR17)-SUM(BM17,BQ17),"")</f>
        <v/>
      </c>
      <c r="CA17" s="20" t="str">
        <f>IF(SUM(BU17,BZ17)&gt;0,SUM(BU17,BZ17),"")</f>
        <v/>
      </c>
      <c r="CB17" s="27">
        <v>18.600000000000001</v>
      </c>
      <c r="CC17" s="27">
        <v>5.2</v>
      </c>
      <c r="CD17" s="27">
        <v>0.6</v>
      </c>
      <c r="CE17" s="27">
        <v>0</v>
      </c>
      <c r="CF17" s="27">
        <v>18.899999999999999</v>
      </c>
      <c r="CG17" s="27">
        <v>5.2</v>
      </c>
      <c r="CH17" s="27">
        <v>0</v>
      </c>
      <c r="CI17" s="27">
        <v>0</v>
      </c>
      <c r="CJ17" s="27">
        <v>19.399999999999999</v>
      </c>
      <c r="CK17" s="27">
        <v>4.3</v>
      </c>
      <c r="CL17" s="27">
        <v>0</v>
      </c>
      <c r="CM17" s="27">
        <v>0</v>
      </c>
      <c r="CN17" s="27">
        <v>18.8</v>
      </c>
      <c r="CO17" s="27">
        <v>5.2</v>
      </c>
      <c r="CP17" s="27">
        <v>0</v>
      </c>
      <c r="CQ17" s="27">
        <v>0</v>
      </c>
      <c r="CR17" s="27">
        <v>18.7</v>
      </c>
      <c r="CS17" s="27">
        <v>5.2</v>
      </c>
      <c r="CT17" s="27">
        <v>0.2</v>
      </c>
      <c r="CU17" s="27">
        <v>0</v>
      </c>
      <c r="CV17" s="45"/>
      <c r="CW17" s="79">
        <f>IF(SUM(CC17,CG17)&gt;0,SUM(CC17,CG17),"")</f>
        <v>10.4</v>
      </c>
      <c r="CX17" s="79">
        <f>IF(SUM(CB17:CC17,CE17:CG17,CI17)-CD17-CH17&gt;0,SUM(CB17:CC17,CE17:CG17,CI17)-CD17-CH17,"")</f>
        <v>47.300000000000004</v>
      </c>
      <c r="CY17" s="79">
        <f>IF(SUM(CJ17:CK17,CM17)-CL17&gt;0,SUM(CJ17:CK17,CM17)-CL17,"")</f>
        <v>23.7</v>
      </c>
      <c r="CZ17" s="79">
        <f>IF(SUM(CC17,CG17,CK17)&gt;0,SUM(CC17,CG17,CK17),"")</f>
        <v>14.7</v>
      </c>
      <c r="DA17" s="79">
        <f>IF(SUM(CX17,CY17)&gt;0,SUM(CX17,CY17),"")</f>
        <v>71</v>
      </c>
      <c r="DB17" s="79">
        <f>IF(SUM(CO17,CS17)&gt;0,SUM(CO17,CS17),"")</f>
        <v>10.4</v>
      </c>
      <c r="DC17" s="79">
        <f>IF(SUM(CN17:CO17,CQ17:CS17,CU17)-SUM(CP17,CT17)&gt;0,SUM(CN17:CO17,CQ17:CS17,CU17)-SUM(CP17,CT17),"")</f>
        <v>47.7</v>
      </c>
      <c r="DD17" s="79">
        <f>IF(SUM(CX17,DC17)&gt;0,SUM(CX17,DC17),"")</f>
        <v>95</v>
      </c>
      <c r="DE17" s="80" t="str">
        <f>IF(K17&gt;=0.001,IF(MAX(EC17,FE17,GG17,HI17,IK17,JM17,KO17,LQ17,MS17,NU17,OW17,PY17)-IF(K17="",0,K17)&gt;0.001,MAX(EC17,FE17,GG17,HI17,IK17,JM17,KO17,LQ17,MS17,NU17,OW17,PY17)-IF(K17="",0,K17),""),"")</f>
        <v/>
      </c>
      <c r="DF17" s="80" t="str">
        <f>IF(O17&gt;=0.001,IF(MAX(ED17,FF17,GH17,HJ17,IL17,JN17,KP17,LR17,MT17,NV17,OX17,PZ17)-IF(O17="",0,O17)&gt;0.001,MAX(ED17,FF17,GH17,HJ17,IL17,JN17,KP17,LR17,MT17,NV17,OX17,PZ17)-IF(O17="",0,O17),""),"")</f>
        <v/>
      </c>
      <c r="DG17" s="80" t="str">
        <f>IF(Q17&gt;=0.001,IF(MAX(EH17,FJ17,GL17,HN17,IP17,JR17,KT17,LV17,MX17,NZ17,PB17,QD17)-IF(Q17="",0,Q17)&gt;0.001,MAX(EH17,FJ17,GL17,HN17,IP17,JR17,KT17,LV17,MX17,NZ17,PB17,QD17)-IF(Q17="",0,Q17),""),"")</f>
        <v/>
      </c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79" t="str">
        <f>IF(SUM(DI17,DM17)&gt;0,SUM(DI17,DM17),"")</f>
        <v/>
      </c>
      <c r="EC17" s="79" t="str">
        <f>IF(SUM(DH17:DI17,DK17:DM17,DO17)-DJ17-DN17&gt;0,SUM(DH17:DI17,DK17:DM17,DO17)-DJ17-DN17,"")</f>
        <v/>
      </c>
      <c r="ED17" s="79" t="str">
        <f>IF(SUM(DP17:DQ17,DS17)-DR17&gt;0,SUM(DP17:DQ17,DS17)-DR17,"")</f>
        <v/>
      </c>
      <c r="EE17" s="79" t="str">
        <f>IF(SUM(DI17,DM17,DQ17)&gt;0,SUM(DI17,DM17,DQ17),"")</f>
        <v/>
      </c>
      <c r="EF17" s="79" t="str">
        <f>IF(SUM(EC17,ED17)&gt;0,SUM(EC17,ED17),"")</f>
        <v/>
      </c>
      <c r="EG17" s="79" t="str">
        <f>IF(SUM(DU17,DY17)&gt;0,SUM(DU17,DY17),"")</f>
        <v/>
      </c>
      <c r="EH17" s="79" t="str">
        <f>IF(SUM(DT17:DU17,DW17:DY17,EA17)-SUM(DV17,DZ17)&gt;0,SUM(DT17:DU17,DW17:DY17,EA17)-SUM(DV17,DZ17),"")</f>
        <v/>
      </c>
      <c r="EI17" s="79" t="str">
        <f>IF(SUM(EC17,EH17)&gt;0,SUM(EC17,EH17),"")</f>
        <v/>
      </c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0" t="str">
        <f>IF(SUM(EK17,EO17)&gt;0,SUM(EK17,EO17),"")</f>
        <v/>
      </c>
      <c r="FE17" s="20" t="str">
        <f>IF(SUM(EJ17:EK17,EM17:EO17,EQ17)-EL17-EP17&gt;0,SUM(EJ17:EK17,EM17:EO17,EQ17)-EL17-EP17,"")</f>
        <v/>
      </c>
      <c r="FF17" s="20" t="str">
        <f>IF(SUM(ER17:ES17,EU17)-ET17&gt;0,SUM(ER17:ES17,EU17)-ET17,"")</f>
        <v/>
      </c>
      <c r="FG17" s="20" t="str">
        <f>IF(SUM(EK17,EO17,ES17)&gt;0,SUM(EK17,EO17,ES17),"")</f>
        <v/>
      </c>
      <c r="FH17" s="20" t="str">
        <f>IF(SUM(FE17,FF17)&gt;0,SUM(FE17,FF17),"")</f>
        <v/>
      </c>
      <c r="FI17" s="20" t="str">
        <f>IF(SUM(EW17,FA17)&gt;0,SUM(EW17,FA17),"")</f>
        <v/>
      </c>
      <c r="FJ17" s="20" t="str">
        <f>IF(SUM(EV17:EW17,EY17:FA17,FC17)-SUM(EX17,FB17)&gt;0,SUM(EV17:EW17,EY17:FA17,FC17)-SUM(EX17,FB17),"")</f>
        <v/>
      </c>
      <c r="FK17" s="20" t="str">
        <f>IF(SUM(FE17,FJ17)&gt;0,SUM(FE17,FJ17),"")</f>
        <v/>
      </c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79" t="str">
        <f>IF(SUM(FM17,FQ17)&gt;0,SUM(FM17,FQ17),"")</f>
        <v/>
      </c>
      <c r="GG17" s="79" t="str">
        <f>IF(SUM(FL17:FM17,FO17:FQ17,FS17)-FN17-FR17&gt;0,SUM(FL17:FM17,FO17:FQ17,FS17)-FN17-FR17,"")</f>
        <v/>
      </c>
      <c r="GH17" s="79" t="str">
        <f>IF(SUM(FT17:FU17,FW17)-FV17&gt;0,SUM(FT17:FU17,FW17)-FV17,"")</f>
        <v/>
      </c>
      <c r="GI17" s="79" t="str">
        <f>IF(SUM(FM17,FQ17,FU17)&gt;0,SUM(FM17,FQ17,FU17),"")</f>
        <v/>
      </c>
      <c r="GJ17" s="79" t="str">
        <f>IF(SUM(GG17,GH17)&gt;0,SUM(GG17,GH17),"")</f>
        <v/>
      </c>
      <c r="GK17" s="79" t="str">
        <f>IF(SUM(FY17,GC17)&gt;0,SUM(FY17,GC17),"")</f>
        <v/>
      </c>
      <c r="GL17" s="79" t="str">
        <f>IF(SUM(FX17:FY17,GA17:GC17,GE17)-SUM(FZ17,GD17)&gt;0,SUM(FX17:FY17,GA17:GC17,GE17)-SUM(FZ17,GD17),"")</f>
        <v/>
      </c>
      <c r="GM17" s="79" t="str">
        <f>IF(SUM(GG17,GL17)&gt;0,SUM(GG17,GL17),"")</f>
        <v/>
      </c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0" t="str">
        <f>IF(SUM(GO17,GS17)&gt;0,SUM(GO17,GS17),"")</f>
        <v/>
      </c>
      <c r="HI17" s="20" t="str">
        <f>IF(SUM(GN17:GO17,GQ17:GS17,GU17)-GP17-GT17&gt;0,SUM(GN17:GO17,GQ17:GS17,GU17)-GP17-GT17,"")</f>
        <v/>
      </c>
      <c r="HJ17" s="20" t="str">
        <f>IF(SUM(GV17:GW17,GY17)-GX17&gt;0,SUM(GV17:GW17,GY17)-GX17,"")</f>
        <v/>
      </c>
      <c r="HK17" s="20" t="str">
        <f>IF(SUM(GO17,GS17,GW17)&gt;0,SUM(GO17,GS17,GW17),"")</f>
        <v/>
      </c>
      <c r="HL17" s="20" t="str">
        <f>IF(SUM(HI17,HJ17)&gt;0,SUM(HI17,HJ17),"")</f>
        <v/>
      </c>
      <c r="HM17" s="20" t="str">
        <f>IF(SUM(HA17,HE17)&gt;0,SUM(HA17,HE17),"")</f>
        <v/>
      </c>
      <c r="HN17" s="20" t="str">
        <f>IF(SUM(GZ17:HA17,HC17:HE17,HG17)-SUM(HB17,HF17)&gt;0,SUM(GZ17:HA17,HC17:HE17,HG17)-SUM(HB17,HF17),"")</f>
        <v/>
      </c>
      <c r="HO17" s="20" t="str">
        <f>IF(SUM(HI17,HN17)&gt;0,SUM(HI17,HN17),"")</f>
        <v/>
      </c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79" t="str">
        <f>IF(SUM(HQ17,HU17)&gt;0,SUM(HQ17,HU17),"")</f>
        <v/>
      </c>
      <c r="IK17" s="79" t="str">
        <f>IF(SUM(HP17:HQ17,HS17:HU17,HW17)-HR17-HV17&gt;0,SUM(HP17:HQ17,HS17:HU17,HW17)-HR17-HV17,"")</f>
        <v/>
      </c>
      <c r="IL17" s="79" t="str">
        <f>IF(SUM(HX17:HY17,IA17)-HZ17&gt;0,SUM(HX17:HY17,IA17)-HZ17,"")</f>
        <v/>
      </c>
      <c r="IM17" s="79" t="str">
        <f>IF(SUM(HQ17,HU17,HY17)&gt;0,SUM(HQ17,HU17,HY17),"")</f>
        <v/>
      </c>
      <c r="IN17" s="79" t="str">
        <f>IF(SUM(IK17,IL17)&gt;0,SUM(IK17,IL17),"")</f>
        <v/>
      </c>
      <c r="IO17" s="79" t="str">
        <f>IF(SUM(IC17,IG17)&gt;0,SUM(IC17,IG17),"")</f>
        <v/>
      </c>
      <c r="IP17" s="79" t="str">
        <f>IF(SUM(IB17:IC17,IE17:IG17,II17)-SUM(ID17,IH17)&gt;0,SUM(IB17:IC17,IE17:IG17,II17)-SUM(ID17,IH17),"")</f>
        <v/>
      </c>
      <c r="IQ17" s="79" t="str">
        <f>IF(SUM(IK17,IP17)&gt;0,SUM(IK17,IP17),"")</f>
        <v/>
      </c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0" t="str">
        <f>IF(SUM(IS17,IW17)&gt;0,SUM(IS17,IW17),"")</f>
        <v/>
      </c>
      <c r="JM17" s="20" t="str">
        <f>IF(SUM(IR17:IS17,IU17:IW17,IY17)-IT17-IX17&gt;0,SUM(IR17:IS17,IU17:IW17,IY17)-IT17-IX17,"")</f>
        <v/>
      </c>
      <c r="JN17" s="20" t="str">
        <f>IF(SUM(IZ17:JA17,JC17)-JB17&gt;0,SUM(IZ17:JA17,JC17)-JB17,"")</f>
        <v/>
      </c>
      <c r="JO17" s="20" t="str">
        <f>IF(SUM(IS17,IW17,JA17)&gt;0,SUM(IS17,IW17,JA17),"")</f>
        <v/>
      </c>
      <c r="JP17" s="20" t="str">
        <f>IF(SUM(JM17,JN17)&gt;0,SUM(JM17,JN17),"")</f>
        <v/>
      </c>
      <c r="JQ17" s="20" t="str">
        <f>IF(SUM(JE17,JI17)&gt;0,SUM(JE17,JI17),"")</f>
        <v/>
      </c>
      <c r="JR17" s="20" t="str">
        <f>IF(SUM(JD17:JE17,JG17:JI17,JK17)-SUM(JF17,JJ17)&gt;0,SUM(JD17:JE17,JG17:JI17,JK17)-SUM(JF17,JJ17),"")</f>
        <v/>
      </c>
      <c r="JS17" s="20" t="str">
        <f>IF(SUM(JM17,JR17)&gt;0,SUM(JM17,JR17),"")</f>
        <v/>
      </c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79" t="str">
        <f>IF(SUM(JU17,JY17)&gt;0,SUM(JU17,JY17),"")</f>
        <v/>
      </c>
      <c r="KO17" s="79" t="str">
        <f>IF(SUM(JT17:JU17,JW17:JY17,KA17)-JV17-JZ17&gt;0,SUM(JT17:JU17,JW17:JY17,KA17)-JV17-JZ17,"")</f>
        <v/>
      </c>
      <c r="KP17" s="79" t="str">
        <f>IF(SUM(KB17:KC17,KE17)-KD17&gt;0,SUM(KB17:KC17,KE17)-KD17,"")</f>
        <v/>
      </c>
      <c r="KQ17" s="79" t="str">
        <f>IF(SUM(JU17,JY17,KC17)&gt;0,SUM(JU17,JY17,KC17),"")</f>
        <v/>
      </c>
      <c r="KR17" s="79" t="str">
        <f>IF(SUM(KO17,KP17)&gt;0,SUM(KO17,KP17),"")</f>
        <v/>
      </c>
      <c r="KS17" s="79" t="str">
        <f>IF(SUM(KG17,KK17)&gt;0,SUM(KG17,KK17),"")</f>
        <v/>
      </c>
      <c r="KT17" s="79" t="str">
        <f>IF(SUM(KF17:KG17,KI17:KK17,KM17)-SUM(KH17,KL17)&gt;0,SUM(KF17:KG17,KI17:KK17,KM17)-SUM(KH17,KL17),"")</f>
        <v/>
      </c>
      <c r="KU17" s="79" t="str">
        <f>IF(SUM(KO17,KT17)&gt;0,SUM(KO17,KT17),"")</f>
        <v/>
      </c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0" t="str">
        <f>IF(SUM(KW17,LA17)&gt;0,SUM(KW17,LA17),"")</f>
        <v/>
      </c>
      <c r="LQ17" s="20" t="str">
        <f>IF(SUM(KV17:KW17,KY17:LA17,LC17)-KX17-LB17&gt;0,SUM(KV17:KW17,KY17:LA17,LC17)-KX17-LB17,"")</f>
        <v/>
      </c>
      <c r="LR17" s="20" t="str">
        <f>IF(SUM(LD17:LE17,LG17)-LF17&gt;0,SUM(LD17:LE17,LG17)-LF17,"")</f>
        <v/>
      </c>
      <c r="LS17" s="20" t="str">
        <f>IF(SUM(KW17,LA17,LE17)&gt;0,SUM(KW17,LA17,LE17),"")</f>
        <v/>
      </c>
      <c r="LT17" s="20" t="str">
        <f>IF(SUM(LQ17,LR17)&gt;0,SUM(LQ17,LR17),"")</f>
        <v/>
      </c>
      <c r="LU17" s="20" t="str">
        <f>IF(SUM(LI17,LM17)&gt;0,SUM(LI17,LM17),"")</f>
        <v/>
      </c>
      <c r="LV17" s="20" t="str">
        <f>IF(SUM(LH17:LI17,LK17:LM17,LO17)-SUM(LJ17,LN17)&gt;0,SUM(LH17:LI17,LK17:LM17,LO17)-SUM(LJ17,LN17),"")</f>
        <v/>
      </c>
      <c r="LW17" s="20" t="str">
        <f>IF(SUM(LQ17,LV17)&gt;0,SUM(LQ17,LV17),"")</f>
        <v/>
      </c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79" t="str">
        <f>IF(SUM(LY17,MC17)&gt;0,SUM(LY17,MC17),"")</f>
        <v/>
      </c>
      <c r="MS17" s="79" t="str">
        <f>IF(SUM(LX17:LY17,MA17:MC17,ME17)-LZ17-MD17&gt;0,SUM(LX17:LY17,MA17:MC17,ME17)-LZ17-MD17,"")</f>
        <v/>
      </c>
      <c r="MT17" s="79" t="str">
        <f>IF(SUM(MF17:MG17,MI17)-MH17&gt;0,SUM(MF17:MG17,MI17)-MH17,"")</f>
        <v/>
      </c>
      <c r="MU17" s="79" t="str">
        <f>IF(SUM(LY17,MC17,MG17)&gt;0,SUM(LY17,MC17,MG17),"")</f>
        <v/>
      </c>
      <c r="MV17" s="79" t="str">
        <f>IF(SUM(MS17,MT17)&gt;0,SUM(MS17,MT17),"")</f>
        <v/>
      </c>
      <c r="MW17" s="79" t="str">
        <f>IF(SUM(MK17,MO17)&gt;0,SUM(MK17,MO17),"")</f>
        <v/>
      </c>
      <c r="MX17" s="79" t="str">
        <f>IF(SUM(MJ17:MK17,MM17:MO17,MQ17)-SUM(ML17,MP17)&gt;0,SUM(MJ17:MK17,MM17:MO17,MQ17)-SUM(ML17,MP17),"")</f>
        <v/>
      </c>
      <c r="MY17" s="79" t="str">
        <f>IF(SUM(MS17,MX17)&gt;0,SUM(MS17,MX17),"")</f>
        <v/>
      </c>
      <c r="MZ17" s="26"/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0" t="str">
        <f>IF(SUM(NA17,NE17)&gt;0,SUM(NA17,NE17),"")</f>
        <v/>
      </c>
      <c r="NU17" s="20" t="str">
        <f>IF(SUM(MZ17:NA17,NC17:NE17,NG17)-NB17-NF17&gt;0,SUM(MZ17:NA17,NC17:NE17,NG17)-NB17-NF17,"")</f>
        <v/>
      </c>
      <c r="NV17" s="20" t="str">
        <f>IF(SUM(NH17:NI17,NK17)-NJ17&gt;0,SUM(NH17:NI17,NK17)-NJ17,"")</f>
        <v/>
      </c>
      <c r="NW17" s="20" t="str">
        <f>IF(SUM(NA17,NE17,NI17)&gt;0,SUM(NA17,NE17,NI17),"")</f>
        <v/>
      </c>
      <c r="NX17" s="20" t="str">
        <f>IF(SUM(NU17,NV17)&gt;0,SUM(NU17,NV17),"")</f>
        <v/>
      </c>
      <c r="NY17" s="20" t="str">
        <f>IF(SUM(NM17,NQ17)&gt;0,SUM(NM17,NQ17),"")</f>
        <v/>
      </c>
      <c r="NZ17" s="20" t="str">
        <f>IF(SUM(NL17:NM17,NO17:NQ17,NS17)-SUM(NN17,NR17)&gt;0,SUM(NL17:NM17,NO17:NQ17,NS17)-SUM(NN17,NR17),"")</f>
        <v/>
      </c>
      <c r="OA17" s="20" t="str">
        <f>IF(SUM(NU17,NZ17)&gt;0,SUM(NU17,NZ17),"")</f>
        <v/>
      </c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79" t="str">
        <f>IF(SUM(OC17,OG17)&gt;0,SUM(OC17,OG17),"")</f>
        <v/>
      </c>
      <c r="OW17" s="79" t="str">
        <f>IF(SUM(OB17:OC17,OE17:OG17,OI17)-OD17-OH17&gt;0,SUM(OB17:OC17,OE17:OG17,OI17)-OD17-OH17,"")</f>
        <v/>
      </c>
      <c r="OX17" s="79" t="str">
        <f>IF(SUM(OJ17:OK17,OM17)-OL17&gt;0,SUM(OJ17:OK17,OM17)-OL17,"")</f>
        <v/>
      </c>
      <c r="OY17" s="79" t="str">
        <f>IF(SUM(OC17,OG17,OK17)&gt;0,SUM(OC17,OG17,OK17),"")</f>
        <v/>
      </c>
      <c r="OZ17" s="79" t="str">
        <f>IF(SUM(OW17,OX17)&gt;0,SUM(OW17,OX17),"")</f>
        <v/>
      </c>
      <c r="PA17" s="79" t="str">
        <f>IF(SUM(OO17,OS17)&gt;0,SUM(OO17,OS17),"")</f>
        <v/>
      </c>
      <c r="PB17" s="79" t="str">
        <f>IF(SUM(ON17:OO17,OQ17:OS17,OU17)-SUM(OP17,OT17)&gt;0,SUM(ON17:OO17,OQ17:OS17,OU17)-SUM(OP17,OT17),"")</f>
        <v/>
      </c>
      <c r="PC17" s="79" t="str">
        <f>IF(SUM(OW17,PB17)&gt;0,SUM(OW17,PB17),"")</f>
        <v/>
      </c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0" t="str">
        <f>IF(SUM(PE17,PI17)&gt;0,SUM(PE17,PI17),"")</f>
        <v/>
      </c>
      <c r="PY17" s="20" t="str">
        <f>IF(SUM(PD17:PE17,PG17:PI17,PK17)-PF17-PJ17&gt;0,SUM(PD17:PE17,PG17:PI17,PK17)-PF17-PJ17,"")</f>
        <v/>
      </c>
      <c r="PZ17" s="20" t="str">
        <f>IF(SUM(PL17:PM17,PO17)-PN17&gt;0,SUM(PL17:PM17,PO17)-PN17,"")</f>
        <v/>
      </c>
      <c r="QA17" s="20" t="str">
        <f>IF(SUM(PE17,PI17,PM17)&gt;0,SUM(PE17,PI17,PM17),"")</f>
        <v/>
      </c>
      <c r="QB17" s="20" t="str">
        <f>IF(SUM(PY17,PZ17)&gt;0,SUM(PY17,PZ17),"")</f>
        <v/>
      </c>
      <c r="QC17" s="20" t="str">
        <f>IF(SUM(PQ17,PU17)&gt;0,SUM(PQ17,PU17),"")</f>
        <v/>
      </c>
      <c r="QD17" s="20" t="str">
        <f>IF(SUM(PP17:PQ17,PS17:PU17,PW17)-SUM(PR17,PV17)&gt;0,SUM(PP17:PQ17,PS17:PU17,PW17)-SUM(PR17,PV17),"")</f>
        <v/>
      </c>
      <c r="QE17" s="20" t="str">
        <f>IF(SUM(PY17,QD17)&gt;0,SUM(PY17,QD17),"")</f>
        <v/>
      </c>
      <c r="QF17" s="38">
        <f>IF($CV17="P",CB17,(CB17+AY17)/2)</f>
        <v>9.3000000000000007</v>
      </c>
      <c r="QG17" s="38">
        <f>IF($CV17="P",CC17,(CC17+AZ17)/2)</f>
        <v>2.6</v>
      </c>
      <c r="QH17" s="38">
        <f>IF($CV17="P",CD17,(CD17+BA17)/2)</f>
        <v>0.3</v>
      </c>
      <c r="QI17" s="38">
        <f>IF($CV17="P",CE17,(CE17+BB17)/2)</f>
        <v>0</v>
      </c>
      <c r="QJ17" s="38">
        <f>IF($CV17="P",CF17,(CF17+BC17)/2)</f>
        <v>9.4499999999999993</v>
      </c>
      <c r="QK17" s="38">
        <f>IF($CV17="P",CG17,(CG17+BD17)/2)</f>
        <v>2.6</v>
      </c>
      <c r="QL17" s="38">
        <f>IF($CV17="P",CH17,(CH17+BE17)/2)</f>
        <v>0</v>
      </c>
      <c r="QM17" s="38">
        <f>IF($CV17="P",CI17,(CI17+BF17)/2)</f>
        <v>0</v>
      </c>
      <c r="QN17" s="38">
        <f>IF($CV17="P",CJ17,(CJ17+BG17)/2)</f>
        <v>9.6999999999999993</v>
      </c>
      <c r="QO17" s="38">
        <f>IF($CV17="P",CK17,(CK17+BH17)/2)</f>
        <v>2.15</v>
      </c>
      <c r="QP17" s="38">
        <f>IF($CV17="P",CL17,(CL17+BI17)/2)</f>
        <v>0</v>
      </c>
      <c r="QQ17" s="38">
        <f>IF($CV17="P",CM17,(CM17+BJ17)/2)</f>
        <v>0</v>
      </c>
      <c r="QR17" s="38">
        <f>IF($CV17="P",CN17,(CN17+BK17)/2)</f>
        <v>9.4</v>
      </c>
      <c r="QS17" s="38">
        <f>IF($CV17="P",CO17,(CO17+BL17)/2)</f>
        <v>2.6</v>
      </c>
      <c r="QT17" s="38">
        <f>IF($CV17="P",CP17,(CP17+BM17)/2)</f>
        <v>0</v>
      </c>
      <c r="QU17" s="38">
        <f>IF($CV17="P",CQ17,(CQ17+BN17)/2)</f>
        <v>0</v>
      </c>
      <c r="QV17" s="38">
        <f>IF($CV17="P",CR17,(CR17+BO17)/2)</f>
        <v>9.35</v>
      </c>
      <c r="QW17" s="38">
        <f>IF($CV17="P",CS17,(CS17+BP17)/2)</f>
        <v>2.6</v>
      </c>
      <c r="QX17" s="38">
        <f>IF($CV17="P",CT17,(CT17+BQ17)/2)</f>
        <v>0.1</v>
      </c>
      <c r="QY17" s="38">
        <f>IF($CV17="P",CU17,(CU17+BR17)/2)</f>
        <v>0</v>
      </c>
      <c r="QZ17" s="45" t="s">
        <v>46</v>
      </c>
      <c r="RA17" s="79">
        <f>IF(SUM(QG17,QK17)&gt;0,SUM(QG17,QK17),"")</f>
        <v>5.2</v>
      </c>
      <c r="RB17" s="79">
        <f>IF(SUM(QF17:QG17,QI17:QK17,QM17)-QH17-QL17&gt;0,SUM(QF17:QG17,QI17:QK17,QM17)-QH17-QL17,"")</f>
        <v>23.650000000000002</v>
      </c>
      <c r="RC17" s="79">
        <f>IF(SUM(QN17:QO17,QQ17)-QP17&gt;0,SUM(QN17:QO17,QQ17)-QP17,"")</f>
        <v>11.85</v>
      </c>
      <c r="RD17" s="79">
        <f>IF(SUM(QG17,QK17,QO17)&gt;0,SUM(QG17,QK17,QO17),"")</f>
        <v>7.35</v>
      </c>
      <c r="RE17" s="79">
        <f>IF(SUM(RB17,RC17)&gt;0,SUM(RB17,RC17),"")</f>
        <v>35.5</v>
      </c>
      <c r="RF17" s="79">
        <f>IF(SUM(QS17,QW17)&gt;0,SUM(QS17,QW17),"")</f>
        <v>5.2</v>
      </c>
      <c r="RG17" s="79">
        <f>IF(SUM(QR17:QS17,QU17:QW17,QY17)-SUM(QT17,QX17)&gt;0,SUM(QR17:QS17,QU17:QW17,QY17)-SUM(QT17,QX17),"")</f>
        <v>23.85</v>
      </c>
      <c r="RH17" s="79">
        <f>IF(SUM(RB17,RG17)&gt;0,SUM(RB17,RG17),"")</f>
        <v>47.5</v>
      </c>
    </row>
    <row r="18" spans="1:476" x14ac:dyDescent="0.2">
      <c r="A18" s="5" t="str">
        <f>IF(AND(F18="P",G18="P"),SUMPRODUCT((F$4:F$27="P")*(G$4:G$27="P")*(E$4:E$27&gt;E18))+1,IF(G18="P",SUMPRODUCT((F$4:F$27="")*(G$4:G$27="P")*(E$4:E$27&gt;E18))+1+SUMPRODUCT((F$4:F$27="P")*(G$4:G$27="P")),""))</f>
        <v/>
      </c>
      <c r="B18" s="78" t="s">
        <v>121</v>
      </c>
      <c r="C18" s="5" t="s">
        <v>4</v>
      </c>
      <c r="D18" s="5">
        <v>2004</v>
      </c>
      <c r="E18" s="15">
        <f>SUM(I18:S18)+SUM(I18:O18)*0.0000001+SUM(I18)*0.0000000000001</f>
        <v>117.2000070200048</v>
      </c>
      <c r="F18" s="3" t="str">
        <f>IF(OR(AND(AQ18&gt;=AX$29,AR18&gt;=AX$33,AQ18&lt;&gt;"",AP18=""),AND(AV18&gt;=AX$29,AW18&gt;=AX$33,AV18&lt;&gt;"",AP18=""),AND(BT18&gt;=CA$29,BU18&gt;=CA$33,BT18&lt;&gt;"",BS18=""),AND(BY18&gt;=CA$29,BZ18&gt;=CA$33,BY18&lt;&gt;"",BS18=""),AND(CW18&gt;=DD$29,CX18&gt;=DD$33,CW18&lt;&gt;"",CV18=""),AND(DB18&gt;=DD$29,DC18&gt;=DD$33,DB18&lt;&gt;""),AND(EB18&gt;=EI$29,EC18&gt;=EI$33,EB18&lt;&gt;""),AND(EG18&gt;=EI$29,EH18&gt;=EI$33,EG18&lt;&gt;""),AND(FD18&gt;=FK$29,FE18&gt;=FK$33,FD18&lt;&gt;""),AND(FI18&gt;=FK$29,FJ18&gt;=FK$33,FI18&lt;&gt;""),AND(GF18&gt;=GM$29,GG18&gt;=GM$33,GF18&lt;&gt;""),AND(GK18&gt;=GM$29,GL18&gt;=GM$33,GK18&lt;&gt;""),AND(HH18&gt;=HO$29,HI18&gt;=HO$33,HH18&lt;&gt;""),AND(HM18&gt;=HO$29,HN18&gt;=HO$33,HM18&lt;&gt;""),AND(IJ18&gt;=IQ$29,IK18&gt;=IQ$33,IJ18&lt;&gt;""),AND(IO18&gt;=IQ$29,IP18&gt;=IQ$33,IO18&lt;&gt;""),AND(JL18&gt;=JS$29,JM18&gt;=JS$33,JL18&lt;&gt;""),AND(JQ18&gt;=JS$29,JR18&gt;=JS$33,JQ18&lt;&gt;""),AND(KN18&gt;=KU$29,KO18&gt;=KU$33,KN18&lt;&gt;""),AND(KS18&gt;=KU$29,KT18&gt;=KU$33,KS18&lt;&gt;""),AND(LP18&gt;=LW$29,LQ18&gt;=LW$33,LP18&lt;&gt;""),AND(LU18&gt;=LW$29,LV18&gt;=LW$33,LU18&lt;&gt;""),AND(MR18&gt;=MY$29,MS18&gt;=MY$33,MR18&lt;&gt;""),AND(MW18&gt;=MY$29,MX18&gt;=MY$33,MW18&lt;&gt;""),AND(NT18&gt;=OA$29,NU18&gt;=OA$33,NT18&lt;&gt;""),AND(NY18&gt;=OA$29,NZ18&gt;=OA$33,NY18&lt;&gt;""),AND(OV18&gt;=PC$29,OW18&gt;=PC$33,OV18&lt;&gt;""),AND(PA18&gt;=PC$29,PB18&gt;=PC$33,PA18&lt;&gt;""),AND(PX18&gt;=QE$29,PY18&gt;=QE$33,PX18&lt;&gt;""),AND(QC18&gt;=QE$29,QD18&gt;=QE$33,QC18&lt;&gt;"")),"P","")</f>
        <v/>
      </c>
      <c r="G18" s="3" t="str">
        <f>IF(OR(AND(AR18&gt;=AX$33,AR18&lt;&gt;"",AP18=""),AND(AW18&gt;=AX$33,AW18&lt;&gt;"",AP18=""),AND(BU18&gt;=CA$33,BU18&lt;&gt;"",BS18=""),AND(BZ18&gt;=CA$33,BZ18&lt;&gt;"",BS18=""),AND(CX18&gt;=DD$33,CX18&lt;&gt;"",CV18=""),AND(DC18&gt;=DD$33,DC18&lt;&gt;"",CV18=""),AND(EC18&gt;=EI$33,EC18&lt;&gt;""),AND(EH18&gt;=EI$33,EH18&lt;&gt;""),AND(FE18&gt;=FK$33,FE18&lt;&gt;""),AND(FJ18&gt;=FK$33,FJ18&lt;&gt;""),AND(GG18&gt;=GM$33,GG18&lt;&gt;""),AND(GL18&gt;=GM$33,GL18&lt;&gt;""),AND(HI18&gt;=HO$33,HI18&lt;&gt;""),AND(HN18&gt;=HO$33,HN18&lt;&gt;""),AND(IK18&gt;=IQ$33,IK18&lt;&gt;""),AND(IP18&gt;=IQ$33,IP18&lt;&gt;""),AND(JM18&gt;=JS$33,JM18&lt;&gt;""),AND(JR18&gt;=JS$33,JR18&lt;&gt;""),AND(KO18&gt;=KU$33,KO18&lt;&gt;""),AND(KT18&gt;=KU$33,KT18&lt;&gt;""),AND(LQ18&gt;=LW$33,LQ18&lt;&gt;""),AND(LV18&gt;=LW$33,LV18&lt;&gt;""),AND(MS18&gt;=MY$33,MS18&lt;&gt;""),AND(MX18&gt;=MY$33,MX18&lt;&gt;""),AND(NU18&gt;=OA$33,NU18&lt;&gt;""),AND(NZ18&gt;=OA$33,NZ18&lt;&gt;""),AND(OW18&gt;=PC$33,OW18&lt;&gt;""),AND(PB18&gt;=PC$33,PB18&lt;&gt;""),AND(PY18&gt;=QE$33,PY18&lt;&gt;""),AND(QD18&gt;=QE$33,QD18&lt;&gt;"")),"P","")</f>
        <v/>
      </c>
      <c r="H18" s="67" t="str">
        <f>IF(AND(G18="P",F18=""),"No DD",IF(OR(AND(AT18&gt;=AX$32,AU18&gt;=AX$36,AT18&lt;&gt;"",AP18=""),AND(BW18&gt;=CA$32,BX18&gt;=CA$36,BW18&lt;&gt;"",BS18=""),AND(CZ18&gt;=DD$32,DA18&gt;=DD$36,CZ18&lt;&gt;"",CV18=""),AND(EE18&gt;=EI$32,EF18&gt;=EI$36,EE18&lt;&gt;""),AND(FG18&gt;=FK$32,FH18&gt;=FK$36,FG18&lt;&gt;""),AND(GI18&gt;=GM$32,GJ18&gt;=GM$36,GI18&lt;&gt;""),AND(HK18&gt;=HO$32,HL18&gt;=HO$36,HK18&lt;&gt;""),AND(IM18&gt;=IQ$32,IN18&gt;=IQ$36,IM18&lt;&gt;""),AND(JO18&gt;=JS$32,JP18&gt;=JS$36,JO18&lt;&gt;""),AND(KQ18&gt;=KU$32,KR18&gt;=KU$36,KQ18&lt;&gt;""),AND(LS18&gt;=LW$32,LT18&gt;=LW$36,LS18&lt;&gt;""),AND(MU18&gt;=MY$32,MV18&gt;=MY$36,MU18&lt;&gt;""),AND(NW18&gt;=OA$32,NX18&gt;=OA$36,NW18&lt;&gt;""),AND(OY18&gt;=PC$32,OZ18&gt;=PC$36,OY18&lt;&gt;""),AND(QA18&gt;=QE$32,QB18&gt;=QE$36,QA18&lt;&gt;"")),"Merit",IF(OR(AND(AT18&gt;=AX$31,AU18&gt;=AX$35,AT18&lt;&gt;"",AP18=""),AND(BW18&gt;=CA$31,BX18&gt;=CA$35,BW18&lt;&gt;"",BS18=""),AND(CZ18&gt;=DD$31,DA18&gt;=DD$35,CZ18&lt;&gt;"",CV18=""),AND(EE18&gt;=EI$31,EF18&gt;=EI$35,EE18&lt;&gt;""),AND(FG18&gt;=FK$31,FH18&gt;=FK$35,FG18&lt;&gt;""),AND(GI18&gt;=GM$31,GJ18&gt;=GM$35,GI18&lt;&gt;""),AND(HK18&gt;=HO$31,HL18&gt;=HO$35,HK18&lt;&gt;""),AND(IM18&gt;=IQ$31,IN18&gt;=IQ$35,IM18&lt;&gt;""),AND(JO18&gt;=JS$31,JP18&gt;=JS$35,JO18&lt;&gt;""),AND(KQ18&gt;=KU$31,KR18&gt;=KU$35,KQ18&lt;&gt;""),AND(LS18&gt;=LW$31,LT18&gt;=LW$35,LS18&lt;&gt;""),AND(MU18&gt;=MY$31,MV18&gt;=MY$35,MU18&lt;&gt;""),AND(NW18&gt;=OA$31,NX18&gt;=OA$35,NW18&lt;&gt;""),AND(OY18&gt;=PC$31,OZ18&gt;=PC$35,OY18&lt;&gt;""),AND(QA18&gt;=QE$31,QB18&gt;=QE$35,QA18&lt;&gt;"")),"Excellence",IF(F18="P","National Team",""))))</f>
        <v/>
      </c>
      <c r="I18" s="14">
        <f>IF(COUNT(AR18,BU18,CX18)&gt;0,LARGE((AR18,BU18,CX18),1),0)</f>
        <v>47.9</v>
      </c>
      <c r="J18" s="14" t="str">
        <f>IF(I18=0,"",IF(I18=CX18,$CB$1,IF(I18=BU18,$AY$1,IF(I18=AR18,$V$1,""))))</f>
        <v>2022 Elite Canada</v>
      </c>
      <c r="K18" s="14">
        <f>IF(COUNT(AR18,BU18,CX18)&gt;1,LARGE((AR18,BU18,CX18),2),0)</f>
        <v>0</v>
      </c>
      <c r="L18" s="14" t="str">
        <f>IF(K18=0,"",IF(K18=CX18,$CB$1,IF(K18=BU18,$AY$1,IF(K18=AR18,$V$1,""))))</f>
        <v/>
      </c>
      <c r="M18" s="14">
        <f>IF(COUNT(AS18,BV18,CY18)&gt;0,LARGE((AS18,BV18,CY18),1),0)</f>
        <v>22.3</v>
      </c>
      <c r="N18" s="14" t="str">
        <f>IF(M18=0,"",IF(M18=CY18,$CB$1,IF(M18=BV18,$AY$1,IF(M18=AS18,$V$1,""))))</f>
        <v>2022 Elite Canada</v>
      </c>
      <c r="O18" s="14">
        <f>IF(COUNT(AS18,BV18,CY18)&gt;1,LARGE((AS18,BV18,CY18),2),0)</f>
        <v>0</v>
      </c>
      <c r="P18" s="14" t="str">
        <f>IF(O18=0,"",IF(O18=CY18,$CB$1,IF(O18=BV18,$AY$1,IF(O18=AS18,$V$1,""))))</f>
        <v/>
      </c>
      <c r="Q18" s="14">
        <f>IF(MAX(AW18,BZ18,DC18)&gt;0,MAX(AW18,BZ18,DC18),0)</f>
        <v>47.000000000000007</v>
      </c>
      <c r="R18" s="14" t="str">
        <f>IF(Q18=0,"",IF(Q18=DC18,$CB$1,IF(Q18=BZ18,$AY$1,IF(Q18=AW18,$V$1,""))))</f>
        <v>2022 Elite Canada</v>
      </c>
      <c r="S18" s="14" t="str">
        <f>IF(MAX(DE18:DG18)&gt;0,MAX(DE18:DG18),"")</f>
        <v/>
      </c>
      <c r="T18" s="20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45"/>
      <c r="AQ18" s="79" t="str">
        <f>IF(SUM(W18,AA18)&gt;0,SUM(W18,AA18),"")</f>
        <v/>
      </c>
      <c r="AR18" s="79" t="str">
        <f>IF(SUM(V18:W18,Y18:AA18,AC18)-X18-AB18&gt;0,SUM(V18:W18,Y18:AA18,AC18)-X18-AB18,"")</f>
        <v/>
      </c>
      <c r="AS18" s="79" t="str">
        <f>IF(SUM(AD18:AE18,AG18)-AF18&gt;0,SUM(AD18:AE18,AG18)-AF18,"")</f>
        <v/>
      </c>
      <c r="AT18" s="79" t="str">
        <f>IF(SUM(W18,AA18,AE18)&gt;0,SUM(W18,AA18,AE18),"")</f>
        <v/>
      </c>
      <c r="AU18" s="79" t="str">
        <f>IF(SUM(AR18,AS18)&gt;0,SUM(AR18,AS18),"")</f>
        <v/>
      </c>
      <c r="AV18" s="79" t="str">
        <f>IF(SUM(AI18,AM18)&gt;0,SUM(AI18,AM18),"")</f>
        <v/>
      </c>
      <c r="AW18" s="79" t="str">
        <f>IF(SUM(AH18:AI18,AK18:AM18,AO18)-SUM(AJ18,AN18)&gt;0,SUM(AH18:AI18,AK18:AM18,AO18)-SUM(AJ18,AN18),"")</f>
        <v/>
      </c>
      <c r="AX18" s="79" t="str">
        <f>IF(SUM(AR18,AW18)&gt;0,SUM(AR18,AW18),"")</f>
        <v/>
      </c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46"/>
      <c r="BT18" s="20" t="str">
        <f>IF(SUM(AZ18,BD18)&gt;0,SUM(AZ18,BD18),"")</f>
        <v/>
      </c>
      <c r="BU18" s="20" t="str">
        <f>IF(SUM(AY18:AZ18,BB18:BD18,BF18)-BA18-BE18&gt;0,SUM(AY18:AZ18,BB18:BD18,BF18)-BA18-BE18,"")</f>
        <v/>
      </c>
      <c r="BV18" s="20" t="str">
        <f>IF(SUM(BG18:BH18,BJ18)-BI18&gt;0,SUM(BG18:BH18,BJ18)-BI18,"")</f>
        <v/>
      </c>
      <c r="BW18" s="20" t="str">
        <f>IF(SUM(AZ18,BD18,BH18)&gt;0,SUM(AZ18,BD18,BH18),"")</f>
        <v/>
      </c>
      <c r="BX18" s="20" t="str">
        <f>IF(SUM(BU18,BV18)&gt;0,SUM(BU18,BV18),"")</f>
        <v/>
      </c>
      <c r="BY18" s="20" t="str">
        <f>IF(SUM(BL18,BP18)&gt;0,SUM(BL18,BP18),"")</f>
        <v/>
      </c>
      <c r="BZ18" s="20" t="str">
        <f>IF(SUM(BK18:BL18,BN18:BP18,BR18)-SUM(BM18,BQ18)&gt;0,SUM(BK18:BL18,BN18:BP18,BR18)-SUM(BM18,BQ18),"")</f>
        <v/>
      </c>
      <c r="CA18" s="20" t="str">
        <f>IF(SUM(BU18,BZ18)&gt;0,SUM(BU18,BZ18),"")</f>
        <v/>
      </c>
      <c r="CB18" s="27">
        <v>18.399999999999999</v>
      </c>
      <c r="CC18" s="27">
        <v>6</v>
      </c>
      <c r="CD18" s="27">
        <v>0.2</v>
      </c>
      <c r="CE18" s="27">
        <v>0</v>
      </c>
      <c r="CF18" s="27">
        <v>18.3</v>
      </c>
      <c r="CG18" s="27">
        <v>6</v>
      </c>
      <c r="CH18" s="27">
        <v>0.6</v>
      </c>
      <c r="CI18" s="27">
        <v>0</v>
      </c>
      <c r="CJ18" s="27">
        <v>19</v>
      </c>
      <c r="CK18" s="27">
        <v>3.5</v>
      </c>
      <c r="CL18" s="27">
        <v>0.2</v>
      </c>
      <c r="CM18" s="27">
        <v>0</v>
      </c>
      <c r="CN18" s="27">
        <v>18</v>
      </c>
      <c r="CO18" s="27">
        <v>6</v>
      </c>
      <c r="CP18" s="27">
        <v>0.8</v>
      </c>
      <c r="CQ18" s="27">
        <v>0</v>
      </c>
      <c r="CR18" s="27">
        <v>18.2</v>
      </c>
      <c r="CS18" s="27">
        <v>5.6</v>
      </c>
      <c r="CT18" s="27">
        <v>0</v>
      </c>
      <c r="CU18" s="27">
        <v>0</v>
      </c>
      <c r="CV18" s="45"/>
      <c r="CW18" s="79">
        <f>IF(SUM(CC18,CG18)&gt;0,SUM(CC18,CG18),"")</f>
        <v>12</v>
      </c>
      <c r="CX18" s="79">
        <f>IF(SUM(CB18:CC18,CE18:CG18,CI18)-CD18-CH18&gt;0,SUM(CB18:CC18,CE18:CG18,CI18)-CD18-CH18,"")</f>
        <v>47.9</v>
      </c>
      <c r="CY18" s="79">
        <f>IF(SUM(CJ18:CK18,CM18)-CL18&gt;0,SUM(CJ18:CK18,CM18)-CL18,"")</f>
        <v>22.3</v>
      </c>
      <c r="CZ18" s="79">
        <f>IF(SUM(CC18,CG18,CK18)&gt;0,SUM(CC18,CG18,CK18),"")</f>
        <v>15.5</v>
      </c>
      <c r="DA18" s="79">
        <f>IF(SUM(CX18,CY18)&gt;0,SUM(CX18,CY18),"")</f>
        <v>70.2</v>
      </c>
      <c r="DB18" s="79">
        <f>IF(SUM(CO18,CS18)&gt;0,SUM(CO18,CS18),"")</f>
        <v>11.6</v>
      </c>
      <c r="DC18" s="79">
        <f>IF(SUM(CN18:CO18,CQ18:CS18,CU18)-SUM(CP18,CT18)&gt;0,SUM(CN18:CO18,CQ18:CS18,CU18)-SUM(CP18,CT18),"")</f>
        <v>47.000000000000007</v>
      </c>
      <c r="DD18" s="79">
        <f>IF(SUM(CX18,DC18)&gt;0,SUM(CX18,DC18),"")</f>
        <v>94.9</v>
      </c>
      <c r="DE18" s="80" t="str">
        <f>IF(K18&gt;=0.001,IF(MAX(EC18,FE18,GG18,HI18,IK18,JM18,KO18,LQ18,MS18,NU18,OW18,PY18)-IF(K18="",0,K18)&gt;0.001,MAX(EC18,FE18,GG18,HI18,IK18,JM18,KO18,LQ18,MS18,NU18,OW18,PY18)-IF(K18="",0,K18),""),"")</f>
        <v/>
      </c>
      <c r="DF18" s="80" t="str">
        <f>IF(O18&gt;=0.001,IF(MAX(ED18,FF18,GH18,HJ18,IL18,JN18,KP18,LR18,MT18,NV18,OX18,PZ18)-IF(O18="",0,O18)&gt;0.001,MAX(ED18,FF18,GH18,HJ18,IL18,JN18,KP18,LR18,MT18,NV18,OX18,PZ18)-IF(O18="",0,O18),""),"")</f>
        <v/>
      </c>
      <c r="DG18" s="80" t="str">
        <f>IF(Q18&gt;=0.001,IF(MAX(EH18,FJ18,GL18,HN18,IP18,JR18,KT18,LV18,MX18,NZ18,PB18,QD18)-IF(Q18="",0,Q18)&gt;0.001,MAX(EH18,FJ18,GL18,HN18,IP18,JR18,KT18,LV18,MX18,NZ18,PB18,QD18)-IF(Q18="",0,Q18),""),"")</f>
        <v/>
      </c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79" t="str">
        <f>IF(SUM(DI18,DM18)&gt;0,SUM(DI18,DM18),"")</f>
        <v/>
      </c>
      <c r="EC18" s="79" t="str">
        <f>IF(SUM(DH18:DI18,DK18:DM18,DO18)-DJ18-DN18&gt;0,SUM(DH18:DI18,DK18:DM18,DO18)-DJ18-DN18,"")</f>
        <v/>
      </c>
      <c r="ED18" s="79" t="str">
        <f>IF(SUM(DP18:DQ18,DS18)-DR18&gt;0,SUM(DP18:DQ18,DS18)-DR18,"")</f>
        <v/>
      </c>
      <c r="EE18" s="79" t="str">
        <f>IF(SUM(DI18,DM18,DQ18)&gt;0,SUM(DI18,DM18,DQ18),"")</f>
        <v/>
      </c>
      <c r="EF18" s="79" t="str">
        <f>IF(SUM(EC18,ED18)&gt;0,SUM(EC18,ED18),"")</f>
        <v/>
      </c>
      <c r="EG18" s="79" t="str">
        <f>IF(SUM(DU18,DY18)&gt;0,SUM(DU18,DY18),"")</f>
        <v/>
      </c>
      <c r="EH18" s="79" t="str">
        <f>IF(SUM(DT18:DU18,DW18:DY18,EA18)-SUM(DV18,DZ18)&gt;0,SUM(DT18:DU18,DW18:DY18,EA18)-SUM(DV18,DZ18),"")</f>
        <v/>
      </c>
      <c r="EI18" s="79" t="str">
        <f>IF(SUM(EC18,EH18)&gt;0,SUM(EC18,EH18),"")</f>
        <v/>
      </c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0" t="str">
        <f>IF(SUM(EK18,EO18)&gt;0,SUM(EK18,EO18),"")</f>
        <v/>
      </c>
      <c r="FE18" s="20" t="str">
        <f>IF(SUM(EJ18:EK18,EM18:EO18,EQ18)-EL18-EP18&gt;0,SUM(EJ18:EK18,EM18:EO18,EQ18)-EL18-EP18,"")</f>
        <v/>
      </c>
      <c r="FF18" s="20" t="str">
        <f>IF(SUM(ER18:ES18,EU18)-ET18&gt;0,SUM(ER18:ES18,EU18)-ET18,"")</f>
        <v/>
      </c>
      <c r="FG18" s="20" t="str">
        <f>IF(SUM(EK18,EO18,ES18)&gt;0,SUM(EK18,EO18,ES18),"")</f>
        <v/>
      </c>
      <c r="FH18" s="20" t="str">
        <f>IF(SUM(FE18,FF18)&gt;0,SUM(FE18,FF18),"")</f>
        <v/>
      </c>
      <c r="FI18" s="20" t="str">
        <f>IF(SUM(EW18,FA18)&gt;0,SUM(EW18,FA18),"")</f>
        <v/>
      </c>
      <c r="FJ18" s="20" t="str">
        <f>IF(SUM(EV18:EW18,EY18:FA18,FC18)-SUM(EX18,FB18)&gt;0,SUM(EV18:EW18,EY18:FA18,FC18)-SUM(EX18,FB18),"")</f>
        <v/>
      </c>
      <c r="FK18" s="20" t="str">
        <f>IF(SUM(FE18,FJ18)&gt;0,SUM(FE18,FJ18),"")</f>
        <v/>
      </c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79" t="str">
        <f>IF(SUM(FM18,FQ18)&gt;0,SUM(FM18,FQ18),"")</f>
        <v/>
      </c>
      <c r="GG18" s="79" t="str">
        <f>IF(SUM(FL18:FM18,FO18:FQ18,FS18)-FN18-FR18&gt;0,SUM(FL18:FM18,FO18:FQ18,FS18)-FN18-FR18,"")</f>
        <v/>
      </c>
      <c r="GH18" s="79" t="str">
        <f>IF(SUM(FT18:FU18,FW18)-FV18&gt;0,SUM(FT18:FU18,FW18)-FV18,"")</f>
        <v/>
      </c>
      <c r="GI18" s="79" t="str">
        <f>IF(SUM(FM18,FQ18,FU18)&gt;0,SUM(FM18,FQ18,FU18),"")</f>
        <v/>
      </c>
      <c r="GJ18" s="79" t="str">
        <f>IF(SUM(GG18,GH18)&gt;0,SUM(GG18,GH18),"")</f>
        <v/>
      </c>
      <c r="GK18" s="79" t="str">
        <f>IF(SUM(FY18,GC18)&gt;0,SUM(FY18,GC18),"")</f>
        <v/>
      </c>
      <c r="GL18" s="79" t="str">
        <f>IF(SUM(FX18:FY18,GA18:GC18,GE18)-SUM(FZ18,GD18)&gt;0,SUM(FX18:FY18,GA18:GC18,GE18)-SUM(FZ18,GD18),"")</f>
        <v/>
      </c>
      <c r="GM18" s="79" t="str">
        <f>IF(SUM(GG18,GL18)&gt;0,SUM(GG18,GL18),"")</f>
        <v/>
      </c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0" t="str">
        <f>IF(SUM(GO18,GS18)&gt;0,SUM(GO18,GS18),"")</f>
        <v/>
      </c>
      <c r="HI18" s="20" t="str">
        <f>IF(SUM(GN18:GO18,GQ18:GS18,GU18)-GP18-GT18&gt;0,SUM(GN18:GO18,GQ18:GS18,GU18)-GP18-GT18,"")</f>
        <v/>
      </c>
      <c r="HJ18" s="20" t="str">
        <f>IF(SUM(GV18:GW18,GY18)-GX18&gt;0,SUM(GV18:GW18,GY18)-GX18,"")</f>
        <v/>
      </c>
      <c r="HK18" s="20" t="str">
        <f>IF(SUM(GO18,GS18,GW18)&gt;0,SUM(GO18,GS18,GW18),"")</f>
        <v/>
      </c>
      <c r="HL18" s="20" t="str">
        <f>IF(SUM(HI18,HJ18)&gt;0,SUM(HI18,HJ18),"")</f>
        <v/>
      </c>
      <c r="HM18" s="20" t="str">
        <f>IF(SUM(HA18,HE18)&gt;0,SUM(HA18,HE18),"")</f>
        <v/>
      </c>
      <c r="HN18" s="20" t="str">
        <f>IF(SUM(GZ18:HA18,HC18:HE18,HG18)-SUM(HB18,HF18)&gt;0,SUM(GZ18:HA18,HC18:HE18,HG18)-SUM(HB18,HF18),"")</f>
        <v/>
      </c>
      <c r="HO18" s="20" t="str">
        <f>IF(SUM(HI18,HN18)&gt;0,SUM(HI18,HN18),"")</f>
        <v/>
      </c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79" t="str">
        <f>IF(SUM(HQ18,HU18)&gt;0,SUM(HQ18,HU18),"")</f>
        <v/>
      </c>
      <c r="IK18" s="79" t="str">
        <f>IF(SUM(HP18:HQ18,HS18:HU18,HW18)-HR18-HV18&gt;0,SUM(HP18:HQ18,HS18:HU18,HW18)-HR18-HV18,"")</f>
        <v/>
      </c>
      <c r="IL18" s="79" t="str">
        <f>IF(SUM(HX18:HY18,IA18)-HZ18&gt;0,SUM(HX18:HY18,IA18)-HZ18,"")</f>
        <v/>
      </c>
      <c r="IM18" s="79" t="str">
        <f>IF(SUM(HQ18,HU18,HY18)&gt;0,SUM(HQ18,HU18,HY18),"")</f>
        <v/>
      </c>
      <c r="IN18" s="79" t="str">
        <f>IF(SUM(IK18,IL18)&gt;0,SUM(IK18,IL18),"")</f>
        <v/>
      </c>
      <c r="IO18" s="79" t="str">
        <f>IF(SUM(IC18,IG18)&gt;0,SUM(IC18,IG18),"")</f>
        <v/>
      </c>
      <c r="IP18" s="79" t="str">
        <f>IF(SUM(IB18:IC18,IE18:IG18,II18)-SUM(ID18,IH18)&gt;0,SUM(IB18:IC18,IE18:IG18,II18)-SUM(ID18,IH18),"")</f>
        <v/>
      </c>
      <c r="IQ18" s="79" t="str">
        <f>IF(SUM(IK18,IP18)&gt;0,SUM(IK18,IP18),"")</f>
        <v/>
      </c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0" t="str">
        <f>IF(SUM(IS18,IW18)&gt;0,SUM(IS18,IW18),"")</f>
        <v/>
      </c>
      <c r="JM18" s="20" t="str">
        <f>IF(SUM(IR18:IS18,IU18:IW18,IY18)-IT18-IX18&gt;0,SUM(IR18:IS18,IU18:IW18,IY18)-IT18-IX18,"")</f>
        <v/>
      </c>
      <c r="JN18" s="20" t="str">
        <f>IF(SUM(IZ18:JA18,JC18)-JB18&gt;0,SUM(IZ18:JA18,JC18)-JB18,"")</f>
        <v/>
      </c>
      <c r="JO18" s="20" t="str">
        <f>IF(SUM(IS18,IW18,JA18)&gt;0,SUM(IS18,IW18,JA18),"")</f>
        <v/>
      </c>
      <c r="JP18" s="20" t="str">
        <f>IF(SUM(JM18,JN18)&gt;0,SUM(JM18,JN18),"")</f>
        <v/>
      </c>
      <c r="JQ18" s="20" t="str">
        <f>IF(SUM(JE18,JI18)&gt;0,SUM(JE18,JI18),"")</f>
        <v/>
      </c>
      <c r="JR18" s="20" t="str">
        <f>IF(SUM(JD18:JE18,JG18:JI18,JK18)-SUM(JF18,JJ18)&gt;0,SUM(JD18:JE18,JG18:JI18,JK18)-SUM(JF18,JJ18),"")</f>
        <v/>
      </c>
      <c r="JS18" s="20" t="str">
        <f>IF(SUM(JM18,JR18)&gt;0,SUM(JM18,JR18),"")</f>
        <v/>
      </c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79" t="str">
        <f>IF(SUM(JU18,JY18)&gt;0,SUM(JU18,JY18),"")</f>
        <v/>
      </c>
      <c r="KO18" s="79" t="str">
        <f>IF(SUM(JT18:JU18,JW18:JY18,KA18)-JV18-JZ18&gt;0,SUM(JT18:JU18,JW18:JY18,KA18)-JV18-JZ18,"")</f>
        <v/>
      </c>
      <c r="KP18" s="79" t="str">
        <f>IF(SUM(KB18:KC18,KE18)-KD18&gt;0,SUM(KB18:KC18,KE18)-KD18,"")</f>
        <v/>
      </c>
      <c r="KQ18" s="79" t="str">
        <f>IF(SUM(JU18,JY18,KC18)&gt;0,SUM(JU18,JY18,KC18),"")</f>
        <v/>
      </c>
      <c r="KR18" s="79" t="str">
        <f>IF(SUM(KO18,KP18)&gt;0,SUM(KO18,KP18),"")</f>
        <v/>
      </c>
      <c r="KS18" s="79" t="str">
        <f>IF(SUM(KG18,KK18)&gt;0,SUM(KG18,KK18),"")</f>
        <v/>
      </c>
      <c r="KT18" s="79" t="str">
        <f>IF(SUM(KF18:KG18,KI18:KK18,KM18)-SUM(KH18,KL18)&gt;0,SUM(KF18:KG18,KI18:KK18,KM18)-SUM(KH18,KL18),"")</f>
        <v/>
      </c>
      <c r="KU18" s="79" t="str">
        <f>IF(SUM(KO18,KT18)&gt;0,SUM(KO18,KT18),"")</f>
        <v/>
      </c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0" t="str">
        <f>IF(SUM(KW18,LA18)&gt;0,SUM(KW18,LA18),"")</f>
        <v/>
      </c>
      <c r="LQ18" s="20" t="str">
        <f>IF(SUM(KV18:KW18,KY18:LA18,LC18)-KX18-LB18&gt;0,SUM(KV18:KW18,KY18:LA18,LC18)-KX18-LB18,"")</f>
        <v/>
      </c>
      <c r="LR18" s="20" t="str">
        <f>IF(SUM(LD18:LE18,LG18)-LF18&gt;0,SUM(LD18:LE18,LG18)-LF18,"")</f>
        <v/>
      </c>
      <c r="LS18" s="20" t="str">
        <f>IF(SUM(KW18,LA18,LE18)&gt;0,SUM(KW18,LA18,LE18),"")</f>
        <v/>
      </c>
      <c r="LT18" s="20" t="str">
        <f>IF(SUM(LQ18,LR18)&gt;0,SUM(LQ18,LR18),"")</f>
        <v/>
      </c>
      <c r="LU18" s="20" t="str">
        <f>IF(SUM(LI18,LM18)&gt;0,SUM(LI18,LM18),"")</f>
        <v/>
      </c>
      <c r="LV18" s="20" t="str">
        <f>IF(SUM(LH18:LI18,LK18:LM18,LO18)-SUM(LJ18,LN18)&gt;0,SUM(LH18:LI18,LK18:LM18,LO18)-SUM(LJ18,LN18),"")</f>
        <v/>
      </c>
      <c r="LW18" s="20" t="str">
        <f>IF(SUM(LQ18,LV18)&gt;0,SUM(LQ18,LV18),"")</f>
        <v/>
      </c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79" t="str">
        <f>IF(SUM(LY18,MC18)&gt;0,SUM(LY18,MC18),"")</f>
        <v/>
      </c>
      <c r="MS18" s="79" t="str">
        <f>IF(SUM(LX18:LY18,MA18:MC18,ME18)-LZ18-MD18&gt;0,SUM(LX18:LY18,MA18:MC18,ME18)-LZ18-MD18,"")</f>
        <v/>
      </c>
      <c r="MT18" s="79" t="str">
        <f>IF(SUM(MF18:MG18,MI18)-MH18&gt;0,SUM(MF18:MG18,MI18)-MH18,"")</f>
        <v/>
      </c>
      <c r="MU18" s="79" t="str">
        <f>IF(SUM(LY18,MC18,MG18)&gt;0,SUM(LY18,MC18,MG18),"")</f>
        <v/>
      </c>
      <c r="MV18" s="79" t="str">
        <f>IF(SUM(MS18,MT18)&gt;0,SUM(MS18,MT18),"")</f>
        <v/>
      </c>
      <c r="MW18" s="79" t="str">
        <f>IF(SUM(MK18,MO18)&gt;0,SUM(MK18,MO18),"")</f>
        <v/>
      </c>
      <c r="MX18" s="79" t="str">
        <f>IF(SUM(MJ18:MK18,MM18:MO18,MQ18)-SUM(ML18,MP18)&gt;0,SUM(MJ18:MK18,MM18:MO18,MQ18)-SUM(ML18,MP18),"")</f>
        <v/>
      </c>
      <c r="MY18" s="79" t="str">
        <f>IF(SUM(MS18,MX18)&gt;0,SUM(MS18,MX18),"")</f>
        <v/>
      </c>
      <c r="MZ18" s="26"/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0" t="str">
        <f>IF(SUM(NA18,NE18)&gt;0,SUM(NA18,NE18),"")</f>
        <v/>
      </c>
      <c r="NU18" s="20" t="str">
        <f>IF(SUM(MZ18:NA18,NC18:NE18,NG18)-NB18-NF18&gt;0,SUM(MZ18:NA18,NC18:NE18,NG18)-NB18-NF18,"")</f>
        <v/>
      </c>
      <c r="NV18" s="20" t="str">
        <f>IF(SUM(NH18:NI18,NK18)-NJ18&gt;0,SUM(NH18:NI18,NK18)-NJ18,"")</f>
        <v/>
      </c>
      <c r="NW18" s="20" t="str">
        <f>IF(SUM(NA18,NE18,NI18)&gt;0,SUM(NA18,NE18,NI18),"")</f>
        <v/>
      </c>
      <c r="NX18" s="20" t="str">
        <f>IF(SUM(NU18,NV18)&gt;0,SUM(NU18,NV18),"")</f>
        <v/>
      </c>
      <c r="NY18" s="20" t="str">
        <f>IF(SUM(NM18,NQ18)&gt;0,SUM(NM18,NQ18),"")</f>
        <v/>
      </c>
      <c r="NZ18" s="20" t="str">
        <f>IF(SUM(NL18:NM18,NO18:NQ18,NS18)-SUM(NN18,NR18)&gt;0,SUM(NL18:NM18,NO18:NQ18,NS18)-SUM(NN18,NR18),"")</f>
        <v/>
      </c>
      <c r="OA18" s="20" t="str">
        <f>IF(SUM(NU18,NZ18)&gt;0,SUM(NU18,NZ18),"")</f>
        <v/>
      </c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79" t="str">
        <f>IF(SUM(OC18,OG18)&gt;0,SUM(OC18,OG18),"")</f>
        <v/>
      </c>
      <c r="OW18" s="79" t="str">
        <f>IF(SUM(OB18:OC18,OE18:OG18,OI18)-OD18-OH18&gt;0,SUM(OB18:OC18,OE18:OG18,OI18)-OD18-OH18,"")</f>
        <v/>
      </c>
      <c r="OX18" s="79" t="str">
        <f>IF(SUM(OJ18:OK18,OM18)-OL18&gt;0,SUM(OJ18:OK18,OM18)-OL18,"")</f>
        <v/>
      </c>
      <c r="OY18" s="79" t="str">
        <f>IF(SUM(OC18,OG18,OK18)&gt;0,SUM(OC18,OG18,OK18),"")</f>
        <v/>
      </c>
      <c r="OZ18" s="79" t="str">
        <f>IF(SUM(OW18,OX18)&gt;0,SUM(OW18,OX18),"")</f>
        <v/>
      </c>
      <c r="PA18" s="79" t="str">
        <f>IF(SUM(OO18,OS18)&gt;0,SUM(OO18,OS18),"")</f>
        <v/>
      </c>
      <c r="PB18" s="79" t="str">
        <f>IF(SUM(ON18:OO18,OQ18:OS18,OU18)-SUM(OP18,OT18)&gt;0,SUM(ON18:OO18,OQ18:OS18,OU18)-SUM(OP18,OT18),"")</f>
        <v/>
      </c>
      <c r="PC18" s="79" t="str">
        <f>IF(SUM(OW18,PB18)&gt;0,SUM(OW18,PB18),"")</f>
        <v/>
      </c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0" t="str">
        <f>IF(SUM(PE18,PI18)&gt;0,SUM(PE18,PI18),"")</f>
        <v/>
      </c>
      <c r="PY18" s="20" t="str">
        <f>IF(SUM(PD18:PE18,PG18:PI18,PK18)-PF18-PJ18&gt;0,SUM(PD18:PE18,PG18:PI18,PK18)-PF18-PJ18,"")</f>
        <v/>
      </c>
      <c r="PZ18" s="20" t="str">
        <f>IF(SUM(PL18:PM18,PO18)-PN18&gt;0,SUM(PL18:PM18,PO18)-PN18,"")</f>
        <v/>
      </c>
      <c r="QA18" s="20" t="str">
        <f>IF(SUM(PE18,PI18,PM18)&gt;0,SUM(PE18,PI18,PM18),"")</f>
        <v/>
      </c>
      <c r="QB18" s="20" t="str">
        <f>IF(SUM(PY18,PZ18)&gt;0,SUM(PY18,PZ18),"")</f>
        <v/>
      </c>
      <c r="QC18" s="20" t="str">
        <f>IF(SUM(PQ18,PU18)&gt;0,SUM(PQ18,PU18),"")</f>
        <v/>
      </c>
      <c r="QD18" s="20" t="str">
        <f>IF(SUM(PP18:PQ18,PS18:PU18,PW18)-SUM(PR18,PV18)&gt;0,SUM(PP18:PQ18,PS18:PU18,PW18)-SUM(PR18,PV18),"")</f>
        <v/>
      </c>
      <c r="QE18" s="20" t="str">
        <f>IF(SUM(PY18,QD18)&gt;0,SUM(PY18,QD18),"")</f>
        <v/>
      </c>
      <c r="QF18" s="38">
        <f>IF($CV18="P",CB18,(CB18+AY18)/2)</f>
        <v>9.1999999999999993</v>
      </c>
      <c r="QG18" s="38">
        <f>IF($CV18="P",CC18,(CC18+AZ18)/2)</f>
        <v>3</v>
      </c>
      <c r="QH18" s="38">
        <f>IF($CV18="P",CD18,(CD18+BA18)/2)</f>
        <v>0.1</v>
      </c>
      <c r="QI18" s="38">
        <f>IF($CV18="P",CE18,(CE18+BB18)/2)</f>
        <v>0</v>
      </c>
      <c r="QJ18" s="38">
        <f>IF($CV18="P",CF18,(CF18+BC18)/2)</f>
        <v>9.15</v>
      </c>
      <c r="QK18" s="38">
        <f>IF($CV18="P",CG18,(CG18+BD18)/2)</f>
        <v>3</v>
      </c>
      <c r="QL18" s="38">
        <f>IF($CV18="P",CH18,(CH18+BE18)/2)</f>
        <v>0.3</v>
      </c>
      <c r="QM18" s="38">
        <f>IF($CV18="P",CI18,(CI18+BF18)/2)</f>
        <v>0</v>
      </c>
      <c r="QN18" s="38">
        <f>IF($CV18="P",CJ18,(CJ18+BG18)/2)</f>
        <v>9.5</v>
      </c>
      <c r="QO18" s="38">
        <f>IF($CV18="P",CK18,(CK18+BH18)/2)</f>
        <v>1.75</v>
      </c>
      <c r="QP18" s="38">
        <f>IF($CV18="P",CL18,(CL18+BI18)/2)</f>
        <v>0.1</v>
      </c>
      <c r="QQ18" s="38">
        <f>IF($CV18="P",CM18,(CM18+BJ18)/2)</f>
        <v>0</v>
      </c>
      <c r="QR18" s="38">
        <f>IF($CV18="P",CN18,(CN18+BK18)/2)</f>
        <v>9</v>
      </c>
      <c r="QS18" s="38">
        <f>IF($CV18="P",CO18,(CO18+BL18)/2)</f>
        <v>3</v>
      </c>
      <c r="QT18" s="38">
        <f>IF($CV18="P",CP18,(CP18+BM18)/2)</f>
        <v>0.4</v>
      </c>
      <c r="QU18" s="38">
        <f>IF($CV18="P",CQ18,(CQ18+BN18)/2)</f>
        <v>0</v>
      </c>
      <c r="QV18" s="38">
        <f>IF($CV18="P",CR18,(CR18+BO18)/2)</f>
        <v>9.1</v>
      </c>
      <c r="QW18" s="38">
        <f>IF($CV18="P",CS18,(CS18+BP18)/2)</f>
        <v>2.8</v>
      </c>
      <c r="QX18" s="38">
        <f>IF($CV18="P",CT18,(CT18+BQ18)/2)</f>
        <v>0</v>
      </c>
      <c r="QY18" s="38">
        <f>IF($CV18="P",CU18,(CU18+BR18)/2)</f>
        <v>0</v>
      </c>
      <c r="QZ18" s="45" t="s">
        <v>46</v>
      </c>
      <c r="RA18" s="79">
        <f>IF(SUM(QG18,QK18)&gt;0,SUM(QG18,QK18),"")</f>
        <v>6</v>
      </c>
      <c r="RB18" s="79">
        <f>IF(SUM(QF18:QG18,QI18:QK18,QM18)-QH18-QL18&gt;0,SUM(QF18:QG18,QI18:QK18,QM18)-QH18-QL18,"")</f>
        <v>23.95</v>
      </c>
      <c r="RC18" s="79">
        <f>IF(SUM(QN18:QO18,QQ18)-QP18&gt;0,SUM(QN18:QO18,QQ18)-QP18,"")</f>
        <v>11.15</v>
      </c>
      <c r="RD18" s="79">
        <f>IF(SUM(QG18,QK18,QO18)&gt;0,SUM(QG18,QK18,QO18),"")</f>
        <v>7.75</v>
      </c>
      <c r="RE18" s="79">
        <f>IF(SUM(RB18,RC18)&gt;0,SUM(RB18,RC18),"")</f>
        <v>35.1</v>
      </c>
      <c r="RF18" s="79">
        <f>IF(SUM(QS18,QW18)&gt;0,SUM(QS18,QW18),"")</f>
        <v>5.8</v>
      </c>
      <c r="RG18" s="79">
        <f>IF(SUM(QR18:QS18,QU18:QW18,QY18)-SUM(QT18,QX18)&gt;0,SUM(QR18:QS18,QU18:QW18,QY18)-SUM(QT18,QX18),"")</f>
        <v>23.500000000000004</v>
      </c>
      <c r="RH18" s="79">
        <f>IF(SUM(RB18,RG18)&gt;0,SUM(RB18,RG18),"")</f>
        <v>47.45</v>
      </c>
    </row>
    <row r="19" spans="1:476" x14ac:dyDescent="0.2">
      <c r="A19" s="5" t="str">
        <f>IF(AND(F19="P",G19="P"),SUMPRODUCT((F$4:F$27="P")*(G$4:G$27="P")*(E$4:E$27&gt;E19))+1,IF(G19="P",SUMPRODUCT((F$4:F$27="")*(G$4:G$27="P")*(E$4:E$27&gt;E19))+1+SUMPRODUCT((F$4:F$27="P")*(G$4:G$27="P")),""))</f>
        <v/>
      </c>
      <c r="B19" s="78" t="s">
        <v>96</v>
      </c>
      <c r="C19" s="5" t="s">
        <v>95</v>
      </c>
      <c r="D19" s="5">
        <v>2001</v>
      </c>
      <c r="E19" s="15">
        <f>SUM(I19:S19)+SUM(I19:O19)*0.0000001+SUM(I19)*0.0000000000001</f>
        <v>116.0000067300043</v>
      </c>
      <c r="F19" s="3" t="str">
        <f>IF(OR(AND(AQ19&gt;=AX$29,AR19&gt;=AX$33,AQ19&lt;&gt;"",AP19=""),AND(AV19&gt;=AX$29,AW19&gt;=AX$33,AV19&lt;&gt;"",AP19=""),AND(BT19&gt;=CA$29,BU19&gt;=CA$33,BT19&lt;&gt;"",BS19=""),AND(BY19&gt;=CA$29,BZ19&gt;=CA$33,BY19&lt;&gt;"",BS19=""),AND(CW19&gt;=DD$29,CX19&gt;=DD$33,CW19&lt;&gt;"",CV19=""),AND(DB19&gt;=DD$29,DC19&gt;=DD$33,DB19&lt;&gt;""),AND(EB19&gt;=EI$29,EC19&gt;=EI$33,EB19&lt;&gt;""),AND(EG19&gt;=EI$29,EH19&gt;=EI$33,EG19&lt;&gt;""),AND(FD19&gt;=FK$29,FE19&gt;=FK$33,FD19&lt;&gt;""),AND(FI19&gt;=FK$29,FJ19&gt;=FK$33,FI19&lt;&gt;""),AND(GF19&gt;=GM$29,GG19&gt;=GM$33,GF19&lt;&gt;""),AND(GK19&gt;=GM$29,GL19&gt;=GM$33,GK19&lt;&gt;""),AND(HH19&gt;=HO$29,HI19&gt;=HO$33,HH19&lt;&gt;""),AND(HM19&gt;=HO$29,HN19&gt;=HO$33,HM19&lt;&gt;""),AND(IJ19&gt;=IQ$29,IK19&gt;=IQ$33,IJ19&lt;&gt;""),AND(IO19&gt;=IQ$29,IP19&gt;=IQ$33,IO19&lt;&gt;""),AND(JL19&gt;=JS$29,JM19&gt;=JS$33,JL19&lt;&gt;""),AND(JQ19&gt;=JS$29,JR19&gt;=JS$33,JQ19&lt;&gt;""),AND(KN19&gt;=KU$29,KO19&gt;=KU$33,KN19&lt;&gt;""),AND(KS19&gt;=KU$29,KT19&gt;=KU$33,KS19&lt;&gt;""),AND(LP19&gt;=LW$29,LQ19&gt;=LW$33,LP19&lt;&gt;""),AND(LU19&gt;=LW$29,LV19&gt;=LW$33,LU19&lt;&gt;""),AND(MR19&gt;=MY$29,MS19&gt;=MY$33,MR19&lt;&gt;""),AND(MW19&gt;=MY$29,MX19&gt;=MY$33,MW19&lt;&gt;""),AND(NT19&gt;=OA$29,NU19&gt;=OA$33,NT19&lt;&gt;""),AND(NY19&gt;=OA$29,NZ19&gt;=OA$33,NY19&lt;&gt;""),AND(OV19&gt;=PC$29,OW19&gt;=PC$33,OV19&lt;&gt;""),AND(PA19&gt;=PC$29,PB19&gt;=PC$33,PA19&lt;&gt;""),AND(PX19&gt;=QE$29,PY19&gt;=QE$33,PX19&lt;&gt;""),AND(QC19&gt;=QE$29,QD19&gt;=QE$33,QC19&lt;&gt;"")),"P","")</f>
        <v/>
      </c>
      <c r="G19" s="3" t="str">
        <f>IF(OR(AND(AR19&gt;=AX$33,AR19&lt;&gt;"",AP19=""),AND(AW19&gt;=AX$33,AW19&lt;&gt;"",AP19=""),AND(BU19&gt;=CA$33,BU19&lt;&gt;"",BS19=""),AND(BZ19&gt;=CA$33,BZ19&lt;&gt;"",BS19=""),AND(CX19&gt;=DD$33,CX19&lt;&gt;"",CV19=""),AND(DC19&gt;=DD$33,DC19&lt;&gt;"",CV19=""),AND(EC19&gt;=EI$33,EC19&lt;&gt;""),AND(EH19&gt;=EI$33,EH19&lt;&gt;""),AND(FE19&gt;=FK$33,FE19&lt;&gt;""),AND(FJ19&gt;=FK$33,FJ19&lt;&gt;""),AND(GG19&gt;=GM$33,GG19&lt;&gt;""),AND(GL19&gt;=GM$33,GL19&lt;&gt;""),AND(HI19&gt;=HO$33,HI19&lt;&gt;""),AND(HN19&gt;=HO$33,HN19&lt;&gt;""),AND(IK19&gt;=IQ$33,IK19&lt;&gt;""),AND(IP19&gt;=IQ$33,IP19&lt;&gt;""),AND(JM19&gt;=JS$33,JM19&lt;&gt;""),AND(JR19&gt;=JS$33,JR19&lt;&gt;""),AND(KO19&gt;=KU$33,KO19&lt;&gt;""),AND(KT19&gt;=KU$33,KT19&lt;&gt;""),AND(LQ19&gt;=LW$33,LQ19&lt;&gt;""),AND(LV19&gt;=LW$33,LV19&lt;&gt;""),AND(MS19&gt;=MY$33,MS19&lt;&gt;""),AND(MX19&gt;=MY$33,MX19&lt;&gt;""),AND(NU19&gt;=OA$33,NU19&lt;&gt;""),AND(NZ19&gt;=OA$33,NZ19&lt;&gt;""),AND(OW19&gt;=PC$33,OW19&lt;&gt;""),AND(PB19&gt;=PC$33,PB19&lt;&gt;""),AND(PY19&gt;=QE$33,PY19&lt;&gt;""),AND(QD19&gt;=QE$33,QD19&lt;&gt;"")),"P","")</f>
        <v/>
      </c>
      <c r="H19" s="67" t="str">
        <f>IF(AND(G19="P",F19=""),"No DD",IF(OR(AND(AT19&gt;=AX$32,AU19&gt;=AX$36,AT19&lt;&gt;"",AP19=""),AND(BW19&gt;=CA$32,BX19&gt;=CA$36,BW19&lt;&gt;"",BS19=""),AND(CZ19&gt;=DD$32,DA19&gt;=DD$36,CZ19&lt;&gt;"",CV19=""),AND(EE19&gt;=EI$32,EF19&gt;=EI$36,EE19&lt;&gt;""),AND(FG19&gt;=FK$32,FH19&gt;=FK$36,FG19&lt;&gt;""),AND(GI19&gt;=GM$32,GJ19&gt;=GM$36,GI19&lt;&gt;""),AND(HK19&gt;=HO$32,HL19&gt;=HO$36,HK19&lt;&gt;""),AND(IM19&gt;=IQ$32,IN19&gt;=IQ$36,IM19&lt;&gt;""),AND(JO19&gt;=JS$32,JP19&gt;=JS$36,JO19&lt;&gt;""),AND(KQ19&gt;=KU$32,KR19&gt;=KU$36,KQ19&lt;&gt;""),AND(LS19&gt;=LW$32,LT19&gt;=LW$36,LS19&lt;&gt;""),AND(MU19&gt;=MY$32,MV19&gt;=MY$36,MU19&lt;&gt;""),AND(NW19&gt;=OA$32,NX19&gt;=OA$36,NW19&lt;&gt;""),AND(OY19&gt;=PC$32,OZ19&gt;=PC$36,OY19&lt;&gt;""),AND(QA19&gt;=QE$32,QB19&gt;=QE$36,QA19&lt;&gt;"")),"Merit",IF(OR(AND(AT19&gt;=AX$31,AU19&gt;=AX$35,AT19&lt;&gt;"",AP19=""),AND(BW19&gt;=CA$31,BX19&gt;=CA$35,BW19&lt;&gt;"",BS19=""),AND(CZ19&gt;=DD$31,DA19&gt;=DD$35,CZ19&lt;&gt;"",CV19=""),AND(EE19&gt;=EI$31,EF19&gt;=EI$35,EE19&lt;&gt;""),AND(FG19&gt;=FK$31,FH19&gt;=FK$35,FG19&lt;&gt;""),AND(GI19&gt;=GM$31,GJ19&gt;=GM$35,GI19&lt;&gt;""),AND(HK19&gt;=HO$31,HL19&gt;=HO$35,HK19&lt;&gt;""),AND(IM19&gt;=IQ$31,IN19&gt;=IQ$35,IM19&lt;&gt;""),AND(JO19&gt;=JS$31,JP19&gt;=JS$35,JO19&lt;&gt;""),AND(KQ19&gt;=KU$31,KR19&gt;=KU$35,KQ19&lt;&gt;""),AND(LS19&gt;=LW$31,LT19&gt;=LW$35,LS19&lt;&gt;""),AND(MU19&gt;=MY$31,MV19&gt;=MY$35,MU19&lt;&gt;""),AND(NW19&gt;=OA$31,NX19&gt;=OA$35,NW19&lt;&gt;""),AND(OY19&gt;=PC$31,OZ19&gt;=PC$35,OY19&lt;&gt;""),AND(QA19&gt;=QE$31,QB19&gt;=QE$35,QA19&lt;&gt;"")),"Excellence",IF(F19="P","National Team",""))))</f>
        <v/>
      </c>
      <c r="I19" s="14">
        <f>IF(COUNT(AR19,BU19,CX19)&gt;0,LARGE((AR19,BU19,CX19),1),0)</f>
        <v>43</v>
      </c>
      <c r="J19" s="14" t="str">
        <f>IF(I19=0,"",IF(I19=CX19,$CB$1,IF(I19=BU19,$AY$1,IF(I19=AR19,$V$1,""))))</f>
        <v>2022 Elite Canada</v>
      </c>
      <c r="K19" s="14">
        <f>IF(COUNT(AR19,BU19,CX19)&gt;1,LARGE((AR19,BU19,CX19),2),0)</f>
        <v>0</v>
      </c>
      <c r="L19" s="14" t="str">
        <f>IF(K19=0,"",IF(K19=CX19,$CB$1,IF(K19=BU19,$AY$1,IF(K19=AR19,$V$1,""))))</f>
        <v/>
      </c>
      <c r="M19" s="14">
        <f>IF(COUNT(AS19,BV19,CY19)&gt;0,LARGE((AS19,BV19,CY19),1),0)</f>
        <v>24.3</v>
      </c>
      <c r="N19" s="14" t="str">
        <f>IF(M19=0,"",IF(M19=CY19,$CB$1,IF(M19=BV19,$AY$1,IF(M19=AS19,$V$1,""))))</f>
        <v>2022 Elite Canada</v>
      </c>
      <c r="O19" s="14">
        <f>IF(COUNT(AS19,BV19,CY19)&gt;1,LARGE((AS19,BV19,CY19),2),0)</f>
        <v>0</v>
      </c>
      <c r="P19" s="14" t="str">
        <f>IF(O19=0,"",IF(O19=CY19,$CB$1,IF(O19=BV19,$AY$1,IF(O19=AS19,$V$1,""))))</f>
        <v/>
      </c>
      <c r="Q19" s="14">
        <f>IF(MAX(AW19,BZ19,DC19)&gt;0,MAX(AW19,BZ19,DC19),0)</f>
        <v>48.7</v>
      </c>
      <c r="R19" s="14" t="str">
        <f>IF(Q19=0,"",IF(Q19=DC19,$CB$1,IF(Q19=BZ19,$AY$1,IF(Q19=AW19,$V$1,""))))</f>
        <v>2022 Elite Canada</v>
      </c>
      <c r="S19" s="14" t="str">
        <f>IF(MAX(DE19:DG19)&gt;0,MAX(DE19:DG19),"")</f>
        <v/>
      </c>
      <c r="T19" s="20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45"/>
      <c r="AQ19" s="79" t="str">
        <f>IF(SUM(W19,AA19)&gt;0,SUM(W19,AA19),"")</f>
        <v/>
      </c>
      <c r="AR19" s="79" t="str">
        <f>IF(SUM(V19:W19,Y19:AA19,AC19)-X19-AB19&gt;0,SUM(V19:W19,Y19:AA19,AC19)-X19-AB19,"")</f>
        <v/>
      </c>
      <c r="AS19" s="79" t="str">
        <f>IF(SUM(AD19:AE19,AG19)-AF19&gt;0,SUM(AD19:AE19,AG19)-AF19,"")</f>
        <v/>
      </c>
      <c r="AT19" s="79" t="str">
        <f>IF(SUM(W19,AA19,AE19)&gt;0,SUM(W19,AA19,AE19),"")</f>
        <v/>
      </c>
      <c r="AU19" s="79" t="str">
        <f>IF(SUM(AR19,AS19)&gt;0,SUM(AR19,AS19),"")</f>
        <v/>
      </c>
      <c r="AV19" s="79" t="str">
        <f>IF(SUM(AI19,AM19)&gt;0,SUM(AI19,AM19),"")</f>
        <v/>
      </c>
      <c r="AW19" s="79" t="str">
        <f>IF(SUM(AH19:AI19,AK19:AM19,AO19)-SUM(AJ19,AN19)&gt;0,SUM(AH19:AI19,AK19:AM19,AO19)-SUM(AJ19,AN19),"")</f>
        <v/>
      </c>
      <c r="AX19" s="79" t="str">
        <f>IF(SUM(AR19,AW19)&gt;0,SUM(AR19,AW19),"")</f>
        <v/>
      </c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46"/>
      <c r="BT19" s="20" t="str">
        <f>IF(SUM(AZ19,BD19)&gt;0,SUM(AZ19,BD19),"")</f>
        <v/>
      </c>
      <c r="BU19" s="20" t="str">
        <f>IF(SUM(AY19:AZ19,BB19:BD19,BF19)-BA19-BE19&gt;0,SUM(AY19:AZ19,BB19:BD19,BF19)-BA19-BE19,"")</f>
        <v/>
      </c>
      <c r="BV19" s="20" t="str">
        <f>IF(SUM(BG19:BH19,BJ19)-BI19&gt;0,SUM(BG19:BH19,BJ19)-BI19,"")</f>
        <v/>
      </c>
      <c r="BW19" s="20" t="str">
        <f>IF(SUM(AZ19,BD19,BH19)&gt;0,SUM(AZ19,BD19,BH19),"")</f>
        <v/>
      </c>
      <c r="BX19" s="20" t="str">
        <f>IF(SUM(BU19,BV19)&gt;0,SUM(BU19,BV19),"")</f>
        <v/>
      </c>
      <c r="BY19" s="20" t="str">
        <f>IF(SUM(BL19,BP19)&gt;0,SUM(BL19,BP19),"")</f>
        <v/>
      </c>
      <c r="BZ19" s="20" t="str">
        <f>IF(SUM(BK19:BL19,BN19:BP19,BR19)-SUM(BM19,BQ19)&gt;0,SUM(BK19:BL19,BN19:BP19,BR19)-SUM(BM19,BQ19),"")</f>
        <v/>
      </c>
      <c r="CA19" s="20" t="str">
        <f>IF(SUM(BU19,BZ19)&gt;0,SUM(BU19,BZ19),"")</f>
        <v/>
      </c>
      <c r="CB19" s="27">
        <v>17.2</v>
      </c>
      <c r="CC19" s="27">
        <v>2.4</v>
      </c>
      <c r="CD19" s="27">
        <v>0</v>
      </c>
      <c r="CE19" s="27">
        <v>0</v>
      </c>
      <c r="CF19" s="27">
        <v>18.399999999999999</v>
      </c>
      <c r="CG19" s="27">
        <v>5.6</v>
      </c>
      <c r="CH19" s="27">
        <v>0.6</v>
      </c>
      <c r="CI19" s="27">
        <v>0</v>
      </c>
      <c r="CJ19" s="27">
        <v>18.5</v>
      </c>
      <c r="CK19" s="27">
        <v>6</v>
      </c>
      <c r="CL19" s="27">
        <v>0.2</v>
      </c>
      <c r="CM19" s="27">
        <v>0</v>
      </c>
      <c r="CN19" s="27">
        <v>18.399999999999999</v>
      </c>
      <c r="CO19" s="27">
        <v>6</v>
      </c>
      <c r="CP19" s="27">
        <v>0.6</v>
      </c>
      <c r="CQ19" s="27">
        <v>0</v>
      </c>
      <c r="CR19" s="27">
        <v>18.3</v>
      </c>
      <c r="CS19" s="27">
        <v>6.8</v>
      </c>
      <c r="CT19" s="27">
        <v>0.2</v>
      </c>
      <c r="CU19" s="27">
        <v>0</v>
      </c>
      <c r="CV19" s="45"/>
      <c r="CW19" s="79">
        <f>IF(SUM(CC19,CG19)&gt;0,SUM(CC19,CG19),"")</f>
        <v>8</v>
      </c>
      <c r="CX19" s="79">
        <f>IF(SUM(CB19:CC19,CE19:CG19,CI19)-CD19-CH19&gt;0,SUM(CB19:CC19,CE19:CG19,CI19)-CD19-CH19,"")</f>
        <v>43</v>
      </c>
      <c r="CY19" s="79">
        <f>IF(SUM(CJ19:CK19,CM19)-CL19&gt;0,SUM(CJ19:CK19,CM19)-CL19,"")</f>
        <v>24.3</v>
      </c>
      <c r="CZ19" s="79">
        <f>IF(SUM(CC19,CG19,CK19)&gt;0,SUM(CC19,CG19,CK19),"")</f>
        <v>14</v>
      </c>
      <c r="DA19" s="79">
        <f>IF(SUM(CX19,CY19)&gt;0,SUM(CX19,CY19),"")</f>
        <v>67.3</v>
      </c>
      <c r="DB19" s="79">
        <f>IF(SUM(CO19,CS19)&gt;0,SUM(CO19,CS19),"")</f>
        <v>12.8</v>
      </c>
      <c r="DC19" s="79">
        <f>IF(SUM(CN19:CO19,CQ19:CS19,CU19)-SUM(CP19,CT19)&gt;0,SUM(CN19:CO19,CQ19:CS19,CU19)-SUM(CP19,CT19),"")</f>
        <v>48.7</v>
      </c>
      <c r="DD19" s="79">
        <f>IF(SUM(CX19,DC19)&gt;0,SUM(CX19,DC19),"")</f>
        <v>91.7</v>
      </c>
      <c r="DE19" s="80" t="str">
        <f>IF(K19&gt;=0.001,IF(MAX(EC19,FE19,GG19,HI19,IK19,JM19,KO19,LQ19,MS19,NU19,OW19,PY19)-IF(K19="",0,K19)&gt;0.001,MAX(EC19,FE19,GG19,HI19,IK19,JM19,KO19,LQ19,MS19,NU19,OW19,PY19)-IF(K19="",0,K19),""),"")</f>
        <v/>
      </c>
      <c r="DF19" s="80" t="str">
        <f>IF(O19&gt;=0.001,IF(MAX(ED19,FF19,GH19,HJ19,IL19,JN19,KP19,LR19,MT19,NV19,OX19,PZ19)-IF(O19="",0,O19)&gt;0.001,MAX(ED19,FF19,GH19,HJ19,IL19,JN19,KP19,LR19,MT19,NV19,OX19,PZ19)-IF(O19="",0,O19),""),"")</f>
        <v/>
      </c>
      <c r="DG19" s="80" t="str">
        <f>IF(Q19&gt;=0.001,IF(MAX(EH19,FJ19,GL19,HN19,IP19,JR19,KT19,LV19,MX19,NZ19,PB19,QD19)-IF(Q19="",0,Q19)&gt;0.001,MAX(EH19,FJ19,GL19,HN19,IP19,JR19,KT19,LV19,MX19,NZ19,PB19,QD19)-IF(Q19="",0,Q19),""),"")</f>
        <v/>
      </c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79" t="str">
        <f>IF(SUM(DI19,DM19)&gt;0,SUM(DI19,DM19),"")</f>
        <v/>
      </c>
      <c r="EC19" s="79" t="str">
        <f>IF(SUM(DH19:DI19,DK19:DM19,DO19)-DJ19-DN19&gt;0,SUM(DH19:DI19,DK19:DM19,DO19)-DJ19-DN19,"")</f>
        <v/>
      </c>
      <c r="ED19" s="79" t="str">
        <f>IF(SUM(DP19:DQ19,DS19)-DR19&gt;0,SUM(DP19:DQ19,DS19)-DR19,"")</f>
        <v/>
      </c>
      <c r="EE19" s="79" t="str">
        <f>IF(SUM(DI19,DM19,DQ19)&gt;0,SUM(DI19,DM19,DQ19),"")</f>
        <v/>
      </c>
      <c r="EF19" s="79" t="str">
        <f>IF(SUM(EC19,ED19)&gt;0,SUM(EC19,ED19),"")</f>
        <v/>
      </c>
      <c r="EG19" s="79" t="str">
        <f>IF(SUM(DU19,DY19)&gt;0,SUM(DU19,DY19),"")</f>
        <v/>
      </c>
      <c r="EH19" s="79" t="str">
        <f>IF(SUM(DT19:DU19,DW19:DY19,EA19)-SUM(DV19,DZ19)&gt;0,SUM(DT19:DU19,DW19:DY19,EA19)-SUM(DV19,DZ19),"")</f>
        <v/>
      </c>
      <c r="EI19" s="79" t="str">
        <f>IF(SUM(EC19,EH19)&gt;0,SUM(EC19,EH19),"")</f>
        <v/>
      </c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0" t="str">
        <f>IF(SUM(EK19,EO19)&gt;0,SUM(EK19,EO19),"")</f>
        <v/>
      </c>
      <c r="FE19" s="20" t="str">
        <f>IF(SUM(EJ19:EK19,EM19:EO19,EQ19)-EL19-EP19&gt;0,SUM(EJ19:EK19,EM19:EO19,EQ19)-EL19-EP19,"")</f>
        <v/>
      </c>
      <c r="FF19" s="20" t="str">
        <f>IF(SUM(ER19:ES19,EU19)-ET19&gt;0,SUM(ER19:ES19,EU19)-ET19,"")</f>
        <v/>
      </c>
      <c r="FG19" s="20" t="str">
        <f>IF(SUM(EK19,EO19,ES19)&gt;0,SUM(EK19,EO19,ES19),"")</f>
        <v/>
      </c>
      <c r="FH19" s="20" t="str">
        <f>IF(SUM(FE19,FF19)&gt;0,SUM(FE19,FF19),"")</f>
        <v/>
      </c>
      <c r="FI19" s="20" t="str">
        <f>IF(SUM(EW19,FA19)&gt;0,SUM(EW19,FA19),"")</f>
        <v/>
      </c>
      <c r="FJ19" s="20" t="str">
        <f>IF(SUM(EV19:EW19,EY19:FA19,FC19)-SUM(EX19,FB19)&gt;0,SUM(EV19:EW19,EY19:FA19,FC19)-SUM(EX19,FB19),"")</f>
        <v/>
      </c>
      <c r="FK19" s="20" t="str">
        <f>IF(SUM(FE19,FJ19)&gt;0,SUM(FE19,FJ19),"")</f>
        <v/>
      </c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79" t="str">
        <f>IF(SUM(FM19,FQ19)&gt;0,SUM(FM19,FQ19),"")</f>
        <v/>
      </c>
      <c r="GG19" s="79" t="str">
        <f>IF(SUM(FL19:FM19,FO19:FQ19,FS19)-FN19-FR19&gt;0,SUM(FL19:FM19,FO19:FQ19,FS19)-FN19-FR19,"")</f>
        <v/>
      </c>
      <c r="GH19" s="79" t="str">
        <f>IF(SUM(FT19:FU19,FW19)-FV19&gt;0,SUM(FT19:FU19,FW19)-FV19,"")</f>
        <v/>
      </c>
      <c r="GI19" s="79" t="str">
        <f>IF(SUM(FM19,FQ19,FU19)&gt;0,SUM(FM19,FQ19,FU19),"")</f>
        <v/>
      </c>
      <c r="GJ19" s="79" t="str">
        <f>IF(SUM(GG19,GH19)&gt;0,SUM(GG19,GH19),"")</f>
        <v/>
      </c>
      <c r="GK19" s="79" t="str">
        <f>IF(SUM(FY19,GC19)&gt;0,SUM(FY19,GC19),"")</f>
        <v/>
      </c>
      <c r="GL19" s="79" t="str">
        <f>IF(SUM(FX19:FY19,GA19:GC19,GE19)-SUM(FZ19,GD19)&gt;0,SUM(FX19:FY19,GA19:GC19,GE19)-SUM(FZ19,GD19),"")</f>
        <v/>
      </c>
      <c r="GM19" s="79" t="str">
        <f>IF(SUM(GG19,GL19)&gt;0,SUM(GG19,GL19),"")</f>
        <v/>
      </c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0" t="str">
        <f>IF(SUM(GO19,GS19)&gt;0,SUM(GO19,GS19),"")</f>
        <v/>
      </c>
      <c r="HI19" s="20" t="str">
        <f>IF(SUM(GN19:GO19,GQ19:GS19,GU19)-GP19-GT19&gt;0,SUM(GN19:GO19,GQ19:GS19,GU19)-GP19-GT19,"")</f>
        <v/>
      </c>
      <c r="HJ19" s="20" t="str">
        <f>IF(SUM(GV19:GW19,GY19)-GX19&gt;0,SUM(GV19:GW19,GY19)-GX19,"")</f>
        <v/>
      </c>
      <c r="HK19" s="20" t="str">
        <f>IF(SUM(GO19,GS19,GW19)&gt;0,SUM(GO19,GS19,GW19),"")</f>
        <v/>
      </c>
      <c r="HL19" s="20" t="str">
        <f>IF(SUM(HI19,HJ19)&gt;0,SUM(HI19,HJ19),"")</f>
        <v/>
      </c>
      <c r="HM19" s="20" t="str">
        <f>IF(SUM(HA19,HE19)&gt;0,SUM(HA19,HE19),"")</f>
        <v/>
      </c>
      <c r="HN19" s="20" t="str">
        <f>IF(SUM(GZ19:HA19,HC19:HE19,HG19)-SUM(HB19,HF19)&gt;0,SUM(GZ19:HA19,HC19:HE19,HG19)-SUM(HB19,HF19),"")</f>
        <v/>
      </c>
      <c r="HO19" s="20" t="str">
        <f>IF(SUM(HI19,HN19)&gt;0,SUM(HI19,HN19),"")</f>
        <v/>
      </c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79" t="str">
        <f>IF(SUM(HQ19,HU19)&gt;0,SUM(HQ19,HU19),"")</f>
        <v/>
      </c>
      <c r="IK19" s="79" t="str">
        <f>IF(SUM(HP19:HQ19,HS19:HU19,HW19)-HR19-HV19&gt;0,SUM(HP19:HQ19,HS19:HU19,HW19)-HR19-HV19,"")</f>
        <v/>
      </c>
      <c r="IL19" s="79" t="str">
        <f>IF(SUM(HX19:HY19,IA19)-HZ19&gt;0,SUM(HX19:HY19,IA19)-HZ19,"")</f>
        <v/>
      </c>
      <c r="IM19" s="79" t="str">
        <f>IF(SUM(HQ19,HU19,HY19)&gt;0,SUM(HQ19,HU19,HY19),"")</f>
        <v/>
      </c>
      <c r="IN19" s="79" t="str">
        <f>IF(SUM(IK19,IL19)&gt;0,SUM(IK19,IL19),"")</f>
        <v/>
      </c>
      <c r="IO19" s="79" t="str">
        <f>IF(SUM(IC19,IG19)&gt;0,SUM(IC19,IG19),"")</f>
        <v/>
      </c>
      <c r="IP19" s="79" t="str">
        <f>IF(SUM(IB19:IC19,IE19:IG19,II19)-SUM(ID19,IH19)&gt;0,SUM(IB19:IC19,IE19:IG19,II19)-SUM(ID19,IH19),"")</f>
        <v/>
      </c>
      <c r="IQ19" s="79" t="str">
        <f>IF(SUM(IK19,IP19)&gt;0,SUM(IK19,IP19),"")</f>
        <v/>
      </c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0" t="str">
        <f>IF(SUM(IS19,IW19)&gt;0,SUM(IS19,IW19),"")</f>
        <v/>
      </c>
      <c r="JM19" s="20" t="str">
        <f>IF(SUM(IR19:IS19,IU19:IW19,IY19)-IT19-IX19&gt;0,SUM(IR19:IS19,IU19:IW19,IY19)-IT19-IX19,"")</f>
        <v/>
      </c>
      <c r="JN19" s="20" t="str">
        <f>IF(SUM(IZ19:JA19,JC19)-JB19&gt;0,SUM(IZ19:JA19,JC19)-JB19,"")</f>
        <v/>
      </c>
      <c r="JO19" s="20" t="str">
        <f>IF(SUM(IS19,IW19,JA19)&gt;0,SUM(IS19,IW19,JA19),"")</f>
        <v/>
      </c>
      <c r="JP19" s="20" t="str">
        <f>IF(SUM(JM19,JN19)&gt;0,SUM(JM19,JN19),"")</f>
        <v/>
      </c>
      <c r="JQ19" s="20" t="str">
        <f>IF(SUM(JE19,JI19)&gt;0,SUM(JE19,JI19),"")</f>
        <v/>
      </c>
      <c r="JR19" s="20" t="str">
        <f>IF(SUM(JD19:JE19,JG19:JI19,JK19)-SUM(JF19,JJ19)&gt;0,SUM(JD19:JE19,JG19:JI19,JK19)-SUM(JF19,JJ19),"")</f>
        <v/>
      </c>
      <c r="JS19" s="20" t="str">
        <f>IF(SUM(JM19,JR19)&gt;0,SUM(JM19,JR19),"")</f>
        <v/>
      </c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79" t="str">
        <f>IF(SUM(JU19,JY19)&gt;0,SUM(JU19,JY19),"")</f>
        <v/>
      </c>
      <c r="KO19" s="79" t="str">
        <f>IF(SUM(JT19:JU19,JW19:JY19,KA19)-JV19-JZ19&gt;0,SUM(JT19:JU19,JW19:JY19,KA19)-JV19-JZ19,"")</f>
        <v/>
      </c>
      <c r="KP19" s="79" t="str">
        <f>IF(SUM(KB19:KC19,KE19)-KD19&gt;0,SUM(KB19:KC19,KE19)-KD19,"")</f>
        <v/>
      </c>
      <c r="KQ19" s="79" t="str">
        <f>IF(SUM(JU19,JY19,KC19)&gt;0,SUM(JU19,JY19,KC19),"")</f>
        <v/>
      </c>
      <c r="KR19" s="79" t="str">
        <f>IF(SUM(KO19,KP19)&gt;0,SUM(KO19,KP19),"")</f>
        <v/>
      </c>
      <c r="KS19" s="79" t="str">
        <f>IF(SUM(KG19,KK19)&gt;0,SUM(KG19,KK19),"")</f>
        <v/>
      </c>
      <c r="KT19" s="79" t="str">
        <f>IF(SUM(KF19:KG19,KI19:KK19,KM19)-SUM(KH19,KL19)&gt;0,SUM(KF19:KG19,KI19:KK19,KM19)-SUM(KH19,KL19),"")</f>
        <v/>
      </c>
      <c r="KU19" s="79" t="str">
        <f>IF(SUM(KO19,KT19)&gt;0,SUM(KO19,KT19),"")</f>
        <v/>
      </c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0" t="str">
        <f>IF(SUM(KW19,LA19)&gt;0,SUM(KW19,LA19),"")</f>
        <v/>
      </c>
      <c r="LQ19" s="20" t="str">
        <f>IF(SUM(KV19:KW19,KY19:LA19,LC19)-KX19-LB19&gt;0,SUM(KV19:KW19,KY19:LA19,LC19)-KX19-LB19,"")</f>
        <v/>
      </c>
      <c r="LR19" s="20" t="str">
        <f>IF(SUM(LD19:LE19,LG19)-LF19&gt;0,SUM(LD19:LE19,LG19)-LF19,"")</f>
        <v/>
      </c>
      <c r="LS19" s="20" t="str">
        <f>IF(SUM(KW19,LA19,LE19)&gt;0,SUM(KW19,LA19,LE19),"")</f>
        <v/>
      </c>
      <c r="LT19" s="20" t="str">
        <f>IF(SUM(LQ19,LR19)&gt;0,SUM(LQ19,LR19),"")</f>
        <v/>
      </c>
      <c r="LU19" s="20" t="str">
        <f>IF(SUM(LI19,LM19)&gt;0,SUM(LI19,LM19),"")</f>
        <v/>
      </c>
      <c r="LV19" s="20" t="str">
        <f>IF(SUM(LH19:LI19,LK19:LM19,LO19)-SUM(LJ19,LN19)&gt;0,SUM(LH19:LI19,LK19:LM19,LO19)-SUM(LJ19,LN19),"")</f>
        <v/>
      </c>
      <c r="LW19" s="20" t="str">
        <f>IF(SUM(LQ19,LV19)&gt;0,SUM(LQ19,LV19),"")</f>
        <v/>
      </c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79" t="str">
        <f>IF(SUM(LY19,MC19)&gt;0,SUM(LY19,MC19),"")</f>
        <v/>
      </c>
      <c r="MS19" s="79" t="str">
        <f>IF(SUM(LX19:LY19,MA19:MC19,ME19)-LZ19-MD19&gt;0,SUM(LX19:LY19,MA19:MC19,ME19)-LZ19-MD19,"")</f>
        <v/>
      </c>
      <c r="MT19" s="79" t="str">
        <f>IF(SUM(MF19:MG19,MI19)-MH19&gt;0,SUM(MF19:MG19,MI19)-MH19,"")</f>
        <v/>
      </c>
      <c r="MU19" s="79" t="str">
        <f>IF(SUM(LY19,MC19,MG19)&gt;0,SUM(LY19,MC19,MG19),"")</f>
        <v/>
      </c>
      <c r="MV19" s="79" t="str">
        <f>IF(SUM(MS19,MT19)&gt;0,SUM(MS19,MT19),"")</f>
        <v/>
      </c>
      <c r="MW19" s="79" t="str">
        <f>IF(SUM(MK19,MO19)&gt;0,SUM(MK19,MO19),"")</f>
        <v/>
      </c>
      <c r="MX19" s="79" t="str">
        <f>IF(SUM(MJ19:MK19,MM19:MO19,MQ19)-SUM(ML19,MP19)&gt;0,SUM(MJ19:MK19,MM19:MO19,MQ19)-SUM(ML19,MP19),"")</f>
        <v/>
      </c>
      <c r="MY19" s="79" t="str">
        <f>IF(SUM(MS19,MX19)&gt;0,SUM(MS19,MX19),"")</f>
        <v/>
      </c>
      <c r="MZ19" s="26"/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0" t="str">
        <f>IF(SUM(NA19,NE19)&gt;0,SUM(NA19,NE19),"")</f>
        <v/>
      </c>
      <c r="NU19" s="20" t="str">
        <f>IF(SUM(MZ19:NA19,NC19:NE19,NG19)-NB19-NF19&gt;0,SUM(MZ19:NA19,NC19:NE19,NG19)-NB19-NF19,"")</f>
        <v/>
      </c>
      <c r="NV19" s="20" t="str">
        <f>IF(SUM(NH19:NI19,NK19)-NJ19&gt;0,SUM(NH19:NI19,NK19)-NJ19,"")</f>
        <v/>
      </c>
      <c r="NW19" s="20" t="str">
        <f>IF(SUM(NA19,NE19,NI19)&gt;0,SUM(NA19,NE19,NI19),"")</f>
        <v/>
      </c>
      <c r="NX19" s="20" t="str">
        <f>IF(SUM(NU19,NV19)&gt;0,SUM(NU19,NV19),"")</f>
        <v/>
      </c>
      <c r="NY19" s="20" t="str">
        <f>IF(SUM(NM19,NQ19)&gt;0,SUM(NM19,NQ19),"")</f>
        <v/>
      </c>
      <c r="NZ19" s="20" t="str">
        <f>IF(SUM(NL19:NM19,NO19:NQ19,NS19)-SUM(NN19,NR19)&gt;0,SUM(NL19:NM19,NO19:NQ19,NS19)-SUM(NN19,NR19),"")</f>
        <v/>
      </c>
      <c r="OA19" s="20" t="str">
        <f>IF(SUM(NU19,NZ19)&gt;0,SUM(NU19,NZ19),"")</f>
        <v/>
      </c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79" t="str">
        <f>IF(SUM(OC19,OG19)&gt;0,SUM(OC19,OG19),"")</f>
        <v/>
      </c>
      <c r="OW19" s="79" t="str">
        <f>IF(SUM(OB19:OC19,OE19:OG19,OI19)-OD19-OH19&gt;0,SUM(OB19:OC19,OE19:OG19,OI19)-OD19-OH19,"")</f>
        <v/>
      </c>
      <c r="OX19" s="79" t="str">
        <f>IF(SUM(OJ19:OK19,OM19)-OL19&gt;0,SUM(OJ19:OK19,OM19)-OL19,"")</f>
        <v/>
      </c>
      <c r="OY19" s="79" t="str">
        <f>IF(SUM(OC19,OG19,OK19)&gt;0,SUM(OC19,OG19,OK19),"")</f>
        <v/>
      </c>
      <c r="OZ19" s="79" t="str">
        <f>IF(SUM(OW19,OX19)&gt;0,SUM(OW19,OX19),"")</f>
        <v/>
      </c>
      <c r="PA19" s="79" t="str">
        <f>IF(SUM(OO19,OS19)&gt;0,SUM(OO19,OS19),"")</f>
        <v/>
      </c>
      <c r="PB19" s="79" t="str">
        <f>IF(SUM(ON19:OO19,OQ19:OS19,OU19)-SUM(OP19,OT19)&gt;0,SUM(ON19:OO19,OQ19:OS19,OU19)-SUM(OP19,OT19),"")</f>
        <v/>
      </c>
      <c r="PC19" s="79" t="str">
        <f>IF(SUM(OW19,PB19)&gt;0,SUM(OW19,PB19),"")</f>
        <v/>
      </c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0" t="str">
        <f>IF(SUM(PE19,PI19)&gt;0,SUM(PE19,PI19),"")</f>
        <v/>
      </c>
      <c r="PY19" s="20" t="str">
        <f>IF(SUM(PD19:PE19,PG19:PI19,PK19)-PF19-PJ19&gt;0,SUM(PD19:PE19,PG19:PI19,PK19)-PF19-PJ19,"")</f>
        <v/>
      </c>
      <c r="PZ19" s="20" t="str">
        <f>IF(SUM(PL19:PM19,PO19)-PN19&gt;0,SUM(PL19:PM19,PO19)-PN19,"")</f>
        <v/>
      </c>
      <c r="QA19" s="20" t="str">
        <f>IF(SUM(PE19,PI19,PM19)&gt;0,SUM(PE19,PI19,PM19),"")</f>
        <v/>
      </c>
      <c r="QB19" s="20" t="str">
        <f>IF(SUM(PY19,PZ19)&gt;0,SUM(PY19,PZ19),"")</f>
        <v/>
      </c>
      <c r="QC19" s="20" t="str">
        <f>IF(SUM(PQ19,PU19)&gt;0,SUM(PQ19,PU19),"")</f>
        <v/>
      </c>
      <c r="QD19" s="20" t="str">
        <f>IF(SUM(PP19:PQ19,PS19:PU19,PW19)-SUM(PR19,PV19)&gt;0,SUM(PP19:PQ19,PS19:PU19,PW19)-SUM(PR19,PV19),"")</f>
        <v/>
      </c>
      <c r="QE19" s="20" t="str">
        <f>IF(SUM(PY19,QD19)&gt;0,SUM(PY19,QD19),"")</f>
        <v/>
      </c>
      <c r="QF19" s="38">
        <f>IF($CV19="P",CB19,(CB19+AY19)/2)</f>
        <v>8.6</v>
      </c>
      <c r="QG19" s="38">
        <f>IF($CV19="P",CC19,(CC19+AZ19)/2)</f>
        <v>1.2</v>
      </c>
      <c r="QH19" s="38">
        <f>IF($CV19="P",CD19,(CD19+BA19)/2)</f>
        <v>0</v>
      </c>
      <c r="QI19" s="38">
        <f>IF($CV19="P",CE19,(CE19+BB19)/2)</f>
        <v>0</v>
      </c>
      <c r="QJ19" s="38">
        <f>IF($CV19="P",CF19,(CF19+BC19)/2)</f>
        <v>9.1999999999999993</v>
      </c>
      <c r="QK19" s="38">
        <f>IF($CV19="P",CG19,(CG19+BD19)/2)</f>
        <v>2.8</v>
      </c>
      <c r="QL19" s="38">
        <f>IF($CV19="P",CH19,(CH19+BE19)/2)</f>
        <v>0.3</v>
      </c>
      <c r="QM19" s="38">
        <f>IF($CV19="P",CI19,(CI19+BF19)/2)</f>
        <v>0</v>
      </c>
      <c r="QN19" s="38">
        <f>IF($CV19="P",CJ19,(CJ19+BG19)/2)</f>
        <v>9.25</v>
      </c>
      <c r="QO19" s="38">
        <f>IF($CV19="P",CK19,(CK19+BH19)/2)</f>
        <v>3</v>
      </c>
      <c r="QP19" s="38">
        <f>IF($CV19="P",CL19,(CL19+BI19)/2)</f>
        <v>0.1</v>
      </c>
      <c r="QQ19" s="38">
        <f>IF($CV19="P",CM19,(CM19+BJ19)/2)</f>
        <v>0</v>
      </c>
      <c r="QR19" s="38">
        <f>IF($CV19="P",CN19,(CN19+BK19)/2)</f>
        <v>9.1999999999999993</v>
      </c>
      <c r="QS19" s="38">
        <f>IF($CV19="P",CO19,(CO19+BL19)/2)</f>
        <v>3</v>
      </c>
      <c r="QT19" s="38">
        <f>IF($CV19="P",CP19,(CP19+BM19)/2)</f>
        <v>0.3</v>
      </c>
      <c r="QU19" s="38">
        <f>IF($CV19="P",CQ19,(CQ19+BN19)/2)</f>
        <v>0</v>
      </c>
      <c r="QV19" s="38">
        <f>IF($CV19="P",CR19,(CR19+BO19)/2)</f>
        <v>9.15</v>
      </c>
      <c r="QW19" s="38">
        <f>IF($CV19="P",CS19,(CS19+BP19)/2)</f>
        <v>3.4</v>
      </c>
      <c r="QX19" s="38">
        <f>IF($CV19="P",CT19,(CT19+BQ19)/2)</f>
        <v>0.1</v>
      </c>
      <c r="QY19" s="38">
        <f>IF($CV19="P",CU19,(CU19+BR19)/2)</f>
        <v>0</v>
      </c>
      <c r="QZ19" s="45" t="s">
        <v>46</v>
      </c>
      <c r="RA19" s="79">
        <f>IF(SUM(QG19,QK19)&gt;0,SUM(QG19,QK19),"")</f>
        <v>4</v>
      </c>
      <c r="RB19" s="79">
        <f>IF(SUM(QF19:QG19,QI19:QK19,QM19)-QH19-QL19&gt;0,SUM(QF19:QG19,QI19:QK19,QM19)-QH19-QL19,"")</f>
        <v>21.5</v>
      </c>
      <c r="RC19" s="79">
        <f>IF(SUM(QN19:QO19,QQ19)-QP19&gt;0,SUM(QN19:QO19,QQ19)-QP19,"")</f>
        <v>12.15</v>
      </c>
      <c r="RD19" s="79">
        <f>IF(SUM(QG19,QK19,QO19)&gt;0,SUM(QG19,QK19,QO19),"")</f>
        <v>7</v>
      </c>
      <c r="RE19" s="79">
        <f>IF(SUM(RB19,RC19)&gt;0,SUM(RB19,RC19),"")</f>
        <v>33.65</v>
      </c>
      <c r="RF19" s="79">
        <f>IF(SUM(QS19,QW19)&gt;0,SUM(QS19,QW19),"")</f>
        <v>6.4</v>
      </c>
      <c r="RG19" s="79">
        <f>IF(SUM(QR19:QS19,QU19:QW19,QY19)-SUM(QT19,QX19)&gt;0,SUM(QR19:QS19,QU19:QW19,QY19)-SUM(QT19,QX19),"")</f>
        <v>24.35</v>
      </c>
      <c r="RH19" s="79">
        <f>IF(SUM(RB19,RG19)&gt;0,SUM(RB19,RG19),"")</f>
        <v>45.85</v>
      </c>
    </row>
    <row r="20" spans="1:476" x14ac:dyDescent="0.2">
      <c r="A20" s="5" t="str">
        <f>IF(AND(F20="P",G20="P"),SUMPRODUCT((F$4:F$27="P")*(G$4:G$27="P")*(E$4:E$27&gt;E20))+1,IF(G20="P",SUMPRODUCT((F$4:F$27="")*(G$4:G$27="P")*(E$4:E$27&gt;E20))+1+SUMPRODUCT((F$4:F$27="P")*(G$4:G$27="P")),""))</f>
        <v/>
      </c>
      <c r="B20" s="78" t="s">
        <v>87</v>
      </c>
      <c r="C20" s="5" t="s">
        <v>4</v>
      </c>
      <c r="D20" s="5">
        <v>2004</v>
      </c>
      <c r="E20" s="15">
        <f>SUM(I20:S20)+SUM(I20:O20)*0.0000001+SUM(I20)*0.0000000000001</f>
        <v>113.70000696000473</v>
      </c>
      <c r="F20" s="3" t="str">
        <f>IF(OR(AND(AQ20&gt;=AX$29,AR20&gt;=AX$33,AQ20&lt;&gt;"",AP20=""),AND(AV20&gt;=AX$29,AW20&gt;=AX$33,AV20&lt;&gt;"",AP20=""),AND(BT20&gt;=CA$29,BU20&gt;=CA$33,BT20&lt;&gt;"",BS20=""),AND(BY20&gt;=CA$29,BZ20&gt;=CA$33,BY20&lt;&gt;"",BS20=""),AND(CW20&gt;=DD$29,CX20&gt;=DD$33,CW20&lt;&gt;"",CV20=""),AND(DB20&gt;=DD$29,DC20&gt;=DD$33,DB20&lt;&gt;""),AND(EB20&gt;=EI$29,EC20&gt;=EI$33,EB20&lt;&gt;""),AND(EG20&gt;=EI$29,EH20&gt;=EI$33,EG20&lt;&gt;""),AND(FD20&gt;=FK$29,FE20&gt;=FK$33,FD20&lt;&gt;""),AND(FI20&gt;=FK$29,FJ20&gt;=FK$33,FI20&lt;&gt;""),AND(GF20&gt;=GM$29,GG20&gt;=GM$33,GF20&lt;&gt;""),AND(GK20&gt;=GM$29,GL20&gt;=GM$33,GK20&lt;&gt;""),AND(HH20&gt;=HO$29,HI20&gt;=HO$33,HH20&lt;&gt;""),AND(HM20&gt;=HO$29,HN20&gt;=HO$33,HM20&lt;&gt;""),AND(IJ20&gt;=IQ$29,IK20&gt;=IQ$33,IJ20&lt;&gt;""),AND(IO20&gt;=IQ$29,IP20&gt;=IQ$33,IO20&lt;&gt;""),AND(JL20&gt;=JS$29,JM20&gt;=JS$33,JL20&lt;&gt;""),AND(JQ20&gt;=JS$29,JR20&gt;=JS$33,JQ20&lt;&gt;""),AND(KN20&gt;=KU$29,KO20&gt;=KU$33,KN20&lt;&gt;""),AND(KS20&gt;=KU$29,KT20&gt;=KU$33,KS20&lt;&gt;""),AND(LP20&gt;=LW$29,LQ20&gt;=LW$33,LP20&lt;&gt;""),AND(LU20&gt;=LW$29,LV20&gt;=LW$33,LU20&lt;&gt;""),AND(MR20&gt;=MY$29,MS20&gt;=MY$33,MR20&lt;&gt;""),AND(MW20&gt;=MY$29,MX20&gt;=MY$33,MW20&lt;&gt;""),AND(NT20&gt;=OA$29,NU20&gt;=OA$33,NT20&lt;&gt;""),AND(NY20&gt;=OA$29,NZ20&gt;=OA$33,NY20&lt;&gt;""),AND(OV20&gt;=PC$29,OW20&gt;=PC$33,OV20&lt;&gt;""),AND(PA20&gt;=PC$29,PB20&gt;=PC$33,PA20&lt;&gt;""),AND(PX20&gt;=QE$29,PY20&gt;=QE$33,PX20&lt;&gt;""),AND(QC20&gt;=QE$29,QD20&gt;=QE$33,QC20&lt;&gt;"")),"P","")</f>
        <v/>
      </c>
      <c r="G20" s="3" t="str">
        <f>IF(OR(AND(AR20&gt;=AX$33,AR20&lt;&gt;"",AP20=""),AND(AW20&gt;=AX$33,AW20&lt;&gt;"",AP20=""),AND(BU20&gt;=CA$33,BU20&lt;&gt;"",BS20=""),AND(BZ20&gt;=CA$33,BZ20&lt;&gt;"",BS20=""),AND(CX20&gt;=DD$33,CX20&lt;&gt;"",CV20=""),AND(DC20&gt;=DD$33,DC20&lt;&gt;"",CV20=""),AND(EC20&gt;=EI$33,EC20&lt;&gt;""),AND(EH20&gt;=EI$33,EH20&lt;&gt;""),AND(FE20&gt;=FK$33,FE20&lt;&gt;""),AND(FJ20&gt;=FK$33,FJ20&lt;&gt;""),AND(GG20&gt;=GM$33,GG20&lt;&gt;""),AND(GL20&gt;=GM$33,GL20&lt;&gt;""),AND(HI20&gt;=HO$33,HI20&lt;&gt;""),AND(HN20&gt;=HO$33,HN20&lt;&gt;""),AND(IK20&gt;=IQ$33,IK20&lt;&gt;""),AND(IP20&gt;=IQ$33,IP20&lt;&gt;""),AND(JM20&gt;=JS$33,JM20&lt;&gt;""),AND(JR20&gt;=JS$33,JR20&lt;&gt;""),AND(KO20&gt;=KU$33,KO20&lt;&gt;""),AND(KT20&gt;=KU$33,KT20&lt;&gt;""),AND(LQ20&gt;=LW$33,LQ20&lt;&gt;""),AND(LV20&gt;=LW$33,LV20&lt;&gt;""),AND(MS20&gt;=MY$33,MS20&lt;&gt;""),AND(MX20&gt;=MY$33,MX20&lt;&gt;""),AND(NU20&gt;=OA$33,NU20&lt;&gt;""),AND(NZ20&gt;=OA$33,NZ20&lt;&gt;""),AND(OW20&gt;=PC$33,OW20&lt;&gt;""),AND(PB20&gt;=PC$33,PB20&lt;&gt;""),AND(PY20&gt;=QE$33,PY20&lt;&gt;""),AND(QD20&gt;=QE$33,QD20&lt;&gt;"")),"P","")</f>
        <v/>
      </c>
      <c r="H20" s="67" t="str">
        <f>IF(AND(G20="P",F20=""),"No DD",IF(OR(AND(AT20&gt;=AX$32,AU20&gt;=AX$36,AT20&lt;&gt;"",AP20=""),AND(BW20&gt;=CA$32,BX20&gt;=CA$36,BW20&lt;&gt;"",BS20=""),AND(CZ20&gt;=DD$32,DA20&gt;=DD$36,CZ20&lt;&gt;"",CV20=""),AND(EE20&gt;=EI$32,EF20&gt;=EI$36,EE20&lt;&gt;""),AND(FG20&gt;=FK$32,FH20&gt;=FK$36,FG20&lt;&gt;""),AND(GI20&gt;=GM$32,GJ20&gt;=GM$36,GI20&lt;&gt;""),AND(HK20&gt;=HO$32,HL20&gt;=HO$36,HK20&lt;&gt;""),AND(IM20&gt;=IQ$32,IN20&gt;=IQ$36,IM20&lt;&gt;""),AND(JO20&gt;=JS$32,JP20&gt;=JS$36,JO20&lt;&gt;""),AND(KQ20&gt;=KU$32,KR20&gt;=KU$36,KQ20&lt;&gt;""),AND(LS20&gt;=LW$32,LT20&gt;=LW$36,LS20&lt;&gt;""),AND(MU20&gt;=MY$32,MV20&gt;=MY$36,MU20&lt;&gt;""),AND(NW20&gt;=OA$32,NX20&gt;=OA$36,NW20&lt;&gt;""),AND(OY20&gt;=PC$32,OZ20&gt;=PC$36,OY20&lt;&gt;""),AND(QA20&gt;=QE$32,QB20&gt;=QE$36,QA20&lt;&gt;"")),"Merit",IF(OR(AND(AT20&gt;=AX$31,AU20&gt;=AX$35,AT20&lt;&gt;"",AP20=""),AND(BW20&gt;=CA$31,BX20&gt;=CA$35,BW20&lt;&gt;"",BS20=""),AND(CZ20&gt;=DD$31,DA20&gt;=DD$35,CZ20&lt;&gt;"",CV20=""),AND(EE20&gt;=EI$31,EF20&gt;=EI$35,EE20&lt;&gt;""),AND(FG20&gt;=FK$31,FH20&gt;=FK$35,FG20&lt;&gt;""),AND(GI20&gt;=GM$31,GJ20&gt;=GM$35,GI20&lt;&gt;""),AND(HK20&gt;=HO$31,HL20&gt;=HO$35,HK20&lt;&gt;""),AND(IM20&gt;=IQ$31,IN20&gt;=IQ$35,IM20&lt;&gt;""),AND(JO20&gt;=JS$31,JP20&gt;=JS$35,JO20&lt;&gt;""),AND(KQ20&gt;=KU$31,KR20&gt;=KU$35,KQ20&lt;&gt;""),AND(LS20&gt;=LW$31,LT20&gt;=LW$35,LS20&lt;&gt;""),AND(MU20&gt;=MY$31,MV20&gt;=MY$35,MU20&lt;&gt;""),AND(NW20&gt;=OA$31,NX20&gt;=OA$35,NW20&lt;&gt;""),AND(OY20&gt;=PC$31,OZ20&gt;=PC$35,OY20&lt;&gt;""),AND(QA20&gt;=QE$31,QB20&gt;=QE$35,QA20&lt;&gt;"")),"Excellence",IF(F20="P","National Team",""))))</f>
        <v/>
      </c>
      <c r="I20" s="14">
        <f>IF(COUNT(AR20,BU20,CX20)&gt;0,LARGE((AR20,BU20,CX20),1),0)</f>
        <v>47.4</v>
      </c>
      <c r="J20" s="14" t="str">
        <f>IF(I20=0,"",IF(I20=CX20,$CB$1,IF(I20=BU20,$AY$1,IF(I20=AR20,$V$1,""))))</f>
        <v>2022 Elite Canada</v>
      </c>
      <c r="K20" s="14">
        <f>IF(COUNT(AR20,BU20,CX20)&gt;1,LARGE((AR20,BU20,CX20),2),0)</f>
        <v>0</v>
      </c>
      <c r="L20" s="14" t="str">
        <f>IF(K20=0,"",IF(K20=CX20,$CB$1,IF(K20=BU20,$AY$1,IF(K20=AR20,$V$1,""))))</f>
        <v/>
      </c>
      <c r="M20" s="14">
        <f>IF(COUNT(AS20,BV20,CY20)&gt;0,LARGE((AS20,BV20,CY20),1),0)</f>
        <v>22.200000000000003</v>
      </c>
      <c r="N20" s="14" t="str">
        <f>IF(M20=0,"",IF(M20=CY20,$CB$1,IF(M20=BV20,$AY$1,IF(M20=AS20,$V$1,""))))</f>
        <v>2022 Elite Canada</v>
      </c>
      <c r="O20" s="14">
        <f>IF(COUNT(AS20,BV20,CY20)&gt;1,LARGE((AS20,BV20,CY20),2),0)</f>
        <v>0</v>
      </c>
      <c r="P20" s="14" t="str">
        <f>IF(O20=0,"",IF(O20=CY20,$CB$1,IF(O20=BV20,$AY$1,IF(O20=AS20,$V$1,""))))</f>
        <v/>
      </c>
      <c r="Q20" s="14">
        <f>IF(MAX(AW20,BZ20,DC20)&gt;0,MAX(AW20,BZ20,DC20),0)</f>
        <v>44.1</v>
      </c>
      <c r="R20" s="14" t="str">
        <f>IF(Q20=0,"",IF(Q20=DC20,$CB$1,IF(Q20=BZ20,$AY$1,IF(Q20=AW20,$V$1,""))))</f>
        <v>2022 Elite Canada</v>
      </c>
      <c r="S20" s="14" t="str">
        <f>IF(MAX(DE20:DG20)&gt;0,MAX(DE20:DG20),"")</f>
        <v/>
      </c>
      <c r="T20" s="20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45"/>
      <c r="AQ20" s="79" t="str">
        <f>IF(SUM(W20,AA20)&gt;0,SUM(W20,AA20),"")</f>
        <v/>
      </c>
      <c r="AR20" s="79" t="str">
        <f>IF(SUM(V20:W20,Y20:AA20,AC20)-X20-AB20&gt;0,SUM(V20:W20,Y20:AA20,AC20)-X20-AB20,"")</f>
        <v/>
      </c>
      <c r="AS20" s="79" t="str">
        <f>IF(SUM(AD20:AE20,AG20)-AF20&gt;0,SUM(AD20:AE20,AG20)-AF20,"")</f>
        <v/>
      </c>
      <c r="AT20" s="79" t="str">
        <f>IF(SUM(W20,AA20,AE20)&gt;0,SUM(W20,AA20,AE20),"")</f>
        <v/>
      </c>
      <c r="AU20" s="79" t="str">
        <f>IF(SUM(AR20,AS20)&gt;0,SUM(AR20,AS20),"")</f>
        <v/>
      </c>
      <c r="AV20" s="79" t="str">
        <f>IF(SUM(AI20,AM20)&gt;0,SUM(AI20,AM20),"")</f>
        <v/>
      </c>
      <c r="AW20" s="79" t="str">
        <f>IF(SUM(AH20:AI20,AK20:AM20,AO20)-SUM(AJ20,AN20)&gt;0,SUM(AH20:AI20,AK20:AM20,AO20)-SUM(AJ20,AN20),"")</f>
        <v/>
      </c>
      <c r="AX20" s="79" t="str">
        <f>IF(SUM(AR20,AW20)&gt;0,SUM(AR20,AW20),"")</f>
        <v/>
      </c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46"/>
      <c r="BT20" s="20" t="str">
        <f>IF(SUM(AZ20,BD20)&gt;0,SUM(AZ20,BD20),"")</f>
        <v/>
      </c>
      <c r="BU20" s="20" t="str">
        <f>IF(SUM(AY20:AZ20,BB20:BD20,BF20)-BA20-BE20&gt;0,SUM(AY20:AZ20,BB20:BD20,BF20)-BA20-BE20,"")</f>
        <v/>
      </c>
      <c r="BV20" s="20" t="str">
        <f>IF(SUM(BG20:BH20,BJ20)-BI20&gt;0,SUM(BG20:BH20,BJ20)-BI20,"")</f>
        <v/>
      </c>
      <c r="BW20" s="20" t="str">
        <f>IF(SUM(AZ20,BD20,BH20)&gt;0,SUM(AZ20,BD20,BH20),"")</f>
        <v/>
      </c>
      <c r="BX20" s="20" t="str">
        <f>IF(SUM(BU20,BV20)&gt;0,SUM(BU20,BV20),"")</f>
        <v/>
      </c>
      <c r="BY20" s="20" t="str">
        <f>IF(SUM(BL20,BP20)&gt;0,SUM(BL20,BP20),"")</f>
        <v/>
      </c>
      <c r="BZ20" s="20" t="str">
        <f>IF(SUM(BK20:BL20,BN20:BP20,BR20)-SUM(BM20,BQ20)&gt;0,SUM(BK20:BL20,BN20:BP20,BR20)-SUM(BM20,BQ20),"")</f>
        <v/>
      </c>
      <c r="CA20" s="20" t="str">
        <f>IF(SUM(BU20,BZ20)&gt;0,SUM(BU20,BZ20),"")</f>
        <v/>
      </c>
      <c r="CB20" s="27">
        <v>18.2</v>
      </c>
      <c r="CC20" s="27">
        <v>5.6</v>
      </c>
      <c r="CD20" s="27">
        <v>0</v>
      </c>
      <c r="CE20" s="27">
        <v>0</v>
      </c>
      <c r="CF20" s="27">
        <v>18.399999999999999</v>
      </c>
      <c r="CG20" s="27">
        <v>6</v>
      </c>
      <c r="CH20" s="27">
        <v>0.8</v>
      </c>
      <c r="CI20" s="27">
        <v>0</v>
      </c>
      <c r="CJ20" s="27">
        <v>17.100000000000001</v>
      </c>
      <c r="CK20" s="27">
        <v>5.0999999999999996</v>
      </c>
      <c r="CL20" s="27">
        <v>0</v>
      </c>
      <c r="CM20" s="27">
        <v>0</v>
      </c>
      <c r="CN20" s="27">
        <v>17.5</v>
      </c>
      <c r="CO20" s="27">
        <v>2.4</v>
      </c>
      <c r="CP20" s="27">
        <v>0</v>
      </c>
      <c r="CQ20" s="27">
        <v>0</v>
      </c>
      <c r="CR20" s="27">
        <v>18.8</v>
      </c>
      <c r="CS20" s="27">
        <v>6</v>
      </c>
      <c r="CT20" s="27">
        <v>0.6</v>
      </c>
      <c r="CU20" s="27">
        <v>0</v>
      </c>
      <c r="CV20" s="45"/>
      <c r="CW20" s="79">
        <f>IF(SUM(CC20,CG20)&gt;0,SUM(CC20,CG20),"")</f>
        <v>11.6</v>
      </c>
      <c r="CX20" s="79">
        <f>IF(SUM(CB20:CC20,CE20:CG20,CI20)-CD20-CH20&gt;0,SUM(CB20:CC20,CE20:CG20,CI20)-CD20-CH20,"")</f>
        <v>47.4</v>
      </c>
      <c r="CY20" s="79">
        <f>IF(SUM(CJ20:CK20,CM20)-CL20&gt;0,SUM(CJ20:CK20,CM20)-CL20,"")</f>
        <v>22.200000000000003</v>
      </c>
      <c r="CZ20" s="79">
        <f>IF(SUM(CC20,CG20,CK20)&gt;0,SUM(CC20,CG20,CK20),"")</f>
        <v>16.7</v>
      </c>
      <c r="DA20" s="79">
        <f>IF(SUM(CX20,CY20)&gt;0,SUM(CX20,CY20),"")</f>
        <v>69.599999999999994</v>
      </c>
      <c r="DB20" s="79">
        <f>IF(SUM(CO20,CS20)&gt;0,SUM(CO20,CS20),"")</f>
        <v>8.4</v>
      </c>
      <c r="DC20" s="79">
        <f>IF(SUM(CN20:CO20,CQ20:CS20,CU20)-SUM(CP20,CT20)&gt;0,SUM(CN20:CO20,CQ20:CS20,CU20)-SUM(CP20,CT20),"")</f>
        <v>44.1</v>
      </c>
      <c r="DD20" s="79">
        <f>IF(SUM(CX20,DC20)&gt;0,SUM(CX20,DC20),"")</f>
        <v>91.5</v>
      </c>
      <c r="DE20" s="80" t="str">
        <f>IF(K20&gt;=0.001,IF(MAX(EC20,FE20,GG20,HI20,IK20,JM20,KO20,LQ20,MS20,NU20,OW20,PY20)-IF(K20="",0,K20)&gt;0.001,MAX(EC20,FE20,GG20,HI20,IK20,JM20,KO20,LQ20,MS20,NU20,OW20,PY20)-IF(K20="",0,K20),""),"")</f>
        <v/>
      </c>
      <c r="DF20" s="80" t="str">
        <f>IF(O20&gt;=0.001,IF(MAX(ED20,FF20,GH20,HJ20,IL20,JN20,KP20,LR20,MT20,NV20,OX20,PZ20)-IF(O20="",0,O20)&gt;0.001,MAX(ED20,FF20,GH20,HJ20,IL20,JN20,KP20,LR20,MT20,NV20,OX20,PZ20)-IF(O20="",0,O20),""),"")</f>
        <v/>
      </c>
      <c r="DG20" s="80" t="str">
        <f>IF(Q20&gt;=0.001,IF(MAX(EH20,FJ20,GL20,HN20,IP20,JR20,KT20,LV20,MX20,NZ20,PB20,QD20)-IF(Q20="",0,Q20)&gt;0.001,MAX(EH20,FJ20,GL20,HN20,IP20,JR20,KT20,LV20,MX20,NZ20,PB20,QD20)-IF(Q20="",0,Q20),""),"")</f>
        <v/>
      </c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79" t="str">
        <f>IF(SUM(DI20,DM20)&gt;0,SUM(DI20,DM20),"")</f>
        <v/>
      </c>
      <c r="EC20" s="79" t="str">
        <f>IF(SUM(DH20:DI20,DK20:DM20,DO20)-DJ20-DN20&gt;0,SUM(DH20:DI20,DK20:DM20,DO20)-DJ20-DN20,"")</f>
        <v/>
      </c>
      <c r="ED20" s="79" t="str">
        <f>IF(SUM(DP20:DQ20,DS20)-DR20&gt;0,SUM(DP20:DQ20,DS20)-DR20,"")</f>
        <v/>
      </c>
      <c r="EE20" s="79" t="str">
        <f>IF(SUM(DI20,DM20,DQ20)&gt;0,SUM(DI20,DM20,DQ20),"")</f>
        <v/>
      </c>
      <c r="EF20" s="79" t="str">
        <f>IF(SUM(EC20,ED20)&gt;0,SUM(EC20,ED20),"")</f>
        <v/>
      </c>
      <c r="EG20" s="79" t="str">
        <f>IF(SUM(DU20,DY20)&gt;0,SUM(DU20,DY20),"")</f>
        <v/>
      </c>
      <c r="EH20" s="79" t="str">
        <f>IF(SUM(DT20:DU20,DW20:DY20,EA20)-SUM(DV20,DZ20)&gt;0,SUM(DT20:DU20,DW20:DY20,EA20)-SUM(DV20,DZ20),"")</f>
        <v/>
      </c>
      <c r="EI20" s="79" t="str">
        <f>IF(SUM(EC20,EH20)&gt;0,SUM(EC20,EH20),"")</f>
        <v/>
      </c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0" t="str">
        <f>IF(SUM(EK20,EO20)&gt;0,SUM(EK20,EO20),"")</f>
        <v/>
      </c>
      <c r="FE20" s="20" t="str">
        <f>IF(SUM(EJ20:EK20,EM20:EO20,EQ20)-EL20-EP20&gt;0,SUM(EJ20:EK20,EM20:EO20,EQ20)-EL20-EP20,"")</f>
        <v/>
      </c>
      <c r="FF20" s="20" t="str">
        <f>IF(SUM(ER20:ES20,EU20)-ET20&gt;0,SUM(ER20:ES20,EU20)-ET20,"")</f>
        <v/>
      </c>
      <c r="FG20" s="20" t="str">
        <f>IF(SUM(EK20,EO20,ES20)&gt;0,SUM(EK20,EO20,ES20),"")</f>
        <v/>
      </c>
      <c r="FH20" s="20" t="str">
        <f>IF(SUM(FE20,FF20)&gt;0,SUM(FE20,FF20),"")</f>
        <v/>
      </c>
      <c r="FI20" s="20" t="str">
        <f>IF(SUM(EW20,FA20)&gt;0,SUM(EW20,FA20),"")</f>
        <v/>
      </c>
      <c r="FJ20" s="20" t="str">
        <f>IF(SUM(EV20:EW20,EY20:FA20,FC20)-SUM(EX20,FB20)&gt;0,SUM(EV20:EW20,EY20:FA20,FC20)-SUM(EX20,FB20),"")</f>
        <v/>
      </c>
      <c r="FK20" s="20" t="str">
        <f>IF(SUM(FE20,FJ20)&gt;0,SUM(FE20,FJ20),"")</f>
        <v/>
      </c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79" t="str">
        <f>IF(SUM(FM20,FQ20)&gt;0,SUM(FM20,FQ20),"")</f>
        <v/>
      </c>
      <c r="GG20" s="79" t="str">
        <f>IF(SUM(FL20:FM20,FO20:FQ20,FS20)-FN20-FR20&gt;0,SUM(FL20:FM20,FO20:FQ20,FS20)-FN20-FR20,"")</f>
        <v/>
      </c>
      <c r="GH20" s="79" t="str">
        <f>IF(SUM(FT20:FU20,FW20)-FV20&gt;0,SUM(FT20:FU20,FW20)-FV20,"")</f>
        <v/>
      </c>
      <c r="GI20" s="79" t="str">
        <f>IF(SUM(FM20,FQ20,FU20)&gt;0,SUM(FM20,FQ20,FU20),"")</f>
        <v/>
      </c>
      <c r="GJ20" s="79" t="str">
        <f>IF(SUM(GG20,GH20)&gt;0,SUM(GG20,GH20),"")</f>
        <v/>
      </c>
      <c r="GK20" s="79" t="str">
        <f>IF(SUM(FY20,GC20)&gt;0,SUM(FY20,GC20),"")</f>
        <v/>
      </c>
      <c r="GL20" s="79" t="str">
        <f>IF(SUM(FX20:FY20,GA20:GC20,GE20)-SUM(FZ20,GD20)&gt;0,SUM(FX20:FY20,GA20:GC20,GE20)-SUM(FZ20,GD20),"")</f>
        <v/>
      </c>
      <c r="GM20" s="79" t="str">
        <f>IF(SUM(GG20,GL20)&gt;0,SUM(GG20,GL20),"")</f>
        <v/>
      </c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0" t="str">
        <f>IF(SUM(GO20,GS20)&gt;0,SUM(GO20,GS20),"")</f>
        <v/>
      </c>
      <c r="HI20" s="20" t="str">
        <f>IF(SUM(GN20:GO20,GQ20:GS20,GU20)-GP20-GT20&gt;0,SUM(GN20:GO20,GQ20:GS20,GU20)-GP20-GT20,"")</f>
        <v/>
      </c>
      <c r="HJ20" s="20" t="str">
        <f>IF(SUM(GV20:GW20,GY20)-GX20&gt;0,SUM(GV20:GW20,GY20)-GX20,"")</f>
        <v/>
      </c>
      <c r="HK20" s="20" t="str">
        <f>IF(SUM(GO20,GS20,GW20)&gt;0,SUM(GO20,GS20,GW20),"")</f>
        <v/>
      </c>
      <c r="HL20" s="20" t="str">
        <f>IF(SUM(HI20,HJ20)&gt;0,SUM(HI20,HJ20),"")</f>
        <v/>
      </c>
      <c r="HM20" s="20" t="str">
        <f>IF(SUM(HA20,HE20)&gt;0,SUM(HA20,HE20),"")</f>
        <v/>
      </c>
      <c r="HN20" s="20" t="str">
        <f>IF(SUM(GZ20:HA20,HC20:HE20,HG20)-SUM(HB20,HF20)&gt;0,SUM(GZ20:HA20,HC20:HE20,HG20)-SUM(HB20,HF20),"")</f>
        <v/>
      </c>
      <c r="HO20" s="20" t="str">
        <f>IF(SUM(HI20,HN20)&gt;0,SUM(HI20,HN20),"")</f>
        <v/>
      </c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79" t="str">
        <f>IF(SUM(HQ20,HU20)&gt;0,SUM(HQ20,HU20),"")</f>
        <v/>
      </c>
      <c r="IK20" s="79" t="str">
        <f>IF(SUM(HP20:HQ20,HS20:HU20,HW20)-HR20-HV20&gt;0,SUM(HP20:HQ20,HS20:HU20,HW20)-HR20-HV20,"")</f>
        <v/>
      </c>
      <c r="IL20" s="79" t="str">
        <f>IF(SUM(HX20:HY20,IA20)-HZ20&gt;0,SUM(HX20:HY20,IA20)-HZ20,"")</f>
        <v/>
      </c>
      <c r="IM20" s="79" t="str">
        <f>IF(SUM(HQ20,HU20,HY20)&gt;0,SUM(HQ20,HU20,HY20),"")</f>
        <v/>
      </c>
      <c r="IN20" s="79" t="str">
        <f>IF(SUM(IK20,IL20)&gt;0,SUM(IK20,IL20),"")</f>
        <v/>
      </c>
      <c r="IO20" s="79" t="str">
        <f>IF(SUM(IC20,IG20)&gt;0,SUM(IC20,IG20),"")</f>
        <v/>
      </c>
      <c r="IP20" s="79" t="str">
        <f>IF(SUM(IB20:IC20,IE20:IG20,II20)-SUM(ID20,IH20)&gt;0,SUM(IB20:IC20,IE20:IG20,II20)-SUM(ID20,IH20),"")</f>
        <v/>
      </c>
      <c r="IQ20" s="79" t="str">
        <f>IF(SUM(IK20,IP20)&gt;0,SUM(IK20,IP20),"")</f>
        <v/>
      </c>
      <c r="IR20" s="26"/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0" t="str">
        <f>IF(SUM(IS20,IW20)&gt;0,SUM(IS20,IW20),"")</f>
        <v/>
      </c>
      <c r="JM20" s="20" t="str">
        <f>IF(SUM(IR20:IS20,IU20:IW20,IY20)-IT20-IX20&gt;0,SUM(IR20:IS20,IU20:IW20,IY20)-IT20-IX20,"")</f>
        <v/>
      </c>
      <c r="JN20" s="20" t="str">
        <f>IF(SUM(IZ20:JA20,JC20)-JB20&gt;0,SUM(IZ20:JA20,JC20)-JB20,"")</f>
        <v/>
      </c>
      <c r="JO20" s="20" t="str">
        <f>IF(SUM(IS20,IW20,JA20)&gt;0,SUM(IS20,IW20,JA20),"")</f>
        <v/>
      </c>
      <c r="JP20" s="20" t="str">
        <f>IF(SUM(JM20,JN20)&gt;0,SUM(JM20,JN20),"")</f>
        <v/>
      </c>
      <c r="JQ20" s="20" t="str">
        <f>IF(SUM(JE20,JI20)&gt;0,SUM(JE20,JI20),"")</f>
        <v/>
      </c>
      <c r="JR20" s="20" t="str">
        <f>IF(SUM(JD20:JE20,JG20:JI20,JK20)-SUM(JF20,JJ20)&gt;0,SUM(JD20:JE20,JG20:JI20,JK20)-SUM(JF20,JJ20),"")</f>
        <v/>
      </c>
      <c r="JS20" s="20" t="str">
        <f>IF(SUM(JM20,JR20)&gt;0,SUM(JM20,JR20),"")</f>
        <v/>
      </c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79" t="str">
        <f>IF(SUM(JU20,JY20)&gt;0,SUM(JU20,JY20),"")</f>
        <v/>
      </c>
      <c r="KO20" s="79" t="str">
        <f>IF(SUM(JT20:JU20,JW20:JY20,KA20)-JV20-JZ20&gt;0,SUM(JT20:JU20,JW20:JY20,KA20)-JV20-JZ20,"")</f>
        <v/>
      </c>
      <c r="KP20" s="79" t="str">
        <f>IF(SUM(KB20:KC20,KE20)-KD20&gt;0,SUM(KB20:KC20,KE20)-KD20,"")</f>
        <v/>
      </c>
      <c r="KQ20" s="79" t="str">
        <f>IF(SUM(JU20,JY20,KC20)&gt;0,SUM(JU20,JY20,KC20),"")</f>
        <v/>
      </c>
      <c r="KR20" s="79" t="str">
        <f>IF(SUM(KO20,KP20)&gt;0,SUM(KO20,KP20),"")</f>
        <v/>
      </c>
      <c r="KS20" s="79" t="str">
        <f>IF(SUM(KG20,KK20)&gt;0,SUM(KG20,KK20),"")</f>
        <v/>
      </c>
      <c r="KT20" s="79" t="str">
        <f>IF(SUM(KF20:KG20,KI20:KK20,KM20)-SUM(KH20,KL20)&gt;0,SUM(KF20:KG20,KI20:KK20,KM20)-SUM(KH20,KL20),"")</f>
        <v/>
      </c>
      <c r="KU20" s="79" t="str">
        <f>IF(SUM(KO20,KT20)&gt;0,SUM(KO20,KT20),"")</f>
        <v/>
      </c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0" t="str">
        <f>IF(SUM(KW20,LA20)&gt;0,SUM(KW20,LA20),"")</f>
        <v/>
      </c>
      <c r="LQ20" s="20" t="str">
        <f>IF(SUM(KV20:KW20,KY20:LA20,LC20)-KX20-LB20&gt;0,SUM(KV20:KW20,KY20:LA20,LC20)-KX20-LB20,"")</f>
        <v/>
      </c>
      <c r="LR20" s="20" t="str">
        <f>IF(SUM(LD20:LE20,LG20)-LF20&gt;0,SUM(LD20:LE20,LG20)-LF20,"")</f>
        <v/>
      </c>
      <c r="LS20" s="20" t="str">
        <f>IF(SUM(KW20,LA20,LE20)&gt;0,SUM(KW20,LA20,LE20),"")</f>
        <v/>
      </c>
      <c r="LT20" s="20" t="str">
        <f>IF(SUM(LQ20,LR20)&gt;0,SUM(LQ20,LR20),"")</f>
        <v/>
      </c>
      <c r="LU20" s="20" t="str">
        <f>IF(SUM(LI20,LM20)&gt;0,SUM(LI20,LM20),"")</f>
        <v/>
      </c>
      <c r="LV20" s="20" t="str">
        <f>IF(SUM(LH20:LI20,LK20:LM20,LO20)-SUM(LJ20,LN20)&gt;0,SUM(LH20:LI20,LK20:LM20,LO20)-SUM(LJ20,LN20),"")</f>
        <v/>
      </c>
      <c r="LW20" s="20" t="str">
        <f>IF(SUM(LQ20,LV20)&gt;0,SUM(LQ20,LV20),"")</f>
        <v/>
      </c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79" t="str">
        <f>IF(SUM(LY20,MC20)&gt;0,SUM(LY20,MC20),"")</f>
        <v/>
      </c>
      <c r="MS20" s="79" t="str">
        <f>IF(SUM(LX20:LY20,MA20:MC20,ME20)-LZ20-MD20&gt;0,SUM(LX20:LY20,MA20:MC20,ME20)-LZ20-MD20,"")</f>
        <v/>
      </c>
      <c r="MT20" s="79" t="str">
        <f>IF(SUM(MF20:MG20,MI20)-MH20&gt;0,SUM(MF20:MG20,MI20)-MH20,"")</f>
        <v/>
      </c>
      <c r="MU20" s="79" t="str">
        <f>IF(SUM(LY20,MC20,MG20)&gt;0,SUM(LY20,MC20,MG20),"")</f>
        <v/>
      </c>
      <c r="MV20" s="79" t="str">
        <f>IF(SUM(MS20,MT20)&gt;0,SUM(MS20,MT20),"")</f>
        <v/>
      </c>
      <c r="MW20" s="79" t="str">
        <f>IF(SUM(MK20,MO20)&gt;0,SUM(MK20,MO20),"")</f>
        <v/>
      </c>
      <c r="MX20" s="79" t="str">
        <f>IF(SUM(MJ20:MK20,MM20:MO20,MQ20)-SUM(ML20,MP20)&gt;0,SUM(MJ20:MK20,MM20:MO20,MQ20)-SUM(ML20,MP20),"")</f>
        <v/>
      </c>
      <c r="MY20" s="79" t="str">
        <f>IF(SUM(MS20,MX20)&gt;0,SUM(MS20,MX20),"")</f>
        <v/>
      </c>
      <c r="MZ20" s="26"/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0" t="str">
        <f>IF(SUM(NA20,NE20)&gt;0,SUM(NA20,NE20),"")</f>
        <v/>
      </c>
      <c r="NU20" s="20" t="str">
        <f>IF(SUM(MZ20:NA20,NC20:NE20,NG20)-NB20-NF20&gt;0,SUM(MZ20:NA20,NC20:NE20,NG20)-NB20-NF20,"")</f>
        <v/>
      </c>
      <c r="NV20" s="20" t="str">
        <f>IF(SUM(NH20:NI20,NK20)-NJ20&gt;0,SUM(NH20:NI20,NK20)-NJ20,"")</f>
        <v/>
      </c>
      <c r="NW20" s="20" t="str">
        <f>IF(SUM(NA20,NE20,NI20)&gt;0,SUM(NA20,NE20,NI20),"")</f>
        <v/>
      </c>
      <c r="NX20" s="20" t="str">
        <f>IF(SUM(NU20,NV20)&gt;0,SUM(NU20,NV20),"")</f>
        <v/>
      </c>
      <c r="NY20" s="20" t="str">
        <f>IF(SUM(NM20,NQ20)&gt;0,SUM(NM20,NQ20),"")</f>
        <v/>
      </c>
      <c r="NZ20" s="20" t="str">
        <f>IF(SUM(NL20:NM20,NO20:NQ20,NS20)-SUM(NN20,NR20)&gt;0,SUM(NL20:NM20,NO20:NQ20,NS20)-SUM(NN20,NR20),"")</f>
        <v/>
      </c>
      <c r="OA20" s="20" t="str">
        <f>IF(SUM(NU20,NZ20)&gt;0,SUM(NU20,NZ20),"")</f>
        <v/>
      </c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79" t="str">
        <f>IF(SUM(OC20,OG20)&gt;0,SUM(OC20,OG20),"")</f>
        <v/>
      </c>
      <c r="OW20" s="79" t="str">
        <f>IF(SUM(OB20:OC20,OE20:OG20,OI20)-OD20-OH20&gt;0,SUM(OB20:OC20,OE20:OG20,OI20)-OD20-OH20,"")</f>
        <v/>
      </c>
      <c r="OX20" s="79" t="str">
        <f>IF(SUM(OJ20:OK20,OM20)-OL20&gt;0,SUM(OJ20:OK20,OM20)-OL20,"")</f>
        <v/>
      </c>
      <c r="OY20" s="79" t="str">
        <f>IF(SUM(OC20,OG20,OK20)&gt;0,SUM(OC20,OG20,OK20),"")</f>
        <v/>
      </c>
      <c r="OZ20" s="79" t="str">
        <f>IF(SUM(OW20,OX20)&gt;0,SUM(OW20,OX20),"")</f>
        <v/>
      </c>
      <c r="PA20" s="79" t="str">
        <f>IF(SUM(OO20,OS20)&gt;0,SUM(OO20,OS20),"")</f>
        <v/>
      </c>
      <c r="PB20" s="79" t="str">
        <f>IF(SUM(ON20:OO20,OQ20:OS20,OU20)-SUM(OP20,OT20)&gt;0,SUM(ON20:OO20,OQ20:OS20,OU20)-SUM(OP20,OT20),"")</f>
        <v/>
      </c>
      <c r="PC20" s="79" t="str">
        <f>IF(SUM(OW20,PB20)&gt;0,SUM(OW20,PB20),"")</f>
        <v/>
      </c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0" t="str">
        <f>IF(SUM(PE20,PI20)&gt;0,SUM(PE20,PI20),"")</f>
        <v/>
      </c>
      <c r="PY20" s="20" t="str">
        <f>IF(SUM(PD20:PE20,PG20:PI20,PK20)-PF20-PJ20&gt;0,SUM(PD20:PE20,PG20:PI20,PK20)-PF20-PJ20,"")</f>
        <v/>
      </c>
      <c r="PZ20" s="20" t="str">
        <f>IF(SUM(PL20:PM20,PO20)-PN20&gt;0,SUM(PL20:PM20,PO20)-PN20,"")</f>
        <v/>
      </c>
      <c r="QA20" s="20" t="str">
        <f>IF(SUM(PE20,PI20,PM20)&gt;0,SUM(PE20,PI20,PM20),"")</f>
        <v/>
      </c>
      <c r="QB20" s="20" t="str">
        <f>IF(SUM(PY20,PZ20)&gt;0,SUM(PY20,PZ20),"")</f>
        <v/>
      </c>
      <c r="QC20" s="20" t="str">
        <f>IF(SUM(PQ20,PU20)&gt;0,SUM(PQ20,PU20),"")</f>
        <v/>
      </c>
      <c r="QD20" s="20" t="str">
        <f>IF(SUM(PP20:PQ20,PS20:PU20,PW20)-SUM(PR20,PV20)&gt;0,SUM(PP20:PQ20,PS20:PU20,PW20)-SUM(PR20,PV20),"")</f>
        <v/>
      </c>
      <c r="QE20" s="20" t="str">
        <f>IF(SUM(PY20,QD20)&gt;0,SUM(PY20,QD20),"")</f>
        <v/>
      </c>
      <c r="QF20" s="38">
        <f>IF($CV20="P",CB20,(CB20+AY20)/2)</f>
        <v>9.1</v>
      </c>
      <c r="QG20" s="38">
        <f>IF($CV20="P",CC20,(CC20+AZ20)/2)</f>
        <v>2.8</v>
      </c>
      <c r="QH20" s="38">
        <f>IF($CV20="P",CD20,(CD20+BA20)/2)</f>
        <v>0</v>
      </c>
      <c r="QI20" s="38">
        <f>IF($CV20="P",CE20,(CE20+BB20)/2)</f>
        <v>0</v>
      </c>
      <c r="QJ20" s="38">
        <f>IF($CV20="P",CF20,(CF20+BC20)/2)</f>
        <v>9.1999999999999993</v>
      </c>
      <c r="QK20" s="38">
        <f>IF($CV20="P",CG20,(CG20+BD20)/2)</f>
        <v>3</v>
      </c>
      <c r="QL20" s="38">
        <f>IF($CV20="P",CH20,(CH20+BE20)/2)</f>
        <v>0.4</v>
      </c>
      <c r="QM20" s="38">
        <f>IF($CV20="P",CI20,(CI20+BF20)/2)</f>
        <v>0</v>
      </c>
      <c r="QN20" s="38">
        <f>IF($CV20="P",CJ20,(CJ20+BG20)/2)</f>
        <v>8.5500000000000007</v>
      </c>
      <c r="QO20" s="38">
        <f>IF($CV20="P",CK20,(CK20+BH20)/2)</f>
        <v>2.5499999999999998</v>
      </c>
      <c r="QP20" s="38">
        <f>IF($CV20="P",CL20,(CL20+BI20)/2)</f>
        <v>0</v>
      </c>
      <c r="QQ20" s="38">
        <f>IF($CV20="P",CM20,(CM20+BJ20)/2)</f>
        <v>0</v>
      </c>
      <c r="QR20" s="38">
        <f>IF($CV20="P",CN20,(CN20+BK20)/2)</f>
        <v>8.75</v>
      </c>
      <c r="QS20" s="38">
        <f>IF($CV20="P",CO20,(CO20+BL20)/2)</f>
        <v>1.2</v>
      </c>
      <c r="QT20" s="38">
        <f>IF($CV20="P",CP20,(CP20+BM20)/2)</f>
        <v>0</v>
      </c>
      <c r="QU20" s="38">
        <f>IF($CV20="P",CQ20,(CQ20+BN20)/2)</f>
        <v>0</v>
      </c>
      <c r="QV20" s="38">
        <f>IF($CV20="P",CR20,(CR20+BO20)/2)</f>
        <v>9.4</v>
      </c>
      <c r="QW20" s="38">
        <f>IF($CV20="P",CS20,(CS20+BP20)/2)</f>
        <v>3</v>
      </c>
      <c r="QX20" s="38">
        <f>IF($CV20="P",CT20,(CT20+BQ20)/2)</f>
        <v>0.3</v>
      </c>
      <c r="QY20" s="38">
        <f>IF($CV20="P",CU20,(CU20+BR20)/2)</f>
        <v>0</v>
      </c>
      <c r="QZ20" s="45" t="s">
        <v>46</v>
      </c>
      <c r="RA20" s="79">
        <f>IF(SUM(QG20,QK20)&gt;0,SUM(QG20,QK20),"")</f>
        <v>5.8</v>
      </c>
      <c r="RB20" s="79">
        <f>IF(SUM(QF20:QG20,QI20:QK20,QM20)-QH20-QL20&gt;0,SUM(QF20:QG20,QI20:QK20,QM20)-QH20-QL20,"")</f>
        <v>23.7</v>
      </c>
      <c r="RC20" s="79">
        <f>IF(SUM(QN20:QO20,QQ20)-QP20&gt;0,SUM(QN20:QO20,QQ20)-QP20,"")</f>
        <v>11.100000000000001</v>
      </c>
      <c r="RD20" s="79">
        <f>IF(SUM(QG20,QK20,QO20)&gt;0,SUM(QG20,QK20,QO20),"")</f>
        <v>8.35</v>
      </c>
      <c r="RE20" s="79">
        <f>IF(SUM(RB20,RC20)&gt;0,SUM(RB20,RC20),"")</f>
        <v>34.799999999999997</v>
      </c>
      <c r="RF20" s="79">
        <f>IF(SUM(QS20,QW20)&gt;0,SUM(QS20,QW20),"")</f>
        <v>4.2</v>
      </c>
      <c r="RG20" s="79">
        <f>IF(SUM(QR20:QS20,QU20:QW20,QY20)-SUM(QT20,QX20)&gt;0,SUM(QR20:QS20,QU20:QW20,QY20)-SUM(QT20,QX20),"")</f>
        <v>22.05</v>
      </c>
      <c r="RH20" s="79">
        <f>IF(SUM(RB20,RG20)&gt;0,SUM(RB20,RG20),"")</f>
        <v>45.75</v>
      </c>
    </row>
    <row r="21" spans="1:476" x14ac:dyDescent="0.2">
      <c r="A21" s="5" t="str">
        <f>IF(AND(F21="P",G21="P"),SUMPRODUCT((F$4:F$27="P")*(G$4:G$27="P")*(E$4:E$27&gt;E21))+1,IF(G21="P",SUMPRODUCT((F$4:F$27="")*(G$4:G$27="P")*(E$4:E$27&gt;E21))+1+SUMPRODUCT((F$4:F$27="P")*(G$4:G$27="P")),""))</f>
        <v/>
      </c>
      <c r="B21" s="78" t="s">
        <v>147</v>
      </c>
      <c r="C21" s="5" t="s">
        <v>5</v>
      </c>
      <c r="D21" s="5">
        <v>2005</v>
      </c>
      <c r="E21" s="15">
        <f>SUM(I21:S21)+SUM(I21:O21)*0.0000001+SUM(I21)*0.0000000000001</f>
        <v>112.9000065100048</v>
      </c>
      <c r="F21" s="3" t="str">
        <f>IF(OR(AND(AQ21&gt;=AX$29,AR21&gt;=AX$33,AQ21&lt;&gt;"",AP21=""),AND(AV21&gt;=AX$29,AW21&gt;=AX$33,AV21&lt;&gt;"",AP21=""),AND(BT21&gt;=CA$29,BU21&gt;=CA$33,BT21&lt;&gt;"",BS21=""),AND(BY21&gt;=CA$29,BZ21&gt;=CA$33,BY21&lt;&gt;"",BS21=""),AND(CW21&gt;=DD$29,CX21&gt;=DD$33,CW21&lt;&gt;"",CV21=""),AND(DB21&gt;=DD$29,DC21&gt;=DD$33,DB21&lt;&gt;""),AND(EB21&gt;=EI$29,EC21&gt;=EI$33,EB21&lt;&gt;""),AND(EG21&gt;=EI$29,EH21&gt;=EI$33,EG21&lt;&gt;""),AND(FD21&gt;=FK$29,FE21&gt;=FK$33,FD21&lt;&gt;""),AND(FI21&gt;=FK$29,FJ21&gt;=FK$33,FI21&lt;&gt;""),AND(GF21&gt;=GM$29,GG21&gt;=GM$33,GF21&lt;&gt;""),AND(GK21&gt;=GM$29,GL21&gt;=GM$33,GK21&lt;&gt;""),AND(HH21&gt;=HO$29,HI21&gt;=HO$33,HH21&lt;&gt;""),AND(HM21&gt;=HO$29,HN21&gt;=HO$33,HM21&lt;&gt;""),AND(IJ21&gt;=IQ$29,IK21&gt;=IQ$33,IJ21&lt;&gt;""),AND(IO21&gt;=IQ$29,IP21&gt;=IQ$33,IO21&lt;&gt;""),AND(JL21&gt;=JS$29,JM21&gt;=JS$33,JL21&lt;&gt;""),AND(JQ21&gt;=JS$29,JR21&gt;=JS$33,JQ21&lt;&gt;""),AND(KN21&gt;=KU$29,KO21&gt;=KU$33,KN21&lt;&gt;""),AND(KS21&gt;=KU$29,KT21&gt;=KU$33,KS21&lt;&gt;""),AND(LP21&gt;=LW$29,LQ21&gt;=LW$33,LP21&lt;&gt;""),AND(LU21&gt;=LW$29,LV21&gt;=LW$33,LU21&lt;&gt;""),AND(MR21&gt;=MY$29,MS21&gt;=MY$33,MR21&lt;&gt;""),AND(MW21&gt;=MY$29,MX21&gt;=MY$33,MW21&lt;&gt;""),AND(NT21&gt;=OA$29,NU21&gt;=OA$33,NT21&lt;&gt;""),AND(NY21&gt;=OA$29,NZ21&gt;=OA$33,NY21&lt;&gt;""),AND(OV21&gt;=PC$29,OW21&gt;=PC$33,OV21&lt;&gt;""),AND(PA21&gt;=PC$29,PB21&gt;=PC$33,PA21&lt;&gt;""),AND(PX21&gt;=QE$29,PY21&gt;=QE$33,PX21&lt;&gt;""),AND(QC21&gt;=QE$29,QD21&gt;=QE$33,QC21&lt;&gt;"")),"P","")</f>
        <v/>
      </c>
      <c r="G21" s="3" t="str">
        <f>IF(OR(AND(AR21&gt;=AX$33,AR21&lt;&gt;"",AP21=""),AND(AW21&gt;=AX$33,AW21&lt;&gt;"",AP21=""),AND(BU21&gt;=CA$33,BU21&lt;&gt;"",BS21=""),AND(BZ21&gt;=CA$33,BZ21&lt;&gt;"",BS21=""),AND(CX21&gt;=DD$33,CX21&lt;&gt;"",CV21=""),AND(DC21&gt;=DD$33,DC21&lt;&gt;"",CV21=""),AND(EC21&gt;=EI$33,EC21&lt;&gt;""),AND(EH21&gt;=EI$33,EH21&lt;&gt;""),AND(FE21&gt;=FK$33,FE21&lt;&gt;""),AND(FJ21&gt;=FK$33,FJ21&lt;&gt;""),AND(GG21&gt;=GM$33,GG21&lt;&gt;""),AND(GL21&gt;=GM$33,GL21&lt;&gt;""),AND(HI21&gt;=HO$33,HI21&lt;&gt;""),AND(HN21&gt;=HO$33,HN21&lt;&gt;""),AND(IK21&gt;=IQ$33,IK21&lt;&gt;""),AND(IP21&gt;=IQ$33,IP21&lt;&gt;""),AND(JM21&gt;=JS$33,JM21&lt;&gt;""),AND(JR21&gt;=JS$33,JR21&lt;&gt;""),AND(KO21&gt;=KU$33,KO21&lt;&gt;""),AND(KT21&gt;=KU$33,KT21&lt;&gt;""),AND(LQ21&gt;=LW$33,LQ21&lt;&gt;""),AND(LV21&gt;=LW$33,LV21&lt;&gt;""),AND(MS21&gt;=MY$33,MS21&lt;&gt;""),AND(MX21&gt;=MY$33,MX21&lt;&gt;""),AND(NU21&gt;=OA$33,NU21&lt;&gt;""),AND(NZ21&gt;=OA$33,NZ21&lt;&gt;""),AND(OW21&gt;=PC$33,OW21&lt;&gt;""),AND(PB21&gt;=PC$33,PB21&lt;&gt;""),AND(PY21&gt;=QE$33,PY21&lt;&gt;""),AND(QD21&gt;=QE$33,QD21&lt;&gt;"")),"P","")</f>
        <v/>
      </c>
      <c r="H21" s="67" t="str">
        <f>IF(AND(G21="P",F21=""),"No DD",IF(OR(AND(AT21&gt;=AX$32,AU21&gt;=AX$36,AT21&lt;&gt;"",AP21=""),AND(BW21&gt;=CA$32,BX21&gt;=CA$36,BW21&lt;&gt;"",BS21=""),AND(CZ21&gt;=DD$32,DA21&gt;=DD$36,CZ21&lt;&gt;"",CV21=""),AND(EE21&gt;=EI$32,EF21&gt;=EI$36,EE21&lt;&gt;""),AND(FG21&gt;=FK$32,FH21&gt;=FK$36,FG21&lt;&gt;""),AND(GI21&gt;=GM$32,GJ21&gt;=GM$36,GI21&lt;&gt;""),AND(HK21&gt;=HO$32,HL21&gt;=HO$36,HK21&lt;&gt;""),AND(IM21&gt;=IQ$32,IN21&gt;=IQ$36,IM21&lt;&gt;""),AND(JO21&gt;=JS$32,JP21&gt;=JS$36,JO21&lt;&gt;""),AND(KQ21&gt;=KU$32,KR21&gt;=KU$36,KQ21&lt;&gt;""),AND(LS21&gt;=LW$32,LT21&gt;=LW$36,LS21&lt;&gt;""),AND(MU21&gt;=MY$32,MV21&gt;=MY$36,MU21&lt;&gt;""),AND(NW21&gt;=OA$32,NX21&gt;=OA$36,NW21&lt;&gt;""),AND(OY21&gt;=PC$32,OZ21&gt;=PC$36,OY21&lt;&gt;""),AND(QA21&gt;=QE$32,QB21&gt;=QE$36,QA21&lt;&gt;"")),"Merit",IF(OR(AND(AT21&gt;=AX$31,AU21&gt;=AX$35,AT21&lt;&gt;"",AP21=""),AND(BW21&gt;=CA$31,BX21&gt;=CA$35,BW21&lt;&gt;"",BS21=""),AND(CZ21&gt;=DD$31,DA21&gt;=DD$35,CZ21&lt;&gt;"",CV21=""),AND(EE21&gt;=EI$31,EF21&gt;=EI$35,EE21&lt;&gt;""),AND(FG21&gt;=FK$31,FH21&gt;=FK$35,FG21&lt;&gt;""),AND(GI21&gt;=GM$31,GJ21&gt;=GM$35,GI21&lt;&gt;""),AND(HK21&gt;=HO$31,HL21&gt;=HO$35,HK21&lt;&gt;""),AND(IM21&gt;=IQ$31,IN21&gt;=IQ$35,IM21&lt;&gt;""),AND(JO21&gt;=JS$31,JP21&gt;=JS$35,JO21&lt;&gt;""),AND(KQ21&gt;=KU$31,KR21&gt;=KU$35,KQ21&lt;&gt;""),AND(LS21&gt;=LW$31,LT21&gt;=LW$35,LS21&lt;&gt;""),AND(MU21&gt;=MY$31,MV21&gt;=MY$35,MU21&lt;&gt;""),AND(NW21&gt;=OA$31,NX21&gt;=OA$35,NW21&lt;&gt;""),AND(OY21&gt;=PC$31,OZ21&gt;=PC$35,OY21&lt;&gt;""),AND(QA21&gt;=QE$31,QB21&gt;=QE$35,QA21&lt;&gt;"")),"Excellence",IF(F21="P","National Team",""))))</f>
        <v/>
      </c>
      <c r="I21" s="14">
        <f>IF(COUNT(AR21,BU21,CX21)&gt;0,LARGE((AR21,BU21,CX21),1),0)</f>
        <v>48</v>
      </c>
      <c r="J21" s="14" t="str">
        <f>IF(I21=0,"",IF(I21=CX21,$CB$1,IF(I21=BU21,$AY$1,IF(I21=AR21,$V$1,""))))</f>
        <v>2022 Elite Canada</v>
      </c>
      <c r="K21" s="14">
        <f>IF(COUNT(AR21,BU21,CX21)&gt;1,LARGE((AR21,BU21,CX21),2),0)</f>
        <v>0</v>
      </c>
      <c r="L21" s="14" t="str">
        <f>IF(K21=0,"",IF(K21=CX21,$CB$1,IF(K21=BU21,$AY$1,IF(K21=AR21,$V$1,""))))</f>
        <v/>
      </c>
      <c r="M21" s="14">
        <f>IF(COUNT(AS21,BV21,CY21)&gt;0,LARGE((AS21,BV21,CY21),1),0)</f>
        <v>17.100000000000001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0</v>
      </c>
      <c r="P21" s="14" t="str">
        <f>IF(O21=0,"",IF(O21=CY21,$CB$1,IF(O21=BV21,$AY$1,IF(O21=AS21,$V$1,""))))</f>
        <v/>
      </c>
      <c r="Q21" s="14">
        <f>IF(MAX(AW21,BZ21,DC21)&gt;0,MAX(AW21,BZ21,DC21),0)</f>
        <v>47.8</v>
      </c>
      <c r="R21" s="14" t="str">
        <f>IF(Q21=0,"",IF(Q21=DC21,$CB$1,IF(Q21=BZ21,$AY$1,IF(Q21=AW21,$V$1,""))))</f>
        <v>2022 Elite Canada</v>
      </c>
      <c r="S21" s="14" t="str">
        <f>IF(MAX(DE21:DG21)&gt;0,MAX(DE21:DG21),"")</f>
        <v/>
      </c>
      <c r="T21" s="20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45"/>
      <c r="AQ21" s="79" t="str">
        <f>IF(SUM(W21,AA21)&gt;0,SUM(W21,AA21),"")</f>
        <v/>
      </c>
      <c r="AR21" s="79" t="str">
        <f>IF(SUM(V21:W21,Y21:AA21,AC21)-X21-AB21&gt;0,SUM(V21:W21,Y21:AA21,AC21)-X21-AB21,"")</f>
        <v/>
      </c>
      <c r="AS21" s="79" t="str">
        <f>IF(SUM(AD21:AE21,AG21)-AF21&gt;0,SUM(AD21:AE21,AG21)-AF21,"")</f>
        <v/>
      </c>
      <c r="AT21" s="79" t="str">
        <f>IF(SUM(W21,AA21,AE21)&gt;0,SUM(W21,AA21,AE21),"")</f>
        <v/>
      </c>
      <c r="AU21" s="79" t="str">
        <f>IF(SUM(AR21,AS21)&gt;0,SUM(AR21,AS21),"")</f>
        <v/>
      </c>
      <c r="AV21" s="79" t="str">
        <f>IF(SUM(AI21,AM21)&gt;0,SUM(AI21,AM21),"")</f>
        <v/>
      </c>
      <c r="AW21" s="79" t="str">
        <f>IF(SUM(AH21:AI21,AK21:AM21,AO21)-SUM(AJ21,AN21)&gt;0,SUM(AH21:AI21,AK21:AM21,AO21)-SUM(AJ21,AN21),"")</f>
        <v/>
      </c>
      <c r="AX21" s="79" t="str">
        <f>IF(SUM(AR21,AW21)&gt;0,SUM(AR21,AW21),"")</f>
        <v/>
      </c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46"/>
      <c r="BT21" s="20" t="str">
        <f>IF(SUM(AZ21,BD21)&gt;0,SUM(AZ21,BD21),"")</f>
        <v/>
      </c>
      <c r="BU21" s="20" t="str">
        <f>IF(SUM(AY21:AZ21,BB21:BD21,BF21)-BA21-BE21&gt;0,SUM(AY21:AZ21,BB21:BD21,BF21)-BA21-BE21,"")</f>
        <v/>
      </c>
      <c r="BV21" s="20" t="str">
        <f>IF(SUM(BG21:BH21,BJ21)-BI21&gt;0,SUM(BG21:BH21,BJ21)-BI21,"")</f>
        <v/>
      </c>
      <c r="BW21" s="20" t="str">
        <f>IF(SUM(AZ21,BD21,BH21)&gt;0,SUM(AZ21,BD21,BH21),"")</f>
        <v/>
      </c>
      <c r="BX21" s="20" t="str">
        <f>IF(SUM(BU21,BV21)&gt;0,SUM(BU21,BV21),"")</f>
        <v/>
      </c>
      <c r="BY21" s="20" t="str">
        <f>IF(SUM(BL21,BP21)&gt;0,SUM(BL21,BP21),"")</f>
        <v/>
      </c>
      <c r="BZ21" s="20" t="str">
        <f>IF(SUM(BK21:BL21,BN21:BP21,BR21)-SUM(BM21,BQ21)&gt;0,SUM(BK21:BL21,BN21:BP21,BR21)-SUM(BM21,BQ21),"")</f>
        <v/>
      </c>
      <c r="CA21" s="20" t="str">
        <f>IF(SUM(BU21,BZ21)&gt;0,SUM(BU21,BZ21),"")</f>
        <v/>
      </c>
      <c r="CB21" s="27">
        <v>18.399999999999999</v>
      </c>
      <c r="CC21" s="27">
        <v>6.8</v>
      </c>
      <c r="CD21" s="27">
        <v>0.6</v>
      </c>
      <c r="CE21" s="27">
        <v>0</v>
      </c>
      <c r="CF21" s="27">
        <v>18</v>
      </c>
      <c r="CG21" s="27">
        <v>5.6</v>
      </c>
      <c r="CH21" s="27">
        <v>0.2</v>
      </c>
      <c r="CI21" s="27">
        <v>0</v>
      </c>
      <c r="CJ21" s="27">
        <v>17.100000000000001</v>
      </c>
      <c r="CK21" s="27">
        <v>0</v>
      </c>
      <c r="CL21" s="27">
        <v>0</v>
      </c>
      <c r="CM21" s="27">
        <v>0</v>
      </c>
      <c r="CN21" s="27">
        <v>18.399999999999999</v>
      </c>
      <c r="CO21" s="27">
        <v>7.2</v>
      </c>
      <c r="CP21" s="27">
        <v>0</v>
      </c>
      <c r="CQ21" s="27">
        <v>0</v>
      </c>
      <c r="CR21" s="27">
        <v>16.399999999999999</v>
      </c>
      <c r="CS21" s="27">
        <v>6.8</v>
      </c>
      <c r="CT21" s="27">
        <v>1</v>
      </c>
      <c r="CU21" s="27">
        <v>0</v>
      </c>
      <c r="CV21" s="45"/>
      <c r="CW21" s="79">
        <f>IF(SUM(CC21,CG21)&gt;0,SUM(CC21,CG21),"")</f>
        <v>12.399999999999999</v>
      </c>
      <c r="CX21" s="79">
        <f>IF(SUM(CB21:CC21,CE21:CG21,CI21)-CD21-CH21&gt;0,SUM(CB21:CC21,CE21:CG21,CI21)-CD21-CH21,"")</f>
        <v>48</v>
      </c>
      <c r="CY21" s="79">
        <f>IF(SUM(CJ21:CK21,CM21)-CL21&gt;0,SUM(CJ21:CK21,CM21)-CL21,"")</f>
        <v>17.100000000000001</v>
      </c>
      <c r="CZ21" s="79">
        <f>IF(SUM(CC21,CG21,CK21)&gt;0,SUM(CC21,CG21,CK21),"")</f>
        <v>12.399999999999999</v>
      </c>
      <c r="DA21" s="79">
        <f>IF(SUM(CX21,CY21)&gt;0,SUM(CX21,CY21),"")</f>
        <v>65.099999999999994</v>
      </c>
      <c r="DB21" s="79">
        <f>IF(SUM(CO21,CS21)&gt;0,SUM(CO21,CS21),"")</f>
        <v>14</v>
      </c>
      <c r="DC21" s="79">
        <f>IF(SUM(CN21:CO21,CQ21:CS21,CU21)-SUM(CP21,CT21)&gt;0,SUM(CN21:CO21,CQ21:CS21,CU21)-SUM(CP21,CT21),"")</f>
        <v>47.8</v>
      </c>
      <c r="DD21" s="79">
        <f>IF(SUM(CX21,DC21)&gt;0,SUM(CX21,DC21),"")</f>
        <v>95.8</v>
      </c>
      <c r="DE21" s="80" t="str">
        <f>IF(K21&gt;=0.001,IF(MAX(EC21,FE21,GG21,HI21,IK21,JM21,KO21,LQ21,MS21,NU21,OW21,PY21)-IF(K21="",0,K21)&gt;0.001,MAX(EC21,FE21,GG21,HI21,IK21,JM21,KO21,LQ21,MS21,NU21,OW21,PY21)-IF(K21="",0,K21),""),"")</f>
        <v/>
      </c>
      <c r="DF21" s="80" t="str">
        <f>IF(O21&gt;=0.001,IF(MAX(ED21,FF21,GH21,HJ21,IL21,JN21,KP21,LR21,MT21,NV21,OX21,PZ21)-IF(O21="",0,O21)&gt;0.001,MAX(ED21,FF21,GH21,HJ21,IL21,JN21,KP21,LR21,MT21,NV21,OX21,PZ21)-IF(O21="",0,O21),""),"")</f>
        <v/>
      </c>
      <c r="DG21" s="80" t="str">
        <f>IF(Q21&gt;=0.001,IF(MAX(EH21,FJ21,GL21,HN21,IP21,JR21,KT21,LV21,MX21,NZ21,PB21,QD21)-IF(Q21="",0,Q21)&gt;0.001,MAX(EH21,FJ21,GL21,HN21,IP21,JR21,KT21,LV21,MX21,NZ21,PB21,QD21)-IF(Q21="",0,Q21),""),"")</f>
        <v/>
      </c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79" t="str">
        <f>IF(SUM(DI21,DM21)&gt;0,SUM(DI21,DM21),"")</f>
        <v/>
      </c>
      <c r="EC21" s="79" t="str">
        <f>IF(SUM(DH21:DI21,DK21:DM21,DO21)-DJ21-DN21&gt;0,SUM(DH21:DI21,DK21:DM21,DO21)-DJ21-DN21,"")</f>
        <v/>
      </c>
      <c r="ED21" s="79" t="str">
        <f>IF(SUM(DP21:DQ21,DS21)-DR21&gt;0,SUM(DP21:DQ21,DS21)-DR21,"")</f>
        <v/>
      </c>
      <c r="EE21" s="79" t="str">
        <f>IF(SUM(DI21,DM21,DQ21)&gt;0,SUM(DI21,DM21,DQ21),"")</f>
        <v/>
      </c>
      <c r="EF21" s="79" t="str">
        <f>IF(SUM(EC21,ED21)&gt;0,SUM(EC21,ED21),"")</f>
        <v/>
      </c>
      <c r="EG21" s="79" t="str">
        <f>IF(SUM(DU21,DY21)&gt;0,SUM(DU21,DY21),"")</f>
        <v/>
      </c>
      <c r="EH21" s="79" t="str">
        <f>IF(SUM(DT21:DU21,DW21:DY21,EA21)-SUM(DV21,DZ21)&gt;0,SUM(DT21:DU21,DW21:DY21,EA21)-SUM(DV21,DZ21),"")</f>
        <v/>
      </c>
      <c r="EI21" s="79" t="str">
        <f>IF(SUM(EC21,EH21)&gt;0,SUM(EC21,EH21),"")</f>
        <v/>
      </c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0" t="str">
        <f>IF(SUM(EK21,EO21)&gt;0,SUM(EK21,EO21),"")</f>
        <v/>
      </c>
      <c r="FE21" s="20" t="str">
        <f>IF(SUM(EJ21:EK21,EM21:EO21,EQ21)-EL21-EP21&gt;0,SUM(EJ21:EK21,EM21:EO21,EQ21)-EL21-EP21,"")</f>
        <v/>
      </c>
      <c r="FF21" s="20" t="str">
        <f>IF(SUM(ER21:ES21,EU21)-ET21&gt;0,SUM(ER21:ES21,EU21)-ET21,"")</f>
        <v/>
      </c>
      <c r="FG21" s="20" t="str">
        <f>IF(SUM(EK21,EO21,ES21)&gt;0,SUM(EK21,EO21,ES21),"")</f>
        <v/>
      </c>
      <c r="FH21" s="20" t="str">
        <f>IF(SUM(FE21,FF21)&gt;0,SUM(FE21,FF21),"")</f>
        <v/>
      </c>
      <c r="FI21" s="20" t="str">
        <f>IF(SUM(EW21,FA21)&gt;0,SUM(EW21,FA21),"")</f>
        <v/>
      </c>
      <c r="FJ21" s="20" t="str">
        <f>IF(SUM(EV21:EW21,EY21:FA21,FC21)-SUM(EX21,FB21)&gt;0,SUM(EV21:EW21,EY21:FA21,FC21)-SUM(EX21,FB21),"")</f>
        <v/>
      </c>
      <c r="FK21" s="20" t="str">
        <f>IF(SUM(FE21,FJ21)&gt;0,SUM(FE21,FJ21),"")</f>
        <v/>
      </c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79" t="str">
        <f>IF(SUM(FM21,FQ21)&gt;0,SUM(FM21,FQ21),"")</f>
        <v/>
      </c>
      <c r="GG21" s="79" t="str">
        <f>IF(SUM(FL21:FM21,FO21:FQ21,FS21)-FN21-FR21&gt;0,SUM(FL21:FM21,FO21:FQ21,FS21)-FN21-FR21,"")</f>
        <v/>
      </c>
      <c r="GH21" s="79" t="str">
        <f>IF(SUM(FT21:FU21,FW21)-FV21&gt;0,SUM(FT21:FU21,FW21)-FV21,"")</f>
        <v/>
      </c>
      <c r="GI21" s="79" t="str">
        <f>IF(SUM(FM21,FQ21,FU21)&gt;0,SUM(FM21,FQ21,FU21),"")</f>
        <v/>
      </c>
      <c r="GJ21" s="79" t="str">
        <f>IF(SUM(GG21,GH21)&gt;0,SUM(GG21,GH21),"")</f>
        <v/>
      </c>
      <c r="GK21" s="79" t="str">
        <f>IF(SUM(FY21,GC21)&gt;0,SUM(FY21,GC21),"")</f>
        <v/>
      </c>
      <c r="GL21" s="79" t="str">
        <f>IF(SUM(FX21:FY21,GA21:GC21,GE21)-SUM(FZ21,GD21)&gt;0,SUM(FX21:FY21,GA21:GC21,GE21)-SUM(FZ21,GD21),"")</f>
        <v/>
      </c>
      <c r="GM21" s="79" t="str">
        <f>IF(SUM(GG21,GL21)&gt;0,SUM(GG21,GL21),"")</f>
        <v/>
      </c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0" t="str">
        <f>IF(SUM(GO21,GS21)&gt;0,SUM(GO21,GS21),"")</f>
        <v/>
      </c>
      <c r="HI21" s="20" t="str">
        <f>IF(SUM(GN21:GO21,GQ21:GS21,GU21)-GP21-GT21&gt;0,SUM(GN21:GO21,GQ21:GS21,GU21)-GP21-GT21,"")</f>
        <v/>
      </c>
      <c r="HJ21" s="20" t="str">
        <f>IF(SUM(GV21:GW21,GY21)-GX21&gt;0,SUM(GV21:GW21,GY21)-GX21,"")</f>
        <v/>
      </c>
      <c r="HK21" s="20" t="str">
        <f>IF(SUM(GO21,GS21,GW21)&gt;0,SUM(GO21,GS21,GW21),"")</f>
        <v/>
      </c>
      <c r="HL21" s="20" t="str">
        <f>IF(SUM(HI21,HJ21)&gt;0,SUM(HI21,HJ21),"")</f>
        <v/>
      </c>
      <c r="HM21" s="20" t="str">
        <f>IF(SUM(HA21,HE21)&gt;0,SUM(HA21,HE21),"")</f>
        <v/>
      </c>
      <c r="HN21" s="20" t="str">
        <f>IF(SUM(GZ21:HA21,HC21:HE21,HG21)-SUM(HB21,HF21)&gt;0,SUM(GZ21:HA21,HC21:HE21,HG21)-SUM(HB21,HF21),"")</f>
        <v/>
      </c>
      <c r="HO21" s="20" t="str">
        <f>IF(SUM(HI21,HN21)&gt;0,SUM(HI21,HN21),"")</f>
        <v/>
      </c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79" t="str">
        <f>IF(SUM(HQ21,HU21)&gt;0,SUM(HQ21,HU21),"")</f>
        <v/>
      </c>
      <c r="IK21" s="79" t="str">
        <f>IF(SUM(HP21:HQ21,HS21:HU21,HW21)-HR21-HV21&gt;0,SUM(HP21:HQ21,HS21:HU21,HW21)-HR21-HV21,"")</f>
        <v/>
      </c>
      <c r="IL21" s="79" t="str">
        <f>IF(SUM(HX21:HY21,IA21)-HZ21&gt;0,SUM(HX21:HY21,IA21)-HZ21,"")</f>
        <v/>
      </c>
      <c r="IM21" s="79" t="str">
        <f>IF(SUM(HQ21,HU21,HY21)&gt;0,SUM(HQ21,HU21,HY21),"")</f>
        <v/>
      </c>
      <c r="IN21" s="79" t="str">
        <f>IF(SUM(IK21,IL21)&gt;0,SUM(IK21,IL21),"")</f>
        <v/>
      </c>
      <c r="IO21" s="79" t="str">
        <f>IF(SUM(IC21,IG21)&gt;0,SUM(IC21,IG21),"")</f>
        <v/>
      </c>
      <c r="IP21" s="79" t="str">
        <f>IF(SUM(IB21:IC21,IE21:IG21,II21)-SUM(ID21,IH21)&gt;0,SUM(IB21:IC21,IE21:IG21,II21)-SUM(ID21,IH21),"")</f>
        <v/>
      </c>
      <c r="IQ21" s="79" t="str">
        <f>IF(SUM(IK21,IP21)&gt;0,SUM(IK21,IP21),"")</f>
        <v/>
      </c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0" t="str">
        <f>IF(SUM(IS21,IW21)&gt;0,SUM(IS21,IW21),"")</f>
        <v/>
      </c>
      <c r="JM21" s="20" t="str">
        <f>IF(SUM(IR21:IS21,IU21:IW21,IY21)-IT21-IX21&gt;0,SUM(IR21:IS21,IU21:IW21,IY21)-IT21-IX21,"")</f>
        <v/>
      </c>
      <c r="JN21" s="20" t="str">
        <f>IF(SUM(IZ21:JA21,JC21)-JB21&gt;0,SUM(IZ21:JA21,JC21)-JB21,"")</f>
        <v/>
      </c>
      <c r="JO21" s="20" t="str">
        <f>IF(SUM(IS21,IW21,JA21)&gt;0,SUM(IS21,IW21,JA21),"")</f>
        <v/>
      </c>
      <c r="JP21" s="20" t="str">
        <f>IF(SUM(JM21,JN21)&gt;0,SUM(JM21,JN21),"")</f>
        <v/>
      </c>
      <c r="JQ21" s="20" t="str">
        <f>IF(SUM(JE21,JI21)&gt;0,SUM(JE21,JI21),"")</f>
        <v/>
      </c>
      <c r="JR21" s="20" t="str">
        <f>IF(SUM(JD21:JE21,JG21:JI21,JK21)-SUM(JF21,JJ21)&gt;0,SUM(JD21:JE21,JG21:JI21,JK21)-SUM(JF21,JJ21),"")</f>
        <v/>
      </c>
      <c r="JS21" s="20" t="str">
        <f>IF(SUM(JM21,JR21)&gt;0,SUM(JM21,JR21),"")</f>
        <v/>
      </c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79" t="str">
        <f>IF(SUM(JU21,JY21)&gt;0,SUM(JU21,JY21),"")</f>
        <v/>
      </c>
      <c r="KO21" s="79" t="str">
        <f>IF(SUM(JT21:JU21,JW21:JY21,KA21)-JV21-JZ21&gt;0,SUM(JT21:JU21,JW21:JY21,KA21)-JV21-JZ21,"")</f>
        <v/>
      </c>
      <c r="KP21" s="79" t="str">
        <f>IF(SUM(KB21:KC21,KE21)-KD21&gt;0,SUM(KB21:KC21,KE21)-KD21,"")</f>
        <v/>
      </c>
      <c r="KQ21" s="79" t="str">
        <f>IF(SUM(JU21,JY21,KC21)&gt;0,SUM(JU21,JY21,KC21),"")</f>
        <v/>
      </c>
      <c r="KR21" s="79" t="str">
        <f>IF(SUM(KO21,KP21)&gt;0,SUM(KO21,KP21),"")</f>
        <v/>
      </c>
      <c r="KS21" s="79" t="str">
        <f>IF(SUM(KG21,KK21)&gt;0,SUM(KG21,KK21),"")</f>
        <v/>
      </c>
      <c r="KT21" s="79" t="str">
        <f>IF(SUM(KF21:KG21,KI21:KK21,KM21)-SUM(KH21,KL21)&gt;0,SUM(KF21:KG21,KI21:KK21,KM21)-SUM(KH21,KL21),"")</f>
        <v/>
      </c>
      <c r="KU21" s="79" t="str">
        <f>IF(SUM(KO21,KT21)&gt;0,SUM(KO21,KT21),"")</f>
        <v/>
      </c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0" t="str">
        <f>IF(SUM(KW21,LA21)&gt;0,SUM(KW21,LA21),"")</f>
        <v/>
      </c>
      <c r="LQ21" s="20" t="str">
        <f>IF(SUM(KV21:KW21,KY21:LA21,LC21)-KX21-LB21&gt;0,SUM(KV21:KW21,KY21:LA21,LC21)-KX21-LB21,"")</f>
        <v/>
      </c>
      <c r="LR21" s="20" t="str">
        <f>IF(SUM(LD21:LE21,LG21)-LF21&gt;0,SUM(LD21:LE21,LG21)-LF21,"")</f>
        <v/>
      </c>
      <c r="LS21" s="20" t="str">
        <f>IF(SUM(KW21,LA21,LE21)&gt;0,SUM(KW21,LA21,LE21),"")</f>
        <v/>
      </c>
      <c r="LT21" s="20" t="str">
        <f>IF(SUM(LQ21,LR21)&gt;0,SUM(LQ21,LR21),"")</f>
        <v/>
      </c>
      <c r="LU21" s="20" t="str">
        <f>IF(SUM(LI21,LM21)&gt;0,SUM(LI21,LM21),"")</f>
        <v/>
      </c>
      <c r="LV21" s="20" t="str">
        <f>IF(SUM(LH21:LI21,LK21:LM21,LO21)-SUM(LJ21,LN21)&gt;0,SUM(LH21:LI21,LK21:LM21,LO21)-SUM(LJ21,LN21),"")</f>
        <v/>
      </c>
      <c r="LW21" s="20" t="str">
        <f>IF(SUM(LQ21,LV21)&gt;0,SUM(LQ21,LV21),"")</f>
        <v/>
      </c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79" t="str">
        <f>IF(SUM(LY21,MC21)&gt;0,SUM(LY21,MC21),"")</f>
        <v/>
      </c>
      <c r="MS21" s="79" t="str">
        <f>IF(SUM(LX21:LY21,MA21:MC21,ME21)-LZ21-MD21&gt;0,SUM(LX21:LY21,MA21:MC21,ME21)-LZ21-MD21,"")</f>
        <v/>
      </c>
      <c r="MT21" s="79" t="str">
        <f>IF(SUM(MF21:MG21,MI21)-MH21&gt;0,SUM(MF21:MG21,MI21)-MH21,"")</f>
        <v/>
      </c>
      <c r="MU21" s="79" t="str">
        <f>IF(SUM(LY21,MC21,MG21)&gt;0,SUM(LY21,MC21,MG21),"")</f>
        <v/>
      </c>
      <c r="MV21" s="79" t="str">
        <f>IF(SUM(MS21,MT21)&gt;0,SUM(MS21,MT21),"")</f>
        <v/>
      </c>
      <c r="MW21" s="79" t="str">
        <f>IF(SUM(MK21,MO21)&gt;0,SUM(MK21,MO21),"")</f>
        <v/>
      </c>
      <c r="MX21" s="79" t="str">
        <f>IF(SUM(MJ21:MK21,MM21:MO21,MQ21)-SUM(ML21,MP21)&gt;0,SUM(MJ21:MK21,MM21:MO21,MQ21)-SUM(ML21,MP21),"")</f>
        <v/>
      </c>
      <c r="MY21" s="79" t="str">
        <f>IF(SUM(MS21,MX21)&gt;0,SUM(MS21,MX21),"")</f>
        <v/>
      </c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0" t="str">
        <f>IF(SUM(NA21,NE21)&gt;0,SUM(NA21,NE21),"")</f>
        <v/>
      </c>
      <c r="NU21" s="20" t="str">
        <f>IF(SUM(MZ21:NA21,NC21:NE21,NG21)-NB21-NF21&gt;0,SUM(MZ21:NA21,NC21:NE21,NG21)-NB21-NF21,"")</f>
        <v/>
      </c>
      <c r="NV21" s="20" t="str">
        <f>IF(SUM(NH21:NI21,NK21)-NJ21&gt;0,SUM(NH21:NI21,NK21)-NJ21,"")</f>
        <v/>
      </c>
      <c r="NW21" s="20" t="str">
        <f>IF(SUM(NA21,NE21,NI21)&gt;0,SUM(NA21,NE21,NI21),"")</f>
        <v/>
      </c>
      <c r="NX21" s="20" t="str">
        <f>IF(SUM(NU21,NV21)&gt;0,SUM(NU21,NV21),"")</f>
        <v/>
      </c>
      <c r="NY21" s="20" t="str">
        <f>IF(SUM(NM21,NQ21)&gt;0,SUM(NM21,NQ21),"")</f>
        <v/>
      </c>
      <c r="NZ21" s="20" t="str">
        <f>IF(SUM(NL21:NM21,NO21:NQ21,NS21)-SUM(NN21,NR21)&gt;0,SUM(NL21:NM21,NO21:NQ21,NS21)-SUM(NN21,NR21),"")</f>
        <v/>
      </c>
      <c r="OA21" s="20" t="str">
        <f>IF(SUM(NU21,NZ21)&gt;0,SUM(NU21,NZ21),"")</f>
        <v/>
      </c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79" t="str">
        <f>IF(SUM(OC21,OG21)&gt;0,SUM(OC21,OG21),"")</f>
        <v/>
      </c>
      <c r="OW21" s="79" t="str">
        <f>IF(SUM(OB21:OC21,OE21:OG21,OI21)-OD21-OH21&gt;0,SUM(OB21:OC21,OE21:OG21,OI21)-OD21-OH21,"")</f>
        <v/>
      </c>
      <c r="OX21" s="79" t="str">
        <f>IF(SUM(OJ21:OK21,OM21)-OL21&gt;0,SUM(OJ21:OK21,OM21)-OL21,"")</f>
        <v/>
      </c>
      <c r="OY21" s="79" t="str">
        <f>IF(SUM(OC21,OG21,OK21)&gt;0,SUM(OC21,OG21,OK21),"")</f>
        <v/>
      </c>
      <c r="OZ21" s="79" t="str">
        <f>IF(SUM(OW21,OX21)&gt;0,SUM(OW21,OX21),"")</f>
        <v/>
      </c>
      <c r="PA21" s="79" t="str">
        <f>IF(SUM(OO21,OS21)&gt;0,SUM(OO21,OS21),"")</f>
        <v/>
      </c>
      <c r="PB21" s="79" t="str">
        <f>IF(SUM(ON21:OO21,OQ21:OS21,OU21)-SUM(OP21,OT21)&gt;0,SUM(ON21:OO21,OQ21:OS21,OU21)-SUM(OP21,OT21),"")</f>
        <v/>
      </c>
      <c r="PC21" s="79" t="str">
        <f>IF(SUM(OW21,PB21)&gt;0,SUM(OW21,PB21),"")</f>
        <v/>
      </c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0" t="str">
        <f>IF(SUM(PE21,PI21)&gt;0,SUM(PE21,PI21),"")</f>
        <v/>
      </c>
      <c r="PY21" s="20" t="str">
        <f>IF(SUM(PD21:PE21,PG21:PI21,PK21)-PF21-PJ21&gt;0,SUM(PD21:PE21,PG21:PI21,PK21)-PF21-PJ21,"")</f>
        <v/>
      </c>
      <c r="PZ21" s="20" t="str">
        <f>IF(SUM(PL21:PM21,PO21)-PN21&gt;0,SUM(PL21:PM21,PO21)-PN21,"")</f>
        <v/>
      </c>
      <c r="QA21" s="20" t="str">
        <f>IF(SUM(PE21,PI21,PM21)&gt;0,SUM(PE21,PI21,PM21),"")</f>
        <v/>
      </c>
      <c r="QB21" s="20" t="str">
        <f>IF(SUM(PY21,PZ21)&gt;0,SUM(PY21,PZ21),"")</f>
        <v/>
      </c>
      <c r="QC21" s="20" t="str">
        <f>IF(SUM(PQ21,PU21)&gt;0,SUM(PQ21,PU21),"")</f>
        <v/>
      </c>
      <c r="QD21" s="20" t="str">
        <f>IF(SUM(PP21:PQ21,PS21:PU21,PW21)-SUM(PR21,PV21)&gt;0,SUM(PP21:PQ21,PS21:PU21,PW21)-SUM(PR21,PV21),"")</f>
        <v/>
      </c>
      <c r="QE21" s="20" t="str">
        <f>IF(SUM(PY21,QD21)&gt;0,SUM(PY21,QD21),"")</f>
        <v/>
      </c>
      <c r="QF21" s="38">
        <f>IF($CV21="P",CB21,(CB21+AY21)/2)</f>
        <v>9.1999999999999993</v>
      </c>
      <c r="QG21" s="38">
        <f>IF($CV21="P",CC21,(CC21+AZ21)/2)</f>
        <v>3.4</v>
      </c>
      <c r="QH21" s="38">
        <f>IF($CV21="P",CD21,(CD21+BA21)/2)</f>
        <v>0.3</v>
      </c>
      <c r="QI21" s="38">
        <f>IF($CV21="P",CE21,(CE21+BB21)/2)</f>
        <v>0</v>
      </c>
      <c r="QJ21" s="38">
        <f>IF($CV21="P",CF21,(CF21+BC21)/2)</f>
        <v>9</v>
      </c>
      <c r="QK21" s="38">
        <f>IF($CV21="P",CG21,(CG21+BD21)/2)</f>
        <v>2.8</v>
      </c>
      <c r="QL21" s="38">
        <f>IF($CV21="P",CH21,(CH21+BE21)/2)</f>
        <v>0.1</v>
      </c>
      <c r="QM21" s="38">
        <f>IF($CV21="P",CI21,(CI21+BF21)/2)</f>
        <v>0</v>
      </c>
      <c r="QN21" s="38">
        <f>IF($CV21="P",CJ21,(CJ21+BG21)/2)</f>
        <v>8.5500000000000007</v>
      </c>
      <c r="QO21" s="38">
        <f>IF($CV21="P",CK21,(CK21+BH21)/2)</f>
        <v>0</v>
      </c>
      <c r="QP21" s="38">
        <f>IF($CV21="P",CL21,(CL21+BI21)/2)</f>
        <v>0</v>
      </c>
      <c r="QQ21" s="38">
        <f>IF($CV21="P",CM21,(CM21+BJ21)/2)</f>
        <v>0</v>
      </c>
      <c r="QR21" s="38">
        <f>IF($CV21="P",CN21,(CN21+BK21)/2)</f>
        <v>9.1999999999999993</v>
      </c>
      <c r="QS21" s="38">
        <f>IF($CV21="P",CO21,(CO21+BL21)/2)</f>
        <v>3.6</v>
      </c>
      <c r="QT21" s="38">
        <f>IF($CV21="P",CP21,(CP21+BM21)/2)</f>
        <v>0</v>
      </c>
      <c r="QU21" s="38">
        <f>IF($CV21="P",CQ21,(CQ21+BN21)/2)</f>
        <v>0</v>
      </c>
      <c r="QV21" s="38">
        <f>IF($CV21="P",CR21,(CR21+BO21)/2)</f>
        <v>8.1999999999999993</v>
      </c>
      <c r="QW21" s="38">
        <f>IF($CV21="P",CS21,(CS21+BP21)/2)</f>
        <v>3.4</v>
      </c>
      <c r="QX21" s="38">
        <f>IF($CV21="P",CT21,(CT21+BQ21)/2)</f>
        <v>0.5</v>
      </c>
      <c r="QY21" s="38">
        <f>IF($CV21="P",CU21,(CU21+BR21)/2)</f>
        <v>0</v>
      </c>
      <c r="QZ21" s="45" t="s">
        <v>46</v>
      </c>
      <c r="RA21" s="79">
        <f>IF(SUM(QG21,QK21)&gt;0,SUM(QG21,QK21),"")</f>
        <v>6.1999999999999993</v>
      </c>
      <c r="RB21" s="79">
        <f>IF(SUM(QF21:QG21,QI21:QK21,QM21)-QH21-QL21&gt;0,SUM(QF21:QG21,QI21:QK21,QM21)-QH21-QL21,"")</f>
        <v>24</v>
      </c>
      <c r="RC21" s="79">
        <f>IF(SUM(QN21:QO21,QQ21)-QP21&gt;0,SUM(QN21:QO21,QQ21)-QP21,"")</f>
        <v>8.5500000000000007</v>
      </c>
      <c r="RD21" s="79">
        <f>IF(SUM(QG21,QK21,QO21)&gt;0,SUM(QG21,QK21,QO21),"")</f>
        <v>6.1999999999999993</v>
      </c>
      <c r="RE21" s="79">
        <f>IF(SUM(RB21,RC21)&gt;0,SUM(RB21,RC21),"")</f>
        <v>32.549999999999997</v>
      </c>
      <c r="RF21" s="79">
        <f>IF(SUM(QS21,QW21)&gt;0,SUM(QS21,QW21),"")</f>
        <v>7</v>
      </c>
      <c r="RG21" s="79">
        <f>IF(SUM(QR21:QS21,QU21:QW21,QY21)-SUM(QT21,QX21)&gt;0,SUM(QR21:QS21,QU21:QW21,QY21)-SUM(QT21,QX21),"")</f>
        <v>23.9</v>
      </c>
      <c r="RH21" s="79">
        <f>IF(SUM(RB21,RG21)&gt;0,SUM(RB21,RG21),"")</f>
        <v>47.9</v>
      </c>
    </row>
    <row r="22" spans="1:476" x14ac:dyDescent="0.2">
      <c r="A22" s="5" t="str">
        <f>IF(AND(F22="P",G22="P"),SUMPRODUCT((F$4:F$27="P")*(G$4:G$27="P")*(E$4:E$27&gt;E22))+1,IF(G22="P",SUMPRODUCT((F$4:F$27="")*(G$4:G$27="P")*(E$4:E$27&gt;E22))+1+SUMPRODUCT((F$4:F$27="P")*(G$4:G$27="P")),""))</f>
        <v/>
      </c>
      <c r="B22" s="78" t="s">
        <v>79</v>
      </c>
      <c r="C22" s="5" t="s">
        <v>5</v>
      </c>
      <c r="D22" s="5">
        <v>2002</v>
      </c>
      <c r="E22" s="15">
        <f>SUM(I22:S22)+SUM(I22:O22)*0.0000001+SUM(I22)*0.0000000000001</f>
        <v>67.500006750004815</v>
      </c>
      <c r="F22" s="3" t="str">
        <f>IF(OR(AND(AQ22&gt;=AX$29,AR22&gt;=AX$33,AQ22&lt;&gt;"",AP22=""),AND(AV22&gt;=AX$29,AW22&gt;=AX$33,AV22&lt;&gt;"",AP22=""),AND(BT22&gt;=CA$29,BU22&gt;=CA$33,BT22&lt;&gt;"",BS22=""),AND(BY22&gt;=CA$29,BZ22&gt;=CA$33,BY22&lt;&gt;"",BS22=""),AND(CW22&gt;=DD$29,CX22&gt;=DD$33,CW22&lt;&gt;"",CV22=""),AND(DB22&gt;=DD$29,DC22&gt;=DD$33,DB22&lt;&gt;""),AND(EB22&gt;=EI$29,EC22&gt;=EI$33,EB22&lt;&gt;""),AND(EG22&gt;=EI$29,EH22&gt;=EI$33,EG22&lt;&gt;""),AND(FD22&gt;=FK$29,FE22&gt;=FK$33,FD22&lt;&gt;""),AND(FI22&gt;=FK$29,FJ22&gt;=FK$33,FI22&lt;&gt;""),AND(GF22&gt;=GM$29,GG22&gt;=GM$33,GF22&lt;&gt;""),AND(GK22&gt;=GM$29,GL22&gt;=GM$33,GK22&lt;&gt;""),AND(HH22&gt;=HO$29,HI22&gt;=HO$33,HH22&lt;&gt;""),AND(HM22&gt;=HO$29,HN22&gt;=HO$33,HM22&lt;&gt;""),AND(IJ22&gt;=IQ$29,IK22&gt;=IQ$33,IJ22&lt;&gt;""),AND(IO22&gt;=IQ$29,IP22&gt;=IQ$33,IO22&lt;&gt;""),AND(JL22&gt;=JS$29,JM22&gt;=JS$33,JL22&lt;&gt;""),AND(JQ22&gt;=JS$29,JR22&gt;=JS$33,JQ22&lt;&gt;""),AND(KN22&gt;=KU$29,KO22&gt;=KU$33,KN22&lt;&gt;""),AND(KS22&gt;=KU$29,KT22&gt;=KU$33,KS22&lt;&gt;""),AND(LP22&gt;=LW$29,LQ22&gt;=LW$33,LP22&lt;&gt;""),AND(LU22&gt;=LW$29,LV22&gt;=LW$33,LU22&lt;&gt;""),AND(MR22&gt;=MY$29,MS22&gt;=MY$33,MR22&lt;&gt;""),AND(MW22&gt;=MY$29,MX22&gt;=MY$33,MW22&lt;&gt;""),AND(NT22&gt;=OA$29,NU22&gt;=OA$33,NT22&lt;&gt;""),AND(NY22&gt;=OA$29,NZ22&gt;=OA$33,NY22&lt;&gt;""),AND(OV22&gt;=PC$29,OW22&gt;=PC$33,OV22&lt;&gt;""),AND(PA22&gt;=PC$29,PB22&gt;=PC$33,PA22&lt;&gt;""),AND(PX22&gt;=QE$29,PY22&gt;=QE$33,PX22&lt;&gt;""),AND(QC22&gt;=QE$29,QD22&gt;=QE$33,QC22&lt;&gt;"")),"P","")</f>
        <v/>
      </c>
      <c r="G22" s="3" t="str">
        <f>IF(OR(AND(AR22&gt;=AX$33,AR22&lt;&gt;"",AP22=""),AND(AW22&gt;=AX$33,AW22&lt;&gt;"",AP22=""),AND(BU22&gt;=CA$33,BU22&lt;&gt;"",BS22=""),AND(BZ22&gt;=CA$33,BZ22&lt;&gt;"",BS22=""),AND(CX22&gt;=DD$33,CX22&lt;&gt;"",CV22=""),AND(DC22&gt;=DD$33,DC22&lt;&gt;"",CV22=""),AND(EC22&gt;=EI$33,EC22&lt;&gt;""),AND(EH22&gt;=EI$33,EH22&lt;&gt;""),AND(FE22&gt;=FK$33,FE22&lt;&gt;""),AND(FJ22&gt;=FK$33,FJ22&lt;&gt;""),AND(GG22&gt;=GM$33,GG22&lt;&gt;""),AND(GL22&gt;=GM$33,GL22&lt;&gt;""),AND(HI22&gt;=HO$33,HI22&lt;&gt;""),AND(HN22&gt;=HO$33,HN22&lt;&gt;""),AND(IK22&gt;=IQ$33,IK22&lt;&gt;""),AND(IP22&gt;=IQ$33,IP22&lt;&gt;""),AND(JM22&gt;=JS$33,JM22&lt;&gt;""),AND(JR22&gt;=JS$33,JR22&lt;&gt;""),AND(KO22&gt;=KU$33,KO22&lt;&gt;""),AND(KT22&gt;=KU$33,KT22&lt;&gt;""),AND(LQ22&gt;=LW$33,LQ22&lt;&gt;""),AND(LV22&gt;=LW$33,LV22&lt;&gt;""),AND(MS22&gt;=MY$33,MS22&lt;&gt;""),AND(MX22&gt;=MY$33,MX22&lt;&gt;""),AND(NU22&gt;=OA$33,NU22&lt;&gt;""),AND(NZ22&gt;=OA$33,NZ22&lt;&gt;""),AND(OW22&gt;=PC$33,OW22&lt;&gt;""),AND(PB22&gt;=PC$33,PB22&lt;&gt;""),AND(PY22&gt;=QE$33,PY22&lt;&gt;""),AND(QD22&gt;=QE$33,QD22&lt;&gt;"")),"P","")</f>
        <v/>
      </c>
      <c r="H22" s="67" t="str">
        <f>IF(AND(G22="P",F22=""),"No DD",IF(OR(AND(AT22&gt;=AX$32,AU22&gt;=AX$36,AT22&lt;&gt;"",AP22=""),AND(BW22&gt;=CA$32,BX22&gt;=CA$36,BW22&lt;&gt;"",BS22=""),AND(CZ22&gt;=DD$32,DA22&gt;=DD$36,CZ22&lt;&gt;"",CV22=""),AND(EE22&gt;=EI$32,EF22&gt;=EI$36,EE22&lt;&gt;""),AND(FG22&gt;=FK$32,FH22&gt;=FK$36,FG22&lt;&gt;""),AND(GI22&gt;=GM$32,GJ22&gt;=GM$36,GI22&lt;&gt;""),AND(HK22&gt;=HO$32,HL22&gt;=HO$36,HK22&lt;&gt;""),AND(IM22&gt;=IQ$32,IN22&gt;=IQ$36,IM22&lt;&gt;""),AND(JO22&gt;=JS$32,JP22&gt;=JS$36,JO22&lt;&gt;""),AND(KQ22&gt;=KU$32,KR22&gt;=KU$36,KQ22&lt;&gt;""),AND(LS22&gt;=LW$32,LT22&gt;=LW$36,LS22&lt;&gt;""),AND(MU22&gt;=MY$32,MV22&gt;=MY$36,MU22&lt;&gt;""),AND(NW22&gt;=OA$32,NX22&gt;=OA$36,NW22&lt;&gt;""),AND(OY22&gt;=PC$32,OZ22&gt;=PC$36,OY22&lt;&gt;""),AND(QA22&gt;=QE$32,QB22&gt;=QE$36,QA22&lt;&gt;"")),"Merit",IF(OR(AND(AT22&gt;=AX$31,AU22&gt;=AX$35,AT22&lt;&gt;"",AP22=""),AND(BW22&gt;=CA$31,BX22&gt;=CA$35,BW22&lt;&gt;"",BS22=""),AND(CZ22&gt;=DD$31,DA22&gt;=DD$35,CZ22&lt;&gt;"",CV22=""),AND(EE22&gt;=EI$31,EF22&gt;=EI$35,EE22&lt;&gt;""),AND(FG22&gt;=FK$31,FH22&gt;=FK$35,FG22&lt;&gt;""),AND(GI22&gt;=GM$31,GJ22&gt;=GM$35,GI22&lt;&gt;""),AND(HK22&gt;=HO$31,HL22&gt;=HO$35,HK22&lt;&gt;""),AND(IM22&gt;=IQ$31,IN22&gt;=IQ$35,IM22&lt;&gt;""),AND(JO22&gt;=JS$31,JP22&gt;=JS$35,JO22&lt;&gt;""),AND(KQ22&gt;=KU$31,KR22&gt;=KU$35,KQ22&lt;&gt;""),AND(LS22&gt;=LW$31,LT22&gt;=LW$35,LS22&lt;&gt;""),AND(MU22&gt;=MY$31,MV22&gt;=MY$35,MU22&lt;&gt;""),AND(NW22&gt;=OA$31,NX22&gt;=OA$35,NW22&lt;&gt;""),AND(OY22&gt;=PC$31,OZ22&gt;=PC$35,OY22&lt;&gt;""),AND(QA22&gt;=QE$31,QB22&gt;=QE$35,QA22&lt;&gt;"")),"Excellence",IF(F22="P","National Team",""))))</f>
        <v/>
      </c>
      <c r="I22" s="14">
        <f>IF(COUNT(AR22,BU22,CX22)&gt;0,LARGE((AR22,BU22,CX22),1),0)</f>
        <v>48.2</v>
      </c>
      <c r="J22" s="14" t="str">
        <f>IF(I22=0,"",IF(I22=CX22,$CB$1,IF(I22=BU22,$AY$1,IF(I22=AR22,$V$1,""))))</f>
        <v>2022 Elite Canada</v>
      </c>
      <c r="K22" s="14">
        <f>IF(COUNT(AR22,BU22,CX22)&gt;1,LARGE((AR22,BU22,CX22),2),0)</f>
        <v>0</v>
      </c>
      <c r="L22" s="14" t="str">
        <f>IF(K22=0,"",IF(K22=CX22,$CB$1,IF(K22=BU22,$AY$1,IF(K22=AR22,$V$1,""))))</f>
        <v/>
      </c>
      <c r="M22" s="14">
        <f>IF(COUNT(AS22,BV22,CY22)&gt;0,LARGE((AS22,BV22,CY22),1),0)</f>
        <v>19.300000000000004</v>
      </c>
      <c r="N22" s="14" t="str">
        <f>IF(M22=0,"",IF(M22=CY22,$CB$1,IF(M22=BV22,$AY$1,IF(M22=AS22,$V$1,""))))</f>
        <v>2022 Elite Canada</v>
      </c>
      <c r="O22" s="14">
        <f>IF(COUNT(AS22,BV22,CY22)&gt;1,LARGE((AS22,BV22,CY22),2),0)</f>
        <v>0</v>
      </c>
      <c r="P22" s="14" t="str">
        <f>IF(O22=0,"",IF(O22=CY22,$CB$1,IF(O22=BV22,$AY$1,IF(O22=AS22,$V$1,""))))</f>
        <v/>
      </c>
      <c r="Q22" s="14">
        <f>IF(MAX(AW22,BZ22,DC22)&gt;0,MAX(AW22,BZ22,DC22),0)</f>
        <v>0</v>
      </c>
      <c r="R22" s="14" t="str">
        <f>IF(Q22=0,"",IF(Q22=DC22,$CB$1,IF(Q22=BZ22,$AY$1,IF(Q22=AW22,$V$1,""))))</f>
        <v/>
      </c>
      <c r="S22" s="14" t="str">
        <f>IF(MAX(DE22:DG22)&gt;0,MAX(DE22:DG22),"")</f>
        <v/>
      </c>
      <c r="T22" s="20" t="str">
        <f>IF(S22="","",IF(S22=DE22,"("&amp;DE$2&amp;")",IF(S22=DG22,"("&amp;DG$2&amp;")")))</f>
        <v/>
      </c>
      <c r="U22" s="14" t="str">
        <f>IF(S22="","",IF(S22=DE22,IF(S22+IF(K22="",0,K22)=PY22,$PD$1,IF(S22+IF(K22="",0,K22)=OW22,$OB$1,IF(S22+IF(K22="",0,K22)=NU22,$MZ$1,IF(S22+IF(K22="",0,K22)=MS22,$LX$1,IF(S22+IF(K22="",0,K22)=LQ22,$KV$1,IF(S22+IF(K22="",0,K22)=KO22,$JT$1,IF(S22+IF(K22="",0,K22)=JM22,$IR$1,IF(S22+IF(K22="",0,K22)=IK22,$HP$1,IF(S22+IF(K22="",0,K22)=HI22,$GN$1,IF(S22+IF(K22="",0,K22)=GG22,$FL$1,IF(S22+IF(K22="",0,K22)=FE22,$EJ$1,IF(S22+IF(K22="",0,K22)=EC22,$DH$1)))))))))))),IF(S22=DG22,IF(S22+IF(Q22="",0,Q22)=QD22,$PD$1,IF(S22+IF(Q22="",0,Q22)=PB22,$OB$1,IF(S22+IF(Q22="",0,Q22)=NZ22,$MZ$1,IF(S22+IF(Q22="",0,Q22)=MX22,$LX$1,IF(S22+IF(Q22="",0,Q22)=LV22,$KV$1,IF(S22+IF(Q22="",0,Q22)=KT22,$JT$1,IF(S22+IF(Q22="",0,Q22)=JR22,$IR$1,IF(S22+IF(Q22="",0,Q22)=IP22,$HP$1,IF(S22+IF(Q22="",0,Q22)=HN22,$GN$1,IF(S22+IF(Q22="",0,Q22)=GL22,$FL$1,IF(S22+IF(Q22="",0,Q22)=FJ22,$EJ$1,IF(S22+IF(Q22="",0,Q22)=EH22,$DH$1)))))))))))))))</f>
        <v/>
      </c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45"/>
      <c r="AQ22" s="79" t="str">
        <f>IF(SUM(W22,AA22)&gt;0,SUM(W22,AA22),"")</f>
        <v/>
      </c>
      <c r="AR22" s="79" t="str">
        <f>IF(SUM(V22:W22,Y22:AA22,AC22)-X22-AB22&gt;0,SUM(V22:W22,Y22:AA22,AC22)-X22-AB22,"")</f>
        <v/>
      </c>
      <c r="AS22" s="79" t="str">
        <f>IF(SUM(AD22:AE22,AG22)-AF22&gt;0,SUM(AD22:AE22,AG22)-AF22,"")</f>
        <v/>
      </c>
      <c r="AT22" s="79" t="str">
        <f>IF(SUM(W22,AA22,AE22)&gt;0,SUM(W22,AA22,AE22),"")</f>
        <v/>
      </c>
      <c r="AU22" s="79" t="str">
        <f>IF(SUM(AR22,AS22)&gt;0,SUM(AR22,AS22),"")</f>
        <v/>
      </c>
      <c r="AV22" s="79" t="str">
        <f>IF(SUM(AI22,AM22)&gt;0,SUM(AI22,AM22),"")</f>
        <v/>
      </c>
      <c r="AW22" s="79" t="str">
        <f>IF(SUM(AH22:AI22,AK22:AM22,AO22)-SUM(AJ22,AN22)&gt;0,SUM(AH22:AI22,AK22:AM22,AO22)-SUM(AJ22,AN22),"")</f>
        <v/>
      </c>
      <c r="AX22" s="79" t="str">
        <f>IF(SUM(AR22,AW22)&gt;0,SUM(AR22,AW22),"")</f>
        <v/>
      </c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46"/>
      <c r="BT22" s="20" t="str">
        <f>IF(SUM(AZ22,BD22)&gt;0,SUM(AZ22,BD22),"")</f>
        <v/>
      </c>
      <c r="BU22" s="20" t="str">
        <f>IF(SUM(AY22:AZ22,BB22:BD22,BF22)-BA22-BE22&gt;0,SUM(AY22:AZ22,BB22:BD22,BF22)-BA22-BE22,"")</f>
        <v/>
      </c>
      <c r="BV22" s="20" t="str">
        <f>IF(SUM(BG22:BH22,BJ22)-BI22&gt;0,SUM(BG22:BH22,BJ22)-BI22,"")</f>
        <v/>
      </c>
      <c r="BW22" s="20" t="str">
        <f>IF(SUM(AZ22,BD22,BH22)&gt;0,SUM(AZ22,BD22,BH22),"")</f>
        <v/>
      </c>
      <c r="BX22" s="20" t="str">
        <f>IF(SUM(BU22,BV22)&gt;0,SUM(BU22,BV22),"")</f>
        <v/>
      </c>
      <c r="BY22" s="20" t="str">
        <f>IF(SUM(BL22,BP22)&gt;0,SUM(BL22,BP22),"")</f>
        <v/>
      </c>
      <c r="BZ22" s="20" t="str">
        <f>IF(SUM(BK22:BL22,BN22:BP22,BR22)-SUM(BM22,BQ22)&gt;0,SUM(BK22:BL22,BN22:BP22,BR22)-SUM(BM22,BQ22),"")</f>
        <v/>
      </c>
      <c r="CA22" s="20" t="str">
        <f>IF(SUM(BU22,BZ22)&gt;0,SUM(BU22,BZ22),"")</f>
        <v/>
      </c>
      <c r="CB22" s="27">
        <v>18.2</v>
      </c>
      <c r="CC22" s="27">
        <v>6</v>
      </c>
      <c r="CD22" s="27">
        <v>0.8</v>
      </c>
      <c r="CE22" s="27">
        <v>0</v>
      </c>
      <c r="CF22" s="27">
        <v>19</v>
      </c>
      <c r="CG22" s="27">
        <v>6.4</v>
      </c>
      <c r="CH22" s="27">
        <v>0.6</v>
      </c>
      <c r="CI22" s="27">
        <v>0</v>
      </c>
      <c r="CJ22" s="27">
        <v>18.100000000000001</v>
      </c>
      <c r="CK22" s="27">
        <v>4.0999999999999996</v>
      </c>
      <c r="CL22" s="27">
        <v>2.9</v>
      </c>
      <c r="CM22" s="27">
        <v>0</v>
      </c>
      <c r="CN22" s="27"/>
      <c r="CO22" s="27"/>
      <c r="CP22" s="27"/>
      <c r="CQ22" s="27"/>
      <c r="CR22" s="27"/>
      <c r="CS22" s="27"/>
      <c r="CT22" s="27"/>
      <c r="CU22" s="27"/>
      <c r="CV22" s="45"/>
      <c r="CW22" s="79">
        <f>IF(SUM(CC22,CG22)&gt;0,SUM(CC22,CG22),"")</f>
        <v>12.4</v>
      </c>
      <c r="CX22" s="79">
        <f>IF(SUM(CB22:CC22,CE22:CG22,CI22)-CD22-CH22&gt;0,SUM(CB22:CC22,CE22:CG22,CI22)-CD22-CH22,"")</f>
        <v>48.2</v>
      </c>
      <c r="CY22" s="79">
        <f>IF(SUM(CJ22:CK22,CM22)-CL22&gt;0,SUM(CJ22:CK22,CM22)-CL22,"")</f>
        <v>19.300000000000004</v>
      </c>
      <c r="CZ22" s="79">
        <f>IF(SUM(CC22,CG22,CK22)&gt;0,SUM(CC22,CG22,CK22),"")</f>
        <v>16.5</v>
      </c>
      <c r="DA22" s="79">
        <f>IF(SUM(CX22,CY22)&gt;0,SUM(CX22,CY22),"")</f>
        <v>67.5</v>
      </c>
      <c r="DB22" s="79" t="str">
        <f>IF(SUM(CO22,CS22)&gt;0,SUM(CO22,CS22),"")</f>
        <v/>
      </c>
      <c r="DC22" s="79" t="str">
        <f>IF(SUM(CN22:CO22,CQ22:CS22,CU22)-SUM(CP22,CT22)&gt;0,SUM(CN22:CO22,CQ22:CS22,CU22)-SUM(CP22,CT22),"")</f>
        <v/>
      </c>
      <c r="DD22" s="79">
        <f>IF(SUM(CX22,DC22)&gt;0,SUM(CX22,DC22),"")</f>
        <v>48.2</v>
      </c>
      <c r="DE22" s="80" t="str">
        <f>IF(K22&gt;=0.001,IF(MAX(EC22,FE22,GG22,HI22,IK22,JM22,KO22,LQ22,MS22,NU22,OW22,PY22)-IF(K22="",0,K22)&gt;0.001,MAX(EC22,FE22,GG22,HI22,IK22,JM22,KO22,LQ22,MS22,NU22,OW22,PY22)-IF(K22="",0,K22),""),"")</f>
        <v/>
      </c>
      <c r="DF22" s="80" t="str">
        <f>IF(O22&gt;=0.001,IF(MAX(ED22,FF22,GH22,HJ22,IL22,JN22,KP22,LR22,MT22,NV22,OX22,PZ22)-IF(O22="",0,O22)&gt;0.001,MAX(ED22,FF22,GH22,HJ22,IL22,JN22,KP22,LR22,MT22,NV22,OX22,PZ22)-IF(O22="",0,O22),""),"")</f>
        <v/>
      </c>
      <c r="DG22" s="80" t="str">
        <f>IF(Q22&gt;=0.001,IF(MAX(EH22,FJ22,GL22,HN22,IP22,JR22,KT22,LV22,MX22,NZ22,PB22,QD22)-IF(Q22="",0,Q22)&gt;0.001,MAX(EH22,FJ22,GL22,HN22,IP22,JR22,KT22,LV22,MX22,NZ22,PB22,QD22)-IF(Q22="",0,Q22),""),"")</f>
        <v/>
      </c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79" t="str">
        <f>IF(SUM(DI22,DM22)&gt;0,SUM(DI22,DM22),"")</f>
        <v/>
      </c>
      <c r="EC22" s="79" t="str">
        <f>IF(SUM(DH22:DI22,DK22:DM22,DO22)-DJ22-DN22&gt;0,SUM(DH22:DI22,DK22:DM22,DO22)-DJ22-DN22,"")</f>
        <v/>
      </c>
      <c r="ED22" s="79" t="str">
        <f>IF(SUM(DP22:DQ22,DS22)-DR22&gt;0,SUM(DP22:DQ22,DS22)-DR22,"")</f>
        <v/>
      </c>
      <c r="EE22" s="79" t="str">
        <f>IF(SUM(DI22,DM22,DQ22)&gt;0,SUM(DI22,DM22,DQ22),"")</f>
        <v/>
      </c>
      <c r="EF22" s="79" t="str">
        <f>IF(SUM(EC22,ED22)&gt;0,SUM(EC22,ED22),"")</f>
        <v/>
      </c>
      <c r="EG22" s="79" t="str">
        <f>IF(SUM(DU22,DY22)&gt;0,SUM(DU22,DY22),"")</f>
        <v/>
      </c>
      <c r="EH22" s="79" t="str">
        <f>IF(SUM(DT22:DU22,DW22:DY22,EA22)-SUM(DV22,DZ22)&gt;0,SUM(DT22:DU22,DW22:DY22,EA22)-SUM(DV22,DZ22),"")</f>
        <v/>
      </c>
      <c r="EI22" s="79" t="str">
        <f>IF(SUM(EC22,EH22)&gt;0,SUM(EC22,EH22),"")</f>
        <v/>
      </c>
      <c r="EJ22" s="26">
        <v>18</v>
      </c>
      <c r="EK22" s="26">
        <v>3.2</v>
      </c>
      <c r="EL22" s="26">
        <v>0</v>
      </c>
      <c r="EM22" s="26">
        <v>0</v>
      </c>
      <c r="EN22" s="26">
        <v>18.399999999999999</v>
      </c>
      <c r="EO22" s="26">
        <v>6.4</v>
      </c>
      <c r="EP22" s="26">
        <v>0.2</v>
      </c>
      <c r="EQ22" s="26">
        <v>0</v>
      </c>
      <c r="ER22" s="26"/>
      <c r="ES22" s="26"/>
      <c r="ET22" s="26"/>
      <c r="EU22" s="26"/>
      <c r="EV22" s="26">
        <v>0</v>
      </c>
      <c r="EW22" s="26">
        <v>0</v>
      </c>
      <c r="EX22" s="26">
        <v>0</v>
      </c>
      <c r="EY22" s="26">
        <v>0</v>
      </c>
      <c r="EZ22" s="26">
        <v>0</v>
      </c>
      <c r="FA22" s="26">
        <v>0</v>
      </c>
      <c r="FB22" s="26">
        <v>0</v>
      </c>
      <c r="FC22" s="26">
        <v>0</v>
      </c>
      <c r="FD22" s="20">
        <f>IF(SUM(EK22,EO22)&gt;0,SUM(EK22,EO22),"")</f>
        <v>9.6000000000000014</v>
      </c>
      <c r="FE22" s="20">
        <f>IF(SUM(EJ22:EK22,EM22:EO22,EQ22)-EL22-EP22&gt;0,SUM(EJ22:EK22,EM22:EO22,EQ22)-EL22-EP22,"")</f>
        <v>45.79999999999999</v>
      </c>
      <c r="FF22" s="20" t="str">
        <f>IF(SUM(ER22:ES22,EU22)-ET22&gt;0,SUM(ER22:ES22,EU22)-ET22,"")</f>
        <v/>
      </c>
      <c r="FG22" s="20">
        <f>IF(SUM(EK22,EO22,ES22)&gt;0,SUM(EK22,EO22,ES22),"")</f>
        <v>9.6000000000000014</v>
      </c>
      <c r="FH22" s="20">
        <f>IF(SUM(FE22,FF22)&gt;0,SUM(FE22,FF22),"")</f>
        <v>45.79999999999999</v>
      </c>
      <c r="FI22" s="20" t="str">
        <f>IF(SUM(EW22,FA22)&gt;0,SUM(EW22,FA22),"")</f>
        <v/>
      </c>
      <c r="FJ22" s="20" t="str">
        <f>IF(SUM(EV22:EW22,EY22:FA22,FC22)-SUM(EX22,FB22)&gt;0,SUM(EV22:EW22,EY22:FA22,FC22)-SUM(EX22,FB22),"")</f>
        <v/>
      </c>
      <c r="FK22" s="20">
        <f>IF(SUM(FE22,FJ22)&gt;0,SUM(FE22,FJ22),"")</f>
        <v>45.79999999999999</v>
      </c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79" t="str">
        <f>IF(SUM(FM22,FQ22)&gt;0,SUM(FM22,FQ22),"")</f>
        <v/>
      </c>
      <c r="GG22" s="79" t="str">
        <f>IF(SUM(FL22:FM22,FO22:FQ22,FS22)-FN22-FR22&gt;0,SUM(FL22:FM22,FO22:FQ22,FS22)-FN22-FR22,"")</f>
        <v/>
      </c>
      <c r="GH22" s="79" t="str">
        <f>IF(SUM(FT22:FU22,FW22)-FV22&gt;0,SUM(FT22:FU22,FW22)-FV22,"")</f>
        <v/>
      </c>
      <c r="GI22" s="79" t="str">
        <f>IF(SUM(FM22,FQ22,FU22)&gt;0,SUM(FM22,FQ22,FU22),"")</f>
        <v/>
      </c>
      <c r="GJ22" s="79" t="str">
        <f>IF(SUM(GG22,GH22)&gt;0,SUM(GG22,GH22),"")</f>
        <v/>
      </c>
      <c r="GK22" s="79" t="str">
        <f>IF(SUM(FY22,GC22)&gt;0,SUM(FY22,GC22),"")</f>
        <v/>
      </c>
      <c r="GL22" s="79" t="str">
        <f>IF(SUM(FX22:FY22,GA22:GC22,GE22)-SUM(FZ22,GD22)&gt;0,SUM(FX22:FY22,GA22:GC22,GE22)-SUM(FZ22,GD22),"")</f>
        <v/>
      </c>
      <c r="GM22" s="79" t="str">
        <f>IF(SUM(GG22,GL22)&gt;0,SUM(GG22,GL22),"")</f>
        <v/>
      </c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0" t="str">
        <f>IF(SUM(GO22,GS22)&gt;0,SUM(GO22,GS22),"")</f>
        <v/>
      </c>
      <c r="HI22" s="20" t="str">
        <f>IF(SUM(GN22:GO22,GQ22:GS22,GU22)-GP22-GT22&gt;0,SUM(GN22:GO22,GQ22:GS22,GU22)-GP22-GT22,"")</f>
        <v/>
      </c>
      <c r="HJ22" s="20" t="str">
        <f>IF(SUM(GV22:GW22,GY22)-GX22&gt;0,SUM(GV22:GW22,GY22)-GX22,"")</f>
        <v/>
      </c>
      <c r="HK22" s="20" t="str">
        <f>IF(SUM(GO22,GS22,GW22)&gt;0,SUM(GO22,GS22,GW22),"")</f>
        <v/>
      </c>
      <c r="HL22" s="20" t="str">
        <f>IF(SUM(HI22,HJ22)&gt;0,SUM(HI22,HJ22),"")</f>
        <v/>
      </c>
      <c r="HM22" s="20" t="str">
        <f>IF(SUM(HA22,HE22)&gt;0,SUM(HA22,HE22),"")</f>
        <v/>
      </c>
      <c r="HN22" s="20" t="str">
        <f>IF(SUM(GZ22:HA22,HC22:HE22,HG22)-SUM(HB22,HF22)&gt;0,SUM(GZ22:HA22,HC22:HE22,HG22)-SUM(HB22,HF22),"")</f>
        <v/>
      </c>
      <c r="HO22" s="20" t="str">
        <f>IF(SUM(HI22,HN22)&gt;0,SUM(HI22,HN22),"")</f>
        <v/>
      </c>
      <c r="HP22" s="2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79" t="str">
        <f>IF(SUM(HQ22,HU22)&gt;0,SUM(HQ22,HU22),"")</f>
        <v/>
      </c>
      <c r="IK22" s="79" t="str">
        <f>IF(SUM(HP22:HQ22,HS22:HU22,HW22)-HR22-HV22&gt;0,SUM(HP22:HQ22,HS22:HU22,HW22)-HR22-HV22,"")</f>
        <v/>
      </c>
      <c r="IL22" s="79" t="str">
        <f>IF(SUM(HX22:HY22,IA22)-HZ22&gt;0,SUM(HX22:HY22,IA22)-HZ22,"")</f>
        <v/>
      </c>
      <c r="IM22" s="79" t="str">
        <f>IF(SUM(HQ22,HU22,HY22)&gt;0,SUM(HQ22,HU22,HY22),"")</f>
        <v/>
      </c>
      <c r="IN22" s="79" t="str">
        <f>IF(SUM(IK22,IL22)&gt;0,SUM(IK22,IL22),"")</f>
        <v/>
      </c>
      <c r="IO22" s="79" t="str">
        <f>IF(SUM(IC22,IG22)&gt;0,SUM(IC22,IG22),"")</f>
        <v/>
      </c>
      <c r="IP22" s="79" t="str">
        <f>IF(SUM(IB22:IC22,IE22:IG22,II22)-SUM(ID22,IH22)&gt;0,SUM(IB22:IC22,IE22:IG22,II22)-SUM(ID22,IH22),"")</f>
        <v/>
      </c>
      <c r="IQ22" s="79" t="str">
        <f>IF(SUM(IK22,IP22)&gt;0,SUM(IK22,IP22),"")</f>
        <v/>
      </c>
      <c r="IR22" s="26"/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0" t="str">
        <f>IF(SUM(IS22,IW22)&gt;0,SUM(IS22,IW22),"")</f>
        <v/>
      </c>
      <c r="JM22" s="20" t="str">
        <f>IF(SUM(IR22:IS22,IU22:IW22,IY22)-IT22-IX22&gt;0,SUM(IR22:IS22,IU22:IW22,IY22)-IT22-IX22,"")</f>
        <v/>
      </c>
      <c r="JN22" s="20" t="str">
        <f>IF(SUM(IZ22:JA22,JC22)-JB22&gt;0,SUM(IZ22:JA22,JC22)-JB22,"")</f>
        <v/>
      </c>
      <c r="JO22" s="20" t="str">
        <f>IF(SUM(IS22,IW22,JA22)&gt;0,SUM(IS22,IW22,JA22),"")</f>
        <v/>
      </c>
      <c r="JP22" s="20" t="str">
        <f>IF(SUM(JM22,JN22)&gt;0,SUM(JM22,JN22),"")</f>
        <v/>
      </c>
      <c r="JQ22" s="20" t="str">
        <f>IF(SUM(JE22,JI22)&gt;0,SUM(JE22,JI22),"")</f>
        <v/>
      </c>
      <c r="JR22" s="20" t="str">
        <f>IF(SUM(JD22:JE22,JG22:JI22,JK22)-SUM(JF22,JJ22)&gt;0,SUM(JD22:JE22,JG22:JI22,JK22)-SUM(JF22,JJ22),"")</f>
        <v/>
      </c>
      <c r="JS22" s="20" t="str">
        <f>IF(SUM(JM22,JR22)&gt;0,SUM(JM22,JR22),"")</f>
        <v/>
      </c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79" t="str">
        <f>IF(SUM(JU22,JY22)&gt;0,SUM(JU22,JY22),"")</f>
        <v/>
      </c>
      <c r="KO22" s="79" t="str">
        <f>IF(SUM(JT22:JU22,JW22:JY22,KA22)-JV22-JZ22&gt;0,SUM(JT22:JU22,JW22:JY22,KA22)-JV22-JZ22,"")</f>
        <v/>
      </c>
      <c r="KP22" s="79" t="str">
        <f>IF(SUM(KB22:KC22,KE22)-KD22&gt;0,SUM(KB22:KC22,KE22)-KD22,"")</f>
        <v/>
      </c>
      <c r="KQ22" s="79" t="str">
        <f>IF(SUM(JU22,JY22,KC22)&gt;0,SUM(JU22,JY22,KC22),"")</f>
        <v/>
      </c>
      <c r="KR22" s="79" t="str">
        <f>IF(SUM(KO22,KP22)&gt;0,SUM(KO22,KP22),"")</f>
        <v/>
      </c>
      <c r="KS22" s="79" t="str">
        <f>IF(SUM(KG22,KK22)&gt;0,SUM(KG22,KK22),"")</f>
        <v/>
      </c>
      <c r="KT22" s="79" t="str">
        <f>IF(SUM(KF22:KG22,KI22:KK22,KM22)-SUM(KH22,KL22)&gt;0,SUM(KF22:KG22,KI22:KK22,KM22)-SUM(KH22,KL22),"")</f>
        <v/>
      </c>
      <c r="KU22" s="79" t="str">
        <f>IF(SUM(KO22,KT22)&gt;0,SUM(KO22,KT22),"")</f>
        <v/>
      </c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0" t="str">
        <f>IF(SUM(KW22,LA22)&gt;0,SUM(KW22,LA22),"")</f>
        <v/>
      </c>
      <c r="LQ22" s="20" t="str">
        <f>IF(SUM(KV22:KW22,KY22:LA22,LC22)-KX22-LB22&gt;0,SUM(KV22:KW22,KY22:LA22,LC22)-KX22-LB22,"")</f>
        <v/>
      </c>
      <c r="LR22" s="20" t="str">
        <f>IF(SUM(LD22:LE22,LG22)-LF22&gt;0,SUM(LD22:LE22,LG22)-LF22,"")</f>
        <v/>
      </c>
      <c r="LS22" s="20" t="str">
        <f>IF(SUM(KW22,LA22,LE22)&gt;0,SUM(KW22,LA22,LE22),"")</f>
        <v/>
      </c>
      <c r="LT22" s="20" t="str">
        <f>IF(SUM(LQ22,LR22)&gt;0,SUM(LQ22,LR22),"")</f>
        <v/>
      </c>
      <c r="LU22" s="20" t="str">
        <f>IF(SUM(LI22,LM22)&gt;0,SUM(LI22,LM22),"")</f>
        <v/>
      </c>
      <c r="LV22" s="20" t="str">
        <f>IF(SUM(LH22:LI22,LK22:LM22,LO22)-SUM(LJ22,LN22)&gt;0,SUM(LH22:LI22,LK22:LM22,LO22)-SUM(LJ22,LN22),"")</f>
        <v/>
      </c>
      <c r="LW22" s="20" t="str">
        <f>IF(SUM(LQ22,LV22)&gt;0,SUM(LQ22,LV22),"")</f>
        <v/>
      </c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79" t="str">
        <f>IF(SUM(LY22,MC22)&gt;0,SUM(LY22,MC22),"")</f>
        <v/>
      </c>
      <c r="MS22" s="79" t="str">
        <f>IF(SUM(LX22:LY22,MA22:MC22,ME22)-LZ22-MD22&gt;0,SUM(LX22:LY22,MA22:MC22,ME22)-LZ22-MD22,"")</f>
        <v/>
      </c>
      <c r="MT22" s="79" t="str">
        <f>IF(SUM(MF22:MG22,MI22)-MH22&gt;0,SUM(MF22:MG22,MI22)-MH22,"")</f>
        <v/>
      </c>
      <c r="MU22" s="79" t="str">
        <f>IF(SUM(LY22,MC22,MG22)&gt;0,SUM(LY22,MC22,MG22),"")</f>
        <v/>
      </c>
      <c r="MV22" s="79" t="str">
        <f>IF(SUM(MS22,MT22)&gt;0,SUM(MS22,MT22),"")</f>
        <v/>
      </c>
      <c r="MW22" s="79" t="str">
        <f>IF(SUM(MK22,MO22)&gt;0,SUM(MK22,MO22),"")</f>
        <v/>
      </c>
      <c r="MX22" s="79" t="str">
        <f>IF(SUM(MJ22:MK22,MM22:MO22,MQ22)-SUM(ML22,MP22)&gt;0,SUM(MJ22:MK22,MM22:MO22,MQ22)-SUM(ML22,MP22),"")</f>
        <v/>
      </c>
      <c r="MY22" s="79" t="str">
        <f>IF(SUM(MS22,MX22)&gt;0,SUM(MS22,MX22),"")</f>
        <v/>
      </c>
      <c r="MZ22" s="26"/>
      <c r="NA22" s="26"/>
      <c r="NB22" s="26"/>
      <c r="NC22" s="26"/>
      <c r="ND22" s="26"/>
      <c r="NE22" s="26"/>
      <c r="NF22" s="26"/>
      <c r="NG22" s="26"/>
      <c r="NH22" s="26"/>
      <c r="NI22" s="26"/>
      <c r="NJ22" s="26"/>
      <c r="NK22" s="26"/>
      <c r="NL22" s="26"/>
      <c r="NM22" s="26"/>
      <c r="NN22" s="26"/>
      <c r="NO22" s="26"/>
      <c r="NP22" s="26"/>
      <c r="NQ22" s="26"/>
      <c r="NR22" s="26"/>
      <c r="NS22" s="26"/>
      <c r="NT22" s="20" t="str">
        <f>IF(SUM(NA22,NE22)&gt;0,SUM(NA22,NE22),"")</f>
        <v/>
      </c>
      <c r="NU22" s="20" t="str">
        <f>IF(SUM(MZ22:NA22,NC22:NE22,NG22)-NB22-NF22&gt;0,SUM(MZ22:NA22,NC22:NE22,NG22)-NB22-NF22,"")</f>
        <v/>
      </c>
      <c r="NV22" s="20" t="str">
        <f>IF(SUM(NH22:NI22,NK22)-NJ22&gt;0,SUM(NH22:NI22,NK22)-NJ22,"")</f>
        <v/>
      </c>
      <c r="NW22" s="20" t="str">
        <f>IF(SUM(NA22,NE22,NI22)&gt;0,SUM(NA22,NE22,NI22),"")</f>
        <v/>
      </c>
      <c r="NX22" s="20" t="str">
        <f>IF(SUM(NU22,NV22)&gt;0,SUM(NU22,NV22),"")</f>
        <v/>
      </c>
      <c r="NY22" s="20" t="str">
        <f>IF(SUM(NM22,NQ22)&gt;0,SUM(NM22,NQ22),"")</f>
        <v/>
      </c>
      <c r="NZ22" s="20" t="str">
        <f>IF(SUM(NL22:NM22,NO22:NQ22,NS22)-SUM(NN22,NR22)&gt;0,SUM(NL22:NM22,NO22:NQ22,NS22)-SUM(NN22,NR22),"")</f>
        <v/>
      </c>
      <c r="OA22" s="20" t="str">
        <f>IF(SUM(NU22,NZ22)&gt;0,SUM(NU22,NZ22),"")</f>
        <v/>
      </c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79" t="str">
        <f>IF(SUM(OC22,OG22)&gt;0,SUM(OC22,OG22),"")</f>
        <v/>
      </c>
      <c r="OW22" s="79" t="str">
        <f>IF(SUM(OB22:OC22,OE22:OG22,OI22)-OD22-OH22&gt;0,SUM(OB22:OC22,OE22:OG22,OI22)-OD22-OH22,"")</f>
        <v/>
      </c>
      <c r="OX22" s="79" t="str">
        <f>IF(SUM(OJ22:OK22,OM22)-OL22&gt;0,SUM(OJ22:OK22,OM22)-OL22,"")</f>
        <v/>
      </c>
      <c r="OY22" s="79" t="str">
        <f>IF(SUM(OC22,OG22,OK22)&gt;0,SUM(OC22,OG22,OK22),"")</f>
        <v/>
      </c>
      <c r="OZ22" s="79" t="str">
        <f>IF(SUM(OW22,OX22)&gt;0,SUM(OW22,OX22),"")</f>
        <v/>
      </c>
      <c r="PA22" s="79" t="str">
        <f>IF(SUM(OO22,OS22)&gt;0,SUM(OO22,OS22),"")</f>
        <v/>
      </c>
      <c r="PB22" s="79" t="str">
        <f>IF(SUM(ON22:OO22,OQ22:OS22,OU22)-SUM(OP22,OT22)&gt;0,SUM(ON22:OO22,OQ22:OS22,OU22)-SUM(OP22,OT22),"")</f>
        <v/>
      </c>
      <c r="PC22" s="79" t="str">
        <f>IF(SUM(OW22,PB22)&gt;0,SUM(OW22,PB22),"")</f>
        <v/>
      </c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26"/>
      <c r="PU22" s="26"/>
      <c r="PV22" s="26"/>
      <c r="PW22" s="26"/>
      <c r="PX22" s="20" t="str">
        <f>IF(SUM(PE22,PI22)&gt;0,SUM(PE22,PI22),"")</f>
        <v/>
      </c>
      <c r="PY22" s="20" t="str">
        <f>IF(SUM(PD22:PE22,PG22:PI22,PK22)-PF22-PJ22&gt;0,SUM(PD22:PE22,PG22:PI22,PK22)-PF22-PJ22,"")</f>
        <v/>
      </c>
      <c r="PZ22" s="20" t="str">
        <f>IF(SUM(PL22:PM22,PO22)-PN22&gt;0,SUM(PL22:PM22,PO22)-PN22,"")</f>
        <v/>
      </c>
      <c r="QA22" s="20" t="str">
        <f>IF(SUM(PE22,PI22,PM22)&gt;0,SUM(PE22,PI22,PM22),"")</f>
        <v/>
      </c>
      <c r="QB22" s="20" t="str">
        <f>IF(SUM(PY22,PZ22)&gt;0,SUM(PY22,PZ22),"")</f>
        <v/>
      </c>
      <c r="QC22" s="20" t="str">
        <f>IF(SUM(PQ22,PU22)&gt;0,SUM(PQ22,PU22),"")</f>
        <v/>
      </c>
      <c r="QD22" s="20" t="str">
        <f>IF(SUM(PP22:PQ22,PS22:PU22,PW22)-SUM(PR22,PV22)&gt;0,SUM(PP22:PQ22,PS22:PU22,PW22)-SUM(PR22,PV22),"")</f>
        <v/>
      </c>
      <c r="QE22" s="20" t="str">
        <f>IF(SUM(PY22,QD22)&gt;0,SUM(PY22,QD22),"")</f>
        <v/>
      </c>
      <c r="QF22" s="38">
        <f>IF($CV22="P",CB22,(CB22+AY22)/2)</f>
        <v>9.1</v>
      </c>
      <c r="QG22" s="38">
        <f>IF($CV22="P",CC22,(CC22+AZ22)/2)</f>
        <v>3</v>
      </c>
      <c r="QH22" s="38">
        <f>IF($CV22="P",CD22,(CD22+BA22)/2)</f>
        <v>0.4</v>
      </c>
      <c r="QI22" s="38">
        <f>IF($CV22="P",CE22,(CE22+BB22)/2)</f>
        <v>0</v>
      </c>
      <c r="QJ22" s="38">
        <f>IF($CV22="P",CF22,(CF22+BC22)/2)</f>
        <v>9.5</v>
      </c>
      <c r="QK22" s="38">
        <f>IF($CV22="P",CG22,(CG22+BD22)/2)</f>
        <v>3.2</v>
      </c>
      <c r="QL22" s="38">
        <f>IF($CV22="P",CH22,(CH22+BE22)/2)</f>
        <v>0.3</v>
      </c>
      <c r="QM22" s="38">
        <f>IF($CV22="P",CI22,(CI22+BF22)/2)</f>
        <v>0</v>
      </c>
      <c r="QN22" s="38">
        <f>IF($CV22="P",CJ22,(CJ22+BG22)/2)</f>
        <v>9.0500000000000007</v>
      </c>
      <c r="QO22" s="38">
        <f>IF($CV22="P",CK22,(CK22+BH22)/2)</f>
        <v>2.0499999999999998</v>
      </c>
      <c r="QP22" s="38">
        <f>IF($CV22="P",CL22,(CL22+BI22)/2)</f>
        <v>1.45</v>
      </c>
      <c r="QQ22" s="38">
        <f>IF($CV22="P",CM22,(CM22+BJ22)/2)</f>
        <v>0</v>
      </c>
      <c r="QR22" s="38">
        <f>IF($CV22="P",CN22,(CN22+BK22)/2)</f>
        <v>0</v>
      </c>
      <c r="QS22" s="38">
        <f>IF($CV22="P",CO22,(CO22+BL22)/2)</f>
        <v>0</v>
      </c>
      <c r="QT22" s="38">
        <f>IF($CV22="P",CP22,(CP22+BM22)/2)</f>
        <v>0</v>
      </c>
      <c r="QU22" s="38">
        <f>IF($CV22="P",CQ22,(CQ22+BN22)/2)</f>
        <v>0</v>
      </c>
      <c r="QV22" s="38">
        <f>IF($CV22="P",CR22,(CR22+BO22)/2)</f>
        <v>0</v>
      </c>
      <c r="QW22" s="38">
        <f>IF($CV22="P",CS22,(CS22+BP22)/2)</f>
        <v>0</v>
      </c>
      <c r="QX22" s="38">
        <f>IF($CV22="P",CT22,(CT22+BQ22)/2)</f>
        <v>0</v>
      </c>
      <c r="QY22" s="38">
        <f>IF($CV22="P",CU22,(CU22+BR22)/2)</f>
        <v>0</v>
      </c>
      <c r="QZ22" s="45" t="s">
        <v>46</v>
      </c>
      <c r="RA22" s="79">
        <f>IF(SUM(QG22,QK22)&gt;0,SUM(QG22,QK22),"")</f>
        <v>6.2</v>
      </c>
      <c r="RB22" s="79">
        <f>IF(SUM(QF22:QG22,QI22:QK22,QM22)-QH22-QL22&gt;0,SUM(QF22:QG22,QI22:QK22,QM22)-QH22-QL22,"")</f>
        <v>24.1</v>
      </c>
      <c r="RC22" s="79">
        <f>IF(SUM(QN22:QO22,QQ22)-QP22&gt;0,SUM(QN22:QO22,QQ22)-QP22,"")</f>
        <v>9.6500000000000021</v>
      </c>
      <c r="RD22" s="79">
        <f>IF(SUM(QG22,QK22,QO22)&gt;0,SUM(QG22,QK22,QO22),"")</f>
        <v>8.25</v>
      </c>
      <c r="RE22" s="79">
        <f>IF(SUM(RB22,RC22)&gt;0,SUM(RB22,RC22),"")</f>
        <v>33.75</v>
      </c>
      <c r="RF22" s="79" t="str">
        <f>IF(SUM(QS22,QW22)&gt;0,SUM(QS22,QW22),"")</f>
        <v/>
      </c>
      <c r="RG22" s="79" t="str">
        <f>IF(SUM(QR22:QS22,QU22:QW22,QY22)-SUM(QT22,QX22)&gt;0,SUM(QR22:QS22,QU22:QW22,QY22)-SUM(QT22,QX22),"")</f>
        <v/>
      </c>
      <c r="RH22" s="79">
        <f>IF(SUM(RB22,RG22)&gt;0,SUM(RB22,RG22),"")</f>
        <v>24.1</v>
      </c>
    </row>
    <row r="23" spans="1:476" x14ac:dyDescent="0.2">
      <c r="A23" s="5" t="str">
        <f>IF(AND(F23="P",G23="P"),SUMPRODUCT((F$4:F$27="P")*(G$4:G$27="P")*(E$4:E$27&gt;E23))+1,IF(G23="P",SUMPRODUCT((F$4:F$27="")*(G$4:G$27="P")*(E$4:E$27&gt;E23))+1+SUMPRODUCT((F$4:F$27="P")*(G$4:G$27="P")),""))</f>
        <v/>
      </c>
      <c r="B23" s="78" t="s">
        <v>134</v>
      </c>
      <c r="C23" s="5" t="s">
        <v>4</v>
      </c>
      <c r="D23" s="5">
        <v>2005</v>
      </c>
      <c r="E23" s="15">
        <f>SUM(I23:S23)+SUM(I23:O23)*0.0000001+SUM(I23)*0.0000000000001</f>
        <v>62.500006250004077</v>
      </c>
      <c r="F23" s="3" t="str">
        <f>IF(OR(AND(AQ23&gt;=AX$29,AR23&gt;=AX$33,AQ23&lt;&gt;"",AP23=""),AND(AV23&gt;=AX$29,AW23&gt;=AX$33,AV23&lt;&gt;"",AP23=""),AND(BT23&gt;=CA$29,BU23&gt;=CA$33,BT23&lt;&gt;"",BS23=""),AND(BY23&gt;=CA$29,BZ23&gt;=CA$33,BY23&lt;&gt;"",BS23=""),AND(CW23&gt;=DD$29,CX23&gt;=DD$33,CW23&lt;&gt;"",CV23=""),AND(DB23&gt;=DD$29,DC23&gt;=DD$33,DB23&lt;&gt;""),AND(EB23&gt;=EI$29,EC23&gt;=EI$33,EB23&lt;&gt;""),AND(EG23&gt;=EI$29,EH23&gt;=EI$33,EG23&lt;&gt;""),AND(FD23&gt;=FK$29,FE23&gt;=FK$33,FD23&lt;&gt;""),AND(FI23&gt;=FK$29,FJ23&gt;=FK$33,FI23&lt;&gt;""),AND(GF23&gt;=GM$29,GG23&gt;=GM$33,GF23&lt;&gt;""),AND(GK23&gt;=GM$29,GL23&gt;=GM$33,GK23&lt;&gt;""),AND(HH23&gt;=HO$29,HI23&gt;=HO$33,HH23&lt;&gt;""),AND(HM23&gt;=HO$29,HN23&gt;=HO$33,HM23&lt;&gt;""),AND(IJ23&gt;=IQ$29,IK23&gt;=IQ$33,IJ23&lt;&gt;""),AND(IO23&gt;=IQ$29,IP23&gt;=IQ$33,IO23&lt;&gt;""),AND(JL23&gt;=JS$29,JM23&gt;=JS$33,JL23&lt;&gt;""),AND(JQ23&gt;=JS$29,JR23&gt;=JS$33,JQ23&lt;&gt;""),AND(KN23&gt;=KU$29,KO23&gt;=KU$33,KN23&lt;&gt;""),AND(KS23&gt;=KU$29,KT23&gt;=KU$33,KS23&lt;&gt;""),AND(LP23&gt;=LW$29,LQ23&gt;=LW$33,LP23&lt;&gt;""),AND(LU23&gt;=LW$29,LV23&gt;=LW$33,LU23&lt;&gt;""),AND(MR23&gt;=MY$29,MS23&gt;=MY$33,MR23&lt;&gt;""),AND(MW23&gt;=MY$29,MX23&gt;=MY$33,MW23&lt;&gt;""),AND(NT23&gt;=OA$29,NU23&gt;=OA$33,NT23&lt;&gt;""),AND(NY23&gt;=OA$29,NZ23&gt;=OA$33,NY23&lt;&gt;""),AND(OV23&gt;=PC$29,OW23&gt;=PC$33,OV23&lt;&gt;""),AND(PA23&gt;=PC$29,PB23&gt;=PC$33,PA23&lt;&gt;""),AND(PX23&gt;=QE$29,PY23&gt;=QE$33,PX23&lt;&gt;""),AND(QC23&gt;=QE$29,QD23&gt;=QE$33,QC23&lt;&gt;"")),"P","")</f>
        <v/>
      </c>
      <c r="G23" s="3" t="str">
        <f>IF(OR(AND(AR23&gt;=AX$33,AR23&lt;&gt;"",AP23=""),AND(AW23&gt;=AX$33,AW23&lt;&gt;"",AP23=""),AND(BU23&gt;=CA$33,BU23&lt;&gt;"",BS23=""),AND(BZ23&gt;=CA$33,BZ23&lt;&gt;"",BS23=""),AND(CX23&gt;=DD$33,CX23&lt;&gt;"",CV23=""),AND(DC23&gt;=DD$33,DC23&lt;&gt;"",CV23=""),AND(EC23&gt;=EI$33,EC23&lt;&gt;""),AND(EH23&gt;=EI$33,EH23&lt;&gt;""),AND(FE23&gt;=FK$33,FE23&lt;&gt;""),AND(FJ23&gt;=FK$33,FJ23&lt;&gt;""),AND(GG23&gt;=GM$33,GG23&lt;&gt;""),AND(GL23&gt;=GM$33,GL23&lt;&gt;""),AND(HI23&gt;=HO$33,HI23&lt;&gt;""),AND(HN23&gt;=HO$33,HN23&lt;&gt;""),AND(IK23&gt;=IQ$33,IK23&lt;&gt;""),AND(IP23&gt;=IQ$33,IP23&lt;&gt;""),AND(JM23&gt;=JS$33,JM23&lt;&gt;""),AND(JR23&gt;=JS$33,JR23&lt;&gt;""),AND(KO23&gt;=KU$33,KO23&lt;&gt;""),AND(KT23&gt;=KU$33,KT23&lt;&gt;""),AND(LQ23&gt;=LW$33,LQ23&lt;&gt;""),AND(LV23&gt;=LW$33,LV23&lt;&gt;""),AND(MS23&gt;=MY$33,MS23&lt;&gt;""),AND(MX23&gt;=MY$33,MX23&lt;&gt;""),AND(NU23&gt;=OA$33,NU23&lt;&gt;""),AND(NZ23&gt;=OA$33,NZ23&lt;&gt;""),AND(OW23&gt;=PC$33,OW23&lt;&gt;""),AND(PB23&gt;=PC$33,PB23&lt;&gt;""),AND(PY23&gt;=QE$33,PY23&lt;&gt;""),AND(QD23&gt;=QE$33,QD23&lt;&gt;"")),"P","")</f>
        <v/>
      </c>
      <c r="H23" s="67" t="str">
        <f>IF(AND(G23="P",F23=""),"No DD",IF(OR(AND(AT23&gt;=AX$32,AU23&gt;=AX$36,AT23&lt;&gt;"",AP23=""),AND(BW23&gt;=CA$32,BX23&gt;=CA$36,BW23&lt;&gt;"",BS23=""),AND(CZ23&gt;=DD$32,DA23&gt;=DD$36,CZ23&lt;&gt;"",CV23=""),AND(EE23&gt;=EI$32,EF23&gt;=EI$36,EE23&lt;&gt;""),AND(FG23&gt;=FK$32,FH23&gt;=FK$36,FG23&lt;&gt;""),AND(GI23&gt;=GM$32,GJ23&gt;=GM$36,GI23&lt;&gt;""),AND(HK23&gt;=HO$32,HL23&gt;=HO$36,HK23&lt;&gt;""),AND(IM23&gt;=IQ$32,IN23&gt;=IQ$36,IM23&lt;&gt;""),AND(JO23&gt;=JS$32,JP23&gt;=JS$36,JO23&lt;&gt;""),AND(KQ23&gt;=KU$32,KR23&gt;=KU$36,KQ23&lt;&gt;""),AND(LS23&gt;=LW$32,LT23&gt;=LW$36,LS23&lt;&gt;""),AND(MU23&gt;=MY$32,MV23&gt;=MY$36,MU23&lt;&gt;""),AND(NW23&gt;=OA$32,NX23&gt;=OA$36,NW23&lt;&gt;""),AND(OY23&gt;=PC$32,OZ23&gt;=PC$36,OY23&lt;&gt;""),AND(QA23&gt;=QE$32,QB23&gt;=QE$36,QA23&lt;&gt;"")),"Merit",IF(OR(AND(AT23&gt;=AX$31,AU23&gt;=AX$35,AT23&lt;&gt;"",AP23=""),AND(BW23&gt;=CA$31,BX23&gt;=CA$35,BW23&lt;&gt;"",BS23=""),AND(CZ23&gt;=DD$31,DA23&gt;=DD$35,CZ23&lt;&gt;"",CV23=""),AND(EE23&gt;=EI$31,EF23&gt;=EI$35,EE23&lt;&gt;""),AND(FG23&gt;=FK$31,FH23&gt;=FK$35,FG23&lt;&gt;""),AND(GI23&gt;=GM$31,GJ23&gt;=GM$35,GI23&lt;&gt;""),AND(HK23&gt;=HO$31,HL23&gt;=HO$35,HK23&lt;&gt;""),AND(IM23&gt;=IQ$31,IN23&gt;=IQ$35,IM23&lt;&gt;""),AND(JO23&gt;=JS$31,JP23&gt;=JS$35,JO23&lt;&gt;""),AND(KQ23&gt;=KU$31,KR23&gt;=KU$35,KQ23&lt;&gt;""),AND(LS23&gt;=LW$31,LT23&gt;=LW$35,LS23&lt;&gt;""),AND(MU23&gt;=MY$31,MV23&gt;=MY$35,MU23&lt;&gt;""),AND(NW23&gt;=OA$31,NX23&gt;=OA$35,NW23&lt;&gt;""),AND(OY23&gt;=PC$31,OZ23&gt;=PC$35,OY23&lt;&gt;""),AND(QA23&gt;=QE$31,QB23&gt;=QE$35,QA23&lt;&gt;"")),"Excellence",IF(F23="P","National Team",""))))</f>
        <v/>
      </c>
      <c r="I23" s="14">
        <f>IF(COUNT(AR23,BU23,CX23)&gt;0,LARGE((AR23,BU23,CX23),1),0)</f>
        <v>40.799999999999997</v>
      </c>
      <c r="J23" s="14" t="str">
        <f>IF(I23=0,"",IF(I23=CX23,$CB$1,IF(I23=BU23,$AY$1,IF(I23=AR23,$V$1,""))))</f>
        <v>2022 Elite Canada</v>
      </c>
      <c r="K23" s="14">
        <f>IF(COUNT(AR23,BU23,CX23)&gt;1,LARGE((AR23,BU23,CX23),2),0)</f>
        <v>0</v>
      </c>
      <c r="L23" s="14" t="str">
        <f>IF(K23=0,"",IF(K23=CX23,$CB$1,IF(K23=BU23,$AY$1,IF(K23=AR23,$V$1,""))))</f>
        <v/>
      </c>
      <c r="M23" s="14">
        <f>IF(COUNT(AS23,BV23,CY23)&gt;0,LARGE((AS23,BV23,CY23),1),0)</f>
        <v>21.7</v>
      </c>
      <c r="N23" s="14" t="str">
        <f>IF(M23=0,"",IF(M23=CY23,$CB$1,IF(M23=BV23,$AY$1,IF(M23=AS23,$V$1,""))))</f>
        <v>2022 Elite Canada</v>
      </c>
      <c r="O23" s="14">
        <f>IF(COUNT(AS23,BV23,CY23)&gt;1,LARGE((AS23,BV23,CY23),2),0)</f>
        <v>0</v>
      </c>
      <c r="P23" s="14" t="str">
        <f>IF(O23=0,"",IF(O23=CY23,$CB$1,IF(O23=BV23,$AY$1,IF(O23=AS23,$V$1,""))))</f>
        <v/>
      </c>
      <c r="Q23" s="14">
        <f>IF(MAX(AW23,BZ23,DC23)&gt;0,MAX(AW23,BZ23,DC23),0)</f>
        <v>0</v>
      </c>
      <c r="R23" s="14" t="str">
        <f>IF(Q23=0,"",IF(Q23=DC23,$CB$1,IF(Q23=BZ23,$AY$1,IF(Q23=AW23,$V$1,""))))</f>
        <v/>
      </c>
      <c r="S23" s="14" t="str">
        <f>IF(MAX(DE23:DG23)&gt;0,MAX(DE23:DG23),"")</f>
        <v/>
      </c>
      <c r="T23" s="20" t="str">
        <f>IF(S23="","",IF(S23=DE23,"("&amp;DE$2&amp;")",IF(S23=DG23,"("&amp;DG$2&amp;")")))</f>
        <v/>
      </c>
      <c r="U23" s="14" t="str">
        <f>IF(S23="","",IF(S23=DE23,IF(S23+IF(K23="",0,K23)=PY23,$PD$1,IF(S23+IF(K23="",0,K23)=OW23,$OB$1,IF(S23+IF(K23="",0,K23)=NU23,$MZ$1,IF(S23+IF(K23="",0,K23)=MS23,$LX$1,IF(S23+IF(K23="",0,K23)=LQ23,$KV$1,IF(S23+IF(K23="",0,K23)=KO23,$JT$1,IF(S23+IF(K23="",0,K23)=JM23,$IR$1,IF(S23+IF(K23="",0,K23)=IK23,$HP$1,IF(S23+IF(K23="",0,K23)=HI23,$GN$1,IF(S23+IF(K23="",0,K23)=GG23,$FL$1,IF(S23+IF(K23="",0,K23)=FE23,$EJ$1,IF(S23+IF(K23="",0,K23)=EC23,$DH$1)))))))))))),IF(S23=DG23,IF(S23+IF(Q23="",0,Q23)=QD23,$PD$1,IF(S23+IF(Q23="",0,Q23)=PB23,$OB$1,IF(S23+IF(Q23="",0,Q23)=NZ23,$MZ$1,IF(S23+IF(Q23="",0,Q23)=MX23,$LX$1,IF(S23+IF(Q23="",0,Q23)=LV23,$KV$1,IF(S23+IF(Q23="",0,Q23)=KT23,$JT$1,IF(S23+IF(Q23="",0,Q23)=JR23,$IR$1,IF(S23+IF(Q23="",0,Q23)=IP23,$HP$1,IF(S23+IF(Q23="",0,Q23)=HN23,$GN$1,IF(S23+IF(Q23="",0,Q23)=GL23,$FL$1,IF(S23+IF(Q23="",0,Q23)=FJ23,$EJ$1,IF(S23+IF(Q23="",0,Q23)=EH23,$DH$1)))))))))))))))</f>
        <v/>
      </c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45"/>
      <c r="AQ23" s="79" t="str">
        <f>IF(SUM(W23,AA23)&gt;0,SUM(W23,AA23),"")</f>
        <v/>
      </c>
      <c r="AR23" s="79" t="str">
        <f>IF(SUM(V23:W23,Y23:AA23,AC23)-X23-AB23&gt;0,SUM(V23:W23,Y23:AA23,AC23)-X23-AB23,"")</f>
        <v/>
      </c>
      <c r="AS23" s="79" t="str">
        <f>IF(SUM(AD23:AE23,AG23)-AF23&gt;0,SUM(AD23:AE23,AG23)-AF23,"")</f>
        <v/>
      </c>
      <c r="AT23" s="79" t="str">
        <f>IF(SUM(W23,AA23,AE23)&gt;0,SUM(W23,AA23,AE23),"")</f>
        <v/>
      </c>
      <c r="AU23" s="79" t="str">
        <f>IF(SUM(AR23,AS23)&gt;0,SUM(AR23,AS23),"")</f>
        <v/>
      </c>
      <c r="AV23" s="79" t="str">
        <f>IF(SUM(AI23,AM23)&gt;0,SUM(AI23,AM23),"")</f>
        <v/>
      </c>
      <c r="AW23" s="79" t="str">
        <f>IF(SUM(AH23:AI23,AK23:AM23,AO23)-SUM(AJ23,AN23)&gt;0,SUM(AH23:AI23,AK23:AM23,AO23)-SUM(AJ23,AN23),"")</f>
        <v/>
      </c>
      <c r="AX23" s="79" t="str">
        <f>IF(SUM(AR23,AW23)&gt;0,SUM(AR23,AW23),"")</f>
        <v/>
      </c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46"/>
      <c r="BT23" s="20" t="str">
        <f>IF(SUM(AZ23,BD23)&gt;0,SUM(AZ23,BD23),"")</f>
        <v/>
      </c>
      <c r="BU23" s="20" t="str">
        <f>IF(SUM(AY23:AZ23,BB23:BD23,BF23)-BA23-BE23&gt;0,SUM(AY23:AZ23,BB23:BD23,BF23)-BA23-BE23,"")</f>
        <v/>
      </c>
      <c r="BV23" s="20" t="str">
        <f>IF(SUM(BG23:BH23,BJ23)-BI23&gt;0,SUM(BG23:BH23,BJ23)-BI23,"")</f>
        <v/>
      </c>
      <c r="BW23" s="20" t="str">
        <f>IF(SUM(AZ23,BD23,BH23)&gt;0,SUM(AZ23,BD23,BH23),"")</f>
        <v/>
      </c>
      <c r="BX23" s="20" t="str">
        <f>IF(SUM(BU23,BV23)&gt;0,SUM(BU23,BV23),"")</f>
        <v/>
      </c>
      <c r="BY23" s="20" t="str">
        <f>IF(SUM(BL23,BP23)&gt;0,SUM(BL23,BP23),"")</f>
        <v/>
      </c>
      <c r="BZ23" s="20" t="str">
        <f>IF(SUM(BK23:BL23,BN23:BP23,BR23)-SUM(BM23,BQ23)&gt;0,SUM(BK23:BL23,BN23:BP23,BR23)-SUM(BM23,BQ23),"")</f>
        <v/>
      </c>
      <c r="CA23" s="20" t="str">
        <f>IF(SUM(BU23,BZ23)&gt;0,SUM(BU23,BZ23),"")</f>
        <v/>
      </c>
      <c r="CB23" s="27">
        <v>17.899999999999999</v>
      </c>
      <c r="CC23" s="27">
        <v>4.4000000000000004</v>
      </c>
      <c r="CD23" s="27">
        <v>0.8</v>
      </c>
      <c r="CE23" s="27">
        <v>0</v>
      </c>
      <c r="CF23" s="27">
        <v>18</v>
      </c>
      <c r="CG23" s="27">
        <v>2.4</v>
      </c>
      <c r="CH23" s="27">
        <v>1.1000000000000001</v>
      </c>
      <c r="CI23" s="27">
        <v>0</v>
      </c>
      <c r="CJ23" s="27">
        <v>18.2</v>
      </c>
      <c r="CK23" s="27">
        <v>3.5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45"/>
      <c r="CW23" s="79">
        <f>IF(SUM(CC23,CG23)&gt;0,SUM(CC23,CG23),"")</f>
        <v>6.8000000000000007</v>
      </c>
      <c r="CX23" s="79">
        <f>IF(SUM(CB23:CC23,CE23:CG23,CI23)-CD23-CH23&gt;0,SUM(CB23:CC23,CE23:CG23,CI23)-CD23-CH23,"")</f>
        <v>40.799999999999997</v>
      </c>
      <c r="CY23" s="79">
        <f>IF(SUM(CJ23:CK23,CM23)-CL23&gt;0,SUM(CJ23:CK23,CM23)-CL23,"")</f>
        <v>21.7</v>
      </c>
      <c r="CZ23" s="79">
        <f>IF(SUM(CC23,CG23,CK23)&gt;0,SUM(CC23,CG23,CK23),"")</f>
        <v>10.3</v>
      </c>
      <c r="DA23" s="79">
        <f>IF(SUM(CX23,CY23)&gt;0,SUM(CX23,CY23),"")</f>
        <v>62.5</v>
      </c>
      <c r="DB23" s="79" t="str">
        <f>IF(SUM(CO23,CS23)&gt;0,SUM(CO23,CS23),"")</f>
        <v/>
      </c>
      <c r="DC23" s="79" t="str">
        <f>IF(SUM(CN23:CO23,CQ23:CS23,CU23)-SUM(CP23,CT23)&gt;0,SUM(CN23:CO23,CQ23:CS23,CU23)-SUM(CP23,CT23),"")</f>
        <v/>
      </c>
      <c r="DD23" s="79">
        <f>IF(SUM(CX23,DC23)&gt;0,SUM(CX23,DC23),"")</f>
        <v>40.799999999999997</v>
      </c>
      <c r="DE23" s="80" t="str">
        <f>IF(K23&gt;=0.001,IF(MAX(EC23,FE23,GG23,HI23,IK23,JM23,KO23,LQ23,MS23,NU23,OW23,PY23)-IF(K23="",0,K23)&gt;0.001,MAX(EC23,FE23,GG23,HI23,IK23,JM23,KO23,LQ23,MS23,NU23,OW23,PY23)-IF(K23="",0,K23),""),"")</f>
        <v/>
      </c>
      <c r="DF23" s="80" t="str">
        <f>IF(O23&gt;=0.001,IF(MAX(ED23,FF23,GH23,HJ23,IL23,JN23,KP23,LR23,MT23,NV23,OX23,PZ23)-IF(O23="",0,O23)&gt;0.001,MAX(ED23,FF23,GH23,HJ23,IL23,JN23,KP23,LR23,MT23,NV23,OX23,PZ23)-IF(O23="",0,O23),""),"")</f>
        <v/>
      </c>
      <c r="DG23" s="80" t="str">
        <f>IF(Q23&gt;=0.001,IF(MAX(EH23,FJ23,GL23,HN23,IP23,JR23,KT23,LV23,MX23,NZ23,PB23,QD23)-IF(Q23="",0,Q23)&gt;0.001,MAX(EH23,FJ23,GL23,HN23,IP23,JR23,KT23,LV23,MX23,NZ23,PB23,QD23)-IF(Q23="",0,Q23),""),"")</f>
        <v/>
      </c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79" t="str">
        <f>IF(SUM(DI23,DM23)&gt;0,SUM(DI23,DM23),"")</f>
        <v/>
      </c>
      <c r="EC23" s="79" t="str">
        <f>IF(SUM(DH23:DI23,DK23:DM23,DO23)-DJ23-DN23&gt;0,SUM(DH23:DI23,DK23:DM23,DO23)-DJ23-DN23,"")</f>
        <v/>
      </c>
      <c r="ED23" s="79" t="str">
        <f>IF(SUM(DP23:DQ23,DS23)-DR23&gt;0,SUM(DP23:DQ23,DS23)-DR23,"")</f>
        <v/>
      </c>
      <c r="EE23" s="79" t="str">
        <f>IF(SUM(DI23,DM23,DQ23)&gt;0,SUM(DI23,DM23,DQ23),"")</f>
        <v/>
      </c>
      <c r="EF23" s="79" t="str">
        <f>IF(SUM(EC23,ED23)&gt;0,SUM(EC23,ED23),"")</f>
        <v/>
      </c>
      <c r="EG23" s="79" t="str">
        <f>IF(SUM(DU23,DY23)&gt;0,SUM(DU23,DY23),"")</f>
        <v/>
      </c>
      <c r="EH23" s="79" t="str">
        <f>IF(SUM(DT23:DU23,DW23:DY23,EA23)-SUM(DV23,DZ23)&gt;0,SUM(DT23:DU23,DW23:DY23,EA23)-SUM(DV23,DZ23),"")</f>
        <v/>
      </c>
      <c r="EI23" s="79" t="str">
        <f>IF(SUM(EC23,EH23)&gt;0,SUM(EC23,EH23),"")</f>
        <v/>
      </c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0" t="str">
        <f>IF(SUM(EK23,EO23)&gt;0,SUM(EK23,EO23),"")</f>
        <v/>
      </c>
      <c r="FE23" s="20" t="str">
        <f>IF(SUM(EJ23:EK23,EM23:EO23,EQ23)-EL23-EP23&gt;0,SUM(EJ23:EK23,EM23:EO23,EQ23)-EL23-EP23,"")</f>
        <v/>
      </c>
      <c r="FF23" s="20" t="str">
        <f>IF(SUM(ER23:ES23,EU23)-ET23&gt;0,SUM(ER23:ES23,EU23)-ET23,"")</f>
        <v/>
      </c>
      <c r="FG23" s="20" t="str">
        <f>IF(SUM(EK23,EO23,ES23)&gt;0,SUM(EK23,EO23,ES23),"")</f>
        <v/>
      </c>
      <c r="FH23" s="20" t="str">
        <f>IF(SUM(FE23,FF23)&gt;0,SUM(FE23,FF23),"")</f>
        <v/>
      </c>
      <c r="FI23" s="20" t="str">
        <f>IF(SUM(EW23,FA23)&gt;0,SUM(EW23,FA23),"")</f>
        <v/>
      </c>
      <c r="FJ23" s="20" t="str">
        <f>IF(SUM(EV23:EW23,EY23:FA23,FC23)-SUM(EX23,FB23)&gt;0,SUM(EV23:EW23,EY23:FA23,FC23)-SUM(EX23,FB23),"")</f>
        <v/>
      </c>
      <c r="FK23" s="20" t="str">
        <f>IF(SUM(FE23,FJ23)&gt;0,SUM(FE23,FJ23),"")</f>
        <v/>
      </c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79" t="str">
        <f>IF(SUM(FM23,FQ23)&gt;0,SUM(FM23,FQ23),"")</f>
        <v/>
      </c>
      <c r="GG23" s="79" t="str">
        <f>IF(SUM(FL23:FM23,FO23:FQ23,FS23)-FN23-FR23&gt;0,SUM(FL23:FM23,FO23:FQ23,FS23)-FN23-FR23,"")</f>
        <v/>
      </c>
      <c r="GH23" s="79" t="str">
        <f>IF(SUM(FT23:FU23,FW23)-FV23&gt;0,SUM(FT23:FU23,FW23)-FV23,"")</f>
        <v/>
      </c>
      <c r="GI23" s="79" t="str">
        <f>IF(SUM(FM23,FQ23,FU23)&gt;0,SUM(FM23,FQ23,FU23),"")</f>
        <v/>
      </c>
      <c r="GJ23" s="79" t="str">
        <f>IF(SUM(GG23,GH23)&gt;0,SUM(GG23,GH23),"")</f>
        <v/>
      </c>
      <c r="GK23" s="79" t="str">
        <f>IF(SUM(FY23,GC23)&gt;0,SUM(FY23,GC23),"")</f>
        <v/>
      </c>
      <c r="GL23" s="79" t="str">
        <f>IF(SUM(FX23:FY23,GA23:GC23,GE23)-SUM(FZ23,GD23)&gt;0,SUM(FX23:FY23,GA23:GC23,GE23)-SUM(FZ23,GD23),"")</f>
        <v/>
      </c>
      <c r="GM23" s="79" t="str">
        <f>IF(SUM(GG23,GL23)&gt;0,SUM(GG23,GL23),"")</f>
        <v/>
      </c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0" t="str">
        <f>IF(SUM(GO23,GS23)&gt;0,SUM(GO23,GS23),"")</f>
        <v/>
      </c>
      <c r="HI23" s="20" t="str">
        <f>IF(SUM(GN23:GO23,GQ23:GS23,GU23)-GP23-GT23&gt;0,SUM(GN23:GO23,GQ23:GS23,GU23)-GP23-GT23,"")</f>
        <v/>
      </c>
      <c r="HJ23" s="20" t="str">
        <f>IF(SUM(GV23:GW23,GY23)-GX23&gt;0,SUM(GV23:GW23,GY23)-GX23,"")</f>
        <v/>
      </c>
      <c r="HK23" s="20" t="str">
        <f>IF(SUM(GO23,GS23,GW23)&gt;0,SUM(GO23,GS23,GW23),"")</f>
        <v/>
      </c>
      <c r="HL23" s="20" t="str">
        <f>IF(SUM(HI23,HJ23)&gt;0,SUM(HI23,HJ23),"")</f>
        <v/>
      </c>
      <c r="HM23" s="20" t="str">
        <f>IF(SUM(HA23,HE23)&gt;0,SUM(HA23,HE23),"")</f>
        <v/>
      </c>
      <c r="HN23" s="20" t="str">
        <f>IF(SUM(GZ23:HA23,HC23:HE23,HG23)-SUM(HB23,HF23)&gt;0,SUM(GZ23:HA23,HC23:HE23,HG23)-SUM(HB23,HF23),"")</f>
        <v/>
      </c>
      <c r="HO23" s="20" t="str">
        <f>IF(SUM(HI23,HN23)&gt;0,SUM(HI23,HN23),"")</f>
        <v/>
      </c>
      <c r="HP23" s="25"/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79" t="str">
        <f>IF(SUM(HQ23,HU23)&gt;0,SUM(HQ23,HU23),"")</f>
        <v/>
      </c>
      <c r="IK23" s="79" t="str">
        <f>IF(SUM(HP23:HQ23,HS23:HU23,HW23)-HR23-HV23&gt;0,SUM(HP23:HQ23,HS23:HU23,HW23)-HR23-HV23,"")</f>
        <v/>
      </c>
      <c r="IL23" s="79" t="str">
        <f>IF(SUM(HX23:HY23,IA23)-HZ23&gt;0,SUM(HX23:HY23,IA23)-HZ23,"")</f>
        <v/>
      </c>
      <c r="IM23" s="79" t="str">
        <f>IF(SUM(HQ23,HU23,HY23)&gt;0,SUM(HQ23,HU23,HY23),"")</f>
        <v/>
      </c>
      <c r="IN23" s="79" t="str">
        <f>IF(SUM(IK23,IL23)&gt;0,SUM(IK23,IL23),"")</f>
        <v/>
      </c>
      <c r="IO23" s="79" t="str">
        <f>IF(SUM(IC23,IG23)&gt;0,SUM(IC23,IG23),"")</f>
        <v/>
      </c>
      <c r="IP23" s="79" t="str">
        <f>IF(SUM(IB23:IC23,IE23:IG23,II23)-SUM(ID23,IH23)&gt;0,SUM(IB23:IC23,IE23:IG23,II23)-SUM(ID23,IH23),"")</f>
        <v/>
      </c>
      <c r="IQ23" s="79" t="str">
        <f>IF(SUM(IK23,IP23)&gt;0,SUM(IK23,IP23),"")</f>
        <v/>
      </c>
      <c r="IR23" s="26"/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0" t="str">
        <f>IF(SUM(IS23,IW23)&gt;0,SUM(IS23,IW23),"")</f>
        <v/>
      </c>
      <c r="JM23" s="20" t="str">
        <f>IF(SUM(IR23:IS23,IU23:IW23,IY23)-IT23-IX23&gt;0,SUM(IR23:IS23,IU23:IW23,IY23)-IT23-IX23,"")</f>
        <v/>
      </c>
      <c r="JN23" s="20" t="str">
        <f>IF(SUM(IZ23:JA23,JC23)-JB23&gt;0,SUM(IZ23:JA23,JC23)-JB23,"")</f>
        <v/>
      </c>
      <c r="JO23" s="20" t="str">
        <f>IF(SUM(IS23,IW23,JA23)&gt;0,SUM(IS23,IW23,JA23),"")</f>
        <v/>
      </c>
      <c r="JP23" s="20" t="str">
        <f>IF(SUM(JM23,JN23)&gt;0,SUM(JM23,JN23),"")</f>
        <v/>
      </c>
      <c r="JQ23" s="20" t="str">
        <f>IF(SUM(JE23,JI23)&gt;0,SUM(JE23,JI23),"")</f>
        <v/>
      </c>
      <c r="JR23" s="20" t="str">
        <f>IF(SUM(JD23:JE23,JG23:JI23,JK23)-SUM(JF23,JJ23)&gt;0,SUM(JD23:JE23,JG23:JI23,JK23)-SUM(JF23,JJ23),"")</f>
        <v/>
      </c>
      <c r="JS23" s="20" t="str">
        <f>IF(SUM(JM23,JR23)&gt;0,SUM(JM23,JR23),"")</f>
        <v/>
      </c>
      <c r="JT23" s="25"/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79" t="str">
        <f>IF(SUM(JU23,JY23)&gt;0,SUM(JU23,JY23),"")</f>
        <v/>
      </c>
      <c r="KO23" s="79" t="str">
        <f>IF(SUM(JT23:JU23,JW23:JY23,KA23)-JV23-JZ23&gt;0,SUM(JT23:JU23,JW23:JY23,KA23)-JV23-JZ23,"")</f>
        <v/>
      </c>
      <c r="KP23" s="79" t="str">
        <f>IF(SUM(KB23:KC23,KE23)-KD23&gt;0,SUM(KB23:KC23,KE23)-KD23,"")</f>
        <v/>
      </c>
      <c r="KQ23" s="79" t="str">
        <f>IF(SUM(JU23,JY23,KC23)&gt;0,SUM(JU23,JY23,KC23),"")</f>
        <v/>
      </c>
      <c r="KR23" s="79" t="str">
        <f>IF(SUM(KO23,KP23)&gt;0,SUM(KO23,KP23),"")</f>
        <v/>
      </c>
      <c r="KS23" s="79" t="str">
        <f>IF(SUM(KG23,KK23)&gt;0,SUM(KG23,KK23),"")</f>
        <v/>
      </c>
      <c r="KT23" s="79" t="str">
        <f>IF(SUM(KF23:KG23,KI23:KK23,KM23)-SUM(KH23,KL23)&gt;0,SUM(KF23:KG23,KI23:KK23,KM23)-SUM(KH23,KL23),"")</f>
        <v/>
      </c>
      <c r="KU23" s="79" t="str">
        <f>IF(SUM(KO23,KT23)&gt;0,SUM(KO23,KT23),"")</f>
        <v/>
      </c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0" t="str">
        <f>IF(SUM(KW23,LA23)&gt;0,SUM(KW23,LA23),"")</f>
        <v/>
      </c>
      <c r="LQ23" s="20" t="str">
        <f>IF(SUM(KV23:KW23,KY23:LA23,LC23)-KX23-LB23&gt;0,SUM(KV23:KW23,KY23:LA23,LC23)-KX23-LB23,"")</f>
        <v/>
      </c>
      <c r="LR23" s="20" t="str">
        <f>IF(SUM(LD23:LE23,LG23)-LF23&gt;0,SUM(LD23:LE23,LG23)-LF23,"")</f>
        <v/>
      </c>
      <c r="LS23" s="20" t="str">
        <f>IF(SUM(KW23,LA23,LE23)&gt;0,SUM(KW23,LA23,LE23),"")</f>
        <v/>
      </c>
      <c r="LT23" s="20" t="str">
        <f>IF(SUM(LQ23,LR23)&gt;0,SUM(LQ23,LR23),"")</f>
        <v/>
      </c>
      <c r="LU23" s="20" t="str">
        <f>IF(SUM(LI23,LM23)&gt;0,SUM(LI23,LM23),"")</f>
        <v/>
      </c>
      <c r="LV23" s="20" t="str">
        <f>IF(SUM(LH23:LI23,LK23:LM23,LO23)-SUM(LJ23,LN23)&gt;0,SUM(LH23:LI23,LK23:LM23,LO23)-SUM(LJ23,LN23),"")</f>
        <v/>
      </c>
      <c r="LW23" s="20" t="str">
        <f>IF(SUM(LQ23,LV23)&gt;0,SUM(LQ23,LV23),"")</f>
        <v/>
      </c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79" t="str">
        <f>IF(SUM(LY23,MC23)&gt;0,SUM(LY23,MC23),"")</f>
        <v/>
      </c>
      <c r="MS23" s="79" t="str">
        <f>IF(SUM(LX23:LY23,MA23:MC23,ME23)-LZ23-MD23&gt;0,SUM(LX23:LY23,MA23:MC23,ME23)-LZ23-MD23,"")</f>
        <v/>
      </c>
      <c r="MT23" s="79" t="str">
        <f>IF(SUM(MF23:MG23,MI23)-MH23&gt;0,SUM(MF23:MG23,MI23)-MH23,"")</f>
        <v/>
      </c>
      <c r="MU23" s="79" t="str">
        <f>IF(SUM(LY23,MC23,MG23)&gt;0,SUM(LY23,MC23,MG23),"")</f>
        <v/>
      </c>
      <c r="MV23" s="79" t="str">
        <f>IF(SUM(MS23,MT23)&gt;0,SUM(MS23,MT23),"")</f>
        <v/>
      </c>
      <c r="MW23" s="79" t="str">
        <f>IF(SUM(MK23,MO23)&gt;0,SUM(MK23,MO23),"")</f>
        <v/>
      </c>
      <c r="MX23" s="79" t="str">
        <f>IF(SUM(MJ23:MK23,MM23:MO23,MQ23)-SUM(ML23,MP23)&gt;0,SUM(MJ23:MK23,MM23:MO23,MQ23)-SUM(ML23,MP23),"")</f>
        <v/>
      </c>
      <c r="MY23" s="79" t="str">
        <f>IF(SUM(MS23,MX23)&gt;0,SUM(MS23,MX23),"")</f>
        <v/>
      </c>
      <c r="MZ23" s="26"/>
      <c r="NA23" s="26"/>
      <c r="NB23" s="26"/>
      <c r="NC23" s="26"/>
      <c r="ND23" s="26"/>
      <c r="NE23" s="26"/>
      <c r="NF23" s="26"/>
      <c r="NG23" s="26"/>
      <c r="NH23" s="26"/>
      <c r="NI23" s="26"/>
      <c r="NJ23" s="26"/>
      <c r="NK23" s="26"/>
      <c r="NL23" s="26"/>
      <c r="NM23" s="26"/>
      <c r="NN23" s="26"/>
      <c r="NO23" s="26"/>
      <c r="NP23" s="26"/>
      <c r="NQ23" s="26"/>
      <c r="NR23" s="26"/>
      <c r="NS23" s="26"/>
      <c r="NT23" s="20" t="str">
        <f>IF(SUM(NA23,NE23)&gt;0,SUM(NA23,NE23),"")</f>
        <v/>
      </c>
      <c r="NU23" s="20" t="str">
        <f>IF(SUM(MZ23:NA23,NC23:NE23,NG23)-NB23-NF23&gt;0,SUM(MZ23:NA23,NC23:NE23,NG23)-NB23-NF23,"")</f>
        <v/>
      </c>
      <c r="NV23" s="20" t="str">
        <f>IF(SUM(NH23:NI23,NK23)-NJ23&gt;0,SUM(NH23:NI23,NK23)-NJ23,"")</f>
        <v/>
      </c>
      <c r="NW23" s="20" t="str">
        <f>IF(SUM(NA23,NE23,NI23)&gt;0,SUM(NA23,NE23,NI23),"")</f>
        <v/>
      </c>
      <c r="NX23" s="20" t="str">
        <f>IF(SUM(NU23,NV23)&gt;0,SUM(NU23,NV23),"")</f>
        <v/>
      </c>
      <c r="NY23" s="20" t="str">
        <f>IF(SUM(NM23,NQ23)&gt;0,SUM(NM23,NQ23),"")</f>
        <v/>
      </c>
      <c r="NZ23" s="20" t="str">
        <f>IF(SUM(NL23:NM23,NO23:NQ23,NS23)-SUM(NN23,NR23)&gt;0,SUM(NL23:NM23,NO23:NQ23,NS23)-SUM(NN23,NR23),"")</f>
        <v/>
      </c>
      <c r="OA23" s="20" t="str">
        <f>IF(SUM(NU23,NZ23)&gt;0,SUM(NU23,NZ23),"")</f>
        <v/>
      </c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79" t="str">
        <f>IF(SUM(OC23,OG23)&gt;0,SUM(OC23,OG23),"")</f>
        <v/>
      </c>
      <c r="OW23" s="79" t="str">
        <f>IF(SUM(OB23:OC23,OE23:OG23,OI23)-OD23-OH23&gt;0,SUM(OB23:OC23,OE23:OG23,OI23)-OD23-OH23,"")</f>
        <v/>
      </c>
      <c r="OX23" s="79" t="str">
        <f>IF(SUM(OJ23:OK23,OM23)-OL23&gt;0,SUM(OJ23:OK23,OM23)-OL23,"")</f>
        <v/>
      </c>
      <c r="OY23" s="79" t="str">
        <f>IF(SUM(OC23,OG23,OK23)&gt;0,SUM(OC23,OG23,OK23),"")</f>
        <v/>
      </c>
      <c r="OZ23" s="79" t="str">
        <f>IF(SUM(OW23,OX23)&gt;0,SUM(OW23,OX23),"")</f>
        <v/>
      </c>
      <c r="PA23" s="79" t="str">
        <f>IF(SUM(OO23,OS23)&gt;0,SUM(OO23,OS23),"")</f>
        <v/>
      </c>
      <c r="PB23" s="79" t="str">
        <f>IF(SUM(ON23:OO23,OQ23:OS23,OU23)-SUM(OP23,OT23)&gt;0,SUM(ON23:OO23,OQ23:OS23,OU23)-SUM(OP23,OT23),"")</f>
        <v/>
      </c>
      <c r="PC23" s="79" t="str">
        <f>IF(SUM(OW23,PB23)&gt;0,SUM(OW23,PB23),"")</f>
        <v/>
      </c>
      <c r="PD23" s="26"/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26"/>
      <c r="PS23" s="26"/>
      <c r="PT23" s="26"/>
      <c r="PU23" s="26"/>
      <c r="PV23" s="26"/>
      <c r="PW23" s="26"/>
      <c r="PX23" s="20" t="str">
        <f>IF(SUM(PE23,PI23)&gt;0,SUM(PE23,PI23),"")</f>
        <v/>
      </c>
      <c r="PY23" s="20" t="str">
        <f>IF(SUM(PD23:PE23,PG23:PI23,PK23)-PF23-PJ23&gt;0,SUM(PD23:PE23,PG23:PI23,PK23)-PF23-PJ23,"")</f>
        <v/>
      </c>
      <c r="PZ23" s="20" t="str">
        <f>IF(SUM(PL23:PM23,PO23)-PN23&gt;0,SUM(PL23:PM23,PO23)-PN23,"")</f>
        <v/>
      </c>
      <c r="QA23" s="20" t="str">
        <f>IF(SUM(PE23,PI23,PM23)&gt;0,SUM(PE23,PI23,PM23),"")</f>
        <v/>
      </c>
      <c r="QB23" s="20" t="str">
        <f>IF(SUM(PY23,PZ23)&gt;0,SUM(PY23,PZ23),"")</f>
        <v/>
      </c>
      <c r="QC23" s="20" t="str">
        <f>IF(SUM(PQ23,PU23)&gt;0,SUM(PQ23,PU23),"")</f>
        <v/>
      </c>
      <c r="QD23" s="20" t="str">
        <f>IF(SUM(PP23:PQ23,PS23:PU23,PW23)-SUM(PR23,PV23)&gt;0,SUM(PP23:PQ23,PS23:PU23,PW23)-SUM(PR23,PV23),"")</f>
        <v/>
      </c>
      <c r="QE23" s="20" t="str">
        <f>IF(SUM(PY23,QD23)&gt;0,SUM(PY23,QD23),"")</f>
        <v/>
      </c>
      <c r="QF23" s="38">
        <f>IF($CV23="P",CB23,(CB23+AY23)/2)</f>
        <v>8.9499999999999993</v>
      </c>
      <c r="QG23" s="38">
        <f>IF($CV23="P",CC23,(CC23+AZ23)/2)</f>
        <v>2.2000000000000002</v>
      </c>
      <c r="QH23" s="38">
        <f>IF($CV23="P",CD23,(CD23+BA23)/2)</f>
        <v>0.4</v>
      </c>
      <c r="QI23" s="38">
        <f>IF($CV23="P",CE23,(CE23+BB23)/2)</f>
        <v>0</v>
      </c>
      <c r="QJ23" s="38">
        <f>IF($CV23="P",CF23,(CF23+BC23)/2)</f>
        <v>9</v>
      </c>
      <c r="QK23" s="38">
        <f>IF($CV23="P",CG23,(CG23+BD23)/2)</f>
        <v>1.2</v>
      </c>
      <c r="QL23" s="38">
        <f>IF($CV23="P",CH23,(CH23+BE23)/2)</f>
        <v>0.55000000000000004</v>
      </c>
      <c r="QM23" s="38">
        <f>IF($CV23="P",CI23,(CI23+BF23)/2)</f>
        <v>0</v>
      </c>
      <c r="QN23" s="38">
        <f>IF($CV23="P",CJ23,(CJ23+BG23)/2)</f>
        <v>9.1</v>
      </c>
      <c r="QO23" s="38">
        <f>IF($CV23="P",CK23,(CK23+BH23)/2)</f>
        <v>1.75</v>
      </c>
      <c r="QP23" s="38">
        <f>IF($CV23="P",CL23,(CL23+BI23)/2)</f>
        <v>0</v>
      </c>
      <c r="QQ23" s="38">
        <f>IF($CV23="P",CM23,(CM23+BJ23)/2)</f>
        <v>0</v>
      </c>
      <c r="QR23" s="38">
        <f>IF($CV23="P",CN23,(CN23+BK23)/2)</f>
        <v>0</v>
      </c>
      <c r="QS23" s="38">
        <f>IF($CV23="P",CO23,(CO23+BL23)/2)</f>
        <v>0</v>
      </c>
      <c r="QT23" s="38">
        <f>IF($CV23="P",CP23,(CP23+BM23)/2)</f>
        <v>0</v>
      </c>
      <c r="QU23" s="38">
        <f>IF($CV23="P",CQ23,(CQ23+BN23)/2)</f>
        <v>0</v>
      </c>
      <c r="QV23" s="38">
        <f>IF($CV23="P",CR23,(CR23+BO23)/2)</f>
        <v>0</v>
      </c>
      <c r="QW23" s="38">
        <f>IF($CV23="P",CS23,(CS23+BP23)/2)</f>
        <v>0</v>
      </c>
      <c r="QX23" s="38">
        <f>IF($CV23="P",CT23,(CT23+BQ23)/2)</f>
        <v>0</v>
      </c>
      <c r="QY23" s="38">
        <f>IF($CV23="P",CU23,(CU23+BR23)/2)</f>
        <v>0</v>
      </c>
      <c r="QZ23" s="45" t="s">
        <v>46</v>
      </c>
      <c r="RA23" s="79">
        <f>IF(SUM(QG23,QK23)&gt;0,SUM(QG23,QK23),"")</f>
        <v>3.4000000000000004</v>
      </c>
      <c r="RB23" s="79">
        <f>IF(SUM(QF23:QG23,QI23:QK23,QM23)-QH23-QL23&gt;0,SUM(QF23:QG23,QI23:QK23,QM23)-QH23-QL23,"")</f>
        <v>20.399999999999999</v>
      </c>
      <c r="RC23" s="79">
        <f>IF(SUM(QN23:QO23,QQ23)-QP23&gt;0,SUM(QN23:QO23,QQ23)-QP23,"")</f>
        <v>10.85</v>
      </c>
      <c r="RD23" s="79">
        <f>IF(SUM(QG23,QK23,QO23)&gt;0,SUM(QG23,QK23,QO23),"")</f>
        <v>5.15</v>
      </c>
      <c r="RE23" s="79">
        <f>IF(SUM(RB23,RC23)&gt;0,SUM(RB23,RC23),"")</f>
        <v>31.25</v>
      </c>
      <c r="RF23" s="79" t="str">
        <f>IF(SUM(QS23,QW23)&gt;0,SUM(QS23,QW23),"")</f>
        <v/>
      </c>
      <c r="RG23" s="79" t="str">
        <f>IF(SUM(QR23:QS23,QU23:QW23,QY23)-SUM(QT23,QX23)&gt;0,SUM(QR23:QS23,QU23:QW23,QY23)-SUM(QT23,QX23),"")</f>
        <v/>
      </c>
      <c r="RH23" s="79">
        <f>IF(SUM(RB23,RG23)&gt;0,SUM(RB23,RG23),"")</f>
        <v>20.399999999999999</v>
      </c>
    </row>
    <row r="24" spans="1:476" x14ac:dyDescent="0.2">
      <c r="A24" s="5" t="str">
        <f>IF(AND(F24="P",G24="P"),SUMPRODUCT((F$4:F$27="P")*(G$4:G$27="P")*(E$4:E$27&gt;E24))+1,IF(G24="P",SUMPRODUCT((F$4:F$27="")*(G$4:G$27="P")*(E$4:E$27&gt;E24))+1+SUMPRODUCT((F$4:F$27="P")*(G$4:G$27="P")),""))</f>
        <v/>
      </c>
      <c r="B24" s="78" t="s">
        <v>110</v>
      </c>
      <c r="C24" s="5" t="s">
        <v>5</v>
      </c>
      <c r="D24" s="5">
        <v>2004</v>
      </c>
      <c r="E24" s="15">
        <f>SUM(I24:S24)+SUM(I24:O24)*0.0000001+SUM(I24)*0.0000000000001</f>
        <v>61.300006130003858</v>
      </c>
      <c r="F24" s="3" t="str">
        <f>IF(OR(AND(AQ24&gt;=AX$29,AR24&gt;=AX$33,AQ24&lt;&gt;"",AP24=""),AND(AV24&gt;=AX$29,AW24&gt;=AX$33,AV24&lt;&gt;"",AP24=""),AND(BT24&gt;=CA$29,BU24&gt;=CA$33,BT24&lt;&gt;"",BS24=""),AND(BY24&gt;=CA$29,BZ24&gt;=CA$33,BY24&lt;&gt;"",BS24=""),AND(CW24&gt;=DD$29,CX24&gt;=DD$33,CW24&lt;&gt;"",CV24=""),AND(DB24&gt;=DD$29,DC24&gt;=DD$33,DB24&lt;&gt;""),AND(EB24&gt;=EI$29,EC24&gt;=EI$33,EB24&lt;&gt;""),AND(EG24&gt;=EI$29,EH24&gt;=EI$33,EG24&lt;&gt;""),AND(FD24&gt;=FK$29,FE24&gt;=FK$33,FD24&lt;&gt;""),AND(FI24&gt;=FK$29,FJ24&gt;=FK$33,FI24&lt;&gt;""),AND(GF24&gt;=GM$29,GG24&gt;=GM$33,GF24&lt;&gt;""),AND(GK24&gt;=GM$29,GL24&gt;=GM$33,GK24&lt;&gt;""),AND(HH24&gt;=HO$29,HI24&gt;=HO$33,HH24&lt;&gt;""),AND(HM24&gt;=HO$29,HN24&gt;=HO$33,HM24&lt;&gt;""),AND(IJ24&gt;=IQ$29,IK24&gt;=IQ$33,IJ24&lt;&gt;""),AND(IO24&gt;=IQ$29,IP24&gt;=IQ$33,IO24&lt;&gt;""),AND(JL24&gt;=JS$29,JM24&gt;=JS$33,JL24&lt;&gt;""),AND(JQ24&gt;=JS$29,JR24&gt;=JS$33,JQ24&lt;&gt;""),AND(KN24&gt;=KU$29,KO24&gt;=KU$33,KN24&lt;&gt;""),AND(KS24&gt;=KU$29,KT24&gt;=KU$33,KS24&lt;&gt;""),AND(LP24&gt;=LW$29,LQ24&gt;=LW$33,LP24&lt;&gt;""),AND(LU24&gt;=LW$29,LV24&gt;=LW$33,LU24&lt;&gt;""),AND(MR24&gt;=MY$29,MS24&gt;=MY$33,MR24&lt;&gt;""),AND(MW24&gt;=MY$29,MX24&gt;=MY$33,MW24&lt;&gt;""),AND(NT24&gt;=OA$29,NU24&gt;=OA$33,NT24&lt;&gt;""),AND(NY24&gt;=OA$29,NZ24&gt;=OA$33,NY24&lt;&gt;""),AND(OV24&gt;=PC$29,OW24&gt;=PC$33,OV24&lt;&gt;""),AND(PA24&gt;=PC$29,PB24&gt;=PC$33,PA24&lt;&gt;""),AND(PX24&gt;=QE$29,PY24&gt;=QE$33,PX24&lt;&gt;""),AND(QC24&gt;=QE$29,QD24&gt;=QE$33,QC24&lt;&gt;"")),"P","")</f>
        <v/>
      </c>
      <c r="G24" s="3" t="str">
        <f>IF(OR(AND(AR24&gt;=AX$33,AR24&lt;&gt;"",AP24=""),AND(AW24&gt;=AX$33,AW24&lt;&gt;"",AP24=""),AND(BU24&gt;=CA$33,BU24&lt;&gt;"",BS24=""),AND(BZ24&gt;=CA$33,BZ24&lt;&gt;"",BS24=""),AND(CX24&gt;=DD$33,CX24&lt;&gt;"",CV24=""),AND(DC24&gt;=DD$33,DC24&lt;&gt;"",CV24=""),AND(EC24&gt;=EI$33,EC24&lt;&gt;""),AND(EH24&gt;=EI$33,EH24&lt;&gt;""),AND(FE24&gt;=FK$33,FE24&lt;&gt;""),AND(FJ24&gt;=FK$33,FJ24&lt;&gt;""),AND(GG24&gt;=GM$33,GG24&lt;&gt;""),AND(GL24&gt;=GM$33,GL24&lt;&gt;""),AND(HI24&gt;=HO$33,HI24&lt;&gt;""),AND(HN24&gt;=HO$33,HN24&lt;&gt;""),AND(IK24&gt;=IQ$33,IK24&lt;&gt;""),AND(IP24&gt;=IQ$33,IP24&lt;&gt;""),AND(JM24&gt;=JS$33,JM24&lt;&gt;""),AND(JR24&gt;=JS$33,JR24&lt;&gt;""),AND(KO24&gt;=KU$33,KO24&lt;&gt;""),AND(KT24&gt;=KU$33,KT24&lt;&gt;""),AND(LQ24&gt;=LW$33,LQ24&lt;&gt;""),AND(LV24&gt;=LW$33,LV24&lt;&gt;""),AND(MS24&gt;=MY$33,MS24&lt;&gt;""),AND(MX24&gt;=MY$33,MX24&lt;&gt;""),AND(NU24&gt;=OA$33,NU24&lt;&gt;""),AND(NZ24&gt;=OA$33,NZ24&lt;&gt;""),AND(OW24&gt;=PC$33,OW24&lt;&gt;""),AND(PB24&gt;=PC$33,PB24&lt;&gt;""),AND(PY24&gt;=QE$33,PY24&lt;&gt;""),AND(QD24&gt;=QE$33,QD24&lt;&gt;"")),"P","")</f>
        <v/>
      </c>
      <c r="H24" s="67" t="str">
        <f>IF(AND(G24="P",F24=""),"No DD",IF(OR(AND(AT24&gt;=AX$32,AU24&gt;=AX$36,AT24&lt;&gt;"",AP24=""),AND(BW24&gt;=CA$32,BX24&gt;=CA$36,BW24&lt;&gt;"",BS24=""),AND(CZ24&gt;=DD$32,DA24&gt;=DD$36,CZ24&lt;&gt;"",CV24=""),AND(EE24&gt;=EI$32,EF24&gt;=EI$36,EE24&lt;&gt;""),AND(FG24&gt;=FK$32,FH24&gt;=FK$36,FG24&lt;&gt;""),AND(GI24&gt;=GM$32,GJ24&gt;=GM$36,GI24&lt;&gt;""),AND(HK24&gt;=HO$32,HL24&gt;=HO$36,HK24&lt;&gt;""),AND(IM24&gt;=IQ$32,IN24&gt;=IQ$36,IM24&lt;&gt;""),AND(JO24&gt;=JS$32,JP24&gt;=JS$36,JO24&lt;&gt;""),AND(KQ24&gt;=KU$32,KR24&gt;=KU$36,KQ24&lt;&gt;""),AND(LS24&gt;=LW$32,LT24&gt;=LW$36,LS24&lt;&gt;""),AND(MU24&gt;=MY$32,MV24&gt;=MY$36,MU24&lt;&gt;""),AND(NW24&gt;=OA$32,NX24&gt;=OA$36,NW24&lt;&gt;""),AND(OY24&gt;=PC$32,OZ24&gt;=PC$36,OY24&lt;&gt;""),AND(QA24&gt;=QE$32,QB24&gt;=QE$36,QA24&lt;&gt;"")),"Merit",IF(OR(AND(AT24&gt;=AX$31,AU24&gt;=AX$35,AT24&lt;&gt;"",AP24=""),AND(BW24&gt;=CA$31,BX24&gt;=CA$35,BW24&lt;&gt;"",BS24=""),AND(CZ24&gt;=DD$31,DA24&gt;=DD$35,CZ24&lt;&gt;"",CV24=""),AND(EE24&gt;=EI$31,EF24&gt;=EI$35,EE24&lt;&gt;""),AND(FG24&gt;=FK$31,FH24&gt;=FK$35,FG24&lt;&gt;""),AND(GI24&gt;=GM$31,GJ24&gt;=GM$35,GI24&lt;&gt;""),AND(HK24&gt;=HO$31,HL24&gt;=HO$35,HK24&lt;&gt;""),AND(IM24&gt;=IQ$31,IN24&gt;=IQ$35,IM24&lt;&gt;""),AND(JO24&gt;=JS$31,JP24&gt;=JS$35,JO24&lt;&gt;""),AND(KQ24&gt;=KU$31,KR24&gt;=KU$35,KQ24&lt;&gt;""),AND(LS24&gt;=LW$31,LT24&gt;=LW$35,LS24&lt;&gt;""),AND(MU24&gt;=MY$31,MV24&gt;=MY$35,MU24&lt;&gt;""),AND(NW24&gt;=OA$31,NX24&gt;=OA$35,NW24&lt;&gt;""),AND(OY24&gt;=PC$31,OZ24&gt;=PC$35,OY24&lt;&gt;""),AND(QA24&gt;=QE$31,QB24&gt;=QE$35,QA24&lt;&gt;"")),"Excellence",IF(F24="P","National Team",""))))</f>
        <v/>
      </c>
      <c r="I24" s="14">
        <f>IF(COUNT(AR24,BU24,CX24)&gt;0,LARGE((AR24,BU24,CX24),1),0)</f>
        <v>38.6</v>
      </c>
      <c r="J24" s="14" t="str">
        <f>IF(I24=0,"",IF(I24=CX24,$CB$1,IF(I24=BU24,$AY$1,IF(I24=AR24,$V$1,""))))</f>
        <v>2022 Elite Canada</v>
      </c>
      <c r="K24" s="14">
        <f>IF(COUNT(AR24,BU24,CX24)&gt;1,LARGE((AR24,BU24,CX24),2),0)</f>
        <v>0</v>
      </c>
      <c r="L24" s="14" t="str">
        <f>IF(K24=0,"",IF(K24=CX24,$CB$1,IF(K24=BU24,$AY$1,IF(K24=AR24,$V$1,""))))</f>
        <v/>
      </c>
      <c r="M24" s="14">
        <f>IF(COUNT(AS24,BV24,CY24)&gt;0,LARGE((AS24,BV24,CY24),1),0)</f>
        <v>22.7</v>
      </c>
      <c r="N24" s="14" t="str">
        <f>IF(M24=0,"",IF(M24=CY24,$CB$1,IF(M24=BV24,$AY$1,IF(M24=AS24,$V$1,""))))</f>
        <v>2022 Elite Canada</v>
      </c>
      <c r="O24" s="14">
        <f>IF(COUNT(AS24,BV24,CY24)&gt;1,LARGE((AS24,BV24,CY24),2),0)</f>
        <v>0</v>
      </c>
      <c r="P24" s="14" t="str">
        <f>IF(O24=0,"",IF(O24=CY24,$CB$1,IF(O24=BV24,$AY$1,IF(O24=AS24,$V$1,""))))</f>
        <v/>
      </c>
      <c r="Q24" s="14">
        <f>IF(MAX(AW24,BZ24,DC24)&gt;0,MAX(AW24,BZ24,DC24),0)</f>
        <v>0</v>
      </c>
      <c r="R24" s="14" t="str">
        <f>IF(Q24=0,"",IF(Q24=DC24,$CB$1,IF(Q24=BZ24,$AY$1,IF(Q24=AW24,$V$1,""))))</f>
        <v/>
      </c>
      <c r="S24" s="14" t="str">
        <f>IF(MAX(DE24:DG24)&gt;0,MAX(DE24:DG24),"")</f>
        <v/>
      </c>
      <c r="T24" s="20" t="str">
        <f>IF(S24="","",IF(S24=DE24,"("&amp;DE$2&amp;")",IF(S24=DG24,"("&amp;DG$2&amp;")")))</f>
        <v/>
      </c>
      <c r="U24" s="14" t="str">
        <f>IF(S24="","",IF(S24=DE24,IF(S24+IF(K24="",0,K24)=PY24,$PD$1,IF(S24+IF(K24="",0,K24)=OW24,$OB$1,IF(S24+IF(K24="",0,K24)=NU24,$MZ$1,IF(S24+IF(K24="",0,K24)=MS24,$LX$1,IF(S24+IF(K24="",0,K24)=LQ24,$KV$1,IF(S24+IF(K24="",0,K24)=KO24,$JT$1,IF(S24+IF(K24="",0,K24)=JM24,$IR$1,IF(S24+IF(K24="",0,K24)=IK24,$HP$1,IF(S24+IF(K24="",0,K24)=HI24,$GN$1,IF(S24+IF(K24="",0,K24)=GG24,$FL$1,IF(S24+IF(K24="",0,K24)=FE24,$EJ$1,IF(S24+IF(K24="",0,K24)=EC24,$DH$1)))))))))))),IF(S24=DG24,IF(S24+IF(Q24="",0,Q24)=QD24,$PD$1,IF(S24+IF(Q24="",0,Q24)=PB24,$OB$1,IF(S24+IF(Q24="",0,Q24)=NZ24,$MZ$1,IF(S24+IF(Q24="",0,Q24)=MX24,$LX$1,IF(S24+IF(Q24="",0,Q24)=LV24,$KV$1,IF(S24+IF(Q24="",0,Q24)=KT24,$JT$1,IF(S24+IF(Q24="",0,Q24)=JR24,$IR$1,IF(S24+IF(Q24="",0,Q24)=IP24,$HP$1,IF(S24+IF(Q24="",0,Q24)=HN24,$GN$1,IF(S24+IF(Q24="",0,Q24)=GL24,$FL$1,IF(S24+IF(Q24="",0,Q24)=FJ24,$EJ$1,IF(S24+IF(Q24="",0,Q24)=EH24,$DH$1)))))))))))))))</f>
        <v/>
      </c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45"/>
      <c r="AQ24" s="79" t="str">
        <f>IF(SUM(W24,AA24)&gt;0,SUM(W24,AA24),"")</f>
        <v/>
      </c>
      <c r="AR24" s="79" t="str">
        <f>IF(SUM(V24:W24,Y24:AA24,AC24)-X24-AB24&gt;0,SUM(V24:W24,Y24:AA24,AC24)-X24-AB24,"")</f>
        <v/>
      </c>
      <c r="AS24" s="79" t="str">
        <f>IF(SUM(AD24:AE24,AG24)-AF24&gt;0,SUM(AD24:AE24,AG24)-AF24,"")</f>
        <v/>
      </c>
      <c r="AT24" s="79" t="str">
        <f>IF(SUM(W24,AA24,AE24)&gt;0,SUM(W24,AA24,AE24),"")</f>
        <v/>
      </c>
      <c r="AU24" s="79" t="str">
        <f>IF(SUM(AR24,AS24)&gt;0,SUM(AR24,AS24),"")</f>
        <v/>
      </c>
      <c r="AV24" s="79" t="str">
        <f>IF(SUM(AI24,AM24)&gt;0,SUM(AI24,AM24),"")</f>
        <v/>
      </c>
      <c r="AW24" s="79" t="str">
        <f>IF(SUM(AH24:AI24,AK24:AM24,AO24)-SUM(AJ24,AN24)&gt;0,SUM(AH24:AI24,AK24:AM24,AO24)-SUM(AJ24,AN24),"")</f>
        <v/>
      </c>
      <c r="AX24" s="79" t="str">
        <f>IF(SUM(AR24,AW24)&gt;0,SUM(AR24,AW24),"")</f>
        <v/>
      </c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46"/>
      <c r="BT24" s="20" t="str">
        <f>IF(SUM(AZ24,BD24)&gt;0,SUM(AZ24,BD24),"")</f>
        <v/>
      </c>
      <c r="BU24" s="20" t="str">
        <f>IF(SUM(AY24:AZ24,BB24:BD24,BF24)-BA24-BE24&gt;0,SUM(AY24:AZ24,BB24:BD24,BF24)-BA24-BE24,"")</f>
        <v/>
      </c>
      <c r="BV24" s="20" t="str">
        <f>IF(SUM(BG24:BH24,BJ24)-BI24&gt;0,SUM(BG24:BH24,BJ24)-BI24,"")</f>
        <v/>
      </c>
      <c r="BW24" s="20" t="str">
        <f>IF(SUM(AZ24,BD24,BH24)&gt;0,SUM(AZ24,BD24,BH24),"")</f>
        <v/>
      </c>
      <c r="BX24" s="20" t="str">
        <f>IF(SUM(BU24,BV24)&gt;0,SUM(BU24,BV24),"")</f>
        <v/>
      </c>
      <c r="BY24" s="20" t="str">
        <f>IF(SUM(BL24,BP24)&gt;0,SUM(BL24,BP24),"")</f>
        <v/>
      </c>
      <c r="BZ24" s="20" t="str">
        <f>IF(SUM(BK24:BL24,BN24:BP24,BR24)-SUM(BM24,BQ24)&gt;0,SUM(BK24:BL24,BN24:BP24,BR24)-SUM(BM24,BQ24),"")</f>
        <v/>
      </c>
      <c r="CA24" s="20" t="str">
        <f>IF(SUM(BU24,BZ24)&gt;0,SUM(BU24,BZ24),"")</f>
        <v/>
      </c>
      <c r="CB24" s="27">
        <v>17.600000000000001</v>
      </c>
      <c r="CC24" s="27">
        <v>4.4000000000000004</v>
      </c>
      <c r="CD24" s="27">
        <v>0.6</v>
      </c>
      <c r="CE24" s="27">
        <v>0</v>
      </c>
      <c r="CF24" s="27">
        <v>17.2</v>
      </c>
      <c r="CG24" s="27">
        <v>0</v>
      </c>
      <c r="CH24" s="27">
        <v>0</v>
      </c>
      <c r="CI24" s="27">
        <v>0</v>
      </c>
      <c r="CJ24" s="27">
        <v>18.8</v>
      </c>
      <c r="CK24" s="27">
        <v>3.9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45"/>
      <c r="CW24" s="79">
        <f>IF(SUM(CC24,CG24)&gt;0,SUM(CC24,CG24),"")</f>
        <v>4.4000000000000004</v>
      </c>
      <c r="CX24" s="79">
        <f>IF(SUM(CB24:CC24,CE24:CG24,CI24)-CD24-CH24&gt;0,SUM(CB24:CC24,CE24:CG24,CI24)-CD24-CH24,"")</f>
        <v>38.6</v>
      </c>
      <c r="CY24" s="79">
        <f>IF(SUM(CJ24:CK24,CM24)-CL24&gt;0,SUM(CJ24:CK24,CM24)-CL24,"")</f>
        <v>22.7</v>
      </c>
      <c r="CZ24" s="79">
        <f>IF(SUM(CC24,CG24,CK24)&gt;0,SUM(CC24,CG24,CK24),"")</f>
        <v>8.3000000000000007</v>
      </c>
      <c r="DA24" s="79">
        <f>IF(SUM(CX24,CY24)&gt;0,SUM(CX24,CY24),"")</f>
        <v>61.3</v>
      </c>
      <c r="DB24" s="79" t="str">
        <f>IF(SUM(CO24,CS24)&gt;0,SUM(CO24,CS24),"")</f>
        <v/>
      </c>
      <c r="DC24" s="79" t="str">
        <f>IF(SUM(CN24:CO24,CQ24:CS24,CU24)-SUM(CP24,CT24)&gt;0,SUM(CN24:CO24,CQ24:CS24,CU24)-SUM(CP24,CT24),"")</f>
        <v/>
      </c>
      <c r="DD24" s="79">
        <f>IF(SUM(CX24,DC24)&gt;0,SUM(CX24,DC24),"")</f>
        <v>38.6</v>
      </c>
      <c r="DE24" s="80" t="str">
        <f>IF(K24&gt;=0.001,IF(MAX(EC24,FE24,GG24,HI24,IK24,JM24,KO24,LQ24,MS24,NU24,OW24,PY24)-IF(K24="",0,K24)&gt;0.001,MAX(EC24,FE24,GG24,HI24,IK24,JM24,KO24,LQ24,MS24,NU24,OW24,PY24)-IF(K24="",0,K24),""),"")</f>
        <v/>
      </c>
      <c r="DF24" s="80" t="str">
        <f>IF(O24&gt;=0.001,IF(MAX(ED24,FF24,GH24,HJ24,IL24,JN24,KP24,LR24,MT24,NV24,OX24,PZ24)-IF(O24="",0,O24)&gt;0.001,MAX(ED24,FF24,GH24,HJ24,IL24,JN24,KP24,LR24,MT24,NV24,OX24,PZ24)-IF(O24="",0,O24),""),"")</f>
        <v/>
      </c>
      <c r="DG24" s="80" t="str">
        <f>IF(Q24&gt;=0.001,IF(MAX(EH24,FJ24,GL24,HN24,IP24,JR24,KT24,LV24,MX24,NZ24,PB24,QD24)-IF(Q24="",0,Q24)&gt;0.001,MAX(EH24,FJ24,GL24,HN24,IP24,JR24,KT24,LV24,MX24,NZ24,PB24,QD24)-IF(Q24="",0,Q24),""),"")</f>
        <v/>
      </c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25"/>
      <c r="EB24" s="79" t="str">
        <f>IF(SUM(DI24,DM24)&gt;0,SUM(DI24,DM24),"")</f>
        <v/>
      </c>
      <c r="EC24" s="79" t="str">
        <f>IF(SUM(DH24:DI24,DK24:DM24,DO24)-DJ24-DN24&gt;0,SUM(DH24:DI24,DK24:DM24,DO24)-DJ24-DN24,"")</f>
        <v/>
      </c>
      <c r="ED24" s="79" t="str">
        <f>IF(SUM(DP24:DQ24,DS24)-DR24&gt;0,SUM(DP24:DQ24,DS24)-DR24,"")</f>
        <v/>
      </c>
      <c r="EE24" s="79" t="str">
        <f>IF(SUM(DI24,DM24,DQ24)&gt;0,SUM(DI24,DM24,DQ24),"")</f>
        <v/>
      </c>
      <c r="EF24" s="79" t="str">
        <f>IF(SUM(EC24,ED24)&gt;0,SUM(EC24,ED24),"")</f>
        <v/>
      </c>
      <c r="EG24" s="79" t="str">
        <f>IF(SUM(DU24,DY24)&gt;0,SUM(DU24,DY24),"")</f>
        <v/>
      </c>
      <c r="EH24" s="79" t="str">
        <f>IF(SUM(DT24:DU24,DW24:DY24,EA24)-SUM(DV24,DZ24)&gt;0,SUM(DT24:DU24,DW24:DY24,EA24)-SUM(DV24,DZ24),"")</f>
        <v/>
      </c>
      <c r="EI24" s="79" t="str">
        <f>IF(SUM(EC24,EH24)&gt;0,SUM(EC24,EH24),"")</f>
        <v/>
      </c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0" t="str">
        <f>IF(SUM(EK24,EO24)&gt;0,SUM(EK24,EO24),"")</f>
        <v/>
      </c>
      <c r="FE24" s="20" t="str">
        <f>IF(SUM(EJ24:EK24,EM24:EO24,EQ24)-EL24-EP24&gt;0,SUM(EJ24:EK24,EM24:EO24,EQ24)-EL24-EP24,"")</f>
        <v/>
      </c>
      <c r="FF24" s="20" t="str">
        <f>IF(SUM(ER24:ES24,EU24)-ET24&gt;0,SUM(ER24:ES24,EU24)-ET24,"")</f>
        <v/>
      </c>
      <c r="FG24" s="20" t="str">
        <f>IF(SUM(EK24,EO24,ES24)&gt;0,SUM(EK24,EO24,ES24),"")</f>
        <v/>
      </c>
      <c r="FH24" s="20" t="str">
        <f>IF(SUM(FE24,FF24)&gt;0,SUM(FE24,FF24),"")</f>
        <v/>
      </c>
      <c r="FI24" s="20" t="str">
        <f>IF(SUM(EW24,FA24)&gt;0,SUM(EW24,FA24),"")</f>
        <v/>
      </c>
      <c r="FJ24" s="20" t="str">
        <f>IF(SUM(EV24:EW24,EY24:FA24,FC24)-SUM(EX24,FB24)&gt;0,SUM(EV24:EW24,EY24:FA24,FC24)-SUM(EX24,FB24),"")</f>
        <v/>
      </c>
      <c r="FK24" s="20" t="str">
        <f>IF(SUM(FE24,FJ24)&gt;0,SUM(FE24,FJ24),"")</f>
        <v/>
      </c>
      <c r="FL24" s="25"/>
      <c r="FM24" s="25"/>
      <c r="FN24" s="25"/>
      <c r="FO24" s="25"/>
      <c r="FP24" s="25"/>
      <c r="FQ24" s="25"/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79" t="str">
        <f>IF(SUM(FM24,FQ24)&gt;0,SUM(FM24,FQ24),"")</f>
        <v/>
      </c>
      <c r="GG24" s="79" t="str">
        <f>IF(SUM(FL24:FM24,FO24:FQ24,FS24)-FN24-FR24&gt;0,SUM(FL24:FM24,FO24:FQ24,FS24)-FN24-FR24,"")</f>
        <v/>
      </c>
      <c r="GH24" s="79" t="str">
        <f>IF(SUM(FT24:FU24,FW24)-FV24&gt;0,SUM(FT24:FU24,FW24)-FV24,"")</f>
        <v/>
      </c>
      <c r="GI24" s="79" t="str">
        <f>IF(SUM(FM24,FQ24,FU24)&gt;0,SUM(FM24,FQ24,FU24),"")</f>
        <v/>
      </c>
      <c r="GJ24" s="79" t="str">
        <f>IF(SUM(GG24,GH24)&gt;0,SUM(GG24,GH24),"")</f>
        <v/>
      </c>
      <c r="GK24" s="79" t="str">
        <f>IF(SUM(FY24,GC24)&gt;0,SUM(FY24,GC24),"")</f>
        <v/>
      </c>
      <c r="GL24" s="79" t="str">
        <f>IF(SUM(FX24:FY24,GA24:GC24,GE24)-SUM(FZ24,GD24)&gt;0,SUM(FX24:FY24,GA24:GC24,GE24)-SUM(FZ24,GD24),"")</f>
        <v/>
      </c>
      <c r="GM24" s="79" t="str">
        <f>IF(SUM(GG24,GL24)&gt;0,SUM(GG24,GL24),"")</f>
        <v/>
      </c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0" t="str">
        <f>IF(SUM(GO24,GS24)&gt;0,SUM(GO24,GS24),"")</f>
        <v/>
      </c>
      <c r="HI24" s="20" t="str">
        <f>IF(SUM(GN24:GO24,GQ24:GS24,GU24)-GP24-GT24&gt;0,SUM(GN24:GO24,GQ24:GS24,GU24)-GP24-GT24,"")</f>
        <v/>
      </c>
      <c r="HJ24" s="20" t="str">
        <f>IF(SUM(GV24:GW24,GY24)-GX24&gt;0,SUM(GV24:GW24,GY24)-GX24,"")</f>
        <v/>
      </c>
      <c r="HK24" s="20" t="str">
        <f>IF(SUM(GO24,GS24,GW24)&gt;0,SUM(GO24,GS24,GW24),"")</f>
        <v/>
      </c>
      <c r="HL24" s="20" t="str">
        <f>IF(SUM(HI24,HJ24)&gt;0,SUM(HI24,HJ24),"")</f>
        <v/>
      </c>
      <c r="HM24" s="20" t="str">
        <f>IF(SUM(HA24,HE24)&gt;0,SUM(HA24,HE24),"")</f>
        <v/>
      </c>
      <c r="HN24" s="20" t="str">
        <f>IF(SUM(GZ24:HA24,HC24:HE24,HG24)-SUM(HB24,HF24)&gt;0,SUM(GZ24:HA24,HC24:HE24,HG24)-SUM(HB24,HF24),"")</f>
        <v/>
      </c>
      <c r="HO24" s="20" t="str">
        <f>IF(SUM(HI24,HN24)&gt;0,SUM(HI24,HN24),"")</f>
        <v/>
      </c>
      <c r="HP24" s="25"/>
      <c r="HQ24" s="25"/>
      <c r="HR24" s="25"/>
      <c r="HS24" s="25"/>
      <c r="HT24" s="25"/>
      <c r="HU24" s="25"/>
      <c r="HV24" s="25"/>
      <c r="HW24" s="25"/>
      <c r="HX24" s="25"/>
      <c r="HY24" s="25"/>
      <c r="HZ24" s="25"/>
      <c r="IA24" s="25"/>
      <c r="IB24" s="25"/>
      <c r="IC24" s="25"/>
      <c r="ID24" s="25"/>
      <c r="IE24" s="25"/>
      <c r="IF24" s="25"/>
      <c r="IG24" s="25"/>
      <c r="IH24" s="25"/>
      <c r="II24" s="25"/>
      <c r="IJ24" s="79" t="str">
        <f>IF(SUM(HQ24,HU24)&gt;0,SUM(HQ24,HU24),"")</f>
        <v/>
      </c>
      <c r="IK24" s="79" t="str">
        <f>IF(SUM(HP24:HQ24,HS24:HU24,HW24)-HR24-HV24&gt;0,SUM(HP24:HQ24,HS24:HU24,HW24)-HR24-HV24,"")</f>
        <v/>
      </c>
      <c r="IL24" s="79" t="str">
        <f>IF(SUM(HX24:HY24,IA24)-HZ24&gt;0,SUM(HX24:HY24,IA24)-HZ24,"")</f>
        <v/>
      </c>
      <c r="IM24" s="79" t="str">
        <f>IF(SUM(HQ24,HU24,HY24)&gt;0,SUM(HQ24,HU24,HY24),"")</f>
        <v/>
      </c>
      <c r="IN24" s="79" t="str">
        <f>IF(SUM(IK24,IL24)&gt;0,SUM(IK24,IL24),"")</f>
        <v/>
      </c>
      <c r="IO24" s="79" t="str">
        <f>IF(SUM(IC24,IG24)&gt;0,SUM(IC24,IG24),"")</f>
        <v/>
      </c>
      <c r="IP24" s="79" t="str">
        <f>IF(SUM(IB24:IC24,IE24:IG24,II24)-SUM(ID24,IH24)&gt;0,SUM(IB24:IC24,IE24:IG24,II24)-SUM(ID24,IH24),"")</f>
        <v/>
      </c>
      <c r="IQ24" s="79" t="str">
        <f>IF(SUM(IK24,IP24)&gt;0,SUM(IK24,IP24),"")</f>
        <v/>
      </c>
      <c r="IR24" s="26"/>
      <c r="IS24" s="26"/>
      <c r="IT24" s="26"/>
      <c r="IU24" s="26"/>
      <c r="IV24" s="26"/>
      <c r="IW24" s="26"/>
      <c r="IX24" s="26"/>
      <c r="IY24" s="26"/>
      <c r="IZ24" s="26"/>
      <c r="JA24" s="26"/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0" t="str">
        <f>IF(SUM(IS24,IW24)&gt;0,SUM(IS24,IW24),"")</f>
        <v/>
      </c>
      <c r="JM24" s="20" t="str">
        <f>IF(SUM(IR24:IS24,IU24:IW24,IY24)-IT24-IX24&gt;0,SUM(IR24:IS24,IU24:IW24,IY24)-IT24-IX24,"")</f>
        <v/>
      </c>
      <c r="JN24" s="20" t="str">
        <f>IF(SUM(IZ24:JA24,JC24)-JB24&gt;0,SUM(IZ24:JA24,JC24)-JB24,"")</f>
        <v/>
      </c>
      <c r="JO24" s="20" t="str">
        <f>IF(SUM(IS24,IW24,JA24)&gt;0,SUM(IS24,IW24,JA24),"")</f>
        <v/>
      </c>
      <c r="JP24" s="20" t="str">
        <f>IF(SUM(JM24,JN24)&gt;0,SUM(JM24,JN24),"")</f>
        <v/>
      </c>
      <c r="JQ24" s="20" t="str">
        <f>IF(SUM(JE24,JI24)&gt;0,SUM(JE24,JI24),"")</f>
        <v/>
      </c>
      <c r="JR24" s="20" t="str">
        <f>IF(SUM(JD24:JE24,JG24:JI24,JK24)-SUM(JF24,JJ24)&gt;0,SUM(JD24:JE24,JG24:JI24,JK24)-SUM(JF24,JJ24),"")</f>
        <v/>
      </c>
      <c r="JS24" s="20" t="str">
        <f>IF(SUM(JM24,JR24)&gt;0,SUM(JM24,JR24),"")</f>
        <v/>
      </c>
      <c r="JT24" s="25"/>
      <c r="JU24" s="25"/>
      <c r="JV24" s="25"/>
      <c r="JW24" s="25"/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25"/>
      <c r="KN24" s="79" t="str">
        <f>IF(SUM(JU24,JY24)&gt;0,SUM(JU24,JY24),"")</f>
        <v/>
      </c>
      <c r="KO24" s="79" t="str">
        <f>IF(SUM(JT24:JU24,JW24:JY24,KA24)-JV24-JZ24&gt;0,SUM(JT24:JU24,JW24:JY24,KA24)-JV24-JZ24,"")</f>
        <v/>
      </c>
      <c r="KP24" s="79" t="str">
        <f>IF(SUM(KB24:KC24,KE24)-KD24&gt;0,SUM(KB24:KC24,KE24)-KD24,"")</f>
        <v/>
      </c>
      <c r="KQ24" s="79" t="str">
        <f>IF(SUM(JU24,JY24,KC24)&gt;0,SUM(JU24,JY24,KC24),"")</f>
        <v/>
      </c>
      <c r="KR24" s="79" t="str">
        <f>IF(SUM(KO24,KP24)&gt;0,SUM(KO24,KP24),"")</f>
        <v/>
      </c>
      <c r="KS24" s="79" t="str">
        <f>IF(SUM(KG24,KK24)&gt;0,SUM(KG24,KK24),"")</f>
        <v/>
      </c>
      <c r="KT24" s="79" t="str">
        <f>IF(SUM(KF24:KG24,KI24:KK24,KM24)-SUM(KH24,KL24)&gt;0,SUM(KF24:KG24,KI24:KK24,KM24)-SUM(KH24,KL24),"")</f>
        <v/>
      </c>
      <c r="KU24" s="79" t="str">
        <f>IF(SUM(KO24,KT24)&gt;0,SUM(KO24,KT24),"")</f>
        <v/>
      </c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26"/>
      <c r="LJ24" s="26"/>
      <c r="LK24" s="26"/>
      <c r="LL24" s="26"/>
      <c r="LM24" s="26"/>
      <c r="LN24" s="26"/>
      <c r="LO24" s="26"/>
      <c r="LP24" s="20" t="str">
        <f>IF(SUM(KW24,LA24)&gt;0,SUM(KW24,LA24),"")</f>
        <v/>
      </c>
      <c r="LQ24" s="20" t="str">
        <f>IF(SUM(KV24:KW24,KY24:LA24,LC24)-KX24-LB24&gt;0,SUM(KV24:KW24,KY24:LA24,LC24)-KX24-LB24,"")</f>
        <v/>
      </c>
      <c r="LR24" s="20" t="str">
        <f>IF(SUM(LD24:LE24,LG24)-LF24&gt;0,SUM(LD24:LE24,LG24)-LF24,"")</f>
        <v/>
      </c>
      <c r="LS24" s="20" t="str">
        <f>IF(SUM(KW24,LA24,LE24)&gt;0,SUM(KW24,LA24,LE24),"")</f>
        <v/>
      </c>
      <c r="LT24" s="20" t="str">
        <f>IF(SUM(LQ24,LR24)&gt;0,SUM(LQ24,LR24),"")</f>
        <v/>
      </c>
      <c r="LU24" s="20" t="str">
        <f>IF(SUM(LI24,LM24)&gt;0,SUM(LI24,LM24),"")</f>
        <v/>
      </c>
      <c r="LV24" s="20" t="str">
        <f>IF(SUM(LH24:LI24,LK24:LM24,LO24)-SUM(LJ24,LN24)&gt;0,SUM(LH24:LI24,LK24:LM24,LO24)-SUM(LJ24,LN24),"")</f>
        <v/>
      </c>
      <c r="LW24" s="20" t="str">
        <f>IF(SUM(LQ24,LV24)&gt;0,SUM(LQ24,LV24),"")</f>
        <v/>
      </c>
      <c r="LX24" s="25"/>
      <c r="LY24" s="25"/>
      <c r="LZ24" s="25"/>
      <c r="MA24" s="25"/>
      <c r="MB24" s="25"/>
      <c r="MC24" s="25"/>
      <c r="MD24" s="25"/>
      <c r="ME24" s="25"/>
      <c r="MF24" s="25"/>
      <c r="MG24" s="25"/>
      <c r="MH24" s="25"/>
      <c r="MI24" s="25"/>
      <c r="MJ24" s="25"/>
      <c r="MK24" s="25"/>
      <c r="ML24" s="25"/>
      <c r="MM24" s="25"/>
      <c r="MN24" s="25"/>
      <c r="MO24" s="25"/>
      <c r="MP24" s="25"/>
      <c r="MQ24" s="25"/>
      <c r="MR24" s="79" t="str">
        <f>IF(SUM(LY24,MC24)&gt;0,SUM(LY24,MC24),"")</f>
        <v/>
      </c>
      <c r="MS24" s="79" t="str">
        <f>IF(SUM(LX24:LY24,MA24:MC24,ME24)-LZ24-MD24&gt;0,SUM(LX24:LY24,MA24:MC24,ME24)-LZ24-MD24,"")</f>
        <v/>
      </c>
      <c r="MT24" s="79" t="str">
        <f>IF(SUM(MF24:MG24,MI24)-MH24&gt;0,SUM(MF24:MG24,MI24)-MH24,"")</f>
        <v/>
      </c>
      <c r="MU24" s="79" t="str">
        <f>IF(SUM(LY24,MC24,MG24)&gt;0,SUM(LY24,MC24,MG24),"")</f>
        <v/>
      </c>
      <c r="MV24" s="79" t="str">
        <f>IF(SUM(MS24,MT24)&gt;0,SUM(MS24,MT24),"")</f>
        <v/>
      </c>
      <c r="MW24" s="79" t="str">
        <f>IF(SUM(MK24,MO24)&gt;0,SUM(MK24,MO24),"")</f>
        <v/>
      </c>
      <c r="MX24" s="79" t="str">
        <f>IF(SUM(MJ24:MK24,MM24:MO24,MQ24)-SUM(ML24,MP24)&gt;0,SUM(MJ24:MK24,MM24:MO24,MQ24)-SUM(ML24,MP24),"")</f>
        <v/>
      </c>
      <c r="MY24" s="79" t="str">
        <f>IF(SUM(MS24,MX24)&gt;0,SUM(MS24,MX24),"")</f>
        <v/>
      </c>
      <c r="MZ24" s="26"/>
      <c r="NA24" s="26"/>
      <c r="NB24" s="26"/>
      <c r="NC24" s="26"/>
      <c r="ND24" s="26"/>
      <c r="NE24" s="26"/>
      <c r="NF24" s="26"/>
      <c r="NG24" s="26"/>
      <c r="NH24" s="26"/>
      <c r="NI24" s="26"/>
      <c r="NJ24" s="26"/>
      <c r="NK24" s="26"/>
      <c r="NL24" s="26"/>
      <c r="NM24" s="26"/>
      <c r="NN24" s="26"/>
      <c r="NO24" s="26"/>
      <c r="NP24" s="26"/>
      <c r="NQ24" s="26"/>
      <c r="NR24" s="26"/>
      <c r="NS24" s="26"/>
      <c r="NT24" s="20" t="str">
        <f>IF(SUM(NA24,NE24)&gt;0,SUM(NA24,NE24),"")</f>
        <v/>
      </c>
      <c r="NU24" s="20" t="str">
        <f>IF(SUM(MZ24:NA24,NC24:NE24,NG24)-NB24-NF24&gt;0,SUM(MZ24:NA24,NC24:NE24,NG24)-NB24-NF24,"")</f>
        <v/>
      </c>
      <c r="NV24" s="20" t="str">
        <f>IF(SUM(NH24:NI24,NK24)-NJ24&gt;0,SUM(NH24:NI24,NK24)-NJ24,"")</f>
        <v/>
      </c>
      <c r="NW24" s="20" t="str">
        <f>IF(SUM(NA24,NE24,NI24)&gt;0,SUM(NA24,NE24,NI24),"")</f>
        <v/>
      </c>
      <c r="NX24" s="20" t="str">
        <f>IF(SUM(NU24,NV24)&gt;0,SUM(NU24,NV24),"")</f>
        <v/>
      </c>
      <c r="NY24" s="20" t="str">
        <f>IF(SUM(NM24,NQ24)&gt;0,SUM(NM24,NQ24),"")</f>
        <v/>
      </c>
      <c r="NZ24" s="20" t="str">
        <f>IF(SUM(NL24:NM24,NO24:NQ24,NS24)-SUM(NN24,NR24)&gt;0,SUM(NL24:NM24,NO24:NQ24,NS24)-SUM(NN24,NR24),"")</f>
        <v/>
      </c>
      <c r="OA24" s="20" t="str">
        <f>IF(SUM(NU24,NZ24)&gt;0,SUM(NU24,NZ24),"")</f>
        <v/>
      </c>
      <c r="OB24" s="25"/>
      <c r="OC24" s="25"/>
      <c r="OD24" s="25"/>
      <c r="OE24" s="25"/>
      <c r="OF24" s="25"/>
      <c r="OG24" s="25"/>
      <c r="OH24" s="25"/>
      <c r="OI24" s="25"/>
      <c r="OJ24" s="25"/>
      <c r="OK24" s="25"/>
      <c r="OL24" s="25"/>
      <c r="OM24" s="25"/>
      <c r="ON24" s="25"/>
      <c r="OO24" s="25"/>
      <c r="OP24" s="25"/>
      <c r="OQ24" s="25"/>
      <c r="OR24" s="25"/>
      <c r="OS24" s="25"/>
      <c r="OT24" s="25"/>
      <c r="OU24" s="25"/>
      <c r="OV24" s="79" t="str">
        <f>IF(SUM(OC24,OG24)&gt;0,SUM(OC24,OG24),"")</f>
        <v/>
      </c>
      <c r="OW24" s="79" t="str">
        <f>IF(SUM(OB24:OC24,OE24:OG24,OI24)-OD24-OH24&gt;0,SUM(OB24:OC24,OE24:OG24,OI24)-OD24-OH24,"")</f>
        <v/>
      </c>
      <c r="OX24" s="79" t="str">
        <f>IF(SUM(OJ24:OK24,OM24)-OL24&gt;0,SUM(OJ24:OK24,OM24)-OL24,"")</f>
        <v/>
      </c>
      <c r="OY24" s="79" t="str">
        <f>IF(SUM(OC24,OG24,OK24)&gt;0,SUM(OC24,OG24,OK24),"")</f>
        <v/>
      </c>
      <c r="OZ24" s="79" t="str">
        <f>IF(SUM(OW24,OX24)&gt;0,SUM(OW24,OX24),"")</f>
        <v/>
      </c>
      <c r="PA24" s="79" t="str">
        <f>IF(SUM(OO24,OS24)&gt;0,SUM(OO24,OS24),"")</f>
        <v/>
      </c>
      <c r="PB24" s="79" t="str">
        <f>IF(SUM(ON24:OO24,OQ24:OS24,OU24)-SUM(OP24,OT24)&gt;0,SUM(ON24:OO24,OQ24:OS24,OU24)-SUM(OP24,OT24),"")</f>
        <v/>
      </c>
      <c r="PC24" s="79" t="str">
        <f>IF(SUM(OW24,PB24)&gt;0,SUM(OW24,PB24),"")</f>
        <v/>
      </c>
      <c r="PD24" s="26"/>
      <c r="PE24" s="26"/>
      <c r="PF24" s="26"/>
      <c r="PG24" s="26"/>
      <c r="PH24" s="26"/>
      <c r="PI24" s="26"/>
      <c r="PJ24" s="26"/>
      <c r="PK24" s="26"/>
      <c r="PL24" s="26"/>
      <c r="PM24" s="26"/>
      <c r="PN24" s="26"/>
      <c r="PO24" s="26"/>
      <c r="PP24" s="26"/>
      <c r="PQ24" s="26"/>
      <c r="PR24" s="26"/>
      <c r="PS24" s="26"/>
      <c r="PT24" s="26"/>
      <c r="PU24" s="26"/>
      <c r="PV24" s="26"/>
      <c r="PW24" s="26"/>
      <c r="PX24" s="20" t="str">
        <f>IF(SUM(PE24,PI24)&gt;0,SUM(PE24,PI24),"")</f>
        <v/>
      </c>
      <c r="PY24" s="20" t="str">
        <f>IF(SUM(PD24:PE24,PG24:PI24,PK24)-PF24-PJ24&gt;0,SUM(PD24:PE24,PG24:PI24,PK24)-PF24-PJ24,"")</f>
        <v/>
      </c>
      <c r="PZ24" s="20" t="str">
        <f>IF(SUM(PL24:PM24,PO24)-PN24&gt;0,SUM(PL24:PM24,PO24)-PN24,"")</f>
        <v/>
      </c>
      <c r="QA24" s="20" t="str">
        <f>IF(SUM(PE24,PI24,PM24)&gt;0,SUM(PE24,PI24,PM24),"")</f>
        <v/>
      </c>
      <c r="QB24" s="20" t="str">
        <f>IF(SUM(PY24,PZ24)&gt;0,SUM(PY24,PZ24),"")</f>
        <v/>
      </c>
      <c r="QC24" s="20" t="str">
        <f>IF(SUM(PQ24,PU24)&gt;0,SUM(PQ24,PU24),"")</f>
        <v/>
      </c>
      <c r="QD24" s="20" t="str">
        <f>IF(SUM(PP24:PQ24,PS24:PU24,PW24)-SUM(PR24,PV24)&gt;0,SUM(PP24:PQ24,PS24:PU24,PW24)-SUM(PR24,PV24),"")</f>
        <v/>
      </c>
      <c r="QE24" s="20" t="str">
        <f>IF(SUM(PY24,QD24)&gt;0,SUM(PY24,QD24),"")</f>
        <v/>
      </c>
      <c r="QF24" s="38">
        <f>IF($CV24="P",CB24,(CB24+AY24)/2)</f>
        <v>8.8000000000000007</v>
      </c>
      <c r="QG24" s="38">
        <f>IF($CV24="P",CC24,(CC24+AZ24)/2)</f>
        <v>2.2000000000000002</v>
      </c>
      <c r="QH24" s="38">
        <f>IF($CV24="P",CD24,(CD24+BA24)/2)</f>
        <v>0.3</v>
      </c>
      <c r="QI24" s="38">
        <f>IF($CV24="P",CE24,(CE24+BB24)/2)</f>
        <v>0</v>
      </c>
      <c r="QJ24" s="38">
        <f>IF($CV24="P",CF24,(CF24+BC24)/2)</f>
        <v>8.6</v>
      </c>
      <c r="QK24" s="38">
        <f>IF($CV24="P",CG24,(CG24+BD24)/2)</f>
        <v>0</v>
      </c>
      <c r="QL24" s="38">
        <f>IF($CV24="P",CH24,(CH24+BE24)/2)</f>
        <v>0</v>
      </c>
      <c r="QM24" s="38">
        <f>IF($CV24="P",CI24,(CI24+BF24)/2)</f>
        <v>0</v>
      </c>
      <c r="QN24" s="38">
        <f>IF($CV24="P",CJ24,(CJ24+BG24)/2)</f>
        <v>9.4</v>
      </c>
      <c r="QO24" s="38">
        <f>IF($CV24="P",CK24,(CK24+BH24)/2)</f>
        <v>1.95</v>
      </c>
      <c r="QP24" s="38">
        <f>IF($CV24="P",CL24,(CL24+BI24)/2)</f>
        <v>0</v>
      </c>
      <c r="QQ24" s="38">
        <f>IF($CV24="P",CM24,(CM24+BJ24)/2)</f>
        <v>0</v>
      </c>
      <c r="QR24" s="38">
        <f>IF($CV24="P",CN24,(CN24+BK24)/2)</f>
        <v>0</v>
      </c>
      <c r="QS24" s="38">
        <f>IF($CV24="P",CO24,(CO24+BL24)/2)</f>
        <v>0</v>
      </c>
      <c r="QT24" s="38">
        <f>IF($CV24="P",CP24,(CP24+BM24)/2)</f>
        <v>0</v>
      </c>
      <c r="QU24" s="38">
        <f>IF($CV24="P",CQ24,(CQ24+BN24)/2)</f>
        <v>0</v>
      </c>
      <c r="QV24" s="38">
        <f>IF($CV24="P",CR24,(CR24+BO24)/2)</f>
        <v>0</v>
      </c>
      <c r="QW24" s="38">
        <f>IF($CV24="P",CS24,(CS24+BP24)/2)</f>
        <v>0</v>
      </c>
      <c r="QX24" s="38">
        <f>IF($CV24="P",CT24,(CT24+BQ24)/2)</f>
        <v>0</v>
      </c>
      <c r="QY24" s="38">
        <f>IF($CV24="P",CU24,(CU24+BR24)/2)</f>
        <v>0</v>
      </c>
      <c r="QZ24" s="45" t="s">
        <v>46</v>
      </c>
      <c r="RA24" s="79">
        <f>IF(SUM(QG24,QK24)&gt;0,SUM(QG24,QK24),"")</f>
        <v>2.2000000000000002</v>
      </c>
      <c r="RB24" s="79">
        <f>IF(SUM(QF24:QG24,QI24:QK24,QM24)-QH24-QL24&gt;0,SUM(QF24:QG24,QI24:QK24,QM24)-QH24-QL24,"")</f>
        <v>19.3</v>
      </c>
      <c r="RC24" s="79">
        <f>IF(SUM(QN24:QO24,QQ24)-QP24&gt;0,SUM(QN24:QO24,QQ24)-QP24,"")</f>
        <v>11.35</v>
      </c>
      <c r="RD24" s="79">
        <f>IF(SUM(QG24,QK24,QO24)&gt;0,SUM(QG24,QK24,QO24),"")</f>
        <v>4.1500000000000004</v>
      </c>
      <c r="RE24" s="79">
        <f>IF(SUM(RB24,RC24)&gt;0,SUM(RB24,RC24),"")</f>
        <v>30.65</v>
      </c>
      <c r="RF24" s="79" t="str">
        <f>IF(SUM(QS24,QW24)&gt;0,SUM(QS24,QW24),"")</f>
        <v/>
      </c>
      <c r="RG24" s="79" t="str">
        <f>IF(SUM(QR24:QS24,QU24:QW24,QY24)-SUM(QT24,QX24)&gt;0,SUM(QR24:QS24,QU24:QW24,QY24)-SUM(QT24,QX24),"")</f>
        <v/>
      </c>
      <c r="RH24" s="79">
        <f>IF(SUM(RB24,RG24)&gt;0,SUM(RB24,RG24),"")</f>
        <v>19.3</v>
      </c>
    </row>
    <row r="25" spans="1:476" x14ac:dyDescent="0.2">
      <c r="A25" s="5" t="str">
        <f>IF(AND(F25="P",G25="P"),SUMPRODUCT((F$4:F$27="P")*(G$4:G$27="P")*(E$4:E$27&gt;E25))+1,IF(G25="P",SUMPRODUCT((F$4:F$27="")*(G$4:G$27="P")*(E$4:E$27&gt;E25))+1+SUMPRODUCT((F$4:F$27="P")*(G$4:G$27="P")),""))</f>
        <v/>
      </c>
      <c r="B25" s="78" t="s">
        <v>148</v>
      </c>
      <c r="C25" s="5" t="s">
        <v>3</v>
      </c>
      <c r="D25" s="5">
        <v>2005</v>
      </c>
      <c r="E25" s="15">
        <f>SUM(I25:S25)+SUM(I25:O25)*0.0000001+SUM(I25)*0.0000000000001</f>
        <v>61.000006100004491</v>
      </c>
      <c r="F25" s="3" t="str">
        <f>IF(OR(AND(AQ25&gt;=AX$29,AR25&gt;=AX$33,AQ25&lt;&gt;"",AP25=""),AND(AV25&gt;=AX$29,AW25&gt;=AX$33,AV25&lt;&gt;"",AP25=""),AND(BT25&gt;=CA$29,BU25&gt;=CA$33,BT25&lt;&gt;"",BS25=""),AND(BY25&gt;=CA$29,BZ25&gt;=CA$33,BY25&lt;&gt;"",BS25=""),AND(CW25&gt;=DD$29,CX25&gt;=DD$33,CW25&lt;&gt;"",CV25=""),AND(DB25&gt;=DD$29,DC25&gt;=DD$33,DB25&lt;&gt;""),AND(EB25&gt;=EI$29,EC25&gt;=EI$33,EB25&lt;&gt;""),AND(EG25&gt;=EI$29,EH25&gt;=EI$33,EG25&lt;&gt;""),AND(FD25&gt;=FK$29,FE25&gt;=FK$33,FD25&lt;&gt;""),AND(FI25&gt;=FK$29,FJ25&gt;=FK$33,FI25&lt;&gt;""),AND(GF25&gt;=GM$29,GG25&gt;=GM$33,GF25&lt;&gt;""),AND(GK25&gt;=GM$29,GL25&gt;=GM$33,GK25&lt;&gt;""),AND(HH25&gt;=HO$29,HI25&gt;=HO$33,HH25&lt;&gt;""),AND(HM25&gt;=HO$29,HN25&gt;=HO$33,HM25&lt;&gt;""),AND(IJ25&gt;=IQ$29,IK25&gt;=IQ$33,IJ25&lt;&gt;""),AND(IO25&gt;=IQ$29,IP25&gt;=IQ$33,IO25&lt;&gt;""),AND(JL25&gt;=JS$29,JM25&gt;=JS$33,JL25&lt;&gt;""),AND(JQ25&gt;=JS$29,JR25&gt;=JS$33,JQ25&lt;&gt;""),AND(KN25&gt;=KU$29,KO25&gt;=KU$33,KN25&lt;&gt;""),AND(KS25&gt;=KU$29,KT25&gt;=KU$33,KS25&lt;&gt;""),AND(LP25&gt;=LW$29,LQ25&gt;=LW$33,LP25&lt;&gt;""),AND(LU25&gt;=LW$29,LV25&gt;=LW$33,LU25&lt;&gt;""),AND(MR25&gt;=MY$29,MS25&gt;=MY$33,MR25&lt;&gt;""),AND(MW25&gt;=MY$29,MX25&gt;=MY$33,MW25&lt;&gt;""),AND(NT25&gt;=OA$29,NU25&gt;=OA$33,NT25&lt;&gt;""),AND(NY25&gt;=OA$29,NZ25&gt;=OA$33,NY25&lt;&gt;""),AND(OV25&gt;=PC$29,OW25&gt;=PC$33,OV25&lt;&gt;""),AND(PA25&gt;=PC$29,PB25&gt;=PC$33,PA25&lt;&gt;""),AND(PX25&gt;=QE$29,PY25&gt;=QE$33,PX25&lt;&gt;""),AND(QC25&gt;=QE$29,QD25&gt;=QE$33,QC25&lt;&gt;"")),"P","")</f>
        <v/>
      </c>
      <c r="G25" s="3" t="str">
        <f>IF(OR(AND(AR25&gt;=AX$33,AR25&lt;&gt;"",AP25=""),AND(AW25&gt;=AX$33,AW25&lt;&gt;"",AP25=""),AND(BU25&gt;=CA$33,BU25&lt;&gt;"",BS25=""),AND(BZ25&gt;=CA$33,BZ25&lt;&gt;"",BS25=""),AND(CX25&gt;=DD$33,CX25&lt;&gt;"",CV25=""),AND(DC25&gt;=DD$33,DC25&lt;&gt;"",CV25=""),AND(EC25&gt;=EI$33,EC25&lt;&gt;""),AND(EH25&gt;=EI$33,EH25&lt;&gt;""),AND(FE25&gt;=FK$33,FE25&lt;&gt;""),AND(FJ25&gt;=FK$33,FJ25&lt;&gt;""),AND(GG25&gt;=GM$33,GG25&lt;&gt;""),AND(GL25&gt;=GM$33,GL25&lt;&gt;""),AND(HI25&gt;=HO$33,HI25&lt;&gt;""),AND(HN25&gt;=HO$33,HN25&lt;&gt;""),AND(IK25&gt;=IQ$33,IK25&lt;&gt;""),AND(IP25&gt;=IQ$33,IP25&lt;&gt;""),AND(JM25&gt;=JS$33,JM25&lt;&gt;""),AND(JR25&gt;=JS$33,JR25&lt;&gt;""),AND(KO25&gt;=KU$33,KO25&lt;&gt;""),AND(KT25&gt;=KU$33,KT25&lt;&gt;""),AND(LQ25&gt;=LW$33,LQ25&lt;&gt;""),AND(LV25&gt;=LW$33,LV25&lt;&gt;""),AND(MS25&gt;=MY$33,MS25&lt;&gt;""),AND(MX25&gt;=MY$33,MX25&lt;&gt;""),AND(NU25&gt;=OA$33,NU25&lt;&gt;""),AND(NZ25&gt;=OA$33,NZ25&lt;&gt;""),AND(OW25&gt;=PC$33,OW25&lt;&gt;""),AND(PB25&gt;=PC$33,PB25&lt;&gt;""),AND(PY25&gt;=QE$33,PY25&lt;&gt;""),AND(QD25&gt;=QE$33,QD25&lt;&gt;"")),"P","")</f>
        <v/>
      </c>
      <c r="H25" s="67" t="str">
        <f>IF(AND(G25="P",F25=""),"No DD",IF(OR(AND(AT25&gt;=AX$32,AU25&gt;=AX$36,AT25&lt;&gt;"",AP25=""),AND(BW25&gt;=CA$32,BX25&gt;=CA$36,BW25&lt;&gt;"",BS25=""),AND(CZ25&gt;=DD$32,DA25&gt;=DD$36,CZ25&lt;&gt;"",CV25=""),AND(EE25&gt;=EI$32,EF25&gt;=EI$36,EE25&lt;&gt;""),AND(FG25&gt;=FK$32,FH25&gt;=FK$36,FG25&lt;&gt;""),AND(GI25&gt;=GM$32,GJ25&gt;=GM$36,GI25&lt;&gt;""),AND(HK25&gt;=HO$32,HL25&gt;=HO$36,HK25&lt;&gt;""),AND(IM25&gt;=IQ$32,IN25&gt;=IQ$36,IM25&lt;&gt;""),AND(JO25&gt;=JS$32,JP25&gt;=JS$36,JO25&lt;&gt;""),AND(KQ25&gt;=KU$32,KR25&gt;=KU$36,KQ25&lt;&gt;""),AND(LS25&gt;=LW$32,LT25&gt;=LW$36,LS25&lt;&gt;""),AND(MU25&gt;=MY$32,MV25&gt;=MY$36,MU25&lt;&gt;""),AND(NW25&gt;=OA$32,NX25&gt;=OA$36,NW25&lt;&gt;""),AND(OY25&gt;=PC$32,OZ25&gt;=PC$36,OY25&lt;&gt;""),AND(QA25&gt;=QE$32,QB25&gt;=QE$36,QA25&lt;&gt;"")),"Merit",IF(OR(AND(AT25&gt;=AX$31,AU25&gt;=AX$35,AT25&lt;&gt;"",AP25=""),AND(BW25&gt;=CA$31,BX25&gt;=CA$35,BW25&lt;&gt;"",BS25=""),AND(CZ25&gt;=DD$31,DA25&gt;=DD$35,CZ25&lt;&gt;"",CV25=""),AND(EE25&gt;=EI$31,EF25&gt;=EI$35,EE25&lt;&gt;""),AND(FG25&gt;=FK$31,FH25&gt;=FK$35,FG25&lt;&gt;""),AND(GI25&gt;=GM$31,GJ25&gt;=GM$35,GI25&lt;&gt;""),AND(HK25&gt;=HO$31,HL25&gt;=HO$35,HK25&lt;&gt;""),AND(IM25&gt;=IQ$31,IN25&gt;=IQ$35,IM25&lt;&gt;""),AND(JO25&gt;=JS$31,JP25&gt;=JS$35,JO25&lt;&gt;""),AND(KQ25&gt;=KU$31,KR25&gt;=KU$35,KQ25&lt;&gt;""),AND(LS25&gt;=LW$31,LT25&gt;=LW$35,LS25&lt;&gt;""),AND(MU25&gt;=MY$31,MV25&gt;=MY$35,MU25&lt;&gt;""),AND(NW25&gt;=OA$31,NX25&gt;=OA$35,NW25&lt;&gt;""),AND(OY25&gt;=PC$31,OZ25&gt;=PC$35,OY25&lt;&gt;""),AND(QA25&gt;=QE$31,QB25&gt;=QE$35,QA25&lt;&gt;"")),"Excellence",IF(F25="P","National Team",""))))</f>
        <v/>
      </c>
      <c r="I25" s="14">
        <f>IF(COUNT(AR25,BU25,CX25)&gt;0,LARGE((AR25,BU25,CX25),1),0)</f>
        <v>44.9</v>
      </c>
      <c r="J25" s="14" t="str">
        <f>IF(I25=0,"",IF(I25=CX25,$CB$1,IF(I25=BU25,$AY$1,IF(I25=AR25,$V$1,""))))</f>
        <v>2022 Elite Canada</v>
      </c>
      <c r="K25" s="14">
        <f>IF(COUNT(AR25,BU25,CX25)&gt;1,LARGE((AR25,BU25,CX25),2),0)</f>
        <v>0</v>
      </c>
      <c r="L25" s="14" t="str">
        <f>IF(K25=0,"",IF(K25=CX25,$CB$1,IF(K25=BU25,$AY$1,IF(K25=AR25,$V$1,""))))</f>
        <v/>
      </c>
      <c r="M25" s="14">
        <f>IF(COUNT(AS25,BV25,CY25)&gt;0,LARGE((AS25,BV25,CY25),1),0)</f>
        <v>16.100000000000001</v>
      </c>
      <c r="N25" s="14" t="str">
        <f>IF(M25=0,"",IF(M25=CY25,$CB$1,IF(M25=BV25,$AY$1,IF(M25=AS25,$V$1,""))))</f>
        <v>2022 Elite Canada</v>
      </c>
      <c r="O25" s="14">
        <f>IF(COUNT(AS25,BV25,CY25)&gt;1,LARGE((AS25,BV25,CY25),2),0)</f>
        <v>0</v>
      </c>
      <c r="P25" s="14" t="str">
        <f>IF(O25=0,"",IF(O25=CY25,$CB$1,IF(O25=BV25,$AY$1,IF(O25=AS25,$V$1,""))))</f>
        <v/>
      </c>
      <c r="Q25" s="14">
        <f>IF(MAX(AW25,BZ25,DC25)&gt;0,MAX(AW25,BZ25,DC25),0)</f>
        <v>0</v>
      </c>
      <c r="R25" s="14" t="str">
        <f>IF(Q25=0,"",IF(Q25=DC25,$CB$1,IF(Q25=BZ25,$AY$1,IF(Q25=AW25,$V$1,""))))</f>
        <v/>
      </c>
      <c r="S25" s="14" t="str">
        <f>IF(MAX(DE25:DG25)&gt;0,MAX(DE25:DG25),"")</f>
        <v/>
      </c>
      <c r="T25" s="20" t="str">
        <f>IF(S25="","",IF(S25=DE25,"("&amp;DE$2&amp;")",IF(S25=DG25,"("&amp;DG$2&amp;")")))</f>
        <v/>
      </c>
      <c r="U25" s="14" t="str">
        <f>IF(S25="","",IF(S25=DE25,IF(S25+IF(K25="",0,K25)=PY25,$PD$1,IF(S25+IF(K25="",0,K25)=OW25,$OB$1,IF(S25+IF(K25="",0,K25)=NU25,$MZ$1,IF(S25+IF(K25="",0,K25)=MS25,$LX$1,IF(S25+IF(K25="",0,K25)=LQ25,$KV$1,IF(S25+IF(K25="",0,K25)=KO25,$JT$1,IF(S25+IF(K25="",0,K25)=JM25,$IR$1,IF(S25+IF(K25="",0,K25)=IK25,$HP$1,IF(S25+IF(K25="",0,K25)=HI25,$GN$1,IF(S25+IF(K25="",0,K25)=GG25,$FL$1,IF(S25+IF(K25="",0,K25)=FE25,$EJ$1,IF(S25+IF(K25="",0,K25)=EC25,$DH$1)))))))))))),IF(S25=DG25,IF(S25+IF(Q25="",0,Q25)=QD25,$PD$1,IF(S25+IF(Q25="",0,Q25)=PB25,$OB$1,IF(S25+IF(Q25="",0,Q25)=NZ25,$MZ$1,IF(S25+IF(Q25="",0,Q25)=MX25,$LX$1,IF(S25+IF(Q25="",0,Q25)=LV25,$KV$1,IF(S25+IF(Q25="",0,Q25)=KT25,$JT$1,IF(S25+IF(Q25="",0,Q25)=JR25,$IR$1,IF(S25+IF(Q25="",0,Q25)=IP25,$HP$1,IF(S25+IF(Q25="",0,Q25)=HN25,$GN$1,IF(S25+IF(Q25="",0,Q25)=GL25,$FL$1,IF(S25+IF(Q25="",0,Q25)=FJ25,$EJ$1,IF(S25+IF(Q25="",0,Q25)=EH25,$DH$1)))))))))))))))</f>
        <v/>
      </c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45"/>
      <c r="AQ25" s="79" t="str">
        <f>IF(SUM(W25,AA25)&gt;0,SUM(W25,AA25),"")</f>
        <v/>
      </c>
      <c r="AR25" s="79" t="str">
        <f>IF(SUM(V25:W25,Y25:AA25,AC25)-X25-AB25&gt;0,SUM(V25:W25,Y25:AA25,AC25)-X25-AB25,"")</f>
        <v/>
      </c>
      <c r="AS25" s="79" t="str">
        <f>IF(SUM(AD25:AE25,AG25)-AF25&gt;0,SUM(AD25:AE25,AG25)-AF25,"")</f>
        <v/>
      </c>
      <c r="AT25" s="79" t="str">
        <f>IF(SUM(W25,AA25,AE25)&gt;0,SUM(W25,AA25,AE25),"")</f>
        <v/>
      </c>
      <c r="AU25" s="79" t="str">
        <f>IF(SUM(AR25,AS25)&gt;0,SUM(AR25,AS25),"")</f>
        <v/>
      </c>
      <c r="AV25" s="79" t="str">
        <f>IF(SUM(AI25,AM25)&gt;0,SUM(AI25,AM25),"")</f>
        <v/>
      </c>
      <c r="AW25" s="79" t="str">
        <f>IF(SUM(AH25:AI25,AK25:AM25,AO25)-SUM(AJ25,AN25)&gt;0,SUM(AH25:AI25,AK25:AM25,AO25)-SUM(AJ25,AN25),"")</f>
        <v/>
      </c>
      <c r="AX25" s="79" t="str">
        <f>IF(SUM(AR25,AW25)&gt;0,SUM(AR25,AW25),"")</f>
        <v/>
      </c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46"/>
      <c r="BT25" s="20" t="str">
        <f>IF(SUM(AZ25,BD25)&gt;0,SUM(AZ25,BD25),"")</f>
        <v/>
      </c>
      <c r="BU25" s="20" t="str">
        <f>IF(SUM(AY25:AZ25,BB25:BD25,BF25)-BA25-BE25&gt;0,SUM(AY25:AZ25,BB25:BD25,BF25)-BA25-BE25,"")</f>
        <v/>
      </c>
      <c r="BV25" s="20" t="str">
        <f>IF(SUM(BG25:BH25,BJ25)-BI25&gt;0,SUM(BG25:BH25,BJ25)-BI25,"")</f>
        <v/>
      </c>
      <c r="BW25" s="20" t="str">
        <f>IF(SUM(AZ25,BD25,BH25)&gt;0,SUM(AZ25,BD25,BH25),"")</f>
        <v/>
      </c>
      <c r="BX25" s="20" t="str">
        <f>IF(SUM(BU25,BV25)&gt;0,SUM(BU25,BV25),"")</f>
        <v/>
      </c>
      <c r="BY25" s="20" t="str">
        <f>IF(SUM(BL25,BP25)&gt;0,SUM(BL25,BP25),"")</f>
        <v/>
      </c>
      <c r="BZ25" s="20" t="str">
        <f>IF(SUM(BK25:BL25,BN25:BP25,BR25)-SUM(BM25,BQ25)&gt;0,SUM(BK25:BL25,BN25:BP25,BR25)-SUM(BM25,BQ25),"")</f>
        <v/>
      </c>
      <c r="CA25" s="20" t="str">
        <f>IF(SUM(BU25,BZ25)&gt;0,SUM(BU25,BZ25),"")</f>
        <v/>
      </c>
      <c r="CB25" s="27">
        <v>18.600000000000001</v>
      </c>
      <c r="CC25" s="27">
        <v>3.6</v>
      </c>
      <c r="CD25" s="27">
        <v>0</v>
      </c>
      <c r="CE25" s="27">
        <v>0</v>
      </c>
      <c r="CF25" s="27">
        <v>18.3</v>
      </c>
      <c r="CG25" s="27">
        <v>4.4000000000000004</v>
      </c>
      <c r="CH25" s="27">
        <v>0</v>
      </c>
      <c r="CI25" s="27">
        <v>0</v>
      </c>
      <c r="CJ25" s="27">
        <v>18.8</v>
      </c>
      <c r="CK25" s="27">
        <v>0.6</v>
      </c>
      <c r="CL25" s="27">
        <v>3.3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45"/>
      <c r="CW25" s="79">
        <f>IF(SUM(CC25,CG25)&gt;0,SUM(CC25,CG25),"")</f>
        <v>8</v>
      </c>
      <c r="CX25" s="79">
        <f>IF(SUM(CB25:CC25,CE25:CG25,CI25)-CD25-CH25&gt;0,SUM(CB25:CC25,CE25:CG25,CI25)-CD25-CH25,"")</f>
        <v>44.9</v>
      </c>
      <c r="CY25" s="79">
        <f>IF(SUM(CJ25:CK25,CM25)-CL25&gt;0,SUM(CJ25:CK25,CM25)-CL25,"")</f>
        <v>16.100000000000001</v>
      </c>
      <c r="CZ25" s="79">
        <f>IF(SUM(CC25,CG25,CK25)&gt;0,SUM(CC25,CG25,CK25),"")</f>
        <v>8.6</v>
      </c>
      <c r="DA25" s="79">
        <f>IF(SUM(CX25,CY25)&gt;0,SUM(CX25,CY25),"")</f>
        <v>61</v>
      </c>
      <c r="DB25" s="79" t="str">
        <f>IF(SUM(CO25,CS25)&gt;0,SUM(CO25,CS25),"")</f>
        <v/>
      </c>
      <c r="DC25" s="79" t="str">
        <f>IF(SUM(CN25:CO25,CQ25:CS25,CU25)-SUM(CP25,CT25)&gt;0,SUM(CN25:CO25,CQ25:CS25,CU25)-SUM(CP25,CT25),"")</f>
        <v/>
      </c>
      <c r="DD25" s="79">
        <f>IF(SUM(CX25,DC25)&gt;0,SUM(CX25,DC25),"")</f>
        <v>44.9</v>
      </c>
      <c r="DE25" s="80" t="str">
        <f>IF(K25&gt;=0.001,IF(MAX(EC25,FE25,GG25,HI25,IK25,JM25,KO25,LQ25,MS25,NU25,OW25,PY25)-IF(K25="",0,K25)&gt;0.001,MAX(EC25,FE25,GG25,HI25,IK25,JM25,KO25,LQ25,MS25,NU25,OW25,PY25)-IF(K25="",0,K25),""),"")</f>
        <v/>
      </c>
      <c r="DF25" s="80" t="str">
        <f>IF(O25&gt;=0.001,IF(MAX(ED25,FF25,GH25,HJ25,IL25,JN25,KP25,LR25,MT25,NV25,OX25,PZ25)-IF(O25="",0,O25)&gt;0.001,MAX(ED25,FF25,GH25,HJ25,IL25,JN25,KP25,LR25,MT25,NV25,OX25,PZ25)-IF(O25="",0,O25),""),"")</f>
        <v/>
      </c>
      <c r="DG25" s="80" t="str">
        <f>IF(Q25&gt;=0.001,IF(MAX(EH25,FJ25,GL25,HN25,IP25,JR25,KT25,LV25,MX25,NZ25,PB25,QD25)-IF(Q25="",0,Q25)&gt;0.001,MAX(EH25,FJ25,GL25,HN25,IP25,JR25,KT25,LV25,MX25,NZ25,PB25,QD25)-IF(Q25="",0,Q25),""),"")</f>
        <v/>
      </c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79" t="str">
        <f>IF(SUM(DI25,DM25)&gt;0,SUM(DI25,DM25),"")</f>
        <v/>
      </c>
      <c r="EC25" s="79" t="str">
        <f>IF(SUM(DH25:DI25,DK25:DM25,DO25)-DJ25-DN25&gt;0,SUM(DH25:DI25,DK25:DM25,DO25)-DJ25-DN25,"")</f>
        <v/>
      </c>
      <c r="ED25" s="79" t="str">
        <f>IF(SUM(DP25:DQ25,DS25)-DR25&gt;0,SUM(DP25:DQ25,DS25)-DR25,"")</f>
        <v/>
      </c>
      <c r="EE25" s="79" t="str">
        <f>IF(SUM(DI25,DM25,DQ25)&gt;0,SUM(DI25,DM25,DQ25),"")</f>
        <v/>
      </c>
      <c r="EF25" s="79" t="str">
        <f>IF(SUM(EC25,ED25)&gt;0,SUM(EC25,ED25),"")</f>
        <v/>
      </c>
      <c r="EG25" s="79" t="str">
        <f>IF(SUM(DU25,DY25)&gt;0,SUM(DU25,DY25),"")</f>
        <v/>
      </c>
      <c r="EH25" s="79" t="str">
        <f>IF(SUM(DT25:DU25,DW25:DY25,EA25)-SUM(DV25,DZ25)&gt;0,SUM(DT25:DU25,DW25:DY25,EA25)-SUM(DV25,DZ25),"")</f>
        <v/>
      </c>
      <c r="EI25" s="79" t="str">
        <f>IF(SUM(EC25,EH25)&gt;0,SUM(EC25,EH25),"")</f>
        <v/>
      </c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0" t="str">
        <f>IF(SUM(EK25,EO25)&gt;0,SUM(EK25,EO25),"")</f>
        <v/>
      </c>
      <c r="FE25" s="20" t="str">
        <f>IF(SUM(EJ25:EK25,EM25:EO25,EQ25)-EL25-EP25&gt;0,SUM(EJ25:EK25,EM25:EO25,EQ25)-EL25-EP25,"")</f>
        <v/>
      </c>
      <c r="FF25" s="20" t="str">
        <f>IF(SUM(ER25:ES25,EU25)-ET25&gt;0,SUM(ER25:ES25,EU25)-ET25,"")</f>
        <v/>
      </c>
      <c r="FG25" s="20" t="str">
        <f>IF(SUM(EK25,EO25,ES25)&gt;0,SUM(EK25,EO25,ES25),"")</f>
        <v/>
      </c>
      <c r="FH25" s="20" t="str">
        <f>IF(SUM(FE25,FF25)&gt;0,SUM(FE25,FF25),"")</f>
        <v/>
      </c>
      <c r="FI25" s="20" t="str">
        <f>IF(SUM(EW25,FA25)&gt;0,SUM(EW25,FA25),"")</f>
        <v/>
      </c>
      <c r="FJ25" s="20" t="str">
        <f>IF(SUM(EV25:EW25,EY25:FA25,FC25)-SUM(EX25,FB25)&gt;0,SUM(EV25:EW25,EY25:FA25,FC25)-SUM(EX25,FB25),"")</f>
        <v/>
      </c>
      <c r="FK25" s="20" t="str">
        <f>IF(SUM(FE25,FJ25)&gt;0,SUM(FE25,FJ25),"")</f>
        <v/>
      </c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79" t="str">
        <f>IF(SUM(FM25,FQ25)&gt;0,SUM(FM25,FQ25),"")</f>
        <v/>
      </c>
      <c r="GG25" s="79" t="str">
        <f>IF(SUM(FL25:FM25,FO25:FQ25,FS25)-FN25-FR25&gt;0,SUM(FL25:FM25,FO25:FQ25,FS25)-FN25-FR25,"")</f>
        <v/>
      </c>
      <c r="GH25" s="79" t="str">
        <f>IF(SUM(FT25:FU25,FW25)-FV25&gt;0,SUM(FT25:FU25,FW25)-FV25,"")</f>
        <v/>
      </c>
      <c r="GI25" s="79" t="str">
        <f>IF(SUM(FM25,FQ25,FU25)&gt;0,SUM(FM25,FQ25,FU25),"")</f>
        <v/>
      </c>
      <c r="GJ25" s="79" t="str">
        <f>IF(SUM(GG25,GH25)&gt;0,SUM(GG25,GH25),"")</f>
        <v/>
      </c>
      <c r="GK25" s="79" t="str">
        <f>IF(SUM(FY25,GC25)&gt;0,SUM(FY25,GC25),"")</f>
        <v/>
      </c>
      <c r="GL25" s="79" t="str">
        <f>IF(SUM(FX25:FY25,GA25:GC25,GE25)-SUM(FZ25,GD25)&gt;0,SUM(FX25:FY25,GA25:GC25,GE25)-SUM(FZ25,GD25),"")</f>
        <v/>
      </c>
      <c r="GM25" s="79" t="str">
        <f>IF(SUM(GG25,GL25)&gt;0,SUM(GG25,GL25),"")</f>
        <v/>
      </c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0" t="str">
        <f>IF(SUM(GO25,GS25)&gt;0,SUM(GO25,GS25),"")</f>
        <v/>
      </c>
      <c r="HI25" s="20" t="str">
        <f>IF(SUM(GN25:GO25,GQ25:GS25,GU25)-GP25-GT25&gt;0,SUM(GN25:GO25,GQ25:GS25,GU25)-GP25-GT25,"")</f>
        <v/>
      </c>
      <c r="HJ25" s="20" t="str">
        <f>IF(SUM(GV25:GW25,GY25)-GX25&gt;0,SUM(GV25:GW25,GY25)-GX25,"")</f>
        <v/>
      </c>
      <c r="HK25" s="20" t="str">
        <f>IF(SUM(GO25,GS25,GW25)&gt;0,SUM(GO25,GS25,GW25),"")</f>
        <v/>
      </c>
      <c r="HL25" s="20" t="str">
        <f>IF(SUM(HI25,HJ25)&gt;0,SUM(HI25,HJ25),"")</f>
        <v/>
      </c>
      <c r="HM25" s="20" t="str">
        <f>IF(SUM(HA25,HE25)&gt;0,SUM(HA25,HE25),"")</f>
        <v/>
      </c>
      <c r="HN25" s="20" t="str">
        <f>IF(SUM(GZ25:HA25,HC25:HE25,HG25)-SUM(HB25,HF25)&gt;0,SUM(GZ25:HA25,HC25:HE25,HG25)-SUM(HB25,HF25),"")</f>
        <v/>
      </c>
      <c r="HO25" s="20" t="str">
        <f>IF(SUM(HI25,HN25)&gt;0,SUM(HI25,HN25),"")</f>
        <v/>
      </c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79" t="str">
        <f>IF(SUM(HQ25,HU25)&gt;0,SUM(HQ25,HU25),"")</f>
        <v/>
      </c>
      <c r="IK25" s="79" t="str">
        <f>IF(SUM(HP25:HQ25,HS25:HU25,HW25)-HR25-HV25&gt;0,SUM(HP25:HQ25,HS25:HU25,HW25)-HR25-HV25,"")</f>
        <v/>
      </c>
      <c r="IL25" s="79" t="str">
        <f>IF(SUM(HX25:HY25,IA25)-HZ25&gt;0,SUM(HX25:HY25,IA25)-HZ25,"")</f>
        <v/>
      </c>
      <c r="IM25" s="79" t="str">
        <f>IF(SUM(HQ25,HU25,HY25)&gt;0,SUM(HQ25,HU25,HY25),"")</f>
        <v/>
      </c>
      <c r="IN25" s="79" t="str">
        <f>IF(SUM(IK25,IL25)&gt;0,SUM(IK25,IL25),"")</f>
        <v/>
      </c>
      <c r="IO25" s="79" t="str">
        <f>IF(SUM(IC25,IG25)&gt;0,SUM(IC25,IG25),"")</f>
        <v/>
      </c>
      <c r="IP25" s="79" t="str">
        <f>IF(SUM(IB25:IC25,IE25:IG25,II25)-SUM(ID25,IH25)&gt;0,SUM(IB25:IC25,IE25:IG25,II25)-SUM(ID25,IH25),"")</f>
        <v/>
      </c>
      <c r="IQ25" s="79" t="str">
        <f>IF(SUM(IK25,IP25)&gt;0,SUM(IK25,IP25),"")</f>
        <v/>
      </c>
      <c r="IR25" s="26"/>
      <c r="IS25" s="26"/>
      <c r="IT25" s="26"/>
      <c r="IU25" s="26"/>
      <c r="IV25" s="26"/>
      <c r="IW25" s="26"/>
      <c r="IX25" s="26"/>
      <c r="IY25" s="26"/>
      <c r="IZ25" s="26"/>
      <c r="JA25" s="26"/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0" t="str">
        <f>IF(SUM(IS25,IW25)&gt;0,SUM(IS25,IW25),"")</f>
        <v/>
      </c>
      <c r="JM25" s="20" t="str">
        <f>IF(SUM(IR25:IS25,IU25:IW25,IY25)-IT25-IX25&gt;0,SUM(IR25:IS25,IU25:IW25,IY25)-IT25-IX25,"")</f>
        <v/>
      </c>
      <c r="JN25" s="20" t="str">
        <f>IF(SUM(IZ25:JA25,JC25)-JB25&gt;0,SUM(IZ25:JA25,JC25)-JB25,"")</f>
        <v/>
      </c>
      <c r="JO25" s="20" t="str">
        <f>IF(SUM(IS25,IW25,JA25)&gt;0,SUM(IS25,IW25,JA25),"")</f>
        <v/>
      </c>
      <c r="JP25" s="20" t="str">
        <f>IF(SUM(JM25,JN25)&gt;0,SUM(JM25,JN25),"")</f>
        <v/>
      </c>
      <c r="JQ25" s="20" t="str">
        <f>IF(SUM(JE25,JI25)&gt;0,SUM(JE25,JI25),"")</f>
        <v/>
      </c>
      <c r="JR25" s="20" t="str">
        <f>IF(SUM(JD25:JE25,JG25:JI25,JK25)-SUM(JF25,JJ25)&gt;0,SUM(JD25:JE25,JG25:JI25,JK25)-SUM(JF25,JJ25),"")</f>
        <v/>
      </c>
      <c r="JS25" s="20" t="str">
        <f>IF(SUM(JM25,JR25)&gt;0,SUM(JM25,JR25),"")</f>
        <v/>
      </c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79" t="str">
        <f>IF(SUM(JU25,JY25)&gt;0,SUM(JU25,JY25),"")</f>
        <v/>
      </c>
      <c r="KO25" s="79" t="str">
        <f>IF(SUM(JT25:JU25,JW25:JY25,KA25)-JV25-JZ25&gt;0,SUM(JT25:JU25,JW25:JY25,KA25)-JV25-JZ25,"")</f>
        <v/>
      </c>
      <c r="KP25" s="79" t="str">
        <f>IF(SUM(KB25:KC25,KE25)-KD25&gt;0,SUM(KB25:KC25,KE25)-KD25,"")</f>
        <v/>
      </c>
      <c r="KQ25" s="79" t="str">
        <f>IF(SUM(JU25,JY25,KC25)&gt;0,SUM(JU25,JY25,KC25),"")</f>
        <v/>
      </c>
      <c r="KR25" s="79" t="str">
        <f>IF(SUM(KO25,KP25)&gt;0,SUM(KO25,KP25),"")</f>
        <v/>
      </c>
      <c r="KS25" s="79" t="str">
        <f>IF(SUM(KG25,KK25)&gt;0,SUM(KG25,KK25),"")</f>
        <v/>
      </c>
      <c r="KT25" s="79" t="str">
        <f>IF(SUM(KF25:KG25,KI25:KK25,KM25)-SUM(KH25,KL25)&gt;0,SUM(KF25:KG25,KI25:KK25,KM25)-SUM(KH25,KL25),"")</f>
        <v/>
      </c>
      <c r="KU25" s="79" t="str">
        <f>IF(SUM(KO25,KT25)&gt;0,SUM(KO25,KT25),"")</f>
        <v/>
      </c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26"/>
      <c r="LJ25" s="26"/>
      <c r="LK25" s="26"/>
      <c r="LL25" s="26"/>
      <c r="LM25" s="26"/>
      <c r="LN25" s="26"/>
      <c r="LO25" s="26"/>
      <c r="LP25" s="20" t="str">
        <f>IF(SUM(KW25,LA25)&gt;0,SUM(KW25,LA25),"")</f>
        <v/>
      </c>
      <c r="LQ25" s="20" t="str">
        <f>IF(SUM(KV25:KW25,KY25:LA25,LC25)-KX25-LB25&gt;0,SUM(KV25:KW25,KY25:LA25,LC25)-KX25-LB25,"")</f>
        <v/>
      </c>
      <c r="LR25" s="20" t="str">
        <f>IF(SUM(LD25:LE25,LG25)-LF25&gt;0,SUM(LD25:LE25,LG25)-LF25,"")</f>
        <v/>
      </c>
      <c r="LS25" s="20" t="str">
        <f>IF(SUM(KW25,LA25,LE25)&gt;0,SUM(KW25,LA25,LE25),"")</f>
        <v/>
      </c>
      <c r="LT25" s="20" t="str">
        <f>IF(SUM(LQ25,LR25)&gt;0,SUM(LQ25,LR25),"")</f>
        <v/>
      </c>
      <c r="LU25" s="20" t="str">
        <f>IF(SUM(LI25,LM25)&gt;0,SUM(LI25,LM25),"")</f>
        <v/>
      </c>
      <c r="LV25" s="20" t="str">
        <f>IF(SUM(LH25:LI25,LK25:LM25,LO25)-SUM(LJ25,LN25)&gt;0,SUM(LH25:LI25,LK25:LM25,LO25)-SUM(LJ25,LN25),"")</f>
        <v/>
      </c>
      <c r="LW25" s="20" t="str">
        <f>IF(SUM(LQ25,LV25)&gt;0,SUM(LQ25,LV25),"")</f>
        <v/>
      </c>
      <c r="LX25" s="25"/>
      <c r="LY25" s="25"/>
      <c r="LZ25" s="25"/>
      <c r="MA25" s="25"/>
      <c r="MB25" s="25"/>
      <c r="MC25" s="25"/>
      <c r="MD25" s="25"/>
      <c r="ME25" s="25"/>
      <c r="MF25" s="25"/>
      <c r="MG25" s="25"/>
      <c r="MH25" s="25"/>
      <c r="MI25" s="25"/>
      <c r="MJ25" s="25"/>
      <c r="MK25" s="25"/>
      <c r="ML25" s="25"/>
      <c r="MM25" s="25"/>
      <c r="MN25" s="25"/>
      <c r="MO25" s="25"/>
      <c r="MP25" s="25"/>
      <c r="MQ25" s="25"/>
      <c r="MR25" s="79" t="str">
        <f>IF(SUM(LY25,MC25)&gt;0,SUM(LY25,MC25),"")</f>
        <v/>
      </c>
      <c r="MS25" s="79" t="str">
        <f>IF(SUM(LX25:LY25,MA25:MC25,ME25)-LZ25-MD25&gt;0,SUM(LX25:LY25,MA25:MC25,ME25)-LZ25-MD25,"")</f>
        <v/>
      </c>
      <c r="MT25" s="79" t="str">
        <f>IF(SUM(MF25:MG25,MI25)-MH25&gt;0,SUM(MF25:MG25,MI25)-MH25,"")</f>
        <v/>
      </c>
      <c r="MU25" s="79" t="str">
        <f>IF(SUM(LY25,MC25,MG25)&gt;0,SUM(LY25,MC25,MG25),"")</f>
        <v/>
      </c>
      <c r="MV25" s="79" t="str">
        <f>IF(SUM(MS25,MT25)&gt;0,SUM(MS25,MT25),"")</f>
        <v/>
      </c>
      <c r="MW25" s="79" t="str">
        <f>IF(SUM(MK25,MO25)&gt;0,SUM(MK25,MO25),"")</f>
        <v/>
      </c>
      <c r="MX25" s="79" t="str">
        <f>IF(SUM(MJ25:MK25,MM25:MO25,MQ25)-SUM(ML25,MP25)&gt;0,SUM(MJ25:MK25,MM25:MO25,MQ25)-SUM(ML25,MP25),"")</f>
        <v/>
      </c>
      <c r="MY25" s="79" t="str">
        <f>IF(SUM(MS25,MX25)&gt;0,SUM(MS25,MX25),"")</f>
        <v/>
      </c>
      <c r="MZ25" s="26"/>
      <c r="NA25" s="26"/>
      <c r="NB25" s="26"/>
      <c r="NC25" s="26"/>
      <c r="ND25" s="26"/>
      <c r="NE25" s="26"/>
      <c r="NF25" s="26"/>
      <c r="NG25" s="26"/>
      <c r="NH25" s="26"/>
      <c r="NI25" s="26"/>
      <c r="NJ25" s="26"/>
      <c r="NK25" s="26"/>
      <c r="NL25" s="26"/>
      <c r="NM25" s="26"/>
      <c r="NN25" s="26"/>
      <c r="NO25" s="26"/>
      <c r="NP25" s="26"/>
      <c r="NQ25" s="26"/>
      <c r="NR25" s="26"/>
      <c r="NS25" s="26"/>
      <c r="NT25" s="20" t="str">
        <f>IF(SUM(NA25,NE25)&gt;0,SUM(NA25,NE25),"")</f>
        <v/>
      </c>
      <c r="NU25" s="20" t="str">
        <f>IF(SUM(MZ25:NA25,NC25:NE25,NG25)-NB25-NF25&gt;0,SUM(MZ25:NA25,NC25:NE25,NG25)-NB25-NF25,"")</f>
        <v/>
      </c>
      <c r="NV25" s="20" t="str">
        <f>IF(SUM(NH25:NI25,NK25)-NJ25&gt;0,SUM(NH25:NI25,NK25)-NJ25,"")</f>
        <v/>
      </c>
      <c r="NW25" s="20" t="str">
        <f>IF(SUM(NA25,NE25,NI25)&gt;0,SUM(NA25,NE25,NI25),"")</f>
        <v/>
      </c>
      <c r="NX25" s="20" t="str">
        <f>IF(SUM(NU25,NV25)&gt;0,SUM(NU25,NV25),"")</f>
        <v/>
      </c>
      <c r="NY25" s="20" t="str">
        <f>IF(SUM(NM25,NQ25)&gt;0,SUM(NM25,NQ25),"")</f>
        <v/>
      </c>
      <c r="NZ25" s="20" t="str">
        <f>IF(SUM(NL25:NM25,NO25:NQ25,NS25)-SUM(NN25,NR25)&gt;0,SUM(NL25:NM25,NO25:NQ25,NS25)-SUM(NN25,NR25),"")</f>
        <v/>
      </c>
      <c r="OA25" s="20" t="str">
        <f>IF(SUM(NU25,NZ25)&gt;0,SUM(NU25,NZ25),"")</f>
        <v/>
      </c>
      <c r="OB25" s="25"/>
      <c r="OC25" s="25"/>
      <c r="OD25" s="25"/>
      <c r="OE25" s="25"/>
      <c r="OF25" s="25"/>
      <c r="OG25" s="25"/>
      <c r="OH25" s="25"/>
      <c r="OI25" s="25"/>
      <c r="OJ25" s="25"/>
      <c r="OK25" s="25"/>
      <c r="OL25" s="25"/>
      <c r="OM25" s="25"/>
      <c r="ON25" s="25"/>
      <c r="OO25" s="25"/>
      <c r="OP25" s="25"/>
      <c r="OQ25" s="25"/>
      <c r="OR25" s="25"/>
      <c r="OS25" s="25"/>
      <c r="OT25" s="25"/>
      <c r="OU25" s="25"/>
      <c r="OV25" s="79" t="str">
        <f>IF(SUM(OC25,OG25)&gt;0,SUM(OC25,OG25),"")</f>
        <v/>
      </c>
      <c r="OW25" s="79" t="str">
        <f>IF(SUM(OB25:OC25,OE25:OG25,OI25)-OD25-OH25&gt;0,SUM(OB25:OC25,OE25:OG25,OI25)-OD25-OH25,"")</f>
        <v/>
      </c>
      <c r="OX25" s="79" t="str">
        <f>IF(SUM(OJ25:OK25,OM25)-OL25&gt;0,SUM(OJ25:OK25,OM25)-OL25,"")</f>
        <v/>
      </c>
      <c r="OY25" s="79" t="str">
        <f>IF(SUM(OC25,OG25,OK25)&gt;0,SUM(OC25,OG25,OK25),"")</f>
        <v/>
      </c>
      <c r="OZ25" s="79" t="str">
        <f>IF(SUM(OW25,OX25)&gt;0,SUM(OW25,OX25),"")</f>
        <v/>
      </c>
      <c r="PA25" s="79" t="str">
        <f>IF(SUM(OO25,OS25)&gt;0,SUM(OO25,OS25),"")</f>
        <v/>
      </c>
      <c r="PB25" s="79" t="str">
        <f>IF(SUM(ON25:OO25,OQ25:OS25,OU25)-SUM(OP25,OT25)&gt;0,SUM(ON25:OO25,OQ25:OS25,OU25)-SUM(OP25,OT25),"")</f>
        <v/>
      </c>
      <c r="PC25" s="79" t="str">
        <f>IF(SUM(OW25,PB25)&gt;0,SUM(OW25,PB25),"")</f>
        <v/>
      </c>
      <c r="PD25" s="26"/>
      <c r="PE25" s="26"/>
      <c r="PF25" s="26"/>
      <c r="PG25" s="26"/>
      <c r="PH25" s="26"/>
      <c r="PI25" s="26"/>
      <c r="PJ25" s="26"/>
      <c r="PK25" s="26"/>
      <c r="PL25" s="26"/>
      <c r="PM25" s="26"/>
      <c r="PN25" s="26"/>
      <c r="PO25" s="26"/>
      <c r="PP25" s="26"/>
      <c r="PQ25" s="26"/>
      <c r="PR25" s="26"/>
      <c r="PS25" s="26"/>
      <c r="PT25" s="26"/>
      <c r="PU25" s="26"/>
      <c r="PV25" s="26"/>
      <c r="PW25" s="26"/>
      <c r="PX25" s="20" t="str">
        <f>IF(SUM(PE25,PI25)&gt;0,SUM(PE25,PI25),"")</f>
        <v/>
      </c>
      <c r="PY25" s="20" t="str">
        <f>IF(SUM(PD25:PE25,PG25:PI25,PK25)-PF25-PJ25&gt;0,SUM(PD25:PE25,PG25:PI25,PK25)-PF25-PJ25,"")</f>
        <v/>
      </c>
      <c r="PZ25" s="20" t="str">
        <f>IF(SUM(PL25:PM25,PO25)-PN25&gt;0,SUM(PL25:PM25,PO25)-PN25,"")</f>
        <v/>
      </c>
      <c r="QA25" s="20" t="str">
        <f>IF(SUM(PE25,PI25,PM25)&gt;0,SUM(PE25,PI25,PM25),"")</f>
        <v/>
      </c>
      <c r="QB25" s="20" t="str">
        <f>IF(SUM(PY25,PZ25)&gt;0,SUM(PY25,PZ25),"")</f>
        <v/>
      </c>
      <c r="QC25" s="20" t="str">
        <f>IF(SUM(PQ25,PU25)&gt;0,SUM(PQ25,PU25),"")</f>
        <v/>
      </c>
      <c r="QD25" s="20" t="str">
        <f>IF(SUM(PP25:PQ25,PS25:PU25,PW25)-SUM(PR25,PV25)&gt;0,SUM(PP25:PQ25,PS25:PU25,PW25)-SUM(PR25,PV25),"")</f>
        <v/>
      </c>
      <c r="QE25" s="20" t="str">
        <f>IF(SUM(PY25,QD25)&gt;0,SUM(PY25,QD25),"")</f>
        <v/>
      </c>
      <c r="QF25" s="38">
        <f>IF($CV25="P",CB25,(CB25+AY25)/2)</f>
        <v>9.3000000000000007</v>
      </c>
      <c r="QG25" s="38">
        <f>IF($CV25="P",CC25,(CC25+AZ25)/2)</f>
        <v>1.8</v>
      </c>
      <c r="QH25" s="38">
        <f>IF($CV25="P",CD25,(CD25+BA25)/2)</f>
        <v>0</v>
      </c>
      <c r="QI25" s="38">
        <f>IF($CV25="P",CE25,(CE25+BB25)/2)</f>
        <v>0</v>
      </c>
      <c r="QJ25" s="38">
        <f>IF($CV25="P",CF25,(CF25+BC25)/2)</f>
        <v>9.15</v>
      </c>
      <c r="QK25" s="38">
        <f>IF($CV25="P",CG25,(CG25+BD25)/2)</f>
        <v>2.2000000000000002</v>
      </c>
      <c r="QL25" s="38">
        <f>IF($CV25="P",CH25,(CH25+BE25)/2)</f>
        <v>0</v>
      </c>
      <c r="QM25" s="38">
        <f>IF($CV25="P",CI25,(CI25+BF25)/2)</f>
        <v>0</v>
      </c>
      <c r="QN25" s="38">
        <f>IF($CV25="P",CJ25,(CJ25+BG25)/2)</f>
        <v>9.4</v>
      </c>
      <c r="QO25" s="38">
        <f>IF($CV25="P",CK25,(CK25+BH25)/2)</f>
        <v>0.3</v>
      </c>
      <c r="QP25" s="38">
        <f>IF($CV25="P",CL25,(CL25+BI25)/2)</f>
        <v>1.65</v>
      </c>
      <c r="QQ25" s="38">
        <f>IF($CV25="P",CM25,(CM25+BJ25)/2)</f>
        <v>0</v>
      </c>
      <c r="QR25" s="38">
        <f>IF($CV25="P",CN25,(CN25+BK25)/2)</f>
        <v>0</v>
      </c>
      <c r="QS25" s="38">
        <f>IF($CV25="P",CO25,(CO25+BL25)/2)</f>
        <v>0</v>
      </c>
      <c r="QT25" s="38">
        <f>IF($CV25="P",CP25,(CP25+BM25)/2)</f>
        <v>0</v>
      </c>
      <c r="QU25" s="38">
        <f>IF($CV25="P",CQ25,(CQ25+BN25)/2)</f>
        <v>0</v>
      </c>
      <c r="QV25" s="38">
        <f>IF($CV25="P",CR25,(CR25+BO25)/2)</f>
        <v>0</v>
      </c>
      <c r="QW25" s="38">
        <f>IF($CV25="P",CS25,(CS25+BP25)/2)</f>
        <v>0</v>
      </c>
      <c r="QX25" s="38">
        <f>IF($CV25="P",CT25,(CT25+BQ25)/2)</f>
        <v>0</v>
      </c>
      <c r="QY25" s="38">
        <f>IF($CV25="P",CU25,(CU25+BR25)/2)</f>
        <v>0</v>
      </c>
      <c r="QZ25" s="45" t="s">
        <v>46</v>
      </c>
      <c r="RA25" s="79">
        <f>IF(SUM(QG25,QK25)&gt;0,SUM(QG25,QK25),"")</f>
        <v>4</v>
      </c>
      <c r="RB25" s="79">
        <f>IF(SUM(QF25:QG25,QI25:QK25,QM25)-QH25-QL25&gt;0,SUM(QF25:QG25,QI25:QK25,QM25)-QH25-QL25,"")</f>
        <v>22.45</v>
      </c>
      <c r="RC25" s="79">
        <f>IF(SUM(QN25:QO25,QQ25)-QP25&gt;0,SUM(QN25:QO25,QQ25)-QP25,"")</f>
        <v>8.0500000000000007</v>
      </c>
      <c r="RD25" s="79">
        <f>IF(SUM(QG25,QK25,QO25)&gt;0,SUM(QG25,QK25,QO25),"")</f>
        <v>4.3</v>
      </c>
      <c r="RE25" s="79">
        <f>IF(SUM(RB25,RC25)&gt;0,SUM(RB25,RC25),"")</f>
        <v>30.5</v>
      </c>
      <c r="RF25" s="79" t="str">
        <f>IF(SUM(QS25,QW25)&gt;0,SUM(QS25,QW25),"")</f>
        <v/>
      </c>
      <c r="RG25" s="79" t="str">
        <f>IF(SUM(QR25:QS25,QU25:QW25,QY25)-SUM(QT25,QX25)&gt;0,SUM(QR25:QS25,QU25:QW25,QY25)-SUM(QT25,QX25),"")</f>
        <v/>
      </c>
      <c r="RH25" s="79">
        <f>IF(SUM(RB25,RG25)&gt;0,SUM(RB25,RG25),"")</f>
        <v>22.45</v>
      </c>
    </row>
    <row r="26" spans="1:476" x14ac:dyDescent="0.2">
      <c r="A26" s="5" t="str">
        <f>IF(AND(F26="P",G26="P"),SUMPRODUCT((F$4:F$27="P")*(G$4:G$27="P")*(E$4:E$27&gt;E26))+1,IF(G26="P",SUMPRODUCT((F$4:F$27="")*(G$4:G$27="P")*(E$4:E$27&gt;E26))+1+SUMPRODUCT((F$4:F$27="P")*(G$4:G$27="P")),""))</f>
        <v/>
      </c>
      <c r="B26" s="78" t="s">
        <v>149</v>
      </c>
      <c r="C26" s="5" t="s">
        <v>6</v>
      </c>
      <c r="D26" s="5">
        <v>2004</v>
      </c>
      <c r="E26" s="15">
        <f>SUM(I26:S26)+SUM(I26:O26)*0.0000001+SUM(I26)*0.0000000000001</f>
        <v>44.400004440002355</v>
      </c>
      <c r="F26" s="3" t="str">
        <f>IF(OR(AND(AQ26&gt;=AX$29,AR26&gt;=AX$33,AQ26&lt;&gt;"",AP26=""),AND(AV26&gt;=AX$29,AW26&gt;=AX$33,AV26&lt;&gt;"",AP26=""),AND(BT26&gt;=CA$29,BU26&gt;=CA$33,BT26&lt;&gt;"",BS26=""),AND(BY26&gt;=CA$29,BZ26&gt;=CA$33,BY26&lt;&gt;"",BS26=""),AND(CW26&gt;=DD$29,CX26&gt;=DD$33,CW26&lt;&gt;"",CV26=""),AND(DB26&gt;=DD$29,DC26&gt;=DD$33,DB26&lt;&gt;""),AND(EB26&gt;=EI$29,EC26&gt;=EI$33,EB26&lt;&gt;""),AND(EG26&gt;=EI$29,EH26&gt;=EI$33,EG26&lt;&gt;""),AND(FD26&gt;=FK$29,FE26&gt;=FK$33,FD26&lt;&gt;""),AND(FI26&gt;=FK$29,FJ26&gt;=FK$33,FI26&lt;&gt;""),AND(GF26&gt;=GM$29,GG26&gt;=GM$33,GF26&lt;&gt;""),AND(GK26&gt;=GM$29,GL26&gt;=GM$33,GK26&lt;&gt;""),AND(HH26&gt;=HO$29,HI26&gt;=HO$33,HH26&lt;&gt;""),AND(HM26&gt;=HO$29,HN26&gt;=HO$33,HM26&lt;&gt;""),AND(IJ26&gt;=IQ$29,IK26&gt;=IQ$33,IJ26&lt;&gt;""),AND(IO26&gt;=IQ$29,IP26&gt;=IQ$33,IO26&lt;&gt;""),AND(JL26&gt;=JS$29,JM26&gt;=JS$33,JL26&lt;&gt;""),AND(JQ26&gt;=JS$29,JR26&gt;=JS$33,JQ26&lt;&gt;""),AND(KN26&gt;=KU$29,KO26&gt;=KU$33,KN26&lt;&gt;""),AND(KS26&gt;=KU$29,KT26&gt;=KU$33,KS26&lt;&gt;""),AND(LP26&gt;=LW$29,LQ26&gt;=LW$33,LP26&lt;&gt;""),AND(LU26&gt;=LW$29,LV26&gt;=LW$33,LU26&lt;&gt;""),AND(MR26&gt;=MY$29,MS26&gt;=MY$33,MR26&lt;&gt;""),AND(MW26&gt;=MY$29,MX26&gt;=MY$33,MW26&lt;&gt;""),AND(NT26&gt;=OA$29,NU26&gt;=OA$33,NT26&lt;&gt;""),AND(NY26&gt;=OA$29,NZ26&gt;=OA$33,NY26&lt;&gt;""),AND(OV26&gt;=PC$29,OW26&gt;=PC$33,OV26&lt;&gt;""),AND(PA26&gt;=PC$29,PB26&gt;=PC$33,PA26&lt;&gt;""),AND(PX26&gt;=QE$29,PY26&gt;=QE$33,PX26&lt;&gt;""),AND(QC26&gt;=QE$29,QD26&gt;=QE$33,QC26&lt;&gt;"")),"P","")</f>
        <v/>
      </c>
      <c r="G26" s="3" t="str">
        <f>IF(OR(AND(AR26&gt;=AX$33,AR26&lt;&gt;"",AP26=""),AND(AW26&gt;=AX$33,AW26&lt;&gt;"",AP26=""),AND(BU26&gt;=CA$33,BU26&lt;&gt;"",BS26=""),AND(BZ26&gt;=CA$33,BZ26&lt;&gt;"",BS26=""),AND(CX26&gt;=DD$33,CX26&lt;&gt;"",CV26=""),AND(DC26&gt;=DD$33,DC26&lt;&gt;"",CV26=""),AND(EC26&gt;=EI$33,EC26&lt;&gt;""),AND(EH26&gt;=EI$33,EH26&lt;&gt;""),AND(FE26&gt;=FK$33,FE26&lt;&gt;""),AND(FJ26&gt;=FK$33,FJ26&lt;&gt;""),AND(GG26&gt;=GM$33,GG26&lt;&gt;""),AND(GL26&gt;=GM$33,GL26&lt;&gt;""),AND(HI26&gt;=HO$33,HI26&lt;&gt;""),AND(HN26&gt;=HO$33,HN26&lt;&gt;""),AND(IK26&gt;=IQ$33,IK26&lt;&gt;""),AND(IP26&gt;=IQ$33,IP26&lt;&gt;""),AND(JM26&gt;=JS$33,JM26&lt;&gt;""),AND(JR26&gt;=JS$33,JR26&lt;&gt;""),AND(KO26&gt;=KU$33,KO26&lt;&gt;""),AND(KT26&gt;=KU$33,KT26&lt;&gt;""),AND(LQ26&gt;=LW$33,LQ26&lt;&gt;""),AND(LV26&gt;=LW$33,LV26&lt;&gt;""),AND(MS26&gt;=MY$33,MS26&lt;&gt;""),AND(MX26&gt;=MY$33,MX26&lt;&gt;""),AND(NU26&gt;=OA$33,NU26&lt;&gt;""),AND(NZ26&gt;=OA$33,NZ26&lt;&gt;""),AND(OW26&gt;=PC$33,OW26&lt;&gt;""),AND(PB26&gt;=PC$33,PB26&lt;&gt;""),AND(PY26&gt;=QE$33,PY26&lt;&gt;""),AND(QD26&gt;=QE$33,QD26&lt;&gt;"")),"P","")</f>
        <v/>
      </c>
      <c r="H26" s="67" t="str">
        <f>IF(AND(G26="P",F26=""),"No DD",IF(OR(AND(AT26&gt;=AX$32,AU26&gt;=AX$36,AT26&lt;&gt;"",AP26=""),AND(BW26&gt;=CA$32,BX26&gt;=CA$36,BW26&lt;&gt;"",BS26=""),AND(CZ26&gt;=DD$32,DA26&gt;=DD$36,CZ26&lt;&gt;"",CV26=""),AND(EE26&gt;=EI$32,EF26&gt;=EI$36,EE26&lt;&gt;""),AND(FG26&gt;=FK$32,FH26&gt;=FK$36,FG26&lt;&gt;""),AND(GI26&gt;=GM$32,GJ26&gt;=GM$36,GI26&lt;&gt;""),AND(HK26&gt;=HO$32,HL26&gt;=HO$36,HK26&lt;&gt;""),AND(IM26&gt;=IQ$32,IN26&gt;=IQ$36,IM26&lt;&gt;""),AND(JO26&gt;=JS$32,JP26&gt;=JS$36,JO26&lt;&gt;""),AND(KQ26&gt;=KU$32,KR26&gt;=KU$36,KQ26&lt;&gt;""),AND(LS26&gt;=LW$32,LT26&gt;=LW$36,LS26&lt;&gt;""),AND(MU26&gt;=MY$32,MV26&gt;=MY$36,MU26&lt;&gt;""),AND(NW26&gt;=OA$32,NX26&gt;=OA$36,NW26&lt;&gt;""),AND(OY26&gt;=PC$32,OZ26&gt;=PC$36,OY26&lt;&gt;""),AND(QA26&gt;=QE$32,QB26&gt;=QE$36,QA26&lt;&gt;"")),"Merit",IF(OR(AND(AT26&gt;=AX$31,AU26&gt;=AX$35,AT26&lt;&gt;"",AP26=""),AND(BW26&gt;=CA$31,BX26&gt;=CA$35,BW26&lt;&gt;"",BS26=""),AND(CZ26&gt;=DD$31,DA26&gt;=DD$35,CZ26&lt;&gt;"",CV26=""),AND(EE26&gt;=EI$31,EF26&gt;=EI$35,EE26&lt;&gt;""),AND(FG26&gt;=FK$31,FH26&gt;=FK$35,FG26&lt;&gt;""),AND(GI26&gt;=GM$31,GJ26&gt;=GM$35,GI26&lt;&gt;""),AND(HK26&gt;=HO$31,HL26&gt;=HO$35,HK26&lt;&gt;""),AND(IM26&gt;=IQ$31,IN26&gt;=IQ$35,IM26&lt;&gt;""),AND(JO26&gt;=JS$31,JP26&gt;=JS$35,JO26&lt;&gt;""),AND(KQ26&gt;=KU$31,KR26&gt;=KU$35,KQ26&lt;&gt;""),AND(LS26&gt;=LW$31,LT26&gt;=LW$35,LS26&lt;&gt;""),AND(MU26&gt;=MY$31,MV26&gt;=MY$35,MU26&lt;&gt;""),AND(NW26&gt;=OA$31,NX26&gt;=OA$35,NW26&lt;&gt;""),AND(OY26&gt;=PC$31,OZ26&gt;=PC$35,OY26&lt;&gt;""),AND(QA26&gt;=QE$31,QB26&gt;=QE$35,QA26&lt;&gt;"")),"Excellence",IF(F26="P","National Team",""))))</f>
        <v/>
      </c>
      <c r="I26" s="14">
        <f>IF(COUNT(AR26,BU26,CX26)&gt;0,LARGE((AR26,BU26,CX26),1),0)</f>
        <v>23.5</v>
      </c>
      <c r="J26" s="14" t="str">
        <f>IF(I26=0,"",IF(I26=CX26,$CB$1,IF(I26=BU26,$AY$1,IF(I26=AR26,$V$1,""))))</f>
        <v>2022 Elite Canada</v>
      </c>
      <c r="K26" s="14">
        <f>IF(COUNT(AR26,BU26,CX26)&gt;1,LARGE((AR26,BU26,CX26),2),0)</f>
        <v>0</v>
      </c>
      <c r="L26" s="14" t="str">
        <f>IF(K26=0,"",IF(K26=CX26,$CB$1,IF(K26=BU26,$AY$1,IF(K26=AR26,$V$1,""))))</f>
        <v/>
      </c>
      <c r="M26" s="14">
        <f>IF(COUNT(AS26,BV26,CY26)&gt;0,LARGE((AS26,BV26,CY26),1),0)</f>
        <v>20.900000000000002</v>
      </c>
      <c r="N26" s="14" t="str">
        <f>IF(M26=0,"",IF(M26=CY26,$CB$1,IF(M26=BV26,$AY$1,IF(M26=AS26,$V$1,""))))</f>
        <v>2022 Elite Canada</v>
      </c>
      <c r="O26" s="14">
        <f>IF(COUNT(AS26,BV26,CY26)&gt;1,LARGE((AS26,BV26,CY26),2),0)</f>
        <v>0</v>
      </c>
      <c r="P26" s="14" t="str">
        <f>IF(O26=0,"",IF(O26=CY26,$CB$1,IF(O26=BV26,$AY$1,IF(O26=AS26,$V$1,""))))</f>
        <v/>
      </c>
      <c r="Q26" s="14">
        <f>IF(MAX(AW26,BZ26,DC26)&gt;0,MAX(AW26,BZ26,DC26),0)</f>
        <v>0</v>
      </c>
      <c r="R26" s="14" t="str">
        <f>IF(Q26=0,"",IF(Q26=DC26,$CB$1,IF(Q26=BZ26,$AY$1,IF(Q26=AW26,$V$1,""))))</f>
        <v/>
      </c>
      <c r="S26" s="14" t="str">
        <f>IF(MAX(DE26:DG26)&gt;0,MAX(DE26:DG26),"")</f>
        <v/>
      </c>
      <c r="T26" s="20" t="str">
        <f>IF(S26="","",IF(S26=DE26,"("&amp;DE$2&amp;")",IF(S26=DG26,"("&amp;DG$2&amp;")")))</f>
        <v/>
      </c>
      <c r="U26" s="14" t="str">
        <f>IF(S26="","",IF(S26=DE26,IF(S26+IF(K26="",0,K26)=PY26,$PD$1,IF(S26+IF(K26="",0,K26)=OW26,$OB$1,IF(S26+IF(K26="",0,K26)=NU26,$MZ$1,IF(S26+IF(K26="",0,K26)=MS26,$LX$1,IF(S26+IF(K26="",0,K26)=LQ26,$KV$1,IF(S26+IF(K26="",0,K26)=KO26,$JT$1,IF(S26+IF(K26="",0,K26)=JM26,$IR$1,IF(S26+IF(K26="",0,K26)=IK26,$HP$1,IF(S26+IF(K26="",0,K26)=HI26,$GN$1,IF(S26+IF(K26="",0,K26)=GG26,$FL$1,IF(S26+IF(K26="",0,K26)=FE26,$EJ$1,IF(S26+IF(K26="",0,K26)=EC26,$DH$1)))))))))))),IF(S26=DG26,IF(S26+IF(Q26="",0,Q26)=QD26,$PD$1,IF(S26+IF(Q26="",0,Q26)=PB26,$OB$1,IF(S26+IF(Q26="",0,Q26)=NZ26,$MZ$1,IF(S26+IF(Q26="",0,Q26)=MX26,$LX$1,IF(S26+IF(Q26="",0,Q26)=LV26,$KV$1,IF(S26+IF(Q26="",0,Q26)=KT26,$JT$1,IF(S26+IF(Q26="",0,Q26)=JR26,$IR$1,IF(S26+IF(Q26="",0,Q26)=IP26,$HP$1,IF(S26+IF(Q26="",0,Q26)=HN26,$GN$1,IF(S26+IF(Q26="",0,Q26)=GL26,$FL$1,IF(S26+IF(Q26="",0,Q26)=FJ26,$EJ$1,IF(S26+IF(Q26="",0,Q26)=EH26,$DH$1)))))))))))))))</f>
        <v/>
      </c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45"/>
      <c r="AQ26" s="79" t="str">
        <f>IF(SUM(W26,AA26)&gt;0,SUM(W26,AA26),"")</f>
        <v/>
      </c>
      <c r="AR26" s="79" t="str">
        <f>IF(SUM(V26:W26,Y26:AA26,AC26)-X26-AB26&gt;0,SUM(V26:W26,Y26:AA26,AC26)-X26-AB26,"")</f>
        <v/>
      </c>
      <c r="AS26" s="79" t="str">
        <f>IF(SUM(AD26:AE26,AG26)-AF26&gt;0,SUM(AD26:AE26,AG26)-AF26,"")</f>
        <v/>
      </c>
      <c r="AT26" s="79" t="str">
        <f>IF(SUM(W26,AA26,AE26)&gt;0,SUM(W26,AA26,AE26),"")</f>
        <v/>
      </c>
      <c r="AU26" s="79" t="str">
        <f>IF(SUM(AR26,AS26)&gt;0,SUM(AR26,AS26),"")</f>
        <v/>
      </c>
      <c r="AV26" s="79" t="str">
        <f>IF(SUM(AI26,AM26)&gt;0,SUM(AI26,AM26),"")</f>
        <v/>
      </c>
      <c r="AW26" s="79" t="str">
        <f>IF(SUM(AH26:AI26,AK26:AM26,AO26)-SUM(AJ26,AN26)&gt;0,SUM(AH26:AI26,AK26:AM26,AO26)-SUM(AJ26,AN26),"")</f>
        <v/>
      </c>
      <c r="AX26" s="79" t="str">
        <f>IF(SUM(AR26,AW26)&gt;0,SUM(AR26,AW26),"")</f>
        <v/>
      </c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46"/>
      <c r="BT26" s="20" t="str">
        <f>IF(SUM(AZ26,BD26)&gt;0,SUM(AZ26,BD26),"")</f>
        <v/>
      </c>
      <c r="BU26" s="20" t="str">
        <f>IF(SUM(AY26:AZ26,BB26:BD26,BF26)-BA26-BE26&gt;0,SUM(AY26:AZ26,BB26:BD26,BF26)-BA26-BE26,"")</f>
        <v/>
      </c>
      <c r="BV26" s="20" t="str">
        <f>IF(SUM(BG26:BH26,BJ26)-BI26&gt;0,SUM(BG26:BH26,BJ26)-BI26,"")</f>
        <v/>
      </c>
      <c r="BW26" s="20" t="str">
        <f>IF(SUM(AZ26,BD26,BH26)&gt;0,SUM(AZ26,BD26,BH26),"")</f>
        <v/>
      </c>
      <c r="BX26" s="20" t="str">
        <f>IF(SUM(BU26,BV26)&gt;0,SUM(BU26,BV26),"")</f>
        <v/>
      </c>
      <c r="BY26" s="20" t="str">
        <f>IF(SUM(BL26,BP26)&gt;0,SUM(BL26,BP26),"")</f>
        <v/>
      </c>
      <c r="BZ26" s="20" t="str">
        <f>IF(SUM(BK26:BL26,BN26:BP26,BR26)-SUM(BM26,BQ26)&gt;0,SUM(BK26:BL26,BN26:BP26,BR26)-SUM(BM26,BQ26),"")</f>
        <v/>
      </c>
      <c r="CA26" s="20" t="str">
        <f>IF(SUM(BU26,BZ26)&gt;0,SUM(BU26,BZ26),"")</f>
        <v/>
      </c>
      <c r="CB26" s="27">
        <v>0</v>
      </c>
      <c r="CC26" s="27">
        <v>0</v>
      </c>
      <c r="CD26" s="27">
        <v>0</v>
      </c>
      <c r="CE26" s="27">
        <v>0</v>
      </c>
      <c r="CF26" s="27">
        <v>19.3</v>
      </c>
      <c r="CG26" s="27">
        <v>4.8</v>
      </c>
      <c r="CH26" s="27">
        <v>0.6</v>
      </c>
      <c r="CI26" s="27">
        <v>0</v>
      </c>
      <c r="CJ26" s="27">
        <v>16.8</v>
      </c>
      <c r="CK26" s="27">
        <v>4.3</v>
      </c>
      <c r="CL26" s="27">
        <v>0.2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45"/>
      <c r="CW26" s="79">
        <f>IF(SUM(CC26,CG26)&gt;0,SUM(CC26,CG26),"")</f>
        <v>4.8</v>
      </c>
      <c r="CX26" s="79">
        <f>IF(SUM(CB26:CC26,CE26:CG26,CI26)-CD26-CH26&gt;0,SUM(CB26:CC26,CE26:CG26,CI26)-CD26-CH26,"")</f>
        <v>23.5</v>
      </c>
      <c r="CY26" s="79">
        <f>IF(SUM(CJ26:CK26,CM26)-CL26&gt;0,SUM(CJ26:CK26,CM26)-CL26,"")</f>
        <v>20.900000000000002</v>
      </c>
      <c r="CZ26" s="79">
        <f>IF(SUM(CC26,CG26,CK26)&gt;0,SUM(CC26,CG26,CK26),"")</f>
        <v>9.1</v>
      </c>
      <c r="DA26" s="79">
        <f>IF(SUM(CX26,CY26)&gt;0,SUM(CX26,CY26),"")</f>
        <v>44.400000000000006</v>
      </c>
      <c r="DB26" s="79" t="str">
        <f>IF(SUM(CO26,CS26)&gt;0,SUM(CO26,CS26),"")</f>
        <v/>
      </c>
      <c r="DC26" s="79" t="str">
        <f>IF(SUM(CN26:CO26,CQ26:CS26,CU26)-SUM(CP26,CT26)&gt;0,SUM(CN26:CO26,CQ26:CS26,CU26)-SUM(CP26,CT26),"")</f>
        <v/>
      </c>
      <c r="DD26" s="79">
        <f>IF(SUM(CX26,DC26)&gt;0,SUM(CX26,DC26),"")</f>
        <v>23.5</v>
      </c>
      <c r="DE26" s="80" t="str">
        <f>IF(K26&gt;=0.001,IF(MAX(EC26,FE26,GG26,HI26,IK26,JM26,KO26,LQ26,MS26,NU26,OW26,PY26)-IF(K26="",0,K26)&gt;0.001,MAX(EC26,FE26,GG26,HI26,IK26,JM26,KO26,LQ26,MS26,NU26,OW26,PY26)-IF(K26="",0,K26),""),"")</f>
        <v/>
      </c>
      <c r="DF26" s="80" t="str">
        <f>IF(O26&gt;=0.001,IF(MAX(ED26,FF26,GH26,HJ26,IL26,JN26,KP26,LR26,MT26,NV26,OX26,PZ26)-IF(O26="",0,O26)&gt;0.001,MAX(ED26,FF26,GH26,HJ26,IL26,JN26,KP26,LR26,MT26,NV26,OX26,PZ26)-IF(O26="",0,O26),""),"")</f>
        <v/>
      </c>
      <c r="DG26" s="80" t="str">
        <f>IF(Q26&gt;=0.001,IF(MAX(EH26,FJ26,GL26,HN26,IP26,JR26,KT26,LV26,MX26,NZ26,PB26,QD26)-IF(Q26="",0,Q26)&gt;0.001,MAX(EH26,FJ26,GL26,HN26,IP26,JR26,KT26,LV26,MX26,NZ26,PB26,QD26)-IF(Q26="",0,Q26),""),"")</f>
        <v/>
      </c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79" t="str">
        <f>IF(SUM(DI26,DM26)&gt;0,SUM(DI26,DM26),"")</f>
        <v/>
      </c>
      <c r="EC26" s="79" t="str">
        <f>IF(SUM(DH26:DI26,DK26:DM26,DO26)-DJ26-DN26&gt;0,SUM(DH26:DI26,DK26:DM26,DO26)-DJ26-DN26,"")</f>
        <v/>
      </c>
      <c r="ED26" s="79" t="str">
        <f>IF(SUM(DP26:DQ26,DS26)-DR26&gt;0,SUM(DP26:DQ26,DS26)-DR26,"")</f>
        <v/>
      </c>
      <c r="EE26" s="79" t="str">
        <f>IF(SUM(DI26,DM26,DQ26)&gt;0,SUM(DI26,DM26,DQ26),"")</f>
        <v/>
      </c>
      <c r="EF26" s="79" t="str">
        <f>IF(SUM(EC26,ED26)&gt;0,SUM(EC26,ED26),"")</f>
        <v/>
      </c>
      <c r="EG26" s="79" t="str">
        <f>IF(SUM(DU26,DY26)&gt;0,SUM(DU26,DY26),"")</f>
        <v/>
      </c>
      <c r="EH26" s="79" t="str">
        <f>IF(SUM(DT26:DU26,DW26:DY26,EA26)-SUM(DV26,DZ26)&gt;0,SUM(DT26:DU26,DW26:DY26,EA26)-SUM(DV26,DZ26),"")</f>
        <v/>
      </c>
      <c r="EI26" s="79" t="str">
        <f>IF(SUM(EC26,EH26)&gt;0,SUM(EC26,EH26),"")</f>
        <v/>
      </c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0" t="str">
        <f>IF(SUM(EK26,EO26)&gt;0,SUM(EK26,EO26),"")</f>
        <v/>
      </c>
      <c r="FE26" s="20" t="str">
        <f>IF(SUM(EJ26:EK26,EM26:EO26,EQ26)-EL26-EP26&gt;0,SUM(EJ26:EK26,EM26:EO26,EQ26)-EL26-EP26,"")</f>
        <v/>
      </c>
      <c r="FF26" s="20" t="str">
        <f>IF(SUM(ER26:ES26,EU26)-ET26&gt;0,SUM(ER26:ES26,EU26)-ET26,"")</f>
        <v/>
      </c>
      <c r="FG26" s="20" t="str">
        <f>IF(SUM(EK26,EO26,ES26)&gt;0,SUM(EK26,EO26,ES26),"")</f>
        <v/>
      </c>
      <c r="FH26" s="20" t="str">
        <f>IF(SUM(FE26,FF26)&gt;0,SUM(FE26,FF26),"")</f>
        <v/>
      </c>
      <c r="FI26" s="20" t="str">
        <f>IF(SUM(EW26,FA26)&gt;0,SUM(EW26,FA26),"")</f>
        <v/>
      </c>
      <c r="FJ26" s="20" t="str">
        <f>IF(SUM(EV26:EW26,EY26:FA26,FC26)-SUM(EX26,FB26)&gt;0,SUM(EV26:EW26,EY26:FA26,FC26)-SUM(EX26,FB26),"")</f>
        <v/>
      </c>
      <c r="FK26" s="20" t="str">
        <f>IF(SUM(FE26,FJ26)&gt;0,SUM(FE26,FJ26),"")</f>
        <v/>
      </c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79" t="str">
        <f>IF(SUM(FM26,FQ26)&gt;0,SUM(FM26,FQ26),"")</f>
        <v/>
      </c>
      <c r="GG26" s="79" t="str">
        <f>IF(SUM(FL26:FM26,FO26:FQ26,FS26)-FN26-FR26&gt;0,SUM(FL26:FM26,FO26:FQ26,FS26)-FN26-FR26,"")</f>
        <v/>
      </c>
      <c r="GH26" s="79" t="str">
        <f>IF(SUM(FT26:FU26,FW26)-FV26&gt;0,SUM(FT26:FU26,FW26)-FV26,"")</f>
        <v/>
      </c>
      <c r="GI26" s="79" t="str">
        <f>IF(SUM(FM26,FQ26,FU26)&gt;0,SUM(FM26,FQ26,FU26),"")</f>
        <v/>
      </c>
      <c r="GJ26" s="79" t="str">
        <f>IF(SUM(GG26,GH26)&gt;0,SUM(GG26,GH26),"")</f>
        <v/>
      </c>
      <c r="GK26" s="79" t="str">
        <f>IF(SUM(FY26,GC26)&gt;0,SUM(FY26,GC26),"")</f>
        <v/>
      </c>
      <c r="GL26" s="79" t="str">
        <f>IF(SUM(FX26:FY26,GA26:GC26,GE26)-SUM(FZ26,GD26)&gt;0,SUM(FX26:FY26,GA26:GC26,GE26)-SUM(FZ26,GD26),"")</f>
        <v/>
      </c>
      <c r="GM26" s="79" t="str">
        <f>IF(SUM(GG26,GL26)&gt;0,SUM(GG26,GL26),"")</f>
        <v/>
      </c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0" t="str">
        <f>IF(SUM(GO26,GS26)&gt;0,SUM(GO26,GS26),"")</f>
        <v/>
      </c>
      <c r="HI26" s="20" t="str">
        <f>IF(SUM(GN26:GO26,GQ26:GS26,GU26)-GP26-GT26&gt;0,SUM(GN26:GO26,GQ26:GS26,GU26)-GP26-GT26,"")</f>
        <v/>
      </c>
      <c r="HJ26" s="20" t="str">
        <f>IF(SUM(GV26:GW26,GY26)-GX26&gt;0,SUM(GV26:GW26,GY26)-GX26,"")</f>
        <v/>
      </c>
      <c r="HK26" s="20" t="str">
        <f>IF(SUM(GO26,GS26,GW26)&gt;0,SUM(GO26,GS26,GW26),"")</f>
        <v/>
      </c>
      <c r="HL26" s="20" t="str">
        <f>IF(SUM(HI26,HJ26)&gt;0,SUM(HI26,HJ26),"")</f>
        <v/>
      </c>
      <c r="HM26" s="20" t="str">
        <f>IF(SUM(HA26,HE26)&gt;0,SUM(HA26,HE26),"")</f>
        <v/>
      </c>
      <c r="HN26" s="20" t="str">
        <f>IF(SUM(GZ26:HA26,HC26:HE26,HG26)-SUM(HB26,HF26)&gt;0,SUM(GZ26:HA26,HC26:HE26,HG26)-SUM(HB26,HF26),"")</f>
        <v/>
      </c>
      <c r="HO26" s="20" t="str">
        <f>IF(SUM(HI26,HN26)&gt;0,SUM(HI26,HN26),"")</f>
        <v/>
      </c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79" t="str">
        <f>IF(SUM(HQ26,HU26)&gt;0,SUM(HQ26,HU26),"")</f>
        <v/>
      </c>
      <c r="IK26" s="79" t="str">
        <f>IF(SUM(HP26:HQ26,HS26:HU26,HW26)-HR26-HV26&gt;0,SUM(HP26:HQ26,HS26:HU26,HW26)-HR26-HV26,"")</f>
        <v/>
      </c>
      <c r="IL26" s="79" t="str">
        <f>IF(SUM(HX26:HY26,IA26)-HZ26&gt;0,SUM(HX26:HY26,IA26)-HZ26,"")</f>
        <v/>
      </c>
      <c r="IM26" s="79" t="str">
        <f>IF(SUM(HQ26,HU26,HY26)&gt;0,SUM(HQ26,HU26,HY26),"")</f>
        <v/>
      </c>
      <c r="IN26" s="79" t="str">
        <f>IF(SUM(IK26,IL26)&gt;0,SUM(IK26,IL26),"")</f>
        <v/>
      </c>
      <c r="IO26" s="79" t="str">
        <f>IF(SUM(IC26,IG26)&gt;0,SUM(IC26,IG26),"")</f>
        <v/>
      </c>
      <c r="IP26" s="79" t="str">
        <f>IF(SUM(IB26:IC26,IE26:IG26,II26)-SUM(ID26,IH26)&gt;0,SUM(IB26:IC26,IE26:IG26,II26)-SUM(ID26,IH26),"")</f>
        <v/>
      </c>
      <c r="IQ26" s="79" t="str">
        <f>IF(SUM(IK26,IP26)&gt;0,SUM(IK26,IP26),"")</f>
        <v/>
      </c>
      <c r="IR26" s="26"/>
      <c r="IS26" s="26"/>
      <c r="IT26" s="26"/>
      <c r="IU26" s="26"/>
      <c r="IV26" s="26"/>
      <c r="IW26" s="26"/>
      <c r="IX26" s="26"/>
      <c r="IY26" s="26"/>
      <c r="IZ26" s="26"/>
      <c r="JA26" s="26"/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0" t="str">
        <f>IF(SUM(IS26,IW26)&gt;0,SUM(IS26,IW26),"")</f>
        <v/>
      </c>
      <c r="JM26" s="20" t="str">
        <f>IF(SUM(IR26:IS26,IU26:IW26,IY26)-IT26-IX26&gt;0,SUM(IR26:IS26,IU26:IW26,IY26)-IT26-IX26,"")</f>
        <v/>
      </c>
      <c r="JN26" s="20" t="str">
        <f>IF(SUM(IZ26:JA26,JC26)-JB26&gt;0,SUM(IZ26:JA26,JC26)-JB26,"")</f>
        <v/>
      </c>
      <c r="JO26" s="20" t="str">
        <f>IF(SUM(IS26,IW26,JA26)&gt;0,SUM(IS26,IW26,JA26),"")</f>
        <v/>
      </c>
      <c r="JP26" s="20" t="str">
        <f>IF(SUM(JM26,JN26)&gt;0,SUM(JM26,JN26),"")</f>
        <v/>
      </c>
      <c r="JQ26" s="20" t="str">
        <f>IF(SUM(JE26,JI26)&gt;0,SUM(JE26,JI26),"")</f>
        <v/>
      </c>
      <c r="JR26" s="20" t="str">
        <f>IF(SUM(JD26:JE26,JG26:JI26,JK26)-SUM(JF26,JJ26)&gt;0,SUM(JD26:JE26,JG26:JI26,JK26)-SUM(JF26,JJ26),"")</f>
        <v/>
      </c>
      <c r="JS26" s="20" t="str">
        <f>IF(SUM(JM26,JR26)&gt;0,SUM(JM26,JR26),"")</f>
        <v/>
      </c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79" t="str">
        <f>IF(SUM(JU26,JY26)&gt;0,SUM(JU26,JY26),"")</f>
        <v/>
      </c>
      <c r="KO26" s="79" t="str">
        <f>IF(SUM(JT26:JU26,JW26:JY26,KA26)-JV26-JZ26&gt;0,SUM(JT26:JU26,JW26:JY26,KA26)-JV26-JZ26,"")</f>
        <v/>
      </c>
      <c r="KP26" s="79" t="str">
        <f>IF(SUM(KB26:KC26,KE26)-KD26&gt;0,SUM(KB26:KC26,KE26)-KD26,"")</f>
        <v/>
      </c>
      <c r="KQ26" s="79" t="str">
        <f>IF(SUM(JU26,JY26,KC26)&gt;0,SUM(JU26,JY26,KC26),"")</f>
        <v/>
      </c>
      <c r="KR26" s="79" t="str">
        <f>IF(SUM(KO26,KP26)&gt;0,SUM(KO26,KP26),"")</f>
        <v/>
      </c>
      <c r="KS26" s="79" t="str">
        <f>IF(SUM(KG26,KK26)&gt;0,SUM(KG26,KK26),"")</f>
        <v/>
      </c>
      <c r="KT26" s="79" t="str">
        <f>IF(SUM(KF26:KG26,KI26:KK26,KM26)-SUM(KH26,KL26)&gt;0,SUM(KF26:KG26,KI26:KK26,KM26)-SUM(KH26,KL26),"")</f>
        <v/>
      </c>
      <c r="KU26" s="79" t="str">
        <f>IF(SUM(KO26,KT26)&gt;0,SUM(KO26,KT26),"")</f>
        <v/>
      </c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26"/>
      <c r="LJ26" s="26"/>
      <c r="LK26" s="26"/>
      <c r="LL26" s="26"/>
      <c r="LM26" s="26"/>
      <c r="LN26" s="26"/>
      <c r="LO26" s="26"/>
      <c r="LP26" s="20" t="str">
        <f>IF(SUM(KW26,LA26)&gt;0,SUM(KW26,LA26),"")</f>
        <v/>
      </c>
      <c r="LQ26" s="20" t="str">
        <f>IF(SUM(KV26:KW26,KY26:LA26,LC26)-KX26-LB26&gt;0,SUM(KV26:KW26,KY26:LA26,LC26)-KX26-LB26,"")</f>
        <v/>
      </c>
      <c r="LR26" s="20" t="str">
        <f>IF(SUM(LD26:LE26,LG26)-LF26&gt;0,SUM(LD26:LE26,LG26)-LF26,"")</f>
        <v/>
      </c>
      <c r="LS26" s="20" t="str">
        <f>IF(SUM(KW26,LA26,LE26)&gt;0,SUM(KW26,LA26,LE26),"")</f>
        <v/>
      </c>
      <c r="LT26" s="20" t="str">
        <f>IF(SUM(LQ26,LR26)&gt;0,SUM(LQ26,LR26),"")</f>
        <v/>
      </c>
      <c r="LU26" s="20" t="str">
        <f>IF(SUM(LI26,LM26)&gt;0,SUM(LI26,LM26),"")</f>
        <v/>
      </c>
      <c r="LV26" s="20" t="str">
        <f>IF(SUM(LH26:LI26,LK26:LM26,LO26)-SUM(LJ26,LN26)&gt;0,SUM(LH26:LI26,LK26:LM26,LO26)-SUM(LJ26,LN26),"")</f>
        <v/>
      </c>
      <c r="LW26" s="20" t="str">
        <f>IF(SUM(LQ26,LV26)&gt;0,SUM(LQ26,LV26),"")</f>
        <v/>
      </c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79" t="str">
        <f>IF(SUM(LY26,MC26)&gt;0,SUM(LY26,MC26),"")</f>
        <v/>
      </c>
      <c r="MS26" s="79" t="str">
        <f>IF(SUM(LX26:LY26,MA26:MC26,ME26)-LZ26-MD26&gt;0,SUM(LX26:LY26,MA26:MC26,ME26)-LZ26-MD26,"")</f>
        <v/>
      </c>
      <c r="MT26" s="79" t="str">
        <f>IF(SUM(MF26:MG26,MI26)-MH26&gt;0,SUM(MF26:MG26,MI26)-MH26,"")</f>
        <v/>
      </c>
      <c r="MU26" s="79" t="str">
        <f>IF(SUM(LY26,MC26,MG26)&gt;0,SUM(LY26,MC26,MG26),"")</f>
        <v/>
      </c>
      <c r="MV26" s="79" t="str">
        <f>IF(SUM(MS26,MT26)&gt;0,SUM(MS26,MT26),"")</f>
        <v/>
      </c>
      <c r="MW26" s="79" t="str">
        <f>IF(SUM(MK26,MO26)&gt;0,SUM(MK26,MO26),"")</f>
        <v/>
      </c>
      <c r="MX26" s="79" t="str">
        <f>IF(SUM(MJ26:MK26,MM26:MO26,MQ26)-SUM(ML26,MP26)&gt;0,SUM(MJ26:MK26,MM26:MO26,MQ26)-SUM(ML26,MP26),"")</f>
        <v/>
      </c>
      <c r="MY26" s="79" t="str">
        <f>IF(SUM(MS26,MX26)&gt;0,SUM(MS26,MX26),"")</f>
        <v/>
      </c>
      <c r="MZ26" s="26"/>
      <c r="NA26" s="26"/>
      <c r="NB26" s="26"/>
      <c r="NC26" s="26"/>
      <c r="ND26" s="26"/>
      <c r="NE26" s="26"/>
      <c r="NF26" s="26"/>
      <c r="NG26" s="26"/>
      <c r="NH26" s="26"/>
      <c r="NI26" s="26"/>
      <c r="NJ26" s="26"/>
      <c r="NK26" s="26"/>
      <c r="NL26" s="26"/>
      <c r="NM26" s="26"/>
      <c r="NN26" s="26"/>
      <c r="NO26" s="26"/>
      <c r="NP26" s="26"/>
      <c r="NQ26" s="26"/>
      <c r="NR26" s="26"/>
      <c r="NS26" s="26"/>
      <c r="NT26" s="20" t="str">
        <f>IF(SUM(NA26,NE26)&gt;0,SUM(NA26,NE26),"")</f>
        <v/>
      </c>
      <c r="NU26" s="20" t="str">
        <f>IF(SUM(MZ26:NA26,NC26:NE26,NG26)-NB26-NF26&gt;0,SUM(MZ26:NA26,NC26:NE26,NG26)-NB26-NF26,"")</f>
        <v/>
      </c>
      <c r="NV26" s="20" t="str">
        <f>IF(SUM(NH26:NI26,NK26)-NJ26&gt;0,SUM(NH26:NI26,NK26)-NJ26,"")</f>
        <v/>
      </c>
      <c r="NW26" s="20" t="str">
        <f>IF(SUM(NA26,NE26,NI26)&gt;0,SUM(NA26,NE26,NI26),"")</f>
        <v/>
      </c>
      <c r="NX26" s="20" t="str">
        <f>IF(SUM(NU26,NV26)&gt;0,SUM(NU26,NV26),"")</f>
        <v/>
      </c>
      <c r="NY26" s="20" t="str">
        <f>IF(SUM(NM26,NQ26)&gt;0,SUM(NM26,NQ26),"")</f>
        <v/>
      </c>
      <c r="NZ26" s="20" t="str">
        <f>IF(SUM(NL26:NM26,NO26:NQ26,NS26)-SUM(NN26,NR26)&gt;0,SUM(NL26:NM26,NO26:NQ26,NS26)-SUM(NN26,NR26),"")</f>
        <v/>
      </c>
      <c r="OA26" s="20" t="str">
        <f>IF(SUM(NU26,NZ26)&gt;0,SUM(NU26,NZ26),"")</f>
        <v/>
      </c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79" t="str">
        <f>IF(SUM(OC26,OG26)&gt;0,SUM(OC26,OG26),"")</f>
        <v/>
      </c>
      <c r="OW26" s="79" t="str">
        <f>IF(SUM(OB26:OC26,OE26:OG26,OI26)-OD26-OH26&gt;0,SUM(OB26:OC26,OE26:OG26,OI26)-OD26-OH26,"")</f>
        <v/>
      </c>
      <c r="OX26" s="79" t="str">
        <f>IF(SUM(OJ26:OK26,OM26)-OL26&gt;0,SUM(OJ26:OK26,OM26)-OL26,"")</f>
        <v/>
      </c>
      <c r="OY26" s="79" t="str">
        <f>IF(SUM(OC26,OG26,OK26)&gt;0,SUM(OC26,OG26,OK26),"")</f>
        <v/>
      </c>
      <c r="OZ26" s="79" t="str">
        <f>IF(SUM(OW26,OX26)&gt;0,SUM(OW26,OX26),"")</f>
        <v/>
      </c>
      <c r="PA26" s="79" t="str">
        <f>IF(SUM(OO26,OS26)&gt;0,SUM(OO26,OS26),"")</f>
        <v/>
      </c>
      <c r="PB26" s="79" t="str">
        <f>IF(SUM(ON26:OO26,OQ26:OS26,OU26)-SUM(OP26,OT26)&gt;0,SUM(ON26:OO26,OQ26:OS26,OU26)-SUM(OP26,OT26),"")</f>
        <v/>
      </c>
      <c r="PC26" s="79" t="str">
        <f>IF(SUM(OW26,PB26)&gt;0,SUM(OW26,PB26),"")</f>
        <v/>
      </c>
      <c r="PD26" s="26"/>
      <c r="PE26" s="26"/>
      <c r="PF26" s="26"/>
      <c r="PG26" s="26"/>
      <c r="PH26" s="26"/>
      <c r="PI26" s="26"/>
      <c r="PJ26" s="26"/>
      <c r="PK26" s="26"/>
      <c r="PL26" s="26"/>
      <c r="PM26" s="26"/>
      <c r="PN26" s="26"/>
      <c r="PO26" s="26"/>
      <c r="PP26" s="26"/>
      <c r="PQ26" s="26"/>
      <c r="PR26" s="26"/>
      <c r="PS26" s="26"/>
      <c r="PT26" s="26"/>
      <c r="PU26" s="26"/>
      <c r="PV26" s="26"/>
      <c r="PW26" s="26"/>
      <c r="PX26" s="20" t="str">
        <f>IF(SUM(PE26,PI26)&gt;0,SUM(PE26,PI26),"")</f>
        <v/>
      </c>
      <c r="PY26" s="20" t="str">
        <f>IF(SUM(PD26:PE26,PG26:PI26,PK26)-PF26-PJ26&gt;0,SUM(PD26:PE26,PG26:PI26,PK26)-PF26-PJ26,"")</f>
        <v/>
      </c>
      <c r="PZ26" s="20" t="str">
        <f>IF(SUM(PL26:PM26,PO26)-PN26&gt;0,SUM(PL26:PM26,PO26)-PN26,"")</f>
        <v/>
      </c>
      <c r="QA26" s="20" t="str">
        <f>IF(SUM(PE26,PI26,PM26)&gt;0,SUM(PE26,PI26,PM26),"")</f>
        <v/>
      </c>
      <c r="QB26" s="20" t="str">
        <f>IF(SUM(PY26,PZ26)&gt;0,SUM(PY26,PZ26),"")</f>
        <v/>
      </c>
      <c r="QC26" s="20" t="str">
        <f>IF(SUM(PQ26,PU26)&gt;0,SUM(PQ26,PU26),"")</f>
        <v/>
      </c>
      <c r="QD26" s="20" t="str">
        <f>IF(SUM(PP26:PQ26,PS26:PU26,PW26)-SUM(PR26,PV26)&gt;0,SUM(PP26:PQ26,PS26:PU26,PW26)-SUM(PR26,PV26),"")</f>
        <v/>
      </c>
      <c r="QE26" s="20" t="str">
        <f>IF(SUM(PY26,QD26)&gt;0,SUM(PY26,QD26),"")</f>
        <v/>
      </c>
      <c r="QF26" s="38">
        <f>IF($CV26="P",CB26,(CB26+AY26)/2)</f>
        <v>0</v>
      </c>
      <c r="QG26" s="38">
        <f>IF($CV26="P",CC26,(CC26+AZ26)/2)</f>
        <v>0</v>
      </c>
      <c r="QH26" s="38">
        <f>IF($CV26="P",CD26,(CD26+BA26)/2)</f>
        <v>0</v>
      </c>
      <c r="QI26" s="38">
        <f>IF($CV26="P",CE26,(CE26+BB26)/2)</f>
        <v>0</v>
      </c>
      <c r="QJ26" s="38">
        <f>IF($CV26="P",CF26,(CF26+BC26)/2)</f>
        <v>9.65</v>
      </c>
      <c r="QK26" s="38">
        <f>IF($CV26="P",CG26,(CG26+BD26)/2)</f>
        <v>2.4</v>
      </c>
      <c r="QL26" s="38">
        <f>IF($CV26="P",CH26,(CH26+BE26)/2)</f>
        <v>0.3</v>
      </c>
      <c r="QM26" s="38">
        <f>IF($CV26="P",CI26,(CI26+BF26)/2)</f>
        <v>0</v>
      </c>
      <c r="QN26" s="38">
        <f>IF($CV26="P",CJ26,(CJ26+BG26)/2)</f>
        <v>8.4</v>
      </c>
      <c r="QO26" s="38">
        <f>IF($CV26="P",CK26,(CK26+BH26)/2)</f>
        <v>2.15</v>
      </c>
      <c r="QP26" s="38">
        <f>IF($CV26="P",CL26,(CL26+BI26)/2)</f>
        <v>0.1</v>
      </c>
      <c r="QQ26" s="38">
        <f>IF($CV26="P",CM26,(CM26+BJ26)/2)</f>
        <v>0</v>
      </c>
      <c r="QR26" s="38">
        <f>IF($CV26="P",CN26,(CN26+BK26)/2)</f>
        <v>0</v>
      </c>
      <c r="QS26" s="38">
        <f>IF($CV26="P",CO26,(CO26+BL26)/2)</f>
        <v>0</v>
      </c>
      <c r="QT26" s="38">
        <f>IF($CV26="P",CP26,(CP26+BM26)/2)</f>
        <v>0</v>
      </c>
      <c r="QU26" s="38">
        <f>IF($CV26="P",CQ26,(CQ26+BN26)/2)</f>
        <v>0</v>
      </c>
      <c r="QV26" s="38">
        <f>IF($CV26="P",CR26,(CR26+BO26)/2)</f>
        <v>0</v>
      </c>
      <c r="QW26" s="38">
        <f>IF($CV26="P",CS26,(CS26+BP26)/2)</f>
        <v>0</v>
      </c>
      <c r="QX26" s="38">
        <f>IF($CV26="P",CT26,(CT26+BQ26)/2)</f>
        <v>0</v>
      </c>
      <c r="QY26" s="38">
        <f>IF($CV26="P",CU26,(CU26+BR26)/2)</f>
        <v>0</v>
      </c>
      <c r="QZ26" s="45" t="s">
        <v>46</v>
      </c>
      <c r="RA26" s="79">
        <f>IF(SUM(QG26,QK26)&gt;0,SUM(QG26,QK26),"")</f>
        <v>2.4</v>
      </c>
      <c r="RB26" s="79">
        <f>IF(SUM(QF26:QG26,QI26:QK26,QM26)-QH26-QL26&gt;0,SUM(QF26:QG26,QI26:QK26,QM26)-QH26-QL26,"")</f>
        <v>11.75</v>
      </c>
      <c r="RC26" s="79">
        <f>IF(SUM(QN26:QO26,QQ26)-QP26&gt;0,SUM(QN26:QO26,QQ26)-QP26,"")</f>
        <v>10.450000000000001</v>
      </c>
      <c r="RD26" s="79">
        <f>IF(SUM(QG26,QK26,QO26)&gt;0,SUM(QG26,QK26,QO26),"")</f>
        <v>4.55</v>
      </c>
      <c r="RE26" s="79">
        <f>IF(SUM(RB26,RC26)&gt;0,SUM(RB26,RC26),"")</f>
        <v>22.200000000000003</v>
      </c>
      <c r="RF26" s="79" t="str">
        <f>IF(SUM(QS26,QW26)&gt;0,SUM(QS26,QW26),"")</f>
        <v/>
      </c>
      <c r="RG26" s="79" t="str">
        <f>IF(SUM(QR26:QS26,QU26:QW26,QY26)-SUM(QT26,QX26)&gt;0,SUM(QR26:QS26,QU26:QW26,QY26)-SUM(QT26,QX26),"")</f>
        <v/>
      </c>
      <c r="RH26" s="79">
        <f>IF(SUM(RB26,RG26)&gt;0,SUM(RB26,RG26),"")</f>
        <v>11.75</v>
      </c>
    </row>
    <row r="27" spans="1:476" ht="17" x14ac:dyDescent="0.2">
      <c r="S27" s="16"/>
      <c r="T27" s="16"/>
      <c r="U27" s="16"/>
    </row>
    <row r="28" spans="1:476" ht="17" x14ac:dyDescent="0.2">
      <c r="S28" s="16"/>
      <c r="T28" s="16"/>
      <c r="U28" s="16"/>
    </row>
    <row r="29" spans="1:476" ht="17" x14ac:dyDescent="0.2">
      <c r="B29" s="81" t="s">
        <v>44</v>
      </c>
      <c r="S29" s="16"/>
      <c r="T29" s="16"/>
      <c r="U29" s="16"/>
      <c r="AQ29" s="5"/>
      <c r="AX29" s="82">
        <v>1E-4</v>
      </c>
      <c r="BT29" s="5"/>
      <c r="CA29" s="82">
        <v>1E-4</v>
      </c>
      <c r="CW29" s="5"/>
      <c r="DD29" s="82">
        <v>13.2</v>
      </c>
      <c r="EB29" s="5"/>
      <c r="EI29" s="82">
        <v>1E-4</v>
      </c>
      <c r="FD29" s="5"/>
      <c r="FK29" s="82">
        <v>13.2</v>
      </c>
      <c r="GF29" s="5"/>
      <c r="GM29" s="82">
        <v>13.2</v>
      </c>
      <c r="HH29" s="5"/>
      <c r="HO29" s="82">
        <v>13.2</v>
      </c>
      <c r="IJ29" s="5"/>
      <c r="IQ29" s="82">
        <v>13.2</v>
      </c>
      <c r="JL29" s="5"/>
      <c r="JS29" s="82">
        <v>13.2</v>
      </c>
      <c r="KN29" s="5"/>
      <c r="KU29" s="82">
        <v>13.2</v>
      </c>
      <c r="LP29" s="5"/>
      <c r="LW29" s="82">
        <v>13.2</v>
      </c>
      <c r="MR29" s="5"/>
      <c r="MY29" s="82">
        <v>13.2</v>
      </c>
      <c r="NT29" s="5"/>
      <c r="OA29" s="82">
        <v>13.2</v>
      </c>
      <c r="OV29" s="5"/>
      <c r="PC29" s="82">
        <v>13.2</v>
      </c>
      <c r="PX29" s="5"/>
      <c r="QE29" s="82">
        <v>13.2</v>
      </c>
    </row>
    <row r="30" spans="1:476" ht="17" hidden="1" x14ac:dyDescent="0.2">
      <c r="B30" s="83" t="s">
        <v>43</v>
      </c>
      <c r="S30" s="16"/>
      <c r="T30" s="16"/>
      <c r="U30" s="16"/>
      <c r="AQ30" s="5"/>
      <c r="AX30" s="84">
        <v>1000</v>
      </c>
      <c r="BT30" s="5"/>
      <c r="CA30" s="84">
        <v>1000</v>
      </c>
      <c r="CW30" s="5"/>
      <c r="DD30" s="84">
        <v>1000</v>
      </c>
      <c r="EB30" s="5"/>
      <c r="EI30" s="84">
        <v>1000</v>
      </c>
      <c r="FD30" s="5"/>
      <c r="FK30" s="84">
        <v>1000</v>
      </c>
      <c r="GF30" s="5"/>
      <c r="GM30" s="84">
        <v>1000</v>
      </c>
      <c r="HH30" s="5"/>
      <c r="HO30" s="84">
        <v>1000</v>
      </c>
      <c r="IJ30" s="5"/>
      <c r="IQ30" s="84">
        <v>1000</v>
      </c>
      <c r="JL30" s="5"/>
      <c r="JS30" s="84">
        <v>1000</v>
      </c>
      <c r="KN30" s="5"/>
      <c r="KU30" s="84">
        <v>1000</v>
      </c>
      <c r="LP30" s="5"/>
      <c r="LW30" s="84">
        <v>1000</v>
      </c>
      <c r="MR30" s="5"/>
      <c r="MY30" s="84">
        <v>1000</v>
      </c>
      <c r="NT30" s="5"/>
      <c r="OA30" s="84">
        <v>1000</v>
      </c>
      <c r="OV30" s="5"/>
      <c r="PC30" s="84">
        <v>1000</v>
      </c>
      <c r="PX30" s="5"/>
      <c r="QE30" s="84">
        <v>1000</v>
      </c>
    </row>
    <row r="31" spans="1:476" ht="17" hidden="1" x14ac:dyDescent="0.2">
      <c r="A31" s="78"/>
      <c r="B31" s="76" t="s">
        <v>55</v>
      </c>
      <c r="C31" s="85"/>
      <c r="S31" s="16"/>
      <c r="T31" s="16"/>
      <c r="U31" s="16"/>
      <c r="AQ31" s="5"/>
      <c r="AX31" s="86">
        <v>1000</v>
      </c>
      <c r="BT31" s="5"/>
      <c r="CA31" s="86">
        <v>1000</v>
      </c>
      <c r="CW31" s="5"/>
      <c r="DD31" s="86">
        <v>1000</v>
      </c>
      <c r="EB31" s="5"/>
      <c r="EI31" s="86">
        <v>1000</v>
      </c>
      <c r="FD31" s="5"/>
      <c r="FK31" s="86">
        <v>1000</v>
      </c>
      <c r="GF31" s="5"/>
      <c r="GM31" s="86">
        <v>1000</v>
      </c>
      <c r="HH31" s="5"/>
      <c r="HO31" s="86">
        <v>1000</v>
      </c>
      <c r="IJ31" s="5"/>
      <c r="IQ31" s="86">
        <v>1000</v>
      </c>
      <c r="JL31" s="5"/>
      <c r="JS31" s="86">
        <v>1000</v>
      </c>
      <c r="KN31" s="5"/>
      <c r="KU31" s="86">
        <v>1000</v>
      </c>
      <c r="LP31" s="5"/>
      <c r="LW31" s="86">
        <v>1000</v>
      </c>
      <c r="MR31" s="5"/>
      <c r="MY31" s="86">
        <v>1000</v>
      </c>
      <c r="NT31" s="5"/>
      <c r="OA31" s="86">
        <v>1000</v>
      </c>
      <c r="OV31" s="5"/>
      <c r="PC31" s="86">
        <v>1000</v>
      </c>
      <c r="PX31" s="5"/>
      <c r="QE31" s="86">
        <v>1000</v>
      </c>
    </row>
    <row r="32" spans="1:476" ht="17" hidden="1" x14ac:dyDescent="0.2">
      <c r="A32" s="78"/>
      <c r="B32" s="87" t="s">
        <v>62</v>
      </c>
      <c r="C32" s="85"/>
      <c r="S32" s="16"/>
      <c r="T32" s="16"/>
      <c r="U32" s="16"/>
      <c r="AQ32" s="5"/>
      <c r="AX32" s="97">
        <v>1000</v>
      </c>
      <c r="BT32" s="5"/>
      <c r="CA32" s="97">
        <v>1000</v>
      </c>
      <c r="CW32" s="5"/>
      <c r="DD32" s="97">
        <v>1000</v>
      </c>
      <c r="EB32" s="5"/>
      <c r="EI32" s="97">
        <v>1000</v>
      </c>
      <c r="FD32" s="5"/>
      <c r="FK32" s="97">
        <v>1000</v>
      </c>
      <c r="GF32" s="5"/>
      <c r="GM32" s="97">
        <v>1000</v>
      </c>
      <c r="HH32" s="5"/>
      <c r="HO32" s="97">
        <v>1000</v>
      </c>
      <c r="IJ32" s="5"/>
      <c r="IQ32" s="97">
        <v>1000</v>
      </c>
      <c r="JL32" s="5"/>
      <c r="JS32" s="97">
        <v>1000</v>
      </c>
      <c r="KN32" s="5"/>
      <c r="KU32" s="97">
        <v>1000</v>
      </c>
      <c r="LP32" s="5"/>
      <c r="LW32" s="97">
        <v>1000</v>
      </c>
      <c r="MR32" s="5"/>
      <c r="MY32" s="97">
        <v>1000</v>
      </c>
      <c r="NT32" s="5"/>
      <c r="OA32" s="97">
        <v>1000</v>
      </c>
      <c r="OV32" s="5"/>
      <c r="PC32" s="97">
        <v>1000</v>
      </c>
      <c r="PX32" s="5"/>
      <c r="QE32" s="97">
        <v>1000</v>
      </c>
    </row>
    <row r="33" spans="1:457" ht="17" x14ac:dyDescent="0.2">
      <c r="A33" s="78"/>
      <c r="B33" s="89" t="s">
        <v>41</v>
      </c>
      <c r="C33" s="85"/>
      <c r="S33" s="16"/>
      <c r="T33" s="16"/>
      <c r="U33" s="16"/>
      <c r="AQ33" s="5"/>
      <c r="AU33" s="67" t="s">
        <v>178</v>
      </c>
      <c r="AX33" s="98">
        <v>2.0000000000000001E-4</v>
      </c>
      <c r="BT33" s="5"/>
      <c r="BX33" s="67" t="s">
        <v>178</v>
      </c>
      <c r="CA33" s="98">
        <v>2.0000000000000001E-4</v>
      </c>
      <c r="CW33" s="5"/>
      <c r="DD33" s="98">
        <v>49.6</v>
      </c>
      <c r="EB33" s="5"/>
      <c r="EF33" s="67" t="s">
        <v>178</v>
      </c>
      <c r="EI33" s="98">
        <v>2.0000000000000001E-4</v>
      </c>
      <c r="FD33" s="5"/>
      <c r="FK33" s="98">
        <v>49.6</v>
      </c>
      <c r="GF33" s="5"/>
      <c r="GM33" s="98">
        <v>49.6</v>
      </c>
      <c r="HH33" s="5"/>
      <c r="HO33" s="98">
        <v>49.6</v>
      </c>
      <c r="IJ33" s="5"/>
      <c r="IQ33" s="98">
        <v>49.6</v>
      </c>
      <c r="JL33" s="5"/>
      <c r="JS33" s="98">
        <v>49.6</v>
      </c>
      <c r="KN33" s="5"/>
      <c r="KU33" s="98">
        <v>49.6</v>
      </c>
      <c r="LP33" s="5"/>
      <c r="LW33" s="98">
        <v>49.6</v>
      </c>
      <c r="MR33" s="5"/>
      <c r="MY33" s="98">
        <v>49.6</v>
      </c>
      <c r="NT33" s="5"/>
      <c r="OA33" s="98">
        <v>49.6</v>
      </c>
      <c r="OV33" s="5"/>
      <c r="PC33" s="98">
        <v>49.6</v>
      </c>
      <c r="PX33" s="5"/>
      <c r="QE33" s="98">
        <v>49.6</v>
      </c>
    </row>
    <row r="34" spans="1:457" ht="17" hidden="1" x14ac:dyDescent="0.2">
      <c r="A34" s="78"/>
      <c r="B34" s="91" t="s">
        <v>42</v>
      </c>
      <c r="C34" s="85"/>
      <c r="S34" s="16"/>
      <c r="T34" s="16"/>
      <c r="U34" s="16"/>
      <c r="AQ34" s="5"/>
      <c r="AX34" s="92">
        <v>1000</v>
      </c>
      <c r="BT34" s="5"/>
      <c r="CA34" s="92">
        <v>1000</v>
      </c>
      <c r="CW34" s="5"/>
      <c r="DD34" s="92">
        <v>1000</v>
      </c>
      <c r="EB34" s="5"/>
      <c r="EI34" s="92">
        <v>1000</v>
      </c>
      <c r="FD34" s="5"/>
      <c r="FK34" s="92">
        <v>1000</v>
      </c>
      <c r="GF34" s="5"/>
      <c r="GM34" s="92">
        <v>1000</v>
      </c>
      <c r="HH34" s="5"/>
      <c r="HO34" s="92">
        <v>1000</v>
      </c>
      <c r="IJ34" s="5"/>
      <c r="IQ34" s="92">
        <v>1000</v>
      </c>
      <c r="JL34" s="5"/>
      <c r="JS34" s="92">
        <v>1000</v>
      </c>
      <c r="KN34" s="5"/>
      <c r="KU34" s="92">
        <v>1000</v>
      </c>
      <c r="LP34" s="5"/>
      <c r="LW34" s="92">
        <v>1000</v>
      </c>
      <c r="MR34" s="5"/>
      <c r="MY34" s="92">
        <v>1000</v>
      </c>
      <c r="NT34" s="5"/>
      <c r="OA34" s="92">
        <v>1000</v>
      </c>
      <c r="OV34" s="5"/>
      <c r="PC34" s="92">
        <v>1000</v>
      </c>
      <c r="PX34" s="5"/>
      <c r="QE34" s="92">
        <v>1000</v>
      </c>
    </row>
    <row r="35" spans="1:457" ht="17" hidden="1" x14ac:dyDescent="0.2">
      <c r="A35" s="78"/>
      <c r="B35" s="93" t="s">
        <v>54</v>
      </c>
      <c r="C35" s="85"/>
      <c r="S35" s="16"/>
      <c r="T35" s="16"/>
      <c r="U35" s="16"/>
      <c r="AQ35" s="5"/>
      <c r="AX35" s="94">
        <v>1000</v>
      </c>
      <c r="BT35" s="5"/>
      <c r="CA35" s="94">
        <v>1000</v>
      </c>
      <c r="CW35" s="5"/>
      <c r="DD35" s="94">
        <v>1000</v>
      </c>
      <c r="EB35" s="5"/>
      <c r="EI35" s="94">
        <v>1000</v>
      </c>
      <c r="FD35" s="5"/>
      <c r="FK35" s="94">
        <v>1000</v>
      </c>
      <c r="GF35" s="5"/>
      <c r="GM35" s="94">
        <v>1000</v>
      </c>
      <c r="HH35" s="5"/>
      <c r="HO35" s="94">
        <v>1000</v>
      </c>
      <c r="IJ35" s="5"/>
      <c r="IQ35" s="94">
        <v>1000</v>
      </c>
      <c r="JL35" s="5"/>
      <c r="JS35" s="94">
        <v>1000</v>
      </c>
      <c r="KN35" s="5"/>
      <c r="KU35" s="94">
        <v>1000</v>
      </c>
      <c r="LP35" s="5"/>
      <c r="LW35" s="94">
        <v>1000</v>
      </c>
      <c r="MR35" s="5"/>
      <c r="MY35" s="94">
        <v>1000</v>
      </c>
      <c r="NT35" s="5"/>
      <c r="OA35" s="94">
        <v>1000</v>
      </c>
      <c r="OV35" s="5"/>
      <c r="PC35" s="94">
        <v>1000</v>
      </c>
      <c r="PX35" s="5"/>
      <c r="QE35" s="94">
        <v>1000</v>
      </c>
    </row>
    <row r="36" spans="1:457" ht="17" hidden="1" x14ac:dyDescent="0.2">
      <c r="A36" s="78"/>
      <c r="B36" s="95" t="s">
        <v>28</v>
      </c>
      <c r="C36" s="85"/>
      <c r="S36" s="16"/>
      <c r="T36" s="16"/>
      <c r="U36" s="16"/>
      <c r="AQ36" s="5"/>
      <c r="AX36" s="96">
        <v>1000</v>
      </c>
      <c r="BT36" s="5"/>
      <c r="CA36" s="96">
        <v>1000</v>
      </c>
      <c r="CW36" s="5"/>
      <c r="DD36" s="96">
        <v>1000</v>
      </c>
      <c r="EB36" s="5"/>
      <c r="EI36" s="96">
        <v>1000</v>
      </c>
      <c r="FD36" s="5"/>
      <c r="FK36" s="96">
        <v>1000</v>
      </c>
      <c r="GF36" s="5"/>
      <c r="GM36" s="96">
        <v>1000</v>
      </c>
      <c r="HH36" s="5"/>
      <c r="HO36" s="96">
        <v>1000</v>
      </c>
      <c r="IJ36" s="5"/>
      <c r="IQ36" s="96">
        <v>1000</v>
      </c>
      <c r="JL36" s="5"/>
      <c r="JS36" s="96">
        <v>1000</v>
      </c>
      <c r="KN36" s="5"/>
      <c r="KU36" s="96">
        <v>1000</v>
      </c>
      <c r="LP36" s="5"/>
      <c r="LW36" s="96">
        <v>1000</v>
      </c>
      <c r="MR36" s="5"/>
      <c r="MY36" s="96">
        <v>1000</v>
      </c>
      <c r="NT36" s="5"/>
      <c r="OA36" s="96">
        <v>1000</v>
      </c>
      <c r="OV36" s="5"/>
      <c r="PC36" s="96">
        <v>1000</v>
      </c>
      <c r="PX36" s="5"/>
      <c r="QE36" s="96">
        <v>1000</v>
      </c>
    </row>
    <row r="37" spans="1:457" x14ac:dyDescent="0.2">
      <c r="B37" s="47" t="s">
        <v>47</v>
      </c>
      <c r="C37" s="2"/>
    </row>
    <row r="38" spans="1:457" x14ac:dyDescent="0.2">
      <c r="A38" s="78"/>
      <c r="B38" s="78"/>
      <c r="C38" s="85"/>
      <c r="QG38" s="2"/>
      <c r="QH38" s="2"/>
      <c r="QI38" s="2"/>
      <c r="QJ38" s="2"/>
      <c r="QK38" s="2"/>
      <c r="QL38" s="2"/>
      <c r="QM38" s="2"/>
      <c r="QN38" s="2"/>
      <c r="QO38" s="2"/>
    </row>
    <row r="39" spans="1:457" x14ac:dyDescent="0.2">
      <c r="A39" s="78"/>
      <c r="B39" s="78"/>
      <c r="C39" s="85"/>
    </row>
    <row r="40" spans="1:457" x14ac:dyDescent="0.2">
      <c r="A40" s="78"/>
      <c r="B40" s="78"/>
      <c r="C40" s="85"/>
    </row>
    <row r="41" spans="1:457" x14ac:dyDescent="0.2">
      <c r="A41" s="78"/>
      <c r="B41" s="78"/>
      <c r="C41" s="78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26">
      <sortCondition descending="1" ref="F1:F27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6">
    <cfRule type="expression" dxfId="55" priority="1" stopIfTrue="1">
      <formula>IF($AP4&lt;&gt;"",1,0)</formula>
    </cfRule>
  </conditionalFormatting>
  <conditionalFormatting sqref="AY4:CA26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26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3" priority="13" operator="between">
      <formula>AX$29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4" operator="between">
      <formula>AX$33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41" priority="15" operator="between">
      <formula>AX$29</formula>
      <formula>AX$30</formula>
    </cfRule>
    <cfRule type="cellIs" dxfId="40" priority="16" operator="between">
      <formula>AX$30</formula>
      <formula>AX$31</formula>
    </cfRule>
    <cfRule type="cellIs" dxfId="39" priority="17" operator="between">
      <formula>AX$31</formula>
      <formula>AX$32</formula>
    </cfRule>
    <cfRule type="cellIs" dxfId="38" priority="18" operator="between">
      <formula>AX$32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7" priority="19" operator="between">
      <formula>AX$33</formula>
      <formula>AX$34</formula>
    </cfRule>
    <cfRule type="cellIs" dxfId="36" priority="20" operator="between">
      <formula>AX$34</formula>
      <formula>AX$35</formula>
    </cfRule>
    <cfRule type="cellIs" dxfId="35" priority="21" operator="between">
      <formula>AX$35</formula>
      <formula>AX$36</formula>
    </cfRule>
    <cfRule type="cellIs" dxfId="34" priority="22" operator="between">
      <formula>AX$36</formula>
      <formula>1000</formula>
    </cfRule>
  </conditionalFormatting>
  <conditionalFormatting sqref="BX1:BX32 DA1:DA1048576 EF1:EF32 FH1:FH1048576 GJ1:GJ1048576 HL1:HL1048576 IN1:IN1048576 JP1:JP1048576 KR1:KR1048576 LT1:LT1048576 MV1:MV1048576 NX1:NX1048576 OZ1:OZ1048576 QB1:QB1048576 AU1:AU32 AU34:AU1048576 BX34:BX1048576 EF34:EF1048576">
    <cfRule type="cellIs" dxfId="33" priority="23" operator="between">
      <formula>AX$36</formula>
      <formula>1000</formula>
    </cfRule>
    <cfRule type="cellIs" dxfId="32" priority="24" operator="between">
      <formula>AX$35</formula>
      <formula>AX$36</formula>
    </cfRule>
    <cfRule type="cellIs" dxfId="31" priority="25" operator="between">
      <formula>AX$34</formula>
      <formula>AX$35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26" operator="between">
      <formula>AX$32</formula>
      <formula>1000</formula>
    </cfRule>
    <cfRule type="cellIs" dxfId="29" priority="27" operator="between">
      <formula>AX$31</formula>
      <formula>AX$32</formula>
    </cfRule>
    <cfRule type="cellIs" dxfId="28" priority="28" operator="between">
      <formula>AX$30</formula>
      <formula>AX$31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3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40.33203125" bestFit="1" customWidth="1"/>
    <col min="22" max="42" width="10.83203125" hidden="1" customWidth="1"/>
    <col min="43" max="50" width="10.83203125" style="67" customWidth="1"/>
    <col min="51" max="71" width="10.83203125" hidden="1" customWidth="1"/>
    <col min="72" max="79" width="10.83203125" style="67" customWidth="1"/>
    <col min="80" max="100" width="10.83203125" hidden="1" customWidth="1"/>
    <col min="101" max="108" width="10.83203125" style="67" customWidth="1"/>
    <col min="109" max="111" width="10.83203125" style="67"/>
    <col min="112" max="131" width="10.83203125" hidden="1" customWidth="1"/>
    <col min="132" max="139" width="10.83203125" style="67" customWidth="1"/>
    <col min="140" max="159" width="10.83203125" hidden="1" customWidth="1"/>
    <col min="160" max="167" width="10.83203125" style="67" customWidth="1"/>
    <col min="168" max="187" width="10.83203125" hidden="1" customWidth="1"/>
    <col min="188" max="195" width="10.83203125" style="67" customWidth="1"/>
    <col min="196" max="215" width="10.83203125" hidden="1" customWidth="1"/>
    <col min="216" max="223" width="10.83203125" style="67" customWidth="1"/>
    <col min="224" max="243" width="10.83203125" hidden="1" customWidth="1"/>
    <col min="244" max="251" width="10.83203125" style="67" hidden="1" customWidth="1"/>
    <col min="252" max="271" width="10.83203125" hidden="1" customWidth="1"/>
    <col min="272" max="279" width="10.83203125" style="67" hidden="1" customWidth="1"/>
    <col min="280" max="299" width="10.83203125" hidden="1" customWidth="1"/>
    <col min="300" max="307" width="10.83203125" style="67" hidden="1" customWidth="1"/>
    <col min="308" max="327" width="10.83203125" hidden="1" customWidth="1"/>
    <col min="328" max="335" width="10.83203125" style="67" hidden="1" customWidth="1"/>
    <col min="336" max="355" width="10.83203125" hidden="1" customWidth="1"/>
    <col min="356" max="363" width="10.83203125" style="67" hidden="1" customWidth="1"/>
    <col min="364" max="383" width="10.83203125" hidden="1" customWidth="1"/>
    <col min="384" max="391" width="10.83203125" style="67" hidden="1" customWidth="1"/>
    <col min="392" max="411" width="10.83203125" hidden="1" customWidth="1"/>
    <col min="412" max="419" width="10.83203125" style="67" hidden="1" customWidth="1"/>
    <col min="420" max="439" width="10.83203125" hidden="1" customWidth="1"/>
    <col min="440" max="447" width="10.83203125" style="67" hidden="1" customWidth="1"/>
    <col min="448" max="468" width="10.83203125" hidden="1" customWidth="1"/>
    <col min="469" max="476" width="10.83203125" style="67" hidden="1" customWidth="1"/>
  </cols>
  <sheetData>
    <row r="1" spans="1:476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162</v>
      </c>
      <c r="J1" s="108" t="s">
        <v>26</v>
      </c>
      <c r="K1" s="107" t="s">
        <v>163</v>
      </c>
      <c r="L1" s="108" t="s">
        <v>26</v>
      </c>
      <c r="M1" s="107" t="s">
        <v>173</v>
      </c>
      <c r="N1" s="108" t="s">
        <v>26</v>
      </c>
      <c r="O1" s="107" t="s">
        <v>174</v>
      </c>
      <c r="P1" s="108" t="s">
        <v>26</v>
      </c>
      <c r="Q1" s="108" t="s">
        <v>10</v>
      </c>
      <c r="R1" s="108" t="s">
        <v>26</v>
      </c>
      <c r="S1" s="109" t="s">
        <v>11</v>
      </c>
      <c r="T1" s="108" t="s">
        <v>27</v>
      </c>
      <c r="U1" s="108" t="s">
        <v>26</v>
      </c>
      <c r="V1" s="100" t="s">
        <v>106</v>
      </c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4" t="s">
        <v>123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0" t="s">
        <v>133</v>
      </c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2" t="s">
        <v>164</v>
      </c>
      <c r="DF1" s="102"/>
      <c r="DG1" s="102"/>
      <c r="DH1" s="100" t="s">
        <v>127</v>
      </c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4" t="s">
        <v>131</v>
      </c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0" t="s">
        <v>175</v>
      </c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0"/>
      <c r="GA1" s="100"/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4" t="s">
        <v>179</v>
      </c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0"/>
      <c r="HQ1" s="100"/>
      <c r="HR1" s="100"/>
      <c r="HS1" s="100"/>
      <c r="HT1" s="100"/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0"/>
      <c r="JU1" s="100"/>
      <c r="JV1" s="100"/>
      <c r="JW1" s="100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0"/>
      <c r="KU1" s="100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0"/>
      <c r="MM1" s="100"/>
      <c r="MN1" s="100"/>
      <c r="MO1" s="100"/>
      <c r="MP1" s="100"/>
      <c r="MQ1" s="100"/>
      <c r="MR1" s="100"/>
      <c r="MS1" s="100"/>
      <c r="MT1" s="100"/>
      <c r="MU1" s="100"/>
      <c r="MV1" s="100"/>
      <c r="MW1" s="100"/>
      <c r="MX1" s="100"/>
      <c r="MY1" s="100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0"/>
      <c r="OC1" s="100"/>
      <c r="OD1" s="100"/>
      <c r="OE1" s="100"/>
      <c r="OF1" s="100"/>
      <c r="OG1" s="100"/>
      <c r="OH1" s="100"/>
      <c r="OI1" s="100"/>
      <c r="OJ1" s="100"/>
      <c r="OK1" s="100"/>
      <c r="OL1" s="100"/>
      <c r="OM1" s="100"/>
      <c r="ON1" s="100"/>
      <c r="OO1" s="100"/>
      <c r="OP1" s="100"/>
      <c r="OQ1" s="100"/>
      <c r="OR1" s="100"/>
      <c r="OS1" s="100"/>
      <c r="OT1" s="100"/>
      <c r="OU1" s="100"/>
      <c r="OV1" s="100"/>
      <c r="OW1" s="100"/>
      <c r="OX1" s="100"/>
      <c r="OY1" s="100"/>
      <c r="OZ1" s="100"/>
      <c r="PA1" s="100"/>
      <c r="PB1" s="100"/>
      <c r="PC1" s="100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4"/>
      <c r="QB1" s="104"/>
      <c r="QC1" s="104"/>
      <c r="QD1" s="104"/>
      <c r="QE1" s="104"/>
      <c r="QF1" s="100" t="s">
        <v>56</v>
      </c>
      <c r="QG1" s="100"/>
      <c r="QH1" s="100"/>
      <c r="QI1" s="100"/>
      <c r="QJ1" s="100"/>
      <c r="QK1" s="100"/>
      <c r="QL1" s="100"/>
      <c r="QM1" s="100"/>
      <c r="QN1" s="100"/>
      <c r="QO1" s="100"/>
      <c r="QP1" s="100"/>
      <c r="QQ1" s="100"/>
      <c r="QR1" s="100"/>
      <c r="QS1" s="100"/>
      <c r="QT1" s="100"/>
      <c r="QU1" s="100"/>
      <c r="QV1" s="100"/>
      <c r="QW1" s="100"/>
      <c r="QX1" s="100"/>
      <c r="QY1" s="100"/>
      <c r="QZ1" s="100"/>
      <c r="RA1" s="100"/>
      <c r="RB1" s="100"/>
      <c r="RC1" s="100"/>
      <c r="RD1" s="100"/>
      <c r="RE1" s="100"/>
      <c r="RF1" s="100"/>
      <c r="RG1" s="100"/>
      <c r="RH1" s="100"/>
    </row>
    <row r="2" spans="1:476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7"/>
      <c r="N2" s="108"/>
      <c r="O2" s="107"/>
      <c r="P2" s="108"/>
      <c r="Q2" s="108"/>
      <c r="R2" s="108"/>
      <c r="S2" s="109"/>
      <c r="T2" s="108"/>
      <c r="U2" s="108"/>
      <c r="V2" s="101" t="s">
        <v>165</v>
      </c>
      <c r="W2" s="101"/>
      <c r="X2" s="101"/>
      <c r="Y2" s="101"/>
      <c r="Z2" s="101" t="s">
        <v>166</v>
      </c>
      <c r="AA2" s="101"/>
      <c r="AB2" s="101"/>
      <c r="AC2" s="101"/>
      <c r="AD2" s="101" t="s">
        <v>167</v>
      </c>
      <c r="AE2" s="101"/>
      <c r="AF2" s="101"/>
      <c r="AG2" s="101"/>
      <c r="AH2" s="101" t="s">
        <v>168</v>
      </c>
      <c r="AI2" s="101"/>
      <c r="AJ2" s="101"/>
      <c r="AK2" s="101"/>
      <c r="AL2" s="111" t="s">
        <v>169</v>
      </c>
      <c r="AM2" s="111"/>
      <c r="AN2" s="111"/>
      <c r="AO2" s="111"/>
      <c r="AP2" s="72"/>
      <c r="AQ2" s="72" t="s">
        <v>170</v>
      </c>
      <c r="AR2" s="72" t="s">
        <v>171</v>
      </c>
      <c r="AS2" s="72" t="s">
        <v>167</v>
      </c>
      <c r="AT2" s="72" t="s">
        <v>22</v>
      </c>
      <c r="AU2" s="72" t="s">
        <v>21</v>
      </c>
      <c r="AV2" s="72" t="s">
        <v>57</v>
      </c>
      <c r="AW2" s="72" t="s">
        <v>172</v>
      </c>
      <c r="AX2" s="72" t="s">
        <v>15</v>
      </c>
      <c r="AY2" s="103" t="s">
        <v>165</v>
      </c>
      <c r="AZ2" s="103"/>
      <c r="BA2" s="103"/>
      <c r="BB2" s="103"/>
      <c r="BC2" s="103" t="s">
        <v>166</v>
      </c>
      <c r="BD2" s="103"/>
      <c r="BE2" s="103"/>
      <c r="BF2" s="103"/>
      <c r="BG2" s="103" t="s">
        <v>167</v>
      </c>
      <c r="BH2" s="103"/>
      <c r="BI2" s="103"/>
      <c r="BJ2" s="103"/>
      <c r="BK2" s="103" t="s">
        <v>168</v>
      </c>
      <c r="BL2" s="103"/>
      <c r="BM2" s="103"/>
      <c r="BN2" s="103"/>
      <c r="BO2" s="112" t="s">
        <v>169</v>
      </c>
      <c r="BP2" s="112"/>
      <c r="BQ2" s="112"/>
      <c r="BR2" s="112"/>
      <c r="BS2" s="71"/>
      <c r="BT2" s="71" t="s">
        <v>170</v>
      </c>
      <c r="BU2" s="71" t="s">
        <v>171</v>
      </c>
      <c r="BV2" s="71" t="s">
        <v>167</v>
      </c>
      <c r="BW2" s="71" t="s">
        <v>22</v>
      </c>
      <c r="BX2" s="71" t="s">
        <v>21</v>
      </c>
      <c r="BY2" s="71" t="s">
        <v>57</v>
      </c>
      <c r="BZ2" s="71" t="s">
        <v>172</v>
      </c>
      <c r="CA2" s="71" t="s">
        <v>15</v>
      </c>
      <c r="CB2" s="101" t="s">
        <v>165</v>
      </c>
      <c r="CC2" s="101"/>
      <c r="CD2" s="101"/>
      <c r="CE2" s="101"/>
      <c r="CF2" s="101" t="s">
        <v>166</v>
      </c>
      <c r="CG2" s="101"/>
      <c r="CH2" s="101"/>
      <c r="CI2" s="101"/>
      <c r="CJ2" s="101" t="s">
        <v>167</v>
      </c>
      <c r="CK2" s="101"/>
      <c r="CL2" s="101"/>
      <c r="CM2" s="101"/>
      <c r="CN2" s="101" t="s">
        <v>168</v>
      </c>
      <c r="CO2" s="101"/>
      <c r="CP2" s="101"/>
      <c r="CQ2" s="101"/>
      <c r="CR2" s="111" t="s">
        <v>169</v>
      </c>
      <c r="CS2" s="111"/>
      <c r="CT2" s="111"/>
      <c r="CU2" s="111"/>
      <c r="CV2" s="72"/>
      <c r="CW2" s="72" t="s">
        <v>170</v>
      </c>
      <c r="CX2" s="72" t="s">
        <v>171</v>
      </c>
      <c r="CY2" s="72" t="s">
        <v>167</v>
      </c>
      <c r="CZ2" s="72" t="s">
        <v>22</v>
      </c>
      <c r="DA2" s="72" t="s">
        <v>21</v>
      </c>
      <c r="DB2" s="72" t="s">
        <v>57</v>
      </c>
      <c r="DC2" s="72" t="s">
        <v>172</v>
      </c>
      <c r="DD2" s="72" t="s">
        <v>15</v>
      </c>
      <c r="DE2" s="77" t="s">
        <v>171</v>
      </c>
      <c r="DF2" s="77" t="s">
        <v>167</v>
      </c>
      <c r="DG2" s="77" t="s">
        <v>20</v>
      </c>
      <c r="DH2" s="101" t="s">
        <v>165</v>
      </c>
      <c r="DI2" s="101"/>
      <c r="DJ2" s="101"/>
      <c r="DK2" s="101"/>
      <c r="DL2" s="101" t="s">
        <v>166</v>
      </c>
      <c r="DM2" s="101"/>
      <c r="DN2" s="101"/>
      <c r="DO2" s="101"/>
      <c r="DP2" s="101" t="s">
        <v>167</v>
      </c>
      <c r="DQ2" s="101"/>
      <c r="DR2" s="101"/>
      <c r="DS2" s="101"/>
      <c r="DT2" s="101" t="s">
        <v>168</v>
      </c>
      <c r="DU2" s="101"/>
      <c r="DV2" s="101"/>
      <c r="DW2" s="101"/>
      <c r="DX2" s="110" t="s">
        <v>169</v>
      </c>
      <c r="DY2" s="110"/>
      <c r="DZ2" s="110"/>
      <c r="EA2" s="110"/>
      <c r="EB2" s="72" t="s">
        <v>170</v>
      </c>
      <c r="EC2" s="72" t="s">
        <v>171</v>
      </c>
      <c r="ED2" s="72" t="s">
        <v>167</v>
      </c>
      <c r="EE2" s="72" t="s">
        <v>22</v>
      </c>
      <c r="EF2" s="72" t="s">
        <v>21</v>
      </c>
      <c r="EG2" s="72" t="s">
        <v>57</v>
      </c>
      <c r="EH2" s="72" t="s">
        <v>172</v>
      </c>
      <c r="EI2" s="72" t="s">
        <v>15</v>
      </c>
      <c r="EJ2" s="103" t="s">
        <v>165</v>
      </c>
      <c r="EK2" s="103"/>
      <c r="EL2" s="103"/>
      <c r="EM2" s="103"/>
      <c r="EN2" s="103" t="s">
        <v>166</v>
      </c>
      <c r="EO2" s="103"/>
      <c r="EP2" s="103"/>
      <c r="EQ2" s="103"/>
      <c r="ER2" s="103" t="s">
        <v>167</v>
      </c>
      <c r="ES2" s="103"/>
      <c r="ET2" s="103"/>
      <c r="EU2" s="103"/>
      <c r="EV2" s="103" t="s">
        <v>168</v>
      </c>
      <c r="EW2" s="103"/>
      <c r="EX2" s="103"/>
      <c r="EY2" s="103"/>
      <c r="EZ2" s="112" t="s">
        <v>169</v>
      </c>
      <c r="FA2" s="112"/>
      <c r="FB2" s="112"/>
      <c r="FC2" s="112"/>
      <c r="FD2" s="71" t="s">
        <v>170</v>
      </c>
      <c r="FE2" s="71" t="s">
        <v>171</v>
      </c>
      <c r="FF2" s="71" t="s">
        <v>167</v>
      </c>
      <c r="FG2" s="71" t="s">
        <v>22</v>
      </c>
      <c r="FH2" s="71" t="s">
        <v>21</v>
      </c>
      <c r="FI2" s="71" t="s">
        <v>57</v>
      </c>
      <c r="FJ2" s="71" t="s">
        <v>172</v>
      </c>
      <c r="FK2" s="71" t="s">
        <v>15</v>
      </c>
      <c r="FL2" s="101" t="s">
        <v>165</v>
      </c>
      <c r="FM2" s="101"/>
      <c r="FN2" s="101"/>
      <c r="FO2" s="101"/>
      <c r="FP2" s="101" t="s">
        <v>166</v>
      </c>
      <c r="FQ2" s="101"/>
      <c r="FR2" s="101"/>
      <c r="FS2" s="101"/>
      <c r="FT2" s="101" t="s">
        <v>167</v>
      </c>
      <c r="FU2" s="101"/>
      <c r="FV2" s="101"/>
      <c r="FW2" s="101"/>
      <c r="FX2" s="101" t="s">
        <v>168</v>
      </c>
      <c r="FY2" s="101"/>
      <c r="FZ2" s="101"/>
      <c r="GA2" s="101"/>
      <c r="GB2" s="110" t="s">
        <v>169</v>
      </c>
      <c r="GC2" s="110"/>
      <c r="GD2" s="110"/>
      <c r="GE2" s="110"/>
      <c r="GF2" s="72" t="s">
        <v>170</v>
      </c>
      <c r="GG2" s="72" t="s">
        <v>171</v>
      </c>
      <c r="GH2" s="72" t="s">
        <v>167</v>
      </c>
      <c r="GI2" s="72" t="s">
        <v>22</v>
      </c>
      <c r="GJ2" s="72" t="s">
        <v>21</v>
      </c>
      <c r="GK2" s="72" t="s">
        <v>57</v>
      </c>
      <c r="GL2" s="72" t="s">
        <v>172</v>
      </c>
      <c r="GM2" s="72" t="s">
        <v>15</v>
      </c>
      <c r="GN2" s="103" t="s">
        <v>165</v>
      </c>
      <c r="GO2" s="103"/>
      <c r="GP2" s="103"/>
      <c r="GQ2" s="103"/>
      <c r="GR2" s="103" t="s">
        <v>166</v>
      </c>
      <c r="GS2" s="103"/>
      <c r="GT2" s="103"/>
      <c r="GU2" s="103"/>
      <c r="GV2" s="103" t="s">
        <v>167</v>
      </c>
      <c r="GW2" s="103"/>
      <c r="GX2" s="103"/>
      <c r="GY2" s="103"/>
      <c r="GZ2" s="103" t="s">
        <v>168</v>
      </c>
      <c r="HA2" s="103"/>
      <c r="HB2" s="103"/>
      <c r="HC2" s="103"/>
      <c r="HD2" s="112" t="s">
        <v>169</v>
      </c>
      <c r="HE2" s="112"/>
      <c r="HF2" s="112"/>
      <c r="HG2" s="112"/>
      <c r="HH2" s="71" t="s">
        <v>170</v>
      </c>
      <c r="HI2" s="71" t="s">
        <v>171</v>
      </c>
      <c r="HJ2" s="71" t="s">
        <v>167</v>
      </c>
      <c r="HK2" s="71" t="s">
        <v>22</v>
      </c>
      <c r="HL2" s="71" t="s">
        <v>21</v>
      </c>
      <c r="HM2" s="71" t="s">
        <v>57</v>
      </c>
      <c r="HN2" s="71" t="s">
        <v>172</v>
      </c>
      <c r="HO2" s="71" t="s">
        <v>15</v>
      </c>
      <c r="HP2" s="101" t="s">
        <v>165</v>
      </c>
      <c r="HQ2" s="101"/>
      <c r="HR2" s="101"/>
      <c r="HS2" s="101"/>
      <c r="HT2" s="101" t="s">
        <v>166</v>
      </c>
      <c r="HU2" s="101"/>
      <c r="HV2" s="101"/>
      <c r="HW2" s="101"/>
      <c r="HX2" s="101" t="s">
        <v>167</v>
      </c>
      <c r="HY2" s="101"/>
      <c r="HZ2" s="101"/>
      <c r="IA2" s="101"/>
      <c r="IB2" s="101" t="s">
        <v>168</v>
      </c>
      <c r="IC2" s="101"/>
      <c r="ID2" s="101"/>
      <c r="IE2" s="101"/>
      <c r="IF2" s="110" t="s">
        <v>169</v>
      </c>
      <c r="IG2" s="110"/>
      <c r="IH2" s="110"/>
      <c r="II2" s="110"/>
      <c r="IJ2" s="72" t="s">
        <v>170</v>
      </c>
      <c r="IK2" s="72" t="s">
        <v>171</v>
      </c>
      <c r="IL2" s="72" t="s">
        <v>167</v>
      </c>
      <c r="IM2" s="72" t="s">
        <v>22</v>
      </c>
      <c r="IN2" s="72" t="s">
        <v>21</v>
      </c>
      <c r="IO2" s="72" t="s">
        <v>57</v>
      </c>
      <c r="IP2" s="72" t="s">
        <v>172</v>
      </c>
      <c r="IQ2" s="72" t="s">
        <v>15</v>
      </c>
      <c r="IR2" s="103" t="s">
        <v>165</v>
      </c>
      <c r="IS2" s="103"/>
      <c r="IT2" s="103"/>
      <c r="IU2" s="103"/>
      <c r="IV2" s="103" t="s">
        <v>166</v>
      </c>
      <c r="IW2" s="103"/>
      <c r="IX2" s="103"/>
      <c r="IY2" s="103"/>
      <c r="IZ2" s="103" t="s">
        <v>167</v>
      </c>
      <c r="JA2" s="103"/>
      <c r="JB2" s="103"/>
      <c r="JC2" s="103"/>
      <c r="JD2" s="103" t="s">
        <v>168</v>
      </c>
      <c r="JE2" s="103"/>
      <c r="JF2" s="103"/>
      <c r="JG2" s="103"/>
      <c r="JH2" s="112" t="s">
        <v>169</v>
      </c>
      <c r="JI2" s="112"/>
      <c r="JJ2" s="112"/>
      <c r="JK2" s="112"/>
      <c r="JL2" s="71" t="s">
        <v>170</v>
      </c>
      <c r="JM2" s="71" t="s">
        <v>171</v>
      </c>
      <c r="JN2" s="71" t="s">
        <v>167</v>
      </c>
      <c r="JO2" s="71" t="s">
        <v>22</v>
      </c>
      <c r="JP2" s="71" t="s">
        <v>21</v>
      </c>
      <c r="JQ2" s="71" t="s">
        <v>57</v>
      </c>
      <c r="JR2" s="71" t="s">
        <v>172</v>
      </c>
      <c r="JS2" s="71" t="s">
        <v>15</v>
      </c>
      <c r="JT2" s="101" t="s">
        <v>165</v>
      </c>
      <c r="JU2" s="101"/>
      <c r="JV2" s="101"/>
      <c r="JW2" s="101"/>
      <c r="JX2" s="101" t="s">
        <v>166</v>
      </c>
      <c r="JY2" s="101"/>
      <c r="JZ2" s="101"/>
      <c r="KA2" s="101"/>
      <c r="KB2" s="101" t="s">
        <v>167</v>
      </c>
      <c r="KC2" s="101"/>
      <c r="KD2" s="101"/>
      <c r="KE2" s="101"/>
      <c r="KF2" s="101" t="s">
        <v>168</v>
      </c>
      <c r="KG2" s="101"/>
      <c r="KH2" s="101"/>
      <c r="KI2" s="101"/>
      <c r="KJ2" s="110" t="s">
        <v>169</v>
      </c>
      <c r="KK2" s="110"/>
      <c r="KL2" s="110"/>
      <c r="KM2" s="110"/>
      <c r="KN2" s="72" t="s">
        <v>170</v>
      </c>
      <c r="KO2" s="72" t="s">
        <v>171</v>
      </c>
      <c r="KP2" s="72" t="s">
        <v>167</v>
      </c>
      <c r="KQ2" s="72" t="s">
        <v>22</v>
      </c>
      <c r="KR2" s="72" t="s">
        <v>21</v>
      </c>
      <c r="KS2" s="72" t="s">
        <v>57</v>
      </c>
      <c r="KT2" s="72" t="s">
        <v>172</v>
      </c>
      <c r="KU2" s="72" t="s">
        <v>15</v>
      </c>
      <c r="KV2" s="103" t="s">
        <v>165</v>
      </c>
      <c r="KW2" s="103"/>
      <c r="KX2" s="103"/>
      <c r="KY2" s="103"/>
      <c r="KZ2" s="103" t="s">
        <v>166</v>
      </c>
      <c r="LA2" s="103"/>
      <c r="LB2" s="103"/>
      <c r="LC2" s="103"/>
      <c r="LD2" s="103" t="s">
        <v>167</v>
      </c>
      <c r="LE2" s="103"/>
      <c r="LF2" s="103"/>
      <c r="LG2" s="103"/>
      <c r="LH2" s="103" t="s">
        <v>168</v>
      </c>
      <c r="LI2" s="103"/>
      <c r="LJ2" s="103"/>
      <c r="LK2" s="103"/>
      <c r="LL2" s="112" t="s">
        <v>169</v>
      </c>
      <c r="LM2" s="112"/>
      <c r="LN2" s="112"/>
      <c r="LO2" s="112"/>
      <c r="LP2" s="71" t="s">
        <v>170</v>
      </c>
      <c r="LQ2" s="71" t="s">
        <v>171</v>
      </c>
      <c r="LR2" s="71" t="s">
        <v>167</v>
      </c>
      <c r="LS2" s="71" t="s">
        <v>22</v>
      </c>
      <c r="LT2" s="71" t="s">
        <v>21</v>
      </c>
      <c r="LU2" s="71" t="s">
        <v>57</v>
      </c>
      <c r="LV2" s="71" t="s">
        <v>172</v>
      </c>
      <c r="LW2" s="71" t="s">
        <v>15</v>
      </c>
      <c r="LX2" s="101" t="s">
        <v>165</v>
      </c>
      <c r="LY2" s="101"/>
      <c r="LZ2" s="101"/>
      <c r="MA2" s="101"/>
      <c r="MB2" s="101" t="s">
        <v>166</v>
      </c>
      <c r="MC2" s="101"/>
      <c r="MD2" s="101"/>
      <c r="ME2" s="101"/>
      <c r="MF2" s="101" t="s">
        <v>167</v>
      </c>
      <c r="MG2" s="101"/>
      <c r="MH2" s="101"/>
      <c r="MI2" s="101"/>
      <c r="MJ2" s="101" t="s">
        <v>168</v>
      </c>
      <c r="MK2" s="101"/>
      <c r="ML2" s="101"/>
      <c r="MM2" s="101"/>
      <c r="MN2" s="110" t="s">
        <v>169</v>
      </c>
      <c r="MO2" s="110"/>
      <c r="MP2" s="110"/>
      <c r="MQ2" s="110"/>
      <c r="MR2" s="72" t="s">
        <v>170</v>
      </c>
      <c r="MS2" s="72" t="s">
        <v>171</v>
      </c>
      <c r="MT2" s="72" t="s">
        <v>167</v>
      </c>
      <c r="MU2" s="72" t="s">
        <v>22</v>
      </c>
      <c r="MV2" s="72" t="s">
        <v>21</v>
      </c>
      <c r="MW2" s="72" t="s">
        <v>57</v>
      </c>
      <c r="MX2" s="72" t="s">
        <v>172</v>
      </c>
      <c r="MY2" s="72" t="s">
        <v>15</v>
      </c>
      <c r="MZ2" s="103" t="s">
        <v>165</v>
      </c>
      <c r="NA2" s="103"/>
      <c r="NB2" s="103"/>
      <c r="NC2" s="103"/>
      <c r="ND2" s="103" t="s">
        <v>166</v>
      </c>
      <c r="NE2" s="103"/>
      <c r="NF2" s="103"/>
      <c r="NG2" s="103"/>
      <c r="NH2" s="103" t="s">
        <v>167</v>
      </c>
      <c r="NI2" s="103"/>
      <c r="NJ2" s="103"/>
      <c r="NK2" s="103"/>
      <c r="NL2" s="103" t="s">
        <v>168</v>
      </c>
      <c r="NM2" s="103"/>
      <c r="NN2" s="103"/>
      <c r="NO2" s="103"/>
      <c r="NP2" s="112" t="s">
        <v>169</v>
      </c>
      <c r="NQ2" s="112"/>
      <c r="NR2" s="112"/>
      <c r="NS2" s="112"/>
      <c r="NT2" s="71" t="s">
        <v>170</v>
      </c>
      <c r="NU2" s="71" t="s">
        <v>171</v>
      </c>
      <c r="NV2" s="71" t="s">
        <v>167</v>
      </c>
      <c r="NW2" s="71" t="s">
        <v>22</v>
      </c>
      <c r="NX2" s="71" t="s">
        <v>21</v>
      </c>
      <c r="NY2" s="71" t="s">
        <v>57</v>
      </c>
      <c r="NZ2" s="71" t="s">
        <v>172</v>
      </c>
      <c r="OA2" s="71" t="s">
        <v>15</v>
      </c>
      <c r="OB2" s="101" t="s">
        <v>165</v>
      </c>
      <c r="OC2" s="101"/>
      <c r="OD2" s="101"/>
      <c r="OE2" s="101"/>
      <c r="OF2" s="101" t="s">
        <v>166</v>
      </c>
      <c r="OG2" s="101"/>
      <c r="OH2" s="101"/>
      <c r="OI2" s="101"/>
      <c r="OJ2" s="101" t="s">
        <v>167</v>
      </c>
      <c r="OK2" s="101"/>
      <c r="OL2" s="101"/>
      <c r="OM2" s="101"/>
      <c r="ON2" s="101" t="s">
        <v>168</v>
      </c>
      <c r="OO2" s="101"/>
      <c r="OP2" s="101"/>
      <c r="OQ2" s="101"/>
      <c r="OR2" s="110" t="s">
        <v>169</v>
      </c>
      <c r="OS2" s="110"/>
      <c r="OT2" s="110"/>
      <c r="OU2" s="110"/>
      <c r="OV2" s="72" t="s">
        <v>170</v>
      </c>
      <c r="OW2" s="72" t="s">
        <v>171</v>
      </c>
      <c r="OX2" s="72" t="s">
        <v>167</v>
      </c>
      <c r="OY2" s="72" t="s">
        <v>22</v>
      </c>
      <c r="OZ2" s="72" t="s">
        <v>21</v>
      </c>
      <c r="PA2" s="72" t="s">
        <v>57</v>
      </c>
      <c r="PB2" s="72" t="s">
        <v>172</v>
      </c>
      <c r="PC2" s="72" t="s">
        <v>15</v>
      </c>
      <c r="PD2" s="103" t="s">
        <v>165</v>
      </c>
      <c r="PE2" s="103"/>
      <c r="PF2" s="103"/>
      <c r="PG2" s="103"/>
      <c r="PH2" s="103" t="s">
        <v>166</v>
      </c>
      <c r="PI2" s="103"/>
      <c r="PJ2" s="103"/>
      <c r="PK2" s="103"/>
      <c r="PL2" s="103" t="s">
        <v>167</v>
      </c>
      <c r="PM2" s="103"/>
      <c r="PN2" s="103"/>
      <c r="PO2" s="103"/>
      <c r="PP2" s="103" t="s">
        <v>168</v>
      </c>
      <c r="PQ2" s="103"/>
      <c r="PR2" s="103"/>
      <c r="PS2" s="103"/>
      <c r="PT2" s="112" t="s">
        <v>169</v>
      </c>
      <c r="PU2" s="112"/>
      <c r="PV2" s="112"/>
      <c r="PW2" s="112"/>
      <c r="PX2" s="71" t="s">
        <v>170</v>
      </c>
      <c r="PY2" s="71" t="s">
        <v>171</v>
      </c>
      <c r="PZ2" s="71" t="s">
        <v>167</v>
      </c>
      <c r="QA2" s="71" t="s">
        <v>22</v>
      </c>
      <c r="QB2" s="71" t="s">
        <v>21</v>
      </c>
      <c r="QC2" s="71" t="s">
        <v>57</v>
      </c>
      <c r="QD2" s="71" t="s">
        <v>172</v>
      </c>
      <c r="QE2" s="71" t="s">
        <v>15</v>
      </c>
      <c r="QF2" s="101" t="s">
        <v>165</v>
      </c>
      <c r="QG2" s="101"/>
      <c r="QH2" s="101"/>
      <c r="QI2" s="101"/>
      <c r="QJ2" s="101" t="s">
        <v>166</v>
      </c>
      <c r="QK2" s="101"/>
      <c r="QL2" s="101"/>
      <c r="QM2" s="101"/>
      <c r="QN2" s="101" t="s">
        <v>167</v>
      </c>
      <c r="QO2" s="101"/>
      <c r="QP2" s="101"/>
      <c r="QQ2" s="101"/>
      <c r="QR2" s="101" t="s">
        <v>168</v>
      </c>
      <c r="QS2" s="101"/>
      <c r="QT2" s="101"/>
      <c r="QU2" s="101"/>
      <c r="QV2" s="111" t="s">
        <v>169</v>
      </c>
      <c r="QW2" s="111"/>
      <c r="QX2" s="111"/>
      <c r="QY2" s="111"/>
      <c r="QZ2" s="72"/>
      <c r="RA2" s="72" t="s">
        <v>170</v>
      </c>
      <c r="RB2" s="72" t="s">
        <v>171</v>
      </c>
      <c r="RC2" s="72" t="s">
        <v>167</v>
      </c>
      <c r="RD2" s="72" t="s">
        <v>22</v>
      </c>
      <c r="RE2" s="72" t="s">
        <v>21</v>
      </c>
      <c r="RF2" s="72" t="s">
        <v>57</v>
      </c>
      <c r="RG2" s="72" t="s">
        <v>172</v>
      </c>
      <c r="RH2" s="72" t="s">
        <v>15</v>
      </c>
    </row>
    <row r="3" spans="1:476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7"/>
      <c r="N3" s="108"/>
      <c r="O3" s="107"/>
      <c r="P3" s="108"/>
      <c r="Q3" s="108"/>
      <c r="R3" s="108"/>
      <c r="S3" s="109"/>
      <c r="T3" s="108"/>
      <c r="U3" s="108"/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3" t="s">
        <v>12</v>
      </c>
      <c r="AM3" s="73" t="s">
        <v>7</v>
      </c>
      <c r="AN3" s="73" t="s">
        <v>24</v>
      </c>
      <c r="AO3" s="73" t="s">
        <v>25</v>
      </c>
      <c r="AP3" s="72" t="s">
        <v>45</v>
      </c>
      <c r="AQ3" s="72"/>
      <c r="AR3" s="72"/>
      <c r="AS3" s="72"/>
      <c r="AT3" s="72"/>
      <c r="AU3" s="72"/>
      <c r="AV3" s="72"/>
      <c r="AW3" s="72"/>
      <c r="AX3" s="72"/>
      <c r="AY3" s="71" t="s">
        <v>12</v>
      </c>
      <c r="AZ3" s="71" t="s">
        <v>7</v>
      </c>
      <c r="BA3" s="71" t="s">
        <v>24</v>
      </c>
      <c r="BB3" s="71" t="s">
        <v>25</v>
      </c>
      <c r="BC3" s="71" t="s">
        <v>12</v>
      </c>
      <c r="BD3" s="71" t="s">
        <v>7</v>
      </c>
      <c r="BE3" s="71" t="s">
        <v>24</v>
      </c>
      <c r="BF3" s="71" t="s">
        <v>25</v>
      </c>
      <c r="BG3" s="71" t="s">
        <v>12</v>
      </c>
      <c r="BH3" s="71" t="s">
        <v>7</v>
      </c>
      <c r="BI3" s="71" t="s">
        <v>24</v>
      </c>
      <c r="BJ3" s="71" t="s">
        <v>25</v>
      </c>
      <c r="BK3" s="71" t="s">
        <v>12</v>
      </c>
      <c r="BL3" s="71" t="s">
        <v>7</v>
      </c>
      <c r="BM3" s="71" t="s">
        <v>24</v>
      </c>
      <c r="BN3" s="71" t="s">
        <v>25</v>
      </c>
      <c r="BO3" s="75" t="s">
        <v>12</v>
      </c>
      <c r="BP3" s="75" t="s">
        <v>7</v>
      </c>
      <c r="BQ3" s="75" t="s">
        <v>24</v>
      </c>
      <c r="BR3" s="75" t="s">
        <v>25</v>
      </c>
      <c r="BS3" s="71" t="s">
        <v>45</v>
      </c>
      <c r="BT3" s="71"/>
      <c r="BU3" s="71"/>
      <c r="BV3" s="71"/>
      <c r="BW3" s="71"/>
      <c r="BX3" s="71"/>
      <c r="BY3" s="71"/>
      <c r="BZ3" s="71"/>
      <c r="CA3" s="71"/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2" t="s">
        <v>12</v>
      </c>
      <c r="CO3" s="72" t="s">
        <v>7</v>
      </c>
      <c r="CP3" s="72" t="s">
        <v>24</v>
      </c>
      <c r="CQ3" s="72" t="s">
        <v>25</v>
      </c>
      <c r="CR3" s="73" t="s">
        <v>12</v>
      </c>
      <c r="CS3" s="73" t="s">
        <v>7</v>
      </c>
      <c r="CT3" s="73" t="s">
        <v>24</v>
      </c>
      <c r="CU3" s="73" t="s">
        <v>25</v>
      </c>
      <c r="CV3" s="72" t="s">
        <v>45</v>
      </c>
      <c r="CW3" s="72"/>
      <c r="CX3" s="72"/>
      <c r="CY3" s="72"/>
      <c r="CZ3" s="72"/>
      <c r="DA3" s="72"/>
      <c r="DB3" s="72"/>
      <c r="DC3" s="72"/>
      <c r="DD3" s="72"/>
      <c r="DE3" s="77"/>
      <c r="DF3" s="77"/>
      <c r="DG3" s="77"/>
      <c r="DH3" s="72" t="s">
        <v>12</v>
      </c>
      <c r="DI3" s="72" t="s">
        <v>7</v>
      </c>
      <c r="DJ3" s="72" t="s">
        <v>24</v>
      </c>
      <c r="DK3" s="72" t="s">
        <v>25</v>
      </c>
      <c r="DL3" s="72" t="s">
        <v>12</v>
      </c>
      <c r="DM3" s="72" t="s">
        <v>7</v>
      </c>
      <c r="DN3" s="72" t="s">
        <v>24</v>
      </c>
      <c r="DO3" s="72" t="s">
        <v>25</v>
      </c>
      <c r="DP3" s="72" t="s">
        <v>12</v>
      </c>
      <c r="DQ3" s="72" t="s">
        <v>7</v>
      </c>
      <c r="DR3" s="72" t="s">
        <v>24</v>
      </c>
      <c r="DS3" s="72" t="s">
        <v>25</v>
      </c>
      <c r="DT3" s="72" t="s">
        <v>12</v>
      </c>
      <c r="DU3" s="72" t="s">
        <v>7</v>
      </c>
      <c r="DV3" s="72" t="s">
        <v>24</v>
      </c>
      <c r="DW3" s="72" t="s">
        <v>25</v>
      </c>
      <c r="DX3" s="74" t="s">
        <v>12</v>
      </c>
      <c r="DY3" s="74" t="s">
        <v>7</v>
      </c>
      <c r="DZ3" s="74" t="s">
        <v>24</v>
      </c>
      <c r="EA3" s="74" t="s">
        <v>25</v>
      </c>
      <c r="EB3" s="72"/>
      <c r="EC3" s="72"/>
      <c r="ED3" s="72"/>
      <c r="EE3" s="72"/>
      <c r="EF3" s="72"/>
      <c r="EG3" s="72"/>
      <c r="EH3" s="72"/>
      <c r="EI3" s="72"/>
      <c r="EJ3" s="71" t="s">
        <v>12</v>
      </c>
      <c r="EK3" s="71" t="s">
        <v>7</v>
      </c>
      <c r="EL3" s="71" t="s">
        <v>24</v>
      </c>
      <c r="EM3" s="71" t="s">
        <v>25</v>
      </c>
      <c r="EN3" s="71" t="s">
        <v>12</v>
      </c>
      <c r="EO3" s="71" t="s">
        <v>7</v>
      </c>
      <c r="EP3" s="71" t="s">
        <v>24</v>
      </c>
      <c r="EQ3" s="71" t="s">
        <v>25</v>
      </c>
      <c r="ER3" s="71" t="s">
        <v>12</v>
      </c>
      <c r="ES3" s="71" t="s">
        <v>7</v>
      </c>
      <c r="ET3" s="71" t="s">
        <v>24</v>
      </c>
      <c r="EU3" s="71" t="s">
        <v>25</v>
      </c>
      <c r="EV3" s="71" t="s">
        <v>12</v>
      </c>
      <c r="EW3" s="71" t="s">
        <v>7</v>
      </c>
      <c r="EX3" s="71" t="s">
        <v>24</v>
      </c>
      <c r="EY3" s="71" t="s">
        <v>25</v>
      </c>
      <c r="EZ3" s="75" t="s">
        <v>12</v>
      </c>
      <c r="FA3" s="75" t="s">
        <v>7</v>
      </c>
      <c r="FB3" s="75" t="s">
        <v>24</v>
      </c>
      <c r="FC3" s="75" t="s">
        <v>25</v>
      </c>
      <c r="FD3" s="71"/>
      <c r="FE3" s="71"/>
      <c r="FF3" s="71"/>
      <c r="FG3" s="71"/>
      <c r="FH3" s="71"/>
      <c r="FI3" s="71"/>
      <c r="FJ3" s="71"/>
      <c r="FK3" s="71"/>
      <c r="FL3" s="72" t="s">
        <v>12</v>
      </c>
      <c r="FM3" s="72" t="s">
        <v>7</v>
      </c>
      <c r="FN3" s="72" t="s">
        <v>24</v>
      </c>
      <c r="FO3" s="72" t="s">
        <v>25</v>
      </c>
      <c r="FP3" s="72" t="s">
        <v>12</v>
      </c>
      <c r="FQ3" s="72" t="s">
        <v>7</v>
      </c>
      <c r="FR3" s="72" t="s">
        <v>24</v>
      </c>
      <c r="FS3" s="72" t="s">
        <v>25</v>
      </c>
      <c r="FT3" s="72" t="s">
        <v>12</v>
      </c>
      <c r="FU3" s="72" t="s">
        <v>7</v>
      </c>
      <c r="FV3" s="72" t="s">
        <v>24</v>
      </c>
      <c r="FW3" s="72" t="s">
        <v>25</v>
      </c>
      <c r="FX3" s="72" t="s">
        <v>12</v>
      </c>
      <c r="FY3" s="72" t="s">
        <v>7</v>
      </c>
      <c r="FZ3" s="72" t="s">
        <v>24</v>
      </c>
      <c r="GA3" s="72" t="s">
        <v>25</v>
      </c>
      <c r="GB3" s="74" t="s">
        <v>12</v>
      </c>
      <c r="GC3" s="74" t="s">
        <v>7</v>
      </c>
      <c r="GD3" s="74" t="s">
        <v>24</v>
      </c>
      <c r="GE3" s="74" t="s">
        <v>25</v>
      </c>
      <c r="GF3" s="72"/>
      <c r="GG3" s="72"/>
      <c r="GH3" s="72"/>
      <c r="GI3" s="72"/>
      <c r="GJ3" s="72"/>
      <c r="GK3" s="72"/>
      <c r="GL3" s="72"/>
      <c r="GM3" s="72"/>
      <c r="GN3" s="71" t="s">
        <v>12</v>
      </c>
      <c r="GO3" s="71" t="s">
        <v>7</v>
      </c>
      <c r="GP3" s="71" t="s">
        <v>24</v>
      </c>
      <c r="GQ3" s="71" t="s">
        <v>25</v>
      </c>
      <c r="GR3" s="71" t="s">
        <v>12</v>
      </c>
      <c r="GS3" s="71" t="s">
        <v>7</v>
      </c>
      <c r="GT3" s="71" t="s">
        <v>24</v>
      </c>
      <c r="GU3" s="71" t="s">
        <v>25</v>
      </c>
      <c r="GV3" s="71" t="s">
        <v>12</v>
      </c>
      <c r="GW3" s="71" t="s">
        <v>7</v>
      </c>
      <c r="GX3" s="71" t="s">
        <v>24</v>
      </c>
      <c r="GY3" s="71" t="s">
        <v>25</v>
      </c>
      <c r="GZ3" s="71" t="s">
        <v>12</v>
      </c>
      <c r="HA3" s="71" t="s">
        <v>7</v>
      </c>
      <c r="HB3" s="71" t="s">
        <v>24</v>
      </c>
      <c r="HC3" s="71" t="s">
        <v>25</v>
      </c>
      <c r="HD3" s="75" t="s">
        <v>12</v>
      </c>
      <c r="HE3" s="75" t="s">
        <v>7</v>
      </c>
      <c r="HF3" s="75" t="s">
        <v>24</v>
      </c>
      <c r="HG3" s="75" t="s">
        <v>25</v>
      </c>
      <c r="HH3" s="71"/>
      <c r="HI3" s="71"/>
      <c r="HJ3" s="71"/>
      <c r="HK3" s="71"/>
      <c r="HL3" s="71"/>
      <c r="HM3" s="71"/>
      <c r="HN3" s="71"/>
      <c r="HO3" s="71"/>
      <c r="HP3" s="72" t="s">
        <v>12</v>
      </c>
      <c r="HQ3" s="72" t="s">
        <v>7</v>
      </c>
      <c r="HR3" s="72" t="s">
        <v>24</v>
      </c>
      <c r="HS3" s="72" t="s">
        <v>25</v>
      </c>
      <c r="HT3" s="72" t="s">
        <v>12</v>
      </c>
      <c r="HU3" s="72" t="s">
        <v>7</v>
      </c>
      <c r="HV3" s="72" t="s">
        <v>24</v>
      </c>
      <c r="HW3" s="72" t="s">
        <v>25</v>
      </c>
      <c r="HX3" s="72" t="s">
        <v>12</v>
      </c>
      <c r="HY3" s="72" t="s">
        <v>7</v>
      </c>
      <c r="HZ3" s="72" t="s">
        <v>24</v>
      </c>
      <c r="IA3" s="72" t="s">
        <v>25</v>
      </c>
      <c r="IB3" s="72" t="s">
        <v>12</v>
      </c>
      <c r="IC3" s="72" t="s">
        <v>7</v>
      </c>
      <c r="ID3" s="72" t="s">
        <v>24</v>
      </c>
      <c r="IE3" s="72" t="s">
        <v>25</v>
      </c>
      <c r="IF3" s="74" t="s">
        <v>12</v>
      </c>
      <c r="IG3" s="74" t="s">
        <v>7</v>
      </c>
      <c r="IH3" s="74" t="s">
        <v>24</v>
      </c>
      <c r="II3" s="74" t="s">
        <v>25</v>
      </c>
      <c r="IJ3" s="72"/>
      <c r="IK3" s="72"/>
      <c r="IL3" s="72"/>
      <c r="IM3" s="72"/>
      <c r="IN3" s="72"/>
      <c r="IO3" s="72"/>
      <c r="IP3" s="72"/>
      <c r="IQ3" s="72"/>
      <c r="IR3" s="71" t="s">
        <v>12</v>
      </c>
      <c r="IS3" s="71" t="s">
        <v>7</v>
      </c>
      <c r="IT3" s="71" t="s">
        <v>24</v>
      </c>
      <c r="IU3" s="71" t="s">
        <v>25</v>
      </c>
      <c r="IV3" s="71" t="s">
        <v>12</v>
      </c>
      <c r="IW3" s="71" t="s">
        <v>7</v>
      </c>
      <c r="IX3" s="71" t="s">
        <v>24</v>
      </c>
      <c r="IY3" s="71" t="s">
        <v>25</v>
      </c>
      <c r="IZ3" s="71" t="s">
        <v>12</v>
      </c>
      <c r="JA3" s="71" t="s">
        <v>7</v>
      </c>
      <c r="JB3" s="71" t="s">
        <v>24</v>
      </c>
      <c r="JC3" s="71" t="s">
        <v>25</v>
      </c>
      <c r="JD3" s="71" t="s">
        <v>12</v>
      </c>
      <c r="JE3" s="71" t="s">
        <v>7</v>
      </c>
      <c r="JF3" s="71" t="s">
        <v>24</v>
      </c>
      <c r="JG3" s="71" t="s">
        <v>25</v>
      </c>
      <c r="JH3" s="75" t="s">
        <v>12</v>
      </c>
      <c r="JI3" s="75" t="s">
        <v>7</v>
      </c>
      <c r="JJ3" s="75" t="s">
        <v>24</v>
      </c>
      <c r="JK3" s="75" t="s">
        <v>25</v>
      </c>
      <c r="JL3" s="71"/>
      <c r="JM3" s="71"/>
      <c r="JN3" s="71"/>
      <c r="JO3" s="71"/>
      <c r="JP3" s="71"/>
      <c r="JQ3" s="71"/>
      <c r="JR3" s="71"/>
      <c r="JS3" s="71"/>
      <c r="JT3" s="72" t="s">
        <v>12</v>
      </c>
      <c r="JU3" s="72" t="s">
        <v>7</v>
      </c>
      <c r="JV3" s="72" t="s">
        <v>24</v>
      </c>
      <c r="JW3" s="72" t="s">
        <v>25</v>
      </c>
      <c r="JX3" s="72" t="s">
        <v>12</v>
      </c>
      <c r="JY3" s="72" t="s">
        <v>7</v>
      </c>
      <c r="JZ3" s="72" t="s">
        <v>24</v>
      </c>
      <c r="KA3" s="72" t="s">
        <v>25</v>
      </c>
      <c r="KB3" s="72" t="s">
        <v>12</v>
      </c>
      <c r="KC3" s="72" t="s">
        <v>7</v>
      </c>
      <c r="KD3" s="72" t="s">
        <v>24</v>
      </c>
      <c r="KE3" s="72" t="s">
        <v>25</v>
      </c>
      <c r="KF3" s="72" t="s">
        <v>12</v>
      </c>
      <c r="KG3" s="72" t="s">
        <v>7</v>
      </c>
      <c r="KH3" s="72" t="s">
        <v>24</v>
      </c>
      <c r="KI3" s="72" t="s">
        <v>25</v>
      </c>
      <c r="KJ3" s="74" t="s">
        <v>12</v>
      </c>
      <c r="KK3" s="74" t="s">
        <v>7</v>
      </c>
      <c r="KL3" s="74" t="s">
        <v>24</v>
      </c>
      <c r="KM3" s="74" t="s">
        <v>25</v>
      </c>
      <c r="KN3" s="72"/>
      <c r="KO3" s="72"/>
      <c r="KP3" s="72"/>
      <c r="KQ3" s="72"/>
      <c r="KR3" s="72"/>
      <c r="KS3" s="72"/>
      <c r="KT3" s="72"/>
      <c r="KU3" s="72"/>
      <c r="KV3" s="71" t="s">
        <v>12</v>
      </c>
      <c r="KW3" s="71" t="s">
        <v>7</v>
      </c>
      <c r="KX3" s="71" t="s">
        <v>24</v>
      </c>
      <c r="KY3" s="71" t="s">
        <v>25</v>
      </c>
      <c r="KZ3" s="71" t="s">
        <v>12</v>
      </c>
      <c r="LA3" s="71" t="s">
        <v>7</v>
      </c>
      <c r="LB3" s="71" t="s">
        <v>24</v>
      </c>
      <c r="LC3" s="71" t="s">
        <v>25</v>
      </c>
      <c r="LD3" s="71" t="s">
        <v>12</v>
      </c>
      <c r="LE3" s="71" t="s">
        <v>7</v>
      </c>
      <c r="LF3" s="71" t="s">
        <v>24</v>
      </c>
      <c r="LG3" s="71" t="s">
        <v>25</v>
      </c>
      <c r="LH3" s="71" t="s">
        <v>12</v>
      </c>
      <c r="LI3" s="71" t="s">
        <v>7</v>
      </c>
      <c r="LJ3" s="71" t="s">
        <v>24</v>
      </c>
      <c r="LK3" s="71" t="s">
        <v>25</v>
      </c>
      <c r="LL3" s="75" t="s">
        <v>12</v>
      </c>
      <c r="LM3" s="75" t="s">
        <v>7</v>
      </c>
      <c r="LN3" s="75" t="s">
        <v>24</v>
      </c>
      <c r="LO3" s="75" t="s">
        <v>25</v>
      </c>
      <c r="LP3" s="71"/>
      <c r="LQ3" s="71"/>
      <c r="LR3" s="71"/>
      <c r="LS3" s="71"/>
      <c r="LT3" s="71"/>
      <c r="LU3" s="71"/>
      <c r="LV3" s="71"/>
      <c r="LW3" s="71"/>
      <c r="LX3" s="72" t="s">
        <v>12</v>
      </c>
      <c r="LY3" s="72" t="s">
        <v>7</v>
      </c>
      <c r="LZ3" s="72" t="s">
        <v>24</v>
      </c>
      <c r="MA3" s="72" t="s">
        <v>25</v>
      </c>
      <c r="MB3" s="72" t="s">
        <v>12</v>
      </c>
      <c r="MC3" s="72" t="s">
        <v>7</v>
      </c>
      <c r="MD3" s="72" t="s">
        <v>24</v>
      </c>
      <c r="ME3" s="72" t="s">
        <v>25</v>
      </c>
      <c r="MF3" s="72" t="s">
        <v>12</v>
      </c>
      <c r="MG3" s="72" t="s">
        <v>7</v>
      </c>
      <c r="MH3" s="72" t="s">
        <v>24</v>
      </c>
      <c r="MI3" s="72" t="s">
        <v>25</v>
      </c>
      <c r="MJ3" s="72" t="s">
        <v>12</v>
      </c>
      <c r="MK3" s="72" t="s">
        <v>7</v>
      </c>
      <c r="ML3" s="72" t="s">
        <v>24</v>
      </c>
      <c r="MM3" s="72" t="s">
        <v>25</v>
      </c>
      <c r="MN3" s="74" t="s">
        <v>12</v>
      </c>
      <c r="MO3" s="74" t="s">
        <v>7</v>
      </c>
      <c r="MP3" s="74" t="s">
        <v>24</v>
      </c>
      <c r="MQ3" s="74" t="s">
        <v>25</v>
      </c>
      <c r="MR3" s="72"/>
      <c r="MS3" s="72"/>
      <c r="MT3" s="72"/>
      <c r="MU3" s="72"/>
      <c r="MV3" s="72"/>
      <c r="MW3" s="72"/>
      <c r="MX3" s="72"/>
      <c r="MY3" s="72"/>
      <c r="MZ3" s="71" t="s">
        <v>12</v>
      </c>
      <c r="NA3" s="71" t="s">
        <v>7</v>
      </c>
      <c r="NB3" s="71" t="s">
        <v>24</v>
      </c>
      <c r="NC3" s="71" t="s">
        <v>25</v>
      </c>
      <c r="ND3" s="71" t="s">
        <v>12</v>
      </c>
      <c r="NE3" s="71" t="s">
        <v>7</v>
      </c>
      <c r="NF3" s="71" t="s">
        <v>24</v>
      </c>
      <c r="NG3" s="71" t="s">
        <v>25</v>
      </c>
      <c r="NH3" s="71" t="s">
        <v>12</v>
      </c>
      <c r="NI3" s="71" t="s">
        <v>7</v>
      </c>
      <c r="NJ3" s="71" t="s">
        <v>24</v>
      </c>
      <c r="NK3" s="71" t="s">
        <v>25</v>
      </c>
      <c r="NL3" s="71" t="s">
        <v>12</v>
      </c>
      <c r="NM3" s="71" t="s">
        <v>7</v>
      </c>
      <c r="NN3" s="71" t="s">
        <v>24</v>
      </c>
      <c r="NO3" s="71" t="s">
        <v>25</v>
      </c>
      <c r="NP3" s="75" t="s">
        <v>12</v>
      </c>
      <c r="NQ3" s="75" t="s">
        <v>7</v>
      </c>
      <c r="NR3" s="75" t="s">
        <v>24</v>
      </c>
      <c r="NS3" s="75" t="s">
        <v>25</v>
      </c>
      <c r="NT3" s="71"/>
      <c r="NU3" s="71"/>
      <c r="NV3" s="71"/>
      <c r="NW3" s="71"/>
      <c r="NX3" s="71"/>
      <c r="NY3" s="71"/>
      <c r="NZ3" s="71"/>
      <c r="OA3" s="71"/>
      <c r="OB3" s="72" t="s">
        <v>12</v>
      </c>
      <c r="OC3" s="72" t="s">
        <v>7</v>
      </c>
      <c r="OD3" s="72" t="s">
        <v>24</v>
      </c>
      <c r="OE3" s="72" t="s">
        <v>25</v>
      </c>
      <c r="OF3" s="72" t="s">
        <v>12</v>
      </c>
      <c r="OG3" s="72" t="s">
        <v>7</v>
      </c>
      <c r="OH3" s="72" t="s">
        <v>24</v>
      </c>
      <c r="OI3" s="72" t="s">
        <v>25</v>
      </c>
      <c r="OJ3" s="72" t="s">
        <v>12</v>
      </c>
      <c r="OK3" s="72" t="s">
        <v>7</v>
      </c>
      <c r="OL3" s="72" t="s">
        <v>24</v>
      </c>
      <c r="OM3" s="72" t="s">
        <v>25</v>
      </c>
      <c r="ON3" s="72" t="s">
        <v>12</v>
      </c>
      <c r="OO3" s="72" t="s">
        <v>7</v>
      </c>
      <c r="OP3" s="72" t="s">
        <v>24</v>
      </c>
      <c r="OQ3" s="72" t="s">
        <v>25</v>
      </c>
      <c r="OR3" s="74" t="s">
        <v>12</v>
      </c>
      <c r="OS3" s="74" t="s">
        <v>7</v>
      </c>
      <c r="OT3" s="74" t="s">
        <v>24</v>
      </c>
      <c r="OU3" s="74" t="s">
        <v>25</v>
      </c>
      <c r="OV3" s="72"/>
      <c r="OW3" s="72"/>
      <c r="OX3" s="72"/>
      <c r="OY3" s="72"/>
      <c r="OZ3" s="72"/>
      <c r="PA3" s="72"/>
      <c r="PB3" s="72"/>
      <c r="PC3" s="72"/>
      <c r="PD3" s="71" t="s">
        <v>12</v>
      </c>
      <c r="PE3" s="71" t="s">
        <v>7</v>
      </c>
      <c r="PF3" s="71" t="s">
        <v>24</v>
      </c>
      <c r="PG3" s="71" t="s">
        <v>25</v>
      </c>
      <c r="PH3" s="71" t="s">
        <v>12</v>
      </c>
      <c r="PI3" s="71" t="s">
        <v>7</v>
      </c>
      <c r="PJ3" s="71" t="s">
        <v>24</v>
      </c>
      <c r="PK3" s="71" t="s">
        <v>25</v>
      </c>
      <c r="PL3" s="71" t="s">
        <v>12</v>
      </c>
      <c r="PM3" s="71" t="s">
        <v>7</v>
      </c>
      <c r="PN3" s="71" t="s">
        <v>24</v>
      </c>
      <c r="PO3" s="71" t="s">
        <v>25</v>
      </c>
      <c r="PP3" s="71" t="s">
        <v>12</v>
      </c>
      <c r="PQ3" s="71" t="s">
        <v>7</v>
      </c>
      <c r="PR3" s="71" t="s">
        <v>24</v>
      </c>
      <c r="PS3" s="71" t="s">
        <v>25</v>
      </c>
      <c r="PT3" s="75" t="s">
        <v>12</v>
      </c>
      <c r="PU3" s="75" t="s">
        <v>7</v>
      </c>
      <c r="PV3" s="75" t="s">
        <v>24</v>
      </c>
      <c r="PW3" s="75" t="s">
        <v>25</v>
      </c>
      <c r="PX3" s="71"/>
      <c r="PY3" s="71"/>
      <c r="PZ3" s="71"/>
      <c r="QA3" s="71"/>
      <c r="QB3" s="71"/>
      <c r="QC3" s="71"/>
      <c r="QD3" s="71"/>
      <c r="QE3" s="71"/>
      <c r="QF3" s="72" t="s">
        <v>12</v>
      </c>
      <c r="QG3" s="72" t="s">
        <v>7</v>
      </c>
      <c r="QH3" s="72" t="s">
        <v>24</v>
      </c>
      <c r="QI3" s="72" t="s">
        <v>25</v>
      </c>
      <c r="QJ3" s="72" t="s">
        <v>12</v>
      </c>
      <c r="QK3" s="72" t="s">
        <v>7</v>
      </c>
      <c r="QL3" s="72" t="s">
        <v>24</v>
      </c>
      <c r="QM3" s="72" t="s">
        <v>25</v>
      </c>
      <c r="QN3" s="72" t="s">
        <v>12</v>
      </c>
      <c r="QO3" s="72" t="s">
        <v>7</v>
      </c>
      <c r="QP3" s="72" t="s">
        <v>24</v>
      </c>
      <c r="QQ3" s="72" t="s">
        <v>25</v>
      </c>
      <c r="QR3" s="72" t="s">
        <v>12</v>
      </c>
      <c r="QS3" s="72" t="s">
        <v>7</v>
      </c>
      <c r="QT3" s="72" t="s">
        <v>24</v>
      </c>
      <c r="QU3" s="72" t="s">
        <v>25</v>
      </c>
      <c r="QV3" s="73" t="s">
        <v>12</v>
      </c>
      <c r="QW3" s="73" t="s">
        <v>7</v>
      </c>
      <c r="QX3" s="73" t="s">
        <v>24</v>
      </c>
      <c r="QY3" s="73" t="s">
        <v>25</v>
      </c>
      <c r="QZ3" s="72" t="s">
        <v>45</v>
      </c>
      <c r="RA3" s="72"/>
      <c r="RB3" s="72"/>
      <c r="RC3" s="72"/>
      <c r="RD3" s="72"/>
      <c r="RE3" s="72"/>
      <c r="RF3" s="72"/>
      <c r="RG3" s="72"/>
      <c r="RH3" s="72"/>
    </row>
    <row r="4" spans="1:476" x14ac:dyDescent="0.2">
      <c r="A4" s="5" cm="1">
        <f t="array" ref="A4">IF(AND(F4="P",G4="P"),SUMPRODUCT((F$4:F$22="P")*(G$4:G$22="P")*(E$4:E$22&gt;E4))+1,IF(G4="P",SUMPRODUCT((F$4:F$22="")*(G$4:G$22="P")*(E$4:E$22&gt;E4))+1+SUMPRODUCT((F$4:F$22="P")*(G$4:G$22="P")),""))</f>
        <v>1</v>
      </c>
      <c r="B4" s="78" t="s">
        <v>93</v>
      </c>
      <c r="C4" s="5" t="s">
        <v>5</v>
      </c>
      <c r="D4" s="5">
        <v>2001</v>
      </c>
      <c r="E4" s="15">
        <f>SUM(I4:S4)+SUM(I4:O4)*0.0000001+SUM(I4)*0.0000000000001</f>
        <v>124.80020743002507</v>
      </c>
      <c r="F4" s="3" t="str">
        <f>IF(OR(AND(AQ4&gt;=AX$24,AR4&gt;=AX$28,AQ4&lt;&gt;"",AP4=""),AND(AV4&gt;=AX$24,AW4&gt;=AX$28,AV4&lt;&gt;"",AP4=""),AND(BT4&gt;=CA$24,BU4&gt;=CA$28,BT4&lt;&gt;"",BS4=""),AND(BY4&gt;=CA$24,BZ4&gt;=CA$28,BY4&lt;&gt;"",BS4=""),AND(CW4&gt;=DD$24,CX4&gt;=DD$28,CW4&lt;&gt;"",CV4=""),AND(DB4&gt;=DD$24,DC4&gt;=DD$28,DB4&lt;&gt;""),AND(EB4&gt;=EI$24,EC4&gt;=EI$28,EB4&lt;&gt;""),AND(EG4&gt;=EI$24,EH4&gt;=EI$28,EG4&lt;&gt;""),AND(FD4&gt;=FK$24,FE4&gt;=FK$28,FD4&lt;&gt;""),AND(FI4&gt;=FK$24,FJ4&gt;=FK$28,FI4&lt;&gt;""),AND(GF4&gt;=GM$24,GG4&gt;=GM$28,GF4&lt;&gt;""),AND(GK4&gt;=GM$24,GL4&gt;=GM$28,GK4&lt;&gt;""),AND(HH4&gt;=HO$24,HI4&gt;=HO$28,HH4&lt;&gt;""),AND(HM4&gt;=HO$24,HN4&gt;=HO$28,HM4&lt;&gt;""),AND(IJ4&gt;=IQ$24,IK4&gt;=IQ$28,IJ4&lt;&gt;""),AND(IO4&gt;=IQ$24,IP4&gt;=IQ$28,IO4&lt;&gt;""),AND(JL4&gt;=JS$24,JM4&gt;=JS$28,JL4&lt;&gt;""),AND(JQ4&gt;=JS$24,JR4&gt;=JS$28,JQ4&lt;&gt;""),AND(KN4&gt;=KU$24,KO4&gt;=KU$28,KN4&lt;&gt;""),AND(KS4&gt;=KU$24,KT4&gt;=KU$28,KS4&lt;&gt;""),AND(LP4&gt;=LW$24,LQ4&gt;=LW$28,LP4&lt;&gt;""),AND(LU4&gt;=LW$24,LV4&gt;=LW$28,LU4&lt;&gt;""),AND(MR4&gt;=MY$24,MS4&gt;=MY$28,MR4&lt;&gt;""),AND(MW4&gt;=MY$24,MX4&gt;=MY$28,MW4&lt;&gt;""),AND(NT4&gt;=OA$24,NU4&gt;=OA$28,NT4&lt;&gt;""),AND(NY4&gt;=OA$24,NZ4&gt;=OA$28,NY4&lt;&gt;""),AND(OV4&gt;=PC$24,OW4&gt;=PC$28,OV4&lt;&gt;""),AND(PA4&gt;=PC$24,PB4&gt;=PC$28,PA4&lt;&gt;""),AND(PX4&gt;=QE$24,PY4&gt;=QE$28,PX4&lt;&gt;""),AND(QC4&gt;=QE$24,QD4&gt;=QE$28,QC4&lt;&gt;"")),"P","")</f>
        <v>P</v>
      </c>
      <c r="G4" s="3" t="str">
        <f>IF(OR(AND(AR4&gt;=AX$28,AR4&lt;&gt;"",AP4=""),AND(AW4&gt;=AX$28,AW4&lt;&gt;"",AP4=""),AND(BU4&gt;=CA$28,BU4&lt;&gt;"",BS4=""),AND(BZ4&gt;=CA$28,BZ4&lt;&gt;"",BS4=""),AND(CX4&gt;=DD$28,CX4&lt;&gt;"",CV4=""),AND(DC4&gt;=DD$28,DC4&lt;&gt;"",CV4=""),AND(EC4&gt;=EI$28,EC4&lt;&gt;""),AND(EH4&gt;=EI$28,EH4&lt;&gt;""),AND(FE4&gt;=FK$28,FE4&lt;&gt;""),AND(FJ4&gt;=FK$28,FJ4&lt;&gt;""),AND(GG4&gt;=GM$28,GG4&lt;&gt;""),AND(GL4&gt;=GM$28,GL4&lt;&gt;""),AND(HI4&gt;=HO$28,HI4&lt;&gt;""),AND(HN4&gt;=HO$28,HN4&lt;&gt;""),AND(IK4&gt;=IQ$28,IK4&lt;&gt;""),AND(IP4&gt;=IQ$28,IP4&lt;&gt;""),AND(JM4&gt;=JS$28,JM4&lt;&gt;""),AND(JR4&gt;=JS$28,JR4&lt;&gt;""),AND(KO4&gt;=KU$28,KO4&lt;&gt;""),AND(KT4&gt;=KU$28,KT4&lt;&gt;""),AND(LQ4&gt;=LW$28,LQ4&lt;&gt;""),AND(LV4&gt;=LW$28,LV4&lt;&gt;""),AND(MS4&gt;=MY$28,MS4&lt;&gt;""),AND(MX4&gt;=MY$28,MX4&lt;&gt;""),AND(NU4&gt;=OA$28,NU4&lt;&gt;""),AND(NZ4&gt;=OA$28,NZ4&lt;&gt;""),AND(OW4&gt;=PC$28,OW4&lt;&gt;""),AND(PB4&gt;=PC$28,PB4&lt;&gt;""),AND(PY4&gt;=QE$28,PY4&lt;&gt;""),AND(QD4&gt;=QE$28,QD4&lt;&gt;"")),"P","")</f>
        <v>P</v>
      </c>
      <c r="H4" s="67" t="str">
        <f>IF(AND(G4="P",F4=""),"No DD",IF(OR(AND(AT4&gt;=AX$27,AU4&gt;=AX$31,AT4&lt;&gt;"",AP4=""),AND(BW4&gt;=CA$27,BX4&gt;=CA$31,BW4&lt;&gt;"",BS4=""),AND(CZ4&gt;=DD$27,DA4&gt;=DD$31,CZ4&lt;&gt;"",CV4=""),AND(EE4&gt;=EI$27,EF4&gt;=EI$31,EE4&lt;&gt;""),AND(FG4&gt;=FK$27,FH4&gt;=FK$31,FG4&lt;&gt;""),AND(GI4&gt;=GM$27,GJ4&gt;=GM$31,GI4&lt;&gt;""),AND(HK4&gt;=HO$27,HL4&gt;=HO$31,HK4&lt;&gt;""),AND(IM4&gt;=IQ$27,IN4&gt;=IQ$31,IM4&lt;&gt;""),AND(JO4&gt;=JS$27,JP4&gt;=JS$31,JO4&lt;&gt;""),AND(KQ4&gt;=KU$27,KR4&gt;=KU$31,KQ4&lt;&gt;""),AND(LS4&gt;=LW$27,LT4&gt;=LW$31,LS4&lt;&gt;""),AND(MU4&gt;=MY$27,MV4&gt;=MY$31,MU4&lt;&gt;""),AND(NW4&gt;=OA$27,NX4&gt;=OA$31,NW4&lt;&gt;""),AND(OY4&gt;=PC$27,OZ4&gt;=PC$31,OY4&lt;&gt;""),AND(QA4&gt;=QE$27,QB4&gt;=QE$31,QA4&lt;&gt;"")),"Merit",IF(OR(AND(AT4&gt;=AX$26,AU4&gt;=AX$30,AT4&lt;&gt;"",AP4=""),AND(BW4&gt;=CA$26,BX4&gt;=CA$30,BW4&lt;&gt;"",BS4=""),AND(CZ4&gt;=DD$26,DA4&gt;=DD$30,CZ4&lt;&gt;"",CV4=""),AND(EE4&gt;=EI$26,EF4&gt;=EI$30,EE4&lt;&gt;""),AND(FG4&gt;=FK$26,FH4&gt;=FK$30,FG4&lt;&gt;""),AND(GI4&gt;=GM$26,GJ4&gt;=GM$30,GI4&lt;&gt;""),AND(HK4&gt;=HO$26,HL4&gt;=HO$30,HK4&lt;&gt;""),AND(IM4&gt;=IQ$26,IN4&gt;=IQ$30,IM4&lt;&gt;""),AND(JO4&gt;=JS$26,JP4&gt;=JS$30,JO4&lt;&gt;""),AND(KQ4&gt;=KU$26,KR4&gt;=KU$30,KQ4&lt;&gt;""),AND(LS4&gt;=LW$26,LT4&gt;=LW$30,LS4&lt;&gt;""),AND(MU4&gt;=MY$26,MV4&gt;=MY$30,MU4&lt;&gt;""),AND(NW4&gt;=OA$26,NX4&gt;=OA$30,NW4&lt;&gt;""),AND(OY4&gt;=PC$26,OZ4&gt;=PC$30,OY4&lt;&gt;""),AND(QA4&gt;=QE$26,QB4&gt;=QE$30,QA4&lt;&gt;"")),"Excellence",IF(F4="P","National Team",""))))</f>
        <v>National Team</v>
      </c>
      <c r="I4" s="14">
        <f>IF(COUNT(AR4,BU4,CX4)&gt;0,LARGE((AR4,BU4,CX4),1),0)</f>
        <v>50.8</v>
      </c>
      <c r="J4" s="14" t="str">
        <f>IF(I4=0,"",IF(I4=CX4,$CB$1,IF(I4=BU4,$AY$1,IF(I4=AR4,$V$1,""))))</f>
        <v>2022 Elite Canada</v>
      </c>
      <c r="K4" s="14">
        <f>IF(COUNT(AR4,BU4,CX4)&gt;1,LARGE((AR4,BU4,CX4),2),0)</f>
        <v>2.0000000000000001E-4</v>
      </c>
      <c r="L4" s="14" t="str">
        <f>IF(K4=0,"",IF(K4=CX4,$CB$1,IF(K4=BU4,$AY$1,IF(K4=AR4,$V$1,""))))</f>
        <v>2021 Canadian Championships</v>
      </c>
      <c r="M4" s="14">
        <f>IF(COUNT(AS4,BV4,CY4)&gt;0,LARGE((AS4,BV4,CY4),1),0)</f>
        <v>23.5</v>
      </c>
      <c r="N4" s="14" t="str">
        <f>IF(M4=0,"",IF(M4=CY4,$CB$1,IF(M4=BV4,$AY$1,IF(M4=AS4,$V$1,""))))</f>
        <v>2022 Elite Canada</v>
      </c>
      <c r="O4" s="14">
        <f>IF(COUNT(AS4,BV4,CY4)&gt;1,LARGE((AS4,BV4,CY4),2),0)</f>
        <v>0</v>
      </c>
      <c r="P4" s="14" t="str">
        <f>IF(O4=0,"",IF(O4=CY4,$CB$1,IF(O4=BV4,$AY$1,IF(O4=AS4,$V$1,""))))</f>
        <v/>
      </c>
      <c r="Q4" s="14">
        <f>IF(MAX(AW4,BZ4,DC4)&gt;0,MAX(AW4,BZ4,DC4),0)</f>
        <v>50.5</v>
      </c>
      <c r="R4" s="14" t="str">
        <f>IF(Q4=0,"",IF(Q4=DC4,$CB$1,IF(Q4=BZ4,$AY$1,IF(Q4=AW4,$V$1,""))))</f>
        <v>2022 Elite Canada</v>
      </c>
      <c r="S4" s="14" t="str">
        <f>IF(MAX(DE4:DG4)&gt;0,MAX(DE4:DG4),"")</f>
        <v/>
      </c>
      <c r="T4" s="20" t="str">
        <f>IF(S4="","",IF(S4=DE4,"("&amp;DE$2&amp;")",IF(S4=DG4,"("&amp;DG$2&amp;")")))</f>
        <v/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/>
      </c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45"/>
      <c r="AQ4" s="79" t="str">
        <f>IF(SUM(W4,AA4)&gt;0,SUM(W4,AA4),"")</f>
        <v/>
      </c>
      <c r="AR4" s="79" t="str">
        <f>IF(SUM(V4:W4,Y4:AA4,AC4)-X4-AB4&gt;0,SUM(V4:W4,Y4:AA4,AC4)-X4-AB4,"")</f>
        <v/>
      </c>
      <c r="AS4" s="79" t="str">
        <f>IF(SUM(AD4:AE4,AG4)-AF4&gt;0,SUM(AD4:AE4,AG4)-AF4,"")</f>
        <v/>
      </c>
      <c r="AT4" s="79" t="str">
        <f>IF(SUM(W4,AA4,AE4)&gt;0,SUM(W4,AA4,AE4),"")</f>
        <v/>
      </c>
      <c r="AU4" s="79" t="str">
        <f>IF(SUM(AR4,AS4)&gt;0,SUM(AR4,AS4),"")</f>
        <v/>
      </c>
      <c r="AV4" s="79" t="str">
        <f>IF(SUM(AI4,AM4)&gt;0,SUM(AI4,AM4),"")</f>
        <v/>
      </c>
      <c r="AW4" s="79" t="str">
        <f>IF(SUM(AH4:AI4,AK4:AM4,AO4)-SUM(AJ4,AN4)&gt;0,SUM(AH4:AI4,AK4:AM4,AO4)-SUM(AJ4,AN4),"")</f>
        <v/>
      </c>
      <c r="AX4" s="79" t="str">
        <f>IF(SUM(AR4,AW4)&gt;0,SUM(AR4,AW4),"")</f>
        <v/>
      </c>
      <c r="AY4" s="26">
        <v>1E-4</v>
      </c>
      <c r="AZ4" s="26">
        <v>1E-4</v>
      </c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46"/>
      <c r="BT4" s="20">
        <f>IF(SUM(AZ4,BD4)&gt;0,SUM(AZ4,BD4),"")</f>
        <v>1E-4</v>
      </c>
      <c r="BU4" s="20">
        <f>IF(SUM(AY4:AZ4,BB4:BD4,BF4)-BA4-BE4&gt;0,SUM(AY4:AZ4,BB4:BD4,BF4)-BA4-BE4,"")</f>
        <v>2.0000000000000001E-4</v>
      </c>
      <c r="BV4" s="20" t="str">
        <f>IF(SUM(BG4:BH4,BJ4)-BI4&gt;0,SUM(BG4:BH4,BJ4)-BI4,"")</f>
        <v/>
      </c>
      <c r="BW4" s="20">
        <f>IF(SUM(AZ4,BD4,BH4)&gt;0,SUM(AZ4,BD4,BH4),"")</f>
        <v>1E-4</v>
      </c>
      <c r="BX4" s="20">
        <f>IF(SUM(BU4,BV4)&gt;0,SUM(BU4,BV4),"")</f>
        <v>2.0000000000000001E-4</v>
      </c>
      <c r="BY4" s="20" t="str">
        <f>IF(SUM(BL4,BP4)&gt;0,SUM(BL4,BP4),"")</f>
        <v/>
      </c>
      <c r="BZ4" s="20" t="str">
        <f>IF(SUM(BK4:BL4,BN4:BP4,BR4)-SUM(BM4,BQ4)&gt;0,SUM(BK4:BL4,BN4:BP4,BR4)-SUM(BM4,BQ4),"")</f>
        <v/>
      </c>
      <c r="CA4" s="20">
        <f>IF(SUM(BU4,BZ4)&gt;0,SUM(BU4,BZ4),"")</f>
        <v>2.0000000000000001E-4</v>
      </c>
      <c r="CB4" s="27">
        <v>18.8</v>
      </c>
      <c r="CC4" s="27">
        <v>6.8</v>
      </c>
      <c r="CD4" s="27">
        <v>0</v>
      </c>
      <c r="CE4" s="27">
        <v>0.3</v>
      </c>
      <c r="CF4" s="27">
        <v>18.600000000000001</v>
      </c>
      <c r="CG4" s="27">
        <v>6.8</v>
      </c>
      <c r="CH4" s="27">
        <v>0.8</v>
      </c>
      <c r="CI4" s="27">
        <v>0.3</v>
      </c>
      <c r="CJ4" s="27">
        <v>18.5</v>
      </c>
      <c r="CK4" s="27">
        <v>5.6</v>
      </c>
      <c r="CL4" s="27">
        <v>0.6</v>
      </c>
      <c r="CM4" s="27">
        <v>0</v>
      </c>
      <c r="CN4" s="27">
        <v>18.100000000000001</v>
      </c>
      <c r="CO4" s="27">
        <v>6.8</v>
      </c>
      <c r="CP4" s="27">
        <v>0.2</v>
      </c>
      <c r="CQ4" s="27">
        <v>0.6</v>
      </c>
      <c r="CR4" s="27">
        <v>18.8</v>
      </c>
      <c r="CS4" s="27">
        <v>6.4</v>
      </c>
      <c r="CT4" s="27">
        <v>0</v>
      </c>
      <c r="CU4" s="27">
        <v>0</v>
      </c>
      <c r="CV4" s="45"/>
      <c r="CW4" s="79">
        <f>IF(SUM(CC4,CG4)&gt;0,SUM(CC4,CG4),"")</f>
        <v>13.6</v>
      </c>
      <c r="CX4" s="79">
        <f>IF(SUM(CB4:CC4,CE4:CG4,CI4)-CD4-CH4&gt;0,SUM(CB4:CC4,CE4:CG4,CI4)-CD4-CH4,"")</f>
        <v>50.8</v>
      </c>
      <c r="CY4" s="79">
        <f>IF(SUM(CJ4:CK4,CM4)-CL4&gt;0,SUM(CJ4:CK4,CM4)-CL4,"")</f>
        <v>23.5</v>
      </c>
      <c r="CZ4" s="79">
        <f>IF(SUM(CC4,CG4,CK4)&gt;0,SUM(CC4,CG4,CK4),"")</f>
        <v>19.2</v>
      </c>
      <c r="DA4" s="79">
        <f>IF(SUM(CX4,CY4)&gt;0,SUM(CX4,CY4),"")</f>
        <v>74.3</v>
      </c>
      <c r="DB4" s="79">
        <f>IF(SUM(CO4,CS4)&gt;0,SUM(CO4,CS4),"")</f>
        <v>13.2</v>
      </c>
      <c r="DC4" s="79">
        <f>IF(SUM(CN4:CO4,CQ4:CS4,CU4)-SUM(CP4,CT4)&gt;0,SUM(CN4:CO4,CQ4:CS4,CU4)-SUM(CP4,CT4),"")</f>
        <v>50.5</v>
      </c>
      <c r="DD4" s="79">
        <f>IF(SUM(CX4,DC4)&gt;0,SUM(CX4,DC4),"")</f>
        <v>101.3</v>
      </c>
      <c r="DE4" s="80" t="str">
        <f>IF(K4&gt;=0.001,IF(MAX(EC4,FE4,GG4,HI4,IK4,JM4,KO4,LQ4,MS4,NU4,OW4,PY4)-IF(K4="",0,K4)&gt;0.001,MAX(EC4,FE4,GG4,HI4,IK4,JM4,KO4,LQ4,MS4,NU4,OW4,PY4)-IF(K4="",0,K4),""),"")</f>
        <v/>
      </c>
      <c r="DF4" s="80" t="str">
        <f>IF(O4&gt;=0.001,IF(MAX(ED4,FF4,GH4,HJ4,IL4,JN4,KP4,LR4,MT4,NV4,OX4,PZ4)-IF(O4="",0,O4)&gt;0.001,MAX(ED4,FF4,GH4,HJ4,IL4,JN4,KP4,LR4,MT4,NV4,OX4,PZ4)-IF(O4="",0,O4),""),"")</f>
        <v/>
      </c>
      <c r="DG4" s="80" t="str">
        <f>IF(Q4&gt;=0.001,IF(MAX(EH4,FJ4,GL4,HN4,IP4,JR4,KT4,LV4,MX4,NZ4,PB4,QD4)-IF(Q4="",0,Q4)&gt;0.001,MAX(EH4,FJ4,GL4,HN4,IP4,JR4,KT4,LV4,MX4,NZ4,PB4,QD4)-IF(Q4="",0,Q4),""),"")</f>
        <v/>
      </c>
      <c r="DH4" s="25">
        <v>1E-4</v>
      </c>
      <c r="DI4" s="25">
        <v>1E-4</v>
      </c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79">
        <f>IF(SUM(DI4,DM4)&gt;0,SUM(DI4,DM4),"")</f>
        <v>1E-4</v>
      </c>
      <c r="EC4" s="79">
        <f>IF(SUM(DH4:DI4,DK4:DM4,DO4)-DJ4-DN4&gt;0,SUM(DH4:DI4,DK4:DM4,DO4)-DJ4-DN4,"")</f>
        <v>2.0000000000000001E-4</v>
      </c>
      <c r="ED4" s="79" t="str">
        <f>IF(SUM(DP4:DQ4,DS4)-DR4&gt;0,SUM(DP4:DQ4,DS4)-DR4,"")</f>
        <v/>
      </c>
      <c r="EE4" s="79">
        <f>IF(SUM(DI4,DM4,DQ4)&gt;0,SUM(DI4,DM4,DQ4),"")</f>
        <v>1E-4</v>
      </c>
      <c r="EF4" s="79">
        <f>IF(SUM(EC4,ED4)&gt;0,SUM(EC4,ED4),"")</f>
        <v>2.0000000000000001E-4</v>
      </c>
      <c r="EG4" s="79" t="str">
        <f>IF(SUM(DU4,DY4)&gt;0,SUM(DU4,DY4),"")</f>
        <v/>
      </c>
      <c r="EH4" s="79" t="str">
        <f>IF(SUM(DT4:DU4,DW4:DY4,EA4)-SUM(DV4,DZ4)&gt;0,SUM(DT4:DU4,DW4:DY4,EA4)-SUM(DV4,DZ4),"")</f>
        <v/>
      </c>
      <c r="EI4" s="79">
        <f>IF(SUM(EC4,EH4)&gt;0,SUM(EC4,EH4),"")</f>
        <v>2.0000000000000001E-4</v>
      </c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0" t="str">
        <f>IF(SUM(EK4,EO4)&gt;0,SUM(EK4,EO4),"")</f>
        <v/>
      </c>
      <c r="FE4" s="20" t="str">
        <f>IF(SUM(EJ4:EK4,EM4:EO4,EQ4)-EL4-EP4&gt;0,SUM(EJ4:EK4,EM4:EO4,EQ4)-EL4-EP4,"")</f>
        <v/>
      </c>
      <c r="FF4" s="20" t="str">
        <f>IF(SUM(ER4:ES4,EU4)-ET4&gt;0,SUM(ER4:ES4,EU4)-ET4,"")</f>
        <v/>
      </c>
      <c r="FG4" s="20" t="str">
        <f>IF(SUM(EK4,EO4,ES4)&gt;0,SUM(EK4,EO4,ES4),"")</f>
        <v/>
      </c>
      <c r="FH4" s="20" t="str">
        <f>IF(SUM(FE4,FF4)&gt;0,SUM(FE4,FF4),"")</f>
        <v/>
      </c>
      <c r="FI4" s="20" t="str">
        <f>IF(SUM(EW4,FA4)&gt;0,SUM(EW4,FA4),"")</f>
        <v/>
      </c>
      <c r="FJ4" s="20" t="str">
        <f>IF(SUM(EV4:EW4,EY4:FA4,FC4)-SUM(EX4,FB4)&gt;0,SUM(EV4:EW4,EY4:FA4,FC4)-SUM(EX4,FB4),"")</f>
        <v/>
      </c>
      <c r="FK4" s="20" t="str">
        <f>IF(SUM(FE4,FJ4)&gt;0,SUM(FE4,FJ4),"")</f>
        <v/>
      </c>
      <c r="FL4" s="25">
        <v>18.8</v>
      </c>
      <c r="FM4" s="25">
        <v>6.8</v>
      </c>
      <c r="FN4" s="25">
        <v>0.6</v>
      </c>
      <c r="FO4" s="25">
        <v>0.3</v>
      </c>
      <c r="FP4" s="25">
        <v>18.8</v>
      </c>
      <c r="FQ4" s="25">
        <v>6.8</v>
      </c>
      <c r="FR4" s="25">
        <v>0.2</v>
      </c>
      <c r="FS4" s="25">
        <v>0.3</v>
      </c>
      <c r="FT4" s="25"/>
      <c r="FU4" s="25"/>
      <c r="FV4" s="25"/>
      <c r="FW4" s="25"/>
      <c r="FX4" s="25">
        <v>18.399999999999999</v>
      </c>
      <c r="FY4" s="25">
        <v>4.4000000000000004</v>
      </c>
      <c r="FZ4" s="25">
        <v>1</v>
      </c>
      <c r="GA4" s="25">
        <v>0</v>
      </c>
      <c r="GB4" s="25">
        <v>18.600000000000001</v>
      </c>
      <c r="GC4" s="25">
        <v>6.8</v>
      </c>
      <c r="GD4" s="25">
        <v>0</v>
      </c>
      <c r="GE4" s="25">
        <v>0.3</v>
      </c>
      <c r="GF4" s="79">
        <f>IF(SUM(FM4,FQ4)&gt;0,SUM(FM4,FQ4),"")</f>
        <v>13.6</v>
      </c>
      <c r="GG4" s="79">
        <f>IF(SUM(FL4:FM4,FO4:FQ4,FS4)-FN4-FR4&gt;0,SUM(FL4:FM4,FO4:FQ4,FS4)-FN4-FR4,"")</f>
        <v>50.999999999999993</v>
      </c>
      <c r="GH4" s="79" t="str">
        <f>IF(SUM(FT4:FU4,FW4)-FV4&gt;0,SUM(FT4:FU4,FW4)-FV4,"")</f>
        <v/>
      </c>
      <c r="GI4" s="79">
        <f>IF(SUM(FM4,FQ4,FU4)&gt;0,SUM(FM4,FQ4,FU4),"")</f>
        <v>13.6</v>
      </c>
      <c r="GJ4" s="79">
        <f>IF(SUM(GG4,GH4)&gt;0,SUM(GG4,GH4),"")</f>
        <v>50.999999999999993</v>
      </c>
      <c r="GK4" s="79">
        <f>IF(SUM(FY4,GC4)&gt;0,SUM(FY4,GC4),"")</f>
        <v>11.2</v>
      </c>
      <c r="GL4" s="79">
        <f>IF(SUM(FX4:FY4,GA4:GC4,GE4)-SUM(FZ4,GD4)&gt;0,SUM(FX4:FY4,GA4:GC4,GE4)-SUM(FZ4,GD4),"")</f>
        <v>47.499999999999993</v>
      </c>
      <c r="GM4" s="79">
        <f>IF(SUM(GG4,GL4)&gt;0,SUM(GG4,GL4),"")</f>
        <v>98.499999999999986</v>
      </c>
      <c r="GN4" s="26">
        <v>18.399999999999999</v>
      </c>
      <c r="GO4" s="26">
        <v>6</v>
      </c>
      <c r="GP4" s="26">
        <v>0</v>
      </c>
      <c r="GQ4" s="26">
        <v>0.3</v>
      </c>
      <c r="GR4" s="26">
        <v>18.8</v>
      </c>
      <c r="GS4" s="26">
        <v>6.8</v>
      </c>
      <c r="GT4" s="26">
        <v>0</v>
      </c>
      <c r="GU4" s="26">
        <v>0.3</v>
      </c>
      <c r="GV4" s="26"/>
      <c r="GW4" s="26"/>
      <c r="GX4" s="26"/>
      <c r="GY4" s="26"/>
      <c r="GZ4" s="26">
        <v>18.7</v>
      </c>
      <c r="HA4" s="26">
        <v>6.8</v>
      </c>
      <c r="HB4" s="26">
        <v>0.2</v>
      </c>
      <c r="HC4" s="26">
        <v>0.3</v>
      </c>
      <c r="HD4" s="26">
        <v>18</v>
      </c>
      <c r="HE4" s="26">
        <v>6.4</v>
      </c>
      <c r="HF4" s="26">
        <v>0.2</v>
      </c>
      <c r="HG4" s="26">
        <v>0.3</v>
      </c>
      <c r="HH4" s="20">
        <f>IF(SUM(GO4,GS4)&gt;0,SUM(GO4,GS4),"")</f>
        <v>12.8</v>
      </c>
      <c r="HI4" s="20">
        <f>IF(SUM(GN4:GO4,GQ4:GS4,GU4)-GP4-GT4&gt;0,SUM(GN4:GO4,GQ4:GS4,GU4)-GP4-GT4,"")</f>
        <v>50.599999999999994</v>
      </c>
      <c r="HJ4" s="20" t="str">
        <f>IF(SUM(GV4:GW4,GY4)-GX4&gt;0,SUM(GV4:GW4,GY4)-GX4,"")</f>
        <v/>
      </c>
      <c r="HK4" s="20">
        <f>IF(SUM(GO4,GS4,GW4)&gt;0,SUM(GO4,GS4,GW4),"")</f>
        <v>12.8</v>
      </c>
      <c r="HL4" s="20">
        <f>IF(SUM(HI4,HJ4)&gt;0,SUM(HI4,HJ4),"")</f>
        <v>50.599999999999994</v>
      </c>
      <c r="HM4" s="20">
        <f>IF(SUM(HA4,HE4)&gt;0,SUM(HA4,HE4),"")</f>
        <v>13.2</v>
      </c>
      <c r="HN4" s="20">
        <f>IF(SUM(GZ4:HA4,HC4:HE4,HG4)-SUM(HB4,HF4)&gt;0,SUM(GZ4:HA4,HC4:HE4,HG4)-SUM(HB4,HF4),"")</f>
        <v>50.099999999999994</v>
      </c>
      <c r="HO4" s="20">
        <f>IF(SUM(HI4,HN4)&gt;0,SUM(HI4,HN4),"")</f>
        <v>100.69999999999999</v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79" t="str">
        <f>IF(SUM(HQ4,HU4)&gt;0,SUM(HQ4,HU4),"")</f>
        <v/>
      </c>
      <c r="IK4" s="79" t="str">
        <f>IF(SUM(HP4:HQ4,HS4:HU4,HW4)-HR4-HV4&gt;0,SUM(HP4:HQ4,HS4:HU4,HW4)-HR4-HV4,"")</f>
        <v/>
      </c>
      <c r="IL4" s="79" t="str">
        <f>IF(SUM(HX4:HY4,IA4)-HZ4&gt;0,SUM(HX4:HY4,IA4)-HZ4,"")</f>
        <v/>
      </c>
      <c r="IM4" s="79" t="str">
        <f>IF(SUM(HQ4,HU4,HY4)&gt;0,SUM(HQ4,HU4,HY4),"")</f>
        <v/>
      </c>
      <c r="IN4" s="79" t="str">
        <f>IF(SUM(IK4,IL4)&gt;0,SUM(IK4,IL4),"")</f>
        <v/>
      </c>
      <c r="IO4" s="79" t="str">
        <f>IF(SUM(IC4,IG4)&gt;0,SUM(IC4,IG4),"")</f>
        <v/>
      </c>
      <c r="IP4" s="79" t="str">
        <f>IF(SUM(IB4:IC4,IE4:IG4,II4)-SUM(ID4,IH4)&gt;0,SUM(IB4:IC4,IE4:IG4,II4)-SUM(ID4,IH4),"")</f>
        <v/>
      </c>
      <c r="IQ4" s="79" t="str">
        <f>IF(SUM(IK4,IP4)&gt;0,SUM(IK4,IP4),"")</f>
        <v/>
      </c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0" t="str">
        <f>IF(SUM(IS4,IW4)&gt;0,SUM(IS4,IW4),"")</f>
        <v/>
      </c>
      <c r="JM4" s="20" t="str">
        <f>IF(SUM(IR4:IS4,IU4:IW4,IY4)-IT4-IX4&gt;0,SUM(IR4:IS4,IU4:IW4,IY4)-IT4-IX4,"")</f>
        <v/>
      </c>
      <c r="JN4" s="20" t="str">
        <f>IF(SUM(IZ4:JA4,JC4)-JB4&gt;0,SUM(IZ4:JA4,JC4)-JB4,"")</f>
        <v/>
      </c>
      <c r="JO4" s="20" t="str">
        <f>IF(SUM(IS4,IW4,JA4)&gt;0,SUM(IS4,IW4,JA4),"")</f>
        <v/>
      </c>
      <c r="JP4" s="20" t="str">
        <f>IF(SUM(JM4,JN4)&gt;0,SUM(JM4,JN4),"")</f>
        <v/>
      </c>
      <c r="JQ4" s="20" t="str">
        <f>IF(SUM(JE4,JI4)&gt;0,SUM(JE4,JI4),"")</f>
        <v/>
      </c>
      <c r="JR4" s="20" t="str">
        <f>IF(SUM(JD4:JE4,JG4:JI4,JK4)-SUM(JF4,JJ4)&gt;0,SUM(JD4:JE4,JG4:JI4,JK4)-SUM(JF4,JJ4),"")</f>
        <v/>
      </c>
      <c r="JS4" s="20" t="str">
        <f>IF(SUM(JM4,JR4)&gt;0,SUM(JM4,JR4),"")</f>
        <v/>
      </c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79" t="str">
        <f>IF(SUM(JU4,JY4)&gt;0,SUM(JU4,JY4),"")</f>
        <v/>
      </c>
      <c r="KO4" s="79" t="str">
        <f>IF(SUM(JT4:JU4,JW4:JY4,KA4)-JV4-JZ4&gt;0,SUM(JT4:JU4,JW4:JY4,KA4)-JV4-JZ4,"")</f>
        <v/>
      </c>
      <c r="KP4" s="79" t="str">
        <f>IF(SUM(KB4:KC4,KE4)-KD4&gt;0,SUM(KB4:KC4,KE4)-KD4,"")</f>
        <v/>
      </c>
      <c r="KQ4" s="79" t="str">
        <f>IF(SUM(JU4,JY4,KC4)&gt;0,SUM(JU4,JY4,KC4),"")</f>
        <v/>
      </c>
      <c r="KR4" s="79" t="str">
        <f>IF(SUM(KO4,KP4)&gt;0,SUM(KO4,KP4),"")</f>
        <v/>
      </c>
      <c r="KS4" s="79" t="str">
        <f>IF(SUM(KG4,KK4)&gt;0,SUM(KG4,KK4),"")</f>
        <v/>
      </c>
      <c r="KT4" s="79" t="str">
        <f>IF(SUM(KF4:KG4,KI4:KK4,KM4)-SUM(KH4,KL4)&gt;0,SUM(KF4:KG4,KI4:KK4,KM4)-SUM(KH4,KL4),"")</f>
        <v/>
      </c>
      <c r="KU4" s="79" t="str">
        <f>IF(SUM(KO4,KT4)&gt;0,SUM(KO4,KT4),"")</f>
        <v/>
      </c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0" t="str">
        <f>IF(SUM(KW4,LA4)&gt;0,SUM(KW4,LA4),"")</f>
        <v/>
      </c>
      <c r="LQ4" s="20" t="str">
        <f>IF(SUM(KV4:KW4,KY4:LA4,LC4)-KX4-LB4&gt;0,SUM(KV4:KW4,KY4:LA4,LC4)-KX4-LB4,"")</f>
        <v/>
      </c>
      <c r="LR4" s="20" t="str">
        <f>IF(SUM(LD4:LE4,LG4)-LF4&gt;0,SUM(LD4:LE4,LG4)-LF4,"")</f>
        <v/>
      </c>
      <c r="LS4" s="20" t="str">
        <f>IF(SUM(KW4,LA4,LE4)&gt;0,SUM(KW4,LA4,LE4),"")</f>
        <v/>
      </c>
      <c r="LT4" s="20" t="str">
        <f>IF(SUM(LQ4,LR4)&gt;0,SUM(LQ4,LR4),"")</f>
        <v/>
      </c>
      <c r="LU4" s="20" t="str">
        <f>IF(SUM(LI4,LM4)&gt;0,SUM(LI4,LM4),"")</f>
        <v/>
      </c>
      <c r="LV4" s="20" t="str">
        <f>IF(SUM(LH4:LI4,LK4:LM4,LO4)-SUM(LJ4,LN4)&gt;0,SUM(LH4:LI4,LK4:LM4,LO4)-SUM(LJ4,LN4),"")</f>
        <v/>
      </c>
      <c r="LW4" s="20" t="str">
        <f>IF(SUM(LQ4,LV4)&gt;0,SUM(LQ4,LV4),"")</f>
        <v/>
      </c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79" t="str">
        <f>IF(SUM(LY4,MC4)&gt;0,SUM(LY4,MC4),"")</f>
        <v/>
      </c>
      <c r="MS4" s="79" t="str">
        <f>IF(SUM(LX4:LY4,MA4:MC4,ME4)-LZ4-MD4&gt;0,SUM(LX4:LY4,MA4:MC4,ME4)-LZ4-MD4,"")</f>
        <v/>
      </c>
      <c r="MT4" s="79" t="str">
        <f>IF(SUM(MF4:MG4,MI4)-MH4&gt;0,SUM(MF4:MG4,MI4)-MH4,"")</f>
        <v/>
      </c>
      <c r="MU4" s="79" t="str">
        <f>IF(SUM(LY4,MC4,MG4)&gt;0,SUM(LY4,MC4,MG4),"")</f>
        <v/>
      </c>
      <c r="MV4" s="79" t="str">
        <f>IF(SUM(MS4,MT4)&gt;0,SUM(MS4,MT4),"")</f>
        <v/>
      </c>
      <c r="MW4" s="79" t="str">
        <f>IF(SUM(MK4,MO4)&gt;0,SUM(MK4,MO4),"")</f>
        <v/>
      </c>
      <c r="MX4" s="79" t="str">
        <f>IF(SUM(MJ4:MK4,MM4:MO4,MQ4)-SUM(ML4,MP4)&gt;0,SUM(MJ4:MK4,MM4:MO4,MQ4)-SUM(ML4,MP4),"")</f>
        <v/>
      </c>
      <c r="MY4" s="79" t="str">
        <f>IF(SUM(MS4,MX4)&gt;0,SUM(MS4,MX4),"")</f>
        <v/>
      </c>
      <c r="MZ4" s="26"/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0" t="str">
        <f>IF(SUM(NA4,NE4)&gt;0,SUM(NA4,NE4),"")</f>
        <v/>
      </c>
      <c r="NU4" s="20" t="str">
        <f>IF(SUM(MZ4:NA4,NC4:NE4,NG4)-NB4-NF4&gt;0,SUM(MZ4:NA4,NC4:NE4,NG4)-NB4-NF4,"")</f>
        <v/>
      </c>
      <c r="NV4" s="20" t="str">
        <f>IF(SUM(NH4:NI4,NK4)-NJ4&gt;0,SUM(NH4:NI4,NK4)-NJ4,"")</f>
        <v/>
      </c>
      <c r="NW4" s="20" t="str">
        <f>IF(SUM(NA4,NE4,NI4)&gt;0,SUM(NA4,NE4,NI4),"")</f>
        <v/>
      </c>
      <c r="NX4" s="20" t="str">
        <f>IF(SUM(NU4,NV4)&gt;0,SUM(NU4,NV4),"")</f>
        <v/>
      </c>
      <c r="NY4" s="20" t="str">
        <f>IF(SUM(NM4,NQ4)&gt;0,SUM(NM4,NQ4),"")</f>
        <v/>
      </c>
      <c r="NZ4" s="20" t="str">
        <f>IF(SUM(NL4:NM4,NO4:NQ4,NS4)-SUM(NN4,NR4)&gt;0,SUM(NL4:NM4,NO4:NQ4,NS4)-SUM(NN4,NR4),"")</f>
        <v/>
      </c>
      <c r="OA4" s="20" t="str">
        <f>IF(SUM(NU4,NZ4)&gt;0,SUM(NU4,NZ4),"")</f>
        <v/>
      </c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79" t="str">
        <f>IF(SUM(OC4,OG4)&gt;0,SUM(OC4,OG4),"")</f>
        <v/>
      </c>
      <c r="OW4" s="79" t="str">
        <f>IF(SUM(OB4:OC4,OE4:OG4,OI4)-OD4-OH4&gt;0,SUM(OB4:OC4,OE4:OG4,OI4)-OD4-OH4,"")</f>
        <v/>
      </c>
      <c r="OX4" s="79" t="str">
        <f>IF(SUM(OJ4:OK4,OM4)-OL4&gt;0,SUM(OJ4:OK4,OM4)-OL4,"")</f>
        <v/>
      </c>
      <c r="OY4" s="79" t="str">
        <f>IF(SUM(OC4,OG4,OK4)&gt;0,SUM(OC4,OG4,OK4),"")</f>
        <v/>
      </c>
      <c r="OZ4" s="79" t="str">
        <f>IF(SUM(OW4,OX4)&gt;0,SUM(OW4,OX4),"")</f>
        <v/>
      </c>
      <c r="PA4" s="79" t="str">
        <f>IF(SUM(OO4,OS4)&gt;0,SUM(OO4,OS4),"")</f>
        <v/>
      </c>
      <c r="PB4" s="79" t="str">
        <f>IF(SUM(ON4:OO4,OQ4:OS4,OU4)-SUM(OP4,OT4)&gt;0,SUM(ON4:OO4,OQ4:OS4,OU4)-SUM(OP4,OT4),"")</f>
        <v/>
      </c>
      <c r="PC4" s="79" t="str">
        <f>IF(SUM(OW4,PB4)&gt;0,SUM(OW4,PB4),"")</f>
        <v/>
      </c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0" t="str">
        <f>IF(SUM(PE4,PI4)&gt;0,SUM(PE4,PI4),"")</f>
        <v/>
      </c>
      <c r="PY4" s="20" t="str">
        <f>IF(SUM(PD4:PE4,PG4:PI4,PK4)-PF4-PJ4&gt;0,SUM(PD4:PE4,PG4:PI4,PK4)-PF4-PJ4,"")</f>
        <v/>
      </c>
      <c r="PZ4" s="20" t="str">
        <f>IF(SUM(PL4:PM4,PO4)-PN4&gt;0,SUM(PL4:PM4,PO4)-PN4,"")</f>
        <v/>
      </c>
      <c r="QA4" s="20" t="str">
        <f>IF(SUM(PE4,PI4,PM4)&gt;0,SUM(PE4,PI4,PM4),"")</f>
        <v/>
      </c>
      <c r="QB4" s="20" t="str">
        <f>IF(SUM(PY4,PZ4)&gt;0,SUM(PY4,PZ4),"")</f>
        <v/>
      </c>
      <c r="QC4" s="20" t="str">
        <f>IF(SUM(PQ4,PU4)&gt;0,SUM(PQ4,PU4),"")</f>
        <v/>
      </c>
      <c r="QD4" s="20" t="str">
        <f>IF(SUM(PP4:PQ4,PS4:PU4,PW4)-SUM(PR4,PV4)&gt;0,SUM(PP4:PQ4,PS4:PU4,PW4)-SUM(PR4,PV4),"")</f>
        <v/>
      </c>
      <c r="QE4" s="20" t="str">
        <f>IF(SUM(PY4,QD4)&gt;0,SUM(PY4,QD4),"")</f>
        <v/>
      </c>
      <c r="QF4" s="38">
        <f>IF($CV4="P",CB4,(CB4+AY4)/2)</f>
        <v>9.4000500000000002</v>
      </c>
      <c r="QG4" s="38">
        <f>IF($CV4="P",CC4,(CC4+AZ4)/2)</f>
        <v>3.4000499999999998</v>
      </c>
      <c r="QH4" s="38">
        <f>IF($CV4="P",CD4,(CD4+BA4)/2)</f>
        <v>0</v>
      </c>
      <c r="QI4" s="38">
        <f>IF($CV4="P",CE4,(CE4+BB4)/2)</f>
        <v>0.15</v>
      </c>
      <c r="QJ4" s="38">
        <f>IF($CV4="P",CF4,(CF4+BC4)/2)</f>
        <v>9.3000000000000007</v>
      </c>
      <c r="QK4" s="38">
        <f>IF($CV4="P",CG4,(CG4+BD4)/2)</f>
        <v>3.4</v>
      </c>
      <c r="QL4" s="38">
        <f>IF($CV4="P",CH4,(CH4+BE4)/2)</f>
        <v>0.4</v>
      </c>
      <c r="QM4" s="38">
        <f>IF($CV4="P",CI4,(CI4+BF4)/2)</f>
        <v>0.15</v>
      </c>
      <c r="QN4" s="38">
        <f>IF($CV4="P",CJ4,(CJ4+BG4)/2)</f>
        <v>9.25</v>
      </c>
      <c r="QO4" s="38">
        <f>IF($CV4="P",CK4,(CK4+BH4)/2)</f>
        <v>2.8</v>
      </c>
      <c r="QP4" s="38">
        <f>IF($CV4="P",CL4,(CL4+BI4)/2)</f>
        <v>0.3</v>
      </c>
      <c r="QQ4" s="38">
        <f>IF($CV4="P",CM4,(CM4+BJ4)/2)</f>
        <v>0</v>
      </c>
      <c r="QR4" s="38">
        <f>IF($CV4="P",CN4,(CN4+BK4)/2)</f>
        <v>9.0500000000000007</v>
      </c>
      <c r="QS4" s="38">
        <f>IF($CV4="P",CO4,(CO4+BL4)/2)</f>
        <v>3.4</v>
      </c>
      <c r="QT4" s="38">
        <f>IF($CV4="P",CP4,(CP4+BM4)/2)</f>
        <v>0.1</v>
      </c>
      <c r="QU4" s="38">
        <f>IF($CV4="P",CQ4,(CQ4+BN4)/2)</f>
        <v>0.3</v>
      </c>
      <c r="QV4" s="38">
        <f>IF($CV4="P",CR4,(CR4+BO4)/2)</f>
        <v>9.4</v>
      </c>
      <c r="QW4" s="38">
        <f>IF($CV4="P",CS4,(CS4+BP4)/2)</f>
        <v>3.2</v>
      </c>
      <c r="QX4" s="38">
        <f>IF($CV4="P",CT4,(CT4+BQ4)/2)</f>
        <v>0</v>
      </c>
      <c r="QY4" s="38">
        <f>IF($CV4="P",CU4,(CU4+BR4)/2)</f>
        <v>0</v>
      </c>
      <c r="QZ4" s="45" t="s">
        <v>46</v>
      </c>
      <c r="RA4" s="79">
        <f>IF(SUM(QG4,QK4)&gt;0,SUM(QG4,QK4),"")</f>
        <v>6.8000499999999997</v>
      </c>
      <c r="RB4" s="79">
        <f>IF(SUM(QF4:QG4,QI4:QK4,QM4)-QH4-QL4&gt;0,SUM(QF4:QG4,QI4:QK4,QM4)-QH4-QL4,"")</f>
        <v>25.400100000000002</v>
      </c>
      <c r="RC4" s="79">
        <f>IF(SUM(QN4:QO4,QQ4)-QP4&gt;0,SUM(QN4:QO4,QQ4)-QP4,"")</f>
        <v>11.75</v>
      </c>
      <c r="RD4" s="79">
        <f>IF(SUM(QG4,QK4,QO4)&gt;0,SUM(QG4,QK4,QO4),"")</f>
        <v>9.6000499999999995</v>
      </c>
      <c r="RE4" s="79">
        <f>IF(SUM(RB4,RC4)&gt;0,SUM(RB4,RC4),"")</f>
        <v>37.150100000000002</v>
      </c>
      <c r="RF4" s="79">
        <f>IF(SUM(QS4,QW4)&gt;0,SUM(QS4,QW4),"")</f>
        <v>6.6</v>
      </c>
      <c r="RG4" s="79">
        <f>IF(SUM(QR4:QS4,QU4:QW4,QY4)-SUM(QT4,QX4)&gt;0,SUM(QR4:QS4,QU4:QW4,QY4)-SUM(QT4,QX4),"")</f>
        <v>25.25</v>
      </c>
      <c r="RH4" s="79">
        <f>IF(SUM(RB4,RG4)&gt;0,SUM(RB4,RG4),"")</f>
        <v>50.650100000000002</v>
      </c>
    </row>
    <row r="5" spans="1:476" x14ac:dyDescent="0.2">
      <c r="A5" s="5">
        <f>IF(AND(F5="P",G5="P"),SUMPRODUCT((F$4:F$22="P")*(G$4:G$22="P")*(E$4:E$22&gt;E5))+1,IF(G5="P",SUMPRODUCT((F$4:F$22="")*(G$4:G$22="P")*(E$4:E$22&gt;E5))+1+SUMPRODUCT((F$4:F$22="P")*(G$4:G$22="P")),""))</f>
        <v>2</v>
      </c>
      <c r="B5" s="78" t="s">
        <v>82</v>
      </c>
      <c r="C5" s="5" t="s">
        <v>81</v>
      </c>
      <c r="D5" s="5">
        <v>2002</v>
      </c>
      <c r="E5" s="15">
        <f>SUM(I5:S5)+SUM(I5:O5)*0.0000001+SUM(I5)*0.0000000000001</f>
        <v>122.60020728002485</v>
      </c>
      <c r="F5" s="3" t="str">
        <f>IF(OR(AND(AQ5&gt;=AX$24,AR5&gt;=AX$28,AQ5&lt;&gt;"",AP5=""),AND(AV5&gt;=AX$24,AW5&gt;=AX$28,AV5&lt;&gt;"",AP5=""),AND(BT5&gt;=CA$24,BU5&gt;=CA$28,BT5&lt;&gt;"",BS5=""),AND(BY5&gt;=CA$24,BZ5&gt;=CA$28,BY5&lt;&gt;"",BS5=""),AND(CW5&gt;=DD$24,CX5&gt;=DD$28,CW5&lt;&gt;"",CV5=""),AND(DB5&gt;=DD$24,DC5&gt;=DD$28,DB5&lt;&gt;""),AND(EB5&gt;=EI$24,EC5&gt;=EI$28,EB5&lt;&gt;""),AND(EG5&gt;=EI$24,EH5&gt;=EI$28,EG5&lt;&gt;""),AND(FD5&gt;=FK$24,FE5&gt;=FK$28,FD5&lt;&gt;""),AND(FI5&gt;=FK$24,FJ5&gt;=FK$28,FI5&lt;&gt;""),AND(GF5&gt;=GM$24,GG5&gt;=GM$28,GF5&lt;&gt;""),AND(GK5&gt;=GM$24,GL5&gt;=GM$28,GK5&lt;&gt;""),AND(HH5&gt;=HO$24,HI5&gt;=HO$28,HH5&lt;&gt;""),AND(HM5&gt;=HO$24,HN5&gt;=HO$28,HM5&lt;&gt;""),AND(IJ5&gt;=IQ$24,IK5&gt;=IQ$28,IJ5&lt;&gt;""),AND(IO5&gt;=IQ$24,IP5&gt;=IQ$28,IO5&lt;&gt;""),AND(JL5&gt;=JS$24,JM5&gt;=JS$28,JL5&lt;&gt;""),AND(JQ5&gt;=JS$24,JR5&gt;=JS$28,JQ5&lt;&gt;""),AND(KN5&gt;=KU$24,KO5&gt;=KU$28,KN5&lt;&gt;""),AND(KS5&gt;=KU$24,KT5&gt;=KU$28,KS5&lt;&gt;""),AND(LP5&gt;=LW$24,LQ5&gt;=LW$28,LP5&lt;&gt;""),AND(LU5&gt;=LW$24,LV5&gt;=LW$28,LU5&lt;&gt;""),AND(MR5&gt;=MY$24,MS5&gt;=MY$28,MR5&lt;&gt;""),AND(MW5&gt;=MY$24,MX5&gt;=MY$28,MW5&lt;&gt;""),AND(NT5&gt;=OA$24,NU5&gt;=OA$28,NT5&lt;&gt;""),AND(NY5&gt;=OA$24,NZ5&gt;=OA$28,NY5&lt;&gt;""),AND(OV5&gt;=PC$24,OW5&gt;=PC$28,OV5&lt;&gt;""),AND(PA5&gt;=PC$24,PB5&gt;=PC$28,PA5&lt;&gt;""),AND(PX5&gt;=QE$24,PY5&gt;=QE$28,PX5&lt;&gt;""),AND(QC5&gt;=QE$24,QD5&gt;=QE$28,QC5&lt;&gt;"")),"P","")</f>
        <v>P</v>
      </c>
      <c r="G5" s="3" t="str">
        <f>IF(OR(AND(AR5&gt;=AX$28,AR5&lt;&gt;"",AP5=""),AND(AW5&gt;=AX$28,AW5&lt;&gt;"",AP5=""),AND(BU5&gt;=CA$28,BU5&lt;&gt;"",BS5=""),AND(BZ5&gt;=CA$28,BZ5&lt;&gt;"",BS5=""),AND(CX5&gt;=DD$28,CX5&lt;&gt;"",CV5=""),AND(DC5&gt;=DD$28,DC5&lt;&gt;"",CV5=""),AND(EC5&gt;=EI$28,EC5&lt;&gt;""),AND(EH5&gt;=EI$28,EH5&lt;&gt;""),AND(FE5&gt;=FK$28,FE5&lt;&gt;""),AND(FJ5&gt;=FK$28,FJ5&lt;&gt;""),AND(GG5&gt;=GM$28,GG5&lt;&gt;""),AND(GL5&gt;=GM$28,GL5&lt;&gt;""),AND(HI5&gt;=HO$28,HI5&lt;&gt;""),AND(HN5&gt;=HO$28,HN5&lt;&gt;""),AND(IK5&gt;=IQ$28,IK5&lt;&gt;""),AND(IP5&gt;=IQ$28,IP5&lt;&gt;""),AND(JM5&gt;=JS$28,JM5&lt;&gt;""),AND(JR5&gt;=JS$28,JR5&lt;&gt;""),AND(KO5&gt;=KU$28,KO5&lt;&gt;""),AND(KT5&gt;=KU$28,KT5&lt;&gt;""),AND(LQ5&gt;=LW$28,LQ5&lt;&gt;""),AND(LV5&gt;=LW$28,LV5&lt;&gt;""),AND(MS5&gt;=MY$28,MS5&lt;&gt;""),AND(MX5&gt;=MY$28,MX5&lt;&gt;""),AND(NU5&gt;=OA$28,NU5&lt;&gt;""),AND(NZ5&gt;=OA$28,NZ5&lt;&gt;""),AND(OW5&gt;=PC$28,OW5&lt;&gt;""),AND(PB5&gt;=PC$28,PB5&lt;&gt;""),AND(PY5&gt;=QE$28,PY5&lt;&gt;""),AND(QD5&gt;=QE$28,QD5&lt;&gt;"")),"P","")</f>
        <v>P</v>
      </c>
      <c r="H5" s="67" t="str">
        <f>IF(AND(G5="P",F5=""),"No DD",IF(OR(AND(AT5&gt;=AX$27,AU5&gt;=AX$31,AT5&lt;&gt;"",AP5=""),AND(BW5&gt;=CA$27,BX5&gt;=CA$31,BW5&lt;&gt;"",BS5=""),AND(CZ5&gt;=DD$27,DA5&gt;=DD$31,CZ5&lt;&gt;"",CV5=""),AND(EE5&gt;=EI$27,EF5&gt;=EI$31,EE5&lt;&gt;""),AND(FG5&gt;=FK$27,FH5&gt;=FK$31,FG5&lt;&gt;""),AND(GI5&gt;=GM$27,GJ5&gt;=GM$31,GI5&lt;&gt;""),AND(HK5&gt;=HO$27,HL5&gt;=HO$31,HK5&lt;&gt;""),AND(IM5&gt;=IQ$27,IN5&gt;=IQ$31,IM5&lt;&gt;""),AND(JO5&gt;=JS$27,JP5&gt;=JS$31,JO5&lt;&gt;""),AND(KQ5&gt;=KU$27,KR5&gt;=KU$31,KQ5&lt;&gt;""),AND(LS5&gt;=LW$27,LT5&gt;=LW$31,LS5&lt;&gt;""),AND(MU5&gt;=MY$27,MV5&gt;=MY$31,MU5&lt;&gt;""),AND(NW5&gt;=OA$27,NX5&gt;=OA$31,NW5&lt;&gt;""),AND(OY5&gt;=PC$27,OZ5&gt;=PC$31,OY5&lt;&gt;""),AND(QA5&gt;=QE$27,QB5&gt;=QE$31,QA5&lt;&gt;"")),"Merit",IF(OR(AND(AT5&gt;=AX$26,AU5&gt;=AX$30,AT5&lt;&gt;"",AP5=""),AND(BW5&gt;=CA$26,BX5&gt;=CA$30,BW5&lt;&gt;"",BS5=""),AND(CZ5&gt;=DD$26,DA5&gt;=DD$30,CZ5&lt;&gt;"",CV5=""),AND(EE5&gt;=EI$26,EF5&gt;=EI$30,EE5&lt;&gt;""),AND(FG5&gt;=FK$26,FH5&gt;=FK$30,FG5&lt;&gt;""),AND(GI5&gt;=GM$26,GJ5&gt;=GM$30,GI5&lt;&gt;""),AND(HK5&gt;=HO$26,HL5&gt;=HO$30,HK5&lt;&gt;""),AND(IM5&gt;=IQ$26,IN5&gt;=IQ$30,IM5&lt;&gt;""),AND(JO5&gt;=JS$26,JP5&gt;=JS$30,JO5&lt;&gt;""),AND(KQ5&gt;=KU$26,KR5&gt;=KU$30,KQ5&lt;&gt;""),AND(LS5&gt;=LW$26,LT5&gt;=LW$30,LS5&lt;&gt;""),AND(MU5&gt;=MY$26,MV5&gt;=MY$30,MU5&lt;&gt;""),AND(NW5&gt;=OA$26,NX5&gt;=OA$30,NW5&lt;&gt;""),AND(OY5&gt;=PC$26,OZ5&gt;=PC$30,OY5&lt;&gt;""),AND(QA5&gt;=QE$26,QB5&gt;=QE$30,QA5&lt;&gt;"")),"Excellence",IF(F5="P","National Team",""))))</f>
        <v>National Team</v>
      </c>
      <c r="I5" s="14">
        <f>IF(COUNT(AR5,BU5,CX5)&gt;0,LARGE((AR5,BU5,CX5),1),0)</f>
        <v>48.5</v>
      </c>
      <c r="J5" s="14" t="str">
        <f>IF(I5=0,"",IF(I5=CX5,$CB$1,IF(I5=BU5,$AY$1,IF(I5=AR5,$V$1,""))))</f>
        <v>2022 Elite Canada</v>
      </c>
      <c r="K5" s="14">
        <f>IF(COUNT(AR5,BU5,CX5)&gt;1,LARGE((AR5,BU5,CX5),2),0)</f>
        <v>2.0000000000000001E-4</v>
      </c>
      <c r="L5" s="14" t="str">
        <f>IF(K5=0,"",IF(K5=CX5,$CB$1,IF(K5=BU5,$AY$1,IF(K5=AR5,$V$1,""))))</f>
        <v>2021 Canadian Championships</v>
      </c>
      <c r="M5" s="14">
        <f>IF(COUNT(AS5,BV5,CY5)&gt;0,LARGE((AS5,BV5,CY5),1),0)</f>
        <v>24.3</v>
      </c>
      <c r="N5" s="14" t="str">
        <f>IF(M5=0,"",IF(M5=CY5,$CB$1,IF(M5=BV5,$AY$1,IF(M5=AS5,$V$1,""))))</f>
        <v>2022 Elite Canada</v>
      </c>
      <c r="O5" s="14">
        <f>IF(COUNT(AS5,BV5,CY5)&gt;1,LARGE((AS5,BV5,CY5),2),0)</f>
        <v>0</v>
      </c>
      <c r="P5" s="14" t="str">
        <f>IF(O5=0,"",IF(O5=CY5,$CB$1,IF(O5=BV5,$AY$1,IF(O5=AS5,$V$1,""))))</f>
        <v/>
      </c>
      <c r="Q5" s="14">
        <f>IF(MAX(AW5,BZ5,DC5)&gt;0,MAX(AW5,BZ5,DC5),0)</f>
        <v>49.8</v>
      </c>
      <c r="R5" s="14" t="str">
        <f>IF(Q5=0,"",IF(Q5=DC5,$CB$1,IF(Q5=BZ5,$AY$1,IF(Q5=AW5,$V$1,""))))</f>
        <v>2022 Elite Canada</v>
      </c>
      <c r="S5" s="14" t="str">
        <f>IF(MAX(DE5:DG5)&gt;0,MAX(DE5:DG5),"")</f>
        <v/>
      </c>
      <c r="T5" s="20" t="str">
        <f>IF(S5="","",IF(S5=DE5,"("&amp;DE$2&amp;")",IF(S5=DG5,"("&amp;DG$2&amp;")")))</f>
        <v/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/>
      </c>
      <c r="V5" s="27">
        <v>1E-4</v>
      </c>
      <c r="W5" s="27">
        <v>1E-4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45"/>
      <c r="AQ5" s="79">
        <f>IF(SUM(W5,AA5)&gt;0,SUM(W5,AA5),"")</f>
        <v>1E-4</v>
      </c>
      <c r="AR5" s="79">
        <f>IF(SUM(V5:W5,Y5:AA5,AC5)-X5-AB5&gt;0,SUM(V5:W5,Y5:AA5,AC5)-X5-AB5,"")</f>
        <v>2.0000000000000001E-4</v>
      </c>
      <c r="AS5" s="79" t="str">
        <f>IF(SUM(AD5:AE5,AG5)-AF5&gt;0,SUM(AD5:AE5,AG5)-AF5,"")</f>
        <v/>
      </c>
      <c r="AT5" s="79">
        <f>IF(SUM(W5,AA5,AE5)&gt;0,SUM(W5,AA5,AE5),"")</f>
        <v>1E-4</v>
      </c>
      <c r="AU5" s="79">
        <f>IF(SUM(AR5,AS5)&gt;0,SUM(AR5,AS5),"")</f>
        <v>2.0000000000000001E-4</v>
      </c>
      <c r="AV5" s="79" t="str">
        <f>IF(SUM(AI5,AM5)&gt;0,SUM(AI5,AM5),"")</f>
        <v/>
      </c>
      <c r="AW5" s="79" t="str">
        <f>IF(SUM(AH5:AI5,AK5:AM5,AO5)-SUM(AJ5,AN5)&gt;0,SUM(AH5:AI5,AK5:AM5,AO5)-SUM(AJ5,AN5),"")</f>
        <v/>
      </c>
      <c r="AX5" s="79">
        <f>IF(SUM(AR5,AW5)&gt;0,SUM(AR5,AW5),"")</f>
        <v>2.0000000000000001E-4</v>
      </c>
      <c r="AY5" s="26">
        <v>1E-4</v>
      </c>
      <c r="AZ5" s="26">
        <v>1E-4</v>
      </c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46"/>
      <c r="BT5" s="20">
        <f>IF(SUM(AZ5,BD5)&gt;0,SUM(AZ5,BD5),"")</f>
        <v>1E-4</v>
      </c>
      <c r="BU5" s="20">
        <f>IF(SUM(AY5:AZ5,BB5:BD5,BF5)-BA5-BE5&gt;0,SUM(AY5:AZ5,BB5:BD5,BF5)-BA5-BE5,"")</f>
        <v>2.0000000000000001E-4</v>
      </c>
      <c r="BV5" s="20" t="str">
        <f>IF(SUM(BG5:BH5,BJ5)-BI5&gt;0,SUM(BG5:BH5,BJ5)-BI5,"")</f>
        <v/>
      </c>
      <c r="BW5" s="20">
        <f>IF(SUM(AZ5,BD5,BH5)&gt;0,SUM(AZ5,BD5,BH5),"")</f>
        <v>1E-4</v>
      </c>
      <c r="BX5" s="20">
        <f>IF(SUM(BU5,BV5)&gt;0,SUM(BU5,BV5),"")</f>
        <v>2.0000000000000001E-4</v>
      </c>
      <c r="BY5" s="20" t="str">
        <f>IF(SUM(BL5,BP5)&gt;0,SUM(BL5,BP5),"")</f>
        <v/>
      </c>
      <c r="BZ5" s="20" t="str">
        <f>IF(SUM(BK5:BL5,BN5:BP5,BR5)-SUM(BM5,BQ5)&gt;0,SUM(BK5:BL5,BN5:BP5,BR5)-SUM(BM5,BQ5),"")</f>
        <v/>
      </c>
      <c r="CA5" s="20">
        <f>IF(SUM(BU5,BZ5)&gt;0,SUM(BU5,BZ5),"")</f>
        <v>2.0000000000000001E-4</v>
      </c>
      <c r="CB5" s="27">
        <v>18.600000000000001</v>
      </c>
      <c r="CC5" s="27">
        <v>5.6</v>
      </c>
      <c r="CD5" s="27">
        <v>0.6</v>
      </c>
      <c r="CE5" s="27">
        <v>0</v>
      </c>
      <c r="CF5" s="27">
        <v>18.899999999999999</v>
      </c>
      <c r="CG5" s="27">
        <v>6</v>
      </c>
      <c r="CH5" s="27">
        <v>0</v>
      </c>
      <c r="CI5" s="27">
        <v>0</v>
      </c>
      <c r="CJ5" s="27">
        <v>18.600000000000001</v>
      </c>
      <c r="CK5" s="27">
        <v>6</v>
      </c>
      <c r="CL5" s="27">
        <v>0.6</v>
      </c>
      <c r="CM5" s="27">
        <v>0.3</v>
      </c>
      <c r="CN5" s="27">
        <v>19</v>
      </c>
      <c r="CO5" s="27">
        <v>6.4</v>
      </c>
      <c r="CP5" s="27">
        <v>0</v>
      </c>
      <c r="CQ5" s="27">
        <v>0</v>
      </c>
      <c r="CR5" s="27">
        <v>19.2</v>
      </c>
      <c r="CS5" s="27">
        <v>5.2</v>
      </c>
      <c r="CT5" s="27">
        <v>0</v>
      </c>
      <c r="CU5" s="27">
        <v>0</v>
      </c>
      <c r="CV5" s="45"/>
      <c r="CW5" s="79">
        <f>IF(SUM(CC5,CG5)&gt;0,SUM(CC5,CG5),"")</f>
        <v>11.6</v>
      </c>
      <c r="CX5" s="79">
        <f>IF(SUM(CB5:CC5,CE5:CG5,CI5)-CD5-CH5&gt;0,SUM(CB5:CC5,CE5:CG5,CI5)-CD5-CH5,"")</f>
        <v>48.5</v>
      </c>
      <c r="CY5" s="79">
        <f>IF(SUM(CJ5:CK5,CM5)-CL5&gt;0,SUM(CJ5:CK5,CM5)-CL5,"")</f>
        <v>24.3</v>
      </c>
      <c r="CZ5" s="79">
        <f>IF(SUM(CC5,CG5,CK5)&gt;0,SUM(CC5,CG5,CK5),"")</f>
        <v>17.600000000000001</v>
      </c>
      <c r="DA5" s="79">
        <f>IF(SUM(CX5,CY5)&gt;0,SUM(CX5,CY5),"")</f>
        <v>72.8</v>
      </c>
      <c r="DB5" s="79">
        <f>IF(SUM(CO5,CS5)&gt;0,SUM(CO5,CS5),"")</f>
        <v>11.600000000000001</v>
      </c>
      <c r="DC5" s="79">
        <f>IF(SUM(CN5:CO5,CQ5:CS5,CU5)-SUM(CP5,CT5)&gt;0,SUM(CN5:CO5,CQ5:CS5,CU5)-SUM(CP5,CT5),"")</f>
        <v>49.8</v>
      </c>
      <c r="DD5" s="79">
        <f>IF(SUM(CX5,DC5)&gt;0,SUM(CX5,DC5),"")</f>
        <v>98.3</v>
      </c>
      <c r="DE5" s="80" t="str">
        <f>IF(K5&gt;=0.001,IF(MAX(EC5,FE5,GG5,HI5,IK5,JM5,KO5,LQ5,MS5,NU5,OW5,PY5)-IF(K5="",0,K5)&gt;0.001,MAX(EC5,FE5,GG5,HI5,IK5,JM5,KO5,LQ5,MS5,NU5,OW5,PY5)-IF(K5="",0,K5),""),"")</f>
        <v/>
      </c>
      <c r="DF5" s="80" t="str">
        <f>IF(O5&gt;=0.001,IF(MAX(ED5,FF5,GH5,HJ5,IL5,JN5,KP5,LR5,MT5,NV5,OX5,PZ5)-IF(O5="",0,O5)&gt;0.001,MAX(ED5,FF5,GH5,HJ5,IL5,JN5,KP5,LR5,MT5,NV5,OX5,PZ5)-IF(O5="",0,O5),""),"")</f>
        <v/>
      </c>
      <c r="DG5" s="80" t="str">
        <f>IF(Q5&gt;=0.001,IF(MAX(EH5,FJ5,GL5,HN5,IP5,JR5,KT5,LV5,MX5,NZ5,PB5,QD5)-IF(Q5="",0,Q5)&gt;0.001,MAX(EH5,FJ5,GL5,HN5,IP5,JR5,KT5,LV5,MX5,NZ5,PB5,QD5)-IF(Q5="",0,Q5),""),"")</f>
        <v/>
      </c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79" t="str">
        <f>IF(SUM(DI5,DM5)&gt;0,SUM(DI5,DM5),"")</f>
        <v/>
      </c>
      <c r="EC5" s="79" t="str">
        <f>IF(SUM(DH5:DI5,DK5:DM5,DO5)-DJ5-DN5&gt;0,SUM(DH5:DI5,DK5:DM5,DO5)-DJ5-DN5,"")</f>
        <v/>
      </c>
      <c r="ED5" s="79" t="str">
        <f>IF(SUM(DP5:DQ5,DS5)-DR5&gt;0,SUM(DP5:DQ5,DS5)-DR5,"")</f>
        <v/>
      </c>
      <c r="EE5" s="79" t="str">
        <f>IF(SUM(DI5,DM5,DQ5)&gt;0,SUM(DI5,DM5,DQ5),"")</f>
        <v/>
      </c>
      <c r="EF5" s="79" t="str">
        <f>IF(SUM(EC5,ED5)&gt;0,SUM(EC5,ED5),"")</f>
        <v/>
      </c>
      <c r="EG5" s="79" t="str">
        <f>IF(SUM(DU5,DY5)&gt;0,SUM(DU5,DY5),"")</f>
        <v/>
      </c>
      <c r="EH5" s="79" t="str">
        <f>IF(SUM(DT5:DU5,DW5:DY5,EA5)-SUM(DV5,DZ5)&gt;0,SUM(DT5:DU5,DW5:DY5,EA5)-SUM(DV5,DZ5),"")</f>
        <v/>
      </c>
      <c r="EI5" s="79" t="str">
        <f>IF(SUM(EC5,EH5)&gt;0,SUM(EC5,EH5),"")</f>
        <v/>
      </c>
      <c r="EJ5" s="26">
        <v>1E-4</v>
      </c>
      <c r="EK5" s="26">
        <v>1E-4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0">
        <f>IF(SUM(EK5,EO5)&gt;0,SUM(EK5,EO5),"")</f>
        <v>1E-4</v>
      </c>
      <c r="FE5" s="20">
        <f>IF(SUM(EJ5:EK5,EM5:EO5,EQ5)-EL5-EP5&gt;0,SUM(EJ5:EK5,EM5:EO5,EQ5)-EL5-EP5,"")</f>
        <v>2.0000000000000001E-4</v>
      </c>
      <c r="FF5" s="20" t="str">
        <f>IF(SUM(ER5:ES5,EU5)-ET5&gt;0,SUM(ER5:ES5,EU5)-ET5,"")</f>
        <v/>
      </c>
      <c r="FG5" s="20">
        <f>IF(SUM(EK5,EO5,ES5)&gt;0,SUM(EK5,EO5,ES5),"")</f>
        <v>1E-4</v>
      </c>
      <c r="FH5" s="20">
        <f>IF(SUM(FE5,FF5)&gt;0,SUM(FE5,FF5),"")</f>
        <v>2.0000000000000001E-4</v>
      </c>
      <c r="FI5" s="20" t="str">
        <f>IF(SUM(EW5,FA5)&gt;0,SUM(EW5,FA5),"")</f>
        <v/>
      </c>
      <c r="FJ5" s="20" t="str">
        <f>IF(SUM(EV5:EW5,EY5:FA5,FC5)-SUM(EX5,FB5)&gt;0,SUM(EV5:EW5,EY5:FA5,FC5)-SUM(EX5,FB5),"")</f>
        <v/>
      </c>
      <c r="FK5" s="20">
        <f>IF(SUM(FE5,FJ5)&gt;0,SUM(FE5,FJ5),"")</f>
        <v>2.0000000000000001E-4</v>
      </c>
      <c r="FL5" s="25">
        <v>18.8</v>
      </c>
      <c r="FM5" s="25">
        <v>5.2</v>
      </c>
      <c r="FN5" s="25">
        <v>0</v>
      </c>
      <c r="FO5" s="25">
        <v>0</v>
      </c>
      <c r="FP5" s="25">
        <v>18.5</v>
      </c>
      <c r="FQ5" s="25">
        <v>6.4</v>
      </c>
      <c r="FR5" s="25">
        <v>0</v>
      </c>
      <c r="FS5" s="25">
        <v>0</v>
      </c>
      <c r="FT5" s="25"/>
      <c r="FU5" s="25"/>
      <c r="FV5" s="25"/>
      <c r="FW5" s="25"/>
      <c r="FX5" s="25">
        <v>19</v>
      </c>
      <c r="FY5" s="25">
        <v>5.2</v>
      </c>
      <c r="FZ5" s="25">
        <v>0</v>
      </c>
      <c r="GA5" s="25">
        <v>0</v>
      </c>
      <c r="GB5" s="25">
        <v>18.399999999999999</v>
      </c>
      <c r="GC5" s="25">
        <v>6.4</v>
      </c>
      <c r="GD5" s="25">
        <v>0.2</v>
      </c>
      <c r="GE5" s="25">
        <v>0</v>
      </c>
      <c r="GF5" s="79">
        <f>IF(SUM(FM5,FQ5)&gt;0,SUM(FM5,FQ5),"")</f>
        <v>11.600000000000001</v>
      </c>
      <c r="GG5" s="79">
        <f>IF(SUM(FL5:FM5,FO5:FQ5,FS5)-FN5-FR5&gt;0,SUM(FL5:FM5,FO5:FQ5,FS5)-FN5-FR5,"")</f>
        <v>48.9</v>
      </c>
      <c r="GH5" s="79" t="str">
        <f>IF(SUM(FT5:FU5,FW5)-FV5&gt;0,SUM(FT5:FU5,FW5)-FV5,"")</f>
        <v/>
      </c>
      <c r="GI5" s="79">
        <f>IF(SUM(FM5,FQ5,FU5)&gt;0,SUM(FM5,FQ5,FU5),"")</f>
        <v>11.600000000000001</v>
      </c>
      <c r="GJ5" s="79">
        <f>IF(SUM(GG5,GH5)&gt;0,SUM(GG5,GH5),"")</f>
        <v>48.9</v>
      </c>
      <c r="GK5" s="79">
        <f>IF(SUM(FY5,GC5)&gt;0,SUM(FY5,GC5),"")</f>
        <v>11.600000000000001</v>
      </c>
      <c r="GL5" s="79">
        <f>IF(SUM(FX5:FY5,GA5:GC5,GE5)-SUM(FZ5,GD5)&gt;0,SUM(FX5:FY5,GA5:GC5,GE5)-SUM(FZ5,GD5),"")</f>
        <v>48.79999999999999</v>
      </c>
      <c r="GM5" s="79">
        <f>IF(SUM(GG5,GL5)&gt;0,SUM(GG5,GL5),"")</f>
        <v>97.699999999999989</v>
      </c>
      <c r="GN5" s="26">
        <v>18.600000000000001</v>
      </c>
      <c r="GO5" s="26">
        <v>7.2</v>
      </c>
      <c r="GP5" s="26">
        <v>0</v>
      </c>
      <c r="GQ5" s="26">
        <v>0.3</v>
      </c>
      <c r="GR5" s="26">
        <v>18.399999999999999</v>
      </c>
      <c r="GS5" s="26">
        <v>6.8</v>
      </c>
      <c r="GT5" s="26">
        <v>0.2</v>
      </c>
      <c r="GU5" s="26">
        <v>0.3</v>
      </c>
      <c r="GV5" s="26"/>
      <c r="GW5" s="26"/>
      <c r="GX5" s="26"/>
      <c r="GY5" s="26"/>
      <c r="GZ5" s="26">
        <v>17.399999999999999</v>
      </c>
      <c r="HA5" s="26">
        <v>2.8</v>
      </c>
      <c r="HB5" s="26">
        <v>0</v>
      </c>
      <c r="HC5" s="26">
        <v>0</v>
      </c>
      <c r="HD5" s="26">
        <v>17.2</v>
      </c>
      <c r="HE5" s="26">
        <v>3.2</v>
      </c>
      <c r="HF5" s="26">
        <v>0</v>
      </c>
      <c r="HG5" s="26">
        <v>0.3</v>
      </c>
      <c r="HH5" s="20">
        <f>IF(SUM(GO5,GS5)&gt;0,SUM(GO5,GS5),"")</f>
        <v>14</v>
      </c>
      <c r="HI5" s="20">
        <f>IF(SUM(GN5:GO5,GQ5:GS5,GU5)-GP5-GT5&gt;0,SUM(GN5:GO5,GQ5:GS5,GU5)-GP5-GT5,"")</f>
        <v>51.399999999999991</v>
      </c>
      <c r="HJ5" s="20" t="str">
        <f>IF(SUM(GV5:GW5,GY5)-GX5&gt;0,SUM(GV5:GW5,GY5)-GX5,"")</f>
        <v/>
      </c>
      <c r="HK5" s="20">
        <f>IF(SUM(GO5,GS5,GW5)&gt;0,SUM(GO5,GS5,GW5),"")</f>
        <v>14</v>
      </c>
      <c r="HL5" s="20">
        <f>IF(SUM(HI5,HJ5)&gt;0,SUM(HI5,HJ5),"")</f>
        <v>51.399999999999991</v>
      </c>
      <c r="HM5" s="20">
        <f>IF(SUM(HA5,HE5)&gt;0,SUM(HA5,HE5),"")</f>
        <v>6</v>
      </c>
      <c r="HN5" s="20">
        <f>IF(SUM(GZ5:HA5,HC5:HE5,HG5)-SUM(HB5,HF5)&gt;0,SUM(GZ5:HA5,HC5:HE5,HG5)-SUM(HB5,HF5),"")</f>
        <v>40.9</v>
      </c>
      <c r="HO5" s="20">
        <f>IF(SUM(HI5,HN5)&gt;0,SUM(HI5,HN5),"")</f>
        <v>92.299999999999983</v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79" t="str">
        <f>IF(SUM(HQ5,HU5)&gt;0,SUM(HQ5,HU5),"")</f>
        <v/>
      </c>
      <c r="IK5" s="79" t="str">
        <f>IF(SUM(HP5:HQ5,HS5:HU5,HW5)-HR5-HV5&gt;0,SUM(HP5:HQ5,HS5:HU5,HW5)-HR5-HV5,"")</f>
        <v/>
      </c>
      <c r="IL5" s="79" t="str">
        <f>IF(SUM(HX5:HY5,IA5)-HZ5&gt;0,SUM(HX5:HY5,IA5)-HZ5,"")</f>
        <v/>
      </c>
      <c r="IM5" s="79" t="str">
        <f>IF(SUM(HQ5,HU5,HY5)&gt;0,SUM(HQ5,HU5,HY5),"")</f>
        <v/>
      </c>
      <c r="IN5" s="79" t="str">
        <f>IF(SUM(IK5,IL5)&gt;0,SUM(IK5,IL5),"")</f>
        <v/>
      </c>
      <c r="IO5" s="79" t="str">
        <f>IF(SUM(IC5,IG5)&gt;0,SUM(IC5,IG5),"")</f>
        <v/>
      </c>
      <c r="IP5" s="79" t="str">
        <f>IF(SUM(IB5:IC5,IE5:IG5,II5)-SUM(ID5,IH5)&gt;0,SUM(IB5:IC5,IE5:IG5,II5)-SUM(ID5,IH5),"")</f>
        <v/>
      </c>
      <c r="IQ5" s="79" t="str">
        <f>IF(SUM(IK5,IP5)&gt;0,SUM(IK5,IP5),"")</f>
        <v/>
      </c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0" t="str">
        <f>IF(SUM(IS5,IW5)&gt;0,SUM(IS5,IW5),"")</f>
        <v/>
      </c>
      <c r="JM5" s="20" t="str">
        <f>IF(SUM(IR5:IS5,IU5:IW5,IY5)-IT5-IX5&gt;0,SUM(IR5:IS5,IU5:IW5,IY5)-IT5-IX5,"")</f>
        <v/>
      </c>
      <c r="JN5" s="20" t="str">
        <f>IF(SUM(IZ5:JA5,JC5)-JB5&gt;0,SUM(IZ5:JA5,JC5)-JB5,"")</f>
        <v/>
      </c>
      <c r="JO5" s="20" t="str">
        <f>IF(SUM(IS5,IW5,JA5)&gt;0,SUM(IS5,IW5,JA5),"")</f>
        <v/>
      </c>
      <c r="JP5" s="20" t="str">
        <f>IF(SUM(JM5,JN5)&gt;0,SUM(JM5,JN5),"")</f>
        <v/>
      </c>
      <c r="JQ5" s="20" t="str">
        <f>IF(SUM(JE5,JI5)&gt;0,SUM(JE5,JI5),"")</f>
        <v/>
      </c>
      <c r="JR5" s="20" t="str">
        <f>IF(SUM(JD5:JE5,JG5:JI5,JK5)-SUM(JF5,JJ5)&gt;0,SUM(JD5:JE5,JG5:JI5,JK5)-SUM(JF5,JJ5),"")</f>
        <v/>
      </c>
      <c r="JS5" s="20" t="str">
        <f>IF(SUM(JM5,JR5)&gt;0,SUM(JM5,JR5),"")</f>
        <v/>
      </c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79" t="str">
        <f>IF(SUM(JU5,JY5)&gt;0,SUM(JU5,JY5),"")</f>
        <v/>
      </c>
      <c r="KO5" s="79" t="str">
        <f>IF(SUM(JT5:JU5,JW5:JY5,KA5)-JV5-JZ5&gt;0,SUM(JT5:JU5,JW5:JY5,KA5)-JV5-JZ5,"")</f>
        <v/>
      </c>
      <c r="KP5" s="79" t="str">
        <f>IF(SUM(KB5:KC5,KE5)-KD5&gt;0,SUM(KB5:KC5,KE5)-KD5,"")</f>
        <v/>
      </c>
      <c r="KQ5" s="79" t="str">
        <f>IF(SUM(JU5,JY5,KC5)&gt;0,SUM(JU5,JY5,KC5),"")</f>
        <v/>
      </c>
      <c r="KR5" s="79" t="str">
        <f>IF(SUM(KO5,KP5)&gt;0,SUM(KO5,KP5),"")</f>
        <v/>
      </c>
      <c r="KS5" s="79" t="str">
        <f>IF(SUM(KG5,KK5)&gt;0,SUM(KG5,KK5),"")</f>
        <v/>
      </c>
      <c r="KT5" s="79" t="str">
        <f>IF(SUM(KF5:KG5,KI5:KK5,KM5)-SUM(KH5,KL5)&gt;0,SUM(KF5:KG5,KI5:KK5,KM5)-SUM(KH5,KL5),"")</f>
        <v/>
      </c>
      <c r="KU5" s="79" t="str">
        <f>IF(SUM(KO5,KT5)&gt;0,SUM(KO5,KT5),"")</f>
        <v/>
      </c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0" t="str">
        <f>IF(SUM(KW5,LA5)&gt;0,SUM(KW5,LA5),"")</f>
        <v/>
      </c>
      <c r="LQ5" s="20" t="str">
        <f>IF(SUM(KV5:KW5,KY5:LA5,LC5)-KX5-LB5&gt;0,SUM(KV5:KW5,KY5:LA5,LC5)-KX5-LB5,"")</f>
        <v/>
      </c>
      <c r="LR5" s="20" t="str">
        <f>IF(SUM(LD5:LE5,LG5)-LF5&gt;0,SUM(LD5:LE5,LG5)-LF5,"")</f>
        <v/>
      </c>
      <c r="LS5" s="20" t="str">
        <f>IF(SUM(KW5,LA5,LE5)&gt;0,SUM(KW5,LA5,LE5),"")</f>
        <v/>
      </c>
      <c r="LT5" s="20" t="str">
        <f>IF(SUM(LQ5,LR5)&gt;0,SUM(LQ5,LR5),"")</f>
        <v/>
      </c>
      <c r="LU5" s="20" t="str">
        <f>IF(SUM(LI5,LM5)&gt;0,SUM(LI5,LM5),"")</f>
        <v/>
      </c>
      <c r="LV5" s="20" t="str">
        <f>IF(SUM(LH5:LI5,LK5:LM5,LO5)-SUM(LJ5,LN5)&gt;0,SUM(LH5:LI5,LK5:LM5,LO5)-SUM(LJ5,LN5),"")</f>
        <v/>
      </c>
      <c r="LW5" s="20" t="str">
        <f>IF(SUM(LQ5,LV5)&gt;0,SUM(LQ5,LV5),"")</f>
        <v/>
      </c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79" t="str">
        <f>IF(SUM(LY5,MC5)&gt;0,SUM(LY5,MC5),"")</f>
        <v/>
      </c>
      <c r="MS5" s="79" t="str">
        <f>IF(SUM(LX5:LY5,MA5:MC5,ME5)-LZ5-MD5&gt;0,SUM(LX5:LY5,MA5:MC5,ME5)-LZ5-MD5,"")</f>
        <v/>
      </c>
      <c r="MT5" s="79" t="str">
        <f>IF(SUM(MF5:MG5,MI5)-MH5&gt;0,SUM(MF5:MG5,MI5)-MH5,"")</f>
        <v/>
      </c>
      <c r="MU5" s="79" t="str">
        <f>IF(SUM(LY5,MC5,MG5)&gt;0,SUM(LY5,MC5,MG5),"")</f>
        <v/>
      </c>
      <c r="MV5" s="79" t="str">
        <f>IF(SUM(MS5,MT5)&gt;0,SUM(MS5,MT5),"")</f>
        <v/>
      </c>
      <c r="MW5" s="79" t="str">
        <f>IF(SUM(MK5,MO5)&gt;0,SUM(MK5,MO5),"")</f>
        <v/>
      </c>
      <c r="MX5" s="79" t="str">
        <f>IF(SUM(MJ5:MK5,MM5:MO5,MQ5)-SUM(ML5,MP5)&gt;0,SUM(MJ5:MK5,MM5:MO5,MQ5)-SUM(ML5,MP5),"")</f>
        <v/>
      </c>
      <c r="MY5" s="79" t="str">
        <f>IF(SUM(MS5,MX5)&gt;0,SUM(MS5,MX5),"")</f>
        <v/>
      </c>
      <c r="MZ5" s="26"/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0" t="str">
        <f>IF(SUM(NA5,NE5)&gt;0,SUM(NA5,NE5),"")</f>
        <v/>
      </c>
      <c r="NU5" s="20" t="str">
        <f>IF(SUM(MZ5:NA5,NC5:NE5,NG5)-NB5-NF5&gt;0,SUM(MZ5:NA5,NC5:NE5,NG5)-NB5-NF5,"")</f>
        <v/>
      </c>
      <c r="NV5" s="20" t="str">
        <f>IF(SUM(NH5:NI5,NK5)-NJ5&gt;0,SUM(NH5:NI5,NK5)-NJ5,"")</f>
        <v/>
      </c>
      <c r="NW5" s="20" t="str">
        <f>IF(SUM(NA5,NE5,NI5)&gt;0,SUM(NA5,NE5,NI5),"")</f>
        <v/>
      </c>
      <c r="NX5" s="20" t="str">
        <f>IF(SUM(NU5,NV5)&gt;0,SUM(NU5,NV5),"")</f>
        <v/>
      </c>
      <c r="NY5" s="20" t="str">
        <f>IF(SUM(NM5,NQ5)&gt;0,SUM(NM5,NQ5),"")</f>
        <v/>
      </c>
      <c r="NZ5" s="20" t="str">
        <f>IF(SUM(NL5:NM5,NO5:NQ5,NS5)-SUM(NN5,NR5)&gt;0,SUM(NL5:NM5,NO5:NQ5,NS5)-SUM(NN5,NR5),"")</f>
        <v/>
      </c>
      <c r="OA5" s="20" t="str">
        <f>IF(SUM(NU5,NZ5)&gt;0,SUM(NU5,NZ5),"")</f>
        <v/>
      </c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79" t="str">
        <f>IF(SUM(OC5,OG5)&gt;0,SUM(OC5,OG5),"")</f>
        <v/>
      </c>
      <c r="OW5" s="79" t="str">
        <f>IF(SUM(OB5:OC5,OE5:OG5,OI5)-OD5-OH5&gt;0,SUM(OB5:OC5,OE5:OG5,OI5)-OD5-OH5,"")</f>
        <v/>
      </c>
      <c r="OX5" s="79" t="str">
        <f>IF(SUM(OJ5:OK5,OM5)-OL5&gt;0,SUM(OJ5:OK5,OM5)-OL5,"")</f>
        <v/>
      </c>
      <c r="OY5" s="79" t="str">
        <f>IF(SUM(OC5,OG5,OK5)&gt;0,SUM(OC5,OG5,OK5),"")</f>
        <v/>
      </c>
      <c r="OZ5" s="79" t="str">
        <f>IF(SUM(OW5,OX5)&gt;0,SUM(OW5,OX5),"")</f>
        <v/>
      </c>
      <c r="PA5" s="79" t="str">
        <f>IF(SUM(OO5,OS5)&gt;0,SUM(OO5,OS5),"")</f>
        <v/>
      </c>
      <c r="PB5" s="79" t="str">
        <f>IF(SUM(ON5:OO5,OQ5:OS5,OU5)-SUM(OP5,OT5)&gt;0,SUM(ON5:OO5,OQ5:OS5,OU5)-SUM(OP5,OT5),"")</f>
        <v/>
      </c>
      <c r="PC5" s="79" t="str">
        <f>IF(SUM(OW5,PB5)&gt;0,SUM(OW5,PB5),"")</f>
        <v/>
      </c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0" t="str">
        <f>IF(SUM(PE5,PI5)&gt;0,SUM(PE5,PI5),"")</f>
        <v/>
      </c>
      <c r="PY5" s="20" t="str">
        <f>IF(SUM(PD5:PE5,PG5:PI5,PK5)-PF5-PJ5&gt;0,SUM(PD5:PE5,PG5:PI5,PK5)-PF5-PJ5,"")</f>
        <v/>
      </c>
      <c r="PZ5" s="20" t="str">
        <f>IF(SUM(PL5:PM5,PO5)-PN5&gt;0,SUM(PL5:PM5,PO5)-PN5,"")</f>
        <v/>
      </c>
      <c r="QA5" s="20" t="str">
        <f>IF(SUM(PE5,PI5,PM5)&gt;0,SUM(PE5,PI5,PM5),"")</f>
        <v/>
      </c>
      <c r="QB5" s="20" t="str">
        <f>IF(SUM(PY5,PZ5)&gt;0,SUM(PY5,PZ5),"")</f>
        <v/>
      </c>
      <c r="QC5" s="20" t="str">
        <f>IF(SUM(PQ5,PU5)&gt;0,SUM(PQ5,PU5),"")</f>
        <v/>
      </c>
      <c r="QD5" s="20" t="str">
        <f>IF(SUM(PP5:PQ5,PS5:PU5,PW5)-SUM(PR5,PV5)&gt;0,SUM(PP5:PQ5,PS5:PU5,PW5)-SUM(PR5,PV5),"")</f>
        <v/>
      </c>
      <c r="QE5" s="20" t="str">
        <f>IF(SUM(PY5,QD5)&gt;0,SUM(PY5,QD5),"")</f>
        <v/>
      </c>
      <c r="QF5" s="38">
        <f>IF($CV5="P",CB5,(CB5+AY5)/2)</f>
        <v>9.3000500000000006</v>
      </c>
      <c r="QG5" s="38">
        <f>IF($CV5="P",CC5,(CC5+AZ5)/2)</f>
        <v>2.8000499999999997</v>
      </c>
      <c r="QH5" s="38">
        <f>IF($CV5="P",CD5,(CD5+BA5)/2)</f>
        <v>0.3</v>
      </c>
      <c r="QI5" s="38">
        <f>IF($CV5="P",CE5,(CE5+BB5)/2)</f>
        <v>0</v>
      </c>
      <c r="QJ5" s="38">
        <f>IF($CV5="P",CF5,(CF5+BC5)/2)</f>
        <v>9.4499999999999993</v>
      </c>
      <c r="QK5" s="38">
        <f>IF($CV5="P",CG5,(CG5+BD5)/2)</f>
        <v>3</v>
      </c>
      <c r="QL5" s="38">
        <f>IF($CV5="P",CH5,(CH5+BE5)/2)</f>
        <v>0</v>
      </c>
      <c r="QM5" s="38">
        <f>IF($CV5="P",CI5,(CI5+BF5)/2)</f>
        <v>0</v>
      </c>
      <c r="QN5" s="38">
        <f>IF($CV5="P",CJ5,(CJ5+BG5)/2)</f>
        <v>9.3000000000000007</v>
      </c>
      <c r="QO5" s="38">
        <f>IF($CV5="P",CK5,(CK5+BH5)/2)</f>
        <v>3</v>
      </c>
      <c r="QP5" s="38">
        <f>IF($CV5="P",CL5,(CL5+BI5)/2)</f>
        <v>0.3</v>
      </c>
      <c r="QQ5" s="38">
        <f>IF($CV5="P",CM5,(CM5+BJ5)/2)</f>
        <v>0.15</v>
      </c>
      <c r="QR5" s="38">
        <f>IF($CV5="P",CN5,(CN5+BK5)/2)</f>
        <v>9.5</v>
      </c>
      <c r="QS5" s="38">
        <f>IF($CV5="P",CO5,(CO5+BL5)/2)</f>
        <v>3.2</v>
      </c>
      <c r="QT5" s="38">
        <f>IF($CV5="P",CP5,(CP5+BM5)/2)</f>
        <v>0</v>
      </c>
      <c r="QU5" s="38">
        <f>IF($CV5="P",CQ5,(CQ5+BN5)/2)</f>
        <v>0</v>
      </c>
      <c r="QV5" s="38">
        <f>IF($CV5="P",CR5,(CR5+BO5)/2)</f>
        <v>9.6</v>
      </c>
      <c r="QW5" s="38">
        <f>IF($CV5="P",CS5,(CS5+BP5)/2)</f>
        <v>2.6</v>
      </c>
      <c r="QX5" s="38">
        <f>IF($CV5="P",CT5,(CT5+BQ5)/2)</f>
        <v>0</v>
      </c>
      <c r="QY5" s="38">
        <f>IF($CV5="P",CU5,(CU5+BR5)/2)</f>
        <v>0</v>
      </c>
      <c r="QZ5" s="45" t="s">
        <v>46</v>
      </c>
      <c r="RA5" s="79">
        <f>IF(SUM(QG5,QK5)&gt;0,SUM(QG5,QK5),"")</f>
        <v>5.8000499999999997</v>
      </c>
      <c r="RB5" s="79">
        <f>IF(SUM(QF5:QG5,QI5:QK5,QM5)-QH5-QL5&gt;0,SUM(QF5:QG5,QI5:QK5,QM5)-QH5-QL5,"")</f>
        <v>24.2501</v>
      </c>
      <c r="RC5" s="79">
        <f>IF(SUM(QN5:QO5,QQ5)-QP5&gt;0,SUM(QN5:QO5,QQ5)-QP5,"")</f>
        <v>12.15</v>
      </c>
      <c r="RD5" s="79">
        <f>IF(SUM(QG5,QK5,QO5)&gt;0,SUM(QG5,QK5,QO5),"")</f>
        <v>8.8000499999999988</v>
      </c>
      <c r="RE5" s="79">
        <f>IF(SUM(RB5,RC5)&gt;0,SUM(RB5,RC5),"")</f>
        <v>36.400100000000002</v>
      </c>
      <c r="RF5" s="79">
        <f>IF(SUM(QS5,QW5)&gt;0,SUM(QS5,QW5),"")</f>
        <v>5.8000000000000007</v>
      </c>
      <c r="RG5" s="79">
        <f>IF(SUM(QR5:QS5,QU5:QW5,QY5)-SUM(QT5,QX5)&gt;0,SUM(QR5:QS5,QU5:QW5,QY5)-SUM(QT5,QX5),"")</f>
        <v>24.9</v>
      </c>
      <c r="RH5" s="79">
        <f>IF(SUM(RB5,RG5)&gt;0,SUM(RB5,RG5),"")</f>
        <v>49.150099999999995</v>
      </c>
    </row>
    <row r="6" spans="1:476" x14ac:dyDescent="0.2">
      <c r="A6" s="5">
        <f>IF(AND(F6="P",G6="P"),SUMPRODUCT((F$4:F$22="P")*(G$4:G$22="P")*(E$4:E$22&gt;E6))+1,IF(G6="P",SUMPRODUCT((F$4:F$22="")*(G$4:G$22="P")*(E$4:E$22&gt;E6))+1+SUMPRODUCT((F$4:F$22="P")*(G$4:G$22="P")),""))</f>
        <v>3</v>
      </c>
      <c r="B6" s="78" t="s">
        <v>75</v>
      </c>
      <c r="C6" s="5" t="s">
        <v>4</v>
      </c>
      <c r="D6" s="5">
        <v>2003</v>
      </c>
      <c r="E6" s="15">
        <f>SUM(I6:S6)+SUM(I6:O6)*0.0000001+SUM(I6)*0.0000000000001</f>
        <v>120.30000722000493</v>
      </c>
      <c r="F6" s="3" t="str">
        <f>IF(OR(AND(AQ6&gt;=AX$24,AR6&gt;=AX$28,AQ6&lt;&gt;"",AP6=""),AND(AV6&gt;=AX$24,AW6&gt;=AX$28,AV6&lt;&gt;"",AP6=""),AND(BT6&gt;=CA$24,BU6&gt;=CA$28,BT6&lt;&gt;"",BS6=""),AND(BY6&gt;=CA$24,BZ6&gt;=CA$28,BY6&lt;&gt;"",BS6=""),AND(CW6&gt;=DD$24,CX6&gt;=DD$28,CW6&lt;&gt;"",CV6=""),AND(DB6&gt;=DD$24,DC6&gt;=DD$28,DB6&lt;&gt;""),AND(EB6&gt;=EI$24,EC6&gt;=EI$28,EB6&lt;&gt;""),AND(EG6&gt;=EI$24,EH6&gt;=EI$28,EG6&lt;&gt;""),AND(FD6&gt;=FK$24,FE6&gt;=FK$28,FD6&lt;&gt;""),AND(FI6&gt;=FK$24,FJ6&gt;=FK$28,FI6&lt;&gt;""),AND(GF6&gt;=GM$24,GG6&gt;=GM$28,GF6&lt;&gt;""),AND(GK6&gt;=GM$24,GL6&gt;=GM$28,GK6&lt;&gt;""),AND(HH6&gt;=HO$24,HI6&gt;=HO$28,HH6&lt;&gt;""),AND(HM6&gt;=HO$24,HN6&gt;=HO$28,HM6&lt;&gt;""),AND(IJ6&gt;=IQ$24,IK6&gt;=IQ$28,IJ6&lt;&gt;""),AND(IO6&gt;=IQ$24,IP6&gt;=IQ$28,IO6&lt;&gt;""),AND(JL6&gt;=JS$24,JM6&gt;=JS$28,JL6&lt;&gt;""),AND(JQ6&gt;=JS$24,JR6&gt;=JS$28,JQ6&lt;&gt;""),AND(KN6&gt;=KU$24,KO6&gt;=KU$28,KN6&lt;&gt;""),AND(KS6&gt;=KU$24,KT6&gt;=KU$28,KS6&lt;&gt;""),AND(LP6&gt;=LW$24,LQ6&gt;=LW$28,LP6&lt;&gt;""),AND(LU6&gt;=LW$24,LV6&gt;=LW$28,LU6&lt;&gt;""),AND(MR6&gt;=MY$24,MS6&gt;=MY$28,MR6&lt;&gt;""),AND(MW6&gt;=MY$24,MX6&gt;=MY$28,MW6&lt;&gt;""),AND(NT6&gt;=OA$24,NU6&gt;=OA$28,NT6&lt;&gt;""),AND(NY6&gt;=OA$24,NZ6&gt;=OA$28,NY6&lt;&gt;""),AND(OV6&gt;=PC$24,OW6&gt;=PC$28,OV6&lt;&gt;""),AND(PA6&gt;=PC$24,PB6&gt;=PC$28,PA6&lt;&gt;""),AND(PX6&gt;=QE$24,PY6&gt;=QE$28,PX6&lt;&gt;""),AND(QC6&gt;=QE$24,QD6&gt;=QE$28,QC6&lt;&gt;"")),"P","")</f>
        <v>P</v>
      </c>
      <c r="G6" s="3" t="str">
        <f>IF(OR(AND(AR6&gt;=AX$28,AR6&lt;&gt;"",AP6=""),AND(AW6&gt;=AX$28,AW6&lt;&gt;"",AP6=""),AND(BU6&gt;=CA$28,BU6&lt;&gt;"",BS6=""),AND(BZ6&gt;=CA$28,BZ6&lt;&gt;"",BS6=""),AND(CX6&gt;=DD$28,CX6&lt;&gt;"",CV6=""),AND(DC6&gt;=DD$28,DC6&lt;&gt;"",CV6=""),AND(EC6&gt;=EI$28,EC6&lt;&gt;""),AND(EH6&gt;=EI$28,EH6&lt;&gt;""),AND(FE6&gt;=FK$28,FE6&lt;&gt;""),AND(FJ6&gt;=FK$28,FJ6&lt;&gt;""),AND(GG6&gt;=GM$28,GG6&lt;&gt;""),AND(GL6&gt;=GM$28,GL6&lt;&gt;""),AND(HI6&gt;=HO$28,HI6&lt;&gt;""),AND(HN6&gt;=HO$28,HN6&lt;&gt;""),AND(IK6&gt;=IQ$28,IK6&lt;&gt;""),AND(IP6&gt;=IQ$28,IP6&lt;&gt;""),AND(JM6&gt;=JS$28,JM6&lt;&gt;""),AND(JR6&gt;=JS$28,JR6&lt;&gt;""),AND(KO6&gt;=KU$28,KO6&lt;&gt;""),AND(KT6&gt;=KU$28,KT6&lt;&gt;""),AND(LQ6&gt;=LW$28,LQ6&lt;&gt;""),AND(LV6&gt;=LW$28,LV6&lt;&gt;""),AND(MS6&gt;=MY$28,MS6&lt;&gt;""),AND(MX6&gt;=MY$28,MX6&lt;&gt;""),AND(NU6&gt;=OA$28,NU6&lt;&gt;""),AND(NZ6&gt;=OA$28,NZ6&lt;&gt;""),AND(OW6&gt;=PC$28,OW6&lt;&gt;""),AND(PB6&gt;=PC$28,PB6&lt;&gt;""),AND(PY6&gt;=QE$28,PY6&lt;&gt;""),AND(QD6&gt;=QE$28,QD6&lt;&gt;"")),"P","")</f>
        <v>P</v>
      </c>
      <c r="H6" s="67" t="str">
        <f>IF(AND(G6="P",F6=""),"No DD",IF(OR(AND(AT6&gt;=AX$27,AU6&gt;=AX$31,AT6&lt;&gt;"",AP6=""),AND(BW6&gt;=CA$27,BX6&gt;=CA$31,BW6&lt;&gt;"",BS6=""),AND(CZ6&gt;=DD$27,DA6&gt;=DD$31,CZ6&lt;&gt;"",CV6=""),AND(EE6&gt;=EI$27,EF6&gt;=EI$31,EE6&lt;&gt;""),AND(FG6&gt;=FK$27,FH6&gt;=FK$31,FG6&lt;&gt;""),AND(GI6&gt;=GM$27,GJ6&gt;=GM$31,GI6&lt;&gt;""),AND(HK6&gt;=HO$27,HL6&gt;=HO$31,HK6&lt;&gt;""),AND(IM6&gt;=IQ$27,IN6&gt;=IQ$31,IM6&lt;&gt;""),AND(JO6&gt;=JS$27,JP6&gt;=JS$31,JO6&lt;&gt;""),AND(KQ6&gt;=KU$27,KR6&gt;=KU$31,KQ6&lt;&gt;""),AND(LS6&gt;=LW$27,LT6&gt;=LW$31,LS6&lt;&gt;""),AND(MU6&gt;=MY$27,MV6&gt;=MY$31,MU6&lt;&gt;""),AND(NW6&gt;=OA$27,NX6&gt;=OA$31,NW6&lt;&gt;""),AND(OY6&gt;=PC$27,OZ6&gt;=PC$31,OY6&lt;&gt;""),AND(QA6&gt;=QE$27,QB6&gt;=QE$31,QA6&lt;&gt;"")),"Merit",IF(OR(AND(AT6&gt;=AX$26,AU6&gt;=AX$30,AT6&lt;&gt;"",AP6=""),AND(BW6&gt;=CA$26,BX6&gt;=CA$30,BW6&lt;&gt;"",BS6=""),AND(CZ6&gt;=DD$26,DA6&gt;=DD$30,CZ6&lt;&gt;"",CV6=""),AND(EE6&gt;=EI$26,EF6&gt;=EI$30,EE6&lt;&gt;""),AND(FG6&gt;=FK$26,FH6&gt;=FK$30,FG6&lt;&gt;""),AND(GI6&gt;=GM$26,GJ6&gt;=GM$30,GI6&lt;&gt;""),AND(HK6&gt;=HO$26,HL6&gt;=HO$30,HK6&lt;&gt;""),AND(IM6&gt;=IQ$26,IN6&gt;=IQ$30,IM6&lt;&gt;""),AND(JO6&gt;=JS$26,JP6&gt;=JS$30,JO6&lt;&gt;""),AND(KQ6&gt;=KU$26,KR6&gt;=KU$30,KQ6&lt;&gt;""),AND(LS6&gt;=LW$26,LT6&gt;=LW$30,LS6&lt;&gt;""),AND(MU6&gt;=MY$26,MV6&gt;=MY$30,MU6&lt;&gt;""),AND(NW6&gt;=OA$26,NX6&gt;=OA$30,NW6&lt;&gt;""),AND(OY6&gt;=PC$26,OZ6&gt;=PC$30,OY6&lt;&gt;""),AND(QA6&gt;=QE$26,QB6&gt;=QE$30,QA6&lt;&gt;"")),"Excellence",IF(F6="P","National Team",""))))</f>
        <v>National Team</v>
      </c>
      <c r="I6" s="14">
        <f>IF(COUNT(AR6,BU6,CX6)&gt;0,LARGE((AR6,BU6,CX6),1),0)</f>
        <v>49.2</v>
      </c>
      <c r="J6" s="14" t="str">
        <f>IF(I6=0,"",IF(I6=CX6,$CB$1,IF(I6=BU6,$AY$1,IF(I6=AR6,$V$1,""))))</f>
        <v>2022 Elite Canada</v>
      </c>
      <c r="K6" s="14">
        <f>IF(COUNT(AR6,BU6,CX6)&gt;1,LARGE((AR6,BU6,CX6),2),0)</f>
        <v>0</v>
      </c>
      <c r="L6" s="14" t="str">
        <f>IF(K6=0,"",IF(K6=CX6,$CB$1,IF(K6=BU6,$AY$1,IF(K6=AR6,$V$1,""))))</f>
        <v/>
      </c>
      <c r="M6" s="14">
        <f>IF(COUNT(AS6,BV6,CY6)&gt;0,LARGE((AS6,BV6,CY6),1),0)</f>
        <v>22.999999999999996</v>
      </c>
      <c r="N6" s="14" t="str">
        <f>IF(M6=0,"",IF(M6=CY6,$CB$1,IF(M6=BV6,$AY$1,IF(M6=AS6,$V$1,""))))</f>
        <v>2022 Elite Canada</v>
      </c>
      <c r="O6" s="14">
        <f>IF(COUNT(AS6,BV6,CY6)&gt;1,LARGE((AS6,BV6,CY6),2),0)</f>
        <v>0</v>
      </c>
      <c r="P6" s="14" t="str">
        <f>IF(O6=0,"",IF(O6=CY6,$CB$1,IF(O6=BV6,$AY$1,IF(O6=AS6,$V$1,""))))</f>
        <v/>
      </c>
      <c r="Q6" s="14">
        <f>IF(MAX(AW6,BZ6,DC6)&gt;0,MAX(AW6,BZ6,DC6),0)</f>
        <v>48.000000000000007</v>
      </c>
      <c r="R6" s="14" t="str">
        <f>IF(Q6=0,"",IF(Q6=DC6,$CB$1,IF(Q6=BZ6,$AY$1,IF(Q6=AW6,$V$1,""))))</f>
        <v>2022 Elite Canada</v>
      </c>
      <c r="S6" s="14">
        <f>IF(MAX(DE6:DG6)&gt;0,MAX(DE6:DG6),"")</f>
        <v>9.9999999999994316E-2</v>
      </c>
      <c r="T6" s="20" t="str">
        <f>IF(S6="","",IF(S6=DE6,"("&amp;DE$2&amp;")",IF(S6=DG6,"("&amp;DG$2&amp;")")))</f>
        <v>(Final)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World Games Technical Trial #1 (Mar 12)</v>
      </c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45"/>
      <c r="AQ6" s="79" t="str">
        <f>IF(SUM(W6,AA6)&gt;0,SUM(W6,AA6),"")</f>
        <v/>
      </c>
      <c r="AR6" s="79" t="str">
        <f>IF(SUM(V6:W6,Y6:AA6,AC6)-X6-AB6&gt;0,SUM(V6:W6,Y6:AA6,AC6)-X6-AB6,"")</f>
        <v/>
      </c>
      <c r="AS6" s="79" t="str">
        <f>IF(SUM(AD6:AE6,AG6)-AF6&gt;0,SUM(AD6:AE6,AG6)-AF6,"")</f>
        <v/>
      </c>
      <c r="AT6" s="79" t="str">
        <f>IF(SUM(W6,AA6,AE6)&gt;0,SUM(W6,AA6,AE6),"")</f>
        <v/>
      </c>
      <c r="AU6" s="79" t="str">
        <f>IF(SUM(AR6,AS6)&gt;0,SUM(AR6,AS6),"")</f>
        <v/>
      </c>
      <c r="AV6" s="79" t="str">
        <f>IF(SUM(AI6,AM6)&gt;0,SUM(AI6,AM6),"")</f>
        <v/>
      </c>
      <c r="AW6" s="79" t="str">
        <f>IF(SUM(AH6:AI6,AK6:AM6,AO6)-SUM(AJ6,AN6)&gt;0,SUM(AH6:AI6,AK6:AM6,AO6)-SUM(AJ6,AN6),"")</f>
        <v/>
      </c>
      <c r="AX6" s="79" t="str">
        <f>IF(SUM(AR6,AW6)&gt;0,SUM(AR6,AW6),"")</f>
        <v/>
      </c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46"/>
      <c r="BT6" s="20" t="str">
        <f>IF(SUM(AZ6,BD6)&gt;0,SUM(AZ6,BD6),"")</f>
        <v/>
      </c>
      <c r="BU6" s="20" t="str">
        <f>IF(SUM(AY6:AZ6,BB6:BD6,BF6)-BA6-BE6&gt;0,SUM(AY6:AZ6,BB6:BD6,BF6)-BA6-BE6,"")</f>
        <v/>
      </c>
      <c r="BV6" s="20" t="str">
        <f>IF(SUM(BG6:BH6,BJ6)-BI6&gt;0,SUM(BG6:BH6,BJ6)-BI6,"")</f>
        <v/>
      </c>
      <c r="BW6" s="20" t="str">
        <f>IF(SUM(AZ6,BD6,BH6)&gt;0,SUM(AZ6,BD6,BH6),"")</f>
        <v/>
      </c>
      <c r="BX6" s="20" t="str">
        <f>IF(SUM(BU6,BV6)&gt;0,SUM(BU6,BV6),"")</f>
        <v/>
      </c>
      <c r="BY6" s="20" t="str">
        <f>IF(SUM(BL6,BP6)&gt;0,SUM(BL6,BP6),"")</f>
        <v/>
      </c>
      <c r="BZ6" s="20" t="str">
        <f>IF(SUM(BK6:BL6,BN6:BP6,BR6)-SUM(BM6,BQ6)&gt;0,SUM(BK6:BL6,BN6:BP6,BR6)-SUM(BM6,BQ6),"")</f>
        <v/>
      </c>
      <c r="CA6" s="20" t="str">
        <f>IF(SUM(BU6,BZ6)&gt;0,SUM(BU6,BZ6),"")</f>
        <v/>
      </c>
      <c r="CB6" s="27">
        <v>19</v>
      </c>
      <c r="CC6" s="27">
        <v>5.6</v>
      </c>
      <c r="CD6" s="27">
        <v>0</v>
      </c>
      <c r="CE6" s="27">
        <v>0</v>
      </c>
      <c r="CF6" s="27">
        <v>18.600000000000001</v>
      </c>
      <c r="CG6" s="27">
        <v>6</v>
      </c>
      <c r="CH6" s="27">
        <v>0</v>
      </c>
      <c r="CI6" s="27">
        <v>0</v>
      </c>
      <c r="CJ6" s="27">
        <v>18.399999999999999</v>
      </c>
      <c r="CK6" s="27">
        <v>5.2</v>
      </c>
      <c r="CL6" s="27">
        <v>0.6</v>
      </c>
      <c r="CM6" s="27">
        <v>0</v>
      </c>
      <c r="CN6" s="27">
        <v>18.600000000000001</v>
      </c>
      <c r="CO6" s="27">
        <v>5.6</v>
      </c>
      <c r="CP6" s="27">
        <v>0</v>
      </c>
      <c r="CQ6" s="27">
        <v>0</v>
      </c>
      <c r="CR6" s="27">
        <v>18.600000000000001</v>
      </c>
      <c r="CS6" s="27">
        <v>6</v>
      </c>
      <c r="CT6" s="27">
        <v>0.8</v>
      </c>
      <c r="CU6" s="27">
        <v>0</v>
      </c>
      <c r="CV6" s="45"/>
      <c r="CW6" s="79">
        <f>IF(SUM(CC6,CG6)&gt;0,SUM(CC6,CG6),"")</f>
        <v>11.6</v>
      </c>
      <c r="CX6" s="79">
        <f>IF(SUM(CB6:CC6,CE6:CG6,CI6)-CD6-CH6&gt;0,SUM(CB6:CC6,CE6:CG6,CI6)-CD6-CH6,"")</f>
        <v>49.2</v>
      </c>
      <c r="CY6" s="79">
        <f>IF(SUM(CJ6:CK6,CM6)-CL6&gt;0,SUM(CJ6:CK6,CM6)-CL6,"")</f>
        <v>22.999999999999996</v>
      </c>
      <c r="CZ6" s="79">
        <f>IF(SUM(CC6,CG6,CK6)&gt;0,SUM(CC6,CG6,CK6),"")</f>
        <v>16.8</v>
      </c>
      <c r="DA6" s="79">
        <f>IF(SUM(CX6,CY6)&gt;0,SUM(CX6,CY6),"")</f>
        <v>72.2</v>
      </c>
      <c r="DB6" s="79">
        <f>IF(SUM(CO6,CS6)&gt;0,SUM(CO6,CS6),"")</f>
        <v>11.6</v>
      </c>
      <c r="DC6" s="79">
        <f>IF(SUM(CN6:CO6,CQ6:CS6,CU6)-SUM(CP6,CT6)&gt;0,SUM(CN6:CO6,CQ6:CS6,CU6)-SUM(CP6,CT6),"")</f>
        <v>48.000000000000007</v>
      </c>
      <c r="DD6" s="79">
        <f>IF(SUM(CX6,DC6)&gt;0,SUM(CX6,DC6),"")</f>
        <v>97.200000000000017</v>
      </c>
      <c r="DE6" s="80" t="str">
        <f>IF(K6&gt;=0.001,IF(MAX(EC6,FE6,GG6,HI6,IK6,JM6,KO6,LQ6,MS6,NU6,OW6,PY6)-IF(K6="",0,K6)&gt;0.001,MAX(EC6,FE6,GG6,HI6,IK6,JM6,KO6,LQ6,MS6,NU6,OW6,PY6)-IF(K6="",0,K6),""),"")</f>
        <v/>
      </c>
      <c r="DF6" s="80" t="str">
        <f>IF(O6&gt;=0.001,IF(MAX(ED6,FF6,GH6,HJ6,IL6,JN6,KP6,LR6,MT6,NV6,OX6,PZ6)-IF(O6="",0,O6)&gt;0.001,MAX(ED6,FF6,GH6,HJ6,IL6,JN6,KP6,LR6,MT6,NV6,OX6,PZ6)-IF(O6="",0,O6),""),"")</f>
        <v/>
      </c>
      <c r="DG6" s="80">
        <f>IF(Q6&gt;=0.001,IF(MAX(EH6,FJ6,GL6,HN6,IP6,JR6,KT6,LV6,MX6,NZ6,PB6,QD6)-IF(Q6="",0,Q6)&gt;0.001,MAX(EH6,FJ6,GL6,HN6,IP6,JR6,KT6,LV6,MX6,NZ6,PB6,QD6)-IF(Q6="",0,Q6),""),"")</f>
        <v>9.9999999999994316E-2</v>
      </c>
      <c r="DH6" s="25">
        <v>1E-4</v>
      </c>
      <c r="DI6" s="25">
        <v>1E-4</v>
      </c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79">
        <f>IF(SUM(DI6,DM6)&gt;0,SUM(DI6,DM6),"")</f>
        <v>1E-4</v>
      </c>
      <c r="EC6" s="79">
        <f>IF(SUM(DH6:DI6,DK6:DM6,DO6)-DJ6-DN6&gt;0,SUM(DH6:DI6,DK6:DM6,DO6)-DJ6-DN6,"")</f>
        <v>2.0000000000000001E-4</v>
      </c>
      <c r="ED6" s="79" t="str">
        <f>IF(SUM(DP6:DQ6,DS6)-DR6&gt;0,SUM(DP6:DQ6,DS6)-DR6,"")</f>
        <v/>
      </c>
      <c r="EE6" s="79">
        <f>IF(SUM(DI6,DM6,DQ6)&gt;0,SUM(DI6,DM6,DQ6),"")</f>
        <v>1E-4</v>
      </c>
      <c r="EF6" s="79">
        <f>IF(SUM(EC6,ED6)&gt;0,SUM(EC6,ED6),"")</f>
        <v>2.0000000000000001E-4</v>
      </c>
      <c r="EG6" s="79" t="str">
        <f>IF(SUM(DU6,DY6)&gt;0,SUM(DU6,DY6),"")</f>
        <v/>
      </c>
      <c r="EH6" s="79" t="str">
        <f>IF(SUM(DT6:DU6,DW6:DY6,EA6)-SUM(DV6,DZ6)&gt;0,SUM(DT6:DU6,DW6:DY6,EA6)-SUM(DV6,DZ6),"")</f>
        <v/>
      </c>
      <c r="EI6" s="79">
        <f>IF(SUM(EC6,EH6)&gt;0,SUM(EC6,EH6),"")</f>
        <v>2.0000000000000001E-4</v>
      </c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0" t="str">
        <f>IF(SUM(EK6,EO6)&gt;0,SUM(EK6,EO6),"")</f>
        <v/>
      </c>
      <c r="FE6" s="20" t="str">
        <f>IF(SUM(EJ6:EK6,EM6:EO6,EQ6)-EL6-EP6&gt;0,SUM(EJ6:EK6,EM6:EO6,EQ6)-EL6-EP6,"")</f>
        <v/>
      </c>
      <c r="FF6" s="20" t="str">
        <f>IF(SUM(ER6:ES6,EU6)-ET6&gt;0,SUM(ER6:ES6,EU6)-ET6,"")</f>
        <v/>
      </c>
      <c r="FG6" s="20" t="str">
        <f>IF(SUM(EK6,EO6,ES6)&gt;0,SUM(EK6,EO6,ES6),"")</f>
        <v/>
      </c>
      <c r="FH6" s="20" t="str">
        <f>IF(SUM(FE6,FF6)&gt;0,SUM(FE6,FF6),"")</f>
        <v/>
      </c>
      <c r="FI6" s="20" t="str">
        <f>IF(SUM(EW6,FA6)&gt;0,SUM(EW6,FA6),"")</f>
        <v/>
      </c>
      <c r="FJ6" s="20" t="str">
        <f>IF(SUM(EV6:EW6,EY6:FA6,FC6)-SUM(EX6,FB6)&gt;0,SUM(EV6:EW6,EY6:FA6,FC6)-SUM(EX6,FB6),"")</f>
        <v/>
      </c>
      <c r="FK6" s="20" t="str">
        <f>IF(SUM(FE6,FJ6)&gt;0,SUM(FE6,FJ6),"")</f>
        <v/>
      </c>
      <c r="FL6" s="25">
        <v>18.8</v>
      </c>
      <c r="FM6" s="25">
        <v>5.6</v>
      </c>
      <c r="FN6" s="25">
        <v>0</v>
      </c>
      <c r="FO6" s="25">
        <v>0</v>
      </c>
      <c r="FP6" s="25">
        <v>17.3</v>
      </c>
      <c r="FQ6" s="25">
        <v>2.4</v>
      </c>
      <c r="FR6" s="25">
        <v>0</v>
      </c>
      <c r="FS6" s="25">
        <v>0</v>
      </c>
      <c r="FT6" s="25"/>
      <c r="FU6" s="25"/>
      <c r="FV6" s="25"/>
      <c r="FW6" s="25"/>
      <c r="FX6" s="25">
        <v>18.399999999999999</v>
      </c>
      <c r="FY6" s="25">
        <v>5.6</v>
      </c>
      <c r="FZ6" s="25">
        <v>0.6</v>
      </c>
      <c r="GA6" s="25">
        <v>0</v>
      </c>
      <c r="GB6" s="25">
        <v>18.7</v>
      </c>
      <c r="GC6" s="25">
        <v>6</v>
      </c>
      <c r="GD6" s="25">
        <v>0</v>
      </c>
      <c r="GE6" s="25">
        <v>0</v>
      </c>
      <c r="GF6" s="79">
        <f>IF(SUM(FM6,FQ6)&gt;0,SUM(FM6,FQ6),"")</f>
        <v>8</v>
      </c>
      <c r="GG6" s="79">
        <f>IF(SUM(FL6:FM6,FO6:FQ6,FS6)-FN6-FR6&gt;0,SUM(FL6:FM6,FO6:FQ6,FS6)-FN6-FR6,"")</f>
        <v>44.1</v>
      </c>
      <c r="GH6" s="79" t="str">
        <f>IF(SUM(FT6:FU6,FW6)-FV6&gt;0,SUM(FT6:FU6,FW6)-FV6,"")</f>
        <v/>
      </c>
      <c r="GI6" s="79">
        <f>IF(SUM(FM6,FQ6,FU6)&gt;0,SUM(FM6,FQ6,FU6),"")</f>
        <v>8</v>
      </c>
      <c r="GJ6" s="79">
        <f>IF(SUM(GG6,GH6)&gt;0,SUM(GG6,GH6),"")</f>
        <v>44.1</v>
      </c>
      <c r="GK6" s="79">
        <f>IF(SUM(FY6,GC6)&gt;0,SUM(FY6,GC6),"")</f>
        <v>11.6</v>
      </c>
      <c r="GL6" s="79">
        <f>IF(SUM(FX6:FY6,GA6:GC6,GE6)-SUM(FZ6,GD6)&gt;0,SUM(FX6:FY6,GA6:GC6,GE6)-SUM(FZ6,GD6),"")</f>
        <v>48.1</v>
      </c>
      <c r="GM6" s="79">
        <f>IF(SUM(GG6,GL6)&gt;0,SUM(GG6,GL6),"")</f>
        <v>92.2</v>
      </c>
      <c r="GN6" s="26">
        <v>18.600000000000001</v>
      </c>
      <c r="GO6" s="26">
        <v>6.4</v>
      </c>
      <c r="GP6" s="26">
        <v>0</v>
      </c>
      <c r="GQ6" s="26">
        <v>0</v>
      </c>
      <c r="GR6" s="26">
        <v>18.5</v>
      </c>
      <c r="GS6" s="26">
        <v>6</v>
      </c>
      <c r="GT6" s="26">
        <v>0</v>
      </c>
      <c r="GU6" s="26">
        <v>0.3</v>
      </c>
      <c r="GV6" s="26"/>
      <c r="GW6" s="26"/>
      <c r="GX6" s="26"/>
      <c r="GY6" s="26"/>
      <c r="GZ6" s="26">
        <v>17.399999999999999</v>
      </c>
      <c r="HA6" s="26">
        <v>2.8</v>
      </c>
      <c r="HB6" s="26">
        <v>0</v>
      </c>
      <c r="HC6" s="26">
        <v>0</v>
      </c>
      <c r="HD6" s="26">
        <v>17.399999999999999</v>
      </c>
      <c r="HE6" s="26">
        <v>2.4</v>
      </c>
      <c r="HF6" s="26">
        <v>0</v>
      </c>
      <c r="HG6" s="26">
        <v>0</v>
      </c>
      <c r="HH6" s="20">
        <f>IF(SUM(GO6,GS6)&gt;0,SUM(GO6,GS6),"")</f>
        <v>12.4</v>
      </c>
      <c r="HI6" s="20">
        <f>IF(SUM(GN6:GO6,GQ6:GS6,GU6)-GP6-GT6&gt;0,SUM(GN6:GO6,GQ6:GS6,GU6)-GP6-GT6,"")</f>
        <v>49.8</v>
      </c>
      <c r="HJ6" s="20" t="str">
        <f>IF(SUM(GV6:GW6,GY6)-GX6&gt;0,SUM(GV6:GW6,GY6)-GX6,"")</f>
        <v/>
      </c>
      <c r="HK6" s="20">
        <f>IF(SUM(GO6,GS6,GW6)&gt;0,SUM(GO6,GS6,GW6),"")</f>
        <v>12.4</v>
      </c>
      <c r="HL6" s="20">
        <f>IF(SUM(HI6,HJ6)&gt;0,SUM(HI6,HJ6),"")</f>
        <v>49.8</v>
      </c>
      <c r="HM6" s="20">
        <f>IF(SUM(HA6,HE6)&gt;0,SUM(HA6,HE6),"")</f>
        <v>5.1999999999999993</v>
      </c>
      <c r="HN6" s="20">
        <f>IF(SUM(GZ6:HA6,HC6:HE6,HG6)-SUM(HB6,HF6)&gt;0,SUM(GZ6:HA6,HC6:HE6,HG6)-SUM(HB6,HF6),"")</f>
        <v>39.999999999999993</v>
      </c>
      <c r="HO6" s="20">
        <f>IF(SUM(HI6,HN6)&gt;0,SUM(HI6,HN6),"")</f>
        <v>89.799999999999983</v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79" t="str">
        <f>IF(SUM(HQ6,HU6)&gt;0,SUM(HQ6,HU6),"")</f>
        <v/>
      </c>
      <c r="IK6" s="79" t="str">
        <f>IF(SUM(HP6:HQ6,HS6:HU6,HW6)-HR6-HV6&gt;0,SUM(HP6:HQ6,HS6:HU6,HW6)-HR6-HV6,"")</f>
        <v/>
      </c>
      <c r="IL6" s="79" t="str">
        <f>IF(SUM(HX6:HY6,IA6)-HZ6&gt;0,SUM(HX6:HY6,IA6)-HZ6,"")</f>
        <v/>
      </c>
      <c r="IM6" s="79" t="str">
        <f>IF(SUM(HQ6,HU6,HY6)&gt;0,SUM(HQ6,HU6,HY6),"")</f>
        <v/>
      </c>
      <c r="IN6" s="79" t="str">
        <f>IF(SUM(IK6,IL6)&gt;0,SUM(IK6,IL6),"")</f>
        <v/>
      </c>
      <c r="IO6" s="79" t="str">
        <f>IF(SUM(IC6,IG6)&gt;0,SUM(IC6,IG6),"")</f>
        <v/>
      </c>
      <c r="IP6" s="79" t="str">
        <f>IF(SUM(IB6:IC6,IE6:IG6,II6)-SUM(ID6,IH6)&gt;0,SUM(IB6:IC6,IE6:IG6,II6)-SUM(ID6,IH6),"")</f>
        <v/>
      </c>
      <c r="IQ6" s="79" t="str">
        <f>IF(SUM(IK6,IP6)&gt;0,SUM(IK6,IP6),"")</f>
        <v/>
      </c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0" t="str">
        <f>IF(SUM(IS6,IW6)&gt;0,SUM(IS6,IW6),"")</f>
        <v/>
      </c>
      <c r="JM6" s="20" t="str">
        <f>IF(SUM(IR6:IS6,IU6:IW6,IY6)-IT6-IX6&gt;0,SUM(IR6:IS6,IU6:IW6,IY6)-IT6-IX6,"")</f>
        <v/>
      </c>
      <c r="JN6" s="20" t="str">
        <f>IF(SUM(IZ6:JA6,JC6)-JB6&gt;0,SUM(IZ6:JA6,JC6)-JB6,"")</f>
        <v/>
      </c>
      <c r="JO6" s="20" t="str">
        <f>IF(SUM(IS6,IW6,JA6)&gt;0,SUM(IS6,IW6,JA6),"")</f>
        <v/>
      </c>
      <c r="JP6" s="20" t="str">
        <f>IF(SUM(JM6,JN6)&gt;0,SUM(JM6,JN6),"")</f>
        <v/>
      </c>
      <c r="JQ6" s="20" t="str">
        <f>IF(SUM(JE6,JI6)&gt;0,SUM(JE6,JI6),"")</f>
        <v/>
      </c>
      <c r="JR6" s="20" t="str">
        <f>IF(SUM(JD6:JE6,JG6:JI6,JK6)-SUM(JF6,JJ6)&gt;0,SUM(JD6:JE6,JG6:JI6,JK6)-SUM(JF6,JJ6),"")</f>
        <v/>
      </c>
      <c r="JS6" s="20" t="str">
        <f>IF(SUM(JM6,JR6)&gt;0,SUM(JM6,JR6),"")</f>
        <v/>
      </c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79" t="str">
        <f>IF(SUM(JU6,JY6)&gt;0,SUM(JU6,JY6),"")</f>
        <v/>
      </c>
      <c r="KO6" s="79" t="str">
        <f>IF(SUM(JT6:JU6,JW6:JY6,KA6)-JV6-JZ6&gt;0,SUM(JT6:JU6,JW6:JY6,KA6)-JV6-JZ6,"")</f>
        <v/>
      </c>
      <c r="KP6" s="79" t="str">
        <f>IF(SUM(KB6:KC6,KE6)-KD6&gt;0,SUM(KB6:KC6,KE6)-KD6,"")</f>
        <v/>
      </c>
      <c r="KQ6" s="79" t="str">
        <f>IF(SUM(JU6,JY6,KC6)&gt;0,SUM(JU6,JY6,KC6),"")</f>
        <v/>
      </c>
      <c r="KR6" s="79" t="str">
        <f>IF(SUM(KO6,KP6)&gt;0,SUM(KO6,KP6),"")</f>
        <v/>
      </c>
      <c r="KS6" s="79" t="str">
        <f>IF(SUM(KG6,KK6)&gt;0,SUM(KG6,KK6),"")</f>
        <v/>
      </c>
      <c r="KT6" s="79" t="str">
        <f>IF(SUM(KF6:KG6,KI6:KK6,KM6)-SUM(KH6,KL6)&gt;0,SUM(KF6:KG6,KI6:KK6,KM6)-SUM(KH6,KL6),"")</f>
        <v/>
      </c>
      <c r="KU6" s="79" t="str">
        <f>IF(SUM(KO6,KT6)&gt;0,SUM(KO6,KT6),"")</f>
        <v/>
      </c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0" t="str">
        <f>IF(SUM(KW6,LA6)&gt;0,SUM(KW6,LA6),"")</f>
        <v/>
      </c>
      <c r="LQ6" s="20" t="str">
        <f>IF(SUM(KV6:KW6,KY6:LA6,LC6)-KX6-LB6&gt;0,SUM(KV6:KW6,KY6:LA6,LC6)-KX6-LB6,"")</f>
        <v/>
      </c>
      <c r="LR6" s="20" t="str">
        <f>IF(SUM(LD6:LE6,LG6)-LF6&gt;0,SUM(LD6:LE6,LG6)-LF6,"")</f>
        <v/>
      </c>
      <c r="LS6" s="20" t="str">
        <f>IF(SUM(KW6,LA6,LE6)&gt;0,SUM(KW6,LA6,LE6),"")</f>
        <v/>
      </c>
      <c r="LT6" s="20" t="str">
        <f>IF(SUM(LQ6,LR6)&gt;0,SUM(LQ6,LR6),"")</f>
        <v/>
      </c>
      <c r="LU6" s="20" t="str">
        <f>IF(SUM(LI6,LM6)&gt;0,SUM(LI6,LM6),"")</f>
        <v/>
      </c>
      <c r="LV6" s="20" t="str">
        <f>IF(SUM(LH6:LI6,LK6:LM6,LO6)-SUM(LJ6,LN6)&gt;0,SUM(LH6:LI6,LK6:LM6,LO6)-SUM(LJ6,LN6),"")</f>
        <v/>
      </c>
      <c r="LW6" s="20" t="str">
        <f>IF(SUM(LQ6,LV6)&gt;0,SUM(LQ6,LV6),"")</f>
        <v/>
      </c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79" t="str">
        <f>IF(SUM(LY6,MC6)&gt;0,SUM(LY6,MC6),"")</f>
        <v/>
      </c>
      <c r="MS6" s="79" t="str">
        <f>IF(SUM(LX6:LY6,MA6:MC6,ME6)-LZ6-MD6&gt;0,SUM(LX6:LY6,MA6:MC6,ME6)-LZ6-MD6,"")</f>
        <v/>
      </c>
      <c r="MT6" s="79" t="str">
        <f>IF(SUM(MF6:MG6,MI6)-MH6&gt;0,SUM(MF6:MG6,MI6)-MH6,"")</f>
        <v/>
      </c>
      <c r="MU6" s="79" t="str">
        <f>IF(SUM(LY6,MC6,MG6)&gt;0,SUM(LY6,MC6,MG6),"")</f>
        <v/>
      </c>
      <c r="MV6" s="79" t="str">
        <f>IF(SUM(MS6,MT6)&gt;0,SUM(MS6,MT6),"")</f>
        <v/>
      </c>
      <c r="MW6" s="79" t="str">
        <f>IF(SUM(MK6,MO6)&gt;0,SUM(MK6,MO6),"")</f>
        <v/>
      </c>
      <c r="MX6" s="79" t="str">
        <f>IF(SUM(MJ6:MK6,MM6:MO6,MQ6)-SUM(ML6,MP6)&gt;0,SUM(MJ6:MK6,MM6:MO6,MQ6)-SUM(ML6,MP6),"")</f>
        <v/>
      </c>
      <c r="MY6" s="79" t="str">
        <f>IF(SUM(MS6,MX6)&gt;0,SUM(MS6,MX6),"")</f>
        <v/>
      </c>
      <c r="MZ6" s="26"/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0" t="str">
        <f>IF(SUM(NA6,NE6)&gt;0,SUM(NA6,NE6),"")</f>
        <v/>
      </c>
      <c r="NU6" s="20" t="str">
        <f>IF(SUM(MZ6:NA6,NC6:NE6,NG6)-NB6-NF6&gt;0,SUM(MZ6:NA6,NC6:NE6,NG6)-NB6-NF6,"")</f>
        <v/>
      </c>
      <c r="NV6" s="20" t="str">
        <f>IF(SUM(NH6:NI6,NK6)-NJ6&gt;0,SUM(NH6:NI6,NK6)-NJ6,"")</f>
        <v/>
      </c>
      <c r="NW6" s="20" t="str">
        <f>IF(SUM(NA6,NE6,NI6)&gt;0,SUM(NA6,NE6,NI6),"")</f>
        <v/>
      </c>
      <c r="NX6" s="20" t="str">
        <f>IF(SUM(NU6,NV6)&gt;0,SUM(NU6,NV6),"")</f>
        <v/>
      </c>
      <c r="NY6" s="20" t="str">
        <f>IF(SUM(NM6,NQ6)&gt;0,SUM(NM6,NQ6),"")</f>
        <v/>
      </c>
      <c r="NZ6" s="20" t="str">
        <f>IF(SUM(NL6:NM6,NO6:NQ6,NS6)-SUM(NN6,NR6)&gt;0,SUM(NL6:NM6,NO6:NQ6,NS6)-SUM(NN6,NR6),"")</f>
        <v/>
      </c>
      <c r="OA6" s="20" t="str">
        <f>IF(SUM(NU6,NZ6)&gt;0,SUM(NU6,NZ6),"")</f>
        <v/>
      </c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79" t="str">
        <f>IF(SUM(OC6,OG6)&gt;0,SUM(OC6,OG6),"")</f>
        <v/>
      </c>
      <c r="OW6" s="79" t="str">
        <f>IF(SUM(OB6:OC6,OE6:OG6,OI6)-OD6-OH6&gt;0,SUM(OB6:OC6,OE6:OG6,OI6)-OD6-OH6,"")</f>
        <v/>
      </c>
      <c r="OX6" s="79" t="str">
        <f>IF(SUM(OJ6:OK6,OM6)-OL6&gt;0,SUM(OJ6:OK6,OM6)-OL6,"")</f>
        <v/>
      </c>
      <c r="OY6" s="79" t="str">
        <f>IF(SUM(OC6,OG6,OK6)&gt;0,SUM(OC6,OG6,OK6),"")</f>
        <v/>
      </c>
      <c r="OZ6" s="79" t="str">
        <f>IF(SUM(OW6,OX6)&gt;0,SUM(OW6,OX6),"")</f>
        <v/>
      </c>
      <c r="PA6" s="79" t="str">
        <f>IF(SUM(OO6,OS6)&gt;0,SUM(OO6,OS6),"")</f>
        <v/>
      </c>
      <c r="PB6" s="79" t="str">
        <f>IF(SUM(ON6:OO6,OQ6:OS6,OU6)-SUM(OP6,OT6)&gt;0,SUM(ON6:OO6,OQ6:OS6,OU6)-SUM(OP6,OT6),"")</f>
        <v/>
      </c>
      <c r="PC6" s="79" t="str">
        <f>IF(SUM(OW6,PB6)&gt;0,SUM(OW6,PB6),"")</f>
        <v/>
      </c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0" t="str">
        <f>IF(SUM(PE6,PI6)&gt;0,SUM(PE6,PI6),"")</f>
        <v/>
      </c>
      <c r="PY6" s="20" t="str">
        <f>IF(SUM(PD6:PE6,PG6:PI6,PK6)-PF6-PJ6&gt;0,SUM(PD6:PE6,PG6:PI6,PK6)-PF6-PJ6,"")</f>
        <v/>
      </c>
      <c r="PZ6" s="20" t="str">
        <f>IF(SUM(PL6:PM6,PO6)-PN6&gt;0,SUM(PL6:PM6,PO6)-PN6,"")</f>
        <v/>
      </c>
      <c r="QA6" s="20" t="str">
        <f>IF(SUM(PE6,PI6,PM6)&gt;0,SUM(PE6,PI6,PM6),"")</f>
        <v/>
      </c>
      <c r="QB6" s="20" t="str">
        <f>IF(SUM(PY6,PZ6)&gt;0,SUM(PY6,PZ6),"")</f>
        <v/>
      </c>
      <c r="QC6" s="20" t="str">
        <f>IF(SUM(PQ6,PU6)&gt;0,SUM(PQ6,PU6),"")</f>
        <v/>
      </c>
      <c r="QD6" s="20" t="str">
        <f>IF(SUM(PP6:PQ6,PS6:PU6,PW6)-SUM(PR6,PV6)&gt;0,SUM(PP6:PQ6,PS6:PU6,PW6)-SUM(PR6,PV6),"")</f>
        <v/>
      </c>
      <c r="QE6" s="20" t="str">
        <f>IF(SUM(PY6,QD6)&gt;0,SUM(PY6,QD6),"")</f>
        <v/>
      </c>
      <c r="QF6" s="38">
        <f>IF($CV6="P",CB6,(CB6+AY6)/2)</f>
        <v>9.5</v>
      </c>
      <c r="QG6" s="38">
        <f>IF($CV6="P",CC6,(CC6+AZ6)/2)</f>
        <v>2.8</v>
      </c>
      <c r="QH6" s="38">
        <f>IF($CV6="P",CD6,(CD6+BA6)/2)</f>
        <v>0</v>
      </c>
      <c r="QI6" s="38">
        <f>IF($CV6="P",CE6,(CE6+BB6)/2)</f>
        <v>0</v>
      </c>
      <c r="QJ6" s="38">
        <f>IF($CV6="P",CF6,(CF6+BC6)/2)</f>
        <v>9.3000000000000007</v>
      </c>
      <c r="QK6" s="38">
        <f>IF($CV6="P",CG6,(CG6+BD6)/2)</f>
        <v>3</v>
      </c>
      <c r="QL6" s="38">
        <f>IF($CV6="P",CH6,(CH6+BE6)/2)</f>
        <v>0</v>
      </c>
      <c r="QM6" s="38">
        <f>IF($CV6="P",CI6,(CI6+BF6)/2)</f>
        <v>0</v>
      </c>
      <c r="QN6" s="38">
        <f>IF($CV6="P",CJ6,(CJ6+BG6)/2)</f>
        <v>9.1999999999999993</v>
      </c>
      <c r="QO6" s="38">
        <f>IF($CV6="P",CK6,(CK6+BH6)/2)</f>
        <v>2.6</v>
      </c>
      <c r="QP6" s="38">
        <f>IF($CV6="P",CL6,(CL6+BI6)/2)</f>
        <v>0.3</v>
      </c>
      <c r="QQ6" s="38">
        <f>IF($CV6="P",CM6,(CM6+BJ6)/2)</f>
        <v>0</v>
      </c>
      <c r="QR6" s="38">
        <f>IF($CV6="P",CN6,(CN6+BK6)/2)</f>
        <v>9.3000000000000007</v>
      </c>
      <c r="QS6" s="38">
        <f>IF($CV6="P",CO6,(CO6+BL6)/2)</f>
        <v>2.8</v>
      </c>
      <c r="QT6" s="38">
        <f>IF($CV6="P",CP6,(CP6+BM6)/2)</f>
        <v>0</v>
      </c>
      <c r="QU6" s="38">
        <f>IF($CV6="P",CQ6,(CQ6+BN6)/2)</f>
        <v>0</v>
      </c>
      <c r="QV6" s="38">
        <f>IF($CV6="P",CR6,(CR6+BO6)/2)</f>
        <v>9.3000000000000007</v>
      </c>
      <c r="QW6" s="38">
        <f>IF($CV6="P",CS6,(CS6+BP6)/2)</f>
        <v>3</v>
      </c>
      <c r="QX6" s="38">
        <f>IF($CV6="P",CT6,(CT6+BQ6)/2)</f>
        <v>0.4</v>
      </c>
      <c r="QY6" s="38">
        <f>IF($CV6="P",CU6,(CU6+BR6)/2)</f>
        <v>0</v>
      </c>
      <c r="QZ6" s="45" t="s">
        <v>46</v>
      </c>
      <c r="RA6" s="79">
        <f>IF(SUM(QG6,QK6)&gt;0,SUM(QG6,QK6),"")</f>
        <v>5.8</v>
      </c>
      <c r="RB6" s="79">
        <f>IF(SUM(QF6:QG6,QI6:QK6,QM6)-QH6-QL6&gt;0,SUM(QF6:QG6,QI6:QK6,QM6)-QH6-QL6,"")</f>
        <v>24.6</v>
      </c>
      <c r="RC6" s="79">
        <f>IF(SUM(QN6:QO6,QQ6)-QP6&gt;0,SUM(QN6:QO6,QQ6)-QP6,"")</f>
        <v>11.499999999999998</v>
      </c>
      <c r="RD6" s="79">
        <f>IF(SUM(QG6,QK6,QO6)&gt;0,SUM(QG6,QK6,QO6),"")</f>
        <v>8.4</v>
      </c>
      <c r="RE6" s="79">
        <f>IF(SUM(RB6,RC6)&gt;0,SUM(RB6,RC6),"")</f>
        <v>36.1</v>
      </c>
      <c r="RF6" s="79">
        <f>IF(SUM(QS6,QW6)&gt;0,SUM(QS6,QW6),"")</f>
        <v>5.8</v>
      </c>
      <c r="RG6" s="79">
        <f>IF(SUM(QR6:QS6,QU6:QW6,QY6)-SUM(QT6,QX6)&gt;0,SUM(QR6:QS6,QU6:QW6,QY6)-SUM(QT6,QX6),"")</f>
        <v>24.000000000000004</v>
      </c>
      <c r="RH6" s="79">
        <f>IF(SUM(RB6,RG6)&gt;0,SUM(RB6,RG6),"")</f>
        <v>48.600000000000009</v>
      </c>
    </row>
    <row r="7" spans="1:476" x14ac:dyDescent="0.2">
      <c r="A7" s="5">
        <f>IF(AND(F7="P",G7="P"),SUMPRODUCT((F$4:F$22="P")*(G$4:G$22="P")*(E$4:E$22&gt;E7))+1,IF(G7="P",SUMPRODUCT((F$4:F$22="")*(G$4:G$22="P")*(E$4:E$22&gt;E7))+1+SUMPRODUCT((F$4:F$22="P")*(G$4:G$22="P")),""))</f>
        <v>4</v>
      </c>
      <c r="B7" s="78" t="s">
        <v>97</v>
      </c>
      <c r="C7" s="5" t="s">
        <v>5</v>
      </c>
      <c r="D7" s="5">
        <v>2001</v>
      </c>
      <c r="E7" s="15">
        <f>SUM(I7:S7)+SUM(I7:O7)*0.0000001+SUM(I7)*0.0000000000001</f>
        <v>119.90010723001484</v>
      </c>
      <c r="F7" s="3" t="str">
        <f>IF(OR(AND(AQ7&gt;=AX$24,AR7&gt;=AX$28,AQ7&lt;&gt;"",AP7=""),AND(AV7&gt;=AX$24,AW7&gt;=AX$28,AV7&lt;&gt;"",AP7=""),AND(BT7&gt;=CA$24,BU7&gt;=CA$28,BT7&lt;&gt;"",BS7=""),AND(BY7&gt;=CA$24,BZ7&gt;=CA$28,BY7&lt;&gt;"",BS7=""),AND(CW7&gt;=DD$24,CX7&gt;=DD$28,CW7&lt;&gt;"",CV7=""),AND(DB7&gt;=DD$24,DC7&gt;=DD$28,DB7&lt;&gt;""),AND(EB7&gt;=EI$24,EC7&gt;=EI$28,EB7&lt;&gt;""),AND(EG7&gt;=EI$24,EH7&gt;=EI$28,EG7&lt;&gt;""),AND(FD7&gt;=FK$24,FE7&gt;=FK$28,FD7&lt;&gt;""),AND(FI7&gt;=FK$24,FJ7&gt;=FK$28,FI7&lt;&gt;""),AND(GF7&gt;=GM$24,GG7&gt;=GM$28,GF7&lt;&gt;""),AND(GK7&gt;=GM$24,GL7&gt;=GM$28,GK7&lt;&gt;""),AND(HH7&gt;=HO$24,HI7&gt;=HO$28,HH7&lt;&gt;""),AND(HM7&gt;=HO$24,HN7&gt;=HO$28,HM7&lt;&gt;""),AND(IJ7&gt;=IQ$24,IK7&gt;=IQ$28,IJ7&lt;&gt;""),AND(IO7&gt;=IQ$24,IP7&gt;=IQ$28,IO7&lt;&gt;""),AND(JL7&gt;=JS$24,JM7&gt;=JS$28,JL7&lt;&gt;""),AND(JQ7&gt;=JS$24,JR7&gt;=JS$28,JQ7&lt;&gt;""),AND(KN7&gt;=KU$24,KO7&gt;=KU$28,KN7&lt;&gt;""),AND(KS7&gt;=KU$24,KT7&gt;=KU$28,KS7&lt;&gt;""),AND(LP7&gt;=LW$24,LQ7&gt;=LW$28,LP7&lt;&gt;""),AND(LU7&gt;=LW$24,LV7&gt;=LW$28,LU7&lt;&gt;""),AND(MR7&gt;=MY$24,MS7&gt;=MY$28,MR7&lt;&gt;""),AND(MW7&gt;=MY$24,MX7&gt;=MY$28,MW7&lt;&gt;""),AND(NT7&gt;=OA$24,NU7&gt;=OA$28,NT7&lt;&gt;""),AND(NY7&gt;=OA$24,NZ7&gt;=OA$28,NY7&lt;&gt;""),AND(OV7&gt;=PC$24,OW7&gt;=PC$28,OV7&lt;&gt;""),AND(PA7&gt;=PC$24,PB7&gt;=PC$28,PA7&lt;&gt;""),AND(PX7&gt;=QE$24,PY7&gt;=QE$28,PX7&lt;&gt;""),AND(QC7&gt;=QE$24,QD7&gt;=QE$28,QC7&lt;&gt;"")),"P","")</f>
        <v>P</v>
      </c>
      <c r="G7" s="3" t="str">
        <f>IF(OR(AND(AR7&gt;=AX$28,AR7&lt;&gt;"",AP7=""),AND(AW7&gt;=AX$28,AW7&lt;&gt;"",AP7=""),AND(BU7&gt;=CA$28,BU7&lt;&gt;"",BS7=""),AND(BZ7&gt;=CA$28,BZ7&lt;&gt;"",BS7=""),AND(CX7&gt;=DD$28,CX7&lt;&gt;"",CV7=""),AND(DC7&gt;=DD$28,DC7&lt;&gt;"",CV7=""),AND(EC7&gt;=EI$28,EC7&lt;&gt;""),AND(EH7&gt;=EI$28,EH7&lt;&gt;""),AND(FE7&gt;=FK$28,FE7&lt;&gt;""),AND(FJ7&gt;=FK$28,FJ7&lt;&gt;""),AND(GG7&gt;=GM$28,GG7&lt;&gt;""),AND(GL7&gt;=GM$28,GL7&lt;&gt;""),AND(HI7&gt;=HO$28,HI7&lt;&gt;""),AND(HN7&gt;=HO$28,HN7&lt;&gt;""),AND(IK7&gt;=IQ$28,IK7&lt;&gt;""),AND(IP7&gt;=IQ$28,IP7&lt;&gt;""),AND(JM7&gt;=JS$28,JM7&lt;&gt;""),AND(JR7&gt;=JS$28,JR7&lt;&gt;""),AND(KO7&gt;=KU$28,KO7&lt;&gt;""),AND(KT7&gt;=KU$28,KT7&lt;&gt;""),AND(LQ7&gt;=LW$28,LQ7&lt;&gt;""),AND(LV7&gt;=LW$28,LV7&lt;&gt;""),AND(MS7&gt;=MY$28,MS7&lt;&gt;""),AND(MX7&gt;=MY$28,MX7&lt;&gt;""),AND(NU7&gt;=OA$28,NU7&lt;&gt;""),AND(NZ7&gt;=OA$28,NZ7&lt;&gt;""),AND(OW7&gt;=PC$28,OW7&lt;&gt;""),AND(PB7&gt;=PC$28,PB7&lt;&gt;""),AND(PY7&gt;=QE$28,PY7&lt;&gt;""),AND(QD7&gt;=QE$28,QD7&lt;&gt;"")),"P","")</f>
        <v>P</v>
      </c>
      <c r="H7" s="67" t="str">
        <f>IF(AND(G7="P",F7=""),"No DD",IF(OR(AND(AT7&gt;=AX$27,AU7&gt;=AX$31,AT7&lt;&gt;"",AP7=""),AND(BW7&gt;=CA$27,BX7&gt;=CA$31,BW7&lt;&gt;"",BS7=""),AND(CZ7&gt;=DD$27,DA7&gt;=DD$31,CZ7&lt;&gt;"",CV7=""),AND(EE7&gt;=EI$27,EF7&gt;=EI$31,EE7&lt;&gt;""),AND(FG7&gt;=FK$27,FH7&gt;=FK$31,FG7&lt;&gt;""),AND(GI7&gt;=GM$27,GJ7&gt;=GM$31,GI7&lt;&gt;""),AND(HK7&gt;=HO$27,HL7&gt;=HO$31,HK7&lt;&gt;""),AND(IM7&gt;=IQ$27,IN7&gt;=IQ$31,IM7&lt;&gt;""),AND(JO7&gt;=JS$27,JP7&gt;=JS$31,JO7&lt;&gt;""),AND(KQ7&gt;=KU$27,KR7&gt;=KU$31,KQ7&lt;&gt;""),AND(LS7&gt;=LW$27,LT7&gt;=LW$31,LS7&lt;&gt;""),AND(MU7&gt;=MY$27,MV7&gt;=MY$31,MU7&lt;&gt;""),AND(NW7&gt;=OA$27,NX7&gt;=OA$31,NW7&lt;&gt;""),AND(OY7&gt;=PC$27,OZ7&gt;=PC$31,OY7&lt;&gt;""),AND(QA7&gt;=QE$27,QB7&gt;=QE$31,QA7&lt;&gt;"")),"Merit",IF(OR(AND(AT7&gt;=AX$26,AU7&gt;=AX$30,AT7&lt;&gt;"",AP7=""),AND(BW7&gt;=CA$26,BX7&gt;=CA$30,BW7&lt;&gt;"",BS7=""),AND(CZ7&gt;=DD$26,DA7&gt;=DD$30,CZ7&lt;&gt;"",CV7=""),AND(EE7&gt;=EI$26,EF7&gt;=EI$30,EE7&lt;&gt;""),AND(FG7&gt;=FK$26,FH7&gt;=FK$30,FG7&lt;&gt;""),AND(GI7&gt;=GM$26,GJ7&gt;=GM$30,GI7&lt;&gt;""),AND(HK7&gt;=HO$26,HL7&gt;=HO$30,HK7&lt;&gt;""),AND(IM7&gt;=IQ$26,IN7&gt;=IQ$30,IM7&lt;&gt;""),AND(JO7&gt;=JS$26,JP7&gt;=JS$30,JO7&lt;&gt;""),AND(KQ7&gt;=KU$26,KR7&gt;=KU$30,KQ7&lt;&gt;""),AND(LS7&gt;=LW$26,LT7&gt;=LW$30,LS7&lt;&gt;""),AND(MU7&gt;=MY$26,MV7&gt;=MY$30,MU7&lt;&gt;""),AND(NW7&gt;=OA$26,NX7&gt;=OA$30,NW7&lt;&gt;""),AND(OY7&gt;=PC$26,OZ7&gt;=PC$30,OY7&lt;&gt;""),AND(QA7&gt;=QE$26,QB7&gt;=QE$30,QA7&lt;&gt;"")),"Excellence",IF(F7="P","National Team",""))))</f>
        <v>National Team</v>
      </c>
      <c r="I7" s="14">
        <f>IF(COUNT(AR7,BU7,CX7)&gt;0,LARGE((AR7,BU7,CX7),1),0)</f>
        <v>48.5</v>
      </c>
      <c r="J7" s="14" t="str">
        <f>IF(I7=0,"",IF(I7=CX7,$CB$1,IF(I7=BU7,$AY$1,IF(I7=AR7,$V$1,""))))</f>
        <v>2022 Elite Canada</v>
      </c>
      <c r="K7" s="14">
        <f>IF(COUNT(AR7,BU7,CX7)&gt;1,LARGE((AR7,BU7,CX7),2),0)</f>
        <v>1E-4</v>
      </c>
      <c r="L7" s="14" t="str">
        <f>IF(K7=0,"",IF(K7=CX7,$CB$1,IF(K7=BU7,$AY$1,IF(K7=AR7,$V$1,""))))</f>
        <v>2021 Canadian Championships</v>
      </c>
      <c r="M7" s="14">
        <f>IF(COUNT(AS7,BV7,CY7)&gt;0,LARGE((AS7,BV7,CY7),1),0)</f>
        <v>23.8</v>
      </c>
      <c r="N7" s="14" t="str">
        <f>IF(M7=0,"",IF(M7=CY7,$CB$1,IF(M7=BV7,$AY$1,IF(M7=AS7,$V$1,""))))</f>
        <v>2022 Elite Canada</v>
      </c>
      <c r="O7" s="14">
        <f>IF(COUNT(AS7,BV7,CY7)&gt;1,LARGE((AS7,BV7,CY7),2),0)</f>
        <v>0</v>
      </c>
      <c r="P7" s="14" t="str">
        <f>IF(O7=0,"",IF(O7=CY7,$CB$1,IF(O7=BV7,$AY$1,IF(O7=AS7,$V$1,""))))</f>
        <v/>
      </c>
      <c r="Q7" s="14">
        <f>IF(MAX(AW7,BZ7,DC7)&gt;0,MAX(AW7,BZ7,DC7),0)</f>
        <v>47.5</v>
      </c>
      <c r="R7" s="14" t="str">
        <f>IF(Q7=0,"",IF(Q7=DC7,$CB$1,IF(Q7=BZ7,$AY$1,IF(Q7=AW7,$V$1,""))))</f>
        <v>2022 Elite Canada</v>
      </c>
      <c r="S7" s="14">
        <f>IF(MAX(DE7:DG7)&gt;0,MAX(DE7:DG7),"")</f>
        <v>9.9999999999994316E-2</v>
      </c>
      <c r="T7" s="20" t="str">
        <f>IF(S7="","",IF(S7=DE7,"("&amp;DE$2&amp;")",IF(S7=DG7,"("&amp;DG$2&amp;")")))</f>
        <v>(Final)</v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>2022 World Games Technical Trial #1 (Mar 12)</v>
      </c>
      <c r="V7" s="27"/>
      <c r="W7" s="27">
        <v>1E-4</v>
      </c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45"/>
      <c r="AQ7" s="79">
        <f>IF(SUM(W7,AA7)&gt;0,SUM(W7,AA7),"")</f>
        <v>1E-4</v>
      </c>
      <c r="AR7" s="79">
        <f>IF(SUM(V7:W7,Y7:AA7,AC7)-X7-AB7&gt;0,SUM(V7:W7,Y7:AA7,AC7)-X7-AB7,"")</f>
        <v>1E-4</v>
      </c>
      <c r="AS7" s="79" t="str">
        <f>IF(SUM(AD7:AE7,AG7)-AF7&gt;0,SUM(AD7:AE7,AG7)-AF7,"")</f>
        <v/>
      </c>
      <c r="AT7" s="79">
        <f>IF(SUM(W7,AA7,AE7)&gt;0,SUM(W7,AA7,AE7),"")</f>
        <v>1E-4</v>
      </c>
      <c r="AU7" s="79">
        <f>IF(SUM(AR7,AS7)&gt;0,SUM(AR7,AS7),"")</f>
        <v>1E-4</v>
      </c>
      <c r="AV7" s="79" t="str">
        <f>IF(SUM(AI7,AM7)&gt;0,SUM(AI7,AM7),"")</f>
        <v/>
      </c>
      <c r="AW7" s="79" t="str">
        <f>IF(SUM(AH7:AI7,AK7:AM7,AO7)-SUM(AJ7,AN7)&gt;0,SUM(AH7:AI7,AK7:AM7,AO7)-SUM(AJ7,AN7),"")</f>
        <v/>
      </c>
      <c r="AX7" s="79">
        <f>IF(SUM(AR7,AW7)&gt;0,SUM(AR7,AW7),"")</f>
        <v>1E-4</v>
      </c>
      <c r="AY7" s="26"/>
      <c r="AZ7" s="26">
        <v>1E-4</v>
      </c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46"/>
      <c r="BT7" s="20">
        <f>IF(SUM(AZ7,BD7)&gt;0,SUM(AZ7,BD7),"")</f>
        <v>1E-4</v>
      </c>
      <c r="BU7" s="20">
        <f>IF(SUM(AY7:AZ7,BB7:BD7,BF7)-BA7-BE7&gt;0,SUM(AY7:AZ7,BB7:BD7,BF7)-BA7-BE7,"")</f>
        <v>1E-4</v>
      </c>
      <c r="BV7" s="20" t="str">
        <f>IF(SUM(BG7:BH7,BJ7)-BI7&gt;0,SUM(BG7:BH7,BJ7)-BI7,"")</f>
        <v/>
      </c>
      <c r="BW7" s="20">
        <f>IF(SUM(AZ7,BD7,BH7)&gt;0,SUM(AZ7,BD7,BH7),"")</f>
        <v>1E-4</v>
      </c>
      <c r="BX7" s="20">
        <f>IF(SUM(BU7,BV7)&gt;0,SUM(BU7,BV7),"")</f>
        <v>1E-4</v>
      </c>
      <c r="BY7" s="20" t="str">
        <f>IF(SUM(BL7,BP7)&gt;0,SUM(BL7,BP7),"")</f>
        <v/>
      </c>
      <c r="BZ7" s="20" t="str">
        <f>IF(SUM(BK7:BL7,BN7:BP7,BR7)-SUM(BM7,BQ7)&gt;0,SUM(BK7:BL7,BN7:BP7,BR7)-SUM(BM7,BQ7),"")</f>
        <v/>
      </c>
      <c r="CA7" s="20">
        <f>IF(SUM(BU7,BZ7)&gt;0,SUM(BU7,BZ7),"")</f>
        <v>1E-4</v>
      </c>
      <c r="CB7" s="27">
        <v>18.600000000000001</v>
      </c>
      <c r="CC7" s="27">
        <v>5.6</v>
      </c>
      <c r="CD7" s="27">
        <v>0.2</v>
      </c>
      <c r="CE7" s="27">
        <v>0</v>
      </c>
      <c r="CF7" s="27">
        <v>18.5</v>
      </c>
      <c r="CG7" s="27">
        <v>6</v>
      </c>
      <c r="CH7" s="27">
        <v>0</v>
      </c>
      <c r="CI7" s="27">
        <v>0</v>
      </c>
      <c r="CJ7" s="27">
        <v>19</v>
      </c>
      <c r="CK7" s="27">
        <v>4.8</v>
      </c>
      <c r="CL7" s="27">
        <v>0</v>
      </c>
      <c r="CM7" s="27">
        <v>0</v>
      </c>
      <c r="CN7" s="27">
        <v>18.3</v>
      </c>
      <c r="CO7" s="27">
        <v>5.6</v>
      </c>
      <c r="CP7" s="27">
        <v>0.2</v>
      </c>
      <c r="CQ7" s="27">
        <v>0</v>
      </c>
      <c r="CR7" s="27">
        <v>18</v>
      </c>
      <c r="CS7" s="27">
        <v>6</v>
      </c>
      <c r="CT7" s="27">
        <v>0.2</v>
      </c>
      <c r="CU7" s="27">
        <v>0</v>
      </c>
      <c r="CV7" s="45"/>
      <c r="CW7" s="79">
        <f>IF(SUM(CC7,CG7)&gt;0,SUM(CC7,CG7),"")</f>
        <v>11.6</v>
      </c>
      <c r="CX7" s="79">
        <f>IF(SUM(CB7:CC7,CE7:CG7,CI7)-CD7-CH7&gt;0,SUM(CB7:CC7,CE7:CG7,CI7)-CD7-CH7,"")</f>
        <v>48.5</v>
      </c>
      <c r="CY7" s="79">
        <f>IF(SUM(CJ7:CK7,CM7)-CL7&gt;0,SUM(CJ7:CK7,CM7)-CL7,"")</f>
        <v>23.8</v>
      </c>
      <c r="CZ7" s="79">
        <f>IF(SUM(CC7,CG7,CK7)&gt;0,SUM(CC7,CG7,CK7),"")</f>
        <v>16.399999999999999</v>
      </c>
      <c r="DA7" s="79">
        <f>IF(SUM(CX7,CY7)&gt;0,SUM(CX7,CY7),"")</f>
        <v>72.3</v>
      </c>
      <c r="DB7" s="79">
        <f>IF(SUM(CO7,CS7)&gt;0,SUM(CO7,CS7),"")</f>
        <v>11.6</v>
      </c>
      <c r="DC7" s="79">
        <f>IF(SUM(CN7:CO7,CQ7:CS7,CU7)-SUM(CP7,CT7)&gt;0,SUM(CN7:CO7,CQ7:CS7,CU7)-SUM(CP7,CT7),"")</f>
        <v>47.5</v>
      </c>
      <c r="DD7" s="79">
        <f>IF(SUM(CX7,DC7)&gt;0,SUM(CX7,DC7),"")</f>
        <v>96</v>
      </c>
      <c r="DE7" s="80" t="str">
        <f>IF(K7&gt;=0.001,IF(MAX(EC7,FE7,GG7,HI7,IK7,JM7,KO7,LQ7,MS7,NU7,OW7,PY7)-IF(K7="",0,K7)&gt;0.001,MAX(EC7,FE7,GG7,HI7,IK7,JM7,KO7,LQ7,MS7,NU7,OW7,PY7)-IF(K7="",0,K7),""),"")</f>
        <v/>
      </c>
      <c r="DF7" s="80" t="str">
        <f>IF(O7&gt;=0.001,IF(MAX(ED7,FF7,GH7,HJ7,IL7,JN7,KP7,LR7,MT7,NV7,OX7,PZ7)-IF(O7="",0,O7)&gt;0.001,MAX(ED7,FF7,GH7,HJ7,IL7,JN7,KP7,LR7,MT7,NV7,OX7,PZ7)-IF(O7="",0,O7),""),"")</f>
        <v/>
      </c>
      <c r="DG7" s="80">
        <f>IF(Q7&gt;=0.001,IF(MAX(EH7,FJ7,GL7,HN7,IP7,JR7,KT7,LV7,MX7,NZ7,PB7,QD7)-IF(Q7="",0,Q7)&gt;0.001,MAX(EH7,FJ7,GL7,HN7,IP7,JR7,KT7,LV7,MX7,NZ7,PB7,QD7)-IF(Q7="",0,Q7),""),"")</f>
        <v>9.9999999999994316E-2</v>
      </c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79" t="str">
        <f>IF(SUM(DI7,DM7)&gt;0,SUM(DI7,DM7),"")</f>
        <v/>
      </c>
      <c r="EC7" s="79" t="str">
        <f>IF(SUM(DH7:DI7,DK7:DM7,DO7)-DJ7-DN7&gt;0,SUM(DH7:DI7,DK7:DM7,DO7)-DJ7-DN7,"")</f>
        <v/>
      </c>
      <c r="ED7" s="79" t="str">
        <f>IF(SUM(DP7:DQ7,DS7)-DR7&gt;0,SUM(DP7:DQ7,DS7)-DR7,"")</f>
        <v/>
      </c>
      <c r="EE7" s="79" t="str">
        <f>IF(SUM(DI7,DM7,DQ7)&gt;0,SUM(DI7,DM7,DQ7),"")</f>
        <v/>
      </c>
      <c r="EF7" s="79" t="str">
        <f>IF(SUM(EC7,ED7)&gt;0,SUM(EC7,ED7),"")</f>
        <v/>
      </c>
      <c r="EG7" s="79" t="str">
        <f>IF(SUM(DU7,DY7)&gt;0,SUM(DU7,DY7),"")</f>
        <v/>
      </c>
      <c r="EH7" s="79" t="str">
        <f>IF(SUM(DT7:DU7,DW7:DY7,EA7)-SUM(DV7,DZ7)&gt;0,SUM(DT7:DU7,DW7:DY7,EA7)-SUM(DV7,DZ7),"")</f>
        <v/>
      </c>
      <c r="EI7" s="79" t="str">
        <f>IF(SUM(EC7,EH7)&gt;0,SUM(EC7,EH7),"")</f>
        <v/>
      </c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0" t="str">
        <f>IF(SUM(EK7,EO7)&gt;0,SUM(EK7,EO7),"")</f>
        <v/>
      </c>
      <c r="FE7" s="20" t="str">
        <f>IF(SUM(EJ7:EK7,EM7:EO7,EQ7)-EL7-EP7&gt;0,SUM(EJ7:EK7,EM7:EO7,EQ7)-EL7-EP7,"")</f>
        <v/>
      </c>
      <c r="FF7" s="20" t="str">
        <f>IF(SUM(ER7:ES7,EU7)-ET7&gt;0,SUM(ER7:ES7,EU7)-ET7,"")</f>
        <v/>
      </c>
      <c r="FG7" s="20" t="str">
        <f>IF(SUM(EK7,EO7,ES7)&gt;0,SUM(EK7,EO7,ES7),"")</f>
        <v/>
      </c>
      <c r="FH7" s="20" t="str">
        <f>IF(SUM(FE7,FF7)&gt;0,SUM(FE7,FF7),"")</f>
        <v/>
      </c>
      <c r="FI7" s="20" t="str">
        <f>IF(SUM(EW7,FA7)&gt;0,SUM(EW7,FA7),"")</f>
        <v/>
      </c>
      <c r="FJ7" s="20" t="str">
        <f>IF(SUM(EV7:EW7,EY7:FA7,FC7)-SUM(EX7,FB7)&gt;0,SUM(EV7:EW7,EY7:FA7,FC7)-SUM(EX7,FB7),"")</f>
        <v/>
      </c>
      <c r="FK7" s="20" t="str">
        <f>IF(SUM(FE7,FJ7)&gt;0,SUM(FE7,FJ7),"")</f>
        <v/>
      </c>
      <c r="FL7" s="25">
        <v>18.600000000000001</v>
      </c>
      <c r="FM7" s="25">
        <v>5.6</v>
      </c>
      <c r="FN7" s="25">
        <v>0</v>
      </c>
      <c r="FO7" s="25">
        <v>0</v>
      </c>
      <c r="FP7" s="25">
        <v>18</v>
      </c>
      <c r="FQ7" s="25">
        <v>5.6</v>
      </c>
      <c r="FR7" s="25">
        <v>0.2</v>
      </c>
      <c r="FS7" s="25">
        <v>0</v>
      </c>
      <c r="FT7" s="25"/>
      <c r="FU7" s="25"/>
      <c r="FV7" s="25"/>
      <c r="FW7" s="25"/>
      <c r="FX7" s="25">
        <v>18</v>
      </c>
      <c r="FY7" s="25">
        <v>5.6</v>
      </c>
      <c r="FZ7" s="25">
        <v>0.2</v>
      </c>
      <c r="GA7" s="25">
        <v>0</v>
      </c>
      <c r="GB7" s="25">
        <v>18.2</v>
      </c>
      <c r="GC7" s="25">
        <v>6</v>
      </c>
      <c r="GD7" s="25">
        <v>0</v>
      </c>
      <c r="GE7" s="25">
        <v>0</v>
      </c>
      <c r="GF7" s="79">
        <f>IF(SUM(FM7,FQ7)&gt;0,SUM(FM7,FQ7),"")</f>
        <v>11.2</v>
      </c>
      <c r="GG7" s="79">
        <f>IF(SUM(FL7:FM7,FO7:FQ7,FS7)-FN7-FR7&gt;0,SUM(FL7:FM7,FO7:FQ7,FS7)-FN7-FR7,"")</f>
        <v>47.6</v>
      </c>
      <c r="GH7" s="79" t="str">
        <f>IF(SUM(FT7:FU7,FW7)-FV7&gt;0,SUM(FT7:FU7,FW7)-FV7,"")</f>
        <v/>
      </c>
      <c r="GI7" s="79">
        <f>IF(SUM(FM7,FQ7,FU7)&gt;0,SUM(FM7,FQ7,FU7),"")</f>
        <v>11.2</v>
      </c>
      <c r="GJ7" s="79">
        <f>IF(SUM(GG7,GH7)&gt;0,SUM(GG7,GH7),"")</f>
        <v>47.6</v>
      </c>
      <c r="GK7" s="79">
        <f>IF(SUM(FY7,GC7)&gt;0,SUM(FY7,GC7),"")</f>
        <v>11.6</v>
      </c>
      <c r="GL7" s="79">
        <f>IF(SUM(FX7:FY7,GA7:GC7,GE7)-SUM(FZ7,GD7)&gt;0,SUM(FX7:FY7,GA7:GC7,GE7)-SUM(FZ7,GD7),"")</f>
        <v>47.599999999999994</v>
      </c>
      <c r="GM7" s="79">
        <f>IF(SUM(GG7,GL7)&gt;0,SUM(GG7,GL7),"")</f>
        <v>95.199999999999989</v>
      </c>
      <c r="GN7" s="26">
        <v>18.600000000000001</v>
      </c>
      <c r="GO7" s="26">
        <v>5.6</v>
      </c>
      <c r="GP7" s="26">
        <v>0</v>
      </c>
      <c r="GQ7" s="26">
        <v>0</v>
      </c>
      <c r="GR7" s="26">
        <v>18.2</v>
      </c>
      <c r="GS7" s="26">
        <v>5.6</v>
      </c>
      <c r="GT7" s="26">
        <v>0.6</v>
      </c>
      <c r="GU7" s="26">
        <v>0</v>
      </c>
      <c r="GV7" s="26"/>
      <c r="GW7" s="26"/>
      <c r="GX7" s="26"/>
      <c r="GY7" s="26"/>
      <c r="GZ7" s="26">
        <v>18.100000000000001</v>
      </c>
      <c r="HA7" s="26">
        <v>4.8</v>
      </c>
      <c r="HB7" s="26">
        <v>0.6</v>
      </c>
      <c r="HC7" s="26">
        <v>0</v>
      </c>
      <c r="HD7" s="26">
        <v>16.600000000000001</v>
      </c>
      <c r="HE7" s="26">
        <v>6</v>
      </c>
      <c r="HF7" s="26">
        <v>0.2</v>
      </c>
      <c r="HG7" s="26">
        <v>0</v>
      </c>
      <c r="HH7" s="20">
        <f>IF(SUM(GO7,GS7)&gt;0,SUM(GO7,GS7),"")</f>
        <v>11.2</v>
      </c>
      <c r="HI7" s="20">
        <f>IF(SUM(GN7:GO7,GQ7:GS7,GU7)-GP7-GT7&gt;0,SUM(GN7:GO7,GQ7:GS7,GU7)-GP7-GT7,"")</f>
        <v>47.400000000000006</v>
      </c>
      <c r="HJ7" s="20" t="str">
        <f>IF(SUM(GV7:GW7,GY7)-GX7&gt;0,SUM(GV7:GW7,GY7)-GX7,"")</f>
        <v/>
      </c>
      <c r="HK7" s="20">
        <f>IF(SUM(GO7,GS7,GW7)&gt;0,SUM(GO7,GS7,GW7),"")</f>
        <v>11.2</v>
      </c>
      <c r="HL7" s="20">
        <f>IF(SUM(HI7,HJ7)&gt;0,SUM(HI7,HJ7),"")</f>
        <v>47.400000000000006</v>
      </c>
      <c r="HM7" s="20">
        <f>IF(SUM(HA7,HE7)&gt;0,SUM(HA7,HE7),"")</f>
        <v>10.8</v>
      </c>
      <c r="HN7" s="20">
        <f>IF(SUM(GZ7:HA7,HC7:HE7,HG7)-SUM(HB7,HF7)&gt;0,SUM(GZ7:HA7,HC7:HE7,HG7)-SUM(HB7,HF7),"")</f>
        <v>44.7</v>
      </c>
      <c r="HO7" s="20">
        <f>IF(SUM(HI7,HN7)&gt;0,SUM(HI7,HN7),"")</f>
        <v>92.100000000000009</v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79" t="str">
        <f>IF(SUM(HQ7,HU7)&gt;0,SUM(HQ7,HU7),"")</f>
        <v/>
      </c>
      <c r="IK7" s="79" t="str">
        <f>IF(SUM(HP7:HQ7,HS7:HU7,HW7)-HR7-HV7&gt;0,SUM(HP7:HQ7,HS7:HU7,HW7)-HR7-HV7,"")</f>
        <v/>
      </c>
      <c r="IL7" s="79" t="str">
        <f>IF(SUM(HX7:HY7,IA7)-HZ7&gt;0,SUM(HX7:HY7,IA7)-HZ7,"")</f>
        <v/>
      </c>
      <c r="IM7" s="79" t="str">
        <f>IF(SUM(HQ7,HU7,HY7)&gt;0,SUM(HQ7,HU7,HY7),"")</f>
        <v/>
      </c>
      <c r="IN7" s="79" t="str">
        <f>IF(SUM(IK7,IL7)&gt;0,SUM(IK7,IL7),"")</f>
        <v/>
      </c>
      <c r="IO7" s="79" t="str">
        <f>IF(SUM(IC7,IG7)&gt;0,SUM(IC7,IG7),"")</f>
        <v/>
      </c>
      <c r="IP7" s="79" t="str">
        <f>IF(SUM(IB7:IC7,IE7:IG7,II7)-SUM(ID7,IH7)&gt;0,SUM(IB7:IC7,IE7:IG7,II7)-SUM(ID7,IH7),"")</f>
        <v/>
      </c>
      <c r="IQ7" s="79" t="str">
        <f>IF(SUM(IK7,IP7)&gt;0,SUM(IK7,IP7),"")</f>
        <v/>
      </c>
      <c r="IR7" s="26"/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0" t="str">
        <f>IF(SUM(IS7,IW7)&gt;0,SUM(IS7,IW7),"")</f>
        <v/>
      </c>
      <c r="JM7" s="20" t="str">
        <f>IF(SUM(IR7:IS7,IU7:IW7,IY7)-IT7-IX7&gt;0,SUM(IR7:IS7,IU7:IW7,IY7)-IT7-IX7,"")</f>
        <v/>
      </c>
      <c r="JN7" s="20" t="str">
        <f>IF(SUM(IZ7:JA7,JC7)-JB7&gt;0,SUM(IZ7:JA7,JC7)-JB7,"")</f>
        <v/>
      </c>
      <c r="JO7" s="20" t="str">
        <f>IF(SUM(IS7,IW7,JA7)&gt;0,SUM(IS7,IW7,JA7),"")</f>
        <v/>
      </c>
      <c r="JP7" s="20" t="str">
        <f>IF(SUM(JM7,JN7)&gt;0,SUM(JM7,JN7),"")</f>
        <v/>
      </c>
      <c r="JQ7" s="20" t="str">
        <f>IF(SUM(JE7,JI7)&gt;0,SUM(JE7,JI7),"")</f>
        <v/>
      </c>
      <c r="JR7" s="20" t="str">
        <f>IF(SUM(JD7:JE7,JG7:JI7,JK7)-SUM(JF7,JJ7)&gt;0,SUM(JD7:JE7,JG7:JI7,JK7)-SUM(JF7,JJ7),"")</f>
        <v/>
      </c>
      <c r="JS7" s="20" t="str">
        <f>IF(SUM(JM7,JR7)&gt;0,SUM(JM7,JR7),"")</f>
        <v/>
      </c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79" t="str">
        <f>IF(SUM(JU7,JY7)&gt;0,SUM(JU7,JY7),"")</f>
        <v/>
      </c>
      <c r="KO7" s="79" t="str">
        <f>IF(SUM(JT7:JU7,JW7:JY7,KA7)-JV7-JZ7&gt;0,SUM(JT7:JU7,JW7:JY7,KA7)-JV7-JZ7,"")</f>
        <v/>
      </c>
      <c r="KP7" s="79" t="str">
        <f>IF(SUM(KB7:KC7,KE7)-KD7&gt;0,SUM(KB7:KC7,KE7)-KD7,"")</f>
        <v/>
      </c>
      <c r="KQ7" s="79" t="str">
        <f>IF(SUM(JU7,JY7,KC7)&gt;0,SUM(JU7,JY7,KC7),"")</f>
        <v/>
      </c>
      <c r="KR7" s="79" t="str">
        <f>IF(SUM(KO7,KP7)&gt;0,SUM(KO7,KP7),"")</f>
        <v/>
      </c>
      <c r="KS7" s="79" t="str">
        <f>IF(SUM(KG7,KK7)&gt;0,SUM(KG7,KK7),"")</f>
        <v/>
      </c>
      <c r="KT7" s="79" t="str">
        <f>IF(SUM(KF7:KG7,KI7:KK7,KM7)-SUM(KH7,KL7)&gt;0,SUM(KF7:KG7,KI7:KK7,KM7)-SUM(KH7,KL7),"")</f>
        <v/>
      </c>
      <c r="KU7" s="79" t="str">
        <f>IF(SUM(KO7,KT7)&gt;0,SUM(KO7,KT7),"")</f>
        <v/>
      </c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0" t="str">
        <f>IF(SUM(KW7,LA7)&gt;0,SUM(KW7,LA7),"")</f>
        <v/>
      </c>
      <c r="LQ7" s="20" t="str">
        <f>IF(SUM(KV7:KW7,KY7:LA7,LC7)-KX7-LB7&gt;0,SUM(KV7:KW7,KY7:LA7,LC7)-KX7-LB7,"")</f>
        <v/>
      </c>
      <c r="LR7" s="20" t="str">
        <f>IF(SUM(LD7:LE7,LG7)-LF7&gt;0,SUM(LD7:LE7,LG7)-LF7,"")</f>
        <v/>
      </c>
      <c r="LS7" s="20" t="str">
        <f>IF(SUM(KW7,LA7,LE7)&gt;0,SUM(KW7,LA7,LE7),"")</f>
        <v/>
      </c>
      <c r="LT7" s="20" t="str">
        <f>IF(SUM(LQ7,LR7)&gt;0,SUM(LQ7,LR7),"")</f>
        <v/>
      </c>
      <c r="LU7" s="20" t="str">
        <f>IF(SUM(LI7,LM7)&gt;0,SUM(LI7,LM7),"")</f>
        <v/>
      </c>
      <c r="LV7" s="20" t="str">
        <f>IF(SUM(LH7:LI7,LK7:LM7,LO7)-SUM(LJ7,LN7)&gt;0,SUM(LH7:LI7,LK7:LM7,LO7)-SUM(LJ7,LN7),"")</f>
        <v/>
      </c>
      <c r="LW7" s="20" t="str">
        <f>IF(SUM(LQ7,LV7)&gt;0,SUM(LQ7,LV7),"")</f>
        <v/>
      </c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79" t="str">
        <f>IF(SUM(LY7,MC7)&gt;0,SUM(LY7,MC7),"")</f>
        <v/>
      </c>
      <c r="MS7" s="79" t="str">
        <f>IF(SUM(LX7:LY7,MA7:MC7,ME7)-LZ7-MD7&gt;0,SUM(LX7:LY7,MA7:MC7,ME7)-LZ7-MD7,"")</f>
        <v/>
      </c>
      <c r="MT7" s="79" t="str">
        <f>IF(SUM(MF7:MG7,MI7)-MH7&gt;0,SUM(MF7:MG7,MI7)-MH7,"")</f>
        <v/>
      </c>
      <c r="MU7" s="79" t="str">
        <f>IF(SUM(LY7,MC7,MG7)&gt;0,SUM(LY7,MC7,MG7),"")</f>
        <v/>
      </c>
      <c r="MV7" s="79" t="str">
        <f>IF(SUM(MS7,MT7)&gt;0,SUM(MS7,MT7),"")</f>
        <v/>
      </c>
      <c r="MW7" s="79" t="str">
        <f>IF(SUM(MK7,MO7)&gt;0,SUM(MK7,MO7),"")</f>
        <v/>
      </c>
      <c r="MX7" s="79" t="str">
        <f>IF(SUM(MJ7:MK7,MM7:MO7,MQ7)-SUM(ML7,MP7)&gt;0,SUM(MJ7:MK7,MM7:MO7,MQ7)-SUM(ML7,MP7),"")</f>
        <v/>
      </c>
      <c r="MY7" s="79" t="str">
        <f>IF(SUM(MS7,MX7)&gt;0,SUM(MS7,MX7),"")</f>
        <v/>
      </c>
      <c r="MZ7" s="26"/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0" t="str">
        <f>IF(SUM(NA7,NE7)&gt;0,SUM(NA7,NE7),"")</f>
        <v/>
      </c>
      <c r="NU7" s="20" t="str">
        <f>IF(SUM(MZ7:NA7,NC7:NE7,NG7)-NB7-NF7&gt;0,SUM(MZ7:NA7,NC7:NE7,NG7)-NB7-NF7,"")</f>
        <v/>
      </c>
      <c r="NV7" s="20" t="str">
        <f>IF(SUM(NH7:NI7,NK7)-NJ7&gt;0,SUM(NH7:NI7,NK7)-NJ7,"")</f>
        <v/>
      </c>
      <c r="NW7" s="20" t="str">
        <f>IF(SUM(NA7,NE7,NI7)&gt;0,SUM(NA7,NE7,NI7),"")</f>
        <v/>
      </c>
      <c r="NX7" s="20" t="str">
        <f>IF(SUM(NU7,NV7)&gt;0,SUM(NU7,NV7),"")</f>
        <v/>
      </c>
      <c r="NY7" s="20" t="str">
        <f>IF(SUM(NM7,NQ7)&gt;0,SUM(NM7,NQ7),"")</f>
        <v/>
      </c>
      <c r="NZ7" s="20" t="str">
        <f>IF(SUM(NL7:NM7,NO7:NQ7,NS7)-SUM(NN7,NR7)&gt;0,SUM(NL7:NM7,NO7:NQ7,NS7)-SUM(NN7,NR7),"")</f>
        <v/>
      </c>
      <c r="OA7" s="20" t="str">
        <f>IF(SUM(NU7,NZ7)&gt;0,SUM(NU7,NZ7),"")</f>
        <v/>
      </c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79" t="str">
        <f>IF(SUM(OC7,OG7)&gt;0,SUM(OC7,OG7),"")</f>
        <v/>
      </c>
      <c r="OW7" s="79" t="str">
        <f>IF(SUM(OB7:OC7,OE7:OG7,OI7)-OD7-OH7&gt;0,SUM(OB7:OC7,OE7:OG7,OI7)-OD7-OH7,"")</f>
        <v/>
      </c>
      <c r="OX7" s="79" t="str">
        <f>IF(SUM(OJ7:OK7,OM7)-OL7&gt;0,SUM(OJ7:OK7,OM7)-OL7,"")</f>
        <v/>
      </c>
      <c r="OY7" s="79" t="str">
        <f>IF(SUM(OC7,OG7,OK7)&gt;0,SUM(OC7,OG7,OK7),"")</f>
        <v/>
      </c>
      <c r="OZ7" s="79" t="str">
        <f>IF(SUM(OW7,OX7)&gt;0,SUM(OW7,OX7),"")</f>
        <v/>
      </c>
      <c r="PA7" s="79" t="str">
        <f>IF(SUM(OO7,OS7)&gt;0,SUM(OO7,OS7),"")</f>
        <v/>
      </c>
      <c r="PB7" s="79" t="str">
        <f>IF(SUM(ON7:OO7,OQ7:OS7,OU7)-SUM(OP7,OT7)&gt;0,SUM(ON7:OO7,OQ7:OS7,OU7)-SUM(OP7,OT7),"")</f>
        <v/>
      </c>
      <c r="PC7" s="79" t="str">
        <f>IF(SUM(OW7,PB7)&gt;0,SUM(OW7,PB7),"")</f>
        <v/>
      </c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0" t="str">
        <f>IF(SUM(PE7,PI7)&gt;0,SUM(PE7,PI7),"")</f>
        <v/>
      </c>
      <c r="PY7" s="20" t="str">
        <f>IF(SUM(PD7:PE7,PG7:PI7,PK7)-PF7-PJ7&gt;0,SUM(PD7:PE7,PG7:PI7,PK7)-PF7-PJ7,"")</f>
        <v/>
      </c>
      <c r="PZ7" s="20" t="str">
        <f>IF(SUM(PL7:PM7,PO7)-PN7&gt;0,SUM(PL7:PM7,PO7)-PN7,"")</f>
        <v/>
      </c>
      <c r="QA7" s="20" t="str">
        <f>IF(SUM(PE7,PI7,PM7)&gt;0,SUM(PE7,PI7,PM7),"")</f>
        <v/>
      </c>
      <c r="QB7" s="20" t="str">
        <f>IF(SUM(PY7,PZ7)&gt;0,SUM(PY7,PZ7),"")</f>
        <v/>
      </c>
      <c r="QC7" s="20" t="str">
        <f>IF(SUM(PQ7,PU7)&gt;0,SUM(PQ7,PU7),"")</f>
        <v/>
      </c>
      <c r="QD7" s="20" t="str">
        <f>IF(SUM(PP7:PQ7,PS7:PU7,PW7)-SUM(PR7,PV7)&gt;0,SUM(PP7:PQ7,PS7:PU7,PW7)-SUM(PR7,PV7),"")</f>
        <v/>
      </c>
      <c r="QE7" s="20" t="str">
        <f>IF(SUM(PY7,QD7)&gt;0,SUM(PY7,QD7),"")</f>
        <v/>
      </c>
      <c r="QF7" s="38">
        <f>IF($CV7="P",CB7,(CB7+AY7)/2)</f>
        <v>9.3000000000000007</v>
      </c>
      <c r="QG7" s="38">
        <f>IF($CV7="P",CC7,(CC7+AZ7)/2)</f>
        <v>2.8000499999999997</v>
      </c>
      <c r="QH7" s="38">
        <f>IF($CV7="P",CD7,(CD7+BA7)/2)</f>
        <v>0.1</v>
      </c>
      <c r="QI7" s="38">
        <f>IF($CV7="P",CE7,(CE7+BB7)/2)</f>
        <v>0</v>
      </c>
      <c r="QJ7" s="38">
        <f>IF($CV7="P",CF7,(CF7+BC7)/2)</f>
        <v>9.25</v>
      </c>
      <c r="QK7" s="38">
        <f>IF($CV7="P",CG7,(CG7+BD7)/2)</f>
        <v>3</v>
      </c>
      <c r="QL7" s="38">
        <f>IF($CV7="P",CH7,(CH7+BE7)/2)</f>
        <v>0</v>
      </c>
      <c r="QM7" s="38">
        <f>IF($CV7="P",CI7,(CI7+BF7)/2)</f>
        <v>0</v>
      </c>
      <c r="QN7" s="38">
        <f>IF($CV7="P",CJ7,(CJ7+BG7)/2)</f>
        <v>9.5</v>
      </c>
      <c r="QO7" s="38">
        <f>IF($CV7="P",CK7,(CK7+BH7)/2)</f>
        <v>2.4</v>
      </c>
      <c r="QP7" s="38">
        <f>IF($CV7="P",CL7,(CL7+BI7)/2)</f>
        <v>0</v>
      </c>
      <c r="QQ7" s="38">
        <f>IF($CV7="P",CM7,(CM7+BJ7)/2)</f>
        <v>0</v>
      </c>
      <c r="QR7" s="38">
        <f>IF($CV7="P",CN7,(CN7+BK7)/2)</f>
        <v>9.15</v>
      </c>
      <c r="QS7" s="38">
        <f>IF($CV7="P",CO7,(CO7+BL7)/2)</f>
        <v>2.8</v>
      </c>
      <c r="QT7" s="38">
        <f>IF($CV7="P",CP7,(CP7+BM7)/2)</f>
        <v>0.1</v>
      </c>
      <c r="QU7" s="38">
        <f>IF($CV7="P",CQ7,(CQ7+BN7)/2)</f>
        <v>0</v>
      </c>
      <c r="QV7" s="38">
        <f>IF($CV7="P",CR7,(CR7+BO7)/2)</f>
        <v>9</v>
      </c>
      <c r="QW7" s="38">
        <f>IF($CV7="P",CS7,(CS7+BP7)/2)</f>
        <v>3</v>
      </c>
      <c r="QX7" s="38">
        <f>IF($CV7="P",CT7,(CT7+BQ7)/2)</f>
        <v>0.1</v>
      </c>
      <c r="QY7" s="38">
        <f>IF($CV7="P",CU7,(CU7+BR7)/2)</f>
        <v>0</v>
      </c>
      <c r="QZ7" s="45" t="s">
        <v>46</v>
      </c>
      <c r="RA7" s="79">
        <f>IF(SUM(QG7,QK7)&gt;0,SUM(QG7,QK7),"")</f>
        <v>5.8000499999999997</v>
      </c>
      <c r="RB7" s="79">
        <f>IF(SUM(QF7:QG7,QI7:QK7,QM7)-QH7-QL7&gt;0,SUM(QF7:QG7,QI7:QK7,QM7)-QH7-QL7,"")</f>
        <v>24.250049999999998</v>
      </c>
      <c r="RC7" s="79">
        <f>IF(SUM(QN7:QO7,QQ7)-QP7&gt;0,SUM(QN7:QO7,QQ7)-QP7,"")</f>
        <v>11.9</v>
      </c>
      <c r="RD7" s="79">
        <f>IF(SUM(QG7,QK7,QO7)&gt;0,SUM(QG7,QK7,QO7),"")</f>
        <v>8.2000499999999992</v>
      </c>
      <c r="RE7" s="79">
        <f>IF(SUM(RB7,RC7)&gt;0,SUM(RB7,RC7),"")</f>
        <v>36.15005</v>
      </c>
      <c r="RF7" s="79">
        <f>IF(SUM(QS7,QW7)&gt;0,SUM(QS7,QW7),"")</f>
        <v>5.8</v>
      </c>
      <c r="RG7" s="79">
        <f>IF(SUM(QR7:QS7,QU7:QW7,QY7)-SUM(QT7,QX7)&gt;0,SUM(QR7:QS7,QU7:QW7,QY7)-SUM(QT7,QX7),"")</f>
        <v>23.75</v>
      </c>
      <c r="RH7" s="79">
        <f>IF(SUM(RB7,RG7)&gt;0,SUM(RB7,RG7),"")</f>
        <v>48.000050000000002</v>
      </c>
    </row>
    <row r="8" spans="1:476" x14ac:dyDescent="0.2">
      <c r="A8" s="5">
        <f>IF(AND(F8="P",G8="P"),SUMPRODUCT((F$4:F$22="P")*(G$4:G$22="P")*(E$4:E$22&gt;E8))+1,IF(G8="P",SUMPRODUCT((F$4:F$22="")*(G$4:G$22="P")*(E$4:E$22&gt;E8))+1+SUMPRODUCT((F$4:F$22="P")*(G$4:G$22="P")),""))</f>
        <v>5</v>
      </c>
      <c r="B8" s="78" t="s">
        <v>101</v>
      </c>
      <c r="C8" s="5" t="s">
        <v>4</v>
      </c>
      <c r="D8" s="5">
        <v>2001</v>
      </c>
      <c r="E8" s="15">
        <f>SUM(I8:S8)+SUM(I8:O8)*0.0000001+SUM(I8)*0.0000000000001</f>
        <v>117.80000691000458</v>
      </c>
      <c r="F8" s="3" t="str">
        <f>IF(OR(AND(AQ8&gt;=AX$24,AR8&gt;=AX$28,AQ8&lt;&gt;"",AP8=""),AND(AV8&gt;=AX$24,AW8&gt;=AX$28,AV8&lt;&gt;"",AP8=""),AND(BT8&gt;=CA$24,BU8&gt;=CA$28,BT8&lt;&gt;"",BS8=""),AND(BY8&gt;=CA$24,BZ8&gt;=CA$28,BY8&lt;&gt;"",BS8=""),AND(CW8&gt;=DD$24,CX8&gt;=DD$28,CW8&lt;&gt;"",CV8=""),AND(DB8&gt;=DD$24,DC8&gt;=DD$28,DB8&lt;&gt;""),AND(EB8&gt;=EI$24,EC8&gt;=EI$28,EB8&lt;&gt;""),AND(EG8&gt;=EI$24,EH8&gt;=EI$28,EG8&lt;&gt;""),AND(FD8&gt;=FK$24,FE8&gt;=FK$28,FD8&lt;&gt;""),AND(FI8&gt;=FK$24,FJ8&gt;=FK$28,FI8&lt;&gt;""),AND(GF8&gt;=GM$24,GG8&gt;=GM$28,GF8&lt;&gt;""),AND(GK8&gt;=GM$24,GL8&gt;=GM$28,GK8&lt;&gt;""),AND(HH8&gt;=HO$24,HI8&gt;=HO$28,HH8&lt;&gt;""),AND(HM8&gt;=HO$24,HN8&gt;=HO$28,HM8&lt;&gt;""),AND(IJ8&gt;=IQ$24,IK8&gt;=IQ$28,IJ8&lt;&gt;""),AND(IO8&gt;=IQ$24,IP8&gt;=IQ$28,IO8&lt;&gt;""),AND(JL8&gt;=JS$24,JM8&gt;=JS$28,JL8&lt;&gt;""),AND(JQ8&gt;=JS$24,JR8&gt;=JS$28,JQ8&lt;&gt;""),AND(KN8&gt;=KU$24,KO8&gt;=KU$28,KN8&lt;&gt;""),AND(KS8&gt;=KU$24,KT8&gt;=KU$28,KS8&lt;&gt;""),AND(LP8&gt;=LW$24,LQ8&gt;=LW$28,LP8&lt;&gt;""),AND(LU8&gt;=LW$24,LV8&gt;=LW$28,LU8&lt;&gt;""),AND(MR8&gt;=MY$24,MS8&gt;=MY$28,MR8&lt;&gt;""),AND(MW8&gt;=MY$24,MX8&gt;=MY$28,MW8&lt;&gt;""),AND(NT8&gt;=OA$24,NU8&gt;=OA$28,NT8&lt;&gt;""),AND(NY8&gt;=OA$24,NZ8&gt;=OA$28,NY8&lt;&gt;""),AND(OV8&gt;=PC$24,OW8&gt;=PC$28,OV8&lt;&gt;""),AND(PA8&gt;=PC$24,PB8&gt;=PC$28,PA8&lt;&gt;""),AND(PX8&gt;=QE$24,PY8&gt;=QE$28,PX8&lt;&gt;""),AND(QC8&gt;=QE$24,QD8&gt;=QE$28,QC8&lt;&gt;"")),"P","")</f>
        <v>P</v>
      </c>
      <c r="G8" s="3" t="str">
        <f>IF(OR(AND(AR8&gt;=AX$28,AR8&lt;&gt;"",AP8=""),AND(AW8&gt;=AX$28,AW8&lt;&gt;"",AP8=""),AND(BU8&gt;=CA$28,BU8&lt;&gt;"",BS8=""),AND(BZ8&gt;=CA$28,BZ8&lt;&gt;"",BS8=""),AND(CX8&gt;=DD$28,CX8&lt;&gt;"",CV8=""),AND(DC8&gt;=DD$28,DC8&lt;&gt;"",CV8=""),AND(EC8&gt;=EI$28,EC8&lt;&gt;""),AND(EH8&gt;=EI$28,EH8&lt;&gt;""),AND(FE8&gt;=FK$28,FE8&lt;&gt;""),AND(FJ8&gt;=FK$28,FJ8&lt;&gt;""),AND(GG8&gt;=GM$28,GG8&lt;&gt;""),AND(GL8&gt;=GM$28,GL8&lt;&gt;""),AND(HI8&gt;=HO$28,HI8&lt;&gt;""),AND(HN8&gt;=HO$28,HN8&lt;&gt;""),AND(IK8&gt;=IQ$28,IK8&lt;&gt;""),AND(IP8&gt;=IQ$28,IP8&lt;&gt;""),AND(JM8&gt;=JS$28,JM8&lt;&gt;""),AND(JR8&gt;=JS$28,JR8&lt;&gt;""),AND(KO8&gt;=KU$28,KO8&lt;&gt;""),AND(KT8&gt;=KU$28,KT8&lt;&gt;""),AND(LQ8&gt;=LW$28,LQ8&lt;&gt;""),AND(LV8&gt;=LW$28,LV8&lt;&gt;""),AND(MS8&gt;=MY$28,MS8&lt;&gt;""),AND(MX8&gt;=MY$28,MX8&lt;&gt;""),AND(NU8&gt;=OA$28,NU8&lt;&gt;""),AND(NZ8&gt;=OA$28,NZ8&lt;&gt;""),AND(OW8&gt;=PC$28,OW8&lt;&gt;""),AND(PB8&gt;=PC$28,PB8&lt;&gt;""),AND(PY8&gt;=QE$28,PY8&lt;&gt;""),AND(QD8&gt;=QE$28,QD8&lt;&gt;"")),"P","")</f>
        <v>P</v>
      </c>
      <c r="H8" s="67" t="str">
        <f>IF(AND(G8="P",F8=""),"No DD",IF(OR(AND(AT8&gt;=AX$27,AU8&gt;=AX$31,AT8&lt;&gt;"",AP8=""),AND(BW8&gt;=CA$27,BX8&gt;=CA$31,BW8&lt;&gt;"",BS8=""),AND(CZ8&gt;=DD$27,DA8&gt;=DD$31,CZ8&lt;&gt;"",CV8=""),AND(EE8&gt;=EI$27,EF8&gt;=EI$31,EE8&lt;&gt;""),AND(FG8&gt;=FK$27,FH8&gt;=FK$31,FG8&lt;&gt;""),AND(GI8&gt;=GM$27,GJ8&gt;=GM$31,GI8&lt;&gt;""),AND(HK8&gt;=HO$27,HL8&gt;=HO$31,HK8&lt;&gt;""),AND(IM8&gt;=IQ$27,IN8&gt;=IQ$31,IM8&lt;&gt;""),AND(JO8&gt;=JS$27,JP8&gt;=JS$31,JO8&lt;&gt;""),AND(KQ8&gt;=KU$27,KR8&gt;=KU$31,KQ8&lt;&gt;""),AND(LS8&gt;=LW$27,LT8&gt;=LW$31,LS8&lt;&gt;""),AND(MU8&gt;=MY$27,MV8&gt;=MY$31,MU8&lt;&gt;""),AND(NW8&gt;=OA$27,NX8&gt;=OA$31,NW8&lt;&gt;""),AND(OY8&gt;=PC$27,OZ8&gt;=PC$31,OY8&lt;&gt;""),AND(QA8&gt;=QE$27,QB8&gt;=QE$31,QA8&lt;&gt;"")),"Merit",IF(OR(AND(AT8&gt;=AX$26,AU8&gt;=AX$30,AT8&lt;&gt;"",AP8=""),AND(BW8&gt;=CA$26,BX8&gt;=CA$30,BW8&lt;&gt;"",BS8=""),AND(CZ8&gt;=DD$26,DA8&gt;=DD$30,CZ8&lt;&gt;"",CV8=""),AND(EE8&gt;=EI$26,EF8&gt;=EI$30,EE8&lt;&gt;""),AND(FG8&gt;=FK$26,FH8&gt;=FK$30,FG8&lt;&gt;""),AND(GI8&gt;=GM$26,GJ8&gt;=GM$30,GI8&lt;&gt;""),AND(HK8&gt;=HO$26,HL8&gt;=HO$30,HK8&lt;&gt;""),AND(IM8&gt;=IQ$26,IN8&gt;=IQ$30,IM8&lt;&gt;""),AND(JO8&gt;=JS$26,JP8&gt;=JS$30,JO8&lt;&gt;""),AND(KQ8&gt;=KU$26,KR8&gt;=KU$30,KQ8&lt;&gt;""),AND(LS8&gt;=LW$26,LT8&gt;=LW$30,LS8&lt;&gt;""),AND(MU8&gt;=MY$26,MV8&gt;=MY$30,MU8&lt;&gt;""),AND(NW8&gt;=OA$26,NX8&gt;=OA$30,NW8&lt;&gt;""),AND(OY8&gt;=PC$26,OZ8&gt;=PC$30,OY8&lt;&gt;""),AND(QA8&gt;=QE$26,QB8&gt;=QE$30,QA8&lt;&gt;"")),"Excellence",IF(F8="P","National Team",""))))</f>
        <v>National Team</v>
      </c>
      <c r="I8" s="14">
        <f>IF(COUNT(AR8,BU8,CX8)&gt;0,LARGE((AR8,BU8,CX8),1),0)</f>
        <v>46</v>
      </c>
      <c r="J8" s="14" t="str">
        <f>IF(I8=0,"",IF(I8=CX8,$CB$1,IF(I8=BU8,$AY$1,IF(I8=AR8,$V$1,""))))</f>
        <v>2022 Elite Canada</v>
      </c>
      <c r="K8" s="14">
        <f>IF(COUNT(AR8,BU8,CX8)&gt;1,LARGE((AR8,BU8,CX8),2),0)</f>
        <v>0</v>
      </c>
      <c r="L8" s="14" t="str">
        <f>IF(K8=0,"",IF(K8=CX8,$CB$1,IF(K8=BU8,$AY$1,IF(K8=AR8,$V$1,""))))</f>
        <v/>
      </c>
      <c r="M8" s="14">
        <f>IF(COUNT(AS8,BV8,CY8)&gt;0,LARGE((AS8,BV8,CY8),1),0)</f>
        <v>23.1</v>
      </c>
      <c r="N8" s="14" t="str">
        <f>IF(M8=0,"",IF(M8=CY8,$CB$1,IF(M8=BV8,$AY$1,IF(M8=AS8,$V$1,""))))</f>
        <v>2022 Elite Canada</v>
      </c>
      <c r="O8" s="14">
        <f>IF(COUNT(AS8,BV8,CY8)&gt;1,LARGE((AS8,BV8,CY8),2),0)</f>
        <v>0</v>
      </c>
      <c r="P8" s="14" t="str">
        <f>IF(O8=0,"",IF(O8=CY8,$CB$1,IF(O8=BV8,$AY$1,IF(O8=AS8,$V$1,""))))</f>
        <v/>
      </c>
      <c r="Q8" s="14">
        <f>IF(MAX(AW8,BZ8,DC8)&gt;0,MAX(AW8,BZ8,DC8),0)</f>
        <v>47.199999999999996</v>
      </c>
      <c r="R8" s="14" t="str">
        <f>IF(Q8=0,"",IF(Q8=DC8,$CB$1,IF(Q8=BZ8,$AY$1,IF(Q8=AW8,$V$1,""))))</f>
        <v>2022 Elite Canada</v>
      </c>
      <c r="S8" s="14">
        <f>IF(MAX(DE8:DG8)&gt;0,MAX(DE8:DG8),"")</f>
        <v>1.5</v>
      </c>
      <c r="T8" s="20" t="str">
        <f>IF(S8="","",IF(S8=DE8,"("&amp;DE$2&amp;")",IF(S8=DG8,"("&amp;DG$2&amp;")")))</f>
        <v>(Final)</v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>2022 World Games Technical Trial #2 (May 15)</v>
      </c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45"/>
      <c r="AQ8" s="79" t="str">
        <f>IF(SUM(W8,AA8)&gt;0,SUM(W8,AA8),"")</f>
        <v/>
      </c>
      <c r="AR8" s="79" t="str">
        <f>IF(SUM(V8:W8,Y8:AA8,AC8)-X8-AB8&gt;0,SUM(V8:W8,Y8:AA8,AC8)-X8-AB8,"")</f>
        <v/>
      </c>
      <c r="AS8" s="79" t="str">
        <f>IF(SUM(AD8:AE8,AG8)-AF8&gt;0,SUM(AD8:AE8,AG8)-AF8,"")</f>
        <v/>
      </c>
      <c r="AT8" s="79" t="str">
        <f>IF(SUM(W8,AA8,AE8)&gt;0,SUM(W8,AA8,AE8),"")</f>
        <v/>
      </c>
      <c r="AU8" s="79" t="str">
        <f>IF(SUM(AR8,AS8)&gt;0,SUM(AR8,AS8),"")</f>
        <v/>
      </c>
      <c r="AV8" s="79" t="str">
        <f>IF(SUM(AI8,AM8)&gt;0,SUM(AI8,AM8),"")</f>
        <v/>
      </c>
      <c r="AW8" s="79" t="str">
        <f>IF(SUM(AH8:AI8,AK8:AM8,AO8)-SUM(AJ8,AN8)&gt;0,SUM(AH8:AI8,AK8:AM8,AO8)-SUM(AJ8,AN8),"")</f>
        <v/>
      </c>
      <c r="AX8" s="79" t="str">
        <f>IF(SUM(AR8,AW8)&gt;0,SUM(AR8,AW8),"")</f>
        <v/>
      </c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46"/>
      <c r="BT8" s="20" t="str">
        <f>IF(SUM(AZ8,BD8)&gt;0,SUM(AZ8,BD8),"")</f>
        <v/>
      </c>
      <c r="BU8" s="20" t="str">
        <f>IF(SUM(AY8:AZ8,BB8:BD8,BF8)-BA8-BE8&gt;0,SUM(AY8:AZ8,BB8:BD8,BF8)-BA8-BE8,"")</f>
        <v/>
      </c>
      <c r="BV8" s="20" t="str">
        <f>IF(SUM(BG8:BH8,BJ8)-BI8&gt;0,SUM(BG8:BH8,BJ8)-BI8,"")</f>
        <v/>
      </c>
      <c r="BW8" s="20" t="str">
        <f>IF(SUM(AZ8,BD8,BH8)&gt;0,SUM(AZ8,BD8,BH8),"")</f>
        <v/>
      </c>
      <c r="BX8" s="20" t="str">
        <f>IF(SUM(BU8,BV8)&gt;0,SUM(BU8,BV8),"")</f>
        <v/>
      </c>
      <c r="BY8" s="20" t="str">
        <f>IF(SUM(BL8,BP8)&gt;0,SUM(BL8,BP8),"")</f>
        <v/>
      </c>
      <c r="BZ8" s="20" t="str">
        <f>IF(SUM(BK8:BL8,BN8:BP8,BR8)-SUM(BM8,BQ8)&gt;0,SUM(BK8:BL8,BN8:BP8,BR8)-SUM(BM8,BQ8),"")</f>
        <v/>
      </c>
      <c r="CA8" s="20" t="str">
        <f>IF(SUM(BU8,BZ8)&gt;0,SUM(BU8,BZ8),"")</f>
        <v/>
      </c>
      <c r="CB8" s="27">
        <v>18.3</v>
      </c>
      <c r="CC8" s="27">
        <v>5.2</v>
      </c>
      <c r="CD8" s="27">
        <v>0</v>
      </c>
      <c r="CE8" s="27">
        <v>0</v>
      </c>
      <c r="CF8" s="27">
        <v>18</v>
      </c>
      <c r="CG8" s="27">
        <v>5.2</v>
      </c>
      <c r="CH8" s="27">
        <v>1</v>
      </c>
      <c r="CI8" s="27">
        <v>0.3</v>
      </c>
      <c r="CJ8" s="27">
        <v>18.8</v>
      </c>
      <c r="CK8" s="27">
        <v>4.3</v>
      </c>
      <c r="CL8" s="27">
        <v>0</v>
      </c>
      <c r="CM8" s="27">
        <v>0</v>
      </c>
      <c r="CN8" s="27">
        <v>18.5</v>
      </c>
      <c r="CO8" s="27">
        <v>5.2</v>
      </c>
      <c r="CP8" s="27">
        <v>0</v>
      </c>
      <c r="CQ8" s="27">
        <v>0</v>
      </c>
      <c r="CR8" s="27">
        <v>18.2</v>
      </c>
      <c r="CS8" s="27">
        <v>5.2</v>
      </c>
      <c r="CT8" s="27">
        <v>0.2</v>
      </c>
      <c r="CU8" s="27">
        <v>0.3</v>
      </c>
      <c r="CV8" s="45"/>
      <c r="CW8" s="79">
        <f>IF(SUM(CC8,CG8)&gt;0,SUM(CC8,CG8),"")</f>
        <v>10.4</v>
      </c>
      <c r="CX8" s="79">
        <f>IF(SUM(CB8:CC8,CE8:CG8,CI8)-CD8-CH8&gt;0,SUM(CB8:CC8,CE8:CG8,CI8)-CD8-CH8,"")</f>
        <v>46</v>
      </c>
      <c r="CY8" s="79">
        <f>IF(SUM(CJ8:CK8,CM8)-CL8&gt;0,SUM(CJ8:CK8,CM8)-CL8,"")</f>
        <v>23.1</v>
      </c>
      <c r="CZ8" s="79">
        <f>IF(SUM(CC8,CG8,CK8)&gt;0,SUM(CC8,CG8,CK8),"")</f>
        <v>14.7</v>
      </c>
      <c r="DA8" s="79">
        <f>IF(SUM(CX8,CY8)&gt;0,SUM(CX8,CY8),"")</f>
        <v>69.099999999999994</v>
      </c>
      <c r="DB8" s="79">
        <f>IF(SUM(CO8,CS8)&gt;0,SUM(CO8,CS8),"")</f>
        <v>10.4</v>
      </c>
      <c r="DC8" s="79">
        <f>IF(SUM(CN8:CO8,CQ8:CS8,CU8)-SUM(CP8,CT8)&gt;0,SUM(CN8:CO8,CQ8:CS8,CU8)-SUM(CP8,CT8),"")</f>
        <v>47.199999999999996</v>
      </c>
      <c r="DD8" s="79">
        <f>IF(SUM(CX8,DC8)&gt;0,SUM(CX8,DC8),"")</f>
        <v>93.199999999999989</v>
      </c>
      <c r="DE8" s="80" t="str">
        <f>IF(K8&gt;=0.001,IF(MAX(EC8,FE8,GG8,HI8,IK8,JM8,KO8,LQ8,MS8,NU8,OW8,PY8)-IF(K8="",0,K8)&gt;0.001,MAX(EC8,FE8,GG8,HI8,IK8,JM8,KO8,LQ8,MS8,NU8,OW8,PY8)-IF(K8="",0,K8),""),"")</f>
        <v/>
      </c>
      <c r="DF8" s="80" t="str">
        <f>IF(O8&gt;=0.001,IF(MAX(ED8,FF8,GH8,HJ8,IL8,JN8,KP8,LR8,MT8,NV8,OX8,PZ8)-IF(O8="",0,O8)&gt;0.001,MAX(ED8,FF8,GH8,HJ8,IL8,JN8,KP8,LR8,MT8,NV8,OX8,PZ8)-IF(O8="",0,O8),""),"")</f>
        <v/>
      </c>
      <c r="DG8" s="80">
        <f>IF(Q8&gt;=0.001,IF(MAX(EH8,FJ8,GL8,HN8,IP8,JR8,KT8,LV8,MX8,NZ8,PB8,QD8)-IF(Q8="",0,Q8)&gt;0.001,MAX(EH8,FJ8,GL8,HN8,IP8,JR8,KT8,LV8,MX8,NZ8,PB8,QD8)-IF(Q8="",0,Q8),""),"")</f>
        <v>1.5</v>
      </c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79" t="str">
        <f>IF(SUM(DI8,DM8)&gt;0,SUM(DI8,DM8),"")</f>
        <v/>
      </c>
      <c r="EC8" s="79" t="str">
        <f>IF(SUM(DH8:DI8,DK8:DM8,DO8)-DJ8-DN8&gt;0,SUM(DH8:DI8,DK8:DM8,DO8)-DJ8-DN8,"")</f>
        <v/>
      </c>
      <c r="ED8" s="79" t="str">
        <f>IF(SUM(DP8:DQ8,DS8)-DR8&gt;0,SUM(DP8:DQ8,DS8)-DR8,"")</f>
        <v/>
      </c>
      <c r="EE8" s="79" t="str">
        <f>IF(SUM(DI8,DM8,DQ8)&gt;0,SUM(DI8,DM8,DQ8),"")</f>
        <v/>
      </c>
      <c r="EF8" s="79" t="str">
        <f>IF(SUM(EC8,ED8)&gt;0,SUM(EC8,ED8),"")</f>
        <v/>
      </c>
      <c r="EG8" s="79" t="str">
        <f>IF(SUM(DU8,DY8)&gt;0,SUM(DU8,DY8),"")</f>
        <v/>
      </c>
      <c r="EH8" s="79" t="str">
        <f>IF(SUM(DT8:DU8,DW8:DY8,EA8)-SUM(DV8,DZ8)&gt;0,SUM(DT8:DU8,DW8:DY8,EA8)-SUM(DV8,DZ8),"")</f>
        <v/>
      </c>
      <c r="EI8" s="79" t="str">
        <f>IF(SUM(EC8,EH8)&gt;0,SUM(EC8,EH8),"")</f>
        <v/>
      </c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0" t="str">
        <f>IF(SUM(EK8,EO8)&gt;0,SUM(EK8,EO8),"")</f>
        <v/>
      </c>
      <c r="FE8" s="20" t="str">
        <f>IF(SUM(EJ8:EK8,EM8:EO8,EQ8)-EL8-EP8&gt;0,SUM(EJ8:EK8,EM8:EO8,EQ8)-EL8-EP8,"")</f>
        <v/>
      </c>
      <c r="FF8" s="20" t="str">
        <f>IF(SUM(ER8:ES8,EU8)-ET8&gt;0,SUM(ER8:ES8,EU8)-ET8,"")</f>
        <v/>
      </c>
      <c r="FG8" s="20" t="str">
        <f>IF(SUM(EK8,EO8,ES8)&gt;0,SUM(EK8,EO8,ES8),"")</f>
        <v/>
      </c>
      <c r="FH8" s="20" t="str">
        <f>IF(SUM(FE8,FF8)&gt;0,SUM(FE8,FF8),"")</f>
        <v/>
      </c>
      <c r="FI8" s="20" t="str">
        <f>IF(SUM(EW8,FA8)&gt;0,SUM(EW8,FA8),"")</f>
        <v/>
      </c>
      <c r="FJ8" s="20" t="str">
        <f>IF(SUM(EV8:EW8,EY8:FA8,FC8)-SUM(EX8,FB8)&gt;0,SUM(EV8:EW8,EY8:FA8,FC8)-SUM(EX8,FB8),"")</f>
        <v/>
      </c>
      <c r="FK8" s="20" t="str">
        <f>IF(SUM(FE8,FJ8)&gt;0,SUM(FE8,FJ8),"")</f>
        <v/>
      </c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79" t="str">
        <f>IF(SUM(FM8,FQ8)&gt;0,SUM(FM8,FQ8),"")</f>
        <v/>
      </c>
      <c r="GG8" s="79" t="str">
        <f>IF(SUM(FL8:FM8,FO8:FQ8,FS8)-FN8-FR8&gt;0,SUM(FL8:FM8,FO8:FQ8,FS8)-FN8-FR8,"")</f>
        <v/>
      </c>
      <c r="GH8" s="79" t="str">
        <f>IF(SUM(FT8:FU8,FW8)-FV8&gt;0,SUM(FT8:FU8,FW8)-FV8,"")</f>
        <v/>
      </c>
      <c r="GI8" s="79" t="str">
        <f>IF(SUM(FM8,FQ8,FU8)&gt;0,SUM(FM8,FQ8,FU8),"")</f>
        <v/>
      </c>
      <c r="GJ8" s="79" t="str">
        <f>IF(SUM(GG8,GH8)&gt;0,SUM(GG8,GH8),"")</f>
        <v/>
      </c>
      <c r="GK8" s="79" t="str">
        <f>IF(SUM(FY8,GC8)&gt;0,SUM(FY8,GC8),"")</f>
        <v/>
      </c>
      <c r="GL8" s="79" t="str">
        <f>IF(SUM(FX8:FY8,GA8:GC8,GE8)-SUM(FZ8,GD8)&gt;0,SUM(FX8:FY8,GA8:GC8,GE8)-SUM(FZ8,GD8),"")</f>
        <v/>
      </c>
      <c r="GM8" s="79" t="str">
        <f>IF(SUM(GG8,GL8)&gt;0,SUM(GG8,GL8),"")</f>
        <v/>
      </c>
      <c r="GN8" s="26">
        <v>17.899999999999999</v>
      </c>
      <c r="GO8" s="26">
        <v>6</v>
      </c>
      <c r="GP8" s="26">
        <v>0</v>
      </c>
      <c r="GQ8" s="26">
        <v>0</v>
      </c>
      <c r="GR8" s="26">
        <v>18.399999999999999</v>
      </c>
      <c r="GS8" s="26">
        <v>5.6</v>
      </c>
      <c r="GT8" s="26">
        <v>0.6</v>
      </c>
      <c r="GU8" s="26">
        <v>0</v>
      </c>
      <c r="GV8" s="26"/>
      <c r="GW8" s="26"/>
      <c r="GX8" s="26"/>
      <c r="GY8" s="26"/>
      <c r="GZ8" s="26">
        <v>18.7</v>
      </c>
      <c r="HA8" s="26">
        <v>5.6</v>
      </c>
      <c r="HB8" s="26">
        <v>0</v>
      </c>
      <c r="HC8" s="26">
        <v>0</v>
      </c>
      <c r="HD8" s="26">
        <v>18.600000000000001</v>
      </c>
      <c r="HE8" s="26">
        <v>6</v>
      </c>
      <c r="HF8" s="26">
        <v>0.2</v>
      </c>
      <c r="HG8" s="26">
        <v>0</v>
      </c>
      <c r="HH8" s="20">
        <f>IF(SUM(GO8,GS8)&gt;0,SUM(GO8,GS8),"")</f>
        <v>11.6</v>
      </c>
      <c r="HI8" s="20">
        <f>IF(SUM(GN8:GO8,GQ8:GS8,GU8)-GP8-GT8&gt;0,SUM(GN8:GO8,GQ8:GS8,GU8)-GP8-GT8,"")</f>
        <v>47.3</v>
      </c>
      <c r="HJ8" s="20" t="str">
        <f>IF(SUM(GV8:GW8,GY8)-GX8&gt;0,SUM(GV8:GW8,GY8)-GX8,"")</f>
        <v/>
      </c>
      <c r="HK8" s="20">
        <f>IF(SUM(GO8,GS8,GW8)&gt;0,SUM(GO8,GS8,GW8),"")</f>
        <v>11.6</v>
      </c>
      <c r="HL8" s="20">
        <f>IF(SUM(HI8,HJ8)&gt;0,SUM(HI8,HJ8),"")</f>
        <v>47.3</v>
      </c>
      <c r="HM8" s="20">
        <f>IF(SUM(HA8,HE8)&gt;0,SUM(HA8,HE8),"")</f>
        <v>11.6</v>
      </c>
      <c r="HN8" s="20">
        <f>IF(SUM(GZ8:HA8,HC8:HE8,HG8)-SUM(HB8,HF8)&gt;0,SUM(GZ8:HA8,HC8:HE8,HG8)-SUM(HB8,HF8),"")</f>
        <v>48.699999999999996</v>
      </c>
      <c r="HO8" s="20">
        <f>IF(SUM(HI8,HN8)&gt;0,SUM(HI8,HN8),"")</f>
        <v>96</v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79" t="str">
        <f>IF(SUM(HQ8,HU8)&gt;0,SUM(HQ8,HU8),"")</f>
        <v/>
      </c>
      <c r="IK8" s="79" t="str">
        <f>IF(SUM(HP8:HQ8,HS8:HU8,HW8)-HR8-HV8&gt;0,SUM(HP8:HQ8,HS8:HU8,HW8)-HR8-HV8,"")</f>
        <v/>
      </c>
      <c r="IL8" s="79" t="str">
        <f>IF(SUM(HX8:HY8,IA8)-HZ8&gt;0,SUM(HX8:HY8,IA8)-HZ8,"")</f>
        <v/>
      </c>
      <c r="IM8" s="79" t="str">
        <f>IF(SUM(HQ8,HU8,HY8)&gt;0,SUM(HQ8,HU8,HY8),"")</f>
        <v/>
      </c>
      <c r="IN8" s="79" t="str">
        <f>IF(SUM(IK8,IL8)&gt;0,SUM(IK8,IL8),"")</f>
        <v/>
      </c>
      <c r="IO8" s="79" t="str">
        <f>IF(SUM(IC8,IG8)&gt;0,SUM(IC8,IG8),"")</f>
        <v/>
      </c>
      <c r="IP8" s="79" t="str">
        <f>IF(SUM(IB8:IC8,IE8:IG8,II8)-SUM(ID8,IH8)&gt;0,SUM(IB8:IC8,IE8:IG8,II8)-SUM(ID8,IH8),"")</f>
        <v/>
      </c>
      <c r="IQ8" s="79" t="str">
        <f>IF(SUM(IK8,IP8)&gt;0,SUM(IK8,IP8),"")</f>
        <v/>
      </c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0" t="str">
        <f>IF(SUM(IS8,IW8)&gt;0,SUM(IS8,IW8),"")</f>
        <v/>
      </c>
      <c r="JM8" s="20" t="str">
        <f>IF(SUM(IR8:IS8,IU8:IW8,IY8)-IT8-IX8&gt;0,SUM(IR8:IS8,IU8:IW8,IY8)-IT8-IX8,"")</f>
        <v/>
      </c>
      <c r="JN8" s="20" t="str">
        <f>IF(SUM(IZ8:JA8,JC8)-JB8&gt;0,SUM(IZ8:JA8,JC8)-JB8,"")</f>
        <v/>
      </c>
      <c r="JO8" s="20" t="str">
        <f>IF(SUM(IS8,IW8,JA8)&gt;0,SUM(IS8,IW8,JA8),"")</f>
        <v/>
      </c>
      <c r="JP8" s="20" t="str">
        <f>IF(SUM(JM8,JN8)&gt;0,SUM(JM8,JN8),"")</f>
        <v/>
      </c>
      <c r="JQ8" s="20" t="str">
        <f>IF(SUM(JE8,JI8)&gt;0,SUM(JE8,JI8),"")</f>
        <v/>
      </c>
      <c r="JR8" s="20" t="str">
        <f>IF(SUM(JD8:JE8,JG8:JI8,JK8)-SUM(JF8,JJ8)&gt;0,SUM(JD8:JE8,JG8:JI8,JK8)-SUM(JF8,JJ8),"")</f>
        <v/>
      </c>
      <c r="JS8" s="20" t="str">
        <f>IF(SUM(JM8,JR8)&gt;0,SUM(JM8,JR8),"")</f>
        <v/>
      </c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79" t="str">
        <f>IF(SUM(JU8,JY8)&gt;0,SUM(JU8,JY8),"")</f>
        <v/>
      </c>
      <c r="KO8" s="79" t="str">
        <f>IF(SUM(JT8:JU8,JW8:JY8,KA8)-JV8-JZ8&gt;0,SUM(JT8:JU8,JW8:JY8,KA8)-JV8-JZ8,"")</f>
        <v/>
      </c>
      <c r="KP8" s="79" t="str">
        <f>IF(SUM(KB8:KC8,KE8)-KD8&gt;0,SUM(KB8:KC8,KE8)-KD8,"")</f>
        <v/>
      </c>
      <c r="KQ8" s="79" t="str">
        <f>IF(SUM(JU8,JY8,KC8)&gt;0,SUM(JU8,JY8,KC8),"")</f>
        <v/>
      </c>
      <c r="KR8" s="79" t="str">
        <f>IF(SUM(KO8,KP8)&gt;0,SUM(KO8,KP8),"")</f>
        <v/>
      </c>
      <c r="KS8" s="79" t="str">
        <f>IF(SUM(KG8,KK8)&gt;0,SUM(KG8,KK8),"")</f>
        <v/>
      </c>
      <c r="KT8" s="79" t="str">
        <f>IF(SUM(KF8:KG8,KI8:KK8,KM8)-SUM(KH8,KL8)&gt;0,SUM(KF8:KG8,KI8:KK8,KM8)-SUM(KH8,KL8),"")</f>
        <v/>
      </c>
      <c r="KU8" s="79" t="str">
        <f>IF(SUM(KO8,KT8)&gt;0,SUM(KO8,KT8),"")</f>
        <v/>
      </c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0" t="str">
        <f>IF(SUM(KW8,LA8)&gt;0,SUM(KW8,LA8),"")</f>
        <v/>
      </c>
      <c r="LQ8" s="20" t="str">
        <f>IF(SUM(KV8:KW8,KY8:LA8,LC8)-KX8-LB8&gt;0,SUM(KV8:KW8,KY8:LA8,LC8)-KX8-LB8,"")</f>
        <v/>
      </c>
      <c r="LR8" s="20" t="str">
        <f>IF(SUM(LD8:LE8,LG8)-LF8&gt;0,SUM(LD8:LE8,LG8)-LF8,"")</f>
        <v/>
      </c>
      <c r="LS8" s="20" t="str">
        <f>IF(SUM(KW8,LA8,LE8)&gt;0,SUM(KW8,LA8,LE8),"")</f>
        <v/>
      </c>
      <c r="LT8" s="20" t="str">
        <f>IF(SUM(LQ8,LR8)&gt;0,SUM(LQ8,LR8),"")</f>
        <v/>
      </c>
      <c r="LU8" s="20" t="str">
        <f>IF(SUM(LI8,LM8)&gt;0,SUM(LI8,LM8),"")</f>
        <v/>
      </c>
      <c r="LV8" s="20" t="str">
        <f>IF(SUM(LH8:LI8,LK8:LM8,LO8)-SUM(LJ8,LN8)&gt;0,SUM(LH8:LI8,LK8:LM8,LO8)-SUM(LJ8,LN8),"")</f>
        <v/>
      </c>
      <c r="LW8" s="20" t="str">
        <f>IF(SUM(LQ8,LV8)&gt;0,SUM(LQ8,LV8),"")</f>
        <v/>
      </c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79" t="str">
        <f>IF(SUM(LY8,MC8)&gt;0,SUM(LY8,MC8),"")</f>
        <v/>
      </c>
      <c r="MS8" s="79" t="str">
        <f>IF(SUM(LX8:LY8,MA8:MC8,ME8)-LZ8-MD8&gt;0,SUM(LX8:LY8,MA8:MC8,ME8)-LZ8-MD8,"")</f>
        <v/>
      </c>
      <c r="MT8" s="79" t="str">
        <f>IF(SUM(MF8:MG8,MI8)-MH8&gt;0,SUM(MF8:MG8,MI8)-MH8,"")</f>
        <v/>
      </c>
      <c r="MU8" s="79" t="str">
        <f>IF(SUM(LY8,MC8,MG8)&gt;0,SUM(LY8,MC8,MG8),"")</f>
        <v/>
      </c>
      <c r="MV8" s="79" t="str">
        <f>IF(SUM(MS8,MT8)&gt;0,SUM(MS8,MT8),"")</f>
        <v/>
      </c>
      <c r="MW8" s="79" t="str">
        <f>IF(SUM(MK8,MO8)&gt;0,SUM(MK8,MO8),"")</f>
        <v/>
      </c>
      <c r="MX8" s="79" t="str">
        <f>IF(SUM(MJ8:MK8,MM8:MO8,MQ8)-SUM(ML8,MP8)&gt;0,SUM(MJ8:MK8,MM8:MO8,MQ8)-SUM(ML8,MP8),"")</f>
        <v/>
      </c>
      <c r="MY8" s="79" t="str">
        <f>IF(SUM(MS8,MX8)&gt;0,SUM(MS8,MX8),"")</f>
        <v/>
      </c>
      <c r="MZ8" s="26"/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0" t="str">
        <f>IF(SUM(NA8,NE8)&gt;0,SUM(NA8,NE8),"")</f>
        <v/>
      </c>
      <c r="NU8" s="20" t="str">
        <f>IF(SUM(MZ8:NA8,NC8:NE8,NG8)-NB8-NF8&gt;0,SUM(MZ8:NA8,NC8:NE8,NG8)-NB8-NF8,"")</f>
        <v/>
      </c>
      <c r="NV8" s="20" t="str">
        <f>IF(SUM(NH8:NI8,NK8)-NJ8&gt;0,SUM(NH8:NI8,NK8)-NJ8,"")</f>
        <v/>
      </c>
      <c r="NW8" s="20" t="str">
        <f>IF(SUM(NA8,NE8,NI8)&gt;0,SUM(NA8,NE8,NI8),"")</f>
        <v/>
      </c>
      <c r="NX8" s="20" t="str">
        <f>IF(SUM(NU8,NV8)&gt;0,SUM(NU8,NV8),"")</f>
        <v/>
      </c>
      <c r="NY8" s="20" t="str">
        <f>IF(SUM(NM8,NQ8)&gt;0,SUM(NM8,NQ8),"")</f>
        <v/>
      </c>
      <c r="NZ8" s="20" t="str">
        <f>IF(SUM(NL8:NM8,NO8:NQ8,NS8)-SUM(NN8,NR8)&gt;0,SUM(NL8:NM8,NO8:NQ8,NS8)-SUM(NN8,NR8),"")</f>
        <v/>
      </c>
      <c r="OA8" s="20" t="str">
        <f>IF(SUM(NU8,NZ8)&gt;0,SUM(NU8,NZ8),"")</f>
        <v/>
      </c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79" t="str">
        <f>IF(SUM(OC8,OG8)&gt;0,SUM(OC8,OG8),"")</f>
        <v/>
      </c>
      <c r="OW8" s="79" t="str">
        <f>IF(SUM(OB8:OC8,OE8:OG8,OI8)-OD8-OH8&gt;0,SUM(OB8:OC8,OE8:OG8,OI8)-OD8-OH8,"")</f>
        <v/>
      </c>
      <c r="OX8" s="79" t="str">
        <f>IF(SUM(OJ8:OK8,OM8)-OL8&gt;0,SUM(OJ8:OK8,OM8)-OL8,"")</f>
        <v/>
      </c>
      <c r="OY8" s="79" t="str">
        <f>IF(SUM(OC8,OG8,OK8)&gt;0,SUM(OC8,OG8,OK8),"")</f>
        <v/>
      </c>
      <c r="OZ8" s="79" t="str">
        <f>IF(SUM(OW8,OX8)&gt;0,SUM(OW8,OX8),"")</f>
        <v/>
      </c>
      <c r="PA8" s="79" t="str">
        <f>IF(SUM(OO8,OS8)&gt;0,SUM(OO8,OS8),"")</f>
        <v/>
      </c>
      <c r="PB8" s="79" t="str">
        <f>IF(SUM(ON8:OO8,OQ8:OS8,OU8)-SUM(OP8,OT8)&gt;0,SUM(ON8:OO8,OQ8:OS8,OU8)-SUM(OP8,OT8),"")</f>
        <v/>
      </c>
      <c r="PC8" s="79" t="str">
        <f>IF(SUM(OW8,PB8)&gt;0,SUM(OW8,PB8),"")</f>
        <v/>
      </c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0" t="str">
        <f>IF(SUM(PE8,PI8)&gt;0,SUM(PE8,PI8),"")</f>
        <v/>
      </c>
      <c r="PY8" s="20" t="str">
        <f>IF(SUM(PD8:PE8,PG8:PI8,PK8)-PF8-PJ8&gt;0,SUM(PD8:PE8,PG8:PI8,PK8)-PF8-PJ8,"")</f>
        <v/>
      </c>
      <c r="PZ8" s="20" t="str">
        <f>IF(SUM(PL8:PM8,PO8)-PN8&gt;0,SUM(PL8:PM8,PO8)-PN8,"")</f>
        <v/>
      </c>
      <c r="QA8" s="20" t="str">
        <f>IF(SUM(PE8,PI8,PM8)&gt;0,SUM(PE8,PI8,PM8),"")</f>
        <v/>
      </c>
      <c r="QB8" s="20" t="str">
        <f>IF(SUM(PY8,PZ8)&gt;0,SUM(PY8,PZ8),"")</f>
        <v/>
      </c>
      <c r="QC8" s="20" t="str">
        <f>IF(SUM(PQ8,PU8)&gt;0,SUM(PQ8,PU8),"")</f>
        <v/>
      </c>
      <c r="QD8" s="20" t="str">
        <f>IF(SUM(PP8:PQ8,PS8:PU8,PW8)-SUM(PR8,PV8)&gt;0,SUM(PP8:PQ8,PS8:PU8,PW8)-SUM(PR8,PV8),"")</f>
        <v/>
      </c>
      <c r="QE8" s="20" t="str">
        <f>IF(SUM(PY8,QD8)&gt;0,SUM(PY8,QD8),"")</f>
        <v/>
      </c>
      <c r="QF8" s="38">
        <f>IF($CV8="P",CB8,(CB8+AY8)/2)</f>
        <v>9.15</v>
      </c>
      <c r="QG8" s="38">
        <f>IF($CV8="P",CC8,(CC8+AZ8)/2)</f>
        <v>2.6</v>
      </c>
      <c r="QH8" s="38">
        <f>IF($CV8="P",CD8,(CD8+BA8)/2)</f>
        <v>0</v>
      </c>
      <c r="QI8" s="38">
        <f>IF($CV8="P",CE8,(CE8+BB8)/2)</f>
        <v>0</v>
      </c>
      <c r="QJ8" s="38">
        <f>IF($CV8="P",CF8,(CF8+BC8)/2)</f>
        <v>9</v>
      </c>
      <c r="QK8" s="38">
        <f>IF($CV8="P",CG8,(CG8+BD8)/2)</f>
        <v>2.6</v>
      </c>
      <c r="QL8" s="38">
        <f>IF($CV8="P",CH8,(CH8+BE8)/2)</f>
        <v>0.5</v>
      </c>
      <c r="QM8" s="38">
        <f>IF($CV8="P",CI8,(CI8+BF8)/2)</f>
        <v>0.15</v>
      </c>
      <c r="QN8" s="38">
        <f>IF($CV8="P",CJ8,(CJ8+BG8)/2)</f>
        <v>9.4</v>
      </c>
      <c r="QO8" s="38">
        <f>IF($CV8="P",CK8,(CK8+BH8)/2)</f>
        <v>2.15</v>
      </c>
      <c r="QP8" s="38">
        <f>IF($CV8="P",CL8,(CL8+BI8)/2)</f>
        <v>0</v>
      </c>
      <c r="QQ8" s="38">
        <f>IF($CV8="P",CM8,(CM8+BJ8)/2)</f>
        <v>0</v>
      </c>
      <c r="QR8" s="38">
        <f>IF($CV8="P",CN8,(CN8+BK8)/2)</f>
        <v>9.25</v>
      </c>
      <c r="QS8" s="38">
        <f>IF($CV8="P",CO8,(CO8+BL8)/2)</f>
        <v>2.6</v>
      </c>
      <c r="QT8" s="38">
        <f>IF($CV8="P",CP8,(CP8+BM8)/2)</f>
        <v>0</v>
      </c>
      <c r="QU8" s="38">
        <f>IF($CV8="P",CQ8,(CQ8+BN8)/2)</f>
        <v>0</v>
      </c>
      <c r="QV8" s="38">
        <f>IF($CV8="P",CR8,(CR8+BO8)/2)</f>
        <v>9.1</v>
      </c>
      <c r="QW8" s="38">
        <f>IF($CV8="P",CS8,(CS8+BP8)/2)</f>
        <v>2.6</v>
      </c>
      <c r="QX8" s="38">
        <f>IF($CV8="P",CT8,(CT8+BQ8)/2)</f>
        <v>0.1</v>
      </c>
      <c r="QY8" s="38">
        <f>IF($CV8="P",CU8,(CU8+BR8)/2)</f>
        <v>0.15</v>
      </c>
      <c r="QZ8" s="45" t="s">
        <v>46</v>
      </c>
      <c r="RA8" s="79">
        <f>IF(SUM(QG8,QK8)&gt;0,SUM(QG8,QK8),"")</f>
        <v>5.2</v>
      </c>
      <c r="RB8" s="79">
        <f>IF(SUM(QF8:QG8,QI8:QK8,QM8)-QH8-QL8&gt;0,SUM(QF8:QG8,QI8:QK8,QM8)-QH8-QL8,"")</f>
        <v>23</v>
      </c>
      <c r="RC8" s="79">
        <f>IF(SUM(QN8:QO8,QQ8)-QP8&gt;0,SUM(QN8:QO8,QQ8)-QP8,"")</f>
        <v>11.55</v>
      </c>
      <c r="RD8" s="79">
        <f>IF(SUM(QG8,QK8,QO8)&gt;0,SUM(QG8,QK8,QO8),"")</f>
        <v>7.35</v>
      </c>
      <c r="RE8" s="79">
        <f>IF(SUM(RB8,RC8)&gt;0,SUM(RB8,RC8),"")</f>
        <v>34.549999999999997</v>
      </c>
      <c r="RF8" s="79">
        <f>IF(SUM(QS8,QW8)&gt;0,SUM(QS8,QW8),"")</f>
        <v>5.2</v>
      </c>
      <c r="RG8" s="79">
        <f>IF(SUM(QR8:QS8,QU8:QW8,QY8)-SUM(QT8,QX8)&gt;0,SUM(QR8:QS8,QU8:QW8,QY8)-SUM(QT8,QX8),"")</f>
        <v>23.599999999999998</v>
      </c>
      <c r="RH8" s="79">
        <f>IF(SUM(RB8,RG8)&gt;0,SUM(RB8,RG8),"")</f>
        <v>46.599999999999994</v>
      </c>
    </row>
    <row r="9" spans="1:476" x14ac:dyDescent="0.2">
      <c r="A9" s="5">
        <f>IF(AND(F9="P",G9="P"),SUMPRODUCT((F$4:F$22="P")*(G$4:G$22="P")*(E$4:E$22&gt;E9))+1,IF(G9="P",SUMPRODUCT((F$4:F$22="")*(G$4:G$22="P")*(E$4:E$22&gt;E9))+1+SUMPRODUCT((F$4:F$22="P")*(G$4:G$22="P")),""))</f>
        <v>6</v>
      </c>
      <c r="B9" s="78" t="s">
        <v>98</v>
      </c>
      <c r="C9" s="5" t="s">
        <v>5</v>
      </c>
      <c r="D9" s="5">
        <v>2003</v>
      </c>
      <c r="E9" s="15">
        <f>SUM(I9:S9)+SUM(I9:O9)*0.0000001+SUM(I9)*0.0000000000001</f>
        <v>117.54000688400487</v>
      </c>
      <c r="F9" s="3" t="str">
        <f>IF(OR(AND(AQ9&gt;=AX$24,AR9&gt;=AX$28,AQ9&lt;&gt;"",AP9=""),AND(AV9&gt;=AX$24,AW9&gt;=AX$28,AV9&lt;&gt;"",AP9=""),AND(BT9&gt;=CA$24,BU9&gt;=CA$28,BT9&lt;&gt;"",BS9=""),AND(BY9&gt;=CA$24,BZ9&gt;=CA$28,BY9&lt;&gt;"",BS9=""),AND(CW9&gt;=DD$24,CX9&gt;=DD$28,CW9&lt;&gt;"",CV9=""),AND(DB9&gt;=DD$24,DC9&gt;=DD$28,DB9&lt;&gt;""),AND(EB9&gt;=EI$24,EC9&gt;=EI$28,EB9&lt;&gt;""),AND(EG9&gt;=EI$24,EH9&gt;=EI$28,EG9&lt;&gt;""),AND(FD9&gt;=FK$24,FE9&gt;=FK$28,FD9&lt;&gt;""),AND(FI9&gt;=FK$24,FJ9&gt;=FK$28,FI9&lt;&gt;""),AND(GF9&gt;=GM$24,GG9&gt;=GM$28,GF9&lt;&gt;""),AND(GK9&gt;=GM$24,GL9&gt;=GM$28,GK9&lt;&gt;""),AND(HH9&gt;=HO$24,HI9&gt;=HO$28,HH9&lt;&gt;""),AND(HM9&gt;=HO$24,HN9&gt;=HO$28,HM9&lt;&gt;""),AND(IJ9&gt;=IQ$24,IK9&gt;=IQ$28,IJ9&lt;&gt;""),AND(IO9&gt;=IQ$24,IP9&gt;=IQ$28,IO9&lt;&gt;""),AND(JL9&gt;=JS$24,JM9&gt;=JS$28,JL9&lt;&gt;""),AND(JQ9&gt;=JS$24,JR9&gt;=JS$28,JQ9&lt;&gt;""),AND(KN9&gt;=KU$24,KO9&gt;=KU$28,KN9&lt;&gt;""),AND(KS9&gt;=KU$24,KT9&gt;=KU$28,KS9&lt;&gt;""),AND(LP9&gt;=LW$24,LQ9&gt;=LW$28,LP9&lt;&gt;""),AND(LU9&gt;=LW$24,LV9&gt;=LW$28,LU9&lt;&gt;""),AND(MR9&gt;=MY$24,MS9&gt;=MY$28,MR9&lt;&gt;""),AND(MW9&gt;=MY$24,MX9&gt;=MY$28,MW9&lt;&gt;""),AND(NT9&gt;=OA$24,NU9&gt;=OA$28,NT9&lt;&gt;""),AND(NY9&gt;=OA$24,NZ9&gt;=OA$28,NY9&lt;&gt;""),AND(OV9&gt;=PC$24,OW9&gt;=PC$28,OV9&lt;&gt;""),AND(PA9&gt;=PC$24,PB9&gt;=PC$28,PA9&lt;&gt;""),AND(PX9&gt;=QE$24,PY9&gt;=QE$28,PX9&lt;&gt;""),AND(QC9&gt;=QE$24,QD9&gt;=QE$28,QC9&lt;&gt;"")),"P","")</f>
        <v>P</v>
      </c>
      <c r="G9" s="3" t="str">
        <f>IF(OR(AND(AR9&gt;=AX$28,AR9&lt;&gt;"",AP9=""),AND(AW9&gt;=AX$28,AW9&lt;&gt;"",AP9=""),AND(BU9&gt;=CA$28,BU9&lt;&gt;"",BS9=""),AND(BZ9&gt;=CA$28,BZ9&lt;&gt;"",BS9=""),AND(CX9&gt;=DD$28,CX9&lt;&gt;"",CV9=""),AND(DC9&gt;=DD$28,DC9&lt;&gt;"",CV9=""),AND(EC9&gt;=EI$28,EC9&lt;&gt;""),AND(EH9&gt;=EI$28,EH9&lt;&gt;""),AND(FE9&gt;=FK$28,FE9&lt;&gt;""),AND(FJ9&gt;=FK$28,FJ9&lt;&gt;""),AND(GG9&gt;=GM$28,GG9&lt;&gt;""),AND(GL9&gt;=GM$28,GL9&lt;&gt;""),AND(HI9&gt;=HO$28,HI9&lt;&gt;""),AND(HN9&gt;=HO$28,HN9&lt;&gt;""),AND(IK9&gt;=IQ$28,IK9&lt;&gt;""),AND(IP9&gt;=IQ$28,IP9&lt;&gt;""),AND(JM9&gt;=JS$28,JM9&lt;&gt;""),AND(JR9&gt;=JS$28,JR9&lt;&gt;""),AND(KO9&gt;=KU$28,KO9&lt;&gt;""),AND(KT9&gt;=KU$28,KT9&lt;&gt;""),AND(LQ9&gt;=LW$28,LQ9&lt;&gt;""),AND(LV9&gt;=LW$28,LV9&lt;&gt;""),AND(MS9&gt;=MY$28,MS9&lt;&gt;""),AND(MX9&gt;=MY$28,MX9&lt;&gt;""),AND(NU9&gt;=OA$28,NU9&lt;&gt;""),AND(NZ9&gt;=OA$28,NZ9&lt;&gt;""),AND(OW9&gt;=PC$28,OW9&lt;&gt;""),AND(PB9&gt;=PC$28,PB9&lt;&gt;""),AND(PY9&gt;=QE$28,PY9&lt;&gt;""),AND(QD9&gt;=QE$28,QD9&lt;&gt;"")),"P","")</f>
        <v>P</v>
      </c>
      <c r="H9" s="67" t="str">
        <f>IF(AND(G9="P",F9=""),"No DD",IF(OR(AND(AT9&gt;=AX$27,AU9&gt;=AX$31,AT9&lt;&gt;"",AP9=""),AND(BW9&gt;=CA$27,BX9&gt;=CA$31,BW9&lt;&gt;"",BS9=""),AND(CZ9&gt;=DD$27,DA9&gt;=DD$31,CZ9&lt;&gt;"",CV9=""),AND(EE9&gt;=EI$27,EF9&gt;=EI$31,EE9&lt;&gt;""),AND(FG9&gt;=FK$27,FH9&gt;=FK$31,FG9&lt;&gt;""),AND(GI9&gt;=GM$27,GJ9&gt;=GM$31,GI9&lt;&gt;""),AND(HK9&gt;=HO$27,HL9&gt;=HO$31,HK9&lt;&gt;""),AND(IM9&gt;=IQ$27,IN9&gt;=IQ$31,IM9&lt;&gt;""),AND(JO9&gt;=JS$27,JP9&gt;=JS$31,JO9&lt;&gt;""),AND(KQ9&gt;=KU$27,KR9&gt;=KU$31,KQ9&lt;&gt;""),AND(LS9&gt;=LW$27,LT9&gt;=LW$31,LS9&lt;&gt;""),AND(MU9&gt;=MY$27,MV9&gt;=MY$31,MU9&lt;&gt;""),AND(NW9&gt;=OA$27,NX9&gt;=OA$31,NW9&lt;&gt;""),AND(OY9&gt;=PC$27,OZ9&gt;=PC$31,OY9&lt;&gt;""),AND(QA9&gt;=QE$27,QB9&gt;=QE$31,QA9&lt;&gt;"")),"Merit",IF(OR(AND(AT9&gt;=AX$26,AU9&gt;=AX$30,AT9&lt;&gt;"",AP9=""),AND(BW9&gt;=CA$26,BX9&gt;=CA$30,BW9&lt;&gt;"",BS9=""),AND(CZ9&gt;=DD$26,DA9&gt;=DD$30,CZ9&lt;&gt;"",CV9=""),AND(EE9&gt;=EI$26,EF9&gt;=EI$30,EE9&lt;&gt;""),AND(FG9&gt;=FK$26,FH9&gt;=FK$30,FG9&lt;&gt;""),AND(GI9&gt;=GM$26,GJ9&gt;=GM$30,GI9&lt;&gt;""),AND(HK9&gt;=HO$26,HL9&gt;=HO$30,HK9&lt;&gt;""),AND(IM9&gt;=IQ$26,IN9&gt;=IQ$30,IM9&lt;&gt;""),AND(JO9&gt;=JS$26,JP9&gt;=JS$30,JO9&lt;&gt;""),AND(KQ9&gt;=KU$26,KR9&gt;=KU$30,KQ9&lt;&gt;""),AND(LS9&gt;=LW$26,LT9&gt;=LW$30,LS9&lt;&gt;""),AND(MU9&gt;=MY$26,MV9&gt;=MY$30,MU9&lt;&gt;""),AND(NW9&gt;=OA$26,NX9&gt;=OA$30,NW9&lt;&gt;""),AND(OY9&gt;=PC$26,OZ9&gt;=PC$30,OY9&lt;&gt;""),AND(QA9&gt;=QE$26,QB9&gt;=QE$30,QA9&lt;&gt;"")),"Excellence",IF(F9="P","National Team",""))))</f>
        <v>National Team</v>
      </c>
      <c r="I9" s="14">
        <f>IF(COUNT(AR9,BU9,CX9)&gt;0,LARGE((AR9,BU9,CX9),1),0)</f>
        <v>48.64</v>
      </c>
      <c r="J9" s="14" t="str">
        <f>IF(I9=0,"",IF(I9=CX9,$CB$1,IF(I9=BU9,$AY$1,IF(I9=AR9,$V$1,""))))</f>
        <v>2022 Elite Canada</v>
      </c>
      <c r="K9" s="14">
        <f>IF(COUNT(AR9,BU9,CX9)&gt;1,LARGE((AR9,BU9,CX9),2),0)</f>
        <v>0</v>
      </c>
      <c r="L9" s="14" t="str">
        <f>IF(K9=0,"",IF(K9=CX9,$CB$1,IF(K9=BU9,$AY$1,IF(K9=AR9,$V$1,""))))</f>
        <v/>
      </c>
      <c r="M9" s="14">
        <f>IF(COUNT(AS9,BV9,CY9)&gt;0,LARGE((AS9,BV9,CY9),1),0)</f>
        <v>20.2</v>
      </c>
      <c r="N9" s="14" t="str">
        <f>IF(M9=0,"",IF(M9=CY9,$CB$1,IF(M9=BV9,$AY$1,IF(M9=AS9,$V$1,""))))</f>
        <v>2022 Elite Canada</v>
      </c>
      <c r="O9" s="14">
        <f>IF(COUNT(AS9,BV9,CY9)&gt;1,LARGE((AS9,BV9,CY9),2),0)</f>
        <v>0</v>
      </c>
      <c r="P9" s="14" t="str">
        <f>IF(O9=0,"",IF(O9=CY9,$CB$1,IF(O9=BV9,$AY$1,IF(O9=AS9,$V$1,""))))</f>
        <v/>
      </c>
      <c r="Q9" s="14">
        <f>IF(MAX(AW9,BZ9,DC9)&gt;0,MAX(AW9,BZ9,DC9),0)</f>
        <v>42.499999999999993</v>
      </c>
      <c r="R9" s="14" t="str">
        <f>IF(Q9=0,"",IF(Q9=DC9,$CB$1,IF(Q9=BZ9,$AY$1,IF(Q9=AW9,$V$1,""))))</f>
        <v>2022 Elite Canada</v>
      </c>
      <c r="S9" s="14">
        <f>IF(MAX(DE9:DG9)&gt;0,MAX(DE9:DG9),"")</f>
        <v>6.2000000000000028</v>
      </c>
      <c r="T9" s="20" t="str">
        <f>IF(S9="","",IF(S9=DE9,"("&amp;DE$2&amp;")",IF(S9=DG9,"("&amp;DG$2&amp;")")))</f>
        <v>(Final)</v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>2022 World Games Technical Trial #1 (Mar 12)</v>
      </c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45"/>
      <c r="AQ9" s="79" t="str">
        <f>IF(SUM(W9,AA9)&gt;0,SUM(W9,AA9),"")</f>
        <v/>
      </c>
      <c r="AR9" s="79" t="str">
        <f>IF(SUM(V9:W9,Y9:AA9,AC9)-X9-AB9&gt;0,SUM(V9:W9,Y9:AA9,AC9)-X9-AB9,"")</f>
        <v/>
      </c>
      <c r="AS9" s="79" t="str">
        <f>IF(SUM(AD9:AE9,AG9)-AF9&gt;0,SUM(AD9:AE9,AG9)-AF9,"")</f>
        <v/>
      </c>
      <c r="AT9" s="79" t="str">
        <f>IF(SUM(W9,AA9,AE9)&gt;0,SUM(W9,AA9,AE9),"")</f>
        <v/>
      </c>
      <c r="AU9" s="79" t="str">
        <f>IF(SUM(AR9,AS9)&gt;0,SUM(AR9,AS9),"")</f>
        <v/>
      </c>
      <c r="AV9" s="79" t="str">
        <f>IF(SUM(AI9,AM9)&gt;0,SUM(AI9,AM9),"")</f>
        <v/>
      </c>
      <c r="AW9" s="79" t="str">
        <f>IF(SUM(AH9:AI9,AK9:AM9,AO9)-SUM(AJ9,AN9)&gt;0,SUM(AH9:AI9,AK9:AM9,AO9)-SUM(AJ9,AN9),"")</f>
        <v/>
      </c>
      <c r="AX9" s="79" t="str">
        <f>IF(SUM(AR9,AW9)&gt;0,SUM(AR9,AW9),"")</f>
        <v/>
      </c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46"/>
      <c r="BT9" s="20" t="str">
        <f>IF(SUM(AZ9,BD9)&gt;0,SUM(AZ9,BD9),"")</f>
        <v/>
      </c>
      <c r="BU9" s="20" t="str">
        <f>IF(SUM(AY9:AZ9,BB9:BD9,BF9)-BA9-BE9&gt;0,SUM(AY9:AZ9,BB9:BD9,BF9)-BA9-BE9,"")</f>
        <v/>
      </c>
      <c r="BV9" s="20" t="str">
        <f>IF(SUM(BG9:BH9,BJ9)-BI9&gt;0,SUM(BG9:BH9,BJ9)-BI9,"")</f>
        <v/>
      </c>
      <c r="BW9" s="20" t="str">
        <f>IF(SUM(AZ9,BD9,BH9)&gt;0,SUM(AZ9,BD9,BH9),"")</f>
        <v/>
      </c>
      <c r="BX9" s="20" t="str">
        <f>IF(SUM(BU9,BV9)&gt;0,SUM(BU9,BV9),"")</f>
        <v/>
      </c>
      <c r="BY9" s="20" t="str">
        <f>IF(SUM(BL9,BP9)&gt;0,SUM(BL9,BP9),"")</f>
        <v/>
      </c>
      <c r="BZ9" s="20" t="str">
        <f>IF(SUM(BK9:BL9,BN9:BP9,BR9)-SUM(BM9,BQ9)&gt;0,SUM(BK9:BL9,BN9:BP9,BR9)-SUM(BM9,BQ9),"")</f>
        <v/>
      </c>
      <c r="CA9" s="20" t="str">
        <f>IF(SUM(BU9,BZ9)&gt;0,SUM(BU9,BZ9),"")</f>
        <v/>
      </c>
      <c r="CB9" s="27">
        <v>18.64</v>
      </c>
      <c r="CC9" s="27">
        <v>6</v>
      </c>
      <c r="CD9" s="27">
        <v>0</v>
      </c>
      <c r="CE9" s="27">
        <v>0</v>
      </c>
      <c r="CF9" s="27">
        <v>19</v>
      </c>
      <c r="CG9" s="27">
        <v>5.6</v>
      </c>
      <c r="CH9" s="27">
        <v>0.6</v>
      </c>
      <c r="CI9" s="27">
        <v>0</v>
      </c>
      <c r="CJ9" s="27">
        <v>17.399999999999999</v>
      </c>
      <c r="CK9" s="27">
        <v>2.8</v>
      </c>
      <c r="CL9" s="27">
        <v>0</v>
      </c>
      <c r="CM9" s="27">
        <v>0</v>
      </c>
      <c r="CN9" s="27">
        <v>17.399999999999999</v>
      </c>
      <c r="CO9" s="27">
        <v>2.4</v>
      </c>
      <c r="CP9" s="27">
        <v>0</v>
      </c>
      <c r="CQ9" s="27">
        <v>0</v>
      </c>
      <c r="CR9" s="27">
        <v>16.899999999999999</v>
      </c>
      <c r="CS9" s="27">
        <v>6.4</v>
      </c>
      <c r="CT9" s="27">
        <v>0.6</v>
      </c>
      <c r="CU9" s="27">
        <v>0</v>
      </c>
      <c r="CV9" s="45"/>
      <c r="CW9" s="79">
        <f>IF(SUM(CC9,CG9)&gt;0,SUM(CC9,CG9),"")</f>
        <v>11.6</v>
      </c>
      <c r="CX9" s="79">
        <f>IF(SUM(CB9:CC9,CE9:CG9,CI9)-CD9-CH9&gt;0,SUM(CB9:CC9,CE9:CG9,CI9)-CD9-CH9,"")</f>
        <v>48.64</v>
      </c>
      <c r="CY9" s="79">
        <f>IF(SUM(CJ9:CK9,CM9)-CL9&gt;0,SUM(CJ9:CK9,CM9)-CL9,"")</f>
        <v>20.2</v>
      </c>
      <c r="CZ9" s="79">
        <f>IF(SUM(CC9,CG9,CK9)&gt;0,SUM(CC9,CG9,CK9),"")</f>
        <v>14.399999999999999</v>
      </c>
      <c r="DA9" s="79">
        <f>IF(SUM(CX9,CY9)&gt;0,SUM(CX9,CY9),"")</f>
        <v>68.84</v>
      </c>
      <c r="DB9" s="79">
        <f>IF(SUM(CO9,CS9)&gt;0,SUM(CO9,CS9),"")</f>
        <v>8.8000000000000007</v>
      </c>
      <c r="DC9" s="79">
        <f>IF(SUM(CN9:CO9,CQ9:CS9,CU9)-SUM(CP9,CT9)&gt;0,SUM(CN9:CO9,CQ9:CS9,CU9)-SUM(CP9,CT9),"")</f>
        <v>42.499999999999993</v>
      </c>
      <c r="DD9" s="79">
        <f>IF(SUM(CX9,DC9)&gt;0,SUM(CX9,DC9),"")</f>
        <v>91.139999999999986</v>
      </c>
      <c r="DE9" s="80" t="str">
        <f>IF(K9&gt;=0.001,IF(MAX(EC9,FE9,GG9,HI9,IK9,JM9,KO9,LQ9,MS9,NU9,OW9,PY9)-IF(K9="",0,K9)&gt;0.001,MAX(EC9,FE9,GG9,HI9,IK9,JM9,KO9,LQ9,MS9,NU9,OW9,PY9)-IF(K9="",0,K9),""),"")</f>
        <v/>
      </c>
      <c r="DF9" s="80" t="str">
        <f>IF(O9&gt;=0.001,IF(MAX(ED9,FF9,GH9,HJ9,IL9,JN9,KP9,LR9,MT9,NV9,OX9,PZ9)-IF(O9="",0,O9)&gt;0.001,MAX(ED9,FF9,GH9,HJ9,IL9,JN9,KP9,LR9,MT9,NV9,OX9,PZ9)-IF(O9="",0,O9),""),"")</f>
        <v/>
      </c>
      <c r="DG9" s="80">
        <f>IF(Q9&gt;=0.001,IF(MAX(EH9,FJ9,GL9,HN9,IP9,JR9,KT9,LV9,MX9,NZ9,PB9,QD9)-IF(Q9="",0,Q9)&gt;0.001,MAX(EH9,FJ9,GL9,HN9,IP9,JR9,KT9,LV9,MX9,NZ9,PB9,QD9)-IF(Q9="",0,Q9),""),"")</f>
        <v>6.2000000000000028</v>
      </c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79" t="str">
        <f>IF(SUM(DI9,DM9)&gt;0,SUM(DI9,DM9),"")</f>
        <v/>
      </c>
      <c r="EC9" s="79" t="str">
        <f>IF(SUM(DH9:DI9,DK9:DM9,DO9)-DJ9-DN9&gt;0,SUM(DH9:DI9,DK9:DM9,DO9)-DJ9-DN9,"")</f>
        <v/>
      </c>
      <c r="ED9" s="79" t="str">
        <f>IF(SUM(DP9:DQ9,DS9)-DR9&gt;0,SUM(DP9:DQ9,DS9)-DR9,"")</f>
        <v/>
      </c>
      <c r="EE9" s="79" t="str">
        <f>IF(SUM(DI9,DM9,DQ9)&gt;0,SUM(DI9,DM9,DQ9),"")</f>
        <v/>
      </c>
      <c r="EF9" s="79" t="str">
        <f>IF(SUM(EC9,ED9)&gt;0,SUM(EC9,ED9),"")</f>
        <v/>
      </c>
      <c r="EG9" s="79" t="str">
        <f>IF(SUM(DU9,DY9)&gt;0,SUM(DU9,DY9),"")</f>
        <v/>
      </c>
      <c r="EH9" s="79" t="str">
        <f>IF(SUM(DT9:DU9,DW9:DY9,EA9)-SUM(DV9,DZ9)&gt;0,SUM(DT9:DU9,DW9:DY9,EA9)-SUM(DV9,DZ9),"")</f>
        <v/>
      </c>
      <c r="EI9" s="79" t="str">
        <f>IF(SUM(EC9,EH9)&gt;0,SUM(EC9,EH9),"")</f>
        <v/>
      </c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0" t="str">
        <f>IF(SUM(EK9,EO9)&gt;0,SUM(EK9,EO9),"")</f>
        <v/>
      </c>
      <c r="FE9" s="20" t="str">
        <f>IF(SUM(EJ9:EK9,EM9:EO9,EQ9)-EL9-EP9&gt;0,SUM(EJ9:EK9,EM9:EO9,EQ9)-EL9-EP9,"")</f>
        <v/>
      </c>
      <c r="FF9" s="20" t="str">
        <f>IF(SUM(ER9:ES9,EU9)-ET9&gt;0,SUM(ER9:ES9,EU9)-ET9,"")</f>
        <v/>
      </c>
      <c r="FG9" s="20" t="str">
        <f>IF(SUM(EK9,EO9,ES9)&gt;0,SUM(EK9,EO9,ES9),"")</f>
        <v/>
      </c>
      <c r="FH9" s="20" t="str">
        <f>IF(SUM(FE9,FF9)&gt;0,SUM(FE9,FF9),"")</f>
        <v/>
      </c>
      <c r="FI9" s="20" t="str">
        <f>IF(SUM(EW9,FA9)&gt;0,SUM(EW9,FA9),"")</f>
        <v/>
      </c>
      <c r="FJ9" s="20" t="str">
        <f>IF(SUM(EV9:EW9,EY9:FA9,FC9)-SUM(EX9,FB9)&gt;0,SUM(EV9:EW9,EY9:FA9,FC9)-SUM(EX9,FB9),"")</f>
        <v/>
      </c>
      <c r="FK9" s="20" t="str">
        <f>IF(SUM(FE9,FJ9)&gt;0,SUM(FE9,FJ9),"")</f>
        <v/>
      </c>
      <c r="FL9" s="25">
        <v>18.600000000000001</v>
      </c>
      <c r="FM9" s="25">
        <v>6</v>
      </c>
      <c r="FN9" s="25">
        <v>0.2</v>
      </c>
      <c r="FO9" s="25">
        <v>0</v>
      </c>
      <c r="FP9" s="25">
        <v>18.600000000000001</v>
      </c>
      <c r="FQ9" s="25">
        <v>5.6</v>
      </c>
      <c r="FR9" s="25">
        <v>0.2</v>
      </c>
      <c r="FS9" s="25">
        <v>0</v>
      </c>
      <c r="FT9" s="25"/>
      <c r="FU9" s="25"/>
      <c r="FV9" s="25"/>
      <c r="FW9" s="25"/>
      <c r="FX9" s="25">
        <v>18.600000000000001</v>
      </c>
      <c r="FY9" s="25">
        <v>6</v>
      </c>
      <c r="FZ9" s="25">
        <v>0.2</v>
      </c>
      <c r="GA9" s="25">
        <v>0</v>
      </c>
      <c r="GB9" s="25">
        <v>18.7</v>
      </c>
      <c r="GC9" s="25">
        <v>5.6</v>
      </c>
      <c r="GD9" s="25">
        <v>0</v>
      </c>
      <c r="GE9" s="25">
        <v>0</v>
      </c>
      <c r="GF9" s="79">
        <f>IF(SUM(FM9,FQ9)&gt;0,SUM(FM9,FQ9),"")</f>
        <v>11.6</v>
      </c>
      <c r="GG9" s="79">
        <f>IF(SUM(FL9:FM9,FO9:FQ9,FS9)-FN9-FR9&gt;0,SUM(FL9:FM9,FO9:FQ9,FS9)-FN9-FR9,"")</f>
        <v>48.4</v>
      </c>
      <c r="GH9" s="79" t="str">
        <f>IF(SUM(FT9:FU9,FW9)-FV9&gt;0,SUM(FT9:FU9,FW9)-FV9,"")</f>
        <v/>
      </c>
      <c r="GI9" s="79">
        <f>IF(SUM(FM9,FQ9,FU9)&gt;0,SUM(FM9,FQ9,FU9),"")</f>
        <v>11.6</v>
      </c>
      <c r="GJ9" s="79">
        <f>IF(SUM(GG9,GH9)&gt;0,SUM(GG9,GH9),"")</f>
        <v>48.4</v>
      </c>
      <c r="GK9" s="79">
        <f>IF(SUM(FY9,GC9)&gt;0,SUM(FY9,GC9),"")</f>
        <v>11.6</v>
      </c>
      <c r="GL9" s="79">
        <f>IF(SUM(FX9:FY9,GA9:GC9,GE9)-SUM(FZ9,GD9)&gt;0,SUM(FX9:FY9,GA9:GC9,GE9)-SUM(FZ9,GD9),"")</f>
        <v>48.699999999999996</v>
      </c>
      <c r="GM9" s="79">
        <f>IF(SUM(GG9,GL9)&gt;0,SUM(GG9,GL9),"")</f>
        <v>97.1</v>
      </c>
      <c r="GN9" s="26">
        <v>18.600000000000001</v>
      </c>
      <c r="GO9" s="26">
        <v>6</v>
      </c>
      <c r="GP9" s="26">
        <v>0.2</v>
      </c>
      <c r="GQ9" s="26">
        <v>0</v>
      </c>
      <c r="GR9" s="26">
        <v>18.8</v>
      </c>
      <c r="GS9" s="26">
        <v>5.6</v>
      </c>
      <c r="GT9" s="26">
        <v>0.2</v>
      </c>
      <c r="GU9" s="26">
        <v>0</v>
      </c>
      <c r="GV9" s="26"/>
      <c r="GW9" s="26"/>
      <c r="GX9" s="26"/>
      <c r="GY9" s="26"/>
      <c r="GZ9" s="26">
        <v>18.2</v>
      </c>
      <c r="HA9" s="26">
        <v>4.4000000000000004</v>
      </c>
      <c r="HB9" s="26">
        <v>0.2</v>
      </c>
      <c r="HC9" s="26">
        <v>0</v>
      </c>
      <c r="HD9" s="26">
        <v>18.5</v>
      </c>
      <c r="HE9" s="26">
        <v>6.4</v>
      </c>
      <c r="HF9" s="26">
        <v>0</v>
      </c>
      <c r="HG9" s="26">
        <v>0</v>
      </c>
      <c r="HH9" s="20">
        <f>IF(SUM(GO9,GS9)&gt;0,SUM(GO9,GS9),"")</f>
        <v>11.6</v>
      </c>
      <c r="HI9" s="20">
        <f>IF(SUM(GN9:GO9,GQ9:GS9,GU9)-GP9-GT9&gt;0,SUM(GN9:GO9,GQ9:GS9,GU9)-GP9-GT9,"")</f>
        <v>48.6</v>
      </c>
      <c r="HJ9" s="20" t="str">
        <f>IF(SUM(GV9:GW9,GY9)-GX9&gt;0,SUM(GV9:GW9,GY9)-GX9,"")</f>
        <v/>
      </c>
      <c r="HK9" s="20">
        <f>IF(SUM(GO9,GS9,GW9)&gt;0,SUM(GO9,GS9,GW9),"")</f>
        <v>11.6</v>
      </c>
      <c r="HL9" s="20">
        <f>IF(SUM(HI9,HJ9)&gt;0,SUM(HI9,HJ9),"")</f>
        <v>48.6</v>
      </c>
      <c r="HM9" s="20">
        <f>IF(SUM(HA9,HE9)&gt;0,SUM(HA9,HE9),"")</f>
        <v>10.8</v>
      </c>
      <c r="HN9" s="20">
        <f>IF(SUM(GZ9:HA9,HC9:HE9,HG9)-SUM(HB9,HF9)&gt;0,SUM(GZ9:HA9,HC9:HE9,HG9)-SUM(HB9,HF9),"")</f>
        <v>47.3</v>
      </c>
      <c r="HO9" s="20">
        <f>IF(SUM(HI9,HN9)&gt;0,SUM(HI9,HN9),"")</f>
        <v>95.9</v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79" t="str">
        <f>IF(SUM(HQ9,HU9)&gt;0,SUM(HQ9,HU9),"")</f>
        <v/>
      </c>
      <c r="IK9" s="79" t="str">
        <f>IF(SUM(HP9:HQ9,HS9:HU9,HW9)-HR9-HV9&gt;0,SUM(HP9:HQ9,HS9:HU9,HW9)-HR9-HV9,"")</f>
        <v/>
      </c>
      <c r="IL9" s="79" t="str">
        <f>IF(SUM(HX9:HY9,IA9)-HZ9&gt;0,SUM(HX9:HY9,IA9)-HZ9,"")</f>
        <v/>
      </c>
      <c r="IM9" s="79" t="str">
        <f>IF(SUM(HQ9,HU9,HY9)&gt;0,SUM(HQ9,HU9,HY9),"")</f>
        <v/>
      </c>
      <c r="IN9" s="79" t="str">
        <f>IF(SUM(IK9,IL9)&gt;0,SUM(IK9,IL9),"")</f>
        <v/>
      </c>
      <c r="IO9" s="79" t="str">
        <f>IF(SUM(IC9,IG9)&gt;0,SUM(IC9,IG9),"")</f>
        <v/>
      </c>
      <c r="IP9" s="79" t="str">
        <f>IF(SUM(IB9:IC9,IE9:IG9,II9)-SUM(ID9,IH9)&gt;0,SUM(IB9:IC9,IE9:IG9,II9)-SUM(ID9,IH9),"")</f>
        <v/>
      </c>
      <c r="IQ9" s="79" t="str">
        <f>IF(SUM(IK9,IP9)&gt;0,SUM(IK9,IP9),"")</f>
        <v/>
      </c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0" t="str">
        <f>IF(SUM(IS9,IW9)&gt;0,SUM(IS9,IW9),"")</f>
        <v/>
      </c>
      <c r="JM9" s="20" t="str">
        <f>IF(SUM(IR9:IS9,IU9:IW9,IY9)-IT9-IX9&gt;0,SUM(IR9:IS9,IU9:IW9,IY9)-IT9-IX9,"")</f>
        <v/>
      </c>
      <c r="JN9" s="20" t="str">
        <f>IF(SUM(IZ9:JA9,JC9)-JB9&gt;0,SUM(IZ9:JA9,JC9)-JB9,"")</f>
        <v/>
      </c>
      <c r="JO9" s="20" t="str">
        <f>IF(SUM(IS9,IW9,JA9)&gt;0,SUM(IS9,IW9,JA9),"")</f>
        <v/>
      </c>
      <c r="JP9" s="20" t="str">
        <f>IF(SUM(JM9,JN9)&gt;0,SUM(JM9,JN9),"")</f>
        <v/>
      </c>
      <c r="JQ9" s="20" t="str">
        <f>IF(SUM(JE9,JI9)&gt;0,SUM(JE9,JI9),"")</f>
        <v/>
      </c>
      <c r="JR9" s="20" t="str">
        <f>IF(SUM(JD9:JE9,JG9:JI9,JK9)-SUM(JF9,JJ9)&gt;0,SUM(JD9:JE9,JG9:JI9,JK9)-SUM(JF9,JJ9),"")</f>
        <v/>
      </c>
      <c r="JS9" s="20" t="str">
        <f>IF(SUM(JM9,JR9)&gt;0,SUM(JM9,JR9),"")</f>
        <v/>
      </c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79" t="str">
        <f>IF(SUM(JU9,JY9)&gt;0,SUM(JU9,JY9),"")</f>
        <v/>
      </c>
      <c r="KO9" s="79" t="str">
        <f>IF(SUM(JT9:JU9,JW9:JY9,KA9)-JV9-JZ9&gt;0,SUM(JT9:JU9,JW9:JY9,KA9)-JV9-JZ9,"")</f>
        <v/>
      </c>
      <c r="KP9" s="79" t="str">
        <f>IF(SUM(KB9:KC9,KE9)-KD9&gt;0,SUM(KB9:KC9,KE9)-KD9,"")</f>
        <v/>
      </c>
      <c r="KQ9" s="79" t="str">
        <f>IF(SUM(JU9,JY9,KC9)&gt;0,SUM(JU9,JY9,KC9),"")</f>
        <v/>
      </c>
      <c r="KR9" s="79" t="str">
        <f>IF(SUM(KO9,KP9)&gt;0,SUM(KO9,KP9),"")</f>
        <v/>
      </c>
      <c r="KS9" s="79" t="str">
        <f>IF(SUM(KG9,KK9)&gt;0,SUM(KG9,KK9),"")</f>
        <v/>
      </c>
      <c r="KT9" s="79" t="str">
        <f>IF(SUM(KF9:KG9,KI9:KK9,KM9)-SUM(KH9,KL9)&gt;0,SUM(KF9:KG9,KI9:KK9,KM9)-SUM(KH9,KL9),"")</f>
        <v/>
      </c>
      <c r="KU9" s="79" t="str">
        <f>IF(SUM(KO9,KT9)&gt;0,SUM(KO9,KT9),"")</f>
        <v/>
      </c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0" t="str">
        <f>IF(SUM(KW9,LA9)&gt;0,SUM(KW9,LA9),"")</f>
        <v/>
      </c>
      <c r="LQ9" s="20" t="str">
        <f>IF(SUM(KV9:KW9,KY9:LA9,LC9)-KX9-LB9&gt;0,SUM(KV9:KW9,KY9:LA9,LC9)-KX9-LB9,"")</f>
        <v/>
      </c>
      <c r="LR9" s="20" t="str">
        <f>IF(SUM(LD9:LE9,LG9)-LF9&gt;0,SUM(LD9:LE9,LG9)-LF9,"")</f>
        <v/>
      </c>
      <c r="LS9" s="20" t="str">
        <f>IF(SUM(KW9,LA9,LE9)&gt;0,SUM(KW9,LA9,LE9),"")</f>
        <v/>
      </c>
      <c r="LT9" s="20" t="str">
        <f>IF(SUM(LQ9,LR9)&gt;0,SUM(LQ9,LR9),"")</f>
        <v/>
      </c>
      <c r="LU9" s="20" t="str">
        <f>IF(SUM(LI9,LM9)&gt;0,SUM(LI9,LM9),"")</f>
        <v/>
      </c>
      <c r="LV9" s="20" t="str">
        <f>IF(SUM(LH9:LI9,LK9:LM9,LO9)-SUM(LJ9,LN9)&gt;0,SUM(LH9:LI9,LK9:LM9,LO9)-SUM(LJ9,LN9),"")</f>
        <v/>
      </c>
      <c r="LW9" s="20" t="str">
        <f>IF(SUM(LQ9,LV9)&gt;0,SUM(LQ9,LV9),"")</f>
        <v/>
      </c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79" t="str">
        <f>IF(SUM(LY9,MC9)&gt;0,SUM(LY9,MC9),"")</f>
        <v/>
      </c>
      <c r="MS9" s="79" t="str">
        <f>IF(SUM(LX9:LY9,MA9:MC9,ME9)-LZ9-MD9&gt;0,SUM(LX9:LY9,MA9:MC9,ME9)-LZ9-MD9,"")</f>
        <v/>
      </c>
      <c r="MT9" s="79" t="str">
        <f>IF(SUM(MF9:MG9,MI9)-MH9&gt;0,SUM(MF9:MG9,MI9)-MH9,"")</f>
        <v/>
      </c>
      <c r="MU9" s="79" t="str">
        <f>IF(SUM(LY9,MC9,MG9)&gt;0,SUM(LY9,MC9,MG9),"")</f>
        <v/>
      </c>
      <c r="MV9" s="79" t="str">
        <f>IF(SUM(MS9,MT9)&gt;0,SUM(MS9,MT9),"")</f>
        <v/>
      </c>
      <c r="MW9" s="79" t="str">
        <f>IF(SUM(MK9,MO9)&gt;0,SUM(MK9,MO9),"")</f>
        <v/>
      </c>
      <c r="MX9" s="79" t="str">
        <f>IF(SUM(MJ9:MK9,MM9:MO9,MQ9)-SUM(ML9,MP9)&gt;0,SUM(MJ9:MK9,MM9:MO9,MQ9)-SUM(ML9,MP9),"")</f>
        <v/>
      </c>
      <c r="MY9" s="79" t="str">
        <f>IF(SUM(MS9,MX9)&gt;0,SUM(MS9,MX9),"")</f>
        <v/>
      </c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0" t="str">
        <f>IF(SUM(NA9,NE9)&gt;0,SUM(NA9,NE9),"")</f>
        <v/>
      </c>
      <c r="NU9" s="20" t="str">
        <f>IF(SUM(MZ9:NA9,NC9:NE9,NG9)-NB9-NF9&gt;0,SUM(MZ9:NA9,NC9:NE9,NG9)-NB9-NF9,"")</f>
        <v/>
      </c>
      <c r="NV9" s="20" t="str">
        <f>IF(SUM(NH9:NI9,NK9)-NJ9&gt;0,SUM(NH9:NI9,NK9)-NJ9,"")</f>
        <v/>
      </c>
      <c r="NW9" s="20" t="str">
        <f>IF(SUM(NA9,NE9,NI9)&gt;0,SUM(NA9,NE9,NI9),"")</f>
        <v/>
      </c>
      <c r="NX9" s="20" t="str">
        <f>IF(SUM(NU9,NV9)&gt;0,SUM(NU9,NV9),"")</f>
        <v/>
      </c>
      <c r="NY9" s="20" t="str">
        <f>IF(SUM(NM9,NQ9)&gt;0,SUM(NM9,NQ9),"")</f>
        <v/>
      </c>
      <c r="NZ9" s="20" t="str">
        <f>IF(SUM(NL9:NM9,NO9:NQ9,NS9)-SUM(NN9,NR9)&gt;0,SUM(NL9:NM9,NO9:NQ9,NS9)-SUM(NN9,NR9),"")</f>
        <v/>
      </c>
      <c r="OA9" s="20" t="str">
        <f>IF(SUM(NU9,NZ9)&gt;0,SUM(NU9,NZ9),"")</f>
        <v/>
      </c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79" t="str">
        <f>IF(SUM(OC9,OG9)&gt;0,SUM(OC9,OG9),"")</f>
        <v/>
      </c>
      <c r="OW9" s="79" t="str">
        <f>IF(SUM(OB9:OC9,OE9:OG9,OI9)-OD9-OH9&gt;0,SUM(OB9:OC9,OE9:OG9,OI9)-OD9-OH9,"")</f>
        <v/>
      </c>
      <c r="OX9" s="79" t="str">
        <f>IF(SUM(OJ9:OK9,OM9)-OL9&gt;0,SUM(OJ9:OK9,OM9)-OL9,"")</f>
        <v/>
      </c>
      <c r="OY9" s="79" t="str">
        <f>IF(SUM(OC9,OG9,OK9)&gt;0,SUM(OC9,OG9,OK9),"")</f>
        <v/>
      </c>
      <c r="OZ9" s="79" t="str">
        <f>IF(SUM(OW9,OX9)&gt;0,SUM(OW9,OX9),"")</f>
        <v/>
      </c>
      <c r="PA9" s="79" t="str">
        <f>IF(SUM(OO9,OS9)&gt;0,SUM(OO9,OS9),"")</f>
        <v/>
      </c>
      <c r="PB9" s="79" t="str">
        <f>IF(SUM(ON9:OO9,OQ9:OS9,OU9)-SUM(OP9,OT9)&gt;0,SUM(ON9:OO9,OQ9:OS9,OU9)-SUM(OP9,OT9),"")</f>
        <v/>
      </c>
      <c r="PC9" s="79" t="str">
        <f>IF(SUM(OW9,PB9)&gt;0,SUM(OW9,PB9),"")</f>
        <v/>
      </c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0" t="str">
        <f>IF(SUM(PE9,PI9)&gt;0,SUM(PE9,PI9),"")</f>
        <v/>
      </c>
      <c r="PY9" s="20" t="str">
        <f>IF(SUM(PD9:PE9,PG9:PI9,PK9)-PF9-PJ9&gt;0,SUM(PD9:PE9,PG9:PI9,PK9)-PF9-PJ9,"")</f>
        <v/>
      </c>
      <c r="PZ9" s="20" t="str">
        <f>IF(SUM(PL9:PM9,PO9)-PN9&gt;0,SUM(PL9:PM9,PO9)-PN9,"")</f>
        <v/>
      </c>
      <c r="QA9" s="20" t="str">
        <f>IF(SUM(PE9,PI9,PM9)&gt;0,SUM(PE9,PI9,PM9),"")</f>
        <v/>
      </c>
      <c r="QB9" s="20" t="str">
        <f>IF(SUM(PY9,PZ9)&gt;0,SUM(PY9,PZ9),"")</f>
        <v/>
      </c>
      <c r="QC9" s="20" t="str">
        <f>IF(SUM(PQ9,PU9)&gt;0,SUM(PQ9,PU9),"")</f>
        <v/>
      </c>
      <c r="QD9" s="20" t="str">
        <f>IF(SUM(PP9:PQ9,PS9:PU9,PW9)-SUM(PR9,PV9)&gt;0,SUM(PP9:PQ9,PS9:PU9,PW9)-SUM(PR9,PV9),"")</f>
        <v/>
      </c>
      <c r="QE9" s="20" t="str">
        <f>IF(SUM(PY9,QD9)&gt;0,SUM(PY9,QD9),"")</f>
        <v/>
      </c>
      <c r="QF9" s="38">
        <f>IF($CV9="P",CB9,(CB9+AY9)/2)</f>
        <v>9.32</v>
      </c>
      <c r="QG9" s="38">
        <f>IF($CV9="P",CC9,(CC9+AZ9)/2)</f>
        <v>3</v>
      </c>
      <c r="QH9" s="38">
        <f>IF($CV9="P",CD9,(CD9+BA9)/2)</f>
        <v>0</v>
      </c>
      <c r="QI9" s="38">
        <f>IF($CV9="P",CE9,(CE9+BB9)/2)</f>
        <v>0</v>
      </c>
      <c r="QJ9" s="38">
        <f>IF($CV9="P",CF9,(CF9+BC9)/2)</f>
        <v>9.5</v>
      </c>
      <c r="QK9" s="38">
        <f>IF($CV9="P",CG9,(CG9+BD9)/2)</f>
        <v>2.8</v>
      </c>
      <c r="QL9" s="38">
        <f>IF($CV9="P",CH9,(CH9+BE9)/2)</f>
        <v>0.3</v>
      </c>
      <c r="QM9" s="38">
        <f>IF($CV9="P",CI9,(CI9+BF9)/2)</f>
        <v>0</v>
      </c>
      <c r="QN9" s="38">
        <f>IF($CV9="P",CJ9,(CJ9+BG9)/2)</f>
        <v>8.6999999999999993</v>
      </c>
      <c r="QO9" s="38">
        <f>IF($CV9="P",CK9,(CK9+BH9)/2)</f>
        <v>1.4</v>
      </c>
      <c r="QP9" s="38">
        <f>IF($CV9="P",CL9,(CL9+BI9)/2)</f>
        <v>0</v>
      </c>
      <c r="QQ9" s="38">
        <f>IF($CV9="P",CM9,(CM9+BJ9)/2)</f>
        <v>0</v>
      </c>
      <c r="QR9" s="38">
        <f>IF($CV9="P",CN9,(CN9+BK9)/2)</f>
        <v>8.6999999999999993</v>
      </c>
      <c r="QS9" s="38">
        <f>IF($CV9="P",CO9,(CO9+BL9)/2)</f>
        <v>1.2</v>
      </c>
      <c r="QT9" s="38">
        <f>IF($CV9="P",CP9,(CP9+BM9)/2)</f>
        <v>0</v>
      </c>
      <c r="QU9" s="38">
        <f>IF($CV9="P",CQ9,(CQ9+BN9)/2)</f>
        <v>0</v>
      </c>
      <c r="QV9" s="38">
        <f>IF($CV9="P",CR9,(CR9+BO9)/2)</f>
        <v>8.4499999999999993</v>
      </c>
      <c r="QW9" s="38">
        <f>IF($CV9="P",CS9,(CS9+BP9)/2)</f>
        <v>3.2</v>
      </c>
      <c r="QX9" s="38">
        <f>IF($CV9="P",CT9,(CT9+BQ9)/2)</f>
        <v>0.3</v>
      </c>
      <c r="QY9" s="38">
        <f>IF($CV9="P",CU9,(CU9+BR9)/2)</f>
        <v>0</v>
      </c>
      <c r="QZ9" s="45" t="s">
        <v>46</v>
      </c>
      <c r="RA9" s="79">
        <f>IF(SUM(QG9,QK9)&gt;0,SUM(QG9,QK9),"")</f>
        <v>5.8</v>
      </c>
      <c r="RB9" s="79">
        <f>IF(SUM(QF9:QG9,QI9:QK9,QM9)-QH9-QL9&gt;0,SUM(QF9:QG9,QI9:QK9,QM9)-QH9-QL9,"")</f>
        <v>24.32</v>
      </c>
      <c r="RC9" s="79">
        <f>IF(SUM(QN9:QO9,QQ9)-QP9&gt;0,SUM(QN9:QO9,QQ9)-QP9,"")</f>
        <v>10.1</v>
      </c>
      <c r="RD9" s="79">
        <f>IF(SUM(QG9,QK9,QO9)&gt;0,SUM(QG9,QK9,QO9),"")</f>
        <v>7.1999999999999993</v>
      </c>
      <c r="RE9" s="79">
        <f>IF(SUM(RB9,RC9)&gt;0,SUM(RB9,RC9),"")</f>
        <v>34.42</v>
      </c>
      <c r="RF9" s="79">
        <f>IF(SUM(QS9,QW9)&gt;0,SUM(QS9,QW9),"")</f>
        <v>4.4000000000000004</v>
      </c>
      <c r="RG9" s="79">
        <f>IF(SUM(QR9:QS9,QU9:QW9,QY9)-SUM(QT9,QX9)&gt;0,SUM(QR9:QS9,QU9:QW9,QY9)-SUM(QT9,QX9),"")</f>
        <v>21.249999999999996</v>
      </c>
      <c r="RH9" s="79">
        <f>IF(SUM(RB9,RG9)&gt;0,SUM(RB9,RG9),"")</f>
        <v>45.569999999999993</v>
      </c>
    </row>
    <row r="10" spans="1:476" x14ac:dyDescent="0.2">
      <c r="A10" s="5">
        <f>IF(AND(F10="P",G10="P"),SUMPRODUCT((F$4:F$22="P")*(G$4:G$22="P")*(E$4:E$22&gt;E10))+1,IF(G10="P",SUMPRODUCT((F$4:F$22="")*(G$4:G$22="P")*(E$4:E$22&gt;E10))+1+SUMPRODUCT((F$4:F$22="P")*(G$4:G$22="P")),""))</f>
        <v>7</v>
      </c>
      <c r="B10" s="78" t="s">
        <v>90</v>
      </c>
      <c r="C10" s="5" t="s">
        <v>5</v>
      </c>
      <c r="D10" s="5">
        <v>2004</v>
      </c>
      <c r="E10" s="15">
        <f>SUM(I10:S10)+SUM(I10:O10)*0.0000001+SUM(I10)*0.0000000000001</f>
        <v>117.40020692002471</v>
      </c>
      <c r="F10" s="3" t="str">
        <f>IF(OR(AND(AQ10&gt;=AX$24,AR10&gt;=AX$28,AQ10&lt;&gt;"",AP10=""),AND(AV10&gt;=AX$24,AW10&gt;=AX$28,AV10&lt;&gt;"",AP10=""),AND(BT10&gt;=CA$24,BU10&gt;=CA$28,BT10&lt;&gt;"",BS10=""),AND(BY10&gt;=CA$24,BZ10&gt;=CA$28,BY10&lt;&gt;"",BS10=""),AND(CW10&gt;=DD$24,CX10&gt;=DD$28,CW10&lt;&gt;"",CV10=""),AND(DB10&gt;=DD$24,DC10&gt;=DD$28,DB10&lt;&gt;""),AND(EB10&gt;=EI$24,EC10&gt;=EI$28,EB10&lt;&gt;""),AND(EG10&gt;=EI$24,EH10&gt;=EI$28,EG10&lt;&gt;""),AND(FD10&gt;=FK$24,FE10&gt;=FK$28,FD10&lt;&gt;""),AND(FI10&gt;=FK$24,FJ10&gt;=FK$28,FI10&lt;&gt;""),AND(GF10&gt;=GM$24,GG10&gt;=GM$28,GF10&lt;&gt;""),AND(GK10&gt;=GM$24,GL10&gt;=GM$28,GK10&lt;&gt;""),AND(HH10&gt;=HO$24,HI10&gt;=HO$28,HH10&lt;&gt;""),AND(HM10&gt;=HO$24,HN10&gt;=HO$28,HM10&lt;&gt;""),AND(IJ10&gt;=IQ$24,IK10&gt;=IQ$28,IJ10&lt;&gt;""),AND(IO10&gt;=IQ$24,IP10&gt;=IQ$28,IO10&lt;&gt;""),AND(JL10&gt;=JS$24,JM10&gt;=JS$28,JL10&lt;&gt;""),AND(JQ10&gt;=JS$24,JR10&gt;=JS$28,JQ10&lt;&gt;""),AND(KN10&gt;=KU$24,KO10&gt;=KU$28,KN10&lt;&gt;""),AND(KS10&gt;=KU$24,KT10&gt;=KU$28,KS10&lt;&gt;""),AND(LP10&gt;=LW$24,LQ10&gt;=LW$28,LP10&lt;&gt;""),AND(LU10&gt;=LW$24,LV10&gt;=LW$28,LU10&lt;&gt;""),AND(MR10&gt;=MY$24,MS10&gt;=MY$28,MR10&lt;&gt;""),AND(MW10&gt;=MY$24,MX10&gt;=MY$28,MW10&lt;&gt;""),AND(NT10&gt;=OA$24,NU10&gt;=OA$28,NT10&lt;&gt;""),AND(NY10&gt;=OA$24,NZ10&gt;=OA$28,NY10&lt;&gt;""),AND(OV10&gt;=PC$24,OW10&gt;=PC$28,OV10&lt;&gt;""),AND(PA10&gt;=PC$24,PB10&gt;=PC$28,PA10&lt;&gt;""),AND(PX10&gt;=QE$24,PY10&gt;=QE$28,PX10&lt;&gt;""),AND(QC10&gt;=QE$24,QD10&gt;=QE$28,QC10&lt;&gt;"")),"P","")</f>
        <v>P</v>
      </c>
      <c r="G10" s="3" t="str">
        <f>IF(OR(AND(AR10&gt;=AX$28,AR10&lt;&gt;"",AP10=""),AND(AW10&gt;=AX$28,AW10&lt;&gt;"",AP10=""),AND(BU10&gt;=CA$28,BU10&lt;&gt;"",BS10=""),AND(BZ10&gt;=CA$28,BZ10&lt;&gt;"",BS10=""),AND(CX10&gt;=DD$28,CX10&lt;&gt;"",CV10=""),AND(DC10&gt;=DD$28,DC10&lt;&gt;"",CV10=""),AND(EC10&gt;=EI$28,EC10&lt;&gt;""),AND(EH10&gt;=EI$28,EH10&lt;&gt;""),AND(FE10&gt;=FK$28,FE10&lt;&gt;""),AND(FJ10&gt;=FK$28,FJ10&lt;&gt;""),AND(GG10&gt;=GM$28,GG10&lt;&gt;""),AND(GL10&gt;=GM$28,GL10&lt;&gt;""),AND(HI10&gt;=HO$28,HI10&lt;&gt;""),AND(HN10&gt;=HO$28,HN10&lt;&gt;""),AND(IK10&gt;=IQ$28,IK10&lt;&gt;""),AND(IP10&gt;=IQ$28,IP10&lt;&gt;""),AND(JM10&gt;=JS$28,JM10&lt;&gt;""),AND(JR10&gt;=JS$28,JR10&lt;&gt;""),AND(KO10&gt;=KU$28,KO10&lt;&gt;""),AND(KT10&gt;=KU$28,KT10&lt;&gt;""),AND(LQ10&gt;=LW$28,LQ10&lt;&gt;""),AND(LV10&gt;=LW$28,LV10&lt;&gt;""),AND(MS10&gt;=MY$28,MS10&lt;&gt;""),AND(MX10&gt;=MY$28,MX10&lt;&gt;""),AND(NU10&gt;=OA$28,NU10&lt;&gt;""),AND(NZ10&gt;=OA$28,NZ10&lt;&gt;""),AND(OW10&gt;=PC$28,OW10&lt;&gt;""),AND(PB10&gt;=PC$28,PB10&lt;&gt;""),AND(PY10&gt;=QE$28,PY10&lt;&gt;""),AND(QD10&gt;=QE$28,QD10&lt;&gt;"")),"P","")</f>
        <v>P</v>
      </c>
      <c r="H10" s="67" t="str">
        <f>IF(AND(G10="P",F10=""),"No DD",IF(OR(AND(AT10&gt;=AX$27,AU10&gt;=AX$31,AT10&lt;&gt;"",AP10=""),AND(BW10&gt;=CA$27,BX10&gt;=CA$31,BW10&lt;&gt;"",BS10=""),AND(CZ10&gt;=DD$27,DA10&gt;=DD$31,CZ10&lt;&gt;"",CV10=""),AND(EE10&gt;=EI$27,EF10&gt;=EI$31,EE10&lt;&gt;""),AND(FG10&gt;=FK$27,FH10&gt;=FK$31,FG10&lt;&gt;""),AND(GI10&gt;=GM$27,GJ10&gt;=GM$31,GI10&lt;&gt;""),AND(HK10&gt;=HO$27,HL10&gt;=HO$31,HK10&lt;&gt;""),AND(IM10&gt;=IQ$27,IN10&gt;=IQ$31,IM10&lt;&gt;""),AND(JO10&gt;=JS$27,JP10&gt;=JS$31,JO10&lt;&gt;""),AND(KQ10&gt;=KU$27,KR10&gt;=KU$31,KQ10&lt;&gt;""),AND(LS10&gt;=LW$27,LT10&gt;=LW$31,LS10&lt;&gt;""),AND(MU10&gt;=MY$27,MV10&gt;=MY$31,MU10&lt;&gt;""),AND(NW10&gt;=OA$27,NX10&gt;=OA$31,NW10&lt;&gt;""),AND(OY10&gt;=PC$27,OZ10&gt;=PC$31,OY10&lt;&gt;""),AND(QA10&gt;=QE$27,QB10&gt;=QE$31,QA10&lt;&gt;"")),"Merit",IF(OR(AND(AT10&gt;=AX$26,AU10&gt;=AX$30,AT10&lt;&gt;"",AP10=""),AND(BW10&gt;=CA$26,BX10&gt;=CA$30,BW10&lt;&gt;"",BS10=""),AND(CZ10&gt;=DD$26,DA10&gt;=DD$30,CZ10&lt;&gt;"",CV10=""),AND(EE10&gt;=EI$26,EF10&gt;=EI$30,EE10&lt;&gt;""),AND(FG10&gt;=FK$26,FH10&gt;=FK$30,FG10&lt;&gt;""),AND(GI10&gt;=GM$26,GJ10&gt;=GM$30,GI10&lt;&gt;""),AND(HK10&gt;=HO$26,HL10&gt;=HO$30,HK10&lt;&gt;""),AND(IM10&gt;=IQ$26,IN10&gt;=IQ$30,IM10&lt;&gt;""),AND(JO10&gt;=JS$26,JP10&gt;=JS$30,JO10&lt;&gt;""),AND(KQ10&gt;=KU$26,KR10&gt;=KU$30,KQ10&lt;&gt;""),AND(LS10&gt;=LW$26,LT10&gt;=LW$30,LS10&lt;&gt;""),AND(MU10&gt;=MY$26,MV10&gt;=MY$30,MU10&lt;&gt;""),AND(NW10&gt;=OA$26,NX10&gt;=OA$30,NW10&lt;&gt;""),AND(OY10&gt;=PC$26,OZ10&gt;=PC$30,OY10&lt;&gt;""),AND(QA10&gt;=QE$26,QB10&gt;=QE$30,QA10&lt;&gt;"")),"Excellence",IF(F10="P","National Team",""))))</f>
        <v>National Team</v>
      </c>
      <c r="I10" s="14">
        <f>IF(COUNT(AR10,BU10,CX10)&gt;0,LARGE((AR10,BU10,CX10),1),0)</f>
        <v>47.000000000000007</v>
      </c>
      <c r="J10" s="14" t="str">
        <f>IF(I10=0,"",IF(I10=CX10,$CB$1,IF(I10=BU10,$AY$1,IF(I10=AR10,$V$1,""))))</f>
        <v>2022 Elite Canada</v>
      </c>
      <c r="K10" s="14">
        <f>IF(COUNT(AR10,BU10,CX10)&gt;1,LARGE((AR10,BU10,CX10),2),0)</f>
        <v>2.0000000000000001E-4</v>
      </c>
      <c r="L10" s="14" t="str">
        <f>IF(K10=0,"",IF(K10=CX10,$CB$1,IF(K10=BU10,$AY$1,IF(K10=AR10,$V$1,""))))</f>
        <v>2021 Canadian Championships</v>
      </c>
      <c r="M10" s="14">
        <f>IF(COUNT(AS10,BV10,CY10)&gt;0,LARGE((AS10,BV10,CY10),1),0)</f>
        <v>22.2</v>
      </c>
      <c r="N10" s="14" t="str">
        <f>IF(M10=0,"",IF(M10=CY10,$CB$1,IF(M10=BV10,$AY$1,IF(M10=AS10,$V$1,""))))</f>
        <v>2022 Elite Canada</v>
      </c>
      <c r="O10" s="14">
        <f>IF(COUNT(AS10,BV10,CY10)&gt;1,LARGE((AS10,BV10,CY10),2),0)</f>
        <v>0</v>
      </c>
      <c r="P10" s="14" t="str">
        <f>IF(O10=0,"",IF(O10=CY10,$CB$1,IF(O10=BV10,$AY$1,IF(O10=AS10,$V$1,""))))</f>
        <v/>
      </c>
      <c r="Q10" s="14">
        <f>IF(MAX(AW10,BZ10,DC10)&gt;0,MAX(AW10,BZ10,DC10),0)</f>
        <v>48.1</v>
      </c>
      <c r="R10" s="14" t="str">
        <f>IF(Q10=0,"",IF(Q10=DC10,$CB$1,IF(Q10=BZ10,$AY$1,IF(Q10=AW10,$V$1,""))))</f>
        <v>2022 Elite Canada</v>
      </c>
      <c r="S10" s="14">
        <f>IF(MAX(DE10:DG10)&gt;0,MAX(DE10:DG10),"")</f>
        <v>9.9999999999994316E-2</v>
      </c>
      <c r="T10" s="20" t="str">
        <f>IF(S10="","",IF(S10=DE10,"("&amp;DE$2&amp;")",IF(S10=DG10,"("&amp;DG$2&amp;")")))</f>
        <v>(Final)</v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>2022 World Games Technical Trial #2 (May 15)</v>
      </c>
      <c r="V10" s="27"/>
      <c r="W10" s="27">
        <v>1E-4</v>
      </c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45"/>
      <c r="AQ10" s="79">
        <f>IF(SUM(W10,AA10)&gt;0,SUM(W10,AA10),"")</f>
        <v>1E-4</v>
      </c>
      <c r="AR10" s="79">
        <f>IF(SUM(V10:W10,Y10:AA10,AC10)-X10-AB10&gt;0,SUM(V10:W10,Y10:AA10,AC10)-X10-AB10,"")</f>
        <v>1E-4</v>
      </c>
      <c r="AS10" s="79" t="str">
        <f>IF(SUM(AD10:AE10,AG10)-AF10&gt;0,SUM(AD10:AE10,AG10)-AF10,"")</f>
        <v/>
      </c>
      <c r="AT10" s="79">
        <f>IF(SUM(W10,AA10,AE10)&gt;0,SUM(W10,AA10,AE10),"")</f>
        <v>1E-4</v>
      </c>
      <c r="AU10" s="79">
        <f>IF(SUM(AR10,AS10)&gt;0,SUM(AR10,AS10),"")</f>
        <v>1E-4</v>
      </c>
      <c r="AV10" s="79" t="str">
        <f>IF(SUM(AI10,AM10)&gt;0,SUM(AI10,AM10),"")</f>
        <v/>
      </c>
      <c r="AW10" s="79" t="str">
        <f>IF(SUM(AH10:AI10,AK10:AM10,AO10)-SUM(AJ10,AN10)&gt;0,SUM(AH10:AI10,AK10:AM10,AO10)-SUM(AJ10,AN10),"")</f>
        <v/>
      </c>
      <c r="AX10" s="79">
        <f>IF(SUM(AR10,AW10)&gt;0,SUM(AR10,AW10),"")</f>
        <v>1E-4</v>
      </c>
      <c r="AY10" s="26">
        <v>1E-4</v>
      </c>
      <c r="AZ10" s="26">
        <v>1E-4</v>
      </c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46"/>
      <c r="BT10" s="20">
        <f>IF(SUM(AZ10,BD10)&gt;0,SUM(AZ10,BD10),"")</f>
        <v>1E-4</v>
      </c>
      <c r="BU10" s="20">
        <f>IF(SUM(AY10:AZ10,BB10:BD10,BF10)-BA10-BE10&gt;0,SUM(AY10:AZ10,BB10:BD10,BF10)-BA10-BE10,"")</f>
        <v>2.0000000000000001E-4</v>
      </c>
      <c r="BV10" s="20" t="str">
        <f>IF(SUM(BG10:BH10,BJ10)-BI10&gt;0,SUM(BG10:BH10,BJ10)-BI10,"")</f>
        <v/>
      </c>
      <c r="BW10" s="20">
        <f>IF(SUM(AZ10,BD10,BH10)&gt;0,SUM(AZ10,BD10,BH10),"")</f>
        <v>1E-4</v>
      </c>
      <c r="BX10" s="20">
        <f>IF(SUM(BU10,BV10)&gt;0,SUM(BU10,BV10),"")</f>
        <v>2.0000000000000001E-4</v>
      </c>
      <c r="BY10" s="20" t="str">
        <f>IF(SUM(BL10,BP10)&gt;0,SUM(BL10,BP10),"")</f>
        <v/>
      </c>
      <c r="BZ10" s="20" t="str">
        <f>IF(SUM(BK10:BL10,BN10:BP10,BR10)-SUM(BM10,BQ10)&gt;0,SUM(BK10:BL10,BN10:BP10,BR10)-SUM(BM10,BQ10),"")</f>
        <v/>
      </c>
      <c r="CA10" s="20">
        <f>IF(SUM(BU10,BZ10)&gt;0,SUM(BU10,BZ10),"")</f>
        <v>2.0000000000000001E-4</v>
      </c>
      <c r="CB10" s="27">
        <v>18.600000000000001</v>
      </c>
      <c r="CC10" s="27">
        <v>5.2</v>
      </c>
      <c r="CD10" s="27">
        <v>0.8</v>
      </c>
      <c r="CE10" s="27">
        <v>0</v>
      </c>
      <c r="CF10" s="27">
        <v>18.600000000000001</v>
      </c>
      <c r="CG10" s="27">
        <v>5.6</v>
      </c>
      <c r="CH10" s="27">
        <v>0.2</v>
      </c>
      <c r="CI10" s="27">
        <v>0</v>
      </c>
      <c r="CJ10" s="27">
        <v>18</v>
      </c>
      <c r="CK10" s="27">
        <v>4.8</v>
      </c>
      <c r="CL10" s="27">
        <v>0.6</v>
      </c>
      <c r="CM10" s="27">
        <v>0</v>
      </c>
      <c r="CN10" s="27">
        <v>18.5</v>
      </c>
      <c r="CO10" s="27">
        <v>5.2</v>
      </c>
      <c r="CP10" s="27">
        <v>0.2</v>
      </c>
      <c r="CQ10" s="27">
        <v>0</v>
      </c>
      <c r="CR10" s="27">
        <v>19</v>
      </c>
      <c r="CS10" s="27">
        <v>5.6</v>
      </c>
      <c r="CT10" s="27">
        <v>0</v>
      </c>
      <c r="CU10" s="27">
        <v>0</v>
      </c>
      <c r="CV10" s="45"/>
      <c r="CW10" s="79">
        <f>IF(SUM(CC10,CG10)&gt;0,SUM(CC10,CG10),"")</f>
        <v>10.8</v>
      </c>
      <c r="CX10" s="79">
        <f>IF(SUM(CB10:CC10,CE10:CG10,CI10)-CD10-CH10&gt;0,SUM(CB10:CC10,CE10:CG10,CI10)-CD10-CH10,"")</f>
        <v>47.000000000000007</v>
      </c>
      <c r="CY10" s="79">
        <f>IF(SUM(CJ10:CK10,CM10)-CL10&gt;0,SUM(CJ10:CK10,CM10)-CL10,"")</f>
        <v>22.2</v>
      </c>
      <c r="CZ10" s="79">
        <f>IF(SUM(CC10,CG10,CK10)&gt;0,SUM(CC10,CG10,CK10),"")</f>
        <v>15.600000000000001</v>
      </c>
      <c r="DA10" s="79">
        <f>IF(SUM(CX10,CY10)&gt;0,SUM(CX10,CY10),"")</f>
        <v>69.2</v>
      </c>
      <c r="DB10" s="79">
        <f>IF(SUM(CO10,CS10)&gt;0,SUM(CO10,CS10),"")</f>
        <v>10.8</v>
      </c>
      <c r="DC10" s="79">
        <f>IF(SUM(CN10:CO10,CQ10:CS10,CU10)-SUM(CP10,CT10)&gt;0,SUM(CN10:CO10,CQ10:CS10,CU10)-SUM(CP10,CT10),"")</f>
        <v>48.1</v>
      </c>
      <c r="DD10" s="79">
        <f>IF(SUM(CX10,DC10)&gt;0,SUM(CX10,DC10),"")</f>
        <v>95.100000000000009</v>
      </c>
      <c r="DE10" s="80" t="str">
        <f>IF(K10&gt;=0.001,IF(MAX(EC10,FE10,GG10,HI10,IK10,JM10,KO10,LQ10,MS10,NU10,OW10,PY10)-IF(K10="",0,K10)&gt;0.001,MAX(EC10,FE10,GG10,HI10,IK10,JM10,KO10,LQ10,MS10,NU10,OW10,PY10)-IF(K10="",0,K10),""),"")</f>
        <v/>
      </c>
      <c r="DF10" s="80" t="str">
        <f>IF(O10&gt;=0.001,IF(MAX(ED10,FF10,GH10,HJ10,IL10,JN10,KP10,LR10,MT10,NV10,OX10,PZ10)-IF(O10="",0,O10)&gt;0.001,MAX(ED10,FF10,GH10,HJ10,IL10,JN10,KP10,LR10,MT10,NV10,OX10,PZ10)-IF(O10="",0,O10),""),"")</f>
        <v/>
      </c>
      <c r="DG10" s="80">
        <f>IF(Q10&gt;=0.001,IF(MAX(EH10,FJ10,GL10,HN10,IP10,JR10,KT10,LV10,MX10,NZ10,PB10,QD10)-IF(Q10="",0,Q10)&gt;0.001,MAX(EH10,FJ10,GL10,HN10,IP10,JR10,KT10,LV10,MX10,NZ10,PB10,QD10)-IF(Q10="",0,Q10),""),"")</f>
        <v>9.9999999999994316E-2</v>
      </c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79" t="str">
        <f>IF(SUM(DI10,DM10)&gt;0,SUM(DI10,DM10),"")</f>
        <v/>
      </c>
      <c r="EC10" s="79" t="str">
        <f>IF(SUM(DH10:DI10,DK10:DM10,DO10)-DJ10-DN10&gt;0,SUM(DH10:DI10,DK10:DM10,DO10)-DJ10-DN10,"")</f>
        <v/>
      </c>
      <c r="ED10" s="79" t="str">
        <f>IF(SUM(DP10:DQ10,DS10)-DR10&gt;0,SUM(DP10:DQ10,DS10)-DR10,"")</f>
        <v/>
      </c>
      <c r="EE10" s="79" t="str">
        <f>IF(SUM(DI10,DM10,DQ10)&gt;0,SUM(DI10,DM10,DQ10),"")</f>
        <v/>
      </c>
      <c r="EF10" s="79" t="str">
        <f>IF(SUM(EC10,ED10)&gt;0,SUM(EC10,ED10),"")</f>
        <v/>
      </c>
      <c r="EG10" s="79" t="str">
        <f>IF(SUM(DU10,DY10)&gt;0,SUM(DU10,DY10),"")</f>
        <v/>
      </c>
      <c r="EH10" s="79" t="str">
        <f>IF(SUM(DT10:DU10,DW10:DY10,EA10)-SUM(DV10,DZ10)&gt;0,SUM(DT10:DU10,DW10:DY10,EA10)-SUM(DV10,DZ10),"")</f>
        <v/>
      </c>
      <c r="EI10" s="79" t="str">
        <f>IF(SUM(EC10,EH10)&gt;0,SUM(EC10,EH10),"")</f>
        <v/>
      </c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0" t="str">
        <f>IF(SUM(EK10,EO10)&gt;0,SUM(EK10,EO10),"")</f>
        <v/>
      </c>
      <c r="FE10" s="20" t="str">
        <f>IF(SUM(EJ10:EK10,EM10:EO10,EQ10)-EL10-EP10&gt;0,SUM(EJ10:EK10,EM10:EO10,EQ10)-EL10-EP10,"")</f>
        <v/>
      </c>
      <c r="FF10" s="20" t="str">
        <f>IF(SUM(ER10:ES10,EU10)-ET10&gt;0,SUM(ER10:ES10,EU10)-ET10,"")</f>
        <v/>
      </c>
      <c r="FG10" s="20" t="str">
        <f>IF(SUM(EK10,EO10,ES10)&gt;0,SUM(EK10,EO10,ES10),"")</f>
        <v/>
      </c>
      <c r="FH10" s="20" t="str">
        <f>IF(SUM(FE10,FF10)&gt;0,SUM(FE10,FF10),"")</f>
        <v/>
      </c>
      <c r="FI10" s="20" t="str">
        <f>IF(SUM(EW10,FA10)&gt;0,SUM(EW10,FA10),"")</f>
        <v/>
      </c>
      <c r="FJ10" s="20" t="str">
        <f>IF(SUM(EV10:EW10,EY10:FA10,FC10)-SUM(EX10,FB10)&gt;0,SUM(EV10:EW10,EY10:FA10,FC10)-SUM(EX10,FB10),"")</f>
        <v/>
      </c>
      <c r="FK10" s="20" t="str">
        <f>IF(SUM(FE10,FJ10)&gt;0,SUM(FE10,FJ10),"")</f>
        <v/>
      </c>
      <c r="FL10" s="25">
        <v>18.600000000000001</v>
      </c>
      <c r="FM10" s="25">
        <v>5.2</v>
      </c>
      <c r="FN10" s="25">
        <v>0.6</v>
      </c>
      <c r="FO10" s="25">
        <v>0</v>
      </c>
      <c r="FP10" s="25">
        <v>18.600000000000001</v>
      </c>
      <c r="FQ10" s="25">
        <v>5.6</v>
      </c>
      <c r="FR10" s="25">
        <v>0.2</v>
      </c>
      <c r="FS10" s="25">
        <v>0</v>
      </c>
      <c r="FT10" s="25"/>
      <c r="FU10" s="25"/>
      <c r="FV10" s="25"/>
      <c r="FW10" s="25"/>
      <c r="FX10" s="25">
        <v>18.399999999999999</v>
      </c>
      <c r="FY10" s="25">
        <v>5.2</v>
      </c>
      <c r="FZ10" s="25">
        <v>0</v>
      </c>
      <c r="GA10" s="25">
        <v>0</v>
      </c>
      <c r="GB10" s="25">
        <v>18.8</v>
      </c>
      <c r="GC10" s="25">
        <v>5.6</v>
      </c>
      <c r="GD10" s="25">
        <v>0.2</v>
      </c>
      <c r="GE10" s="25">
        <v>0</v>
      </c>
      <c r="GF10" s="79">
        <f>IF(SUM(FM10,FQ10)&gt;0,SUM(FM10,FQ10),"")</f>
        <v>10.8</v>
      </c>
      <c r="GG10" s="79">
        <f>IF(SUM(FL10:FM10,FO10:FQ10,FS10)-FN10-FR10&gt;0,SUM(FL10:FM10,FO10:FQ10,FS10)-FN10-FR10,"")</f>
        <v>47.2</v>
      </c>
      <c r="GH10" s="79" t="str">
        <f>IF(SUM(FT10:FU10,FW10)-FV10&gt;0,SUM(FT10:FU10,FW10)-FV10,"")</f>
        <v/>
      </c>
      <c r="GI10" s="79">
        <f>IF(SUM(FM10,FQ10,FU10)&gt;0,SUM(FM10,FQ10,FU10),"")</f>
        <v>10.8</v>
      </c>
      <c r="GJ10" s="79">
        <f>IF(SUM(GG10,GH10)&gt;0,SUM(GG10,GH10),"")</f>
        <v>47.2</v>
      </c>
      <c r="GK10" s="79">
        <f>IF(SUM(FY10,GC10)&gt;0,SUM(FY10,GC10),"")</f>
        <v>10.8</v>
      </c>
      <c r="GL10" s="79">
        <f>IF(SUM(FX10:FY10,GA10:GC10,GE10)-SUM(FZ10,GD10)&gt;0,SUM(FX10:FY10,GA10:GC10,GE10)-SUM(FZ10,GD10),"")</f>
        <v>47.8</v>
      </c>
      <c r="GM10" s="79">
        <f>IF(SUM(GG10,GL10)&gt;0,SUM(GG10,GL10),"")</f>
        <v>95</v>
      </c>
      <c r="GN10" s="26">
        <v>17.399999999999999</v>
      </c>
      <c r="GO10" s="26">
        <v>2.4</v>
      </c>
      <c r="GP10" s="26">
        <v>0</v>
      </c>
      <c r="GQ10" s="26">
        <v>0</v>
      </c>
      <c r="GR10" s="26">
        <v>18.2</v>
      </c>
      <c r="GS10" s="26">
        <v>5.6</v>
      </c>
      <c r="GT10" s="26">
        <v>0.2</v>
      </c>
      <c r="GU10" s="26">
        <v>0</v>
      </c>
      <c r="GV10" s="26"/>
      <c r="GW10" s="26"/>
      <c r="GX10" s="26"/>
      <c r="GY10" s="26"/>
      <c r="GZ10" s="26">
        <v>18.399999999999999</v>
      </c>
      <c r="HA10" s="26">
        <v>5.6</v>
      </c>
      <c r="HB10" s="26">
        <v>0.2</v>
      </c>
      <c r="HC10" s="26">
        <v>0</v>
      </c>
      <c r="HD10" s="26">
        <v>18.8</v>
      </c>
      <c r="HE10" s="26">
        <v>5.6</v>
      </c>
      <c r="HF10" s="26">
        <v>0</v>
      </c>
      <c r="HG10" s="26">
        <v>0</v>
      </c>
      <c r="HH10" s="20">
        <f>IF(SUM(GO10,GS10)&gt;0,SUM(GO10,GS10),"")</f>
        <v>8</v>
      </c>
      <c r="HI10" s="20">
        <f>IF(SUM(GN10:GO10,GQ10:GS10,GU10)-GP10-GT10&gt;0,SUM(GN10:GO10,GQ10:GS10,GU10)-GP10-GT10,"")</f>
        <v>43.4</v>
      </c>
      <c r="HJ10" s="20" t="str">
        <f>IF(SUM(GV10:GW10,GY10)-GX10&gt;0,SUM(GV10:GW10,GY10)-GX10,"")</f>
        <v/>
      </c>
      <c r="HK10" s="20">
        <f>IF(SUM(GO10,GS10,GW10)&gt;0,SUM(GO10,GS10,GW10),"")</f>
        <v>8</v>
      </c>
      <c r="HL10" s="20">
        <f>IF(SUM(HI10,HJ10)&gt;0,SUM(HI10,HJ10),"")</f>
        <v>43.4</v>
      </c>
      <c r="HM10" s="20">
        <f>IF(SUM(HA10,HE10)&gt;0,SUM(HA10,HE10),"")</f>
        <v>11.2</v>
      </c>
      <c r="HN10" s="20">
        <f>IF(SUM(GZ10:HA10,HC10:HE10,HG10)-SUM(HB10,HF10)&gt;0,SUM(GZ10:HA10,HC10:HE10,HG10)-SUM(HB10,HF10),"")</f>
        <v>48.199999999999996</v>
      </c>
      <c r="HO10" s="20">
        <f>IF(SUM(HI10,HN10)&gt;0,SUM(HI10,HN10),"")</f>
        <v>91.6</v>
      </c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79" t="str">
        <f>IF(SUM(HQ10,HU10)&gt;0,SUM(HQ10,HU10),"")</f>
        <v/>
      </c>
      <c r="IK10" s="79" t="str">
        <f>IF(SUM(HP10:HQ10,HS10:HU10,HW10)-HR10-HV10&gt;0,SUM(HP10:HQ10,HS10:HU10,HW10)-HR10-HV10,"")</f>
        <v/>
      </c>
      <c r="IL10" s="79" t="str">
        <f>IF(SUM(HX10:HY10,IA10)-HZ10&gt;0,SUM(HX10:HY10,IA10)-HZ10,"")</f>
        <v/>
      </c>
      <c r="IM10" s="79" t="str">
        <f>IF(SUM(HQ10,HU10,HY10)&gt;0,SUM(HQ10,HU10,HY10),"")</f>
        <v/>
      </c>
      <c r="IN10" s="79" t="str">
        <f>IF(SUM(IK10,IL10)&gt;0,SUM(IK10,IL10),"")</f>
        <v/>
      </c>
      <c r="IO10" s="79" t="str">
        <f>IF(SUM(IC10,IG10)&gt;0,SUM(IC10,IG10),"")</f>
        <v/>
      </c>
      <c r="IP10" s="79" t="str">
        <f>IF(SUM(IB10:IC10,IE10:IG10,II10)-SUM(ID10,IH10)&gt;0,SUM(IB10:IC10,IE10:IG10,II10)-SUM(ID10,IH10),"")</f>
        <v/>
      </c>
      <c r="IQ10" s="79" t="str">
        <f>IF(SUM(IK10,IP10)&gt;0,SUM(IK10,IP10),"")</f>
        <v/>
      </c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0" t="str">
        <f>IF(SUM(IS10,IW10)&gt;0,SUM(IS10,IW10),"")</f>
        <v/>
      </c>
      <c r="JM10" s="20" t="str">
        <f>IF(SUM(IR10:IS10,IU10:IW10,IY10)-IT10-IX10&gt;0,SUM(IR10:IS10,IU10:IW10,IY10)-IT10-IX10,"")</f>
        <v/>
      </c>
      <c r="JN10" s="20" t="str">
        <f>IF(SUM(IZ10:JA10,JC10)-JB10&gt;0,SUM(IZ10:JA10,JC10)-JB10,"")</f>
        <v/>
      </c>
      <c r="JO10" s="20" t="str">
        <f>IF(SUM(IS10,IW10,JA10)&gt;0,SUM(IS10,IW10,JA10),"")</f>
        <v/>
      </c>
      <c r="JP10" s="20" t="str">
        <f>IF(SUM(JM10,JN10)&gt;0,SUM(JM10,JN10),"")</f>
        <v/>
      </c>
      <c r="JQ10" s="20" t="str">
        <f>IF(SUM(JE10,JI10)&gt;0,SUM(JE10,JI10),"")</f>
        <v/>
      </c>
      <c r="JR10" s="20" t="str">
        <f>IF(SUM(JD10:JE10,JG10:JI10,JK10)-SUM(JF10,JJ10)&gt;0,SUM(JD10:JE10,JG10:JI10,JK10)-SUM(JF10,JJ10),"")</f>
        <v/>
      </c>
      <c r="JS10" s="20" t="str">
        <f>IF(SUM(JM10,JR10)&gt;0,SUM(JM10,JR10),"")</f>
        <v/>
      </c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79" t="str">
        <f>IF(SUM(JU10,JY10)&gt;0,SUM(JU10,JY10),"")</f>
        <v/>
      </c>
      <c r="KO10" s="79" t="str">
        <f>IF(SUM(JT10:JU10,JW10:JY10,KA10)-JV10-JZ10&gt;0,SUM(JT10:JU10,JW10:JY10,KA10)-JV10-JZ10,"")</f>
        <v/>
      </c>
      <c r="KP10" s="79" t="str">
        <f>IF(SUM(KB10:KC10,KE10)-KD10&gt;0,SUM(KB10:KC10,KE10)-KD10,"")</f>
        <v/>
      </c>
      <c r="KQ10" s="79" t="str">
        <f>IF(SUM(JU10,JY10,KC10)&gt;0,SUM(JU10,JY10,KC10),"")</f>
        <v/>
      </c>
      <c r="KR10" s="79" t="str">
        <f>IF(SUM(KO10,KP10)&gt;0,SUM(KO10,KP10),"")</f>
        <v/>
      </c>
      <c r="KS10" s="79" t="str">
        <f>IF(SUM(KG10,KK10)&gt;0,SUM(KG10,KK10),"")</f>
        <v/>
      </c>
      <c r="KT10" s="79" t="str">
        <f>IF(SUM(KF10:KG10,KI10:KK10,KM10)-SUM(KH10,KL10)&gt;0,SUM(KF10:KG10,KI10:KK10,KM10)-SUM(KH10,KL10),"")</f>
        <v/>
      </c>
      <c r="KU10" s="79" t="str">
        <f>IF(SUM(KO10,KT10)&gt;0,SUM(KO10,KT10),"")</f>
        <v/>
      </c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0" t="str">
        <f>IF(SUM(KW10,LA10)&gt;0,SUM(KW10,LA10),"")</f>
        <v/>
      </c>
      <c r="LQ10" s="20" t="str">
        <f>IF(SUM(KV10:KW10,KY10:LA10,LC10)-KX10-LB10&gt;0,SUM(KV10:KW10,KY10:LA10,LC10)-KX10-LB10,"")</f>
        <v/>
      </c>
      <c r="LR10" s="20" t="str">
        <f>IF(SUM(LD10:LE10,LG10)-LF10&gt;0,SUM(LD10:LE10,LG10)-LF10,"")</f>
        <v/>
      </c>
      <c r="LS10" s="20" t="str">
        <f>IF(SUM(KW10,LA10,LE10)&gt;0,SUM(KW10,LA10,LE10),"")</f>
        <v/>
      </c>
      <c r="LT10" s="20" t="str">
        <f>IF(SUM(LQ10,LR10)&gt;0,SUM(LQ10,LR10),"")</f>
        <v/>
      </c>
      <c r="LU10" s="20" t="str">
        <f>IF(SUM(LI10,LM10)&gt;0,SUM(LI10,LM10),"")</f>
        <v/>
      </c>
      <c r="LV10" s="20" t="str">
        <f>IF(SUM(LH10:LI10,LK10:LM10,LO10)-SUM(LJ10,LN10)&gt;0,SUM(LH10:LI10,LK10:LM10,LO10)-SUM(LJ10,LN10),"")</f>
        <v/>
      </c>
      <c r="LW10" s="20" t="str">
        <f>IF(SUM(LQ10,LV10)&gt;0,SUM(LQ10,LV10),"")</f>
        <v/>
      </c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79" t="str">
        <f>IF(SUM(LY10,MC10)&gt;0,SUM(LY10,MC10),"")</f>
        <v/>
      </c>
      <c r="MS10" s="79" t="str">
        <f>IF(SUM(LX10:LY10,MA10:MC10,ME10)-LZ10-MD10&gt;0,SUM(LX10:LY10,MA10:MC10,ME10)-LZ10-MD10,"")</f>
        <v/>
      </c>
      <c r="MT10" s="79" t="str">
        <f>IF(SUM(MF10:MG10,MI10)-MH10&gt;0,SUM(MF10:MG10,MI10)-MH10,"")</f>
        <v/>
      </c>
      <c r="MU10" s="79" t="str">
        <f>IF(SUM(LY10,MC10,MG10)&gt;0,SUM(LY10,MC10,MG10),"")</f>
        <v/>
      </c>
      <c r="MV10" s="79" t="str">
        <f>IF(SUM(MS10,MT10)&gt;0,SUM(MS10,MT10),"")</f>
        <v/>
      </c>
      <c r="MW10" s="79" t="str">
        <f>IF(SUM(MK10,MO10)&gt;0,SUM(MK10,MO10),"")</f>
        <v/>
      </c>
      <c r="MX10" s="79" t="str">
        <f>IF(SUM(MJ10:MK10,MM10:MO10,MQ10)-SUM(ML10,MP10)&gt;0,SUM(MJ10:MK10,MM10:MO10,MQ10)-SUM(ML10,MP10),"")</f>
        <v/>
      </c>
      <c r="MY10" s="79" t="str">
        <f>IF(SUM(MS10,MX10)&gt;0,SUM(MS10,MX10),"")</f>
        <v/>
      </c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0" t="str">
        <f>IF(SUM(NA10,NE10)&gt;0,SUM(NA10,NE10),"")</f>
        <v/>
      </c>
      <c r="NU10" s="20" t="str">
        <f>IF(SUM(MZ10:NA10,NC10:NE10,NG10)-NB10-NF10&gt;0,SUM(MZ10:NA10,NC10:NE10,NG10)-NB10-NF10,"")</f>
        <v/>
      </c>
      <c r="NV10" s="20" t="str">
        <f>IF(SUM(NH10:NI10,NK10)-NJ10&gt;0,SUM(NH10:NI10,NK10)-NJ10,"")</f>
        <v/>
      </c>
      <c r="NW10" s="20" t="str">
        <f>IF(SUM(NA10,NE10,NI10)&gt;0,SUM(NA10,NE10,NI10),"")</f>
        <v/>
      </c>
      <c r="NX10" s="20" t="str">
        <f>IF(SUM(NU10,NV10)&gt;0,SUM(NU10,NV10),"")</f>
        <v/>
      </c>
      <c r="NY10" s="20" t="str">
        <f>IF(SUM(NM10,NQ10)&gt;0,SUM(NM10,NQ10),"")</f>
        <v/>
      </c>
      <c r="NZ10" s="20" t="str">
        <f>IF(SUM(NL10:NM10,NO10:NQ10,NS10)-SUM(NN10,NR10)&gt;0,SUM(NL10:NM10,NO10:NQ10,NS10)-SUM(NN10,NR10),"")</f>
        <v/>
      </c>
      <c r="OA10" s="20" t="str">
        <f>IF(SUM(NU10,NZ10)&gt;0,SUM(NU10,NZ10),"")</f>
        <v/>
      </c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79" t="str">
        <f>IF(SUM(OC10,OG10)&gt;0,SUM(OC10,OG10),"")</f>
        <v/>
      </c>
      <c r="OW10" s="79" t="str">
        <f>IF(SUM(OB10:OC10,OE10:OG10,OI10)-OD10-OH10&gt;0,SUM(OB10:OC10,OE10:OG10,OI10)-OD10-OH10,"")</f>
        <v/>
      </c>
      <c r="OX10" s="79" t="str">
        <f>IF(SUM(OJ10:OK10,OM10)-OL10&gt;0,SUM(OJ10:OK10,OM10)-OL10,"")</f>
        <v/>
      </c>
      <c r="OY10" s="79" t="str">
        <f>IF(SUM(OC10,OG10,OK10)&gt;0,SUM(OC10,OG10,OK10),"")</f>
        <v/>
      </c>
      <c r="OZ10" s="79" t="str">
        <f>IF(SUM(OW10,OX10)&gt;0,SUM(OW10,OX10),"")</f>
        <v/>
      </c>
      <c r="PA10" s="79" t="str">
        <f>IF(SUM(OO10,OS10)&gt;0,SUM(OO10,OS10),"")</f>
        <v/>
      </c>
      <c r="PB10" s="79" t="str">
        <f>IF(SUM(ON10:OO10,OQ10:OS10,OU10)-SUM(OP10,OT10)&gt;0,SUM(ON10:OO10,OQ10:OS10,OU10)-SUM(OP10,OT10),"")</f>
        <v/>
      </c>
      <c r="PC10" s="79" t="str">
        <f>IF(SUM(OW10,PB10)&gt;0,SUM(OW10,PB10),"")</f>
        <v/>
      </c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0" t="str">
        <f>IF(SUM(PE10,PI10)&gt;0,SUM(PE10,PI10),"")</f>
        <v/>
      </c>
      <c r="PY10" s="20" t="str">
        <f>IF(SUM(PD10:PE10,PG10:PI10,PK10)-PF10-PJ10&gt;0,SUM(PD10:PE10,PG10:PI10,PK10)-PF10-PJ10,"")</f>
        <v/>
      </c>
      <c r="PZ10" s="20" t="str">
        <f>IF(SUM(PL10:PM10,PO10)-PN10&gt;0,SUM(PL10:PM10,PO10)-PN10,"")</f>
        <v/>
      </c>
      <c r="QA10" s="20" t="str">
        <f>IF(SUM(PE10,PI10,PM10)&gt;0,SUM(PE10,PI10,PM10),"")</f>
        <v/>
      </c>
      <c r="QB10" s="20" t="str">
        <f>IF(SUM(PY10,PZ10)&gt;0,SUM(PY10,PZ10),"")</f>
        <v/>
      </c>
      <c r="QC10" s="20" t="str">
        <f>IF(SUM(PQ10,PU10)&gt;0,SUM(PQ10,PU10),"")</f>
        <v/>
      </c>
      <c r="QD10" s="20" t="str">
        <f>IF(SUM(PP10:PQ10,PS10:PU10,PW10)-SUM(PR10,PV10)&gt;0,SUM(PP10:PQ10,PS10:PU10,PW10)-SUM(PR10,PV10),"")</f>
        <v/>
      </c>
      <c r="QE10" s="20" t="str">
        <f>IF(SUM(PY10,QD10)&gt;0,SUM(PY10,QD10),"")</f>
        <v/>
      </c>
      <c r="QF10" s="38">
        <f>IF($CV10="P",CB10,(CB10+AY10)/2)</f>
        <v>9.3000500000000006</v>
      </c>
      <c r="QG10" s="38">
        <f>IF($CV10="P",CC10,(CC10+AZ10)/2)</f>
        <v>2.60005</v>
      </c>
      <c r="QH10" s="38">
        <f>IF($CV10="P",CD10,(CD10+BA10)/2)</f>
        <v>0.4</v>
      </c>
      <c r="QI10" s="38">
        <f>IF($CV10="P",CE10,(CE10+BB10)/2)</f>
        <v>0</v>
      </c>
      <c r="QJ10" s="38">
        <f>IF($CV10="P",CF10,(CF10+BC10)/2)</f>
        <v>9.3000000000000007</v>
      </c>
      <c r="QK10" s="38">
        <f>IF($CV10="P",CG10,(CG10+BD10)/2)</f>
        <v>2.8</v>
      </c>
      <c r="QL10" s="38">
        <f>IF($CV10="P",CH10,(CH10+BE10)/2)</f>
        <v>0.1</v>
      </c>
      <c r="QM10" s="38">
        <f>IF($CV10="P",CI10,(CI10+BF10)/2)</f>
        <v>0</v>
      </c>
      <c r="QN10" s="38">
        <f>IF($CV10="P",CJ10,(CJ10+BG10)/2)</f>
        <v>9</v>
      </c>
      <c r="QO10" s="38">
        <f>IF($CV10="P",CK10,(CK10+BH10)/2)</f>
        <v>2.4</v>
      </c>
      <c r="QP10" s="38">
        <f>IF($CV10="P",CL10,(CL10+BI10)/2)</f>
        <v>0.3</v>
      </c>
      <c r="QQ10" s="38">
        <f>IF($CV10="P",CM10,(CM10+BJ10)/2)</f>
        <v>0</v>
      </c>
      <c r="QR10" s="38">
        <f>IF($CV10="P",CN10,(CN10+BK10)/2)</f>
        <v>9.25</v>
      </c>
      <c r="QS10" s="38">
        <f>IF($CV10="P",CO10,(CO10+BL10)/2)</f>
        <v>2.6</v>
      </c>
      <c r="QT10" s="38">
        <f>IF($CV10="P",CP10,(CP10+BM10)/2)</f>
        <v>0.1</v>
      </c>
      <c r="QU10" s="38">
        <f>IF($CV10="P",CQ10,(CQ10+BN10)/2)</f>
        <v>0</v>
      </c>
      <c r="QV10" s="38">
        <f>IF($CV10="P",CR10,(CR10+BO10)/2)</f>
        <v>9.5</v>
      </c>
      <c r="QW10" s="38">
        <f>IF($CV10="P",CS10,(CS10+BP10)/2)</f>
        <v>2.8</v>
      </c>
      <c r="QX10" s="38">
        <f>IF($CV10="P",CT10,(CT10+BQ10)/2)</f>
        <v>0</v>
      </c>
      <c r="QY10" s="38">
        <f>IF($CV10="P",CU10,(CU10+BR10)/2)</f>
        <v>0</v>
      </c>
      <c r="QZ10" s="45" t="s">
        <v>46</v>
      </c>
      <c r="RA10" s="79">
        <f>IF(SUM(QG10,QK10)&gt;0,SUM(QG10,QK10),"")</f>
        <v>5.4000500000000002</v>
      </c>
      <c r="RB10" s="79">
        <f>IF(SUM(QF10:QG10,QI10:QK10,QM10)-QH10-QL10&gt;0,SUM(QF10:QG10,QI10:QK10,QM10)-QH10-QL10,"")</f>
        <v>23.5001</v>
      </c>
      <c r="RC10" s="79">
        <f>IF(SUM(QN10:QO10,QQ10)-QP10&gt;0,SUM(QN10:QO10,QQ10)-QP10,"")</f>
        <v>11.1</v>
      </c>
      <c r="RD10" s="79">
        <f>IF(SUM(QG10,QK10,QO10)&gt;0,SUM(QG10,QK10,QO10),"")</f>
        <v>7.8000500000000006</v>
      </c>
      <c r="RE10" s="79">
        <f>IF(SUM(RB10,RC10)&gt;0,SUM(RB10,RC10),"")</f>
        <v>34.600099999999998</v>
      </c>
      <c r="RF10" s="79">
        <f>IF(SUM(QS10,QW10)&gt;0,SUM(QS10,QW10),"")</f>
        <v>5.4</v>
      </c>
      <c r="RG10" s="79">
        <f>IF(SUM(QR10:QS10,QU10:QW10,QY10)-SUM(QT10,QX10)&gt;0,SUM(QR10:QS10,QU10:QW10,QY10)-SUM(QT10,QX10),"")</f>
        <v>24.05</v>
      </c>
      <c r="RH10" s="79">
        <f>IF(SUM(RB10,RG10)&gt;0,SUM(RB10,RG10),"")</f>
        <v>47.5501</v>
      </c>
    </row>
    <row r="11" spans="1:476" x14ac:dyDescent="0.2">
      <c r="A11" s="5">
        <f>IF(AND(F11="P",G11="P"),SUMPRODUCT((F$4:F$22="P")*(G$4:G$22="P")*(E$4:E$22&gt;E11))+1,IF(G11="P",SUMPRODUCT((F$4:F$22="")*(G$4:G$22="P")*(E$4:E$22&gt;E11))+1+SUMPRODUCT((F$4:F$22="P")*(G$4:G$22="P")),""))</f>
        <v>8</v>
      </c>
      <c r="B11" s="78" t="s">
        <v>91</v>
      </c>
      <c r="C11" s="5" t="s">
        <v>4</v>
      </c>
      <c r="D11" s="5">
        <v>2003</v>
      </c>
      <c r="E11" s="15">
        <f>SUM(I11:S11)+SUM(I11:O11)*0.0000001+SUM(I11)*0.0000000000001</f>
        <v>57.600005760003619</v>
      </c>
      <c r="F11" s="3" t="str">
        <f>IF(OR(AND(AQ11&gt;=AX$24,AR11&gt;=AX$28,AQ11&lt;&gt;"",AP11=""),AND(AV11&gt;=AX$24,AW11&gt;=AX$28,AV11&lt;&gt;"",AP11=""),AND(BT11&gt;=CA$24,BU11&gt;=CA$28,BT11&lt;&gt;"",BS11=""),AND(BY11&gt;=CA$24,BZ11&gt;=CA$28,BY11&lt;&gt;"",BS11=""),AND(CW11&gt;=DD$24,CX11&gt;=DD$28,CW11&lt;&gt;"",CV11=""),AND(DB11&gt;=DD$24,DC11&gt;=DD$28,DB11&lt;&gt;""),AND(EB11&gt;=EI$24,EC11&gt;=EI$28,EB11&lt;&gt;""),AND(EG11&gt;=EI$24,EH11&gt;=EI$28,EG11&lt;&gt;""),AND(FD11&gt;=FK$24,FE11&gt;=FK$28,FD11&lt;&gt;""),AND(FI11&gt;=FK$24,FJ11&gt;=FK$28,FI11&lt;&gt;""),AND(GF11&gt;=GM$24,GG11&gt;=GM$28,GF11&lt;&gt;""),AND(GK11&gt;=GM$24,GL11&gt;=GM$28,GK11&lt;&gt;""),AND(HH11&gt;=HO$24,HI11&gt;=HO$28,HH11&lt;&gt;""),AND(HM11&gt;=HO$24,HN11&gt;=HO$28,HM11&lt;&gt;""),AND(IJ11&gt;=IQ$24,IK11&gt;=IQ$28,IJ11&lt;&gt;""),AND(IO11&gt;=IQ$24,IP11&gt;=IQ$28,IO11&lt;&gt;""),AND(JL11&gt;=JS$24,JM11&gt;=JS$28,JL11&lt;&gt;""),AND(JQ11&gt;=JS$24,JR11&gt;=JS$28,JQ11&lt;&gt;""),AND(KN11&gt;=KU$24,KO11&gt;=KU$28,KN11&lt;&gt;""),AND(KS11&gt;=KU$24,KT11&gt;=KU$28,KS11&lt;&gt;""),AND(LP11&gt;=LW$24,LQ11&gt;=LW$28,LP11&lt;&gt;""),AND(LU11&gt;=LW$24,LV11&gt;=LW$28,LU11&lt;&gt;""),AND(MR11&gt;=MY$24,MS11&gt;=MY$28,MR11&lt;&gt;""),AND(MW11&gt;=MY$24,MX11&gt;=MY$28,MW11&lt;&gt;""),AND(NT11&gt;=OA$24,NU11&gt;=OA$28,NT11&lt;&gt;""),AND(NY11&gt;=OA$24,NZ11&gt;=OA$28,NY11&lt;&gt;""),AND(OV11&gt;=PC$24,OW11&gt;=PC$28,OV11&lt;&gt;""),AND(PA11&gt;=PC$24,PB11&gt;=PC$28,PA11&lt;&gt;""),AND(PX11&gt;=QE$24,PY11&gt;=QE$28,PX11&lt;&gt;""),AND(QC11&gt;=QE$24,QD11&gt;=QE$28,QC11&lt;&gt;"")),"P","")</f>
        <v>P</v>
      </c>
      <c r="G11" s="3" t="str">
        <f>IF(OR(AND(AR11&gt;=AX$28,AR11&lt;&gt;"",AP11=""),AND(AW11&gt;=AX$28,AW11&lt;&gt;"",AP11=""),AND(BU11&gt;=CA$28,BU11&lt;&gt;"",BS11=""),AND(BZ11&gt;=CA$28,BZ11&lt;&gt;"",BS11=""),AND(CX11&gt;=DD$28,CX11&lt;&gt;"",CV11=""),AND(DC11&gt;=DD$28,DC11&lt;&gt;"",CV11=""),AND(EC11&gt;=EI$28,EC11&lt;&gt;""),AND(EH11&gt;=EI$28,EH11&lt;&gt;""),AND(FE11&gt;=FK$28,FE11&lt;&gt;""),AND(FJ11&gt;=FK$28,FJ11&lt;&gt;""),AND(GG11&gt;=GM$28,GG11&lt;&gt;""),AND(GL11&gt;=GM$28,GL11&lt;&gt;""),AND(HI11&gt;=HO$28,HI11&lt;&gt;""),AND(HN11&gt;=HO$28,HN11&lt;&gt;""),AND(IK11&gt;=IQ$28,IK11&lt;&gt;""),AND(IP11&gt;=IQ$28,IP11&lt;&gt;""),AND(JM11&gt;=JS$28,JM11&lt;&gt;""),AND(JR11&gt;=JS$28,JR11&lt;&gt;""),AND(KO11&gt;=KU$28,KO11&lt;&gt;""),AND(KT11&gt;=KU$28,KT11&lt;&gt;""),AND(LQ11&gt;=LW$28,LQ11&lt;&gt;""),AND(LV11&gt;=LW$28,LV11&lt;&gt;""),AND(MS11&gt;=MY$28,MS11&lt;&gt;""),AND(MX11&gt;=MY$28,MX11&lt;&gt;""),AND(NU11&gt;=OA$28,NU11&lt;&gt;""),AND(NZ11&gt;=OA$28,NZ11&lt;&gt;""),AND(OW11&gt;=PC$28,OW11&lt;&gt;""),AND(PB11&gt;=PC$28,PB11&lt;&gt;""),AND(PY11&gt;=QE$28,PY11&lt;&gt;""),AND(QD11&gt;=QE$28,QD11&lt;&gt;"")),"P","")</f>
        <v>P</v>
      </c>
      <c r="H11" s="67" t="str">
        <f>IF(AND(G11="P",F11=""),"No DD",IF(OR(AND(AT11&gt;=AX$27,AU11&gt;=AX$31,AT11&lt;&gt;"",AP11=""),AND(BW11&gt;=CA$27,BX11&gt;=CA$31,BW11&lt;&gt;"",BS11=""),AND(CZ11&gt;=DD$27,DA11&gt;=DD$31,CZ11&lt;&gt;"",CV11=""),AND(EE11&gt;=EI$27,EF11&gt;=EI$31,EE11&lt;&gt;""),AND(FG11&gt;=FK$27,FH11&gt;=FK$31,FG11&lt;&gt;""),AND(GI11&gt;=GM$27,GJ11&gt;=GM$31,GI11&lt;&gt;""),AND(HK11&gt;=HO$27,HL11&gt;=HO$31,HK11&lt;&gt;""),AND(IM11&gt;=IQ$27,IN11&gt;=IQ$31,IM11&lt;&gt;""),AND(JO11&gt;=JS$27,JP11&gt;=JS$31,JO11&lt;&gt;""),AND(KQ11&gt;=KU$27,KR11&gt;=KU$31,KQ11&lt;&gt;""),AND(LS11&gt;=LW$27,LT11&gt;=LW$31,LS11&lt;&gt;""),AND(MU11&gt;=MY$27,MV11&gt;=MY$31,MU11&lt;&gt;""),AND(NW11&gt;=OA$27,NX11&gt;=OA$31,NW11&lt;&gt;""),AND(OY11&gt;=PC$27,OZ11&gt;=PC$31,OY11&lt;&gt;""),AND(QA11&gt;=QE$27,QB11&gt;=QE$31,QA11&lt;&gt;"")),"Merit",IF(OR(AND(AT11&gt;=AX$26,AU11&gt;=AX$30,AT11&lt;&gt;"",AP11=""),AND(BW11&gt;=CA$26,BX11&gt;=CA$30,BW11&lt;&gt;"",BS11=""),AND(CZ11&gt;=DD$26,DA11&gt;=DD$30,CZ11&lt;&gt;"",CV11=""),AND(EE11&gt;=EI$26,EF11&gt;=EI$30,EE11&lt;&gt;""),AND(FG11&gt;=FK$26,FH11&gt;=FK$30,FG11&lt;&gt;""),AND(GI11&gt;=GM$26,GJ11&gt;=GM$30,GI11&lt;&gt;""),AND(HK11&gt;=HO$26,HL11&gt;=HO$30,HK11&lt;&gt;""),AND(IM11&gt;=IQ$26,IN11&gt;=IQ$30,IM11&lt;&gt;""),AND(JO11&gt;=JS$26,JP11&gt;=JS$30,JO11&lt;&gt;""),AND(KQ11&gt;=KU$26,KR11&gt;=KU$30,KQ11&lt;&gt;""),AND(LS11&gt;=LW$26,LT11&gt;=LW$30,LS11&lt;&gt;""),AND(MU11&gt;=MY$26,MV11&gt;=MY$30,MU11&lt;&gt;""),AND(NW11&gt;=OA$26,NX11&gt;=OA$30,NW11&lt;&gt;""),AND(OY11&gt;=PC$26,OZ11&gt;=PC$30,OY11&lt;&gt;""),AND(QA11&gt;=QE$26,QB11&gt;=QE$30,QA11&lt;&gt;"")),"Excellence",IF(F11="P","National Team",""))))</f>
        <v>National Team</v>
      </c>
      <c r="I11" s="14">
        <f>IF(COUNT(AR11,BU11,CX11)&gt;0,LARGE((AR11,BU11,CX11),1),0)</f>
        <v>36.200000000000003</v>
      </c>
      <c r="J11" s="14" t="str">
        <f>IF(I11=0,"",IF(I11=CX11,$CB$1,IF(I11=BU11,$AY$1,IF(I11=AR11,$V$1,""))))</f>
        <v>2022 Elite Canada</v>
      </c>
      <c r="K11" s="14">
        <f>IF(COUNT(AR11,BU11,CX11)&gt;1,LARGE((AR11,BU11,CX11),2),0)</f>
        <v>0</v>
      </c>
      <c r="L11" s="14" t="str">
        <f>IF(K11=0,"",IF(K11=CX11,$CB$1,IF(K11=BU11,$AY$1,IF(K11=AR11,$V$1,""))))</f>
        <v/>
      </c>
      <c r="M11" s="14">
        <f>IF(COUNT(AS11,BV11,CY11)&gt;0,LARGE((AS11,BV11,CY11),1),0)</f>
        <v>21.4</v>
      </c>
      <c r="N11" s="14" t="str">
        <f>IF(M11=0,"",IF(M11=CY11,$CB$1,IF(M11=BV11,$AY$1,IF(M11=AS11,$V$1,""))))</f>
        <v>2022 Elite Canada</v>
      </c>
      <c r="O11" s="14">
        <f>IF(COUNT(AS11,BV11,CY11)&gt;1,LARGE((AS11,BV11,CY11),2),0)</f>
        <v>0</v>
      </c>
      <c r="P11" s="14" t="str">
        <f>IF(O11=0,"",IF(O11=CY11,$CB$1,IF(O11=BV11,$AY$1,IF(O11=AS11,$V$1,""))))</f>
        <v/>
      </c>
      <c r="Q11" s="14">
        <f>IF(MAX(AW11,BZ11,DC11)&gt;0,MAX(AW11,BZ11,DC11),0)</f>
        <v>0</v>
      </c>
      <c r="R11" s="14" t="str">
        <f>IF(Q11=0,"",IF(Q11=DC11,$CB$1,IF(Q11=BZ11,$AY$1,IF(Q11=AW11,$V$1,""))))</f>
        <v/>
      </c>
      <c r="S11" s="14" t="str">
        <f>IF(MAX(DE11:DG11)&gt;0,MAX(DE11:DG11),"")</f>
        <v/>
      </c>
      <c r="T11" s="20" t="str">
        <f>IF(S11="","",IF(S11=DE11,"("&amp;DE$2&amp;")",IF(S11=DG11,"("&amp;DG$2&amp;")")))</f>
        <v/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/>
      </c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45"/>
      <c r="AQ11" s="79" t="str">
        <f>IF(SUM(W11,AA11)&gt;0,SUM(W11,AA11),"")</f>
        <v/>
      </c>
      <c r="AR11" s="79" t="str">
        <f>IF(SUM(V11:W11,Y11:AA11,AC11)-X11-AB11&gt;0,SUM(V11:W11,Y11:AA11,AC11)-X11-AB11,"")</f>
        <v/>
      </c>
      <c r="AS11" s="79" t="str">
        <f>IF(SUM(AD11:AE11,AG11)-AF11&gt;0,SUM(AD11:AE11,AG11)-AF11,"")</f>
        <v/>
      </c>
      <c r="AT11" s="79" t="str">
        <f>IF(SUM(W11,AA11,AE11)&gt;0,SUM(W11,AA11,AE11),"")</f>
        <v/>
      </c>
      <c r="AU11" s="79" t="str">
        <f>IF(SUM(AR11,AS11)&gt;0,SUM(AR11,AS11),"")</f>
        <v/>
      </c>
      <c r="AV11" s="79" t="str">
        <f>IF(SUM(AI11,AM11)&gt;0,SUM(AI11,AM11),"")</f>
        <v/>
      </c>
      <c r="AW11" s="79" t="str">
        <f>IF(SUM(AH11:AI11,AK11:AM11,AO11)-SUM(AJ11,AN11)&gt;0,SUM(AH11:AI11,AK11:AM11,AO11)-SUM(AJ11,AN11),"")</f>
        <v/>
      </c>
      <c r="AX11" s="79" t="str">
        <f>IF(SUM(AR11,AW11)&gt;0,SUM(AR11,AW11),"")</f>
        <v/>
      </c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46"/>
      <c r="BT11" s="20" t="str">
        <f>IF(SUM(AZ11,BD11)&gt;0,SUM(AZ11,BD11),"")</f>
        <v/>
      </c>
      <c r="BU11" s="20" t="str">
        <f>IF(SUM(AY11:AZ11,BB11:BD11,BF11)-BA11-BE11&gt;0,SUM(AY11:AZ11,BB11:BD11,BF11)-BA11-BE11,"")</f>
        <v/>
      </c>
      <c r="BV11" s="20" t="str">
        <f>IF(SUM(BG11:BH11,BJ11)-BI11&gt;0,SUM(BG11:BH11,BJ11)-BI11,"")</f>
        <v/>
      </c>
      <c r="BW11" s="20" t="str">
        <f>IF(SUM(AZ11,BD11,BH11)&gt;0,SUM(AZ11,BD11,BH11),"")</f>
        <v/>
      </c>
      <c r="BX11" s="20" t="str">
        <f>IF(SUM(BU11,BV11)&gt;0,SUM(BU11,BV11),"")</f>
        <v/>
      </c>
      <c r="BY11" s="20" t="str">
        <f>IF(SUM(BL11,BP11)&gt;0,SUM(BL11,BP11),"")</f>
        <v/>
      </c>
      <c r="BZ11" s="20" t="str">
        <f>IF(SUM(BK11:BL11,BN11:BP11,BR11)-SUM(BM11,BQ11)&gt;0,SUM(BK11:BL11,BN11:BP11,BR11)-SUM(BM11,BQ11),"")</f>
        <v/>
      </c>
      <c r="CA11" s="20" t="str">
        <f>IF(SUM(BU11,BZ11)&gt;0,SUM(BU11,BZ11),"")</f>
        <v/>
      </c>
      <c r="CB11" s="27">
        <v>17.600000000000001</v>
      </c>
      <c r="CC11" s="27">
        <v>4.4000000000000004</v>
      </c>
      <c r="CD11" s="27">
        <v>0.8</v>
      </c>
      <c r="CE11" s="27">
        <v>0</v>
      </c>
      <c r="CF11" s="27">
        <v>18</v>
      </c>
      <c r="CG11" s="27">
        <v>0</v>
      </c>
      <c r="CH11" s="27">
        <v>3</v>
      </c>
      <c r="CI11" s="27">
        <v>0</v>
      </c>
      <c r="CJ11" s="27">
        <v>18.3</v>
      </c>
      <c r="CK11" s="27">
        <v>3.9</v>
      </c>
      <c r="CL11" s="27">
        <v>0.8</v>
      </c>
      <c r="CM11" s="27">
        <v>0</v>
      </c>
      <c r="CN11" s="27"/>
      <c r="CO11" s="27"/>
      <c r="CP11" s="27"/>
      <c r="CQ11" s="27"/>
      <c r="CR11" s="27"/>
      <c r="CS11" s="27"/>
      <c r="CT11" s="27"/>
      <c r="CU11" s="27"/>
      <c r="CV11" s="45"/>
      <c r="CW11" s="79">
        <f>IF(SUM(CC11,CG11)&gt;0,SUM(CC11,CG11),"")</f>
        <v>4.4000000000000004</v>
      </c>
      <c r="CX11" s="79">
        <f>IF(SUM(CB11:CC11,CE11:CG11,CI11)-CD11-CH11&gt;0,SUM(CB11:CC11,CE11:CG11,CI11)-CD11-CH11,"")</f>
        <v>36.200000000000003</v>
      </c>
      <c r="CY11" s="79">
        <f>IF(SUM(CJ11:CK11,CM11)-CL11&gt;0,SUM(CJ11:CK11,CM11)-CL11,"")</f>
        <v>21.4</v>
      </c>
      <c r="CZ11" s="79">
        <f>IF(SUM(CC11,CG11,CK11)&gt;0,SUM(CC11,CG11,CK11),"")</f>
        <v>8.3000000000000007</v>
      </c>
      <c r="DA11" s="79">
        <f>IF(SUM(CX11,CY11)&gt;0,SUM(CX11,CY11),"")</f>
        <v>57.6</v>
      </c>
      <c r="DB11" s="79" t="str">
        <f>IF(SUM(CO11,CS11)&gt;0,SUM(CO11,CS11),"")</f>
        <v/>
      </c>
      <c r="DC11" s="79" t="str">
        <f>IF(SUM(CN11:CO11,CQ11:CS11,CU11)-SUM(CP11,CT11)&gt;0,SUM(CN11:CO11,CQ11:CS11,CU11)-SUM(CP11,CT11),"")</f>
        <v/>
      </c>
      <c r="DD11" s="79">
        <f>IF(SUM(CX11,DC11)&gt;0,SUM(CX11,DC11),"")</f>
        <v>36.200000000000003</v>
      </c>
      <c r="DE11" s="80" t="str">
        <f>IF(K11&gt;=0.001,IF(MAX(EC11,FE11,GG11,HI11,IK11,JM11,KO11,LQ11,MS11,NU11,OW11,PY11)-IF(K11="",0,K11)&gt;0.001,MAX(EC11,FE11,GG11,HI11,IK11,JM11,KO11,LQ11,MS11,NU11,OW11,PY11)-IF(K11="",0,K11),""),"")</f>
        <v/>
      </c>
      <c r="DF11" s="80" t="str">
        <f>IF(O11&gt;=0.001,IF(MAX(ED11,FF11,GH11,HJ11,IL11,JN11,KP11,LR11,MT11,NV11,OX11,PZ11)-IF(O11="",0,O11)&gt;0.001,MAX(ED11,FF11,GH11,HJ11,IL11,JN11,KP11,LR11,MT11,NV11,OX11,PZ11)-IF(O11="",0,O11),""),"")</f>
        <v/>
      </c>
      <c r="DG11" s="80" t="str">
        <f>IF(Q11&gt;=0.001,IF(MAX(EH11,FJ11,GL11,HN11,IP11,JR11,KT11,LV11,MX11,NZ11,PB11,QD11)-IF(Q11="",0,Q11)&gt;0.001,MAX(EH11,FJ11,GL11,HN11,IP11,JR11,KT11,LV11,MX11,NZ11,PB11,QD11)-IF(Q11="",0,Q11),""),"")</f>
        <v/>
      </c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79" t="str">
        <f>IF(SUM(DI11,DM11)&gt;0,SUM(DI11,DM11),"")</f>
        <v/>
      </c>
      <c r="EC11" s="79" t="str">
        <f>IF(SUM(DH11:DI11,DK11:DM11,DO11)-DJ11-DN11&gt;0,SUM(DH11:DI11,DK11:DM11,DO11)-DJ11-DN11,"")</f>
        <v/>
      </c>
      <c r="ED11" s="79" t="str">
        <f>IF(SUM(DP11:DQ11,DS11)-DR11&gt;0,SUM(DP11:DQ11,DS11)-DR11,"")</f>
        <v/>
      </c>
      <c r="EE11" s="79" t="str">
        <f>IF(SUM(DI11,DM11,DQ11)&gt;0,SUM(DI11,DM11,DQ11),"")</f>
        <v/>
      </c>
      <c r="EF11" s="79" t="str">
        <f>IF(SUM(EC11,ED11)&gt;0,SUM(EC11,ED11),"")</f>
        <v/>
      </c>
      <c r="EG11" s="79" t="str">
        <f>IF(SUM(DU11,DY11)&gt;0,SUM(DU11,DY11),"")</f>
        <v/>
      </c>
      <c r="EH11" s="79" t="str">
        <f>IF(SUM(DT11:DU11,DW11:DY11,EA11)-SUM(DV11,DZ11)&gt;0,SUM(DT11:DU11,DW11:DY11,EA11)-SUM(DV11,DZ11),"")</f>
        <v/>
      </c>
      <c r="EI11" s="79" t="str">
        <f>IF(SUM(EC11,EH11)&gt;0,SUM(EC11,EH11),"")</f>
        <v/>
      </c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0" t="str">
        <f>IF(SUM(EK11,EO11)&gt;0,SUM(EK11,EO11),"")</f>
        <v/>
      </c>
      <c r="FE11" s="20" t="str">
        <f>IF(SUM(EJ11:EK11,EM11:EO11,EQ11)-EL11-EP11&gt;0,SUM(EJ11:EK11,EM11:EO11,EQ11)-EL11-EP11,"")</f>
        <v/>
      </c>
      <c r="FF11" s="20" t="str">
        <f>IF(SUM(ER11:ES11,EU11)-ET11&gt;0,SUM(ER11:ES11,EU11)-ET11,"")</f>
        <v/>
      </c>
      <c r="FG11" s="20" t="str">
        <f>IF(SUM(EK11,EO11,ES11)&gt;0,SUM(EK11,EO11,ES11),"")</f>
        <v/>
      </c>
      <c r="FH11" s="20" t="str">
        <f>IF(SUM(FE11,FF11)&gt;0,SUM(FE11,FF11),"")</f>
        <v/>
      </c>
      <c r="FI11" s="20" t="str">
        <f>IF(SUM(EW11,FA11)&gt;0,SUM(EW11,FA11),"")</f>
        <v/>
      </c>
      <c r="FJ11" s="20" t="str">
        <f>IF(SUM(EV11:EW11,EY11:FA11,FC11)-SUM(EX11,FB11)&gt;0,SUM(EV11:EW11,EY11:FA11,FC11)-SUM(EX11,FB11),"")</f>
        <v/>
      </c>
      <c r="FK11" s="20" t="str">
        <f>IF(SUM(FE11,FJ11)&gt;0,SUM(FE11,FJ11),"")</f>
        <v/>
      </c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79" t="str">
        <f>IF(SUM(FM11,FQ11)&gt;0,SUM(FM11,FQ11),"")</f>
        <v/>
      </c>
      <c r="GG11" s="79" t="str">
        <f>IF(SUM(FL11:FM11,FO11:FQ11,FS11)-FN11-FR11&gt;0,SUM(FL11:FM11,FO11:FQ11,FS11)-FN11-FR11,"")</f>
        <v/>
      </c>
      <c r="GH11" s="79" t="str">
        <f>IF(SUM(FT11:FU11,FW11)-FV11&gt;0,SUM(FT11:FU11,FW11)-FV11,"")</f>
        <v/>
      </c>
      <c r="GI11" s="79" t="str">
        <f>IF(SUM(FM11,FQ11,FU11)&gt;0,SUM(FM11,FQ11,FU11),"")</f>
        <v/>
      </c>
      <c r="GJ11" s="79" t="str">
        <f>IF(SUM(GG11,GH11)&gt;0,SUM(GG11,GH11),"")</f>
        <v/>
      </c>
      <c r="GK11" s="79" t="str">
        <f>IF(SUM(FY11,GC11)&gt;0,SUM(FY11,GC11),"")</f>
        <v/>
      </c>
      <c r="GL11" s="79" t="str">
        <f>IF(SUM(FX11:FY11,GA11:GC11,GE11)-SUM(FZ11,GD11)&gt;0,SUM(FX11:FY11,GA11:GC11,GE11)-SUM(FZ11,GD11),"")</f>
        <v/>
      </c>
      <c r="GM11" s="79" t="str">
        <f>IF(SUM(GG11,GL11)&gt;0,SUM(GG11,GL11),"")</f>
        <v/>
      </c>
      <c r="GN11" s="26">
        <v>18.600000000000001</v>
      </c>
      <c r="GO11" s="26">
        <v>5.6</v>
      </c>
      <c r="GP11" s="26">
        <v>0.2</v>
      </c>
      <c r="GQ11" s="26">
        <v>0</v>
      </c>
      <c r="GR11" s="26">
        <v>17.7</v>
      </c>
      <c r="GS11" s="26">
        <v>6</v>
      </c>
      <c r="GT11" s="26">
        <v>1</v>
      </c>
      <c r="GU11" s="26">
        <v>0</v>
      </c>
      <c r="GV11" s="26"/>
      <c r="GW11" s="26"/>
      <c r="GX11" s="26"/>
      <c r="GY11" s="26"/>
      <c r="GZ11" s="26">
        <v>18.7</v>
      </c>
      <c r="HA11" s="26">
        <v>5.6</v>
      </c>
      <c r="HB11" s="26">
        <v>0.2</v>
      </c>
      <c r="HC11" s="26">
        <v>0</v>
      </c>
      <c r="HD11" s="26">
        <v>18.399999999999999</v>
      </c>
      <c r="HE11" s="26">
        <v>6</v>
      </c>
      <c r="HF11" s="26">
        <v>0.2</v>
      </c>
      <c r="HG11" s="26">
        <v>0</v>
      </c>
      <c r="HH11" s="20">
        <f>IF(SUM(GO11,GS11)&gt;0,SUM(GO11,GS11),"")</f>
        <v>11.6</v>
      </c>
      <c r="HI11" s="20">
        <f>IF(SUM(GN11:GO11,GQ11:GS11,GU11)-GP11-GT11&gt;0,SUM(GN11:GO11,GQ11:GS11,GU11)-GP11-GT11,"")</f>
        <v>46.7</v>
      </c>
      <c r="HJ11" s="20" t="str">
        <f>IF(SUM(GV11:GW11,GY11)-GX11&gt;0,SUM(GV11:GW11,GY11)-GX11,"")</f>
        <v/>
      </c>
      <c r="HK11" s="20">
        <f>IF(SUM(GO11,GS11,GW11)&gt;0,SUM(GO11,GS11,GW11),"")</f>
        <v>11.6</v>
      </c>
      <c r="HL11" s="20">
        <f>IF(SUM(HI11,HJ11)&gt;0,SUM(HI11,HJ11),"")</f>
        <v>46.7</v>
      </c>
      <c r="HM11" s="20">
        <f>IF(SUM(HA11,HE11)&gt;0,SUM(HA11,HE11),"")</f>
        <v>11.6</v>
      </c>
      <c r="HN11" s="20">
        <f>IF(SUM(GZ11:HA11,HC11:HE11,HG11)-SUM(HB11,HF11)&gt;0,SUM(GZ11:HA11,HC11:HE11,HG11)-SUM(HB11,HF11),"")</f>
        <v>48.3</v>
      </c>
      <c r="HO11" s="20">
        <f>IF(SUM(HI11,HN11)&gt;0,SUM(HI11,HN11),"")</f>
        <v>95</v>
      </c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79" t="str">
        <f>IF(SUM(HQ11,HU11)&gt;0,SUM(HQ11,HU11),"")</f>
        <v/>
      </c>
      <c r="IK11" s="79" t="str">
        <f>IF(SUM(HP11:HQ11,HS11:HU11,HW11)-HR11-HV11&gt;0,SUM(HP11:HQ11,HS11:HU11,HW11)-HR11-HV11,"")</f>
        <v/>
      </c>
      <c r="IL11" s="79" t="str">
        <f>IF(SUM(HX11:HY11,IA11)-HZ11&gt;0,SUM(HX11:HY11,IA11)-HZ11,"")</f>
        <v/>
      </c>
      <c r="IM11" s="79" t="str">
        <f>IF(SUM(HQ11,HU11,HY11)&gt;0,SUM(HQ11,HU11,HY11),"")</f>
        <v/>
      </c>
      <c r="IN11" s="79" t="str">
        <f>IF(SUM(IK11,IL11)&gt;0,SUM(IK11,IL11),"")</f>
        <v/>
      </c>
      <c r="IO11" s="79" t="str">
        <f>IF(SUM(IC11,IG11)&gt;0,SUM(IC11,IG11),"")</f>
        <v/>
      </c>
      <c r="IP11" s="79" t="str">
        <f>IF(SUM(IB11:IC11,IE11:IG11,II11)-SUM(ID11,IH11)&gt;0,SUM(IB11:IC11,IE11:IG11,II11)-SUM(ID11,IH11),"")</f>
        <v/>
      </c>
      <c r="IQ11" s="79" t="str">
        <f>IF(SUM(IK11,IP11)&gt;0,SUM(IK11,IP11),"")</f>
        <v/>
      </c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0" t="str">
        <f>IF(SUM(IS11,IW11)&gt;0,SUM(IS11,IW11),"")</f>
        <v/>
      </c>
      <c r="JM11" s="20" t="str">
        <f>IF(SUM(IR11:IS11,IU11:IW11,IY11)-IT11-IX11&gt;0,SUM(IR11:IS11,IU11:IW11,IY11)-IT11-IX11,"")</f>
        <v/>
      </c>
      <c r="JN11" s="20" t="str">
        <f>IF(SUM(IZ11:JA11,JC11)-JB11&gt;0,SUM(IZ11:JA11,JC11)-JB11,"")</f>
        <v/>
      </c>
      <c r="JO11" s="20" t="str">
        <f>IF(SUM(IS11,IW11,JA11)&gt;0,SUM(IS11,IW11,JA11),"")</f>
        <v/>
      </c>
      <c r="JP11" s="20" t="str">
        <f>IF(SUM(JM11,JN11)&gt;0,SUM(JM11,JN11),"")</f>
        <v/>
      </c>
      <c r="JQ11" s="20" t="str">
        <f>IF(SUM(JE11,JI11)&gt;0,SUM(JE11,JI11),"")</f>
        <v/>
      </c>
      <c r="JR11" s="20" t="str">
        <f>IF(SUM(JD11:JE11,JG11:JI11,JK11)-SUM(JF11,JJ11)&gt;0,SUM(JD11:JE11,JG11:JI11,JK11)-SUM(JF11,JJ11),"")</f>
        <v/>
      </c>
      <c r="JS11" s="20" t="str">
        <f>IF(SUM(JM11,JR11)&gt;0,SUM(JM11,JR11),"")</f>
        <v/>
      </c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79" t="str">
        <f>IF(SUM(JU11,JY11)&gt;0,SUM(JU11,JY11),"")</f>
        <v/>
      </c>
      <c r="KO11" s="79" t="str">
        <f>IF(SUM(JT11:JU11,JW11:JY11,KA11)-JV11-JZ11&gt;0,SUM(JT11:JU11,JW11:JY11,KA11)-JV11-JZ11,"")</f>
        <v/>
      </c>
      <c r="KP11" s="79" t="str">
        <f>IF(SUM(KB11:KC11,KE11)-KD11&gt;0,SUM(KB11:KC11,KE11)-KD11,"")</f>
        <v/>
      </c>
      <c r="KQ11" s="79" t="str">
        <f>IF(SUM(JU11,JY11,KC11)&gt;0,SUM(JU11,JY11,KC11),"")</f>
        <v/>
      </c>
      <c r="KR11" s="79" t="str">
        <f>IF(SUM(KO11,KP11)&gt;0,SUM(KO11,KP11),"")</f>
        <v/>
      </c>
      <c r="KS11" s="79" t="str">
        <f>IF(SUM(KG11,KK11)&gt;0,SUM(KG11,KK11),"")</f>
        <v/>
      </c>
      <c r="KT11" s="79" t="str">
        <f>IF(SUM(KF11:KG11,KI11:KK11,KM11)-SUM(KH11,KL11)&gt;0,SUM(KF11:KG11,KI11:KK11,KM11)-SUM(KH11,KL11),"")</f>
        <v/>
      </c>
      <c r="KU11" s="79" t="str">
        <f>IF(SUM(KO11,KT11)&gt;0,SUM(KO11,KT11),"")</f>
        <v/>
      </c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0" t="str">
        <f>IF(SUM(KW11,LA11)&gt;0,SUM(KW11,LA11),"")</f>
        <v/>
      </c>
      <c r="LQ11" s="20" t="str">
        <f>IF(SUM(KV11:KW11,KY11:LA11,LC11)-KX11-LB11&gt;0,SUM(KV11:KW11,KY11:LA11,LC11)-KX11-LB11,"")</f>
        <v/>
      </c>
      <c r="LR11" s="20" t="str">
        <f>IF(SUM(LD11:LE11,LG11)-LF11&gt;0,SUM(LD11:LE11,LG11)-LF11,"")</f>
        <v/>
      </c>
      <c r="LS11" s="20" t="str">
        <f>IF(SUM(KW11,LA11,LE11)&gt;0,SUM(KW11,LA11,LE11),"")</f>
        <v/>
      </c>
      <c r="LT11" s="20" t="str">
        <f>IF(SUM(LQ11,LR11)&gt;0,SUM(LQ11,LR11),"")</f>
        <v/>
      </c>
      <c r="LU11" s="20" t="str">
        <f>IF(SUM(LI11,LM11)&gt;0,SUM(LI11,LM11),"")</f>
        <v/>
      </c>
      <c r="LV11" s="20" t="str">
        <f>IF(SUM(LH11:LI11,LK11:LM11,LO11)-SUM(LJ11,LN11)&gt;0,SUM(LH11:LI11,LK11:LM11,LO11)-SUM(LJ11,LN11),"")</f>
        <v/>
      </c>
      <c r="LW11" s="20" t="str">
        <f>IF(SUM(LQ11,LV11)&gt;0,SUM(LQ11,LV11),"")</f>
        <v/>
      </c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79" t="str">
        <f>IF(SUM(LY11,MC11)&gt;0,SUM(LY11,MC11),"")</f>
        <v/>
      </c>
      <c r="MS11" s="79" t="str">
        <f>IF(SUM(LX11:LY11,MA11:MC11,ME11)-LZ11-MD11&gt;0,SUM(LX11:LY11,MA11:MC11,ME11)-LZ11-MD11,"")</f>
        <v/>
      </c>
      <c r="MT11" s="79" t="str">
        <f>IF(SUM(MF11:MG11,MI11)-MH11&gt;0,SUM(MF11:MG11,MI11)-MH11,"")</f>
        <v/>
      </c>
      <c r="MU11" s="79" t="str">
        <f>IF(SUM(LY11,MC11,MG11)&gt;0,SUM(LY11,MC11,MG11),"")</f>
        <v/>
      </c>
      <c r="MV11" s="79" t="str">
        <f>IF(SUM(MS11,MT11)&gt;0,SUM(MS11,MT11),"")</f>
        <v/>
      </c>
      <c r="MW11" s="79" t="str">
        <f>IF(SUM(MK11,MO11)&gt;0,SUM(MK11,MO11),"")</f>
        <v/>
      </c>
      <c r="MX11" s="79" t="str">
        <f>IF(SUM(MJ11:MK11,MM11:MO11,MQ11)-SUM(ML11,MP11)&gt;0,SUM(MJ11:MK11,MM11:MO11,MQ11)-SUM(ML11,MP11),"")</f>
        <v/>
      </c>
      <c r="MY11" s="79" t="str">
        <f>IF(SUM(MS11,MX11)&gt;0,SUM(MS11,MX11),"")</f>
        <v/>
      </c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0" t="str">
        <f>IF(SUM(NA11,NE11)&gt;0,SUM(NA11,NE11),"")</f>
        <v/>
      </c>
      <c r="NU11" s="20" t="str">
        <f>IF(SUM(MZ11:NA11,NC11:NE11,NG11)-NB11-NF11&gt;0,SUM(MZ11:NA11,NC11:NE11,NG11)-NB11-NF11,"")</f>
        <v/>
      </c>
      <c r="NV11" s="20" t="str">
        <f>IF(SUM(NH11:NI11,NK11)-NJ11&gt;0,SUM(NH11:NI11,NK11)-NJ11,"")</f>
        <v/>
      </c>
      <c r="NW11" s="20" t="str">
        <f>IF(SUM(NA11,NE11,NI11)&gt;0,SUM(NA11,NE11,NI11),"")</f>
        <v/>
      </c>
      <c r="NX11" s="20" t="str">
        <f>IF(SUM(NU11,NV11)&gt;0,SUM(NU11,NV11),"")</f>
        <v/>
      </c>
      <c r="NY11" s="20" t="str">
        <f>IF(SUM(NM11,NQ11)&gt;0,SUM(NM11,NQ11),"")</f>
        <v/>
      </c>
      <c r="NZ11" s="20" t="str">
        <f>IF(SUM(NL11:NM11,NO11:NQ11,NS11)-SUM(NN11,NR11)&gt;0,SUM(NL11:NM11,NO11:NQ11,NS11)-SUM(NN11,NR11),"")</f>
        <v/>
      </c>
      <c r="OA11" s="20" t="str">
        <f>IF(SUM(NU11,NZ11)&gt;0,SUM(NU11,NZ11),"")</f>
        <v/>
      </c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79" t="str">
        <f>IF(SUM(OC11,OG11)&gt;0,SUM(OC11,OG11),"")</f>
        <v/>
      </c>
      <c r="OW11" s="79" t="str">
        <f>IF(SUM(OB11:OC11,OE11:OG11,OI11)-OD11-OH11&gt;0,SUM(OB11:OC11,OE11:OG11,OI11)-OD11-OH11,"")</f>
        <v/>
      </c>
      <c r="OX11" s="79" t="str">
        <f>IF(SUM(OJ11:OK11,OM11)-OL11&gt;0,SUM(OJ11:OK11,OM11)-OL11,"")</f>
        <v/>
      </c>
      <c r="OY11" s="79" t="str">
        <f>IF(SUM(OC11,OG11,OK11)&gt;0,SUM(OC11,OG11,OK11),"")</f>
        <v/>
      </c>
      <c r="OZ11" s="79" t="str">
        <f>IF(SUM(OW11,OX11)&gt;0,SUM(OW11,OX11),"")</f>
        <v/>
      </c>
      <c r="PA11" s="79" t="str">
        <f>IF(SUM(OO11,OS11)&gt;0,SUM(OO11,OS11),"")</f>
        <v/>
      </c>
      <c r="PB11" s="79" t="str">
        <f>IF(SUM(ON11:OO11,OQ11:OS11,OU11)-SUM(OP11,OT11)&gt;0,SUM(ON11:OO11,OQ11:OS11,OU11)-SUM(OP11,OT11),"")</f>
        <v/>
      </c>
      <c r="PC11" s="79" t="str">
        <f>IF(SUM(OW11,PB11)&gt;0,SUM(OW11,PB11),"")</f>
        <v/>
      </c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0" t="str">
        <f>IF(SUM(PE11,PI11)&gt;0,SUM(PE11,PI11),"")</f>
        <v/>
      </c>
      <c r="PY11" s="20" t="str">
        <f>IF(SUM(PD11:PE11,PG11:PI11,PK11)-PF11-PJ11&gt;0,SUM(PD11:PE11,PG11:PI11,PK11)-PF11-PJ11,"")</f>
        <v/>
      </c>
      <c r="PZ11" s="20" t="str">
        <f>IF(SUM(PL11:PM11,PO11)-PN11&gt;0,SUM(PL11:PM11,PO11)-PN11,"")</f>
        <v/>
      </c>
      <c r="QA11" s="20" t="str">
        <f>IF(SUM(PE11,PI11,PM11)&gt;0,SUM(PE11,PI11,PM11),"")</f>
        <v/>
      </c>
      <c r="QB11" s="20" t="str">
        <f>IF(SUM(PY11,PZ11)&gt;0,SUM(PY11,PZ11),"")</f>
        <v/>
      </c>
      <c r="QC11" s="20" t="str">
        <f>IF(SUM(PQ11,PU11)&gt;0,SUM(PQ11,PU11),"")</f>
        <v/>
      </c>
      <c r="QD11" s="20" t="str">
        <f>IF(SUM(PP11:PQ11,PS11:PU11,PW11)-SUM(PR11,PV11)&gt;0,SUM(PP11:PQ11,PS11:PU11,PW11)-SUM(PR11,PV11),"")</f>
        <v/>
      </c>
      <c r="QE11" s="20" t="str">
        <f>IF(SUM(PY11,QD11)&gt;0,SUM(PY11,QD11),"")</f>
        <v/>
      </c>
      <c r="QF11" s="38">
        <f>IF($CV11="P",CB11,(CB11+AY11)/2)</f>
        <v>8.8000000000000007</v>
      </c>
      <c r="QG11" s="38">
        <f>IF($CV11="P",CC11,(CC11+AZ11)/2)</f>
        <v>2.2000000000000002</v>
      </c>
      <c r="QH11" s="38">
        <f>IF($CV11="P",CD11,(CD11+BA11)/2)</f>
        <v>0.4</v>
      </c>
      <c r="QI11" s="38">
        <f>IF($CV11="P",CE11,(CE11+BB11)/2)</f>
        <v>0</v>
      </c>
      <c r="QJ11" s="38">
        <f>IF($CV11="P",CF11,(CF11+BC11)/2)</f>
        <v>9</v>
      </c>
      <c r="QK11" s="38">
        <f>IF($CV11="P",CG11,(CG11+BD11)/2)</f>
        <v>0</v>
      </c>
      <c r="QL11" s="38">
        <f>IF($CV11="P",CH11,(CH11+BE11)/2)</f>
        <v>1.5</v>
      </c>
      <c r="QM11" s="38">
        <f>IF($CV11="P",CI11,(CI11+BF11)/2)</f>
        <v>0</v>
      </c>
      <c r="QN11" s="38">
        <f>IF($CV11="P",CJ11,(CJ11+BG11)/2)</f>
        <v>9.15</v>
      </c>
      <c r="QO11" s="38">
        <f>IF($CV11="P",CK11,(CK11+BH11)/2)</f>
        <v>1.95</v>
      </c>
      <c r="QP11" s="38">
        <f>IF($CV11="P",CL11,(CL11+BI11)/2)</f>
        <v>0.4</v>
      </c>
      <c r="QQ11" s="38">
        <f>IF($CV11="P",CM11,(CM11+BJ11)/2)</f>
        <v>0</v>
      </c>
      <c r="QR11" s="38">
        <f>IF($CV11="P",CN11,(CN11+BK11)/2)</f>
        <v>0</v>
      </c>
      <c r="QS11" s="38">
        <f>IF($CV11="P",CO11,(CO11+BL11)/2)</f>
        <v>0</v>
      </c>
      <c r="QT11" s="38">
        <f>IF($CV11="P",CP11,(CP11+BM11)/2)</f>
        <v>0</v>
      </c>
      <c r="QU11" s="38">
        <f>IF($CV11="P",CQ11,(CQ11+BN11)/2)</f>
        <v>0</v>
      </c>
      <c r="QV11" s="38">
        <f>IF($CV11="P",CR11,(CR11+BO11)/2)</f>
        <v>0</v>
      </c>
      <c r="QW11" s="38">
        <f>IF($CV11="P",CS11,(CS11+BP11)/2)</f>
        <v>0</v>
      </c>
      <c r="QX11" s="38">
        <f>IF($CV11="P",CT11,(CT11+BQ11)/2)</f>
        <v>0</v>
      </c>
      <c r="QY11" s="38">
        <f>IF($CV11="P",CU11,(CU11+BR11)/2)</f>
        <v>0</v>
      </c>
      <c r="QZ11" s="45" t="s">
        <v>46</v>
      </c>
      <c r="RA11" s="79">
        <f>IF(SUM(QG11,QK11)&gt;0,SUM(QG11,QK11),"")</f>
        <v>2.2000000000000002</v>
      </c>
      <c r="RB11" s="79">
        <f>IF(SUM(QF11:QG11,QI11:QK11,QM11)-QH11-QL11&gt;0,SUM(QF11:QG11,QI11:QK11,QM11)-QH11-QL11,"")</f>
        <v>18.100000000000001</v>
      </c>
      <c r="RC11" s="79">
        <f>IF(SUM(QN11:QO11,QQ11)-QP11&gt;0,SUM(QN11:QO11,QQ11)-QP11,"")</f>
        <v>10.7</v>
      </c>
      <c r="RD11" s="79">
        <f>IF(SUM(QG11,QK11,QO11)&gt;0,SUM(QG11,QK11,QO11),"")</f>
        <v>4.1500000000000004</v>
      </c>
      <c r="RE11" s="79">
        <f>IF(SUM(RB11,RC11)&gt;0,SUM(RB11,RC11),"")</f>
        <v>28.8</v>
      </c>
      <c r="RF11" s="79" t="str">
        <f>IF(SUM(QS11,QW11)&gt;0,SUM(QS11,QW11),"")</f>
        <v/>
      </c>
      <c r="RG11" s="79" t="str">
        <f>IF(SUM(QR11:QS11,QU11:QW11,QY11)-SUM(QT11,QX11)&gt;0,SUM(QR11:QS11,QU11:QW11,QY11)-SUM(QT11,QX11),"")</f>
        <v/>
      </c>
      <c r="RH11" s="79">
        <f>IF(SUM(RB11,RG11)&gt;0,SUM(RB11,RG11),"")</f>
        <v>18.100000000000001</v>
      </c>
    </row>
    <row r="12" spans="1:476" x14ac:dyDescent="0.2">
      <c r="A12" s="5" t="str">
        <f>IF(AND(F12="P",G12="P"),SUMPRODUCT((F$4:F$22="P")*(G$4:G$22="P")*(E$4:E$22&gt;E12))+1,IF(G12="P",SUMPRODUCT((F$4:F$22="")*(G$4:G$22="P")*(E$4:E$22&gt;E12))+1+SUMPRODUCT((F$4:F$22="P")*(G$4:G$22="P")),""))</f>
        <v/>
      </c>
      <c r="B12" s="78" t="s">
        <v>102</v>
      </c>
      <c r="C12" s="5" t="s">
        <v>5</v>
      </c>
      <c r="D12" s="5">
        <v>2001</v>
      </c>
      <c r="E12" s="15">
        <f>SUM(I12:S12)+SUM(I12:O12)*0.0000001+SUM(I12)*0.0000000000001</f>
        <v>112.7001068800146</v>
      </c>
      <c r="F12" s="3" t="str">
        <f>IF(OR(AND(AQ12&gt;=AX$24,AR12&gt;=AX$28,AQ12&lt;&gt;"",AP12=""),AND(AV12&gt;=AX$24,AW12&gt;=AX$28,AV12&lt;&gt;"",AP12=""),AND(BT12&gt;=CA$24,BU12&gt;=CA$28,BT12&lt;&gt;"",BS12=""),AND(BY12&gt;=CA$24,BZ12&gt;=CA$28,BY12&lt;&gt;"",BS12=""),AND(CW12&gt;=DD$24,CX12&gt;=DD$28,CW12&lt;&gt;"",CV12=""),AND(DB12&gt;=DD$24,DC12&gt;=DD$28,DB12&lt;&gt;""),AND(EB12&gt;=EI$24,EC12&gt;=EI$28,EB12&lt;&gt;""),AND(EG12&gt;=EI$24,EH12&gt;=EI$28,EG12&lt;&gt;""),AND(FD12&gt;=FK$24,FE12&gt;=FK$28,FD12&lt;&gt;""),AND(FI12&gt;=FK$24,FJ12&gt;=FK$28,FI12&lt;&gt;""),AND(GF12&gt;=GM$24,GG12&gt;=GM$28,GF12&lt;&gt;""),AND(GK12&gt;=GM$24,GL12&gt;=GM$28,GK12&lt;&gt;""),AND(HH12&gt;=HO$24,HI12&gt;=HO$28,HH12&lt;&gt;""),AND(HM12&gt;=HO$24,HN12&gt;=HO$28,HM12&lt;&gt;""),AND(IJ12&gt;=IQ$24,IK12&gt;=IQ$28,IJ12&lt;&gt;""),AND(IO12&gt;=IQ$24,IP12&gt;=IQ$28,IO12&lt;&gt;""),AND(JL12&gt;=JS$24,JM12&gt;=JS$28,JL12&lt;&gt;""),AND(JQ12&gt;=JS$24,JR12&gt;=JS$28,JQ12&lt;&gt;""),AND(KN12&gt;=KU$24,KO12&gt;=KU$28,KN12&lt;&gt;""),AND(KS12&gt;=KU$24,KT12&gt;=KU$28,KS12&lt;&gt;""),AND(LP12&gt;=LW$24,LQ12&gt;=LW$28,LP12&lt;&gt;""),AND(LU12&gt;=LW$24,LV12&gt;=LW$28,LU12&lt;&gt;""),AND(MR12&gt;=MY$24,MS12&gt;=MY$28,MR12&lt;&gt;""),AND(MW12&gt;=MY$24,MX12&gt;=MY$28,MW12&lt;&gt;""),AND(NT12&gt;=OA$24,NU12&gt;=OA$28,NT12&lt;&gt;""),AND(NY12&gt;=OA$24,NZ12&gt;=OA$28,NY12&lt;&gt;""),AND(OV12&gt;=PC$24,OW12&gt;=PC$28,OV12&lt;&gt;""),AND(PA12&gt;=PC$24,PB12&gt;=PC$28,PA12&lt;&gt;""),AND(PX12&gt;=QE$24,PY12&gt;=QE$28,PX12&lt;&gt;""),AND(QC12&gt;=QE$24,QD12&gt;=QE$28,QC12&lt;&gt;"")),"P","")</f>
        <v/>
      </c>
      <c r="G12" s="3" t="str">
        <f>IF(OR(AND(AR12&gt;=AX$28,AR12&lt;&gt;"",AP12=""),AND(AW12&gt;=AX$28,AW12&lt;&gt;"",AP12=""),AND(BU12&gt;=CA$28,BU12&lt;&gt;"",BS12=""),AND(BZ12&gt;=CA$28,BZ12&lt;&gt;"",BS12=""),AND(CX12&gt;=DD$28,CX12&lt;&gt;"",CV12=""),AND(DC12&gt;=DD$28,DC12&lt;&gt;"",CV12=""),AND(EC12&gt;=EI$28,EC12&lt;&gt;""),AND(EH12&gt;=EI$28,EH12&lt;&gt;""),AND(FE12&gt;=FK$28,FE12&lt;&gt;""),AND(FJ12&gt;=FK$28,FJ12&lt;&gt;""),AND(GG12&gt;=GM$28,GG12&lt;&gt;""),AND(GL12&gt;=GM$28,GL12&lt;&gt;""),AND(HI12&gt;=HO$28,HI12&lt;&gt;""),AND(HN12&gt;=HO$28,HN12&lt;&gt;""),AND(IK12&gt;=IQ$28,IK12&lt;&gt;""),AND(IP12&gt;=IQ$28,IP12&lt;&gt;""),AND(JM12&gt;=JS$28,JM12&lt;&gt;""),AND(JR12&gt;=JS$28,JR12&lt;&gt;""),AND(KO12&gt;=KU$28,KO12&lt;&gt;""),AND(KT12&gt;=KU$28,KT12&lt;&gt;""),AND(LQ12&gt;=LW$28,LQ12&lt;&gt;""),AND(LV12&gt;=LW$28,LV12&lt;&gt;""),AND(MS12&gt;=MY$28,MS12&lt;&gt;""),AND(MX12&gt;=MY$28,MX12&lt;&gt;""),AND(NU12&gt;=OA$28,NU12&lt;&gt;""),AND(NZ12&gt;=OA$28,NZ12&lt;&gt;""),AND(OW12&gt;=PC$28,OW12&lt;&gt;""),AND(PB12&gt;=PC$28,PB12&lt;&gt;""),AND(PY12&gt;=QE$28,PY12&lt;&gt;""),AND(QD12&gt;=QE$28,QD12&lt;&gt;"")),"P","")</f>
        <v/>
      </c>
      <c r="H12" s="67" t="str">
        <f>IF(AND(G12="P",F12=""),"No DD",IF(OR(AND(AT12&gt;=AX$27,AU12&gt;=AX$31,AT12&lt;&gt;"",AP12=""),AND(BW12&gt;=CA$27,BX12&gt;=CA$31,BW12&lt;&gt;"",BS12=""),AND(CZ12&gt;=DD$27,DA12&gt;=DD$31,CZ12&lt;&gt;"",CV12=""),AND(EE12&gt;=EI$27,EF12&gt;=EI$31,EE12&lt;&gt;""),AND(FG12&gt;=FK$27,FH12&gt;=FK$31,FG12&lt;&gt;""),AND(GI12&gt;=GM$27,GJ12&gt;=GM$31,GI12&lt;&gt;""),AND(HK12&gt;=HO$27,HL12&gt;=HO$31,HK12&lt;&gt;""),AND(IM12&gt;=IQ$27,IN12&gt;=IQ$31,IM12&lt;&gt;""),AND(JO12&gt;=JS$27,JP12&gt;=JS$31,JO12&lt;&gt;""),AND(KQ12&gt;=KU$27,KR12&gt;=KU$31,KQ12&lt;&gt;""),AND(LS12&gt;=LW$27,LT12&gt;=LW$31,LS12&lt;&gt;""),AND(MU12&gt;=MY$27,MV12&gt;=MY$31,MU12&lt;&gt;""),AND(NW12&gt;=OA$27,NX12&gt;=OA$31,NW12&lt;&gt;""),AND(OY12&gt;=PC$27,OZ12&gt;=PC$31,OY12&lt;&gt;""),AND(QA12&gt;=QE$27,QB12&gt;=QE$31,QA12&lt;&gt;"")),"Merit",IF(OR(AND(AT12&gt;=AX$26,AU12&gt;=AX$30,AT12&lt;&gt;"",AP12=""),AND(BW12&gt;=CA$26,BX12&gt;=CA$30,BW12&lt;&gt;"",BS12=""),AND(CZ12&gt;=DD$26,DA12&gt;=DD$30,CZ12&lt;&gt;"",CV12=""),AND(EE12&gt;=EI$26,EF12&gt;=EI$30,EE12&lt;&gt;""),AND(FG12&gt;=FK$26,FH12&gt;=FK$30,FG12&lt;&gt;""),AND(GI12&gt;=GM$26,GJ12&gt;=GM$30,GI12&lt;&gt;""),AND(HK12&gt;=HO$26,HL12&gt;=HO$30,HK12&lt;&gt;""),AND(IM12&gt;=IQ$26,IN12&gt;=IQ$30,IM12&lt;&gt;""),AND(JO12&gt;=JS$26,JP12&gt;=JS$30,JO12&lt;&gt;""),AND(KQ12&gt;=KU$26,KR12&gt;=KU$30,KQ12&lt;&gt;""),AND(LS12&gt;=LW$26,LT12&gt;=LW$30,LS12&lt;&gt;""),AND(MU12&gt;=MY$26,MV12&gt;=MY$30,MU12&lt;&gt;""),AND(NW12&gt;=OA$26,NX12&gt;=OA$30,NW12&lt;&gt;""),AND(OY12&gt;=PC$26,OZ12&gt;=PC$30,OY12&lt;&gt;""),AND(QA12&gt;=QE$26,QB12&gt;=QE$30,QA12&lt;&gt;"")),"Excellence",IF(F12="P","National Team",""))))</f>
        <v/>
      </c>
      <c r="I12" s="14">
        <f>IF(COUNT(AR12,BU12,CX12)&gt;0,LARGE((AR12,BU12,CX12),1),0)</f>
        <v>46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1E-4</v>
      </c>
      <c r="L12" s="14" t="str">
        <f>IF(K12=0,"",IF(K12=CX12,$CB$1,IF(K12=BU12,$AY$1,IF(K12=AR12,$V$1,""))))</f>
        <v>2021 Elite Canada</v>
      </c>
      <c r="M12" s="14">
        <f>IF(COUNT(AS12,BV12,CY12)&gt;0,LARGE((AS12,BV12,CY12),1),0)</f>
        <v>22.8</v>
      </c>
      <c r="N12" s="14" t="str">
        <f>IF(M12=0,"",IF(M12=CY12,$CB$1,IF(M12=BV12,$AY$1,IF(M12=AS12,$V$1,""))))</f>
        <v>2022 Elite Canada</v>
      </c>
      <c r="O12" s="14">
        <f>IF(COUNT(AS12,BV12,CY12)&gt;1,LARGE((AS12,BV12,CY12),2),0)</f>
        <v>0</v>
      </c>
      <c r="P12" s="14" t="str">
        <f>IF(O12=0,"",IF(O12=CY12,$CB$1,IF(O12=BV12,$AY$1,IF(O12=AS12,$V$1,""))))</f>
        <v/>
      </c>
      <c r="Q12" s="14">
        <f>IF(MAX(AW12,BZ12,DC12)&gt;0,MAX(AW12,BZ12,DC12),0)</f>
        <v>43.899999999999991</v>
      </c>
      <c r="R12" s="14" t="str">
        <f>IF(Q12=0,"",IF(Q12=DC12,$CB$1,IF(Q12=BZ12,$AY$1,IF(Q12=AW12,$V$1,""))))</f>
        <v>2022 Elite Canada</v>
      </c>
      <c r="S12" s="14" t="str">
        <f>IF(MAX(DE12:DG12)&gt;0,MAX(DE12:DG12),"")</f>
        <v/>
      </c>
      <c r="T12" s="20" t="str">
        <f>IF(S12="","",IF(S12=DE12,"("&amp;DE$2&amp;")",IF(S12=DG12,"("&amp;DG$2&amp;")")))</f>
        <v/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/>
      </c>
      <c r="V12" s="27"/>
      <c r="W12" s="27">
        <v>1E-4</v>
      </c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45"/>
      <c r="AQ12" s="79">
        <f>IF(SUM(W12,AA12)&gt;0,SUM(W12,AA12),"")</f>
        <v>1E-4</v>
      </c>
      <c r="AR12" s="79">
        <f>IF(SUM(V12:W12,Y12:AA12,AC12)-X12-AB12&gt;0,SUM(V12:W12,Y12:AA12,AC12)-X12-AB12,"")</f>
        <v>1E-4</v>
      </c>
      <c r="AS12" s="79" t="str">
        <f>IF(SUM(AD12:AE12,AG12)-AF12&gt;0,SUM(AD12:AE12,AG12)-AF12,"")</f>
        <v/>
      </c>
      <c r="AT12" s="79">
        <f>IF(SUM(W12,AA12,AE12)&gt;0,SUM(W12,AA12,AE12),"")</f>
        <v>1E-4</v>
      </c>
      <c r="AU12" s="79">
        <f>IF(SUM(AR12,AS12)&gt;0,SUM(AR12,AS12),"")</f>
        <v>1E-4</v>
      </c>
      <c r="AV12" s="79" t="str">
        <f>IF(SUM(AI12,AM12)&gt;0,SUM(AI12,AM12),"")</f>
        <v/>
      </c>
      <c r="AW12" s="79" t="str">
        <f>IF(SUM(AH12:AI12,AK12:AM12,AO12)-SUM(AJ12,AN12)&gt;0,SUM(AH12:AI12,AK12:AM12,AO12)-SUM(AJ12,AN12),"")</f>
        <v/>
      </c>
      <c r="AX12" s="79">
        <f>IF(SUM(AR12,AW12)&gt;0,SUM(AR12,AW12),"")</f>
        <v>1E-4</v>
      </c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46"/>
      <c r="BT12" s="20" t="str">
        <f>IF(SUM(AZ12,BD12)&gt;0,SUM(AZ12,BD12),"")</f>
        <v/>
      </c>
      <c r="BU12" s="20" t="str">
        <f>IF(SUM(AY12:AZ12,BB12:BD12,BF12)-BA12-BE12&gt;0,SUM(AY12:AZ12,BB12:BD12,BF12)-BA12-BE12,"")</f>
        <v/>
      </c>
      <c r="BV12" s="20" t="str">
        <f>IF(SUM(BG12:BH12,BJ12)-BI12&gt;0,SUM(BG12:BH12,BJ12)-BI12,"")</f>
        <v/>
      </c>
      <c r="BW12" s="20" t="str">
        <f>IF(SUM(AZ12,BD12,BH12)&gt;0,SUM(AZ12,BD12,BH12),"")</f>
        <v/>
      </c>
      <c r="BX12" s="20" t="str">
        <f>IF(SUM(BU12,BV12)&gt;0,SUM(BU12,BV12),"")</f>
        <v/>
      </c>
      <c r="BY12" s="20" t="str">
        <f>IF(SUM(BL12,BP12)&gt;0,SUM(BL12,BP12),"")</f>
        <v/>
      </c>
      <c r="BZ12" s="20" t="str">
        <f>IF(SUM(BK12:BL12,BN12:BP12,BR12)-SUM(BM12,BQ12)&gt;0,SUM(BK12:BL12,BN12:BP12,BR12)-SUM(BM12,BQ12),"")</f>
        <v/>
      </c>
      <c r="CA12" s="20" t="str">
        <f>IF(SUM(BU12,BZ12)&gt;0,SUM(BU12,BZ12),"")</f>
        <v/>
      </c>
      <c r="CB12" s="27">
        <v>18.5</v>
      </c>
      <c r="CC12" s="27">
        <v>5.2</v>
      </c>
      <c r="CD12" s="27">
        <v>0</v>
      </c>
      <c r="CE12" s="27">
        <v>0</v>
      </c>
      <c r="CF12" s="27">
        <v>17.8</v>
      </c>
      <c r="CG12" s="27">
        <v>5.2</v>
      </c>
      <c r="CH12" s="27">
        <v>1</v>
      </c>
      <c r="CI12" s="27">
        <v>0.3</v>
      </c>
      <c r="CJ12" s="27">
        <v>17.600000000000001</v>
      </c>
      <c r="CK12" s="27">
        <v>5.2</v>
      </c>
      <c r="CL12" s="27">
        <v>0</v>
      </c>
      <c r="CM12" s="27">
        <v>0</v>
      </c>
      <c r="CN12" s="27">
        <v>18.600000000000001</v>
      </c>
      <c r="CO12" s="27">
        <v>5.2</v>
      </c>
      <c r="CP12" s="27">
        <v>0.2</v>
      </c>
      <c r="CQ12" s="27">
        <v>0</v>
      </c>
      <c r="CR12" s="27">
        <v>17.2</v>
      </c>
      <c r="CS12" s="27">
        <v>2.8</v>
      </c>
      <c r="CT12" s="27">
        <v>0</v>
      </c>
      <c r="CU12" s="27">
        <v>0.3</v>
      </c>
      <c r="CV12" s="45"/>
      <c r="CW12" s="79">
        <f>IF(SUM(CC12,CG12)&gt;0,SUM(CC12,CG12),"")</f>
        <v>10.4</v>
      </c>
      <c r="CX12" s="79">
        <f>IF(SUM(CB12:CC12,CE12:CG12,CI12)-CD12-CH12&gt;0,SUM(CB12:CC12,CE12:CG12,CI12)-CD12-CH12,"")</f>
        <v>46</v>
      </c>
      <c r="CY12" s="79">
        <f>IF(SUM(CJ12:CK12,CM12)-CL12&gt;0,SUM(CJ12:CK12,CM12)-CL12,"")</f>
        <v>22.8</v>
      </c>
      <c r="CZ12" s="79">
        <f>IF(SUM(CC12,CG12,CK12)&gt;0,SUM(CC12,CG12,CK12),"")</f>
        <v>15.600000000000001</v>
      </c>
      <c r="DA12" s="79">
        <f>IF(SUM(CX12,CY12)&gt;0,SUM(CX12,CY12),"")</f>
        <v>68.8</v>
      </c>
      <c r="DB12" s="79">
        <f>IF(SUM(CO12,CS12)&gt;0,SUM(CO12,CS12),"")</f>
        <v>8</v>
      </c>
      <c r="DC12" s="79">
        <f>IF(SUM(CN12:CO12,CQ12:CS12,CU12)-SUM(CP12,CT12)&gt;0,SUM(CN12:CO12,CQ12:CS12,CU12)-SUM(CP12,CT12),"")</f>
        <v>43.899999999999991</v>
      </c>
      <c r="DD12" s="79">
        <f>IF(SUM(CX12,DC12)&gt;0,SUM(CX12,DC12),"")</f>
        <v>89.899999999999991</v>
      </c>
      <c r="DE12" s="80" t="str">
        <f>IF(K12&gt;=0.001,IF(MAX(EC12,FE12,GG12,HI12,IK12,JM12,KO12,LQ12,MS12,NU12,OW12,PY12)-IF(K12="",0,K12)&gt;0.001,MAX(EC12,FE12,GG12,HI12,IK12,JM12,KO12,LQ12,MS12,NU12,OW12,PY12)-IF(K12="",0,K12),""),"")</f>
        <v/>
      </c>
      <c r="DF12" s="80" t="str">
        <f>IF(O12&gt;=0.001,IF(MAX(ED12,FF12,GH12,HJ12,IL12,JN12,KP12,LR12,MT12,NV12,OX12,PZ12)-IF(O12="",0,O12)&gt;0.001,MAX(ED12,FF12,GH12,HJ12,IL12,JN12,KP12,LR12,MT12,NV12,OX12,PZ12)-IF(O12="",0,O12),""),"")</f>
        <v/>
      </c>
      <c r="DG12" s="80" t="str">
        <f>IF(Q12&gt;=0.001,IF(MAX(EH12,FJ12,GL12,HN12,IP12,JR12,KT12,LV12,MX12,NZ12,PB12,QD12)-IF(Q12="",0,Q12)&gt;0.001,MAX(EH12,FJ12,GL12,HN12,IP12,JR12,KT12,LV12,MX12,NZ12,PB12,QD12)-IF(Q12="",0,Q12),""),"")</f>
        <v/>
      </c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79" t="str">
        <f>IF(SUM(DI12,DM12)&gt;0,SUM(DI12,DM12),"")</f>
        <v/>
      </c>
      <c r="EC12" s="79" t="str">
        <f>IF(SUM(DH12:DI12,DK12:DM12,DO12)-DJ12-DN12&gt;0,SUM(DH12:DI12,DK12:DM12,DO12)-DJ12-DN12,"")</f>
        <v/>
      </c>
      <c r="ED12" s="79" t="str">
        <f>IF(SUM(DP12:DQ12,DS12)-DR12&gt;0,SUM(DP12:DQ12,DS12)-DR12,"")</f>
        <v/>
      </c>
      <c r="EE12" s="79" t="str">
        <f>IF(SUM(DI12,DM12,DQ12)&gt;0,SUM(DI12,DM12,DQ12),"")</f>
        <v/>
      </c>
      <c r="EF12" s="79" t="str">
        <f>IF(SUM(EC12,ED12)&gt;0,SUM(EC12,ED12),"")</f>
        <v/>
      </c>
      <c r="EG12" s="79" t="str">
        <f>IF(SUM(DU12,DY12)&gt;0,SUM(DU12,DY12),"")</f>
        <v/>
      </c>
      <c r="EH12" s="79" t="str">
        <f>IF(SUM(DT12:DU12,DW12:DY12,EA12)-SUM(DV12,DZ12)&gt;0,SUM(DT12:DU12,DW12:DY12,EA12)-SUM(DV12,DZ12),"")</f>
        <v/>
      </c>
      <c r="EI12" s="79" t="str">
        <f>IF(SUM(EC12,EH12)&gt;0,SUM(EC12,EH12),"")</f>
        <v/>
      </c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0" t="str">
        <f>IF(SUM(EK12,EO12)&gt;0,SUM(EK12,EO12),"")</f>
        <v/>
      </c>
      <c r="FE12" s="20" t="str">
        <f>IF(SUM(EJ12:EK12,EM12:EO12,EQ12)-EL12-EP12&gt;0,SUM(EJ12:EK12,EM12:EO12,EQ12)-EL12-EP12,"")</f>
        <v/>
      </c>
      <c r="FF12" s="20" t="str">
        <f>IF(SUM(ER12:ES12,EU12)-ET12&gt;0,SUM(ER12:ES12,EU12)-ET12,"")</f>
        <v/>
      </c>
      <c r="FG12" s="20" t="str">
        <f>IF(SUM(EK12,EO12,ES12)&gt;0,SUM(EK12,EO12,ES12),"")</f>
        <v/>
      </c>
      <c r="FH12" s="20" t="str">
        <f>IF(SUM(FE12,FF12)&gt;0,SUM(FE12,FF12),"")</f>
        <v/>
      </c>
      <c r="FI12" s="20" t="str">
        <f>IF(SUM(EW12,FA12)&gt;0,SUM(EW12,FA12),"")</f>
        <v/>
      </c>
      <c r="FJ12" s="20" t="str">
        <f>IF(SUM(EV12:EW12,EY12:FA12,FC12)-SUM(EX12,FB12)&gt;0,SUM(EV12:EW12,EY12:FA12,FC12)-SUM(EX12,FB12),"")</f>
        <v/>
      </c>
      <c r="FK12" s="20" t="str">
        <f>IF(SUM(FE12,FJ12)&gt;0,SUM(FE12,FJ12),"")</f>
        <v/>
      </c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79" t="str">
        <f>IF(SUM(FM12,FQ12)&gt;0,SUM(FM12,FQ12),"")</f>
        <v/>
      </c>
      <c r="GG12" s="79" t="str">
        <f>IF(SUM(FL12:FM12,FO12:FQ12,FS12)-FN12-FR12&gt;0,SUM(FL12:FM12,FO12:FQ12,FS12)-FN12-FR12,"")</f>
        <v/>
      </c>
      <c r="GH12" s="79" t="str">
        <f>IF(SUM(FT12:FU12,FW12)-FV12&gt;0,SUM(FT12:FU12,FW12)-FV12,"")</f>
        <v/>
      </c>
      <c r="GI12" s="79" t="str">
        <f>IF(SUM(FM12,FQ12,FU12)&gt;0,SUM(FM12,FQ12,FU12),"")</f>
        <v/>
      </c>
      <c r="GJ12" s="79" t="str">
        <f>IF(SUM(GG12,GH12)&gt;0,SUM(GG12,GH12),"")</f>
        <v/>
      </c>
      <c r="GK12" s="79" t="str">
        <f>IF(SUM(FY12,GC12)&gt;0,SUM(FY12,GC12),"")</f>
        <v/>
      </c>
      <c r="GL12" s="79" t="str">
        <f>IF(SUM(FX12:FY12,GA12:GC12,GE12)-SUM(FZ12,GD12)&gt;0,SUM(FX12:FY12,GA12:GC12,GE12)-SUM(FZ12,GD12),"")</f>
        <v/>
      </c>
      <c r="GM12" s="79" t="str">
        <f>IF(SUM(GG12,GL12)&gt;0,SUM(GG12,GL12),"")</f>
        <v/>
      </c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0" t="str">
        <f>IF(SUM(GO12,GS12)&gt;0,SUM(GO12,GS12),"")</f>
        <v/>
      </c>
      <c r="HI12" s="20" t="str">
        <f>IF(SUM(GN12:GO12,GQ12:GS12,GU12)-GP12-GT12&gt;0,SUM(GN12:GO12,GQ12:GS12,GU12)-GP12-GT12,"")</f>
        <v/>
      </c>
      <c r="HJ12" s="20" t="str">
        <f>IF(SUM(GV12:GW12,GY12)-GX12&gt;0,SUM(GV12:GW12,GY12)-GX12,"")</f>
        <v/>
      </c>
      <c r="HK12" s="20" t="str">
        <f>IF(SUM(GO12,GS12,GW12)&gt;0,SUM(GO12,GS12,GW12),"")</f>
        <v/>
      </c>
      <c r="HL12" s="20" t="str">
        <f>IF(SUM(HI12,HJ12)&gt;0,SUM(HI12,HJ12),"")</f>
        <v/>
      </c>
      <c r="HM12" s="20" t="str">
        <f>IF(SUM(HA12,HE12)&gt;0,SUM(HA12,HE12),"")</f>
        <v/>
      </c>
      <c r="HN12" s="20" t="str">
        <f>IF(SUM(GZ12:HA12,HC12:HE12,HG12)-SUM(HB12,HF12)&gt;0,SUM(GZ12:HA12,HC12:HE12,HG12)-SUM(HB12,HF12),"")</f>
        <v/>
      </c>
      <c r="HO12" s="20" t="str">
        <f>IF(SUM(HI12,HN12)&gt;0,SUM(HI12,HN12),"")</f>
        <v/>
      </c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79" t="str">
        <f>IF(SUM(HQ12,HU12)&gt;0,SUM(HQ12,HU12),"")</f>
        <v/>
      </c>
      <c r="IK12" s="79" t="str">
        <f>IF(SUM(HP12:HQ12,HS12:HU12,HW12)-HR12-HV12&gt;0,SUM(HP12:HQ12,HS12:HU12,HW12)-HR12-HV12,"")</f>
        <v/>
      </c>
      <c r="IL12" s="79" t="str">
        <f>IF(SUM(HX12:HY12,IA12)-HZ12&gt;0,SUM(HX12:HY12,IA12)-HZ12,"")</f>
        <v/>
      </c>
      <c r="IM12" s="79" t="str">
        <f>IF(SUM(HQ12,HU12,HY12)&gt;0,SUM(HQ12,HU12,HY12),"")</f>
        <v/>
      </c>
      <c r="IN12" s="79" t="str">
        <f>IF(SUM(IK12,IL12)&gt;0,SUM(IK12,IL12),"")</f>
        <v/>
      </c>
      <c r="IO12" s="79" t="str">
        <f>IF(SUM(IC12,IG12)&gt;0,SUM(IC12,IG12),"")</f>
        <v/>
      </c>
      <c r="IP12" s="79" t="str">
        <f>IF(SUM(IB12:IC12,IE12:IG12,II12)-SUM(ID12,IH12)&gt;0,SUM(IB12:IC12,IE12:IG12,II12)-SUM(ID12,IH12),"")</f>
        <v/>
      </c>
      <c r="IQ12" s="79" t="str">
        <f>IF(SUM(IK12,IP12)&gt;0,SUM(IK12,IP12),"")</f>
        <v/>
      </c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0" t="str">
        <f>IF(SUM(IS12,IW12)&gt;0,SUM(IS12,IW12),"")</f>
        <v/>
      </c>
      <c r="JM12" s="20" t="str">
        <f>IF(SUM(IR12:IS12,IU12:IW12,IY12)-IT12-IX12&gt;0,SUM(IR12:IS12,IU12:IW12,IY12)-IT12-IX12,"")</f>
        <v/>
      </c>
      <c r="JN12" s="20" t="str">
        <f>IF(SUM(IZ12:JA12,JC12)-JB12&gt;0,SUM(IZ12:JA12,JC12)-JB12,"")</f>
        <v/>
      </c>
      <c r="JO12" s="20" t="str">
        <f>IF(SUM(IS12,IW12,JA12)&gt;0,SUM(IS12,IW12,JA12),"")</f>
        <v/>
      </c>
      <c r="JP12" s="20" t="str">
        <f>IF(SUM(JM12,JN12)&gt;0,SUM(JM12,JN12),"")</f>
        <v/>
      </c>
      <c r="JQ12" s="20" t="str">
        <f>IF(SUM(JE12,JI12)&gt;0,SUM(JE12,JI12),"")</f>
        <v/>
      </c>
      <c r="JR12" s="20" t="str">
        <f>IF(SUM(JD12:JE12,JG12:JI12,JK12)-SUM(JF12,JJ12)&gt;0,SUM(JD12:JE12,JG12:JI12,JK12)-SUM(JF12,JJ12),"")</f>
        <v/>
      </c>
      <c r="JS12" s="20" t="str">
        <f>IF(SUM(JM12,JR12)&gt;0,SUM(JM12,JR12),"")</f>
        <v/>
      </c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79" t="str">
        <f>IF(SUM(JU12,JY12)&gt;0,SUM(JU12,JY12),"")</f>
        <v/>
      </c>
      <c r="KO12" s="79" t="str">
        <f>IF(SUM(JT12:JU12,JW12:JY12,KA12)-JV12-JZ12&gt;0,SUM(JT12:JU12,JW12:JY12,KA12)-JV12-JZ12,"")</f>
        <v/>
      </c>
      <c r="KP12" s="79" t="str">
        <f>IF(SUM(KB12:KC12,KE12)-KD12&gt;0,SUM(KB12:KC12,KE12)-KD12,"")</f>
        <v/>
      </c>
      <c r="KQ12" s="79" t="str">
        <f>IF(SUM(JU12,JY12,KC12)&gt;0,SUM(JU12,JY12,KC12),"")</f>
        <v/>
      </c>
      <c r="KR12" s="79" t="str">
        <f>IF(SUM(KO12,KP12)&gt;0,SUM(KO12,KP12),"")</f>
        <v/>
      </c>
      <c r="KS12" s="79" t="str">
        <f>IF(SUM(KG12,KK12)&gt;0,SUM(KG12,KK12),"")</f>
        <v/>
      </c>
      <c r="KT12" s="79" t="str">
        <f>IF(SUM(KF12:KG12,KI12:KK12,KM12)-SUM(KH12,KL12)&gt;0,SUM(KF12:KG12,KI12:KK12,KM12)-SUM(KH12,KL12),"")</f>
        <v/>
      </c>
      <c r="KU12" s="79" t="str">
        <f>IF(SUM(KO12,KT12)&gt;0,SUM(KO12,KT12),"")</f>
        <v/>
      </c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0" t="str">
        <f>IF(SUM(KW12,LA12)&gt;0,SUM(KW12,LA12),"")</f>
        <v/>
      </c>
      <c r="LQ12" s="20" t="str">
        <f>IF(SUM(KV12:KW12,KY12:LA12,LC12)-KX12-LB12&gt;0,SUM(KV12:KW12,KY12:LA12,LC12)-KX12-LB12,"")</f>
        <v/>
      </c>
      <c r="LR12" s="20" t="str">
        <f>IF(SUM(LD12:LE12,LG12)-LF12&gt;0,SUM(LD12:LE12,LG12)-LF12,"")</f>
        <v/>
      </c>
      <c r="LS12" s="20" t="str">
        <f>IF(SUM(KW12,LA12,LE12)&gt;0,SUM(KW12,LA12,LE12),"")</f>
        <v/>
      </c>
      <c r="LT12" s="20" t="str">
        <f>IF(SUM(LQ12,LR12)&gt;0,SUM(LQ12,LR12),"")</f>
        <v/>
      </c>
      <c r="LU12" s="20" t="str">
        <f>IF(SUM(LI12,LM12)&gt;0,SUM(LI12,LM12),"")</f>
        <v/>
      </c>
      <c r="LV12" s="20" t="str">
        <f>IF(SUM(LH12:LI12,LK12:LM12,LO12)-SUM(LJ12,LN12)&gt;0,SUM(LH12:LI12,LK12:LM12,LO12)-SUM(LJ12,LN12),"")</f>
        <v/>
      </c>
      <c r="LW12" s="20" t="str">
        <f>IF(SUM(LQ12,LV12)&gt;0,SUM(LQ12,LV12),"")</f>
        <v/>
      </c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79" t="str">
        <f>IF(SUM(LY12,MC12)&gt;0,SUM(LY12,MC12),"")</f>
        <v/>
      </c>
      <c r="MS12" s="79" t="str">
        <f>IF(SUM(LX12:LY12,MA12:MC12,ME12)-LZ12-MD12&gt;0,SUM(LX12:LY12,MA12:MC12,ME12)-LZ12-MD12,"")</f>
        <v/>
      </c>
      <c r="MT12" s="79" t="str">
        <f>IF(SUM(MF12:MG12,MI12)-MH12&gt;0,SUM(MF12:MG12,MI12)-MH12,"")</f>
        <v/>
      </c>
      <c r="MU12" s="79" t="str">
        <f>IF(SUM(LY12,MC12,MG12)&gt;0,SUM(LY12,MC12,MG12),"")</f>
        <v/>
      </c>
      <c r="MV12" s="79" t="str">
        <f>IF(SUM(MS12,MT12)&gt;0,SUM(MS12,MT12),"")</f>
        <v/>
      </c>
      <c r="MW12" s="79" t="str">
        <f>IF(SUM(MK12,MO12)&gt;0,SUM(MK12,MO12),"")</f>
        <v/>
      </c>
      <c r="MX12" s="79" t="str">
        <f>IF(SUM(MJ12:MK12,MM12:MO12,MQ12)-SUM(ML12,MP12)&gt;0,SUM(MJ12:MK12,MM12:MO12,MQ12)-SUM(ML12,MP12),"")</f>
        <v/>
      </c>
      <c r="MY12" s="79" t="str">
        <f>IF(SUM(MS12,MX12)&gt;0,SUM(MS12,MX12),"")</f>
        <v/>
      </c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0" t="str">
        <f>IF(SUM(NA12,NE12)&gt;0,SUM(NA12,NE12),"")</f>
        <v/>
      </c>
      <c r="NU12" s="20" t="str">
        <f>IF(SUM(MZ12:NA12,NC12:NE12,NG12)-NB12-NF12&gt;0,SUM(MZ12:NA12,NC12:NE12,NG12)-NB12-NF12,"")</f>
        <v/>
      </c>
      <c r="NV12" s="20" t="str">
        <f>IF(SUM(NH12:NI12,NK12)-NJ12&gt;0,SUM(NH12:NI12,NK12)-NJ12,"")</f>
        <v/>
      </c>
      <c r="NW12" s="20" t="str">
        <f>IF(SUM(NA12,NE12,NI12)&gt;0,SUM(NA12,NE12,NI12),"")</f>
        <v/>
      </c>
      <c r="NX12" s="20" t="str">
        <f>IF(SUM(NU12,NV12)&gt;0,SUM(NU12,NV12),"")</f>
        <v/>
      </c>
      <c r="NY12" s="20" t="str">
        <f>IF(SUM(NM12,NQ12)&gt;0,SUM(NM12,NQ12),"")</f>
        <v/>
      </c>
      <c r="NZ12" s="20" t="str">
        <f>IF(SUM(NL12:NM12,NO12:NQ12,NS12)-SUM(NN12,NR12)&gt;0,SUM(NL12:NM12,NO12:NQ12,NS12)-SUM(NN12,NR12),"")</f>
        <v/>
      </c>
      <c r="OA12" s="20" t="str">
        <f>IF(SUM(NU12,NZ12)&gt;0,SUM(NU12,NZ12),"")</f>
        <v/>
      </c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79" t="str">
        <f>IF(SUM(OC12,OG12)&gt;0,SUM(OC12,OG12),"")</f>
        <v/>
      </c>
      <c r="OW12" s="79" t="str">
        <f>IF(SUM(OB12:OC12,OE12:OG12,OI12)-OD12-OH12&gt;0,SUM(OB12:OC12,OE12:OG12,OI12)-OD12-OH12,"")</f>
        <v/>
      </c>
      <c r="OX12" s="79" t="str">
        <f>IF(SUM(OJ12:OK12,OM12)-OL12&gt;0,SUM(OJ12:OK12,OM12)-OL12,"")</f>
        <v/>
      </c>
      <c r="OY12" s="79" t="str">
        <f>IF(SUM(OC12,OG12,OK12)&gt;0,SUM(OC12,OG12,OK12),"")</f>
        <v/>
      </c>
      <c r="OZ12" s="79" t="str">
        <f>IF(SUM(OW12,OX12)&gt;0,SUM(OW12,OX12),"")</f>
        <v/>
      </c>
      <c r="PA12" s="79" t="str">
        <f>IF(SUM(OO12,OS12)&gt;0,SUM(OO12,OS12),"")</f>
        <v/>
      </c>
      <c r="PB12" s="79" t="str">
        <f>IF(SUM(ON12:OO12,OQ12:OS12,OU12)-SUM(OP12,OT12)&gt;0,SUM(ON12:OO12,OQ12:OS12,OU12)-SUM(OP12,OT12),"")</f>
        <v/>
      </c>
      <c r="PC12" s="79" t="str">
        <f>IF(SUM(OW12,PB12)&gt;0,SUM(OW12,PB12),"")</f>
        <v/>
      </c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0" t="str">
        <f>IF(SUM(PE12,PI12)&gt;0,SUM(PE12,PI12),"")</f>
        <v/>
      </c>
      <c r="PY12" s="20" t="str">
        <f>IF(SUM(PD12:PE12,PG12:PI12,PK12)-PF12-PJ12&gt;0,SUM(PD12:PE12,PG12:PI12,PK12)-PF12-PJ12,"")</f>
        <v/>
      </c>
      <c r="PZ12" s="20" t="str">
        <f>IF(SUM(PL12:PM12,PO12)-PN12&gt;0,SUM(PL12:PM12,PO12)-PN12,"")</f>
        <v/>
      </c>
      <c r="QA12" s="20" t="str">
        <f>IF(SUM(PE12,PI12,PM12)&gt;0,SUM(PE12,PI12,PM12),"")</f>
        <v/>
      </c>
      <c r="QB12" s="20" t="str">
        <f>IF(SUM(PY12,PZ12)&gt;0,SUM(PY12,PZ12),"")</f>
        <v/>
      </c>
      <c r="QC12" s="20" t="str">
        <f>IF(SUM(PQ12,PU12)&gt;0,SUM(PQ12,PU12),"")</f>
        <v/>
      </c>
      <c r="QD12" s="20" t="str">
        <f>IF(SUM(PP12:PQ12,PS12:PU12,PW12)-SUM(PR12,PV12)&gt;0,SUM(PP12:PQ12,PS12:PU12,PW12)-SUM(PR12,PV12),"")</f>
        <v/>
      </c>
      <c r="QE12" s="20" t="str">
        <f>IF(SUM(PY12,QD12)&gt;0,SUM(PY12,QD12),"")</f>
        <v/>
      </c>
      <c r="QF12" s="38">
        <f>IF($CV12="P",CB12,(CB12+AY12)/2)</f>
        <v>9.25</v>
      </c>
      <c r="QG12" s="38">
        <f>IF($CV12="P",CC12,(CC12+AZ12)/2)</f>
        <v>2.6</v>
      </c>
      <c r="QH12" s="38">
        <f>IF($CV12="P",CD12,(CD12+BA12)/2)</f>
        <v>0</v>
      </c>
      <c r="QI12" s="38">
        <f>IF($CV12="P",CE12,(CE12+BB12)/2)</f>
        <v>0</v>
      </c>
      <c r="QJ12" s="38">
        <f>IF($CV12="P",CF12,(CF12+BC12)/2)</f>
        <v>8.9</v>
      </c>
      <c r="QK12" s="38">
        <f>IF($CV12="P",CG12,(CG12+BD12)/2)</f>
        <v>2.6</v>
      </c>
      <c r="QL12" s="38">
        <f>IF($CV12="P",CH12,(CH12+BE12)/2)</f>
        <v>0.5</v>
      </c>
      <c r="QM12" s="38">
        <f>IF($CV12="P",CI12,(CI12+BF12)/2)</f>
        <v>0.15</v>
      </c>
      <c r="QN12" s="38">
        <f>IF($CV12="P",CJ12,(CJ12+BG12)/2)</f>
        <v>8.8000000000000007</v>
      </c>
      <c r="QO12" s="38">
        <f>IF($CV12="P",CK12,(CK12+BH12)/2)</f>
        <v>2.6</v>
      </c>
      <c r="QP12" s="38">
        <f>IF($CV12="P",CL12,(CL12+BI12)/2)</f>
        <v>0</v>
      </c>
      <c r="QQ12" s="38">
        <f>IF($CV12="P",CM12,(CM12+BJ12)/2)</f>
        <v>0</v>
      </c>
      <c r="QR12" s="38">
        <f>IF($CV12="P",CN12,(CN12+BK12)/2)</f>
        <v>9.3000000000000007</v>
      </c>
      <c r="QS12" s="38">
        <f>IF($CV12="P",CO12,(CO12+BL12)/2)</f>
        <v>2.6</v>
      </c>
      <c r="QT12" s="38">
        <f>IF($CV12="P",CP12,(CP12+BM12)/2)</f>
        <v>0.1</v>
      </c>
      <c r="QU12" s="38">
        <f>IF($CV12="P",CQ12,(CQ12+BN12)/2)</f>
        <v>0</v>
      </c>
      <c r="QV12" s="38">
        <f>IF($CV12="P",CR12,(CR12+BO12)/2)</f>
        <v>8.6</v>
      </c>
      <c r="QW12" s="38">
        <f>IF($CV12="P",CS12,(CS12+BP12)/2)</f>
        <v>1.4</v>
      </c>
      <c r="QX12" s="38">
        <f>IF($CV12="P",CT12,(CT12+BQ12)/2)</f>
        <v>0</v>
      </c>
      <c r="QY12" s="38">
        <f>IF($CV12="P",CU12,(CU12+BR12)/2)</f>
        <v>0.15</v>
      </c>
      <c r="QZ12" s="45" t="s">
        <v>46</v>
      </c>
      <c r="RA12" s="79">
        <f>IF(SUM(QG12,QK12)&gt;0,SUM(QG12,QK12),"")</f>
        <v>5.2</v>
      </c>
      <c r="RB12" s="79">
        <f>IF(SUM(QF12:QG12,QI12:QK12,QM12)-QH12-QL12&gt;0,SUM(QF12:QG12,QI12:QK12,QM12)-QH12-QL12,"")</f>
        <v>23</v>
      </c>
      <c r="RC12" s="79">
        <f>IF(SUM(QN12:QO12,QQ12)-QP12&gt;0,SUM(QN12:QO12,QQ12)-QP12,"")</f>
        <v>11.4</v>
      </c>
      <c r="RD12" s="79">
        <f>IF(SUM(QG12,QK12,QO12)&gt;0,SUM(QG12,QK12,QO12),"")</f>
        <v>7.8000000000000007</v>
      </c>
      <c r="RE12" s="79">
        <f>IF(SUM(RB12,RC12)&gt;0,SUM(RB12,RC12),"")</f>
        <v>34.4</v>
      </c>
      <c r="RF12" s="79">
        <f>IF(SUM(QS12,QW12)&gt;0,SUM(QS12,QW12),"")</f>
        <v>4</v>
      </c>
      <c r="RG12" s="79">
        <f>IF(SUM(QR12:QS12,QU12:QW12,QY12)-SUM(QT12,QX12)&gt;0,SUM(QR12:QS12,QU12:QW12,QY12)-SUM(QT12,QX12),"")</f>
        <v>21.949999999999996</v>
      </c>
      <c r="RH12" s="79">
        <f>IF(SUM(RB12,RG12)&gt;0,SUM(RB12,RG12),"")</f>
        <v>44.949999999999996</v>
      </c>
    </row>
    <row r="13" spans="1:476" x14ac:dyDescent="0.2">
      <c r="A13" s="5" t="str">
        <f>IF(AND(F13="P",G13="P"),SUMPRODUCT((F$4:F$22="P")*(G$4:G$22="P")*(E$4:E$22&gt;E13))+1,IF(G13="P",SUMPRODUCT((F$4:F$22="")*(G$4:G$22="P")*(E$4:E$22&gt;E13))+1+SUMPRODUCT((F$4:F$22="P")*(G$4:G$22="P")),""))</f>
        <v/>
      </c>
      <c r="B13" s="78" t="s">
        <v>80</v>
      </c>
      <c r="C13" s="5" t="s">
        <v>4</v>
      </c>
      <c r="D13" s="5">
        <v>2004</v>
      </c>
      <c r="E13" s="15">
        <f>SUM(I13:S13)+SUM(I13:O13)*0.0000001+SUM(I13)*0.0000000000001</f>
        <v>109.60000656000439</v>
      </c>
      <c r="F13" s="3" t="str">
        <f>IF(OR(AND(AQ13&gt;=AX$24,AR13&gt;=AX$28,AQ13&lt;&gt;"",AP13=""),AND(AV13&gt;=AX$24,AW13&gt;=AX$28,AV13&lt;&gt;"",AP13=""),AND(BT13&gt;=CA$24,BU13&gt;=CA$28,BT13&lt;&gt;"",BS13=""),AND(BY13&gt;=CA$24,BZ13&gt;=CA$28,BY13&lt;&gt;"",BS13=""),AND(CW13&gt;=DD$24,CX13&gt;=DD$28,CW13&lt;&gt;"",CV13=""),AND(DB13&gt;=DD$24,DC13&gt;=DD$28,DB13&lt;&gt;""),AND(EB13&gt;=EI$24,EC13&gt;=EI$28,EB13&lt;&gt;""),AND(EG13&gt;=EI$24,EH13&gt;=EI$28,EG13&lt;&gt;""),AND(FD13&gt;=FK$24,FE13&gt;=FK$28,FD13&lt;&gt;""),AND(FI13&gt;=FK$24,FJ13&gt;=FK$28,FI13&lt;&gt;""),AND(GF13&gt;=GM$24,GG13&gt;=GM$28,GF13&lt;&gt;""),AND(GK13&gt;=GM$24,GL13&gt;=GM$28,GK13&lt;&gt;""),AND(HH13&gt;=HO$24,HI13&gt;=HO$28,HH13&lt;&gt;""),AND(HM13&gt;=HO$24,HN13&gt;=HO$28,HM13&lt;&gt;""),AND(IJ13&gt;=IQ$24,IK13&gt;=IQ$28,IJ13&lt;&gt;""),AND(IO13&gt;=IQ$24,IP13&gt;=IQ$28,IO13&lt;&gt;""),AND(JL13&gt;=JS$24,JM13&gt;=JS$28,JL13&lt;&gt;""),AND(JQ13&gt;=JS$24,JR13&gt;=JS$28,JQ13&lt;&gt;""),AND(KN13&gt;=KU$24,KO13&gt;=KU$28,KN13&lt;&gt;""),AND(KS13&gt;=KU$24,KT13&gt;=KU$28,KS13&lt;&gt;""),AND(LP13&gt;=LW$24,LQ13&gt;=LW$28,LP13&lt;&gt;""),AND(LU13&gt;=LW$24,LV13&gt;=LW$28,LU13&lt;&gt;""),AND(MR13&gt;=MY$24,MS13&gt;=MY$28,MR13&lt;&gt;""),AND(MW13&gt;=MY$24,MX13&gt;=MY$28,MW13&lt;&gt;""),AND(NT13&gt;=OA$24,NU13&gt;=OA$28,NT13&lt;&gt;""),AND(NY13&gt;=OA$24,NZ13&gt;=OA$28,NY13&lt;&gt;""),AND(OV13&gt;=PC$24,OW13&gt;=PC$28,OV13&lt;&gt;""),AND(PA13&gt;=PC$24,PB13&gt;=PC$28,PA13&lt;&gt;""),AND(PX13&gt;=QE$24,PY13&gt;=QE$28,PX13&lt;&gt;""),AND(QC13&gt;=QE$24,QD13&gt;=QE$28,QC13&lt;&gt;"")),"P","")</f>
        <v/>
      </c>
      <c r="G13" s="3" t="str">
        <f>IF(OR(AND(AR13&gt;=AX$28,AR13&lt;&gt;"",AP13=""),AND(AW13&gt;=AX$28,AW13&lt;&gt;"",AP13=""),AND(BU13&gt;=CA$28,BU13&lt;&gt;"",BS13=""),AND(BZ13&gt;=CA$28,BZ13&lt;&gt;"",BS13=""),AND(CX13&gt;=DD$28,CX13&lt;&gt;"",CV13=""),AND(DC13&gt;=DD$28,DC13&lt;&gt;"",CV13=""),AND(EC13&gt;=EI$28,EC13&lt;&gt;""),AND(EH13&gt;=EI$28,EH13&lt;&gt;""),AND(FE13&gt;=FK$28,FE13&lt;&gt;""),AND(FJ13&gt;=FK$28,FJ13&lt;&gt;""),AND(GG13&gt;=GM$28,GG13&lt;&gt;""),AND(GL13&gt;=GM$28,GL13&lt;&gt;""),AND(HI13&gt;=HO$28,HI13&lt;&gt;""),AND(HN13&gt;=HO$28,HN13&lt;&gt;""),AND(IK13&gt;=IQ$28,IK13&lt;&gt;""),AND(IP13&gt;=IQ$28,IP13&lt;&gt;""),AND(JM13&gt;=JS$28,JM13&lt;&gt;""),AND(JR13&gt;=JS$28,JR13&lt;&gt;""),AND(KO13&gt;=KU$28,KO13&lt;&gt;""),AND(KT13&gt;=KU$28,KT13&lt;&gt;""),AND(LQ13&gt;=LW$28,LQ13&lt;&gt;""),AND(LV13&gt;=LW$28,LV13&lt;&gt;""),AND(MS13&gt;=MY$28,MS13&lt;&gt;""),AND(MX13&gt;=MY$28,MX13&lt;&gt;""),AND(NU13&gt;=OA$28,NU13&lt;&gt;""),AND(NZ13&gt;=OA$28,NZ13&lt;&gt;""),AND(OW13&gt;=PC$28,OW13&lt;&gt;""),AND(PB13&gt;=PC$28,PB13&lt;&gt;""),AND(PY13&gt;=QE$28,PY13&lt;&gt;""),AND(QD13&gt;=QE$28,QD13&lt;&gt;"")),"P","")</f>
        <v/>
      </c>
      <c r="H13" s="67" t="str">
        <f>IF(AND(G13="P",F13=""),"No DD",IF(OR(AND(AT13&gt;=AX$27,AU13&gt;=AX$31,AT13&lt;&gt;"",AP13=""),AND(BW13&gt;=CA$27,BX13&gt;=CA$31,BW13&lt;&gt;"",BS13=""),AND(CZ13&gt;=DD$27,DA13&gt;=DD$31,CZ13&lt;&gt;"",CV13=""),AND(EE13&gt;=EI$27,EF13&gt;=EI$31,EE13&lt;&gt;""),AND(FG13&gt;=FK$27,FH13&gt;=FK$31,FG13&lt;&gt;""),AND(GI13&gt;=GM$27,GJ13&gt;=GM$31,GI13&lt;&gt;""),AND(HK13&gt;=HO$27,HL13&gt;=HO$31,HK13&lt;&gt;""),AND(IM13&gt;=IQ$27,IN13&gt;=IQ$31,IM13&lt;&gt;""),AND(JO13&gt;=JS$27,JP13&gt;=JS$31,JO13&lt;&gt;""),AND(KQ13&gt;=KU$27,KR13&gt;=KU$31,KQ13&lt;&gt;""),AND(LS13&gt;=LW$27,LT13&gt;=LW$31,LS13&lt;&gt;""),AND(MU13&gt;=MY$27,MV13&gt;=MY$31,MU13&lt;&gt;""),AND(NW13&gt;=OA$27,NX13&gt;=OA$31,NW13&lt;&gt;""),AND(OY13&gt;=PC$27,OZ13&gt;=PC$31,OY13&lt;&gt;""),AND(QA13&gt;=QE$27,QB13&gt;=QE$31,QA13&lt;&gt;"")),"Merit",IF(OR(AND(AT13&gt;=AX$26,AU13&gt;=AX$30,AT13&lt;&gt;"",AP13=""),AND(BW13&gt;=CA$26,BX13&gt;=CA$30,BW13&lt;&gt;"",BS13=""),AND(CZ13&gt;=DD$26,DA13&gt;=DD$30,CZ13&lt;&gt;"",CV13=""),AND(EE13&gt;=EI$26,EF13&gt;=EI$30,EE13&lt;&gt;""),AND(FG13&gt;=FK$26,FH13&gt;=FK$30,FG13&lt;&gt;""),AND(GI13&gt;=GM$26,GJ13&gt;=GM$30,GI13&lt;&gt;""),AND(HK13&gt;=HO$26,HL13&gt;=HO$30,HK13&lt;&gt;""),AND(IM13&gt;=IQ$26,IN13&gt;=IQ$30,IM13&lt;&gt;""),AND(JO13&gt;=JS$26,JP13&gt;=JS$30,JO13&lt;&gt;""),AND(KQ13&gt;=KU$26,KR13&gt;=KU$30,KQ13&lt;&gt;""),AND(LS13&gt;=LW$26,LT13&gt;=LW$30,LS13&lt;&gt;""),AND(MU13&gt;=MY$26,MV13&gt;=MY$30,MU13&lt;&gt;""),AND(NW13&gt;=OA$26,NX13&gt;=OA$30,NW13&lt;&gt;""),AND(OY13&gt;=PC$26,OZ13&gt;=PC$30,OY13&lt;&gt;""),AND(QA13&gt;=QE$26,QB13&gt;=QE$30,QA13&lt;&gt;"")),"Excellence",IF(F13="P","National Team",""))))</f>
        <v/>
      </c>
      <c r="I13" s="14">
        <f>IF(COUNT(AR13,BU13,CX13)&gt;0,LARGE((AR13,BU13,CX13),1),0)</f>
        <v>43.9</v>
      </c>
      <c r="J13" s="14" t="str">
        <f>IF(I13=0,"",IF(I13=CX13,$CB$1,IF(I13=BU13,$AY$1,IF(I13=AR13,$V$1,""))))</f>
        <v>2022 Elite Canada</v>
      </c>
      <c r="K13" s="14">
        <f>IF(COUNT(AR13,BU13,CX13)&gt;1,LARGE((AR13,BU13,CX13),2),0)</f>
        <v>0</v>
      </c>
      <c r="L13" s="14" t="str">
        <f>IF(K13=0,"",IF(K13=CX13,$CB$1,IF(K13=BU13,$AY$1,IF(K13=AR13,$V$1,""))))</f>
        <v/>
      </c>
      <c r="M13" s="14">
        <f>IF(COUNT(AS13,BV13,CY13)&gt;0,LARGE((AS13,BV13,CY13),1),0)</f>
        <v>21.7</v>
      </c>
      <c r="N13" s="14" t="str">
        <f>IF(M13=0,"",IF(M13=CY13,$CB$1,IF(M13=BV13,$AY$1,IF(M13=AS13,$V$1,""))))</f>
        <v>2022 Elite Canada</v>
      </c>
      <c r="O13" s="14">
        <f>IF(COUNT(AS13,BV13,CY13)&gt;1,LARGE((AS13,BV13,CY13),2),0)</f>
        <v>0</v>
      </c>
      <c r="P13" s="14" t="str">
        <f>IF(O13=0,"",IF(O13=CY13,$CB$1,IF(O13=BV13,$AY$1,IF(O13=AS13,$V$1,""))))</f>
        <v/>
      </c>
      <c r="Q13" s="14">
        <f>IF(MAX(AW13,BZ13,DC13)&gt;0,MAX(AW13,BZ13,DC13),0)</f>
        <v>44</v>
      </c>
      <c r="R13" s="14" t="str">
        <f>IF(Q13=0,"",IF(Q13=DC13,$CB$1,IF(Q13=BZ13,$AY$1,IF(Q13=AW13,$V$1,""))))</f>
        <v>2022 Elite Canada</v>
      </c>
      <c r="S13" s="14" t="str">
        <f>IF(MAX(DE13:DG13)&gt;0,MAX(DE13:DG13),"")</f>
        <v/>
      </c>
      <c r="T13" s="20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45"/>
      <c r="AQ13" s="79" t="str">
        <f>IF(SUM(W13,AA13)&gt;0,SUM(W13,AA13),"")</f>
        <v/>
      </c>
      <c r="AR13" s="79" t="str">
        <f>IF(SUM(V13:W13,Y13:AA13,AC13)-X13-AB13&gt;0,SUM(V13:W13,Y13:AA13,AC13)-X13-AB13,"")</f>
        <v/>
      </c>
      <c r="AS13" s="79" t="str">
        <f>IF(SUM(AD13:AE13,AG13)-AF13&gt;0,SUM(AD13:AE13,AG13)-AF13,"")</f>
        <v/>
      </c>
      <c r="AT13" s="79" t="str">
        <f>IF(SUM(W13,AA13,AE13)&gt;0,SUM(W13,AA13,AE13),"")</f>
        <v/>
      </c>
      <c r="AU13" s="79" t="str">
        <f>IF(SUM(AR13,AS13)&gt;0,SUM(AR13,AS13),"")</f>
        <v/>
      </c>
      <c r="AV13" s="79" t="str">
        <f>IF(SUM(AI13,AM13)&gt;0,SUM(AI13,AM13),"")</f>
        <v/>
      </c>
      <c r="AW13" s="79" t="str">
        <f>IF(SUM(AH13:AI13,AK13:AM13,AO13)-SUM(AJ13,AN13)&gt;0,SUM(AH13:AI13,AK13:AM13,AO13)-SUM(AJ13,AN13),"")</f>
        <v/>
      </c>
      <c r="AX13" s="79" t="str">
        <f>IF(SUM(AR13,AW13)&gt;0,SUM(AR13,AW13),"")</f>
        <v/>
      </c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46"/>
      <c r="BT13" s="20" t="str">
        <f>IF(SUM(AZ13,BD13)&gt;0,SUM(AZ13,BD13),"")</f>
        <v/>
      </c>
      <c r="BU13" s="20" t="str">
        <f>IF(SUM(AY13:AZ13,BB13:BD13,BF13)-BA13-BE13&gt;0,SUM(AY13:AZ13,BB13:BD13,BF13)-BA13-BE13,"")</f>
        <v/>
      </c>
      <c r="BV13" s="20" t="str">
        <f>IF(SUM(BG13:BH13,BJ13)-BI13&gt;0,SUM(BG13:BH13,BJ13)-BI13,"")</f>
        <v/>
      </c>
      <c r="BW13" s="20" t="str">
        <f>IF(SUM(AZ13,BD13,BH13)&gt;0,SUM(AZ13,BD13,BH13),"")</f>
        <v/>
      </c>
      <c r="BX13" s="20" t="str">
        <f>IF(SUM(BU13,BV13)&gt;0,SUM(BU13,BV13),"")</f>
        <v/>
      </c>
      <c r="BY13" s="20" t="str">
        <f>IF(SUM(BL13,BP13)&gt;0,SUM(BL13,BP13),"")</f>
        <v/>
      </c>
      <c r="BZ13" s="20" t="str">
        <f>IF(SUM(BK13:BL13,BN13:BP13,BR13)-SUM(BM13,BQ13)&gt;0,SUM(BK13:BL13,BN13:BP13,BR13)-SUM(BM13,BQ13),"")</f>
        <v/>
      </c>
      <c r="CA13" s="20" t="str">
        <f>IF(SUM(BU13,BZ13)&gt;0,SUM(BU13,BZ13),"")</f>
        <v/>
      </c>
      <c r="CB13" s="27">
        <v>18.399999999999999</v>
      </c>
      <c r="CC13" s="27">
        <v>3.5</v>
      </c>
      <c r="CD13" s="27">
        <v>0.2</v>
      </c>
      <c r="CE13" s="27">
        <v>0</v>
      </c>
      <c r="CF13" s="27">
        <v>18.600000000000001</v>
      </c>
      <c r="CG13" s="27">
        <v>3.6</v>
      </c>
      <c r="CH13" s="27">
        <v>0</v>
      </c>
      <c r="CI13" s="27">
        <v>0</v>
      </c>
      <c r="CJ13" s="27">
        <v>18.399999999999999</v>
      </c>
      <c r="CK13" s="27">
        <v>3.3</v>
      </c>
      <c r="CL13" s="27">
        <v>0</v>
      </c>
      <c r="CM13" s="27">
        <v>0</v>
      </c>
      <c r="CN13" s="27">
        <v>18.8</v>
      </c>
      <c r="CO13" s="27">
        <v>3.1</v>
      </c>
      <c r="CP13" s="27">
        <v>0.2</v>
      </c>
      <c r="CQ13" s="27">
        <v>0</v>
      </c>
      <c r="CR13" s="27">
        <v>18.7</v>
      </c>
      <c r="CS13" s="27">
        <v>3.6</v>
      </c>
      <c r="CT13" s="27">
        <v>0</v>
      </c>
      <c r="CU13" s="27">
        <v>0</v>
      </c>
      <c r="CV13" s="45"/>
      <c r="CW13" s="79">
        <f>IF(SUM(CC13,CG13)&gt;0,SUM(CC13,CG13),"")</f>
        <v>7.1</v>
      </c>
      <c r="CX13" s="79">
        <f>IF(SUM(CB13:CC13,CE13:CG13,CI13)-CD13-CH13&gt;0,SUM(CB13:CC13,CE13:CG13,CI13)-CD13-CH13,"")</f>
        <v>43.9</v>
      </c>
      <c r="CY13" s="79">
        <f>IF(SUM(CJ13:CK13,CM13)-CL13&gt;0,SUM(CJ13:CK13,CM13)-CL13,"")</f>
        <v>21.7</v>
      </c>
      <c r="CZ13" s="79">
        <f>IF(SUM(CC13,CG13,CK13)&gt;0,SUM(CC13,CG13,CK13),"")</f>
        <v>10.399999999999999</v>
      </c>
      <c r="DA13" s="79">
        <f>IF(SUM(CX13,CY13)&gt;0,SUM(CX13,CY13),"")</f>
        <v>65.599999999999994</v>
      </c>
      <c r="DB13" s="79">
        <f>IF(SUM(CO13,CS13)&gt;0,SUM(CO13,CS13),"")</f>
        <v>6.7</v>
      </c>
      <c r="DC13" s="79">
        <f>IF(SUM(CN13:CO13,CQ13:CS13,CU13)-SUM(CP13,CT13)&gt;0,SUM(CN13:CO13,CQ13:CS13,CU13)-SUM(CP13,CT13),"")</f>
        <v>44</v>
      </c>
      <c r="DD13" s="79">
        <f>IF(SUM(CX13,DC13)&gt;0,SUM(CX13,DC13),"")</f>
        <v>87.9</v>
      </c>
      <c r="DE13" s="80" t="str">
        <f>IF(K13&gt;=0.001,IF(MAX(EC13,FE13,GG13,HI13,IK13,JM13,KO13,LQ13,MS13,NU13,OW13,PY13)-IF(K13="",0,K13)&gt;0.001,MAX(EC13,FE13,GG13,HI13,IK13,JM13,KO13,LQ13,MS13,NU13,OW13,PY13)-IF(K13="",0,K13),""),"")</f>
        <v/>
      </c>
      <c r="DF13" s="80" t="str">
        <f>IF(O13&gt;=0.001,IF(MAX(ED13,FF13,GH13,HJ13,IL13,JN13,KP13,LR13,MT13,NV13,OX13,PZ13)-IF(O13="",0,O13)&gt;0.001,MAX(ED13,FF13,GH13,HJ13,IL13,JN13,KP13,LR13,MT13,NV13,OX13,PZ13)-IF(O13="",0,O13),""),"")</f>
        <v/>
      </c>
      <c r="DG13" s="80" t="str">
        <f>IF(Q13&gt;=0.001,IF(MAX(EH13,FJ13,GL13,HN13,IP13,JR13,KT13,LV13,MX13,NZ13,PB13,QD13)-IF(Q13="",0,Q13)&gt;0.001,MAX(EH13,FJ13,GL13,HN13,IP13,JR13,KT13,LV13,MX13,NZ13,PB13,QD13)-IF(Q13="",0,Q13),""),"")</f>
        <v/>
      </c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79" t="str">
        <f>IF(SUM(DI13,DM13)&gt;0,SUM(DI13,DM13),"")</f>
        <v/>
      </c>
      <c r="EC13" s="79" t="str">
        <f>IF(SUM(DH13:DI13,DK13:DM13,DO13)-DJ13-DN13&gt;0,SUM(DH13:DI13,DK13:DM13,DO13)-DJ13-DN13,"")</f>
        <v/>
      </c>
      <c r="ED13" s="79" t="str">
        <f>IF(SUM(DP13:DQ13,DS13)-DR13&gt;0,SUM(DP13:DQ13,DS13)-DR13,"")</f>
        <v/>
      </c>
      <c r="EE13" s="79" t="str">
        <f>IF(SUM(DI13,DM13,DQ13)&gt;0,SUM(DI13,DM13,DQ13),"")</f>
        <v/>
      </c>
      <c r="EF13" s="79" t="str">
        <f>IF(SUM(EC13,ED13)&gt;0,SUM(EC13,ED13),"")</f>
        <v/>
      </c>
      <c r="EG13" s="79" t="str">
        <f>IF(SUM(DU13,DY13)&gt;0,SUM(DU13,DY13),"")</f>
        <v/>
      </c>
      <c r="EH13" s="79" t="str">
        <f>IF(SUM(DT13:DU13,DW13:DY13,EA13)-SUM(DV13,DZ13)&gt;0,SUM(DT13:DU13,DW13:DY13,EA13)-SUM(DV13,DZ13),"")</f>
        <v/>
      </c>
      <c r="EI13" s="79" t="str">
        <f>IF(SUM(EC13,EH13)&gt;0,SUM(EC13,EH13),"")</f>
        <v/>
      </c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0" t="str">
        <f>IF(SUM(EK13,EO13)&gt;0,SUM(EK13,EO13),"")</f>
        <v/>
      </c>
      <c r="FE13" s="20" t="str">
        <f>IF(SUM(EJ13:EK13,EM13:EO13,EQ13)-EL13-EP13&gt;0,SUM(EJ13:EK13,EM13:EO13,EQ13)-EL13-EP13,"")</f>
        <v/>
      </c>
      <c r="FF13" s="20" t="str">
        <f>IF(SUM(ER13:ES13,EU13)-ET13&gt;0,SUM(ER13:ES13,EU13)-ET13,"")</f>
        <v/>
      </c>
      <c r="FG13" s="20" t="str">
        <f>IF(SUM(EK13,EO13,ES13)&gt;0,SUM(EK13,EO13,ES13),"")</f>
        <v/>
      </c>
      <c r="FH13" s="20" t="str">
        <f>IF(SUM(FE13,FF13)&gt;0,SUM(FE13,FF13),"")</f>
        <v/>
      </c>
      <c r="FI13" s="20" t="str">
        <f>IF(SUM(EW13,FA13)&gt;0,SUM(EW13,FA13),"")</f>
        <v/>
      </c>
      <c r="FJ13" s="20" t="str">
        <f>IF(SUM(EV13:EW13,EY13:FA13,FC13)-SUM(EX13,FB13)&gt;0,SUM(EV13:EW13,EY13:FA13,FC13)-SUM(EX13,FB13),"")</f>
        <v/>
      </c>
      <c r="FK13" s="20" t="str">
        <f>IF(SUM(FE13,FJ13)&gt;0,SUM(FE13,FJ13),"")</f>
        <v/>
      </c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79" t="str">
        <f>IF(SUM(FM13,FQ13)&gt;0,SUM(FM13,FQ13),"")</f>
        <v/>
      </c>
      <c r="GG13" s="79" t="str">
        <f>IF(SUM(FL13:FM13,FO13:FQ13,FS13)-FN13-FR13&gt;0,SUM(FL13:FM13,FO13:FQ13,FS13)-FN13-FR13,"")</f>
        <v/>
      </c>
      <c r="GH13" s="79" t="str">
        <f>IF(SUM(FT13:FU13,FW13)-FV13&gt;0,SUM(FT13:FU13,FW13)-FV13,"")</f>
        <v/>
      </c>
      <c r="GI13" s="79" t="str">
        <f>IF(SUM(FM13,FQ13,FU13)&gt;0,SUM(FM13,FQ13,FU13),"")</f>
        <v/>
      </c>
      <c r="GJ13" s="79" t="str">
        <f>IF(SUM(GG13,GH13)&gt;0,SUM(GG13,GH13),"")</f>
        <v/>
      </c>
      <c r="GK13" s="79" t="str">
        <f>IF(SUM(FY13,GC13)&gt;0,SUM(FY13,GC13),"")</f>
        <v/>
      </c>
      <c r="GL13" s="79" t="str">
        <f>IF(SUM(FX13:FY13,GA13:GC13,GE13)-SUM(FZ13,GD13)&gt;0,SUM(FX13:FY13,GA13:GC13,GE13)-SUM(FZ13,GD13),"")</f>
        <v/>
      </c>
      <c r="GM13" s="79" t="str">
        <f>IF(SUM(GG13,GL13)&gt;0,SUM(GG13,GL13),"")</f>
        <v/>
      </c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0" t="str">
        <f>IF(SUM(GO13,GS13)&gt;0,SUM(GO13,GS13),"")</f>
        <v/>
      </c>
      <c r="HI13" s="20" t="str">
        <f>IF(SUM(GN13:GO13,GQ13:GS13,GU13)-GP13-GT13&gt;0,SUM(GN13:GO13,GQ13:GS13,GU13)-GP13-GT13,"")</f>
        <v/>
      </c>
      <c r="HJ13" s="20" t="str">
        <f>IF(SUM(GV13:GW13,GY13)-GX13&gt;0,SUM(GV13:GW13,GY13)-GX13,"")</f>
        <v/>
      </c>
      <c r="HK13" s="20" t="str">
        <f>IF(SUM(GO13,GS13,GW13)&gt;0,SUM(GO13,GS13,GW13),"")</f>
        <v/>
      </c>
      <c r="HL13" s="20" t="str">
        <f>IF(SUM(HI13,HJ13)&gt;0,SUM(HI13,HJ13),"")</f>
        <v/>
      </c>
      <c r="HM13" s="20" t="str">
        <f>IF(SUM(HA13,HE13)&gt;0,SUM(HA13,HE13),"")</f>
        <v/>
      </c>
      <c r="HN13" s="20" t="str">
        <f>IF(SUM(GZ13:HA13,HC13:HE13,HG13)-SUM(HB13,HF13)&gt;0,SUM(GZ13:HA13,HC13:HE13,HG13)-SUM(HB13,HF13),"")</f>
        <v/>
      </c>
      <c r="HO13" s="20" t="str">
        <f>IF(SUM(HI13,HN13)&gt;0,SUM(HI13,HN13),"")</f>
        <v/>
      </c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79" t="str">
        <f>IF(SUM(HQ13,HU13)&gt;0,SUM(HQ13,HU13),"")</f>
        <v/>
      </c>
      <c r="IK13" s="79" t="str">
        <f>IF(SUM(HP13:HQ13,HS13:HU13,HW13)-HR13-HV13&gt;0,SUM(HP13:HQ13,HS13:HU13,HW13)-HR13-HV13,"")</f>
        <v/>
      </c>
      <c r="IL13" s="79" t="str">
        <f>IF(SUM(HX13:HY13,IA13)-HZ13&gt;0,SUM(HX13:HY13,IA13)-HZ13,"")</f>
        <v/>
      </c>
      <c r="IM13" s="79" t="str">
        <f>IF(SUM(HQ13,HU13,HY13)&gt;0,SUM(HQ13,HU13,HY13),"")</f>
        <v/>
      </c>
      <c r="IN13" s="79" t="str">
        <f>IF(SUM(IK13,IL13)&gt;0,SUM(IK13,IL13),"")</f>
        <v/>
      </c>
      <c r="IO13" s="79" t="str">
        <f>IF(SUM(IC13,IG13)&gt;0,SUM(IC13,IG13),"")</f>
        <v/>
      </c>
      <c r="IP13" s="79" t="str">
        <f>IF(SUM(IB13:IC13,IE13:IG13,II13)-SUM(ID13,IH13)&gt;0,SUM(IB13:IC13,IE13:IG13,II13)-SUM(ID13,IH13),"")</f>
        <v/>
      </c>
      <c r="IQ13" s="79" t="str">
        <f>IF(SUM(IK13,IP13)&gt;0,SUM(IK13,IP13),"")</f>
        <v/>
      </c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0" t="str">
        <f>IF(SUM(IS13,IW13)&gt;0,SUM(IS13,IW13),"")</f>
        <v/>
      </c>
      <c r="JM13" s="20" t="str">
        <f>IF(SUM(IR13:IS13,IU13:IW13,IY13)-IT13-IX13&gt;0,SUM(IR13:IS13,IU13:IW13,IY13)-IT13-IX13,"")</f>
        <v/>
      </c>
      <c r="JN13" s="20" t="str">
        <f>IF(SUM(IZ13:JA13,JC13)-JB13&gt;0,SUM(IZ13:JA13,JC13)-JB13,"")</f>
        <v/>
      </c>
      <c r="JO13" s="20" t="str">
        <f>IF(SUM(IS13,IW13,JA13)&gt;0,SUM(IS13,IW13,JA13),"")</f>
        <v/>
      </c>
      <c r="JP13" s="20" t="str">
        <f>IF(SUM(JM13,JN13)&gt;0,SUM(JM13,JN13),"")</f>
        <v/>
      </c>
      <c r="JQ13" s="20" t="str">
        <f>IF(SUM(JE13,JI13)&gt;0,SUM(JE13,JI13),"")</f>
        <v/>
      </c>
      <c r="JR13" s="20" t="str">
        <f>IF(SUM(JD13:JE13,JG13:JI13,JK13)-SUM(JF13,JJ13)&gt;0,SUM(JD13:JE13,JG13:JI13,JK13)-SUM(JF13,JJ13),"")</f>
        <v/>
      </c>
      <c r="JS13" s="20" t="str">
        <f>IF(SUM(JM13,JR13)&gt;0,SUM(JM13,JR13),"")</f>
        <v/>
      </c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79" t="str">
        <f>IF(SUM(JU13,JY13)&gt;0,SUM(JU13,JY13),"")</f>
        <v/>
      </c>
      <c r="KO13" s="79" t="str">
        <f>IF(SUM(JT13:JU13,JW13:JY13,KA13)-JV13-JZ13&gt;0,SUM(JT13:JU13,JW13:JY13,KA13)-JV13-JZ13,"")</f>
        <v/>
      </c>
      <c r="KP13" s="79" t="str">
        <f>IF(SUM(KB13:KC13,KE13)-KD13&gt;0,SUM(KB13:KC13,KE13)-KD13,"")</f>
        <v/>
      </c>
      <c r="KQ13" s="79" t="str">
        <f>IF(SUM(JU13,JY13,KC13)&gt;0,SUM(JU13,JY13,KC13),"")</f>
        <v/>
      </c>
      <c r="KR13" s="79" t="str">
        <f>IF(SUM(KO13,KP13)&gt;0,SUM(KO13,KP13),"")</f>
        <v/>
      </c>
      <c r="KS13" s="79" t="str">
        <f>IF(SUM(KG13,KK13)&gt;0,SUM(KG13,KK13),"")</f>
        <v/>
      </c>
      <c r="KT13" s="79" t="str">
        <f>IF(SUM(KF13:KG13,KI13:KK13,KM13)-SUM(KH13,KL13)&gt;0,SUM(KF13:KG13,KI13:KK13,KM13)-SUM(KH13,KL13),"")</f>
        <v/>
      </c>
      <c r="KU13" s="79" t="str">
        <f>IF(SUM(KO13,KT13)&gt;0,SUM(KO13,KT13),"")</f>
        <v/>
      </c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0" t="str">
        <f>IF(SUM(KW13,LA13)&gt;0,SUM(KW13,LA13),"")</f>
        <v/>
      </c>
      <c r="LQ13" s="20" t="str">
        <f>IF(SUM(KV13:KW13,KY13:LA13,LC13)-KX13-LB13&gt;0,SUM(KV13:KW13,KY13:LA13,LC13)-KX13-LB13,"")</f>
        <v/>
      </c>
      <c r="LR13" s="20" t="str">
        <f>IF(SUM(LD13:LE13,LG13)-LF13&gt;0,SUM(LD13:LE13,LG13)-LF13,"")</f>
        <v/>
      </c>
      <c r="LS13" s="20" t="str">
        <f>IF(SUM(KW13,LA13,LE13)&gt;0,SUM(KW13,LA13,LE13),"")</f>
        <v/>
      </c>
      <c r="LT13" s="20" t="str">
        <f>IF(SUM(LQ13,LR13)&gt;0,SUM(LQ13,LR13),"")</f>
        <v/>
      </c>
      <c r="LU13" s="20" t="str">
        <f>IF(SUM(LI13,LM13)&gt;0,SUM(LI13,LM13),"")</f>
        <v/>
      </c>
      <c r="LV13" s="20" t="str">
        <f>IF(SUM(LH13:LI13,LK13:LM13,LO13)-SUM(LJ13,LN13)&gt;0,SUM(LH13:LI13,LK13:LM13,LO13)-SUM(LJ13,LN13),"")</f>
        <v/>
      </c>
      <c r="LW13" s="20" t="str">
        <f>IF(SUM(LQ13,LV13)&gt;0,SUM(LQ13,LV13),"")</f>
        <v/>
      </c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79" t="str">
        <f>IF(SUM(LY13,MC13)&gt;0,SUM(LY13,MC13),"")</f>
        <v/>
      </c>
      <c r="MS13" s="79" t="str">
        <f>IF(SUM(LX13:LY13,MA13:MC13,ME13)-LZ13-MD13&gt;0,SUM(LX13:LY13,MA13:MC13,ME13)-LZ13-MD13,"")</f>
        <v/>
      </c>
      <c r="MT13" s="79" t="str">
        <f>IF(SUM(MF13:MG13,MI13)-MH13&gt;0,SUM(MF13:MG13,MI13)-MH13,"")</f>
        <v/>
      </c>
      <c r="MU13" s="79" t="str">
        <f>IF(SUM(LY13,MC13,MG13)&gt;0,SUM(LY13,MC13,MG13),"")</f>
        <v/>
      </c>
      <c r="MV13" s="79" t="str">
        <f>IF(SUM(MS13,MT13)&gt;0,SUM(MS13,MT13),"")</f>
        <v/>
      </c>
      <c r="MW13" s="79" t="str">
        <f>IF(SUM(MK13,MO13)&gt;0,SUM(MK13,MO13),"")</f>
        <v/>
      </c>
      <c r="MX13" s="79" t="str">
        <f>IF(SUM(MJ13:MK13,MM13:MO13,MQ13)-SUM(ML13,MP13)&gt;0,SUM(MJ13:MK13,MM13:MO13,MQ13)-SUM(ML13,MP13),"")</f>
        <v/>
      </c>
      <c r="MY13" s="79" t="str">
        <f>IF(SUM(MS13,MX13)&gt;0,SUM(MS13,MX13),"")</f>
        <v/>
      </c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0" t="str">
        <f>IF(SUM(NA13,NE13)&gt;0,SUM(NA13,NE13),"")</f>
        <v/>
      </c>
      <c r="NU13" s="20" t="str">
        <f>IF(SUM(MZ13:NA13,NC13:NE13,NG13)-NB13-NF13&gt;0,SUM(MZ13:NA13,NC13:NE13,NG13)-NB13-NF13,"")</f>
        <v/>
      </c>
      <c r="NV13" s="20" t="str">
        <f>IF(SUM(NH13:NI13,NK13)-NJ13&gt;0,SUM(NH13:NI13,NK13)-NJ13,"")</f>
        <v/>
      </c>
      <c r="NW13" s="20" t="str">
        <f>IF(SUM(NA13,NE13,NI13)&gt;0,SUM(NA13,NE13,NI13),"")</f>
        <v/>
      </c>
      <c r="NX13" s="20" t="str">
        <f>IF(SUM(NU13,NV13)&gt;0,SUM(NU13,NV13),"")</f>
        <v/>
      </c>
      <c r="NY13" s="20" t="str">
        <f>IF(SUM(NM13,NQ13)&gt;0,SUM(NM13,NQ13),"")</f>
        <v/>
      </c>
      <c r="NZ13" s="20" t="str">
        <f>IF(SUM(NL13:NM13,NO13:NQ13,NS13)-SUM(NN13,NR13)&gt;0,SUM(NL13:NM13,NO13:NQ13,NS13)-SUM(NN13,NR13),"")</f>
        <v/>
      </c>
      <c r="OA13" s="20" t="str">
        <f>IF(SUM(NU13,NZ13)&gt;0,SUM(NU13,NZ13),"")</f>
        <v/>
      </c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79" t="str">
        <f>IF(SUM(OC13,OG13)&gt;0,SUM(OC13,OG13),"")</f>
        <v/>
      </c>
      <c r="OW13" s="79" t="str">
        <f>IF(SUM(OB13:OC13,OE13:OG13,OI13)-OD13-OH13&gt;0,SUM(OB13:OC13,OE13:OG13,OI13)-OD13-OH13,"")</f>
        <v/>
      </c>
      <c r="OX13" s="79" t="str">
        <f>IF(SUM(OJ13:OK13,OM13)-OL13&gt;0,SUM(OJ13:OK13,OM13)-OL13,"")</f>
        <v/>
      </c>
      <c r="OY13" s="79" t="str">
        <f>IF(SUM(OC13,OG13,OK13)&gt;0,SUM(OC13,OG13,OK13),"")</f>
        <v/>
      </c>
      <c r="OZ13" s="79" t="str">
        <f>IF(SUM(OW13,OX13)&gt;0,SUM(OW13,OX13),"")</f>
        <v/>
      </c>
      <c r="PA13" s="79" t="str">
        <f>IF(SUM(OO13,OS13)&gt;0,SUM(OO13,OS13),"")</f>
        <v/>
      </c>
      <c r="PB13" s="79" t="str">
        <f>IF(SUM(ON13:OO13,OQ13:OS13,OU13)-SUM(OP13,OT13)&gt;0,SUM(ON13:OO13,OQ13:OS13,OU13)-SUM(OP13,OT13),"")</f>
        <v/>
      </c>
      <c r="PC13" s="79" t="str">
        <f>IF(SUM(OW13,PB13)&gt;0,SUM(OW13,PB13),"")</f>
        <v/>
      </c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0" t="str">
        <f>IF(SUM(PE13,PI13)&gt;0,SUM(PE13,PI13),"")</f>
        <v/>
      </c>
      <c r="PY13" s="20" t="str">
        <f>IF(SUM(PD13:PE13,PG13:PI13,PK13)-PF13-PJ13&gt;0,SUM(PD13:PE13,PG13:PI13,PK13)-PF13-PJ13,"")</f>
        <v/>
      </c>
      <c r="PZ13" s="20" t="str">
        <f>IF(SUM(PL13:PM13,PO13)-PN13&gt;0,SUM(PL13:PM13,PO13)-PN13,"")</f>
        <v/>
      </c>
      <c r="QA13" s="20" t="str">
        <f>IF(SUM(PE13,PI13,PM13)&gt;0,SUM(PE13,PI13,PM13),"")</f>
        <v/>
      </c>
      <c r="QB13" s="20" t="str">
        <f>IF(SUM(PY13,PZ13)&gt;0,SUM(PY13,PZ13),"")</f>
        <v/>
      </c>
      <c r="QC13" s="20" t="str">
        <f>IF(SUM(PQ13,PU13)&gt;0,SUM(PQ13,PU13),"")</f>
        <v/>
      </c>
      <c r="QD13" s="20" t="str">
        <f>IF(SUM(PP13:PQ13,PS13:PU13,PW13)-SUM(PR13,PV13)&gt;0,SUM(PP13:PQ13,PS13:PU13,PW13)-SUM(PR13,PV13),"")</f>
        <v/>
      </c>
      <c r="QE13" s="20" t="str">
        <f>IF(SUM(PY13,QD13)&gt;0,SUM(PY13,QD13),"")</f>
        <v/>
      </c>
      <c r="QF13" s="38">
        <f>IF($CV13="P",CB13,(CB13+AY13)/2)</f>
        <v>9.1999999999999993</v>
      </c>
      <c r="QG13" s="38">
        <f>IF($CV13="P",CC13,(CC13+AZ13)/2)</f>
        <v>1.75</v>
      </c>
      <c r="QH13" s="38">
        <f>IF($CV13="P",CD13,(CD13+BA13)/2)</f>
        <v>0.1</v>
      </c>
      <c r="QI13" s="38">
        <f>IF($CV13="P",CE13,(CE13+BB13)/2)</f>
        <v>0</v>
      </c>
      <c r="QJ13" s="38">
        <f>IF($CV13="P",CF13,(CF13+BC13)/2)</f>
        <v>9.3000000000000007</v>
      </c>
      <c r="QK13" s="38">
        <f>IF($CV13="P",CG13,(CG13+BD13)/2)</f>
        <v>1.8</v>
      </c>
      <c r="QL13" s="38">
        <f>IF($CV13="P",CH13,(CH13+BE13)/2)</f>
        <v>0</v>
      </c>
      <c r="QM13" s="38">
        <f>IF($CV13="P",CI13,(CI13+BF13)/2)</f>
        <v>0</v>
      </c>
      <c r="QN13" s="38">
        <f>IF($CV13="P",CJ13,(CJ13+BG13)/2)</f>
        <v>9.1999999999999993</v>
      </c>
      <c r="QO13" s="38">
        <f>IF($CV13="P",CK13,(CK13+BH13)/2)</f>
        <v>1.65</v>
      </c>
      <c r="QP13" s="38">
        <f>IF($CV13="P",CL13,(CL13+BI13)/2)</f>
        <v>0</v>
      </c>
      <c r="QQ13" s="38">
        <f>IF($CV13="P",CM13,(CM13+BJ13)/2)</f>
        <v>0</v>
      </c>
      <c r="QR13" s="38">
        <f>IF($CV13="P",CN13,(CN13+BK13)/2)</f>
        <v>9.4</v>
      </c>
      <c r="QS13" s="38">
        <f>IF($CV13="P",CO13,(CO13+BL13)/2)</f>
        <v>1.55</v>
      </c>
      <c r="QT13" s="38">
        <f>IF($CV13="P",CP13,(CP13+BM13)/2)</f>
        <v>0.1</v>
      </c>
      <c r="QU13" s="38">
        <f>IF($CV13="P",CQ13,(CQ13+BN13)/2)</f>
        <v>0</v>
      </c>
      <c r="QV13" s="38">
        <f>IF($CV13="P",CR13,(CR13+BO13)/2)</f>
        <v>9.35</v>
      </c>
      <c r="QW13" s="38">
        <f>IF($CV13="P",CS13,(CS13+BP13)/2)</f>
        <v>1.8</v>
      </c>
      <c r="QX13" s="38">
        <f>IF($CV13="P",CT13,(CT13+BQ13)/2)</f>
        <v>0</v>
      </c>
      <c r="QY13" s="38">
        <f>IF($CV13="P",CU13,(CU13+BR13)/2)</f>
        <v>0</v>
      </c>
      <c r="QZ13" s="45" t="s">
        <v>46</v>
      </c>
      <c r="RA13" s="79">
        <f>IF(SUM(QG13,QK13)&gt;0,SUM(QG13,QK13),"")</f>
        <v>3.55</v>
      </c>
      <c r="RB13" s="79">
        <f>IF(SUM(QF13:QG13,QI13:QK13,QM13)-QH13-QL13&gt;0,SUM(QF13:QG13,QI13:QK13,QM13)-QH13-QL13,"")</f>
        <v>21.95</v>
      </c>
      <c r="RC13" s="79">
        <f>IF(SUM(QN13:QO13,QQ13)-QP13&gt;0,SUM(QN13:QO13,QQ13)-QP13,"")</f>
        <v>10.85</v>
      </c>
      <c r="RD13" s="79">
        <f>IF(SUM(QG13,QK13,QO13)&gt;0,SUM(QG13,QK13,QO13),"")</f>
        <v>5.1999999999999993</v>
      </c>
      <c r="RE13" s="79">
        <f>IF(SUM(RB13,RC13)&gt;0,SUM(RB13,RC13),"")</f>
        <v>32.799999999999997</v>
      </c>
      <c r="RF13" s="79">
        <f>IF(SUM(QS13,QW13)&gt;0,SUM(QS13,QW13),"")</f>
        <v>3.35</v>
      </c>
      <c r="RG13" s="79">
        <f>IF(SUM(QR13:QS13,QU13:QW13,QY13)-SUM(QT13,QX13)&gt;0,SUM(QR13:QS13,QU13:QW13,QY13)-SUM(QT13,QX13),"")</f>
        <v>22</v>
      </c>
      <c r="RH13" s="79">
        <f>IF(SUM(RB13,RG13)&gt;0,SUM(RB13,RG13),"")</f>
        <v>43.95</v>
      </c>
    </row>
    <row r="14" spans="1:476" x14ac:dyDescent="0.2">
      <c r="A14" s="5" t="str">
        <f>IF(AND(F14="P",G14="P"),SUMPRODUCT((F$4:F$22="P")*(G$4:G$22="P")*(E$4:E$22&gt;E14))+1,IF(G14="P",SUMPRODUCT((F$4:F$22="")*(G$4:G$22="P")*(E$4:E$22&gt;E14))+1+SUMPRODUCT((F$4:F$22="P")*(G$4:G$22="P")),""))</f>
        <v/>
      </c>
      <c r="B14" s="78" t="s">
        <v>103</v>
      </c>
      <c r="C14" s="5" t="s">
        <v>6</v>
      </c>
      <c r="D14" s="5">
        <v>2004</v>
      </c>
      <c r="E14" s="15">
        <f>SUM(I14:S14)+SUM(I14:O14)*0.0000001+SUM(I14)*0.0000000000001</f>
        <v>109.50000654000435</v>
      </c>
      <c r="F14" s="3" t="str">
        <f>IF(OR(AND(AQ14&gt;=AX$24,AR14&gt;=AX$28,AQ14&lt;&gt;"",AP14=""),AND(AV14&gt;=AX$24,AW14&gt;=AX$28,AV14&lt;&gt;"",AP14=""),AND(BT14&gt;=CA$24,BU14&gt;=CA$28,BT14&lt;&gt;"",BS14=""),AND(BY14&gt;=CA$24,BZ14&gt;=CA$28,BY14&lt;&gt;"",BS14=""),AND(CW14&gt;=DD$24,CX14&gt;=DD$28,CW14&lt;&gt;"",CV14=""),AND(DB14&gt;=DD$24,DC14&gt;=DD$28,DB14&lt;&gt;""),AND(EB14&gt;=EI$24,EC14&gt;=EI$28,EB14&lt;&gt;""),AND(EG14&gt;=EI$24,EH14&gt;=EI$28,EG14&lt;&gt;""),AND(FD14&gt;=FK$24,FE14&gt;=FK$28,FD14&lt;&gt;""),AND(FI14&gt;=FK$24,FJ14&gt;=FK$28,FI14&lt;&gt;""),AND(GF14&gt;=GM$24,GG14&gt;=GM$28,GF14&lt;&gt;""),AND(GK14&gt;=GM$24,GL14&gt;=GM$28,GK14&lt;&gt;""),AND(HH14&gt;=HO$24,HI14&gt;=HO$28,HH14&lt;&gt;""),AND(HM14&gt;=HO$24,HN14&gt;=HO$28,HM14&lt;&gt;""),AND(IJ14&gt;=IQ$24,IK14&gt;=IQ$28,IJ14&lt;&gt;""),AND(IO14&gt;=IQ$24,IP14&gt;=IQ$28,IO14&lt;&gt;""),AND(JL14&gt;=JS$24,JM14&gt;=JS$28,JL14&lt;&gt;""),AND(JQ14&gt;=JS$24,JR14&gt;=JS$28,JQ14&lt;&gt;""),AND(KN14&gt;=KU$24,KO14&gt;=KU$28,KN14&lt;&gt;""),AND(KS14&gt;=KU$24,KT14&gt;=KU$28,KS14&lt;&gt;""),AND(LP14&gt;=LW$24,LQ14&gt;=LW$28,LP14&lt;&gt;""),AND(LU14&gt;=LW$24,LV14&gt;=LW$28,LU14&lt;&gt;""),AND(MR14&gt;=MY$24,MS14&gt;=MY$28,MR14&lt;&gt;""),AND(MW14&gt;=MY$24,MX14&gt;=MY$28,MW14&lt;&gt;""),AND(NT14&gt;=OA$24,NU14&gt;=OA$28,NT14&lt;&gt;""),AND(NY14&gt;=OA$24,NZ14&gt;=OA$28,NY14&lt;&gt;""),AND(OV14&gt;=PC$24,OW14&gt;=PC$28,OV14&lt;&gt;""),AND(PA14&gt;=PC$24,PB14&gt;=PC$28,PA14&lt;&gt;""),AND(PX14&gt;=QE$24,PY14&gt;=QE$28,PX14&lt;&gt;""),AND(QC14&gt;=QE$24,QD14&gt;=QE$28,QC14&lt;&gt;"")),"P","")</f>
        <v/>
      </c>
      <c r="G14" s="3" t="str">
        <f>IF(OR(AND(AR14&gt;=AX$28,AR14&lt;&gt;"",AP14=""),AND(AW14&gt;=AX$28,AW14&lt;&gt;"",AP14=""),AND(BU14&gt;=CA$28,BU14&lt;&gt;"",BS14=""),AND(BZ14&gt;=CA$28,BZ14&lt;&gt;"",BS14=""),AND(CX14&gt;=DD$28,CX14&lt;&gt;"",CV14=""),AND(DC14&gt;=DD$28,DC14&lt;&gt;"",CV14=""),AND(EC14&gt;=EI$28,EC14&lt;&gt;""),AND(EH14&gt;=EI$28,EH14&lt;&gt;""),AND(FE14&gt;=FK$28,FE14&lt;&gt;""),AND(FJ14&gt;=FK$28,FJ14&lt;&gt;""),AND(GG14&gt;=GM$28,GG14&lt;&gt;""),AND(GL14&gt;=GM$28,GL14&lt;&gt;""),AND(HI14&gt;=HO$28,HI14&lt;&gt;""),AND(HN14&gt;=HO$28,HN14&lt;&gt;""),AND(IK14&gt;=IQ$28,IK14&lt;&gt;""),AND(IP14&gt;=IQ$28,IP14&lt;&gt;""),AND(JM14&gt;=JS$28,JM14&lt;&gt;""),AND(JR14&gt;=JS$28,JR14&lt;&gt;""),AND(KO14&gt;=KU$28,KO14&lt;&gt;""),AND(KT14&gt;=KU$28,KT14&lt;&gt;""),AND(LQ14&gt;=LW$28,LQ14&lt;&gt;""),AND(LV14&gt;=LW$28,LV14&lt;&gt;""),AND(MS14&gt;=MY$28,MS14&lt;&gt;""),AND(MX14&gt;=MY$28,MX14&lt;&gt;""),AND(NU14&gt;=OA$28,NU14&lt;&gt;""),AND(NZ14&gt;=OA$28,NZ14&lt;&gt;""),AND(OW14&gt;=PC$28,OW14&lt;&gt;""),AND(PB14&gt;=PC$28,PB14&lt;&gt;""),AND(PY14&gt;=QE$28,PY14&lt;&gt;""),AND(QD14&gt;=QE$28,QD14&lt;&gt;"")),"P","")</f>
        <v/>
      </c>
      <c r="H14" s="67" t="str">
        <f>IF(AND(G14="P",F14=""),"No DD",IF(OR(AND(AT14&gt;=AX$27,AU14&gt;=AX$31,AT14&lt;&gt;"",AP14=""),AND(BW14&gt;=CA$27,BX14&gt;=CA$31,BW14&lt;&gt;"",BS14=""),AND(CZ14&gt;=DD$27,DA14&gt;=DD$31,CZ14&lt;&gt;"",CV14=""),AND(EE14&gt;=EI$27,EF14&gt;=EI$31,EE14&lt;&gt;""),AND(FG14&gt;=FK$27,FH14&gt;=FK$31,FG14&lt;&gt;""),AND(GI14&gt;=GM$27,GJ14&gt;=GM$31,GI14&lt;&gt;""),AND(HK14&gt;=HO$27,HL14&gt;=HO$31,HK14&lt;&gt;""),AND(IM14&gt;=IQ$27,IN14&gt;=IQ$31,IM14&lt;&gt;""),AND(JO14&gt;=JS$27,JP14&gt;=JS$31,JO14&lt;&gt;""),AND(KQ14&gt;=KU$27,KR14&gt;=KU$31,KQ14&lt;&gt;""),AND(LS14&gt;=LW$27,LT14&gt;=LW$31,LS14&lt;&gt;""),AND(MU14&gt;=MY$27,MV14&gt;=MY$31,MU14&lt;&gt;""),AND(NW14&gt;=OA$27,NX14&gt;=OA$31,NW14&lt;&gt;""),AND(OY14&gt;=PC$27,OZ14&gt;=PC$31,OY14&lt;&gt;""),AND(QA14&gt;=QE$27,QB14&gt;=QE$31,QA14&lt;&gt;"")),"Merit",IF(OR(AND(AT14&gt;=AX$26,AU14&gt;=AX$30,AT14&lt;&gt;"",AP14=""),AND(BW14&gt;=CA$26,BX14&gt;=CA$30,BW14&lt;&gt;"",BS14=""),AND(CZ14&gt;=DD$26,DA14&gt;=DD$30,CZ14&lt;&gt;"",CV14=""),AND(EE14&gt;=EI$26,EF14&gt;=EI$30,EE14&lt;&gt;""),AND(FG14&gt;=FK$26,FH14&gt;=FK$30,FG14&lt;&gt;""),AND(GI14&gt;=GM$26,GJ14&gt;=GM$30,GI14&lt;&gt;""),AND(HK14&gt;=HO$26,HL14&gt;=HO$30,HK14&lt;&gt;""),AND(IM14&gt;=IQ$26,IN14&gt;=IQ$30,IM14&lt;&gt;""),AND(JO14&gt;=JS$26,JP14&gt;=JS$30,JO14&lt;&gt;""),AND(KQ14&gt;=KU$26,KR14&gt;=KU$30,KQ14&lt;&gt;""),AND(LS14&gt;=LW$26,LT14&gt;=LW$30,LS14&lt;&gt;""),AND(MU14&gt;=MY$26,MV14&gt;=MY$30,MU14&lt;&gt;""),AND(NW14&gt;=OA$26,NX14&gt;=OA$30,NW14&lt;&gt;""),AND(OY14&gt;=PC$26,OZ14&gt;=PC$30,OY14&lt;&gt;""),AND(QA14&gt;=QE$26,QB14&gt;=QE$30,QA14&lt;&gt;"")),"Excellence",IF(F14="P","National Team",""))))</f>
        <v/>
      </c>
      <c r="I14" s="14">
        <f>IF(COUNT(AR14,BU14,CX14)&gt;0,LARGE((AR14,BU14,CX14),1),0)</f>
        <v>43.599999999999994</v>
      </c>
      <c r="J14" s="14" t="str">
        <f>IF(I14=0,"",IF(I14=CX14,$CB$1,IF(I14=BU14,$AY$1,IF(I14=AR14,$V$1,""))))</f>
        <v>2022 Elite Canada</v>
      </c>
      <c r="K14" s="14">
        <f>IF(COUNT(AR14,BU14,CX14)&gt;1,LARGE((AR14,BU14,CX14),2),0)</f>
        <v>0</v>
      </c>
      <c r="L14" s="14" t="str">
        <f>IF(K14=0,"",IF(K14=CX14,$CB$1,IF(K14=BU14,$AY$1,IF(K14=AR14,$V$1,""))))</f>
        <v/>
      </c>
      <c r="M14" s="14">
        <f>IF(COUNT(AS14,BV14,CY14)&gt;0,LARGE((AS14,BV14,CY14),1),0)</f>
        <v>21.799999999999997</v>
      </c>
      <c r="N14" s="14" t="str">
        <f>IF(M14=0,"",IF(M14=CY14,$CB$1,IF(M14=BV14,$AY$1,IF(M14=AS14,$V$1,""))))</f>
        <v>2022 Elite Canada</v>
      </c>
      <c r="O14" s="14">
        <f>IF(COUNT(AS14,BV14,CY14)&gt;1,LARGE((AS14,BV14,CY14),2),0)</f>
        <v>0</v>
      </c>
      <c r="P14" s="14" t="str">
        <f>IF(O14=0,"",IF(O14=CY14,$CB$1,IF(O14=BV14,$AY$1,IF(O14=AS14,$V$1,""))))</f>
        <v/>
      </c>
      <c r="Q14" s="14">
        <f>IF(MAX(AW14,BZ14,DC14)&gt;0,MAX(AW14,BZ14,DC14),0)</f>
        <v>44.099999999999994</v>
      </c>
      <c r="R14" s="14" t="str">
        <f>IF(Q14=0,"",IF(Q14=DC14,$CB$1,IF(Q14=BZ14,$AY$1,IF(Q14=AW14,$V$1,""))))</f>
        <v>2022 Elite Canada</v>
      </c>
      <c r="S14" s="14" t="str">
        <f>IF(MAX(DE14:DG14)&gt;0,MAX(DE14:DG14),"")</f>
        <v/>
      </c>
      <c r="T14" s="20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45"/>
      <c r="AQ14" s="79" t="str">
        <f>IF(SUM(W14,AA14)&gt;0,SUM(W14,AA14),"")</f>
        <v/>
      </c>
      <c r="AR14" s="79" t="str">
        <f>IF(SUM(V14:W14,Y14:AA14,AC14)-X14-AB14&gt;0,SUM(V14:W14,Y14:AA14,AC14)-X14-AB14,"")</f>
        <v/>
      </c>
      <c r="AS14" s="79" t="str">
        <f>IF(SUM(AD14:AE14,AG14)-AF14&gt;0,SUM(AD14:AE14,AG14)-AF14,"")</f>
        <v/>
      </c>
      <c r="AT14" s="79" t="str">
        <f>IF(SUM(W14,AA14,AE14)&gt;0,SUM(W14,AA14,AE14),"")</f>
        <v/>
      </c>
      <c r="AU14" s="79" t="str">
        <f>IF(SUM(AR14,AS14)&gt;0,SUM(AR14,AS14),"")</f>
        <v/>
      </c>
      <c r="AV14" s="79" t="str">
        <f>IF(SUM(AI14,AM14)&gt;0,SUM(AI14,AM14),"")</f>
        <v/>
      </c>
      <c r="AW14" s="79" t="str">
        <f>IF(SUM(AH14:AI14,AK14:AM14,AO14)-SUM(AJ14,AN14)&gt;0,SUM(AH14:AI14,AK14:AM14,AO14)-SUM(AJ14,AN14),"")</f>
        <v/>
      </c>
      <c r="AX14" s="79" t="str">
        <f>IF(SUM(AR14,AW14)&gt;0,SUM(AR14,AW14),"")</f>
        <v/>
      </c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46"/>
      <c r="BT14" s="20" t="str">
        <f>IF(SUM(AZ14,BD14)&gt;0,SUM(AZ14,BD14),"")</f>
        <v/>
      </c>
      <c r="BU14" s="20" t="str">
        <f>IF(SUM(AY14:AZ14,BB14:BD14,BF14)-BA14-BE14&gt;0,SUM(AY14:AZ14,BB14:BD14,BF14)-BA14-BE14,"")</f>
        <v/>
      </c>
      <c r="BV14" s="20" t="str">
        <f>IF(SUM(BG14:BH14,BJ14)-BI14&gt;0,SUM(BG14:BH14,BJ14)-BI14,"")</f>
        <v/>
      </c>
      <c r="BW14" s="20" t="str">
        <f>IF(SUM(AZ14,BD14,BH14)&gt;0,SUM(AZ14,BD14,BH14),"")</f>
        <v/>
      </c>
      <c r="BX14" s="20" t="str">
        <f>IF(SUM(BU14,BV14)&gt;0,SUM(BU14,BV14),"")</f>
        <v/>
      </c>
      <c r="BY14" s="20" t="str">
        <f>IF(SUM(BL14,BP14)&gt;0,SUM(BL14,BP14),"")</f>
        <v/>
      </c>
      <c r="BZ14" s="20" t="str">
        <f>IF(SUM(BK14:BL14,BN14:BP14,BR14)-SUM(BM14,BQ14)&gt;0,SUM(BK14:BL14,BN14:BP14,BR14)-SUM(BM14,BQ14),"")</f>
        <v/>
      </c>
      <c r="CA14" s="20" t="str">
        <f>IF(SUM(BU14,BZ14)&gt;0,SUM(BU14,BZ14),"")</f>
        <v/>
      </c>
      <c r="CB14" s="27">
        <v>18.7</v>
      </c>
      <c r="CC14" s="27">
        <v>3.5</v>
      </c>
      <c r="CD14" s="27">
        <v>0.6</v>
      </c>
      <c r="CE14" s="27">
        <v>0</v>
      </c>
      <c r="CF14" s="27">
        <v>18.2</v>
      </c>
      <c r="CG14" s="27">
        <v>4.4000000000000004</v>
      </c>
      <c r="CH14" s="27">
        <v>0.6</v>
      </c>
      <c r="CI14" s="27">
        <v>0</v>
      </c>
      <c r="CJ14" s="27">
        <v>18.7</v>
      </c>
      <c r="CK14" s="27">
        <v>3.7</v>
      </c>
      <c r="CL14" s="27">
        <v>0.6</v>
      </c>
      <c r="CM14" s="27">
        <v>0</v>
      </c>
      <c r="CN14" s="27">
        <v>19</v>
      </c>
      <c r="CO14" s="27">
        <v>3.5</v>
      </c>
      <c r="CP14" s="27">
        <v>0.6</v>
      </c>
      <c r="CQ14" s="27">
        <v>0</v>
      </c>
      <c r="CR14" s="27">
        <v>18.399999999999999</v>
      </c>
      <c r="CS14" s="27">
        <v>4.4000000000000004</v>
      </c>
      <c r="CT14" s="27">
        <v>0.6</v>
      </c>
      <c r="CU14" s="27">
        <v>0</v>
      </c>
      <c r="CV14" s="45"/>
      <c r="CW14" s="79">
        <f>IF(SUM(CC14,CG14)&gt;0,SUM(CC14,CG14),"")</f>
        <v>7.9</v>
      </c>
      <c r="CX14" s="79">
        <f>IF(SUM(CB14:CC14,CE14:CG14,CI14)-CD14-CH14&gt;0,SUM(CB14:CC14,CE14:CG14,CI14)-CD14-CH14,"")</f>
        <v>43.599999999999994</v>
      </c>
      <c r="CY14" s="79">
        <f>IF(SUM(CJ14:CK14,CM14)-CL14&gt;0,SUM(CJ14:CK14,CM14)-CL14,"")</f>
        <v>21.799999999999997</v>
      </c>
      <c r="CZ14" s="79">
        <f>IF(SUM(CC14,CG14,CK14)&gt;0,SUM(CC14,CG14,CK14),"")</f>
        <v>11.600000000000001</v>
      </c>
      <c r="DA14" s="79">
        <f>IF(SUM(CX14,CY14)&gt;0,SUM(CX14,CY14),"")</f>
        <v>65.399999999999991</v>
      </c>
      <c r="DB14" s="79">
        <f>IF(SUM(CO14,CS14)&gt;0,SUM(CO14,CS14),"")</f>
        <v>7.9</v>
      </c>
      <c r="DC14" s="79">
        <f>IF(SUM(CN14:CO14,CQ14:CS14,CU14)-SUM(CP14,CT14)&gt;0,SUM(CN14:CO14,CQ14:CS14,CU14)-SUM(CP14,CT14),"")</f>
        <v>44.099999999999994</v>
      </c>
      <c r="DD14" s="79">
        <f>IF(SUM(CX14,DC14)&gt;0,SUM(CX14,DC14),"")</f>
        <v>87.699999999999989</v>
      </c>
      <c r="DE14" s="80" t="str">
        <f>IF(K14&gt;=0.001,IF(MAX(EC14,FE14,GG14,HI14,IK14,JM14,KO14,LQ14,MS14,NU14,OW14,PY14)-IF(K14="",0,K14)&gt;0.001,MAX(EC14,FE14,GG14,HI14,IK14,JM14,KO14,LQ14,MS14,NU14,OW14,PY14)-IF(K14="",0,K14),""),"")</f>
        <v/>
      </c>
      <c r="DF14" s="80" t="str">
        <f>IF(O14&gt;=0.001,IF(MAX(ED14,FF14,GH14,HJ14,IL14,JN14,KP14,LR14,MT14,NV14,OX14,PZ14)-IF(O14="",0,O14)&gt;0.001,MAX(ED14,FF14,GH14,HJ14,IL14,JN14,KP14,LR14,MT14,NV14,OX14,PZ14)-IF(O14="",0,O14),""),"")</f>
        <v/>
      </c>
      <c r="DG14" s="80" t="str">
        <f>IF(Q14&gt;=0.001,IF(MAX(EH14,FJ14,GL14,HN14,IP14,JR14,KT14,LV14,MX14,NZ14,PB14,QD14)-IF(Q14="",0,Q14)&gt;0.001,MAX(EH14,FJ14,GL14,HN14,IP14,JR14,KT14,LV14,MX14,NZ14,PB14,QD14)-IF(Q14="",0,Q14),""),"")</f>
        <v/>
      </c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79" t="str">
        <f>IF(SUM(DI14,DM14)&gt;0,SUM(DI14,DM14),"")</f>
        <v/>
      </c>
      <c r="EC14" s="79" t="str">
        <f>IF(SUM(DH14:DI14,DK14:DM14,DO14)-DJ14-DN14&gt;0,SUM(DH14:DI14,DK14:DM14,DO14)-DJ14-DN14,"")</f>
        <v/>
      </c>
      <c r="ED14" s="79" t="str">
        <f>IF(SUM(DP14:DQ14,DS14)-DR14&gt;0,SUM(DP14:DQ14,DS14)-DR14,"")</f>
        <v/>
      </c>
      <c r="EE14" s="79" t="str">
        <f>IF(SUM(DI14,DM14,DQ14)&gt;0,SUM(DI14,DM14,DQ14),"")</f>
        <v/>
      </c>
      <c r="EF14" s="79" t="str">
        <f>IF(SUM(EC14,ED14)&gt;0,SUM(EC14,ED14),"")</f>
        <v/>
      </c>
      <c r="EG14" s="79" t="str">
        <f>IF(SUM(DU14,DY14)&gt;0,SUM(DU14,DY14),"")</f>
        <v/>
      </c>
      <c r="EH14" s="79" t="str">
        <f>IF(SUM(DT14:DU14,DW14:DY14,EA14)-SUM(DV14,DZ14)&gt;0,SUM(DT14:DU14,DW14:DY14,EA14)-SUM(DV14,DZ14),"")</f>
        <v/>
      </c>
      <c r="EI14" s="79" t="str">
        <f>IF(SUM(EC14,EH14)&gt;0,SUM(EC14,EH14),"")</f>
        <v/>
      </c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0" t="str">
        <f>IF(SUM(EK14,EO14)&gt;0,SUM(EK14,EO14),"")</f>
        <v/>
      </c>
      <c r="FE14" s="20" t="str">
        <f>IF(SUM(EJ14:EK14,EM14:EO14,EQ14)-EL14-EP14&gt;0,SUM(EJ14:EK14,EM14:EO14,EQ14)-EL14-EP14,"")</f>
        <v/>
      </c>
      <c r="FF14" s="20" t="str">
        <f>IF(SUM(ER14:ES14,EU14)-ET14&gt;0,SUM(ER14:ES14,EU14)-ET14,"")</f>
        <v/>
      </c>
      <c r="FG14" s="20" t="str">
        <f>IF(SUM(EK14,EO14,ES14)&gt;0,SUM(EK14,EO14,ES14),"")</f>
        <v/>
      </c>
      <c r="FH14" s="20" t="str">
        <f>IF(SUM(FE14,FF14)&gt;0,SUM(FE14,FF14),"")</f>
        <v/>
      </c>
      <c r="FI14" s="20" t="str">
        <f>IF(SUM(EW14,FA14)&gt;0,SUM(EW14,FA14),"")</f>
        <v/>
      </c>
      <c r="FJ14" s="20" t="str">
        <f>IF(SUM(EV14:EW14,EY14:FA14,FC14)-SUM(EX14,FB14)&gt;0,SUM(EV14:EW14,EY14:FA14,FC14)-SUM(EX14,FB14),"")</f>
        <v/>
      </c>
      <c r="FK14" s="20" t="str">
        <f>IF(SUM(FE14,FJ14)&gt;0,SUM(FE14,FJ14),"")</f>
        <v/>
      </c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79" t="str">
        <f>IF(SUM(FM14,FQ14)&gt;0,SUM(FM14,FQ14),"")</f>
        <v/>
      </c>
      <c r="GG14" s="79" t="str">
        <f>IF(SUM(FL14:FM14,FO14:FQ14,FS14)-FN14-FR14&gt;0,SUM(FL14:FM14,FO14:FQ14,FS14)-FN14-FR14,"")</f>
        <v/>
      </c>
      <c r="GH14" s="79" t="str">
        <f>IF(SUM(FT14:FU14,FW14)-FV14&gt;0,SUM(FT14:FU14,FW14)-FV14,"")</f>
        <v/>
      </c>
      <c r="GI14" s="79" t="str">
        <f>IF(SUM(FM14,FQ14,FU14)&gt;0,SUM(FM14,FQ14,FU14),"")</f>
        <v/>
      </c>
      <c r="GJ14" s="79" t="str">
        <f>IF(SUM(GG14,GH14)&gt;0,SUM(GG14,GH14),"")</f>
        <v/>
      </c>
      <c r="GK14" s="79" t="str">
        <f>IF(SUM(FY14,GC14)&gt;0,SUM(FY14,GC14),"")</f>
        <v/>
      </c>
      <c r="GL14" s="79" t="str">
        <f>IF(SUM(FX14:FY14,GA14:GC14,GE14)-SUM(FZ14,GD14)&gt;0,SUM(FX14:FY14,GA14:GC14,GE14)-SUM(FZ14,GD14),"")</f>
        <v/>
      </c>
      <c r="GM14" s="79" t="str">
        <f>IF(SUM(GG14,GL14)&gt;0,SUM(GG14,GL14),"")</f>
        <v/>
      </c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0" t="str">
        <f>IF(SUM(GO14,GS14)&gt;0,SUM(GO14,GS14),"")</f>
        <v/>
      </c>
      <c r="HI14" s="20" t="str">
        <f>IF(SUM(GN14:GO14,GQ14:GS14,GU14)-GP14-GT14&gt;0,SUM(GN14:GO14,GQ14:GS14,GU14)-GP14-GT14,"")</f>
        <v/>
      </c>
      <c r="HJ14" s="20" t="str">
        <f>IF(SUM(GV14:GW14,GY14)-GX14&gt;0,SUM(GV14:GW14,GY14)-GX14,"")</f>
        <v/>
      </c>
      <c r="HK14" s="20" t="str">
        <f>IF(SUM(GO14,GS14,GW14)&gt;0,SUM(GO14,GS14,GW14),"")</f>
        <v/>
      </c>
      <c r="HL14" s="20" t="str">
        <f>IF(SUM(HI14,HJ14)&gt;0,SUM(HI14,HJ14),"")</f>
        <v/>
      </c>
      <c r="HM14" s="20" t="str">
        <f>IF(SUM(HA14,HE14)&gt;0,SUM(HA14,HE14),"")</f>
        <v/>
      </c>
      <c r="HN14" s="20" t="str">
        <f>IF(SUM(GZ14:HA14,HC14:HE14,HG14)-SUM(HB14,HF14)&gt;0,SUM(GZ14:HA14,HC14:HE14,HG14)-SUM(HB14,HF14),"")</f>
        <v/>
      </c>
      <c r="HO14" s="20" t="str">
        <f>IF(SUM(HI14,HN14)&gt;0,SUM(HI14,HN14),"")</f>
        <v/>
      </c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79" t="str">
        <f>IF(SUM(HQ14,HU14)&gt;0,SUM(HQ14,HU14),"")</f>
        <v/>
      </c>
      <c r="IK14" s="79" t="str">
        <f>IF(SUM(HP14:HQ14,HS14:HU14,HW14)-HR14-HV14&gt;0,SUM(HP14:HQ14,HS14:HU14,HW14)-HR14-HV14,"")</f>
        <v/>
      </c>
      <c r="IL14" s="79" t="str">
        <f>IF(SUM(HX14:HY14,IA14)-HZ14&gt;0,SUM(HX14:HY14,IA14)-HZ14,"")</f>
        <v/>
      </c>
      <c r="IM14" s="79" t="str">
        <f>IF(SUM(HQ14,HU14,HY14)&gt;0,SUM(HQ14,HU14,HY14),"")</f>
        <v/>
      </c>
      <c r="IN14" s="79" t="str">
        <f>IF(SUM(IK14,IL14)&gt;0,SUM(IK14,IL14),"")</f>
        <v/>
      </c>
      <c r="IO14" s="79" t="str">
        <f>IF(SUM(IC14,IG14)&gt;0,SUM(IC14,IG14),"")</f>
        <v/>
      </c>
      <c r="IP14" s="79" t="str">
        <f>IF(SUM(IB14:IC14,IE14:IG14,II14)-SUM(ID14,IH14)&gt;0,SUM(IB14:IC14,IE14:IG14,II14)-SUM(ID14,IH14),"")</f>
        <v/>
      </c>
      <c r="IQ14" s="79" t="str">
        <f>IF(SUM(IK14,IP14)&gt;0,SUM(IK14,IP14),"")</f>
        <v/>
      </c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0" t="str">
        <f>IF(SUM(IS14,IW14)&gt;0,SUM(IS14,IW14),"")</f>
        <v/>
      </c>
      <c r="JM14" s="20" t="str">
        <f>IF(SUM(IR14:IS14,IU14:IW14,IY14)-IT14-IX14&gt;0,SUM(IR14:IS14,IU14:IW14,IY14)-IT14-IX14,"")</f>
        <v/>
      </c>
      <c r="JN14" s="20" t="str">
        <f>IF(SUM(IZ14:JA14,JC14)-JB14&gt;0,SUM(IZ14:JA14,JC14)-JB14,"")</f>
        <v/>
      </c>
      <c r="JO14" s="20" t="str">
        <f>IF(SUM(IS14,IW14,JA14)&gt;0,SUM(IS14,IW14,JA14),"")</f>
        <v/>
      </c>
      <c r="JP14" s="20" t="str">
        <f>IF(SUM(JM14,JN14)&gt;0,SUM(JM14,JN14),"")</f>
        <v/>
      </c>
      <c r="JQ14" s="20" t="str">
        <f>IF(SUM(JE14,JI14)&gt;0,SUM(JE14,JI14),"")</f>
        <v/>
      </c>
      <c r="JR14" s="20" t="str">
        <f>IF(SUM(JD14:JE14,JG14:JI14,JK14)-SUM(JF14,JJ14)&gt;0,SUM(JD14:JE14,JG14:JI14,JK14)-SUM(JF14,JJ14),"")</f>
        <v/>
      </c>
      <c r="JS14" s="20" t="str">
        <f>IF(SUM(JM14,JR14)&gt;0,SUM(JM14,JR14),"")</f>
        <v/>
      </c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79" t="str">
        <f>IF(SUM(JU14,JY14)&gt;0,SUM(JU14,JY14),"")</f>
        <v/>
      </c>
      <c r="KO14" s="79" t="str">
        <f>IF(SUM(JT14:JU14,JW14:JY14,KA14)-JV14-JZ14&gt;0,SUM(JT14:JU14,JW14:JY14,KA14)-JV14-JZ14,"")</f>
        <v/>
      </c>
      <c r="KP14" s="79" t="str">
        <f>IF(SUM(KB14:KC14,KE14)-KD14&gt;0,SUM(KB14:KC14,KE14)-KD14,"")</f>
        <v/>
      </c>
      <c r="KQ14" s="79" t="str">
        <f>IF(SUM(JU14,JY14,KC14)&gt;0,SUM(JU14,JY14,KC14),"")</f>
        <v/>
      </c>
      <c r="KR14" s="79" t="str">
        <f>IF(SUM(KO14,KP14)&gt;0,SUM(KO14,KP14),"")</f>
        <v/>
      </c>
      <c r="KS14" s="79" t="str">
        <f>IF(SUM(KG14,KK14)&gt;0,SUM(KG14,KK14),"")</f>
        <v/>
      </c>
      <c r="KT14" s="79" t="str">
        <f>IF(SUM(KF14:KG14,KI14:KK14,KM14)-SUM(KH14,KL14)&gt;0,SUM(KF14:KG14,KI14:KK14,KM14)-SUM(KH14,KL14),"")</f>
        <v/>
      </c>
      <c r="KU14" s="79" t="str">
        <f>IF(SUM(KO14,KT14)&gt;0,SUM(KO14,KT14),"")</f>
        <v/>
      </c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0" t="str">
        <f>IF(SUM(KW14,LA14)&gt;0,SUM(KW14,LA14),"")</f>
        <v/>
      </c>
      <c r="LQ14" s="20" t="str">
        <f>IF(SUM(KV14:KW14,KY14:LA14,LC14)-KX14-LB14&gt;0,SUM(KV14:KW14,KY14:LA14,LC14)-KX14-LB14,"")</f>
        <v/>
      </c>
      <c r="LR14" s="20" t="str">
        <f>IF(SUM(LD14:LE14,LG14)-LF14&gt;0,SUM(LD14:LE14,LG14)-LF14,"")</f>
        <v/>
      </c>
      <c r="LS14" s="20" t="str">
        <f>IF(SUM(KW14,LA14,LE14)&gt;0,SUM(KW14,LA14,LE14),"")</f>
        <v/>
      </c>
      <c r="LT14" s="20" t="str">
        <f>IF(SUM(LQ14,LR14)&gt;0,SUM(LQ14,LR14),"")</f>
        <v/>
      </c>
      <c r="LU14" s="20" t="str">
        <f>IF(SUM(LI14,LM14)&gt;0,SUM(LI14,LM14),"")</f>
        <v/>
      </c>
      <c r="LV14" s="20" t="str">
        <f>IF(SUM(LH14:LI14,LK14:LM14,LO14)-SUM(LJ14,LN14)&gt;0,SUM(LH14:LI14,LK14:LM14,LO14)-SUM(LJ14,LN14),"")</f>
        <v/>
      </c>
      <c r="LW14" s="20" t="str">
        <f>IF(SUM(LQ14,LV14)&gt;0,SUM(LQ14,LV14),"")</f>
        <v/>
      </c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79" t="str">
        <f>IF(SUM(LY14,MC14)&gt;0,SUM(LY14,MC14),"")</f>
        <v/>
      </c>
      <c r="MS14" s="79" t="str">
        <f>IF(SUM(LX14:LY14,MA14:MC14,ME14)-LZ14-MD14&gt;0,SUM(LX14:LY14,MA14:MC14,ME14)-LZ14-MD14,"")</f>
        <v/>
      </c>
      <c r="MT14" s="79" t="str">
        <f>IF(SUM(MF14:MG14,MI14)-MH14&gt;0,SUM(MF14:MG14,MI14)-MH14,"")</f>
        <v/>
      </c>
      <c r="MU14" s="79" t="str">
        <f>IF(SUM(LY14,MC14,MG14)&gt;0,SUM(LY14,MC14,MG14),"")</f>
        <v/>
      </c>
      <c r="MV14" s="79" t="str">
        <f>IF(SUM(MS14,MT14)&gt;0,SUM(MS14,MT14),"")</f>
        <v/>
      </c>
      <c r="MW14" s="79" t="str">
        <f>IF(SUM(MK14,MO14)&gt;0,SUM(MK14,MO14),"")</f>
        <v/>
      </c>
      <c r="MX14" s="79" t="str">
        <f>IF(SUM(MJ14:MK14,MM14:MO14,MQ14)-SUM(ML14,MP14)&gt;0,SUM(MJ14:MK14,MM14:MO14,MQ14)-SUM(ML14,MP14),"")</f>
        <v/>
      </c>
      <c r="MY14" s="79" t="str">
        <f>IF(SUM(MS14,MX14)&gt;0,SUM(MS14,MX14),"")</f>
        <v/>
      </c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0" t="str">
        <f>IF(SUM(NA14,NE14)&gt;0,SUM(NA14,NE14),"")</f>
        <v/>
      </c>
      <c r="NU14" s="20" t="str">
        <f>IF(SUM(MZ14:NA14,NC14:NE14,NG14)-NB14-NF14&gt;0,SUM(MZ14:NA14,NC14:NE14,NG14)-NB14-NF14,"")</f>
        <v/>
      </c>
      <c r="NV14" s="20" t="str">
        <f>IF(SUM(NH14:NI14,NK14)-NJ14&gt;0,SUM(NH14:NI14,NK14)-NJ14,"")</f>
        <v/>
      </c>
      <c r="NW14" s="20" t="str">
        <f>IF(SUM(NA14,NE14,NI14)&gt;0,SUM(NA14,NE14,NI14),"")</f>
        <v/>
      </c>
      <c r="NX14" s="20" t="str">
        <f>IF(SUM(NU14,NV14)&gt;0,SUM(NU14,NV14),"")</f>
        <v/>
      </c>
      <c r="NY14" s="20" t="str">
        <f>IF(SUM(NM14,NQ14)&gt;0,SUM(NM14,NQ14),"")</f>
        <v/>
      </c>
      <c r="NZ14" s="20" t="str">
        <f>IF(SUM(NL14:NM14,NO14:NQ14,NS14)-SUM(NN14,NR14)&gt;0,SUM(NL14:NM14,NO14:NQ14,NS14)-SUM(NN14,NR14),"")</f>
        <v/>
      </c>
      <c r="OA14" s="20" t="str">
        <f>IF(SUM(NU14,NZ14)&gt;0,SUM(NU14,NZ14),"")</f>
        <v/>
      </c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79" t="str">
        <f>IF(SUM(OC14,OG14)&gt;0,SUM(OC14,OG14),"")</f>
        <v/>
      </c>
      <c r="OW14" s="79" t="str">
        <f>IF(SUM(OB14:OC14,OE14:OG14,OI14)-OD14-OH14&gt;0,SUM(OB14:OC14,OE14:OG14,OI14)-OD14-OH14,"")</f>
        <v/>
      </c>
      <c r="OX14" s="79" t="str">
        <f>IF(SUM(OJ14:OK14,OM14)-OL14&gt;0,SUM(OJ14:OK14,OM14)-OL14,"")</f>
        <v/>
      </c>
      <c r="OY14" s="79" t="str">
        <f>IF(SUM(OC14,OG14,OK14)&gt;0,SUM(OC14,OG14,OK14),"")</f>
        <v/>
      </c>
      <c r="OZ14" s="79" t="str">
        <f>IF(SUM(OW14,OX14)&gt;0,SUM(OW14,OX14),"")</f>
        <v/>
      </c>
      <c r="PA14" s="79" t="str">
        <f>IF(SUM(OO14,OS14)&gt;0,SUM(OO14,OS14),"")</f>
        <v/>
      </c>
      <c r="PB14" s="79" t="str">
        <f>IF(SUM(ON14:OO14,OQ14:OS14,OU14)-SUM(OP14,OT14)&gt;0,SUM(ON14:OO14,OQ14:OS14,OU14)-SUM(OP14,OT14),"")</f>
        <v/>
      </c>
      <c r="PC14" s="79" t="str">
        <f>IF(SUM(OW14,PB14)&gt;0,SUM(OW14,PB14),"")</f>
        <v/>
      </c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0" t="str">
        <f>IF(SUM(PE14,PI14)&gt;0,SUM(PE14,PI14),"")</f>
        <v/>
      </c>
      <c r="PY14" s="20" t="str">
        <f>IF(SUM(PD14:PE14,PG14:PI14,PK14)-PF14-PJ14&gt;0,SUM(PD14:PE14,PG14:PI14,PK14)-PF14-PJ14,"")</f>
        <v/>
      </c>
      <c r="PZ14" s="20" t="str">
        <f>IF(SUM(PL14:PM14,PO14)-PN14&gt;0,SUM(PL14:PM14,PO14)-PN14,"")</f>
        <v/>
      </c>
      <c r="QA14" s="20" t="str">
        <f>IF(SUM(PE14,PI14,PM14)&gt;0,SUM(PE14,PI14,PM14),"")</f>
        <v/>
      </c>
      <c r="QB14" s="20" t="str">
        <f>IF(SUM(PY14,PZ14)&gt;0,SUM(PY14,PZ14),"")</f>
        <v/>
      </c>
      <c r="QC14" s="20" t="str">
        <f>IF(SUM(PQ14,PU14)&gt;0,SUM(PQ14,PU14),"")</f>
        <v/>
      </c>
      <c r="QD14" s="20" t="str">
        <f>IF(SUM(PP14:PQ14,PS14:PU14,PW14)-SUM(PR14,PV14)&gt;0,SUM(PP14:PQ14,PS14:PU14,PW14)-SUM(PR14,PV14),"")</f>
        <v/>
      </c>
      <c r="QE14" s="20" t="str">
        <f>IF(SUM(PY14,QD14)&gt;0,SUM(PY14,QD14),"")</f>
        <v/>
      </c>
      <c r="QF14" s="38">
        <f>IF($CV14="P",CB14,(CB14+AY14)/2)</f>
        <v>9.35</v>
      </c>
      <c r="QG14" s="38">
        <f>IF($CV14="P",CC14,(CC14+AZ14)/2)</f>
        <v>1.75</v>
      </c>
      <c r="QH14" s="38">
        <f>IF($CV14="P",CD14,(CD14+BA14)/2)</f>
        <v>0.3</v>
      </c>
      <c r="QI14" s="38">
        <f>IF($CV14="P",CE14,(CE14+BB14)/2)</f>
        <v>0</v>
      </c>
      <c r="QJ14" s="38">
        <f>IF($CV14="P",CF14,(CF14+BC14)/2)</f>
        <v>9.1</v>
      </c>
      <c r="QK14" s="38">
        <f>IF($CV14="P",CG14,(CG14+BD14)/2)</f>
        <v>2.2000000000000002</v>
      </c>
      <c r="QL14" s="38">
        <f>IF($CV14="P",CH14,(CH14+BE14)/2)</f>
        <v>0.3</v>
      </c>
      <c r="QM14" s="38">
        <f>IF($CV14="P",CI14,(CI14+BF14)/2)</f>
        <v>0</v>
      </c>
      <c r="QN14" s="38">
        <f>IF($CV14="P",CJ14,(CJ14+BG14)/2)</f>
        <v>9.35</v>
      </c>
      <c r="QO14" s="38">
        <f>IF($CV14="P",CK14,(CK14+BH14)/2)</f>
        <v>1.85</v>
      </c>
      <c r="QP14" s="38">
        <f>IF($CV14="P",CL14,(CL14+BI14)/2)</f>
        <v>0.3</v>
      </c>
      <c r="QQ14" s="38">
        <f>IF($CV14="P",CM14,(CM14+BJ14)/2)</f>
        <v>0</v>
      </c>
      <c r="QR14" s="38">
        <f>IF($CV14="P",CN14,(CN14+BK14)/2)</f>
        <v>9.5</v>
      </c>
      <c r="QS14" s="38">
        <f>IF($CV14="P",CO14,(CO14+BL14)/2)</f>
        <v>1.75</v>
      </c>
      <c r="QT14" s="38">
        <f>IF($CV14="P",CP14,(CP14+BM14)/2)</f>
        <v>0.3</v>
      </c>
      <c r="QU14" s="38">
        <f>IF($CV14="P",CQ14,(CQ14+BN14)/2)</f>
        <v>0</v>
      </c>
      <c r="QV14" s="38">
        <f>IF($CV14="P",CR14,(CR14+BO14)/2)</f>
        <v>9.1999999999999993</v>
      </c>
      <c r="QW14" s="38">
        <f>IF($CV14="P",CS14,(CS14+BP14)/2)</f>
        <v>2.2000000000000002</v>
      </c>
      <c r="QX14" s="38">
        <f>IF($CV14="P",CT14,(CT14+BQ14)/2)</f>
        <v>0.3</v>
      </c>
      <c r="QY14" s="38">
        <f>IF($CV14="P",CU14,(CU14+BR14)/2)</f>
        <v>0</v>
      </c>
      <c r="QZ14" s="45" t="s">
        <v>46</v>
      </c>
      <c r="RA14" s="79">
        <f>IF(SUM(QG14,QK14)&gt;0,SUM(QG14,QK14),"")</f>
        <v>3.95</v>
      </c>
      <c r="RB14" s="79">
        <f>IF(SUM(QF14:QG14,QI14:QK14,QM14)-QH14-QL14&gt;0,SUM(QF14:QG14,QI14:QK14,QM14)-QH14-QL14,"")</f>
        <v>21.799999999999997</v>
      </c>
      <c r="RC14" s="79">
        <f>IF(SUM(QN14:QO14,QQ14)-QP14&gt;0,SUM(QN14:QO14,QQ14)-QP14,"")</f>
        <v>10.899999999999999</v>
      </c>
      <c r="RD14" s="79">
        <f>IF(SUM(QG14,QK14,QO14)&gt;0,SUM(QG14,QK14,QO14),"")</f>
        <v>5.8000000000000007</v>
      </c>
      <c r="RE14" s="79">
        <f>IF(SUM(RB14,RC14)&gt;0,SUM(RB14,RC14),"")</f>
        <v>32.699999999999996</v>
      </c>
      <c r="RF14" s="79">
        <f>IF(SUM(QS14,QW14)&gt;0,SUM(QS14,QW14),"")</f>
        <v>3.95</v>
      </c>
      <c r="RG14" s="79">
        <f>IF(SUM(QR14:QS14,QU14:QW14,QY14)-SUM(QT14,QX14)&gt;0,SUM(QR14:QS14,QU14:QW14,QY14)-SUM(QT14,QX14),"")</f>
        <v>22.049999999999997</v>
      </c>
      <c r="RH14" s="79">
        <f>IF(SUM(RB14,RG14)&gt;0,SUM(RB14,RG14),"")</f>
        <v>43.849999999999994</v>
      </c>
    </row>
    <row r="15" spans="1:476" x14ac:dyDescent="0.2">
      <c r="A15" s="5" t="str">
        <f>IF(AND(F15="P",G15="P"),SUMPRODUCT((F$4:F$22="P")*(G$4:G$22="P")*(E$4:E$22&gt;E15))+1,IF(G15="P",SUMPRODUCT((F$4:F$22="")*(G$4:G$22="P")*(E$4:E$22&gt;E15))+1+SUMPRODUCT((F$4:F$22="P")*(G$4:G$22="P")),""))</f>
        <v/>
      </c>
      <c r="B15" s="78" t="s">
        <v>142</v>
      </c>
      <c r="C15" s="5" t="s">
        <v>5</v>
      </c>
      <c r="D15" s="5">
        <v>2005</v>
      </c>
      <c r="E15" s="15">
        <f>SUM(I15:S15)+SUM(I15:O15)*0.0000001+SUM(I15)*0.0000000000001</f>
        <v>109.40000655000438</v>
      </c>
      <c r="F15" s="3" t="str">
        <f>IF(OR(AND(AQ15&gt;=AX$24,AR15&gt;=AX$28,AQ15&lt;&gt;"",AP15=""),AND(AV15&gt;=AX$24,AW15&gt;=AX$28,AV15&lt;&gt;"",AP15=""),AND(BT15&gt;=CA$24,BU15&gt;=CA$28,BT15&lt;&gt;"",BS15=""),AND(BY15&gt;=CA$24,BZ15&gt;=CA$28,BY15&lt;&gt;"",BS15=""),AND(CW15&gt;=DD$24,CX15&gt;=DD$28,CW15&lt;&gt;"",CV15=""),AND(DB15&gt;=DD$24,DC15&gt;=DD$28,DB15&lt;&gt;""),AND(EB15&gt;=EI$24,EC15&gt;=EI$28,EB15&lt;&gt;""),AND(EG15&gt;=EI$24,EH15&gt;=EI$28,EG15&lt;&gt;""),AND(FD15&gt;=FK$24,FE15&gt;=FK$28,FD15&lt;&gt;""),AND(FI15&gt;=FK$24,FJ15&gt;=FK$28,FI15&lt;&gt;""),AND(GF15&gt;=GM$24,GG15&gt;=GM$28,GF15&lt;&gt;""),AND(GK15&gt;=GM$24,GL15&gt;=GM$28,GK15&lt;&gt;""),AND(HH15&gt;=HO$24,HI15&gt;=HO$28,HH15&lt;&gt;""),AND(HM15&gt;=HO$24,HN15&gt;=HO$28,HM15&lt;&gt;""),AND(IJ15&gt;=IQ$24,IK15&gt;=IQ$28,IJ15&lt;&gt;""),AND(IO15&gt;=IQ$24,IP15&gt;=IQ$28,IO15&lt;&gt;""),AND(JL15&gt;=JS$24,JM15&gt;=JS$28,JL15&lt;&gt;""),AND(JQ15&gt;=JS$24,JR15&gt;=JS$28,JQ15&lt;&gt;""),AND(KN15&gt;=KU$24,KO15&gt;=KU$28,KN15&lt;&gt;""),AND(KS15&gt;=KU$24,KT15&gt;=KU$28,KS15&lt;&gt;""),AND(LP15&gt;=LW$24,LQ15&gt;=LW$28,LP15&lt;&gt;""),AND(LU15&gt;=LW$24,LV15&gt;=LW$28,LU15&lt;&gt;""),AND(MR15&gt;=MY$24,MS15&gt;=MY$28,MR15&lt;&gt;""),AND(MW15&gt;=MY$24,MX15&gt;=MY$28,MW15&lt;&gt;""),AND(NT15&gt;=OA$24,NU15&gt;=OA$28,NT15&lt;&gt;""),AND(NY15&gt;=OA$24,NZ15&gt;=OA$28,NY15&lt;&gt;""),AND(OV15&gt;=PC$24,OW15&gt;=PC$28,OV15&lt;&gt;""),AND(PA15&gt;=PC$24,PB15&gt;=PC$28,PA15&lt;&gt;""),AND(PX15&gt;=QE$24,PY15&gt;=QE$28,PX15&lt;&gt;""),AND(QC15&gt;=QE$24,QD15&gt;=QE$28,QC15&lt;&gt;"")),"P","")</f>
        <v/>
      </c>
      <c r="G15" s="3" t="str">
        <f>IF(OR(AND(AR15&gt;=AX$28,AR15&lt;&gt;"",AP15=""),AND(AW15&gt;=AX$28,AW15&lt;&gt;"",AP15=""),AND(BU15&gt;=CA$28,BU15&lt;&gt;"",BS15=""),AND(BZ15&gt;=CA$28,BZ15&lt;&gt;"",BS15=""),AND(CX15&gt;=DD$28,CX15&lt;&gt;"",CV15=""),AND(DC15&gt;=DD$28,DC15&lt;&gt;"",CV15=""),AND(EC15&gt;=EI$28,EC15&lt;&gt;""),AND(EH15&gt;=EI$28,EH15&lt;&gt;""),AND(FE15&gt;=FK$28,FE15&lt;&gt;""),AND(FJ15&gt;=FK$28,FJ15&lt;&gt;""),AND(GG15&gt;=GM$28,GG15&lt;&gt;""),AND(GL15&gt;=GM$28,GL15&lt;&gt;""),AND(HI15&gt;=HO$28,HI15&lt;&gt;""),AND(HN15&gt;=HO$28,HN15&lt;&gt;""),AND(IK15&gt;=IQ$28,IK15&lt;&gt;""),AND(IP15&gt;=IQ$28,IP15&lt;&gt;""),AND(JM15&gt;=JS$28,JM15&lt;&gt;""),AND(JR15&gt;=JS$28,JR15&lt;&gt;""),AND(KO15&gt;=KU$28,KO15&lt;&gt;""),AND(KT15&gt;=KU$28,KT15&lt;&gt;""),AND(LQ15&gt;=LW$28,LQ15&lt;&gt;""),AND(LV15&gt;=LW$28,LV15&lt;&gt;""),AND(MS15&gt;=MY$28,MS15&lt;&gt;""),AND(MX15&gt;=MY$28,MX15&lt;&gt;""),AND(NU15&gt;=OA$28,NU15&lt;&gt;""),AND(NZ15&gt;=OA$28,NZ15&lt;&gt;""),AND(OW15&gt;=PC$28,OW15&lt;&gt;""),AND(PB15&gt;=PC$28,PB15&lt;&gt;""),AND(PY15&gt;=QE$28,PY15&lt;&gt;""),AND(QD15&gt;=QE$28,QD15&lt;&gt;"")),"P","")</f>
        <v/>
      </c>
      <c r="H15" s="67" t="str">
        <f>IF(AND(G15="P",F15=""),"No DD",IF(OR(AND(AT15&gt;=AX$27,AU15&gt;=AX$31,AT15&lt;&gt;"",AP15=""),AND(BW15&gt;=CA$27,BX15&gt;=CA$31,BW15&lt;&gt;"",BS15=""),AND(CZ15&gt;=DD$27,DA15&gt;=DD$31,CZ15&lt;&gt;"",CV15=""),AND(EE15&gt;=EI$27,EF15&gt;=EI$31,EE15&lt;&gt;""),AND(FG15&gt;=FK$27,FH15&gt;=FK$31,FG15&lt;&gt;""),AND(GI15&gt;=GM$27,GJ15&gt;=GM$31,GI15&lt;&gt;""),AND(HK15&gt;=HO$27,HL15&gt;=HO$31,HK15&lt;&gt;""),AND(IM15&gt;=IQ$27,IN15&gt;=IQ$31,IM15&lt;&gt;""),AND(JO15&gt;=JS$27,JP15&gt;=JS$31,JO15&lt;&gt;""),AND(KQ15&gt;=KU$27,KR15&gt;=KU$31,KQ15&lt;&gt;""),AND(LS15&gt;=LW$27,LT15&gt;=LW$31,LS15&lt;&gt;""),AND(MU15&gt;=MY$27,MV15&gt;=MY$31,MU15&lt;&gt;""),AND(NW15&gt;=OA$27,NX15&gt;=OA$31,NW15&lt;&gt;""),AND(OY15&gt;=PC$27,OZ15&gt;=PC$31,OY15&lt;&gt;""),AND(QA15&gt;=QE$27,QB15&gt;=QE$31,QA15&lt;&gt;"")),"Merit",IF(OR(AND(AT15&gt;=AX$26,AU15&gt;=AX$30,AT15&lt;&gt;"",AP15=""),AND(BW15&gt;=CA$26,BX15&gt;=CA$30,BW15&lt;&gt;"",BS15=""),AND(CZ15&gt;=DD$26,DA15&gt;=DD$30,CZ15&lt;&gt;"",CV15=""),AND(EE15&gt;=EI$26,EF15&gt;=EI$30,EE15&lt;&gt;""),AND(FG15&gt;=FK$26,FH15&gt;=FK$30,FG15&lt;&gt;""),AND(GI15&gt;=GM$26,GJ15&gt;=GM$30,GI15&lt;&gt;""),AND(HK15&gt;=HO$26,HL15&gt;=HO$30,HK15&lt;&gt;""),AND(IM15&gt;=IQ$26,IN15&gt;=IQ$30,IM15&lt;&gt;""),AND(JO15&gt;=JS$26,JP15&gt;=JS$30,JO15&lt;&gt;""),AND(KQ15&gt;=KU$26,KR15&gt;=KU$30,KQ15&lt;&gt;""),AND(LS15&gt;=LW$26,LT15&gt;=LW$30,LS15&lt;&gt;""),AND(MU15&gt;=MY$26,MV15&gt;=MY$30,MU15&lt;&gt;""),AND(NW15&gt;=OA$26,NX15&gt;=OA$30,NW15&lt;&gt;""),AND(OY15&gt;=PC$26,OZ15&gt;=PC$30,OY15&lt;&gt;""),AND(QA15&gt;=QE$26,QB15&gt;=QE$30,QA15&lt;&gt;"")),"Excellence",IF(F15="P","National Team",""))))</f>
        <v/>
      </c>
      <c r="I15" s="14">
        <f>IF(COUNT(AR15,BU15,CX15)&gt;0,LARGE((AR15,BU15,CX15),1),0)</f>
        <v>43.8</v>
      </c>
      <c r="J15" s="14" t="str">
        <f>IF(I15=0,"",IF(I15=CX15,$CB$1,IF(I15=BU15,$AY$1,IF(I15=AR15,$V$1,""))))</f>
        <v>2022 Elite Canada</v>
      </c>
      <c r="K15" s="14">
        <f>IF(COUNT(AR15,BU15,CX15)&gt;1,LARGE((AR15,BU15,CX15),2),0)</f>
        <v>0</v>
      </c>
      <c r="L15" s="14" t="str">
        <f>IF(K15=0,"",IF(K15=CX15,$CB$1,IF(K15=BU15,$AY$1,IF(K15=AR15,$V$1,""))))</f>
        <v/>
      </c>
      <c r="M15" s="14">
        <f>IF(COUNT(AS15,BV15,CY15)&gt;0,LARGE((AS15,BV15,CY15),1),0)</f>
        <v>21.7</v>
      </c>
      <c r="N15" s="14" t="str">
        <f>IF(M15=0,"",IF(M15=CY15,$CB$1,IF(M15=BV15,$AY$1,IF(M15=AS15,$V$1,""))))</f>
        <v>2022 Elite Canada</v>
      </c>
      <c r="O15" s="14">
        <f>IF(COUNT(AS15,BV15,CY15)&gt;1,LARGE((AS15,BV15,CY15),2),0)</f>
        <v>0</v>
      </c>
      <c r="P15" s="14" t="str">
        <f>IF(O15=0,"",IF(O15=CY15,$CB$1,IF(O15=BV15,$AY$1,IF(O15=AS15,$V$1,""))))</f>
        <v/>
      </c>
      <c r="Q15" s="14">
        <f>IF(MAX(AW15,BZ15,DC15)&gt;0,MAX(AW15,BZ15,DC15),0)</f>
        <v>43.9</v>
      </c>
      <c r="R15" s="14" t="str">
        <f>IF(Q15=0,"",IF(Q15=DC15,$CB$1,IF(Q15=BZ15,$AY$1,IF(Q15=AW15,$V$1,""))))</f>
        <v>2022 Elite Canada</v>
      </c>
      <c r="S15" s="14" t="str">
        <f>IF(MAX(DE15:DG15)&gt;0,MAX(DE15:DG15),"")</f>
        <v/>
      </c>
      <c r="T15" s="20" t="str">
        <f>IF(S15="","",IF(S15=DE15,"("&amp;DE$2&amp;")",IF(S15=DG15,"("&amp;DG$2&amp;")")))</f>
        <v/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/>
      </c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45"/>
      <c r="AQ15" s="79" t="str">
        <f>IF(SUM(W15,AA15)&gt;0,SUM(W15,AA15),"")</f>
        <v/>
      </c>
      <c r="AR15" s="79" t="str">
        <f>IF(SUM(V15:W15,Y15:AA15,AC15)-X15-AB15&gt;0,SUM(V15:W15,Y15:AA15,AC15)-X15-AB15,"")</f>
        <v/>
      </c>
      <c r="AS15" s="79" t="str">
        <f>IF(SUM(AD15:AE15,AG15)-AF15&gt;0,SUM(AD15:AE15,AG15)-AF15,"")</f>
        <v/>
      </c>
      <c r="AT15" s="79" t="str">
        <f>IF(SUM(W15,AA15,AE15)&gt;0,SUM(W15,AA15,AE15),"")</f>
        <v/>
      </c>
      <c r="AU15" s="79" t="str">
        <f>IF(SUM(AR15,AS15)&gt;0,SUM(AR15,AS15),"")</f>
        <v/>
      </c>
      <c r="AV15" s="79" t="str">
        <f>IF(SUM(AI15,AM15)&gt;0,SUM(AI15,AM15),"")</f>
        <v/>
      </c>
      <c r="AW15" s="79" t="str">
        <f>IF(SUM(AH15:AI15,AK15:AM15,AO15)-SUM(AJ15,AN15)&gt;0,SUM(AH15:AI15,AK15:AM15,AO15)-SUM(AJ15,AN15),"")</f>
        <v/>
      </c>
      <c r="AX15" s="79" t="str">
        <f>IF(SUM(AR15,AW15)&gt;0,SUM(AR15,AW15),"")</f>
        <v/>
      </c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46"/>
      <c r="BT15" s="20" t="str">
        <f>IF(SUM(AZ15,BD15)&gt;0,SUM(AZ15,BD15),"")</f>
        <v/>
      </c>
      <c r="BU15" s="20" t="str">
        <f>IF(SUM(AY15:AZ15,BB15:BD15,BF15)-BA15-BE15&gt;0,SUM(AY15:AZ15,BB15:BD15,BF15)-BA15-BE15,"")</f>
        <v/>
      </c>
      <c r="BV15" s="20" t="str">
        <f>IF(SUM(BG15:BH15,BJ15)-BI15&gt;0,SUM(BG15:BH15,BJ15)-BI15,"")</f>
        <v/>
      </c>
      <c r="BW15" s="20" t="str">
        <f>IF(SUM(AZ15,BD15,BH15)&gt;0,SUM(AZ15,BD15,BH15),"")</f>
        <v/>
      </c>
      <c r="BX15" s="20" t="str">
        <f>IF(SUM(BU15,BV15)&gt;0,SUM(BU15,BV15),"")</f>
        <v/>
      </c>
      <c r="BY15" s="20" t="str">
        <f>IF(SUM(BL15,BP15)&gt;0,SUM(BL15,BP15),"")</f>
        <v/>
      </c>
      <c r="BZ15" s="20" t="str">
        <f>IF(SUM(BK15:BL15,BN15:BP15,BR15)-SUM(BM15,BQ15)&gt;0,SUM(BK15:BL15,BN15:BP15,BR15)-SUM(BM15,BQ15),"")</f>
        <v/>
      </c>
      <c r="CA15" s="20" t="str">
        <f>IF(SUM(BU15,BZ15)&gt;0,SUM(BU15,BZ15),"")</f>
        <v/>
      </c>
      <c r="CB15" s="27">
        <v>17.600000000000001</v>
      </c>
      <c r="CC15" s="27">
        <v>4.4000000000000004</v>
      </c>
      <c r="CD15" s="27">
        <v>0.2</v>
      </c>
      <c r="CE15" s="27">
        <v>0</v>
      </c>
      <c r="CF15" s="27">
        <v>18.399999999999999</v>
      </c>
      <c r="CG15" s="27">
        <v>3.6</v>
      </c>
      <c r="CH15" s="27">
        <v>0</v>
      </c>
      <c r="CI15" s="27">
        <v>0</v>
      </c>
      <c r="CJ15" s="27">
        <v>18.399999999999999</v>
      </c>
      <c r="CK15" s="27">
        <v>3.5</v>
      </c>
      <c r="CL15" s="27">
        <v>0.2</v>
      </c>
      <c r="CM15" s="27">
        <v>0</v>
      </c>
      <c r="CN15" s="27">
        <v>17.899999999999999</v>
      </c>
      <c r="CO15" s="27">
        <v>4.4000000000000004</v>
      </c>
      <c r="CP15" s="27">
        <v>0.6</v>
      </c>
      <c r="CQ15" s="27">
        <v>0</v>
      </c>
      <c r="CR15" s="27">
        <v>18.600000000000001</v>
      </c>
      <c r="CS15" s="27">
        <v>3.6</v>
      </c>
      <c r="CT15" s="27">
        <v>0</v>
      </c>
      <c r="CU15" s="27">
        <v>0</v>
      </c>
      <c r="CV15" s="45"/>
      <c r="CW15" s="79">
        <f>IF(SUM(CC15,CG15)&gt;0,SUM(CC15,CG15),"")</f>
        <v>8</v>
      </c>
      <c r="CX15" s="79">
        <f>IF(SUM(CB15:CC15,CE15:CG15,CI15)-CD15-CH15&gt;0,SUM(CB15:CC15,CE15:CG15,CI15)-CD15-CH15,"")</f>
        <v>43.8</v>
      </c>
      <c r="CY15" s="79">
        <f>IF(SUM(CJ15:CK15,CM15)-CL15&gt;0,SUM(CJ15:CK15,CM15)-CL15,"")</f>
        <v>21.7</v>
      </c>
      <c r="CZ15" s="79">
        <f>IF(SUM(CC15,CG15,CK15)&gt;0,SUM(CC15,CG15,CK15),"")</f>
        <v>11.5</v>
      </c>
      <c r="DA15" s="79">
        <f>IF(SUM(CX15,CY15)&gt;0,SUM(CX15,CY15),"")</f>
        <v>65.5</v>
      </c>
      <c r="DB15" s="79">
        <f>IF(SUM(CO15,CS15)&gt;0,SUM(CO15,CS15),"")</f>
        <v>8</v>
      </c>
      <c r="DC15" s="79">
        <f>IF(SUM(CN15:CO15,CQ15:CS15,CU15)-SUM(CP15,CT15)&gt;0,SUM(CN15:CO15,CQ15:CS15,CU15)-SUM(CP15,CT15),"")</f>
        <v>43.9</v>
      </c>
      <c r="DD15" s="79">
        <f>IF(SUM(CX15,DC15)&gt;0,SUM(CX15,DC15),"")</f>
        <v>87.699999999999989</v>
      </c>
      <c r="DE15" s="80" t="str">
        <f>IF(K15&gt;=0.001,IF(MAX(EC15,FE15,GG15,HI15,IK15,JM15,KO15,LQ15,MS15,NU15,OW15,PY15)-IF(K15="",0,K15)&gt;0.001,MAX(EC15,FE15,GG15,HI15,IK15,JM15,KO15,LQ15,MS15,NU15,OW15,PY15)-IF(K15="",0,K15),""),"")</f>
        <v/>
      </c>
      <c r="DF15" s="80" t="str">
        <f>IF(O15&gt;=0.001,IF(MAX(ED15,FF15,GH15,HJ15,IL15,JN15,KP15,LR15,MT15,NV15,OX15,PZ15)-IF(O15="",0,O15)&gt;0.001,MAX(ED15,FF15,GH15,HJ15,IL15,JN15,KP15,LR15,MT15,NV15,OX15,PZ15)-IF(O15="",0,O15),""),"")</f>
        <v/>
      </c>
      <c r="DG15" s="80" t="str">
        <f>IF(Q15&gt;=0.001,IF(MAX(EH15,FJ15,GL15,HN15,IP15,JR15,KT15,LV15,MX15,NZ15,PB15,QD15)-IF(Q15="",0,Q15)&gt;0.001,MAX(EH15,FJ15,GL15,HN15,IP15,JR15,KT15,LV15,MX15,NZ15,PB15,QD15)-IF(Q15="",0,Q15),""),"")</f>
        <v/>
      </c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79" t="str">
        <f>IF(SUM(DI15,DM15)&gt;0,SUM(DI15,DM15),"")</f>
        <v/>
      </c>
      <c r="EC15" s="79" t="str">
        <f>IF(SUM(DH15:DI15,DK15:DM15,DO15)-DJ15-DN15&gt;0,SUM(DH15:DI15,DK15:DM15,DO15)-DJ15-DN15,"")</f>
        <v/>
      </c>
      <c r="ED15" s="79" t="str">
        <f>IF(SUM(DP15:DQ15,DS15)-DR15&gt;0,SUM(DP15:DQ15,DS15)-DR15,"")</f>
        <v/>
      </c>
      <c r="EE15" s="79" t="str">
        <f>IF(SUM(DI15,DM15,DQ15)&gt;0,SUM(DI15,DM15,DQ15),"")</f>
        <v/>
      </c>
      <c r="EF15" s="79" t="str">
        <f>IF(SUM(EC15,ED15)&gt;0,SUM(EC15,ED15),"")</f>
        <v/>
      </c>
      <c r="EG15" s="79" t="str">
        <f>IF(SUM(DU15,DY15)&gt;0,SUM(DU15,DY15),"")</f>
        <v/>
      </c>
      <c r="EH15" s="79" t="str">
        <f>IF(SUM(DT15:DU15,DW15:DY15,EA15)-SUM(DV15,DZ15)&gt;0,SUM(DT15:DU15,DW15:DY15,EA15)-SUM(DV15,DZ15),"")</f>
        <v/>
      </c>
      <c r="EI15" s="79" t="str">
        <f>IF(SUM(EC15,EH15)&gt;0,SUM(EC15,EH15),"")</f>
        <v/>
      </c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0" t="str">
        <f>IF(SUM(EK15,EO15)&gt;0,SUM(EK15,EO15),"")</f>
        <v/>
      </c>
      <c r="FE15" s="20" t="str">
        <f>IF(SUM(EJ15:EK15,EM15:EO15,EQ15)-EL15-EP15&gt;0,SUM(EJ15:EK15,EM15:EO15,EQ15)-EL15-EP15,"")</f>
        <v/>
      </c>
      <c r="FF15" s="20" t="str">
        <f>IF(SUM(ER15:ES15,EU15)-ET15&gt;0,SUM(ER15:ES15,EU15)-ET15,"")</f>
        <v/>
      </c>
      <c r="FG15" s="20" t="str">
        <f>IF(SUM(EK15,EO15,ES15)&gt;0,SUM(EK15,EO15,ES15),"")</f>
        <v/>
      </c>
      <c r="FH15" s="20" t="str">
        <f>IF(SUM(FE15,FF15)&gt;0,SUM(FE15,FF15),"")</f>
        <v/>
      </c>
      <c r="FI15" s="20" t="str">
        <f>IF(SUM(EW15,FA15)&gt;0,SUM(EW15,FA15),"")</f>
        <v/>
      </c>
      <c r="FJ15" s="20" t="str">
        <f>IF(SUM(EV15:EW15,EY15:FA15,FC15)-SUM(EX15,FB15)&gt;0,SUM(EV15:EW15,EY15:FA15,FC15)-SUM(EX15,FB15),"")</f>
        <v/>
      </c>
      <c r="FK15" s="20" t="str">
        <f>IF(SUM(FE15,FJ15)&gt;0,SUM(FE15,FJ15),"")</f>
        <v/>
      </c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79" t="str">
        <f>IF(SUM(FM15,FQ15)&gt;0,SUM(FM15,FQ15),"")</f>
        <v/>
      </c>
      <c r="GG15" s="79" t="str">
        <f>IF(SUM(FL15:FM15,FO15:FQ15,FS15)-FN15-FR15&gt;0,SUM(FL15:FM15,FO15:FQ15,FS15)-FN15-FR15,"")</f>
        <v/>
      </c>
      <c r="GH15" s="79" t="str">
        <f>IF(SUM(FT15:FU15,FW15)-FV15&gt;0,SUM(FT15:FU15,FW15)-FV15,"")</f>
        <v/>
      </c>
      <c r="GI15" s="79" t="str">
        <f>IF(SUM(FM15,FQ15,FU15)&gt;0,SUM(FM15,FQ15,FU15),"")</f>
        <v/>
      </c>
      <c r="GJ15" s="79" t="str">
        <f>IF(SUM(GG15,GH15)&gt;0,SUM(GG15,GH15),"")</f>
        <v/>
      </c>
      <c r="GK15" s="79" t="str">
        <f>IF(SUM(FY15,GC15)&gt;0,SUM(FY15,GC15),"")</f>
        <v/>
      </c>
      <c r="GL15" s="79" t="str">
        <f>IF(SUM(FX15:FY15,GA15:GC15,GE15)-SUM(FZ15,GD15)&gt;0,SUM(FX15:FY15,GA15:GC15,GE15)-SUM(FZ15,GD15),"")</f>
        <v/>
      </c>
      <c r="GM15" s="79" t="str">
        <f>IF(SUM(GG15,GL15)&gt;0,SUM(GG15,GL15),"")</f>
        <v/>
      </c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0" t="str">
        <f>IF(SUM(GO15,GS15)&gt;0,SUM(GO15,GS15),"")</f>
        <v/>
      </c>
      <c r="HI15" s="20" t="str">
        <f>IF(SUM(GN15:GO15,GQ15:GS15,GU15)-GP15-GT15&gt;0,SUM(GN15:GO15,GQ15:GS15,GU15)-GP15-GT15,"")</f>
        <v/>
      </c>
      <c r="HJ15" s="20" t="str">
        <f>IF(SUM(GV15:GW15,GY15)-GX15&gt;0,SUM(GV15:GW15,GY15)-GX15,"")</f>
        <v/>
      </c>
      <c r="HK15" s="20" t="str">
        <f>IF(SUM(GO15,GS15,GW15)&gt;0,SUM(GO15,GS15,GW15),"")</f>
        <v/>
      </c>
      <c r="HL15" s="20" t="str">
        <f>IF(SUM(HI15,HJ15)&gt;0,SUM(HI15,HJ15),"")</f>
        <v/>
      </c>
      <c r="HM15" s="20" t="str">
        <f>IF(SUM(HA15,HE15)&gt;0,SUM(HA15,HE15),"")</f>
        <v/>
      </c>
      <c r="HN15" s="20" t="str">
        <f>IF(SUM(GZ15:HA15,HC15:HE15,HG15)-SUM(HB15,HF15)&gt;0,SUM(GZ15:HA15,HC15:HE15,HG15)-SUM(HB15,HF15),"")</f>
        <v/>
      </c>
      <c r="HO15" s="20" t="str">
        <f>IF(SUM(HI15,HN15)&gt;0,SUM(HI15,HN15),"")</f>
        <v/>
      </c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79" t="str">
        <f>IF(SUM(HQ15,HU15)&gt;0,SUM(HQ15,HU15),"")</f>
        <v/>
      </c>
      <c r="IK15" s="79" t="str">
        <f>IF(SUM(HP15:HQ15,HS15:HU15,HW15)-HR15-HV15&gt;0,SUM(HP15:HQ15,HS15:HU15,HW15)-HR15-HV15,"")</f>
        <v/>
      </c>
      <c r="IL15" s="79" t="str">
        <f>IF(SUM(HX15:HY15,IA15)-HZ15&gt;0,SUM(HX15:HY15,IA15)-HZ15,"")</f>
        <v/>
      </c>
      <c r="IM15" s="79" t="str">
        <f>IF(SUM(HQ15,HU15,HY15)&gt;0,SUM(HQ15,HU15,HY15),"")</f>
        <v/>
      </c>
      <c r="IN15" s="79" t="str">
        <f>IF(SUM(IK15,IL15)&gt;0,SUM(IK15,IL15),"")</f>
        <v/>
      </c>
      <c r="IO15" s="79" t="str">
        <f>IF(SUM(IC15,IG15)&gt;0,SUM(IC15,IG15),"")</f>
        <v/>
      </c>
      <c r="IP15" s="79" t="str">
        <f>IF(SUM(IB15:IC15,IE15:IG15,II15)-SUM(ID15,IH15)&gt;0,SUM(IB15:IC15,IE15:IG15,II15)-SUM(ID15,IH15),"")</f>
        <v/>
      </c>
      <c r="IQ15" s="79" t="str">
        <f>IF(SUM(IK15,IP15)&gt;0,SUM(IK15,IP15),"")</f>
        <v/>
      </c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0" t="str">
        <f>IF(SUM(IS15,IW15)&gt;0,SUM(IS15,IW15),"")</f>
        <v/>
      </c>
      <c r="JM15" s="20" t="str">
        <f>IF(SUM(IR15:IS15,IU15:IW15,IY15)-IT15-IX15&gt;0,SUM(IR15:IS15,IU15:IW15,IY15)-IT15-IX15,"")</f>
        <v/>
      </c>
      <c r="JN15" s="20" t="str">
        <f>IF(SUM(IZ15:JA15,JC15)-JB15&gt;0,SUM(IZ15:JA15,JC15)-JB15,"")</f>
        <v/>
      </c>
      <c r="JO15" s="20" t="str">
        <f>IF(SUM(IS15,IW15,JA15)&gt;0,SUM(IS15,IW15,JA15),"")</f>
        <v/>
      </c>
      <c r="JP15" s="20" t="str">
        <f>IF(SUM(JM15,JN15)&gt;0,SUM(JM15,JN15),"")</f>
        <v/>
      </c>
      <c r="JQ15" s="20" t="str">
        <f>IF(SUM(JE15,JI15)&gt;0,SUM(JE15,JI15),"")</f>
        <v/>
      </c>
      <c r="JR15" s="20" t="str">
        <f>IF(SUM(JD15:JE15,JG15:JI15,JK15)-SUM(JF15,JJ15)&gt;0,SUM(JD15:JE15,JG15:JI15,JK15)-SUM(JF15,JJ15),"")</f>
        <v/>
      </c>
      <c r="JS15" s="20" t="str">
        <f>IF(SUM(JM15,JR15)&gt;0,SUM(JM15,JR15),"")</f>
        <v/>
      </c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79" t="str">
        <f>IF(SUM(JU15,JY15)&gt;0,SUM(JU15,JY15),"")</f>
        <v/>
      </c>
      <c r="KO15" s="79" t="str">
        <f>IF(SUM(JT15:JU15,JW15:JY15,KA15)-JV15-JZ15&gt;0,SUM(JT15:JU15,JW15:JY15,KA15)-JV15-JZ15,"")</f>
        <v/>
      </c>
      <c r="KP15" s="79" t="str">
        <f>IF(SUM(KB15:KC15,KE15)-KD15&gt;0,SUM(KB15:KC15,KE15)-KD15,"")</f>
        <v/>
      </c>
      <c r="KQ15" s="79" t="str">
        <f>IF(SUM(JU15,JY15,KC15)&gt;0,SUM(JU15,JY15,KC15),"")</f>
        <v/>
      </c>
      <c r="KR15" s="79" t="str">
        <f>IF(SUM(KO15,KP15)&gt;0,SUM(KO15,KP15),"")</f>
        <v/>
      </c>
      <c r="KS15" s="79" t="str">
        <f>IF(SUM(KG15,KK15)&gt;0,SUM(KG15,KK15),"")</f>
        <v/>
      </c>
      <c r="KT15" s="79" t="str">
        <f>IF(SUM(KF15:KG15,KI15:KK15,KM15)-SUM(KH15,KL15)&gt;0,SUM(KF15:KG15,KI15:KK15,KM15)-SUM(KH15,KL15),"")</f>
        <v/>
      </c>
      <c r="KU15" s="79" t="str">
        <f>IF(SUM(KO15,KT15)&gt;0,SUM(KO15,KT15),"")</f>
        <v/>
      </c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0" t="str">
        <f>IF(SUM(KW15,LA15)&gt;0,SUM(KW15,LA15),"")</f>
        <v/>
      </c>
      <c r="LQ15" s="20" t="str">
        <f>IF(SUM(KV15:KW15,KY15:LA15,LC15)-KX15-LB15&gt;0,SUM(KV15:KW15,KY15:LA15,LC15)-KX15-LB15,"")</f>
        <v/>
      </c>
      <c r="LR15" s="20" t="str">
        <f>IF(SUM(LD15:LE15,LG15)-LF15&gt;0,SUM(LD15:LE15,LG15)-LF15,"")</f>
        <v/>
      </c>
      <c r="LS15" s="20" t="str">
        <f>IF(SUM(KW15,LA15,LE15)&gt;0,SUM(KW15,LA15,LE15),"")</f>
        <v/>
      </c>
      <c r="LT15" s="20" t="str">
        <f>IF(SUM(LQ15,LR15)&gt;0,SUM(LQ15,LR15),"")</f>
        <v/>
      </c>
      <c r="LU15" s="20" t="str">
        <f>IF(SUM(LI15,LM15)&gt;0,SUM(LI15,LM15),"")</f>
        <v/>
      </c>
      <c r="LV15" s="20" t="str">
        <f>IF(SUM(LH15:LI15,LK15:LM15,LO15)-SUM(LJ15,LN15)&gt;0,SUM(LH15:LI15,LK15:LM15,LO15)-SUM(LJ15,LN15),"")</f>
        <v/>
      </c>
      <c r="LW15" s="20" t="str">
        <f>IF(SUM(LQ15,LV15)&gt;0,SUM(LQ15,LV15),"")</f>
        <v/>
      </c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79" t="str">
        <f>IF(SUM(LY15,MC15)&gt;0,SUM(LY15,MC15),"")</f>
        <v/>
      </c>
      <c r="MS15" s="79" t="str">
        <f>IF(SUM(LX15:LY15,MA15:MC15,ME15)-LZ15-MD15&gt;0,SUM(LX15:LY15,MA15:MC15,ME15)-LZ15-MD15,"")</f>
        <v/>
      </c>
      <c r="MT15" s="79" t="str">
        <f>IF(SUM(MF15:MG15,MI15)-MH15&gt;0,SUM(MF15:MG15,MI15)-MH15,"")</f>
        <v/>
      </c>
      <c r="MU15" s="79" t="str">
        <f>IF(SUM(LY15,MC15,MG15)&gt;0,SUM(LY15,MC15,MG15),"")</f>
        <v/>
      </c>
      <c r="MV15" s="79" t="str">
        <f>IF(SUM(MS15,MT15)&gt;0,SUM(MS15,MT15),"")</f>
        <v/>
      </c>
      <c r="MW15" s="79" t="str">
        <f>IF(SUM(MK15,MO15)&gt;0,SUM(MK15,MO15),"")</f>
        <v/>
      </c>
      <c r="MX15" s="79" t="str">
        <f>IF(SUM(MJ15:MK15,MM15:MO15,MQ15)-SUM(ML15,MP15)&gt;0,SUM(MJ15:MK15,MM15:MO15,MQ15)-SUM(ML15,MP15),"")</f>
        <v/>
      </c>
      <c r="MY15" s="79" t="str">
        <f>IF(SUM(MS15,MX15)&gt;0,SUM(MS15,MX15),"")</f>
        <v/>
      </c>
      <c r="MZ15" s="26"/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0" t="str">
        <f>IF(SUM(NA15,NE15)&gt;0,SUM(NA15,NE15),"")</f>
        <v/>
      </c>
      <c r="NU15" s="20" t="str">
        <f>IF(SUM(MZ15:NA15,NC15:NE15,NG15)-NB15-NF15&gt;0,SUM(MZ15:NA15,NC15:NE15,NG15)-NB15-NF15,"")</f>
        <v/>
      </c>
      <c r="NV15" s="20" t="str">
        <f>IF(SUM(NH15:NI15,NK15)-NJ15&gt;0,SUM(NH15:NI15,NK15)-NJ15,"")</f>
        <v/>
      </c>
      <c r="NW15" s="20" t="str">
        <f>IF(SUM(NA15,NE15,NI15)&gt;0,SUM(NA15,NE15,NI15),"")</f>
        <v/>
      </c>
      <c r="NX15" s="20" t="str">
        <f>IF(SUM(NU15,NV15)&gt;0,SUM(NU15,NV15),"")</f>
        <v/>
      </c>
      <c r="NY15" s="20" t="str">
        <f>IF(SUM(NM15,NQ15)&gt;0,SUM(NM15,NQ15),"")</f>
        <v/>
      </c>
      <c r="NZ15" s="20" t="str">
        <f>IF(SUM(NL15:NM15,NO15:NQ15,NS15)-SUM(NN15,NR15)&gt;0,SUM(NL15:NM15,NO15:NQ15,NS15)-SUM(NN15,NR15),"")</f>
        <v/>
      </c>
      <c r="OA15" s="20" t="str">
        <f>IF(SUM(NU15,NZ15)&gt;0,SUM(NU15,NZ15),"")</f>
        <v/>
      </c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79" t="str">
        <f>IF(SUM(OC15,OG15)&gt;0,SUM(OC15,OG15),"")</f>
        <v/>
      </c>
      <c r="OW15" s="79" t="str">
        <f>IF(SUM(OB15:OC15,OE15:OG15,OI15)-OD15-OH15&gt;0,SUM(OB15:OC15,OE15:OG15,OI15)-OD15-OH15,"")</f>
        <v/>
      </c>
      <c r="OX15" s="79" t="str">
        <f>IF(SUM(OJ15:OK15,OM15)-OL15&gt;0,SUM(OJ15:OK15,OM15)-OL15,"")</f>
        <v/>
      </c>
      <c r="OY15" s="79" t="str">
        <f>IF(SUM(OC15,OG15,OK15)&gt;0,SUM(OC15,OG15,OK15),"")</f>
        <v/>
      </c>
      <c r="OZ15" s="79" t="str">
        <f>IF(SUM(OW15,OX15)&gt;0,SUM(OW15,OX15),"")</f>
        <v/>
      </c>
      <c r="PA15" s="79" t="str">
        <f>IF(SUM(OO15,OS15)&gt;0,SUM(OO15,OS15),"")</f>
        <v/>
      </c>
      <c r="PB15" s="79" t="str">
        <f>IF(SUM(ON15:OO15,OQ15:OS15,OU15)-SUM(OP15,OT15)&gt;0,SUM(ON15:OO15,OQ15:OS15,OU15)-SUM(OP15,OT15),"")</f>
        <v/>
      </c>
      <c r="PC15" s="79" t="str">
        <f>IF(SUM(OW15,PB15)&gt;0,SUM(OW15,PB15),"")</f>
        <v/>
      </c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0" t="str">
        <f>IF(SUM(PE15,PI15)&gt;0,SUM(PE15,PI15),"")</f>
        <v/>
      </c>
      <c r="PY15" s="20" t="str">
        <f>IF(SUM(PD15:PE15,PG15:PI15,PK15)-PF15-PJ15&gt;0,SUM(PD15:PE15,PG15:PI15,PK15)-PF15-PJ15,"")</f>
        <v/>
      </c>
      <c r="PZ15" s="20" t="str">
        <f>IF(SUM(PL15:PM15,PO15)-PN15&gt;0,SUM(PL15:PM15,PO15)-PN15,"")</f>
        <v/>
      </c>
      <c r="QA15" s="20" t="str">
        <f>IF(SUM(PE15,PI15,PM15)&gt;0,SUM(PE15,PI15,PM15),"")</f>
        <v/>
      </c>
      <c r="QB15" s="20" t="str">
        <f>IF(SUM(PY15,PZ15)&gt;0,SUM(PY15,PZ15),"")</f>
        <v/>
      </c>
      <c r="QC15" s="20" t="str">
        <f>IF(SUM(PQ15,PU15)&gt;0,SUM(PQ15,PU15),"")</f>
        <v/>
      </c>
      <c r="QD15" s="20" t="str">
        <f>IF(SUM(PP15:PQ15,PS15:PU15,PW15)-SUM(PR15,PV15)&gt;0,SUM(PP15:PQ15,PS15:PU15,PW15)-SUM(PR15,PV15),"")</f>
        <v/>
      </c>
      <c r="QE15" s="20" t="str">
        <f>IF(SUM(PY15,QD15)&gt;0,SUM(PY15,QD15),"")</f>
        <v/>
      </c>
      <c r="QF15" s="38">
        <f>IF($CV15="P",CB15,(CB15+AY15)/2)</f>
        <v>8.8000000000000007</v>
      </c>
      <c r="QG15" s="38">
        <f>IF($CV15="P",CC15,(CC15+AZ15)/2)</f>
        <v>2.2000000000000002</v>
      </c>
      <c r="QH15" s="38">
        <f>IF($CV15="P",CD15,(CD15+BA15)/2)</f>
        <v>0.1</v>
      </c>
      <c r="QI15" s="38">
        <f>IF($CV15="P",CE15,(CE15+BB15)/2)</f>
        <v>0</v>
      </c>
      <c r="QJ15" s="38">
        <f>IF($CV15="P",CF15,(CF15+BC15)/2)</f>
        <v>9.1999999999999993</v>
      </c>
      <c r="QK15" s="38">
        <f>IF($CV15="P",CG15,(CG15+BD15)/2)</f>
        <v>1.8</v>
      </c>
      <c r="QL15" s="38">
        <f>IF($CV15="P",CH15,(CH15+BE15)/2)</f>
        <v>0</v>
      </c>
      <c r="QM15" s="38">
        <f>IF($CV15="P",CI15,(CI15+BF15)/2)</f>
        <v>0</v>
      </c>
      <c r="QN15" s="38">
        <f>IF($CV15="P",CJ15,(CJ15+BG15)/2)</f>
        <v>9.1999999999999993</v>
      </c>
      <c r="QO15" s="38">
        <f>IF($CV15="P",CK15,(CK15+BH15)/2)</f>
        <v>1.75</v>
      </c>
      <c r="QP15" s="38">
        <f>IF($CV15="P",CL15,(CL15+BI15)/2)</f>
        <v>0.1</v>
      </c>
      <c r="QQ15" s="38">
        <f>IF($CV15="P",CM15,(CM15+BJ15)/2)</f>
        <v>0</v>
      </c>
      <c r="QR15" s="38">
        <f>IF($CV15="P",CN15,(CN15+BK15)/2)</f>
        <v>8.9499999999999993</v>
      </c>
      <c r="QS15" s="38">
        <f>IF($CV15="P",CO15,(CO15+BL15)/2)</f>
        <v>2.2000000000000002</v>
      </c>
      <c r="QT15" s="38">
        <f>IF($CV15="P",CP15,(CP15+BM15)/2)</f>
        <v>0.3</v>
      </c>
      <c r="QU15" s="38">
        <f>IF($CV15="P",CQ15,(CQ15+BN15)/2)</f>
        <v>0</v>
      </c>
      <c r="QV15" s="38">
        <f>IF($CV15="P",CR15,(CR15+BO15)/2)</f>
        <v>9.3000000000000007</v>
      </c>
      <c r="QW15" s="38">
        <f>IF($CV15="P",CS15,(CS15+BP15)/2)</f>
        <v>1.8</v>
      </c>
      <c r="QX15" s="38">
        <f>IF($CV15="P",CT15,(CT15+BQ15)/2)</f>
        <v>0</v>
      </c>
      <c r="QY15" s="38">
        <f>IF($CV15="P",CU15,(CU15+BR15)/2)</f>
        <v>0</v>
      </c>
      <c r="QZ15" s="45" t="s">
        <v>46</v>
      </c>
      <c r="RA15" s="79">
        <f>IF(SUM(QG15,QK15)&gt;0,SUM(QG15,QK15),"")</f>
        <v>4</v>
      </c>
      <c r="RB15" s="79">
        <f>IF(SUM(QF15:QG15,QI15:QK15,QM15)-QH15-QL15&gt;0,SUM(QF15:QG15,QI15:QK15,QM15)-QH15-QL15,"")</f>
        <v>21.9</v>
      </c>
      <c r="RC15" s="79">
        <f>IF(SUM(QN15:QO15,QQ15)-QP15&gt;0,SUM(QN15:QO15,QQ15)-QP15,"")</f>
        <v>10.85</v>
      </c>
      <c r="RD15" s="79">
        <f>IF(SUM(QG15,QK15,QO15)&gt;0,SUM(QG15,QK15,QO15),"")</f>
        <v>5.75</v>
      </c>
      <c r="RE15" s="79">
        <f>IF(SUM(RB15,RC15)&gt;0,SUM(RB15,RC15),"")</f>
        <v>32.75</v>
      </c>
      <c r="RF15" s="79">
        <f>IF(SUM(QS15,QW15)&gt;0,SUM(QS15,QW15),"")</f>
        <v>4</v>
      </c>
      <c r="RG15" s="79">
        <f>IF(SUM(QR15:QS15,QU15:QW15,QY15)-SUM(QT15,QX15)&gt;0,SUM(QR15:QS15,QU15:QW15,QY15)-SUM(QT15,QX15),"")</f>
        <v>21.95</v>
      </c>
      <c r="RH15" s="79">
        <f>IF(SUM(RB15,RG15)&gt;0,SUM(RB15,RG15),"")</f>
        <v>43.849999999999994</v>
      </c>
    </row>
    <row r="16" spans="1:476" x14ac:dyDescent="0.2">
      <c r="A16" s="5" t="str">
        <f>IF(AND(F16="P",G16="P"),SUMPRODUCT((F$4:F$22="P")*(G$4:G$22="P")*(E$4:E$22&gt;E16))+1,IF(G16="P",SUMPRODUCT((F$4:F$22="")*(G$4:G$22="P")*(E$4:E$22&gt;E16))+1+SUMPRODUCT((F$4:F$22="P")*(G$4:G$22="P")),""))</f>
        <v/>
      </c>
      <c r="B16" s="78" t="s">
        <v>136</v>
      </c>
      <c r="C16" s="5" t="s">
        <v>4</v>
      </c>
      <c r="D16" s="5">
        <v>2005</v>
      </c>
      <c r="E16" s="15">
        <f>SUM(I16:S16)+SUM(I16:O16)*0.0000001+SUM(I16)*0.0000000000001</f>
        <v>107.40000622000424</v>
      </c>
      <c r="F16" s="3" t="str">
        <f>IF(OR(AND(AQ16&gt;=AX$24,AR16&gt;=AX$28,AQ16&lt;&gt;"",AP16=""),AND(AV16&gt;=AX$24,AW16&gt;=AX$28,AV16&lt;&gt;"",AP16=""),AND(BT16&gt;=CA$24,BU16&gt;=CA$28,BT16&lt;&gt;"",BS16=""),AND(BY16&gt;=CA$24,BZ16&gt;=CA$28,BY16&lt;&gt;"",BS16=""),AND(CW16&gt;=DD$24,CX16&gt;=DD$28,CW16&lt;&gt;"",CV16=""),AND(DB16&gt;=DD$24,DC16&gt;=DD$28,DB16&lt;&gt;""),AND(EB16&gt;=EI$24,EC16&gt;=EI$28,EB16&lt;&gt;""),AND(EG16&gt;=EI$24,EH16&gt;=EI$28,EG16&lt;&gt;""),AND(FD16&gt;=FK$24,FE16&gt;=FK$28,FD16&lt;&gt;""),AND(FI16&gt;=FK$24,FJ16&gt;=FK$28,FI16&lt;&gt;""),AND(GF16&gt;=GM$24,GG16&gt;=GM$28,GF16&lt;&gt;""),AND(GK16&gt;=GM$24,GL16&gt;=GM$28,GK16&lt;&gt;""),AND(HH16&gt;=HO$24,HI16&gt;=HO$28,HH16&lt;&gt;""),AND(HM16&gt;=HO$24,HN16&gt;=HO$28,HM16&lt;&gt;""),AND(IJ16&gt;=IQ$24,IK16&gt;=IQ$28,IJ16&lt;&gt;""),AND(IO16&gt;=IQ$24,IP16&gt;=IQ$28,IO16&lt;&gt;""),AND(JL16&gt;=JS$24,JM16&gt;=JS$28,JL16&lt;&gt;""),AND(JQ16&gt;=JS$24,JR16&gt;=JS$28,JQ16&lt;&gt;""),AND(KN16&gt;=KU$24,KO16&gt;=KU$28,KN16&lt;&gt;""),AND(KS16&gt;=KU$24,KT16&gt;=KU$28,KS16&lt;&gt;""),AND(LP16&gt;=LW$24,LQ16&gt;=LW$28,LP16&lt;&gt;""),AND(LU16&gt;=LW$24,LV16&gt;=LW$28,LU16&lt;&gt;""),AND(MR16&gt;=MY$24,MS16&gt;=MY$28,MR16&lt;&gt;""),AND(MW16&gt;=MY$24,MX16&gt;=MY$28,MW16&lt;&gt;""),AND(NT16&gt;=OA$24,NU16&gt;=OA$28,NT16&lt;&gt;""),AND(NY16&gt;=OA$24,NZ16&gt;=OA$28,NY16&lt;&gt;""),AND(OV16&gt;=PC$24,OW16&gt;=PC$28,OV16&lt;&gt;""),AND(PA16&gt;=PC$24,PB16&gt;=PC$28,PA16&lt;&gt;""),AND(PX16&gt;=QE$24,PY16&gt;=QE$28,PX16&lt;&gt;""),AND(QC16&gt;=QE$24,QD16&gt;=QE$28,QC16&lt;&gt;"")),"P","")</f>
        <v/>
      </c>
      <c r="G16" s="3" t="str">
        <f>IF(OR(AND(AR16&gt;=AX$28,AR16&lt;&gt;"",AP16=""),AND(AW16&gt;=AX$28,AW16&lt;&gt;"",AP16=""),AND(BU16&gt;=CA$28,BU16&lt;&gt;"",BS16=""),AND(BZ16&gt;=CA$28,BZ16&lt;&gt;"",BS16=""),AND(CX16&gt;=DD$28,CX16&lt;&gt;"",CV16=""),AND(DC16&gt;=DD$28,DC16&lt;&gt;"",CV16=""),AND(EC16&gt;=EI$28,EC16&lt;&gt;""),AND(EH16&gt;=EI$28,EH16&lt;&gt;""),AND(FE16&gt;=FK$28,FE16&lt;&gt;""),AND(FJ16&gt;=FK$28,FJ16&lt;&gt;""),AND(GG16&gt;=GM$28,GG16&lt;&gt;""),AND(GL16&gt;=GM$28,GL16&lt;&gt;""),AND(HI16&gt;=HO$28,HI16&lt;&gt;""),AND(HN16&gt;=HO$28,HN16&lt;&gt;""),AND(IK16&gt;=IQ$28,IK16&lt;&gt;""),AND(IP16&gt;=IQ$28,IP16&lt;&gt;""),AND(JM16&gt;=JS$28,JM16&lt;&gt;""),AND(JR16&gt;=JS$28,JR16&lt;&gt;""),AND(KO16&gt;=KU$28,KO16&lt;&gt;""),AND(KT16&gt;=KU$28,KT16&lt;&gt;""),AND(LQ16&gt;=LW$28,LQ16&lt;&gt;""),AND(LV16&gt;=LW$28,LV16&lt;&gt;""),AND(MS16&gt;=MY$28,MS16&lt;&gt;""),AND(MX16&gt;=MY$28,MX16&lt;&gt;""),AND(NU16&gt;=OA$28,NU16&lt;&gt;""),AND(NZ16&gt;=OA$28,NZ16&lt;&gt;""),AND(OW16&gt;=PC$28,OW16&lt;&gt;""),AND(PB16&gt;=PC$28,PB16&lt;&gt;""),AND(PY16&gt;=QE$28,PY16&lt;&gt;""),AND(QD16&gt;=QE$28,QD16&lt;&gt;"")),"P","")</f>
        <v/>
      </c>
      <c r="H16" s="67" t="str">
        <f>IF(AND(G16="P",F16=""),"No DD",IF(OR(AND(AT16&gt;=AX$27,AU16&gt;=AX$31,AT16&lt;&gt;"",AP16=""),AND(BW16&gt;=CA$27,BX16&gt;=CA$31,BW16&lt;&gt;"",BS16=""),AND(CZ16&gt;=DD$27,DA16&gt;=DD$31,CZ16&lt;&gt;"",CV16=""),AND(EE16&gt;=EI$27,EF16&gt;=EI$31,EE16&lt;&gt;""),AND(FG16&gt;=FK$27,FH16&gt;=FK$31,FG16&lt;&gt;""),AND(GI16&gt;=GM$27,GJ16&gt;=GM$31,GI16&lt;&gt;""),AND(HK16&gt;=HO$27,HL16&gt;=HO$31,HK16&lt;&gt;""),AND(IM16&gt;=IQ$27,IN16&gt;=IQ$31,IM16&lt;&gt;""),AND(JO16&gt;=JS$27,JP16&gt;=JS$31,JO16&lt;&gt;""),AND(KQ16&gt;=KU$27,KR16&gt;=KU$31,KQ16&lt;&gt;""),AND(LS16&gt;=LW$27,LT16&gt;=LW$31,LS16&lt;&gt;""),AND(MU16&gt;=MY$27,MV16&gt;=MY$31,MU16&lt;&gt;""),AND(NW16&gt;=OA$27,NX16&gt;=OA$31,NW16&lt;&gt;""),AND(OY16&gt;=PC$27,OZ16&gt;=PC$31,OY16&lt;&gt;""),AND(QA16&gt;=QE$27,QB16&gt;=QE$31,QA16&lt;&gt;"")),"Merit",IF(OR(AND(AT16&gt;=AX$26,AU16&gt;=AX$30,AT16&lt;&gt;"",AP16=""),AND(BW16&gt;=CA$26,BX16&gt;=CA$30,BW16&lt;&gt;"",BS16=""),AND(CZ16&gt;=DD$26,DA16&gt;=DD$30,CZ16&lt;&gt;"",CV16=""),AND(EE16&gt;=EI$26,EF16&gt;=EI$30,EE16&lt;&gt;""),AND(FG16&gt;=FK$26,FH16&gt;=FK$30,FG16&lt;&gt;""),AND(GI16&gt;=GM$26,GJ16&gt;=GM$30,GI16&lt;&gt;""),AND(HK16&gt;=HO$26,HL16&gt;=HO$30,HK16&lt;&gt;""),AND(IM16&gt;=IQ$26,IN16&gt;=IQ$30,IM16&lt;&gt;""),AND(JO16&gt;=JS$26,JP16&gt;=JS$30,JO16&lt;&gt;""),AND(KQ16&gt;=KU$26,KR16&gt;=KU$30,KQ16&lt;&gt;""),AND(LS16&gt;=LW$26,LT16&gt;=LW$30,LS16&lt;&gt;""),AND(MU16&gt;=MY$26,MV16&gt;=MY$30,MU16&lt;&gt;""),AND(NW16&gt;=OA$26,NX16&gt;=OA$30,NW16&lt;&gt;""),AND(OY16&gt;=PC$26,OZ16&gt;=PC$30,OY16&lt;&gt;""),AND(QA16&gt;=QE$26,QB16&gt;=QE$30,QA16&lt;&gt;"")),"Excellence",IF(F16="P","National Team",""))))</f>
        <v/>
      </c>
      <c r="I16" s="14">
        <f>IF(COUNT(AR16,BU16,CX16)&gt;0,LARGE((AR16,BU16,CX16),1),0)</f>
        <v>42.599999999999994</v>
      </c>
      <c r="J16" s="14" t="str">
        <f>IF(I16=0,"",IF(I16=CX16,$CB$1,IF(I16=BU16,$AY$1,IF(I16=AR16,$V$1,""))))</f>
        <v>2022 Elite Canada</v>
      </c>
      <c r="K16" s="14">
        <f>IF(COUNT(AR16,BU16,CX16)&gt;1,LARGE((AR16,BU16,CX16),2),0)</f>
        <v>0</v>
      </c>
      <c r="L16" s="14" t="str">
        <f>IF(K16=0,"",IF(K16=CX16,$CB$1,IF(K16=BU16,$AY$1,IF(K16=AR16,$V$1,""))))</f>
        <v/>
      </c>
      <c r="M16" s="14">
        <f>IF(COUNT(AS16,BV16,CY16)&gt;0,LARGE((AS16,BV16,CY16),1),0)</f>
        <v>19.599999999999998</v>
      </c>
      <c r="N16" s="14" t="str">
        <f>IF(M16=0,"",IF(M16=CY16,$CB$1,IF(M16=BV16,$AY$1,IF(M16=AS16,$V$1,""))))</f>
        <v>2022 Elite Canada</v>
      </c>
      <c r="O16" s="14">
        <f>IF(COUNT(AS16,BV16,CY16)&gt;1,LARGE((AS16,BV16,CY16),2),0)</f>
        <v>0</v>
      </c>
      <c r="P16" s="14" t="str">
        <f>IF(O16=0,"",IF(O16=CY16,$CB$1,IF(O16=BV16,$AY$1,IF(O16=AS16,$V$1,""))))</f>
        <v/>
      </c>
      <c r="Q16" s="14">
        <f>IF(MAX(AW16,BZ16,DC16)&gt;0,MAX(AW16,BZ16,DC16),0)</f>
        <v>45.199999999999996</v>
      </c>
      <c r="R16" s="14" t="str">
        <f>IF(Q16=0,"",IF(Q16=DC16,$CB$1,IF(Q16=BZ16,$AY$1,IF(Q16=AW16,$V$1,""))))</f>
        <v>2022 Elite Canada</v>
      </c>
      <c r="S16" s="14" t="str">
        <f>IF(MAX(DE16:DG16)&gt;0,MAX(DE16:DG16),"")</f>
        <v/>
      </c>
      <c r="T16" s="20" t="str">
        <f>IF(S16="","",IF(S16=DE16,"("&amp;DE$2&amp;")",IF(S16=DG16,"("&amp;DG$2&amp;")")))</f>
        <v/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/>
      </c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45"/>
      <c r="AQ16" s="79" t="str">
        <f>IF(SUM(W16,AA16)&gt;0,SUM(W16,AA16),"")</f>
        <v/>
      </c>
      <c r="AR16" s="79" t="str">
        <f>IF(SUM(V16:W16,Y16:AA16,AC16)-X16-AB16&gt;0,SUM(V16:W16,Y16:AA16,AC16)-X16-AB16,"")</f>
        <v/>
      </c>
      <c r="AS16" s="79" t="str">
        <f>IF(SUM(AD16:AE16,AG16)-AF16&gt;0,SUM(AD16:AE16,AG16)-AF16,"")</f>
        <v/>
      </c>
      <c r="AT16" s="79" t="str">
        <f>IF(SUM(W16,AA16,AE16)&gt;0,SUM(W16,AA16,AE16),"")</f>
        <v/>
      </c>
      <c r="AU16" s="79" t="str">
        <f>IF(SUM(AR16,AS16)&gt;0,SUM(AR16,AS16),"")</f>
        <v/>
      </c>
      <c r="AV16" s="79" t="str">
        <f>IF(SUM(AI16,AM16)&gt;0,SUM(AI16,AM16),"")</f>
        <v/>
      </c>
      <c r="AW16" s="79" t="str">
        <f>IF(SUM(AH16:AI16,AK16:AM16,AO16)-SUM(AJ16,AN16)&gt;0,SUM(AH16:AI16,AK16:AM16,AO16)-SUM(AJ16,AN16),"")</f>
        <v/>
      </c>
      <c r="AX16" s="79" t="str">
        <f>IF(SUM(AR16,AW16)&gt;0,SUM(AR16,AW16),"")</f>
        <v/>
      </c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46"/>
      <c r="BT16" s="20" t="str">
        <f>IF(SUM(AZ16,BD16)&gt;0,SUM(AZ16,BD16),"")</f>
        <v/>
      </c>
      <c r="BU16" s="20" t="str">
        <f>IF(SUM(AY16:AZ16,BB16:BD16,BF16)-BA16-BE16&gt;0,SUM(AY16:AZ16,BB16:BD16,BF16)-BA16-BE16,"")</f>
        <v/>
      </c>
      <c r="BV16" s="20" t="str">
        <f>IF(SUM(BG16:BH16,BJ16)-BI16&gt;0,SUM(BG16:BH16,BJ16)-BI16,"")</f>
        <v/>
      </c>
      <c r="BW16" s="20" t="str">
        <f>IF(SUM(AZ16,BD16,BH16)&gt;0,SUM(AZ16,BD16,BH16),"")</f>
        <v/>
      </c>
      <c r="BX16" s="20" t="str">
        <f>IF(SUM(BU16,BV16)&gt;0,SUM(BU16,BV16),"")</f>
        <v/>
      </c>
      <c r="BY16" s="20" t="str">
        <f>IF(SUM(BL16,BP16)&gt;0,SUM(BL16,BP16),"")</f>
        <v/>
      </c>
      <c r="BZ16" s="20" t="str">
        <f>IF(SUM(BK16:BL16,BN16:BP16,BR16)-SUM(BM16,BQ16)&gt;0,SUM(BK16:BL16,BN16:BP16,BR16)-SUM(BM16,BQ16),"")</f>
        <v/>
      </c>
      <c r="CA16" s="20" t="str">
        <f>IF(SUM(BU16,BZ16)&gt;0,SUM(BU16,BZ16),"")</f>
        <v/>
      </c>
      <c r="CB16" s="27">
        <v>18.899999999999999</v>
      </c>
      <c r="CC16" s="27">
        <v>3.5</v>
      </c>
      <c r="CD16" s="27">
        <v>0</v>
      </c>
      <c r="CE16" s="27">
        <v>0</v>
      </c>
      <c r="CF16" s="27">
        <v>16.2</v>
      </c>
      <c r="CG16" s="27">
        <v>4.8</v>
      </c>
      <c r="CH16" s="27">
        <v>0.8</v>
      </c>
      <c r="CI16" s="27">
        <v>0</v>
      </c>
      <c r="CJ16" s="27">
        <v>17.2</v>
      </c>
      <c r="CK16" s="27">
        <v>2.4</v>
      </c>
      <c r="CL16" s="27">
        <v>0</v>
      </c>
      <c r="CM16" s="27">
        <v>0</v>
      </c>
      <c r="CN16" s="27">
        <v>19.2</v>
      </c>
      <c r="CO16" s="27">
        <v>3.5</v>
      </c>
      <c r="CP16" s="27">
        <v>0.2</v>
      </c>
      <c r="CQ16" s="27">
        <v>0</v>
      </c>
      <c r="CR16" s="27">
        <v>18.100000000000001</v>
      </c>
      <c r="CS16" s="27">
        <v>4.8</v>
      </c>
      <c r="CT16" s="27">
        <v>0.2</v>
      </c>
      <c r="CU16" s="27">
        <v>0</v>
      </c>
      <c r="CV16" s="45"/>
      <c r="CW16" s="79">
        <f>IF(SUM(CC16,CG16)&gt;0,SUM(CC16,CG16),"")</f>
        <v>8.3000000000000007</v>
      </c>
      <c r="CX16" s="79">
        <f>IF(SUM(CB16:CC16,CE16:CG16,CI16)-CD16-CH16&gt;0,SUM(CB16:CC16,CE16:CG16,CI16)-CD16-CH16,"")</f>
        <v>42.599999999999994</v>
      </c>
      <c r="CY16" s="79">
        <f>IF(SUM(CJ16:CK16,CM16)-CL16&gt;0,SUM(CJ16:CK16,CM16)-CL16,"")</f>
        <v>19.599999999999998</v>
      </c>
      <c r="CZ16" s="79">
        <f>IF(SUM(CC16,CG16,CK16)&gt;0,SUM(CC16,CG16,CK16),"")</f>
        <v>10.700000000000001</v>
      </c>
      <c r="DA16" s="79">
        <f>IF(SUM(CX16,CY16)&gt;0,SUM(CX16,CY16),"")</f>
        <v>62.199999999999989</v>
      </c>
      <c r="DB16" s="79">
        <f>IF(SUM(CO16,CS16)&gt;0,SUM(CO16,CS16),"")</f>
        <v>8.3000000000000007</v>
      </c>
      <c r="DC16" s="79">
        <f>IF(SUM(CN16:CO16,CQ16:CS16,CU16)-SUM(CP16,CT16)&gt;0,SUM(CN16:CO16,CQ16:CS16,CU16)-SUM(CP16,CT16),"")</f>
        <v>45.199999999999996</v>
      </c>
      <c r="DD16" s="79">
        <f>IF(SUM(CX16,DC16)&gt;0,SUM(CX16,DC16),"")</f>
        <v>87.799999999999983</v>
      </c>
      <c r="DE16" s="80" t="str">
        <f>IF(K16&gt;=0.001,IF(MAX(EC16,FE16,GG16,HI16,IK16,JM16,KO16,LQ16,MS16,NU16,OW16,PY16)-IF(K16="",0,K16)&gt;0.001,MAX(EC16,FE16,GG16,HI16,IK16,JM16,KO16,LQ16,MS16,NU16,OW16,PY16)-IF(K16="",0,K16),""),"")</f>
        <v/>
      </c>
      <c r="DF16" s="80" t="str">
        <f>IF(O16&gt;=0.001,IF(MAX(ED16,FF16,GH16,HJ16,IL16,JN16,KP16,LR16,MT16,NV16,OX16,PZ16)-IF(O16="",0,O16)&gt;0.001,MAX(ED16,FF16,GH16,HJ16,IL16,JN16,KP16,LR16,MT16,NV16,OX16,PZ16)-IF(O16="",0,O16),""),"")</f>
        <v/>
      </c>
      <c r="DG16" s="80" t="str">
        <f>IF(Q16&gt;=0.001,IF(MAX(EH16,FJ16,GL16,HN16,IP16,JR16,KT16,LV16,MX16,NZ16,PB16,QD16)-IF(Q16="",0,Q16)&gt;0.001,MAX(EH16,FJ16,GL16,HN16,IP16,JR16,KT16,LV16,MX16,NZ16,PB16,QD16)-IF(Q16="",0,Q16),""),"")</f>
        <v/>
      </c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79" t="str">
        <f>IF(SUM(DI16,DM16)&gt;0,SUM(DI16,DM16),"")</f>
        <v/>
      </c>
      <c r="EC16" s="79" t="str">
        <f>IF(SUM(DH16:DI16,DK16:DM16,DO16)-DJ16-DN16&gt;0,SUM(DH16:DI16,DK16:DM16,DO16)-DJ16-DN16,"")</f>
        <v/>
      </c>
      <c r="ED16" s="79" t="str">
        <f>IF(SUM(DP16:DQ16,DS16)-DR16&gt;0,SUM(DP16:DQ16,DS16)-DR16,"")</f>
        <v/>
      </c>
      <c r="EE16" s="79" t="str">
        <f>IF(SUM(DI16,DM16,DQ16)&gt;0,SUM(DI16,DM16,DQ16),"")</f>
        <v/>
      </c>
      <c r="EF16" s="79" t="str">
        <f>IF(SUM(EC16,ED16)&gt;0,SUM(EC16,ED16),"")</f>
        <v/>
      </c>
      <c r="EG16" s="79" t="str">
        <f>IF(SUM(DU16,DY16)&gt;0,SUM(DU16,DY16),"")</f>
        <v/>
      </c>
      <c r="EH16" s="79" t="str">
        <f>IF(SUM(DT16:DU16,DW16:DY16,EA16)-SUM(DV16,DZ16)&gt;0,SUM(DT16:DU16,DW16:DY16,EA16)-SUM(DV16,DZ16),"")</f>
        <v/>
      </c>
      <c r="EI16" s="79" t="str">
        <f>IF(SUM(EC16,EH16)&gt;0,SUM(EC16,EH16),"")</f>
        <v/>
      </c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0" t="str">
        <f>IF(SUM(EK16,EO16)&gt;0,SUM(EK16,EO16),"")</f>
        <v/>
      </c>
      <c r="FE16" s="20" t="str">
        <f>IF(SUM(EJ16:EK16,EM16:EO16,EQ16)-EL16-EP16&gt;0,SUM(EJ16:EK16,EM16:EO16,EQ16)-EL16-EP16,"")</f>
        <v/>
      </c>
      <c r="FF16" s="20" t="str">
        <f>IF(SUM(ER16:ES16,EU16)-ET16&gt;0,SUM(ER16:ES16,EU16)-ET16,"")</f>
        <v/>
      </c>
      <c r="FG16" s="20" t="str">
        <f>IF(SUM(EK16,EO16,ES16)&gt;0,SUM(EK16,EO16,ES16),"")</f>
        <v/>
      </c>
      <c r="FH16" s="20" t="str">
        <f>IF(SUM(FE16,FF16)&gt;0,SUM(FE16,FF16),"")</f>
        <v/>
      </c>
      <c r="FI16" s="20" t="str">
        <f>IF(SUM(EW16,FA16)&gt;0,SUM(EW16,FA16),"")</f>
        <v/>
      </c>
      <c r="FJ16" s="20" t="str">
        <f>IF(SUM(EV16:EW16,EY16:FA16,FC16)-SUM(EX16,FB16)&gt;0,SUM(EV16:EW16,EY16:FA16,FC16)-SUM(EX16,FB16),"")</f>
        <v/>
      </c>
      <c r="FK16" s="20" t="str">
        <f>IF(SUM(FE16,FJ16)&gt;0,SUM(FE16,FJ16),"")</f>
        <v/>
      </c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79" t="str">
        <f>IF(SUM(FM16,FQ16)&gt;0,SUM(FM16,FQ16),"")</f>
        <v/>
      </c>
      <c r="GG16" s="79" t="str">
        <f>IF(SUM(FL16:FM16,FO16:FQ16,FS16)-FN16-FR16&gt;0,SUM(FL16:FM16,FO16:FQ16,FS16)-FN16-FR16,"")</f>
        <v/>
      </c>
      <c r="GH16" s="79" t="str">
        <f>IF(SUM(FT16:FU16,FW16)-FV16&gt;0,SUM(FT16:FU16,FW16)-FV16,"")</f>
        <v/>
      </c>
      <c r="GI16" s="79" t="str">
        <f>IF(SUM(FM16,FQ16,FU16)&gt;0,SUM(FM16,FQ16,FU16),"")</f>
        <v/>
      </c>
      <c r="GJ16" s="79" t="str">
        <f>IF(SUM(GG16,GH16)&gt;0,SUM(GG16,GH16),"")</f>
        <v/>
      </c>
      <c r="GK16" s="79" t="str">
        <f>IF(SUM(FY16,GC16)&gt;0,SUM(FY16,GC16),"")</f>
        <v/>
      </c>
      <c r="GL16" s="79" t="str">
        <f>IF(SUM(FX16:FY16,GA16:GC16,GE16)-SUM(FZ16,GD16)&gt;0,SUM(FX16:FY16,GA16:GC16,GE16)-SUM(FZ16,GD16),"")</f>
        <v/>
      </c>
      <c r="GM16" s="79" t="str">
        <f>IF(SUM(GG16,GL16)&gt;0,SUM(GG16,GL16),"")</f>
        <v/>
      </c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0" t="str">
        <f>IF(SUM(GO16,GS16)&gt;0,SUM(GO16,GS16),"")</f>
        <v/>
      </c>
      <c r="HI16" s="20" t="str">
        <f>IF(SUM(GN16:GO16,GQ16:GS16,GU16)-GP16-GT16&gt;0,SUM(GN16:GO16,GQ16:GS16,GU16)-GP16-GT16,"")</f>
        <v/>
      </c>
      <c r="HJ16" s="20" t="str">
        <f>IF(SUM(GV16:GW16,GY16)-GX16&gt;0,SUM(GV16:GW16,GY16)-GX16,"")</f>
        <v/>
      </c>
      <c r="HK16" s="20" t="str">
        <f>IF(SUM(GO16,GS16,GW16)&gt;0,SUM(GO16,GS16,GW16),"")</f>
        <v/>
      </c>
      <c r="HL16" s="20" t="str">
        <f>IF(SUM(HI16,HJ16)&gt;0,SUM(HI16,HJ16),"")</f>
        <v/>
      </c>
      <c r="HM16" s="20" t="str">
        <f>IF(SUM(HA16,HE16)&gt;0,SUM(HA16,HE16),"")</f>
        <v/>
      </c>
      <c r="HN16" s="20" t="str">
        <f>IF(SUM(GZ16:HA16,HC16:HE16,HG16)-SUM(HB16,HF16)&gt;0,SUM(GZ16:HA16,HC16:HE16,HG16)-SUM(HB16,HF16),"")</f>
        <v/>
      </c>
      <c r="HO16" s="20" t="str">
        <f>IF(SUM(HI16,HN16)&gt;0,SUM(HI16,HN16),"")</f>
        <v/>
      </c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79" t="str">
        <f>IF(SUM(HQ16,HU16)&gt;0,SUM(HQ16,HU16),"")</f>
        <v/>
      </c>
      <c r="IK16" s="79" t="str">
        <f>IF(SUM(HP16:HQ16,HS16:HU16,HW16)-HR16-HV16&gt;0,SUM(HP16:HQ16,HS16:HU16,HW16)-HR16-HV16,"")</f>
        <v/>
      </c>
      <c r="IL16" s="79" t="str">
        <f>IF(SUM(HX16:HY16,IA16)-HZ16&gt;0,SUM(HX16:HY16,IA16)-HZ16,"")</f>
        <v/>
      </c>
      <c r="IM16" s="79" t="str">
        <f>IF(SUM(HQ16,HU16,HY16)&gt;0,SUM(HQ16,HU16,HY16),"")</f>
        <v/>
      </c>
      <c r="IN16" s="79" t="str">
        <f>IF(SUM(IK16,IL16)&gt;0,SUM(IK16,IL16),"")</f>
        <v/>
      </c>
      <c r="IO16" s="79" t="str">
        <f>IF(SUM(IC16,IG16)&gt;0,SUM(IC16,IG16),"")</f>
        <v/>
      </c>
      <c r="IP16" s="79" t="str">
        <f>IF(SUM(IB16:IC16,IE16:IG16,II16)-SUM(ID16,IH16)&gt;0,SUM(IB16:IC16,IE16:IG16,II16)-SUM(ID16,IH16),"")</f>
        <v/>
      </c>
      <c r="IQ16" s="79" t="str">
        <f>IF(SUM(IK16,IP16)&gt;0,SUM(IK16,IP16),"")</f>
        <v/>
      </c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0" t="str">
        <f>IF(SUM(IS16,IW16)&gt;0,SUM(IS16,IW16),"")</f>
        <v/>
      </c>
      <c r="JM16" s="20" t="str">
        <f>IF(SUM(IR16:IS16,IU16:IW16,IY16)-IT16-IX16&gt;0,SUM(IR16:IS16,IU16:IW16,IY16)-IT16-IX16,"")</f>
        <v/>
      </c>
      <c r="JN16" s="20" t="str">
        <f>IF(SUM(IZ16:JA16,JC16)-JB16&gt;0,SUM(IZ16:JA16,JC16)-JB16,"")</f>
        <v/>
      </c>
      <c r="JO16" s="20" t="str">
        <f>IF(SUM(IS16,IW16,JA16)&gt;0,SUM(IS16,IW16,JA16),"")</f>
        <v/>
      </c>
      <c r="JP16" s="20" t="str">
        <f>IF(SUM(JM16,JN16)&gt;0,SUM(JM16,JN16),"")</f>
        <v/>
      </c>
      <c r="JQ16" s="20" t="str">
        <f>IF(SUM(JE16,JI16)&gt;0,SUM(JE16,JI16),"")</f>
        <v/>
      </c>
      <c r="JR16" s="20" t="str">
        <f>IF(SUM(JD16:JE16,JG16:JI16,JK16)-SUM(JF16,JJ16)&gt;0,SUM(JD16:JE16,JG16:JI16,JK16)-SUM(JF16,JJ16),"")</f>
        <v/>
      </c>
      <c r="JS16" s="20" t="str">
        <f>IF(SUM(JM16,JR16)&gt;0,SUM(JM16,JR16),"")</f>
        <v/>
      </c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79" t="str">
        <f>IF(SUM(JU16,JY16)&gt;0,SUM(JU16,JY16),"")</f>
        <v/>
      </c>
      <c r="KO16" s="79" t="str">
        <f>IF(SUM(JT16:JU16,JW16:JY16,KA16)-JV16-JZ16&gt;0,SUM(JT16:JU16,JW16:JY16,KA16)-JV16-JZ16,"")</f>
        <v/>
      </c>
      <c r="KP16" s="79" t="str">
        <f>IF(SUM(KB16:KC16,KE16)-KD16&gt;0,SUM(KB16:KC16,KE16)-KD16,"")</f>
        <v/>
      </c>
      <c r="KQ16" s="79" t="str">
        <f>IF(SUM(JU16,JY16,KC16)&gt;0,SUM(JU16,JY16,KC16),"")</f>
        <v/>
      </c>
      <c r="KR16" s="79" t="str">
        <f>IF(SUM(KO16,KP16)&gt;0,SUM(KO16,KP16),"")</f>
        <v/>
      </c>
      <c r="KS16" s="79" t="str">
        <f>IF(SUM(KG16,KK16)&gt;0,SUM(KG16,KK16),"")</f>
        <v/>
      </c>
      <c r="KT16" s="79" t="str">
        <f>IF(SUM(KF16:KG16,KI16:KK16,KM16)-SUM(KH16,KL16)&gt;0,SUM(KF16:KG16,KI16:KK16,KM16)-SUM(KH16,KL16),"")</f>
        <v/>
      </c>
      <c r="KU16" s="79" t="str">
        <f>IF(SUM(KO16,KT16)&gt;0,SUM(KO16,KT16),"")</f>
        <v/>
      </c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0" t="str">
        <f>IF(SUM(KW16,LA16)&gt;0,SUM(KW16,LA16),"")</f>
        <v/>
      </c>
      <c r="LQ16" s="20" t="str">
        <f>IF(SUM(KV16:KW16,KY16:LA16,LC16)-KX16-LB16&gt;0,SUM(KV16:KW16,KY16:LA16,LC16)-KX16-LB16,"")</f>
        <v/>
      </c>
      <c r="LR16" s="20" t="str">
        <f>IF(SUM(LD16:LE16,LG16)-LF16&gt;0,SUM(LD16:LE16,LG16)-LF16,"")</f>
        <v/>
      </c>
      <c r="LS16" s="20" t="str">
        <f>IF(SUM(KW16,LA16,LE16)&gt;0,SUM(KW16,LA16,LE16),"")</f>
        <v/>
      </c>
      <c r="LT16" s="20" t="str">
        <f>IF(SUM(LQ16,LR16)&gt;0,SUM(LQ16,LR16),"")</f>
        <v/>
      </c>
      <c r="LU16" s="20" t="str">
        <f>IF(SUM(LI16,LM16)&gt;0,SUM(LI16,LM16),"")</f>
        <v/>
      </c>
      <c r="LV16" s="20" t="str">
        <f>IF(SUM(LH16:LI16,LK16:LM16,LO16)-SUM(LJ16,LN16)&gt;0,SUM(LH16:LI16,LK16:LM16,LO16)-SUM(LJ16,LN16),"")</f>
        <v/>
      </c>
      <c r="LW16" s="20" t="str">
        <f>IF(SUM(LQ16,LV16)&gt;0,SUM(LQ16,LV16),"")</f>
        <v/>
      </c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79" t="str">
        <f>IF(SUM(LY16,MC16)&gt;0,SUM(LY16,MC16),"")</f>
        <v/>
      </c>
      <c r="MS16" s="79" t="str">
        <f>IF(SUM(LX16:LY16,MA16:MC16,ME16)-LZ16-MD16&gt;0,SUM(LX16:LY16,MA16:MC16,ME16)-LZ16-MD16,"")</f>
        <v/>
      </c>
      <c r="MT16" s="79" t="str">
        <f>IF(SUM(MF16:MG16,MI16)-MH16&gt;0,SUM(MF16:MG16,MI16)-MH16,"")</f>
        <v/>
      </c>
      <c r="MU16" s="79" t="str">
        <f>IF(SUM(LY16,MC16,MG16)&gt;0,SUM(LY16,MC16,MG16),"")</f>
        <v/>
      </c>
      <c r="MV16" s="79" t="str">
        <f>IF(SUM(MS16,MT16)&gt;0,SUM(MS16,MT16),"")</f>
        <v/>
      </c>
      <c r="MW16" s="79" t="str">
        <f>IF(SUM(MK16,MO16)&gt;0,SUM(MK16,MO16),"")</f>
        <v/>
      </c>
      <c r="MX16" s="79" t="str">
        <f>IF(SUM(MJ16:MK16,MM16:MO16,MQ16)-SUM(ML16,MP16)&gt;0,SUM(MJ16:MK16,MM16:MO16,MQ16)-SUM(ML16,MP16),"")</f>
        <v/>
      </c>
      <c r="MY16" s="79" t="str">
        <f>IF(SUM(MS16,MX16)&gt;0,SUM(MS16,MX16),"")</f>
        <v/>
      </c>
      <c r="MZ16" s="26"/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0" t="str">
        <f>IF(SUM(NA16,NE16)&gt;0,SUM(NA16,NE16),"")</f>
        <v/>
      </c>
      <c r="NU16" s="20" t="str">
        <f>IF(SUM(MZ16:NA16,NC16:NE16,NG16)-NB16-NF16&gt;0,SUM(MZ16:NA16,NC16:NE16,NG16)-NB16-NF16,"")</f>
        <v/>
      </c>
      <c r="NV16" s="20" t="str">
        <f>IF(SUM(NH16:NI16,NK16)-NJ16&gt;0,SUM(NH16:NI16,NK16)-NJ16,"")</f>
        <v/>
      </c>
      <c r="NW16" s="20" t="str">
        <f>IF(SUM(NA16,NE16,NI16)&gt;0,SUM(NA16,NE16,NI16),"")</f>
        <v/>
      </c>
      <c r="NX16" s="20" t="str">
        <f>IF(SUM(NU16,NV16)&gt;0,SUM(NU16,NV16),"")</f>
        <v/>
      </c>
      <c r="NY16" s="20" t="str">
        <f>IF(SUM(NM16,NQ16)&gt;0,SUM(NM16,NQ16),"")</f>
        <v/>
      </c>
      <c r="NZ16" s="20" t="str">
        <f>IF(SUM(NL16:NM16,NO16:NQ16,NS16)-SUM(NN16,NR16)&gt;0,SUM(NL16:NM16,NO16:NQ16,NS16)-SUM(NN16,NR16),"")</f>
        <v/>
      </c>
      <c r="OA16" s="20" t="str">
        <f>IF(SUM(NU16,NZ16)&gt;0,SUM(NU16,NZ16),"")</f>
        <v/>
      </c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79" t="str">
        <f>IF(SUM(OC16,OG16)&gt;0,SUM(OC16,OG16),"")</f>
        <v/>
      </c>
      <c r="OW16" s="79" t="str">
        <f>IF(SUM(OB16:OC16,OE16:OG16,OI16)-OD16-OH16&gt;0,SUM(OB16:OC16,OE16:OG16,OI16)-OD16-OH16,"")</f>
        <v/>
      </c>
      <c r="OX16" s="79" t="str">
        <f>IF(SUM(OJ16:OK16,OM16)-OL16&gt;0,SUM(OJ16:OK16,OM16)-OL16,"")</f>
        <v/>
      </c>
      <c r="OY16" s="79" t="str">
        <f>IF(SUM(OC16,OG16,OK16)&gt;0,SUM(OC16,OG16,OK16),"")</f>
        <v/>
      </c>
      <c r="OZ16" s="79" t="str">
        <f>IF(SUM(OW16,OX16)&gt;0,SUM(OW16,OX16),"")</f>
        <v/>
      </c>
      <c r="PA16" s="79" t="str">
        <f>IF(SUM(OO16,OS16)&gt;0,SUM(OO16,OS16),"")</f>
        <v/>
      </c>
      <c r="PB16" s="79" t="str">
        <f>IF(SUM(ON16:OO16,OQ16:OS16,OU16)-SUM(OP16,OT16)&gt;0,SUM(ON16:OO16,OQ16:OS16,OU16)-SUM(OP16,OT16),"")</f>
        <v/>
      </c>
      <c r="PC16" s="79" t="str">
        <f>IF(SUM(OW16,PB16)&gt;0,SUM(OW16,PB16),"")</f>
        <v/>
      </c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0" t="str">
        <f>IF(SUM(PE16,PI16)&gt;0,SUM(PE16,PI16),"")</f>
        <v/>
      </c>
      <c r="PY16" s="20" t="str">
        <f>IF(SUM(PD16:PE16,PG16:PI16,PK16)-PF16-PJ16&gt;0,SUM(PD16:PE16,PG16:PI16,PK16)-PF16-PJ16,"")</f>
        <v/>
      </c>
      <c r="PZ16" s="20" t="str">
        <f>IF(SUM(PL16:PM16,PO16)-PN16&gt;0,SUM(PL16:PM16,PO16)-PN16,"")</f>
        <v/>
      </c>
      <c r="QA16" s="20" t="str">
        <f>IF(SUM(PE16,PI16,PM16)&gt;0,SUM(PE16,PI16,PM16),"")</f>
        <v/>
      </c>
      <c r="QB16" s="20" t="str">
        <f>IF(SUM(PY16,PZ16)&gt;0,SUM(PY16,PZ16),"")</f>
        <v/>
      </c>
      <c r="QC16" s="20" t="str">
        <f>IF(SUM(PQ16,PU16)&gt;0,SUM(PQ16,PU16),"")</f>
        <v/>
      </c>
      <c r="QD16" s="20" t="str">
        <f>IF(SUM(PP16:PQ16,PS16:PU16,PW16)-SUM(PR16,PV16)&gt;0,SUM(PP16:PQ16,PS16:PU16,PW16)-SUM(PR16,PV16),"")</f>
        <v/>
      </c>
      <c r="QE16" s="20" t="str">
        <f>IF(SUM(PY16,QD16)&gt;0,SUM(PY16,QD16),"")</f>
        <v/>
      </c>
      <c r="QF16" s="38">
        <f>IF($CV16="P",CB16,(CB16+AY16)/2)</f>
        <v>9.4499999999999993</v>
      </c>
      <c r="QG16" s="38">
        <f>IF($CV16="P",CC16,(CC16+AZ16)/2)</f>
        <v>1.75</v>
      </c>
      <c r="QH16" s="38">
        <f>IF($CV16="P",CD16,(CD16+BA16)/2)</f>
        <v>0</v>
      </c>
      <c r="QI16" s="38">
        <f>IF($CV16="P",CE16,(CE16+BB16)/2)</f>
        <v>0</v>
      </c>
      <c r="QJ16" s="38">
        <f>IF($CV16="P",CF16,(CF16+BC16)/2)</f>
        <v>8.1</v>
      </c>
      <c r="QK16" s="38">
        <f>IF($CV16="P",CG16,(CG16+BD16)/2)</f>
        <v>2.4</v>
      </c>
      <c r="QL16" s="38">
        <f>IF($CV16="P",CH16,(CH16+BE16)/2)</f>
        <v>0.4</v>
      </c>
      <c r="QM16" s="38">
        <f>IF($CV16="P",CI16,(CI16+BF16)/2)</f>
        <v>0</v>
      </c>
      <c r="QN16" s="38">
        <f>IF($CV16="P",CJ16,(CJ16+BG16)/2)</f>
        <v>8.6</v>
      </c>
      <c r="QO16" s="38">
        <f>IF($CV16="P",CK16,(CK16+BH16)/2)</f>
        <v>1.2</v>
      </c>
      <c r="QP16" s="38">
        <f>IF($CV16="P",CL16,(CL16+BI16)/2)</f>
        <v>0</v>
      </c>
      <c r="QQ16" s="38">
        <f>IF($CV16="P",CM16,(CM16+BJ16)/2)</f>
        <v>0</v>
      </c>
      <c r="QR16" s="38">
        <f>IF($CV16="P",CN16,(CN16+BK16)/2)</f>
        <v>9.6</v>
      </c>
      <c r="QS16" s="38">
        <f>IF($CV16="P",CO16,(CO16+BL16)/2)</f>
        <v>1.75</v>
      </c>
      <c r="QT16" s="38">
        <f>IF($CV16="P",CP16,(CP16+BM16)/2)</f>
        <v>0.1</v>
      </c>
      <c r="QU16" s="38">
        <f>IF($CV16="P",CQ16,(CQ16+BN16)/2)</f>
        <v>0</v>
      </c>
      <c r="QV16" s="38">
        <f>IF($CV16="P",CR16,(CR16+BO16)/2)</f>
        <v>9.0500000000000007</v>
      </c>
      <c r="QW16" s="38">
        <f>IF($CV16="P",CS16,(CS16+BP16)/2)</f>
        <v>2.4</v>
      </c>
      <c r="QX16" s="38">
        <f>IF($CV16="P",CT16,(CT16+BQ16)/2)</f>
        <v>0.1</v>
      </c>
      <c r="QY16" s="38">
        <f>IF($CV16="P",CU16,(CU16+BR16)/2)</f>
        <v>0</v>
      </c>
      <c r="QZ16" s="45" t="s">
        <v>46</v>
      </c>
      <c r="RA16" s="79">
        <f>IF(SUM(QG16,QK16)&gt;0,SUM(QG16,QK16),"")</f>
        <v>4.1500000000000004</v>
      </c>
      <c r="RB16" s="79">
        <f>IF(SUM(QF16:QG16,QI16:QK16,QM16)-QH16-QL16&gt;0,SUM(QF16:QG16,QI16:QK16,QM16)-QH16-QL16,"")</f>
        <v>21.299999999999997</v>
      </c>
      <c r="RC16" s="79">
        <f>IF(SUM(QN16:QO16,QQ16)-QP16&gt;0,SUM(QN16:QO16,QQ16)-QP16,"")</f>
        <v>9.7999999999999989</v>
      </c>
      <c r="RD16" s="79">
        <f>IF(SUM(QG16,QK16,QO16)&gt;0,SUM(QG16,QK16,QO16),"")</f>
        <v>5.3500000000000005</v>
      </c>
      <c r="RE16" s="79">
        <f>IF(SUM(RB16,RC16)&gt;0,SUM(RB16,RC16),"")</f>
        <v>31.099999999999994</v>
      </c>
      <c r="RF16" s="79">
        <f>IF(SUM(QS16,QW16)&gt;0,SUM(QS16,QW16),"")</f>
        <v>4.1500000000000004</v>
      </c>
      <c r="RG16" s="79">
        <f>IF(SUM(QR16:QS16,QU16:QW16,QY16)-SUM(QT16,QX16)&gt;0,SUM(QR16:QS16,QU16:QW16,QY16)-SUM(QT16,QX16),"")</f>
        <v>22.599999999999998</v>
      </c>
      <c r="RH16" s="79">
        <f>IF(SUM(RB16,RG16)&gt;0,SUM(RB16,RG16),"")</f>
        <v>43.899999999999991</v>
      </c>
    </row>
    <row r="17" spans="1:476" x14ac:dyDescent="0.2">
      <c r="A17" s="5" t="str">
        <f>IF(AND(F17="P",G17="P"),SUMPRODUCT((F$4:F$22="P")*(G$4:G$22="P")*(E$4:E$22&gt;E17))+1,IF(G17="P",SUMPRODUCT((F$4:F$22="")*(G$4:G$22="P")*(E$4:E$22&gt;E17))+1+SUMPRODUCT((F$4:F$22="P")*(G$4:G$22="P")),""))</f>
        <v/>
      </c>
      <c r="B17" s="78" t="s">
        <v>141</v>
      </c>
      <c r="C17" s="5" t="s">
        <v>81</v>
      </c>
      <c r="D17" s="5">
        <v>2003</v>
      </c>
      <c r="E17" s="15">
        <f>SUM(I17:S17)+SUM(I17:O17)*0.0000001+SUM(I17)*0.0000000000001</f>
        <v>106.90000621000411</v>
      </c>
      <c r="F17" s="3" t="str">
        <f>IF(OR(AND(AQ17&gt;=AX$24,AR17&gt;=AX$28,AQ17&lt;&gt;"",AP17=""),AND(AV17&gt;=AX$24,AW17&gt;=AX$28,AV17&lt;&gt;"",AP17=""),AND(BT17&gt;=CA$24,BU17&gt;=CA$28,BT17&lt;&gt;"",BS17=""),AND(BY17&gt;=CA$24,BZ17&gt;=CA$28,BY17&lt;&gt;"",BS17=""),AND(CW17&gt;=DD$24,CX17&gt;=DD$28,CW17&lt;&gt;"",CV17=""),AND(DB17&gt;=DD$24,DC17&gt;=DD$28,DB17&lt;&gt;""),AND(EB17&gt;=EI$24,EC17&gt;=EI$28,EB17&lt;&gt;""),AND(EG17&gt;=EI$24,EH17&gt;=EI$28,EG17&lt;&gt;""),AND(FD17&gt;=FK$24,FE17&gt;=FK$28,FD17&lt;&gt;""),AND(FI17&gt;=FK$24,FJ17&gt;=FK$28,FI17&lt;&gt;""),AND(GF17&gt;=GM$24,GG17&gt;=GM$28,GF17&lt;&gt;""),AND(GK17&gt;=GM$24,GL17&gt;=GM$28,GK17&lt;&gt;""),AND(HH17&gt;=HO$24,HI17&gt;=HO$28,HH17&lt;&gt;""),AND(HM17&gt;=HO$24,HN17&gt;=HO$28,HM17&lt;&gt;""),AND(IJ17&gt;=IQ$24,IK17&gt;=IQ$28,IJ17&lt;&gt;""),AND(IO17&gt;=IQ$24,IP17&gt;=IQ$28,IO17&lt;&gt;""),AND(JL17&gt;=JS$24,JM17&gt;=JS$28,JL17&lt;&gt;""),AND(JQ17&gt;=JS$24,JR17&gt;=JS$28,JQ17&lt;&gt;""),AND(KN17&gt;=KU$24,KO17&gt;=KU$28,KN17&lt;&gt;""),AND(KS17&gt;=KU$24,KT17&gt;=KU$28,KS17&lt;&gt;""),AND(LP17&gt;=LW$24,LQ17&gt;=LW$28,LP17&lt;&gt;""),AND(LU17&gt;=LW$24,LV17&gt;=LW$28,LU17&lt;&gt;""),AND(MR17&gt;=MY$24,MS17&gt;=MY$28,MR17&lt;&gt;""),AND(MW17&gt;=MY$24,MX17&gt;=MY$28,MW17&lt;&gt;""),AND(NT17&gt;=OA$24,NU17&gt;=OA$28,NT17&lt;&gt;""),AND(NY17&gt;=OA$24,NZ17&gt;=OA$28,NY17&lt;&gt;""),AND(OV17&gt;=PC$24,OW17&gt;=PC$28,OV17&lt;&gt;""),AND(PA17&gt;=PC$24,PB17&gt;=PC$28,PA17&lt;&gt;""),AND(PX17&gt;=QE$24,PY17&gt;=QE$28,PX17&lt;&gt;""),AND(QC17&gt;=QE$24,QD17&gt;=QE$28,QC17&lt;&gt;"")),"P","")</f>
        <v/>
      </c>
      <c r="G17" s="3" t="str">
        <f>IF(OR(AND(AR17&gt;=AX$28,AR17&lt;&gt;"",AP17=""),AND(AW17&gt;=AX$28,AW17&lt;&gt;"",AP17=""),AND(BU17&gt;=CA$28,BU17&lt;&gt;"",BS17=""),AND(BZ17&gt;=CA$28,BZ17&lt;&gt;"",BS17=""),AND(CX17&gt;=DD$28,CX17&lt;&gt;"",CV17=""),AND(DC17&gt;=DD$28,DC17&lt;&gt;"",CV17=""),AND(EC17&gt;=EI$28,EC17&lt;&gt;""),AND(EH17&gt;=EI$28,EH17&lt;&gt;""),AND(FE17&gt;=FK$28,FE17&lt;&gt;""),AND(FJ17&gt;=FK$28,FJ17&lt;&gt;""),AND(GG17&gt;=GM$28,GG17&lt;&gt;""),AND(GL17&gt;=GM$28,GL17&lt;&gt;""),AND(HI17&gt;=HO$28,HI17&lt;&gt;""),AND(HN17&gt;=HO$28,HN17&lt;&gt;""),AND(IK17&gt;=IQ$28,IK17&lt;&gt;""),AND(IP17&gt;=IQ$28,IP17&lt;&gt;""),AND(JM17&gt;=JS$28,JM17&lt;&gt;""),AND(JR17&gt;=JS$28,JR17&lt;&gt;""),AND(KO17&gt;=KU$28,KO17&lt;&gt;""),AND(KT17&gt;=KU$28,KT17&lt;&gt;""),AND(LQ17&gt;=LW$28,LQ17&lt;&gt;""),AND(LV17&gt;=LW$28,LV17&lt;&gt;""),AND(MS17&gt;=MY$28,MS17&lt;&gt;""),AND(MX17&gt;=MY$28,MX17&lt;&gt;""),AND(NU17&gt;=OA$28,NU17&lt;&gt;""),AND(NZ17&gt;=OA$28,NZ17&lt;&gt;""),AND(OW17&gt;=PC$28,OW17&lt;&gt;""),AND(PB17&gt;=PC$28,PB17&lt;&gt;""),AND(PY17&gt;=QE$28,PY17&lt;&gt;""),AND(QD17&gt;=QE$28,QD17&lt;&gt;"")),"P","")</f>
        <v/>
      </c>
      <c r="H17" s="67" t="str">
        <f>IF(AND(G17="P",F17=""),"No DD",IF(OR(AND(AT17&gt;=AX$27,AU17&gt;=AX$31,AT17&lt;&gt;"",AP17=""),AND(BW17&gt;=CA$27,BX17&gt;=CA$31,BW17&lt;&gt;"",BS17=""),AND(CZ17&gt;=DD$27,DA17&gt;=DD$31,CZ17&lt;&gt;"",CV17=""),AND(EE17&gt;=EI$27,EF17&gt;=EI$31,EE17&lt;&gt;""),AND(FG17&gt;=FK$27,FH17&gt;=FK$31,FG17&lt;&gt;""),AND(GI17&gt;=GM$27,GJ17&gt;=GM$31,GI17&lt;&gt;""),AND(HK17&gt;=HO$27,HL17&gt;=HO$31,HK17&lt;&gt;""),AND(IM17&gt;=IQ$27,IN17&gt;=IQ$31,IM17&lt;&gt;""),AND(JO17&gt;=JS$27,JP17&gt;=JS$31,JO17&lt;&gt;""),AND(KQ17&gt;=KU$27,KR17&gt;=KU$31,KQ17&lt;&gt;""),AND(LS17&gt;=LW$27,LT17&gt;=LW$31,LS17&lt;&gt;""),AND(MU17&gt;=MY$27,MV17&gt;=MY$31,MU17&lt;&gt;""),AND(NW17&gt;=OA$27,NX17&gt;=OA$31,NW17&lt;&gt;""),AND(OY17&gt;=PC$27,OZ17&gt;=PC$31,OY17&lt;&gt;""),AND(QA17&gt;=QE$27,QB17&gt;=QE$31,QA17&lt;&gt;"")),"Merit",IF(OR(AND(AT17&gt;=AX$26,AU17&gt;=AX$30,AT17&lt;&gt;"",AP17=""),AND(BW17&gt;=CA$26,BX17&gt;=CA$30,BW17&lt;&gt;"",BS17=""),AND(CZ17&gt;=DD$26,DA17&gt;=DD$30,CZ17&lt;&gt;"",CV17=""),AND(EE17&gt;=EI$26,EF17&gt;=EI$30,EE17&lt;&gt;""),AND(FG17&gt;=FK$26,FH17&gt;=FK$30,FG17&lt;&gt;""),AND(GI17&gt;=GM$26,GJ17&gt;=GM$30,GI17&lt;&gt;""),AND(HK17&gt;=HO$26,HL17&gt;=HO$30,HK17&lt;&gt;""),AND(IM17&gt;=IQ$26,IN17&gt;=IQ$30,IM17&lt;&gt;""),AND(JO17&gt;=JS$26,JP17&gt;=JS$30,JO17&lt;&gt;""),AND(KQ17&gt;=KU$26,KR17&gt;=KU$30,KQ17&lt;&gt;""),AND(LS17&gt;=LW$26,LT17&gt;=LW$30,LS17&lt;&gt;""),AND(MU17&gt;=MY$26,MV17&gt;=MY$30,MU17&lt;&gt;""),AND(NW17&gt;=OA$26,NX17&gt;=OA$30,NW17&lt;&gt;""),AND(OY17&gt;=PC$26,OZ17&gt;=PC$30,OY17&lt;&gt;""),AND(QA17&gt;=QE$26,QB17&gt;=QE$30,QA17&lt;&gt;"")),"Excellence",IF(F17="P","National Team",""))))</f>
        <v/>
      </c>
      <c r="I17" s="14">
        <f>IF(COUNT(AR17,BU17,CX17)&gt;0,LARGE((AR17,BU17,CX17),1),0)</f>
        <v>41.100000000000009</v>
      </c>
      <c r="J17" s="14" t="str">
        <f>IF(I17=0,"",IF(I17=CX17,$CB$1,IF(I17=BU17,$AY$1,IF(I17=AR17,$V$1,""))))</f>
        <v>2022 Elite Canada</v>
      </c>
      <c r="K17" s="14">
        <f>IF(COUNT(AR17,BU17,CX17)&gt;1,LARGE((AR17,BU17,CX17),2),0)</f>
        <v>0</v>
      </c>
      <c r="L17" s="14" t="str">
        <f>IF(K17=0,"",IF(K17=CX17,$CB$1,IF(K17=BU17,$AY$1,IF(K17=AR17,$V$1,""))))</f>
        <v/>
      </c>
      <c r="M17" s="14">
        <f>IF(COUNT(AS17,BV17,CY17)&gt;0,LARGE((AS17,BV17,CY17),1),0)</f>
        <v>21</v>
      </c>
      <c r="N17" s="14" t="str">
        <f>IF(M17=0,"",IF(M17=CY17,$CB$1,IF(M17=BV17,$AY$1,IF(M17=AS17,$V$1,""))))</f>
        <v>2022 Elite Canada</v>
      </c>
      <c r="O17" s="14">
        <f>IF(COUNT(AS17,BV17,CY17)&gt;1,LARGE((AS17,BV17,CY17),2),0)</f>
        <v>0</v>
      </c>
      <c r="P17" s="14" t="str">
        <f>IF(O17=0,"",IF(O17=CY17,$CB$1,IF(O17=BV17,$AY$1,IF(O17=AS17,$V$1,""))))</f>
        <v/>
      </c>
      <c r="Q17" s="14">
        <f>IF(MAX(AW17,BZ17,DC17)&gt;0,MAX(AW17,BZ17,DC17),0)</f>
        <v>44.8</v>
      </c>
      <c r="R17" s="14" t="str">
        <f>IF(Q17=0,"",IF(Q17=DC17,$CB$1,IF(Q17=BZ17,$AY$1,IF(Q17=AW17,$V$1,""))))</f>
        <v>2022 Elite Canada</v>
      </c>
      <c r="S17" s="14" t="str">
        <f>IF(MAX(DE17:DG17)&gt;0,MAX(DE17:DG17),"")</f>
        <v/>
      </c>
      <c r="T17" s="20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45"/>
      <c r="AQ17" s="79" t="str">
        <f>IF(SUM(W17,AA17)&gt;0,SUM(W17,AA17),"")</f>
        <v/>
      </c>
      <c r="AR17" s="79" t="str">
        <f>IF(SUM(V17:W17,Y17:AA17,AC17)-X17-AB17&gt;0,SUM(V17:W17,Y17:AA17,AC17)-X17-AB17,"")</f>
        <v/>
      </c>
      <c r="AS17" s="79" t="str">
        <f>IF(SUM(AD17:AE17,AG17)-AF17&gt;0,SUM(AD17:AE17,AG17)-AF17,"")</f>
        <v/>
      </c>
      <c r="AT17" s="79" t="str">
        <f>IF(SUM(W17,AA17,AE17)&gt;0,SUM(W17,AA17,AE17),"")</f>
        <v/>
      </c>
      <c r="AU17" s="79" t="str">
        <f>IF(SUM(AR17,AS17)&gt;0,SUM(AR17,AS17),"")</f>
        <v/>
      </c>
      <c r="AV17" s="79" t="str">
        <f>IF(SUM(AI17,AM17)&gt;0,SUM(AI17,AM17),"")</f>
        <v/>
      </c>
      <c r="AW17" s="79" t="str">
        <f>IF(SUM(AH17:AI17,AK17:AM17,AO17)-SUM(AJ17,AN17)&gt;0,SUM(AH17:AI17,AK17:AM17,AO17)-SUM(AJ17,AN17),"")</f>
        <v/>
      </c>
      <c r="AX17" s="79" t="str">
        <f>IF(SUM(AR17,AW17)&gt;0,SUM(AR17,AW17),"")</f>
        <v/>
      </c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46"/>
      <c r="BT17" s="20" t="str">
        <f>IF(SUM(AZ17,BD17)&gt;0,SUM(AZ17,BD17),"")</f>
        <v/>
      </c>
      <c r="BU17" s="20" t="str">
        <f>IF(SUM(AY17:AZ17,BB17:BD17,BF17)-BA17-BE17&gt;0,SUM(AY17:AZ17,BB17:BD17,BF17)-BA17-BE17,"")</f>
        <v/>
      </c>
      <c r="BV17" s="20" t="str">
        <f>IF(SUM(BG17:BH17,BJ17)-BI17&gt;0,SUM(BG17:BH17,BJ17)-BI17,"")</f>
        <v/>
      </c>
      <c r="BW17" s="20" t="str">
        <f>IF(SUM(AZ17,BD17,BH17)&gt;0,SUM(AZ17,BD17,BH17),"")</f>
        <v/>
      </c>
      <c r="BX17" s="20" t="str">
        <f>IF(SUM(BU17,BV17)&gt;0,SUM(BU17,BV17),"")</f>
        <v/>
      </c>
      <c r="BY17" s="20" t="str">
        <f>IF(SUM(BL17,BP17)&gt;0,SUM(BL17,BP17),"")</f>
        <v/>
      </c>
      <c r="BZ17" s="20" t="str">
        <f>IF(SUM(BK17:BL17,BN17:BP17,BR17)-SUM(BM17,BQ17)&gt;0,SUM(BK17:BL17,BN17:BP17,BR17)-SUM(BM17,BQ17),"")</f>
        <v/>
      </c>
      <c r="CA17" s="20" t="str">
        <f>IF(SUM(BU17,BZ17)&gt;0,SUM(BU17,BZ17),"")</f>
        <v/>
      </c>
      <c r="CB17" s="27">
        <v>18.2</v>
      </c>
      <c r="CC17" s="27">
        <v>3.6</v>
      </c>
      <c r="CD17" s="27">
        <v>0.8</v>
      </c>
      <c r="CE17" s="27">
        <v>0</v>
      </c>
      <c r="CF17" s="27">
        <v>16.600000000000001</v>
      </c>
      <c r="CG17" s="27">
        <v>3.5</v>
      </c>
      <c r="CH17" s="27">
        <v>0</v>
      </c>
      <c r="CI17" s="27">
        <v>0</v>
      </c>
      <c r="CJ17" s="27">
        <v>17.600000000000001</v>
      </c>
      <c r="CK17" s="27">
        <v>4.4000000000000004</v>
      </c>
      <c r="CL17" s="27">
        <v>1</v>
      </c>
      <c r="CM17" s="27">
        <v>0</v>
      </c>
      <c r="CN17" s="27">
        <v>18.899999999999999</v>
      </c>
      <c r="CO17" s="27">
        <v>3.5</v>
      </c>
      <c r="CP17" s="27">
        <v>0.2</v>
      </c>
      <c r="CQ17" s="27">
        <v>0</v>
      </c>
      <c r="CR17" s="27">
        <v>18.399999999999999</v>
      </c>
      <c r="CS17" s="27">
        <v>4.4000000000000004</v>
      </c>
      <c r="CT17" s="27">
        <v>0.2</v>
      </c>
      <c r="CU17" s="27">
        <v>0</v>
      </c>
      <c r="CV17" s="45"/>
      <c r="CW17" s="79">
        <f>IF(SUM(CC17,CG17)&gt;0,SUM(CC17,CG17),"")</f>
        <v>7.1</v>
      </c>
      <c r="CX17" s="79">
        <f>IF(SUM(CB17:CC17,CE17:CG17,CI17)-CD17-CH17&gt;0,SUM(CB17:CC17,CE17:CG17,CI17)-CD17-CH17,"")</f>
        <v>41.100000000000009</v>
      </c>
      <c r="CY17" s="79">
        <f>IF(SUM(CJ17:CK17,CM17)-CL17&gt;0,SUM(CJ17:CK17,CM17)-CL17,"")</f>
        <v>21</v>
      </c>
      <c r="CZ17" s="79">
        <f>IF(SUM(CC17,CG17,CK17)&gt;0,SUM(CC17,CG17,CK17),"")</f>
        <v>11.5</v>
      </c>
      <c r="DA17" s="79">
        <f>IF(SUM(CX17,CY17)&gt;0,SUM(CX17,CY17),"")</f>
        <v>62.100000000000009</v>
      </c>
      <c r="DB17" s="79">
        <f>IF(SUM(CO17,CS17)&gt;0,SUM(CO17,CS17),"")</f>
        <v>7.9</v>
      </c>
      <c r="DC17" s="79">
        <f>IF(SUM(CN17:CO17,CQ17:CS17,CU17)-SUM(CP17,CT17)&gt;0,SUM(CN17:CO17,CQ17:CS17,CU17)-SUM(CP17,CT17),"")</f>
        <v>44.8</v>
      </c>
      <c r="DD17" s="79">
        <f>IF(SUM(CX17,DC17)&gt;0,SUM(CX17,DC17),"")</f>
        <v>85.9</v>
      </c>
      <c r="DE17" s="80" t="str">
        <f>IF(K17&gt;=0.001,IF(MAX(EC17,FE17,GG17,HI17,IK17,JM17,KO17,LQ17,MS17,NU17,OW17,PY17)-IF(K17="",0,K17)&gt;0.001,MAX(EC17,FE17,GG17,HI17,IK17,JM17,KO17,LQ17,MS17,NU17,OW17,PY17)-IF(K17="",0,K17),""),"")</f>
        <v/>
      </c>
      <c r="DF17" s="80" t="str">
        <f>IF(O17&gt;=0.001,IF(MAX(ED17,FF17,GH17,HJ17,IL17,JN17,KP17,LR17,MT17,NV17,OX17,PZ17)-IF(O17="",0,O17)&gt;0.001,MAX(ED17,FF17,GH17,HJ17,IL17,JN17,KP17,LR17,MT17,NV17,OX17,PZ17)-IF(O17="",0,O17),""),"")</f>
        <v/>
      </c>
      <c r="DG17" s="80" t="str">
        <f>IF(Q17&gt;=0.001,IF(MAX(EH17,FJ17,GL17,HN17,IP17,JR17,KT17,LV17,MX17,NZ17,PB17,QD17)-IF(Q17="",0,Q17)&gt;0.001,MAX(EH17,FJ17,GL17,HN17,IP17,JR17,KT17,LV17,MX17,NZ17,PB17,QD17)-IF(Q17="",0,Q17),""),"")</f>
        <v/>
      </c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79" t="str">
        <f>IF(SUM(DI17,DM17)&gt;0,SUM(DI17,DM17),"")</f>
        <v/>
      </c>
      <c r="EC17" s="79" t="str">
        <f>IF(SUM(DH17:DI17,DK17:DM17,DO17)-DJ17-DN17&gt;0,SUM(DH17:DI17,DK17:DM17,DO17)-DJ17-DN17,"")</f>
        <v/>
      </c>
      <c r="ED17" s="79" t="str">
        <f>IF(SUM(DP17:DQ17,DS17)-DR17&gt;0,SUM(DP17:DQ17,DS17)-DR17,"")</f>
        <v/>
      </c>
      <c r="EE17" s="79" t="str">
        <f>IF(SUM(DI17,DM17,DQ17)&gt;0,SUM(DI17,DM17,DQ17),"")</f>
        <v/>
      </c>
      <c r="EF17" s="79" t="str">
        <f>IF(SUM(EC17,ED17)&gt;0,SUM(EC17,ED17),"")</f>
        <v/>
      </c>
      <c r="EG17" s="79" t="str">
        <f>IF(SUM(DU17,DY17)&gt;0,SUM(DU17,DY17),"")</f>
        <v/>
      </c>
      <c r="EH17" s="79" t="str">
        <f>IF(SUM(DT17:DU17,DW17:DY17,EA17)-SUM(DV17,DZ17)&gt;0,SUM(DT17:DU17,DW17:DY17,EA17)-SUM(DV17,DZ17),"")</f>
        <v/>
      </c>
      <c r="EI17" s="79" t="str">
        <f>IF(SUM(EC17,EH17)&gt;0,SUM(EC17,EH17),"")</f>
        <v/>
      </c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0" t="str">
        <f>IF(SUM(EK17,EO17)&gt;0,SUM(EK17,EO17),"")</f>
        <v/>
      </c>
      <c r="FE17" s="20" t="str">
        <f>IF(SUM(EJ17:EK17,EM17:EO17,EQ17)-EL17-EP17&gt;0,SUM(EJ17:EK17,EM17:EO17,EQ17)-EL17-EP17,"")</f>
        <v/>
      </c>
      <c r="FF17" s="20" t="str">
        <f>IF(SUM(ER17:ES17,EU17)-ET17&gt;0,SUM(ER17:ES17,EU17)-ET17,"")</f>
        <v/>
      </c>
      <c r="FG17" s="20" t="str">
        <f>IF(SUM(EK17,EO17,ES17)&gt;0,SUM(EK17,EO17,ES17),"")</f>
        <v/>
      </c>
      <c r="FH17" s="20" t="str">
        <f>IF(SUM(FE17,FF17)&gt;0,SUM(FE17,FF17),"")</f>
        <v/>
      </c>
      <c r="FI17" s="20" t="str">
        <f>IF(SUM(EW17,FA17)&gt;0,SUM(EW17,FA17),"")</f>
        <v/>
      </c>
      <c r="FJ17" s="20" t="str">
        <f>IF(SUM(EV17:EW17,EY17:FA17,FC17)-SUM(EX17,FB17)&gt;0,SUM(EV17:EW17,EY17:FA17,FC17)-SUM(EX17,FB17),"")</f>
        <v/>
      </c>
      <c r="FK17" s="20" t="str">
        <f>IF(SUM(FE17,FJ17)&gt;0,SUM(FE17,FJ17),"")</f>
        <v/>
      </c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79" t="str">
        <f>IF(SUM(FM17,FQ17)&gt;0,SUM(FM17,FQ17),"")</f>
        <v/>
      </c>
      <c r="GG17" s="79" t="str">
        <f>IF(SUM(FL17:FM17,FO17:FQ17,FS17)-FN17-FR17&gt;0,SUM(FL17:FM17,FO17:FQ17,FS17)-FN17-FR17,"")</f>
        <v/>
      </c>
      <c r="GH17" s="79" t="str">
        <f>IF(SUM(FT17:FU17,FW17)-FV17&gt;0,SUM(FT17:FU17,FW17)-FV17,"")</f>
        <v/>
      </c>
      <c r="GI17" s="79" t="str">
        <f>IF(SUM(FM17,FQ17,FU17)&gt;0,SUM(FM17,FQ17,FU17),"")</f>
        <v/>
      </c>
      <c r="GJ17" s="79" t="str">
        <f>IF(SUM(GG17,GH17)&gt;0,SUM(GG17,GH17),"")</f>
        <v/>
      </c>
      <c r="GK17" s="79" t="str">
        <f>IF(SUM(FY17,GC17)&gt;0,SUM(FY17,GC17),"")</f>
        <v/>
      </c>
      <c r="GL17" s="79" t="str">
        <f>IF(SUM(FX17:FY17,GA17:GC17,GE17)-SUM(FZ17,GD17)&gt;0,SUM(FX17:FY17,GA17:GC17,GE17)-SUM(FZ17,GD17),"")</f>
        <v/>
      </c>
      <c r="GM17" s="79" t="str">
        <f>IF(SUM(GG17,GL17)&gt;0,SUM(GG17,GL17),"")</f>
        <v/>
      </c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0" t="str">
        <f>IF(SUM(GO17,GS17)&gt;0,SUM(GO17,GS17),"")</f>
        <v/>
      </c>
      <c r="HI17" s="20" t="str">
        <f>IF(SUM(GN17:GO17,GQ17:GS17,GU17)-GP17-GT17&gt;0,SUM(GN17:GO17,GQ17:GS17,GU17)-GP17-GT17,"")</f>
        <v/>
      </c>
      <c r="HJ17" s="20" t="str">
        <f>IF(SUM(GV17:GW17,GY17)-GX17&gt;0,SUM(GV17:GW17,GY17)-GX17,"")</f>
        <v/>
      </c>
      <c r="HK17" s="20" t="str">
        <f>IF(SUM(GO17,GS17,GW17)&gt;0,SUM(GO17,GS17,GW17),"")</f>
        <v/>
      </c>
      <c r="HL17" s="20" t="str">
        <f>IF(SUM(HI17,HJ17)&gt;0,SUM(HI17,HJ17),"")</f>
        <v/>
      </c>
      <c r="HM17" s="20" t="str">
        <f>IF(SUM(HA17,HE17)&gt;0,SUM(HA17,HE17),"")</f>
        <v/>
      </c>
      <c r="HN17" s="20" t="str">
        <f>IF(SUM(GZ17:HA17,HC17:HE17,HG17)-SUM(HB17,HF17)&gt;0,SUM(GZ17:HA17,HC17:HE17,HG17)-SUM(HB17,HF17),"")</f>
        <v/>
      </c>
      <c r="HO17" s="20" t="str">
        <f>IF(SUM(HI17,HN17)&gt;0,SUM(HI17,HN17),"")</f>
        <v/>
      </c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79" t="str">
        <f>IF(SUM(HQ17,HU17)&gt;0,SUM(HQ17,HU17),"")</f>
        <v/>
      </c>
      <c r="IK17" s="79" t="str">
        <f>IF(SUM(HP17:HQ17,HS17:HU17,HW17)-HR17-HV17&gt;0,SUM(HP17:HQ17,HS17:HU17,HW17)-HR17-HV17,"")</f>
        <v/>
      </c>
      <c r="IL17" s="79" t="str">
        <f>IF(SUM(HX17:HY17,IA17)-HZ17&gt;0,SUM(HX17:HY17,IA17)-HZ17,"")</f>
        <v/>
      </c>
      <c r="IM17" s="79" t="str">
        <f>IF(SUM(HQ17,HU17,HY17)&gt;0,SUM(HQ17,HU17,HY17),"")</f>
        <v/>
      </c>
      <c r="IN17" s="79" t="str">
        <f>IF(SUM(IK17,IL17)&gt;0,SUM(IK17,IL17),"")</f>
        <v/>
      </c>
      <c r="IO17" s="79" t="str">
        <f>IF(SUM(IC17,IG17)&gt;0,SUM(IC17,IG17),"")</f>
        <v/>
      </c>
      <c r="IP17" s="79" t="str">
        <f>IF(SUM(IB17:IC17,IE17:IG17,II17)-SUM(ID17,IH17)&gt;0,SUM(IB17:IC17,IE17:IG17,II17)-SUM(ID17,IH17),"")</f>
        <v/>
      </c>
      <c r="IQ17" s="79" t="str">
        <f>IF(SUM(IK17,IP17)&gt;0,SUM(IK17,IP17),"")</f>
        <v/>
      </c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0" t="str">
        <f>IF(SUM(IS17,IW17)&gt;0,SUM(IS17,IW17),"")</f>
        <v/>
      </c>
      <c r="JM17" s="20" t="str">
        <f>IF(SUM(IR17:IS17,IU17:IW17,IY17)-IT17-IX17&gt;0,SUM(IR17:IS17,IU17:IW17,IY17)-IT17-IX17,"")</f>
        <v/>
      </c>
      <c r="JN17" s="20" t="str">
        <f>IF(SUM(IZ17:JA17,JC17)-JB17&gt;0,SUM(IZ17:JA17,JC17)-JB17,"")</f>
        <v/>
      </c>
      <c r="JO17" s="20" t="str">
        <f>IF(SUM(IS17,IW17,JA17)&gt;0,SUM(IS17,IW17,JA17),"")</f>
        <v/>
      </c>
      <c r="JP17" s="20" t="str">
        <f>IF(SUM(JM17,JN17)&gt;0,SUM(JM17,JN17),"")</f>
        <v/>
      </c>
      <c r="JQ17" s="20" t="str">
        <f>IF(SUM(JE17,JI17)&gt;0,SUM(JE17,JI17),"")</f>
        <v/>
      </c>
      <c r="JR17" s="20" t="str">
        <f>IF(SUM(JD17:JE17,JG17:JI17,JK17)-SUM(JF17,JJ17)&gt;0,SUM(JD17:JE17,JG17:JI17,JK17)-SUM(JF17,JJ17),"")</f>
        <v/>
      </c>
      <c r="JS17" s="20" t="str">
        <f>IF(SUM(JM17,JR17)&gt;0,SUM(JM17,JR17),"")</f>
        <v/>
      </c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79" t="str">
        <f>IF(SUM(JU17,JY17)&gt;0,SUM(JU17,JY17),"")</f>
        <v/>
      </c>
      <c r="KO17" s="79" t="str">
        <f>IF(SUM(JT17:JU17,JW17:JY17,KA17)-JV17-JZ17&gt;0,SUM(JT17:JU17,JW17:JY17,KA17)-JV17-JZ17,"")</f>
        <v/>
      </c>
      <c r="KP17" s="79" t="str">
        <f>IF(SUM(KB17:KC17,KE17)-KD17&gt;0,SUM(KB17:KC17,KE17)-KD17,"")</f>
        <v/>
      </c>
      <c r="KQ17" s="79" t="str">
        <f>IF(SUM(JU17,JY17,KC17)&gt;0,SUM(JU17,JY17,KC17),"")</f>
        <v/>
      </c>
      <c r="KR17" s="79" t="str">
        <f>IF(SUM(KO17,KP17)&gt;0,SUM(KO17,KP17),"")</f>
        <v/>
      </c>
      <c r="KS17" s="79" t="str">
        <f>IF(SUM(KG17,KK17)&gt;0,SUM(KG17,KK17),"")</f>
        <v/>
      </c>
      <c r="KT17" s="79" t="str">
        <f>IF(SUM(KF17:KG17,KI17:KK17,KM17)-SUM(KH17,KL17)&gt;0,SUM(KF17:KG17,KI17:KK17,KM17)-SUM(KH17,KL17),"")</f>
        <v/>
      </c>
      <c r="KU17" s="79" t="str">
        <f>IF(SUM(KO17,KT17)&gt;0,SUM(KO17,KT17),"")</f>
        <v/>
      </c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0" t="str">
        <f>IF(SUM(KW17,LA17)&gt;0,SUM(KW17,LA17),"")</f>
        <v/>
      </c>
      <c r="LQ17" s="20" t="str">
        <f>IF(SUM(KV17:KW17,KY17:LA17,LC17)-KX17-LB17&gt;0,SUM(KV17:KW17,KY17:LA17,LC17)-KX17-LB17,"")</f>
        <v/>
      </c>
      <c r="LR17" s="20" t="str">
        <f>IF(SUM(LD17:LE17,LG17)-LF17&gt;0,SUM(LD17:LE17,LG17)-LF17,"")</f>
        <v/>
      </c>
      <c r="LS17" s="20" t="str">
        <f>IF(SUM(KW17,LA17,LE17)&gt;0,SUM(KW17,LA17,LE17),"")</f>
        <v/>
      </c>
      <c r="LT17" s="20" t="str">
        <f>IF(SUM(LQ17,LR17)&gt;0,SUM(LQ17,LR17),"")</f>
        <v/>
      </c>
      <c r="LU17" s="20" t="str">
        <f>IF(SUM(LI17,LM17)&gt;0,SUM(LI17,LM17),"")</f>
        <v/>
      </c>
      <c r="LV17" s="20" t="str">
        <f>IF(SUM(LH17:LI17,LK17:LM17,LO17)-SUM(LJ17,LN17)&gt;0,SUM(LH17:LI17,LK17:LM17,LO17)-SUM(LJ17,LN17),"")</f>
        <v/>
      </c>
      <c r="LW17" s="20" t="str">
        <f>IF(SUM(LQ17,LV17)&gt;0,SUM(LQ17,LV17),"")</f>
        <v/>
      </c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79" t="str">
        <f>IF(SUM(LY17,MC17)&gt;0,SUM(LY17,MC17),"")</f>
        <v/>
      </c>
      <c r="MS17" s="79" t="str">
        <f>IF(SUM(LX17:LY17,MA17:MC17,ME17)-LZ17-MD17&gt;0,SUM(LX17:LY17,MA17:MC17,ME17)-LZ17-MD17,"")</f>
        <v/>
      </c>
      <c r="MT17" s="79" t="str">
        <f>IF(SUM(MF17:MG17,MI17)-MH17&gt;0,SUM(MF17:MG17,MI17)-MH17,"")</f>
        <v/>
      </c>
      <c r="MU17" s="79" t="str">
        <f>IF(SUM(LY17,MC17,MG17)&gt;0,SUM(LY17,MC17,MG17),"")</f>
        <v/>
      </c>
      <c r="MV17" s="79" t="str">
        <f>IF(SUM(MS17,MT17)&gt;0,SUM(MS17,MT17),"")</f>
        <v/>
      </c>
      <c r="MW17" s="79" t="str">
        <f>IF(SUM(MK17,MO17)&gt;0,SUM(MK17,MO17),"")</f>
        <v/>
      </c>
      <c r="MX17" s="79" t="str">
        <f>IF(SUM(MJ17:MK17,MM17:MO17,MQ17)-SUM(ML17,MP17)&gt;0,SUM(MJ17:MK17,MM17:MO17,MQ17)-SUM(ML17,MP17),"")</f>
        <v/>
      </c>
      <c r="MY17" s="79" t="str">
        <f>IF(SUM(MS17,MX17)&gt;0,SUM(MS17,MX17),"")</f>
        <v/>
      </c>
      <c r="MZ17" s="26"/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0" t="str">
        <f>IF(SUM(NA17,NE17)&gt;0,SUM(NA17,NE17),"")</f>
        <v/>
      </c>
      <c r="NU17" s="20" t="str">
        <f>IF(SUM(MZ17:NA17,NC17:NE17,NG17)-NB17-NF17&gt;0,SUM(MZ17:NA17,NC17:NE17,NG17)-NB17-NF17,"")</f>
        <v/>
      </c>
      <c r="NV17" s="20" t="str">
        <f>IF(SUM(NH17:NI17,NK17)-NJ17&gt;0,SUM(NH17:NI17,NK17)-NJ17,"")</f>
        <v/>
      </c>
      <c r="NW17" s="20" t="str">
        <f>IF(SUM(NA17,NE17,NI17)&gt;0,SUM(NA17,NE17,NI17),"")</f>
        <v/>
      </c>
      <c r="NX17" s="20" t="str">
        <f>IF(SUM(NU17,NV17)&gt;0,SUM(NU17,NV17),"")</f>
        <v/>
      </c>
      <c r="NY17" s="20" t="str">
        <f>IF(SUM(NM17,NQ17)&gt;0,SUM(NM17,NQ17),"")</f>
        <v/>
      </c>
      <c r="NZ17" s="20" t="str">
        <f>IF(SUM(NL17:NM17,NO17:NQ17,NS17)-SUM(NN17,NR17)&gt;0,SUM(NL17:NM17,NO17:NQ17,NS17)-SUM(NN17,NR17),"")</f>
        <v/>
      </c>
      <c r="OA17" s="20" t="str">
        <f>IF(SUM(NU17,NZ17)&gt;0,SUM(NU17,NZ17),"")</f>
        <v/>
      </c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79" t="str">
        <f>IF(SUM(OC17,OG17)&gt;0,SUM(OC17,OG17),"")</f>
        <v/>
      </c>
      <c r="OW17" s="79" t="str">
        <f>IF(SUM(OB17:OC17,OE17:OG17,OI17)-OD17-OH17&gt;0,SUM(OB17:OC17,OE17:OG17,OI17)-OD17-OH17,"")</f>
        <v/>
      </c>
      <c r="OX17" s="79" t="str">
        <f>IF(SUM(OJ17:OK17,OM17)-OL17&gt;0,SUM(OJ17:OK17,OM17)-OL17,"")</f>
        <v/>
      </c>
      <c r="OY17" s="79" t="str">
        <f>IF(SUM(OC17,OG17,OK17)&gt;0,SUM(OC17,OG17,OK17),"")</f>
        <v/>
      </c>
      <c r="OZ17" s="79" t="str">
        <f>IF(SUM(OW17,OX17)&gt;0,SUM(OW17,OX17),"")</f>
        <v/>
      </c>
      <c r="PA17" s="79" t="str">
        <f>IF(SUM(OO17,OS17)&gt;0,SUM(OO17,OS17),"")</f>
        <v/>
      </c>
      <c r="PB17" s="79" t="str">
        <f>IF(SUM(ON17:OO17,OQ17:OS17,OU17)-SUM(OP17,OT17)&gt;0,SUM(ON17:OO17,OQ17:OS17,OU17)-SUM(OP17,OT17),"")</f>
        <v/>
      </c>
      <c r="PC17" s="79" t="str">
        <f>IF(SUM(OW17,PB17)&gt;0,SUM(OW17,PB17),"")</f>
        <v/>
      </c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0" t="str">
        <f>IF(SUM(PE17,PI17)&gt;0,SUM(PE17,PI17),"")</f>
        <v/>
      </c>
      <c r="PY17" s="20" t="str">
        <f>IF(SUM(PD17:PE17,PG17:PI17,PK17)-PF17-PJ17&gt;0,SUM(PD17:PE17,PG17:PI17,PK17)-PF17-PJ17,"")</f>
        <v/>
      </c>
      <c r="PZ17" s="20" t="str">
        <f>IF(SUM(PL17:PM17,PO17)-PN17&gt;0,SUM(PL17:PM17,PO17)-PN17,"")</f>
        <v/>
      </c>
      <c r="QA17" s="20" t="str">
        <f>IF(SUM(PE17,PI17,PM17)&gt;0,SUM(PE17,PI17,PM17),"")</f>
        <v/>
      </c>
      <c r="QB17" s="20" t="str">
        <f>IF(SUM(PY17,PZ17)&gt;0,SUM(PY17,PZ17),"")</f>
        <v/>
      </c>
      <c r="QC17" s="20" t="str">
        <f>IF(SUM(PQ17,PU17)&gt;0,SUM(PQ17,PU17),"")</f>
        <v/>
      </c>
      <c r="QD17" s="20" t="str">
        <f>IF(SUM(PP17:PQ17,PS17:PU17,PW17)-SUM(PR17,PV17)&gt;0,SUM(PP17:PQ17,PS17:PU17,PW17)-SUM(PR17,PV17),"")</f>
        <v/>
      </c>
      <c r="QE17" s="20" t="str">
        <f>IF(SUM(PY17,QD17)&gt;0,SUM(PY17,QD17),"")</f>
        <v/>
      </c>
      <c r="QF17" s="38">
        <f>IF($CV17="P",CB17,(CB17+AY17)/2)</f>
        <v>9.1</v>
      </c>
      <c r="QG17" s="38">
        <f>IF($CV17="P",CC17,(CC17+AZ17)/2)</f>
        <v>1.8</v>
      </c>
      <c r="QH17" s="38">
        <f>IF($CV17="P",CD17,(CD17+BA17)/2)</f>
        <v>0.4</v>
      </c>
      <c r="QI17" s="38">
        <f>IF($CV17="P",CE17,(CE17+BB17)/2)</f>
        <v>0</v>
      </c>
      <c r="QJ17" s="38">
        <f>IF($CV17="P",CF17,(CF17+BC17)/2)</f>
        <v>8.3000000000000007</v>
      </c>
      <c r="QK17" s="38">
        <f>IF($CV17="P",CG17,(CG17+BD17)/2)</f>
        <v>1.75</v>
      </c>
      <c r="QL17" s="38">
        <f>IF($CV17="P",CH17,(CH17+BE17)/2)</f>
        <v>0</v>
      </c>
      <c r="QM17" s="38">
        <f>IF($CV17="P",CI17,(CI17+BF17)/2)</f>
        <v>0</v>
      </c>
      <c r="QN17" s="38">
        <f>IF($CV17="P",CJ17,(CJ17+BG17)/2)</f>
        <v>8.8000000000000007</v>
      </c>
      <c r="QO17" s="38">
        <f>IF($CV17="P",CK17,(CK17+BH17)/2)</f>
        <v>2.2000000000000002</v>
      </c>
      <c r="QP17" s="38">
        <f>IF($CV17="P",CL17,(CL17+BI17)/2)</f>
        <v>0.5</v>
      </c>
      <c r="QQ17" s="38">
        <f>IF($CV17="P",CM17,(CM17+BJ17)/2)</f>
        <v>0</v>
      </c>
      <c r="QR17" s="38">
        <f>IF($CV17="P",CN17,(CN17+BK17)/2)</f>
        <v>9.4499999999999993</v>
      </c>
      <c r="QS17" s="38">
        <f>IF($CV17="P",CO17,(CO17+BL17)/2)</f>
        <v>1.75</v>
      </c>
      <c r="QT17" s="38">
        <f>IF($CV17="P",CP17,(CP17+BM17)/2)</f>
        <v>0.1</v>
      </c>
      <c r="QU17" s="38">
        <f>IF($CV17="P",CQ17,(CQ17+BN17)/2)</f>
        <v>0</v>
      </c>
      <c r="QV17" s="38">
        <f>IF($CV17="P",CR17,(CR17+BO17)/2)</f>
        <v>9.1999999999999993</v>
      </c>
      <c r="QW17" s="38">
        <f>IF($CV17="P",CS17,(CS17+BP17)/2)</f>
        <v>2.2000000000000002</v>
      </c>
      <c r="QX17" s="38">
        <f>IF($CV17="P",CT17,(CT17+BQ17)/2)</f>
        <v>0.1</v>
      </c>
      <c r="QY17" s="38">
        <f>IF($CV17="P",CU17,(CU17+BR17)/2)</f>
        <v>0</v>
      </c>
      <c r="QZ17" s="45" t="s">
        <v>46</v>
      </c>
      <c r="RA17" s="79">
        <f>IF(SUM(QG17,QK17)&gt;0,SUM(QG17,QK17),"")</f>
        <v>3.55</v>
      </c>
      <c r="RB17" s="79">
        <f>IF(SUM(QF17:QG17,QI17:QK17,QM17)-QH17-QL17&gt;0,SUM(QF17:QG17,QI17:QK17,QM17)-QH17-QL17,"")</f>
        <v>20.550000000000004</v>
      </c>
      <c r="RC17" s="79">
        <f>IF(SUM(QN17:QO17,QQ17)-QP17&gt;0,SUM(QN17:QO17,QQ17)-QP17,"")</f>
        <v>10.5</v>
      </c>
      <c r="RD17" s="79">
        <f>IF(SUM(QG17,QK17,QO17)&gt;0,SUM(QG17,QK17,QO17),"")</f>
        <v>5.75</v>
      </c>
      <c r="RE17" s="79">
        <f>IF(SUM(RB17,RC17)&gt;0,SUM(RB17,RC17),"")</f>
        <v>31.050000000000004</v>
      </c>
      <c r="RF17" s="79">
        <f>IF(SUM(QS17,QW17)&gt;0,SUM(QS17,QW17),"")</f>
        <v>3.95</v>
      </c>
      <c r="RG17" s="79">
        <f>IF(SUM(QR17:QS17,QU17:QW17,QY17)-SUM(QT17,QX17)&gt;0,SUM(QR17:QS17,QU17:QW17,QY17)-SUM(QT17,QX17),"")</f>
        <v>22.4</v>
      </c>
      <c r="RH17" s="79">
        <f>IF(SUM(RB17,RG17)&gt;0,SUM(RB17,RG17),"")</f>
        <v>42.95</v>
      </c>
    </row>
    <row r="18" spans="1:476" x14ac:dyDescent="0.2">
      <c r="A18" s="5" t="str">
        <f>IF(AND(F18="P",G18="P"),SUMPRODUCT((F$4:F$22="P")*(G$4:G$22="P")*(E$4:E$22&gt;E18))+1,IF(G18="P",SUMPRODUCT((F$4:F$22="")*(G$4:G$22="P")*(E$4:E$22&gt;E18))+1+SUMPRODUCT((F$4:F$22="P")*(G$4:G$22="P")),""))</f>
        <v/>
      </c>
      <c r="B18" s="78" t="s">
        <v>92</v>
      </c>
      <c r="C18" s="5" t="s">
        <v>5</v>
      </c>
      <c r="D18" s="5">
        <v>2001</v>
      </c>
      <c r="E18" s="15">
        <f>SUM(I18:S18)+SUM(I18:O18)*0.0000001+SUM(I18)*0.0000000000001</f>
        <v>106.70000650000429</v>
      </c>
      <c r="F18" s="3" t="str">
        <f>IF(OR(AND(AQ18&gt;=AX$24,AR18&gt;=AX$28,AQ18&lt;&gt;"",AP18=""),AND(AV18&gt;=AX$24,AW18&gt;=AX$28,AV18&lt;&gt;"",AP18=""),AND(BT18&gt;=CA$24,BU18&gt;=CA$28,BT18&lt;&gt;"",BS18=""),AND(BY18&gt;=CA$24,BZ18&gt;=CA$28,BY18&lt;&gt;"",BS18=""),AND(CW18&gt;=DD$24,CX18&gt;=DD$28,CW18&lt;&gt;"",CV18=""),AND(DB18&gt;=DD$24,DC18&gt;=DD$28,DB18&lt;&gt;""),AND(EB18&gt;=EI$24,EC18&gt;=EI$28,EB18&lt;&gt;""),AND(EG18&gt;=EI$24,EH18&gt;=EI$28,EG18&lt;&gt;""),AND(FD18&gt;=FK$24,FE18&gt;=FK$28,FD18&lt;&gt;""),AND(FI18&gt;=FK$24,FJ18&gt;=FK$28,FI18&lt;&gt;""),AND(GF18&gt;=GM$24,GG18&gt;=GM$28,GF18&lt;&gt;""),AND(GK18&gt;=GM$24,GL18&gt;=GM$28,GK18&lt;&gt;""),AND(HH18&gt;=HO$24,HI18&gt;=HO$28,HH18&lt;&gt;""),AND(HM18&gt;=HO$24,HN18&gt;=HO$28,HM18&lt;&gt;""),AND(IJ18&gt;=IQ$24,IK18&gt;=IQ$28,IJ18&lt;&gt;""),AND(IO18&gt;=IQ$24,IP18&gt;=IQ$28,IO18&lt;&gt;""),AND(JL18&gt;=JS$24,JM18&gt;=JS$28,JL18&lt;&gt;""),AND(JQ18&gt;=JS$24,JR18&gt;=JS$28,JQ18&lt;&gt;""),AND(KN18&gt;=KU$24,KO18&gt;=KU$28,KN18&lt;&gt;""),AND(KS18&gt;=KU$24,KT18&gt;=KU$28,KS18&lt;&gt;""),AND(LP18&gt;=LW$24,LQ18&gt;=LW$28,LP18&lt;&gt;""),AND(LU18&gt;=LW$24,LV18&gt;=LW$28,LU18&lt;&gt;""),AND(MR18&gt;=MY$24,MS18&gt;=MY$28,MR18&lt;&gt;""),AND(MW18&gt;=MY$24,MX18&gt;=MY$28,MW18&lt;&gt;""),AND(NT18&gt;=OA$24,NU18&gt;=OA$28,NT18&lt;&gt;""),AND(NY18&gt;=OA$24,NZ18&gt;=OA$28,NY18&lt;&gt;""),AND(OV18&gt;=PC$24,OW18&gt;=PC$28,OV18&lt;&gt;""),AND(PA18&gt;=PC$24,PB18&gt;=PC$28,PA18&lt;&gt;""),AND(PX18&gt;=QE$24,PY18&gt;=QE$28,PX18&lt;&gt;""),AND(QC18&gt;=QE$24,QD18&gt;=QE$28,QC18&lt;&gt;"")),"P","")</f>
        <v/>
      </c>
      <c r="G18" s="3" t="str">
        <f>IF(OR(AND(AR18&gt;=AX$28,AR18&lt;&gt;"",AP18=""),AND(AW18&gt;=AX$28,AW18&lt;&gt;"",AP18=""),AND(BU18&gt;=CA$28,BU18&lt;&gt;"",BS18=""),AND(BZ18&gt;=CA$28,BZ18&lt;&gt;"",BS18=""),AND(CX18&gt;=DD$28,CX18&lt;&gt;"",CV18=""),AND(DC18&gt;=DD$28,DC18&lt;&gt;"",CV18=""),AND(EC18&gt;=EI$28,EC18&lt;&gt;""),AND(EH18&gt;=EI$28,EH18&lt;&gt;""),AND(FE18&gt;=FK$28,FE18&lt;&gt;""),AND(FJ18&gt;=FK$28,FJ18&lt;&gt;""),AND(GG18&gt;=GM$28,GG18&lt;&gt;""),AND(GL18&gt;=GM$28,GL18&lt;&gt;""),AND(HI18&gt;=HO$28,HI18&lt;&gt;""),AND(HN18&gt;=HO$28,HN18&lt;&gt;""),AND(IK18&gt;=IQ$28,IK18&lt;&gt;""),AND(IP18&gt;=IQ$28,IP18&lt;&gt;""),AND(JM18&gt;=JS$28,JM18&lt;&gt;""),AND(JR18&gt;=JS$28,JR18&lt;&gt;""),AND(KO18&gt;=KU$28,KO18&lt;&gt;""),AND(KT18&gt;=KU$28,KT18&lt;&gt;""),AND(LQ18&gt;=LW$28,LQ18&lt;&gt;""),AND(LV18&gt;=LW$28,LV18&lt;&gt;""),AND(MS18&gt;=MY$28,MS18&lt;&gt;""),AND(MX18&gt;=MY$28,MX18&lt;&gt;""),AND(NU18&gt;=OA$28,NU18&lt;&gt;""),AND(NZ18&gt;=OA$28,NZ18&lt;&gt;""),AND(OW18&gt;=PC$28,OW18&lt;&gt;""),AND(PB18&gt;=PC$28,PB18&lt;&gt;""),AND(PY18&gt;=QE$28,PY18&lt;&gt;""),AND(QD18&gt;=QE$28,QD18&lt;&gt;"")),"P","")</f>
        <v/>
      </c>
      <c r="H18" s="67" t="str">
        <f>IF(AND(G18="P",F18=""),"No DD",IF(OR(AND(AT18&gt;=AX$27,AU18&gt;=AX$31,AT18&lt;&gt;"",AP18=""),AND(BW18&gt;=CA$27,BX18&gt;=CA$31,BW18&lt;&gt;"",BS18=""),AND(CZ18&gt;=DD$27,DA18&gt;=DD$31,CZ18&lt;&gt;"",CV18=""),AND(EE18&gt;=EI$27,EF18&gt;=EI$31,EE18&lt;&gt;""),AND(FG18&gt;=FK$27,FH18&gt;=FK$31,FG18&lt;&gt;""),AND(GI18&gt;=GM$27,GJ18&gt;=GM$31,GI18&lt;&gt;""),AND(HK18&gt;=HO$27,HL18&gt;=HO$31,HK18&lt;&gt;""),AND(IM18&gt;=IQ$27,IN18&gt;=IQ$31,IM18&lt;&gt;""),AND(JO18&gt;=JS$27,JP18&gt;=JS$31,JO18&lt;&gt;""),AND(KQ18&gt;=KU$27,KR18&gt;=KU$31,KQ18&lt;&gt;""),AND(LS18&gt;=LW$27,LT18&gt;=LW$31,LS18&lt;&gt;""),AND(MU18&gt;=MY$27,MV18&gt;=MY$31,MU18&lt;&gt;""),AND(NW18&gt;=OA$27,NX18&gt;=OA$31,NW18&lt;&gt;""),AND(OY18&gt;=PC$27,OZ18&gt;=PC$31,OY18&lt;&gt;""),AND(QA18&gt;=QE$27,QB18&gt;=QE$31,QA18&lt;&gt;"")),"Merit",IF(OR(AND(AT18&gt;=AX$26,AU18&gt;=AX$30,AT18&lt;&gt;"",AP18=""),AND(BW18&gt;=CA$26,BX18&gt;=CA$30,BW18&lt;&gt;"",BS18=""),AND(CZ18&gt;=DD$26,DA18&gt;=DD$30,CZ18&lt;&gt;"",CV18=""),AND(EE18&gt;=EI$26,EF18&gt;=EI$30,EE18&lt;&gt;""),AND(FG18&gt;=FK$26,FH18&gt;=FK$30,FG18&lt;&gt;""),AND(GI18&gt;=GM$26,GJ18&gt;=GM$30,GI18&lt;&gt;""),AND(HK18&gt;=HO$26,HL18&gt;=HO$30,HK18&lt;&gt;""),AND(IM18&gt;=IQ$26,IN18&gt;=IQ$30,IM18&lt;&gt;""),AND(JO18&gt;=JS$26,JP18&gt;=JS$30,JO18&lt;&gt;""),AND(KQ18&gt;=KU$26,KR18&gt;=KU$30,KQ18&lt;&gt;""),AND(LS18&gt;=LW$26,LT18&gt;=LW$30,LS18&lt;&gt;""),AND(MU18&gt;=MY$26,MV18&gt;=MY$30,MU18&lt;&gt;""),AND(NW18&gt;=OA$26,NX18&gt;=OA$30,NW18&lt;&gt;""),AND(OY18&gt;=PC$26,OZ18&gt;=PC$30,OY18&lt;&gt;""),AND(QA18&gt;=QE$26,QB18&gt;=QE$30,QA18&lt;&gt;"")),"Excellence",IF(F18="P","National Team",""))))</f>
        <v/>
      </c>
      <c r="I18" s="14">
        <f>IF(COUNT(AR18,BU18,CX18)&gt;0,LARGE((AR18,BU18,CX18),1),0)</f>
        <v>42.800000000000011</v>
      </c>
      <c r="J18" s="14" t="str">
        <f>IF(I18=0,"",IF(I18=CX18,$CB$1,IF(I18=BU18,$AY$1,IF(I18=AR18,$V$1,""))))</f>
        <v>2022 Elite Canada</v>
      </c>
      <c r="K18" s="14">
        <f>IF(COUNT(AR18,BU18,CX18)&gt;1,LARGE((AR18,BU18,CX18),2),0)</f>
        <v>0</v>
      </c>
      <c r="L18" s="14" t="str">
        <f>IF(K18=0,"",IF(K18=CX18,$CB$1,IF(K18=BU18,$AY$1,IF(K18=AR18,$V$1,""))))</f>
        <v/>
      </c>
      <c r="M18" s="14">
        <f>IF(COUNT(AS18,BV18,CY18)&gt;0,LARGE((AS18,BV18,CY18),1),0)</f>
        <v>22.200000000000003</v>
      </c>
      <c r="N18" s="14" t="str">
        <f>IF(M18=0,"",IF(M18=CY18,$CB$1,IF(M18=BV18,$AY$1,IF(M18=AS18,$V$1,""))))</f>
        <v>2022 Elite Canada</v>
      </c>
      <c r="O18" s="14">
        <f>IF(COUNT(AS18,BV18,CY18)&gt;1,LARGE((AS18,BV18,CY18),2),0)</f>
        <v>0</v>
      </c>
      <c r="P18" s="14" t="str">
        <f>IF(O18=0,"",IF(O18=CY18,$CB$1,IF(O18=BV18,$AY$1,IF(O18=AS18,$V$1,""))))</f>
        <v/>
      </c>
      <c r="Q18" s="14">
        <f>IF(MAX(AW18,BZ18,DC18)&gt;0,MAX(AW18,BZ18,DC18),0)</f>
        <v>41.699999999999996</v>
      </c>
      <c r="R18" s="14" t="str">
        <f>IF(Q18=0,"",IF(Q18=DC18,$CB$1,IF(Q18=BZ18,$AY$1,IF(Q18=AW18,$V$1,""))))</f>
        <v>2022 Elite Canada</v>
      </c>
      <c r="S18" s="14" t="str">
        <f>IF(MAX(DE18:DG18)&gt;0,MAX(DE18:DG18),"")</f>
        <v/>
      </c>
      <c r="T18" s="20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45"/>
      <c r="AQ18" s="79" t="str">
        <f>IF(SUM(W18,AA18)&gt;0,SUM(W18,AA18),"")</f>
        <v/>
      </c>
      <c r="AR18" s="79" t="str">
        <f>IF(SUM(V18:W18,Y18:AA18,AC18)-X18-AB18&gt;0,SUM(V18:W18,Y18:AA18,AC18)-X18-AB18,"")</f>
        <v/>
      </c>
      <c r="AS18" s="79" t="str">
        <f>IF(SUM(AD18:AE18,AG18)-AF18&gt;0,SUM(AD18:AE18,AG18)-AF18,"")</f>
        <v/>
      </c>
      <c r="AT18" s="79" t="str">
        <f>IF(SUM(W18,AA18,AE18)&gt;0,SUM(W18,AA18,AE18),"")</f>
        <v/>
      </c>
      <c r="AU18" s="79" t="str">
        <f>IF(SUM(AR18,AS18)&gt;0,SUM(AR18,AS18),"")</f>
        <v/>
      </c>
      <c r="AV18" s="79" t="str">
        <f>IF(SUM(AI18,AM18)&gt;0,SUM(AI18,AM18),"")</f>
        <v/>
      </c>
      <c r="AW18" s="79" t="str">
        <f>IF(SUM(AH18:AI18,AK18:AM18,AO18)-SUM(AJ18,AN18)&gt;0,SUM(AH18:AI18,AK18:AM18,AO18)-SUM(AJ18,AN18),"")</f>
        <v/>
      </c>
      <c r="AX18" s="79" t="str">
        <f>IF(SUM(AR18,AW18)&gt;0,SUM(AR18,AW18),"")</f>
        <v/>
      </c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46"/>
      <c r="BT18" s="20" t="str">
        <f>IF(SUM(AZ18,BD18)&gt;0,SUM(AZ18,BD18),"")</f>
        <v/>
      </c>
      <c r="BU18" s="20" t="str">
        <f>IF(SUM(AY18:AZ18,BB18:BD18,BF18)-BA18-BE18&gt;0,SUM(AY18:AZ18,BB18:BD18,BF18)-BA18-BE18,"")</f>
        <v/>
      </c>
      <c r="BV18" s="20" t="str">
        <f>IF(SUM(BG18:BH18,BJ18)-BI18&gt;0,SUM(BG18:BH18,BJ18)-BI18,"")</f>
        <v/>
      </c>
      <c r="BW18" s="20" t="str">
        <f>IF(SUM(AZ18,BD18,BH18)&gt;0,SUM(AZ18,BD18,BH18),"")</f>
        <v/>
      </c>
      <c r="BX18" s="20" t="str">
        <f>IF(SUM(BU18,BV18)&gt;0,SUM(BU18,BV18),"")</f>
        <v/>
      </c>
      <c r="BY18" s="20" t="str">
        <f>IF(SUM(BL18,BP18)&gt;0,SUM(BL18,BP18),"")</f>
        <v/>
      </c>
      <c r="BZ18" s="20" t="str">
        <f>IF(SUM(BK18:BL18,BN18:BP18,BR18)-SUM(BM18,BQ18)&gt;0,SUM(BK18:BL18,BN18:BP18,BR18)-SUM(BM18,BQ18),"")</f>
        <v/>
      </c>
      <c r="CA18" s="20" t="str">
        <f>IF(SUM(BU18,BZ18)&gt;0,SUM(BU18,BZ18),"")</f>
        <v/>
      </c>
      <c r="CB18" s="27">
        <v>18.600000000000001</v>
      </c>
      <c r="CC18" s="27">
        <v>3</v>
      </c>
      <c r="CD18" s="27">
        <v>0</v>
      </c>
      <c r="CE18" s="27">
        <v>0</v>
      </c>
      <c r="CF18" s="27">
        <v>18.8</v>
      </c>
      <c r="CG18" s="27">
        <v>2.7</v>
      </c>
      <c r="CH18" s="27">
        <v>0.3</v>
      </c>
      <c r="CI18" s="27">
        <v>0</v>
      </c>
      <c r="CJ18" s="27">
        <v>18.600000000000001</v>
      </c>
      <c r="CK18" s="27">
        <v>3.6</v>
      </c>
      <c r="CL18" s="27">
        <v>0</v>
      </c>
      <c r="CM18" s="27">
        <v>0</v>
      </c>
      <c r="CN18" s="27">
        <v>17.2</v>
      </c>
      <c r="CO18" s="27">
        <v>2.4</v>
      </c>
      <c r="CP18" s="27">
        <v>0</v>
      </c>
      <c r="CQ18" s="27">
        <v>0</v>
      </c>
      <c r="CR18" s="27">
        <v>19</v>
      </c>
      <c r="CS18" s="27">
        <v>3.1</v>
      </c>
      <c r="CT18" s="27">
        <v>0</v>
      </c>
      <c r="CU18" s="27">
        <v>0</v>
      </c>
      <c r="CV18" s="45"/>
      <c r="CW18" s="79">
        <f>IF(SUM(CC18,CG18)&gt;0,SUM(CC18,CG18),"")</f>
        <v>5.7</v>
      </c>
      <c r="CX18" s="79">
        <f>IF(SUM(CB18:CC18,CE18:CG18,CI18)-CD18-CH18&gt;0,SUM(CB18:CC18,CE18:CG18,CI18)-CD18-CH18,"")</f>
        <v>42.800000000000011</v>
      </c>
      <c r="CY18" s="79">
        <f>IF(SUM(CJ18:CK18,CM18)-CL18&gt;0,SUM(CJ18:CK18,CM18)-CL18,"")</f>
        <v>22.200000000000003</v>
      </c>
      <c r="CZ18" s="79">
        <f>IF(SUM(CC18,CG18,CK18)&gt;0,SUM(CC18,CG18,CK18),"")</f>
        <v>9.3000000000000007</v>
      </c>
      <c r="DA18" s="79">
        <f>IF(SUM(CX18,CY18)&gt;0,SUM(CX18,CY18),"")</f>
        <v>65.000000000000014</v>
      </c>
      <c r="DB18" s="79">
        <f>IF(SUM(CO18,CS18)&gt;0,SUM(CO18,CS18),"")</f>
        <v>5.5</v>
      </c>
      <c r="DC18" s="79">
        <f>IF(SUM(CN18:CO18,CQ18:CS18,CU18)-SUM(CP18,CT18)&gt;0,SUM(CN18:CO18,CQ18:CS18,CU18)-SUM(CP18,CT18),"")</f>
        <v>41.699999999999996</v>
      </c>
      <c r="DD18" s="79">
        <f>IF(SUM(CX18,DC18)&gt;0,SUM(CX18,DC18),"")</f>
        <v>84.5</v>
      </c>
      <c r="DE18" s="80" t="str">
        <f>IF(K18&gt;=0.001,IF(MAX(EC18,FE18,GG18,HI18,IK18,JM18,KO18,LQ18,MS18,NU18,OW18,PY18)-IF(K18="",0,K18)&gt;0.001,MAX(EC18,FE18,GG18,HI18,IK18,JM18,KO18,LQ18,MS18,NU18,OW18,PY18)-IF(K18="",0,K18),""),"")</f>
        <v/>
      </c>
      <c r="DF18" s="80" t="str">
        <f>IF(O18&gt;=0.001,IF(MAX(ED18,FF18,GH18,HJ18,IL18,JN18,KP18,LR18,MT18,NV18,OX18,PZ18)-IF(O18="",0,O18)&gt;0.001,MAX(ED18,FF18,GH18,HJ18,IL18,JN18,KP18,LR18,MT18,NV18,OX18,PZ18)-IF(O18="",0,O18),""),"")</f>
        <v/>
      </c>
      <c r="DG18" s="80" t="str">
        <f>IF(Q18&gt;=0.001,IF(MAX(EH18,FJ18,GL18,HN18,IP18,JR18,KT18,LV18,MX18,NZ18,PB18,QD18)-IF(Q18="",0,Q18)&gt;0.001,MAX(EH18,FJ18,GL18,HN18,IP18,JR18,KT18,LV18,MX18,NZ18,PB18,QD18)-IF(Q18="",0,Q18),""),"")</f>
        <v/>
      </c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79" t="str">
        <f>IF(SUM(DI18,DM18)&gt;0,SUM(DI18,DM18),"")</f>
        <v/>
      </c>
      <c r="EC18" s="79" t="str">
        <f>IF(SUM(DH18:DI18,DK18:DM18,DO18)-DJ18-DN18&gt;0,SUM(DH18:DI18,DK18:DM18,DO18)-DJ18-DN18,"")</f>
        <v/>
      </c>
      <c r="ED18" s="79" t="str">
        <f>IF(SUM(DP18:DQ18,DS18)-DR18&gt;0,SUM(DP18:DQ18,DS18)-DR18,"")</f>
        <v/>
      </c>
      <c r="EE18" s="79" t="str">
        <f>IF(SUM(DI18,DM18,DQ18)&gt;0,SUM(DI18,DM18,DQ18),"")</f>
        <v/>
      </c>
      <c r="EF18" s="79" t="str">
        <f>IF(SUM(EC18,ED18)&gt;0,SUM(EC18,ED18),"")</f>
        <v/>
      </c>
      <c r="EG18" s="79" t="str">
        <f>IF(SUM(DU18,DY18)&gt;0,SUM(DU18,DY18),"")</f>
        <v/>
      </c>
      <c r="EH18" s="79" t="str">
        <f>IF(SUM(DT18:DU18,DW18:DY18,EA18)-SUM(DV18,DZ18)&gt;0,SUM(DT18:DU18,DW18:DY18,EA18)-SUM(DV18,DZ18),"")</f>
        <v/>
      </c>
      <c r="EI18" s="79" t="str">
        <f>IF(SUM(EC18,EH18)&gt;0,SUM(EC18,EH18),"")</f>
        <v/>
      </c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0" t="str">
        <f>IF(SUM(EK18,EO18)&gt;0,SUM(EK18,EO18),"")</f>
        <v/>
      </c>
      <c r="FE18" s="20" t="str">
        <f>IF(SUM(EJ18:EK18,EM18:EO18,EQ18)-EL18-EP18&gt;0,SUM(EJ18:EK18,EM18:EO18,EQ18)-EL18-EP18,"")</f>
        <v/>
      </c>
      <c r="FF18" s="20" t="str">
        <f>IF(SUM(ER18:ES18,EU18)-ET18&gt;0,SUM(ER18:ES18,EU18)-ET18,"")</f>
        <v/>
      </c>
      <c r="FG18" s="20" t="str">
        <f>IF(SUM(EK18,EO18,ES18)&gt;0,SUM(EK18,EO18,ES18),"")</f>
        <v/>
      </c>
      <c r="FH18" s="20" t="str">
        <f>IF(SUM(FE18,FF18)&gt;0,SUM(FE18,FF18),"")</f>
        <v/>
      </c>
      <c r="FI18" s="20" t="str">
        <f>IF(SUM(EW18,FA18)&gt;0,SUM(EW18,FA18),"")</f>
        <v/>
      </c>
      <c r="FJ18" s="20" t="str">
        <f>IF(SUM(EV18:EW18,EY18:FA18,FC18)-SUM(EX18,FB18)&gt;0,SUM(EV18:EW18,EY18:FA18,FC18)-SUM(EX18,FB18),"")</f>
        <v/>
      </c>
      <c r="FK18" s="20" t="str">
        <f>IF(SUM(FE18,FJ18)&gt;0,SUM(FE18,FJ18),"")</f>
        <v/>
      </c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79" t="str">
        <f>IF(SUM(FM18,FQ18)&gt;0,SUM(FM18,FQ18),"")</f>
        <v/>
      </c>
      <c r="GG18" s="79" t="str">
        <f>IF(SUM(FL18:FM18,FO18:FQ18,FS18)-FN18-FR18&gt;0,SUM(FL18:FM18,FO18:FQ18,FS18)-FN18-FR18,"")</f>
        <v/>
      </c>
      <c r="GH18" s="79" t="str">
        <f>IF(SUM(FT18:FU18,FW18)-FV18&gt;0,SUM(FT18:FU18,FW18)-FV18,"")</f>
        <v/>
      </c>
      <c r="GI18" s="79" t="str">
        <f>IF(SUM(FM18,FQ18,FU18)&gt;0,SUM(FM18,FQ18,FU18),"")</f>
        <v/>
      </c>
      <c r="GJ18" s="79" t="str">
        <f>IF(SUM(GG18,GH18)&gt;0,SUM(GG18,GH18),"")</f>
        <v/>
      </c>
      <c r="GK18" s="79" t="str">
        <f>IF(SUM(FY18,GC18)&gt;0,SUM(FY18,GC18),"")</f>
        <v/>
      </c>
      <c r="GL18" s="79" t="str">
        <f>IF(SUM(FX18:FY18,GA18:GC18,GE18)-SUM(FZ18,GD18)&gt;0,SUM(FX18:FY18,GA18:GC18,GE18)-SUM(FZ18,GD18),"")</f>
        <v/>
      </c>
      <c r="GM18" s="79" t="str">
        <f>IF(SUM(GG18,GL18)&gt;0,SUM(GG18,GL18),"")</f>
        <v/>
      </c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0" t="str">
        <f>IF(SUM(GO18,GS18)&gt;0,SUM(GO18,GS18),"")</f>
        <v/>
      </c>
      <c r="HI18" s="20" t="str">
        <f>IF(SUM(GN18:GO18,GQ18:GS18,GU18)-GP18-GT18&gt;0,SUM(GN18:GO18,GQ18:GS18,GU18)-GP18-GT18,"")</f>
        <v/>
      </c>
      <c r="HJ18" s="20" t="str">
        <f>IF(SUM(GV18:GW18,GY18)-GX18&gt;0,SUM(GV18:GW18,GY18)-GX18,"")</f>
        <v/>
      </c>
      <c r="HK18" s="20" t="str">
        <f>IF(SUM(GO18,GS18,GW18)&gt;0,SUM(GO18,GS18,GW18),"")</f>
        <v/>
      </c>
      <c r="HL18" s="20" t="str">
        <f>IF(SUM(HI18,HJ18)&gt;0,SUM(HI18,HJ18),"")</f>
        <v/>
      </c>
      <c r="HM18" s="20" t="str">
        <f>IF(SUM(HA18,HE18)&gt;0,SUM(HA18,HE18),"")</f>
        <v/>
      </c>
      <c r="HN18" s="20" t="str">
        <f>IF(SUM(GZ18:HA18,HC18:HE18,HG18)-SUM(HB18,HF18)&gt;0,SUM(GZ18:HA18,HC18:HE18,HG18)-SUM(HB18,HF18),"")</f>
        <v/>
      </c>
      <c r="HO18" s="20" t="str">
        <f>IF(SUM(HI18,HN18)&gt;0,SUM(HI18,HN18),"")</f>
        <v/>
      </c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79" t="str">
        <f>IF(SUM(HQ18,HU18)&gt;0,SUM(HQ18,HU18),"")</f>
        <v/>
      </c>
      <c r="IK18" s="79" t="str">
        <f>IF(SUM(HP18:HQ18,HS18:HU18,HW18)-HR18-HV18&gt;0,SUM(HP18:HQ18,HS18:HU18,HW18)-HR18-HV18,"")</f>
        <v/>
      </c>
      <c r="IL18" s="79" t="str">
        <f>IF(SUM(HX18:HY18,IA18)-HZ18&gt;0,SUM(HX18:HY18,IA18)-HZ18,"")</f>
        <v/>
      </c>
      <c r="IM18" s="79" t="str">
        <f>IF(SUM(HQ18,HU18,HY18)&gt;0,SUM(HQ18,HU18,HY18),"")</f>
        <v/>
      </c>
      <c r="IN18" s="79" t="str">
        <f>IF(SUM(IK18,IL18)&gt;0,SUM(IK18,IL18),"")</f>
        <v/>
      </c>
      <c r="IO18" s="79" t="str">
        <f>IF(SUM(IC18,IG18)&gt;0,SUM(IC18,IG18),"")</f>
        <v/>
      </c>
      <c r="IP18" s="79" t="str">
        <f>IF(SUM(IB18:IC18,IE18:IG18,II18)-SUM(ID18,IH18)&gt;0,SUM(IB18:IC18,IE18:IG18,II18)-SUM(ID18,IH18),"")</f>
        <v/>
      </c>
      <c r="IQ18" s="79" t="str">
        <f>IF(SUM(IK18,IP18)&gt;0,SUM(IK18,IP18),"")</f>
        <v/>
      </c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0" t="str">
        <f>IF(SUM(IS18,IW18)&gt;0,SUM(IS18,IW18),"")</f>
        <v/>
      </c>
      <c r="JM18" s="20" t="str">
        <f>IF(SUM(IR18:IS18,IU18:IW18,IY18)-IT18-IX18&gt;0,SUM(IR18:IS18,IU18:IW18,IY18)-IT18-IX18,"")</f>
        <v/>
      </c>
      <c r="JN18" s="20" t="str">
        <f>IF(SUM(IZ18:JA18,JC18)-JB18&gt;0,SUM(IZ18:JA18,JC18)-JB18,"")</f>
        <v/>
      </c>
      <c r="JO18" s="20" t="str">
        <f>IF(SUM(IS18,IW18,JA18)&gt;0,SUM(IS18,IW18,JA18),"")</f>
        <v/>
      </c>
      <c r="JP18" s="20" t="str">
        <f>IF(SUM(JM18,JN18)&gt;0,SUM(JM18,JN18),"")</f>
        <v/>
      </c>
      <c r="JQ18" s="20" t="str">
        <f>IF(SUM(JE18,JI18)&gt;0,SUM(JE18,JI18),"")</f>
        <v/>
      </c>
      <c r="JR18" s="20" t="str">
        <f>IF(SUM(JD18:JE18,JG18:JI18,JK18)-SUM(JF18,JJ18)&gt;0,SUM(JD18:JE18,JG18:JI18,JK18)-SUM(JF18,JJ18),"")</f>
        <v/>
      </c>
      <c r="JS18" s="20" t="str">
        <f>IF(SUM(JM18,JR18)&gt;0,SUM(JM18,JR18),"")</f>
        <v/>
      </c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79" t="str">
        <f>IF(SUM(JU18,JY18)&gt;0,SUM(JU18,JY18),"")</f>
        <v/>
      </c>
      <c r="KO18" s="79" t="str">
        <f>IF(SUM(JT18:JU18,JW18:JY18,KA18)-JV18-JZ18&gt;0,SUM(JT18:JU18,JW18:JY18,KA18)-JV18-JZ18,"")</f>
        <v/>
      </c>
      <c r="KP18" s="79" t="str">
        <f>IF(SUM(KB18:KC18,KE18)-KD18&gt;0,SUM(KB18:KC18,KE18)-KD18,"")</f>
        <v/>
      </c>
      <c r="KQ18" s="79" t="str">
        <f>IF(SUM(JU18,JY18,KC18)&gt;0,SUM(JU18,JY18,KC18),"")</f>
        <v/>
      </c>
      <c r="KR18" s="79" t="str">
        <f>IF(SUM(KO18,KP18)&gt;0,SUM(KO18,KP18),"")</f>
        <v/>
      </c>
      <c r="KS18" s="79" t="str">
        <f>IF(SUM(KG18,KK18)&gt;0,SUM(KG18,KK18),"")</f>
        <v/>
      </c>
      <c r="KT18" s="79" t="str">
        <f>IF(SUM(KF18:KG18,KI18:KK18,KM18)-SUM(KH18,KL18)&gt;0,SUM(KF18:KG18,KI18:KK18,KM18)-SUM(KH18,KL18),"")</f>
        <v/>
      </c>
      <c r="KU18" s="79" t="str">
        <f>IF(SUM(KO18,KT18)&gt;0,SUM(KO18,KT18),"")</f>
        <v/>
      </c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0" t="str">
        <f>IF(SUM(KW18,LA18)&gt;0,SUM(KW18,LA18),"")</f>
        <v/>
      </c>
      <c r="LQ18" s="20" t="str">
        <f>IF(SUM(KV18:KW18,KY18:LA18,LC18)-KX18-LB18&gt;0,SUM(KV18:KW18,KY18:LA18,LC18)-KX18-LB18,"")</f>
        <v/>
      </c>
      <c r="LR18" s="20" t="str">
        <f>IF(SUM(LD18:LE18,LG18)-LF18&gt;0,SUM(LD18:LE18,LG18)-LF18,"")</f>
        <v/>
      </c>
      <c r="LS18" s="20" t="str">
        <f>IF(SUM(KW18,LA18,LE18)&gt;0,SUM(KW18,LA18,LE18),"")</f>
        <v/>
      </c>
      <c r="LT18" s="20" t="str">
        <f>IF(SUM(LQ18,LR18)&gt;0,SUM(LQ18,LR18),"")</f>
        <v/>
      </c>
      <c r="LU18" s="20" t="str">
        <f>IF(SUM(LI18,LM18)&gt;0,SUM(LI18,LM18),"")</f>
        <v/>
      </c>
      <c r="LV18" s="20" t="str">
        <f>IF(SUM(LH18:LI18,LK18:LM18,LO18)-SUM(LJ18,LN18)&gt;0,SUM(LH18:LI18,LK18:LM18,LO18)-SUM(LJ18,LN18),"")</f>
        <v/>
      </c>
      <c r="LW18" s="20" t="str">
        <f>IF(SUM(LQ18,LV18)&gt;0,SUM(LQ18,LV18),"")</f>
        <v/>
      </c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79" t="str">
        <f>IF(SUM(LY18,MC18)&gt;0,SUM(LY18,MC18),"")</f>
        <v/>
      </c>
      <c r="MS18" s="79" t="str">
        <f>IF(SUM(LX18:LY18,MA18:MC18,ME18)-LZ18-MD18&gt;0,SUM(LX18:LY18,MA18:MC18,ME18)-LZ18-MD18,"")</f>
        <v/>
      </c>
      <c r="MT18" s="79" t="str">
        <f>IF(SUM(MF18:MG18,MI18)-MH18&gt;0,SUM(MF18:MG18,MI18)-MH18,"")</f>
        <v/>
      </c>
      <c r="MU18" s="79" t="str">
        <f>IF(SUM(LY18,MC18,MG18)&gt;0,SUM(LY18,MC18,MG18),"")</f>
        <v/>
      </c>
      <c r="MV18" s="79" t="str">
        <f>IF(SUM(MS18,MT18)&gt;0,SUM(MS18,MT18),"")</f>
        <v/>
      </c>
      <c r="MW18" s="79" t="str">
        <f>IF(SUM(MK18,MO18)&gt;0,SUM(MK18,MO18),"")</f>
        <v/>
      </c>
      <c r="MX18" s="79" t="str">
        <f>IF(SUM(MJ18:MK18,MM18:MO18,MQ18)-SUM(ML18,MP18)&gt;0,SUM(MJ18:MK18,MM18:MO18,MQ18)-SUM(ML18,MP18),"")</f>
        <v/>
      </c>
      <c r="MY18" s="79" t="str">
        <f>IF(SUM(MS18,MX18)&gt;0,SUM(MS18,MX18),"")</f>
        <v/>
      </c>
      <c r="MZ18" s="26"/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0" t="str">
        <f>IF(SUM(NA18,NE18)&gt;0,SUM(NA18,NE18),"")</f>
        <v/>
      </c>
      <c r="NU18" s="20" t="str">
        <f>IF(SUM(MZ18:NA18,NC18:NE18,NG18)-NB18-NF18&gt;0,SUM(MZ18:NA18,NC18:NE18,NG18)-NB18-NF18,"")</f>
        <v/>
      </c>
      <c r="NV18" s="20" t="str">
        <f>IF(SUM(NH18:NI18,NK18)-NJ18&gt;0,SUM(NH18:NI18,NK18)-NJ18,"")</f>
        <v/>
      </c>
      <c r="NW18" s="20" t="str">
        <f>IF(SUM(NA18,NE18,NI18)&gt;0,SUM(NA18,NE18,NI18),"")</f>
        <v/>
      </c>
      <c r="NX18" s="20" t="str">
        <f>IF(SUM(NU18,NV18)&gt;0,SUM(NU18,NV18),"")</f>
        <v/>
      </c>
      <c r="NY18" s="20" t="str">
        <f>IF(SUM(NM18,NQ18)&gt;0,SUM(NM18,NQ18),"")</f>
        <v/>
      </c>
      <c r="NZ18" s="20" t="str">
        <f>IF(SUM(NL18:NM18,NO18:NQ18,NS18)-SUM(NN18,NR18)&gt;0,SUM(NL18:NM18,NO18:NQ18,NS18)-SUM(NN18,NR18),"")</f>
        <v/>
      </c>
      <c r="OA18" s="20" t="str">
        <f>IF(SUM(NU18,NZ18)&gt;0,SUM(NU18,NZ18),"")</f>
        <v/>
      </c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79" t="str">
        <f>IF(SUM(OC18,OG18)&gt;0,SUM(OC18,OG18),"")</f>
        <v/>
      </c>
      <c r="OW18" s="79" t="str">
        <f>IF(SUM(OB18:OC18,OE18:OG18,OI18)-OD18-OH18&gt;0,SUM(OB18:OC18,OE18:OG18,OI18)-OD18-OH18,"")</f>
        <v/>
      </c>
      <c r="OX18" s="79" t="str">
        <f>IF(SUM(OJ18:OK18,OM18)-OL18&gt;0,SUM(OJ18:OK18,OM18)-OL18,"")</f>
        <v/>
      </c>
      <c r="OY18" s="79" t="str">
        <f>IF(SUM(OC18,OG18,OK18)&gt;0,SUM(OC18,OG18,OK18),"")</f>
        <v/>
      </c>
      <c r="OZ18" s="79" t="str">
        <f>IF(SUM(OW18,OX18)&gt;0,SUM(OW18,OX18),"")</f>
        <v/>
      </c>
      <c r="PA18" s="79" t="str">
        <f>IF(SUM(OO18,OS18)&gt;0,SUM(OO18,OS18),"")</f>
        <v/>
      </c>
      <c r="PB18" s="79" t="str">
        <f>IF(SUM(ON18:OO18,OQ18:OS18,OU18)-SUM(OP18,OT18)&gt;0,SUM(ON18:OO18,OQ18:OS18,OU18)-SUM(OP18,OT18),"")</f>
        <v/>
      </c>
      <c r="PC18" s="79" t="str">
        <f>IF(SUM(OW18,PB18)&gt;0,SUM(OW18,PB18),"")</f>
        <v/>
      </c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0" t="str">
        <f>IF(SUM(PE18,PI18)&gt;0,SUM(PE18,PI18),"")</f>
        <v/>
      </c>
      <c r="PY18" s="20" t="str">
        <f>IF(SUM(PD18:PE18,PG18:PI18,PK18)-PF18-PJ18&gt;0,SUM(PD18:PE18,PG18:PI18,PK18)-PF18-PJ18,"")</f>
        <v/>
      </c>
      <c r="PZ18" s="20" t="str">
        <f>IF(SUM(PL18:PM18,PO18)-PN18&gt;0,SUM(PL18:PM18,PO18)-PN18,"")</f>
        <v/>
      </c>
      <c r="QA18" s="20" t="str">
        <f>IF(SUM(PE18,PI18,PM18)&gt;0,SUM(PE18,PI18,PM18),"")</f>
        <v/>
      </c>
      <c r="QB18" s="20" t="str">
        <f>IF(SUM(PY18,PZ18)&gt;0,SUM(PY18,PZ18),"")</f>
        <v/>
      </c>
      <c r="QC18" s="20" t="str">
        <f>IF(SUM(PQ18,PU18)&gt;0,SUM(PQ18,PU18),"")</f>
        <v/>
      </c>
      <c r="QD18" s="20" t="str">
        <f>IF(SUM(PP18:PQ18,PS18:PU18,PW18)-SUM(PR18,PV18)&gt;0,SUM(PP18:PQ18,PS18:PU18,PW18)-SUM(PR18,PV18),"")</f>
        <v/>
      </c>
      <c r="QE18" s="20" t="str">
        <f>IF(SUM(PY18,QD18)&gt;0,SUM(PY18,QD18),"")</f>
        <v/>
      </c>
      <c r="QF18" s="38">
        <f>IF($CV18="P",CB18,(CB18+AY18)/2)</f>
        <v>9.3000000000000007</v>
      </c>
      <c r="QG18" s="38">
        <f>IF($CV18="P",CC18,(CC18+AZ18)/2)</f>
        <v>1.5</v>
      </c>
      <c r="QH18" s="38">
        <f>IF($CV18="P",CD18,(CD18+BA18)/2)</f>
        <v>0</v>
      </c>
      <c r="QI18" s="38">
        <f>IF($CV18="P",CE18,(CE18+BB18)/2)</f>
        <v>0</v>
      </c>
      <c r="QJ18" s="38">
        <f>IF($CV18="P",CF18,(CF18+BC18)/2)</f>
        <v>9.4</v>
      </c>
      <c r="QK18" s="38">
        <f>IF($CV18="P",CG18,(CG18+BD18)/2)</f>
        <v>1.35</v>
      </c>
      <c r="QL18" s="38">
        <f>IF($CV18="P",CH18,(CH18+BE18)/2)</f>
        <v>0.15</v>
      </c>
      <c r="QM18" s="38">
        <f>IF($CV18="P",CI18,(CI18+BF18)/2)</f>
        <v>0</v>
      </c>
      <c r="QN18" s="38">
        <f>IF($CV18="P",CJ18,(CJ18+BG18)/2)</f>
        <v>9.3000000000000007</v>
      </c>
      <c r="QO18" s="38">
        <f>IF($CV18="P",CK18,(CK18+BH18)/2)</f>
        <v>1.8</v>
      </c>
      <c r="QP18" s="38">
        <f>IF($CV18="P",CL18,(CL18+BI18)/2)</f>
        <v>0</v>
      </c>
      <c r="QQ18" s="38">
        <f>IF($CV18="P",CM18,(CM18+BJ18)/2)</f>
        <v>0</v>
      </c>
      <c r="QR18" s="38">
        <f>IF($CV18="P",CN18,(CN18+BK18)/2)</f>
        <v>8.6</v>
      </c>
      <c r="QS18" s="38">
        <f>IF($CV18="P",CO18,(CO18+BL18)/2)</f>
        <v>1.2</v>
      </c>
      <c r="QT18" s="38">
        <f>IF($CV18="P",CP18,(CP18+BM18)/2)</f>
        <v>0</v>
      </c>
      <c r="QU18" s="38">
        <f>IF($CV18="P",CQ18,(CQ18+BN18)/2)</f>
        <v>0</v>
      </c>
      <c r="QV18" s="38">
        <f>IF($CV18="P",CR18,(CR18+BO18)/2)</f>
        <v>9.5</v>
      </c>
      <c r="QW18" s="38">
        <f>IF($CV18="P",CS18,(CS18+BP18)/2)</f>
        <v>1.55</v>
      </c>
      <c r="QX18" s="38">
        <f>IF($CV18="P",CT18,(CT18+BQ18)/2)</f>
        <v>0</v>
      </c>
      <c r="QY18" s="38">
        <f>IF($CV18="P",CU18,(CU18+BR18)/2)</f>
        <v>0</v>
      </c>
      <c r="QZ18" s="45" t="s">
        <v>46</v>
      </c>
      <c r="RA18" s="79">
        <f>IF(SUM(QG18,QK18)&gt;0,SUM(QG18,QK18),"")</f>
        <v>2.85</v>
      </c>
      <c r="RB18" s="79">
        <f>IF(SUM(QF18:QG18,QI18:QK18,QM18)-QH18-QL18&gt;0,SUM(QF18:QG18,QI18:QK18,QM18)-QH18-QL18,"")</f>
        <v>21.400000000000006</v>
      </c>
      <c r="RC18" s="79">
        <f>IF(SUM(QN18:QO18,QQ18)-QP18&gt;0,SUM(QN18:QO18,QQ18)-QP18,"")</f>
        <v>11.100000000000001</v>
      </c>
      <c r="RD18" s="79">
        <f>IF(SUM(QG18,QK18,QO18)&gt;0,SUM(QG18,QK18,QO18),"")</f>
        <v>4.6500000000000004</v>
      </c>
      <c r="RE18" s="79">
        <f>IF(SUM(RB18,RC18)&gt;0,SUM(RB18,RC18),"")</f>
        <v>32.500000000000007</v>
      </c>
      <c r="RF18" s="79">
        <f>IF(SUM(QS18,QW18)&gt;0,SUM(QS18,QW18),"")</f>
        <v>2.75</v>
      </c>
      <c r="RG18" s="79">
        <f>IF(SUM(QR18:QS18,QU18:QW18,QY18)-SUM(QT18,QX18)&gt;0,SUM(QR18:QS18,QU18:QW18,QY18)-SUM(QT18,QX18),"")</f>
        <v>20.849999999999998</v>
      </c>
      <c r="RH18" s="79">
        <f>IF(SUM(RB18,RG18)&gt;0,SUM(RB18,RG18),"")</f>
        <v>42.25</v>
      </c>
    </row>
    <row r="19" spans="1:476" x14ac:dyDescent="0.2">
      <c r="A19" s="5" t="str">
        <f>IF(AND(F19="P",G19="P"),SUMPRODUCT((F$4:F$22="P")*(G$4:G$22="P")*(E$4:E$22&gt;E19))+1,IF(G19="P",SUMPRODUCT((F$4:F$22="")*(G$4:G$22="P")*(E$4:E$22&gt;E19))+1+SUMPRODUCT((F$4:F$22="P")*(G$4:G$22="P")),""))</f>
        <v/>
      </c>
      <c r="B19" s="78" t="s">
        <v>116</v>
      </c>
      <c r="C19" s="5" t="s">
        <v>6</v>
      </c>
      <c r="D19" s="5">
        <v>2003</v>
      </c>
      <c r="E19" s="15">
        <f>SUM(I19:S19)+SUM(I19:O19)*0.0000001+SUM(I19)*0.0000000000001</f>
        <v>64.500006450004193</v>
      </c>
      <c r="F19" s="3" t="str">
        <f>IF(OR(AND(AQ19&gt;=AX$24,AR19&gt;=AX$28,AQ19&lt;&gt;"",AP19=""),AND(AV19&gt;=AX$24,AW19&gt;=AX$28,AV19&lt;&gt;"",AP19=""),AND(BT19&gt;=CA$24,BU19&gt;=CA$28,BT19&lt;&gt;"",BS19=""),AND(BY19&gt;=CA$24,BZ19&gt;=CA$28,BY19&lt;&gt;"",BS19=""),AND(CW19&gt;=DD$24,CX19&gt;=DD$28,CW19&lt;&gt;"",CV19=""),AND(DB19&gt;=DD$24,DC19&gt;=DD$28,DB19&lt;&gt;""),AND(EB19&gt;=EI$24,EC19&gt;=EI$28,EB19&lt;&gt;""),AND(EG19&gt;=EI$24,EH19&gt;=EI$28,EG19&lt;&gt;""),AND(FD19&gt;=FK$24,FE19&gt;=FK$28,FD19&lt;&gt;""),AND(FI19&gt;=FK$24,FJ19&gt;=FK$28,FI19&lt;&gt;""),AND(GF19&gt;=GM$24,GG19&gt;=GM$28,GF19&lt;&gt;""),AND(GK19&gt;=GM$24,GL19&gt;=GM$28,GK19&lt;&gt;""),AND(HH19&gt;=HO$24,HI19&gt;=HO$28,HH19&lt;&gt;""),AND(HM19&gt;=HO$24,HN19&gt;=HO$28,HM19&lt;&gt;""),AND(IJ19&gt;=IQ$24,IK19&gt;=IQ$28,IJ19&lt;&gt;""),AND(IO19&gt;=IQ$24,IP19&gt;=IQ$28,IO19&lt;&gt;""),AND(JL19&gt;=JS$24,JM19&gt;=JS$28,JL19&lt;&gt;""),AND(JQ19&gt;=JS$24,JR19&gt;=JS$28,JQ19&lt;&gt;""),AND(KN19&gt;=KU$24,KO19&gt;=KU$28,KN19&lt;&gt;""),AND(KS19&gt;=KU$24,KT19&gt;=KU$28,KS19&lt;&gt;""),AND(LP19&gt;=LW$24,LQ19&gt;=LW$28,LP19&lt;&gt;""),AND(LU19&gt;=LW$24,LV19&gt;=LW$28,LU19&lt;&gt;""),AND(MR19&gt;=MY$24,MS19&gt;=MY$28,MR19&lt;&gt;""),AND(MW19&gt;=MY$24,MX19&gt;=MY$28,MW19&lt;&gt;""),AND(NT19&gt;=OA$24,NU19&gt;=OA$28,NT19&lt;&gt;""),AND(NY19&gt;=OA$24,NZ19&gt;=OA$28,NY19&lt;&gt;""),AND(OV19&gt;=PC$24,OW19&gt;=PC$28,OV19&lt;&gt;""),AND(PA19&gt;=PC$24,PB19&gt;=PC$28,PA19&lt;&gt;""),AND(PX19&gt;=QE$24,PY19&gt;=QE$28,PX19&lt;&gt;""),AND(QC19&gt;=QE$24,QD19&gt;=QE$28,QC19&lt;&gt;"")),"P","")</f>
        <v/>
      </c>
      <c r="G19" s="3" t="str">
        <f>IF(OR(AND(AR19&gt;=AX$28,AR19&lt;&gt;"",AP19=""),AND(AW19&gt;=AX$28,AW19&lt;&gt;"",AP19=""),AND(BU19&gt;=CA$28,BU19&lt;&gt;"",BS19=""),AND(BZ19&gt;=CA$28,BZ19&lt;&gt;"",BS19=""),AND(CX19&gt;=DD$28,CX19&lt;&gt;"",CV19=""),AND(DC19&gt;=DD$28,DC19&lt;&gt;"",CV19=""),AND(EC19&gt;=EI$28,EC19&lt;&gt;""),AND(EH19&gt;=EI$28,EH19&lt;&gt;""),AND(FE19&gt;=FK$28,FE19&lt;&gt;""),AND(FJ19&gt;=FK$28,FJ19&lt;&gt;""),AND(GG19&gt;=GM$28,GG19&lt;&gt;""),AND(GL19&gt;=GM$28,GL19&lt;&gt;""),AND(HI19&gt;=HO$28,HI19&lt;&gt;""),AND(HN19&gt;=HO$28,HN19&lt;&gt;""),AND(IK19&gt;=IQ$28,IK19&lt;&gt;""),AND(IP19&gt;=IQ$28,IP19&lt;&gt;""),AND(JM19&gt;=JS$28,JM19&lt;&gt;""),AND(JR19&gt;=JS$28,JR19&lt;&gt;""),AND(KO19&gt;=KU$28,KO19&lt;&gt;""),AND(KT19&gt;=KU$28,KT19&lt;&gt;""),AND(LQ19&gt;=LW$28,LQ19&lt;&gt;""),AND(LV19&gt;=LW$28,LV19&lt;&gt;""),AND(MS19&gt;=MY$28,MS19&lt;&gt;""),AND(MX19&gt;=MY$28,MX19&lt;&gt;""),AND(NU19&gt;=OA$28,NU19&lt;&gt;""),AND(NZ19&gt;=OA$28,NZ19&lt;&gt;""),AND(OW19&gt;=PC$28,OW19&lt;&gt;""),AND(PB19&gt;=PC$28,PB19&lt;&gt;""),AND(PY19&gt;=QE$28,PY19&lt;&gt;""),AND(QD19&gt;=QE$28,QD19&lt;&gt;"")),"P","")</f>
        <v/>
      </c>
      <c r="H19" s="67" t="str">
        <f>IF(AND(G19="P",F19=""),"No DD",IF(OR(AND(AT19&gt;=AX$27,AU19&gt;=AX$31,AT19&lt;&gt;"",AP19=""),AND(BW19&gt;=CA$27,BX19&gt;=CA$31,BW19&lt;&gt;"",BS19=""),AND(CZ19&gt;=DD$27,DA19&gt;=DD$31,CZ19&lt;&gt;"",CV19=""),AND(EE19&gt;=EI$27,EF19&gt;=EI$31,EE19&lt;&gt;""),AND(FG19&gt;=FK$27,FH19&gt;=FK$31,FG19&lt;&gt;""),AND(GI19&gt;=GM$27,GJ19&gt;=GM$31,GI19&lt;&gt;""),AND(HK19&gt;=HO$27,HL19&gt;=HO$31,HK19&lt;&gt;""),AND(IM19&gt;=IQ$27,IN19&gt;=IQ$31,IM19&lt;&gt;""),AND(JO19&gt;=JS$27,JP19&gt;=JS$31,JO19&lt;&gt;""),AND(KQ19&gt;=KU$27,KR19&gt;=KU$31,KQ19&lt;&gt;""),AND(LS19&gt;=LW$27,LT19&gt;=LW$31,LS19&lt;&gt;""),AND(MU19&gt;=MY$27,MV19&gt;=MY$31,MU19&lt;&gt;""),AND(NW19&gt;=OA$27,NX19&gt;=OA$31,NW19&lt;&gt;""),AND(OY19&gt;=PC$27,OZ19&gt;=PC$31,OY19&lt;&gt;""),AND(QA19&gt;=QE$27,QB19&gt;=QE$31,QA19&lt;&gt;"")),"Merit",IF(OR(AND(AT19&gt;=AX$26,AU19&gt;=AX$30,AT19&lt;&gt;"",AP19=""),AND(BW19&gt;=CA$26,BX19&gt;=CA$30,BW19&lt;&gt;"",BS19=""),AND(CZ19&gt;=DD$26,DA19&gt;=DD$30,CZ19&lt;&gt;"",CV19=""),AND(EE19&gt;=EI$26,EF19&gt;=EI$30,EE19&lt;&gt;""),AND(FG19&gt;=FK$26,FH19&gt;=FK$30,FG19&lt;&gt;""),AND(GI19&gt;=GM$26,GJ19&gt;=GM$30,GI19&lt;&gt;""),AND(HK19&gt;=HO$26,HL19&gt;=HO$30,HK19&lt;&gt;""),AND(IM19&gt;=IQ$26,IN19&gt;=IQ$30,IM19&lt;&gt;""),AND(JO19&gt;=JS$26,JP19&gt;=JS$30,JO19&lt;&gt;""),AND(KQ19&gt;=KU$26,KR19&gt;=KU$30,KQ19&lt;&gt;""),AND(LS19&gt;=LW$26,LT19&gt;=LW$30,LS19&lt;&gt;""),AND(MU19&gt;=MY$26,MV19&gt;=MY$30,MU19&lt;&gt;""),AND(NW19&gt;=OA$26,NX19&gt;=OA$30,NW19&lt;&gt;""),AND(OY19&gt;=PC$26,OZ19&gt;=PC$30,OY19&lt;&gt;""),AND(QA19&gt;=QE$26,QB19&gt;=QE$30,QA19&lt;&gt;"")),"Excellence",IF(F19="P","National Team",""))))</f>
        <v/>
      </c>
      <c r="I19" s="14">
        <f>IF(COUNT(AR19,BU19,CX19)&gt;0,LARGE((AR19,BU19,CX19),1),0)</f>
        <v>41.9</v>
      </c>
      <c r="J19" s="14" t="str">
        <f>IF(I19=0,"",IF(I19=CX19,$CB$1,IF(I19=BU19,$AY$1,IF(I19=AR19,$V$1,""))))</f>
        <v>2022 Elite Canada</v>
      </c>
      <c r="K19" s="14">
        <f>IF(COUNT(AR19,BU19,CX19)&gt;1,LARGE((AR19,BU19,CX19),2),0)</f>
        <v>0</v>
      </c>
      <c r="L19" s="14" t="str">
        <f>IF(K19=0,"",IF(K19=CX19,$CB$1,IF(K19=BU19,$AY$1,IF(K19=AR19,$V$1,""))))</f>
        <v/>
      </c>
      <c r="M19" s="14">
        <f>IF(COUNT(AS19,BV19,CY19)&gt;0,LARGE((AS19,BV19,CY19),1),0)</f>
        <v>22.6</v>
      </c>
      <c r="N19" s="14" t="str">
        <f>IF(M19=0,"",IF(M19=CY19,$CB$1,IF(M19=BV19,$AY$1,IF(M19=AS19,$V$1,""))))</f>
        <v>2022 Elite Canada</v>
      </c>
      <c r="O19" s="14">
        <f>IF(COUNT(AS19,BV19,CY19)&gt;1,LARGE((AS19,BV19,CY19),2),0)</f>
        <v>0</v>
      </c>
      <c r="P19" s="14" t="str">
        <f>IF(O19=0,"",IF(O19=CY19,$CB$1,IF(O19=BV19,$AY$1,IF(O19=AS19,$V$1,""))))</f>
        <v/>
      </c>
      <c r="Q19" s="14">
        <f>IF(MAX(AW19,BZ19,DC19)&gt;0,MAX(AW19,BZ19,DC19),0)</f>
        <v>0</v>
      </c>
      <c r="R19" s="14" t="str">
        <f>IF(Q19=0,"",IF(Q19=DC19,$CB$1,IF(Q19=BZ19,$AY$1,IF(Q19=AW19,$V$1,""))))</f>
        <v/>
      </c>
      <c r="S19" s="14" t="str">
        <f>IF(MAX(DE19:DG19)&gt;0,MAX(DE19:DG19),"")</f>
        <v/>
      </c>
      <c r="T19" s="20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45"/>
      <c r="AQ19" s="79" t="str">
        <f>IF(SUM(W19,AA19)&gt;0,SUM(W19,AA19),"")</f>
        <v/>
      </c>
      <c r="AR19" s="79" t="str">
        <f>IF(SUM(V19:W19,Y19:AA19,AC19)-X19-AB19&gt;0,SUM(V19:W19,Y19:AA19,AC19)-X19-AB19,"")</f>
        <v/>
      </c>
      <c r="AS19" s="79" t="str">
        <f>IF(SUM(AD19:AE19,AG19)-AF19&gt;0,SUM(AD19:AE19,AG19)-AF19,"")</f>
        <v/>
      </c>
      <c r="AT19" s="79" t="str">
        <f>IF(SUM(W19,AA19,AE19)&gt;0,SUM(W19,AA19,AE19),"")</f>
        <v/>
      </c>
      <c r="AU19" s="79" t="str">
        <f>IF(SUM(AR19,AS19)&gt;0,SUM(AR19,AS19),"")</f>
        <v/>
      </c>
      <c r="AV19" s="79" t="str">
        <f>IF(SUM(AI19,AM19)&gt;0,SUM(AI19,AM19),"")</f>
        <v/>
      </c>
      <c r="AW19" s="79" t="str">
        <f>IF(SUM(AH19:AI19,AK19:AM19,AO19)-SUM(AJ19,AN19)&gt;0,SUM(AH19:AI19,AK19:AM19,AO19)-SUM(AJ19,AN19),"")</f>
        <v/>
      </c>
      <c r="AX19" s="79" t="str">
        <f>IF(SUM(AR19,AW19)&gt;0,SUM(AR19,AW19),"")</f>
        <v/>
      </c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46"/>
      <c r="BT19" s="20" t="str">
        <f>IF(SUM(AZ19,BD19)&gt;0,SUM(AZ19,BD19),"")</f>
        <v/>
      </c>
      <c r="BU19" s="20" t="str">
        <f>IF(SUM(AY19:AZ19,BB19:BD19,BF19)-BA19-BE19&gt;0,SUM(AY19:AZ19,BB19:BD19,BF19)-BA19-BE19,"")</f>
        <v/>
      </c>
      <c r="BV19" s="20" t="str">
        <f>IF(SUM(BG19:BH19,BJ19)-BI19&gt;0,SUM(BG19:BH19,BJ19)-BI19,"")</f>
        <v/>
      </c>
      <c r="BW19" s="20" t="str">
        <f>IF(SUM(AZ19,BD19,BH19)&gt;0,SUM(AZ19,BD19,BH19),"")</f>
        <v/>
      </c>
      <c r="BX19" s="20" t="str">
        <f>IF(SUM(BU19,BV19)&gt;0,SUM(BU19,BV19),"")</f>
        <v/>
      </c>
      <c r="BY19" s="20" t="str">
        <f>IF(SUM(BL19,BP19)&gt;0,SUM(BL19,BP19),"")</f>
        <v/>
      </c>
      <c r="BZ19" s="20" t="str">
        <f>IF(SUM(BK19:BL19,BN19:BP19,BR19)-SUM(BM19,BQ19)&gt;0,SUM(BK19:BL19,BN19:BP19,BR19)-SUM(BM19,BQ19),"")</f>
        <v/>
      </c>
      <c r="CA19" s="20" t="str">
        <f>IF(SUM(BU19,BZ19)&gt;0,SUM(BU19,BZ19),"")</f>
        <v/>
      </c>
      <c r="CB19" s="27">
        <v>17.2</v>
      </c>
      <c r="CC19" s="27">
        <v>2.4</v>
      </c>
      <c r="CD19" s="27">
        <v>0</v>
      </c>
      <c r="CE19" s="27">
        <v>0</v>
      </c>
      <c r="CF19" s="27">
        <v>18.8</v>
      </c>
      <c r="CG19" s="27">
        <v>3.5</v>
      </c>
      <c r="CH19" s="27">
        <v>0</v>
      </c>
      <c r="CI19" s="27">
        <v>0</v>
      </c>
      <c r="CJ19" s="27">
        <v>19.100000000000001</v>
      </c>
      <c r="CK19" s="27">
        <v>3.5</v>
      </c>
      <c r="CL19" s="27">
        <v>0</v>
      </c>
      <c r="CM19" s="27">
        <v>0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45"/>
      <c r="CW19" s="79">
        <f>IF(SUM(CC19,CG19)&gt;0,SUM(CC19,CG19),"")</f>
        <v>5.9</v>
      </c>
      <c r="CX19" s="79">
        <f>IF(SUM(CB19:CC19,CE19:CG19,CI19)-CD19-CH19&gt;0,SUM(CB19:CC19,CE19:CG19,CI19)-CD19-CH19,"")</f>
        <v>41.9</v>
      </c>
      <c r="CY19" s="79">
        <f>IF(SUM(CJ19:CK19,CM19)-CL19&gt;0,SUM(CJ19:CK19,CM19)-CL19,"")</f>
        <v>22.6</v>
      </c>
      <c r="CZ19" s="79">
        <f>IF(SUM(CC19,CG19,CK19)&gt;0,SUM(CC19,CG19,CK19),"")</f>
        <v>9.4</v>
      </c>
      <c r="DA19" s="79">
        <f>IF(SUM(CX19,CY19)&gt;0,SUM(CX19,CY19),"")</f>
        <v>64.5</v>
      </c>
      <c r="DB19" s="79" t="str">
        <f>IF(SUM(CO19,CS19)&gt;0,SUM(CO19,CS19),"")</f>
        <v/>
      </c>
      <c r="DC19" s="79" t="str">
        <f>IF(SUM(CN19:CO19,CQ19:CS19,CU19)-SUM(CP19,CT19)&gt;0,SUM(CN19:CO19,CQ19:CS19,CU19)-SUM(CP19,CT19),"")</f>
        <v/>
      </c>
      <c r="DD19" s="79">
        <f>IF(SUM(CX19,DC19)&gt;0,SUM(CX19,DC19),"")</f>
        <v>41.9</v>
      </c>
      <c r="DE19" s="80" t="str">
        <f>IF(K19&gt;=0.001,IF(MAX(EC19,FE19,GG19,HI19,IK19,JM19,KO19,LQ19,MS19,NU19,OW19,PY19)-IF(K19="",0,K19)&gt;0.001,MAX(EC19,FE19,GG19,HI19,IK19,JM19,KO19,LQ19,MS19,NU19,OW19,PY19)-IF(K19="",0,K19),""),"")</f>
        <v/>
      </c>
      <c r="DF19" s="80" t="str">
        <f>IF(O19&gt;=0.001,IF(MAX(ED19,FF19,GH19,HJ19,IL19,JN19,KP19,LR19,MT19,NV19,OX19,PZ19)-IF(O19="",0,O19)&gt;0.001,MAX(ED19,FF19,GH19,HJ19,IL19,JN19,KP19,LR19,MT19,NV19,OX19,PZ19)-IF(O19="",0,O19),""),"")</f>
        <v/>
      </c>
      <c r="DG19" s="80" t="str">
        <f>IF(Q19&gt;=0.001,IF(MAX(EH19,FJ19,GL19,HN19,IP19,JR19,KT19,LV19,MX19,NZ19,PB19,QD19)-IF(Q19="",0,Q19)&gt;0.001,MAX(EH19,FJ19,GL19,HN19,IP19,JR19,KT19,LV19,MX19,NZ19,PB19,QD19)-IF(Q19="",0,Q19),""),"")</f>
        <v/>
      </c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79" t="str">
        <f>IF(SUM(DI19,DM19)&gt;0,SUM(DI19,DM19),"")</f>
        <v/>
      </c>
      <c r="EC19" s="79" t="str">
        <f>IF(SUM(DH19:DI19,DK19:DM19,DO19)-DJ19-DN19&gt;0,SUM(DH19:DI19,DK19:DM19,DO19)-DJ19-DN19,"")</f>
        <v/>
      </c>
      <c r="ED19" s="79" t="str">
        <f>IF(SUM(DP19:DQ19,DS19)-DR19&gt;0,SUM(DP19:DQ19,DS19)-DR19,"")</f>
        <v/>
      </c>
      <c r="EE19" s="79" t="str">
        <f>IF(SUM(DI19,DM19,DQ19)&gt;0,SUM(DI19,DM19,DQ19),"")</f>
        <v/>
      </c>
      <c r="EF19" s="79" t="str">
        <f>IF(SUM(EC19,ED19)&gt;0,SUM(EC19,ED19),"")</f>
        <v/>
      </c>
      <c r="EG19" s="79" t="str">
        <f>IF(SUM(DU19,DY19)&gt;0,SUM(DU19,DY19),"")</f>
        <v/>
      </c>
      <c r="EH19" s="79" t="str">
        <f>IF(SUM(DT19:DU19,DW19:DY19,EA19)-SUM(DV19,DZ19)&gt;0,SUM(DT19:DU19,DW19:DY19,EA19)-SUM(DV19,DZ19),"")</f>
        <v/>
      </c>
      <c r="EI19" s="79" t="str">
        <f>IF(SUM(EC19,EH19)&gt;0,SUM(EC19,EH19),"")</f>
        <v/>
      </c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0" t="str">
        <f>IF(SUM(EK19,EO19)&gt;0,SUM(EK19,EO19),"")</f>
        <v/>
      </c>
      <c r="FE19" s="20" t="str">
        <f>IF(SUM(EJ19:EK19,EM19:EO19,EQ19)-EL19-EP19&gt;0,SUM(EJ19:EK19,EM19:EO19,EQ19)-EL19-EP19,"")</f>
        <v/>
      </c>
      <c r="FF19" s="20" t="str">
        <f>IF(SUM(ER19:ES19,EU19)-ET19&gt;0,SUM(ER19:ES19,EU19)-ET19,"")</f>
        <v/>
      </c>
      <c r="FG19" s="20" t="str">
        <f>IF(SUM(EK19,EO19,ES19)&gt;0,SUM(EK19,EO19,ES19),"")</f>
        <v/>
      </c>
      <c r="FH19" s="20" t="str">
        <f>IF(SUM(FE19,FF19)&gt;0,SUM(FE19,FF19),"")</f>
        <v/>
      </c>
      <c r="FI19" s="20" t="str">
        <f>IF(SUM(EW19,FA19)&gt;0,SUM(EW19,FA19),"")</f>
        <v/>
      </c>
      <c r="FJ19" s="20" t="str">
        <f>IF(SUM(EV19:EW19,EY19:FA19,FC19)-SUM(EX19,FB19)&gt;0,SUM(EV19:EW19,EY19:FA19,FC19)-SUM(EX19,FB19),"")</f>
        <v/>
      </c>
      <c r="FK19" s="20" t="str">
        <f>IF(SUM(FE19,FJ19)&gt;0,SUM(FE19,FJ19),"")</f>
        <v/>
      </c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79" t="str">
        <f>IF(SUM(FM19,FQ19)&gt;0,SUM(FM19,FQ19),"")</f>
        <v/>
      </c>
      <c r="GG19" s="79" t="str">
        <f>IF(SUM(FL19:FM19,FO19:FQ19,FS19)-FN19-FR19&gt;0,SUM(FL19:FM19,FO19:FQ19,FS19)-FN19-FR19,"")</f>
        <v/>
      </c>
      <c r="GH19" s="79" t="str">
        <f>IF(SUM(FT19:FU19,FW19)-FV19&gt;0,SUM(FT19:FU19,FW19)-FV19,"")</f>
        <v/>
      </c>
      <c r="GI19" s="79" t="str">
        <f>IF(SUM(FM19,FQ19,FU19)&gt;0,SUM(FM19,FQ19,FU19),"")</f>
        <v/>
      </c>
      <c r="GJ19" s="79" t="str">
        <f>IF(SUM(GG19,GH19)&gt;0,SUM(GG19,GH19),"")</f>
        <v/>
      </c>
      <c r="GK19" s="79" t="str">
        <f>IF(SUM(FY19,GC19)&gt;0,SUM(FY19,GC19),"")</f>
        <v/>
      </c>
      <c r="GL19" s="79" t="str">
        <f>IF(SUM(FX19:FY19,GA19:GC19,GE19)-SUM(FZ19,GD19)&gt;0,SUM(FX19:FY19,GA19:GC19,GE19)-SUM(FZ19,GD19),"")</f>
        <v/>
      </c>
      <c r="GM19" s="79" t="str">
        <f>IF(SUM(GG19,GL19)&gt;0,SUM(GG19,GL19),"")</f>
        <v/>
      </c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0" t="str">
        <f>IF(SUM(GO19,GS19)&gt;0,SUM(GO19,GS19),"")</f>
        <v/>
      </c>
      <c r="HI19" s="20" t="str">
        <f>IF(SUM(GN19:GO19,GQ19:GS19,GU19)-GP19-GT19&gt;0,SUM(GN19:GO19,GQ19:GS19,GU19)-GP19-GT19,"")</f>
        <v/>
      </c>
      <c r="HJ19" s="20" t="str">
        <f>IF(SUM(GV19:GW19,GY19)-GX19&gt;0,SUM(GV19:GW19,GY19)-GX19,"")</f>
        <v/>
      </c>
      <c r="HK19" s="20" t="str">
        <f>IF(SUM(GO19,GS19,GW19)&gt;0,SUM(GO19,GS19,GW19),"")</f>
        <v/>
      </c>
      <c r="HL19" s="20" t="str">
        <f>IF(SUM(HI19,HJ19)&gt;0,SUM(HI19,HJ19),"")</f>
        <v/>
      </c>
      <c r="HM19" s="20" t="str">
        <f>IF(SUM(HA19,HE19)&gt;0,SUM(HA19,HE19),"")</f>
        <v/>
      </c>
      <c r="HN19" s="20" t="str">
        <f>IF(SUM(GZ19:HA19,HC19:HE19,HG19)-SUM(HB19,HF19)&gt;0,SUM(GZ19:HA19,HC19:HE19,HG19)-SUM(HB19,HF19),"")</f>
        <v/>
      </c>
      <c r="HO19" s="20" t="str">
        <f>IF(SUM(HI19,HN19)&gt;0,SUM(HI19,HN19),"")</f>
        <v/>
      </c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79" t="str">
        <f>IF(SUM(HQ19,HU19)&gt;0,SUM(HQ19,HU19),"")</f>
        <v/>
      </c>
      <c r="IK19" s="79" t="str">
        <f>IF(SUM(HP19:HQ19,HS19:HU19,HW19)-HR19-HV19&gt;0,SUM(HP19:HQ19,HS19:HU19,HW19)-HR19-HV19,"")</f>
        <v/>
      </c>
      <c r="IL19" s="79" t="str">
        <f>IF(SUM(HX19:HY19,IA19)-HZ19&gt;0,SUM(HX19:HY19,IA19)-HZ19,"")</f>
        <v/>
      </c>
      <c r="IM19" s="79" t="str">
        <f>IF(SUM(HQ19,HU19,HY19)&gt;0,SUM(HQ19,HU19,HY19),"")</f>
        <v/>
      </c>
      <c r="IN19" s="79" t="str">
        <f>IF(SUM(IK19,IL19)&gt;0,SUM(IK19,IL19),"")</f>
        <v/>
      </c>
      <c r="IO19" s="79" t="str">
        <f>IF(SUM(IC19,IG19)&gt;0,SUM(IC19,IG19),"")</f>
        <v/>
      </c>
      <c r="IP19" s="79" t="str">
        <f>IF(SUM(IB19:IC19,IE19:IG19,II19)-SUM(ID19,IH19)&gt;0,SUM(IB19:IC19,IE19:IG19,II19)-SUM(ID19,IH19),"")</f>
        <v/>
      </c>
      <c r="IQ19" s="79" t="str">
        <f>IF(SUM(IK19,IP19)&gt;0,SUM(IK19,IP19),"")</f>
        <v/>
      </c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0" t="str">
        <f>IF(SUM(IS19,IW19)&gt;0,SUM(IS19,IW19),"")</f>
        <v/>
      </c>
      <c r="JM19" s="20" t="str">
        <f>IF(SUM(IR19:IS19,IU19:IW19,IY19)-IT19-IX19&gt;0,SUM(IR19:IS19,IU19:IW19,IY19)-IT19-IX19,"")</f>
        <v/>
      </c>
      <c r="JN19" s="20" t="str">
        <f>IF(SUM(IZ19:JA19,JC19)-JB19&gt;0,SUM(IZ19:JA19,JC19)-JB19,"")</f>
        <v/>
      </c>
      <c r="JO19" s="20" t="str">
        <f>IF(SUM(IS19,IW19,JA19)&gt;0,SUM(IS19,IW19,JA19),"")</f>
        <v/>
      </c>
      <c r="JP19" s="20" t="str">
        <f>IF(SUM(JM19,JN19)&gt;0,SUM(JM19,JN19),"")</f>
        <v/>
      </c>
      <c r="JQ19" s="20" t="str">
        <f>IF(SUM(JE19,JI19)&gt;0,SUM(JE19,JI19),"")</f>
        <v/>
      </c>
      <c r="JR19" s="20" t="str">
        <f>IF(SUM(JD19:JE19,JG19:JI19,JK19)-SUM(JF19,JJ19)&gt;0,SUM(JD19:JE19,JG19:JI19,JK19)-SUM(JF19,JJ19),"")</f>
        <v/>
      </c>
      <c r="JS19" s="20" t="str">
        <f>IF(SUM(JM19,JR19)&gt;0,SUM(JM19,JR19),"")</f>
        <v/>
      </c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79" t="str">
        <f>IF(SUM(JU19,JY19)&gt;0,SUM(JU19,JY19),"")</f>
        <v/>
      </c>
      <c r="KO19" s="79" t="str">
        <f>IF(SUM(JT19:JU19,JW19:JY19,KA19)-JV19-JZ19&gt;0,SUM(JT19:JU19,JW19:JY19,KA19)-JV19-JZ19,"")</f>
        <v/>
      </c>
      <c r="KP19" s="79" t="str">
        <f>IF(SUM(KB19:KC19,KE19)-KD19&gt;0,SUM(KB19:KC19,KE19)-KD19,"")</f>
        <v/>
      </c>
      <c r="KQ19" s="79" t="str">
        <f>IF(SUM(JU19,JY19,KC19)&gt;0,SUM(JU19,JY19,KC19),"")</f>
        <v/>
      </c>
      <c r="KR19" s="79" t="str">
        <f>IF(SUM(KO19,KP19)&gt;0,SUM(KO19,KP19),"")</f>
        <v/>
      </c>
      <c r="KS19" s="79" t="str">
        <f>IF(SUM(KG19,KK19)&gt;0,SUM(KG19,KK19),"")</f>
        <v/>
      </c>
      <c r="KT19" s="79" t="str">
        <f>IF(SUM(KF19:KG19,KI19:KK19,KM19)-SUM(KH19,KL19)&gt;0,SUM(KF19:KG19,KI19:KK19,KM19)-SUM(KH19,KL19),"")</f>
        <v/>
      </c>
      <c r="KU19" s="79" t="str">
        <f>IF(SUM(KO19,KT19)&gt;0,SUM(KO19,KT19),"")</f>
        <v/>
      </c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0" t="str">
        <f>IF(SUM(KW19,LA19)&gt;0,SUM(KW19,LA19),"")</f>
        <v/>
      </c>
      <c r="LQ19" s="20" t="str">
        <f>IF(SUM(KV19:KW19,KY19:LA19,LC19)-KX19-LB19&gt;0,SUM(KV19:KW19,KY19:LA19,LC19)-KX19-LB19,"")</f>
        <v/>
      </c>
      <c r="LR19" s="20" t="str">
        <f>IF(SUM(LD19:LE19,LG19)-LF19&gt;0,SUM(LD19:LE19,LG19)-LF19,"")</f>
        <v/>
      </c>
      <c r="LS19" s="20" t="str">
        <f>IF(SUM(KW19,LA19,LE19)&gt;0,SUM(KW19,LA19,LE19),"")</f>
        <v/>
      </c>
      <c r="LT19" s="20" t="str">
        <f>IF(SUM(LQ19,LR19)&gt;0,SUM(LQ19,LR19),"")</f>
        <v/>
      </c>
      <c r="LU19" s="20" t="str">
        <f>IF(SUM(LI19,LM19)&gt;0,SUM(LI19,LM19),"")</f>
        <v/>
      </c>
      <c r="LV19" s="20" t="str">
        <f>IF(SUM(LH19:LI19,LK19:LM19,LO19)-SUM(LJ19,LN19)&gt;0,SUM(LH19:LI19,LK19:LM19,LO19)-SUM(LJ19,LN19),"")</f>
        <v/>
      </c>
      <c r="LW19" s="20" t="str">
        <f>IF(SUM(LQ19,LV19)&gt;0,SUM(LQ19,LV19),"")</f>
        <v/>
      </c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79" t="str">
        <f>IF(SUM(LY19,MC19)&gt;0,SUM(LY19,MC19),"")</f>
        <v/>
      </c>
      <c r="MS19" s="79" t="str">
        <f>IF(SUM(LX19:LY19,MA19:MC19,ME19)-LZ19-MD19&gt;0,SUM(LX19:LY19,MA19:MC19,ME19)-LZ19-MD19,"")</f>
        <v/>
      </c>
      <c r="MT19" s="79" t="str">
        <f>IF(SUM(MF19:MG19,MI19)-MH19&gt;0,SUM(MF19:MG19,MI19)-MH19,"")</f>
        <v/>
      </c>
      <c r="MU19" s="79" t="str">
        <f>IF(SUM(LY19,MC19,MG19)&gt;0,SUM(LY19,MC19,MG19),"")</f>
        <v/>
      </c>
      <c r="MV19" s="79" t="str">
        <f>IF(SUM(MS19,MT19)&gt;0,SUM(MS19,MT19),"")</f>
        <v/>
      </c>
      <c r="MW19" s="79" t="str">
        <f>IF(SUM(MK19,MO19)&gt;0,SUM(MK19,MO19),"")</f>
        <v/>
      </c>
      <c r="MX19" s="79" t="str">
        <f>IF(SUM(MJ19:MK19,MM19:MO19,MQ19)-SUM(ML19,MP19)&gt;0,SUM(MJ19:MK19,MM19:MO19,MQ19)-SUM(ML19,MP19),"")</f>
        <v/>
      </c>
      <c r="MY19" s="79" t="str">
        <f>IF(SUM(MS19,MX19)&gt;0,SUM(MS19,MX19),"")</f>
        <v/>
      </c>
      <c r="MZ19" s="26"/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0" t="str">
        <f>IF(SUM(NA19,NE19)&gt;0,SUM(NA19,NE19),"")</f>
        <v/>
      </c>
      <c r="NU19" s="20" t="str">
        <f>IF(SUM(MZ19:NA19,NC19:NE19,NG19)-NB19-NF19&gt;0,SUM(MZ19:NA19,NC19:NE19,NG19)-NB19-NF19,"")</f>
        <v/>
      </c>
      <c r="NV19" s="20" t="str">
        <f>IF(SUM(NH19:NI19,NK19)-NJ19&gt;0,SUM(NH19:NI19,NK19)-NJ19,"")</f>
        <v/>
      </c>
      <c r="NW19" s="20" t="str">
        <f>IF(SUM(NA19,NE19,NI19)&gt;0,SUM(NA19,NE19,NI19),"")</f>
        <v/>
      </c>
      <c r="NX19" s="20" t="str">
        <f>IF(SUM(NU19,NV19)&gt;0,SUM(NU19,NV19),"")</f>
        <v/>
      </c>
      <c r="NY19" s="20" t="str">
        <f>IF(SUM(NM19,NQ19)&gt;0,SUM(NM19,NQ19),"")</f>
        <v/>
      </c>
      <c r="NZ19" s="20" t="str">
        <f>IF(SUM(NL19:NM19,NO19:NQ19,NS19)-SUM(NN19,NR19)&gt;0,SUM(NL19:NM19,NO19:NQ19,NS19)-SUM(NN19,NR19),"")</f>
        <v/>
      </c>
      <c r="OA19" s="20" t="str">
        <f>IF(SUM(NU19,NZ19)&gt;0,SUM(NU19,NZ19),"")</f>
        <v/>
      </c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79" t="str">
        <f>IF(SUM(OC19,OG19)&gt;0,SUM(OC19,OG19),"")</f>
        <v/>
      </c>
      <c r="OW19" s="79" t="str">
        <f>IF(SUM(OB19:OC19,OE19:OG19,OI19)-OD19-OH19&gt;0,SUM(OB19:OC19,OE19:OG19,OI19)-OD19-OH19,"")</f>
        <v/>
      </c>
      <c r="OX19" s="79" t="str">
        <f>IF(SUM(OJ19:OK19,OM19)-OL19&gt;0,SUM(OJ19:OK19,OM19)-OL19,"")</f>
        <v/>
      </c>
      <c r="OY19" s="79" t="str">
        <f>IF(SUM(OC19,OG19,OK19)&gt;0,SUM(OC19,OG19,OK19),"")</f>
        <v/>
      </c>
      <c r="OZ19" s="79" t="str">
        <f>IF(SUM(OW19,OX19)&gt;0,SUM(OW19,OX19),"")</f>
        <v/>
      </c>
      <c r="PA19" s="79" t="str">
        <f>IF(SUM(OO19,OS19)&gt;0,SUM(OO19,OS19),"")</f>
        <v/>
      </c>
      <c r="PB19" s="79" t="str">
        <f>IF(SUM(ON19:OO19,OQ19:OS19,OU19)-SUM(OP19,OT19)&gt;0,SUM(ON19:OO19,OQ19:OS19,OU19)-SUM(OP19,OT19),"")</f>
        <v/>
      </c>
      <c r="PC19" s="79" t="str">
        <f>IF(SUM(OW19,PB19)&gt;0,SUM(OW19,PB19),"")</f>
        <v/>
      </c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0" t="str">
        <f>IF(SUM(PE19,PI19)&gt;0,SUM(PE19,PI19),"")</f>
        <v/>
      </c>
      <c r="PY19" s="20" t="str">
        <f>IF(SUM(PD19:PE19,PG19:PI19,PK19)-PF19-PJ19&gt;0,SUM(PD19:PE19,PG19:PI19,PK19)-PF19-PJ19,"")</f>
        <v/>
      </c>
      <c r="PZ19" s="20" t="str">
        <f>IF(SUM(PL19:PM19,PO19)-PN19&gt;0,SUM(PL19:PM19,PO19)-PN19,"")</f>
        <v/>
      </c>
      <c r="QA19" s="20" t="str">
        <f>IF(SUM(PE19,PI19,PM19)&gt;0,SUM(PE19,PI19,PM19),"")</f>
        <v/>
      </c>
      <c r="QB19" s="20" t="str">
        <f>IF(SUM(PY19,PZ19)&gt;0,SUM(PY19,PZ19),"")</f>
        <v/>
      </c>
      <c r="QC19" s="20" t="str">
        <f>IF(SUM(PQ19,PU19)&gt;0,SUM(PQ19,PU19),"")</f>
        <v/>
      </c>
      <c r="QD19" s="20" t="str">
        <f>IF(SUM(PP19:PQ19,PS19:PU19,PW19)-SUM(PR19,PV19)&gt;0,SUM(PP19:PQ19,PS19:PU19,PW19)-SUM(PR19,PV19),"")</f>
        <v/>
      </c>
      <c r="QE19" s="20" t="str">
        <f>IF(SUM(PY19,QD19)&gt;0,SUM(PY19,QD19),"")</f>
        <v/>
      </c>
      <c r="QF19" s="38">
        <f>IF($CV19="P",CB19,(CB19+AY19)/2)</f>
        <v>8.6</v>
      </c>
      <c r="QG19" s="38">
        <f>IF($CV19="P",CC19,(CC19+AZ19)/2)</f>
        <v>1.2</v>
      </c>
      <c r="QH19" s="38">
        <f>IF($CV19="P",CD19,(CD19+BA19)/2)</f>
        <v>0</v>
      </c>
      <c r="QI19" s="38">
        <f>IF($CV19="P",CE19,(CE19+BB19)/2)</f>
        <v>0</v>
      </c>
      <c r="QJ19" s="38">
        <f>IF($CV19="P",CF19,(CF19+BC19)/2)</f>
        <v>9.4</v>
      </c>
      <c r="QK19" s="38">
        <f>IF($CV19="P",CG19,(CG19+BD19)/2)</f>
        <v>1.75</v>
      </c>
      <c r="QL19" s="38">
        <f>IF($CV19="P",CH19,(CH19+BE19)/2)</f>
        <v>0</v>
      </c>
      <c r="QM19" s="38">
        <f>IF($CV19="P",CI19,(CI19+BF19)/2)</f>
        <v>0</v>
      </c>
      <c r="QN19" s="38">
        <f>IF($CV19="P",CJ19,(CJ19+BG19)/2)</f>
        <v>9.5500000000000007</v>
      </c>
      <c r="QO19" s="38">
        <f>IF($CV19="P",CK19,(CK19+BH19)/2)</f>
        <v>1.75</v>
      </c>
      <c r="QP19" s="38">
        <f>IF($CV19="P",CL19,(CL19+BI19)/2)</f>
        <v>0</v>
      </c>
      <c r="QQ19" s="38">
        <f>IF($CV19="P",CM19,(CM19+BJ19)/2)</f>
        <v>0</v>
      </c>
      <c r="QR19" s="38">
        <f>IF($CV19="P",CN19,(CN19+BK19)/2)</f>
        <v>0</v>
      </c>
      <c r="QS19" s="38">
        <f>IF($CV19="P",CO19,(CO19+BL19)/2)</f>
        <v>0</v>
      </c>
      <c r="QT19" s="38">
        <f>IF($CV19="P",CP19,(CP19+BM19)/2)</f>
        <v>0</v>
      </c>
      <c r="QU19" s="38">
        <f>IF($CV19="P",CQ19,(CQ19+BN19)/2)</f>
        <v>0</v>
      </c>
      <c r="QV19" s="38">
        <f>IF($CV19="P",CR19,(CR19+BO19)/2)</f>
        <v>0</v>
      </c>
      <c r="QW19" s="38">
        <f>IF($CV19="P",CS19,(CS19+BP19)/2)</f>
        <v>0</v>
      </c>
      <c r="QX19" s="38">
        <f>IF($CV19="P",CT19,(CT19+BQ19)/2)</f>
        <v>0</v>
      </c>
      <c r="QY19" s="38">
        <f>IF($CV19="P",CU19,(CU19+BR19)/2)</f>
        <v>0</v>
      </c>
      <c r="QZ19" s="45" t="s">
        <v>46</v>
      </c>
      <c r="RA19" s="79">
        <f>IF(SUM(QG19,QK19)&gt;0,SUM(QG19,QK19),"")</f>
        <v>2.95</v>
      </c>
      <c r="RB19" s="79">
        <f>IF(SUM(QF19:QG19,QI19:QK19,QM19)-QH19-QL19&gt;0,SUM(QF19:QG19,QI19:QK19,QM19)-QH19-QL19,"")</f>
        <v>20.95</v>
      </c>
      <c r="RC19" s="79">
        <f>IF(SUM(QN19:QO19,QQ19)-QP19&gt;0,SUM(QN19:QO19,QQ19)-QP19,"")</f>
        <v>11.3</v>
      </c>
      <c r="RD19" s="79">
        <f>IF(SUM(QG19,QK19,QO19)&gt;0,SUM(QG19,QK19,QO19),"")</f>
        <v>4.7</v>
      </c>
      <c r="RE19" s="79">
        <f>IF(SUM(RB19,RC19)&gt;0,SUM(RB19,RC19),"")</f>
        <v>32.25</v>
      </c>
      <c r="RF19" s="79" t="str">
        <f>IF(SUM(QS19,QW19)&gt;0,SUM(QS19,QW19),"")</f>
        <v/>
      </c>
      <c r="RG19" s="79" t="str">
        <f>IF(SUM(QR19:QS19,QU19:QW19,QY19)-SUM(QT19,QX19)&gt;0,SUM(QR19:QS19,QU19:QW19,QY19)-SUM(QT19,QX19),"")</f>
        <v/>
      </c>
      <c r="RH19" s="79">
        <f>IF(SUM(RB19,RG19)&gt;0,SUM(RB19,RG19),"")</f>
        <v>20.95</v>
      </c>
    </row>
    <row r="20" spans="1:476" x14ac:dyDescent="0.2">
      <c r="A20" s="5" t="str">
        <f>IF(AND(F20="P",G20="P"),SUMPRODUCT((F$4:F$22="P")*(G$4:G$22="P")*(E$4:E$22&gt;E20))+1,IF(G20="P",SUMPRODUCT((F$4:F$22="")*(G$4:G$22="P")*(E$4:E$22&gt;E20))+1+SUMPRODUCT((F$4:F$22="P")*(G$4:G$22="P")),""))</f>
        <v/>
      </c>
      <c r="B20" s="78" t="s">
        <v>89</v>
      </c>
      <c r="C20" s="5" t="s">
        <v>5</v>
      </c>
      <c r="D20" s="5">
        <v>2003</v>
      </c>
      <c r="E20" s="15">
        <f>SUM(I20:S20)+SUM(I20:O20)*0.0000001+SUM(I20)*0.0000000000001</f>
        <v>63.900006390004052</v>
      </c>
      <c r="F20" s="3" t="str">
        <f>IF(OR(AND(AQ20&gt;=AX$24,AR20&gt;=AX$28,AQ20&lt;&gt;"",AP20=""),AND(AV20&gt;=AX$24,AW20&gt;=AX$28,AV20&lt;&gt;"",AP20=""),AND(BT20&gt;=CA$24,BU20&gt;=CA$28,BT20&lt;&gt;"",BS20=""),AND(BY20&gt;=CA$24,BZ20&gt;=CA$28,BY20&lt;&gt;"",BS20=""),AND(CW20&gt;=DD$24,CX20&gt;=DD$28,CW20&lt;&gt;"",CV20=""),AND(DB20&gt;=DD$24,DC20&gt;=DD$28,DB20&lt;&gt;""),AND(EB20&gt;=EI$24,EC20&gt;=EI$28,EB20&lt;&gt;""),AND(EG20&gt;=EI$24,EH20&gt;=EI$28,EG20&lt;&gt;""),AND(FD20&gt;=FK$24,FE20&gt;=FK$28,FD20&lt;&gt;""),AND(FI20&gt;=FK$24,FJ20&gt;=FK$28,FI20&lt;&gt;""),AND(GF20&gt;=GM$24,GG20&gt;=GM$28,GF20&lt;&gt;""),AND(GK20&gt;=GM$24,GL20&gt;=GM$28,GK20&lt;&gt;""),AND(HH20&gt;=HO$24,HI20&gt;=HO$28,HH20&lt;&gt;""),AND(HM20&gt;=HO$24,HN20&gt;=HO$28,HM20&lt;&gt;""),AND(IJ20&gt;=IQ$24,IK20&gt;=IQ$28,IJ20&lt;&gt;""),AND(IO20&gt;=IQ$24,IP20&gt;=IQ$28,IO20&lt;&gt;""),AND(JL20&gt;=JS$24,JM20&gt;=JS$28,JL20&lt;&gt;""),AND(JQ20&gt;=JS$24,JR20&gt;=JS$28,JQ20&lt;&gt;""),AND(KN20&gt;=KU$24,KO20&gt;=KU$28,KN20&lt;&gt;""),AND(KS20&gt;=KU$24,KT20&gt;=KU$28,KS20&lt;&gt;""),AND(LP20&gt;=LW$24,LQ20&gt;=LW$28,LP20&lt;&gt;""),AND(LU20&gt;=LW$24,LV20&gt;=LW$28,LU20&lt;&gt;""),AND(MR20&gt;=MY$24,MS20&gt;=MY$28,MR20&lt;&gt;""),AND(MW20&gt;=MY$24,MX20&gt;=MY$28,MW20&lt;&gt;""),AND(NT20&gt;=OA$24,NU20&gt;=OA$28,NT20&lt;&gt;""),AND(NY20&gt;=OA$24,NZ20&gt;=OA$28,NY20&lt;&gt;""),AND(OV20&gt;=PC$24,OW20&gt;=PC$28,OV20&lt;&gt;""),AND(PA20&gt;=PC$24,PB20&gt;=PC$28,PA20&lt;&gt;""),AND(PX20&gt;=QE$24,PY20&gt;=QE$28,PX20&lt;&gt;""),AND(QC20&gt;=QE$24,QD20&gt;=QE$28,QC20&lt;&gt;"")),"P","")</f>
        <v/>
      </c>
      <c r="G20" s="3" t="str">
        <f>IF(OR(AND(AR20&gt;=AX$28,AR20&lt;&gt;"",AP20=""),AND(AW20&gt;=AX$28,AW20&lt;&gt;"",AP20=""),AND(BU20&gt;=CA$28,BU20&lt;&gt;"",BS20=""),AND(BZ20&gt;=CA$28,BZ20&lt;&gt;"",BS20=""),AND(CX20&gt;=DD$28,CX20&lt;&gt;"",CV20=""),AND(DC20&gt;=DD$28,DC20&lt;&gt;"",CV20=""),AND(EC20&gt;=EI$28,EC20&lt;&gt;""),AND(EH20&gt;=EI$28,EH20&lt;&gt;""),AND(FE20&gt;=FK$28,FE20&lt;&gt;""),AND(FJ20&gt;=FK$28,FJ20&lt;&gt;""),AND(GG20&gt;=GM$28,GG20&lt;&gt;""),AND(GL20&gt;=GM$28,GL20&lt;&gt;""),AND(HI20&gt;=HO$28,HI20&lt;&gt;""),AND(HN20&gt;=HO$28,HN20&lt;&gt;""),AND(IK20&gt;=IQ$28,IK20&lt;&gt;""),AND(IP20&gt;=IQ$28,IP20&lt;&gt;""),AND(JM20&gt;=JS$28,JM20&lt;&gt;""),AND(JR20&gt;=JS$28,JR20&lt;&gt;""),AND(KO20&gt;=KU$28,KO20&lt;&gt;""),AND(KT20&gt;=KU$28,KT20&lt;&gt;""),AND(LQ20&gt;=LW$28,LQ20&lt;&gt;""),AND(LV20&gt;=LW$28,LV20&lt;&gt;""),AND(MS20&gt;=MY$28,MS20&lt;&gt;""),AND(MX20&gt;=MY$28,MX20&lt;&gt;""),AND(NU20&gt;=OA$28,NU20&lt;&gt;""),AND(NZ20&gt;=OA$28,NZ20&lt;&gt;""),AND(OW20&gt;=PC$28,OW20&lt;&gt;""),AND(PB20&gt;=PC$28,PB20&lt;&gt;""),AND(PY20&gt;=QE$28,PY20&lt;&gt;""),AND(QD20&gt;=QE$28,QD20&lt;&gt;"")),"P","")</f>
        <v/>
      </c>
      <c r="H20" s="67" t="str">
        <f>IF(AND(G20="P",F20=""),"No DD",IF(OR(AND(AT20&gt;=AX$27,AU20&gt;=AX$31,AT20&lt;&gt;"",AP20=""),AND(BW20&gt;=CA$27,BX20&gt;=CA$31,BW20&lt;&gt;"",BS20=""),AND(CZ20&gt;=DD$27,DA20&gt;=DD$31,CZ20&lt;&gt;"",CV20=""),AND(EE20&gt;=EI$27,EF20&gt;=EI$31,EE20&lt;&gt;""),AND(FG20&gt;=FK$27,FH20&gt;=FK$31,FG20&lt;&gt;""),AND(GI20&gt;=GM$27,GJ20&gt;=GM$31,GI20&lt;&gt;""),AND(HK20&gt;=HO$27,HL20&gt;=HO$31,HK20&lt;&gt;""),AND(IM20&gt;=IQ$27,IN20&gt;=IQ$31,IM20&lt;&gt;""),AND(JO20&gt;=JS$27,JP20&gt;=JS$31,JO20&lt;&gt;""),AND(KQ20&gt;=KU$27,KR20&gt;=KU$31,KQ20&lt;&gt;""),AND(LS20&gt;=LW$27,LT20&gt;=LW$31,LS20&lt;&gt;""),AND(MU20&gt;=MY$27,MV20&gt;=MY$31,MU20&lt;&gt;""),AND(NW20&gt;=OA$27,NX20&gt;=OA$31,NW20&lt;&gt;""),AND(OY20&gt;=PC$27,OZ20&gt;=PC$31,OY20&lt;&gt;""),AND(QA20&gt;=QE$27,QB20&gt;=QE$31,QA20&lt;&gt;"")),"Merit",IF(OR(AND(AT20&gt;=AX$26,AU20&gt;=AX$30,AT20&lt;&gt;"",AP20=""),AND(BW20&gt;=CA$26,BX20&gt;=CA$30,BW20&lt;&gt;"",BS20=""),AND(CZ20&gt;=DD$26,DA20&gt;=DD$30,CZ20&lt;&gt;"",CV20=""),AND(EE20&gt;=EI$26,EF20&gt;=EI$30,EE20&lt;&gt;""),AND(FG20&gt;=FK$26,FH20&gt;=FK$30,FG20&lt;&gt;""),AND(GI20&gt;=GM$26,GJ20&gt;=GM$30,GI20&lt;&gt;""),AND(HK20&gt;=HO$26,HL20&gt;=HO$30,HK20&lt;&gt;""),AND(IM20&gt;=IQ$26,IN20&gt;=IQ$30,IM20&lt;&gt;""),AND(JO20&gt;=JS$26,JP20&gt;=JS$30,JO20&lt;&gt;""),AND(KQ20&gt;=KU$26,KR20&gt;=KU$30,KQ20&lt;&gt;""),AND(LS20&gt;=LW$26,LT20&gt;=LW$30,LS20&lt;&gt;""),AND(MU20&gt;=MY$26,MV20&gt;=MY$30,MU20&lt;&gt;""),AND(NW20&gt;=OA$26,NX20&gt;=OA$30,NW20&lt;&gt;""),AND(OY20&gt;=PC$26,OZ20&gt;=PC$30,OY20&lt;&gt;""),AND(QA20&gt;=QE$26,QB20&gt;=QE$30,QA20&lt;&gt;"")),"Excellence",IF(F20="P","National Team",""))))</f>
        <v/>
      </c>
      <c r="I20" s="14">
        <f>IF(COUNT(AR20,BU20,CX20)&gt;0,LARGE((AR20,BU20,CX20),1),0)</f>
        <v>40.5</v>
      </c>
      <c r="J20" s="14" t="str">
        <f>IF(I20=0,"",IF(I20=CX20,$CB$1,IF(I20=BU20,$AY$1,IF(I20=AR20,$V$1,""))))</f>
        <v>2022 Elite Canada</v>
      </c>
      <c r="K20" s="14">
        <f>IF(COUNT(AR20,BU20,CX20)&gt;1,LARGE((AR20,BU20,CX20),2),0)</f>
        <v>0</v>
      </c>
      <c r="L20" s="14" t="str">
        <f>IF(K20=0,"",IF(K20=CX20,$CB$1,IF(K20=BU20,$AY$1,IF(K20=AR20,$V$1,""))))</f>
        <v/>
      </c>
      <c r="M20" s="14">
        <f>IF(COUNT(AS20,BV20,CY20)&gt;0,LARGE((AS20,BV20,CY20),1),0)</f>
        <v>23.4</v>
      </c>
      <c r="N20" s="14" t="str">
        <f>IF(M20=0,"",IF(M20=CY20,$CB$1,IF(M20=BV20,$AY$1,IF(M20=AS20,$V$1,""))))</f>
        <v>2022 Elite Canada</v>
      </c>
      <c r="O20" s="14">
        <f>IF(COUNT(AS20,BV20,CY20)&gt;1,LARGE((AS20,BV20,CY20),2),0)</f>
        <v>0</v>
      </c>
      <c r="P20" s="14" t="str">
        <f>IF(O20=0,"",IF(O20=CY20,$CB$1,IF(O20=BV20,$AY$1,IF(O20=AS20,$V$1,""))))</f>
        <v/>
      </c>
      <c r="Q20" s="14">
        <f>IF(MAX(AW20,BZ20,DC20)&gt;0,MAX(AW20,BZ20,DC20),0)</f>
        <v>0</v>
      </c>
      <c r="R20" s="14" t="str">
        <f>IF(Q20=0,"",IF(Q20=DC20,$CB$1,IF(Q20=BZ20,$AY$1,IF(Q20=AW20,$V$1,""))))</f>
        <v/>
      </c>
      <c r="S20" s="14" t="str">
        <f>IF(MAX(DE20:DG20)&gt;0,MAX(DE20:DG20),"")</f>
        <v/>
      </c>
      <c r="T20" s="20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45"/>
      <c r="AQ20" s="79" t="str">
        <f>IF(SUM(W20,AA20)&gt;0,SUM(W20,AA20),"")</f>
        <v/>
      </c>
      <c r="AR20" s="79" t="str">
        <f>IF(SUM(V20:W20,Y20:AA20,AC20)-X20-AB20&gt;0,SUM(V20:W20,Y20:AA20,AC20)-X20-AB20,"")</f>
        <v/>
      </c>
      <c r="AS20" s="79" t="str">
        <f>IF(SUM(AD20:AE20,AG20)-AF20&gt;0,SUM(AD20:AE20,AG20)-AF20,"")</f>
        <v/>
      </c>
      <c r="AT20" s="79" t="str">
        <f>IF(SUM(W20,AA20,AE20)&gt;0,SUM(W20,AA20,AE20),"")</f>
        <v/>
      </c>
      <c r="AU20" s="79" t="str">
        <f>IF(SUM(AR20,AS20)&gt;0,SUM(AR20,AS20),"")</f>
        <v/>
      </c>
      <c r="AV20" s="79" t="str">
        <f>IF(SUM(AI20,AM20)&gt;0,SUM(AI20,AM20),"")</f>
        <v/>
      </c>
      <c r="AW20" s="79" t="str">
        <f>IF(SUM(AH20:AI20,AK20:AM20,AO20)-SUM(AJ20,AN20)&gt;0,SUM(AH20:AI20,AK20:AM20,AO20)-SUM(AJ20,AN20),"")</f>
        <v/>
      </c>
      <c r="AX20" s="79" t="str">
        <f>IF(SUM(AR20,AW20)&gt;0,SUM(AR20,AW20),"")</f>
        <v/>
      </c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46"/>
      <c r="BT20" s="20" t="str">
        <f>IF(SUM(AZ20,BD20)&gt;0,SUM(AZ20,BD20),"")</f>
        <v/>
      </c>
      <c r="BU20" s="20" t="str">
        <f>IF(SUM(AY20:AZ20,BB20:BD20,BF20)-BA20-BE20&gt;0,SUM(AY20:AZ20,BB20:BD20,BF20)-BA20-BE20,"")</f>
        <v/>
      </c>
      <c r="BV20" s="20" t="str">
        <f>IF(SUM(BG20:BH20,BJ20)-BI20&gt;0,SUM(BG20:BH20,BJ20)-BI20,"")</f>
        <v/>
      </c>
      <c r="BW20" s="20" t="str">
        <f>IF(SUM(AZ20,BD20,BH20)&gt;0,SUM(AZ20,BD20,BH20),"")</f>
        <v/>
      </c>
      <c r="BX20" s="20" t="str">
        <f>IF(SUM(BU20,BV20)&gt;0,SUM(BU20,BV20),"")</f>
        <v/>
      </c>
      <c r="BY20" s="20" t="str">
        <f>IF(SUM(BL20,BP20)&gt;0,SUM(BL20,BP20),"")</f>
        <v/>
      </c>
      <c r="BZ20" s="20" t="str">
        <f>IF(SUM(BK20:BL20,BN20:BP20,BR20)-SUM(BM20,BQ20)&gt;0,SUM(BK20:BL20,BN20:BP20,BR20)-SUM(BM20,BQ20),"")</f>
        <v/>
      </c>
      <c r="CA20" s="20" t="str">
        <f>IF(SUM(BU20,BZ20)&gt;0,SUM(BU20,BZ20),"")</f>
        <v/>
      </c>
      <c r="CB20" s="27">
        <v>18.399999999999999</v>
      </c>
      <c r="CC20" s="27">
        <v>5.2</v>
      </c>
      <c r="CD20" s="27">
        <v>0.2</v>
      </c>
      <c r="CE20" s="27">
        <v>0</v>
      </c>
      <c r="CF20" s="27">
        <v>17.100000000000001</v>
      </c>
      <c r="CG20" s="27">
        <v>0</v>
      </c>
      <c r="CH20" s="27">
        <v>0</v>
      </c>
      <c r="CI20" s="27">
        <v>0</v>
      </c>
      <c r="CJ20" s="27">
        <v>18.399999999999999</v>
      </c>
      <c r="CK20" s="27">
        <v>5.2</v>
      </c>
      <c r="CL20" s="27">
        <v>0.2</v>
      </c>
      <c r="CM20" s="27">
        <v>0</v>
      </c>
      <c r="CN20" s="27">
        <v>0</v>
      </c>
      <c r="CO20" s="27">
        <v>0</v>
      </c>
      <c r="CP20" s="27">
        <v>0</v>
      </c>
      <c r="CQ20" s="27">
        <v>0</v>
      </c>
      <c r="CR20" s="27">
        <v>0</v>
      </c>
      <c r="CS20" s="27">
        <v>0</v>
      </c>
      <c r="CT20" s="27">
        <v>0</v>
      </c>
      <c r="CU20" s="27">
        <v>0</v>
      </c>
      <c r="CV20" s="45"/>
      <c r="CW20" s="79">
        <f>IF(SUM(CC20,CG20)&gt;0,SUM(CC20,CG20),"")</f>
        <v>5.2</v>
      </c>
      <c r="CX20" s="79">
        <f>IF(SUM(CB20:CC20,CE20:CG20,CI20)-CD20-CH20&gt;0,SUM(CB20:CC20,CE20:CG20,CI20)-CD20-CH20,"")</f>
        <v>40.5</v>
      </c>
      <c r="CY20" s="79">
        <f>IF(SUM(CJ20:CK20,CM20)-CL20&gt;0,SUM(CJ20:CK20,CM20)-CL20,"")</f>
        <v>23.4</v>
      </c>
      <c r="CZ20" s="79">
        <f>IF(SUM(CC20,CG20,CK20)&gt;0,SUM(CC20,CG20,CK20),"")</f>
        <v>10.4</v>
      </c>
      <c r="DA20" s="79">
        <f>IF(SUM(CX20,CY20)&gt;0,SUM(CX20,CY20),"")</f>
        <v>63.9</v>
      </c>
      <c r="DB20" s="79" t="str">
        <f>IF(SUM(CO20,CS20)&gt;0,SUM(CO20,CS20),"")</f>
        <v/>
      </c>
      <c r="DC20" s="79" t="str">
        <f>IF(SUM(CN20:CO20,CQ20:CS20,CU20)-SUM(CP20,CT20)&gt;0,SUM(CN20:CO20,CQ20:CS20,CU20)-SUM(CP20,CT20),"")</f>
        <v/>
      </c>
      <c r="DD20" s="79">
        <f>IF(SUM(CX20,DC20)&gt;0,SUM(CX20,DC20),"")</f>
        <v>40.5</v>
      </c>
      <c r="DE20" s="80" t="str">
        <f>IF(K20&gt;=0.001,IF(MAX(EC20,FE20,GG20,HI20,IK20,JM20,KO20,LQ20,MS20,NU20,OW20,PY20)-IF(K20="",0,K20)&gt;0.001,MAX(EC20,FE20,GG20,HI20,IK20,JM20,KO20,LQ20,MS20,NU20,OW20,PY20)-IF(K20="",0,K20),""),"")</f>
        <v/>
      </c>
      <c r="DF20" s="80" t="str">
        <f>IF(O20&gt;=0.001,IF(MAX(ED20,FF20,GH20,HJ20,IL20,JN20,KP20,LR20,MT20,NV20,OX20,PZ20)-IF(O20="",0,O20)&gt;0.001,MAX(ED20,FF20,GH20,HJ20,IL20,JN20,KP20,LR20,MT20,NV20,OX20,PZ20)-IF(O20="",0,O20),""),"")</f>
        <v/>
      </c>
      <c r="DG20" s="80" t="str">
        <f>IF(Q20&gt;=0.001,IF(MAX(EH20,FJ20,GL20,HN20,IP20,JR20,KT20,LV20,MX20,NZ20,PB20,QD20)-IF(Q20="",0,Q20)&gt;0.001,MAX(EH20,FJ20,GL20,HN20,IP20,JR20,KT20,LV20,MX20,NZ20,PB20,QD20)-IF(Q20="",0,Q20),""),"")</f>
        <v/>
      </c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79" t="str">
        <f>IF(SUM(DI20,DM20)&gt;0,SUM(DI20,DM20),"")</f>
        <v/>
      </c>
      <c r="EC20" s="79" t="str">
        <f>IF(SUM(DH20:DI20,DK20:DM20,DO20)-DJ20-DN20&gt;0,SUM(DH20:DI20,DK20:DM20,DO20)-DJ20-DN20,"")</f>
        <v/>
      </c>
      <c r="ED20" s="79" t="str">
        <f>IF(SUM(DP20:DQ20,DS20)-DR20&gt;0,SUM(DP20:DQ20,DS20)-DR20,"")</f>
        <v/>
      </c>
      <c r="EE20" s="79" t="str">
        <f>IF(SUM(DI20,DM20,DQ20)&gt;0,SUM(DI20,DM20,DQ20),"")</f>
        <v/>
      </c>
      <c r="EF20" s="79" t="str">
        <f>IF(SUM(EC20,ED20)&gt;0,SUM(EC20,ED20),"")</f>
        <v/>
      </c>
      <c r="EG20" s="79" t="str">
        <f>IF(SUM(DU20,DY20)&gt;0,SUM(DU20,DY20),"")</f>
        <v/>
      </c>
      <c r="EH20" s="79" t="str">
        <f>IF(SUM(DT20:DU20,DW20:DY20,EA20)-SUM(DV20,DZ20)&gt;0,SUM(DT20:DU20,DW20:DY20,EA20)-SUM(DV20,DZ20),"")</f>
        <v/>
      </c>
      <c r="EI20" s="79" t="str">
        <f>IF(SUM(EC20,EH20)&gt;0,SUM(EC20,EH20),"")</f>
        <v/>
      </c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0" t="str">
        <f>IF(SUM(EK20,EO20)&gt;0,SUM(EK20,EO20),"")</f>
        <v/>
      </c>
      <c r="FE20" s="20" t="str">
        <f>IF(SUM(EJ20:EK20,EM20:EO20,EQ20)-EL20-EP20&gt;0,SUM(EJ20:EK20,EM20:EO20,EQ20)-EL20-EP20,"")</f>
        <v/>
      </c>
      <c r="FF20" s="20" t="str">
        <f>IF(SUM(ER20:ES20,EU20)-ET20&gt;0,SUM(ER20:ES20,EU20)-ET20,"")</f>
        <v/>
      </c>
      <c r="FG20" s="20" t="str">
        <f>IF(SUM(EK20,EO20,ES20)&gt;0,SUM(EK20,EO20,ES20),"")</f>
        <v/>
      </c>
      <c r="FH20" s="20" t="str">
        <f>IF(SUM(FE20,FF20)&gt;0,SUM(FE20,FF20),"")</f>
        <v/>
      </c>
      <c r="FI20" s="20" t="str">
        <f>IF(SUM(EW20,FA20)&gt;0,SUM(EW20,FA20),"")</f>
        <v/>
      </c>
      <c r="FJ20" s="20" t="str">
        <f>IF(SUM(EV20:EW20,EY20:FA20,FC20)-SUM(EX20,FB20)&gt;0,SUM(EV20:EW20,EY20:FA20,FC20)-SUM(EX20,FB20),"")</f>
        <v/>
      </c>
      <c r="FK20" s="20" t="str">
        <f>IF(SUM(FE20,FJ20)&gt;0,SUM(FE20,FJ20),"")</f>
        <v/>
      </c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79" t="str">
        <f>IF(SUM(FM20,FQ20)&gt;0,SUM(FM20,FQ20),"")</f>
        <v/>
      </c>
      <c r="GG20" s="79" t="str">
        <f>IF(SUM(FL20:FM20,FO20:FQ20,FS20)-FN20-FR20&gt;0,SUM(FL20:FM20,FO20:FQ20,FS20)-FN20-FR20,"")</f>
        <v/>
      </c>
      <c r="GH20" s="79" t="str">
        <f>IF(SUM(FT20:FU20,FW20)-FV20&gt;0,SUM(FT20:FU20,FW20)-FV20,"")</f>
        <v/>
      </c>
      <c r="GI20" s="79" t="str">
        <f>IF(SUM(FM20,FQ20,FU20)&gt;0,SUM(FM20,FQ20,FU20),"")</f>
        <v/>
      </c>
      <c r="GJ20" s="79" t="str">
        <f>IF(SUM(GG20,GH20)&gt;0,SUM(GG20,GH20),"")</f>
        <v/>
      </c>
      <c r="GK20" s="79" t="str">
        <f>IF(SUM(FY20,GC20)&gt;0,SUM(FY20,GC20),"")</f>
        <v/>
      </c>
      <c r="GL20" s="79" t="str">
        <f>IF(SUM(FX20:FY20,GA20:GC20,GE20)-SUM(FZ20,GD20)&gt;0,SUM(FX20:FY20,GA20:GC20,GE20)-SUM(FZ20,GD20),"")</f>
        <v/>
      </c>
      <c r="GM20" s="79" t="str">
        <f>IF(SUM(GG20,GL20)&gt;0,SUM(GG20,GL20),"")</f>
        <v/>
      </c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0" t="str">
        <f>IF(SUM(GO20,GS20)&gt;0,SUM(GO20,GS20),"")</f>
        <v/>
      </c>
      <c r="HI20" s="20" t="str">
        <f>IF(SUM(GN20:GO20,GQ20:GS20,GU20)-GP20-GT20&gt;0,SUM(GN20:GO20,GQ20:GS20,GU20)-GP20-GT20,"")</f>
        <v/>
      </c>
      <c r="HJ20" s="20" t="str">
        <f>IF(SUM(GV20:GW20,GY20)-GX20&gt;0,SUM(GV20:GW20,GY20)-GX20,"")</f>
        <v/>
      </c>
      <c r="HK20" s="20" t="str">
        <f>IF(SUM(GO20,GS20,GW20)&gt;0,SUM(GO20,GS20,GW20),"")</f>
        <v/>
      </c>
      <c r="HL20" s="20" t="str">
        <f>IF(SUM(HI20,HJ20)&gt;0,SUM(HI20,HJ20),"")</f>
        <v/>
      </c>
      <c r="HM20" s="20" t="str">
        <f>IF(SUM(HA20,HE20)&gt;0,SUM(HA20,HE20),"")</f>
        <v/>
      </c>
      <c r="HN20" s="20" t="str">
        <f>IF(SUM(GZ20:HA20,HC20:HE20,HG20)-SUM(HB20,HF20)&gt;0,SUM(GZ20:HA20,HC20:HE20,HG20)-SUM(HB20,HF20),"")</f>
        <v/>
      </c>
      <c r="HO20" s="20" t="str">
        <f>IF(SUM(HI20,HN20)&gt;0,SUM(HI20,HN20),"")</f>
        <v/>
      </c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79" t="str">
        <f>IF(SUM(HQ20,HU20)&gt;0,SUM(HQ20,HU20),"")</f>
        <v/>
      </c>
      <c r="IK20" s="79" t="str">
        <f>IF(SUM(HP20:HQ20,HS20:HU20,HW20)-HR20-HV20&gt;0,SUM(HP20:HQ20,HS20:HU20,HW20)-HR20-HV20,"")</f>
        <v/>
      </c>
      <c r="IL20" s="79" t="str">
        <f>IF(SUM(HX20:HY20,IA20)-HZ20&gt;0,SUM(HX20:HY20,IA20)-HZ20,"")</f>
        <v/>
      </c>
      <c r="IM20" s="79" t="str">
        <f>IF(SUM(HQ20,HU20,HY20)&gt;0,SUM(HQ20,HU20,HY20),"")</f>
        <v/>
      </c>
      <c r="IN20" s="79" t="str">
        <f>IF(SUM(IK20,IL20)&gt;0,SUM(IK20,IL20),"")</f>
        <v/>
      </c>
      <c r="IO20" s="79" t="str">
        <f>IF(SUM(IC20,IG20)&gt;0,SUM(IC20,IG20),"")</f>
        <v/>
      </c>
      <c r="IP20" s="79" t="str">
        <f>IF(SUM(IB20:IC20,IE20:IG20,II20)-SUM(ID20,IH20)&gt;0,SUM(IB20:IC20,IE20:IG20,II20)-SUM(ID20,IH20),"")</f>
        <v/>
      </c>
      <c r="IQ20" s="79" t="str">
        <f>IF(SUM(IK20,IP20)&gt;0,SUM(IK20,IP20),"")</f>
        <v/>
      </c>
      <c r="IR20" s="26"/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0" t="str">
        <f>IF(SUM(IS20,IW20)&gt;0,SUM(IS20,IW20),"")</f>
        <v/>
      </c>
      <c r="JM20" s="20" t="str">
        <f>IF(SUM(IR20:IS20,IU20:IW20,IY20)-IT20-IX20&gt;0,SUM(IR20:IS20,IU20:IW20,IY20)-IT20-IX20,"")</f>
        <v/>
      </c>
      <c r="JN20" s="20" t="str">
        <f>IF(SUM(IZ20:JA20,JC20)-JB20&gt;0,SUM(IZ20:JA20,JC20)-JB20,"")</f>
        <v/>
      </c>
      <c r="JO20" s="20" t="str">
        <f>IF(SUM(IS20,IW20,JA20)&gt;0,SUM(IS20,IW20,JA20),"")</f>
        <v/>
      </c>
      <c r="JP20" s="20" t="str">
        <f>IF(SUM(JM20,JN20)&gt;0,SUM(JM20,JN20),"")</f>
        <v/>
      </c>
      <c r="JQ20" s="20" t="str">
        <f>IF(SUM(JE20,JI20)&gt;0,SUM(JE20,JI20),"")</f>
        <v/>
      </c>
      <c r="JR20" s="20" t="str">
        <f>IF(SUM(JD20:JE20,JG20:JI20,JK20)-SUM(JF20,JJ20)&gt;0,SUM(JD20:JE20,JG20:JI20,JK20)-SUM(JF20,JJ20),"")</f>
        <v/>
      </c>
      <c r="JS20" s="20" t="str">
        <f>IF(SUM(JM20,JR20)&gt;0,SUM(JM20,JR20),"")</f>
        <v/>
      </c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79" t="str">
        <f>IF(SUM(JU20,JY20)&gt;0,SUM(JU20,JY20),"")</f>
        <v/>
      </c>
      <c r="KO20" s="79" t="str">
        <f>IF(SUM(JT20:JU20,JW20:JY20,KA20)-JV20-JZ20&gt;0,SUM(JT20:JU20,JW20:JY20,KA20)-JV20-JZ20,"")</f>
        <v/>
      </c>
      <c r="KP20" s="79" t="str">
        <f>IF(SUM(KB20:KC20,KE20)-KD20&gt;0,SUM(KB20:KC20,KE20)-KD20,"")</f>
        <v/>
      </c>
      <c r="KQ20" s="79" t="str">
        <f>IF(SUM(JU20,JY20,KC20)&gt;0,SUM(JU20,JY20,KC20),"")</f>
        <v/>
      </c>
      <c r="KR20" s="79" t="str">
        <f>IF(SUM(KO20,KP20)&gt;0,SUM(KO20,KP20),"")</f>
        <v/>
      </c>
      <c r="KS20" s="79" t="str">
        <f>IF(SUM(KG20,KK20)&gt;0,SUM(KG20,KK20),"")</f>
        <v/>
      </c>
      <c r="KT20" s="79" t="str">
        <f>IF(SUM(KF20:KG20,KI20:KK20,KM20)-SUM(KH20,KL20)&gt;0,SUM(KF20:KG20,KI20:KK20,KM20)-SUM(KH20,KL20),"")</f>
        <v/>
      </c>
      <c r="KU20" s="79" t="str">
        <f>IF(SUM(KO20,KT20)&gt;0,SUM(KO20,KT20),"")</f>
        <v/>
      </c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0" t="str">
        <f>IF(SUM(KW20,LA20)&gt;0,SUM(KW20,LA20),"")</f>
        <v/>
      </c>
      <c r="LQ20" s="20" t="str">
        <f>IF(SUM(KV20:KW20,KY20:LA20,LC20)-KX20-LB20&gt;0,SUM(KV20:KW20,KY20:LA20,LC20)-KX20-LB20,"")</f>
        <v/>
      </c>
      <c r="LR20" s="20" t="str">
        <f>IF(SUM(LD20:LE20,LG20)-LF20&gt;0,SUM(LD20:LE20,LG20)-LF20,"")</f>
        <v/>
      </c>
      <c r="LS20" s="20" t="str">
        <f>IF(SUM(KW20,LA20,LE20)&gt;0,SUM(KW20,LA20,LE20),"")</f>
        <v/>
      </c>
      <c r="LT20" s="20" t="str">
        <f>IF(SUM(LQ20,LR20)&gt;0,SUM(LQ20,LR20),"")</f>
        <v/>
      </c>
      <c r="LU20" s="20" t="str">
        <f>IF(SUM(LI20,LM20)&gt;0,SUM(LI20,LM20),"")</f>
        <v/>
      </c>
      <c r="LV20" s="20" t="str">
        <f>IF(SUM(LH20:LI20,LK20:LM20,LO20)-SUM(LJ20,LN20)&gt;0,SUM(LH20:LI20,LK20:LM20,LO20)-SUM(LJ20,LN20),"")</f>
        <v/>
      </c>
      <c r="LW20" s="20" t="str">
        <f>IF(SUM(LQ20,LV20)&gt;0,SUM(LQ20,LV20),"")</f>
        <v/>
      </c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79" t="str">
        <f>IF(SUM(LY20,MC20)&gt;0,SUM(LY20,MC20),"")</f>
        <v/>
      </c>
      <c r="MS20" s="79" t="str">
        <f>IF(SUM(LX20:LY20,MA20:MC20,ME20)-LZ20-MD20&gt;0,SUM(LX20:LY20,MA20:MC20,ME20)-LZ20-MD20,"")</f>
        <v/>
      </c>
      <c r="MT20" s="79" t="str">
        <f>IF(SUM(MF20:MG20,MI20)-MH20&gt;0,SUM(MF20:MG20,MI20)-MH20,"")</f>
        <v/>
      </c>
      <c r="MU20" s="79" t="str">
        <f>IF(SUM(LY20,MC20,MG20)&gt;0,SUM(LY20,MC20,MG20),"")</f>
        <v/>
      </c>
      <c r="MV20" s="79" t="str">
        <f>IF(SUM(MS20,MT20)&gt;0,SUM(MS20,MT20),"")</f>
        <v/>
      </c>
      <c r="MW20" s="79" t="str">
        <f>IF(SUM(MK20,MO20)&gt;0,SUM(MK20,MO20),"")</f>
        <v/>
      </c>
      <c r="MX20" s="79" t="str">
        <f>IF(SUM(MJ20:MK20,MM20:MO20,MQ20)-SUM(ML20,MP20)&gt;0,SUM(MJ20:MK20,MM20:MO20,MQ20)-SUM(ML20,MP20),"")</f>
        <v/>
      </c>
      <c r="MY20" s="79" t="str">
        <f>IF(SUM(MS20,MX20)&gt;0,SUM(MS20,MX20),"")</f>
        <v/>
      </c>
      <c r="MZ20" s="26"/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0" t="str">
        <f>IF(SUM(NA20,NE20)&gt;0,SUM(NA20,NE20),"")</f>
        <v/>
      </c>
      <c r="NU20" s="20" t="str">
        <f>IF(SUM(MZ20:NA20,NC20:NE20,NG20)-NB20-NF20&gt;0,SUM(MZ20:NA20,NC20:NE20,NG20)-NB20-NF20,"")</f>
        <v/>
      </c>
      <c r="NV20" s="20" t="str">
        <f>IF(SUM(NH20:NI20,NK20)-NJ20&gt;0,SUM(NH20:NI20,NK20)-NJ20,"")</f>
        <v/>
      </c>
      <c r="NW20" s="20" t="str">
        <f>IF(SUM(NA20,NE20,NI20)&gt;0,SUM(NA20,NE20,NI20),"")</f>
        <v/>
      </c>
      <c r="NX20" s="20" t="str">
        <f>IF(SUM(NU20,NV20)&gt;0,SUM(NU20,NV20),"")</f>
        <v/>
      </c>
      <c r="NY20" s="20" t="str">
        <f>IF(SUM(NM20,NQ20)&gt;0,SUM(NM20,NQ20),"")</f>
        <v/>
      </c>
      <c r="NZ20" s="20" t="str">
        <f>IF(SUM(NL20:NM20,NO20:NQ20,NS20)-SUM(NN20,NR20)&gt;0,SUM(NL20:NM20,NO20:NQ20,NS20)-SUM(NN20,NR20),"")</f>
        <v/>
      </c>
      <c r="OA20" s="20" t="str">
        <f>IF(SUM(NU20,NZ20)&gt;0,SUM(NU20,NZ20),"")</f>
        <v/>
      </c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79" t="str">
        <f>IF(SUM(OC20,OG20)&gt;0,SUM(OC20,OG20),"")</f>
        <v/>
      </c>
      <c r="OW20" s="79" t="str">
        <f>IF(SUM(OB20:OC20,OE20:OG20,OI20)-OD20-OH20&gt;0,SUM(OB20:OC20,OE20:OG20,OI20)-OD20-OH20,"")</f>
        <v/>
      </c>
      <c r="OX20" s="79" t="str">
        <f>IF(SUM(OJ20:OK20,OM20)-OL20&gt;0,SUM(OJ20:OK20,OM20)-OL20,"")</f>
        <v/>
      </c>
      <c r="OY20" s="79" t="str">
        <f>IF(SUM(OC20,OG20,OK20)&gt;0,SUM(OC20,OG20,OK20),"")</f>
        <v/>
      </c>
      <c r="OZ20" s="79" t="str">
        <f>IF(SUM(OW20,OX20)&gt;0,SUM(OW20,OX20),"")</f>
        <v/>
      </c>
      <c r="PA20" s="79" t="str">
        <f>IF(SUM(OO20,OS20)&gt;0,SUM(OO20,OS20),"")</f>
        <v/>
      </c>
      <c r="PB20" s="79" t="str">
        <f>IF(SUM(ON20:OO20,OQ20:OS20,OU20)-SUM(OP20,OT20)&gt;0,SUM(ON20:OO20,OQ20:OS20,OU20)-SUM(OP20,OT20),"")</f>
        <v/>
      </c>
      <c r="PC20" s="79" t="str">
        <f>IF(SUM(OW20,PB20)&gt;0,SUM(OW20,PB20),"")</f>
        <v/>
      </c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0" t="str">
        <f>IF(SUM(PE20,PI20)&gt;0,SUM(PE20,PI20),"")</f>
        <v/>
      </c>
      <c r="PY20" s="20" t="str">
        <f>IF(SUM(PD20:PE20,PG20:PI20,PK20)-PF20-PJ20&gt;0,SUM(PD20:PE20,PG20:PI20,PK20)-PF20-PJ20,"")</f>
        <v/>
      </c>
      <c r="PZ20" s="20" t="str">
        <f>IF(SUM(PL20:PM20,PO20)-PN20&gt;0,SUM(PL20:PM20,PO20)-PN20,"")</f>
        <v/>
      </c>
      <c r="QA20" s="20" t="str">
        <f>IF(SUM(PE20,PI20,PM20)&gt;0,SUM(PE20,PI20,PM20),"")</f>
        <v/>
      </c>
      <c r="QB20" s="20" t="str">
        <f>IF(SUM(PY20,PZ20)&gt;0,SUM(PY20,PZ20),"")</f>
        <v/>
      </c>
      <c r="QC20" s="20" t="str">
        <f>IF(SUM(PQ20,PU20)&gt;0,SUM(PQ20,PU20),"")</f>
        <v/>
      </c>
      <c r="QD20" s="20" t="str">
        <f>IF(SUM(PP20:PQ20,PS20:PU20,PW20)-SUM(PR20,PV20)&gt;0,SUM(PP20:PQ20,PS20:PU20,PW20)-SUM(PR20,PV20),"")</f>
        <v/>
      </c>
      <c r="QE20" s="20" t="str">
        <f>IF(SUM(PY20,QD20)&gt;0,SUM(PY20,QD20),"")</f>
        <v/>
      </c>
      <c r="QF20" s="38">
        <f>IF($CV20="P",CB20,(CB20+AY20)/2)</f>
        <v>9.1999999999999993</v>
      </c>
      <c r="QG20" s="38">
        <f>IF($CV20="P",CC20,(CC20+AZ20)/2)</f>
        <v>2.6</v>
      </c>
      <c r="QH20" s="38">
        <f>IF($CV20="P",CD20,(CD20+BA20)/2)</f>
        <v>0.1</v>
      </c>
      <c r="QI20" s="38">
        <f>IF($CV20="P",CE20,(CE20+BB20)/2)</f>
        <v>0</v>
      </c>
      <c r="QJ20" s="38">
        <f>IF($CV20="P",CF20,(CF20+BC20)/2)</f>
        <v>8.5500000000000007</v>
      </c>
      <c r="QK20" s="38">
        <f>IF($CV20="P",CG20,(CG20+BD20)/2)</f>
        <v>0</v>
      </c>
      <c r="QL20" s="38">
        <f>IF($CV20="P",CH20,(CH20+BE20)/2)</f>
        <v>0</v>
      </c>
      <c r="QM20" s="38">
        <f>IF($CV20="P",CI20,(CI20+BF20)/2)</f>
        <v>0</v>
      </c>
      <c r="QN20" s="38">
        <f>IF($CV20="P",CJ20,(CJ20+BG20)/2)</f>
        <v>9.1999999999999993</v>
      </c>
      <c r="QO20" s="38">
        <f>IF($CV20="P",CK20,(CK20+BH20)/2)</f>
        <v>2.6</v>
      </c>
      <c r="QP20" s="38">
        <f>IF($CV20="P",CL20,(CL20+BI20)/2)</f>
        <v>0.1</v>
      </c>
      <c r="QQ20" s="38">
        <f>IF($CV20="P",CM20,(CM20+BJ20)/2)</f>
        <v>0</v>
      </c>
      <c r="QR20" s="38">
        <f>IF($CV20="P",CN20,(CN20+BK20)/2)</f>
        <v>0</v>
      </c>
      <c r="QS20" s="38">
        <f>IF($CV20="P",CO20,(CO20+BL20)/2)</f>
        <v>0</v>
      </c>
      <c r="QT20" s="38">
        <f>IF($CV20="P",CP20,(CP20+BM20)/2)</f>
        <v>0</v>
      </c>
      <c r="QU20" s="38">
        <f>IF($CV20="P",CQ20,(CQ20+BN20)/2)</f>
        <v>0</v>
      </c>
      <c r="QV20" s="38">
        <f>IF($CV20="P",CR20,(CR20+BO20)/2)</f>
        <v>0</v>
      </c>
      <c r="QW20" s="38">
        <f>IF($CV20="P",CS20,(CS20+BP20)/2)</f>
        <v>0</v>
      </c>
      <c r="QX20" s="38">
        <f>IF($CV20="P",CT20,(CT20+BQ20)/2)</f>
        <v>0</v>
      </c>
      <c r="QY20" s="38">
        <f>IF($CV20="P",CU20,(CU20+BR20)/2)</f>
        <v>0</v>
      </c>
      <c r="QZ20" s="45" t="s">
        <v>46</v>
      </c>
      <c r="RA20" s="79">
        <f>IF(SUM(QG20,QK20)&gt;0,SUM(QG20,QK20),"")</f>
        <v>2.6</v>
      </c>
      <c r="RB20" s="79">
        <f>IF(SUM(QF20:QG20,QI20:QK20,QM20)-QH20-QL20&gt;0,SUM(QF20:QG20,QI20:QK20,QM20)-QH20-QL20,"")</f>
        <v>20.25</v>
      </c>
      <c r="RC20" s="79">
        <f>IF(SUM(QN20:QO20,QQ20)-QP20&gt;0,SUM(QN20:QO20,QQ20)-QP20,"")</f>
        <v>11.7</v>
      </c>
      <c r="RD20" s="79">
        <f>IF(SUM(QG20,QK20,QO20)&gt;0,SUM(QG20,QK20,QO20),"")</f>
        <v>5.2</v>
      </c>
      <c r="RE20" s="79">
        <f>IF(SUM(RB20,RC20)&gt;0,SUM(RB20,RC20),"")</f>
        <v>31.95</v>
      </c>
      <c r="RF20" s="79" t="str">
        <f>IF(SUM(QS20,QW20)&gt;0,SUM(QS20,QW20),"")</f>
        <v/>
      </c>
      <c r="RG20" s="79" t="str">
        <f>IF(SUM(QR20:QS20,QU20:QW20,QY20)-SUM(QT20,QX20)&gt;0,SUM(QR20:QS20,QU20:QW20,QY20)-SUM(QT20,QX20),"")</f>
        <v/>
      </c>
      <c r="RH20" s="79">
        <f>IF(SUM(RB20,RG20)&gt;0,SUM(RB20,RG20),"")</f>
        <v>20.25</v>
      </c>
    </row>
    <row r="21" spans="1:476" x14ac:dyDescent="0.2">
      <c r="A21" s="5" t="str">
        <f>IF(AND(F21="P",G21="P"),SUMPRODUCT((F$4:F$22="P")*(G$4:G$22="P")*(E$4:E$22&gt;E21))+1,IF(G21="P",SUMPRODUCT((F$4:F$22="")*(G$4:G$22="P")*(E$4:E$22&gt;E21))+1+SUMPRODUCT((F$4:F$22="P")*(G$4:G$22="P")),""))</f>
        <v/>
      </c>
      <c r="B21" s="78" t="s">
        <v>85</v>
      </c>
      <c r="C21" s="5" t="s">
        <v>5</v>
      </c>
      <c r="D21" s="5">
        <v>2004</v>
      </c>
      <c r="E21" s="15">
        <f>SUM(I21:S21)+SUM(I21:O21)*0.0000001+SUM(I21)*0.0000000000001</f>
        <v>60.600006060003935</v>
      </c>
      <c r="F21" s="3" t="str">
        <f>IF(OR(AND(AQ21&gt;=AX$24,AR21&gt;=AX$28,AQ21&lt;&gt;"",AP21=""),AND(AV21&gt;=AX$24,AW21&gt;=AX$28,AV21&lt;&gt;"",AP21=""),AND(BT21&gt;=CA$24,BU21&gt;=CA$28,BT21&lt;&gt;"",BS21=""),AND(BY21&gt;=CA$24,BZ21&gt;=CA$28,BY21&lt;&gt;"",BS21=""),AND(CW21&gt;=DD$24,CX21&gt;=DD$28,CW21&lt;&gt;"",CV21=""),AND(DB21&gt;=DD$24,DC21&gt;=DD$28,DB21&lt;&gt;""),AND(EB21&gt;=EI$24,EC21&gt;=EI$28,EB21&lt;&gt;""),AND(EG21&gt;=EI$24,EH21&gt;=EI$28,EG21&lt;&gt;""),AND(FD21&gt;=FK$24,FE21&gt;=FK$28,FD21&lt;&gt;""),AND(FI21&gt;=FK$24,FJ21&gt;=FK$28,FI21&lt;&gt;""),AND(GF21&gt;=GM$24,GG21&gt;=GM$28,GF21&lt;&gt;""),AND(GK21&gt;=GM$24,GL21&gt;=GM$28,GK21&lt;&gt;""),AND(HH21&gt;=HO$24,HI21&gt;=HO$28,HH21&lt;&gt;""),AND(HM21&gt;=HO$24,HN21&gt;=HO$28,HM21&lt;&gt;""),AND(IJ21&gt;=IQ$24,IK21&gt;=IQ$28,IJ21&lt;&gt;""),AND(IO21&gt;=IQ$24,IP21&gt;=IQ$28,IO21&lt;&gt;""),AND(JL21&gt;=JS$24,JM21&gt;=JS$28,JL21&lt;&gt;""),AND(JQ21&gt;=JS$24,JR21&gt;=JS$28,JQ21&lt;&gt;""),AND(KN21&gt;=KU$24,KO21&gt;=KU$28,KN21&lt;&gt;""),AND(KS21&gt;=KU$24,KT21&gt;=KU$28,KS21&lt;&gt;""),AND(LP21&gt;=LW$24,LQ21&gt;=LW$28,LP21&lt;&gt;""),AND(LU21&gt;=LW$24,LV21&gt;=LW$28,LU21&lt;&gt;""),AND(MR21&gt;=MY$24,MS21&gt;=MY$28,MR21&lt;&gt;""),AND(MW21&gt;=MY$24,MX21&gt;=MY$28,MW21&lt;&gt;""),AND(NT21&gt;=OA$24,NU21&gt;=OA$28,NT21&lt;&gt;""),AND(NY21&gt;=OA$24,NZ21&gt;=OA$28,NY21&lt;&gt;""),AND(OV21&gt;=PC$24,OW21&gt;=PC$28,OV21&lt;&gt;""),AND(PA21&gt;=PC$24,PB21&gt;=PC$28,PA21&lt;&gt;""),AND(PX21&gt;=QE$24,PY21&gt;=QE$28,PX21&lt;&gt;""),AND(QC21&gt;=QE$24,QD21&gt;=QE$28,QC21&lt;&gt;"")),"P","")</f>
        <v/>
      </c>
      <c r="G21" s="3" t="str">
        <f>IF(OR(AND(AR21&gt;=AX$28,AR21&lt;&gt;"",AP21=""),AND(AW21&gt;=AX$28,AW21&lt;&gt;"",AP21=""),AND(BU21&gt;=CA$28,BU21&lt;&gt;"",BS21=""),AND(BZ21&gt;=CA$28,BZ21&lt;&gt;"",BS21=""),AND(CX21&gt;=DD$28,CX21&lt;&gt;"",CV21=""),AND(DC21&gt;=DD$28,DC21&lt;&gt;"",CV21=""),AND(EC21&gt;=EI$28,EC21&lt;&gt;""),AND(EH21&gt;=EI$28,EH21&lt;&gt;""),AND(FE21&gt;=FK$28,FE21&lt;&gt;""),AND(FJ21&gt;=FK$28,FJ21&lt;&gt;""),AND(GG21&gt;=GM$28,GG21&lt;&gt;""),AND(GL21&gt;=GM$28,GL21&lt;&gt;""),AND(HI21&gt;=HO$28,HI21&lt;&gt;""),AND(HN21&gt;=HO$28,HN21&lt;&gt;""),AND(IK21&gt;=IQ$28,IK21&lt;&gt;""),AND(IP21&gt;=IQ$28,IP21&lt;&gt;""),AND(JM21&gt;=JS$28,JM21&lt;&gt;""),AND(JR21&gt;=JS$28,JR21&lt;&gt;""),AND(KO21&gt;=KU$28,KO21&lt;&gt;""),AND(KT21&gt;=KU$28,KT21&lt;&gt;""),AND(LQ21&gt;=LW$28,LQ21&lt;&gt;""),AND(LV21&gt;=LW$28,LV21&lt;&gt;""),AND(MS21&gt;=MY$28,MS21&lt;&gt;""),AND(MX21&gt;=MY$28,MX21&lt;&gt;""),AND(NU21&gt;=OA$28,NU21&lt;&gt;""),AND(NZ21&gt;=OA$28,NZ21&lt;&gt;""),AND(OW21&gt;=PC$28,OW21&lt;&gt;""),AND(PB21&gt;=PC$28,PB21&lt;&gt;""),AND(PY21&gt;=QE$28,PY21&lt;&gt;""),AND(QD21&gt;=QE$28,QD21&lt;&gt;"")),"P","")</f>
        <v/>
      </c>
      <c r="H21" s="67" t="str">
        <f>IF(AND(G21="P",F21=""),"No DD",IF(OR(AND(AT21&gt;=AX$27,AU21&gt;=AX$31,AT21&lt;&gt;"",AP21=""),AND(BW21&gt;=CA$27,BX21&gt;=CA$31,BW21&lt;&gt;"",BS21=""),AND(CZ21&gt;=DD$27,DA21&gt;=DD$31,CZ21&lt;&gt;"",CV21=""),AND(EE21&gt;=EI$27,EF21&gt;=EI$31,EE21&lt;&gt;""),AND(FG21&gt;=FK$27,FH21&gt;=FK$31,FG21&lt;&gt;""),AND(GI21&gt;=GM$27,GJ21&gt;=GM$31,GI21&lt;&gt;""),AND(HK21&gt;=HO$27,HL21&gt;=HO$31,HK21&lt;&gt;""),AND(IM21&gt;=IQ$27,IN21&gt;=IQ$31,IM21&lt;&gt;""),AND(JO21&gt;=JS$27,JP21&gt;=JS$31,JO21&lt;&gt;""),AND(KQ21&gt;=KU$27,KR21&gt;=KU$31,KQ21&lt;&gt;""),AND(LS21&gt;=LW$27,LT21&gt;=LW$31,LS21&lt;&gt;""),AND(MU21&gt;=MY$27,MV21&gt;=MY$31,MU21&lt;&gt;""),AND(NW21&gt;=OA$27,NX21&gt;=OA$31,NW21&lt;&gt;""),AND(OY21&gt;=PC$27,OZ21&gt;=PC$31,OY21&lt;&gt;""),AND(QA21&gt;=QE$27,QB21&gt;=QE$31,QA21&lt;&gt;"")),"Merit",IF(OR(AND(AT21&gt;=AX$26,AU21&gt;=AX$30,AT21&lt;&gt;"",AP21=""),AND(BW21&gt;=CA$26,BX21&gt;=CA$30,BW21&lt;&gt;"",BS21=""),AND(CZ21&gt;=DD$26,DA21&gt;=DD$30,CZ21&lt;&gt;"",CV21=""),AND(EE21&gt;=EI$26,EF21&gt;=EI$30,EE21&lt;&gt;""),AND(FG21&gt;=FK$26,FH21&gt;=FK$30,FG21&lt;&gt;""),AND(GI21&gt;=GM$26,GJ21&gt;=GM$30,GI21&lt;&gt;""),AND(HK21&gt;=HO$26,HL21&gt;=HO$30,HK21&lt;&gt;""),AND(IM21&gt;=IQ$26,IN21&gt;=IQ$30,IM21&lt;&gt;""),AND(JO21&gt;=JS$26,JP21&gt;=JS$30,JO21&lt;&gt;""),AND(KQ21&gt;=KU$26,KR21&gt;=KU$30,KQ21&lt;&gt;""),AND(LS21&gt;=LW$26,LT21&gt;=LW$30,LS21&lt;&gt;""),AND(MU21&gt;=MY$26,MV21&gt;=MY$30,MU21&lt;&gt;""),AND(NW21&gt;=OA$26,NX21&gt;=OA$30,NW21&lt;&gt;""),AND(OY21&gt;=PC$26,OZ21&gt;=PC$30,OY21&lt;&gt;""),AND(QA21&gt;=QE$26,QB21&gt;=QE$30,QA21&lt;&gt;"")),"Excellence",IF(F21="P","National Team",""))))</f>
        <v/>
      </c>
      <c r="I21" s="14">
        <f>IF(COUNT(AR21,BU21,CX21)&gt;0,LARGE((AR21,BU21,CX21),1),0)</f>
        <v>39.4</v>
      </c>
      <c r="J21" s="14" t="str">
        <f>IF(I21=0,"",IF(I21=CX21,$CB$1,IF(I21=BU21,$AY$1,IF(I21=AR21,$V$1,""))))</f>
        <v>2022 Elite Canada</v>
      </c>
      <c r="K21" s="14">
        <f>IF(COUNT(AR21,BU21,CX21)&gt;1,LARGE((AR21,BU21,CX21),2),0)</f>
        <v>0</v>
      </c>
      <c r="L21" s="14" t="str">
        <f>IF(K21=0,"",IF(K21=CX21,$CB$1,IF(K21=BU21,$AY$1,IF(K21=AR21,$V$1,""))))</f>
        <v/>
      </c>
      <c r="M21" s="14">
        <f>IF(COUNT(AS21,BV21,CY21)&gt;0,LARGE((AS21,BV21,CY21),1),0)</f>
        <v>21.2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0</v>
      </c>
      <c r="P21" s="14" t="str">
        <f>IF(O21=0,"",IF(O21=CY21,$CB$1,IF(O21=BV21,$AY$1,IF(O21=AS21,$V$1,""))))</f>
        <v/>
      </c>
      <c r="Q21" s="14">
        <f>IF(MAX(AW21,BZ21,DC21)&gt;0,MAX(AW21,BZ21,DC21),0)</f>
        <v>0</v>
      </c>
      <c r="R21" s="14" t="str">
        <f>IF(Q21=0,"",IF(Q21=DC21,$CB$1,IF(Q21=BZ21,$AY$1,IF(Q21=AW21,$V$1,""))))</f>
        <v/>
      </c>
      <c r="S21" s="14" t="str">
        <f>IF(MAX(DE21:DG21)&gt;0,MAX(DE21:DG21),"")</f>
        <v/>
      </c>
      <c r="T21" s="20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45"/>
      <c r="AQ21" s="79" t="str">
        <f>IF(SUM(W21,AA21)&gt;0,SUM(W21,AA21),"")</f>
        <v/>
      </c>
      <c r="AR21" s="79" t="str">
        <f>IF(SUM(V21:W21,Y21:AA21,AC21)-X21-AB21&gt;0,SUM(V21:W21,Y21:AA21,AC21)-X21-AB21,"")</f>
        <v/>
      </c>
      <c r="AS21" s="79" t="str">
        <f>IF(SUM(AD21:AE21,AG21)-AF21&gt;0,SUM(AD21:AE21,AG21)-AF21,"")</f>
        <v/>
      </c>
      <c r="AT21" s="79" t="str">
        <f>IF(SUM(W21,AA21,AE21)&gt;0,SUM(W21,AA21,AE21),"")</f>
        <v/>
      </c>
      <c r="AU21" s="79" t="str">
        <f>IF(SUM(AR21,AS21)&gt;0,SUM(AR21,AS21),"")</f>
        <v/>
      </c>
      <c r="AV21" s="79" t="str">
        <f>IF(SUM(AI21,AM21)&gt;0,SUM(AI21,AM21),"")</f>
        <v/>
      </c>
      <c r="AW21" s="79" t="str">
        <f>IF(SUM(AH21:AI21,AK21:AM21,AO21)-SUM(AJ21,AN21)&gt;0,SUM(AH21:AI21,AK21:AM21,AO21)-SUM(AJ21,AN21),"")</f>
        <v/>
      </c>
      <c r="AX21" s="79" t="str">
        <f>IF(SUM(AR21,AW21)&gt;0,SUM(AR21,AW21),"")</f>
        <v/>
      </c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46"/>
      <c r="BT21" s="20" t="str">
        <f>IF(SUM(AZ21,BD21)&gt;0,SUM(AZ21,BD21),"")</f>
        <v/>
      </c>
      <c r="BU21" s="20" t="str">
        <f>IF(SUM(AY21:AZ21,BB21:BD21,BF21)-BA21-BE21&gt;0,SUM(AY21:AZ21,BB21:BD21,BF21)-BA21-BE21,"")</f>
        <v/>
      </c>
      <c r="BV21" s="20" t="str">
        <f>IF(SUM(BG21:BH21,BJ21)-BI21&gt;0,SUM(BG21:BH21,BJ21)-BI21,"")</f>
        <v/>
      </c>
      <c r="BW21" s="20" t="str">
        <f>IF(SUM(AZ21,BD21,BH21)&gt;0,SUM(AZ21,BD21,BH21),"")</f>
        <v/>
      </c>
      <c r="BX21" s="20" t="str">
        <f>IF(SUM(BU21,BV21)&gt;0,SUM(BU21,BV21),"")</f>
        <v/>
      </c>
      <c r="BY21" s="20" t="str">
        <f>IF(SUM(BL21,BP21)&gt;0,SUM(BL21,BP21),"")</f>
        <v/>
      </c>
      <c r="BZ21" s="20" t="str">
        <f>IF(SUM(BK21:BL21,BN21:BP21,BR21)-SUM(BM21,BQ21)&gt;0,SUM(BK21:BL21,BN21:BP21,BR21)-SUM(BM21,BQ21),"")</f>
        <v/>
      </c>
      <c r="CA21" s="20" t="str">
        <f>IF(SUM(BU21,BZ21)&gt;0,SUM(BU21,BZ21),"")</f>
        <v/>
      </c>
      <c r="CB21" s="27">
        <v>17</v>
      </c>
      <c r="CC21" s="27">
        <v>0.5</v>
      </c>
      <c r="CD21" s="27">
        <v>0</v>
      </c>
      <c r="CE21" s="27">
        <v>0</v>
      </c>
      <c r="CF21" s="27">
        <v>18.8</v>
      </c>
      <c r="CG21" s="27">
        <v>3.1</v>
      </c>
      <c r="CH21" s="27">
        <v>0</v>
      </c>
      <c r="CI21" s="27">
        <v>0</v>
      </c>
      <c r="CJ21" s="27">
        <v>18.8</v>
      </c>
      <c r="CK21" s="27">
        <v>2.7</v>
      </c>
      <c r="CL21" s="27">
        <v>0.3</v>
      </c>
      <c r="CM21" s="27">
        <v>0</v>
      </c>
      <c r="CN21" s="27"/>
      <c r="CO21" s="27"/>
      <c r="CP21" s="27"/>
      <c r="CQ21" s="27"/>
      <c r="CR21" s="27"/>
      <c r="CS21" s="27"/>
      <c r="CT21" s="27"/>
      <c r="CU21" s="27"/>
      <c r="CV21" s="45"/>
      <c r="CW21" s="79">
        <f>IF(SUM(CC21,CG21)&gt;0,SUM(CC21,CG21),"")</f>
        <v>3.6</v>
      </c>
      <c r="CX21" s="79">
        <f>IF(SUM(CB21:CC21,CE21:CG21,CI21)-CD21-CH21&gt;0,SUM(CB21:CC21,CE21:CG21,CI21)-CD21-CH21,"")</f>
        <v>39.4</v>
      </c>
      <c r="CY21" s="79">
        <f>IF(SUM(CJ21:CK21,CM21)-CL21&gt;0,SUM(CJ21:CK21,CM21)-CL21,"")</f>
        <v>21.2</v>
      </c>
      <c r="CZ21" s="79">
        <f>IF(SUM(CC21,CG21,CK21)&gt;0,SUM(CC21,CG21,CK21),"")</f>
        <v>6.3000000000000007</v>
      </c>
      <c r="DA21" s="79">
        <f>IF(SUM(CX21,CY21)&gt;0,SUM(CX21,CY21),"")</f>
        <v>60.599999999999994</v>
      </c>
      <c r="DB21" s="79" t="str">
        <f>IF(SUM(CO21,CS21)&gt;0,SUM(CO21,CS21),"")</f>
        <v/>
      </c>
      <c r="DC21" s="79" t="str">
        <f>IF(SUM(CN21:CO21,CQ21:CS21,CU21)-SUM(CP21,CT21)&gt;0,SUM(CN21:CO21,CQ21:CS21,CU21)-SUM(CP21,CT21),"")</f>
        <v/>
      </c>
      <c r="DD21" s="79">
        <f>IF(SUM(CX21,DC21)&gt;0,SUM(CX21,DC21),"")</f>
        <v>39.4</v>
      </c>
      <c r="DE21" s="80" t="str">
        <f>IF(K21&gt;=0.001,IF(MAX(EC21,FE21,GG21,HI21,IK21,JM21,KO21,LQ21,MS21,NU21,OW21,PY21)-IF(K21="",0,K21)&gt;0.001,MAX(EC21,FE21,GG21,HI21,IK21,JM21,KO21,LQ21,MS21,NU21,OW21,PY21)-IF(K21="",0,K21),""),"")</f>
        <v/>
      </c>
      <c r="DF21" s="80" t="str">
        <f>IF(O21&gt;=0.001,IF(MAX(ED21,FF21,GH21,HJ21,IL21,JN21,KP21,LR21,MT21,NV21,OX21,PZ21)-IF(O21="",0,O21)&gt;0.001,MAX(ED21,FF21,GH21,HJ21,IL21,JN21,KP21,LR21,MT21,NV21,OX21,PZ21)-IF(O21="",0,O21),""),"")</f>
        <v/>
      </c>
      <c r="DG21" s="80" t="str">
        <f>IF(Q21&gt;=0.001,IF(MAX(EH21,FJ21,GL21,HN21,IP21,JR21,KT21,LV21,MX21,NZ21,PB21,QD21)-IF(Q21="",0,Q21)&gt;0.001,MAX(EH21,FJ21,GL21,HN21,IP21,JR21,KT21,LV21,MX21,NZ21,PB21,QD21)-IF(Q21="",0,Q21),""),"")</f>
        <v/>
      </c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79" t="str">
        <f>IF(SUM(DI21,DM21)&gt;0,SUM(DI21,DM21),"")</f>
        <v/>
      </c>
      <c r="EC21" s="79" t="str">
        <f>IF(SUM(DH21:DI21,DK21:DM21,DO21)-DJ21-DN21&gt;0,SUM(DH21:DI21,DK21:DM21,DO21)-DJ21-DN21,"")</f>
        <v/>
      </c>
      <c r="ED21" s="79" t="str">
        <f>IF(SUM(DP21:DQ21,DS21)-DR21&gt;0,SUM(DP21:DQ21,DS21)-DR21,"")</f>
        <v/>
      </c>
      <c r="EE21" s="79" t="str">
        <f>IF(SUM(DI21,DM21,DQ21)&gt;0,SUM(DI21,DM21,DQ21),"")</f>
        <v/>
      </c>
      <c r="EF21" s="79" t="str">
        <f>IF(SUM(EC21,ED21)&gt;0,SUM(EC21,ED21),"")</f>
        <v/>
      </c>
      <c r="EG21" s="79" t="str">
        <f>IF(SUM(DU21,DY21)&gt;0,SUM(DU21,DY21),"")</f>
        <v/>
      </c>
      <c r="EH21" s="79" t="str">
        <f>IF(SUM(DT21:DU21,DW21:DY21,EA21)-SUM(DV21,DZ21)&gt;0,SUM(DT21:DU21,DW21:DY21,EA21)-SUM(DV21,DZ21),"")</f>
        <v/>
      </c>
      <c r="EI21" s="79" t="str">
        <f>IF(SUM(EC21,EH21)&gt;0,SUM(EC21,EH21),"")</f>
        <v/>
      </c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0" t="str">
        <f>IF(SUM(EK21,EO21)&gt;0,SUM(EK21,EO21),"")</f>
        <v/>
      </c>
      <c r="FE21" s="20" t="str">
        <f>IF(SUM(EJ21:EK21,EM21:EO21,EQ21)-EL21-EP21&gt;0,SUM(EJ21:EK21,EM21:EO21,EQ21)-EL21-EP21,"")</f>
        <v/>
      </c>
      <c r="FF21" s="20" t="str">
        <f>IF(SUM(ER21:ES21,EU21)-ET21&gt;0,SUM(ER21:ES21,EU21)-ET21,"")</f>
        <v/>
      </c>
      <c r="FG21" s="20" t="str">
        <f>IF(SUM(EK21,EO21,ES21)&gt;0,SUM(EK21,EO21,ES21),"")</f>
        <v/>
      </c>
      <c r="FH21" s="20" t="str">
        <f>IF(SUM(FE21,FF21)&gt;0,SUM(FE21,FF21),"")</f>
        <v/>
      </c>
      <c r="FI21" s="20" t="str">
        <f>IF(SUM(EW21,FA21)&gt;0,SUM(EW21,FA21),"")</f>
        <v/>
      </c>
      <c r="FJ21" s="20" t="str">
        <f>IF(SUM(EV21:EW21,EY21:FA21,FC21)-SUM(EX21,FB21)&gt;0,SUM(EV21:EW21,EY21:FA21,FC21)-SUM(EX21,FB21),"")</f>
        <v/>
      </c>
      <c r="FK21" s="20" t="str">
        <f>IF(SUM(FE21,FJ21)&gt;0,SUM(FE21,FJ21),"")</f>
        <v/>
      </c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79" t="str">
        <f>IF(SUM(FM21,FQ21)&gt;0,SUM(FM21,FQ21),"")</f>
        <v/>
      </c>
      <c r="GG21" s="79" t="str">
        <f>IF(SUM(FL21:FM21,FO21:FQ21,FS21)-FN21-FR21&gt;0,SUM(FL21:FM21,FO21:FQ21,FS21)-FN21-FR21,"")</f>
        <v/>
      </c>
      <c r="GH21" s="79" t="str">
        <f>IF(SUM(FT21:FU21,FW21)-FV21&gt;0,SUM(FT21:FU21,FW21)-FV21,"")</f>
        <v/>
      </c>
      <c r="GI21" s="79" t="str">
        <f>IF(SUM(FM21,FQ21,FU21)&gt;0,SUM(FM21,FQ21,FU21),"")</f>
        <v/>
      </c>
      <c r="GJ21" s="79" t="str">
        <f>IF(SUM(GG21,GH21)&gt;0,SUM(GG21,GH21),"")</f>
        <v/>
      </c>
      <c r="GK21" s="79" t="str">
        <f>IF(SUM(FY21,GC21)&gt;0,SUM(FY21,GC21),"")</f>
        <v/>
      </c>
      <c r="GL21" s="79" t="str">
        <f>IF(SUM(FX21:FY21,GA21:GC21,GE21)-SUM(FZ21,GD21)&gt;0,SUM(FX21:FY21,GA21:GC21,GE21)-SUM(FZ21,GD21),"")</f>
        <v/>
      </c>
      <c r="GM21" s="79" t="str">
        <f>IF(SUM(GG21,GL21)&gt;0,SUM(GG21,GL21),"")</f>
        <v/>
      </c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0" t="str">
        <f>IF(SUM(GO21,GS21)&gt;0,SUM(GO21,GS21),"")</f>
        <v/>
      </c>
      <c r="HI21" s="20" t="str">
        <f>IF(SUM(GN21:GO21,GQ21:GS21,GU21)-GP21-GT21&gt;0,SUM(GN21:GO21,GQ21:GS21,GU21)-GP21-GT21,"")</f>
        <v/>
      </c>
      <c r="HJ21" s="20" t="str">
        <f>IF(SUM(GV21:GW21,GY21)-GX21&gt;0,SUM(GV21:GW21,GY21)-GX21,"")</f>
        <v/>
      </c>
      <c r="HK21" s="20" t="str">
        <f>IF(SUM(GO21,GS21,GW21)&gt;0,SUM(GO21,GS21,GW21),"")</f>
        <v/>
      </c>
      <c r="HL21" s="20" t="str">
        <f>IF(SUM(HI21,HJ21)&gt;0,SUM(HI21,HJ21),"")</f>
        <v/>
      </c>
      <c r="HM21" s="20" t="str">
        <f>IF(SUM(HA21,HE21)&gt;0,SUM(HA21,HE21),"")</f>
        <v/>
      </c>
      <c r="HN21" s="20" t="str">
        <f>IF(SUM(GZ21:HA21,HC21:HE21,HG21)-SUM(HB21,HF21)&gt;0,SUM(GZ21:HA21,HC21:HE21,HG21)-SUM(HB21,HF21),"")</f>
        <v/>
      </c>
      <c r="HO21" s="20" t="str">
        <f>IF(SUM(HI21,HN21)&gt;0,SUM(HI21,HN21),"")</f>
        <v/>
      </c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79" t="str">
        <f>IF(SUM(HQ21,HU21)&gt;0,SUM(HQ21,HU21),"")</f>
        <v/>
      </c>
      <c r="IK21" s="79" t="str">
        <f>IF(SUM(HP21:HQ21,HS21:HU21,HW21)-HR21-HV21&gt;0,SUM(HP21:HQ21,HS21:HU21,HW21)-HR21-HV21,"")</f>
        <v/>
      </c>
      <c r="IL21" s="79" t="str">
        <f>IF(SUM(HX21:HY21,IA21)-HZ21&gt;0,SUM(HX21:HY21,IA21)-HZ21,"")</f>
        <v/>
      </c>
      <c r="IM21" s="79" t="str">
        <f>IF(SUM(HQ21,HU21,HY21)&gt;0,SUM(HQ21,HU21,HY21),"")</f>
        <v/>
      </c>
      <c r="IN21" s="79" t="str">
        <f>IF(SUM(IK21,IL21)&gt;0,SUM(IK21,IL21),"")</f>
        <v/>
      </c>
      <c r="IO21" s="79" t="str">
        <f>IF(SUM(IC21,IG21)&gt;0,SUM(IC21,IG21),"")</f>
        <v/>
      </c>
      <c r="IP21" s="79" t="str">
        <f>IF(SUM(IB21:IC21,IE21:IG21,II21)-SUM(ID21,IH21)&gt;0,SUM(IB21:IC21,IE21:IG21,II21)-SUM(ID21,IH21),"")</f>
        <v/>
      </c>
      <c r="IQ21" s="79" t="str">
        <f>IF(SUM(IK21,IP21)&gt;0,SUM(IK21,IP21),"")</f>
        <v/>
      </c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0" t="str">
        <f>IF(SUM(IS21,IW21)&gt;0,SUM(IS21,IW21),"")</f>
        <v/>
      </c>
      <c r="JM21" s="20" t="str">
        <f>IF(SUM(IR21:IS21,IU21:IW21,IY21)-IT21-IX21&gt;0,SUM(IR21:IS21,IU21:IW21,IY21)-IT21-IX21,"")</f>
        <v/>
      </c>
      <c r="JN21" s="20" t="str">
        <f>IF(SUM(IZ21:JA21,JC21)-JB21&gt;0,SUM(IZ21:JA21,JC21)-JB21,"")</f>
        <v/>
      </c>
      <c r="JO21" s="20" t="str">
        <f>IF(SUM(IS21,IW21,JA21)&gt;0,SUM(IS21,IW21,JA21),"")</f>
        <v/>
      </c>
      <c r="JP21" s="20" t="str">
        <f>IF(SUM(JM21,JN21)&gt;0,SUM(JM21,JN21),"")</f>
        <v/>
      </c>
      <c r="JQ21" s="20" t="str">
        <f>IF(SUM(JE21,JI21)&gt;0,SUM(JE21,JI21),"")</f>
        <v/>
      </c>
      <c r="JR21" s="20" t="str">
        <f>IF(SUM(JD21:JE21,JG21:JI21,JK21)-SUM(JF21,JJ21)&gt;0,SUM(JD21:JE21,JG21:JI21,JK21)-SUM(JF21,JJ21),"")</f>
        <v/>
      </c>
      <c r="JS21" s="20" t="str">
        <f>IF(SUM(JM21,JR21)&gt;0,SUM(JM21,JR21),"")</f>
        <v/>
      </c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79" t="str">
        <f>IF(SUM(JU21,JY21)&gt;0,SUM(JU21,JY21),"")</f>
        <v/>
      </c>
      <c r="KO21" s="79" t="str">
        <f>IF(SUM(JT21:JU21,JW21:JY21,KA21)-JV21-JZ21&gt;0,SUM(JT21:JU21,JW21:JY21,KA21)-JV21-JZ21,"")</f>
        <v/>
      </c>
      <c r="KP21" s="79" t="str">
        <f>IF(SUM(KB21:KC21,KE21)-KD21&gt;0,SUM(KB21:KC21,KE21)-KD21,"")</f>
        <v/>
      </c>
      <c r="KQ21" s="79" t="str">
        <f>IF(SUM(JU21,JY21,KC21)&gt;0,SUM(JU21,JY21,KC21),"")</f>
        <v/>
      </c>
      <c r="KR21" s="79" t="str">
        <f>IF(SUM(KO21,KP21)&gt;0,SUM(KO21,KP21),"")</f>
        <v/>
      </c>
      <c r="KS21" s="79" t="str">
        <f>IF(SUM(KG21,KK21)&gt;0,SUM(KG21,KK21),"")</f>
        <v/>
      </c>
      <c r="KT21" s="79" t="str">
        <f>IF(SUM(KF21:KG21,KI21:KK21,KM21)-SUM(KH21,KL21)&gt;0,SUM(KF21:KG21,KI21:KK21,KM21)-SUM(KH21,KL21),"")</f>
        <v/>
      </c>
      <c r="KU21" s="79" t="str">
        <f>IF(SUM(KO21,KT21)&gt;0,SUM(KO21,KT21),"")</f>
        <v/>
      </c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0" t="str">
        <f>IF(SUM(KW21,LA21)&gt;0,SUM(KW21,LA21),"")</f>
        <v/>
      </c>
      <c r="LQ21" s="20" t="str">
        <f>IF(SUM(KV21:KW21,KY21:LA21,LC21)-KX21-LB21&gt;0,SUM(KV21:KW21,KY21:LA21,LC21)-KX21-LB21,"")</f>
        <v/>
      </c>
      <c r="LR21" s="20" t="str">
        <f>IF(SUM(LD21:LE21,LG21)-LF21&gt;0,SUM(LD21:LE21,LG21)-LF21,"")</f>
        <v/>
      </c>
      <c r="LS21" s="20" t="str">
        <f>IF(SUM(KW21,LA21,LE21)&gt;0,SUM(KW21,LA21,LE21),"")</f>
        <v/>
      </c>
      <c r="LT21" s="20" t="str">
        <f>IF(SUM(LQ21,LR21)&gt;0,SUM(LQ21,LR21),"")</f>
        <v/>
      </c>
      <c r="LU21" s="20" t="str">
        <f>IF(SUM(LI21,LM21)&gt;0,SUM(LI21,LM21),"")</f>
        <v/>
      </c>
      <c r="LV21" s="20" t="str">
        <f>IF(SUM(LH21:LI21,LK21:LM21,LO21)-SUM(LJ21,LN21)&gt;0,SUM(LH21:LI21,LK21:LM21,LO21)-SUM(LJ21,LN21),"")</f>
        <v/>
      </c>
      <c r="LW21" s="20" t="str">
        <f>IF(SUM(LQ21,LV21)&gt;0,SUM(LQ21,LV21),"")</f>
        <v/>
      </c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79" t="str">
        <f>IF(SUM(LY21,MC21)&gt;0,SUM(LY21,MC21),"")</f>
        <v/>
      </c>
      <c r="MS21" s="79" t="str">
        <f>IF(SUM(LX21:LY21,MA21:MC21,ME21)-LZ21-MD21&gt;0,SUM(LX21:LY21,MA21:MC21,ME21)-LZ21-MD21,"")</f>
        <v/>
      </c>
      <c r="MT21" s="79" t="str">
        <f>IF(SUM(MF21:MG21,MI21)-MH21&gt;0,SUM(MF21:MG21,MI21)-MH21,"")</f>
        <v/>
      </c>
      <c r="MU21" s="79" t="str">
        <f>IF(SUM(LY21,MC21,MG21)&gt;0,SUM(LY21,MC21,MG21),"")</f>
        <v/>
      </c>
      <c r="MV21" s="79" t="str">
        <f>IF(SUM(MS21,MT21)&gt;0,SUM(MS21,MT21),"")</f>
        <v/>
      </c>
      <c r="MW21" s="79" t="str">
        <f>IF(SUM(MK21,MO21)&gt;0,SUM(MK21,MO21),"")</f>
        <v/>
      </c>
      <c r="MX21" s="79" t="str">
        <f>IF(SUM(MJ21:MK21,MM21:MO21,MQ21)-SUM(ML21,MP21)&gt;0,SUM(MJ21:MK21,MM21:MO21,MQ21)-SUM(ML21,MP21),"")</f>
        <v/>
      </c>
      <c r="MY21" s="79" t="str">
        <f>IF(SUM(MS21,MX21)&gt;0,SUM(MS21,MX21),"")</f>
        <v/>
      </c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0" t="str">
        <f>IF(SUM(NA21,NE21)&gt;0,SUM(NA21,NE21),"")</f>
        <v/>
      </c>
      <c r="NU21" s="20" t="str">
        <f>IF(SUM(MZ21:NA21,NC21:NE21,NG21)-NB21-NF21&gt;0,SUM(MZ21:NA21,NC21:NE21,NG21)-NB21-NF21,"")</f>
        <v/>
      </c>
      <c r="NV21" s="20" t="str">
        <f>IF(SUM(NH21:NI21,NK21)-NJ21&gt;0,SUM(NH21:NI21,NK21)-NJ21,"")</f>
        <v/>
      </c>
      <c r="NW21" s="20" t="str">
        <f>IF(SUM(NA21,NE21,NI21)&gt;0,SUM(NA21,NE21,NI21),"")</f>
        <v/>
      </c>
      <c r="NX21" s="20" t="str">
        <f>IF(SUM(NU21,NV21)&gt;0,SUM(NU21,NV21),"")</f>
        <v/>
      </c>
      <c r="NY21" s="20" t="str">
        <f>IF(SUM(NM21,NQ21)&gt;0,SUM(NM21,NQ21),"")</f>
        <v/>
      </c>
      <c r="NZ21" s="20" t="str">
        <f>IF(SUM(NL21:NM21,NO21:NQ21,NS21)-SUM(NN21,NR21)&gt;0,SUM(NL21:NM21,NO21:NQ21,NS21)-SUM(NN21,NR21),"")</f>
        <v/>
      </c>
      <c r="OA21" s="20" t="str">
        <f>IF(SUM(NU21,NZ21)&gt;0,SUM(NU21,NZ21),"")</f>
        <v/>
      </c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79" t="str">
        <f>IF(SUM(OC21,OG21)&gt;0,SUM(OC21,OG21),"")</f>
        <v/>
      </c>
      <c r="OW21" s="79" t="str">
        <f>IF(SUM(OB21:OC21,OE21:OG21,OI21)-OD21-OH21&gt;0,SUM(OB21:OC21,OE21:OG21,OI21)-OD21-OH21,"")</f>
        <v/>
      </c>
      <c r="OX21" s="79" t="str">
        <f>IF(SUM(OJ21:OK21,OM21)-OL21&gt;0,SUM(OJ21:OK21,OM21)-OL21,"")</f>
        <v/>
      </c>
      <c r="OY21" s="79" t="str">
        <f>IF(SUM(OC21,OG21,OK21)&gt;0,SUM(OC21,OG21,OK21),"")</f>
        <v/>
      </c>
      <c r="OZ21" s="79" t="str">
        <f>IF(SUM(OW21,OX21)&gt;0,SUM(OW21,OX21),"")</f>
        <v/>
      </c>
      <c r="PA21" s="79" t="str">
        <f>IF(SUM(OO21,OS21)&gt;0,SUM(OO21,OS21),"")</f>
        <v/>
      </c>
      <c r="PB21" s="79" t="str">
        <f>IF(SUM(ON21:OO21,OQ21:OS21,OU21)-SUM(OP21,OT21)&gt;0,SUM(ON21:OO21,OQ21:OS21,OU21)-SUM(OP21,OT21),"")</f>
        <v/>
      </c>
      <c r="PC21" s="79" t="str">
        <f>IF(SUM(OW21,PB21)&gt;0,SUM(OW21,PB21),"")</f>
        <v/>
      </c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0" t="str">
        <f>IF(SUM(PE21,PI21)&gt;0,SUM(PE21,PI21),"")</f>
        <v/>
      </c>
      <c r="PY21" s="20" t="str">
        <f>IF(SUM(PD21:PE21,PG21:PI21,PK21)-PF21-PJ21&gt;0,SUM(PD21:PE21,PG21:PI21,PK21)-PF21-PJ21,"")</f>
        <v/>
      </c>
      <c r="PZ21" s="20" t="str">
        <f>IF(SUM(PL21:PM21,PO21)-PN21&gt;0,SUM(PL21:PM21,PO21)-PN21,"")</f>
        <v/>
      </c>
      <c r="QA21" s="20" t="str">
        <f>IF(SUM(PE21,PI21,PM21)&gt;0,SUM(PE21,PI21,PM21),"")</f>
        <v/>
      </c>
      <c r="QB21" s="20" t="str">
        <f>IF(SUM(PY21,PZ21)&gt;0,SUM(PY21,PZ21),"")</f>
        <v/>
      </c>
      <c r="QC21" s="20" t="str">
        <f>IF(SUM(PQ21,PU21)&gt;0,SUM(PQ21,PU21),"")</f>
        <v/>
      </c>
      <c r="QD21" s="20" t="str">
        <f>IF(SUM(PP21:PQ21,PS21:PU21,PW21)-SUM(PR21,PV21)&gt;0,SUM(PP21:PQ21,PS21:PU21,PW21)-SUM(PR21,PV21),"")</f>
        <v/>
      </c>
      <c r="QE21" s="20" t="str">
        <f>IF(SUM(PY21,QD21)&gt;0,SUM(PY21,QD21),"")</f>
        <v/>
      </c>
      <c r="QF21" s="38">
        <f>IF($CV21="P",CB21,(CB21+AY21)/2)</f>
        <v>8.5</v>
      </c>
      <c r="QG21" s="38">
        <f>IF($CV21="P",CC21,(CC21+AZ21)/2)</f>
        <v>0.25</v>
      </c>
      <c r="QH21" s="38">
        <f>IF($CV21="P",CD21,(CD21+BA21)/2)</f>
        <v>0</v>
      </c>
      <c r="QI21" s="38">
        <f>IF($CV21="P",CE21,(CE21+BB21)/2)</f>
        <v>0</v>
      </c>
      <c r="QJ21" s="38">
        <f>IF($CV21="P",CF21,(CF21+BC21)/2)</f>
        <v>9.4</v>
      </c>
      <c r="QK21" s="38">
        <f>IF($CV21="P",CG21,(CG21+BD21)/2)</f>
        <v>1.55</v>
      </c>
      <c r="QL21" s="38">
        <f>IF($CV21="P",CH21,(CH21+BE21)/2)</f>
        <v>0</v>
      </c>
      <c r="QM21" s="38">
        <f>IF($CV21="P",CI21,(CI21+BF21)/2)</f>
        <v>0</v>
      </c>
      <c r="QN21" s="38">
        <f>IF($CV21="P",CJ21,(CJ21+BG21)/2)</f>
        <v>9.4</v>
      </c>
      <c r="QO21" s="38">
        <f>IF($CV21="P",CK21,(CK21+BH21)/2)</f>
        <v>1.35</v>
      </c>
      <c r="QP21" s="38">
        <f>IF($CV21="P",CL21,(CL21+BI21)/2)</f>
        <v>0.15</v>
      </c>
      <c r="QQ21" s="38">
        <f>IF($CV21="P",CM21,(CM21+BJ21)/2)</f>
        <v>0</v>
      </c>
      <c r="QR21" s="38">
        <f>IF($CV21="P",CN21,(CN21+BK21)/2)</f>
        <v>0</v>
      </c>
      <c r="QS21" s="38">
        <f>IF($CV21="P",CO21,(CO21+BL21)/2)</f>
        <v>0</v>
      </c>
      <c r="QT21" s="38">
        <f>IF($CV21="P",CP21,(CP21+BM21)/2)</f>
        <v>0</v>
      </c>
      <c r="QU21" s="38">
        <f>IF($CV21="P",CQ21,(CQ21+BN21)/2)</f>
        <v>0</v>
      </c>
      <c r="QV21" s="38">
        <f>IF($CV21="P",CR21,(CR21+BO21)/2)</f>
        <v>0</v>
      </c>
      <c r="QW21" s="38">
        <f>IF($CV21="P",CS21,(CS21+BP21)/2)</f>
        <v>0</v>
      </c>
      <c r="QX21" s="38">
        <f>IF($CV21="P",CT21,(CT21+BQ21)/2)</f>
        <v>0</v>
      </c>
      <c r="QY21" s="38">
        <f>IF($CV21="P",CU21,(CU21+BR21)/2)</f>
        <v>0</v>
      </c>
      <c r="QZ21" s="45" t="s">
        <v>46</v>
      </c>
      <c r="RA21" s="79">
        <f>IF(SUM(QG21,QK21)&gt;0,SUM(QG21,QK21),"")</f>
        <v>1.8</v>
      </c>
      <c r="RB21" s="79">
        <f>IF(SUM(QF21:QG21,QI21:QK21,QM21)-QH21-QL21&gt;0,SUM(QF21:QG21,QI21:QK21,QM21)-QH21-QL21,"")</f>
        <v>19.7</v>
      </c>
      <c r="RC21" s="79">
        <f>IF(SUM(QN21:QO21,QQ21)-QP21&gt;0,SUM(QN21:QO21,QQ21)-QP21,"")</f>
        <v>10.6</v>
      </c>
      <c r="RD21" s="79">
        <f>IF(SUM(QG21,QK21,QO21)&gt;0,SUM(QG21,QK21,QO21),"")</f>
        <v>3.1500000000000004</v>
      </c>
      <c r="RE21" s="79">
        <f>IF(SUM(RB21,RC21)&gt;0,SUM(RB21,RC21),"")</f>
        <v>30.299999999999997</v>
      </c>
      <c r="RF21" s="79" t="str">
        <f>IF(SUM(QS21,QW21)&gt;0,SUM(QS21,QW21),"")</f>
        <v/>
      </c>
      <c r="RG21" s="79" t="str">
        <f>IF(SUM(QR21:QS21,QU21:QW21,QY21)-SUM(QT21,QX21)&gt;0,SUM(QR21:QS21,QU21:QW21,QY21)-SUM(QT21,QX21),"")</f>
        <v/>
      </c>
      <c r="RH21" s="79">
        <f>IF(SUM(RB21,RG21)&gt;0,SUM(RB21,RG21),"")</f>
        <v>19.7</v>
      </c>
    </row>
    <row r="22" spans="1:476" ht="17" x14ac:dyDescent="0.2">
      <c r="S22" s="16"/>
      <c r="T22" s="16"/>
      <c r="U22" s="16"/>
    </row>
    <row r="23" spans="1:476" ht="17" x14ac:dyDescent="0.2">
      <c r="S23" s="16"/>
      <c r="T23" s="16"/>
      <c r="U23" s="16"/>
    </row>
    <row r="24" spans="1:476" ht="17" x14ac:dyDescent="0.2">
      <c r="B24" s="81" t="s">
        <v>44</v>
      </c>
      <c r="S24" s="16"/>
      <c r="T24" s="16"/>
      <c r="U24" s="16"/>
      <c r="AQ24" s="5"/>
      <c r="AX24" s="82">
        <v>1E-4</v>
      </c>
      <c r="BT24" s="5"/>
      <c r="CA24" s="82">
        <v>1E-4</v>
      </c>
      <c r="CW24" s="5"/>
      <c r="DD24" s="82">
        <v>10</v>
      </c>
      <c r="EB24" s="5"/>
      <c r="EI24" s="82">
        <v>1E-4</v>
      </c>
      <c r="FD24" s="5"/>
      <c r="FK24" s="82">
        <v>1E-4</v>
      </c>
      <c r="GF24" s="5"/>
      <c r="GM24" s="82">
        <v>10</v>
      </c>
      <c r="HH24" s="5"/>
      <c r="HO24" s="82">
        <v>10</v>
      </c>
      <c r="IJ24" s="5"/>
      <c r="IQ24" s="82">
        <v>10</v>
      </c>
      <c r="JL24" s="5"/>
      <c r="JS24" s="82">
        <v>10</v>
      </c>
      <c r="KN24" s="5"/>
      <c r="KU24" s="82">
        <v>10</v>
      </c>
      <c r="LP24" s="5"/>
      <c r="LW24" s="82">
        <v>10</v>
      </c>
      <c r="MR24" s="5"/>
      <c r="MY24" s="82">
        <v>10</v>
      </c>
      <c r="NT24" s="5"/>
      <c r="OA24" s="82">
        <v>10</v>
      </c>
      <c r="OV24" s="5"/>
      <c r="PC24" s="82">
        <v>10</v>
      </c>
      <c r="PX24" s="5"/>
      <c r="QE24" s="82">
        <v>10</v>
      </c>
    </row>
    <row r="25" spans="1:476" ht="17" hidden="1" x14ac:dyDescent="0.2">
      <c r="B25" s="83" t="s">
        <v>43</v>
      </c>
      <c r="S25" s="16"/>
      <c r="T25" s="16"/>
      <c r="U25" s="16"/>
      <c r="AQ25" s="5"/>
      <c r="AX25" s="84">
        <v>1000</v>
      </c>
      <c r="BT25" s="5"/>
      <c r="CA25" s="84">
        <v>1000</v>
      </c>
      <c r="CW25" s="5"/>
      <c r="DD25" s="84">
        <v>1000</v>
      </c>
      <c r="EB25" s="5"/>
      <c r="EI25" s="84">
        <v>1000</v>
      </c>
      <c r="FD25" s="5"/>
      <c r="FK25" s="84">
        <v>1000</v>
      </c>
      <c r="GF25" s="5"/>
      <c r="GM25" s="84">
        <v>1000</v>
      </c>
      <c r="HH25" s="5"/>
      <c r="HO25" s="84">
        <v>1000</v>
      </c>
      <c r="IJ25" s="5"/>
      <c r="IQ25" s="84">
        <v>1000</v>
      </c>
      <c r="JL25" s="5"/>
      <c r="JS25" s="84">
        <v>1000</v>
      </c>
      <c r="KN25" s="5"/>
      <c r="KU25" s="84">
        <v>1000</v>
      </c>
      <c r="LP25" s="5"/>
      <c r="LW25" s="84">
        <v>1000</v>
      </c>
      <c r="MR25" s="5"/>
      <c r="MY25" s="84">
        <v>1000</v>
      </c>
      <c r="NT25" s="5"/>
      <c r="OA25" s="84">
        <v>1000</v>
      </c>
      <c r="OV25" s="5"/>
      <c r="PC25" s="84">
        <v>1000</v>
      </c>
      <c r="PX25" s="5"/>
      <c r="QE25" s="84">
        <v>1000</v>
      </c>
    </row>
    <row r="26" spans="1:476" ht="17" hidden="1" x14ac:dyDescent="0.2">
      <c r="A26" s="78"/>
      <c r="B26" s="76" t="s">
        <v>55</v>
      </c>
      <c r="C26" s="85"/>
      <c r="S26" s="16"/>
      <c r="T26" s="16"/>
      <c r="U26" s="16"/>
      <c r="AQ26" s="5"/>
      <c r="AX26" s="86">
        <v>1000</v>
      </c>
      <c r="BT26" s="5"/>
      <c r="CA26" s="86">
        <v>1000</v>
      </c>
      <c r="CW26" s="5"/>
      <c r="DD26" s="86">
        <v>1000</v>
      </c>
      <c r="EB26" s="5"/>
      <c r="EI26" s="86">
        <v>1000</v>
      </c>
      <c r="FD26" s="5"/>
      <c r="FK26" s="86">
        <v>1000</v>
      </c>
      <c r="GF26" s="5"/>
      <c r="GM26" s="86">
        <v>1000</v>
      </c>
      <c r="HH26" s="5"/>
      <c r="HO26" s="86">
        <v>1000</v>
      </c>
      <c r="IJ26" s="5"/>
      <c r="IQ26" s="86">
        <v>1000</v>
      </c>
      <c r="JL26" s="5"/>
      <c r="JS26" s="86">
        <v>1000</v>
      </c>
      <c r="KN26" s="5"/>
      <c r="KU26" s="86">
        <v>1000</v>
      </c>
      <c r="LP26" s="5"/>
      <c r="LW26" s="86">
        <v>1000</v>
      </c>
      <c r="MR26" s="5"/>
      <c r="MY26" s="86">
        <v>1000</v>
      </c>
      <c r="NT26" s="5"/>
      <c r="OA26" s="86">
        <v>1000</v>
      </c>
      <c r="OV26" s="5"/>
      <c r="PC26" s="86">
        <v>1000</v>
      </c>
      <c r="PX26" s="5"/>
      <c r="QE26" s="86">
        <v>1000</v>
      </c>
    </row>
    <row r="27" spans="1:476" ht="17" hidden="1" x14ac:dyDescent="0.2">
      <c r="A27" s="78"/>
      <c r="B27" s="87" t="s">
        <v>62</v>
      </c>
      <c r="C27" s="85"/>
      <c r="S27" s="16"/>
      <c r="T27" s="16"/>
      <c r="U27" s="16"/>
      <c r="AQ27" s="5"/>
      <c r="AX27" s="97">
        <v>1000</v>
      </c>
      <c r="BT27" s="5"/>
      <c r="CA27" s="97">
        <v>1000</v>
      </c>
      <c r="CW27" s="5"/>
      <c r="DD27" s="97">
        <v>1000</v>
      </c>
      <c r="EB27" s="5"/>
      <c r="EI27" s="97">
        <v>1000</v>
      </c>
      <c r="FD27" s="5"/>
      <c r="FK27" s="97">
        <v>1000</v>
      </c>
      <c r="GF27" s="5"/>
      <c r="GM27" s="97">
        <v>1000</v>
      </c>
      <c r="HH27" s="5"/>
      <c r="HO27" s="97">
        <v>1000</v>
      </c>
      <c r="IJ27" s="5"/>
      <c r="IQ27" s="97">
        <v>1000</v>
      </c>
      <c r="JL27" s="5"/>
      <c r="JS27" s="97">
        <v>1000</v>
      </c>
      <c r="KN27" s="5"/>
      <c r="KU27" s="97">
        <v>1000</v>
      </c>
      <c r="LP27" s="5"/>
      <c r="LW27" s="97">
        <v>1000</v>
      </c>
      <c r="MR27" s="5"/>
      <c r="MY27" s="97">
        <v>1000</v>
      </c>
      <c r="NT27" s="5"/>
      <c r="OA27" s="97">
        <v>1000</v>
      </c>
      <c r="OV27" s="5"/>
      <c r="PC27" s="97">
        <v>1000</v>
      </c>
      <c r="PX27" s="5"/>
      <c r="QE27" s="97">
        <v>1000</v>
      </c>
    </row>
    <row r="28" spans="1:476" ht="17" x14ac:dyDescent="0.2">
      <c r="A28" s="78"/>
      <c r="B28" s="89" t="s">
        <v>41</v>
      </c>
      <c r="C28" s="85"/>
      <c r="S28" s="16"/>
      <c r="T28" s="16"/>
      <c r="U28" s="16"/>
      <c r="AQ28" s="5"/>
      <c r="AU28" s="67" t="s">
        <v>178</v>
      </c>
      <c r="AX28" s="98">
        <v>2.0000000000000001E-4</v>
      </c>
      <c r="BT28" s="5"/>
      <c r="BX28" s="67" t="s">
        <v>178</v>
      </c>
      <c r="CA28" s="98">
        <v>2.0000000000000001E-4</v>
      </c>
      <c r="CW28" s="5"/>
      <c r="DD28" s="98">
        <v>46.8</v>
      </c>
      <c r="EB28" s="5"/>
      <c r="EF28" s="67" t="s">
        <v>178</v>
      </c>
      <c r="EI28" s="98">
        <v>2.0000000000000001E-4</v>
      </c>
      <c r="FD28" s="5"/>
      <c r="FH28" s="67" t="s">
        <v>178</v>
      </c>
      <c r="FK28" s="98">
        <v>2.0000000000000001E-4</v>
      </c>
      <c r="GF28" s="5"/>
      <c r="GM28" s="98">
        <v>46.8</v>
      </c>
      <c r="HH28" s="5"/>
      <c r="HO28" s="98">
        <v>46.8</v>
      </c>
      <c r="IJ28" s="5"/>
      <c r="IQ28" s="98">
        <v>46.8</v>
      </c>
      <c r="JL28" s="5"/>
      <c r="JS28" s="98">
        <v>46.8</v>
      </c>
      <c r="KN28" s="5"/>
      <c r="KU28" s="98">
        <v>46.8</v>
      </c>
      <c r="LP28" s="5"/>
      <c r="LW28" s="98">
        <v>46.8</v>
      </c>
      <c r="MR28" s="5"/>
      <c r="MY28" s="98">
        <v>46.8</v>
      </c>
      <c r="NT28" s="5"/>
      <c r="OA28" s="98">
        <v>46.8</v>
      </c>
      <c r="OV28" s="5"/>
      <c r="PC28" s="98">
        <v>46.8</v>
      </c>
      <c r="PX28" s="5"/>
      <c r="QE28" s="98">
        <v>46.8</v>
      </c>
    </row>
    <row r="29" spans="1:476" ht="17" hidden="1" x14ac:dyDescent="0.2">
      <c r="A29" s="78"/>
      <c r="B29" s="91" t="s">
        <v>42</v>
      </c>
      <c r="C29" s="85"/>
      <c r="S29" s="16"/>
      <c r="T29" s="16"/>
      <c r="U29" s="16"/>
      <c r="AQ29" s="5"/>
      <c r="AX29" s="92">
        <v>1000</v>
      </c>
      <c r="BT29" s="5"/>
      <c r="CA29" s="92">
        <v>1000</v>
      </c>
      <c r="CW29" s="5"/>
      <c r="DD29" s="92">
        <v>1000</v>
      </c>
      <c r="EB29" s="5"/>
      <c r="EI29" s="92">
        <v>1000</v>
      </c>
      <c r="FD29" s="5"/>
      <c r="FK29" s="92">
        <v>1000</v>
      </c>
      <c r="GF29" s="5"/>
      <c r="GM29" s="92">
        <v>1000</v>
      </c>
      <c r="HH29" s="5"/>
      <c r="HO29" s="92">
        <v>1000</v>
      </c>
      <c r="IJ29" s="5"/>
      <c r="IQ29" s="92">
        <v>1000</v>
      </c>
      <c r="JL29" s="5"/>
      <c r="JS29" s="92">
        <v>1000</v>
      </c>
      <c r="KN29" s="5"/>
      <c r="KU29" s="92">
        <v>1000</v>
      </c>
      <c r="LP29" s="5"/>
      <c r="LW29" s="92">
        <v>1000</v>
      </c>
      <c r="MR29" s="5"/>
      <c r="MY29" s="92">
        <v>1000</v>
      </c>
      <c r="NT29" s="5"/>
      <c r="OA29" s="92">
        <v>1000</v>
      </c>
      <c r="OV29" s="5"/>
      <c r="PC29" s="92">
        <v>1000</v>
      </c>
      <c r="PX29" s="5"/>
      <c r="QE29" s="92">
        <v>1000</v>
      </c>
    </row>
    <row r="30" spans="1:476" ht="17" hidden="1" x14ac:dyDescent="0.2">
      <c r="A30" s="78"/>
      <c r="B30" s="93" t="s">
        <v>54</v>
      </c>
      <c r="C30" s="85"/>
      <c r="S30" s="16"/>
      <c r="T30" s="16"/>
      <c r="U30" s="16"/>
      <c r="AQ30" s="5"/>
      <c r="AX30" s="94">
        <v>1000</v>
      </c>
      <c r="BT30" s="5"/>
      <c r="CA30" s="94">
        <v>1000</v>
      </c>
      <c r="CW30" s="5"/>
      <c r="DD30" s="94">
        <v>1000</v>
      </c>
      <c r="EB30" s="5"/>
      <c r="EI30" s="94">
        <v>1000</v>
      </c>
      <c r="FD30" s="5"/>
      <c r="FK30" s="94">
        <v>1000</v>
      </c>
      <c r="GF30" s="5"/>
      <c r="GM30" s="94">
        <v>1000</v>
      </c>
      <c r="HH30" s="5"/>
      <c r="HO30" s="94">
        <v>1000</v>
      </c>
      <c r="IJ30" s="5"/>
      <c r="IQ30" s="94">
        <v>1000</v>
      </c>
      <c r="JL30" s="5"/>
      <c r="JS30" s="94">
        <v>1000</v>
      </c>
      <c r="KN30" s="5"/>
      <c r="KU30" s="94">
        <v>1000</v>
      </c>
      <c r="LP30" s="5"/>
      <c r="LW30" s="94">
        <v>1000</v>
      </c>
      <c r="MR30" s="5"/>
      <c r="MY30" s="94">
        <v>1000</v>
      </c>
      <c r="NT30" s="5"/>
      <c r="OA30" s="94">
        <v>1000</v>
      </c>
      <c r="OV30" s="5"/>
      <c r="PC30" s="94">
        <v>1000</v>
      </c>
      <c r="PX30" s="5"/>
      <c r="QE30" s="94">
        <v>1000</v>
      </c>
    </row>
    <row r="31" spans="1:476" ht="17" hidden="1" x14ac:dyDescent="0.2">
      <c r="A31" s="78"/>
      <c r="B31" s="95" t="s">
        <v>28</v>
      </c>
      <c r="C31" s="85"/>
      <c r="S31" s="16"/>
      <c r="T31" s="16"/>
      <c r="U31" s="16"/>
      <c r="AQ31" s="5"/>
      <c r="AX31" s="96">
        <v>1000</v>
      </c>
      <c r="BT31" s="5"/>
      <c r="CA31" s="96">
        <v>1000</v>
      </c>
      <c r="CW31" s="5"/>
      <c r="DD31" s="96">
        <v>1000</v>
      </c>
      <c r="EB31" s="5"/>
      <c r="EI31" s="96">
        <v>1000</v>
      </c>
      <c r="FD31" s="5"/>
      <c r="FK31" s="96">
        <v>1000</v>
      </c>
      <c r="GF31" s="5"/>
      <c r="GM31" s="96">
        <v>1000</v>
      </c>
      <c r="HH31" s="5"/>
      <c r="HO31" s="96">
        <v>1000</v>
      </c>
      <c r="IJ31" s="5"/>
      <c r="IQ31" s="96">
        <v>1000</v>
      </c>
      <c r="JL31" s="5"/>
      <c r="JS31" s="96">
        <v>1000</v>
      </c>
      <c r="KN31" s="5"/>
      <c r="KU31" s="96">
        <v>1000</v>
      </c>
      <c r="LP31" s="5"/>
      <c r="LW31" s="96">
        <v>1000</v>
      </c>
      <c r="MR31" s="5"/>
      <c r="MY31" s="96">
        <v>1000</v>
      </c>
      <c r="NT31" s="5"/>
      <c r="OA31" s="96">
        <v>1000</v>
      </c>
      <c r="OV31" s="5"/>
      <c r="PC31" s="96">
        <v>1000</v>
      </c>
      <c r="PX31" s="5"/>
      <c r="QE31" s="96">
        <v>1000</v>
      </c>
    </row>
    <row r="32" spans="1:476" x14ac:dyDescent="0.2">
      <c r="B32" s="47" t="s">
        <v>47</v>
      </c>
      <c r="C32" s="2"/>
    </row>
    <row r="33" spans="1:457" x14ac:dyDescent="0.2">
      <c r="A33" s="78"/>
      <c r="B33" s="78"/>
      <c r="C33" s="85"/>
      <c r="QG33" s="2"/>
      <c r="QH33" s="2"/>
      <c r="QI33" s="2"/>
      <c r="QJ33" s="2"/>
      <c r="QK33" s="2"/>
      <c r="QL33" s="2"/>
      <c r="QM33" s="2"/>
      <c r="QN33" s="2"/>
      <c r="QO33" s="2"/>
    </row>
    <row r="34" spans="1:457" x14ac:dyDescent="0.2">
      <c r="A34" s="78"/>
      <c r="B34" s="78"/>
      <c r="C34" s="85"/>
    </row>
    <row r="35" spans="1:457" x14ac:dyDescent="0.2">
      <c r="A35" s="78"/>
      <c r="B35" s="78"/>
      <c r="C35" s="85"/>
    </row>
    <row r="36" spans="1:457" x14ac:dyDescent="0.2">
      <c r="A36" s="78"/>
      <c r="B36" s="78"/>
      <c r="C36" s="78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21">
      <sortCondition descending="1" ref="F1:F22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1">
    <cfRule type="expression" dxfId="27" priority="1" stopIfTrue="1">
      <formula>IF($AP4&lt;&gt;"",1,0)</formula>
    </cfRule>
  </conditionalFormatting>
  <conditionalFormatting sqref="AY4:CA21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1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AX$24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AX$28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AX$24</formula>
      <formula>AX$25</formula>
    </cfRule>
    <cfRule type="cellIs" dxfId="12" priority="49934" operator="between">
      <formula>AX$25</formula>
      <formula>AX$26</formula>
    </cfRule>
    <cfRule type="cellIs" dxfId="11" priority="49935" operator="between">
      <formula>AX$26</formula>
      <formula>AX$27</formula>
    </cfRule>
    <cfRule type="cellIs" dxfId="10" priority="49936" operator="between">
      <formula>AX$27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AX$28</formula>
      <formula>AX$29</formula>
    </cfRule>
    <cfRule type="cellIs" dxfId="8" priority="50114" operator="between">
      <formula>AX$29</formula>
      <formula>AX$30</formula>
    </cfRule>
    <cfRule type="cellIs" dxfId="7" priority="50115" operator="between">
      <formula>AX$30</formula>
      <formula>AX$31</formula>
    </cfRule>
    <cfRule type="cellIs" dxfId="6" priority="50116" operator="between">
      <formula>AX$31</formula>
      <formula>1000</formula>
    </cfRule>
  </conditionalFormatting>
  <conditionalFormatting sqref="BX1:BX27 DA1:DA1048576 EF1:EF27 FH1:FH27 GJ1:GJ1048576 HL1:HL1048576 IN1:IN1048576 JP1:JP1048576 KR1:KR1048576 LT1:LT1048576 MV1:MV1048576 NX1:NX1048576 OZ1:OZ1048576 QB1:QB1048576 AU1:AU27 AU29:AU1048576 BX29:BX1048576 EF29:EF1048576 FH29:FH1048576">
    <cfRule type="cellIs" dxfId="5" priority="50293" operator="between">
      <formula>AX$31</formula>
      <formula>1000</formula>
    </cfRule>
    <cfRule type="cellIs" dxfId="4" priority="50294" operator="between">
      <formula>AX$30</formula>
      <formula>AX$31</formula>
    </cfRule>
    <cfRule type="cellIs" dxfId="3" priority="50295" operator="between">
      <formula>AX$29</formula>
      <formula>AX$30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AX$27</formula>
      <formula>1000</formula>
    </cfRule>
    <cfRule type="cellIs" dxfId="1" priority="50429" operator="between">
      <formula>AX$26</formula>
      <formula>AX$27</formula>
    </cfRule>
    <cfRule type="cellIs" dxfId="0" priority="50430" operator="between">
      <formula>AX$25</formula>
      <formula>AX$26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2022-05-19T18:26:19Z</dcterms:modified>
</cp:coreProperties>
</file>